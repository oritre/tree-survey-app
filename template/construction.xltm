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חוברת_עבודה_זו" defaultThemeVersion="124226"/>
  <mc:AlternateContent xmlns:mc="http://schemas.openxmlformats.org/markup-compatibility/2006">
    <mc:Choice Requires="x15">
      <x15ac:absPath xmlns:x15ac="http://schemas.microsoft.com/office/spreadsheetml/2010/11/ac" url="C:\Users\origr\OneDrive\מסמכים\‫תבניות מותאמות אישית של Office‬\"/>
    </mc:Choice>
  </mc:AlternateContent>
  <xr:revisionPtr revIDLastSave="0" documentId="8_{412871DF-5E82-4E67-9748-BFE611D5F703}" xr6:coauthVersionLast="47" xr6:coauthVersionMax="47" xr10:uidLastSave="{00000000-0000-0000-0000-000000000000}"/>
  <bookViews>
    <workbookView xWindow="-120" yWindow="-120" windowWidth="29040" windowHeight="15720" xr2:uid="{00000000-000D-0000-FFFF-FFFF00000000}"/>
  </bookViews>
  <sheets>
    <sheet name="סקר" sheetId="13" r:id="rId1"/>
    <sheet name="טעינת עצים" sheetId="16" r:id="rId2"/>
    <sheet name="פוליגון" sheetId="14" r:id="rId3"/>
    <sheet name="חד גזעי" sheetId="2" r:id="rId4"/>
    <sheet name="רב גזעי" sheetId="4" r:id="rId5"/>
    <sheet name="ערכים לבריאות העץ" sheetId="11" r:id="rId6"/>
    <sheet name="ערכים למיקום העץ" sheetId="12" r:id="rId7"/>
    <sheet name="פרמטרים" sheetId="3" state="hidden" r:id="rId8"/>
    <sheet name="Species" sheetId="5" state="hidden" r:id="rId9"/>
    <sheet name="גיליון2" sheetId="8" state="hidden" r:id="rId10"/>
    <sheet name="ערך מין העץ 2018" sheetId="9" r:id="rId11"/>
    <sheet name="דוח תאימות" sheetId="10" r:id="rId12"/>
  </sheets>
  <externalReferences>
    <externalReference r:id="rId13"/>
  </externalReferences>
  <definedNames>
    <definedName name="_xlnm._FilterDatabase" localSheetId="10" hidden="1">'ערך מין העץ 2018'!$A$2:$C$2</definedName>
    <definedName name="SpeciesTable">Species!$A$1:$C$146</definedName>
    <definedName name="SpeciesValue">Species!$A$1:$A$146</definedName>
    <definedName name="TreePlace">פרמטרים!$H$6:$H$15</definedName>
    <definedName name="TreeStatus">פרמטרים!$F$6:$F$15</definedName>
    <definedName name="בומבק_ציבה__הודי">'ערך מין העץ 2018'!$A$3:$A$233</definedName>
    <definedName name="עץ" localSheetId="10">'ערך מין העץ 2018'!$A$3:'ערך מין העץ 2018'!$A$3:$A$233</definedName>
    <definedName name="פיקוס_השקמה">'רב גזעי'!$G$11</definedName>
  </definedNames>
  <calcPr calcId="191028" iterate="1" iterateCount="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66" i="13" l="1"/>
  <c r="P865" i="13"/>
  <c r="P864" i="13"/>
  <c r="P863" i="13"/>
  <c r="P862" i="13"/>
  <c r="P861" i="13"/>
  <c r="P860" i="13"/>
  <c r="P859" i="13"/>
  <c r="P858" i="13"/>
  <c r="P857" i="13"/>
  <c r="P856" i="13"/>
  <c r="P855" i="13"/>
  <c r="P854" i="13"/>
  <c r="P853" i="13"/>
  <c r="P852" i="13"/>
  <c r="P851" i="13"/>
  <c r="P850" i="13"/>
  <c r="P849" i="13"/>
  <c r="P848" i="13"/>
  <c r="P847" i="13"/>
  <c r="P846" i="13"/>
  <c r="P845" i="13"/>
  <c r="P844" i="13"/>
  <c r="P843" i="13"/>
  <c r="P842" i="13"/>
  <c r="P841" i="13"/>
  <c r="P840" i="13"/>
  <c r="P839" i="13"/>
  <c r="P838" i="13"/>
  <c r="P837" i="13"/>
  <c r="P836" i="13"/>
  <c r="P835"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36" i="13"/>
  <c r="P635" i="13"/>
  <c r="P634" i="13"/>
  <c r="P633" i="13"/>
  <c r="P632" i="13"/>
  <c r="P631" i="13"/>
  <c r="P630" i="13"/>
  <c r="P629" i="13"/>
  <c r="P628" i="13"/>
  <c r="P627" i="13"/>
  <c r="P626" i="13"/>
  <c r="P625" i="13"/>
  <c r="P624" i="13"/>
  <c r="P623" i="13"/>
  <c r="P622" i="13"/>
  <c r="P621" i="13"/>
  <c r="P620" i="13"/>
  <c r="P619" i="13"/>
  <c r="P618" i="13"/>
  <c r="P617" i="13"/>
  <c r="P616" i="13"/>
  <c r="P615" i="13"/>
  <c r="P614" i="13"/>
  <c r="P613" i="13"/>
  <c r="P612" i="13"/>
  <c r="P611" i="13"/>
  <c r="P610" i="13"/>
  <c r="P609" i="13"/>
  <c r="P608" i="13"/>
  <c r="P607" i="13"/>
  <c r="P606" i="13"/>
  <c r="P605"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14" i="13"/>
  <c r="P313" i="13"/>
  <c r="P312" i="13"/>
  <c r="P311" i="13"/>
  <c r="P310" i="13"/>
  <c r="P309" i="13"/>
  <c r="P308" i="13"/>
  <c r="P307" i="13"/>
  <c r="P306" i="13"/>
  <c r="P305" i="13"/>
  <c r="P304" i="13"/>
  <c r="P303" i="13"/>
  <c r="P302" i="13"/>
  <c r="P301" i="13"/>
  <c r="P300" i="13"/>
  <c r="P299" i="13"/>
  <c r="P298" i="13"/>
  <c r="P297" i="13"/>
  <c r="P296" i="13"/>
  <c r="P295" i="13"/>
  <c r="P294" i="13"/>
  <c r="P293" i="13"/>
  <c r="P292" i="13"/>
  <c r="P291" i="13"/>
  <c r="P290" i="13"/>
  <c r="P289" i="13"/>
  <c r="P288" i="13"/>
  <c r="P287" i="13"/>
  <c r="P286" i="13"/>
  <c r="P285" i="13"/>
  <c r="P284" i="13"/>
  <c r="P283" i="13"/>
  <c r="P268" i="13"/>
  <c r="P267" i="13"/>
  <c r="P266" i="13"/>
  <c r="P265" i="13"/>
  <c r="P264" i="13"/>
  <c r="P263" i="13"/>
  <c r="P262"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78" i="13"/>
  <c r="P79" i="13"/>
  <c r="P80" i="13"/>
  <c r="P81" i="13"/>
  <c r="P82" i="13"/>
  <c r="P83" i="13"/>
  <c r="P84" i="13"/>
  <c r="P77" i="13"/>
  <c r="P76" i="13"/>
  <c r="P75" i="13"/>
  <c r="P74" i="13"/>
  <c r="P73" i="13"/>
  <c r="P72" i="13"/>
  <c r="P71" i="13"/>
  <c r="P70" i="13"/>
  <c r="P69" i="13"/>
  <c r="P68" i="13"/>
  <c r="P67" i="13"/>
  <c r="P66" i="13"/>
  <c r="P65" i="13"/>
  <c r="P64" i="13"/>
  <c r="P63" i="13"/>
  <c r="P62" i="13"/>
  <c r="P61" i="13"/>
  <c r="P60" i="13"/>
  <c r="P59" i="13"/>
  <c r="P58" i="13"/>
  <c r="P57" i="13"/>
  <c r="P56" i="13"/>
  <c r="P55" i="13"/>
  <c r="P54" i="13"/>
  <c r="P53" i="13"/>
  <c r="P35" i="13"/>
  <c r="P12" i="13"/>
  <c r="P13" i="13"/>
  <c r="P14" i="13"/>
  <c r="P15" i="13"/>
  <c r="P16" i="13"/>
  <c r="P17" i="13"/>
  <c r="P18" i="13"/>
  <c r="P19" i="13"/>
  <c r="P20" i="13"/>
  <c r="P21" i="13"/>
  <c r="P22" i="13"/>
  <c r="P23" i="13"/>
  <c r="P24" i="13"/>
  <c r="P25" i="13"/>
  <c r="P26" i="13"/>
  <c r="P27" i="13"/>
  <c r="P28" i="13"/>
  <c r="P29" i="13"/>
  <c r="P30" i="13"/>
  <c r="P31" i="13"/>
  <c r="P32" i="13"/>
  <c r="P33" i="13"/>
  <c r="P34" i="13"/>
  <c r="P11" i="13"/>
  <c r="R2" i="16"/>
  <c r="S2" i="16"/>
  <c r="B27" i="16"/>
  <c r="H27" i="16" l="1"/>
  <c r="G27" i="16"/>
  <c r="B91" i="16" l="1"/>
  <c r="V36" i="13"/>
  <c r="V37" i="13"/>
  <c r="V38" i="13"/>
  <c r="V39" i="13"/>
  <c r="V40" i="13"/>
  <c r="V41" i="13"/>
  <c r="V42" i="13"/>
  <c r="W42" i="13" s="1"/>
  <c r="V43" i="13"/>
  <c r="W43" i="13" s="1"/>
  <c r="V44" i="13"/>
  <c r="V45" i="13"/>
  <c r="V46" i="13"/>
  <c r="V47" i="13"/>
  <c r="V48" i="13"/>
  <c r="V49" i="13"/>
  <c r="V50" i="13"/>
  <c r="W50" i="13" s="1"/>
  <c r="V51" i="13"/>
  <c r="W51" i="13" s="1"/>
  <c r="V52" i="13"/>
  <c r="V85" i="13"/>
  <c r="V86" i="13"/>
  <c r="V87" i="13"/>
  <c r="V88" i="13"/>
  <c r="W88" i="13" s="1"/>
  <c r="V89" i="13"/>
  <c r="V90" i="13"/>
  <c r="W90" i="13" s="1"/>
  <c r="V91" i="13"/>
  <c r="W91" i="13" s="1"/>
  <c r="V92" i="13"/>
  <c r="V93" i="13"/>
  <c r="V94" i="13"/>
  <c r="V95" i="13"/>
  <c r="V96" i="13"/>
  <c r="W96" i="13" s="1"/>
  <c r="V97" i="13"/>
  <c r="V98" i="13"/>
  <c r="W98" i="13" s="1"/>
  <c r="V131" i="13"/>
  <c r="W131" i="13" s="1"/>
  <c r="V132" i="13"/>
  <c r="V133" i="13"/>
  <c r="V134" i="13"/>
  <c r="V135" i="13"/>
  <c r="V136" i="13"/>
  <c r="V137" i="13"/>
  <c r="V138" i="13"/>
  <c r="W138" i="13" s="1"/>
  <c r="V139" i="13"/>
  <c r="W139" i="13" s="1"/>
  <c r="V140" i="13"/>
  <c r="V141" i="13"/>
  <c r="V142" i="13"/>
  <c r="V143" i="13"/>
  <c r="V144" i="13"/>
  <c r="W144" i="13" s="1"/>
  <c r="V177" i="13"/>
  <c r="V178" i="13"/>
  <c r="W178" i="13" s="1"/>
  <c r="V179" i="13"/>
  <c r="W179" i="13" s="1"/>
  <c r="V180" i="13"/>
  <c r="V181" i="13"/>
  <c r="V182" i="13"/>
  <c r="V183" i="13"/>
  <c r="V184" i="13"/>
  <c r="W184" i="13" s="1"/>
  <c r="V185" i="13"/>
  <c r="V186" i="13"/>
  <c r="W186" i="13" s="1"/>
  <c r="V187" i="13"/>
  <c r="W187" i="13" s="1"/>
  <c r="V188" i="13"/>
  <c r="V189" i="13"/>
  <c r="V190" i="13"/>
  <c r="V223" i="13"/>
  <c r="V224" i="13"/>
  <c r="W224" i="13" s="1"/>
  <c r="V225" i="13"/>
  <c r="V226" i="13"/>
  <c r="W226" i="13" s="1"/>
  <c r="V227" i="13"/>
  <c r="W227" i="13" s="1"/>
  <c r="V228" i="13"/>
  <c r="V229" i="13"/>
  <c r="V230" i="13"/>
  <c r="V231" i="13"/>
  <c r="V232" i="13"/>
  <c r="W232" i="13" s="1"/>
  <c r="V233" i="13"/>
  <c r="V234" i="13"/>
  <c r="W234" i="13" s="1"/>
  <c r="V235" i="13"/>
  <c r="W235" i="13" s="1"/>
  <c r="V236" i="13"/>
  <c r="V269" i="13"/>
  <c r="V270" i="13"/>
  <c r="V271" i="13"/>
  <c r="V272" i="13"/>
  <c r="W272" i="13" s="1"/>
  <c r="V273" i="13"/>
  <c r="V274" i="13"/>
  <c r="W274" i="13" s="1"/>
  <c r="V275" i="13"/>
  <c r="W275" i="13" s="1"/>
  <c r="V276" i="13"/>
  <c r="V277" i="13"/>
  <c r="V278" i="13"/>
  <c r="V279" i="13"/>
  <c r="V280" i="13"/>
  <c r="W280" i="13" s="1"/>
  <c r="V281" i="13"/>
  <c r="V282" i="13"/>
  <c r="W282" i="13" s="1"/>
  <c r="V315" i="13"/>
  <c r="W315" i="13" s="1"/>
  <c r="V316" i="13"/>
  <c r="V317" i="13"/>
  <c r="V318" i="13"/>
  <c r="V319" i="13"/>
  <c r="V320" i="13"/>
  <c r="W320" i="13" s="1"/>
  <c r="V321" i="13"/>
  <c r="V322" i="13"/>
  <c r="W322" i="13" s="1"/>
  <c r="V323" i="13"/>
  <c r="W323" i="13" s="1"/>
  <c r="V324" i="13"/>
  <c r="V325" i="13"/>
  <c r="V326" i="13"/>
  <c r="V327" i="13"/>
  <c r="V328" i="13"/>
  <c r="W328" i="13" s="1"/>
  <c r="V361" i="13"/>
  <c r="V362" i="13"/>
  <c r="W362" i="13" s="1"/>
  <c r="V363" i="13"/>
  <c r="W363" i="13" s="1"/>
  <c r="V364" i="13"/>
  <c r="V365" i="13"/>
  <c r="V366" i="13"/>
  <c r="V367" i="13"/>
  <c r="V368" i="13"/>
  <c r="W368" i="13" s="1"/>
  <c r="V369" i="13"/>
  <c r="V370" i="13"/>
  <c r="W370" i="13" s="1"/>
  <c r="V371" i="13"/>
  <c r="W371" i="13" s="1"/>
  <c r="V372" i="13"/>
  <c r="V373" i="13"/>
  <c r="V374" i="13"/>
  <c r="V407" i="13"/>
  <c r="V408" i="13"/>
  <c r="W408" i="13" s="1"/>
  <c r="V409" i="13"/>
  <c r="V410" i="13"/>
  <c r="W410" i="13" s="1"/>
  <c r="V411" i="13"/>
  <c r="W411" i="13" s="1"/>
  <c r="V412" i="13"/>
  <c r="V413" i="13"/>
  <c r="V414" i="13"/>
  <c r="V415" i="13"/>
  <c r="V416" i="13"/>
  <c r="V417" i="13"/>
  <c r="V418" i="13"/>
  <c r="W418" i="13" s="1"/>
  <c r="V419" i="13"/>
  <c r="W419" i="13" s="1"/>
  <c r="V420" i="13"/>
  <c r="V453" i="13"/>
  <c r="V454" i="13"/>
  <c r="V455" i="13"/>
  <c r="V456" i="13"/>
  <c r="V457" i="13"/>
  <c r="V458" i="13"/>
  <c r="W458" i="13" s="1"/>
  <c r="V459" i="13"/>
  <c r="W459" i="13" s="1"/>
  <c r="V460" i="13"/>
  <c r="V461" i="13"/>
  <c r="V462" i="13"/>
  <c r="V463" i="13"/>
  <c r="V464" i="13"/>
  <c r="V465" i="13"/>
  <c r="V466" i="13"/>
  <c r="W466" i="13" s="1"/>
  <c r="V499" i="13"/>
  <c r="W499" i="13" s="1"/>
  <c r="V500" i="13"/>
  <c r="V501" i="13"/>
  <c r="V502" i="13"/>
  <c r="V503" i="13"/>
  <c r="V504" i="13"/>
  <c r="W504" i="13" s="1"/>
  <c r="V505" i="13"/>
  <c r="V506" i="13"/>
  <c r="W506" i="13" s="1"/>
  <c r="V507" i="13"/>
  <c r="W507" i="13" s="1"/>
  <c r="V508" i="13"/>
  <c r="V509" i="13"/>
  <c r="V510" i="13"/>
  <c r="V511" i="13"/>
  <c r="V512" i="13"/>
  <c r="W512" i="13" s="1"/>
  <c r="V545" i="13"/>
  <c r="V546" i="13"/>
  <c r="W546" i="13" s="1"/>
  <c r="V547" i="13"/>
  <c r="W547" i="13" s="1"/>
  <c r="V548" i="13"/>
  <c r="V549" i="13"/>
  <c r="V550" i="13"/>
  <c r="V551" i="13"/>
  <c r="V552" i="13"/>
  <c r="W552" i="13" s="1"/>
  <c r="V553" i="13"/>
  <c r="V554" i="13"/>
  <c r="W554" i="13" s="1"/>
  <c r="V555" i="13"/>
  <c r="W555" i="13" s="1"/>
  <c r="V556" i="13"/>
  <c r="V557" i="13"/>
  <c r="V558" i="13"/>
  <c r="V591" i="13"/>
  <c r="V592" i="13"/>
  <c r="V593" i="13"/>
  <c r="V594" i="13"/>
  <c r="W594" i="13" s="1"/>
  <c r="V595" i="13"/>
  <c r="W595" i="13" s="1"/>
  <c r="V596" i="13"/>
  <c r="V597" i="13"/>
  <c r="V598" i="13"/>
  <c r="V599" i="13"/>
  <c r="V600" i="13"/>
  <c r="V601" i="13"/>
  <c r="V602" i="13"/>
  <c r="W602" i="13" s="1"/>
  <c r="V603" i="13"/>
  <c r="W603" i="13" s="1"/>
  <c r="V604" i="13"/>
  <c r="V637" i="13"/>
  <c r="V638" i="13"/>
  <c r="V639" i="13"/>
  <c r="V640" i="13"/>
  <c r="V641" i="13"/>
  <c r="V642" i="13"/>
  <c r="W642" i="13" s="1"/>
  <c r="V643" i="13"/>
  <c r="W643" i="13" s="1"/>
  <c r="V644" i="13"/>
  <c r="V645" i="13"/>
  <c r="V646" i="13"/>
  <c r="V647" i="13"/>
  <c r="V648" i="13"/>
  <c r="V649" i="13"/>
  <c r="V650" i="13"/>
  <c r="W650" i="13" s="1"/>
  <c r="V683" i="13"/>
  <c r="W683" i="13" s="1"/>
  <c r="V684" i="13"/>
  <c r="V685" i="13"/>
  <c r="V686" i="13"/>
  <c r="V687" i="13"/>
  <c r="V688" i="13"/>
  <c r="W688" i="13" s="1"/>
  <c r="V689" i="13"/>
  <c r="V690" i="13"/>
  <c r="W690" i="13" s="1"/>
  <c r="V691" i="13"/>
  <c r="W691" i="13" s="1"/>
  <c r="V692" i="13"/>
  <c r="V693" i="13"/>
  <c r="V694" i="13"/>
  <c r="V695" i="13"/>
  <c r="V696" i="13"/>
  <c r="W696" i="13" s="1"/>
  <c r="V729" i="13"/>
  <c r="V730" i="13"/>
  <c r="W730" i="13" s="1"/>
  <c r="V731" i="13"/>
  <c r="W731" i="13" s="1"/>
  <c r="V732" i="13"/>
  <c r="V733" i="13"/>
  <c r="V734" i="13"/>
  <c r="V735" i="13"/>
  <c r="V736" i="13"/>
  <c r="W736" i="13" s="1"/>
  <c r="V737" i="13"/>
  <c r="V738" i="13"/>
  <c r="W738" i="13" s="1"/>
  <c r="V739" i="13"/>
  <c r="W739" i="13" s="1"/>
  <c r="V740" i="13"/>
  <c r="V741" i="13"/>
  <c r="V742" i="13"/>
  <c r="V775" i="13"/>
  <c r="V776" i="13"/>
  <c r="W776" i="13" s="1"/>
  <c r="V777" i="13"/>
  <c r="V778" i="13"/>
  <c r="W778" i="13" s="1"/>
  <c r="V779" i="13"/>
  <c r="W779" i="13" s="1"/>
  <c r="V780" i="13"/>
  <c r="V781" i="13"/>
  <c r="V782" i="13"/>
  <c r="V783" i="13"/>
  <c r="V784" i="13"/>
  <c r="W784" i="13" s="1"/>
  <c r="V785" i="13"/>
  <c r="V786" i="13"/>
  <c r="W786" i="13" s="1"/>
  <c r="V787" i="13"/>
  <c r="W787" i="13" s="1"/>
  <c r="V788" i="13"/>
  <c r="V821" i="13"/>
  <c r="V822" i="13"/>
  <c r="V823" i="13"/>
  <c r="V824" i="13"/>
  <c r="W824" i="13" s="1"/>
  <c r="V825" i="13"/>
  <c r="V826" i="13"/>
  <c r="W826" i="13" s="1"/>
  <c r="V827" i="13"/>
  <c r="W827" i="13" s="1"/>
  <c r="V828" i="13"/>
  <c r="V829" i="13"/>
  <c r="V830" i="13"/>
  <c r="V831" i="13"/>
  <c r="V832" i="13"/>
  <c r="W832" i="13" s="1"/>
  <c r="V833" i="13"/>
  <c r="V834" i="13"/>
  <c r="W834" i="13" s="1"/>
  <c r="V867" i="13"/>
  <c r="W867" i="13" s="1"/>
  <c r="Y12" i="13"/>
  <c r="Z12" i="13"/>
  <c r="Y13" i="13"/>
  <c r="Z13" i="13"/>
  <c r="Y14" i="13"/>
  <c r="Z14" i="13"/>
  <c r="Y15" i="13"/>
  <c r="Z15" i="13"/>
  <c r="Y16" i="13"/>
  <c r="Z16" i="13"/>
  <c r="Y17" i="13"/>
  <c r="Z17" i="13"/>
  <c r="Y18" i="13"/>
  <c r="Z18" i="13"/>
  <c r="Y19" i="13"/>
  <c r="Z19" i="13"/>
  <c r="Y20" i="13"/>
  <c r="Z20" i="13"/>
  <c r="Y21" i="13"/>
  <c r="Z21" i="13"/>
  <c r="Y22" i="13"/>
  <c r="Z22" i="13"/>
  <c r="Y23" i="13"/>
  <c r="Z23" i="13"/>
  <c r="Y24" i="13"/>
  <c r="Z24" i="13"/>
  <c r="Y25" i="13"/>
  <c r="Z25" i="13"/>
  <c r="Y26" i="13"/>
  <c r="Z26" i="13"/>
  <c r="Y27" i="13"/>
  <c r="Z27" i="13"/>
  <c r="Y28" i="13"/>
  <c r="Z28" i="13"/>
  <c r="Y29" i="13"/>
  <c r="Z29" i="13"/>
  <c r="Y30" i="13"/>
  <c r="Z30" i="13"/>
  <c r="Y31" i="13"/>
  <c r="Z31" i="13"/>
  <c r="Y32" i="13"/>
  <c r="Z32" i="13"/>
  <c r="Y33" i="13"/>
  <c r="Z33" i="13"/>
  <c r="Y34" i="13"/>
  <c r="Z34" i="13"/>
  <c r="Y35" i="13"/>
  <c r="Z35" i="13"/>
  <c r="W36" i="13"/>
  <c r="X36" i="13"/>
  <c r="Y36" i="13"/>
  <c r="Z36" i="13"/>
  <c r="W37" i="13"/>
  <c r="X37" i="13"/>
  <c r="Y37" i="13"/>
  <c r="Z37" i="13"/>
  <c r="W38" i="13"/>
  <c r="X38" i="13"/>
  <c r="Y38" i="13"/>
  <c r="Z38" i="13"/>
  <c r="W39" i="13"/>
  <c r="X39" i="13"/>
  <c r="Y39" i="13"/>
  <c r="Z39" i="13"/>
  <c r="W40" i="13"/>
  <c r="X40" i="13"/>
  <c r="Y40" i="13"/>
  <c r="Z40" i="13"/>
  <c r="W41" i="13"/>
  <c r="X41" i="13"/>
  <c r="Y41" i="13"/>
  <c r="Z41" i="13"/>
  <c r="X42" i="13"/>
  <c r="Y42" i="13"/>
  <c r="Z42" i="13"/>
  <c r="X43" i="13"/>
  <c r="Y43" i="13"/>
  <c r="Z43" i="13"/>
  <c r="W44" i="13"/>
  <c r="X44" i="13"/>
  <c r="Y44" i="13"/>
  <c r="Z44" i="13"/>
  <c r="W45" i="13"/>
  <c r="X45" i="13"/>
  <c r="Y45" i="13"/>
  <c r="Z45" i="13"/>
  <c r="W46" i="13"/>
  <c r="X46" i="13"/>
  <c r="Y46" i="13"/>
  <c r="Z46" i="13"/>
  <c r="W47" i="13"/>
  <c r="X47" i="13"/>
  <c r="Y47" i="13"/>
  <c r="Z47" i="13"/>
  <c r="W48" i="13"/>
  <c r="X48" i="13"/>
  <c r="Y48" i="13"/>
  <c r="Z48" i="13"/>
  <c r="W49" i="13"/>
  <c r="X49" i="13"/>
  <c r="Y49" i="13"/>
  <c r="Z49" i="13"/>
  <c r="Y50" i="13"/>
  <c r="X50" i="13" s="1"/>
  <c r="Z50" i="13"/>
  <c r="X51" i="13"/>
  <c r="Y51" i="13"/>
  <c r="Z51" i="13"/>
  <c r="W52" i="13"/>
  <c r="X52" i="13"/>
  <c r="Y52" i="13"/>
  <c r="Z52" i="13"/>
  <c r="Y53" i="13"/>
  <c r="Z53" i="13"/>
  <c r="Y54" i="13"/>
  <c r="Z54" i="13"/>
  <c r="Y55" i="13"/>
  <c r="Z55" i="13"/>
  <c r="Y56" i="13"/>
  <c r="Z56" i="13"/>
  <c r="Y57" i="13"/>
  <c r="Z57" i="13"/>
  <c r="Y58" i="13"/>
  <c r="Z58" i="13"/>
  <c r="Y59" i="13"/>
  <c r="Z59" i="13"/>
  <c r="Y60" i="13"/>
  <c r="Z60" i="13"/>
  <c r="Y61" i="13"/>
  <c r="Z61" i="13"/>
  <c r="Y62" i="13"/>
  <c r="Z62" i="13"/>
  <c r="Y63" i="13"/>
  <c r="Z63" i="13"/>
  <c r="Y64" i="13"/>
  <c r="Z64" i="13"/>
  <c r="Y65" i="13"/>
  <c r="Z65" i="13"/>
  <c r="Y66" i="13"/>
  <c r="Z66" i="13"/>
  <c r="Y67" i="13"/>
  <c r="Z67" i="13"/>
  <c r="Y68" i="13"/>
  <c r="Z68" i="13"/>
  <c r="Y69" i="13"/>
  <c r="Z69" i="13"/>
  <c r="Y70" i="13"/>
  <c r="Z70" i="13"/>
  <c r="Y71" i="13"/>
  <c r="Z71" i="13"/>
  <c r="Y72" i="13"/>
  <c r="Z72" i="13"/>
  <c r="Y73" i="13"/>
  <c r="Z73" i="13"/>
  <c r="Y74" i="13"/>
  <c r="Z74" i="13"/>
  <c r="Y75" i="13"/>
  <c r="Z75" i="13"/>
  <c r="Y76" i="13"/>
  <c r="Z76" i="13"/>
  <c r="Y77" i="13"/>
  <c r="Z77" i="13"/>
  <c r="Y78" i="13"/>
  <c r="Z78" i="13"/>
  <c r="Y79" i="13"/>
  <c r="Z79" i="13"/>
  <c r="Y80" i="13"/>
  <c r="Z80" i="13"/>
  <c r="Y81" i="13"/>
  <c r="Z81" i="13"/>
  <c r="Y82" i="13"/>
  <c r="Z82" i="13"/>
  <c r="Y83" i="13"/>
  <c r="Z83" i="13"/>
  <c r="Y84" i="13"/>
  <c r="Z84" i="13"/>
  <c r="W85" i="13"/>
  <c r="X85" i="13"/>
  <c r="Y85" i="13"/>
  <c r="Z85" i="13"/>
  <c r="W86" i="13"/>
  <c r="X86" i="13"/>
  <c r="Y86" i="13"/>
  <c r="Z86" i="13"/>
  <c r="W87" i="13"/>
  <c r="X87" i="13"/>
  <c r="Y87" i="13"/>
  <c r="Z87" i="13"/>
  <c r="X88" i="13"/>
  <c r="Y88" i="13"/>
  <c r="Z88" i="13"/>
  <c r="W89" i="13"/>
  <c r="X89" i="13"/>
  <c r="Y89" i="13"/>
  <c r="Z89" i="13"/>
  <c r="X90" i="13"/>
  <c r="Y90" i="13"/>
  <c r="Z90" i="13"/>
  <c r="X91" i="13"/>
  <c r="Y91" i="13"/>
  <c r="Z91" i="13"/>
  <c r="W92" i="13"/>
  <c r="X92" i="13"/>
  <c r="Y92" i="13"/>
  <c r="Z92" i="13"/>
  <c r="W93" i="13"/>
  <c r="X93" i="13"/>
  <c r="Y93" i="13"/>
  <c r="Z93" i="13"/>
  <c r="W94" i="13"/>
  <c r="X94" i="13"/>
  <c r="Y94" i="13"/>
  <c r="Z94" i="13"/>
  <c r="W95" i="13"/>
  <c r="X95" i="13"/>
  <c r="Y95" i="13"/>
  <c r="Z95" i="13"/>
  <c r="Y96" i="13"/>
  <c r="X96" i="13" s="1"/>
  <c r="Z96" i="13"/>
  <c r="W97" i="13"/>
  <c r="X97" i="13"/>
  <c r="Y97" i="13"/>
  <c r="Z97" i="13"/>
  <c r="X98" i="13"/>
  <c r="Y98" i="13"/>
  <c r="Z98" i="13"/>
  <c r="Y99" i="13"/>
  <c r="Z99" i="13"/>
  <c r="Y100" i="13"/>
  <c r="Z100" i="13"/>
  <c r="Y101" i="13"/>
  <c r="Z101" i="13"/>
  <c r="Y102" i="13"/>
  <c r="Z102" i="13"/>
  <c r="Y103" i="13"/>
  <c r="Z103" i="13"/>
  <c r="Y104" i="13"/>
  <c r="Z104" i="13"/>
  <c r="Y105" i="13"/>
  <c r="Z105" i="13"/>
  <c r="Y106" i="13"/>
  <c r="Z106" i="13"/>
  <c r="Y107" i="13"/>
  <c r="Z107" i="13"/>
  <c r="Y108" i="13"/>
  <c r="Z108" i="13"/>
  <c r="Y109" i="13"/>
  <c r="Z109" i="13"/>
  <c r="Y110" i="13"/>
  <c r="Z110" i="13"/>
  <c r="Y111" i="13"/>
  <c r="Z111" i="13"/>
  <c r="Y112" i="13"/>
  <c r="Z112" i="13"/>
  <c r="Y113" i="13"/>
  <c r="Z113" i="13"/>
  <c r="Y114" i="13"/>
  <c r="Z114" i="13"/>
  <c r="Y115" i="13"/>
  <c r="Z115" i="13"/>
  <c r="Y116" i="13"/>
  <c r="Z116" i="13"/>
  <c r="Y117" i="13"/>
  <c r="Z117" i="13"/>
  <c r="Y118" i="13"/>
  <c r="Z118" i="13"/>
  <c r="Y119" i="13"/>
  <c r="Z119" i="13"/>
  <c r="Y120" i="13"/>
  <c r="Z120" i="13"/>
  <c r="Y121" i="13"/>
  <c r="Z121" i="13"/>
  <c r="Y122" i="13"/>
  <c r="Z122" i="13"/>
  <c r="Y123" i="13"/>
  <c r="Z123" i="13"/>
  <c r="Y124" i="13"/>
  <c r="Z124" i="13"/>
  <c r="Y125" i="13"/>
  <c r="Z125" i="13"/>
  <c r="Y126" i="13"/>
  <c r="Z126" i="13"/>
  <c r="Y127" i="13"/>
  <c r="Z127" i="13"/>
  <c r="Y128" i="13"/>
  <c r="Z128" i="13"/>
  <c r="Y129" i="13"/>
  <c r="Z129" i="13"/>
  <c r="Y130" i="13"/>
  <c r="Z130" i="13"/>
  <c r="X131" i="13"/>
  <c r="Y131" i="13"/>
  <c r="Z131" i="13"/>
  <c r="W132" i="13"/>
  <c r="X132" i="13"/>
  <c r="Y132" i="13"/>
  <c r="Z132" i="13"/>
  <c r="W133" i="13"/>
  <c r="X133" i="13"/>
  <c r="Y133" i="13"/>
  <c r="Z133" i="13"/>
  <c r="W134" i="13"/>
  <c r="X134" i="13"/>
  <c r="Y134" i="13"/>
  <c r="Z134" i="13"/>
  <c r="W135" i="13"/>
  <c r="X135" i="13"/>
  <c r="Y135" i="13"/>
  <c r="Z135" i="13"/>
  <c r="W136" i="13"/>
  <c r="X136" i="13"/>
  <c r="Y136" i="13"/>
  <c r="Z136" i="13"/>
  <c r="W137" i="13"/>
  <c r="X137" i="13"/>
  <c r="Y137" i="13"/>
  <c r="Z137" i="13"/>
  <c r="X138" i="13"/>
  <c r="Y138" i="13"/>
  <c r="Z138" i="13"/>
  <c r="X139" i="13"/>
  <c r="Y139" i="13"/>
  <c r="Z139" i="13"/>
  <c r="W140" i="13"/>
  <c r="X140" i="13"/>
  <c r="Y140" i="13"/>
  <c r="Z140" i="13"/>
  <c r="W141" i="13"/>
  <c r="X141" i="13"/>
  <c r="Y141" i="13"/>
  <c r="Z141" i="13"/>
  <c r="W142" i="13"/>
  <c r="Y142" i="13"/>
  <c r="X142" i="13" s="1"/>
  <c r="Z142" i="13"/>
  <c r="W143" i="13"/>
  <c r="X143" i="13"/>
  <c r="Y143" i="13"/>
  <c r="Z143" i="13"/>
  <c r="X144" i="13"/>
  <c r="Y144" i="13"/>
  <c r="Z144" i="13"/>
  <c r="Y145" i="13"/>
  <c r="Z145" i="13"/>
  <c r="Y146" i="13"/>
  <c r="Z146" i="13"/>
  <c r="Y147" i="13"/>
  <c r="Z147" i="13"/>
  <c r="Y148" i="13"/>
  <c r="Z148" i="13"/>
  <c r="Y149" i="13"/>
  <c r="Z149" i="13"/>
  <c r="Y150" i="13"/>
  <c r="Z150" i="13"/>
  <c r="Y151" i="13"/>
  <c r="Z151" i="13"/>
  <c r="Y152" i="13"/>
  <c r="Z152" i="13"/>
  <c r="Y153" i="13"/>
  <c r="Z153" i="13"/>
  <c r="Y154" i="13"/>
  <c r="Z154" i="13"/>
  <c r="Y155" i="13"/>
  <c r="Z155" i="13"/>
  <c r="Y156" i="13"/>
  <c r="Z156" i="13"/>
  <c r="Y157" i="13"/>
  <c r="Z157" i="13"/>
  <c r="Y158" i="13"/>
  <c r="Z158" i="13"/>
  <c r="Y159" i="13"/>
  <c r="Z159" i="13"/>
  <c r="Y160" i="13"/>
  <c r="Z160" i="13"/>
  <c r="Y161" i="13"/>
  <c r="Z161" i="13"/>
  <c r="Y162" i="13"/>
  <c r="Z162" i="13"/>
  <c r="Y163" i="13"/>
  <c r="Z163" i="13"/>
  <c r="Y164" i="13"/>
  <c r="Z164" i="13"/>
  <c r="Y165" i="13"/>
  <c r="Z165" i="13"/>
  <c r="Y166" i="13"/>
  <c r="Z166" i="13"/>
  <c r="Y167" i="13"/>
  <c r="Z167" i="13"/>
  <c r="Y168" i="13"/>
  <c r="Z168" i="13"/>
  <c r="Y169" i="13"/>
  <c r="Z169" i="13"/>
  <c r="Y170" i="13"/>
  <c r="Z170" i="13"/>
  <c r="Y171" i="13"/>
  <c r="Z171" i="13"/>
  <c r="Y172" i="13"/>
  <c r="Z172" i="13"/>
  <c r="Y173" i="13"/>
  <c r="Z173" i="13"/>
  <c r="Y174" i="13"/>
  <c r="Z174" i="13"/>
  <c r="Y175" i="13"/>
  <c r="Z175" i="13"/>
  <c r="Y176" i="13"/>
  <c r="Z176" i="13"/>
  <c r="W177" i="13"/>
  <c r="X177" i="13"/>
  <c r="Y177" i="13"/>
  <c r="Z177" i="13"/>
  <c r="X178" i="13"/>
  <c r="Y178" i="13"/>
  <c r="Z178" i="13"/>
  <c r="X179" i="13"/>
  <c r="Y179" i="13"/>
  <c r="Z179" i="13"/>
  <c r="W180" i="13"/>
  <c r="X180" i="13"/>
  <c r="Y180" i="13"/>
  <c r="Z180" i="13"/>
  <c r="W181" i="13"/>
  <c r="X181" i="13"/>
  <c r="Y181" i="13"/>
  <c r="Z181" i="13"/>
  <c r="W182" i="13"/>
  <c r="X182" i="13"/>
  <c r="Y182" i="13"/>
  <c r="Z182" i="13"/>
  <c r="W183" i="13"/>
  <c r="X183" i="13"/>
  <c r="Y183" i="13"/>
  <c r="Z183" i="13"/>
  <c r="X184" i="13"/>
  <c r="Y184" i="13"/>
  <c r="Z184" i="13"/>
  <c r="W185" i="13"/>
  <c r="X185" i="13"/>
  <c r="Y185" i="13"/>
  <c r="Z185" i="13"/>
  <c r="X186" i="13"/>
  <c r="Y186" i="13"/>
  <c r="Z186" i="13"/>
  <c r="X187" i="13"/>
  <c r="Y187" i="13"/>
  <c r="Z187" i="13"/>
  <c r="W188" i="13"/>
  <c r="Y188" i="13"/>
  <c r="X188" i="13" s="1"/>
  <c r="Z188" i="13"/>
  <c r="W189" i="13"/>
  <c r="X189" i="13"/>
  <c r="Y189" i="13"/>
  <c r="Z189" i="13"/>
  <c r="W190" i="13"/>
  <c r="X190" i="13"/>
  <c r="Y190" i="13"/>
  <c r="Z190" i="13"/>
  <c r="Y191" i="13"/>
  <c r="Z191" i="13"/>
  <c r="Y192" i="13"/>
  <c r="Z192" i="13"/>
  <c r="Y193" i="13"/>
  <c r="Z193" i="13"/>
  <c r="Y194" i="13"/>
  <c r="Z194" i="13"/>
  <c r="Y195" i="13"/>
  <c r="Z195" i="13"/>
  <c r="Y196" i="13"/>
  <c r="Z196" i="13"/>
  <c r="Y197" i="13"/>
  <c r="Z197" i="13"/>
  <c r="Y198" i="13"/>
  <c r="Z198" i="13"/>
  <c r="Y199" i="13"/>
  <c r="Z199" i="13"/>
  <c r="Y200" i="13"/>
  <c r="Z200" i="13"/>
  <c r="Y201" i="13"/>
  <c r="Z201" i="13"/>
  <c r="Y202" i="13"/>
  <c r="Z202" i="13"/>
  <c r="Y203" i="13"/>
  <c r="Z203" i="13"/>
  <c r="Y204" i="13"/>
  <c r="Z204" i="13"/>
  <c r="Y205" i="13"/>
  <c r="Z205" i="13"/>
  <c r="Y206" i="13"/>
  <c r="Z206" i="13"/>
  <c r="Y207" i="13"/>
  <c r="Z207" i="13"/>
  <c r="Y208" i="13"/>
  <c r="Z208" i="13"/>
  <c r="Y209" i="13"/>
  <c r="Z209" i="13"/>
  <c r="Y210" i="13"/>
  <c r="Z210" i="13"/>
  <c r="Y211" i="13"/>
  <c r="Z211" i="13"/>
  <c r="Y212" i="13"/>
  <c r="Z212" i="13"/>
  <c r="Y213" i="13"/>
  <c r="Z213" i="13"/>
  <c r="Y214" i="13"/>
  <c r="Z214" i="13"/>
  <c r="Y215" i="13"/>
  <c r="Z215" i="13"/>
  <c r="Y216" i="13"/>
  <c r="Z216" i="13"/>
  <c r="Y217" i="13"/>
  <c r="Z217" i="13"/>
  <c r="Y218" i="13"/>
  <c r="Z218" i="13"/>
  <c r="Y219" i="13"/>
  <c r="Z219" i="13"/>
  <c r="Y220" i="13"/>
  <c r="Z220" i="13"/>
  <c r="Y221" i="13"/>
  <c r="Z221" i="13"/>
  <c r="Y222" i="13"/>
  <c r="Z222" i="13"/>
  <c r="W223" i="13"/>
  <c r="X223" i="13"/>
  <c r="Y223" i="13"/>
  <c r="Z223" i="13"/>
  <c r="X224" i="13"/>
  <c r="Y224" i="13"/>
  <c r="Z224" i="13"/>
  <c r="W225" i="13"/>
  <c r="X225" i="13"/>
  <c r="Y225" i="13"/>
  <c r="Z225" i="13"/>
  <c r="X226" i="13"/>
  <c r="Y226" i="13"/>
  <c r="Z226" i="13"/>
  <c r="X227" i="13"/>
  <c r="Y227" i="13"/>
  <c r="Z227" i="13"/>
  <c r="W228" i="13"/>
  <c r="X228" i="13"/>
  <c r="Y228" i="13"/>
  <c r="Z228" i="13"/>
  <c r="W229" i="13"/>
  <c r="X229" i="13"/>
  <c r="Y229" i="13"/>
  <c r="Z229" i="13"/>
  <c r="W230" i="13"/>
  <c r="X230" i="13"/>
  <c r="Y230" i="13"/>
  <c r="Z230" i="13"/>
  <c r="W231" i="13"/>
  <c r="X231" i="13"/>
  <c r="Y231" i="13"/>
  <c r="Z231" i="13"/>
  <c r="X232" i="13"/>
  <c r="Y232" i="13"/>
  <c r="Z232" i="13"/>
  <c r="W233" i="13"/>
  <c r="X233" i="13"/>
  <c r="Y233" i="13"/>
  <c r="Z233" i="13"/>
  <c r="Y234" i="13"/>
  <c r="X234" i="13" s="1"/>
  <c r="Z234" i="13"/>
  <c r="X235" i="13"/>
  <c r="Y235" i="13"/>
  <c r="Z235" i="13"/>
  <c r="W236" i="13"/>
  <c r="X236" i="13"/>
  <c r="Y236" i="13"/>
  <c r="Z236" i="13"/>
  <c r="Y237" i="13"/>
  <c r="Z237" i="13"/>
  <c r="Y238" i="13"/>
  <c r="Z238" i="13"/>
  <c r="Y239" i="13"/>
  <c r="Z239" i="13"/>
  <c r="Y240" i="13"/>
  <c r="Z240" i="13"/>
  <c r="Y241" i="13"/>
  <c r="Z241" i="13"/>
  <c r="Y242" i="13"/>
  <c r="Z242" i="13"/>
  <c r="Y243" i="13"/>
  <c r="Z243" i="13"/>
  <c r="Y244" i="13"/>
  <c r="Z244" i="13"/>
  <c r="Y245" i="13"/>
  <c r="Z245" i="13"/>
  <c r="Y246" i="13"/>
  <c r="Z246" i="13"/>
  <c r="Y247" i="13"/>
  <c r="Z247" i="13"/>
  <c r="Y248" i="13"/>
  <c r="Z248" i="13"/>
  <c r="Y249" i="13"/>
  <c r="Z249" i="13"/>
  <c r="Y250" i="13"/>
  <c r="Z250" i="13"/>
  <c r="Y251" i="13"/>
  <c r="Z251" i="13"/>
  <c r="Y252" i="13"/>
  <c r="Z252" i="13"/>
  <c r="Y253" i="13"/>
  <c r="Z253" i="13"/>
  <c r="Y254" i="13"/>
  <c r="Z254" i="13"/>
  <c r="Y255" i="13"/>
  <c r="Z255" i="13"/>
  <c r="Y256" i="13"/>
  <c r="Z256" i="13"/>
  <c r="Y257" i="13"/>
  <c r="Z257" i="13"/>
  <c r="Y258" i="13"/>
  <c r="Z258" i="13"/>
  <c r="Y259" i="13"/>
  <c r="Z259" i="13"/>
  <c r="Y260" i="13"/>
  <c r="Z260" i="13"/>
  <c r="Y261" i="13"/>
  <c r="Z261" i="13"/>
  <c r="Y262" i="13"/>
  <c r="Z262" i="13"/>
  <c r="Y263" i="13"/>
  <c r="Z263" i="13"/>
  <c r="Y264" i="13"/>
  <c r="Z264" i="13"/>
  <c r="Y265" i="13"/>
  <c r="Z265" i="13"/>
  <c r="Y266" i="13"/>
  <c r="Z266" i="13"/>
  <c r="Y267" i="13"/>
  <c r="Z267" i="13"/>
  <c r="Y268" i="13"/>
  <c r="Z268" i="13"/>
  <c r="W269" i="13"/>
  <c r="X269" i="13"/>
  <c r="Y269" i="13"/>
  <c r="Z269" i="13"/>
  <c r="W270" i="13"/>
  <c r="X270" i="13"/>
  <c r="Y270" i="13"/>
  <c r="Z270" i="13"/>
  <c r="W271" i="13"/>
  <c r="X271" i="13"/>
  <c r="Y271" i="13"/>
  <c r="Z271" i="13"/>
  <c r="X272" i="13"/>
  <c r="Y272" i="13"/>
  <c r="Z272" i="13"/>
  <c r="W273" i="13"/>
  <c r="X273" i="13"/>
  <c r="Y273" i="13"/>
  <c r="Z273" i="13"/>
  <c r="X274" i="13"/>
  <c r="Y274" i="13"/>
  <c r="Z274" i="13"/>
  <c r="X275" i="13"/>
  <c r="Y275" i="13"/>
  <c r="Z275" i="13"/>
  <c r="W276" i="13"/>
  <c r="X276" i="13"/>
  <c r="Y276" i="13"/>
  <c r="Z276" i="13"/>
  <c r="W277" i="13"/>
  <c r="X277" i="13"/>
  <c r="Y277" i="13"/>
  <c r="Z277" i="13"/>
  <c r="W278" i="13"/>
  <c r="X278" i="13"/>
  <c r="Y278" i="13"/>
  <c r="Z278" i="13"/>
  <c r="W279" i="13"/>
  <c r="X279" i="13"/>
  <c r="Y279" i="13"/>
  <c r="Z279" i="13"/>
  <c r="Y280" i="13"/>
  <c r="X280" i="13" s="1"/>
  <c r="Z280" i="13"/>
  <c r="W281" i="13"/>
  <c r="X281" i="13"/>
  <c r="Y281" i="13"/>
  <c r="Z281" i="13"/>
  <c r="X282" i="13"/>
  <c r="Y282" i="13"/>
  <c r="Z282" i="13"/>
  <c r="Y283" i="13"/>
  <c r="Z283" i="13"/>
  <c r="Y284" i="13"/>
  <c r="Z284" i="13"/>
  <c r="Y285" i="13"/>
  <c r="Z285" i="13"/>
  <c r="Y286" i="13"/>
  <c r="Z286" i="13"/>
  <c r="Y287" i="13"/>
  <c r="Z287" i="13"/>
  <c r="Y288" i="13"/>
  <c r="Z288" i="13"/>
  <c r="Y289" i="13"/>
  <c r="Z289" i="13"/>
  <c r="Y290" i="13"/>
  <c r="Z290" i="13"/>
  <c r="Y291" i="13"/>
  <c r="Z291" i="13"/>
  <c r="Y292" i="13"/>
  <c r="Z292" i="13"/>
  <c r="Y293" i="13"/>
  <c r="Z293" i="13"/>
  <c r="Y294" i="13"/>
  <c r="Z294" i="13"/>
  <c r="Y295" i="13"/>
  <c r="Z295" i="13"/>
  <c r="Y296" i="13"/>
  <c r="Z296" i="13"/>
  <c r="Y297" i="13"/>
  <c r="Z297" i="13"/>
  <c r="Y298" i="13"/>
  <c r="Z298" i="13"/>
  <c r="Y299" i="13"/>
  <c r="Z299" i="13"/>
  <c r="Y300" i="13"/>
  <c r="Z300" i="13"/>
  <c r="Y301" i="13"/>
  <c r="Z301" i="13"/>
  <c r="Y302" i="13"/>
  <c r="Z302" i="13"/>
  <c r="Y303" i="13"/>
  <c r="Z303" i="13"/>
  <c r="Y304" i="13"/>
  <c r="Z304" i="13"/>
  <c r="Y305" i="13"/>
  <c r="Z305" i="13"/>
  <c r="Y306" i="13"/>
  <c r="Z306" i="13"/>
  <c r="Y307" i="13"/>
  <c r="Z307" i="13"/>
  <c r="Y308" i="13"/>
  <c r="Z308" i="13"/>
  <c r="Y309" i="13"/>
  <c r="Z309" i="13"/>
  <c r="Y310" i="13"/>
  <c r="Z310" i="13"/>
  <c r="Y311" i="13"/>
  <c r="Z311" i="13"/>
  <c r="Y312" i="13"/>
  <c r="Z312" i="13"/>
  <c r="Y313" i="13"/>
  <c r="Z313" i="13"/>
  <c r="Y314" i="13"/>
  <c r="Z314" i="13"/>
  <c r="X315" i="13"/>
  <c r="Y315" i="13"/>
  <c r="Z315" i="13"/>
  <c r="W316" i="13"/>
  <c r="X316" i="13"/>
  <c r="Y316" i="13"/>
  <c r="Z316" i="13"/>
  <c r="W317" i="13"/>
  <c r="X317" i="13"/>
  <c r="Y317" i="13"/>
  <c r="Z317" i="13"/>
  <c r="W318" i="13"/>
  <c r="X318" i="13"/>
  <c r="Y318" i="13"/>
  <c r="Z318" i="13"/>
  <c r="W319" i="13"/>
  <c r="X319" i="13"/>
  <c r="Y319" i="13"/>
  <c r="Z319" i="13"/>
  <c r="X320" i="13"/>
  <c r="Y320" i="13"/>
  <c r="Z320" i="13"/>
  <c r="W321" i="13"/>
  <c r="X321" i="13"/>
  <c r="Y321" i="13"/>
  <c r="Z321" i="13"/>
  <c r="X322" i="13"/>
  <c r="Y322" i="13"/>
  <c r="Z322" i="13"/>
  <c r="X323" i="13"/>
  <c r="Y323" i="13"/>
  <c r="Z323" i="13"/>
  <c r="W324" i="13"/>
  <c r="X324" i="13"/>
  <c r="Y324" i="13"/>
  <c r="Z324" i="13"/>
  <c r="W325" i="13"/>
  <c r="X325" i="13"/>
  <c r="Y325" i="13"/>
  <c r="Z325" i="13"/>
  <c r="W326" i="13"/>
  <c r="Y326" i="13"/>
  <c r="X326" i="13" s="1"/>
  <c r="Z326" i="13"/>
  <c r="W327" i="13"/>
  <c r="X327" i="13"/>
  <c r="Y327" i="13"/>
  <c r="Z327" i="13"/>
  <c r="X328" i="13"/>
  <c r="Y328" i="13"/>
  <c r="Z328" i="13"/>
  <c r="Y329" i="13"/>
  <c r="Z329" i="13"/>
  <c r="Y330" i="13"/>
  <c r="Z330" i="13"/>
  <c r="Y331" i="13"/>
  <c r="Z331" i="13"/>
  <c r="Y332" i="13"/>
  <c r="Z332" i="13"/>
  <c r="Y333" i="13"/>
  <c r="Z333" i="13"/>
  <c r="Y334" i="13"/>
  <c r="Z334" i="13"/>
  <c r="Y335" i="13"/>
  <c r="Z335" i="13"/>
  <c r="Y336" i="13"/>
  <c r="Z336" i="13"/>
  <c r="Y337" i="13"/>
  <c r="Z337" i="13"/>
  <c r="Y338" i="13"/>
  <c r="Z338" i="13"/>
  <c r="Y339" i="13"/>
  <c r="Z339" i="13"/>
  <c r="Y340" i="13"/>
  <c r="Z340" i="13"/>
  <c r="Y341" i="13"/>
  <c r="Z341" i="13"/>
  <c r="Y342" i="13"/>
  <c r="Z342" i="13"/>
  <c r="Y343" i="13"/>
  <c r="Z343" i="13"/>
  <c r="Y344" i="13"/>
  <c r="Z344" i="13"/>
  <c r="Y345" i="13"/>
  <c r="Z345" i="13"/>
  <c r="Y346" i="13"/>
  <c r="Z346" i="13"/>
  <c r="Y347" i="13"/>
  <c r="Z347" i="13"/>
  <c r="Y348" i="13"/>
  <c r="Z348" i="13"/>
  <c r="Y349" i="13"/>
  <c r="Z349" i="13"/>
  <c r="Y350" i="13"/>
  <c r="Z350" i="13"/>
  <c r="Y351" i="13"/>
  <c r="Z351" i="13"/>
  <c r="Y352" i="13"/>
  <c r="Z352" i="13"/>
  <c r="Y353" i="13"/>
  <c r="Z353" i="13"/>
  <c r="Y354" i="13"/>
  <c r="Z354" i="13"/>
  <c r="Y355" i="13"/>
  <c r="Z355" i="13"/>
  <c r="Y356" i="13"/>
  <c r="Z356" i="13"/>
  <c r="Y357" i="13"/>
  <c r="Z357" i="13"/>
  <c r="Y358" i="13"/>
  <c r="Z358" i="13"/>
  <c r="Y359" i="13"/>
  <c r="Z359" i="13"/>
  <c r="Y360" i="13"/>
  <c r="Z360" i="13"/>
  <c r="W361" i="13"/>
  <c r="X361" i="13"/>
  <c r="Y361" i="13"/>
  <c r="Z361" i="13"/>
  <c r="X362" i="13"/>
  <c r="Y362" i="13"/>
  <c r="Z362" i="13"/>
  <c r="X363" i="13"/>
  <c r="Y363" i="13"/>
  <c r="Z363" i="13"/>
  <c r="W364" i="13"/>
  <c r="X364" i="13"/>
  <c r="Y364" i="13"/>
  <c r="Z364" i="13"/>
  <c r="W365" i="13"/>
  <c r="X365" i="13"/>
  <c r="Y365" i="13"/>
  <c r="Z365" i="13"/>
  <c r="W366" i="13"/>
  <c r="X366" i="13"/>
  <c r="Y366" i="13"/>
  <c r="Z366" i="13"/>
  <c r="W367" i="13"/>
  <c r="X367" i="13"/>
  <c r="Y367" i="13"/>
  <c r="Z367" i="13"/>
  <c r="X368" i="13"/>
  <c r="Y368" i="13"/>
  <c r="Z368" i="13"/>
  <c r="W369" i="13"/>
  <c r="X369" i="13"/>
  <c r="Y369" i="13"/>
  <c r="Z369" i="13"/>
  <c r="X370" i="13"/>
  <c r="Y370" i="13"/>
  <c r="Z370" i="13"/>
  <c r="X371" i="13"/>
  <c r="Y371" i="13"/>
  <c r="Z371" i="13"/>
  <c r="W372" i="13"/>
  <c r="Y372" i="13"/>
  <c r="X372" i="13" s="1"/>
  <c r="Z372" i="13"/>
  <c r="W373" i="13"/>
  <c r="X373" i="13"/>
  <c r="Y373" i="13"/>
  <c r="Z373" i="13"/>
  <c r="W374" i="13"/>
  <c r="X374" i="13"/>
  <c r="Y374" i="13"/>
  <c r="Z374" i="13"/>
  <c r="Y375" i="13"/>
  <c r="Z375" i="13"/>
  <c r="Y376" i="13"/>
  <c r="Z376" i="13"/>
  <c r="Y377" i="13"/>
  <c r="Z377" i="13"/>
  <c r="Y378" i="13"/>
  <c r="Z378" i="13"/>
  <c r="Y379" i="13"/>
  <c r="Z379" i="13"/>
  <c r="Y380" i="13"/>
  <c r="Z380" i="13"/>
  <c r="Y381" i="13"/>
  <c r="Z381" i="13"/>
  <c r="Y382" i="13"/>
  <c r="Z382" i="13"/>
  <c r="Y383" i="13"/>
  <c r="Z383" i="13"/>
  <c r="Y384" i="13"/>
  <c r="Z384" i="13"/>
  <c r="Y385" i="13"/>
  <c r="Z385" i="13"/>
  <c r="Y386" i="13"/>
  <c r="Z386" i="13"/>
  <c r="Y387" i="13"/>
  <c r="Z387" i="13"/>
  <c r="Y388" i="13"/>
  <c r="Z388" i="13"/>
  <c r="Y389" i="13"/>
  <c r="Z389" i="13"/>
  <c r="Y390" i="13"/>
  <c r="Z390" i="13"/>
  <c r="Y391" i="13"/>
  <c r="Z391" i="13"/>
  <c r="Y392" i="13"/>
  <c r="Z392" i="13"/>
  <c r="Y393" i="13"/>
  <c r="Z393" i="13"/>
  <c r="Y394" i="13"/>
  <c r="Z394" i="13"/>
  <c r="Y395" i="13"/>
  <c r="Z395" i="13"/>
  <c r="Y396" i="13"/>
  <c r="Z396" i="13"/>
  <c r="Y397" i="13"/>
  <c r="Z397" i="13"/>
  <c r="Y398" i="13"/>
  <c r="Z398" i="13"/>
  <c r="Y399" i="13"/>
  <c r="Z399" i="13"/>
  <c r="Y400" i="13"/>
  <c r="Z400" i="13"/>
  <c r="Y401" i="13"/>
  <c r="Z401" i="13"/>
  <c r="Y402" i="13"/>
  <c r="Z402" i="13"/>
  <c r="Y403" i="13"/>
  <c r="Z403" i="13"/>
  <c r="Y404" i="13"/>
  <c r="Z404" i="13"/>
  <c r="Y405" i="13"/>
  <c r="Z405" i="13"/>
  <c r="Y406" i="13"/>
  <c r="Z406" i="13"/>
  <c r="W407" i="13"/>
  <c r="X407" i="13"/>
  <c r="Y407" i="13"/>
  <c r="Z407" i="13"/>
  <c r="X408" i="13"/>
  <c r="Y408" i="13"/>
  <c r="Z408" i="13"/>
  <c r="W409" i="13"/>
  <c r="X409" i="13"/>
  <c r="Y409" i="13"/>
  <c r="Z409" i="13"/>
  <c r="X410" i="13"/>
  <c r="Y410" i="13"/>
  <c r="Z410" i="13"/>
  <c r="X411" i="13"/>
  <c r="Y411" i="13"/>
  <c r="Z411" i="13"/>
  <c r="W412" i="13"/>
  <c r="X412" i="13"/>
  <c r="Y412" i="13"/>
  <c r="Z412" i="13"/>
  <c r="W413" i="13"/>
  <c r="X413" i="13"/>
  <c r="Y413" i="13"/>
  <c r="Z413" i="13"/>
  <c r="W414" i="13"/>
  <c r="X414" i="13"/>
  <c r="Y414" i="13"/>
  <c r="Z414" i="13"/>
  <c r="W415" i="13"/>
  <c r="X415" i="13"/>
  <c r="Y415" i="13"/>
  <c r="Z415" i="13"/>
  <c r="W416" i="13"/>
  <c r="X416" i="13"/>
  <c r="Y416" i="13"/>
  <c r="Z416" i="13"/>
  <c r="W417" i="13"/>
  <c r="X417" i="13"/>
  <c r="Y417" i="13"/>
  <c r="Z417" i="13"/>
  <c r="Y418" i="13"/>
  <c r="X418" i="13" s="1"/>
  <c r="Z418" i="13"/>
  <c r="X419" i="13"/>
  <c r="Y419" i="13"/>
  <c r="Z419" i="13"/>
  <c r="W420" i="13"/>
  <c r="X420" i="13"/>
  <c r="Y420" i="13"/>
  <c r="Z420" i="13"/>
  <c r="Y421" i="13"/>
  <c r="Z421" i="13"/>
  <c r="Y422" i="13"/>
  <c r="Z422" i="13"/>
  <c r="Y423" i="13"/>
  <c r="Z423" i="13"/>
  <c r="Y424" i="13"/>
  <c r="Z424" i="13"/>
  <c r="Y425" i="13"/>
  <c r="Z425" i="13"/>
  <c r="Y426" i="13"/>
  <c r="Z426" i="13"/>
  <c r="Y427" i="13"/>
  <c r="Z427" i="13"/>
  <c r="Y428" i="13"/>
  <c r="Z428" i="13"/>
  <c r="Y429" i="13"/>
  <c r="Z429" i="13"/>
  <c r="Y430" i="13"/>
  <c r="Z430" i="13"/>
  <c r="Y431" i="13"/>
  <c r="Z431" i="13"/>
  <c r="Y432" i="13"/>
  <c r="Z432" i="13"/>
  <c r="Y433" i="13"/>
  <c r="Z433" i="13"/>
  <c r="Y434" i="13"/>
  <c r="Z434" i="13"/>
  <c r="Y435" i="13"/>
  <c r="Z435" i="13"/>
  <c r="Y436" i="13"/>
  <c r="Z436" i="13"/>
  <c r="Y437" i="13"/>
  <c r="Z437" i="13"/>
  <c r="Y438" i="13"/>
  <c r="Z438" i="13"/>
  <c r="Y439" i="13"/>
  <c r="Z439" i="13"/>
  <c r="Y440" i="13"/>
  <c r="Z440" i="13"/>
  <c r="Y441" i="13"/>
  <c r="Z441" i="13"/>
  <c r="Y442" i="13"/>
  <c r="Z442" i="13"/>
  <c r="Y443" i="13"/>
  <c r="Z443" i="13"/>
  <c r="Y444" i="13"/>
  <c r="Z444" i="13"/>
  <c r="Y445" i="13"/>
  <c r="Z445" i="13"/>
  <c r="Y446" i="13"/>
  <c r="Z446" i="13"/>
  <c r="Y447" i="13"/>
  <c r="Z447" i="13"/>
  <c r="Y448" i="13"/>
  <c r="Z448" i="13"/>
  <c r="Y449" i="13"/>
  <c r="Z449" i="13"/>
  <c r="Y450" i="13"/>
  <c r="Z450" i="13"/>
  <c r="Y451" i="13"/>
  <c r="Z451" i="13"/>
  <c r="Y452" i="13"/>
  <c r="Z452" i="13"/>
  <c r="W453" i="13"/>
  <c r="X453" i="13"/>
  <c r="Y453" i="13"/>
  <c r="Z453" i="13"/>
  <c r="W454" i="13"/>
  <c r="X454" i="13"/>
  <c r="Y454" i="13"/>
  <c r="Z454" i="13"/>
  <c r="W455" i="13"/>
  <c r="X455" i="13"/>
  <c r="Y455" i="13"/>
  <c r="Z455" i="13"/>
  <c r="W456" i="13"/>
  <c r="X456" i="13"/>
  <c r="Y456" i="13"/>
  <c r="Z456" i="13"/>
  <c r="W457" i="13"/>
  <c r="X457" i="13"/>
  <c r="Y457" i="13"/>
  <c r="Z457" i="13"/>
  <c r="X458" i="13"/>
  <c r="Y458" i="13"/>
  <c r="Z458" i="13"/>
  <c r="X459" i="13"/>
  <c r="Y459" i="13"/>
  <c r="Z459" i="13"/>
  <c r="W460" i="13"/>
  <c r="X460" i="13"/>
  <c r="Y460" i="13"/>
  <c r="Z460" i="13"/>
  <c r="W461" i="13"/>
  <c r="X461" i="13"/>
  <c r="Y461" i="13"/>
  <c r="Z461" i="13"/>
  <c r="W462" i="13"/>
  <c r="X462" i="13"/>
  <c r="Y462" i="13"/>
  <c r="Z462" i="13"/>
  <c r="W463" i="13"/>
  <c r="X463" i="13"/>
  <c r="Y463" i="13"/>
  <c r="Z463" i="13"/>
  <c r="W464" i="13"/>
  <c r="Y464" i="13"/>
  <c r="X464" i="13" s="1"/>
  <c r="Z464" i="13"/>
  <c r="W465" i="13"/>
  <c r="X465" i="13"/>
  <c r="Y465" i="13"/>
  <c r="Z465" i="13"/>
  <c r="X466" i="13"/>
  <c r="Y466" i="13"/>
  <c r="Z466" i="13"/>
  <c r="Y467" i="13"/>
  <c r="Z467" i="13"/>
  <c r="Y468" i="13"/>
  <c r="Z468" i="13"/>
  <c r="Y469" i="13"/>
  <c r="Z469" i="13"/>
  <c r="Y470" i="13"/>
  <c r="Z470" i="13"/>
  <c r="Y471" i="13"/>
  <c r="Z471" i="13"/>
  <c r="Y472" i="13"/>
  <c r="Z472" i="13"/>
  <c r="Y473" i="13"/>
  <c r="Z473" i="13"/>
  <c r="Y474" i="13"/>
  <c r="Z474" i="13"/>
  <c r="Y475" i="13"/>
  <c r="Z475" i="13"/>
  <c r="Y476" i="13"/>
  <c r="Z476" i="13"/>
  <c r="Y477" i="13"/>
  <c r="Z477" i="13"/>
  <c r="Y478" i="13"/>
  <c r="Z478" i="13"/>
  <c r="Y479" i="13"/>
  <c r="Z479" i="13"/>
  <c r="Y480" i="13"/>
  <c r="Z480" i="13"/>
  <c r="Y481" i="13"/>
  <c r="Z481" i="13"/>
  <c r="Y482" i="13"/>
  <c r="Z482" i="13"/>
  <c r="Y483" i="13"/>
  <c r="Z483" i="13"/>
  <c r="Y484" i="13"/>
  <c r="Z484" i="13"/>
  <c r="Y485" i="13"/>
  <c r="Z485" i="13"/>
  <c r="Y486" i="13"/>
  <c r="Z486" i="13"/>
  <c r="Y487" i="13"/>
  <c r="Z487" i="13"/>
  <c r="Y488" i="13"/>
  <c r="Z488" i="13"/>
  <c r="Y489" i="13"/>
  <c r="Z489" i="13"/>
  <c r="Y490" i="13"/>
  <c r="Z490" i="13"/>
  <c r="Y491" i="13"/>
  <c r="Z491" i="13"/>
  <c r="Y492" i="13"/>
  <c r="Z492" i="13"/>
  <c r="Y493" i="13"/>
  <c r="Z493" i="13"/>
  <c r="Y494" i="13"/>
  <c r="Z494" i="13"/>
  <c r="Y495" i="13"/>
  <c r="Z495" i="13"/>
  <c r="Y496" i="13"/>
  <c r="Z496" i="13"/>
  <c r="Y497" i="13"/>
  <c r="Z497" i="13"/>
  <c r="Y498" i="13"/>
  <c r="Z498" i="13"/>
  <c r="X499" i="13"/>
  <c r="Y499" i="13"/>
  <c r="Z499" i="13"/>
  <c r="W500" i="13"/>
  <c r="X500" i="13"/>
  <c r="Y500" i="13"/>
  <c r="Z500" i="13"/>
  <c r="W501" i="13"/>
  <c r="X501" i="13"/>
  <c r="Y501" i="13"/>
  <c r="Z501" i="13"/>
  <c r="W502" i="13"/>
  <c r="X502" i="13"/>
  <c r="Y502" i="13"/>
  <c r="Z502" i="13"/>
  <c r="W503" i="13"/>
  <c r="X503" i="13"/>
  <c r="Y503" i="13"/>
  <c r="Z503" i="13"/>
  <c r="X504" i="13"/>
  <c r="Y504" i="13"/>
  <c r="Z504" i="13"/>
  <c r="W505" i="13"/>
  <c r="X505" i="13"/>
  <c r="Y505" i="13"/>
  <c r="Z505" i="13"/>
  <c r="X506" i="13"/>
  <c r="Y506" i="13"/>
  <c r="Z506" i="13"/>
  <c r="X507" i="13"/>
  <c r="Y507" i="13"/>
  <c r="Z507" i="13"/>
  <c r="W508" i="13"/>
  <c r="X508" i="13"/>
  <c r="Y508" i="13"/>
  <c r="Z508" i="13"/>
  <c r="W509" i="13"/>
  <c r="X509" i="13"/>
  <c r="Y509" i="13"/>
  <c r="Z509" i="13"/>
  <c r="W510" i="13"/>
  <c r="Y510" i="13"/>
  <c r="X510" i="13" s="1"/>
  <c r="Z510" i="13"/>
  <c r="W511" i="13"/>
  <c r="X511" i="13"/>
  <c r="Y511" i="13"/>
  <c r="Z511" i="13"/>
  <c r="X512" i="13"/>
  <c r="Y512" i="13"/>
  <c r="Z512" i="13"/>
  <c r="Y513" i="13"/>
  <c r="Z513" i="13"/>
  <c r="Y514" i="13"/>
  <c r="Z514" i="13"/>
  <c r="Y515" i="13"/>
  <c r="Z515" i="13"/>
  <c r="Y516" i="13"/>
  <c r="Z516" i="13"/>
  <c r="Y517" i="13"/>
  <c r="Z517" i="13"/>
  <c r="Y518" i="13"/>
  <c r="Z518" i="13"/>
  <c r="Y519" i="13"/>
  <c r="Z519" i="13"/>
  <c r="Y520" i="13"/>
  <c r="Z520" i="13"/>
  <c r="Y521" i="13"/>
  <c r="Z521" i="13"/>
  <c r="Y522" i="13"/>
  <c r="Z522" i="13"/>
  <c r="Y523" i="13"/>
  <c r="Z523" i="13"/>
  <c r="Y524" i="13"/>
  <c r="Z524" i="13"/>
  <c r="Y525" i="13"/>
  <c r="Z525" i="13"/>
  <c r="Y526" i="13"/>
  <c r="Z526" i="13"/>
  <c r="Y527" i="13"/>
  <c r="Z527" i="13"/>
  <c r="Y528" i="13"/>
  <c r="Z528" i="13"/>
  <c r="Y529" i="13"/>
  <c r="Z529" i="13"/>
  <c r="Y530" i="13"/>
  <c r="Z530" i="13"/>
  <c r="Y531" i="13"/>
  <c r="Z531" i="13"/>
  <c r="Y532" i="13"/>
  <c r="Z532" i="13"/>
  <c r="Y533" i="13"/>
  <c r="Z533" i="13"/>
  <c r="Y534" i="13"/>
  <c r="Z534" i="13"/>
  <c r="Y535" i="13"/>
  <c r="Z535" i="13"/>
  <c r="Y536" i="13"/>
  <c r="Z536" i="13"/>
  <c r="Y537" i="13"/>
  <c r="Z537" i="13"/>
  <c r="Y538" i="13"/>
  <c r="Z538" i="13"/>
  <c r="Y539" i="13"/>
  <c r="Z539" i="13"/>
  <c r="Y540" i="13"/>
  <c r="Z540" i="13"/>
  <c r="Y541" i="13"/>
  <c r="Z541" i="13"/>
  <c r="Y542" i="13"/>
  <c r="Z542" i="13"/>
  <c r="Y543" i="13"/>
  <c r="Z543" i="13"/>
  <c r="Y544" i="13"/>
  <c r="Z544" i="13"/>
  <c r="W545" i="13"/>
  <c r="X545" i="13"/>
  <c r="Y545" i="13"/>
  <c r="Z545" i="13"/>
  <c r="X546" i="13"/>
  <c r="Y546" i="13"/>
  <c r="Z546" i="13"/>
  <c r="X547" i="13"/>
  <c r="Y547" i="13"/>
  <c r="Z547" i="13"/>
  <c r="W548" i="13"/>
  <c r="X548" i="13"/>
  <c r="Y548" i="13"/>
  <c r="Z548" i="13"/>
  <c r="W549" i="13"/>
  <c r="X549" i="13"/>
  <c r="Y549" i="13"/>
  <c r="Z549" i="13"/>
  <c r="W550" i="13"/>
  <c r="X550" i="13"/>
  <c r="Y550" i="13"/>
  <c r="Z550" i="13"/>
  <c r="W551" i="13"/>
  <c r="X551" i="13"/>
  <c r="Y551" i="13"/>
  <c r="Z551" i="13"/>
  <c r="X552" i="13"/>
  <c r="Y552" i="13"/>
  <c r="Z552" i="13"/>
  <c r="W553" i="13"/>
  <c r="X553" i="13"/>
  <c r="Y553" i="13"/>
  <c r="Z553" i="13"/>
  <c r="X554" i="13"/>
  <c r="Y554" i="13"/>
  <c r="Z554" i="13"/>
  <c r="X555" i="13"/>
  <c r="Y555" i="13"/>
  <c r="Z555" i="13"/>
  <c r="W556" i="13"/>
  <c r="Y556" i="13"/>
  <c r="X556" i="13" s="1"/>
  <c r="Z556" i="13"/>
  <c r="W557" i="13"/>
  <c r="X557" i="13"/>
  <c r="Y557" i="13"/>
  <c r="Z557" i="13"/>
  <c r="W558" i="13"/>
  <c r="X558" i="13"/>
  <c r="Y558" i="13"/>
  <c r="Z558" i="13"/>
  <c r="Y559" i="13"/>
  <c r="Z559" i="13"/>
  <c r="Y560" i="13"/>
  <c r="Z560" i="13"/>
  <c r="Y561" i="13"/>
  <c r="Z561" i="13"/>
  <c r="Y562" i="13"/>
  <c r="Z562" i="13"/>
  <c r="Y563" i="13"/>
  <c r="Z563" i="13"/>
  <c r="Y564" i="13"/>
  <c r="Z564" i="13"/>
  <c r="Y565" i="13"/>
  <c r="Z565" i="13"/>
  <c r="Y566" i="13"/>
  <c r="Z566" i="13"/>
  <c r="Y567" i="13"/>
  <c r="Z567" i="13"/>
  <c r="Y568" i="13"/>
  <c r="Z568" i="13"/>
  <c r="Y569" i="13"/>
  <c r="Z569" i="13"/>
  <c r="Y570" i="13"/>
  <c r="Z570" i="13"/>
  <c r="Y571" i="13"/>
  <c r="Z571" i="13"/>
  <c r="Y572" i="13"/>
  <c r="Z572" i="13"/>
  <c r="Y573" i="13"/>
  <c r="Z573" i="13"/>
  <c r="Y574" i="13"/>
  <c r="Z574" i="13"/>
  <c r="Y575" i="13"/>
  <c r="Z575" i="13"/>
  <c r="Y576" i="13"/>
  <c r="Z576" i="13"/>
  <c r="Y577" i="13"/>
  <c r="Z577" i="13"/>
  <c r="Y578" i="13"/>
  <c r="Z578" i="13"/>
  <c r="Y579" i="13"/>
  <c r="Z579" i="13"/>
  <c r="Y580" i="13"/>
  <c r="Z580" i="13"/>
  <c r="Y581" i="13"/>
  <c r="Z581" i="13"/>
  <c r="Y582" i="13"/>
  <c r="Z582" i="13"/>
  <c r="Y583" i="13"/>
  <c r="Z583" i="13"/>
  <c r="Y584" i="13"/>
  <c r="Z584" i="13"/>
  <c r="Y585" i="13"/>
  <c r="Z585" i="13"/>
  <c r="Y586" i="13"/>
  <c r="Z586" i="13"/>
  <c r="Y587" i="13"/>
  <c r="Z587" i="13"/>
  <c r="Y588" i="13"/>
  <c r="Z588" i="13"/>
  <c r="Y589" i="13"/>
  <c r="Z589" i="13"/>
  <c r="Y590" i="13"/>
  <c r="Z590" i="13"/>
  <c r="W591" i="13"/>
  <c r="X591" i="13"/>
  <c r="Y591" i="13"/>
  <c r="Z591" i="13"/>
  <c r="W592" i="13"/>
  <c r="X592" i="13"/>
  <c r="Y592" i="13"/>
  <c r="Z592" i="13"/>
  <c r="W593" i="13"/>
  <c r="X593" i="13"/>
  <c r="Y593" i="13"/>
  <c r="Z593" i="13"/>
  <c r="X594" i="13"/>
  <c r="Y594" i="13"/>
  <c r="Z594" i="13"/>
  <c r="X595" i="13"/>
  <c r="Y595" i="13"/>
  <c r="Z595" i="13"/>
  <c r="W596" i="13"/>
  <c r="X596" i="13"/>
  <c r="Y596" i="13"/>
  <c r="Z596" i="13"/>
  <c r="W597" i="13"/>
  <c r="X597" i="13"/>
  <c r="Y597" i="13"/>
  <c r="Z597" i="13"/>
  <c r="W598" i="13"/>
  <c r="X598" i="13"/>
  <c r="Y598" i="13"/>
  <c r="Z598" i="13"/>
  <c r="W599" i="13"/>
  <c r="X599" i="13"/>
  <c r="Y599" i="13"/>
  <c r="Z599" i="13"/>
  <c r="W600" i="13"/>
  <c r="X600" i="13"/>
  <c r="Y600" i="13"/>
  <c r="Z600" i="13"/>
  <c r="W601" i="13"/>
  <c r="X601" i="13"/>
  <c r="Y601" i="13"/>
  <c r="Z601" i="13"/>
  <c r="Y602" i="13"/>
  <c r="X602" i="13" s="1"/>
  <c r="Z602" i="13"/>
  <c r="X603" i="13"/>
  <c r="Y603" i="13"/>
  <c r="Z603" i="13"/>
  <c r="W604" i="13"/>
  <c r="X604" i="13"/>
  <c r="Y604" i="13"/>
  <c r="Z604" i="13"/>
  <c r="Y605" i="13"/>
  <c r="Z605" i="13"/>
  <c r="Y606" i="13"/>
  <c r="Z606" i="13"/>
  <c r="Y607" i="13"/>
  <c r="Z607" i="13"/>
  <c r="Y608" i="13"/>
  <c r="Z608" i="13"/>
  <c r="Y609" i="13"/>
  <c r="Z609" i="13"/>
  <c r="Y610" i="13"/>
  <c r="Z610" i="13"/>
  <c r="Y611" i="13"/>
  <c r="Z611" i="13"/>
  <c r="Y612" i="13"/>
  <c r="Z612" i="13"/>
  <c r="Y613" i="13"/>
  <c r="Z613" i="13"/>
  <c r="Y614" i="13"/>
  <c r="Z614" i="13"/>
  <c r="Y615" i="13"/>
  <c r="Z615" i="13"/>
  <c r="Y616" i="13"/>
  <c r="Z616" i="13"/>
  <c r="Y617" i="13"/>
  <c r="Z617" i="13"/>
  <c r="Y618" i="13"/>
  <c r="Z618" i="13"/>
  <c r="Y619" i="13"/>
  <c r="Z619" i="13"/>
  <c r="Y620" i="13"/>
  <c r="Z620" i="13"/>
  <c r="Y621" i="13"/>
  <c r="Z621" i="13"/>
  <c r="Y622" i="13"/>
  <c r="Z622" i="13"/>
  <c r="Y623" i="13"/>
  <c r="Z623" i="13"/>
  <c r="Y624" i="13"/>
  <c r="Z624" i="13"/>
  <c r="Y625" i="13"/>
  <c r="Z625" i="13"/>
  <c r="Y626" i="13"/>
  <c r="Z626" i="13"/>
  <c r="Y627" i="13"/>
  <c r="Z627" i="13"/>
  <c r="Y628" i="13"/>
  <c r="Z628" i="13"/>
  <c r="Y629" i="13"/>
  <c r="Z629" i="13"/>
  <c r="Y630" i="13"/>
  <c r="Z630" i="13"/>
  <c r="Y631" i="13"/>
  <c r="Z631" i="13"/>
  <c r="Y632" i="13"/>
  <c r="Z632" i="13"/>
  <c r="Y633" i="13"/>
  <c r="Z633" i="13"/>
  <c r="Y634" i="13"/>
  <c r="Z634" i="13"/>
  <c r="Y635" i="13"/>
  <c r="Z635" i="13"/>
  <c r="Y636" i="13"/>
  <c r="Z636" i="13"/>
  <c r="W637" i="13"/>
  <c r="X637" i="13"/>
  <c r="Y637" i="13"/>
  <c r="Z637" i="13"/>
  <c r="W638" i="13"/>
  <c r="X638" i="13"/>
  <c r="Y638" i="13"/>
  <c r="Z638" i="13"/>
  <c r="W639" i="13"/>
  <c r="X639" i="13"/>
  <c r="Y639" i="13"/>
  <c r="Z639" i="13"/>
  <c r="W640" i="13"/>
  <c r="X640" i="13"/>
  <c r="Y640" i="13"/>
  <c r="Z640" i="13"/>
  <c r="W641" i="13"/>
  <c r="X641" i="13"/>
  <c r="Y641" i="13"/>
  <c r="Z641" i="13"/>
  <c r="X642" i="13"/>
  <c r="Y642" i="13"/>
  <c r="Z642" i="13"/>
  <c r="X643" i="13"/>
  <c r="Y643" i="13"/>
  <c r="Z643" i="13"/>
  <c r="W644" i="13"/>
  <c r="X644" i="13"/>
  <c r="Y644" i="13"/>
  <c r="Z644" i="13"/>
  <c r="W645" i="13"/>
  <c r="X645" i="13"/>
  <c r="Y645" i="13"/>
  <c r="Z645" i="13"/>
  <c r="W646" i="13"/>
  <c r="X646" i="13"/>
  <c r="Y646" i="13"/>
  <c r="Z646" i="13"/>
  <c r="W647" i="13"/>
  <c r="X647" i="13"/>
  <c r="Y647" i="13"/>
  <c r="Z647" i="13"/>
  <c r="W648" i="13"/>
  <c r="Y648" i="13"/>
  <c r="X648" i="13" s="1"/>
  <c r="Z648" i="13"/>
  <c r="W649" i="13"/>
  <c r="X649" i="13"/>
  <c r="Y649" i="13"/>
  <c r="Z649" i="13"/>
  <c r="X650" i="13"/>
  <c r="Y650" i="13"/>
  <c r="Z650" i="13"/>
  <c r="Y651" i="13"/>
  <c r="Z651" i="13"/>
  <c r="Y652" i="13"/>
  <c r="Z652" i="13"/>
  <c r="Y653" i="13"/>
  <c r="Z653" i="13"/>
  <c r="Y654" i="13"/>
  <c r="Z654" i="13"/>
  <c r="Y655" i="13"/>
  <c r="Z655" i="13"/>
  <c r="Y656" i="13"/>
  <c r="Z656" i="13"/>
  <c r="Y657" i="13"/>
  <c r="Z657" i="13"/>
  <c r="Y658" i="13"/>
  <c r="Z658" i="13"/>
  <c r="Y659" i="13"/>
  <c r="Z659" i="13"/>
  <c r="Y660" i="13"/>
  <c r="Z660" i="13"/>
  <c r="Y661" i="13"/>
  <c r="Z661" i="13"/>
  <c r="Y662" i="13"/>
  <c r="Z662" i="13"/>
  <c r="Y663" i="13"/>
  <c r="Z663" i="13"/>
  <c r="Y664" i="13"/>
  <c r="Z664" i="13"/>
  <c r="Y665" i="13"/>
  <c r="Z665" i="13"/>
  <c r="Y666" i="13"/>
  <c r="Z666" i="13"/>
  <c r="Y667" i="13"/>
  <c r="Z667" i="13"/>
  <c r="Y668" i="13"/>
  <c r="Z668" i="13"/>
  <c r="Y669" i="13"/>
  <c r="Z669" i="13"/>
  <c r="Y670" i="13"/>
  <c r="Z670" i="13"/>
  <c r="Y671" i="13"/>
  <c r="Z671" i="13"/>
  <c r="Y672" i="13"/>
  <c r="Z672" i="13"/>
  <c r="Y673" i="13"/>
  <c r="Z673" i="13"/>
  <c r="Y674" i="13"/>
  <c r="Z674" i="13"/>
  <c r="Y675" i="13"/>
  <c r="Z675" i="13"/>
  <c r="Y676" i="13"/>
  <c r="Z676" i="13"/>
  <c r="Y677" i="13"/>
  <c r="Z677" i="13"/>
  <c r="Y678" i="13"/>
  <c r="Z678" i="13"/>
  <c r="Y679" i="13"/>
  <c r="Z679" i="13"/>
  <c r="Y680" i="13"/>
  <c r="Z680" i="13"/>
  <c r="Y681" i="13"/>
  <c r="Z681" i="13"/>
  <c r="Y682" i="13"/>
  <c r="Z682" i="13"/>
  <c r="X683" i="13"/>
  <c r="Y683" i="13"/>
  <c r="Z683" i="13"/>
  <c r="W684" i="13"/>
  <c r="X684" i="13"/>
  <c r="Y684" i="13"/>
  <c r="Z684" i="13"/>
  <c r="W685" i="13"/>
  <c r="X685" i="13"/>
  <c r="Y685" i="13"/>
  <c r="Z685" i="13"/>
  <c r="W686" i="13"/>
  <c r="X686" i="13"/>
  <c r="Y686" i="13"/>
  <c r="Z686" i="13"/>
  <c r="W687" i="13"/>
  <c r="X687" i="13"/>
  <c r="Y687" i="13"/>
  <c r="Z687" i="13"/>
  <c r="X688" i="13"/>
  <c r="Y688" i="13"/>
  <c r="Z688" i="13"/>
  <c r="W689" i="13"/>
  <c r="X689" i="13"/>
  <c r="Y689" i="13"/>
  <c r="Z689" i="13"/>
  <c r="X690" i="13"/>
  <c r="Y690" i="13"/>
  <c r="Z690" i="13"/>
  <c r="X691" i="13"/>
  <c r="Y691" i="13"/>
  <c r="Z691" i="13"/>
  <c r="W692" i="13"/>
  <c r="X692" i="13"/>
  <c r="Y692" i="13"/>
  <c r="Z692" i="13"/>
  <c r="W693" i="13"/>
  <c r="X693" i="13"/>
  <c r="Y693" i="13"/>
  <c r="Z693" i="13"/>
  <c r="W694" i="13"/>
  <c r="Y694" i="13"/>
  <c r="X694" i="13" s="1"/>
  <c r="Z694" i="13"/>
  <c r="W695" i="13"/>
  <c r="X695" i="13"/>
  <c r="Y695" i="13"/>
  <c r="Z695" i="13"/>
  <c r="X696" i="13"/>
  <c r="Y696" i="13"/>
  <c r="Z696" i="13"/>
  <c r="Y697" i="13"/>
  <c r="Z697" i="13"/>
  <c r="Y698" i="13"/>
  <c r="Z698" i="13"/>
  <c r="Y699" i="13"/>
  <c r="Z699" i="13"/>
  <c r="Y700" i="13"/>
  <c r="Z700" i="13"/>
  <c r="Y701" i="13"/>
  <c r="Z701" i="13"/>
  <c r="Y702" i="13"/>
  <c r="Z702" i="13"/>
  <c r="Y703" i="13"/>
  <c r="Z703" i="13"/>
  <c r="Y704" i="13"/>
  <c r="Z704" i="13"/>
  <c r="Y705" i="13"/>
  <c r="Z705" i="13"/>
  <c r="Y706" i="13"/>
  <c r="Z706" i="13"/>
  <c r="Y707" i="13"/>
  <c r="Z707" i="13"/>
  <c r="Y708" i="13"/>
  <c r="Z708" i="13"/>
  <c r="Y709" i="13"/>
  <c r="Z709" i="13"/>
  <c r="Y710" i="13"/>
  <c r="Z710" i="13"/>
  <c r="Y711" i="13"/>
  <c r="Z711" i="13"/>
  <c r="Y712" i="13"/>
  <c r="Z712" i="13"/>
  <c r="Y713" i="13"/>
  <c r="Z713" i="13"/>
  <c r="Y714" i="13"/>
  <c r="Z714" i="13"/>
  <c r="Y715" i="13"/>
  <c r="Z715" i="13"/>
  <c r="Y716" i="13"/>
  <c r="Z716" i="13"/>
  <c r="Y717" i="13"/>
  <c r="Z717" i="13"/>
  <c r="Y718" i="13"/>
  <c r="Z718" i="13"/>
  <c r="Y719" i="13"/>
  <c r="Z719" i="13"/>
  <c r="Y720" i="13"/>
  <c r="Z720" i="13"/>
  <c r="Y721" i="13"/>
  <c r="Z721" i="13"/>
  <c r="Y722" i="13"/>
  <c r="Z722" i="13"/>
  <c r="Y723" i="13"/>
  <c r="Z723" i="13"/>
  <c r="Y724" i="13"/>
  <c r="Z724" i="13"/>
  <c r="Y725" i="13"/>
  <c r="Z725" i="13"/>
  <c r="Y726" i="13"/>
  <c r="Z726" i="13"/>
  <c r="Y727" i="13"/>
  <c r="Z727" i="13"/>
  <c r="Y728" i="13"/>
  <c r="Z728" i="13"/>
  <c r="W729" i="13"/>
  <c r="X729" i="13"/>
  <c r="Y729" i="13"/>
  <c r="Z729" i="13"/>
  <c r="X730" i="13"/>
  <c r="Y730" i="13"/>
  <c r="Z730" i="13"/>
  <c r="X731" i="13"/>
  <c r="Y731" i="13"/>
  <c r="Z731" i="13"/>
  <c r="W732" i="13"/>
  <c r="X732" i="13"/>
  <c r="Y732" i="13"/>
  <c r="Z732" i="13"/>
  <c r="W733" i="13"/>
  <c r="X733" i="13"/>
  <c r="Y733" i="13"/>
  <c r="Z733" i="13"/>
  <c r="W734" i="13"/>
  <c r="X734" i="13"/>
  <c r="Y734" i="13"/>
  <c r="Z734" i="13"/>
  <c r="W735" i="13"/>
  <c r="X735" i="13"/>
  <c r="Y735" i="13"/>
  <c r="Z735" i="13"/>
  <c r="X736" i="13"/>
  <c r="Y736" i="13"/>
  <c r="Z736" i="13"/>
  <c r="W737" i="13"/>
  <c r="X737" i="13"/>
  <c r="Y737" i="13"/>
  <c r="Z737" i="13"/>
  <c r="X738" i="13"/>
  <c r="Y738" i="13"/>
  <c r="Z738" i="13"/>
  <c r="X739" i="13"/>
  <c r="Y739" i="13"/>
  <c r="Z739" i="13"/>
  <c r="W740" i="13"/>
  <c r="Y740" i="13"/>
  <c r="X740" i="13" s="1"/>
  <c r="Z740" i="13"/>
  <c r="W741" i="13"/>
  <c r="X741" i="13"/>
  <c r="Y741" i="13"/>
  <c r="Z741" i="13"/>
  <c r="W742" i="13"/>
  <c r="X742" i="13"/>
  <c r="Y742" i="13"/>
  <c r="Z742" i="13"/>
  <c r="Y743" i="13"/>
  <c r="Z743" i="13"/>
  <c r="Y744" i="13"/>
  <c r="Z744" i="13"/>
  <c r="Y745" i="13"/>
  <c r="Z745" i="13"/>
  <c r="Y746" i="13"/>
  <c r="Z746" i="13"/>
  <c r="Y747" i="13"/>
  <c r="Z747" i="13"/>
  <c r="Y748" i="13"/>
  <c r="Z748" i="13"/>
  <c r="Y749" i="13"/>
  <c r="Z749" i="13"/>
  <c r="Y750" i="13"/>
  <c r="Z750" i="13"/>
  <c r="Y751" i="13"/>
  <c r="Z751" i="13"/>
  <c r="Y752" i="13"/>
  <c r="Z752" i="13"/>
  <c r="Y753" i="13"/>
  <c r="Z753" i="13"/>
  <c r="Y754" i="13"/>
  <c r="Z754" i="13"/>
  <c r="Y755" i="13"/>
  <c r="Z755" i="13"/>
  <c r="Y756" i="13"/>
  <c r="Z756" i="13"/>
  <c r="Y757" i="13"/>
  <c r="Z757" i="13"/>
  <c r="Y758" i="13"/>
  <c r="Z758" i="13"/>
  <c r="Y759" i="13"/>
  <c r="Z759" i="13"/>
  <c r="Y760" i="13"/>
  <c r="Z760" i="13"/>
  <c r="Y761" i="13"/>
  <c r="Z761" i="13"/>
  <c r="Y762" i="13"/>
  <c r="Z762" i="13"/>
  <c r="Y763" i="13"/>
  <c r="Z763" i="13"/>
  <c r="Y764" i="13"/>
  <c r="Z764" i="13"/>
  <c r="Y765" i="13"/>
  <c r="Z765" i="13"/>
  <c r="Y766" i="13"/>
  <c r="Z766" i="13"/>
  <c r="Y767" i="13"/>
  <c r="Z767" i="13"/>
  <c r="Y768" i="13"/>
  <c r="Z768" i="13"/>
  <c r="Y769" i="13"/>
  <c r="Z769" i="13"/>
  <c r="Y770" i="13"/>
  <c r="Z770" i="13"/>
  <c r="Y771" i="13"/>
  <c r="Z771" i="13"/>
  <c r="Y772" i="13"/>
  <c r="Z772" i="13"/>
  <c r="Y773" i="13"/>
  <c r="Z773" i="13"/>
  <c r="Y774" i="13"/>
  <c r="Z774" i="13"/>
  <c r="W775" i="13"/>
  <c r="X775" i="13"/>
  <c r="Y775" i="13"/>
  <c r="Z775" i="13"/>
  <c r="X776" i="13"/>
  <c r="Y776" i="13"/>
  <c r="Z776" i="13"/>
  <c r="W777" i="13"/>
  <c r="X777" i="13"/>
  <c r="Y777" i="13"/>
  <c r="Z777" i="13"/>
  <c r="X778" i="13"/>
  <c r="Y778" i="13"/>
  <c r="Z778" i="13"/>
  <c r="X779" i="13"/>
  <c r="Y779" i="13"/>
  <c r="Z779" i="13"/>
  <c r="W780" i="13"/>
  <c r="X780" i="13"/>
  <c r="Y780" i="13"/>
  <c r="Z780" i="13"/>
  <c r="W781" i="13"/>
  <c r="X781" i="13"/>
  <c r="Y781" i="13"/>
  <c r="Z781" i="13"/>
  <c r="W782" i="13"/>
  <c r="X782" i="13"/>
  <c r="Y782" i="13"/>
  <c r="Z782" i="13"/>
  <c r="W783" i="13"/>
  <c r="X783" i="13"/>
  <c r="Y783" i="13"/>
  <c r="Z783" i="13"/>
  <c r="X784" i="13"/>
  <c r="Y784" i="13"/>
  <c r="Z784" i="13"/>
  <c r="W785" i="13"/>
  <c r="X785" i="13"/>
  <c r="Y785" i="13"/>
  <c r="Z785" i="13"/>
  <c r="Y786" i="13"/>
  <c r="X786" i="13" s="1"/>
  <c r="Z786" i="13"/>
  <c r="X787" i="13"/>
  <c r="Y787" i="13"/>
  <c r="Z787" i="13"/>
  <c r="W788" i="13"/>
  <c r="X788" i="13"/>
  <c r="Y788" i="13"/>
  <c r="Z788" i="13"/>
  <c r="Y789" i="13"/>
  <c r="Z789" i="13"/>
  <c r="Y790" i="13"/>
  <c r="Z790" i="13"/>
  <c r="Y791" i="13"/>
  <c r="Z791" i="13"/>
  <c r="Y792" i="13"/>
  <c r="Z792" i="13"/>
  <c r="Y793" i="13"/>
  <c r="Z793" i="13"/>
  <c r="Y794" i="13"/>
  <c r="Z794" i="13"/>
  <c r="Y795" i="13"/>
  <c r="Z795" i="13"/>
  <c r="Y796" i="13"/>
  <c r="Z796" i="13"/>
  <c r="Y797" i="13"/>
  <c r="Z797" i="13"/>
  <c r="Y798" i="13"/>
  <c r="Z798" i="13"/>
  <c r="Y799" i="13"/>
  <c r="Z799" i="13"/>
  <c r="Y800" i="13"/>
  <c r="Z800" i="13"/>
  <c r="Y801" i="13"/>
  <c r="Z801" i="13"/>
  <c r="Y802" i="13"/>
  <c r="Z802" i="13"/>
  <c r="Y803" i="13"/>
  <c r="Z803" i="13"/>
  <c r="Y804" i="13"/>
  <c r="Z804" i="13"/>
  <c r="Y805" i="13"/>
  <c r="Z805" i="13"/>
  <c r="Y806" i="13"/>
  <c r="Z806" i="13"/>
  <c r="Y807" i="13"/>
  <c r="Z807" i="13"/>
  <c r="Y808" i="13"/>
  <c r="Z808" i="13"/>
  <c r="Y809" i="13"/>
  <c r="Z809" i="13"/>
  <c r="Y810" i="13"/>
  <c r="Z810" i="13"/>
  <c r="Y811" i="13"/>
  <c r="Z811" i="13"/>
  <c r="Y812" i="13"/>
  <c r="Z812" i="13"/>
  <c r="Y813" i="13"/>
  <c r="Z813" i="13"/>
  <c r="Y814" i="13"/>
  <c r="Z814" i="13"/>
  <c r="Y815" i="13"/>
  <c r="Z815" i="13"/>
  <c r="Y816" i="13"/>
  <c r="Z816" i="13"/>
  <c r="Y817" i="13"/>
  <c r="Z817" i="13"/>
  <c r="Y818" i="13"/>
  <c r="Z818" i="13"/>
  <c r="Y819" i="13"/>
  <c r="Z819" i="13"/>
  <c r="Y820" i="13"/>
  <c r="Z820" i="13"/>
  <c r="W821" i="13"/>
  <c r="X821" i="13"/>
  <c r="Y821" i="13"/>
  <c r="Z821" i="13"/>
  <c r="W822" i="13"/>
  <c r="X822" i="13"/>
  <c r="Y822" i="13"/>
  <c r="Z822" i="13"/>
  <c r="W823" i="13"/>
  <c r="X823" i="13"/>
  <c r="Y823" i="13"/>
  <c r="Z823" i="13"/>
  <c r="X824" i="13"/>
  <c r="Y824" i="13"/>
  <c r="Z824" i="13"/>
  <c r="W825" i="13"/>
  <c r="X825" i="13"/>
  <c r="Y825" i="13"/>
  <c r="Z825" i="13"/>
  <c r="X826" i="13"/>
  <c r="Y826" i="13"/>
  <c r="Z826" i="13"/>
  <c r="X827" i="13"/>
  <c r="Y827" i="13"/>
  <c r="Z827" i="13"/>
  <c r="W828" i="13"/>
  <c r="X828" i="13"/>
  <c r="Y828" i="13"/>
  <c r="Z828" i="13"/>
  <c r="W829" i="13"/>
  <c r="X829" i="13"/>
  <c r="Y829" i="13"/>
  <c r="Z829" i="13"/>
  <c r="W830" i="13"/>
  <c r="X830" i="13"/>
  <c r="Y830" i="13"/>
  <c r="Z830" i="13"/>
  <c r="W831" i="13"/>
  <c r="X831" i="13"/>
  <c r="Y831" i="13"/>
  <c r="Z831" i="13"/>
  <c r="Y832" i="13"/>
  <c r="X832" i="13" s="1"/>
  <c r="Z832" i="13"/>
  <c r="W833" i="13"/>
  <c r="X833" i="13"/>
  <c r="Y833" i="13"/>
  <c r="Z833" i="13"/>
  <c r="X834" i="13"/>
  <c r="Y834" i="13"/>
  <c r="Z834" i="13"/>
  <c r="Y835" i="13"/>
  <c r="Z835" i="13"/>
  <c r="Y836" i="13"/>
  <c r="Z836" i="13"/>
  <c r="Y837" i="13"/>
  <c r="Z837" i="13"/>
  <c r="Y838" i="13"/>
  <c r="Z838" i="13"/>
  <c r="Y839" i="13"/>
  <c r="Z839" i="13"/>
  <c r="Y840" i="13"/>
  <c r="Z840" i="13"/>
  <c r="Y841" i="13"/>
  <c r="Z841" i="13"/>
  <c r="Y842" i="13"/>
  <c r="Z842" i="13"/>
  <c r="Y843" i="13"/>
  <c r="Z843" i="13"/>
  <c r="Y844" i="13"/>
  <c r="Z844" i="13"/>
  <c r="Y845" i="13"/>
  <c r="Z845" i="13"/>
  <c r="Y846" i="13"/>
  <c r="Z846" i="13"/>
  <c r="Y847" i="13"/>
  <c r="Z847" i="13"/>
  <c r="Y848" i="13"/>
  <c r="Z848" i="13"/>
  <c r="Y849" i="13"/>
  <c r="Z849" i="13"/>
  <c r="Y850" i="13"/>
  <c r="Z850" i="13"/>
  <c r="Y851" i="13"/>
  <c r="Z851" i="13"/>
  <c r="Y852" i="13"/>
  <c r="Z852" i="13"/>
  <c r="Y853" i="13"/>
  <c r="Z853" i="13"/>
  <c r="Y854" i="13"/>
  <c r="Z854" i="13"/>
  <c r="Y855" i="13"/>
  <c r="Z855" i="13"/>
  <c r="Y856" i="13"/>
  <c r="Z856" i="13"/>
  <c r="Y857" i="13"/>
  <c r="Z857" i="13"/>
  <c r="Y858" i="13"/>
  <c r="Z858" i="13"/>
  <c r="Y859" i="13"/>
  <c r="Z859" i="13"/>
  <c r="Y860" i="13"/>
  <c r="Z860" i="13"/>
  <c r="Y861" i="13"/>
  <c r="Z861" i="13"/>
  <c r="Y862" i="13"/>
  <c r="Z862" i="13"/>
  <c r="Y863" i="13"/>
  <c r="Z863" i="13"/>
  <c r="Y864" i="13"/>
  <c r="Z864" i="13"/>
  <c r="Y865" i="13"/>
  <c r="Z865" i="13"/>
  <c r="Y866" i="13"/>
  <c r="Z866" i="13"/>
  <c r="X867" i="13"/>
  <c r="Y867" i="13"/>
  <c r="Z867" i="13"/>
  <c r="Y11" i="13"/>
  <c r="Z11" i="13"/>
  <c r="AU13" i="13"/>
  <c r="AU14" i="13"/>
  <c r="AU866" i="13"/>
  <c r="AU865" i="13"/>
  <c r="AU864" i="13"/>
  <c r="AU863" i="13"/>
  <c r="AU862" i="13"/>
  <c r="AU861" i="13"/>
  <c r="AU860" i="13"/>
  <c r="AU859" i="13"/>
  <c r="AU858" i="13"/>
  <c r="AU857" i="13"/>
  <c r="AU856" i="13"/>
  <c r="AU855" i="13"/>
  <c r="AU854" i="13"/>
  <c r="AU853" i="13"/>
  <c r="AU852" i="13"/>
  <c r="AU851" i="13"/>
  <c r="AU850" i="13"/>
  <c r="AU849" i="13"/>
  <c r="AU848" i="13"/>
  <c r="AU847" i="13"/>
  <c r="AU846" i="13"/>
  <c r="AU845" i="13"/>
  <c r="AU844" i="13"/>
  <c r="AU843" i="13"/>
  <c r="AU842" i="13"/>
  <c r="AU841" i="13"/>
  <c r="AU840" i="13"/>
  <c r="AU839" i="13"/>
  <c r="AU838" i="13"/>
  <c r="AU837" i="13"/>
  <c r="AU836" i="13"/>
  <c r="AU835" i="13"/>
  <c r="AU820" i="13"/>
  <c r="AU819" i="13"/>
  <c r="AU818" i="13"/>
  <c r="AU817" i="13"/>
  <c r="AU816" i="13"/>
  <c r="AU815" i="13"/>
  <c r="AU814" i="13"/>
  <c r="AU813" i="13"/>
  <c r="AU812" i="13"/>
  <c r="AU811" i="13"/>
  <c r="AU810" i="13"/>
  <c r="AU809" i="13"/>
  <c r="AU808" i="13"/>
  <c r="AU807" i="13"/>
  <c r="AU806" i="13"/>
  <c r="AU805" i="13"/>
  <c r="AU804" i="13"/>
  <c r="AU803" i="13"/>
  <c r="AU802" i="13"/>
  <c r="AU801" i="13"/>
  <c r="AU800" i="13"/>
  <c r="AU799" i="13"/>
  <c r="AU798" i="13"/>
  <c r="AU797" i="13"/>
  <c r="AU796" i="13"/>
  <c r="AU795" i="13"/>
  <c r="AU794" i="13"/>
  <c r="AU793" i="13"/>
  <c r="AU792" i="13"/>
  <c r="AU791" i="13"/>
  <c r="AU790" i="13"/>
  <c r="AU789" i="13"/>
  <c r="AU774" i="13"/>
  <c r="AU773" i="13"/>
  <c r="AU772" i="13"/>
  <c r="AU771" i="13"/>
  <c r="AU770" i="13"/>
  <c r="AU769" i="13"/>
  <c r="AU768" i="13"/>
  <c r="AU767" i="13"/>
  <c r="AU766" i="13"/>
  <c r="AU765" i="13"/>
  <c r="AU764" i="13"/>
  <c r="AU763" i="13"/>
  <c r="AU762" i="13"/>
  <c r="AU761" i="13"/>
  <c r="AU760" i="13"/>
  <c r="AU759" i="13"/>
  <c r="AU758" i="13"/>
  <c r="AU757" i="13"/>
  <c r="AU756" i="13"/>
  <c r="AU755" i="13"/>
  <c r="AU754" i="13"/>
  <c r="AU753" i="13"/>
  <c r="AU752" i="13"/>
  <c r="AU751" i="13"/>
  <c r="AU750" i="13"/>
  <c r="AU749" i="13"/>
  <c r="AU748" i="13"/>
  <c r="AU747" i="13"/>
  <c r="AU746" i="13"/>
  <c r="AU745" i="13"/>
  <c r="AU744" i="13"/>
  <c r="AU743" i="13"/>
  <c r="AU728" i="13"/>
  <c r="AU727" i="13"/>
  <c r="AU726" i="13"/>
  <c r="AU725" i="13"/>
  <c r="AU724" i="13"/>
  <c r="AU723" i="13"/>
  <c r="AU722" i="13"/>
  <c r="AU721" i="13"/>
  <c r="AU720" i="13"/>
  <c r="AU719" i="13"/>
  <c r="AU718" i="13"/>
  <c r="AU717" i="13"/>
  <c r="AU716" i="13"/>
  <c r="AU715" i="13"/>
  <c r="AU714" i="13"/>
  <c r="AU713" i="13"/>
  <c r="AU712" i="13"/>
  <c r="AU711" i="13"/>
  <c r="AU710" i="13"/>
  <c r="AU709" i="13"/>
  <c r="AU708" i="13"/>
  <c r="AU707" i="13"/>
  <c r="AU706" i="13"/>
  <c r="AU705" i="13"/>
  <c r="AU704" i="13"/>
  <c r="AU703" i="13"/>
  <c r="AU702" i="13"/>
  <c r="AU701" i="13"/>
  <c r="AU700" i="13"/>
  <c r="AU699" i="13"/>
  <c r="AU698" i="13"/>
  <c r="AU697" i="13"/>
  <c r="AU682" i="13"/>
  <c r="AU681" i="13"/>
  <c r="AU680" i="13"/>
  <c r="AU679" i="13"/>
  <c r="AU678" i="13"/>
  <c r="AU677" i="13"/>
  <c r="AU676" i="13"/>
  <c r="AU675" i="13"/>
  <c r="AU674" i="13"/>
  <c r="AU673" i="13"/>
  <c r="AU672" i="13"/>
  <c r="AU671" i="13"/>
  <c r="AU670" i="13"/>
  <c r="AU669" i="13"/>
  <c r="AU668" i="13"/>
  <c r="AU667" i="13"/>
  <c r="AU666" i="13"/>
  <c r="AU665" i="13"/>
  <c r="AU664" i="13"/>
  <c r="AU663" i="13"/>
  <c r="AU662" i="13"/>
  <c r="AU661" i="13"/>
  <c r="AU660" i="13"/>
  <c r="AU659" i="13"/>
  <c r="AU658" i="13"/>
  <c r="AU657" i="13"/>
  <c r="AU656" i="13"/>
  <c r="AU655" i="13"/>
  <c r="AU654" i="13"/>
  <c r="AU653" i="13"/>
  <c r="AU652" i="13"/>
  <c r="AU651" i="13"/>
  <c r="AU636" i="13"/>
  <c r="AU635" i="13"/>
  <c r="AU634" i="13"/>
  <c r="AU633" i="13"/>
  <c r="AU632" i="13"/>
  <c r="AU631" i="13"/>
  <c r="AU630" i="13"/>
  <c r="AU629" i="13"/>
  <c r="AU628" i="13"/>
  <c r="AU627" i="13"/>
  <c r="AU626" i="13"/>
  <c r="AU625" i="13"/>
  <c r="AU624" i="13"/>
  <c r="AU623" i="13"/>
  <c r="AU622" i="13"/>
  <c r="AU621" i="13"/>
  <c r="AU620" i="13"/>
  <c r="AU619" i="13"/>
  <c r="AU618" i="13"/>
  <c r="AU617" i="13"/>
  <c r="AU616" i="13"/>
  <c r="AU615" i="13"/>
  <c r="AU614" i="13"/>
  <c r="AU613" i="13"/>
  <c r="AU612" i="13"/>
  <c r="AU611" i="13"/>
  <c r="AU610" i="13"/>
  <c r="AU609" i="13"/>
  <c r="AU608" i="13"/>
  <c r="AU607" i="13"/>
  <c r="AU606" i="13"/>
  <c r="AU605" i="13"/>
  <c r="AU590" i="13"/>
  <c r="AU589" i="13"/>
  <c r="AU588" i="13"/>
  <c r="AU587" i="13"/>
  <c r="AU586" i="13"/>
  <c r="AU585" i="13"/>
  <c r="AU584" i="13"/>
  <c r="AU583" i="13"/>
  <c r="AU582" i="13"/>
  <c r="AU581" i="13"/>
  <c r="AU580" i="13"/>
  <c r="AU579" i="13"/>
  <c r="AU578" i="13"/>
  <c r="AU577" i="13"/>
  <c r="AU576" i="13"/>
  <c r="AU575" i="13"/>
  <c r="AU574" i="13"/>
  <c r="AU573" i="13"/>
  <c r="AU572" i="13"/>
  <c r="AU571" i="13"/>
  <c r="AU570" i="13"/>
  <c r="AU569" i="13"/>
  <c r="AU568" i="13"/>
  <c r="AU567" i="13"/>
  <c r="AU566" i="13"/>
  <c r="AU565" i="13"/>
  <c r="AU564" i="13"/>
  <c r="AU563" i="13"/>
  <c r="AU562" i="13"/>
  <c r="AU561" i="13"/>
  <c r="AU560" i="13"/>
  <c r="AU559" i="13"/>
  <c r="AU544" i="13"/>
  <c r="AU543" i="13"/>
  <c r="AU542" i="13"/>
  <c r="AU541" i="13"/>
  <c r="AU540" i="13"/>
  <c r="AU539" i="13"/>
  <c r="AU538" i="13"/>
  <c r="AU537" i="13"/>
  <c r="AU536" i="13"/>
  <c r="AU535" i="13"/>
  <c r="AU534" i="13"/>
  <c r="AU533" i="13"/>
  <c r="AU532" i="13"/>
  <c r="AU531" i="13"/>
  <c r="AU530" i="13"/>
  <c r="AU529" i="13"/>
  <c r="AU528" i="13"/>
  <c r="AU527" i="13"/>
  <c r="AU526" i="13"/>
  <c r="AU525" i="13"/>
  <c r="AU524" i="13"/>
  <c r="AU523" i="13"/>
  <c r="AU522" i="13"/>
  <c r="AU521" i="13"/>
  <c r="AU520" i="13"/>
  <c r="AU519" i="13"/>
  <c r="AU518" i="13"/>
  <c r="AU517" i="13"/>
  <c r="AU516" i="13"/>
  <c r="AU515" i="13"/>
  <c r="AU514" i="13"/>
  <c r="AU513" i="13"/>
  <c r="AU498" i="13"/>
  <c r="AU497" i="13"/>
  <c r="AU496" i="13"/>
  <c r="AU495" i="13"/>
  <c r="AU494" i="13"/>
  <c r="AU493" i="13"/>
  <c r="AU492" i="13"/>
  <c r="AU491" i="13"/>
  <c r="AU490" i="13"/>
  <c r="AU489" i="13"/>
  <c r="AU488" i="13"/>
  <c r="AU487" i="13"/>
  <c r="AU486" i="13"/>
  <c r="AU485" i="13"/>
  <c r="AU484" i="13"/>
  <c r="AU483" i="13"/>
  <c r="AU482" i="13"/>
  <c r="AU481" i="13"/>
  <c r="AU480" i="13"/>
  <c r="AU479" i="13"/>
  <c r="AU478" i="13"/>
  <c r="AU477" i="13"/>
  <c r="AU476" i="13"/>
  <c r="AU475" i="13"/>
  <c r="AU474" i="13"/>
  <c r="AU473" i="13"/>
  <c r="AU472" i="13"/>
  <c r="AU471" i="13"/>
  <c r="AU470" i="13"/>
  <c r="AU469" i="13"/>
  <c r="AU468" i="13"/>
  <c r="AU467" i="13"/>
  <c r="AU452" i="13"/>
  <c r="AU451" i="13"/>
  <c r="AU450" i="13"/>
  <c r="AU449" i="13"/>
  <c r="AU448" i="13"/>
  <c r="AU447" i="13"/>
  <c r="AU446" i="13"/>
  <c r="AU445" i="13"/>
  <c r="AU444" i="13"/>
  <c r="AU443" i="13"/>
  <c r="AU442" i="13"/>
  <c r="AU441" i="13"/>
  <c r="AU440" i="13"/>
  <c r="AU439" i="13"/>
  <c r="AU438" i="13"/>
  <c r="AU437" i="13"/>
  <c r="AU436" i="13"/>
  <c r="AU435" i="13"/>
  <c r="AU434" i="13"/>
  <c r="AU433" i="13"/>
  <c r="AU432" i="13"/>
  <c r="AU431" i="13"/>
  <c r="AU430" i="13"/>
  <c r="AU429" i="13"/>
  <c r="AU428" i="13"/>
  <c r="AU427" i="13"/>
  <c r="AU426" i="13"/>
  <c r="AU425" i="13"/>
  <c r="AU424" i="13"/>
  <c r="AU423" i="13"/>
  <c r="AU422" i="13"/>
  <c r="AU421" i="13"/>
  <c r="AU406" i="13"/>
  <c r="AU405" i="13"/>
  <c r="AU404" i="13"/>
  <c r="AU403" i="13"/>
  <c r="AU402" i="13"/>
  <c r="AU401" i="13"/>
  <c r="AU400" i="13"/>
  <c r="AU399" i="13"/>
  <c r="AU398" i="13"/>
  <c r="AU397" i="13"/>
  <c r="AU396" i="13"/>
  <c r="AU395" i="13"/>
  <c r="AU394" i="13"/>
  <c r="AU393" i="13"/>
  <c r="AU392" i="13"/>
  <c r="AU391" i="13"/>
  <c r="AU390" i="13"/>
  <c r="AU389" i="13"/>
  <c r="AU388" i="13"/>
  <c r="AU387" i="13"/>
  <c r="AU386" i="13"/>
  <c r="AU385" i="13"/>
  <c r="AU384" i="13"/>
  <c r="AU383" i="13"/>
  <c r="AU382" i="13"/>
  <c r="AU381" i="13"/>
  <c r="AU380" i="13"/>
  <c r="AU379" i="13"/>
  <c r="AU378" i="13"/>
  <c r="AU377" i="13"/>
  <c r="AU376" i="13"/>
  <c r="AU375" i="13"/>
  <c r="AU360" i="13"/>
  <c r="AU359" i="13"/>
  <c r="AU358" i="13"/>
  <c r="AU357" i="13"/>
  <c r="AU356" i="13"/>
  <c r="AU355" i="13"/>
  <c r="AU354" i="13"/>
  <c r="AU353" i="13"/>
  <c r="AU352" i="13"/>
  <c r="AU351" i="13"/>
  <c r="AU350" i="13"/>
  <c r="AU349" i="13"/>
  <c r="AU348" i="13"/>
  <c r="AU347" i="13"/>
  <c r="AU346" i="13"/>
  <c r="AU345" i="13"/>
  <c r="AU344" i="13"/>
  <c r="AU343" i="13"/>
  <c r="AU342" i="13"/>
  <c r="AU341" i="13"/>
  <c r="AU340" i="13"/>
  <c r="AU339" i="13"/>
  <c r="AU338" i="13"/>
  <c r="AU337" i="13"/>
  <c r="AU336" i="13"/>
  <c r="AU335" i="13"/>
  <c r="AU334" i="13"/>
  <c r="AU333" i="13"/>
  <c r="AU332" i="13"/>
  <c r="AU331" i="13"/>
  <c r="AU330" i="13"/>
  <c r="AU329" i="13"/>
  <c r="AU314" i="13"/>
  <c r="AU313" i="13"/>
  <c r="AU312" i="13"/>
  <c r="AU311" i="13"/>
  <c r="AU310" i="13"/>
  <c r="AU309" i="13"/>
  <c r="AU308" i="13"/>
  <c r="AU307" i="13"/>
  <c r="AU306" i="13"/>
  <c r="AU305" i="13"/>
  <c r="AU304" i="13"/>
  <c r="AU303" i="13"/>
  <c r="AU302" i="13"/>
  <c r="AU301" i="13"/>
  <c r="AU300" i="13"/>
  <c r="AU299" i="13"/>
  <c r="AU298" i="13"/>
  <c r="AU297" i="13"/>
  <c r="AU296" i="13"/>
  <c r="AU295" i="13"/>
  <c r="AU294" i="13"/>
  <c r="AU293" i="13"/>
  <c r="AU292" i="13"/>
  <c r="AU291" i="13"/>
  <c r="AU290" i="13"/>
  <c r="AU289" i="13"/>
  <c r="AU288" i="13"/>
  <c r="AU287" i="13"/>
  <c r="AU286" i="13"/>
  <c r="AU285" i="13"/>
  <c r="AU284" i="13"/>
  <c r="AU283" i="13"/>
  <c r="AU268" i="13"/>
  <c r="AU267" i="13"/>
  <c r="AU266" i="13"/>
  <c r="AU265" i="13"/>
  <c r="AU264" i="13"/>
  <c r="AU263" i="13"/>
  <c r="AU262" i="13"/>
  <c r="AU261" i="13"/>
  <c r="AU260" i="13"/>
  <c r="AU259" i="13"/>
  <c r="AU258" i="13"/>
  <c r="AU257" i="13"/>
  <c r="AU256" i="13"/>
  <c r="AU255" i="13"/>
  <c r="AU254" i="13"/>
  <c r="AU253" i="13"/>
  <c r="AU252" i="13"/>
  <c r="AU251" i="13"/>
  <c r="AU250" i="13"/>
  <c r="AU249" i="13"/>
  <c r="AU248" i="13"/>
  <c r="AU247" i="13"/>
  <c r="AU246" i="13"/>
  <c r="AU245" i="13"/>
  <c r="AU244" i="13"/>
  <c r="AU243" i="13"/>
  <c r="AU242" i="13"/>
  <c r="AU241" i="13"/>
  <c r="AU240" i="13"/>
  <c r="AU239" i="13"/>
  <c r="AU238" i="13"/>
  <c r="AU237" i="13"/>
  <c r="AU222" i="13"/>
  <c r="AU221" i="13"/>
  <c r="AU220" i="13"/>
  <c r="AU219" i="13"/>
  <c r="AU218" i="13"/>
  <c r="AU217" i="13"/>
  <c r="AU216" i="13"/>
  <c r="AU215" i="13"/>
  <c r="AU214" i="13"/>
  <c r="AU213" i="13"/>
  <c r="AU212" i="13"/>
  <c r="AU211" i="13"/>
  <c r="AU210" i="13"/>
  <c r="AU209" i="13"/>
  <c r="AU208" i="13"/>
  <c r="AU207" i="13"/>
  <c r="AU206" i="13"/>
  <c r="AU205" i="13"/>
  <c r="AU204" i="13"/>
  <c r="AU203" i="13"/>
  <c r="AU202" i="13"/>
  <c r="AU201" i="13"/>
  <c r="AU200" i="13"/>
  <c r="AU199" i="13"/>
  <c r="AU198" i="13"/>
  <c r="AU197" i="13"/>
  <c r="AU196" i="13"/>
  <c r="AU195" i="13"/>
  <c r="AU194" i="13"/>
  <c r="AU193" i="13"/>
  <c r="AU192" i="13"/>
  <c r="AU191" i="13"/>
  <c r="AU176" i="13"/>
  <c r="AU175" i="13"/>
  <c r="AU174" i="13"/>
  <c r="AU173" i="13"/>
  <c r="AU172" i="13"/>
  <c r="AU171" i="13"/>
  <c r="AU170" i="13"/>
  <c r="AU169" i="13"/>
  <c r="AU168" i="13"/>
  <c r="AU167" i="13"/>
  <c r="AU166" i="13"/>
  <c r="AU165" i="13"/>
  <c r="AU164" i="13"/>
  <c r="AU163" i="13"/>
  <c r="AU162" i="13"/>
  <c r="AU161" i="13"/>
  <c r="AU160" i="13"/>
  <c r="AU159" i="13"/>
  <c r="AU158" i="13"/>
  <c r="AU157" i="13"/>
  <c r="AU156" i="13"/>
  <c r="AU155" i="13"/>
  <c r="AU154" i="13"/>
  <c r="AU153" i="13"/>
  <c r="AU152" i="13"/>
  <c r="AU151" i="13"/>
  <c r="AU150" i="13"/>
  <c r="AU149" i="13"/>
  <c r="AU148" i="13"/>
  <c r="AU147" i="13"/>
  <c r="AU146" i="13"/>
  <c r="AU145" i="13"/>
  <c r="AU130" i="13"/>
  <c r="AU129" i="13"/>
  <c r="AU128" i="13"/>
  <c r="AU127" i="13"/>
  <c r="AU126" i="13"/>
  <c r="AU125" i="13"/>
  <c r="AU124" i="13"/>
  <c r="AU123" i="13"/>
  <c r="AU122" i="13"/>
  <c r="AU121" i="13"/>
  <c r="AU120" i="13"/>
  <c r="AU119" i="13"/>
  <c r="AU118" i="13"/>
  <c r="AU117" i="13"/>
  <c r="AU116" i="13"/>
  <c r="AU115" i="13"/>
  <c r="AU114" i="13"/>
  <c r="AU113" i="13"/>
  <c r="AU112" i="13"/>
  <c r="AU111" i="13"/>
  <c r="AU110" i="13"/>
  <c r="AU109" i="13"/>
  <c r="AU108" i="13"/>
  <c r="AU107" i="13"/>
  <c r="AU106" i="13"/>
  <c r="AU105" i="13"/>
  <c r="AU104" i="13"/>
  <c r="AU103" i="13"/>
  <c r="AU102" i="13"/>
  <c r="AU101" i="13"/>
  <c r="AU100" i="13"/>
  <c r="AU99" i="13"/>
  <c r="AU78" i="13"/>
  <c r="AU79" i="13"/>
  <c r="AU80" i="13"/>
  <c r="AU81" i="13"/>
  <c r="AU82" i="13"/>
  <c r="AU83" i="13"/>
  <c r="AU84" i="13"/>
  <c r="AU77" i="13"/>
  <c r="AU76" i="13"/>
  <c r="AU75" i="13"/>
  <c r="AU74" i="13"/>
  <c r="AU73" i="13"/>
  <c r="AU72" i="13"/>
  <c r="AU71" i="13"/>
  <c r="AU70" i="13"/>
  <c r="AU69" i="13"/>
  <c r="AU68" i="13"/>
  <c r="AU67" i="13"/>
  <c r="AU66" i="13"/>
  <c r="AU65" i="13"/>
  <c r="AU64" i="13"/>
  <c r="AU63" i="13"/>
  <c r="AU62" i="13"/>
  <c r="AU61" i="13"/>
  <c r="AU60" i="13"/>
  <c r="AU59" i="13"/>
  <c r="AU58" i="13"/>
  <c r="AU57" i="13"/>
  <c r="AU56" i="13"/>
  <c r="AU55" i="13"/>
  <c r="AU54" i="13"/>
  <c r="AU53" i="13"/>
  <c r="AU12" i="13"/>
  <c r="AU15" i="13"/>
  <c r="AU16" i="13"/>
  <c r="AU17" i="13"/>
  <c r="AU18" i="13"/>
  <c r="AU19" i="13"/>
  <c r="AU20" i="13"/>
  <c r="AU21" i="13"/>
  <c r="AU22" i="13"/>
  <c r="AU23" i="13"/>
  <c r="AU24" i="13"/>
  <c r="AU25" i="13"/>
  <c r="AU26" i="13"/>
  <c r="AU27" i="13"/>
  <c r="AU28" i="13"/>
  <c r="AU29" i="13"/>
  <c r="AU30" i="13"/>
  <c r="AU31" i="13"/>
  <c r="AU32" i="13"/>
  <c r="AU33" i="13"/>
  <c r="AU34" i="13"/>
  <c r="AU35" i="13"/>
  <c r="AU11" i="13"/>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305" i="2"/>
  <c r="D2" i="16"/>
  <c r="A47" i="16"/>
  <c r="B47" i="16"/>
  <c r="C47" i="16"/>
  <c r="D47" i="16"/>
  <c r="I47" i="16"/>
  <c r="J47" i="16"/>
  <c r="M47" i="16"/>
  <c r="R47" i="16"/>
  <c r="S47" i="16"/>
  <c r="A48" i="16"/>
  <c r="B48" i="16"/>
  <c r="C48" i="16"/>
  <c r="D48" i="16"/>
  <c r="I48" i="16"/>
  <c r="J48" i="16"/>
  <c r="M48" i="16"/>
  <c r="R48" i="16"/>
  <c r="S48" i="16"/>
  <c r="A49" i="16"/>
  <c r="B49" i="16"/>
  <c r="C49" i="16"/>
  <c r="D49" i="16"/>
  <c r="I49" i="16"/>
  <c r="J49" i="16"/>
  <c r="M49" i="16"/>
  <c r="R49" i="16"/>
  <c r="S49" i="16"/>
  <c r="A50" i="16"/>
  <c r="B50" i="16"/>
  <c r="C50" i="16"/>
  <c r="D50" i="16"/>
  <c r="I50" i="16"/>
  <c r="J50" i="16"/>
  <c r="M50" i="16"/>
  <c r="R50" i="16"/>
  <c r="S50" i="16"/>
  <c r="A51" i="16"/>
  <c r="B51" i="16"/>
  <c r="C51" i="16"/>
  <c r="D51" i="16"/>
  <c r="I51" i="16"/>
  <c r="J51" i="16"/>
  <c r="M51" i="16"/>
  <c r="R51" i="16"/>
  <c r="S51" i="16"/>
  <c r="A52" i="16"/>
  <c r="B52" i="16"/>
  <c r="C52" i="16"/>
  <c r="D52" i="16"/>
  <c r="I52" i="16"/>
  <c r="J52" i="16"/>
  <c r="M52" i="16"/>
  <c r="R52" i="16"/>
  <c r="S52" i="16"/>
  <c r="A53" i="16"/>
  <c r="B53" i="16"/>
  <c r="C53" i="16"/>
  <c r="D53" i="16"/>
  <c r="I53" i="16"/>
  <c r="J53" i="16"/>
  <c r="M53" i="16"/>
  <c r="R53" i="16"/>
  <c r="S53" i="16"/>
  <c r="A54" i="16"/>
  <c r="B54" i="16"/>
  <c r="C54" i="16"/>
  <c r="D54" i="16"/>
  <c r="I54" i="16"/>
  <c r="J54" i="16"/>
  <c r="M54" i="16"/>
  <c r="R54" i="16"/>
  <c r="S54" i="16"/>
  <c r="A55" i="16"/>
  <c r="B55" i="16"/>
  <c r="C55" i="16"/>
  <c r="D55" i="16"/>
  <c r="I55" i="16"/>
  <c r="J55" i="16"/>
  <c r="M55" i="16"/>
  <c r="R55" i="16"/>
  <c r="S55" i="16"/>
  <c r="A56" i="16"/>
  <c r="B56" i="16"/>
  <c r="C56" i="16"/>
  <c r="D56" i="16"/>
  <c r="I56" i="16"/>
  <c r="J56" i="16"/>
  <c r="M56" i="16"/>
  <c r="R56" i="16"/>
  <c r="S56" i="16"/>
  <c r="A57" i="16"/>
  <c r="B57" i="16"/>
  <c r="C57" i="16"/>
  <c r="D57" i="16"/>
  <c r="I57" i="16"/>
  <c r="J57" i="16"/>
  <c r="M57" i="16"/>
  <c r="R57" i="16"/>
  <c r="S57" i="16"/>
  <c r="A58" i="16"/>
  <c r="B58" i="16"/>
  <c r="C58" i="16"/>
  <c r="D58" i="16"/>
  <c r="I58" i="16"/>
  <c r="J58" i="16"/>
  <c r="M58" i="16"/>
  <c r="R58" i="16"/>
  <c r="S58" i="16"/>
  <c r="A59" i="16"/>
  <c r="B59" i="16"/>
  <c r="C59" i="16"/>
  <c r="D59" i="16"/>
  <c r="I59" i="16"/>
  <c r="J59" i="16"/>
  <c r="M59" i="16"/>
  <c r="R59" i="16"/>
  <c r="S59" i="16"/>
  <c r="A60" i="16"/>
  <c r="B60" i="16"/>
  <c r="C60" i="16"/>
  <c r="D60" i="16"/>
  <c r="I60" i="16"/>
  <c r="J60" i="16"/>
  <c r="M60" i="16"/>
  <c r="R60" i="16"/>
  <c r="S60" i="16"/>
  <c r="A61" i="16"/>
  <c r="B61" i="16"/>
  <c r="C61" i="16"/>
  <c r="D61" i="16"/>
  <c r="I61" i="16"/>
  <c r="J61" i="16"/>
  <c r="M61" i="16"/>
  <c r="R61" i="16"/>
  <c r="S61" i="16"/>
  <c r="A62" i="16"/>
  <c r="B62" i="16"/>
  <c r="C62" i="16"/>
  <c r="D62" i="16"/>
  <c r="I62" i="16"/>
  <c r="J62" i="16"/>
  <c r="M62" i="16"/>
  <c r="R62" i="16"/>
  <c r="S62" i="16"/>
  <c r="A63" i="16"/>
  <c r="B63" i="16"/>
  <c r="C63" i="16"/>
  <c r="D63" i="16"/>
  <c r="I63" i="16"/>
  <c r="J63" i="16"/>
  <c r="M63" i="16"/>
  <c r="R63" i="16"/>
  <c r="S63" i="16"/>
  <c r="A64" i="16"/>
  <c r="B64" i="16"/>
  <c r="C64" i="16"/>
  <c r="D64" i="16"/>
  <c r="I64" i="16"/>
  <c r="J64" i="16"/>
  <c r="M64" i="16"/>
  <c r="R64" i="16"/>
  <c r="S64" i="16"/>
  <c r="A65" i="16"/>
  <c r="B65" i="16"/>
  <c r="C65" i="16"/>
  <c r="D65" i="16"/>
  <c r="F65" i="16" s="1"/>
  <c r="E65" i="16" s="1"/>
  <c r="I65" i="16"/>
  <c r="J65" i="16"/>
  <c r="M65" i="16"/>
  <c r="R65" i="16"/>
  <c r="S65" i="16"/>
  <c r="A66" i="16"/>
  <c r="B66" i="16"/>
  <c r="C66" i="16"/>
  <c r="D66" i="16"/>
  <c r="I66" i="16"/>
  <c r="J66" i="16"/>
  <c r="M66" i="16"/>
  <c r="R66" i="16"/>
  <c r="S66" i="16"/>
  <c r="A67" i="16"/>
  <c r="B67" i="16"/>
  <c r="C67" i="16"/>
  <c r="D67" i="16"/>
  <c r="I67" i="16"/>
  <c r="J67" i="16"/>
  <c r="M67" i="16"/>
  <c r="R67" i="16"/>
  <c r="S67" i="16"/>
  <c r="A68" i="16"/>
  <c r="B68" i="16"/>
  <c r="C68" i="16"/>
  <c r="D68" i="16"/>
  <c r="I68" i="16"/>
  <c r="J68" i="16"/>
  <c r="M68" i="16"/>
  <c r="R68" i="16"/>
  <c r="S68" i="16"/>
  <c r="A69" i="16"/>
  <c r="B69" i="16"/>
  <c r="C69" i="16"/>
  <c r="D69" i="16"/>
  <c r="I69" i="16"/>
  <c r="J69" i="16"/>
  <c r="M69" i="16"/>
  <c r="R69" i="16"/>
  <c r="S69" i="16"/>
  <c r="A70" i="16"/>
  <c r="B70" i="16"/>
  <c r="C70" i="16"/>
  <c r="D70" i="16"/>
  <c r="I70" i="16"/>
  <c r="J70" i="16"/>
  <c r="M70" i="16"/>
  <c r="R70" i="16"/>
  <c r="S70" i="16"/>
  <c r="A71" i="16"/>
  <c r="B71" i="16"/>
  <c r="C71" i="16"/>
  <c r="D71" i="16"/>
  <c r="I71" i="16"/>
  <c r="J71" i="16"/>
  <c r="M71" i="16"/>
  <c r="R71" i="16"/>
  <c r="S71" i="16"/>
  <c r="A72" i="16"/>
  <c r="B72" i="16"/>
  <c r="C72" i="16"/>
  <c r="D72" i="16"/>
  <c r="I72" i="16"/>
  <c r="J72" i="16"/>
  <c r="M72" i="16"/>
  <c r="R72" i="16"/>
  <c r="S72" i="16"/>
  <c r="A73" i="16"/>
  <c r="B73" i="16"/>
  <c r="C73" i="16"/>
  <c r="D73" i="16"/>
  <c r="I73" i="16"/>
  <c r="J73" i="16"/>
  <c r="M73" i="16"/>
  <c r="R73" i="16"/>
  <c r="S73" i="16"/>
  <c r="A74" i="16"/>
  <c r="B74" i="16"/>
  <c r="C74" i="16"/>
  <c r="D74" i="16"/>
  <c r="I74" i="16"/>
  <c r="J74" i="16"/>
  <c r="M74" i="16"/>
  <c r="R74" i="16"/>
  <c r="S74" i="16"/>
  <c r="A75" i="16"/>
  <c r="B75" i="16"/>
  <c r="C75" i="16"/>
  <c r="D75" i="16"/>
  <c r="I75" i="16"/>
  <c r="J75" i="16"/>
  <c r="M75" i="16"/>
  <c r="R75" i="16"/>
  <c r="S75" i="16"/>
  <c r="A76" i="16"/>
  <c r="B76" i="16"/>
  <c r="C76" i="16"/>
  <c r="D76" i="16"/>
  <c r="I76" i="16"/>
  <c r="J76" i="16"/>
  <c r="M76" i="16"/>
  <c r="R76" i="16"/>
  <c r="S76" i="16"/>
  <c r="A77" i="16"/>
  <c r="B77" i="16"/>
  <c r="C77" i="16"/>
  <c r="D77" i="16"/>
  <c r="I77" i="16"/>
  <c r="J77" i="16"/>
  <c r="M77" i="16"/>
  <c r="R77" i="16"/>
  <c r="S77" i="16"/>
  <c r="A78" i="16"/>
  <c r="B78" i="16"/>
  <c r="C78" i="16"/>
  <c r="D78" i="16"/>
  <c r="I78" i="16"/>
  <c r="J78" i="16"/>
  <c r="M78" i="16"/>
  <c r="R78" i="16"/>
  <c r="S78" i="16"/>
  <c r="A79" i="16"/>
  <c r="B79" i="16"/>
  <c r="C79" i="16"/>
  <c r="D79" i="16"/>
  <c r="I79" i="16"/>
  <c r="J79" i="16"/>
  <c r="M79" i="16"/>
  <c r="R79" i="16"/>
  <c r="S79" i="16"/>
  <c r="A80" i="16"/>
  <c r="B80" i="16"/>
  <c r="C80" i="16"/>
  <c r="D80" i="16"/>
  <c r="I80" i="16"/>
  <c r="J80" i="16"/>
  <c r="M80" i="16"/>
  <c r="R80" i="16"/>
  <c r="S80" i="16"/>
  <c r="A81" i="16"/>
  <c r="B81" i="16"/>
  <c r="C81" i="16"/>
  <c r="D81" i="16"/>
  <c r="I81" i="16"/>
  <c r="J81" i="16"/>
  <c r="M81" i="16"/>
  <c r="R81" i="16"/>
  <c r="S81" i="16"/>
  <c r="A82" i="16"/>
  <c r="B82" i="16"/>
  <c r="C82" i="16"/>
  <c r="D82" i="16"/>
  <c r="I82" i="16"/>
  <c r="J82" i="16"/>
  <c r="M82" i="16"/>
  <c r="R82" i="16"/>
  <c r="S82" i="16"/>
  <c r="A83" i="16"/>
  <c r="B83" i="16"/>
  <c r="C83" i="16"/>
  <c r="D83" i="16"/>
  <c r="I83" i="16"/>
  <c r="J83" i="16"/>
  <c r="M83" i="16"/>
  <c r="R83" i="16"/>
  <c r="S83" i="16"/>
  <c r="A84" i="16"/>
  <c r="B84" i="16"/>
  <c r="C84" i="16"/>
  <c r="D84" i="16"/>
  <c r="I84" i="16"/>
  <c r="J84" i="16"/>
  <c r="M84" i="16"/>
  <c r="R84" i="16"/>
  <c r="S84" i="16"/>
  <c r="A85" i="16"/>
  <c r="B85" i="16"/>
  <c r="C85" i="16"/>
  <c r="D85" i="16"/>
  <c r="I85" i="16"/>
  <c r="J85" i="16"/>
  <c r="M85" i="16"/>
  <c r="R85" i="16"/>
  <c r="S85" i="16"/>
  <c r="A86" i="16"/>
  <c r="B86" i="16"/>
  <c r="C86" i="16"/>
  <c r="D86" i="16"/>
  <c r="I86" i="16"/>
  <c r="J86" i="16"/>
  <c r="M86" i="16"/>
  <c r="R86" i="16"/>
  <c r="S86" i="16"/>
  <c r="A87" i="16"/>
  <c r="B87" i="16"/>
  <c r="C87" i="16"/>
  <c r="D87" i="16"/>
  <c r="I87" i="16"/>
  <c r="J87" i="16"/>
  <c r="M87" i="16"/>
  <c r="R87" i="16"/>
  <c r="S87" i="16"/>
  <c r="A88" i="16"/>
  <c r="B88" i="16"/>
  <c r="C88" i="16"/>
  <c r="D88" i="16"/>
  <c r="I88" i="16"/>
  <c r="J88" i="16"/>
  <c r="M88" i="16"/>
  <c r="R88" i="16"/>
  <c r="S88" i="16"/>
  <c r="A89" i="16"/>
  <c r="B89" i="16"/>
  <c r="C89" i="16"/>
  <c r="D89" i="16"/>
  <c r="I89" i="16"/>
  <c r="J89" i="16"/>
  <c r="M89" i="16"/>
  <c r="R89" i="16"/>
  <c r="S89" i="16"/>
  <c r="A90" i="16"/>
  <c r="B90" i="16"/>
  <c r="C90" i="16"/>
  <c r="D90" i="16"/>
  <c r="I90" i="16"/>
  <c r="J90" i="16"/>
  <c r="M90" i="16"/>
  <c r="R90" i="16"/>
  <c r="S90" i="16"/>
  <c r="A91" i="16"/>
  <c r="C91" i="16"/>
  <c r="D91" i="16"/>
  <c r="I91" i="16"/>
  <c r="J91" i="16"/>
  <c r="M91" i="16"/>
  <c r="R91" i="16"/>
  <c r="S91" i="16"/>
  <c r="A92" i="16"/>
  <c r="B92" i="16"/>
  <c r="C92" i="16"/>
  <c r="D92" i="16"/>
  <c r="I92" i="16"/>
  <c r="J92" i="16"/>
  <c r="M92" i="16"/>
  <c r="R92" i="16"/>
  <c r="S92" i="16"/>
  <c r="A93" i="16"/>
  <c r="B93" i="16"/>
  <c r="C93" i="16"/>
  <c r="D93" i="16"/>
  <c r="I93" i="16"/>
  <c r="J93" i="16"/>
  <c r="M93" i="16"/>
  <c r="R93" i="16"/>
  <c r="S93" i="16"/>
  <c r="A94" i="16"/>
  <c r="B94" i="16"/>
  <c r="C94" i="16"/>
  <c r="D94" i="16"/>
  <c r="I94" i="16"/>
  <c r="J94" i="16"/>
  <c r="M94" i="16"/>
  <c r="R94" i="16"/>
  <c r="S94" i="16"/>
  <c r="A95" i="16"/>
  <c r="B95" i="16"/>
  <c r="C95" i="16"/>
  <c r="D95" i="16"/>
  <c r="I95" i="16"/>
  <c r="J95" i="16"/>
  <c r="M95" i="16"/>
  <c r="R95" i="16"/>
  <c r="S95" i="16"/>
  <c r="A96" i="16"/>
  <c r="B96" i="16"/>
  <c r="C96" i="16"/>
  <c r="D96" i="16"/>
  <c r="I96" i="16"/>
  <c r="J96" i="16"/>
  <c r="M96" i="16"/>
  <c r="R96" i="16"/>
  <c r="S96" i="16"/>
  <c r="A97" i="16"/>
  <c r="B97" i="16"/>
  <c r="C97" i="16"/>
  <c r="D97" i="16"/>
  <c r="I97" i="16"/>
  <c r="J97" i="16"/>
  <c r="M97" i="16"/>
  <c r="R97" i="16"/>
  <c r="S97" i="16"/>
  <c r="A98" i="16"/>
  <c r="B98" i="16"/>
  <c r="C98" i="16"/>
  <c r="D98" i="16"/>
  <c r="I98" i="16"/>
  <c r="J98" i="16"/>
  <c r="M98" i="16"/>
  <c r="R98" i="16"/>
  <c r="S98" i="16"/>
  <c r="A99" i="16"/>
  <c r="B99" i="16"/>
  <c r="C99" i="16"/>
  <c r="D99" i="16"/>
  <c r="I99" i="16"/>
  <c r="J99" i="16"/>
  <c r="M99" i="16"/>
  <c r="R99" i="16"/>
  <c r="S99" i="16"/>
  <c r="A100" i="16"/>
  <c r="B100" i="16"/>
  <c r="C100" i="16"/>
  <c r="D100" i="16"/>
  <c r="I100" i="16"/>
  <c r="J100" i="16"/>
  <c r="M100" i="16"/>
  <c r="R100" i="16"/>
  <c r="S100" i="16"/>
  <c r="A101" i="16"/>
  <c r="B101" i="16"/>
  <c r="C101" i="16"/>
  <c r="D101" i="16"/>
  <c r="I101" i="16"/>
  <c r="J101" i="16"/>
  <c r="M101" i="16"/>
  <c r="R101" i="16"/>
  <c r="S101" i="16"/>
  <c r="A102" i="16"/>
  <c r="B102" i="16"/>
  <c r="C102" i="16"/>
  <c r="D102" i="16"/>
  <c r="I102" i="16"/>
  <c r="J102" i="16"/>
  <c r="M102" i="16"/>
  <c r="R102" i="16"/>
  <c r="S102" i="16"/>
  <c r="A103" i="16"/>
  <c r="B103" i="16"/>
  <c r="C103" i="16"/>
  <c r="D103" i="16"/>
  <c r="I103" i="16"/>
  <c r="J103" i="16"/>
  <c r="M103" i="16"/>
  <c r="R103" i="16"/>
  <c r="S103" i="16"/>
  <c r="A104" i="16"/>
  <c r="B104" i="16"/>
  <c r="C104" i="16"/>
  <c r="D104" i="16"/>
  <c r="I104" i="16"/>
  <c r="J104" i="16"/>
  <c r="M104" i="16"/>
  <c r="R104" i="16"/>
  <c r="S104" i="16"/>
  <c r="A105" i="16"/>
  <c r="B105" i="16"/>
  <c r="C105" i="16"/>
  <c r="D105" i="16"/>
  <c r="I105" i="16"/>
  <c r="J105" i="16"/>
  <c r="M105" i="16"/>
  <c r="R105" i="16"/>
  <c r="S105" i="16"/>
  <c r="A106" i="16"/>
  <c r="B106" i="16"/>
  <c r="C106" i="16"/>
  <c r="D106" i="16"/>
  <c r="I106" i="16"/>
  <c r="J106" i="16"/>
  <c r="M106" i="16"/>
  <c r="R106" i="16"/>
  <c r="S106" i="16"/>
  <c r="A107" i="16"/>
  <c r="B107" i="16"/>
  <c r="C107" i="16"/>
  <c r="D107" i="16"/>
  <c r="I107" i="16"/>
  <c r="J107" i="16"/>
  <c r="M107" i="16"/>
  <c r="R107" i="16"/>
  <c r="S107" i="16"/>
  <c r="A108" i="16"/>
  <c r="B108" i="16"/>
  <c r="C108" i="16"/>
  <c r="D108" i="16"/>
  <c r="I108" i="16"/>
  <c r="J108" i="16"/>
  <c r="M108" i="16"/>
  <c r="R108" i="16"/>
  <c r="S108" i="16"/>
  <c r="A109" i="16"/>
  <c r="B109" i="16"/>
  <c r="C109" i="16"/>
  <c r="D109" i="16"/>
  <c r="I109" i="16"/>
  <c r="J109" i="16"/>
  <c r="M109" i="16"/>
  <c r="R109" i="16"/>
  <c r="S109" i="16"/>
  <c r="A110" i="16"/>
  <c r="B110" i="16"/>
  <c r="C110" i="16"/>
  <c r="D110" i="16"/>
  <c r="I110" i="16"/>
  <c r="J110" i="16"/>
  <c r="M110" i="16"/>
  <c r="R110" i="16"/>
  <c r="S110" i="16"/>
  <c r="A111" i="16"/>
  <c r="B111" i="16"/>
  <c r="C111" i="16"/>
  <c r="D111" i="16"/>
  <c r="I111" i="16"/>
  <c r="J111" i="16"/>
  <c r="M111" i="16"/>
  <c r="R111" i="16"/>
  <c r="S111" i="16"/>
  <c r="A112" i="16"/>
  <c r="B112" i="16"/>
  <c r="C112" i="16"/>
  <c r="D112" i="16"/>
  <c r="I112" i="16"/>
  <c r="J112" i="16"/>
  <c r="M112" i="16"/>
  <c r="R112" i="16"/>
  <c r="S112" i="16"/>
  <c r="A113" i="16"/>
  <c r="B113" i="16"/>
  <c r="C113" i="16"/>
  <c r="D113" i="16"/>
  <c r="I113" i="16"/>
  <c r="J113" i="16"/>
  <c r="M113" i="16"/>
  <c r="R113" i="16"/>
  <c r="S113" i="16"/>
  <c r="A114" i="16"/>
  <c r="B114" i="16"/>
  <c r="C114" i="16"/>
  <c r="D114" i="16"/>
  <c r="I114" i="16"/>
  <c r="J114" i="16"/>
  <c r="M114" i="16"/>
  <c r="R114" i="16"/>
  <c r="S114" i="16"/>
  <c r="A115" i="16"/>
  <c r="B115" i="16"/>
  <c r="C115" i="16"/>
  <c r="D115" i="16"/>
  <c r="I115" i="16"/>
  <c r="J115" i="16"/>
  <c r="M115" i="16"/>
  <c r="R115" i="16"/>
  <c r="S115" i="16"/>
  <c r="A116" i="16"/>
  <c r="B116" i="16"/>
  <c r="C116" i="16"/>
  <c r="D116" i="16"/>
  <c r="I116" i="16"/>
  <c r="J116" i="16"/>
  <c r="M116" i="16"/>
  <c r="R116" i="16"/>
  <c r="S116" i="16"/>
  <c r="A117" i="16"/>
  <c r="B117" i="16"/>
  <c r="C117" i="16"/>
  <c r="D117" i="16"/>
  <c r="I117" i="16"/>
  <c r="J117" i="16"/>
  <c r="M117" i="16"/>
  <c r="R117" i="16"/>
  <c r="S117" i="16"/>
  <c r="A118" i="16"/>
  <c r="B118" i="16"/>
  <c r="C118" i="16"/>
  <c r="D118" i="16"/>
  <c r="I118" i="16"/>
  <c r="J118" i="16"/>
  <c r="M118" i="16"/>
  <c r="R118" i="16"/>
  <c r="S118" i="16"/>
  <c r="A119" i="16"/>
  <c r="B119" i="16"/>
  <c r="C119" i="16"/>
  <c r="D119" i="16"/>
  <c r="I119" i="16"/>
  <c r="J119" i="16"/>
  <c r="M119" i="16"/>
  <c r="R119" i="16"/>
  <c r="S119" i="16"/>
  <c r="A120" i="16"/>
  <c r="B120" i="16"/>
  <c r="C120" i="16"/>
  <c r="D120" i="16"/>
  <c r="I120" i="16"/>
  <c r="J120" i="16"/>
  <c r="M120" i="16"/>
  <c r="R120" i="16"/>
  <c r="S120" i="16"/>
  <c r="A121" i="16"/>
  <c r="B121" i="16"/>
  <c r="C121" i="16"/>
  <c r="D121" i="16"/>
  <c r="I121" i="16"/>
  <c r="J121" i="16"/>
  <c r="M121" i="16"/>
  <c r="R121" i="16"/>
  <c r="S121" i="16"/>
  <c r="A122" i="16"/>
  <c r="B122" i="16"/>
  <c r="C122" i="16"/>
  <c r="D122" i="16"/>
  <c r="I122" i="16"/>
  <c r="J122" i="16"/>
  <c r="M122" i="16"/>
  <c r="R122" i="16"/>
  <c r="S122" i="16"/>
  <c r="A123" i="16"/>
  <c r="B123" i="16"/>
  <c r="C123" i="16"/>
  <c r="D123" i="16"/>
  <c r="I123" i="16"/>
  <c r="J123" i="16"/>
  <c r="M123" i="16"/>
  <c r="R123" i="16"/>
  <c r="S123" i="16"/>
  <c r="A124" i="16"/>
  <c r="B124" i="16"/>
  <c r="C124" i="16"/>
  <c r="D124" i="16"/>
  <c r="I124" i="16"/>
  <c r="J124" i="16"/>
  <c r="M124" i="16"/>
  <c r="R124" i="16"/>
  <c r="S124" i="16"/>
  <c r="A125" i="16"/>
  <c r="B125" i="16"/>
  <c r="C125" i="16"/>
  <c r="D125" i="16"/>
  <c r="I125" i="16"/>
  <c r="J125" i="16"/>
  <c r="M125" i="16"/>
  <c r="R125" i="16"/>
  <c r="S125" i="16"/>
  <c r="A126" i="16"/>
  <c r="B126" i="16"/>
  <c r="C126" i="16"/>
  <c r="D126" i="16"/>
  <c r="I126" i="16"/>
  <c r="J126" i="16"/>
  <c r="M126" i="16"/>
  <c r="R126" i="16"/>
  <c r="S126" i="16"/>
  <c r="A127" i="16"/>
  <c r="B127" i="16"/>
  <c r="C127" i="16"/>
  <c r="D127" i="16"/>
  <c r="I127" i="16"/>
  <c r="J127" i="16"/>
  <c r="M127" i="16"/>
  <c r="R127" i="16"/>
  <c r="S127" i="16"/>
  <c r="A128" i="16"/>
  <c r="B128" i="16"/>
  <c r="C128" i="16"/>
  <c r="D128" i="16"/>
  <c r="K128" i="16" s="1"/>
  <c r="O128" i="16" s="1"/>
  <c r="I128" i="16"/>
  <c r="J128" i="16"/>
  <c r="M128" i="16"/>
  <c r="R128" i="16"/>
  <c r="S128" i="16"/>
  <c r="A129" i="16"/>
  <c r="B129" i="16"/>
  <c r="C129" i="16"/>
  <c r="D129" i="16"/>
  <c r="I129" i="16"/>
  <c r="J129" i="16"/>
  <c r="M129" i="16"/>
  <c r="R129" i="16"/>
  <c r="S129" i="16"/>
  <c r="A130" i="16"/>
  <c r="B130" i="16"/>
  <c r="C130" i="16"/>
  <c r="D130" i="16"/>
  <c r="I130" i="16"/>
  <c r="J130" i="16"/>
  <c r="M130" i="16"/>
  <c r="R130" i="16"/>
  <c r="S130" i="16"/>
  <c r="A131" i="16"/>
  <c r="B131" i="16"/>
  <c r="C131" i="16"/>
  <c r="D131" i="16"/>
  <c r="I131" i="16"/>
  <c r="J131" i="16"/>
  <c r="M131" i="16"/>
  <c r="R131" i="16"/>
  <c r="S131" i="16"/>
  <c r="A132" i="16"/>
  <c r="B132" i="16"/>
  <c r="C132" i="16"/>
  <c r="D132" i="16"/>
  <c r="I132" i="16"/>
  <c r="J132" i="16"/>
  <c r="M132" i="16"/>
  <c r="R132" i="16"/>
  <c r="S132" i="16"/>
  <c r="A133" i="16"/>
  <c r="B133" i="16"/>
  <c r="C133" i="16"/>
  <c r="D133" i="16"/>
  <c r="I133" i="16"/>
  <c r="J133" i="16"/>
  <c r="M133" i="16"/>
  <c r="R133" i="16"/>
  <c r="S133" i="16"/>
  <c r="A134" i="16"/>
  <c r="B134" i="16"/>
  <c r="C134" i="16"/>
  <c r="D134" i="16"/>
  <c r="I134" i="16"/>
  <c r="J134" i="16"/>
  <c r="M134" i="16"/>
  <c r="R134" i="16"/>
  <c r="S134" i="16"/>
  <c r="A135" i="16"/>
  <c r="B135" i="16"/>
  <c r="C135" i="16"/>
  <c r="D135" i="16"/>
  <c r="I135" i="16"/>
  <c r="J135" i="16"/>
  <c r="M135" i="16"/>
  <c r="R135" i="16"/>
  <c r="S135" i="16"/>
  <c r="A136" i="16"/>
  <c r="B136" i="16"/>
  <c r="C136" i="16"/>
  <c r="D136" i="16"/>
  <c r="I136" i="16"/>
  <c r="J136" i="16"/>
  <c r="M136" i="16"/>
  <c r="R136" i="16"/>
  <c r="S136" i="16"/>
  <c r="A137" i="16"/>
  <c r="B137" i="16"/>
  <c r="C137" i="16"/>
  <c r="D137" i="16"/>
  <c r="I137" i="16"/>
  <c r="J137" i="16"/>
  <c r="M137" i="16"/>
  <c r="R137" i="16"/>
  <c r="S137" i="16"/>
  <c r="A138" i="16"/>
  <c r="B138" i="16"/>
  <c r="C138" i="16"/>
  <c r="D138" i="16"/>
  <c r="I138" i="16"/>
  <c r="J138" i="16"/>
  <c r="M138" i="16"/>
  <c r="R138" i="16"/>
  <c r="S138" i="16"/>
  <c r="A139" i="16"/>
  <c r="B139" i="16"/>
  <c r="C139" i="16"/>
  <c r="D139" i="16"/>
  <c r="I139" i="16"/>
  <c r="J139" i="16"/>
  <c r="M139" i="16"/>
  <c r="R139" i="16"/>
  <c r="S139" i="16"/>
  <c r="A140" i="16"/>
  <c r="B140" i="16"/>
  <c r="C140" i="16"/>
  <c r="D140" i="16"/>
  <c r="I140" i="16"/>
  <c r="J140" i="16"/>
  <c r="M140" i="16"/>
  <c r="R140" i="16"/>
  <c r="S140" i="16"/>
  <c r="A141" i="16"/>
  <c r="B141" i="16"/>
  <c r="C141" i="16"/>
  <c r="D141" i="16"/>
  <c r="I141" i="16"/>
  <c r="J141" i="16"/>
  <c r="M141" i="16"/>
  <c r="R141" i="16"/>
  <c r="S141" i="16"/>
  <c r="A142" i="16"/>
  <c r="B142" i="16"/>
  <c r="C142" i="16"/>
  <c r="D142" i="16"/>
  <c r="I142" i="16"/>
  <c r="J142" i="16"/>
  <c r="M142" i="16"/>
  <c r="R142" i="16"/>
  <c r="S142" i="16"/>
  <c r="A143" i="16"/>
  <c r="B143" i="16"/>
  <c r="C143" i="16"/>
  <c r="D143" i="16"/>
  <c r="I143" i="16"/>
  <c r="J143" i="16"/>
  <c r="M143" i="16"/>
  <c r="R143" i="16"/>
  <c r="S143" i="16"/>
  <c r="A144" i="16"/>
  <c r="B144" i="16"/>
  <c r="C144" i="16"/>
  <c r="D144" i="16"/>
  <c r="I144" i="16"/>
  <c r="J144" i="16"/>
  <c r="M144" i="16"/>
  <c r="R144" i="16"/>
  <c r="S144" i="16"/>
  <c r="A145" i="16"/>
  <c r="B145" i="16"/>
  <c r="C145" i="16"/>
  <c r="D145" i="16"/>
  <c r="I145" i="16"/>
  <c r="J145" i="16"/>
  <c r="M145" i="16"/>
  <c r="R145" i="16"/>
  <c r="S145" i="16"/>
  <c r="A146" i="16"/>
  <c r="B146" i="16"/>
  <c r="C146" i="16"/>
  <c r="D146" i="16"/>
  <c r="I146" i="16"/>
  <c r="J146" i="16"/>
  <c r="M146" i="16"/>
  <c r="R146" i="16"/>
  <c r="S146" i="16"/>
  <c r="A147" i="16"/>
  <c r="B147" i="16"/>
  <c r="C147" i="16"/>
  <c r="D147" i="16"/>
  <c r="I147" i="16"/>
  <c r="J147" i="16"/>
  <c r="M147" i="16"/>
  <c r="R147" i="16"/>
  <c r="S147" i="16"/>
  <c r="A148" i="16"/>
  <c r="B148" i="16"/>
  <c r="C148" i="16"/>
  <c r="D148" i="16"/>
  <c r="I148" i="16"/>
  <c r="J148" i="16"/>
  <c r="M148" i="16"/>
  <c r="R148" i="16"/>
  <c r="S148" i="16"/>
  <c r="A149" i="16"/>
  <c r="B149" i="16"/>
  <c r="C149" i="16"/>
  <c r="D149" i="16"/>
  <c r="I149" i="16"/>
  <c r="J149" i="16"/>
  <c r="M149" i="16"/>
  <c r="R149" i="16"/>
  <c r="S149" i="16"/>
  <c r="A150" i="16"/>
  <c r="B150" i="16"/>
  <c r="C150" i="16"/>
  <c r="D150" i="16"/>
  <c r="K150" i="16" s="1"/>
  <c r="O150" i="16" s="1"/>
  <c r="I150" i="16"/>
  <c r="J150" i="16"/>
  <c r="M150" i="16"/>
  <c r="R150" i="16"/>
  <c r="S150" i="16"/>
  <c r="A151" i="16"/>
  <c r="B151" i="16"/>
  <c r="C151" i="16"/>
  <c r="D151" i="16"/>
  <c r="I151" i="16"/>
  <c r="J151" i="16"/>
  <c r="M151" i="16"/>
  <c r="R151" i="16"/>
  <c r="S151" i="16"/>
  <c r="A152" i="16"/>
  <c r="B152" i="16"/>
  <c r="C152" i="16"/>
  <c r="D152" i="16"/>
  <c r="I152" i="16"/>
  <c r="J152" i="16"/>
  <c r="M152" i="16"/>
  <c r="R152" i="16"/>
  <c r="S152" i="16"/>
  <c r="A153" i="16"/>
  <c r="B153" i="16"/>
  <c r="C153" i="16"/>
  <c r="D153" i="16"/>
  <c r="I153" i="16"/>
  <c r="J153" i="16"/>
  <c r="M153" i="16"/>
  <c r="R153" i="16"/>
  <c r="S153" i="16"/>
  <c r="A154" i="16"/>
  <c r="B154" i="16"/>
  <c r="C154" i="16"/>
  <c r="D154" i="16"/>
  <c r="I154" i="16"/>
  <c r="J154" i="16"/>
  <c r="M154" i="16"/>
  <c r="R154" i="16"/>
  <c r="S154" i="16"/>
  <c r="A155" i="16"/>
  <c r="B155" i="16"/>
  <c r="C155" i="16"/>
  <c r="D155" i="16"/>
  <c r="I155" i="16"/>
  <c r="J155" i="16"/>
  <c r="M155" i="16"/>
  <c r="R155" i="16"/>
  <c r="S155" i="16"/>
  <c r="A156" i="16"/>
  <c r="B156" i="16"/>
  <c r="C156" i="16"/>
  <c r="D156" i="16"/>
  <c r="I156" i="16"/>
  <c r="J156" i="16"/>
  <c r="M156" i="16"/>
  <c r="R156" i="16"/>
  <c r="S156" i="16"/>
  <c r="A157" i="16"/>
  <c r="B157" i="16"/>
  <c r="C157" i="16"/>
  <c r="D157" i="16"/>
  <c r="I157" i="16"/>
  <c r="J157" i="16"/>
  <c r="M157" i="16"/>
  <c r="R157" i="16"/>
  <c r="S157" i="16"/>
  <c r="A158" i="16"/>
  <c r="B158" i="16"/>
  <c r="C158" i="16"/>
  <c r="D158" i="16"/>
  <c r="I158" i="16"/>
  <c r="J158" i="16"/>
  <c r="M158" i="16"/>
  <c r="R158" i="16"/>
  <c r="S158" i="16"/>
  <c r="A159" i="16"/>
  <c r="B159" i="16"/>
  <c r="C159" i="16"/>
  <c r="D159" i="16"/>
  <c r="I159" i="16"/>
  <c r="J159" i="16"/>
  <c r="M159" i="16"/>
  <c r="R159" i="16"/>
  <c r="S159" i="16"/>
  <c r="A160" i="16"/>
  <c r="B160" i="16"/>
  <c r="C160" i="16"/>
  <c r="D160" i="16"/>
  <c r="I160" i="16"/>
  <c r="J160" i="16"/>
  <c r="M160" i="16"/>
  <c r="R160" i="16"/>
  <c r="S160" i="16"/>
  <c r="A161" i="16"/>
  <c r="B161" i="16"/>
  <c r="C161" i="16"/>
  <c r="D161" i="16"/>
  <c r="I161" i="16"/>
  <c r="J161" i="16"/>
  <c r="M161" i="16"/>
  <c r="R161" i="16"/>
  <c r="S161" i="16"/>
  <c r="A162" i="16"/>
  <c r="B162" i="16"/>
  <c r="C162" i="16"/>
  <c r="D162" i="16"/>
  <c r="I162" i="16"/>
  <c r="J162" i="16"/>
  <c r="M162" i="16"/>
  <c r="R162" i="16"/>
  <c r="S162" i="16"/>
  <c r="A163" i="16"/>
  <c r="B163" i="16"/>
  <c r="C163" i="16"/>
  <c r="D163" i="16"/>
  <c r="I163" i="16"/>
  <c r="J163" i="16"/>
  <c r="M163" i="16"/>
  <c r="R163" i="16"/>
  <c r="S163" i="16"/>
  <c r="A164" i="16"/>
  <c r="B164" i="16"/>
  <c r="C164" i="16"/>
  <c r="D164" i="16"/>
  <c r="I164" i="16"/>
  <c r="J164" i="16"/>
  <c r="M164" i="16"/>
  <c r="R164" i="16"/>
  <c r="S164" i="16"/>
  <c r="A165" i="16"/>
  <c r="B165" i="16"/>
  <c r="C165" i="16"/>
  <c r="D165" i="16"/>
  <c r="I165" i="16"/>
  <c r="J165" i="16"/>
  <c r="M165" i="16"/>
  <c r="R165" i="16"/>
  <c r="S165" i="16"/>
  <c r="A166" i="16"/>
  <c r="B166" i="16"/>
  <c r="C166" i="16"/>
  <c r="D166" i="16"/>
  <c r="I166" i="16"/>
  <c r="J166" i="16"/>
  <c r="M166" i="16"/>
  <c r="R166" i="16"/>
  <c r="S166" i="16"/>
  <c r="A167" i="16"/>
  <c r="B167" i="16"/>
  <c r="C167" i="16"/>
  <c r="D167" i="16"/>
  <c r="I167" i="16"/>
  <c r="J167" i="16"/>
  <c r="M167" i="16"/>
  <c r="R167" i="16"/>
  <c r="S167" i="16"/>
  <c r="A168" i="16"/>
  <c r="B168" i="16"/>
  <c r="C168" i="16"/>
  <c r="D168" i="16"/>
  <c r="I168" i="16"/>
  <c r="J168" i="16"/>
  <c r="M168" i="16"/>
  <c r="R168" i="16"/>
  <c r="S168" i="16"/>
  <c r="A169" i="16"/>
  <c r="B169" i="16"/>
  <c r="C169" i="16"/>
  <c r="D169" i="16"/>
  <c r="I169" i="16"/>
  <c r="J169" i="16"/>
  <c r="M169" i="16"/>
  <c r="R169" i="16"/>
  <c r="S169" i="16"/>
  <c r="A170" i="16"/>
  <c r="B170" i="16"/>
  <c r="C170" i="16"/>
  <c r="D170" i="16"/>
  <c r="I170" i="16"/>
  <c r="J170" i="16"/>
  <c r="M170" i="16"/>
  <c r="R170" i="16"/>
  <c r="S170" i="16"/>
  <c r="A171" i="16"/>
  <c r="B171" i="16"/>
  <c r="C171" i="16"/>
  <c r="D171" i="16"/>
  <c r="I171" i="16"/>
  <c r="J171" i="16"/>
  <c r="M171" i="16"/>
  <c r="R171" i="16"/>
  <c r="S171" i="16"/>
  <c r="A172" i="16"/>
  <c r="B172" i="16"/>
  <c r="C172" i="16"/>
  <c r="D172" i="16"/>
  <c r="I172" i="16"/>
  <c r="J172" i="16"/>
  <c r="M172" i="16"/>
  <c r="R172" i="16"/>
  <c r="S172" i="16"/>
  <c r="A173" i="16"/>
  <c r="B173" i="16"/>
  <c r="C173" i="16"/>
  <c r="D173" i="16"/>
  <c r="I173" i="16"/>
  <c r="J173" i="16"/>
  <c r="M173" i="16"/>
  <c r="R173" i="16"/>
  <c r="S173" i="16"/>
  <c r="A174" i="16"/>
  <c r="B174" i="16"/>
  <c r="C174" i="16"/>
  <c r="D174" i="16"/>
  <c r="I174" i="16"/>
  <c r="J174" i="16"/>
  <c r="M174" i="16"/>
  <c r="R174" i="16"/>
  <c r="S174" i="16"/>
  <c r="A175" i="16"/>
  <c r="B175" i="16"/>
  <c r="C175" i="16"/>
  <c r="D175" i="16"/>
  <c r="I175" i="16"/>
  <c r="J175" i="16"/>
  <c r="M175" i="16"/>
  <c r="R175" i="16"/>
  <c r="S175" i="16"/>
  <c r="A176" i="16"/>
  <c r="B176" i="16"/>
  <c r="C176" i="16"/>
  <c r="D176" i="16"/>
  <c r="I176" i="16"/>
  <c r="J176" i="16"/>
  <c r="M176" i="16"/>
  <c r="R176" i="16"/>
  <c r="S176" i="16"/>
  <c r="A177" i="16"/>
  <c r="B177" i="16"/>
  <c r="C177" i="16"/>
  <c r="D177" i="16"/>
  <c r="I177" i="16"/>
  <c r="J177" i="16"/>
  <c r="M177" i="16"/>
  <c r="R177" i="16"/>
  <c r="S177" i="16"/>
  <c r="A178" i="16"/>
  <c r="B178" i="16"/>
  <c r="C178" i="16"/>
  <c r="D178" i="16"/>
  <c r="I178" i="16"/>
  <c r="J178" i="16"/>
  <c r="M178" i="16"/>
  <c r="R178" i="16"/>
  <c r="S178" i="16"/>
  <c r="A179" i="16"/>
  <c r="B179" i="16"/>
  <c r="C179" i="16"/>
  <c r="D179" i="16"/>
  <c r="I179" i="16"/>
  <c r="J179" i="16"/>
  <c r="M179" i="16"/>
  <c r="R179" i="16"/>
  <c r="S179" i="16"/>
  <c r="A180" i="16"/>
  <c r="B180" i="16"/>
  <c r="C180" i="16"/>
  <c r="D180" i="16"/>
  <c r="I180" i="16"/>
  <c r="J180" i="16"/>
  <c r="M180" i="16"/>
  <c r="R180" i="16"/>
  <c r="S180" i="16"/>
  <c r="A181" i="16"/>
  <c r="B181" i="16"/>
  <c r="C181" i="16"/>
  <c r="D181" i="16"/>
  <c r="K181" i="16" s="1"/>
  <c r="O181" i="16" s="1"/>
  <c r="I181" i="16"/>
  <c r="J181" i="16"/>
  <c r="M181" i="16"/>
  <c r="R181" i="16"/>
  <c r="S181" i="16"/>
  <c r="A182" i="16"/>
  <c r="B182" i="16"/>
  <c r="C182" i="16"/>
  <c r="D182" i="16"/>
  <c r="I182" i="16"/>
  <c r="J182" i="16"/>
  <c r="M182" i="16"/>
  <c r="R182" i="16"/>
  <c r="S182" i="16"/>
  <c r="A183" i="16"/>
  <c r="B183" i="16"/>
  <c r="C183" i="16"/>
  <c r="D183" i="16"/>
  <c r="I183" i="16"/>
  <c r="J183" i="16"/>
  <c r="M183" i="16"/>
  <c r="R183" i="16"/>
  <c r="S183" i="16"/>
  <c r="A184" i="16"/>
  <c r="B184" i="16"/>
  <c r="C184" i="16"/>
  <c r="D184" i="16"/>
  <c r="I184" i="16"/>
  <c r="J184" i="16"/>
  <c r="M184" i="16"/>
  <c r="R184" i="16"/>
  <c r="S184" i="16"/>
  <c r="A185" i="16"/>
  <c r="B185" i="16"/>
  <c r="C185" i="16"/>
  <c r="D185" i="16"/>
  <c r="I185" i="16"/>
  <c r="J185" i="16"/>
  <c r="M185" i="16"/>
  <c r="R185" i="16"/>
  <c r="S185" i="16"/>
  <c r="A186" i="16"/>
  <c r="B186" i="16"/>
  <c r="C186" i="16"/>
  <c r="D186" i="16"/>
  <c r="I186" i="16"/>
  <c r="J186" i="16"/>
  <c r="M186" i="16"/>
  <c r="R186" i="16"/>
  <c r="S186" i="16"/>
  <c r="A187" i="16"/>
  <c r="B187" i="16"/>
  <c r="C187" i="16"/>
  <c r="D187" i="16"/>
  <c r="I187" i="16"/>
  <c r="J187" i="16"/>
  <c r="M187" i="16"/>
  <c r="R187" i="16"/>
  <c r="S187" i="16"/>
  <c r="A188" i="16"/>
  <c r="B188" i="16"/>
  <c r="C188" i="16"/>
  <c r="D188" i="16"/>
  <c r="I188" i="16"/>
  <c r="J188" i="16"/>
  <c r="M188" i="16"/>
  <c r="R188" i="16"/>
  <c r="S188" i="16"/>
  <c r="A189" i="16"/>
  <c r="B189" i="16"/>
  <c r="C189" i="16"/>
  <c r="D189" i="16"/>
  <c r="I189" i="16"/>
  <c r="J189" i="16"/>
  <c r="M189" i="16"/>
  <c r="R189" i="16"/>
  <c r="S189" i="16"/>
  <c r="A190" i="16"/>
  <c r="B190" i="16"/>
  <c r="C190" i="16"/>
  <c r="D190" i="16"/>
  <c r="I190" i="16"/>
  <c r="J190" i="16"/>
  <c r="M190" i="16"/>
  <c r="R190" i="16"/>
  <c r="S190" i="16"/>
  <c r="A191" i="16"/>
  <c r="B191" i="16"/>
  <c r="C191" i="16"/>
  <c r="D191" i="16"/>
  <c r="I191" i="16"/>
  <c r="J191" i="16"/>
  <c r="M191" i="16"/>
  <c r="R191" i="16"/>
  <c r="S191" i="16"/>
  <c r="A192" i="16"/>
  <c r="B192" i="16"/>
  <c r="C192" i="16"/>
  <c r="D192" i="16"/>
  <c r="I192" i="16"/>
  <c r="J192" i="16"/>
  <c r="M192" i="16"/>
  <c r="R192" i="16"/>
  <c r="S192" i="16"/>
  <c r="A193" i="16"/>
  <c r="B193" i="16"/>
  <c r="C193" i="16"/>
  <c r="D193" i="16"/>
  <c r="I193" i="16"/>
  <c r="J193" i="16"/>
  <c r="M193" i="16"/>
  <c r="R193" i="16"/>
  <c r="S193" i="16"/>
  <c r="A194" i="16"/>
  <c r="B194" i="16"/>
  <c r="C194" i="16"/>
  <c r="D194" i="16"/>
  <c r="I194" i="16"/>
  <c r="J194" i="16"/>
  <c r="M194" i="16"/>
  <c r="R194" i="16"/>
  <c r="S194" i="16"/>
  <c r="A195" i="16"/>
  <c r="B195" i="16"/>
  <c r="C195" i="16"/>
  <c r="D195" i="16"/>
  <c r="I195" i="16"/>
  <c r="J195" i="16"/>
  <c r="M195" i="16"/>
  <c r="R195" i="16"/>
  <c r="S195" i="16"/>
  <c r="A196" i="16"/>
  <c r="B196" i="16"/>
  <c r="C196" i="16"/>
  <c r="D196" i="16"/>
  <c r="I196" i="16"/>
  <c r="J196" i="16"/>
  <c r="M196" i="16"/>
  <c r="R196" i="16"/>
  <c r="S196" i="16"/>
  <c r="A197" i="16"/>
  <c r="B197" i="16"/>
  <c r="C197" i="16"/>
  <c r="D197" i="16"/>
  <c r="I197" i="16"/>
  <c r="J197" i="16"/>
  <c r="M197" i="16"/>
  <c r="R197" i="16"/>
  <c r="S197" i="16"/>
  <c r="A198" i="16"/>
  <c r="B198" i="16"/>
  <c r="C198" i="16"/>
  <c r="D198" i="16"/>
  <c r="I198" i="16"/>
  <c r="J198" i="16"/>
  <c r="M198" i="16"/>
  <c r="R198" i="16"/>
  <c r="S198" i="16"/>
  <c r="A199" i="16"/>
  <c r="B199" i="16"/>
  <c r="C199" i="16"/>
  <c r="D199" i="16"/>
  <c r="I199" i="16"/>
  <c r="J199" i="16"/>
  <c r="M199" i="16"/>
  <c r="R199" i="16"/>
  <c r="S199" i="16"/>
  <c r="A200" i="16"/>
  <c r="B200" i="16"/>
  <c r="C200" i="16"/>
  <c r="D200" i="16"/>
  <c r="I200" i="16"/>
  <c r="J200" i="16"/>
  <c r="M200" i="16"/>
  <c r="R200" i="16"/>
  <c r="S200" i="16"/>
  <c r="A201" i="16"/>
  <c r="B201" i="16"/>
  <c r="C201" i="16"/>
  <c r="D201" i="16"/>
  <c r="I201" i="16"/>
  <c r="J201" i="16"/>
  <c r="M201" i="16"/>
  <c r="R201" i="16"/>
  <c r="S201" i="16"/>
  <c r="A202" i="16"/>
  <c r="B202" i="16"/>
  <c r="C202" i="16"/>
  <c r="D202" i="16"/>
  <c r="I202" i="16"/>
  <c r="J202" i="16"/>
  <c r="M202" i="16"/>
  <c r="R202" i="16"/>
  <c r="S202" i="16"/>
  <c r="A203" i="16"/>
  <c r="B203" i="16"/>
  <c r="C203" i="16"/>
  <c r="D203" i="16"/>
  <c r="I203" i="16"/>
  <c r="J203" i="16"/>
  <c r="M203" i="16"/>
  <c r="R203" i="16"/>
  <c r="S203" i="16"/>
  <c r="A204" i="16"/>
  <c r="B204" i="16"/>
  <c r="C204" i="16"/>
  <c r="D204" i="16"/>
  <c r="I204" i="16"/>
  <c r="J204" i="16"/>
  <c r="M204" i="16"/>
  <c r="R204" i="16"/>
  <c r="S204" i="16"/>
  <c r="A205" i="16"/>
  <c r="B205" i="16"/>
  <c r="C205" i="16"/>
  <c r="D205" i="16"/>
  <c r="I205" i="16"/>
  <c r="J205" i="16"/>
  <c r="M205" i="16"/>
  <c r="R205" i="16"/>
  <c r="S205" i="16"/>
  <c r="A206" i="16"/>
  <c r="B206" i="16"/>
  <c r="C206" i="16"/>
  <c r="D206" i="16"/>
  <c r="I206" i="16"/>
  <c r="J206" i="16"/>
  <c r="M206" i="16"/>
  <c r="R206" i="16"/>
  <c r="S206" i="16"/>
  <c r="A207" i="16"/>
  <c r="B207" i="16"/>
  <c r="C207" i="16"/>
  <c r="D207" i="16"/>
  <c r="I207" i="16"/>
  <c r="J207" i="16"/>
  <c r="M207" i="16"/>
  <c r="R207" i="16"/>
  <c r="S207" i="16"/>
  <c r="A208" i="16"/>
  <c r="B208" i="16"/>
  <c r="C208" i="16"/>
  <c r="D208" i="16"/>
  <c r="I208" i="16"/>
  <c r="J208" i="16"/>
  <c r="M208" i="16"/>
  <c r="R208" i="16"/>
  <c r="S208" i="16"/>
  <c r="A209" i="16"/>
  <c r="B209" i="16"/>
  <c r="C209" i="16"/>
  <c r="D209" i="16"/>
  <c r="I209" i="16"/>
  <c r="J209" i="16"/>
  <c r="M209" i="16"/>
  <c r="R209" i="16"/>
  <c r="S209" i="16"/>
  <c r="A210" i="16"/>
  <c r="B210" i="16"/>
  <c r="C210" i="16"/>
  <c r="D210" i="16"/>
  <c r="I210" i="16"/>
  <c r="J210" i="16"/>
  <c r="M210" i="16"/>
  <c r="R210" i="16"/>
  <c r="S210" i="16"/>
  <c r="A211" i="16"/>
  <c r="B211" i="16"/>
  <c r="C211" i="16"/>
  <c r="D211" i="16"/>
  <c r="I211" i="16"/>
  <c r="J211" i="16"/>
  <c r="M211" i="16"/>
  <c r="R211" i="16"/>
  <c r="S211" i="16"/>
  <c r="A212" i="16"/>
  <c r="B212" i="16"/>
  <c r="C212" i="16"/>
  <c r="D212" i="16"/>
  <c r="I212" i="16"/>
  <c r="J212" i="16"/>
  <c r="M212" i="16"/>
  <c r="R212" i="16"/>
  <c r="S212" i="16"/>
  <c r="A213" i="16"/>
  <c r="B213" i="16"/>
  <c r="C213" i="16"/>
  <c r="D213" i="16"/>
  <c r="I213" i="16"/>
  <c r="J213" i="16"/>
  <c r="M213" i="16"/>
  <c r="R213" i="16"/>
  <c r="S213" i="16"/>
  <c r="A214" i="16"/>
  <c r="B214" i="16"/>
  <c r="C214" i="16"/>
  <c r="D214" i="16"/>
  <c r="I214" i="16"/>
  <c r="J214" i="16"/>
  <c r="M214" i="16"/>
  <c r="R214" i="16"/>
  <c r="S214" i="16"/>
  <c r="A215" i="16"/>
  <c r="B215" i="16"/>
  <c r="C215" i="16"/>
  <c r="D215" i="16"/>
  <c r="I215" i="16"/>
  <c r="J215" i="16"/>
  <c r="M215" i="16"/>
  <c r="R215" i="16"/>
  <c r="S215" i="16"/>
  <c r="A216" i="16"/>
  <c r="B216" i="16"/>
  <c r="C216" i="16"/>
  <c r="D216" i="16"/>
  <c r="I216" i="16"/>
  <c r="J216" i="16"/>
  <c r="M216" i="16"/>
  <c r="R216" i="16"/>
  <c r="S216" i="16"/>
  <c r="A217" i="16"/>
  <c r="B217" i="16"/>
  <c r="C217" i="16"/>
  <c r="D217" i="16"/>
  <c r="I217" i="16"/>
  <c r="J217" i="16"/>
  <c r="M217" i="16"/>
  <c r="R217" i="16"/>
  <c r="S217" i="16"/>
  <c r="A218" i="16"/>
  <c r="B218" i="16"/>
  <c r="C218" i="16"/>
  <c r="D218" i="16"/>
  <c r="I218" i="16"/>
  <c r="J218" i="16"/>
  <c r="M218" i="16"/>
  <c r="R218" i="16"/>
  <c r="S218" i="16"/>
  <c r="A219" i="16"/>
  <c r="B219" i="16"/>
  <c r="C219" i="16"/>
  <c r="D219" i="16"/>
  <c r="I219" i="16"/>
  <c r="J219" i="16"/>
  <c r="M219" i="16"/>
  <c r="R219" i="16"/>
  <c r="S219" i="16"/>
  <c r="A220" i="16"/>
  <c r="B220" i="16"/>
  <c r="C220" i="16"/>
  <c r="D220" i="16"/>
  <c r="I220" i="16"/>
  <c r="J220" i="16"/>
  <c r="M220" i="16"/>
  <c r="R220" i="16"/>
  <c r="S220" i="16"/>
  <c r="A221" i="16"/>
  <c r="B221" i="16"/>
  <c r="C221" i="16"/>
  <c r="D221" i="16"/>
  <c r="I221" i="16"/>
  <c r="J221" i="16"/>
  <c r="M221" i="16"/>
  <c r="R221" i="16"/>
  <c r="S221" i="16"/>
  <c r="A222" i="16"/>
  <c r="B222" i="16"/>
  <c r="C222" i="16"/>
  <c r="D222" i="16"/>
  <c r="I222" i="16"/>
  <c r="J222" i="16"/>
  <c r="M222" i="16"/>
  <c r="R222" i="16"/>
  <c r="S222" i="16"/>
  <c r="A223" i="16"/>
  <c r="B223" i="16"/>
  <c r="C223" i="16"/>
  <c r="D223" i="16"/>
  <c r="I223" i="16"/>
  <c r="J223" i="16"/>
  <c r="M223" i="16"/>
  <c r="R223" i="16"/>
  <c r="S223" i="16"/>
  <c r="A224" i="16"/>
  <c r="B224" i="16"/>
  <c r="C224" i="16"/>
  <c r="D224" i="16"/>
  <c r="I224" i="16"/>
  <c r="J224" i="16"/>
  <c r="M224" i="16"/>
  <c r="R224" i="16"/>
  <c r="S224" i="16"/>
  <c r="A225" i="16"/>
  <c r="B225" i="16"/>
  <c r="C225" i="16"/>
  <c r="D225" i="16"/>
  <c r="I225" i="16"/>
  <c r="J225" i="16"/>
  <c r="M225" i="16"/>
  <c r="R225" i="16"/>
  <c r="S225" i="16"/>
  <c r="A226" i="16"/>
  <c r="B226" i="16"/>
  <c r="C226" i="16"/>
  <c r="D226" i="16"/>
  <c r="I226" i="16"/>
  <c r="J226" i="16"/>
  <c r="M226" i="16"/>
  <c r="R226" i="16"/>
  <c r="S226" i="16"/>
  <c r="A227" i="16"/>
  <c r="B227" i="16"/>
  <c r="C227" i="16"/>
  <c r="D227" i="16"/>
  <c r="K227" i="16" s="1"/>
  <c r="O227" i="16" s="1"/>
  <c r="I227" i="16"/>
  <c r="J227" i="16"/>
  <c r="M227" i="16"/>
  <c r="R227" i="16"/>
  <c r="S227" i="16"/>
  <c r="A228" i="16"/>
  <c r="B228" i="16"/>
  <c r="C228" i="16"/>
  <c r="D228" i="16"/>
  <c r="I228" i="16"/>
  <c r="J228" i="16"/>
  <c r="M228" i="16"/>
  <c r="R228" i="16"/>
  <c r="S228" i="16"/>
  <c r="A229" i="16"/>
  <c r="B229" i="16"/>
  <c r="C229" i="16"/>
  <c r="D229" i="16"/>
  <c r="I229" i="16"/>
  <c r="J229" i="16"/>
  <c r="M229" i="16"/>
  <c r="R229" i="16"/>
  <c r="S229" i="16"/>
  <c r="A230" i="16"/>
  <c r="B230" i="16"/>
  <c r="C230" i="16"/>
  <c r="D230" i="16"/>
  <c r="I230" i="16"/>
  <c r="J230" i="16"/>
  <c r="M230" i="16"/>
  <c r="R230" i="16"/>
  <c r="S230" i="16"/>
  <c r="A231" i="16"/>
  <c r="B231" i="16"/>
  <c r="C231" i="16"/>
  <c r="D231" i="16"/>
  <c r="I231" i="16"/>
  <c r="J231" i="16"/>
  <c r="M231" i="16"/>
  <c r="R231" i="16"/>
  <c r="S231" i="16"/>
  <c r="A232" i="16"/>
  <c r="B232" i="16"/>
  <c r="C232" i="16"/>
  <c r="D232" i="16"/>
  <c r="I232" i="16"/>
  <c r="J232" i="16"/>
  <c r="M232" i="16"/>
  <c r="R232" i="16"/>
  <c r="S232" i="16"/>
  <c r="A233" i="16"/>
  <c r="B233" i="16"/>
  <c r="C233" i="16"/>
  <c r="D233" i="16"/>
  <c r="I233" i="16"/>
  <c r="J233" i="16"/>
  <c r="M233" i="16"/>
  <c r="R233" i="16"/>
  <c r="S233" i="16"/>
  <c r="A234" i="16"/>
  <c r="B234" i="16"/>
  <c r="C234" i="16"/>
  <c r="D234" i="16"/>
  <c r="I234" i="16"/>
  <c r="J234" i="16"/>
  <c r="M234" i="16"/>
  <c r="R234" i="16"/>
  <c r="S234" i="16"/>
  <c r="A235" i="16"/>
  <c r="B235" i="16"/>
  <c r="C235" i="16"/>
  <c r="D235" i="16"/>
  <c r="I235" i="16"/>
  <c r="J235" i="16"/>
  <c r="M235" i="16"/>
  <c r="R235" i="16"/>
  <c r="S235" i="16"/>
  <c r="A236" i="16"/>
  <c r="B236" i="16"/>
  <c r="C236" i="16"/>
  <c r="D236" i="16"/>
  <c r="I236" i="16"/>
  <c r="J236" i="16"/>
  <c r="M236" i="16"/>
  <c r="R236" i="16"/>
  <c r="S236" i="16"/>
  <c r="A237" i="16"/>
  <c r="B237" i="16"/>
  <c r="C237" i="16"/>
  <c r="D237" i="16"/>
  <c r="I237" i="16"/>
  <c r="J237" i="16"/>
  <c r="M237" i="16"/>
  <c r="R237" i="16"/>
  <c r="S237" i="16"/>
  <c r="A238" i="16"/>
  <c r="B238" i="16"/>
  <c r="C238" i="16"/>
  <c r="D238" i="16"/>
  <c r="I238" i="16"/>
  <c r="J238" i="16"/>
  <c r="M238" i="16"/>
  <c r="R238" i="16"/>
  <c r="S238" i="16"/>
  <c r="A239" i="16"/>
  <c r="B239" i="16"/>
  <c r="C239" i="16"/>
  <c r="D239" i="16"/>
  <c r="I239" i="16"/>
  <c r="J239" i="16"/>
  <c r="M239" i="16"/>
  <c r="R239" i="16"/>
  <c r="S239" i="16"/>
  <c r="A240" i="16"/>
  <c r="B240" i="16"/>
  <c r="C240" i="16"/>
  <c r="D240" i="16"/>
  <c r="I240" i="16"/>
  <c r="J240" i="16"/>
  <c r="M240" i="16"/>
  <c r="R240" i="16"/>
  <c r="S240" i="16"/>
  <c r="A241" i="16"/>
  <c r="B241" i="16"/>
  <c r="C241" i="16"/>
  <c r="D241" i="16"/>
  <c r="I241" i="16"/>
  <c r="J241" i="16"/>
  <c r="M241" i="16"/>
  <c r="R241" i="16"/>
  <c r="S241" i="16"/>
  <c r="A242" i="16"/>
  <c r="B242" i="16"/>
  <c r="C242" i="16"/>
  <c r="D242" i="16"/>
  <c r="I242" i="16"/>
  <c r="J242" i="16"/>
  <c r="M242" i="16"/>
  <c r="R242" i="16"/>
  <c r="S242" i="16"/>
  <c r="A243" i="16"/>
  <c r="B243" i="16"/>
  <c r="C243" i="16"/>
  <c r="D243" i="16"/>
  <c r="I243" i="16"/>
  <c r="J243" i="16"/>
  <c r="M243" i="16"/>
  <c r="R243" i="16"/>
  <c r="S243" i="16"/>
  <c r="A244" i="16"/>
  <c r="B244" i="16"/>
  <c r="C244" i="16"/>
  <c r="D244" i="16"/>
  <c r="I244" i="16"/>
  <c r="J244" i="16"/>
  <c r="M244" i="16"/>
  <c r="R244" i="16"/>
  <c r="S244" i="16"/>
  <c r="A245" i="16"/>
  <c r="B245" i="16"/>
  <c r="C245" i="16"/>
  <c r="D245" i="16"/>
  <c r="I245" i="16"/>
  <c r="J245" i="16"/>
  <c r="M245" i="16"/>
  <c r="R245" i="16"/>
  <c r="S245" i="16"/>
  <c r="A246" i="16"/>
  <c r="B246" i="16"/>
  <c r="C246" i="16"/>
  <c r="D246" i="16"/>
  <c r="I246" i="16"/>
  <c r="J246" i="16"/>
  <c r="M246" i="16"/>
  <c r="R246" i="16"/>
  <c r="S246" i="16"/>
  <c r="A247" i="16"/>
  <c r="B247" i="16"/>
  <c r="C247" i="16"/>
  <c r="D247" i="16"/>
  <c r="I247" i="16"/>
  <c r="J247" i="16"/>
  <c r="M247" i="16"/>
  <c r="R247" i="16"/>
  <c r="S247" i="16"/>
  <c r="A248" i="16"/>
  <c r="B248" i="16"/>
  <c r="C248" i="16"/>
  <c r="D248" i="16"/>
  <c r="I248" i="16"/>
  <c r="J248" i="16"/>
  <c r="M248" i="16"/>
  <c r="R248" i="16"/>
  <c r="S248" i="16"/>
  <c r="A249" i="16"/>
  <c r="B249" i="16"/>
  <c r="C249" i="16"/>
  <c r="D249" i="16"/>
  <c r="I249" i="16"/>
  <c r="J249" i="16"/>
  <c r="M249" i="16"/>
  <c r="R249" i="16"/>
  <c r="S249" i="16"/>
  <c r="A250" i="16"/>
  <c r="B250" i="16"/>
  <c r="C250" i="16"/>
  <c r="D250" i="16"/>
  <c r="I250" i="16"/>
  <c r="J250" i="16"/>
  <c r="M250" i="16"/>
  <c r="R250" i="16"/>
  <c r="S250" i="16"/>
  <c r="A251" i="16"/>
  <c r="B251" i="16"/>
  <c r="C251" i="16"/>
  <c r="D251" i="16"/>
  <c r="I251" i="16"/>
  <c r="J251" i="16"/>
  <c r="M251" i="16"/>
  <c r="R251" i="16"/>
  <c r="S251" i="16"/>
  <c r="A252" i="16"/>
  <c r="B252" i="16"/>
  <c r="C252" i="16"/>
  <c r="D252" i="16"/>
  <c r="I252" i="16"/>
  <c r="J252" i="16"/>
  <c r="M252" i="16"/>
  <c r="R252" i="16"/>
  <c r="S252" i="16"/>
  <c r="A253" i="16"/>
  <c r="B253" i="16"/>
  <c r="C253" i="16"/>
  <c r="D253" i="16"/>
  <c r="I253" i="16"/>
  <c r="J253" i="16"/>
  <c r="M253" i="16"/>
  <c r="R253" i="16"/>
  <c r="S253" i="16"/>
  <c r="A254" i="16"/>
  <c r="B254" i="16"/>
  <c r="C254" i="16"/>
  <c r="D254" i="16"/>
  <c r="I254" i="16"/>
  <c r="J254" i="16"/>
  <c r="M254" i="16"/>
  <c r="R254" i="16"/>
  <c r="S254" i="16"/>
  <c r="A255" i="16"/>
  <c r="B255" i="16"/>
  <c r="C255" i="16"/>
  <c r="D255" i="16"/>
  <c r="I255" i="16"/>
  <c r="J255" i="16"/>
  <c r="M255" i="16"/>
  <c r="R255" i="16"/>
  <c r="S255" i="16"/>
  <c r="A256" i="16"/>
  <c r="B256" i="16"/>
  <c r="C256" i="16"/>
  <c r="D256" i="16"/>
  <c r="I256" i="16"/>
  <c r="J256" i="16"/>
  <c r="M256" i="16"/>
  <c r="R256" i="16"/>
  <c r="S256" i="16"/>
  <c r="A257" i="16"/>
  <c r="B257" i="16"/>
  <c r="C257" i="16"/>
  <c r="D257" i="16"/>
  <c r="I257" i="16"/>
  <c r="J257" i="16"/>
  <c r="M257" i="16"/>
  <c r="R257" i="16"/>
  <c r="S257" i="16"/>
  <c r="A258" i="16"/>
  <c r="B258" i="16"/>
  <c r="C258" i="16"/>
  <c r="D258" i="16"/>
  <c r="I258" i="16"/>
  <c r="J258" i="16"/>
  <c r="M258" i="16"/>
  <c r="R258" i="16"/>
  <c r="S258" i="16"/>
  <c r="A259" i="16"/>
  <c r="B259" i="16"/>
  <c r="C259" i="16"/>
  <c r="D259" i="16"/>
  <c r="I259" i="16"/>
  <c r="J259" i="16"/>
  <c r="M259" i="16"/>
  <c r="R259" i="16"/>
  <c r="S259" i="16"/>
  <c r="A260" i="16"/>
  <c r="B260" i="16"/>
  <c r="C260" i="16"/>
  <c r="D260" i="16"/>
  <c r="I260" i="16"/>
  <c r="J260" i="16"/>
  <c r="M260" i="16"/>
  <c r="R260" i="16"/>
  <c r="S260" i="16"/>
  <c r="A261" i="16"/>
  <c r="B261" i="16"/>
  <c r="C261" i="16"/>
  <c r="D261" i="16"/>
  <c r="I261" i="16"/>
  <c r="J261" i="16"/>
  <c r="M261" i="16"/>
  <c r="R261" i="16"/>
  <c r="S261" i="16"/>
  <c r="A262" i="16"/>
  <c r="B262" i="16"/>
  <c r="C262" i="16"/>
  <c r="D262" i="16"/>
  <c r="I262" i="16"/>
  <c r="J262" i="16"/>
  <c r="M262" i="16"/>
  <c r="R262" i="16"/>
  <c r="S262" i="16"/>
  <c r="A263" i="16"/>
  <c r="B263" i="16"/>
  <c r="C263" i="16"/>
  <c r="D263" i="16"/>
  <c r="I263" i="16"/>
  <c r="J263" i="16"/>
  <c r="M263" i="16"/>
  <c r="R263" i="16"/>
  <c r="S263" i="16"/>
  <c r="A264" i="16"/>
  <c r="B264" i="16"/>
  <c r="C264" i="16"/>
  <c r="D264" i="16"/>
  <c r="I264" i="16"/>
  <c r="J264" i="16"/>
  <c r="M264" i="16"/>
  <c r="R264" i="16"/>
  <c r="S264" i="16"/>
  <c r="A265" i="16"/>
  <c r="B265" i="16"/>
  <c r="C265" i="16"/>
  <c r="D265" i="16"/>
  <c r="I265" i="16"/>
  <c r="J265" i="16"/>
  <c r="M265" i="16"/>
  <c r="R265" i="16"/>
  <c r="S265" i="16"/>
  <c r="A266" i="16"/>
  <c r="B266" i="16"/>
  <c r="C266" i="16"/>
  <c r="D266" i="16"/>
  <c r="I266" i="16"/>
  <c r="J266" i="16"/>
  <c r="M266" i="16"/>
  <c r="R266" i="16"/>
  <c r="S266" i="16"/>
  <c r="A267" i="16"/>
  <c r="B267" i="16"/>
  <c r="C267" i="16"/>
  <c r="D267" i="16"/>
  <c r="I267" i="16"/>
  <c r="J267" i="16"/>
  <c r="M267" i="16"/>
  <c r="R267" i="16"/>
  <c r="S267" i="16"/>
  <c r="A268" i="16"/>
  <c r="B268" i="16"/>
  <c r="C268" i="16"/>
  <c r="D268" i="16"/>
  <c r="I268" i="16"/>
  <c r="J268" i="16"/>
  <c r="M268" i="16"/>
  <c r="R268" i="16"/>
  <c r="S268" i="16"/>
  <c r="A269" i="16"/>
  <c r="B269" i="16"/>
  <c r="C269" i="16"/>
  <c r="D269" i="16"/>
  <c r="I269" i="16"/>
  <c r="J269" i="16"/>
  <c r="M269" i="16"/>
  <c r="R269" i="16"/>
  <c r="S269" i="16"/>
  <c r="A270" i="16"/>
  <c r="B270" i="16"/>
  <c r="C270" i="16"/>
  <c r="D270" i="16"/>
  <c r="I270" i="16"/>
  <c r="J270" i="16"/>
  <c r="M270" i="16"/>
  <c r="R270" i="16"/>
  <c r="S270" i="16"/>
  <c r="A271" i="16"/>
  <c r="B271" i="16"/>
  <c r="C271" i="16"/>
  <c r="D271" i="16"/>
  <c r="I271" i="16"/>
  <c r="J271" i="16"/>
  <c r="M271" i="16"/>
  <c r="R271" i="16"/>
  <c r="S271" i="16"/>
  <c r="A272" i="16"/>
  <c r="B272" i="16"/>
  <c r="C272" i="16"/>
  <c r="D272" i="16"/>
  <c r="I272" i="16"/>
  <c r="J272" i="16"/>
  <c r="M272" i="16"/>
  <c r="R272" i="16"/>
  <c r="S272" i="16"/>
  <c r="A273" i="16"/>
  <c r="B273" i="16"/>
  <c r="C273" i="16"/>
  <c r="D273" i="16"/>
  <c r="I273" i="16"/>
  <c r="J273" i="16"/>
  <c r="M273" i="16"/>
  <c r="R273" i="16"/>
  <c r="S273" i="16"/>
  <c r="A274" i="16"/>
  <c r="B274" i="16"/>
  <c r="C274" i="16"/>
  <c r="D274" i="16"/>
  <c r="I274" i="16"/>
  <c r="J274" i="16"/>
  <c r="M274" i="16"/>
  <c r="R274" i="16"/>
  <c r="S274" i="16"/>
  <c r="A275" i="16"/>
  <c r="B275" i="16"/>
  <c r="C275" i="16"/>
  <c r="D275" i="16"/>
  <c r="I275" i="16"/>
  <c r="J275" i="16"/>
  <c r="M275" i="16"/>
  <c r="R275" i="16"/>
  <c r="S275" i="16"/>
  <c r="A276" i="16"/>
  <c r="B276" i="16"/>
  <c r="C276" i="16"/>
  <c r="D276" i="16"/>
  <c r="I276" i="16"/>
  <c r="J276" i="16"/>
  <c r="M276" i="16"/>
  <c r="R276" i="16"/>
  <c r="S276" i="16"/>
  <c r="A277" i="16"/>
  <c r="B277" i="16"/>
  <c r="C277" i="16"/>
  <c r="D277" i="16"/>
  <c r="I277" i="16"/>
  <c r="J277" i="16"/>
  <c r="M277" i="16"/>
  <c r="R277" i="16"/>
  <c r="S277" i="16"/>
  <c r="A278" i="16"/>
  <c r="B278" i="16"/>
  <c r="C278" i="16"/>
  <c r="D278" i="16"/>
  <c r="I278" i="16"/>
  <c r="J278" i="16"/>
  <c r="M278" i="16"/>
  <c r="R278" i="16"/>
  <c r="S278" i="16"/>
  <c r="A279" i="16"/>
  <c r="B279" i="16"/>
  <c r="C279" i="16"/>
  <c r="D279" i="16"/>
  <c r="I279" i="16"/>
  <c r="J279" i="16"/>
  <c r="M279" i="16"/>
  <c r="R279" i="16"/>
  <c r="S279" i="16"/>
  <c r="A280" i="16"/>
  <c r="B280" i="16"/>
  <c r="C280" i="16"/>
  <c r="D280" i="16"/>
  <c r="I280" i="16"/>
  <c r="J280" i="16"/>
  <c r="M280" i="16"/>
  <c r="R280" i="16"/>
  <c r="S280" i="16"/>
  <c r="A281" i="16"/>
  <c r="B281" i="16"/>
  <c r="C281" i="16"/>
  <c r="D281" i="16"/>
  <c r="I281" i="16"/>
  <c r="J281" i="16"/>
  <c r="M281" i="16"/>
  <c r="R281" i="16"/>
  <c r="S281" i="16"/>
  <c r="A282" i="16"/>
  <c r="B282" i="16"/>
  <c r="C282" i="16"/>
  <c r="D282" i="16"/>
  <c r="I282" i="16"/>
  <c r="J282" i="16"/>
  <c r="M282" i="16"/>
  <c r="R282" i="16"/>
  <c r="S282" i="16"/>
  <c r="A283" i="16"/>
  <c r="B283" i="16"/>
  <c r="C283" i="16"/>
  <c r="D283" i="16"/>
  <c r="I283" i="16"/>
  <c r="J283" i="16"/>
  <c r="M283" i="16"/>
  <c r="R283" i="16"/>
  <c r="S283" i="16"/>
  <c r="A284" i="16"/>
  <c r="B284" i="16"/>
  <c r="C284" i="16"/>
  <c r="D284" i="16"/>
  <c r="I284" i="16"/>
  <c r="J284" i="16"/>
  <c r="M284" i="16"/>
  <c r="R284" i="16"/>
  <c r="S284" i="16"/>
  <c r="A285" i="16"/>
  <c r="B285" i="16"/>
  <c r="C285" i="16"/>
  <c r="D285" i="16"/>
  <c r="I285" i="16"/>
  <c r="J285" i="16"/>
  <c r="M285" i="16"/>
  <c r="R285" i="16"/>
  <c r="S285" i="16"/>
  <c r="A286" i="16"/>
  <c r="B286" i="16"/>
  <c r="C286" i="16"/>
  <c r="D286" i="16"/>
  <c r="I286" i="16"/>
  <c r="J286" i="16"/>
  <c r="M286" i="16"/>
  <c r="R286" i="16"/>
  <c r="S286" i="16"/>
  <c r="A287" i="16"/>
  <c r="B287" i="16"/>
  <c r="C287" i="16"/>
  <c r="D287" i="16"/>
  <c r="I287" i="16"/>
  <c r="J287" i="16"/>
  <c r="M287" i="16"/>
  <c r="R287" i="16"/>
  <c r="S287" i="16"/>
  <c r="A288" i="16"/>
  <c r="B288" i="16"/>
  <c r="C288" i="16"/>
  <c r="D288" i="16"/>
  <c r="I288" i="16"/>
  <c r="J288" i="16"/>
  <c r="M288" i="16"/>
  <c r="R288" i="16"/>
  <c r="S288" i="16"/>
  <c r="A289" i="16"/>
  <c r="B289" i="16"/>
  <c r="C289" i="16"/>
  <c r="D289" i="16"/>
  <c r="I289" i="16"/>
  <c r="J289" i="16"/>
  <c r="M289" i="16"/>
  <c r="R289" i="16"/>
  <c r="S289" i="16"/>
  <c r="A290" i="16"/>
  <c r="B290" i="16"/>
  <c r="C290" i="16"/>
  <c r="D290" i="16"/>
  <c r="I290" i="16"/>
  <c r="J290" i="16"/>
  <c r="M290" i="16"/>
  <c r="R290" i="16"/>
  <c r="S290" i="16"/>
  <c r="A291" i="16"/>
  <c r="B291" i="16"/>
  <c r="C291" i="16"/>
  <c r="D291" i="16"/>
  <c r="I291" i="16"/>
  <c r="J291" i="16"/>
  <c r="M291" i="16"/>
  <c r="R291" i="16"/>
  <c r="S291" i="16"/>
  <c r="A292" i="16"/>
  <c r="B292" i="16"/>
  <c r="C292" i="16"/>
  <c r="D292" i="16"/>
  <c r="I292" i="16"/>
  <c r="J292" i="16"/>
  <c r="M292" i="16"/>
  <c r="R292" i="16"/>
  <c r="S292" i="16"/>
  <c r="A293" i="16"/>
  <c r="B293" i="16"/>
  <c r="C293" i="16"/>
  <c r="D293" i="16"/>
  <c r="I293" i="16"/>
  <c r="J293" i="16"/>
  <c r="M293" i="16"/>
  <c r="R293" i="16"/>
  <c r="S293" i="16"/>
  <c r="A294" i="16"/>
  <c r="B294" i="16"/>
  <c r="C294" i="16"/>
  <c r="D294" i="16"/>
  <c r="I294" i="16"/>
  <c r="J294" i="16"/>
  <c r="M294" i="16"/>
  <c r="R294" i="16"/>
  <c r="S294" i="16"/>
  <c r="A295" i="16"/>
  <c r="B295" i="16"/>
  <c r="C295" i="16"/>
  <c r="D295" i="16"/>
  <c r="I295" i="16"/>
  <c r="J295" i="16"/>
  <c r="M295" i="16"/>
  <c r="R295" i="16"/>
  <c r="S295" i="16"/>
  <c r="A296" i="16"/>
  <c r="B296" i="16"/>
  <c r="C296" i="16"/>
  <c r="D296" i="16"/>
  <c r="I296" i="16"/>
  <c r="J296" i="16"/>
  <c r="M296" i="16"/>
  <c r="R296" i="16"/>
  <c r="S296" i="16"/>
  <c r="A297" i="16"/>
  <c r="B297" i="16"/>
  <c r="C297" i="16"/>
  <c r="D297" i="16"/>
  <c r="I297" i="16"/>
  <c r="J297" i="16"/>
  <c r="M297" i="16"/>
  <c r="R297" i="16"/>
  <c r="S297" i="16"/>
  <c r="A298" i="16"/>
  <c r="B298" i="16"/>
  <c r="C298" i="16"/>
  <c r="D298" i="16"/>
  <c r="I298" i="16"/>
  <c r="J298" i="16"/>
  <c r="M298" i="16"/>
  <c r="R298" i="16"/>
  <c r="S298" i="16"/>
  <c r="A299" i="16"/>
  <c r="B299" i="16"/>
  <c r="C299" i="16"/>
  <c r="D299" i="16"/>
  <c r="I299" i="16"/>
  <c r="J299" i="16"/>
  <c r="M299" i="16"/>
  <c r="R299" i="16"/>
  <c r="S299" i="16"/>
  <c r="A300" i="16"/>
  <c r="B300" i="16"/>
  <c r="C300" i="16"/>
  <c r="D300" i="16"/>
  <c r="I300" i="16"/>
  <c r="J300" i="16"/>
  <c r="M300" i="16"/>
  <c r="R300" i="16"/>
  <c r="S300" i="16"/>
  <c r="A301" i="16"/>
  <c r="B301" i="16"/>
  <c r="C301" i="16"/>
  <c r="D301" i="16"/>
  <c r="I301" i="16"/>
  <c r="J301" i="16"/>
  <c r="M301" i="16"/>
  <c r="R301" i="16"/>
  <c r="S301" i="16"/>
  <c r="A302" i="16"/>
  <c r="B302" i="16"/>
  <c r="C302" i="16"/>
  <c r="D302" i="16"/>
  <c r="I302" i="16"/>
  <c r="J302" i="16"/>
  <c r="M302" i="16"/>
  <c r="R302" i="16"/>
  <c r="S302" i="16"/>
  <c r="A303" i="16"/>
  <c r="B303" i="16"/>
  <c r="C303" i="16"/>
  <c r="D303" i="16"/>
  <c r="I303" i="16"/>
  <c r="J303" i="16"/>
  <c r="M303" i="16"/>
  <c r="R303" i="16"/>
  <c r="S303" i="16"/>
  <c r="A304" i="16"/>
  <c r="B304" i="16"/>
  <c r="C304" i="16"/>
  <c r="D304" i="16"/>
  <c r="I304" i="16"/>
  <c r="J304" i="16"/>
  <c r="M304" i="16"/>
  <c r="R304" i="16"/>
  <c r="S304" i="16"/>
  <c r="A305" i="16"/>
  <c r="B305" i="16"/>
  <c r="C305" i="16"/>
  <c r="D305" i="16"/>
  <c r="I305" i="16"/>
  <c r="J305" i="16"/>
  <c r="M305" i="16"/>
  <c r="R305" i="16"/>
  <c r="S305" i="16"/>
  <c r="A306" i="16"/>
  <c r="B306" i="16"/>
  <c r="C306" i="16"/>
  <c r="D306" i="16"/>
  <c r="I306" i="16"/>
  <c r="J306" i="16"/>
  <c r="M306" i="16"/>
  <c r="R306" i="16"/>
  <c r="S306" i="16"/>
  <c r="A307" i="16"/>
  <c r="B307" i="16"/>
  <c r="C307" i="16"/>
  <c r="D307" i="16"/>
  <c r="I307" i="16"/>
  <c r="J307" i="16"/>
  <c r="M307" i="16"/>
  <c r="R307" i="16"/>
  <c r="S307" i="16"/>
  <c r="A308" i="16"/>
  <c r="B308" i="16"/>
  <c r="C308" i="16"/>
  <c r="D308" i="16"/>
  <c r="I308" i="16"/>
  <c r="J308" i="16"/>
  <c r="M308" i="16"/>
  <c r="R308" i="16"/>
  <c r="S308" i="16"/>
  <c r="A309" i="16"/>
  <c r="B309" i="16"/>
  <c r="C309" i="16"/>
  <c r="D309" i="16"/>
  <c r="I309" i="16"/>
  <c r="J309" i="16"/>
  <c r="M309" i="16"/>
  <c r="R309" i="16"/>
  <c r="S309" i="16"/>
  <c r="A310" i="16"/>
  <c r="B310" i="16"/>
  <c r="C310" i="16"/>
  <c r="D310" i="16"/>
  <c r="I310" i="16"/>
  <c r="J310" i="16"/>
  <c r="M310" i="16"/>
  <c r="R310" i="16"/>
  <c r="S310" i="16"/>
  <c r="A311" i="16"/>
  <c r="B311" i="16"/>
  <c r="C311" i="16"/>
  <c r="D311" i="16"/>
  <c r="I311" i="16"/>
  <c r="J311" i="16"/>
  <c r="M311" i="16"/>
  <c r="R311" i="16"/>
  <c r="S311" i="16"/>
  <c r="A312" i="16"/>
  <c r="B312" i="16"/>
  <c r="C312" i="16"/>
  <c r="D312" i="16"/>
  <c r="I312" i="16"/>
  <c r="J312" i="16"/>
  <c r="M312" i="16"/>
  <c r="R312" i="16"/>
  <c r="S312" i="16"/>
  <c r="A313" i="16"/>
  <c r="B313" i="16"/>
  <c r="C313" i="16"/>
  <c r="D313" i="16"/>
  <c r="I313" i="16"/>
  <c r="J313" i="16"/>
  <c r="M313" i="16"/>
  <c r="R313" i="16"/>
  <c r="S313" i="16"/>
  <c r="A314" i="16"/>
  <c r="B314" i="16"/>
  <c r="C314" i="16"/>
  <c r="D314" i="16"/>
  <c r="I314" i="16"/>
  <c r="J314" i="16"/>
  <c r="M314" i="16"/>
  <c r="R314" i="16"/>
  <c r="S314" i="16"/>
  <c r="A315" i="16"/>
  <c r="B315" i="16"/>
  <c r="C315" i="16"/>
  <c r="D315" i="16"/>
  <c r="I315" i="16"/>
  <c r="J315" i="16"/>
  <c r="M315" i="16"/>
  <c r="R315" i="16"/>
  <c r="S315" i="16"/>
  <c r="A316" i="16"/>
  <c r="B316" i="16"/>
  <c r="C316" i="16"/>
  <c r="D316" i="16"/>
  <c r="I316" i="16"/>
  <c r="J316" i="16"/>
  <c r="M316" i="16"/>
  <c r="R316" i="16"/>
  <c r="S316" i="16"/>
  <c r="A317" i="16"/>
  <c r="B317" i="16"/>
  <c r="C317" i="16"/>
  <c r="D317" i="16"/>
  <c r="I317" i="16"/>
  <c r="J317" i="16"/>
  <c r="M317" i="16"/>
  <c r="R317" i="16"/>
  <c r="S317" i="16"/>
  <c r="A318" i="16"/>
  <c r="B318" i="16"/>
  <c r="C318" i="16"/>
  <c r="D318" i="16"/>
  <c r="I318" i="16"/>
  <c r="J318" i="16"/>
  <c r="M318" i="16"/>
  <c r="R318" i="16"/>
  <c r="S318" i="16"/>
  <c r="A319" i="16"/>
  <c r="B319" i="16"/>
  <c r="C319" i="16"/>
  <c r="D319" i="16"/>
  <c r="I319" i="16"/>
  <c r="J319" i="16"/>
  <c r="M319" i="16"/>
  <c r="R319" i="16"/>
  <c r="S319" i="16"/>
  <c r="A320" i="16"/>
  <c r="B320" i="16"/>
  <c r="C320" i="16"/>
  <c r="D320" i="16"/>
  <c r="I320" i="16"/>
  <c r="J320" i="16"/>
  <c r="M320" i="16"/>
  <c r="R320" i="16"/>
  <c r="S320" i="16"/>
  <c r="A321" i="16"/>
  <c r="B321" i="16"/>
  <c r="C321" i="16"/>
  <c r="D321" i="16"/>
  <c r="I321" i="16"/>
  <c r="J321" i="16"/>
  <c r="M321" i="16"/>
  <c r="R321" i="16"/>
  <c r="S321" i="16"/>
  <c r="A322" i="16"/>
  <c r="B322" i="16"/>
  <c r="C322" i="16"/>
  <c r="D322" i="16"/>
  <c r="I322" i="16"/>
  <c r="J322" i="16"/>
  <c r="M322" i="16"/>
  <c r="R322" i="16"/>
  <c r="S322" i="16"/>
  <c r="A323" i="16"/>
  <c r="B323" i="16"/>
  <c r="C323" i="16"/>
  <c r="D323" i="16"/>
  <c r="I323" i="16"/>
  <c r="J323" i="16"/>
  <c r="M323" i="16"/>
  <c r="R323" i="16"/>
  <c r="S323" i="16"/>
  <c r="A324" i="16"/>
  <c r="B324" i="16"/>
  <c r="C324" i="16"/>
  <c r="D324" i="16"/>
  <c r="I324" i="16"/>
  <c r="J324" i="16"/>
  <c r="M324" i="16"/>
  <c r="R324" i="16"/>
  <c r="S324" i="16"/>
  <c r="A325" i="16"/>
  <c r="B325" i="16"/>
  <c r="C325" i="16"/>
  <c r="D325" i="16"/>
  <c r="I325" i="16"/>
  <c r="J325" i="16"/>
  <c r="M325" i="16"/>
  <c r="R325" i="16"/>
  <c r="S325" i="16"/>
  <c r="A326" i="16"/>
  <c r="B326" i="16"/>
  <c r="C326" i="16"/>
  <c r="D326" i="16"/>
  <c r="I326" i="16"/>
  <c r="J326" i="16"/>
  <c r="M326" i="16"/>
  <c r="R326" i="16"/>
  <c r="S326" i="16"/>
  <c r="A327" i="16"/>
  <c r="B327" i="16"/>
  <c r="C327" i="16"/>
  <c r="D327" i="16"/>
  <c r="I327" i="16"/>
  <c r="J327" i="16"/>
  <c r="M327" i="16"/>
  <c r="R327" i="16"/>
  <c r="S327" i="16"/>
  <c r="A328" i="16"/>
  <c r="B328" i="16"/>
  <c r="C328" i="16"/>
  <c r="D328" i="16"/>
  <c r="I328" i="16"/>
  <c r="J328" i="16"/>
  <c r="M328" i="16"/>
  <c r="R328" i="16"/>
  <c r="S328" i="16"/>
  <c r="A329" i="16"/>
  <c r="B329" i="16"/>
  <c r="C329" i="16"/>
  <c r="D329" i="16"/>
  <c r="I329" i="16"/>
  <c r="J329" i="16"/>
  <c r="M329" i="16"/>
  <c r="R329" i="16"/>
  <c r="S329" i="16"/>
  <c r="A330" i="16"/>
  <c r="B330" i="16"/>
  <c r="C330" i="16"/>
  <c r="D330" i="16"/>
  <c r="I330" i="16"/>
  <c r="J330" i="16"/>
  <c r="M330" i="16"/>
  <c r="R330" i="16"/>
  <c r="S330" i="16"/>
  <c r="A331" i="16"/>
  <c r="B331" i="16"/>
  <c r="C331" i="16"/>
  <c r="D331" i="16"/>
  <c r="I331" i="16"/>
  <c r="J331" i="16"/>
  <c r="M331" i="16"/>
  <c r="R331" i="16"/>
  <c r="S331" i="16"/>
  <c r="A332" i="16"/>
  <c r="B332" i="16"/>
  <c r="C332" i="16"/>
  <c r="D332" i="16"/>
  <c r="I332" i="16"/>
  <c r="J332" i="16"/>
  <c r="M332" i="16"/>
  <c r="R332" i="16"/>
  <c r="S332" i="16"/>
  <c r="A333" i="16"/>
  <c r="B333" i="16"/>
  <c r="C333" i="16"/>
  <c r="D333" i="16"/>
  <c r="I333" i="16"/>
  <c r="J333" i="16"/>
  <c r="M333" i="16"/>
  <c r="R333" i="16"/>
  <c r="S333" i="16"/>
  <c r="A334" i="16"/>
  <c r="B334" i="16"/>
  <c r="C334" i="16"/>
  <c r="D334" i="16"/>
  <c r="I334" i="16"/>
  <c r="J334" i="16"/>
  <c r="M334" i="16"/>
  <c r="R334" i="16"/>
  <c r="S334" i="16"/>
  <c r="A335" i="16"/>
  <c r="B335" i="16"/>
  <c r="C335" i="16"/>
  <c r="D335" i="16"/>
  <c r="I335" i="16"/>
  <c r="J335" i="16"/>
  <c r="M335" i="16"/>
  <c r="R335" i="16"/>
  <c r="S335" i="16"/>
  <c r="A336" i="16"/>
  <c r="B336" i="16"/>
  <c r="C336" i="16"/>
  <c r="D336" i="16"/>
  <c r="I336" i="16"/>
  <c r="J336" i="16"/>
  <c r="M336" i="16"/>
  <c r="R336" i="16"/>
  <c r="S336" i="16"/>
  <c r="A337" i="16"/>
  <c r="B337" i="16"/>
  <c r="C337" i="16"/>
  <c r="D337" i="16"/>
  <c r="I337" i="16"/>
  <c r="J337" i="16"/>
  <c r="M337" i="16"/>
  <c r="R337" i="16"/>
  <c r="S337" i="16"/>
  <c r="A338" i="16"/>
  <c r="B338" i="16"/>
  <c r="C338" i="16"/>
  <c r="D338" i="16"/>
  <c r="I338" i="16"/>
  <c r="J338" i="16"/>
  <c r="M338" i="16"/>
  <c r="R338" i="16"/>
  <c r="S338" i="16"/>
  <c r="A339" i="16"/>
  <c r="B339" i="16"/>
  <c r="C339" i="16"/>
  <c r="D339" i="16"/>
  <c r="I339" i="16"/>
  <c r="J339" i="16"/>
  <c r="M339" i="16"/>
  <c r="R339" i="16"/>
  <c r="S339" i="16"/>
  <c r="A340" i="16"/>
  <c r="B340" i="16"/>
  <c r="C340" i="16"/>
  <c r="D340" i="16"/>
  <c r="I340" i="16"/>
  <c r="J340" i="16"/>
  <c r="M340" i="16"/>
  <c r="R340" i="16"/>
  <c r="S340" i="16"/>
  <c r="A341" i="16"/>
  <c r="B341" i="16"/>
  <c r="C341" i="16"/>
  <c r="D341" i="16"/>
  <c r="K341" i="16" s="1"/>
  <c r="O341" i="16" s="1"/>
  <c r="I341" i="16"/>
  <c r="J341" i="16"/>
  <c r="M341" i="16"/>
  <c r="R341" i="16"/>
  <c r="S341" i="16"/>
  <c r="A342" i="16"/>
  <c r="B342" i="16"/>
  <c r="C342" i="16"/>
  <c r="D342" i="16"/>
  <c r="I342" i="16"/>
  <c r="J342" i="16"/>
  <c r="M342" i="16"/>
  <c r="R342" i="16"/>
  <c r="S342" i="16"/>
  <c r="A343" i="16"/>
  <c r="B343" i="16"/>
  <c r="C343" i="16"/>
  <c r="D343" i="16"/>
  <c r="I343" i="16"/>
  <c r="J343" i="16"/>
  <c r="M343" i="16"/>
  <c r="R343" i="16"/>
  <c r="S343" i="16"/>
  <c r="A344" i="16"/>
  <c r="B344" i="16"/>
  <c r="C344" i="16"/>
  <c r="D344" i="16"/>
  <c r="F344" i="16" s="1"/>
  <c r="E344" i="16" s="1"/>
  <c r="I344" i="16"/>
  <c r="J344" i="16"/>
  <c r="M344" i="16"/>
  <c r="R344" i="16"/>
  <c r="S344" i="16"/>
  <c r="A345" i="16"/>
  <c r="B345" i="16"/>
  <c r="C345" i="16"/>
  <c r="D345" i="16"/>
  <c r="K345" i="16" s="1"/>
  <c r="O345" i="16" s="1"/>
  <c r="I345" i="16"/>
  <c r="J345" i="16"/>
  <c r="M345" i="16"/>
  <c r="R345" i="16"/>
  <c r="S345" i="16"/>
  <c r="A346" i="16"/>
  <c r="B346" i="16"/>
  <c r="C346" i="16"/>
  <c r="D346" i="16"/>
  <c r="I346" i="16"/>
  <c r="J346" i="16"/>
  <c r="M346" i="16"/>
  <c r="R346" i="16"/>
  <c r="S346" i="16"/>
  <c r="A347" i="16"/>
  <c r="B347" i="16"/>
  <c r="C347" i="16"/>
  <c r="D347" i="16"/>
  <c r="I347" i="16"/>
  <c r="J347" i="16"/>
  <c r="M347" i="16"/>
  <c r="R347" i="16"/>
  <c r="S347" i="16"/>
  <c r="A348" i="16"/>
  <c r="B348" i="16"/>
  <c r="C348" i="16"/>
  <c r="D348" i="16"/>
  <c r="I348" i="16"/>
  <c r="J348" i="16"/>
  <c r="M348" i="16"/>
  <c r="R348" i="16"/>
  <c r="S348" i="16"/>
  <c r="A349" i="16"/>
  <c r="B349" i="16"/>
  <c r="C349" i="16"/>
  <c r="D349" i="16"/>
  <c r="I349" i="16"/>
  <c r="J349" i="16"/>
  <c r="M349" i="16"/>
  <c r="R349" i="16"/>
  <c r="S349" i="16"/>
  <c r="A350" i="16"/>
  <c r="B350" i="16"/>
  <c r="C350" i="16"/>
  <c r="D350" i="16"/>
  <c r="I350" i="16"/>
  <c r="J350" i="16"/>
  <c r="M350" i="16"/>
  <c r="R350" i="16"/>
  <c r="S350" i="16"/>
  <c r="A351" i="16"/>
  <c r="B351" i="16"/>
  <c r="C351" i="16"/>
  <c r="D351" i="16"/>
  <c r="I351" i="16"/>
  <c r="J351" i="16"/>
  <c r="M351" i="16"/>
  <c r="R351" i="16"/>
  <c r="S351" i="16"/>
  <c r="A352" i="16"/>
  <c r="B352" i="16"/>
  <c r="C352" i="16"/>
  <c r="D352" i="16"/>
  <c r="I352" i="16"/>
  <c r="J352" i="16"/>
  <c r="M352" i="16"/>
  <c r="R352" i="16"/>
  <c r="S352" i="16"/>
  <c r="A353" i="16"/>
  <c r="B353" i="16"/>
  <c r="C353" i="16"/>
  <c r="D353" i="16"/>
  <c r="I353" i="16"/>
  <c r="J353" i="16"/>
  <c r="M353" i="16"/>
  <c r="R353" i="16"/>
  <c r="S353" i="16"/>
  <c r="A354" i="16"/>
  <c r="B354" i="16"/>
  <c r="C354" i="16"/>
  <c r="D354" i="16"/>
  <c r="K354" i="16" s="1"/>
  <c r="O354" i="16" s="1"/>
  <c r="I354" i="16"/>
  <c r="J354" i="16"/>
  <c r="M354" i="16"/>
  <c r="R354" i="16"/>
  <c r="S354" i="16"/>
  <c r="A355" i="16"/>
  <c r="B355" i="16"/>
  <c r="C355" i="16"/>
  <c r="D355" i="16"/>
  <c r="I355" i="16"/>
  <c r="J355" i="16"/>
  <c r="M355" i="16"/>
  <c r="R355" i="16"/>
  <c r="S355" i="16"/>
  <c r="A356" i="16"/>
  <c r="B356" i="16"/>
  <c r="C356" i="16"/>
  <c r="D356" i="16"/>
  <c r="I356" i="16"/>
  <c r="J356" i="16"/>
  <c r="M356" i="16"/>
  <c r="R356" i="16"/>
  <c r="S356" i="16"/>
  <c r="A357" i="16"/>
  <c r="B357" i="16"/>
  <c r="C357" i="16"/>
  <c r="D357" i="16"/>
  <c r="I357" i="16"/>
  <c r="J357" i="16"/>
  <c r="M357" i="16"/>
  <c r="R357" i="16"/>
  <c r="S357" i="16"/>
  <c r="A358" i="16"/>
  <c r="B358" i="16"/>
  <c r="C358" i="16"/>
  <c r="D358" i="16"/>
  <c r="I358" i="16"/>
  <c r="J358" i="16"/>
  <c r="M358" i="16"/>
  <c r="R358" i="16"/>
  <c r="S358" i="16"/>
  <c r="A359" i="16"/>
  <c r="B359" i="16"/>
  <c r="C359" i="16"/>
  <c r="D359" i="16"/>
  <c r="I359" i="16"/>
  <c r="J359" i="16"/>
  <c r="M359" i="16"/>
  <c r="R359" i="16"/>
  <c r="S359" i="16"/>
  <c r="A360" i="16"/>
  <c r="B360" i="16"/>
  <c r="C360" i="16"/>
  <c r="D360" i="16"/>
  <c r="I360" i="16"/>
  <c r="J360" i="16"/>
  <c r="M360" i="16"/>
  <c r="R360" i="16"/>
  <c r="S360" i="16"/>
  <c r="A361" i="16"/>
  <c r="B361" i="16"/>
  <c r="C361" i="16"/>
  <c r="D361" i="16"/>
  <c r="I361" i="16"/>
  <c r="J361" i="16"/>
  <c r="M361" i="16"/>
  <c r="R361" i="16"/>
  <c r="S361" i="16"/>
  <c r="A362" i="16"/>
  <c r="B362" i="16"/>
  <c r="C362" i="16"/>
  <c r="D362" i="16"/>
  <c r="I362" i="16"/>
  <c r="J362" i="16"/>
  <c r="M362" i="16"/>
  <c r="R362" i="16"/>
  <c r="S362" i="16"/>
  <c r="A363" i="16"/>
  <c r="B363" i="16"/>
  <c r="C363" i="16"/>
  <c r="D363" i="16"/>
  <c r="I363" i="16"/>
  <c r="J363" i="16"/>
  <c r="M363" i="16"/>
  <c r="R363" i="16"/>
  <c r="S363" i="16"/>
  <c r="A364" i="16"/>
  <c r="B364" i="16"/>
  <c r="C364" i="16"/>
  <c r="D364" i="16"/>
  <c r="I364" i="16"/>
  <c r="J364" i="16"/>
  <c r="M364" i="16"/>
  <c r="R364" i="16"/>
  <c r="S364" i="16"/>
  <c r="A365" i="16"/>
  <c r="B365" i="16"/>
  <c r="C365" i="16"/>
  <c r="D365" i="16"/>
  <c r="I365" i="16"/>
  <c r="J365" i="16"/>
  <c r="M365" i="16"/>
  <c r="R365" i="16"/>
  <c r="S365" i="16"/>
  <c r="A366" i="16"/>
  <c r="B366" i="16"/>
  <c r="C366" i="16"/>
  <c r="D366" i="16"/>
  <c r="I366" i="16"/>
  <c r="J366" i="16"/>
  <c r="M366" i="16"/>
  <c r="R366" i="16"/>
  <c r="S366" i="16"/>
  <c r="A367" i="16"/>
  <c r="B367" i="16"/>
  <c r="C367" i="16"/>
  <c r="D367" i="16"/>
  <c r="I367" i="16"/>
  <c r="J367" i="16"/>
  <c r="M367" i="16"/>
  <c r="R367" i="16"/>
  <c r="S367" i="16"/>
  <c r="A368" i="16"/>
  <c r="B368" i="16"/>
  <c r="C368" i="16"/>
  <c r="D368" i="16"/>
  <c r="I368" i="16"/>
  <c r="J368" i="16"/>
  <c r="M368" i="16"/>
  <c r="R368" i="16"/>
  <c r="S368" i="16"/>
  <c r="A369" i="16"/>
  <c r="B369" i="16"/>
  <c r="C369" i="16"/>
  <c r="D369" i="16"/>
  <c r="I369" i="16"/>
  <c r="J369" i="16"/>
  <c r="M369" i="16"/>
  <c r="R369" i="16"/>
  <c r="S369" i="16"/>
  <c r="A370" i="16"/>
  <c r="B370" i="16"/>
  <c r="C370" i="16"/>
  <c r="D370" i="16"/>
  <c r="I370" i="16"/>
  <c r="J370" i="16"/>
  <c r="M370" i="16"/>
  <c r="R370" i="16"/>
  <c r="S370" i="16"/>
  <c r="A371" i="16"/>
  <c r="B371" i="16"/>
  <c r="C371" i="16"/>
  <c r="D371" i="16"/>
  <c r="I371" i="16"/>
  <c r="J371" i="16"/>
  <c r="M371" i="16"/>
  <c r="R371" i="16"/>
  <c r="S371" i="16"/>
  <c r="A372" i="16"/>
  <c r="B372" i="16"/>
  <c r="C372" i="16"/>
  <c r="D372" i="16"/>
  <c r="I372" i="16"/>
  <c r="J372" i="16"/>
  <c r="M372" i="16"/>
  <c r="R372" i="16"/>
  <c r="S372" i="16"/>
  <c r="A373" i="16"/>
  <c r="B373" i="16"/>
  <c r="C373" i="16"/>
  <c r="D373" i="16"/>
  <c r="I373" i="16"/>
  <c r="J373" i="16"/>
  <c r="M373" i="16"/>
  <c r="R373" i="16"/>
  <c r="S373" i="16"/>
  <c r="A374" i="16"/>
  <c r="B374" i="16"/>
  <c r="C374" i="16"/>
  <c r="D374" i="16"/>
  <c r="I374" i="16"/>
  <c r="J374" i="16"/>
  <c r="M374" i="16"/>
  <c r="R374" i="16"/>
  <c r="S374" i="16"/>
  <c r="A375" i="16"/>
  <c r="B375" i="16"/>
  <c r="C375" i="16"/>
  <c r="D375" i="16"/>
  <c r="I375" i="16"/>
  <c r="J375" i="16"/>
  <c r="M375" i="16"/>
  <c r="R375" i="16"/>
  <c r="S375" i="16"/>
  <c r="A376" i="16"/>
  <c r="B376" i="16"/>
  <c r="C376" i="16"/>
  <c r="D376" i="16"/>
  <c r="I376" i="16"/>
  <c r="J376" i="16"/>
  <c r="M376" i="16"/>
  <c r="R376" i="16"/>
  <c r="S376" i="16"/>
  <c r="A377" i="16"/>
  <c r="B377" i="16"/>
  <c r="C377" i="16"/>
  <c r="D377" i="16"/>
  <c r="I377" i="16"/>
  <c r="J377" i="16"/>
  <c r="M377" i="16"/>
  <c r="R377" i="16"/>
  <c r="S377" i="16"/>
  <c r="A378" i="16"/>
  <c r="B378" i="16"/>
  <c r="C378" i="16"/>
  <c r="D378" i="16"/>
  <c r="I378" i="16"/>
  <c r="J378" i="16"/>
  <c r="M378" i="16"/>
  <c r="R378" i="16"/>
  <c r="S378" i="16"/>
  <c r="A379" i="16"/>
  <c r="B379" i="16"/>
  <c r="C379" i="16"/>
  <c r="D379" i="16"/>
  <c r="I379" i="16"/>
  <c r="J379" i="16"/>
  <c r="M379" i="16"/>
  <c r="R379" i="16"/>
  <c r="S379" i="16"/>
  <c r="A380" i="16"/>
  <c r="B380" i="16"/>
  <c r="C380" i="16"/>
  <c r="D380" i="16"/>
  <c r="I380" i="16"/>
  <c r="J380" i="16"/>
  <c r="M380" i="16"/>
  <c r="R380" i="16"/>
  <c r="S380" i="16"/>
  <c r="A381" i="16"/>
  <c r="B381" i="16"/>
  <c r="C381" i="16"/>
  <c r="D381" i="16"/>
  <c r="I381" i="16"/>
  <c r="J381" i="16"/>
  <c r="M381" i="16"/>
  <c r="R381" i="16"/>
  <c r="S381" i="16"/>
  <c r="A382" i="16"/>
  <c r="B382" i="16"/>
  <c r="C382" i="16"/>
  <c r="D382" i="16"/>
  <c r="I382" i="16"/>
  <c r="J382" i="16"/>
  <c r="M382" i="16"/>
  <c r="R382" i="16"/>
  <c r="S382" i="16"/>
  <c r="A383" i="16"/>
  <c r="B383" i="16"/>
  <c r="C383" i="16"/>
  <c r="D383" i="16"/>
  <c r="I383" i="16"/>
  <c r="J383" i="16"/>
  <c r="M383" i="16"/>
  <c r="R383" i="16"/>
  <c r="S383" i="16"/>
  <c r="A384" i="16"/>
  <c r="B384" i="16"/>
  <c r="C384" i="16"/>
  <c r="D384" i="16"/>
  <c r="I384" i="16"/>
  <c r="J384" i="16"/>
  <c r="M384" i="16"/>
  <c r="R384" i="16"/>
  <c r="S384" i="16"/>
  <c r="A385" i="16"/>
  <c r="B385" i="16"/>
  <c r="C385" i="16"/>
  <c r="D385" i="16"/>
  <c r="I385" i="16"/>
  <c r="J385" i="16"/>
  <c r="M385" i="16"/>
  <c r="R385" i="16"/>
  <c r="S385" i="16"/>
  <c r="A386" i="16"/>
  <c r="B386" i="16"/>
  <c r="C386" i="16"/>
  <c r="D386" i="16"/>
  <c r="I386" i="16"/>
  <c r="J386" i="16"/>
  <c r="M386" i="16"/>
  <c r="R386" i="16"/>
  <c r="S386" i="16"/>
  <c r="A387" i="16"/>
  <c r="B387" i="16"/>
  <c r="C387" i="16"/>
  <c r="D387" i="16"/>
  <c r="I387" i="16"/>
  <c r="J387" i="16"/>
  <c r="M387" i="16"/>
  <c r="R387" i="16"/>
  <c r="S387" i="16"/>
  <c r="A388" i="16"/>
  <c r="B388" i="16"/>
  <c r="C388" i="16"/>
  <c r="D388" i="16"/>
  <c r="I388" i="16"/>
  <c r="J388" i="16"/>
  <c r="M388" i="16"/>
  <c r="R388" i="16"/>
  <c r="S388" i="16"/>
  <c r="A389" i="16"/>
  <c r="B389" i="16"/>
  <c r="C389" i="16"/>
  <c r="D389" i="16"/>
  <c r="I389" i="16"/>
  <c r="J389" i="16"/>
  <c r="M389" i="16"/>
  <c r="R389" i="16"/>
  <c r="S389" i="16"/>
  <c r="A390" i="16"/>
  <c r="B390" i="16"/>
  <c r="C390" i="16"/>
  <c r="D390" i="16"/>
  <c r="K390" i="16" s="1"/>
  <c r="O390" i="16" s="1"/>
  <c r="I390" i="16"/>
  <c r="J390" i="16"/>
  <c r="M390" i="16"/>
  <c r="R390" i="16"/>
  <c r="S390" i="16"/>
  <c r="A391" i="16"/>
  <c r="B391" i="16"/>
  <c r="C391" i="16"/>
  <c r="D391" i="16"/>
  <c r="I391" i="16"/>
  <c r="J391" i="16"/>
  <c r="M391" i="16"/>
  <c r="R391" i="16"/>
  <c r="S391" i="16"/>
  <c r="A392" i="16"/>
  <c r="B392" i="16"/>
  <c r="C392" i="16"/>
  <c r="D392" i="16"/>
  <c r="I392" i="16"/>
  <c r="J392" i="16"/>
  <c r="M392" i="16"/>
  <c r="R392" i="16"/>
  <c r="S392" i="16"/>
  <c r="A393" i="16"/>
  <c r="B393" i="16"/>
  <c r="C393" i="16"/>
  <c r="D393" i="16"/>
  <c r="I393" i="16"/>
  <c r="J393" i="16"/>
  <c r="M393" i="16"/>
  <c r="R393" i="16"/>
  <c r="S393" i="16"/>
  <c r="A394" i="16"/>
  <c r="B394" i="16"/>
  <c r="C394" i="16"/>
  <c r="D394" i="16"/>
  <c r="I394" i="16"/>
  <c r="J394" i="16"/>
  <c r="M394" i="16"/>
  <c r="R394" i="16"/>
  <c r="S394" i="16"/>
  <c r="A395" i="16"/>
  <c r="B395" i="16"/>
  <c r="C395" i="16"/>
  <c r="D395" i="16"/>
  <c r="I395" i="16"/>
  <c r="J395" i="16"/>
  <c r="M395" i="16"/>
  <c r="R395" i="16"/>
  <c r="S395" i="16"/>
  <c r="A396" i="16"/>
  <c r="B396" i="16"/>
  <c r="C396" i="16"/>
  <c r="D396" i="16"/>
  <c r="I396" i="16"/>
  <c r="J396" i="16"/>
  <c r="M396" i="16"/>
  <c r="R396" i="16"/>
  <c r="S396" i="16"/>
  <c r="A397" i="16"/>
  <c r="B397" i="16"/>
  <c r="C397" i="16"/>
  <c r="D397" i="16"/>
  <c r="I397" i="16"/>
  <c r="J397" i="16"/>
  <c r="M397" i="16"/>
  <c r="R397" i="16"/>
  <c r="S397" i="16"/>
  <c r="A398" i="16"/>
  <c r="B398" i="16"/>
  <c r="C398" i="16"/>
  <c r="D398" i="16"/>
  <c r="I398" i="16"/>
  <c r="J398" i="16"/>
  <c r="M398" i="16"/>
  <c r="R398" i="16"/>
  <c r="S398" i="16"/>
  <c r="A399" i="16"/>
  <c r="B399" i="16"/>
  <c r="C399" i="16"/>
  <c r="D399" i="16"/>
  <c r="I399" i="16"/>
  <c r="J399" i="16"/>
  <c r="M399" i="16"/>
  <c r="R399" i="16"/>
  <c r="S399" i="16"/>
  <c r="A400" i="16"/>
  <c r="B400" i="16"/>
  <c r="C400" i="16"/>
  <c r="D400" i="16"/>
  <c r="I400" i="16"/>
  <c r="J400" i="16"/>
  <c r="M400" i="16"/>
  <c r="R400" i="16"/>
  <c r="S400" i="16"/>
  <c r="A401" i="16"/>
  <c r="B401" i="16"/>
  <c r="C401" i="16"/>
  <c r="D401" i="16"/>
  <c r="I401" i="16"/>
  <c r="J401" i="16"/>
  <c r="M401" i="16"/>
  <c r="R401" i="16"/>
  <c r="S401" i="16"/>
  <c r="A402" i="16"/>
  <c r="B402" i="16"/>
  <c r="C402" i="16"/>
  <c r="D402" i="16"/>
  <c r="I402" i="16"/>
  <c r="J402" i="16"/>
  <c r="M402" i="16"/>
  <c r="R402" i="16"/>
  <c r="S402" i="16"/>
  <c r="A403" i="16"/>
  <c r="B403" i="16"/>
  <c r="C403" i="16"/>
  <c r="D403" i="16"/>
  <c r="I403" i="16"/>
  <c r="J403" i="16"/>
  <c r="M403" i="16"/>
  <c r="R403" i="16"/>
  <c r="S403" i="16"/>
  <c r="A404" i="16"/>
  <c r="B404" i="16"/>
  <c r="C404" i="16"/>
  <c r="D404" i="16"/>
  <c r="I404" i="16"/>
  <c r="J404" i="16"/>
  <c r="M404" i="16"/>
  <c r="R404" i="16"/>
  <c r="S404" i="16"/>
  <c r="A405" i="16"/>
  <c r="B405" i="16"/>
  <c r="C405" i="16"/>
  <c r="D405" i="16"/>
  <c r="I405" i="16"/>
  <c r="J405" i="16"/>
  <c r="M405" i="16"/>
  <c r="R405" i="16"/>
  <c r="S405" i="16"/>
  <c r="A406" i="16"/>
  <c r="B406" i="16"/>
  <c r="C406" i="16"/>
  <c r="D406" i="16"/>
  <c r="F406" i="16" s="1"/>
  <c r="E406" i="16" s="1"/>
  <c r="I406" i="16"/>
  <c r="J406" i="16"/>
  <c r="M406" i="16"/>
  <c r="R406" i="16"/>
  <c r="S406" i="16"/>
  <c r="A407" i="16"/>
  <c r="B407" i="16"/>
  <c r="C407" i="16"/>
  <c r="D407" i="16"/>
  <c r="I407" i="16"/>
  <c r="J407" i="16"/>
  <c r="M407" i="16"/>
  <c r="R407" i="16"/>
  <c r="S407" i="16"/>
  <c r="A408" i="16"/>
  <c r="B408" i="16"/>
  <c r="C408" i="16"/>
  <c r="D408" i="16"/>
  <c r="I408" i="16"/>
  <c r="J408" i="16"/>
  <c r="M408" i="16"/>
  <c r="R408" i="16"/>
  <c r="S408" i="16"/>
  <c r="A409" i="16"/>
  <c r="B409" i="16"/>
  <c r="C409" i="16"/>
  <c r="D409" i="16"/>
  <c r="I409" i="16"/>
  <c r="J409" i="16"/>
  <c r="M409" i="16"/>
  <c r="R409" i="16"/>
  <c r="S409" i="16"/>
  <c r="A410" i="16"/>
  <c r="B410" i="16"/>
  <c r="C410" i="16"/>
  <c r="D410" i="16"/>
  <c r="I410" i="16"/>
  <c r="J410" i="16"/>
  <c r="M410" i="16"/>
  <c r="R410" i="16"/>
  <c r="S410" i="16"/>
  <c r="A411" i="16"/>
  <c r="B411" i="16"/>
  <c r="C411" i="16"/>
  <c r="D411" i="16"/>
  <c r="I411" i="16"/>
  <c r="J411" i="16"/>
  <c r="M411" i="16"/>
  <c r="R411" i="16"/>
  <c r="S411" i="16"/>
  <c r="A412" i="16"/>
  <c r="B412" i="16"/>
  <c r="C412" i="16"/>
  <c r="D412" i="16"/>
  <c r="I412" i="16"/>
  <c r="J412" i="16"/>
  <c r="M412" i="16"/>
  <c r="R412" i="16"/>
  <c r="S412" i="16"/>
  <c r="A413" i="16"/>
  <c r="B413" i="16"/>
  <c r="C413" i="16"/>
  <c r="D413" i="16"/>
  <c r="K413" i="16" s="1"/>
  <c r="O413" i="16" s="1"/>
  <c r="I413" i="16"/>
  <c r="J413" i="16"/>
  <c r="M413" i="16"/>
  <c r="R413" i="16"/>
  <c r="S413" i="16"/>
  <c r="A414" i="16"/>
  <c r="B414" i="16"/>
  <c r="C414" i="16"/>
  <c r="D414" i="16"/>
  <c r="I414" i="16"/>
  <c r="J414" i="16"/>
  <c r="M414" i="16"/>
  <c r="R414" i="16"/>
  <c r="S414" i="16"/>
  <c r="A415" i="16"/>
  <c r="B415" i="16"/>
  <c r="C415" i="16"/>
  <c r="D415" i="16"/>
  <c r="I415" i="16"/>
  <c r="J415" i="16"/>
  <c r="M415" i="16"/>
  <c r="R415" i="16"/>
  <c r="S415" i="16"/>
  <c r="A416" i="16"/>
  <c r="B416" i="16"/>
  <c r="C416" i="16"/>
  <c r="D416" i="16"/>
  <c r="I416" i="16"/>
  <c r="J416" i="16"/>
  <c r="M416" i="16"/>
  <c r="R416" i="16"/>
  <c r="S416" i="16"/>
  <c r="A417" i="16"/>
  <c r="B417" i="16"/>
  <c r="C417" i="16"/>
  <c r="D417" i="16"/>
  <c r="I417" i="16"/>
  <c r="J417" i="16"/>
  <c r="M417" i="16"/>
  <c r="R417" i="16"/>
  <c r="S417" i="16"/>
  <c r="A418" i="16"/>
  <c r="B418" i="16"/>
  <c r="C418" i="16"/>
  <c r="D418" i="16"/>
  <c r="I418" i="16"/>
  <c r="J418" i="16"/>
  <c r="M418" i="16"/>
  <c r="R418" i="16"/>
  <c r="S418" i="16"/>
  <c r="A419" i="16"/>
  <c r="B419" i="16"/>
  <c r="C419" i="16"/>
  <c r="D419" i="16"/>
  <c r="I419" i="16"/>
  <c r="J419" i="16"/>
  <c r="M419" i="16"/>
  <c r="R419" i="16"/>
  <c r="S419" i="16"/>
  <c r="A420" i="16"/>
  <c r="B420" i="16"/>
  <c r="C420" i="16"/>
  <c r="D420" i="16"/>
  <c r="I420" i="16"/>
  <c r="J420" i="16"/>
  <c r="M420" i="16"/>
  <c r="R420" i="16"/>
  <c r="S420" i="16"/>
  <c r="A421" i="16"/>
  <c r="B421" i="16"/>
  <c r="C421" i="16"/>
  <c r="D421" i="16"/>
  <c r="I421" i="16"/>
  <c r="J421" i="16"/>
  <c r="M421" i="16"/>
  <c r="R421" i="16"/>
  <c r="S421" i="16"/>
  <c r="A422" i="16"/>
  <c r="B422" i="16"/>
  <c r="C422" i="16"/>
  <c r="D422" i="16"/>
  <c r="I422" i="16"/>
  <c r="J422" i="16"/>
  <c r="M422" i="16"/>
  <c r="R422" i="16"/>
  <c r="S422" i="16"/>
  <c r="A423" i="16"/>
  <c r="B423" i="16"/>
  <c r="C423" i="16"/>
  <c r="D423" i="16"/>
  <c r="I423" i="16"/>
  <c r="J423" i="16"/>
  <c r="M423" i="16"/>
  <c r="R423" i="16"/>
  <c r="S423" i="16"/>
  <c r="A424" i="16"/>
  <c r="B424" i="16"/>
  <c r="C424" i="16"/>
  <c r="D424" i="16"/>
  <c r="I424" i="16"/>
  <c r="J424" i="16"/>
  <c r="M424" i="16"/>
  <c r="R424" i="16"/>
  <c r="S424" i="16"/>
  <c r="A425" i="16"/>
  <c r="B425" i="16"/>
  <c r="C425" i="16"/>
  <c r="D425" i="16"/>
  <c r="I425" i="16"/>
  <c r="J425" i="16"/>
  <c r="M425" i="16"/>
  <c r="R425" i="16"/>
  <c r="S425" i="16"/>
  <c r="A426" i="16"/>
  <c r="B426" i="16"/>
  <c r="C426" i="16"/>
  <c r="D426" i="16"/>
  <c r="I426" i="16"/>
  <c r="J426" i="16"/>
  <c r="M426" i="16"/>
  <c r="R426" i="16"/>
  <c r="S426" i="16"/>
  <c r="A427" i="16"/>
  <c r="B427" i="16"/>
  <c r="C427" i="16"/>
  <c r="D427" i="16"/>
  <c r="I427" i="16"/>
  <c r="J427" i="16"/>
  <c r="M427" i="16"/>
  <c r="R427" i="16"/>
  <c r="S427" i="16"/>
  <c r="A428" i="16"/>
  <c r="B428" i="16"/>
  <c r="C428" i="16"/>
  <c r="D428" i="16"/>
  <c r="I428" i="16"/>
  <c r="J428" i="16"/>
  <c r="M428" i="16"/>
  <c r="R428" i="16"/>
  <c r="S428" i="16"/>
  <c r="A429" i="16"/>
  <c r="B429" i="16"/>
  <c r="C429" i="16"/>
  <c r="D429" i="16"/>
  <c r="I429" i="16"/>
  <c r="J429" i="16"/>
  <c r="M429" i="16"/>
  <c r="R429" i="16"/>
  <c r="S429" i="16"/>
  <c r="A430" i="16"/>
  <c r="B430" i="16"/>
  <c r="C430" i="16"/>
  <c r="D430" i="16"/>
  <c r="I430" i="16"/>
  <c r="J430" i="16"/>
  <c r="M430" i="16"/>
  <c r="R430" i="16"/>
  <c r="S430" i="16"/>
  <c r="A431" i="16"/>
  <c r="B431" i="16"/>
  <c r="C431" i="16"/>
  <c r="D431" i="16"/>
  <c r="I431" i="16"/>
  <c r="J431" i="16"/>
  <c r="M431" i="16"/>
  <c r="R431" i="16"/>
  <c r="S431" i="16"/>
  <c r="A432" i="16"/>
  <c r="B432" i="16"/>
  <c r="C432" i="16"/>
  <c r="D432" i="16"/>
  <c r="K432" i="16" s="1"/>
  <c r="O432" i="16" s="1"/>
  <c r="I432" i="16"/>
  <c r="J432" i="16"/>
  <c r="M432" i="16"/>
  <c r="R432" i="16"/>
  <c r="S432" i="16"/>
  <c r="A433" i="16"/>
  <c r="B433" i="16"/>
  <c r="C433" i="16"/>
  <c r="D433" i="16"/>
  <c r="I433" i="16"/>
  <c r="J433" i="16"/>
  <c r="M433" i="16"/>
  <c r="R433" i="16"/>
  <c r="S433" i="16"/>
  <c r="A434" i="16"/>
  <c r="B434" i="16"/>
  <c r="C434" i="16"/>
  <c r="D434" i="16"/>
  <c r="I434" i="16"/>
  <c r="J434" i="16"/>
  <c r="M434" i="16"/>
  <c r="R434" i="16"/>
  <c r="S434" i="16"/>
  <c r="A435" i="16"/>
  <c r="B435" i="16"/>
  <c r="C435" i="16"/>
  <c r="D435" i="16"/>
  <c r="I435" i="16"/>
  <c r="J435" i="16"/>
  <c r="M435" i="16"/>
  <c r="R435" i="16"/>
  <c r="S435" i="16"/>
  <c r="A436" i="16"/>
  <c r="B436" i="16"/>
  <c r="C436" i="16"/>
  <c r="D436" i="16"/>
  <c r="I436" i="16"/>
  <c r="J436" i="16"/>
  <c r="M436" i="16"/>
  <c r="R436" i="16"/>
  <c r="S436" i="16"/>
  <c r="A437" i="16"/>
  <c r="B437" i="16"/>
  <c r="C437" i="16"/>
  <c r="D437" i="16"/>
  <c r="I437" i="16"/>
  <c r="J437" i="16"/>
  <c r="M437" i="16"/>
  <c r="R437" i="16"/>
  <c r="S437" i="16"/>
  <c r="A438" i="16"/>
  <c r="B438" i="16"/>
  <c r="C438" i="16"/>
  <c r="D438" i="16"/>
  <c r="I438" i="16"/>
  <c r="J438" i="16"/>
  <c r="M438" i="16"/>
  <c r="R438" i="16"/>
  <c r="S438" i="16"/>
  <c r="A439" i="16"/>
  <c r="B439" i="16"/>
  <c r="C439" i="16"/>
  <c r="D439" i="16"/>
  <c r="I439" i="16"/>
  <c r="J439" i="16"/>
  <c r="M439" i="16"/>
  <c r="R439" i="16"/>
  <c r="S439" i="16"/>
  <c r="A440" i="16"/>
  <c r="B440" i="16"/>
  <c r="C440" i="16"/>
  <c r="D440" i="16"/>
  <c r="F440" i="16" s="1"/>
  <c r="E440" i="16" s="1"/>
  <c r="I440" i="16"/>
  <c r="J440" i="16"/>
  <c r="M440" i="16"/>
  <c r="R440" i="16"/>
  <c r="S440" i="16"/>
  <c r="A441" i="16"/>
  <c r="B441" i="16"/>
  <c r="C441" i="16"/>
  <c r="D441" i="16"/>
  <c r="I441" i="16"/>
  <c r="J441" i="16"/>
  <c r="M441" i="16"/>
  <c r="R441" i="16"/>
  <c r="S441" i="16"/>
  <c r="A442" i="16"/>
  <c r="B442" i="16"/>
  <c r="C442" i="16"/>
  <c r="D442" i="16"/>
  <c r="I442" i="16"/>
  <c r="J442" i="16"/>
  <c r="M442" i="16"/>
  <c r="R442" i="16"/>
  <c r="S442" i="16"/>
  <c r="A443" i="16"/>
  <c r="B443" i="16"/>
  <c r="C443" i="16"/>
  <c r="D443" i="16"/>
  <c r="I443" i="16"/>
  <c r="J443" i="16"/>
  <c r="M443" i="16"/>
  <c r="R443" i="16"/>
  <c r="S443" i="16"/>
  <c r="A444" i="16"/>
  <c r="B444" i="16"/>
  <c r="C444" i="16"/>
  <c r="D444" i="16"/>
  <c r="I444" i="16"/>
  <c r="J444" i="16"/>
  <c r="M444" i="16"/>
  <c r="R444" i="16"/>
  <c r="S444" i="16"/>
  <c r="A445" i="16"/>
  <c r="B445" i="16"/>
  <c r="C445" i="16"/>
  <c r="D445" i="16"/>
  <c r="I445" i="16"/>
  <c r="J445" i="16"/>
  <c r="M445" i="16"/>
  <c r="R445" i="16"/>
  <c r="S445" i="16"/>
  <c r="A446" i="16"/>
  <c r="B446" i="16"/>
  <c r="C446" i="16"/>
  <c r="D446" i="16"/>
  <c r="I446" i="16"/>
  <c r="J446" i="16"/>
  <c r="M446" i="16"/>
  <c r="R446" i="16"/>
  <c r="S446" i="16"/>
  <c r="A447" i="16"/>
  <c r="B447" i="16"/>
  <c r="C447" i="16"/>
  <c r="D447" i="16"/>
  <c r="I447" i="16"/>
  <c r="J447" i="16"/>
  <c r="M447" i="16"/>
  <c r="R447" i="16"/>
  <c r="S447" i="16"/>
  <c r="A448" i="16"/>
  <c r="B448" i="16"/>
  <c r="C448" i="16"/>
  <c r="D448" i="16"/>
  <c r="I448" i="16"/>
  <c r="J448" i="16"/>
  <c r="M448" i="16"/>
  <c r="R448" i="16"/>
  <c r="S448" i="16"/>
  <c r="A449" i="16"/>
  <c r="B449" i="16"/>
  <c r="C449" i="16"/>
  <c r="D449" i="16"/>
  <c r="I449" i="16"/>
  <c r="J449" i="16"/>
  <c r="M449" i="16"/>
  <c r="R449" i="16"/>
  <c r="S449" i="16"/>
  <c r="A450" i="16"/>
  <c r="B450" i="16"/>
  <c r="C450" i="16"/>
  <c r="D450" i="16"/>
  <c r="I450" i="16"/>
  <c r="J450" i="16"/>
  <c r="M450" i="16"/>
  <c r="R450" i="16"/>
  <c r="S450" i="16"/>
  <c r="A451" i="16"/>
  <c r="B451" i="16"/>
  <c r="C451" i="16"/>
  <c r="D451" i="16"/>
  <c r="I451" i="16"/>
  <c r="J451" i="16"/>
  <c r="M451" i="16"/>
  <c r="R451" i="16"/>
  <c r="S451" i="16"/>
  <c r="A452" i="16"/>
  <c r="B452" i="16"/>
  <c r="C452" i="16"/>
  <c r="D452" i="16"/>
  <c r="I452" i="16"/>
  <c r="J452" i="16"/>
  <c r="M452" i="16"/>
  <c r="R452" i="16"/>
  <c r="S452" i="16"/>
  <c r="A453" i="16"/>
  <c r="B453" i="16"/>
  <c r="C453" i="16"/>
  <c r="D453" i="16"/>
  <c r="I453" i="16"/>
  <c r="J453" i="16"/>
  <c r="M453" i="16"/>
  <c r="R453" i="16"/>
  <c r="S453" i="16"/>
  <c r="A454" i="16"/>
  <c r="B454" i="16"/>
  <c r="C454" i="16"/>
  <c r="D454" i="16"/>
  <c r="I454" i="16"/>
  <c r="J454" i="16"/>
  <c r="M454" i="16"/>
  <c r="R454" i="16"/>
  <c r="S454" i="16"/>
  <c r="A455" i="16"/>
  <c r="B455" i="16"/>
  <c r="C455" i="16"/>
  <c r="D455" i="16"/>
  <c r="I455" i="16"/>
  <c r="J455" i="16"/>
  <c r="M455" i="16"/>
  <c r="R455" i="16"/>
  <c r="S455" i="16"/>
  <c r="A456" i="16"/>
  <c r="B456" i="16"/>
  <c r="C456" i="16"/>
  <c r="D456" i="16"/>
  <c r="I456" i="16"/>
  <c r="J456" i="16"/>
  <c r="M456" i="16"/>
  <c r="R456" i="16"/>
  <c r="S456" i="16"/>
  <c r="A457" i="16"/>
  <c r="B457" i="16"/>
  <c r="C457" i="16"/>
  <c r="D457" i="16"/>
  <c r="I457" i="16"/>
  <c r="J457" i="16"/>
  <c r="M457" i="16"/>
  <c r="R457" i="16"/>
  <c r="S457" i="16"/>
  <c r="A458" i="16"/>
  <c r="B458" i="16"/>
  <c r="C458" i="16"/>
  <c r="D458" i="16"/>
  <c r="I458" i="16"/>
  <c r="J458" i="16"/>
  <c r="M458" i="16"/>
  <c r="R458" i="16"/>
  <c r="S458" i="16"/>
  <c r="A459" i="16"/>
  <c r="B459" i="16"/>
  <c r="C459" i="16"/>
  <c r="D459" i="16"/>
  <c r="I459" i="16"/>
  <c r="J459" i="16"/>
  <c r="M459" i="16"/>
  <c r="R459" i="16"/>
  <c r="S459" i="16"/>
  <c r="A460" i="16"/>
  <c r="B460" i="16"/>
  <c r="C460" i="16"/>
  <c r="D460" i="16"/>
  <c r="I460" i="16"/>
  <c r="J460" i="16"/>
  <c r="M460" i="16"/>
  <c r="R460" i="16"/>
  <c r="S460" i="16"/>
  <c r="A461" i="16"/>
  <c r="B461" i="16"/>
  <c r="C461" i="16"/>
  <c r="D461" i="16"/>
  <c r="I461" i="16"/>
  <c r="J461" i="16"/>
  <c r="M461" i="16"/>
  <c r="R461" i="16"/>
  <c r="S461" i="16"/>
  <c r="A462" i="16"/>
  <c r="B462" i="16"/>
  <c r="C462" i="16"/>
  <c r="D462" i="16"/>
  <c r="I462" i="16"/>
  <c r="J462" i="16"/>
  <c r="M462" i="16"/>
  <c r="R462" i="16"/>
  <c r="S462" i="16"/>
  <c r="A463" i="16"/>
  <c r="B463" i="16"/>
  <c r="C463" i="16"/>
  <c r="D463" i="16"/>
  <c r="I463" i="16"/>
  <c r="J463" i="16"/>
  <c r="M463" i="16"/>
  <c r="R463" i="16"/>
  <c r="S463" i="16"/>
  <c r="A464" i="16"/>
  <c r="B464" i="16"/>
  <c r="C464" i="16"/>
  <c r="D464" i="16"/>
  <c r="I464" i="16"/>
  <c r="J464" i="16"/>
  <c r="M464" i="16"/>
  <c r="R464" i="16"/>
  <c r="S464" i="16"/>
  <c r="A465" i="16"/>
  <c r="B465" i="16"/>
  <c r="C465" i="16"/>
  <c r="D465" i="16"/>
  <c r="I465" i="16"/>
  <c r="J465" i="16"/>
  <c r="M465" i="16"/>
  <c r="R465" i="16"/>
  <c r="S465" i="16"/>
  <c r="A466" i="16"/>
  <c r="B466" i="16"/>
  <c r="C466" i="16"/>
  <c r="D466" i="16"/>
  <c r="I466" i="16"/>
  <c r="J466" i="16"/>
  <c r="M466" i="16"/>
  <c r="R466" i="16"/>
  <c r="S466" i="16"/>
  <c r="A467" i="16"/>
  <c r="B467" i="16"/>
  <c r="C467" i="16"/>
  <c r="D467" i="16"/>
  <c r="K467" i="16" s="1"/>
  <c r="O467" i="16" s="1"/>
  <c r="I467" i="16"/>
  <c r="J467" i="16"/>
  <c r="M467" i="16"/>
  <c r="R467" i="16"/>
  <c r="S467" i="16"/>
  <c r="A468" i="16"/>
  <c r="B468" i="16"/>
  <c r="C468" i="16"/>
  <c r="D468" i="16"/>
  <c r="I468" i="16"/>
  <c r="J468" i="16"/>
  <c r="M468" i="16"/>
  <c r="R468" i="16"/>
  <c r="S468" i="16"/>
  <c r="A469" i="16"/>
  <c r="B469" i="16"/>
  <c r="C469" i="16"/>
  <c r="D469" i="16"/>
  <c r="I469" i="16"/>
  <c r="J469" i="16"/>
  <c r="M469" i="16"/>
  <c r="R469" i="16"/>
  <c r="S469" i="16"/>
  <c r="A470" i="16"/>
  <c r="B470" i="16"/>
  <c r="C470" i="16"/>
  <c r="D470" i="16"/>
  <c r="I470" i="16"/>
  <c r="J470" i="16"/>
  <c r="M470" i="16"/>
  <c r="R470" i="16"/>
  <c r="S470" i="16"/>
  <c r="A471" i="16"/>
  <c r="B471" i="16"/>
  <c r="C471" i="16"/>
  <c r="D471" i="16"/>
  <c r="I471" i="16"/>
  <c r="J471" i="16"/>
  <c r="M471" i="16"/>
  <c r="R471" i="16"/>
  <c r="S471" i="16"/>
  <c r="A472" i="16"/>
  <c r="B472" i="16"/>
  <c r="C472" i="16"/>
  <c r="D472" i="16"/>
  <c r="I472" i="16"/>
  <c r="J472" i="16"/>
  <c r="M472" i="16"/>
  <c r="R472" i="16"/>
  <c r="S472" i="16"/>
  <c r="A473" i="16"/>
  <c r="B473" i="16"/>
  <c r="C473" i="16"/>
  <c r="D473" i="16"/>
  <c r="F473" i="16" s="1"/>
  <c r="E473" i="16" s="1"/>
  <c r="I473" i="16"/>
  <c r="J473" i="16"/>
  <c r="M473" i="16"/>
  <c r="R473" i="16"/>
  <c r="S473" i="16"/>
  <c r="A474" i="16"/>
  <c r="B474" i="16"/>
  <c r="C474" i="16"/>
  <c r="D474" i="16"/>
  <c r="K474" i="16" s="1"/>
  <c r="O474" i="16" s="1"/>
  <c r="I474" i="16"/>
  <c r="J474" i="16"/>
  <c r="M474" i="16"/>
  <c r="R474" i="16"/>
  <c r="S474" i="16"/>
  <c r="A475" i="16"/>
  <c r="B475" i="16"/>
  <c r="C475" i="16"/>
  <c r="D475" i="16"/>
  <c r="I475" i="16"/>
  <c r="J475" i="16"/>
  <c r="M475" i="16"/>
  <c r="R475" i="16"/>
  <c r="S475" i="16"/>
  <c r="A476" i="16"/>
  <c r="B476" i="16"/>
  <c r="C476" i="16"/>
  <c r="D476" i="16"/>
  <c r="I476" i="16"/>
  <c r="J476" i="16"/>
  <c r="M476" i="16"/>
  <c r="R476" i="16"/>
  <c r="S476" i="16"/>
  <c r="A477" i="16"/>
  <c r="B477" i="16"/>
  <c r="C477" i="16"/>
  <c r="D477" i="16"/>
  <c r="I477" i="16"/>
  <c r="J477" i="16"/>
  <c r="M477" i="16"/>
  <c r="R477" i="16"/>
  <c r="S477" i="16"/>
  <c r="A478" i="16"/>
  <c r="B478" i="16"/>
  <c r="C478" i="16"/>
  <c r="D478" i="16"/>
  <c r="I478" i="16"/>
  <c r="J478" i="16"/>
  <c r="M478" i="16"/>
  <c r="R478" i="16"/>
  <c r="S478" i="16"/>
  <c r="A479" i="16"/>
  <c r="B479" i="16"/>
  <c r="C479" i="16"/>
  <c r="D479" i="16"/>
  <c r="I479" i="16"/>
  <c r="J479" i="16"/>
  <c r="M479" i="16"/>
  <c r="R479" i="16"/>
  <c r="S479" i="16"/>
  <c r="A480" i="16"/>
  <c r="B480" i="16"/>
  <c r="C480" i="16"/>
  <c r="D480" i="16"/>
  <c r="I480" i="16"/>
  <c r="J480" i="16"/>
  <c r="M480" i="16"/>
  <c r="R480" i="16"/>
  <c r="S480" i="16"/>
  <c r="A481" i="16"/>
  <c r="B481" i="16"/>
  <c r="C481" i="16"/>
  <c r="D481" i="16"/>
  <c r="I481" i="16"/>
  <c r="J481" i="16"/>
  <c r="M481" i="16"/>
  <c r="R481" i="16"/>
  <c r="S481" i="16"/>
  <c r="A482" i="16"/>
  <c r="B482" i="16"/>
  <c r="C482" i="16"/>
  <c r="D482" i="16"/>
  <c r="I482" i="16"/>
  <c r="J482" i="16"/>
  <c r="M482" i="16"/>
  <c r="R482" i="16"/>
  <c r="S482" i="16"/>
  <c r="A483" i="16"/>
  <c r="B483" i="16"/>
  <c r="C483" i="16"/>
  <c r="D483" i="16"/>
  <c r="I483" i="16"/>
  <c r="J483" i="16"/>
  <c r="M483" i="16"/>
  <c r="R483" i="16"/>
  <c r="S483" i="16"/>
  <c r="A484" i="16"/>
  <c r="B484" i="16"/>
  <c r="C484" i="16"/>
  <c r="D484" i="16"/>
  <c r="I484" i="16"/>
  <c r="J484" i="16"/>
  <c r="M484" i="16"/>
  <c r="R484" i="16"/>
  <c r="S484" i="16"/>
  <c r="A485" i="16"/>
  <c r="B485" i="16"/>
  <c r="C485" i="16"/>
  <c r="D485" i="16"/>
  <c r="I485" i="16"/>
  <c r="J485" i="16"/>
  <c r="M485" i="16"/>
  <c r="R485" i="16"/>
  <c r="S485" i="16"/>
  <c r="A486" i="16"/>
  <c r="B486" i="16"/>
  <c r="C486" i="16"/>
  <c r="D486" i="16"/>
  <c r="I486" i="16"/>
  <c r="J486" i="16"/>
  <c r="M486" i="16"/>
  <c r="R486" i="16"/>
  <c r="S486" i="16"/>
  <c r="A487" i="16"/>
  <c r="B487" i="16"/>
  <c r="C487" i="16"/>
  <c r="D487" i="16"/>
  <c r="I487" i="16"/>
  <c r="J487" i="16"/>
  <c r="M487" i="16"/>
  <c r="R487" i="16"/>
  <c r="S487" i="16"/>
  <c r="A488" i="16"/>
  <c r="B488" i="16"/>
  <c r="C488" i="16"/>
  <c r="D488" i="16"/>
  <c r="I488" i="16"/>
  <c r="J488" i="16"/>
  <c r="M488" i="16"/>
  <c r="R488" i="16"/>
  <c r="S488" i="16"/>
  <c r="A489" i="16"/>
  <c r="B489" i="16"/>
  <c r="C489" i="16"/>
  <c r="D489" i="16"/>
  <c r="I489" i="16"/>
  <c r="J489" i="16"/>
  <c r="M489" i="16"/>
  <c r="R489" i="16"/>
  <c r="S489" i="16"/>
  <c r="A490" i="16"/>
  <c r="B490" i="16"/>
  <c r="C490" i="16"/>
  <c r="D490" i="16"/>
  <c r="I490" i="16"/>
  <c r="J490" i="16"/>
  <c r="M490" i="16"/>
  <c r="R490" i="16"/>
  <c r="S490" i="16"/>
  <c r="A491" i="16"/>
  <c r="B491" i="16"/>
  <c r="C491" i="16"/>
  <c r="D491" i="16"/>
  <c r="I491" i="16"/>
  <c r="J491" i="16"/>
  <c r="M491" i="16"/>
  <c r="R491" i="16"/>
  <c r="S491" i="16"/>
  <c r="A492" i="16"/>
  <c r="B492" i="16"/>
  <c r="C492" i="16"/>
  <c r="D492" i="16"/>
  <c r="I492" i="16"/>
  <c r="J492" i="16"/>
  <c r="M492" i="16"/>
  <c r="R492" i="16"/>
  <c r="S492" i="16"/>
  <c r="A493" i="16"/>
  <c r="B493" i="16"/>
  <c r="C493" i="16"/>
  <c r="D493" i="16"/>
  <c r="I493" i="16"/>
  <c r="J493" i="16"/>
  <c r="M493" i="16"/>
  <c r="R493" i="16"/>
  <c r="S493" i="16"/>
  <c r="A494" i="16"/>
  <c r="B494" i="16"/>
  <c r="C494" i="16"/>
  <c r="D494" i="16"/>
  <c r="I494" i="16"/>
  <c r="J494" i="16"/>
  <c r="M494" i="16"/>
  <c r="R494" i="16"/>
  <c r="S494" i="16"/>
  <c r="A495" i="16"/>
  <c r="B495" i="16"/>
  <c r="C495" i="16"/>
  <c r="D495" i="16"/>
  <c r="I495" i="16"/>
  <c r="J495" i="16"/>
  <c r="M495" i="16"/>
  <c r="R495" i="16"/>
  <c r="S495" i="16"/>
  <c r="A496" i="16"/>
  <c r="B496" i="16"/>
  <c r="C496" i="16"/>
  <c r="D496" i="16"/>
  <c r="I496" i="16"/>
  <c r="J496" i="16"/>
  <c r="M496" i="16"/>
  <c r="R496" i="16"/>
  <c r="S496" i="16"/>
  <c r="A497" i="16"/>
  <c r="B497" i="16"/>
  <c r="C497" i="16"/>
  <c r="D497" i="16"/>
  <c r="I497" i="16"/>
  <c r="J497" i="16"/>
  <c r="M497" i="16"/>
  <c r="R497" i="16"/>
  <c r="S497" i="16"/>
  <c r="A498" i="16"/>
  <c r="B498" i="16"/>
  <c r="C498" i="16"/>
  <c r="D498" i="16"/>
  <c r="I498" i="16"/>
  <c r="J498" i="16"/>
  <c r="M498" i="16"/>
  <c r="R498" i="16"/>
  <c r="S498" i="16"/>
  <c r="A499" i="16"/>
  <c r="B499" i="16"/>
  <c r="C499" i="16"/>
  <c r="D499" i="16"/>
  <c r="I499" i="16"/>
  <c r="J499" i="16"/>
  <c r="M499" i="16"/>
  <c r="R499" i="16"/>
  <c r="S499" i="16"/>
  <c r="A500" i="16"/>
  <c r="B500" i="16"/>
  <c r="C500" i="16"/>
  <c r="D500" i="16"/>
  <c r="I500" i="16"/>
  <c r="J500" i="16"/>
  <c r="M500" i="16"/>
  <c r="R500" i="16"/>
  <c r="S500" i="16"/>
  <c r="A501" i="16"/>
  <c r="B501" i="16"/>
  <c r="C501" i="16"/>
  <c r="D501" i="16"/>
  <c r="I501" i="16"/>
  <c r="J501" i="16"/>
  <c r="M501" i="16"/>
  <c r="R501" i="16"/>
  <c r="S501" i="16"/>
  <c r="A502" i="16"/>
  <c r="B502" i="16"/>
  <c r="C502" i="16"/>
  <c r="D502" i="16"/>
  <c r="I502" i="16"/>
  <c r="J502" i="16"/>
  <c r="M502" i="16"/>
  <c r="R502" i="16"/>
  <c r="S502" i="16"/>
  <c r="A503" i="16"/>
  <c r="B503" i="16"/>
  <c r="C503" i="16"/>
  <c r="D503" i="16"/>
  <c r="I503" i="16"/>
  <c r="J503" i="16"/>
  <c r="M503" i="16"/>
  <c r="R503" i="16"/>
  <c r="S503" i="16"/>
  <c r="A504" i="16"/>
  <c r="B504" i="16"/>
  <c r="C504" i="16"/>
  <c r="D504" i="16"/>
  <c r="I504" i="16"/>
  <c r="J504" i="16"/>
  <c r="M504" i="16"/>
  <c r="R504" i="16"/>
  <c r="S504" i="16"/>
  <c r="A505" i="16"/>
  <c r="B505" i="16"/>
  <c r="C505" i="16"/>
  <c r="D505" i="16"/>
  <c r="I505" i="16"/>
  <c r="J505" i="16"/>
  <c r="M505" i="16"/>
  <c r="R505" i="16"/>
  <c r="S505" i="16"/>
  <c r="A506" i="16"/>
  <c r="B506" i="16"/>
  <c r="C506" i="16"/>
  <c r="D506" i="16"/>
  <c r="I506" i="16"/>
  <c r="J506" i="16"/>
  <c r="M506" i="16"/>
  <c r="R506" i="16"/>
  <c r="S506" i="16"/>
  <c r="A507" i="16"/>
  <c r="B507" i="16"/>
  <c r="C507" i="16"/>
  <c r="D507" i="16"/>
  <c r="I507" i="16"/>
  <c r="J507" i="16"/>
  <c r="M507" i="16"/>
  <c r="R507" i="16"/>
  <c r="S507" i="16"/>
  <c r="A508" i="16"/>
  <c r="B508" i="16"/>
  <c r="C508" i="16"/>
  <c r="D508" i="16"/>
  <c r="I508" i="16"/>
  <c r="J508" i="16"/>
  <c r="M508" i="16"/>
  <c r="R508" i="16"/>
  <c r="S508" i="16"/>
  <c r="A509" i="16"/>
  <c r="B509" i="16"/>
  <c r="C509" i="16"/>
  <c r="D509" i="16"/>
  <c r="I509" i="16"/>
  <c r="J509" i="16"/>
  <c r="M509" i="16"/>
  <c r="R509" i="16"/>
  <c r="S509" i="16"/>
  <c r="A510" i="16"/>
  <c r="B510" i="16"/>
  <c r="C510" i="16"/>
  <c r="D510" i="16"/>
  <c r="I510" i="16"/>
  <c r="J510" i="16"/>
  <c r="M510" i="16"/>
  <c r="R510" i="16"/>
  <c r="S510" i="16"/>
  <c r="A511" i="16"/>
  <c r="B511" i="16"/>
  <c r="C511" i="16"/>
  <c r="D511" i="16"/>
  <c r="I511" i="16"/>
  <c r="J511" i="16"/>
  <c r="M511" i="16"/>
  <c r="R511" i="16"/>
  <c r="S511" i="16"/>
  <c r="A512" i="16"/>
  <c r="B512" i="16"/>
  <c r="C512" i="16"/>
  <c r="D512" i="16"/>
  <c r="I512" i="16"/>
  <c r="J512" i="16"/>
  <c r="M512" i="16"/>
  <c r="R512" i="16"/>
  <c r="S512" i="16"/>
  <c r="A513" i="16"/>
  <c r="B513" i="16"/>
  <c r="C513" i="16"/>
  <c r="D513" i="16"/>
  <c r="I513" i="16"/>
  <c r="J513" i="16"/>
  <c r="M513" i="16"/>
  <c r="R513" i="16"/>
  <c r="S513" i="16"/>
  <c r="A514" i="16"/>
  <c r="B514" i="16"/>
  <c r="C514" i="16"/>
  <c r="D514" i="16"/>
  <c r="I514" i="16"/>
  <c r="J514" i="16"/>
  <c r="M514" i="16"/>
  <c r="R514" i="16"/>
  <c r="S514" i="16"/>
  <c r="A515" i="16"/>
  <c r="B515" i="16"/>
  <c r="C515" i="16"/>
  <c r="D515" i="16"/>
  <c r="K515" i="16" s="1"/>
  <c r="O515" i="16" s="1"/>
  <c r="I515" i="16"/>
  <c r="J515" i="16"/>
  <c r="M515" i="16"/>
  <c r="R515" i="16"/>
  <c r="S515" i="16"/>
  <c r="A516" i="16"/>
  <c r="B516" i="16"/>
  <c r="C516" i="16"/>
  <c r="D516" i="16"/>
  <c r="I516" i="16"/>
  <c r="J516" i="16"/>
  <c r="M516" i="16"/>
  <c r="R516" i="16"/>
  <c r="S516" i="16"/>
  <c r="A517" i="16"/>
  <c r="B517" i="16"/>
  <c r="C517" i="16"/>
  <c r="D517" i="16"/>
  <c r="I517" i="16"/>
  <c r="J517" i="16"/>
  <c r="M517" i="16"/>
  <c r="R517" i="16"/>
  <c r="S517" i="16"/>
  <c r="A518" i="16"/>
  <c r="B518" i="16"/>
  <c r="C518" i="16"/>
  <c r="D518" i="16"/>
  <c r="K518" i="16" s="1"/>
  <c r="O518" i="16" s="1"/>
  <c r="I518" i="16"/>
  <c r="J518" i="16"/>
  <c r="M518" i="16"/>
  <c r="R518" i="16"/>
  <c r="S518" i="16"/>
  <c r="A519" i="16"/>
  <c r="B519" i="16"/>
  <c r="C519" i="16"/>
  <c r="D519" i="16"/>
  <c r="I519" i="16"/>
  <c r="J519" i="16"/>
  <c r="M519" i="16"/>
  <c r="R519" i="16"/>
  <c r="S519" i="16"/>
  <c r="A520" i="16"/>
  <c r="B520" i="16"/>
  <c r="C520" i="16"/>
  <c r="D520" i="16"/>
  <c r="I520" i="16"/>
  <c r="J520" i="16"/>
  <c r="M520" i="16"/>
  <c r="R520" i="16"/>
  <c r="S520" i="16"/>
  <c r="A521" i="16"/>
  <c r="B521" i="16"/>
  <c r="C521" i="16"/>
  <c r="D521" i="16"/>
  <c r="I521" i="16"/>
  <c r="J521" i="16"/>
  <c r="M521" i="16"/>
  <c r="R521" i="16"/>
  <c r="S521" i="16"/>
  <c r="A522" i="16"/>
  <c r="B522" i="16"/>
  <c r="C522" i="16"/>
  <c r="D522" i="16"/>
  <c r="I522" i="16"/>
  <c r="J522" i="16"/>
  <c r="M522" i="16"/>
  <c r="R522" i="16"/>
  <c r="S522" i="16"/>
  <c r="A523" i="16"/>
  <c r="B523" i="16"/>
  <c r="C523" i="16"/>
  <c r="D523" i="16"/>
  <c r="I523" i="16"/>
  <c r="J523" i="16"/>
  <c r="M523" i="16"/>
  <c r="R523" i="16"/>
  <c r="S523" i="16"/>
  <c r="A524" i="16"/>
  <c r="B524" i="16"/>
  <c r="C524" i="16"/>
  <c r="D524" i="16"/>
  <c r="I524" i="16"/>
  <c r="J524" i="16"/>
  <c r="M524" i="16"/>
  <c r="R524" i="16"/>
  <c r="S524" i="16"/>
  <c r="A525" i="16"/>
  <c r="B525" i="16"/>
  <c r="C525" i="16"/>
  <c r="D525" i="16"/>
  <c r="I525" i="16"/>
  <c r="J525" i="16"/>
  <c r="M525" i="16"/>
  <c r="R525" i="16"/>
  <c r="S525" i="16"/>
  <c r="A526" i="16"/>
  <c r="B526" i="16"/>
  <c r="C526" i="16"/>
  <c r="D526" i="16"/>
  <c r="I526" i="16"/>
  <c r="J526" i="16"/>
  <c r="M526" i="16"/>
  <c r="R526" i="16"/>
  <c r="S526" i="16"/>
  <c r="A527" i="16"/>
  <c r="B527" i="16"/>
  <c r="C527" i="16"/>
  <c r="D527" i="16"/>
  <c r="I527" i="16"/>
  <c r="J527" i="16"/>
  <c r="M527" i="16"/>
  <c r="R527" i="16"/>
  <c r="S527" i="16"/>
  <c r="A528" i="16"/>
  <c r="B528" i="16"/>
  <c r="C528" i="16"/>
  <c r="D528" i="16"/>
  <c r="I528" i="16"/>
  <c r="J528" i="16"/>
  <c r="M528" i="16"/>
  <c r="R528" i="16"/>
  <c r="S528" i="16"/>
  <c r="A529" i="16"/>
  <c r="B529" i="16"/>
  <c r="C529" i="16"/>
  <c r="D529" i="16"/>
  <c r="I529" i="16"/>
  <c r="J529" i="16"/>
  <c r="M529" i="16"/>
  <c r="R529" i="16"/>
  <c r="S529" i="16"/>
  <c r="A530" i="16"/>
  <c r="B530" i="16"/>
  <c r="C530" i="16"/>
  <c r="D530" i="16"/>
  <c r="I530" i="16"/>
  <c r="J530" i="16"/>
  <c r="M530" i="16"/>
  <c r="R530" i="16"/>
  <c r="S530" i="16"/>
  <c r="A531" i="16"/>
  <c r="B531" i="16"/>
  <c r="C531" i="16"/>
  <c r="D531" i="16"/>
  <c r="F531" i="16" s="1"/>
  <c r="E531" i="16" s="1"/>
  <c r="I531" i="16"/>
  <c r="J531" i="16"/>
  <c r="M531" i="16"/>
  <c r="R531" i="16"/>
  <c r="S531" i="16"/>
  <c r="A532" i="16"/>
  <c r="B532" i="16"/>
  <c r="C532" i="16"/>
  <c r="D532" i="16"/>
  <c r="I532" i="16"/>
  <c r="J532" i="16"/>
  <c r="M532" i="16"/>
  <c r="R532" i="16"/>
  <c r="S532" i="16"/>
  <c r="A533" i="16"/>
  <c r="B533" i="16"/>
  <c r="C533" i="16"/>
  <c r="D533" i="16"/>
  <c r="I533" i="16"/>
  <c r="J533" i="16"/>
  <c r="M533" i="16"/>
  <c r="R533" i="16"/>
  <c r="S533" i="16"/>
  <c r="A534" i="16"/>
  <c r="B534" i="16"/>
  <c r="C534" i="16"/>
  <c r="D534" i="16"/>
  <c r="F534" i="16" s="1"/>
  <c r="E534" i="16" s="1"/>
  <c r="I534" i="16"/>
  <c r="J534" i="16"/>
  <c r="M534" i="16"/>
  <c r="R534" i="16"/>
  <c r="S534" i="16"/>
  <c r="A535" i="16"/>
  <c r="B535" i="16"/>
  <c r="C535" i="16"/>
  <c r="D535" i="16"/>
  <c r="I535" i="16"/>
  <c r="J535" i="16"/>
  <c r="M535" i="16"/>
  <c r="R535" i="16"/>
  <c r="S535" i="16"/>
  <c r="A536" i="16"/>
  <c r="B536" i="16"/>
  <c r="C536" i="16"/>
  <c r="D536" i="16"/>
  <c r="I536" i="16"/>
  <c r="J536" i="16"/>
  <c r="M536" i="16"/>
  <c r="R536" i="16"/>
  <c r="S536" i="16"/>
  <c r="A537" i="16"/>
  <c r="B537" i="16"/>
  <c r="C537" i="16"/>
  <c r="D537" i="16"/>
  <c r="I537" i="16"/>
  <c r="J537" i="16"/>
  <c r="M537" i="16"/>
  <c r="R537" i="16"/>
  <c r="S537" i="16"/>
  <c r="A538" i="16"/>
  <c r="B538" i="16"/>
  <c r="C538" i="16"/>
  <c r="D538" i="16"/>
  <c r="I538" i="16"/>
  <c r="J538" i="16"/>
  <c r="M538" i="16"/>
  <c r="R538" i="16"/>
  <c r="S538" i="16"/>
  <c r="A539" i="16"/>
  <c r="B539" i="16"/>
  <c r="C539" i="16"/>
  <c r="D539" i="16"/>
  <c r="I539" i="16"/>
  <c r="J539" i="16"/>
  <c r="M539" i="16"/>
  <c r="R539" i="16"/>
  <c r="S539" i="16"/>
  <c r="A540" i="16"/>
  <c r="B540" i="16"/>
  <c r="C540" i="16"/>
  <c r="D540" i="16"/>
  <c r="I540" i="16"/>
  <c r="J540" i="16"/>
  <c r="M540" i="16"/>
  <c r="R540" i="16"/>
  <c r="S540" i="16"/>
  <c r="A541" i="16"/>
  <c r="B541" i="16"/>
  <c r="C541" i="16"/>
  <c r="D541" i="16"/>
  <c r="I541" i="16"/>
  <c r="J541" i="16"/>
  <c r="M541" i="16"/>
  <c r="R541" i="16"/>
  <c r="S541" i="16"/>
  <c r="A542" i="16"/>
  <c r="B542" i="16"/>
  <c r="C542" i="16"/>
  <c r="D542" i="16"/>
  <c r="I542" i="16"/>
  <c r="J542" i="16"/>
  <c r="M542" i="16"/>
  <c r="R542" i="16"/>
  <c r="S542" i="16"/>
  <c r="A543" i="16"/>
  <c r="B543" i="16"/>
  <c r="C543" i="16"/>
  <c r="D543" i="16"/>
  <c r="I543" i="16"/>
  <c r="J543" i="16"/>
  <c r="M543" i="16"/>
  <c r="R543" i="16"/>
  <c r="S543" i="16"/>
  <c r="A544" i="16"/>
  <c r="B544" i="16"/>
  <c r="C544" i="16"/>
  <c r="D544" i="16"/>
  <c r="I544" i="16"/>
  <c r="J544" i="16"/>
  <c r="M544" i="16"/>
  <c r="R544" i="16"/>
  <c r="S544" i="16"/>
  <c r="A545" i="16"/>
  <c r="B545" i="16"/>
  <c r="C545" i="16"/>
  <c r="D545" i="16"/>
  <c r="I545" i="16"/>
  <c r="J545" i="16"/>
  <c r="M545" i="16"/>
  <c r="R545" i="16"/>
  <c r="S545" i="16"/>
  <c r="A546" i="16"/>
  <c r="B546" i="16"/>
  <c r="C546" i="16"/>
  <c r="D546" i="16"/>
  <c r="I546" i="16"/>
  <c r="J546" i="16"/>
  <c r="M546" i="16"/>
  <c r="R546" i="16"/>
  <c r="S546" i="16"/>
  <c r="A547" i="16"/>
  <c r="B547" i="16"/>
  <c r="C547" i="16"/>
  <c r="D547" i="16"/>
  <c r="I547" i="16"/>
  <c r="J547" i="16"/>
  <c r="M547" i="16"/>
  <c r="R547" i="16"/>
  <c r="S547" i="16"/>
  <c r="A548" i="16"/>
  <c r="B548" i="16"/>
  <c r="C548" i="16"/>
  <c r="D548" i="16"/>
  <c r="I548" i="16"/>
  <c r="J548" i="16"/>
  <c r="M548" i="16"/>
  <c r="R548" i="16"/>
  <c r="S548" i="16"/>
  <c r="A549" i="16"/>
  <c r="B549" i="16"/>
  <c r="C549" i="16"/>
  <c r="D549" i="16"/>
  <c r="I549" i="16"/>
  <c r="J549" i="16"/>
  <c r="M549" i="16"/>
  <c r="R549" i="16"/>
  <c r="S549" i="16"/>
  <c r="A550" i="16"/>
  <c r="B550" i="16"/>
  <c r="C550" i="16"/>
  <c r="D550" i="16"/>
  <c r="I550" i="16"/>
  <c r="J550" i="16"/>
  <c r="M550" i="16"/>
  <c r="R550" i="16"/>
  <c r="S550" i="16"/>
  <c r="A551" i="16"/>
  <c r="B551" i="16"/>
  <c r="C551" i="16"/>
  <c r="D551" i="16"/>
  <c r="I551" i="16"/>
  <c r="J551" i="16"/>
  <c r="M551" i="16"/>
  <c r="R551" i="16"/>
  <c r="S551" i="16"/>
  <c r="A552" i="16"/>
  <c r="B552" i="16"/>
  <c r="C552" i="16"/>
  <c r="D552" i="16"/>
  <c r="I552" i="16"/>
  <c r="J552" i="16"/>
  <c r="M552" i="16"/>
  <c r="R552" i="16"/>
  <c r="S552" i="16"/>
  <c r="A553" i="16"/>
  <c r="B553" i="16"/>
  <c r="C553" i="16"/>
  <c r="D553" i="16"/>
  <c r="I553" i="16"/>
  <c r="J553" i="16"/>
  <c r="M553" i="16"/>
  <c r="R553" i="16"/>
  <c r="S553" i="16"/>
  <c r="A554" i="16"/>
  <c r="B554" i="16"/>
  <c r="C554" i="16"/>
  <c r="D554" i="16"/>
  <c r="I554" i="16"/>
  <c r="J554" i="16"/>
  <c r="M554" i="16"/>
  <c r="R554" i="16"/>
  <c r="S554" i="16"/>
  <c r="A555" i="16"/>
  <c r="B555" i="16"/>
  <c r="C555" i="16"/>
  <c r="D555" i="16"/>
  <c r="I555" i="16"/>
  <c r="J555" i="16"/>
  <c r="M555" i="16"/>
  <c r="R555" i="16"/>
  <c r="S555" i="16"/>
  <c r="A556" i="16"/>
  <c r="B556" i="16"/>
  <c r="C556" i="16"/>
  <c r="D556" i="16"/>
  <c r="I556" i="16"/>
  <c r="J556" i="16"/>
  <c r="M556" i="16"/>
  <c r="R556" i="16"/>
  <c r="S556" i="16"/>
  <c r="A557" i="16"/>
  <c r="B557" i="16"/>
  <c r="C557" i="16"/>
  <c r="D557" i="16"/>
  <c r="I557" i="16"/>
  <c r="J557" i="16"/>
  <c r="M557" i="16"/>
  <c r="R557" i="16"/>
  <c r="S557" i="16"/>
  <c r="A558" i="16"/>
  <c r="B558" i="16"/>
  <c r="C558" i="16"/>
  <c r="D558" i="16"/>
  <c r="I558" i="16"/>
  <c r="J558" i="16"/>
  <c r="M558" i="16"/>
  <c r="R558" i="16"/>
  <c r="S558" i="16"/>
  <c r="A559" i="16"/>
  <c r="B559" i="16"/>
  <c r="C559" i="16"/>
  <c r="D559" i="16"/>
  <c r="I559" i="16"/>
  <c r="J559" i="16"/>
  <c r="M559" i="16"/>
  <c r="R559" i="16"/>
  <c r="S559" i="16"/>
  <c r="A560" i="16"/>
  <c r="B560" i="16"/>
  <c r="C560" i="16"/>
  <c r="D560" i="16"/>
  <c r="I560" i="16"/>
  <c r="J560" i="16"/>
  <c r="M560" i="16"/>
  <c r="R560" i="16"/>
  <c r="S560" i="16"/>
  <c r="A561" i="16"/>
  <c r="B561" i="16"/>
  <c r="C561" i="16"/>
  <c r="D561" i="16"/>
  <c r="I561" i="16"/>
  <c r="J561" i="16"/>
  <c r="M561" i="16"/>
  <c r="R561" i="16"/>
  <c r="S561" i="16"/>
  <c r="A562" i="16"/>
  <c r="B562" i="16"/>
  <c r="C562" i="16"/>
  <c r="D562" i="16"/>
  <c r="I562" i="16"/>
  <c r="J562" i="16"/>
  <c r="M562" i="16"/>
  <c r="R562" i="16"/>
  <c r="S562" i="16"/>
  <c r="A563" i="16"/>
  <c r="B563" i="16"/>
  <c r="C563" i="16"/>
  <c r="D563" i="16"/>
  <c r="I563" i="16"/>
  <c r="J563" i="16"/>
  <c r="M563" i="16"/>
  <c r="R563" i="16"/>
  <c r="S563" i="16"/>
  <c r="A564" i="16"/>
  <c r="B564" i="16"/>
  <c r="C564" i="16"/>
  <c r="D564" i="16"/>
  <c r="I564" i="16"/>
  <c r="J564" i="16"/>
  <c r="M564" i="16"/>
  <c r="R564" i="16"/>
  <c r="S564" i="16"/>
  <c r="A565" i="16"/>
  <c r="B565" i="16"/>
  <c r="C565" i="16"/>
  <c r="D565" i="16"/>
  <c r="I565" i="16"/>
  <c r="J565" i="16"/>
  <c r="M565" i="16"/>
  <c r="R565" i="16"/>
  <c r="S565" i="16"/>
  <c r="A566" i="16"/>
  <c r="B566" i="16"/>
  <c r="C566" i="16"/>
  <c r="D566" i="16"/>
  <c r="I566" i="16"/>
  <c r="J566" i="16"/>
  <c r="M566" i="16"/>
  <c r="R566" i="16"/>
  <c r="S566" i="16"/>
  <c r="A567" i="16"/>
  <c r="B567" i="16"/>
  <c r="C567" i="16"/>
  <c r="D567" i="16"/>
  <c r="I567" i="16"/>
  <c r="J567" i="16"/>
  <c r="M567" i="16"/>
  <c r="R567" i="16"/>
  <c r="S567" i="16"/>
  <c r="A568" i="16"/>
  <c r="B568" i="16"/>
  <c r="C568" i="16"/>
  <c r="D568" i="16"/>
  <c r="I568" i="16"/>
  <c r="J568" i="16"/>
  <c r="M568" i="16"/>
  <c r="R568" i="16"/>
  <c r="S568" i="16"/>
  <c r="A569" i="16"/>
  <c r="B569" i="16"/>
  <c r="C569" i="16"/>
  <c r="D569" i="16"/>
  <c r="I569" i="16"/>
  <c r="J569" i="16"/>
  <c r="M569" i="16"/>
  <c r="R569" i="16"/>
  <c r="S569" i="16"/>
  <c r="A570" i="16"/>
  <c r="B570" i="16"/>
  <c r="C570" i="16"/>
  <c r="D570" i="16"/>
  <c r="I570" i="16"/>
  <c r="J570" i="16"/>
  <c r="M570" i="16"/>
  <c r="R570" i="16"/>
  <c r="S570" i="16"/>
  <c r="A571" i="16"/>
  <c r="B571" i="16"/>
  <c r="C571" i="16"/>
  <c r="D571" i="16"/>
  <c r="I571" i="16"/>
  <c r="J571" i="16"/>
  <c r="M571" i="16"/>
  <c r="R571" i="16"/>
  <c r="S571" i="16"/>
  <c r="A572" i="16"/>
  <c r="B572" i="16"/>
  <c r="C572" i="16"/>
  <c r="D572" i="16"/>
  <c r="I572" i="16"/>
  <c r="J572" i="16"/>
  <c r="M572" i="16"/>
  <c r="R572" i="16"/>
  <c r="S572" i="16"/>
  <c r="A573" i="16"/>
  <c r="B573" i="16"/>
  <c r="C573" i="16"/>
  <c r="D573" i="16"/>
  <c r="I573" i="16"/>
  <c r="J573" i="16"/>
  <c r="M573" i="16"/>
  <c r="R573" i="16"/>
  <c r="S573" i="16"/>
  <c r="A574" i="16"/>
  <c r="B574" i="16"/>
  <c r="C574" i="16"/>
  <c r="D574" i="16"/>
  <c r="I574" i="16"/>
  <c r="J574" i="16"/>
  <c r="M574" i="16"/>
  <c r="R574" i="16"/>
  <c r="S574" i="16"/>
  <c r="A575" i="16"/>
  <c r="B575" i="16"/>
  <c r="C575" i="16"/>
  <c r="D575" i="16"/>
  <c r="I575" i="16"/>
  <c r="J575" i="16"/>
  <c r="M575" i="16"/>
  <c r="R575" i="16"/>
  <c r="S575" i="16"/>
  <c r="A576" i="16"/>
  <c r="B576" i="16"/>
  <c r="C576" i="16"/>
  <c r="D576" i="16"/>
  <c r="I576" i="16"/>
  <c r="J576" i="16"/>
  <c r="M576" i="16"/>
  <c r="R576" i="16"/>
  <c r="S576" i="16"/>
  <c r="A577" i="16"/>
  <c r="B577" i="16"/>
  <c r="C577" i="16"/>
  <c r="D577" i="16"/>
  <c r="I577" i="16"/>
  <c r="J577" i="16"/>
  <c r="M577" i="16"/>
  <c r="R577" i="16"/>
  <c r="S577" i="16"/>
  <c r="A578" i="16"/>
  <c r="B578" i="16"/>
  <c r="C578" i="16"/>
  <c r="D578" i="16"/>
  <c r="I578" i="16"/>
  <c r="J578" i="16"/>
  <c r="M578" i="16"/>
  <c r="R578" i="16"/>
  <c r="S578" i="16"/>
  <c r="A579" i="16"/>
  <c r="B579" i="16"/>
  <c r="C579" i="16"/>
  <c r="D579" i="16"/>
  <c r="I579" i="16"/>
  <c r="J579" i="16"/>
  <c r="M579" i="16"/>
  <c r="R579" i="16"/>
  <c r="S579" i="16"/>
  <c r="A580" i="16"/>
  <c r="B580" i="16"/>
  <c r="C580" i="16"/>
  <c r="D580" i="16"/>
  <c r="I580" i="16"/>
  <c r="J580" i="16"/>
  <c r="M580" i="16"/>
  <c r="R580" i="16"/>
  <c r="S580" i="16"/>
  <c r="A581" i="16"/>
  <c r="B581" i="16"/>
  <c r="C581" i="16"/>
  <c r="D581" i="16"/>
  <c r="I581" i="16"/>
  <c r="J581" i="16"/>
  <c r="M581" i="16"/>
  <c r="R581" i="16"/>
  <c r="S581" i="16"/>
  <c r="A582" i="16"/>
  <c r="B582" i="16"/>
  <c r="C582" i="16"/>
  <c r="D582" i="16"/>
  <c r="F582" i="16" s="1"/>
  <c r="E582" i="16" s="1"/>
  <c r="I582" i="16"/>
  <c r="J582" i="16"/>
  <c r="M582" i="16"/>
  <c r="R582" i="16"/>
  <c r="S582" i="16"/>
  <c r="A583" i="16"/>
  <c r="B583" i="16"/>
  <c r="C583" i="16"/>
  <c r="D583" i="16"/>
  <c r="I583" i="16"/>
  <c r="J583" i="16"/>
  <c r="M583" i="16"/>
  <c r="R583" i="16"/>
  <c r="S583" i="16"/>
  <c r="A584" i="16"/>
  <c r="B584" i="16"/>
  <c r="C584" i="16"/>
  <c r="D584" i="16"/>
  <c r="I584" i="16"/>
  <c r="J584" i="16"/>
  <c r="M584" i="16"/>
  <c r="R584" i="16"/>
  <c r="S584" i="16"/>
  <c r="A585" i="16"/>
  <c r="B585" i="16"/>
  <c r="C585" i="16"/>
  <c r="D585" i="16"/>
  <c r="I585" i="16"/>
  <c r="J585" i="16"/>
  <c r="M585" i="16"/>
  <c r="R585" i="16"/>
  <c r="S585" i="16"/>
  <c r="A586" i="16"/>
  <c r="B586" i="16"/>
  <c r="C586" i="16"/>
  <c r="D586" i="16"/>
  <c r="K586" i="16" s="1"/>
  <c r="O586" i="16" s="1"/>
  <c r="I586" i="16"/>
  <c r="J586" i="16"/>
  <c r="M586" i="16"/>
  <c r="R586" i="16"/>
  <c r="S586" i="16"/>
  <c r="A587" i="16"/>
  <c r="B587" i="16"/>
  <c r="C587" i="16"/>
  <c r="D587" i="16"/>
  <c r="I587" i="16"/>
  <c r="J587" i="16"/>
  <c r="M587" i="16"/>
  <c r="R587" i="16"/>
  <c r="S587" i="16"/>
  <c r="A588" i="16"/>
  <c r="B588" i="16"/>
  <c r="C588" i="16"/>
  <c r="D588" i="16"/>
  <c r="I588" i="16"/>
  <c r="J588" i="16"/>
  <c r="M588" i="16"/>
  <c r="R588" i="16"/>
  <c r="S588" i="16"/>
  <c r="A589" i="16"/>
  <c r="B589" i="16"/>
  <c r="C589" i="16"/>
  <c r="D589" i="16"/>
  <c r="I589" i="16"/>
  <c r="J589" i="16"/>
  <c r="M589" i="16"/>
  <c r="R589" i="16"/>
  <c r="S589" i="16"/>
  <c r="A590" i="16"/>
  <c r="B590" i="16"/>
  <c r="C590" i="16"/>
  <c r="D590" i="16"/>
  <c r="I590" i="16"/>
  <c r="J590" i="16"/>
  <c r="M590" i="16"/>
  <c r="R590" i="16"/>
  <c r="S590" i="16"/>
  <c r="A591" i="16"/>
  <c r="B591" i="16"/>
  <c r="C591" i="16"/>
  <c r="D591" i="16"/>
  <c r="I591" i="16"/>
  <c r="J591" i="16"/>
  <c r="M591" i="16"/>
  <c r="R591" i="16"/>
  <c r="S591" i="16"/>
  <c r="A592" i="16"/>
  <c r="B592" i="16"/>
  <c r="C592" i="16"/>
  <c r="D592" i="16"/>
  <c r="I592" i="16"/>
  <c r="J592" i="16"/>
  <c r="M592" i="16"/>
  <c r="R592" i="16"/>
  <c r="S592" i="16"/>
  <c r="A593" i="16"/>
  <c r="B593" i="16"/>
  <c r="C593" i="16"/>
  <c r="D593" i="16"/>
  <c r="I593" i="16"/>
  <c r="J593" i="16"/>
  <c r="M593" i="16"/>
  <c r="R593" i="16"/>
  <c r="S593" i="16"/>
  <c r="A594" i="16"/>
  <c r="B594" i="16"/>
  <c r="C594" i="16"/>
  <c r="D594" i="16"/>
  <c r="I594" i="16"/>
  <c r="J594" i="16"/>
  <c r="M594" i="16"/>
  <c r="R594" i="16"/>
  <c r="S594" i="16"/>
  <c r="A595" i="16"/>
  <c r="B595" i="16"/>
  <c r="C595" i="16"/>
  <c r="D595" i="16"/>
  <c r="I595" i="16"/>
  <c r="J595" i="16"/>
  <c r="M595" i="16"/>
  <c r="R595" i="16"/>
  <c r="S595" i="16"/>
  <c r="A596" i="16"/>
  <c r="B596" i="16"/>
  <c r="C596" i="16"/>
  <c r="D596" i="16"/>
  <c r="I596" i="16"/>
  <c r="J596" i="16"/>
  <c r="M596" i="16"/>
  <c r="R596" i="16"/>
  <c r="S596" i="16"/>
  <c r="A597" i="16"/>
  <c r="B597" i="16"/>
  <c r="C597" i="16"/>
  <c r="D597" i="16"/>
  <c r="I597" i="16"/>
  <c r="J597" i="16"/>
  <c r="M597" i="16"/>
  <c r="R597" i="16"/>
  <c r="S597" i="16"/>
  <c r="A598" i="16"/>
  <c r="B598" i="16"/>
  <c r="C598" i="16"/>
  <c r="D598" i="16"/>
  <c r="I598" i="16"/>
  <c r="J598" i="16"/>
  <c r="M598" i="16"/>
  <c r="R598" i="16"/>
  <c r="S598" i="16"/>
  <c r="A599" i="16"/>
  <c r="B599" i="16"/>
  <c r="C599" i="16"/>
  <c r="D599" i="16"/>
  <c r="I599" i="16"/>
  <c r="J599" i="16"/>
  <c r="M599" i="16"/>
  <c r="R599" i="16"/>
  <c r="S599" i="16"/>
  <c r="A600" i="16"/>
  <c r="B600" i="16"/>
  <c r="C600" i="16"/>
  <c r="D600" i="16"/>
  <c r="K600" i="16" s="1"/>
  <c r="O600" i="16" s="1"/>
  <c r="I600" i="16"/>
  <c r="J600" i="16"/>
  <c r="M600" i="16"/>
  <c r="R600" i="16"/>
  <c r="S600" i="16"/>
  <c r="A601" i="16"/>
  <c r="B601" i="16"/>
  <c r="C601" i="16"/>
  <c r="D601" i="16"/>
  <c r="I601" i="16"/>
  <c r="J601" i="16"/>
  <c r="M601" i="16"/>
  <c r="R601" i="16"/>
  <c r="S601" i="16"/>
  <c r="A602" i="16"/>
  <c r="B602" i="16"/>
  <c r="C602" i="16"/>
  <c r="D602" i="16"/>
  <c r="I602" i="16"/>
  <c r="J602" i="16"/>
  <c r="M602" i="16"/>
  <c r="R602" i="16"/>
  <c r="S602" i="16"/>
  <c r="A3" i="16"/>
  <c r="B3" i="16"/>
  <c r="C3" i="16"/>
  <c r="D3" i="16"/>
  <c r="I3" i="16"/>
  <c r="J3" i="16"/>
  <c r="M3" i="16"/>
  <c r="R3" i="16"/>
  <c r="S3" i="16"/>
  <c r="A4" i="16"/>
  <c r="B4" i="16"/>
  <c r="C4" i="16"/>
  <c r="D4" i="16"/>
  <c r="I4" i="16"/>
  <c r="J4" i="16"/>
  <c r="M4" i="16"/>
  <c r="R4" i="16"/>
  <c r="S4" i="16"/>
  <c r="A5" i="16"/>
  <c r="B5" i="16"/>
  <c r="C5" i="16"/>
  <c r="D5" i="16"/>
  <c r="I5" i="16"/>
  <c r="J5" i="16"/>
  <c r="M5" i="16"/>
  <c r="R5" i="16"/>
  <c r="S5" i="16"/>
  <c r="A6" i="16"/>
  <c r="B6" i="16"/>
  <c r="C6" i="16"/>
  <c r="D6" i="16"/>
  <c r="I6" i="16"/>
  <c r="J6" i="16"/>
  <c r="M6" i="16"/>
  <c r="R6" i="16"/>
  <c r="S6" i="16"/>
  <c r="A7" i="16"/>
  <c r="B7" i="16"/>
  <c r="C7" i="16"/>
  <c r="D7" i="16"/>
  <c r="I7" i="16"/>
  <c r="J7" i="16"/>
  <c r="M7" i="16"/>
  <c r="R7" i="16"/>
  <c r="S7" i="16"/>
  <c r="A8" i="16"/>
  <c r="B8" i="16"/>
  <c r="C8" i="16"/>
  <c r="D8" i="16"/>
  <c r="I8" i="16"/>
  <c r="J8" i="16"/>
  <c r="M8" i="16"/>
  <c r="R8" i="16"/>
  <c r="S8" i="16"/>
  <c r="A9" i="16"/>
  <c r="B9" i="16"/>
  <c r="C9" i="16"/>
  <c r="D9" i="16"/>
  <c r="I9" i="16"/>
  <c r="J9" i="16"/>
  <c r="M9" i="16"/>
  <c r="R9" i="16"/>
  <c r="S9" i="16"/>
  <c r="A10" i="16"/>
  <c r="B10" i="16"/>
  <c r="C10" i="16"/>
  <c r="D10" i="16"/>
  <c r="J10" i="16"/>
  <c r="M10" i="16"/>
  <c r="R10" i="16"/>
  <c r="S10" i="16"/>
  <c r="A11" i="16"/>
  <c r="B11" i="16"/>
  <c r="C11" i="16"/>
  <c r="D11" i="16"/>
  <c r="I11" i="16"/>
  <c r="J11" i="16"/>
  <c r="M11" i="16"/>
  <c r="R11" i="16"/>
  <c r="S11" i="16"/>
  <c r="A12" i="16"/>
  <c r="B12" i="16"/>
  <c r="C12" i="16"/>
  <c r="D12" i="16"/>
  <c r="I12" i="16"/>
  <c r="J12" i="16"/>
  <c r="M12" i="16"/>
  <c r="R12" i="16"/>
  <c r="S12" i="16"/>
  <c r="A13" i="16"/>
  <c r="B13" i="16"/>
  <c r="C13" i="16"/>
  <c r="D13" i="16"/>
  <c r="I13" i="16"/>
  <c r="J13" i="16"/>
  <c r="M13" i="16"/>
  <c r="R13" i="16"/>
  <c r="S13" i="16"/>
  <c r="A14" i="16"/>
  <c r="B14" i="16"/>
  <c r="C14" i="16"/>
  <c r="D14" i="16"/>
  <c r="I14" i="16"/>
  <c r="J14" i="16"/>
  <c r="M14" i="16"/>
  <c r="R14" i="16"/>
  <c r="S14" i="16"/>
  <c r="A15" i="16"/>
  <c r="B15" i="16"/>
  <c r="C15" i="16"/>
  <c r="D15" i="16"/>
  <c r="I15" i="16"/>
  <c r="J15" i="16"/>
  <c r="M15" i="16"/>
  <c r="R15" i="16"/>
  <c r="S15" i="16"/>
  <c r="A16" i="16"/>
  <c r="B16" i="16"/>
  <c r="C16" i="16"/>
  <c r="D16" i="16"/>
  <c r="I16" i="16"/>
  <c r="J16" i="16"/>
  <c r="M16" i="16"/>
  <c r="R16" i="16"/>
  <c r="S16" i="16"/>
  <c r="A17" i="16"/>
  <c r="B17" i="16"/>
  <c r="C17" i="16"/>
  <c r="D17" i="16"/>
  <c r="I17" i="16"/>
  <c r="J17" i="16"/>
  <c r="M17" i="16"/>
  <c r="R17" i="16"/>
  <c r="S17" i="16"/>
  <c r="A18" i="16"/>
  <c r="B18" i="16"/>
  <c r="C18" i="16"/>
  <c r="D18" i="16"/>
  <c r="I18" i="16"/>
  <c r="J18" i="16"/>
  <c r="M18" i="16"/>
  <c r="R18" i="16"/>
  <c r="S18" i="16"/>
  <c r="A19" i="16"/>
  <c r="B19" i="16"/>
  <c r="C19" i="16"/>
  <c r="D19" i="16"/>
  <c r="I19" i="16"/>
  <c r="J19" i="16"/>
  <c r="M19" i="16"/>
  <c r="R19" i="16"/>
  <c r="S19" i="16"/>
  <c r="A20" i="16"/>
  <c r="B20" i="16"/>
  <c r="C20" i="16"/>
  <c r="D20" i="16"/>
  <c r="I20" i="16"/>
  <c r="J20" i="16"/>
  <c r="M20" i="16"/>
  <c r="R20" i="16"/>
  <c r="S20" i="16"/>
  <c r="A21" i="16"/>
  <c r="B21" i="16"/>
  <c r="C21" i="16"/>
  <c r="D21" i="16"/>
  <c r="I21" i="16"/>
  <c r="J21" i="16"/>
  <c r="M21" i="16"/>
  <c r="R21" i="16"/>
  <c r="S21" i="16"/>
  <c r="A22" i="16"/>
  <c r="B22" i="16"/>
  <c r="C22" i="16"/>
  <c r="D22" i="16"/>
  <c r="I22" i="16"/>
  <c r="J22" i="16"/>
  <c r="M22" i="16"/>
  <c r="R22" i="16"/>
  <c r="S22" i="16"/>
  <c r="A23" i="16"/>
  <c r="B23" i="16"/>
  <c r="C23" i="16"/>
  <c r="D23" i="16"/>
  <c r="I23" i="16"/>
  <c r="J23" i="16"/>
  <c r="M23" i="16"/>
  <c r="R23" i="16"/>
  <c r="S23" i="16"/>
  <c r="A24" i="16"/>
  <c r="B24" i="16"/>
  <c r="C24" i="16"/>
  <c r="D24" i="16"/>
  <c r="I24" i="16"/>
  <c r="J24" i="16"/>
  <c r="M24" i="16"/>
  <c r="R24" i="16"/>
  <c r="S24" i="16"/>
  <c r="A25" i="16"/>
  <c r="B25" i="16"/>
  <c r="C25" i="16"/>
  <c r="D25" i="16"/>
  <c r="I25" i="16"/>
  <c r="J25" i="16"/>
  <c r="M25" i="16"/>
  <c r="R25" i="16"/>
  <c r="S25" i="16"/>
  <c r="A26" i="16"/>
  <c r="B26" i="16"/>
  <c r="C26" i="16"/>
  <c r="D26" i="16"/>
  <c r="I26" i="16"/>
  <c r="J26" i="16"/>
  <c r="M26" i="16"/>
  <c r="R26" i="16"/>
  <c r="S26" i="16"/>
  <c r="A27" i="16"/>
  <c r="C27" i="16"/>
  <c r="D27" i="16"/>
  <c r="I27" i="16"/>
  <c r="J27" i="16"/>
  <c r="M27" i="16"/>
  <c r="R27" i="16"/>
  <c r="S27" i="16"/>
  <c r="A28" i="16"/>
  <c r="B28" i="16"/>
  <c r="C28" i="16"/>
  <c r="D28" i="16"/>
  <c r="I28" i="16"/>
  <c r="J28" i="16"/>
  <c r="M28" i="16"/>
  <c r="R28" i="16"/>
  <c r="S28" i="16"/>
  <c r="A29" i="16"/>
  <c r="B29" i="16"/>
  <c r="C29" i="16"/>
  <c r="D29" i="16"/>
  <c r="I29" i="16"/>
  <c r="J29" i="16"/>
  <c r="M29" i="16"/>
  <c r="R29" i="16"/>
  <c r="S29" i="16"/>
  <c r="A30" i="16"/>
  <c r="B30" i="16"/>
  <c r="C30" i="16"/>
  <c r="D30" i="16"/>
  <c r="K30" i="16" s="1"/>
  <c r="O30" i="16" s="1"/>
  <c r="I30" i="16"/>
  <c r="J30" i="16"/>
  <c r="M30" i="16"/>
  <c r="R30" i="16"/>
  <c r="S30" i="16"/>
  <c r="A31" i="16"/>
  <c r="B31" i="16"/>
  <c r="C31" i="16"/>
  <c r="D31" i="16"/>
  <c r="I31" i="16"/>
  <c r="J31" i="16"/>
  <c r="M31" i="16"/>
  <c r="R31" i="16"/>
  <c r="S31" i="16"/>
  <c r="A32" i="16"/>
  <c r="B32" i="16"/>
  <c r="C32" i="16"/>
  <c r="D32" i="16"/>
  <c r="I32" i="16"/>
  <c r="J32" i="16"/>
  <c r="M32" i="16"/>
  <c r="R32" i="16"/>
  <c r="S32" i="16"/>
  <c r="A33" i="16"/>
  <c r="B33" i="16"/>
  <c r="C33" i="16"/>
  <c r="D33" i="16"/>
  <c r="I33" i="16"/>
  <c r="J33" i="16"/>
  <c r="M33" i="16"/>
  <c r="R33" i="16"/>
  <c r="S33" i="16"/>
  <c r="A34" i="16"/>
  <c r="B34" i="16"/>
  <c r="C34" i="16"/>
  <c r="D34" i="16"/>
  <c r="I34" i="16"/>
  <c r="J34" i="16"/>
  <c r="M34" i="16"/>
  <c r="R34" i="16"/>
  <c r="S34" i="16"/>
  <c r="A35" i="16"/>
  <c r="B35" i="16"/>
  <c r="C35" i="16"/>
  <c r="D35" i="16"/>
  <c r="I35" i="16"/>
  <c r="J35" i="16"/>
  <c r="M35" i="16"/>
  <c r="R35" i="16"/>
  <c r="S35" i="16"/>
  <c r="A36" i="16"/>
  <c r="B36" i="16"/>
  <c r="C36" i="16"/>
  <c r="D36" i="16"/>
  <c r="I36" i="16"/>
  <c r="J36" i="16"/>
  <c r="M36" i="16"/>
  <c r="R36" i="16"/>
  <c r="S36" i="16"/>
  <c r="A37" i="16"/>
  <c r="B37" i="16"/>
  <c r="C37" i="16"/>
  <c r="D37" i="16"/>
  <c r="I37" i="16"/>
  <c r="J37" i="16"/>
  <c r="M37" i="16"/>
  <c r="R37" i="16"/>
  <c r="S37" i="16"/>
  <c r="A38" i="16"/>
  <c r="B38" i="16"/>
  <c r="C38" i="16"/>
  <c r="D38" i="16"/>
  <c r="I38" i="16"/>
  <c r="J38" i="16"/>
  <c r="M38" i="16"/>
  <c r="R38" i="16"/>
  <c r="S38" i="16"/>
  <c r="A39" i="16"/>
  <c r="B39" i="16"/>
  <c r="C39" i="16"/>
  <c r="D39" i="16"/>
  <c r="I39" i="16"/>
  <c r="J39" i="16"/>
  <c r="M39" i="16"/>
  <c r="R39" i="16"/>
  <c r="S39" i="16"/>
  <c r="A40" i="16"/>
  <c r="B40" i="16"/>
  <c r="C40" i="16"/>
  <c r="D40" i="16"/>
  <c r="I40" i="16"/>
  <c r="J40" i="16"/>
  <c r="M40" i="16"/>
  <c r="R40" i="16"/>
  <c r="S40" i="16"/>
  <c r="A41" i="16"/>
  <c r="B41" i="16"/>
  <c r="C41" i="16"/>
  <c r="D41" i="16"/>
  <c r="I41" i="16"/>
  <c r="J41" i="16"/>
  <c r="M41" i="16"/>
  <c r="R41" i="16"/>
  <c r="S41" i="16"/>
  <c r="A42" i="16"/>
  <c r="B42" i="16"/>
  <c r="C42" i="16"/>
  <c r="D42" i="16"/>
  <c r="I42" i="16"/>
  <c r="J42" i="16"/>
  <c r="M42" i="16"/>
  <c r="R42" i="16"/>
  <c r="S42" i="16"/>
  <c r="A43" i="16"/>
  <c r="B43" i="16"/>
  <c r="C43" i="16"/>
  <c r="D43" i="16"/>
  <c r="I43" i="16"/>
  <c r="J43" i="16"/>
  <c r="M43" i="16"/>
  <c r="R43" i="16"/>
  <c r="S43" i="16"/>
  <c r="A44" i="16"/>
  <c r="B44" i="16"/>
  <c r="C44" i="16"/>
  <c r="D44" i="16"/>
  <c r="I44" i="16"/>
  <c r="J44" i="16"/>
  <c r="M44" i="16"/>
  <c r="R44" i="16"/>
  <c r="S44" i="16"/>
  <c r="A45" i="16"/>
  <c r="B45" i="16"/>
  <c r="C45" i="16"/>
  <c r="D45" i="16"/>
  <c r="I45" i="16"/>
  <c r="J45" i="16"/>
  <c r="M45" i="16"/>
  <c r="R45" i="16"/>
  <c r="S45" i="16"/>
  <c r="A46" i="16"/>
  <c r="B46" i="16"/>
  <c r="C46" i="16"/>
  <c r="D46" i="16"/>
  <c r="I46" i="16"/>
  <c r="J46" i="16"/>
  <c r="M46" i="16"/>
  <c r="R46" i="16"/>
  <c r="S46" i="16"/>
  <c r="I10" i="16"/>
  <c r="M2" i="16"/>
  <c r="I2" i="16"/>
  <c r="J2" i="16"/>
  <c r="C2" i="16"/>
  <c r="B2" i="16"/>
  <c r="A2" i="16"/>
  <c r="K58" i="16"/>
  <c r="L23" i="16"/>
  <c r="K201" i="16"/>
  <c r="O201" i="16" s="1"/>
  <c r="K134" i="16"/>
  <c r="O134" i="16" s="1"/>
  <c r="K483" i="16"/>
  <c r="O483" i="16" s="1"/>
  <c r="F451" i="16"/>
  <c r="E451" i="16" s="1"/>
  <c r="K443" i="16"/>
  <c r="O443" i="16" s="1"/>
  <c r="F411" i="16"/>
  <c r="E411" i="16" s="1"/>
  <c r="K371" i="16"/>
  <c r="O371" i="16" s="1"/>
  <c r="K299" i="16"/>
  <c r="O299" i="16" s="1"/>
  <c r="K283" i="16"/>
  <c r="O283" i="16" s="1"/>
  <c r="F235" i="16"/>
  <c r="E235" i="16" s="1"/>
  <c r="K211" i="16"/>
  <c r="O211" i="16" s="1"/>
  <c r="K171" i="16"/>
  <c r="O171" i="16" s="1"/>
  <c r="K163" i="16"/>
  <c r="O163" i="16" s="1"/>
  <c r="K115" i="16"/>
  <c r="O115" i="16" s="1"/>
  <c r="K189" i="16"/>
  <c r="O189" i="16" s="1"/>
  <c r="F416" i="16"/>
  <c r="E416" i="16" s="1"/>
  <c r="K344" i="16"/>
  <c r="O344" i="16" s="1"/>
  <c r="K320" i="16"/>
  <c r="O320" i="16" s="1"/>
  <c r="F248" i="16"/>
  <c r="E248" i="16" s="1"/>
  <c r="F184" i="16"/>
  <c r="E184" i="16" s="1"/>
  <c r="K176" i="16"/>
  <c r="O176" i="16" s="1"/>
  <c r="K112" i="16"/>
  <c r="O112" i="16" s="1"/>
  <c r="F88" i="16"/>
  <c r="E88" i="16" s="1"/>
  <c r="K80" i="16"/>
  <c r="O80" i="16" s="1"/>
  <c r="F64" i="16"/>
  <c r="E64" i="16" s="1"/>
  <c r="F53" i="16"/>
  <c r="E53" i="16" s="1"/>
  <c r="F595" i="16"/>
  <c r="E595" i="16" s="1"/>
  <c r="F2" i="16"/>
  <c r="E2" i="16" s="1"/>
  <c r="K309" i="16"/>
  <c r="O309" i="16" s="1"/>
  <c r="K441" i="16"/>
  <c r="O441" i="16" s="1"/>
  <c r="F219" i="16"/>
  <c r="E219" i="16" s="1"/>
  <c r="K505" i="16"/>
  <c r="O505" i="16" s="1"/>
  <c r="K397" i="16"/>
  <c r="O397" i="16" s="1"/>
  <c r="K224" i="16"/>
  <c r="O224" i="16" s="1"/>
  <c r="F363" i="16"/>
  <c r="E363" i="16" s="1"/>
  <c r="F397" i="16"/>
  <c r="E397" i="16" s="1"/>
  <c r="K64" i="16"/>
  <c r="O64" i="16" s="1"/>
  <c r="K488" i="16"/>
  <c r="O488" i="16" s="1"/>
  <c r="K213" i="16"/>
  <c r="O213" i="16" s="1"/>
  <c r="K523" i="16"/>
  <c r="O523" i="16" s="1"/>
  <c r="F32" i="16"/>
  <c r="E32" i="16" s="1"/>
  <c r="K144" i="16"/>
  <c r="O144" i="16" s="1"/>
  <c r="F144" i="16"/>
  <c r="E144" i="16" s="1"/>
  <c r="F240" i="16"/>
  <c r="E240" i="16" s="1"/>
  <c r="K240" i="16"/>
  <c r="O240" i="16" s="1"/>
  <c r="F41" i="16"/>
  <c r="E41" i="16" s="1"/>
  <c r="F587" i="16"/>
  <c r="E587" i="16" s="1"/>
  <c r="K440" i="16"/>
  <c r="O440" i="16" s="1"/>
  <c r="F232" i="16"/>
  <c r="E232" i="16" s="1"/>
  <c r="K232" i="16"/>
  <c r="O232" i="16" s="1"/>
  <c r="F598" i="16"/>
  <c r="E598" i="16" s="1"/>
  <c r="F488" i="16"/>
  <c r="E488" i="16" s="1"/>
  <c r="K88" i="16"/>
  <c r="O88" i="16" s="1"/>
  <c r="K65" i="16"/>
  <c r="O65" i="16" s="1"/>
  <c r="K235" i="16"/>
  <c r="O235" i="16" s="1"/>
  <c r="F163" i="16"/>
  <c r="E163" i="16" s="1"/>
  <c r="F33" i="16"/>
  <c r="E33" i="16" s="1"/>
  <c r="F15" i="16"/>
  <c r="E15" i="16" s="1"/>
  <c r="K39" i="16"/>
  <c r="O39" i="16" s="1"/>
  <c r="K534" i="16"/>
  <c r="O534" i="16" s="1"/>
  <c r="F379" i="16"/>
  <c r="E379" i="16" s="1"/>
  <c r="K339" i="16"/>
  <c r="O339" i="16" s="1"/>
  <c r="F339" i="16"/>
  <c r="E339" i="16" s="1"/>
  <c r="K19" i="16"/>
  <c r="O19" i="16" s="1"/>
  <c r="F553" i="16"/>
  <c r="E553" i="16" s="1"/>
  <c r="F552" i="16"/>
  <c r="E552" i="16" s="1"/>
  <c r="K552" i="16"/>
  <c r="O552" i="16" s="1"/>
  <c r="K507" i="16"/>
  <c r="O507" i="16" s="1"/>
  <c r="F601" i="16"/>
  <c r="E601" i="16" s="1"/>
  <c r="F568" i="16"/>
  <c r="E568" i="16" s="1"/>
  <c r="K568" i="16"/>
  <c r="O568" i="16" s="1"/>
  <c r="F560" i="16"/>
  <c r="E560" i="16" s="1"/>
  <c r="K496" i="16"/>
  <c r="O496" i="16" s="1"/>
  <c r="F496" i="16"/>
  <c r="E496" i="16" s="1"/>
  <c r="K493" i="16"/>
  <c r="O493" i="16" s="1"/>
  <c r="F493" i="16"/>
  <c r="E493" i="16" s="1"/>
  <c r="K553" i="16"/>
  <c r="O553" i="16" s="1"/>
  <c r="K549" i="16"/>
  <c r="O549" i="16" s="1"/>
  <c r="F549" i="16"/>
  <c r="E549" i="16" s="1"/>
  <c r="F545" i="16"/>
  <c r="E545" i="16" s="1"/>
  <c r="F421" i="16"/>
  <c r="E421" i="16" s="1"/>
  <c r="K565" i="16"/>
  <c r="O565" i="16" s="1"/>
  <c r="F329" i="16"/>
  <c r="E329" i="16" s="1"/>
  <c r="K329" i="16"/>
  <c r="O329" i="16" s="1"/>
  <c r="F483" i="16"/>
  <c r="E483" i="16" s="1"/>
  <c r="K475" i="16"/>
  <c r="O475" i="16" s="1"/>
  <c r="F475" i="16"/>
  <c r="E475" i="16" s="1"/>
  <c r="K403" i="16"/>
  <c r="O403" i="16" s="1"/>
  <c r="F467" i="16"/>
  <c r="E467" i="16" s="1"/>
  <c r="K449" i="16"/>
  <c r="O449" i="16" s="1"/>
  <c r="K373" i="16"/>
  <c r="O373" i="16" s="1"/>
  <c r="K310" i="16"/>
  <c r="O310" i="16" s="1"/>
  <c r="F262" i="16"/>
  <c r="E262" i="16" s="1"/>
  <c r="K251" i="16"/>
  <c r="O251" i="16" s="1"/>
  <c r="F518" i="16"/>
  <c r="E518" i="16" s="1"/>
  <c r="F450" i="16"/>
  <c r="E450" i="16" s="1"/>
  <c r="K369" i="16"/>
  <c r="O369" i="16" s="1"/>
  <c r="F369" i="16"/>
  <c r="E369" i="16" s="1"/>
  <c r="F371" i="16"/>
  <c r="E371" i="16" s="1"/>
  <c r="F337" i="16"/>
  <c r="E337" i="16" s="1"/>
  <c r="F305" i="16"/>
  <c r="E305" i="16" s="1"/>
  <c r="F286" i="16"/>
  <c r="E286" i="16" s="1"/>
  <c r="K286" i="16"/>
  <c r="O286" i="16" s="1"/>
  <c r="F267" i="16"/>
  <c r="E267" i="16" s="1"/>
  <c r="K267" i="16"/>
  <c r="O267" i="16" s="1"/>
  <c r="F322" i="16"/>
  <c r="E322" i="16" s="1"/>
  <c r="F321" i="16"/>
  <c r="E321" i="16" s="1"/>
  <c r="K321" i="16"/>
  <c r="O321" i="16" s="1"/>
  <c r="F270" i="16"/>
  <c r="E270" i="16" s="1"/>
  <c r="F266" i="16"/>
  <c r="E266" i="16" s="1"/>
  <c r="F243" i="16"/>
  <c r="E243" i="16" s="1"/>
  <c r="K306" i="16"/>
  <c r="O306" i="16" s="1"/>
  <c r="F293" i="16"/>
  <c r="E293" i="16" s="1"/>
  <c r="K179" i="16"/>
  <c r="O179" i="16" s="1"/>
  <c r="F179" i="16"/>
  <c r="E179" i="16" s="1"/>
  <c r="K276" i="16"/>
  <c r="O276" i="16" s="1"/>
  <c r="K217" i="16"/>
  <c r="O217" i="16" s="1"/>
  <c r="F217" i="16"/>
  <c r="E217" i="16" s="1"/>
  <c r="F258" i="16"/>
  <c r="E258" i="16" s="1"/>
  <c r="K248" i="16"/>
  <c r="O248" i="16" s="1"/>
  <c r="K203" i="16"/>
  <c r="O203" i="16" s="1"/>
  <c r="F203" i="16"/>
  <c r="E203" i="16" s="1"/>
  <c r="F140" i="16"/>
  <c r="E140" i="16" s="1"/>
  <c r="F83" i="16"/>
  <c r="E83" i="16" s="1"/>
  <c r="K209" i="16"/>
  <c r="O209" i="16" s="1"/>
  <c r="K106" i="16"/>
  <c r="O106" i="16" s="1"/>
  <c r="K195" i="16"/>
  <c r="O195" i="16" s="1"/>
  <c r="K109" i="16"/>
  <c r="O109" i="16" s="1"/>
  <c r="F109" i="16"/>
  <c r="E109" i="16" s="1"/>
  <c r="K158" i="16"/>
  <c r="O158" i="16" s="1"/>
  <c r="F158" i="16"/>
  <c r="E158" i="16" s="1"/>
  <c r="F213" i="16"/>
  <c r="E213" i="16" s="1"/>
  <c r="F209" i="16"/>
  <c r="E209" i="16" s="1"/>
  <c r="F168" i="16"/>
  <c r="E168" i="16" s="1"/>
  <c r="K168" i="16"/>
  <c r="O168" i="16" s="1"/>
  <c r="K62" i="16"/>
  <c r="O62" i="16" s="1"/>
  <c r="K152" i="16"/>
  <c r="O152" i="16" s="1"/>
  <c r="F110" i="16"/>
  <c r="E110" i="16" s="1"/>
  <c r="F72" i="16"/>
  <c r="E72" i="16" s="1"/>
  <c r="K72" i="16"/>
  <c r="O72" i="16" s="1"/>
  <c r="K139" i="16"/>
  <c r="O139" i="16" s="1"/>
  <c r="F123" i="16"/>
  <c r="E123" i="16" s="1"/>
  <c r="K113" i="16"/>
  <c r="O113" i="16" s="1"/>
  <c r="F297" i="16"/>
  <c r="E297" i="16" s="1"/>
  <c r="K297" i="16"/>
  <c r="O297" i="16" s="1"/>
  <c r="K23" i="16"/>
  <c r="O23" i="16" s="1"/>
  <c r="K14" i="16"/>
  <c r="O14" i="16" s="1"/>
  <c r="K585" i="16"/>
  <c r="O585" i="16" s="1"/>
  <c r="F500" i="16"/>
  <c r="E500" i="16" s="1"/>
  <c r="K381" i="16"/>
  <c r="O381" i="16" s="1"/>
  <c r="F381" i="16"/>
  <c r="E381" i="16" s="1"/>
  <c r="K301" i="16"/>
  <c r="O301" i="16" s="1"/>
  <c r="K46" i="16"/>
  <c r="O46" i="16" s="1"/>
  <c r="K11" i="16"/>
  <c r="O11" i="16" s="1"/>
  <c r="K577" i="16"/>
  <c r="O577" i="16" s="1"/>
  <c r="F577" i="16"/>
  <c r="E577" i="16" s="1"/>
  <c r="F504" i="16"/>
  <c r="E504" i="16" s="1"/>
  <c r="K504" i="16"/>
  <c r="O504" i="16" s="1"/>
  <c r="K382" i="16"/>
  <c r="O382" i="16" s="1"/>
  <c r="F382" i="16"/>
  <c r="E382" i="16" s="1"/>
  <c r="F304" i="16"/>
  <c r="E304" i="16" s="1"/>
  <c r="K304" i="16"/>
  <c r="O304" i="16" s="1"/>
  <c r="F289" i="16"/>
  <c r="E289" i="16" s="1"/>
  <c r="K289" i="16"/>
  <c r="O289" i="16" s="1"/>
  <c r="F17" i="16"/>
  <c r="E17" i="16" s="1"/>
  <c r="K578" i="16"/>
  <c r="O578" i="16" s="1"/>
  <c r="F544" i="16"/>
  <c r="E544" i="16" s="1"/>
  <c r="K544" i="16"/>
  <c r="O544" i="16" s="1"/>
  <c r="F477" i="16"/>
  <c r="E477" i="16" s="1"/>
  <c r="K477" i="16"/>
  <c r="O477" i="16" s="1"/>
  <c r="K462" i="16"/>
  <c r="O462" i="16" s="1"/>
  <c r="F462" i="16"/>
  <c r="E462" i="16" s="1"/>
  <c r="F417" i="16"/>
  <c r="E417" i="16" s="1"/>
  <c r="F391" i="16"/>
  <c r="E391" i="16" s="1"/>
  <c r="K336" i="16"/>
  <c r="O336" i="16" s="1"/>
  <c r="F336" i="16"/>
  <c r="E336" i="16" s="1"/>
  <c r="F579" i="16"/>
  <c r="E579" i="16" s="1"/>
  <c r="K579" i="16"/>
  <c r="O579" i="16" s="1"/>
  <c r="K465" i="16"/>
  <c r="O465" i="16" s="1"/>
  <c r="F465" i="16"/>
  <c r="E465" i="16" s="1"/>
  <c r="F25" i="16"/>
  <c r="E25" i="16" s="1"/>
  <c r="F466" i="16"/>
  <c r="E466" i="16" s="1"/>
  <c r="K459" i="16"/>
  <c r="O459" i="16" s="1"/>
  <c r="F459" i="16"/>
  <c r="E459" i="16" s="1"/>
  <c r="F510" i="16"/>
  <c r="E510" i="16" s="1"/>
  <c r="K510" i="16"/>
  <c r="O510" i="16" s="1"/>
  <c r="F481" i="16"/>
  <c r="E481" i="16" s="1"/>
  <c r="K347" i="16"/>
  <c r="O347" i="16" s="1"/>
  <c r="F347" i="16"/>
  <c r="E347" i="16" s="1"/>
  <c r="F294" i="16"/>
  <c r="E294" i="16" s="1"/>
  <c r="K264" i="16"/>
  <c r="O264" i="16" s="1"/>
  <c r="K194" i="16"/>
  <c r="O194" i="16" s="1"/>
  <c r="K497" i="16"/>
  <c r="O497" i="16" s="1"/>
  <c r="F497" i="16"/>
  <c r="E497" i="16" s="1"/>
  <c r="K454" i="16"/>
  <c r="O454" i="16" s="1"/>
  <c r="F454" i="16"/>
  <c r="E454" i="16" s="1"/>
  <c r="K425" i="16"/>
  <c r="O425" i="16" s="1"/>
  <c r="F425" i="16"/>
  <c r="E425" i="16" s="1"/>
  <c r="F296" i="16"/>
  <c r="E296" i="16" s="1"/>
  <c r="K296" i="16"/>
  <c r="O296" i="16" s="1"/>
  <c r="K161" i="16"/>
  <c r="O161" i="16" s="1"/>
  <c r="F160" i="16"/>
  <c r="E160" i="16" s="1"/>
  <c r="F138" i="16"/>
  <c r="E138" i="16" s="1"/>
  <c r="F569" i="16"/>
  <c r="E569" i="16" s="1"/>
  <c r="F526" i="16"/>
  <c r="E526" i="16" s="1"/>
  <c r="F522" i="16"/>
  <c r="E522" i="16" s="1"/>
  <c r="K480" i="16"/>
  <c r="O480" i="16" s="1"/>
  <c r="K416" i="16"/>
  <c r="O416" i="16" s="1"/>
  <c r="K370" i="16"/>
  <c r="O370" i="16" s="1"/>
  <c r="K361" i="16"/>
  <c r="O361" i="16" s="1"/>
  <c r="F361" i="16"/>
  <c r="E361" i="16" s="1"/>
  <c r="F353" i="16"/>
  <c r="E353" i="16" s="1"/>
  <c r="K328" i="16"/>
  <c r="O328" i="16" s="1"/>
  <c r="F328" i="16"/>
  <c r="E328" i="16" s="1"/>
  <c r="K291" i="16"/>
  <c r="O291" i="16" s="1"/>
  <c r="F291" i="16"/>
  <c r="E291" i="16" s="1"/>
  <c r="F128" i="16"/>
  <c r="E128" i="16" s="1"/>
  <c r="F432" i="16"/>
  <c r="E432" i="16" s="1"/>
  <c r="K424" i="16"/>
  <c r="O424" i="16" s="1"/>
  <c r="F424" i="16"/>
  <c r="E424" i="16" s="1"/>
  <c r="K398" i="16"/>
  <c r="O398" i="16" s="1"/>
  <c r="K387" i="16"/>
  <c r="O387" i="16" s="1"/>
  <c r="F387" i="16"/>
  <c r="E387" i="16" s="1"/>
  <c r="K292" i="16"/>
  <c r="O292" i="16" s="1"/>
  <c r="F227" i="16"/>
  <c r="E227" i="16" s="1"/>
  <c r="K116" i="16"/>
  <c r="O116" i="16" s="1"/>
  <c r="K160" i="16"/>
  <c r="O160" i="16" s="1"/>
  <c r="K157" i="16"/>
  <c r="O157" i="16" s="1"/>
  <c r="F132" i="16"/>
  <c r="E132" i="16" s="1"/>
  <c r="K117" i="16"/>
  <c r="O117" i="16" s="1"/>
  <c r="F117" i="16"/>
  <c r="E117" i="16" s="1"/>
  <c r="K545" i="16"/>
  <c r="O545" i="16" s="1"/>
  <c r="K541" i="16"/>
  <c r="O541" i="16" s="1"/>
  <c r="K526" i="16"/>
  <c r="O526" i="16" s="1"/>
  <c r="K522" i="16"/>
  <c r="O522" i="16" s="1"/>
  <c r="K473" i="16"/>
  <c r="O473" i="16" s="1"/>
  <c r="F51" i="16"/>
  <c r="E51" i="16" s="1"/>
  <c r="K51" i="16"/>
  <c r="O51" i="16" s="1"/>
  <c r="F136" i="16"/>
  <c r="E136" i="16" s="1"/>
  <c r="F54" i="16"/>
  <c r="E54" i="16" s="1"/>
  <c r="K54" i="16"/>
  <c r="O54" i="16" s="1"/>
  <c r="F315" i="16"/>
  <c r="E315" i="16" s="1"/>
  <c r="F309" i="16"/>
  <c r="E309" i="16" s="1"/>
  <c r="K280" i="16"/>
  <c r="O280" i="16" s="1"/>
  <c r="F280" i="16"/>
  <c r="E280" i="16" s="1"/>
  <c r="F274" i="16"/>
  <c r="E274" i="16" s="1"/>
  <c r="K177" i="16"/>
  <c r="O177" i="16" s="1"/>
  <c r="F73" i="16"/>
  <c r="E73" i="16" s="1"/>
  <c r="K73" i="16"/>
  <c r="O73" i="16" s="1"/>
  <c r="K377" i="16"/>
  <c r="O377" i="16" s="1"/>
  <c r="F377" i="16"/>
  <c r="E377" i="16" s="1"/>
  <c r="F282" i="16"/>
  <c r="E282" i="16" s="1"/>
  <c r="F281" i="16"/>
  <c r="E281" i="16" s="1"/>
  <c r="K243" i="16"/>
  <c r="O243" i="16" s="1"/>
  <c r="F214" i="16"/>
  <c r="E214" i="16" s="1"/>
  <c r="K214" i="16"/>
  <c r="O214" i="16" s="1"/>
  <c r="F201" i="16"/>
  <c r="E201" i="16" s="1"/>
  <c r="K184" i="16"/>
  <c r="O184" i="16" s="1"/>
  <c r="K174" i="16"/>
  <c r="O174" i="16" s="1"/>
  <c r="K136" i="16"/>
  <c r="O136" i="16" s="1"/>
  <c r="K120" i="16"/>
  <c r="O120" i="16" s="1"/>
  <c r="F120" i="16"/>
  <c r="E120" i="16" s="1"/>
  <c r="F63" i="16"/>
  <c r="E63" i="16" s="1"/>
  <c r="F93" i="16"/>
  <c r="E93" i="16" s="1"/>
  <c r="F80" i="16"/>
  <c r="E80" i="16" s="1"/>
  <c r="F49" i="16"/>
  <c r="E49" i="16" s="1"/>
  <c r="F113" i="16"/>
  <c r="E113" i="16" s="1"/>
  <c r="F112" i="16"/>
  <c r="E112" i="16" s="1"/>
  <c r="K81" i="16"/>
  <c r="O81" i="16" s="1"/>
  <c r="F58" i="16"/>
  <c r="E58" i="16" s="1"/>
  <c r="F57" i="16"/>
  <c r="E57" i="16" s="1"/>
  <c r="K93" i="16"/>
  <c r="O93" i="16" s="1"/>
  <c r="O58" i="16"/>
  <c r="K89" i="16"/>
  <c r="O89" i="16" s="1"/>
  <c r="K346" i="16"/>
  <c r="O346" i="16" s="1"/>
  <c r="K314" i="16"/>
  <c r="O314" i="16" s="1"/>
  <c r="K123" i="16"/>
  <c r="O123" i="16" s="1"/>
  <c r="F122" i="16"/>
  <c r="E122" i="16" s="1"/>
  <c r="K91" i="16"/>
  <c r="O91" i="16" s="1"/>
  <c r="K2" i="16"/>
  <c r="K593" i="16"/>
  <c r="O593" i="16" s="1"/>
  <c r="F593" i="16"/>
  <c r="E593" i="16" s="1"/>
  <c r="F430" i="16"/>
  <c r="E430" i="16" s="1"/>
  <c r="K430" i="16"/>
  <c r="O430" i="16" s="1"/>
  <c r="F464" i="16"/>
  <c r="E464" i="16" s="1"/>
  <c r="K464" i="16"/>
  <c r="O464" i="16" s="1"/>
  <c r="F414" i="16"/>
  <c r="E414" i="16" s="1"/>
  <c r="K414" i="16"/>
  <c r="O414" i="16" s="1"/>
  <c r="K570" i="16"/>
  <c r="O570" i="16" s="1"/>
  <c r="F592" i="16"/>
  <c r="E592" i="16" s="1"/>
  <c r="K592" i="16"/>
  <c r="O592" i="16" s="1"/>
  <c r="F550" i="16"/>
  <c r="E550" i="16" s="1"/>
  <c r="K550" i="16"/>
  <c r="O550" i="16" s="1"/>
  <c r="F342" i="16"/>
  <c r="E342" i="16" s="1"/>
  <c r="K342" i="16"/>
  <c r="O342" i="16" s="1"/>
  <c r="K589" i="16"/>
  <c r="O589" i="16" s="1"/>
  <c r="F589" i="16"/>
  <c r="E589" i="16" s="1"/>
  <c r="K574" i="16"/>
  <c r="O574" i="16" s="1"/>
  <c r="K573" i="16"/>
  <c r="O573" i="16" s="1"/>
  <c r="F558" i="16"/>
  <c r="E558" i="16" s="1"/>
  <c r="K558" i="16"/>
  <c r="O558" i="16" s="1"/>
  <c r="K539" i="16"/>
  <c r="O539" i="16" s="1"/>
  <c r="F539" i="16"/>
  <c r="E539" i="16" s="1"/>
  <c r="K521" i="16"/>
  <c r="O521" i="16" s="1"/>
  <c r="F521" i="16"/>
  <c r="E521" i="16" s="1"/>
  <c r="F503" i="16"/>
  <c r="E503" i="16" s="1"/>
  <c r="F438" i="16"/>
  <c r="E438" i="16" s="1"/>
  <c r="K438" i="16"/>
  <c r="O438" i="16" s="1"/>
  <c r="F590" i="16"/>
  <c r="E590" i="16" s="1"/>
  <c r="K547" i="16"/>
  <c r="O547" i="16" s="1"/>
  <c r="F547" i="16"/>
  <c r="E547" i="16" s="1"/>
  <c r="K529" i="16"/>
  <c r="O529" i="16" s="1"/>
  <c r="F529" i="16"/>
  <c r="E529" i="16" s="1"/>
  <c r="F448" i="16"/>
  <c r="E448" i="16" s="1"/>
  <c r="K448" i="16"/>
  <c r="O448" i="16" s="1"/>
  <c r="F472" i="16"/>
  <c r="E472" i="16" s="1"/>
  <c r="K472" i="16"/>
  <c r="O472" i="16" s="1"/>
  <c r="F422" i="16"/>
  <c r="E422" i="16" s="1"/>
  <c r="K422" i="16"/>
  <c r="O422" i="16" s="1"/>
  <c r="K392" i="16"/>
  <c r="O392" i="16" s="1"/>
  <c r="F392" i="16"/>
  <c r="E392" i="16" s="1"/>
  <c r="K365" i="16"/>
  <c r="O365" i="16" s="1"/>
  <c r="F365" i="16"/>
  <c r="E365" i="16" s="1"/>
  <c r="K590" i="16"/>
  <c r="O590" i="16" s="1"/>
  <c r="F482" i="16"/>
  <c r="E482" i="16" s="1"/>
  <c r="K482" i="16"/>
  <c r="O482" i="16" s="1"/>
  <c r="F456" i="16"/>
  <c r="E456" i="16" s="1"/>
  <c r="K456" i="16"/>
  <c r="O456" i="16" s="1"/>
  <c r="F366" i="16"/>
  <c r="E366" i="16" s="1"/>
  <c r="K366" i="16"/>
  <c r="O366" i="16" s="1"/>
  <c r="K185" i="16"/>
  <c r="O185" i="16" s="1"/>
  <c r="F185" i="16"/>
  <c r="E185" i="16" s="1"/>
  <c r="K520" i="16"/>
  <c r="O520" i="16" s="1"/>
  <c r="F520" i="16"/>
  <c r="E520" i="16" s="1"/>
  <c r="K509" i="16"/>
  <c r="O509" i="16" s="1"/>
  <c r="K502" i="16"/>
  <c r="O502" i="16" s="1"/>
  <c r="F502" i="16"/>
  <c r="E502" i="16" s="1"/>
  <c r="K491" i="16"/>
  <c r="O491" i="16" s="1"/>
  <c r="F393" i="16"/>
  <c r="E393" i="16" s="1"/>
  <c r="K256" i="16"/>
  <c r="O256" i="16" s="1"/>
  <c r="F256" i="16"/>
  <c r="E256" i="16" s="1"/>
  <c r="K597" i="16"/>
  <c r="O597" i="16" s="1"/>
  <c r="F562" i="16"/>
  <c r="E562" i="16" s="1"/>
  <c r="K533" i="16"/>
  <c r="O533" i="16" s="1"/>
  <c r="K512" i="16"/>
  <c r="O512" i="16" s="1"/>
  <c r="F512" i="16"/>
  <c r="E512" i="16" s="1"/>
  <c r="K494" i="16"/>
  <c r="O494" i="16" s="1"/>
  <c r="F494" i="16"/>
  <c r="E494" i="16" s="1"/>
  <c r="F352" i="16"/>
  <c r="E352" i="16" s="1"/>
  <c r="K352" i="16"/>
  <c r="O352" i="16" s="1"/>
  <c r="F576" i="16"/>
  <c r="E576" i="16" s="1"/>
  <c r="K576" i="16"/>
  <c r="O576" i="16" s="1"/>
  <c r="K563" i="16"/>
  <c r="O563" i="16" s="1"/>
  <c r="F542" i="16"/>
  <c r="E542" i="16" s="1"/>
  <c r="K542" i="16"/>
  <c r="O542" i="16" s="1"/>
  <c r="F524" i="16"/>
  <c r="E524" i="16" s="1"/>
  <c r="K524" i="16"/>
  <c r="O524" i="16" s="1"/>
  <c r="K513" i="16"/>
  <c r="O513" i="16" s="1"/>
  <c r="K506" i="16"/>
  <c r="O506" i="16" s="1"/>
  <c r="K408" i="16"/>
  <c r="O408" i="16" s="1"/>
  <c r="F408" i="16"/>
  <c r="E408" i="16" s="1"/>
  <c r="K400" i="16"/>
  <c r="O400" i="16" s="1"/>
  <c r="F400" i="16"/>
  <c r="E400" i="16" s="1"/>
  <c r="K393" i="16"/>
  <c r="O393" i="16" s="1"/>
  <c r="K602" i="16"/>
  <c r="O602" i="16" s="1"/>
  <c r="K598" i="16"/>
  <c r="O598" i="16" s="1"/>
  <c r="F585" i="16"/>
  <c r="E585" i="16" s="1"/>
  <c r="K581" i="16"/>
  <c r="O581" i="16" s="1"/>
  <c r="F554" i="16"/>
  <c r="E554" i="16" s="1"/>
  <c r="K536" i="16"/>
  <c r="O536" i="16" s="1"/>
  <c r="F536" i="16"/>
  <c r="E536" i="16" s="1"/>
  <c r="K525" i="16"/>
  <c r="O525" i="16" s="1"/>
  <c r="K486" i="16"/>
  <c r="O486" i="16" s="1"/>
  <c r="F486" i="16"/>
  <c r="E486" i="16" s="1"/>
  <c r="K478" i="16"/>
  <c r="O478" i="16" s="1"/>
  <c r="F478" i="16"/>
  <c r="E478" i="16" s="1"/>
  <c r="K468" i="16"/>
  <c r="O468" i="16" s="1"/>
  <c r="K460" i="16"/>
  <c r="O460" i="16" s="1"/>
  <c r="F452" i="16"/>
  <c r="E452" i="16" s="1"/>
  <c r="K442" i="16"/>
  <c r="O442" i="16" s="1"/>
  <c r="K434" i="16"/>
  <c r="O434" i="16" s="1"/>
  <c r="F426" i="16"/>
  <c r="E426" i="16" s="1"/>
  <c r="F418" i="16"/>
  <c r="E418" i="16" s="1"/>
  <c r="K409" i="16"/>
  <c r="O409" i="16" s="1"/>
  <c r="K401" i="16"/>
  <c r="O401" i="16" s="1"/>
  <c r="F566" i="16"/>
  <c r="E566" i="16" s="1"/>
  <c r="K566" i="16"/>
  <c r="O566" i="16" s="1"/>
  <c r="K555" i="16"/>
  <c r="O555" i="16" s="1"/>
  <c r="K537" i="16"/>
  <c r="O537" i="16" s="1"/>
  <c r="K498" i="16"/>
  <c r="O498" i="16" s="1"/>
  <c r="K469" i="16"/>
  <c r="O469" i="16" s="1"/>
  <c r="K461" i="16"/>
  <c r="O461" i="16" s="1"/>
  <c r="K453" i="16"/>
  <c r="O453" i="16" s="1"/>
  <c r="K445" i="16"/>
  <c r="O445" i="16" s="1"/>
  <c r="K435" i="16"/>
  <c r="O435" i="16" s="1"/>
  <c r="K427" i="16"/>
  <c r="O427" i="16" s="1"/>
  <c r="K419" i="16"/>
  <c r="O419" i="16" s="1"/>
  <c r="K411" i="16"/>
  <c r="O411" i="16" s="1"/>
  <c r="F584" i="16"/>
  <c r="E584" i="16" s="1"/>
  <c r="K584" i="16"/>
  <c r="O584" i="16" s="1"/>
  <c r="K546" i="16"/>
  <c r="O546" i="16" s="1"/>
  <c r="F546" i="16"/>
  <c r="E546" i="16" s="1"/>
  <c r="K528" i="16"/>
  <c r="O528" i="16" s="1"/>
  <c r="F528" i="16"/>
  <c r="E528" i="16" s="1"/>
  <c r="K517" i="16"/>
  <c r="O517" i="16" s="1"/>
  <c r="K499" i="16"/>
  <c r="O499" i="16" s="1"/>
  <c r="F384" i="16"/>
  <c r="E384" i="16" s="1"/>
  <c r="F376" i="16"/>
  <c r="E376" i="16" s="1"/>
  <c r="K376" i="16"/>
  <c r="O376" i="16" s="1"/>
  <c r="F358" i="16"/>
  <c r="E358" i="16" s="1"/>
  <c r="K357" i="16"/>
  <c r="O357" i="16" s="1"/>
  <c r="F326" i="16"/>
  <c r="E326" i="16" s="1"/>
  <c r="K326" i="16"/>
  <c r="O326" i="16" s="1"/>
  <c r="F350" i="16"/>
  <c r="E350" i="16" s="1"/>
  <c r="K349" i="16"/>
  <c r="O349" i="16" s="1"/>
  <c r="F410" i="16"/>
  <c r="E410" i="16" s="1"/>
  <c r="F402" i="16"/>
  <c r="E402" i="16" s="1"/>
  <c r="F398" i="16"/>
  <c r="E398" i="16" s="1"/>
  <c r="F395" i="16"/>
  <c r="E395" i="16" s="1"/>
  <c r="F390" i="16"/>
  <c r="E390" i="16" s="1"/>
  <c r="F374" i="16"/>
  <c r="E374" i="16" s="1"/>
  <c r="F373" i="16"/>
  <c r="E373" i="16" s="1"/>
  <c r="K358" i="16"/>
  <c r="O358" i="16" s="1"/>
  <c r="K356" i="16"/>
  <c r="O356" i="16" s="1"/>
  <c r="F334" i="16"/>
  <c r="E334" i="16" s="1"/>
  <c r="K334" i="16"/>
  <c r="O334" i="16" s="1"/>
  <c r="F307" i="16"/>
  <c r="E307" i="16" s="1"/>
  <c r="K307" i="16"/>
  <c r="O307" i="16" s="1"/>
  <c r="F285" i="16"/>
  <c r="E285" i="16" s="1"/>
  <c r="K285" i="16"/>
  <c r="O285" i="16" s="1"/>
  <c r="F386" i="16"/>
  <c r="E386" i="16" s="1"/>
  <c r="F368" i="16"/>
  <c r="E368" i="16" s="1"/>
  <c r="K368" i="16"/>
  <c r="O368" i="16" s="1"/>
  <c r="K385" i="16"/>
  <c r="O385" i="16" s="1"/>
  <c r="F385" i="16"/>
  <c r="E385" i="16" s="1"/>
  <c r="F360" i="16"/>
  <c r="E360" i="16" s="1"/>
  <c r="K360" i="16"/>
  <c r="O360" i="16" s="1"/>
  <c r="F318" i="16"/>
  <c r="E318" i="16" s="1"/>
  <c r="K318" i="16"/>
  <c r="O318" i="16" s="1"/>
  <c r="F313" i="16"/>
  <c r="E313" i="16" s="1"/>
  <c r="K313" i="16"/>
  <c r="O313" i="16" s="1"/>
  <c r="F275" i="16"/>
  <c r="E275" i="16" s="1"/>
  <c r="K275" i="16"/>
  <c r="O275" i="16" s="1"/>
  <c r="K261" i="16"/>
  <c r="O261" i="16" s="1"/>
  <c r="K146" i="16"/>
  <c r="O146" i="16" s="1"/>
  <c r="K142" i="16"/>
  <c r="O142" i="16" s="1"/>
  <c r="F142" i="16"/>
  <c r="E142" i="16" s="1"/>
  <c r="F137" i="16"/>
  <c r="E137" i="16" s="1"/>
  <c r="K137" i="16"/>
  <c r="O137" i="16" s="1"/>
  <c r="F341" i="16"/>
  <c r="E341" i="16" s="1"/>
  <c r="F333" i="16"/>
  <c r="E333" i="16" s="1"/>
  <c r="F325" i="16"/>
  <c r="E325" i="16" s="1"/>
  <c r="F317" i="16"/>
  <c r="E317" i="16" s="1"/>
  <c r="F312" i="16"/>
  <c r="E312" i="16" s="1"/>
  <c r="F302" i="16"/>
  <c r="E302" i="16" s="1"/>
  <c r="F299" i="16"/>
  <c r="E299" i="16" s="1"/>
  <c r="F288" i="16"/>
  <c r="E288" i="16" s="1"/>
  <c r="F278" i="16"/>
  <c r="E278" i="16" s="1"/>
  <c r="F254" i="16"/>
  <c r="E254" i="16" s="1"/>
  <c r="F338" i="16"/>
  <c r="E338" i="16" s="1"/>
  <c r="K262" i="16"/>
  <c r="O262" i="16" s="1"/>
  <c r="K253" i="16"/>
  <c r="O253" i="16" s="1"/>
  <c r="K249" i="16"/>
  <c r="O249" i="16" s="1"/>
  <c r="F249" i="16"/>
  <c r="E249" i="16" s="1"/>
  <c r="K245" i="16"/>
  <c r="O245" i="16" s="1"/>
  <c r="F245" i="16"/>
  <c r="E245" i="16" s="1"/>
  <c r="K241" i="16"/>
  <c r="O241" i="16" s="1"/>
  <c r="F241" i="16"/>
  <c r="E241" i="16" s="1"/>
  <c r="K237" i="16"/>
  <c r="O237" i="16" s="1"/>
  <c r="F237" i="16"/>
  <c r="E237" i="16" s="1"/>
  <c r="K233" i="16"/>
  <c r="O233" i="16" s="1"/>
  <c r="F233" i="16"/>
  <c r="E233" i="16" s="1"/>
  <c r="F298" i="16"/>
  <c r="E298" i="16" s="1"/>
  <c r="F283" i="16"/>
  <c r="E283" i="16" s="1"/>
  <c r="K269" i="16"/>
  <c r="O269" i="16" s="1"/>
  <c r="F264" i="16"/>
  <c r="E264" i="16" s="1"/>
  <c r="K246" i="16"/>
  <c r="O246" i="16" s="1"/>
  <c r="F246" i="16"/>
  <c r="E246" i="16" s="1"/>
  <c r="K242" i="16"/>
  <c r="O242" i="16" s="1"/>
  <c r="F242" i="16"/>
  <c r="E242" i="16" s="1"/>
  <c r="K238" i="16"/>
  <c r="O238" i="16" s="1"/>
  <c r="F238" i="16"/>
  <c r="E238" i="16" s="1"/>
  <c r="F324" i="16"/>
  <c r="E324" i="16" s="1"/>
  <c r="F316" i="16"/>
  <c r="E316" i="16" s="1"/>
  <c r="F301" i="16"/>
  <c r="E301" i="16" s="1"/>
  <c r="F290" i="16"/>
  <c r="E290" i="16" s="1"/>
  <c r="K277" i="16"/>
  <c r="O277" i="16" s="1"/>
  <c r="F272" i="16"/>
  <c r="E272" i="16" s="1"/>
  <c r="K254" i="16"/>
  <c r="O254" i="16" s="1"/>
  <c r="K265" i="16"/>
  <c r="O265" i="16" s="1"/>
  <c r="K305" i="16"/>
  <c r="O305" i="16" s="1"/>
  <c r="K294" i="16"/>
  <c r="O294" i="16" s="1"/>
  <c r="K273" i="16"/>
  <c r="O273" i="16" s="1"/>
  <c r="F257" i="16"/>
  <c r="E257" i="16" s="1"/>
  <c r="K257" i="16"/>
  <c r="O257" i="16" s="1"/>
  <c r="F202" i="16"/>
  <c r="E202" i="16" s="1"/>
  <c r="K173" i="16"/>
  <c r="O173" i="16" s="1"/>
  <c r="F173" i="16"/>
  <c r="E173" i="16" s="1"/>
  <c r="K159" i="16"/>
  <c r="O159" i="16" s="1"/>
  <c r="F155" i="16"/>
  <c r="E155" i="16" s="1"/>
  <c r="K155" i="16"/>
  <c r="O155" i="16" s="1"/>
  <c r="K147" i="16"/>
  <c r="O147" i="16" s="1"/>
  <c r="F147" i="16"/>
  <c r="E147" i="16" s="1"/>
  <c r="F230" i="16"/>
  <c r="E230" i="16" s="1"/>
  <c r="F229" i="16"/>
  <c r="E229" i="16" s="1"/>
  <c r="F225" i="16"/>
  <c r="E225" i="16" s="1"/>
  <c r="F222" i="16"/>
  <c r="E222" i="16" s="1"/>
  <c r="F221" i="16"/>
  <c r="E221" i="16" s="1"/>
  <c r="F216" i="16"/>
  <c r="E216" i="16" s="1"/>
  <c r="F211" i="16"/>
  <c r="E211" i="16" s="1"/>
  <c r="F208" i="16"/>
  <c r="E208" i="16" s="1"/>
  <c r="F197" i="16"/>
  <c r="E197" i="16" s="1"/>
  <c r="F192" i="16"/>
  <c r="E192" i="16" s="1"/>
  <c r="F190" i="16"/>
  <c r="E190" i="16" s="1"/>
  <c r="K190" i="16"/>
  <c r="O190" i="16" s="1"/>
  <c r="F187" i="16"/>
  <c r="E187" i="16" s="1"/>
  <c r="K200" i="16"/>
  <c r="O200" i="16" s="1"/>
  <c r="F198" i="16"/>
  <c r="E198" i="16" s="1"/>
  <c r="F153" i="16"/>
  <c r="E153" i="16" s="1"/>
  <c r="K153" i="16"/>
  <c r="O153" i="16" s="1"/>
  <c r="K130" i="16"/>
  <c r="O130" i="16" s="1"/>
  <c r="F206" i="16"/>
  <c r="E206" i="16" s="1"/>
  <c r="K182" i="16"/>
  <c r="O182" i="16" s="1"/>
  <c r="F182" i="16"/>
  <c r="E182" i="16" s="1"/>
  <c r="K166" i="16"/>
  <c r="O166" i="16" s="1"/>
  <c r="F166" i="16"/>
  <c r="E166" i="16" s="1"/>
  <c r="K131" i="16"/>
  <c r="O131" i="16" s="1"/>
  <c r="F131" i="16"/>
  <c r="E131" i="16" s="1"/>
  <c r="K230" i="16"/>
  <c r="O230" i="16" s="1"/>
  <c r="K226" i="16"/>
  <c r="O226" i="16" s="1"/>
  <c r="K222" i="16"/>
  <c r="O222" i="16" s="1"/>
  <c r="K216" i="16"/>
  <c r="O216" i="16" s="1"/>
  <c r="K208" i="16"/>
  <c r="O208" i="16" s="1"/>
  <c r="F125" i="16"/>
  <c r="E125" i="16" s="1"/>
  <c r="K125" i="16"/>
  <c r="O125" i="16" s="1"/>
  <c r="K198" i="16"/>
  <c r="O198" i="16" s="1"/>
  <c r="F176" i="16"/>
  <c r="E176" i="16" s="1"/>
  <c r="F141" i="16"/>
  <c r="E141" i="16" s="1"/>
  <c r="K141" i="16"/>
  <c r="O141" i="16" s="1"/>
  <c r="K101" i="16"/>
  <c r="O101" i="16" s="1"/>
  <c r="F107" i="16"/>
  <c r="E107" i="16" s="1"/>
  <c r="K97" i="16"/>
  <c r="O97" i="16" s="1"/>
  <c r="F97" i="16"/>
  <c r="E97" i="16" s="1"/>
  <c r="F196" i="16"/>
  <c r="E196" i="16" s="1"/>
  <c r="F181" i="16"/>
  <c r="E181" i="16" s="1"/>
  <c r="F165" i="16"/>
  <c r="E165" i="16" s="1"/>
  <c r="F162" i="16"/>
  <c r="E162" i="16" s="1"/>
  <c r="F150" i="16"/>
  <c r="E150" i="16" s="1"/>
  <c r="F134" i="16"/>
  <c r="E134" i="16" s="1"/>
  <c r="F195" i="16"/>
  <c r="E195" i="16" s="1"/>
  <c r="F189" i="16"/>
  <c r="E189" i="16" s="1"/>
  <c r="F177" i="16"/>
  <c r="E177" i="16" s="1"/>
  <c r="F171" i="16"/>
  <c r="E171" i="16" s="1"/>
  <c r="F161" i="16"/>
  <c r="E161" i="16" s="1"/>
  <c r="F145" i="16"/>
  <c r="E145" i="16" s="1"/>
  <c r="F129" i="16"/>
  <c r="E129" i="16" s="1"/>
  <c r="F174" i="16"/>
  <c r="E174" i="16" s="1"/>
  <c r="F157" i="16"/>
  <c r="E157" i="16" s="1"/>
  <c r="F139" i="16"/>
  <c r="E139" i="16" s="1"/>
  <c r="F149" i="16"/>
  <c r="E149" i="16" s="1"/>
  <c r="F133" i="16"/>
  <c r="E133" i="16" s="1"/>
  <c r="F115" i="16"/>
  <c r="E115" i="16" s="1"/>
  <c r="K92" i="16"/>
  <c r="O92" i="16" s="1"/>
  <c r="K145" i="16"/>
  <c r="O145" i="16" s="1"/>
  <c r="K129" i="16"/>
  <c r="O129" i="16" s="1"/>
  <c r="F101" i="16"/>
  <c r="E101" i="16" s="1"/>
  <c r="K96" i="16"/>
  <c r="O96" i="16" s="1"/>
  <c r="F96" i="16"/>
  <c r="E96" i="16" s="1"/>
  <c r="F75" i="16"/>
  <c r="E75" i="16" s="1"/>
  <c r="F67" i="16"/>
  <c r="E67" i="16" s="1"/>
  <c r="F59" i="16"/>
  <c r="E59" i="16" s="1"/>
  <c r="F48" i="16"/>
  <c r="E48" i="16" s="1"/>
  <c r="K48" i="16"/>
  <c r="O48" i="16" s="1"/>
  <c r="K86" i="16"/>
  <c r="O86" i="16" s="1"/>
  <c r="F86" i="16"/>
  <c r="E86" i="16" s="1"/>
  <c r="K83" i="16"/>
  <c r="O83" i="16" s="1"/>
  <c r="K104" i="16"/>
  <c r="O104" i="16" s="1"/>
  <c r="F104" i="16"/>
  <c r="E104" i="16" s="1"/>
  <c r="F85" i="16"/>
  <c r="E85" i="16" s="1"/>
  <c r="K85" i="16"/>
  <c r="O85" i="16" s="1"/>
  <c r="K59" i="16"/>
  <c r="O59" i="16" s="1"/>
  <c r="F56" i="16"/>
  <c r="E56" i="16" s="1"/>
  <c r="K56" i="16"/>
  <c r="O56" i="16" s="1"/>
  <c r="K105" i="16"/>
  <c r="O105" i="16" s="1"/>
  <c r="F77" i="16"/>
  <c r="E77" i="16" s="1"/>
  <c r="K77" i="16"/>
  <c r="O77" i="16" s="1"/>
  <c r="F69" i="16"/>
  <c r="E69" i="16" s="1"/>
  <c r="K69" i="16"/>
  <c r="O69" i="16" s="1"/>
  <c r="F61" i="16"/>
  <c r="E61" i="16" s="1"/>
  <c r="K61" i="16"/>
  <c r="O61" i="16" s="1"/>
  <c r="F90" i="16"/>
  <c r="E90" i="16" s="1"/>
  <c r="F78" i="16"/>
  <c r="E78" i="16" s="1"/>
  <c r="F70" i="16"/>
  <c r="E70" i="16" s="1"/>
  <c r="F62" i="16"/>
  <c r="E62" i="16" s="1"/>
  <c r="F52" i="16"/>
  <c r="E52" i="16" s="1"/>
  <c r="K43" i="16"/>
  <c r="O43" i="16" s="1"/>
  <c r="K35" i="16"/>
  <c r="O35" i="16" s="1"/>
  <c r="K27" i="16"/>
  <c r="K20" i="16"/>
  <c r="O20" i="16" s="1"/>
  <c r="K12" i="16"/>
  <c r="O12" i="16" s="1"/>
  <c r="F39" i="16"/>
  <c r="E39" i="16" s="1"/>
  <c r="F31" i="16"/>
  <c r="E31" i="16" s="1"/>
  <c r="F24" i="16"/>
  <c r="E24" i="16" s="1"/>
  <c r="F8" i="16"/>
  <c r="E8" i="16" s="1"/>
  <c r="F44" i="16"/>
  <c r="E44" i="16" s="1"/>
  <c r="F36" i="16"/>
  <c r="E36" i="16" s="1"/>
  <c r="F28" i="16"/>
  <c r="E28" i="16" s="1"/>
  <c r="F5" i="16"/>
  <c r="E5" i="16" s="1"/>
  <c r="AL866" i="13"/>
  <c r="AK866" i="13" s="1"/>
  <c r="AL865" i="13"/>
  <c r="AK865" i="13" s="1"/>
  <c r="AL864" i="13"/>
  <c r="AK864" i="13" s="1"/>
  <c r="AL863" i="13"/>
  <c r="AK863" i="13" s="1"/>
  <c r="AL862" i="13"/>
  <c r="AK862" i="13" s="1"/>
  <c r="AL861" i="13"/>
  <c r="AK861" i="13" s="1"/>
  <c r="AL860" i="13"/>
  <c r="AK860" i="13" s="1"/>
  <c r="AL859" i="13"/>
  <c r="AK859" i="13" s="1"/>
  <c r="AD859" i="13" s="1"/>
  <c r="AL858" i="13"/>
  <c r="AK858" i="13" s="1"/>
  <c r="AL857" i="13"/>
  <c r="AK857" i="13" s="1"/>
  <c r="AL856" i="13"/>
  <c r="AK856" i="13" s="1"/>
  <c r="AL855" i="13"/>
  <c r="AK855" i="13" s="1"/>
  <c r="AL854" i="13"/>
  <c r="AK854" i="13" s="1"/>
  <c r="AL853" i="13"/>
  <c r="AK853" i="13" s="1"/>
  <c r="AL852" i="13"/>
  <c r="AK852" i="13" s="1"/>
  <c r="AL851" i="13"/>
  <c r="AK851" i="13" s="1"/>
  <c r="AD851" i="13" s="1"/>
  <c r="AL850" i="13"/>
  <c r="AK850" i="13" s="1"/>
  <c r="AL849" i="13"/>
  <c r="AK849" i="13" s="1"/>
  <c r="AL848" i="13"/>
  <c r="AK848" i="13" s="1"/>
  <c r="AL847" i="13"/>
  <c r="AK847" i="13" s="1"/>
  <c r="AL846" i="13"/>
  <c r="AK846" i="13" s="1"/>
  <c r="AL845" i="13"/>
  <c r="AK845" i="13" s="1"/>
  <c r="AL844" i="13"/>
  <c r="AK844" i="13" s="1"/>
  <c r="AL843" i="13"/>
  <c r="AK843" i="13" s="1"/>
  <c r="AD843" i="13" s="1"/>
  <c r="AL842" i="13"/>
  <c r="AK842" i="13" s="1"/>
  <c r="AL841" i="13"/>
  <c r="AK841" i="13" s="1"/>
  <c r="AL840" i="13"/>
  <c r="AK840" i="13" s="1"/>
  <c r="AL839" i="13"/>
  <c r="AK839" i="13" s="1"/>
  <c r="AL838" i="13"/>
  <c r="AK838" i="13" s="1"/>
  <c r="AL837" i="13"/>
  <c r="AK837" i="13" s="1"/>
  <c r="AL836" i="13"/>
  <c r="AK836" i="13" s="1"/>
  <c r="AL835" i="13"/>
  <c r="AK835" i="13" s="1"/>
  <c r="AD835" i="13" s="1"/>
  <c r="AL820" i="13"/>
  <c r="AK820" i="13" s="1"/>
  <c r="AL819" i="13"/>
  <c r="AK819" i="13" s="1"/>
  <c r="AD819" i="13" s="1"/>
  <c r="AL818" i="13"/>
  <c r="AK818" i="13" s="1"/>
  <c r="AD818" i="13" s="1"/>
  <c r="AL817" i="13"/>
  <c r="AK817" i="13" s="1"/>
  <c r="AL816" i="13"/>
  <c r="AK816" i="13" s="1"/>
  <c r="AL815" i="13"/>
  <c r="AK815" i="13" s="1"/>
  <c r="AL814" i="13"/>
  <c r="AK814" i="13" s="1"/>
  <c r="AL813" i="13"/>
  <c r="AK813" i="13" s="1"/>
  <c r="AD813" i="13" s="1"/>
  <c r="AL812" i="13"/>
  <c r="AK812" i="13" s="1"/>
  <c r="AL811" i="13"/>
  <c r="AK811" i="13" s="1"/>
  <c r="AD811" i="13" s="1"/>
  <c r="AL810" i="13"/>
  <c r="AK810" i="13" s="1"/>
  <c r="AD810" i="13" s="1"/>
  <c r="AL809" i="13"/>
  <c r="AK809" i="13" s="1"/>
  <c r="AL808" i="13"/>
  <c r="AK808" i="13" s="1"/>
  <c r="AL807" i="13"/>
  <c r="AK807" i="13" s="1"/>
  <c r="AL806" i="13"/>
  <c r="AK806" i="13" s="1"/>
  <c r="AL805" i="13"/>
  <c r="AK805" i="13" s="1"/>
  <c r="AL804" i="13"/>
  <c r="AK804" i="13" s="1"/>
  <c r="AL803" i="13"/>
  <c r="AK803" i="13" s="1"/>
  <c r="AD803" i="13" s="1"/>
  <c r="AL802" i="13"/>
  <c r="AK802" i="13" s="1"/>
  <c r="AD802" i="13" s="1"/>
  <c r="AL801" i="13"/>
  <c r="AK801" i="13" s="1"/>
  <c r="AL800" i="13"/>
  <c r="AK800" i="13" s="1"/>
  <c r="AL799" i="13"/>
  <c r="AK799" i="13" s="1"/>
  <c r="AL798" i="13"/>
  <c r="AK798" i="13" s="1"/>
  <c r="AL797" i="13"/>
  <c r="AK797" i="13" s="1"/>
  <c r="AL796" i="13"/>
  <c r="AK796" i="13" s="1"/>
  <c r="AL795" i="13"/>
  <c r="AK795" i="13" s="1"/>
  <c r="AD795" i="13" s="1"/>
  <c r="AL794" i="13"/>
  <c r="AK794" i="13" s="1"/>
  <c r="AD794" i="13" s="1"/>
  <c r="AL793" i="13"/>
  <c r="AK793" i="13" s="1"/>
  <c r="AL792" i="13"/>
  <c r="AK792" i="13" s="1"/>
  <c r="AL791" i="13"/>
  <c r="AK791" i="13" s="1"/>
  <c r="AL790" i="13"/>
  <c r="AK790" i="13" s="1"/>
  <c r="AL789" i="13"/>
  <c r="AK789" i="13" s="1"/>
  <c r="AL774" i="13"/>
  <c r="AK774" i="13" s="1"/>
  <c r="AL773" i="13"/>
  <c r="AK773" i="13" s="1"/>
  <c r="AL772" i="13"/>
  <c r="AK772" i="13" s="1"/>
  <c r="AL771" i="13"/>
  <c r="AK771" i="13" s="1"/>
  <c r="AD771" i="13" s="1"/>
  <c r="AL770" i="13"/>
  <c r="AK770" i="13" s="1"/>
  <c r="AL769" i="13"/>
  <c r="AK769" i="13" s="1"/>
  <c r="AL768" i="13"/>
  <c r="AK768" i="13" s="1"/>
  <c r="AL767" i="13"/>
  <c r="AK767" i="13" s="1"/>
  <c r="AL766" i="13"/>
  <c r="AK766" i="13" s="1"/>
  <c r="AL765" i="13"/>
  <c r="AK765" i="13" s="1"/>
  <c r="AL764" i="13"/>
  <c r="AK764" i="13" s="1"/>
  <c r="AL763" i="13"/>
  <c r="AK763" i="13" s="1"/>
  <c r="AD763" i="13" s="1"/>
  <c r="AL762" i="13"/>
  <c r="AK762" i="13" s="1"/>
  <c r="AL761" i="13"/>
  <c r="AK761" i="13" s="1"/>
  <c r="AL760" i="13"/>
  <c r="AK760" i="13" s="1"/>
  <c r="AL759" i="13"/>
  <c r="AK759" i="13" s="1"/>
  <c r="AL758" i="13"/>
  <c r="AK758" i="13" s="1"/>
  <c r="AL757" i="13"/>
  <c r="AK757" i="13" s="1"/>
  <c r="AL756" i="13"/>
  <c r="AK756" i="13" s="1"/>
  <c r="AL755" i="13"/>
  <c r="AK755" i="13" s="1"/>
  <c r="AD755" i="13" s="1"/>
  <c r="AL754" i="13"/>
  <c r="AK754" i="13" s="1"/>
  <c r="AL753" i="13"/>
  <c r="AK753" i="13" s="1"/>
  <c r="AL752" i="13"/>
  <c r="AK752" i="13" s="1"/>
  <c r="AL751" i="13"/>
  <c r="AK751" i="13" s="1"/>
  <c r="AL750" i="13"/>
  <c r="AK750" i="13" s="1"/>
  <c r="AL749" i="13"/>
  <c r="AK749" i="13" s="1"/>
  <c r="AL748" i="13"/>
  <c r="AK748" i="13" s="1"/>
  <c r="AL747" i="13"/>
  <c r="AK747" i="13" s="1"/>
  <c r="AD747" i="13" s="1"/>
  <c r="AL746" i="13"/>
  <c r="AK746" i="13" s="1"/>
  <c r="AL745" i="13"/>
  <c r="AK745" i="13" s="1"/>
  <c r="AL744" i="13"/>
  <c r="AK744" i="13" s="1"/>
  <c r="AL743" i="13"/>
  <c r="AK743" i="13" s="1"/>
  <c r="AL728" i="13"/>
  <c r="AK728" i="13" s="1"/>
  <c r="AL727" i="13"/>
  <c r="AK727" i="13" s="1"/>
  <c r="AL726" i="13"/>
  <c r="AK726" i="13" s="1"/>
  <c r="AL725" i="13"/>
  <c r="AK725" i="13" s="1"/>
  <c r="AL724" i="13"/>
  <c r="AK724" i="13" s="1"/>
  <c r="AL723" i="13"/>
  <c r="AK723" i="13" s="1"/>
  <c r="AL722" i="13"/>
  <c r="AK722" i="13" s="1"/>
  <c r="AD722" i="13" s="1"/>
  <c r="AL721" i="13"/>
  <c r="AK721" i="13" s="1"/>
  <c r="AL720" i="13"/>
  <c r="AK720" i="13" s="1"/>
  <c r="AL719" i="13"/>
  <c r="AK719" i="13" s="1"/>
  <c r="AL718" i="13"/>
  <c r="AK718" i="13" s="1"/>
  <c r="AL717" i="13"/>
  <c r="AK717" i="13" s="1"/>
  <c r="AL716" i="13"/>
  <c r="AK716" i="13" s="1"/>
  <c r="AL715" i="13"/>
  <c r="AK715" i="13" s="1"/>
  <c r="AL714" i="13"/>
  <c r="AK714" i="13" s="1"/>
  <c r="AD714" i="13" s="1"/>
  <c r="AL713" i="13"/>
  <c r="AK713" i="13" s="1"/>
  <c r="AL712" i="13"/>
  <c r="AK712" i="13" s="1"/>
  <c r="AL711" i="13"/>
  <c r="AK711" i="13" s="1"/>
  <c r="AL710" i="13"/>
  <c r="AK710" i="13" s="1"/>
  <c r="AL709" i="13"/>
  <c r="AK709" i="13" s="1"/>
  <c r="AL708" i="13"/>
  <c r="AK708" i="13" s="1"/>
  <c r="AL707" i="13"/>
  <c r="AK707" i="13" s="1"/>
  <c r="AL706" i="13"/>
  <c r="AK706" i="13" s="1"/>
  <c r="AD706" i="13" s="1"/>
  <c r="AL705" i="13"/>
  <c r="AK705" i="13" s="1"/>
  <c r="AL704" i="13"/>
  <c r="AK704" i="13" s="1"/>
  <c r="AL703" i="13"/>
  <c r="AK703" i="13" s="1"/>
  <c r="AL702" i="13"/>
  <c r="AK702" i="13" s="1"/>
  <c r="AL701" i="13"/>
  <c r="AK701" i="13" s="1"/>
  <c r="AL700" i="13"/>
  <c r="AK700" i="13" s="1"/>
  <c r="AL699" i="13"/>
  <c r="AK699" i="13" s="1"/>
  <c r="AL698" i="13"/>
  <c r="AK698" i="13" s="1"/>
  <c r="AD698" i="13" s="1"/>
  <c r="AL697" i="13"/>
  <c r="AK697" i="13" s="1"/>
  <c r="AL682" i="13"/>
  <c r="AK682" i="13" s="1"/>
  <c r="AL681" i="13"/>
  <c r="AK681" i="13" s="1"/>
  <c r="AL680" i="13"/>
  <c r="AK680" i="13" s="1"/>
  <c r="AL679" i="13"/>
  <c r="AK679" i="13" s="1"/>
  <c r="AL678" i="13"/>
  <c r="AK678" i="13" s="1"/>
  <c r="AL677" i="13"/>
  <c r="AK677" i="13" s="1"/>
  <c r="AL676" i="13"/>
  <c r="AK676" i="13" s="1"/>
  <c r="AL675" i="13"/>
  <c r="AK675" i="13" s="1"/>
  <c r="AL674" i="13"/>
  <c r="AK674" i="13" s="1"/>
  <c r="AL673" i="13"/>
  <c r="AK673" i="13" s="1"/>
  <c r="AL672" i="13"/>
  <c r="AK672" i="13" s="1"/>
  <c r="AL671" i="13"/>
  <c r="AK671" i="13" s="1"/>
  <c r="AL670" i="13"/>
  <c r="AK670" i="13" s="1"/>
  <c r="AL669" i="13"/>
  <c r="AK669" i="13" s="1"/>
  <c r="AL668" i="13"/>
  <c r="AK668" i="13" s="1"/>
  <c r="AL667" i="13"/>
  <c r="AK667" i="13" s="1"/>
  <c r="AL666" i="13"/>
  <c r="AK666" i="13" s="1"/>
  <c r="AL665" i="13"/>
  <c r="AK665" i="13" s="1"/>
  <c r="AL664" i="13"/>
  <c r="AK664" i="13" s="1"/>
  <c r="AL663" i="13"/>
  <c r="AK663" i="13" s="1"/>
  <c r="AL662" i="13"/>
  <c r="AK662" i="13" s="1"/>
  <c r="AL661" i="13"/>
  <c r="AK661" i="13" s="1"/>
  <c r="AL660" i="13"/>
  <c r="AK660" i="13" s="1"/>
  <c r="AL659" i="13"/>
  <c r="AK659" i="13" s="1"/>
  <c r="AL658" i="13"/>
  <c r="AK658" i="13" s="1"/>
  <c r="AL657" i="13"/>
  <c r="AK657" i="13" s="1"/>
  <c r="AL656" i="13"/>
  <c r="AK656" i="13" s="1"/>
  <c r="AL655" i="13"/>
  <c r="AK655" i="13" s="1"/>
  <c r="AL654" i="13"/>
  <c r="AK654" i="13" s="1"/>
  <c r="AL653" i="13"/>
  <c r="AK653" i="13" s="1"/>
  <c r="AL652" i="13"/>
  <c r="AK652" i="13" s="1"/>
  <c r="AL651" i="13"/>
  <c r="AK651" i="13" s="1"/>
  <c r="AL636" i="13"/>
  <c r="AK636" i="13" s="1"/>
  <c r="AL635" i="13"/>
  <c r="AK635" i="13" s="1"/>
  <c r="AD635" i="13" s="1"/>
  <c r="AL634" i="13"/>
  <c r="AK634" i="13" s="1"/>
  <c r="AD634" i="13" s="1"/>
  <c r="AL633" i="13"/>
  <c r="AK633" i="13" s="1"/>
  <c r="AL632" i="13"/>
  <c r="AK632" i="13" s="1"/>
  <c r="AL631" i="13"/>
  <c r="AK631" i="13" s="1"/>
  <c r="AL630" i="13"/>
  <c r="AK630" i="13" s="1"/>
  <c r="AL629" i="13"/>
  <c r="AK629" i="13" s="1"/>
  <c r="AL628" i="13"/>
  <c r="AK628" i="13" s="1"/>
  <c r="AL627" i="13"/>
  <c r="AK627" i="13" s="1"/>
  <c r="AD627" i="13" s="1"/>
  <c r="AL626" i="13"/>
  <c r="AK626" i="13" s="1"/>
  <c r="AD626" i="13" s="1"/>
  <c r="AL625" i="13"/>
  <c r="AK625" i="13" s="1"/>
  <c r="AL624" i="13"/>
  <c r="AK624" i="13" s="1"/>
  <c r="AL623" i="13"/>
  <c r="AK623" i="13" s="1"/>
  <c r="AL622" i="13"/>
  <c r="AK622" i="13" s="1"/>
  <c r="AL621" i="13"/>
  <c r="AK621" i="13" s="1"/>
  <c r="AL620" i="13"/>
  <c r="AK620" i="13" s="1"/>
  <c r="AL619" i="13"/>
  <c r="AK619" i="13" s="1"/>
  <c r="AD619" i="13" s="1"/>
  <c r="AL618" i="13"/>
  <c r="AK618" i="13" s="1"/>
  <c r="AD618" i="13" s="1"/>
  <c r="AL617" i="13"/>
  <c r="AK617" i="13" s="1"/>
  <c r="AL616" i="13"/>
  <c r="AK616" i="13" s="1"/>
  <c r="AL615" i="13"/>
  <c r="AK615" i="13" s="1"/>
  <c r="AL614" i="13"/>
  <c r="AK614" i="13" s="1"/>
  <c r="AL613" i="13"/>
  <c r="AK613" i="13" s="1"/>
  <c r="AL612" i="13"/>
  <c r="AK612" i="13" s="1"/>
  <c r="AL611" i="13"/>
  <c r="AK611" i="13" s="1"/>
  <c r="AD611" i="13" s="1"/>
  <c r="AL610" i="13"/>
  <c r="AK610" i="13" s="1"/>
  <c r="AD610" i="13" s="1"/>
  <c r="AL609" i="13"/>
  <c r="AK609" i="13" s="1"/>
  <c r="AL608" i="13"/>
  <c r="AK608" i="13" s="1"/>
  <c r="AL607" i="13"/>
  <c r="AK607" i="13" s="1"/>
  <c r="AL606" i="13"/>
  <c r="AK606" i="13" s="1"/>
  <c r="AL605" i="13"/>
  <c r="AK605" i="13" s="1"/>
  <c r="AL590" i="13"/>
  <c r="AK590" i="13" s="1"/>
  <c r="AL589" i="13"/>
  <c r="AK589" i="13" s="1"/>
  <c r="AL588" i="13"/>
  <c r="AK588" i="13" s="1"/>
  <c r="AL587" i="13"/>
  <c r="AK587" i="13" s="1"/>
  <c r="AD587" i="13" s="1"/>
  <c r="AL586" i="13"/>
  <c r="AK586" i="13" s="1"/>
  <c r="AL585" i="13"/>
  <c r="AK585" i="13" s="1"/>
  <c r="AL584" i="13"/>
  <c r="AK584" i="13" s="1"/>
  <c r="AL583" i="13"/>
  <c r="AK583" i="13" s="1"/>
  <c r="AL582" i="13"/>
  <c r="AK582" i="13" s="1"/>
  <c r="AL581" i="13"/>
  <c r="AK581" i="13" s="1"/>
  <c r="AL580" i="13"/>
  <c r="AK580" i="13" s="1"/>
  <c r="AL579" i="13"/>
  <c r="AK579" i="13" s="1"/>
  <c r="AD579" i="13" s="1"/>
  <c r="AL578" i="13"/>
  <c r="AK578" i="13" s="1"/>
  <c r="AL577" i="13"/>
  <c r="AK577" i="13" s="1"/>
  <c r="AL576" i="13"/>
  <c r="AK576" i="13" s="1"/>
  <c r="AL575" i="13"/>
  <c r="AK575" i="13" s="1"/>
  <c r="AL574" i="13"/>
  <c r="AK574" i="13" s="1"/>
  <c r="AL573" i="13"/>
  <c r="AK573" i="13" s="1"/>
  <c r="AL572" i="13"/>
  <c r="AK572" i="13" s="1"/>
  <c r="AL571" i="13"/>
  <c r="AK571" i="13" s="1"/>
  <c r="AD571" i="13" s="1"/>
  <c r="AL570" i="13"/>
  <c r="AK570" i="13" s="1"/>
  <c r="AD570" i="13" s="1"/>
  <c r="AL569" i="13"/>
  <c r="AK569" i="13" s="1"/>
  <c r="AL568" i="13"/>
  <c r="AK568" i="13" s="1"/>
  <c r="AL567" i="13"/>
  <c r="AK567" i="13" s="1"/>
  <c r="AL566" i="13"/>
  <c r="AK566" i="13" s="1"/>
  <c r="AL565" i="13"/>
  <c r="AK565" i="13" s="1"/>
  <c r="AL564" i="13"/>
  <c r="AK564" i="13" s="1"/>
  <c r="AL563" i="13"/>
  <c r="AK563" i="13" s="1"/>
  <c r="AD563" i="13" s="1"/>
  <c r="AL562" i="13"/>
  <c r="AK562" i="13" s="1"/>
  <c r="AL561" i="13"/>
  <c r="AK561" i="13" s="1"/>
  <c r="AL560" i="13"/>
  <c r="AK560" i="13" s="1"/>
  <c r="AL559" i="13"/>
  <c r="AK559" i="13" s="1"/>
  <c r="AL544" i="13"/>
  <c r="AK544" i="13" s="1"/>
  <c r="AL543" i="13"/>
  <c r="AK543" i="13" s="1"/>
  <c r="AL542" i="13"/>
  <c r="AK542" i="13" s="1"/>
  <c r="AL541" i="13"/>
  <c r="AK541" i="13" s="1"/>
  <c r="AL540" i="13"/>
  <c r="AK540" i="13" s="1"/>
  <c r="AL539" i="13"/>
  <c r="AK539" i="13" s="1"/>
  <c r="AL538" i="13"/>
  <c r="AK538" i="13" s="1"/>
  <c r="AD538" i="13" s="1"/>
  <c r="AL537" i="13"/>
  <c r="AK537" i="13" s="1"/>
  <c r="AL536" i="13"/>
  <c r="AK536" i="13" s="1"/>
  <c r="AL535" i="13"/>
  <c r="AK535" i="13" s="1"/>
  <c r="AL534" i="13"/>
  <c r="AK534" i="13" s="1"/>
  <c r="AL533" i="13"/>
  <c r="AK533" i="13" s="1"/>
  <c r="AL532" i="13"/>
  <c r="AK532" i="13" s="1"/>
  <c r="AL531" i="13"/>
  <c r="AK531" i="13" s="1"/>
  <c r="AL530" i="13"/>
  <c r="AK530" i="13" s="1"/>
  <c r="AD530" i="13" s="1"/>
  <c r="AL529" i="13"/>
  <c r="AK529" i="13" s="1"/>
  <c r="AL528" i="13"/>
  <c r="AK528" i="13" s="1"/>
  <c r="AL527" i="13"/>
  <c r="AK527" i="13" s="1"/>
  <c r="AL526" i="13"/>
  <c r="AK526" i="13" s="1"/>
  <c r="AL525" i="13"/>
  <c r="AK525" i="13" s="1"/>
  <c r="AL524" i="13"/>
  <c r="AK524" i="13" s="1"/>
  <c r="AL523" i="13"/>
  <c r="AK523" i="13" s="1"/>
  <c r="AL522" i="13"/>
  <c r="AK522" i="13" s="1"/>
  <c r="AD522" i="13" s="1"/>
  <c r="AL521" i="13"/>
  <c r="AK521" i="13" s="1"/>
  <c r="AL520" i="13"/>
  <c r="AK520" i="13" s="1"/>
  <c r="AL519" i="13"/>
  <c r="AK519" i="13" s="1"/>
  <c r="AL518" i="13"/>
  <c r="AK518" i="13" s="1"/>
  <c r="AL517" i="13"/>
  <c r="AK517" i="13" s="1"/>
  <c r="AL516" i="13"/>
  <c r="AK516" i="13" s="1"/>
  <c r="AL515" i="13"/>
  <c r="AK515" i="13" s="1"/>
  <c r="AL514" i="13"/>
  <c r="AK514" i="13" s="1"/>
  <c r="AD514" i="13" s="1"/>
  <c r="AL513" i="13"/>
  <c r="AK513" i="13" s="1"/>
  <c r="AL498" i="13"/>
  <c r="AK498" i="13" s="1"/>
  <c r="AL497" i="13"/>
  <c r="AK497" i="13" s="1"/>
  <c r="AL496" i="13"/>
  <c r="AK496" i="13" s="1"/>
  <c r="AL495" i="13"/>
  <c r="AK495" i="13" s="1"/>
  <c r="AL494" i="13"/>
  <c r="AK494" i="13" s="1"/>
  <c r="AL493" i="13"/>
  <c r="AK493" i="13" s="1"/>
  <c r="AL492" i="13"/>
  <c r="AK492" i="13" s="1"/>
  <c r="AL491" i="13"/>
  <c r="AK491" i="13" s="1"/>
  <c r="AL490" i="13"/>
  <c r="AK490" i="13" s="1"/>
  <c r="AL489" i="13"/>
  <c r="AK489" i="13" s="1"/>
  <c r="AL488" i="13"/>
  <c r="AK488" i="13" s="1"/>
  <c r="AL487" i="13"/>
  <c r="AK487" i="13" s="1"/>
  <c r="AL486" i="13"/>
  <c r="AK486" i="13" s="1"/>
  <c r="AL485" i="13"/>
  <c r="AK485" i="13" s="1"/>
  <c r="AL484" i="13"/>
  <c r="AK484" i="13" s="1"/>
  <c r="AL483" i="13"/>
  <c r="AK483" i="13" s="1"/>
  <c r="AL482" i="13"/>
  <c r="AK482" i="13" s="1"/>
  <c r="AL481" i="13"/>
  <c r="AK481" i="13" s="1"/>
  <c r="AL480" i="13"/>
  <c r="AK480" i="13" s="1"/>
  <c r="AL479" i="13"/>
  <c r="AK479" i="13" s="1"/>
  <c r="AL478" i="13"/>
  <c r="AK478" i="13" s="1"/>
  <c r="AL477" i="13"/>
  <c r="AK477" i="13" s="1"/>
  <c r="AL476" i="13"/>
  <c r="AK476" i="13" s="1"/>
  <c r="AL475" i="13"/>
  <c r="AK475" i="13" s="1"/>
  <c r="AL474" i="13"/>
  <c r="AK474" i="13" s="1"/>
  <c r="AL473" i="13"/>
  <c r="AK473" i="13" s="1"/>
  <c r="AL472" i="13"/>
  <c r="AK472" i="13" s="1"/>
  <c r="AL471" i="13"/>
  <c r="AK471" i="13" s="1"/>
  <c r="AL470" i="13"/>
  <c r="AK470" i="13" s="1"/>
  <c r="AL469" i="13"/>
  <c r="AK469" i="13" s="1"/>
  <c r="AL468" i="13"/>
  <c r="AK468" i="13" s="1"/>
  <c r="AL467" i="13"/>
  <c r="AK467" i="13" s="1"/>
  <c r="AL452" i="13"/>
  <c r="AK452" i="13" s="1"/>
  <c r="AL451" i="13"/>
  <c r="AK451" i="13" s="1"/>
  <c r="AD451" i="13" s="1"/>
  <c r="AL450" i="13"/>
  <c r="AK450" i="13" s="1"/>
  <c r="AD450" i="13" s="1"/>
  <c r="AL449" i="13"/>
  <c r="AK449" i="13" s="1"/>
  <c r="AL448" i="13"/>
  <c r="AK448" i="13" s="1"/>
  <c r="AL447" i="13"/>
  <c r="AK447" i="13" s="1"/>
  <c r="AL446" i="13"/>
  <c r="AK446" i="13" s="1"/>
  <c r="AL445" i="13"/>
  <c r="AK445" i="13" s="1"/>
  <c r="AL444" i="13"/>
  <c r="AK444" i="13" s="1"/>
  <c r="AL443" i="13"/>
  <c r="AK443" i="13" s="1"/>
  <c r="AD443" i="13" s="1"/>
  <c r="AL442" i="13"/>
  <c r="AK442" i="13" s="1"/>
  <c r="AD442" i="13" s="1"/>
  <c r="AL441" i="13"/>
  <c r="AK441" i="13" s="1"/>
  <c r="AL440" i="13"/>
  <c r="AK440" i="13" s="1"/>
  <c r="AL439" i="13"/>
  <c r="AK439" i="13" s="1"/>
  <c r="AL438" i="13"/>
  <c r="AK438" i="13" s="1"/>
  <c r="AL437" i="13"/>
  <c r="AK437" i="13" s="1"/>
  <c r="AL436" i="13"/>
  <c r="AK436" i="13" s="1"/>
  <c r="AL435" i="13"/>
  <c r="AK435" i="13" s="1"/>
  <c r="AD435" i="13" s="1"/>
  <c r="AL434" i="13"/>
  <c r="AK434" i="13" s="1"/>
  <c r="AD434" i="13" s="1"/>
  <c r="AL433" i="13"/>
  <c r="AK433" i="13" s="1"/>
  <c r="AL432" i="13"/>
  <c r="AK432" i="13" s="1"/>
  <c r="AL431" i="13"/>
  <c r="AK431" i="13" s="1"/>
  <c r="AL430" i="13"/>
  <c r="AK430" i="13" s="1"/>
  <c r="AL429" i="13"/>
  <c r="AK429" i="13" s="1"/>
  <c r="AL428" i="13"/>
  <c r="AK428" i="13" s="1"/>
  <c r="AL427" i="13"/>
  <c r="AK427" i="13" s="1"/>
  <c r="AD427" i="13" s="1"/>
  <c r="AL426" i="13"/>
  <c r="AK426" i="13" s="1"/>
  <c r="AD426" i="13" s="1"/>
  <c r="AL425" i="13"/>
  <c r="AK425" i="13" s="1"/>
  <c r="AL424" i="13"/>
  <c r="AK424" i="13" s="1"/>
  <c r="AL423" i="13"/>
  <c r="AK423" i="13" s="1"/>
  <c r="AL422" i="13"/>
  <c r="AK422" i="13" s="1"/>
  <c r="AL421" i="13"/>
  <c r="AK421" i="13" s="1"/>
  <c r="AL406" i="13"/>
  <c r="AK406" i="13" s="1"/>
  <c r="AL405" i="13"/>
  <c r="AK405" i="13" s="1"/>
  <c r="AL404" i="13"/>
  <c r="AK404" i="13" s="1"/>
  <c r="AL403" i="13"/>
  <c r="AK403" i="13" s="1"/>
  <c r="AD403" i="13" s="1"/>
  <c r="AL402" i="13"/>
  <c r="AK402" i="13" s="1"/>
  <c r="AL401" i="13"/>
  <c r="AK401" i="13" s="1"/>
  <c r="AL400" i="13"/>
  <c r="AK400" i="13" s="1"/>
  <c r="AL399" i="13"/>
  <c r="AK399" i="13" s="1"/>
  <c r="AL398" i="13"/>
  <c r="AK398" i="13" s="1"/>
  <c r="AL397" i="13"/>
  <c r="AK397" i="13" s="1"/>
  <c r="AL396" i="13"/>
  <c r="AK396" i="13" s="1"/>
  <c r="AL395" i="13"/>
  <c r="AK395" i="13" s="1"/>
  <c r="AD395" i="13" s="1"/>
  <c r="AL394" i="13"/>
  <c r="AK394" i="13" s="1"/>
  <c r="AL393" i="13"/>
  <c r="AK393" i="13" s="1"/>
  <c r="AL392" i="13"/>
  <c r="AK392" i="13" s="1"/>
  <c r="AL391" i="13"/>
  <c r="AK391" i="13" s="1"/>
  <c r="AL390" i="13"/>
  <c r="AK390" i="13" s="1"/>
  <c r="AL389" i="13"/>
  <c r="AK389" i="13" s="1"/>
  <c r="AL388" i="13"/>
  <c r="AK388" i="13" s="1"/>
  <c r="AL387" i="13"/>
  <c r="AK387" i="13" s="1"/>
  <c r="AD387" i="13" s="1"/>
  <c r="AL386" i="13"/>
  <c r="AK386" i="13" s="1"/>
  <c r="AL385" i="13"/>
  <c r="AK385" i="13" s="1"/>
  <c r="AL384" i="13"/>
  <c r="AK384" i="13" s="1"/>
  <c r="AL383" i="13"/>
  <c r="AK383" i="13" s="1"/>
  <c r="AL382" i="13"/>
  <c r="AK382" i="13" s="1"/>
  <c r="AL381" i="13"/>
  <c r="AK381" i="13" s="1"/>
  <c r="AL380" i="13"/>
  <c r="AK380" i="13" s="1"/>
  <c r="AL379" i="13"/>
  <c r="AK379" i="13" s="1"/>
  <c r="AD379" i="13" s="1"/>
  <c r="AL378" i="13"/>
  <c r="AK378" i="13" s="1"/>
  <c r="AL377" i="13"/>
  <c r="AK377" i="13" s="1"/>
  <c r="AL376" i="13"/>
  <c r="AK376" i="13" s="1"/>
  <c r="AL375" i="13"/>
  <c r="AK375" i="13" s="1"/>
  <c r="AL360" i="13"/>
  <c r="AK360" i="13" s="1"/>
  <c r="AL359" i="13"/>
  <c r="AK359" i="13" s="1"/>
  <c r="AL358" i="13"/>
  <c r="AK358" i="13" s="1"/>
  <c r="AL357" i="13"/>
  <c r="AK357" i="13" s="1"/>
  <c r="AL356" i="13"/>
  <c r="AK356" i="13" s="1"/>
  <c r="AL355" i="13"/>
  <c r="AK355" i="13" s="1"/>
  <c r="AL354" i="13"/>
  <c r="AK354" i="13" s="1"/>
  <c r="AD354" i="13" s="1"/>
  <c r="AL353" i="13"/>
  <c r="AK353" i="13" s="1"/>
  <c r="AL352" i="13"/>
  <c r="AK352" i="13" s="1"/>
  <c r="AL351" i="13"/>
  <c r="AK351" i="13" s="1"/>
  <c r="AL350" i="13"/>
  <c r="AK350" i="13" s="1"/>
  <c r="AL349" i="13"/>
  <c r="AK349" i="13" s="1"/>
  <c r="AL348" i="13"/>
  <c r="AK348" i="13" s="1"/>
  <c r="AL347" i="13"/>
  <c r="AK347" i="13" s="1"/>
  <c r="AL346" i="13"/>
  <c r="AK346" i="13" s="1"/>
  <c r="AD346" i="13" s="1"/>
  <c r="AL345" i="13"/>
  <c r="AK345" i="13" s="1"/>
  <c r="AL344" i="13"/>
  <c r="AK344" i="13" s="1"/>
  <c r="AL343" i="13"/>
  <c r="AK343" i="13" s="1"/>
  <c r="AL342" i="13"/>
  <c r="AK342" i="13" s="1"/>
  <c r="AL341" i="13"/>
  <c r="AK341" i="13" s="1"/>
  <c r="AL340" i="13"/>
  <c r="AK340" i="13" s="1"/>
  <c r="AL339" i="13"/>
  <c r="AK339" i="13" s="1"/>
  <c r="AL338" i="13"/>
  <c r="AK338" i="13" s="1"/>
  <c r="AD338" i="13" s="1"/>
  <c r="AL337" i="13"/>
  <c r="AK337" i="13" s="1"/>
  <c r="AL336" i="13"/>
  <c r="AK336" i="13" s="1"/>
  <c r="AL335" i="13"/>
  <c r="AK335" i="13" s="1"/>
  <c r="AL334" i="13"/>
  <c r="AK334" i="13" s="1"/>
  <c r="AL333" i="13"/>
  <c r="AK333" i="13" s="1"/>
  <c r="AL332" i="13"/>
  <c r="AK332" i="13" s="1"/>
  <c r="AL331" i="13"/>
  <c r="AK331" i="13" s="1"/>
  <c r="AL330" i="13"/>
  <c r="AK330" i="13" s="1"/>
  <c r="AD330" i="13" s="1"/>
  <c r="AL329" i="13"/>
  <c r="AK329" i="13" s="1"/>
  <c r="AL314" i="13"/>
  <c r="AK314" i="13" s="1"/>
  <c r="AL313" i="13"/>
  <c r="AK313" i="13" s="1"/>
  <c r="AL312" i="13"/>
  <c r="AK312" i="13" s="1"/>
  <c r="AL311" i="13"/>
  <c r="AK311" i="13" s="1"/>
  <c r="AL310" i="13"/>
  <c r="AK310" i="13" s="1"/>
  <c r="AL309" i="13"/>
  <c r="AK309" i="13" s="1"/>
  <c r="AL308" i="13"/>
  <c r="AK308" i="13" s="1"/>
  <c r="AL307" i="13"/>
  <c r="AK307" i="13" s="1"/>
  <c r="AL306" i="13"/>
  <c r="AK306" i="13" s="1"/>
  <c r="AL305" i="13"/>
  <c r="AK305" i="13" s="1"/>
  <c r="AL304" i="13"/>
  <c r="AK304" i="13" s="1"/>
  <c r="AL303" i="13"/>
  <c r="AK303" i="13" s="1"/>
  <c r="AL302" i="13"/>
  <c r="AK302" i="13" s="1"/>
  <c r="AL301" i="13"/>
  <c r="AK301" i="13" s="1"/>
  <c r="AL300" i="13"/>
  <c r="AK300" i="13" s="1"/>
  <c r="AL299" i="13"/>
  <c r="AK299" i="13" s="1"/>
  <c r="AL298" i="13"/>
  <c r="AK298" i="13" s="1"/>
  <c r="AL297" i="13"/>
  <c r="AK297" i="13" s="1"/>
  <c r="AL296" i="13"/>
  <c r="AK296" i="13" s="1"/>
  <c r="AL295" i="13"/>
  <c r="AK295" i="13" s="1"/>
  <c r="AL294" i="13"/>
  <c r="AK294" i="13" s="1"/>
  <c r="AL293" i="13"/>
  <c r="AK293" i="13" s="1"/>
  <c r="AL292" i="13"/>
  <c r="AK292" i="13" s="1"/>
  <c r="AL291" i="13"/>
  <c r="AK291" i="13" s="1"/>
  <c r="AL290" i="13"/>
  <c r="AK290" i="13" s="1"/>
  <c r="AL289" i="13"/>
  <c r="AK289" i="13" s="1"/>
  <c r="AL288" i="13"/>
  <c r="AK288" i="13" s="1"/>
  <c r="AL287" i="13"/>
  <c r="AK287" i="13" s="1"/>
  <c r="AL286" i="13"/>
  <c r="AK286" i="13" s="1"/>
  <c r="AL285" i="13"/>
  <c r="AK285" i="13" s="1"/>
  <c r="AL284" i="13"/>
  <c r="AK284" i="13" s="1"/>
  <c r="AL283" i="13"/>
  <c r="AK283" i="13" s="1"/>
  <c r="AL268" i="13"/>
  <c r="AK268" i="13" s="1"/>
  <c r="AL267" i="13"/>
  <c r="AK267" i="13" s="1"/>
  <c r="AD267" i="13" s="1"/>
  <c r="AL266" i="13"/>
  <c r="AK266" i="13" s="1"/>
  <c r="AD266" i="13" s="1"/>
  <c r="AL265" i="13"/>
  <c r="AK265" i="13" s="1"/>
  <c r="AL264" i="13"/>
  <c r="AK264" i="13" s="1"/>
  <c r="AL263" i="13"/>
  <c r="AK263" i="13" s="1"/>
  <c r="AL262" i="13"/>
  <c r="AK262" i="13" s="1"/>
  <c r="AL261" i="13"/>
  <c r="AK261" i="13" s="1"/>
  <c r="AL260" i="13"/>
  <c r="AK260" i="13" s="1"/>
  <c r="AL259" i="13"/>
  <c r="AK259" i="13" s="1"/>
  <c r="AD259" i="13" s="1"/>
  <c r="AL258" i="13"/>
  <c r="AK258" i="13" s="1"/>
  <c r="AD258" i="13" s="1"/>
  <c r="AL257" i="13"/>
  <c r="AK257" i="13" s="1"/>
  <c r="AL256" i="13"/>
  <c r="AK256" i="13" s="1"/>
  <c r="AL255" i="13"/>
  <c r="AK255" i="13" s="1"/>
  <c r="AL254" i="13"/>
  <c r="AK254" i="13" s="1"/>
  <c r="AL253" i="13"/>
  <c r="AK253" i="13" s="1"/>
  <c r="AL252" i="13"/>
  <c r="AK252" i="13" s="1"/>
  <c r="AL251" i="13"/>
  <c r="AK251" i="13" s="1"/>
  <c r="AD251" i="13" s="1"/>
  <c r="AL250" i="13"/>
  <c r="AK250" i="13" s="1"/>
  <c r="AD250" i="13" s="1"/>
  <c r="AL249" i="13"/>
  <c r="AK249" i="13" s="1"/>
  <c r="AL248" i="13"/>
  <c r="AK248" i="13" s="1"/>
  <c r="AL247" i="13"/>
  <c r="AK247" i="13" s="1"/>
  <c r="AL246" i="13"/>
  <c r="AK246" i="13" s="1"/>
  <c r="AL245" i="13"/>
  <c r="AK245" i="13" s="1"/>
  <c r="AL244" i="13"/>
  <c r="AK244" i="13" s="1"/>
  <c r="AL243" i="13"/>
  <c r="AK243" i="13" s="1"/>
  <c r="AD243" i="13" s="1"/>
  <c r="AL242" i="13"/>
  <c r="AK242" i="13" s="1"/>
  <c r="AD242" i="13" s="1"/>
  <c r="AL241" i="13"/>
  <c r="AK241" i="13" s="1"/>
  <c r="AL240" i="13"/>
  <c r="AK240" i="13" s="1"/>
  <c r="AL239" i="13"/>
  <c r="AK239" i="13" s="1"/>
  <c r="AL238" i="13"/>
  <c r="AK238" i="13" s="1"/>
  <c r="AL237" i="13"/>
  <c r="AK237" i="13" s="1"/>
  <c r="AL222" i="13"/>
  <c r="AK222" i="13" s="1"/>
  <c r="AL221" i="13"/>
  <c r="AK221" i="13" s="1"/>
  <c r="AL220" i="13"/>
  <c r="AK220" i="13" s="1"/>
  <c r="AL219" i="13"/>
  <c r="AK219" i="13" s="1"/>
  <c r="AD219" i="13" s="1"/>
  <c r="AL218" i="13"/>
  <c r="AK218" i="13" s="1"/>
  <c r="AL217" i="13"/>
  <c r="AK217" i="13" s="1"/>
  <c r="AL216" i="13"/>
  <c r="AK216" i="13" s="1"/>
  <c r="AL215" i="13"/>
  <c r="AK215" i="13" s="1"/>
  <c r="AL214" i="13"/>
  <c r="AK214" i="13" s="1"/>
  <c r="AL213" i="13"/>
  <c r="AK213" i="13" s="1"/>
  <c r="AL212" i="13"/>
  <c r="AK212" i="13" s="1"/>
  <c r="AL211" i="13"/>
  <c r="AK211" i="13" s="1"/>
  <c r="AD211" i="13" s="1"/>
  <c r="AL210" i="13"/>
  <c r="AK210" i="13" s="1"/>
  <c r="AL209" i="13"/>
  <c r="AK209" i="13" s="1"/>
  <c r="AL208" i="13"/>
  <c r="AK208" i="13" s="1"/>
  <c r="AL207" i="13"/>
  <c r="AK207" i="13" s="1"/>
  <c r="AL206" i="13"/>
  <c r="AK206" i="13" s="1"/>
  <c r="AL205" i="13"/>
  <c r="AK205" i="13" s="1"/>
  <c r="AL204" i="13"/>
  <c r="AK204" i="13" s="1"/>
  <c r="AL203" i="13"/>
  <c r="AK203" i="13" s="1"/>
  <c r="AD203" i="13" s="1"/>
  <c r="AL202" i="13"/>
  <c r="AK202" i="13" s="1"/>
  <c r="AL201" i="13"/>
  <c r="AK201" i="13" s="1"/>
  <c r="AL200" i="13"/>
  <c r="AK200" i="13" s="1"/>
  <c r="AL199" i="13"/>
  <c r="AK199" i="13" s="1"/>
  <c r="AL198" i="13"/>
  <c r="AK198" i="13" s="1"/>
  <c r="AL197" i="13"/>
  <c r="AK197" i="13" s="1"/>
  <c r="AL196" i="13"/>
  <c r="AK196" i="13" s="1"/>
  <c r="AL195" i="13"/>
  <c r="AK195" i="13" s="1"/>
  <c r="AD195" i="13" s="1"/>
  <c r="AL194" i="13"/>
  <c r="AK194" i="13" s="1"/>
  <c r="AL193" i="13"/>
  <c r="AK193" i="13" s="1"/>
  <c r="AL192" i="13"/>
  <c r="AK192" i="13" s="1"/>
  <c r="AL191" i="13"/>
  <c r="AK191" i="13" s="1"/>
  <c r="AL176" i="13"/>
  <c r="AK176" i="13" s="1"/>
  <c r="AL175" i="13"/>
  <c r="AK175" i="13" s="1"/>
  <c r="AL174" i="13"/>
  <c r="AK174" i="13" s="1"/>
  <c r="AL173" i="13"/>
  <c r="AK173" i="13" s="1"/>
  <c r="AL172" i="13"/>
  <c r="AK172" i="13" s="1"/>
  <c r="AL171" i="13"/>
  <c r="AK171" i="13" s="1"/>
  <c r="AL170" i="13"/>
  <c r="AK170" i="13" s="1"/>
  <c r="AD170" i="13" s="1"/>
  <c r="AL169" i="13"/>
  <c r="AK169" i="13" s="1"/>
  <c r="AL168" i="13"/>
  <c r="AK168" i="13" s="1"/>
  <c r="AL167" i="13"/>
  <c r="AK167" i="13" s="1"/>
  <c r="AL166" i="13"/>
  <c r="AK166" i="13" s="1"/>
  <c r="AL165" i="13"/>
  <c r="AK165" i="13" s="1"/>
  <c r="AL164" i="13"/>
  <c r="AK164" i="13" s="1"/>
  <c r="AL163" i="13"/>
  <c r="AK163" i="13" s="1"/>
  <c r="AL162" i="13"/>
  <c r="AK162" i="13" s="1"/>
  <c r="AD162" i="13" s="1"/>
  <c r="AL161" i="13"/>
  <c r="AK161" i="13" s="1"/>
  <c r="AL160" i="13"/>
  <c r="AK160" i="13" s="1"/>
  <c r="AL159" i="13"/>
  <c r="AK159" i="13" s="1"/>
  <c r="AL158" i="13"/>
  <c r="AK158" i="13" s="1"/>
  <c r="AL157" i="13"/>
  <c r="AK157" i="13" s="1"/>
  <c r="AL156" i="13"/>
  <c r="AK156" i="13" s="1"/>
  <c r="AL155" i="13"/>
  <c r="AK155" i="13" s="1"/>
  <c r="AL154" i="13"/>
  <c r="AK154" i="13" s="1"/>
  <c r="AD154" i="13" s="1"/>
  <c r="AL153" i="13"/>
  <c r="AK153" i="13" s="1"/>
  <c r="AL152" i="13"/>
  <c r="AK152" i="13" s="1"/>
  <c r="AL151" i="13"/>
  <c r="AK151" i="13" s="1"/>
  <c r="AL150" i="13"/>
  <c r="AK150" i="13" s="1"/>
  <c r="AL149" i="13"/>
  <c r="AK149" i="13" s="1"/>
  <c r="AL148" i="13"/>
  <c r="AK148" i="13" s="1"/>
  <c r="AL147" i="13"/>
  <c r="AK147" i="13" s="1"/>
  <c r="AL146" i="13"/>
  <c r="AK146" i="13" s="1"/>
  <c r="AD146" i="13" s="1"/>
  <c r="AL145" i="13"/>
  <c r="AK145" i="13" s="1"/>
  <c r="AL130" i="13"/>
  <c r="AK130" i="13" s="1"/>
  <c r="AL129" i="13"/>
  <c r="AK129" i="13" s="1"/>
  <c r="AL128" i="13"/>
  <c r="AK128" i="13" s="1"/>
  <c r="AL127" i="13"/>
  <c r="AK127" i="13" s="1"/>
  <c r="AL126" i="13"/>
  <c r="AK126" i="13" s="1"/>
  <c r="AL125" i="13"/>
  <c r="AK125" i="13" s="1"/>
  <c r="AL124" i="13"/>
  <c r="AK124" i="13" s="1"/>
  <c r="AL123" i="13"/>
  <c r="AK123" i="13" s="1"/>
  <c r="AL122" i="13"/>
  <c r="AK122" i="13" s="1"/>
  <c r="AL121" i="13"/>
  <c r="AK121" i="13" s="1"/>
  <c r="AL120" i="13"/>
  <c r="AK120" i="13" s="1"/>
  <c r="AL119" i="13"/>
  <c r="AK119" i="13" s="1"/>
  <c r="AL118" i="13"/>
  <c r="AK118" i="13" s="1"/>
  <c r="AL117" i="13"/>
  <c r="AK117" i="13" s="1"/>
  <c r="AL116" i="13"/>
  <c r="AK116" i="13" s="1"/>
  <c r="AL115" i="13"/>
  <c r="AK115" i="13" s="1"/>
  <c r="AL114" i="13"/>
  <c r="AK114" i="13" s="1"/>
  <c r="AL113" i="13"/>
  <c r="AK113" i="13" s="1"/>
  <c r="AL112" i="13"/>
  <c r="AK112" i="13" s="1"/>
  <c r="AL111" i="13"/>
  <c r="AK111" i="13" s="1"/>
  <c r="AL110" i="13"/>
  <c r="AK110" i="13" s="1"/>
  <c r="AL109" i="13"/>
  <c r="AK109" i="13" s="1"/>
  <c r="AL108" i="13"/>
  <c r="AK108" i="13" s="1"/>
  <c r="AL107" i="13"/>
  <c r="AK107" i="13" s="1"/>
  <c r="AL106" i="13"/>
  <c r="AK106" i="13" s="1"/>
  <c r="AL105" i="13"/>
  <c r="AK105" i="13" s="1"/>
  <c r="AL104" i="13"/>
  <c r="AK104" i="13" s="1"/>
  <c r="AL103" i="13"/>
  <c r="AK103" i="13" s="1"/>
  <c r="AL102" i="13"/>
  <c r="AK102" i="13" s="1"/>
  <c r="AL101" i="13"/>
  <c r="AK101" i="13" s="1"/>
  <c r="AL100" i="13"/>
  <c r="AK100" i="13" s="1"/>
  <c r="AL99" i="13"/>
  <c r="AK99" i="13" s="1"/>
  <c r="AL78" i="13"/>
  <c r="AK78" i="13" s="1"/>
  <c r="AL79" i="13"/>
  <c r="AK79" i="13" s="1"/>
  <c r="AL80" i="13"/>
  <c r="AK80" i="13" s="1"/>
  <c r="AL81" i="13"/>
  <c r="AK81" i="13" s="1"/>
  <c r="AL82" i="13"/>
  <c r="AK82" i="13" s="1"/>
  <c r="AL83" i="13"/>
  <c r="AK83" i="13" s="1"/>
  <c r="AL84" i="13"/>
  <c r="AK84" i="13" s="1"/>
  <c r="AL77" i="13"/>
  <c r="AK77" i="13" s="1"/>
  <c r="AL76" i="13"/>
  <c r="AK76" i="13" s="1"/>
  <c r="AL75" i="13"/>
  <c r="AK75" i="13" s="1"/>
  <c r="AD75" i="13" s="1"/>
  <c r="AL74" i="13"/>
  <c r="AK74" i="13" s="1"/>
  <c r="AD74" i="13" s="1"/>
  <c r="AL73" i="13"/>
  <c r="AK73" i="13" s="1"/>
  <c r="AL72" i="13"/>
  <c r="AK72" i="13" s="1"/>
  <c r="AL71" i="13"/>
  <c r="AK71" i="13" s="1"/>
  <c r="AL70" i="13"/>
  <c r="AK70" i="13" s="1"/>
  <c r="AL69" i="13"/>
  <c r="AK69" i="13" s="1"/>
  <c r="AL68" i="13"/>
  <c r="AK68" i="13" s="1"/>
  <c r="AL67" i="13"/>
  <c r="AK67" i="13" s="1"/>
  <c r="AD67" i="13" s="1"/>
  <c r="AL66" i="13"/>
  <c r="AK66" i="13" s="1"/>
  <c r="AD66" i="13" s="1"/>
  <c r="AL65" i="13"/>
  <c r="AK65" i="13" s="1"/>
  <c r="AL64" i="13"/>
  <c r="AK64" i="13" s="1"/>
  <c r="AL63" i="13"/>
  <c r="AK63" i="13" s="1"/>
  <c r="AL62" i="13"/>
  <c r="AK62" i="13" s="1"/>
  <c r="AL61" i="13"/>
  <c r="AK61" i="13" s="1"/>
  <c r="AL60" i="13"/>
  <c r="AK60" i="13" s="1"/>
  <c r="AL59" i="13"/>
  <c r="AK59" i="13" s="1"/>
  <c r="AD59" i="13" s="1"/>
  <c r="AL58" i="13"/>
  <c r="AK58" i="13" s="1"/>
  <c r="AD58" i="13" s="1"/>
  <c r="AL57" i="13"/>
  <c r="AK57" i="13" s="1"/>
  <c r="AL56" i="13"/>
  <c r="AK56" i="13" s="1"/>
  <c r="AL55" i="13"/>
  <c r="AK55" i="13" s="1"/>
  <c r="AL54" i="13"/>
  <c r="AK54" i="13" s="1"/>
  <c r="AL53" i="13"/>
  <c r="AK53" i="13" s="1"/>
  <c r="AL35" i="13"/>
  <c r="AK35" i="13" s="1"/>
  <c r="AL12" i="13"/>
  <c r="AK12" i="13" s="1"/>
  <c r="AD12" i="13" s="1"/>
  <c r="AL13" i="13"/>
  <c r="AK13" i="13" s="1"/>
  <c r="AD13" i="13" s="1"/>
  <c r="AL14" i="13"/>
  <c r="AK14" i="13" s="1"/>
  <c r="AD14" i="13" s="1"/>
  <c r="AL15" i="13"/>
  <c r="AK15" i="13" s="1"/>
  <c r="AD15" i="13" s="1"/>
  <c r="AL16" i="13"/>
  <c r="AK16" i="13" s="1"/>
  <c r="AD16" i="13" s="1"/>
  <c r="AL17" i="13"/>
  <c r="AK17" i="13" s="1"/>
  <c r="AD17" i="13" s="1"/>
  <c r="AL19" i="13"/>
  <c r="AK19" i="13" s="1"/>
  <c r="AD19" i="13" s="1"/>
  <c r="AL20" i="13"/>
  <c r="AK20" i="13" s="1"/>
  <c r="AD20" i="13" s="1"/>
  <c r="AL21" i="13"/>
  <c r="AK21" i="13" s="1"/>
  <c r="AD21" i="13" s="1"/>
  <c r="AL22" i="13"/>
  <c r="AK22" i="13" s="1"/>
  <c r="AD22" i="13" s="1"/>
  <c r="AL23" i="13"/>
  <c r="AK23" i="13" s="1"/>
  <c r="AL24" i="13"/>
  <c r="AK24" i="13" s="1"/>
  <c r="AD24" i="13" s="1"/>
  <c r="AL25" i="13"/>
  <c r="AK25" i="13" s="1"/>
  <c r="AD25" i="13" s="1"/>
  <c r="AL26" i="13"/>
  <c r="AK26" i="13" s="1"/>
  <c r="AD26" i="13" s="1"/>
  <c r="AL27" i="13"/>
  <c r="AK27" i="13" s="1"/>
  <c r="AD27" i="13" s="1"/>
  <c r="AL28" i="13"/>
  <c r="AK28" i="13" s="1"/>
  <c r="AD28" i="13" s="1"/>
  <c r="AL29" i="13"/>
  <c r="AK29" i="13" s="1"/>
  <c r="AD29" i="13" s="1"/>
  <c r="AL30" i="13"/>
  <c r="AK30" i="13" s="1"/>
  <c r="AD30" i="13" s="1"/>
  <c r="AL31" i="13"/>
  <c r="AK31" i="13" s="1"/>
  <c r="AD31" i="13" s="1"/>
  <c r="AL32" i="13"/>
  <c r="AK32" i="13" s="1"/>
  <c r="AD32" i="13" s="1"/>
  <c r="AL33" i="13"/>
  <c r="AK33" i="13" s="1"/>
  <c r="AD33" i="13" s="1"/>
  <c r="AL34" i="13"/>
  <c r="AK34" i="13" s="1"/>
  <c r="AD34" i="13" s="1"/>
  <c r="AL11" i="13"/>
  <c r="AK11" i="13" s="1"/>
  <c r="AD11" i="13" s="1"/>
  <c r="AM2" i="13"/>
  <c r="AI18" i="2"/>
  <c r="AI19" i="2"/>
  <c r="AI20" i="2"/>
  <c r="AI21" i="2"/>
  <c r="AI22" i="2"/>
  <c r="AI23" i="2"/>
  <c r="AI24" i="2"/>
  <c r="AI25" i="2"/>
  <c r="AI26" i="2"/>
  <c r="AI27" i="2"/>
  <c r="AI28" i="2"/>
  <c r="AL18" i="13"/>
  <c r="AK18" i="13" s="1"/>
  <c r="AD18" i="13" s="1"/>
  <c r="AI29" i="2"/>
  <c r="AI30" i="2"/>
  <c r="AI31" i="2"/>
  <c r="AI32" i="2"/>
  <c r="AI33" i="2"/>
  <c r="AI8" i="2"/>
  <c r="AI9" i="2"/>
  <c r="AI10" i="2"/>
  <c r="AI11" i="2"/>
  <c r="AI12" i="2"/>
  <c r="AI13" i="2"/>
  <c r="AI14" i="2"/>
  <c r="AI15" i="2"/>
  <c r="AI16" i="2"/>
  <c r="AI17" i="2"/>
  <c r="AG13" i="13"/>
  <c r="AG866" i="13"/>
  <c r="AG865" i="13"/>
  <c r="AG864" i="13"/>
  <c r="AG863" i="13"/>
  <c r="AG862" i="13"/>
  <c r="AG861" i="13"/>
  <c r="AG860" i="13"/>
  <c r="AG859" i="13"/>
  <c r="AG858" i="13"/>
  <c r="AG857" i="13"/>
  <c r="AG856" i="13"/>
  <c r="AG855" i="13"/>
  <c r="AG854" i="13"/>
  <c r="AG853" i="13"/>
  <c r="AG852" i="13"/>
  <c r="AG851" i="13"/>
  <c r="AG850" i="13"/>
  <c r="AG849" i="13"/>
  <c r="AG848" i="13"/>
  <c r="AG847" i="13"/>
  <c r="AG846" i="13"/>
  <c r="AG845" i="13"/>
  <c r="AG844" i="13"/>
  <c r="AG843" i="13"/>
  <c r="AG842" i="13"/>
  <c r="AG841" i="13"/>
  <c r="AG840" i="13"/>
  <c r="AG839" i="13"/>
  <c r="AG838" i="13"/>
  <c r="AG837" i="13"/>
  <c r="AG836" i="13"/>
  <c r="AG835" i="13"/>
  <c r="AG820" i="13"/>
  <c r="AG819" i="13"/>
  <c r="AG818" i="13"/>
  <c r="AG817" i="13"/>
  <c r="AG816" i="13"/>
  <c r="AG815" i="13"/>
  <c r="AG814" i="13"/>
  <c r="AG813" i="13"/>
  <c r="AG812" i="13"/>
  <c r="AG811" i="13"/>
  <c r="AG810" i="13"/>
  <c r="AG809" i="13"/>
  <c r="AG808" i="13"/>
  <c r="AG807" i="13"/>
  <c r="AG806" i="13"/>
  <c r="AG805" i="13"/>
  <c r="AG804" i="13"/>
  <c r="AG803" i="13"/>
  <c r="AG802" i="13"/>
  <c r="AG801" i="13"/>
  <c r="AG800" i="13"/>
  <c r="AG799" i="13"/>
  <c r="AG798" i="13"/>
  <c r="AG797" i="13"/>
  <c r="AG796" i="13"/>
  <c r="AG795" i="13"/>
  <c r="AG794" i="13"/>
  <c r="AG793" i="13"/>
  <c r="AG792" i="13"/>
  <c r="AG791" i="13"/>
  <c r="AG790" i="13"/>
  <c r="AG789" i="13"/>
  <c r="AG774" i="13"/>
  <c r="AG773" i="13"/>
  <c r="AG772" i="13"/>
  <c r="AG771" i="13"/>
  <c r="AG770" i="13"/>
  <c r="AG769" i="13"/>
  <c r="AG768" i="13"/>
  <c r="AG767" i="13"/>
  <c r="AG766" i="13"/>
  <c r="AG765" i="13"/>
  <c r="AG764" i="13"/>
  <c r="AG763" i="13"/>
  <c r="AG762" i="13"/>
  <c r="AG761" i="13"/>
  <c r="AG760" i="13"/>
  <c r="AG759" i="13"/>
  <c r="AG758" i="13"/>
  <c r="AG757" i="13"/>
  <c r="AG756" i="13"/>
  <c r="AG755" i="13"/>
  <c r="AG754" i="13"/>
  <c r="AG753" i="13"/>
  <c r="AG752" i="13"/>
  <c r="AG751" i="13"/>
  <c r="AG750" i="13"/>
  <c r="AG749" i="13"/>
  <c r="AG748" i="13"/>
  <c r="AG747" i="13"/>
  <c r="AG746" i="13"/>
  <c r="AG745" i="13"/>
  <c r="AG744" i="13"/>
  <c r="AG743" i="13"/>
  <c r="AG728" i="13"/>
  <c r="AG727" i="13"/>
  <c r="AG726" i="13"/>
  <c r="AG725" i="13"/>
  <c r="AG724" i="13"/>
  <c r="AG723" i="13"/>
  <c r="AG722" i="13"/>
  <c r="AG721" i="13"/>
  <c r="AG720" i="13"/>
  <c r="AG719" i="13"/>
  <c r="AG718" i="13"/>
  <c r="AG717" i="13"/>
  <c r="AG716" i="13"/>
  <c r="AG715" i="13"/>
  <c r="AG714" i="13"/>
  <c r="AG713" i="13"/>
  <c r="AG712" i="13"/>
  <c r="AG711" i="13"/>
  <c r="AG710" i="13"/>
  <c r="AG709" i="13"/>
  <c r="AG708" i="13"/>
  <c r="AG707" i="13"/>
  <c r="AG706" i="13"/>
  <c r="AG705" i="13"/>
  <c r="AG704" i="13"/>
  <c r="AG703" i="13"/>
  <c r="AG702" i="13"/>
  <c r="AG701" i="13"/>
  <c r="AG700" i="13"/>
  <c r="AG699" i="13"/>
  <c r="AG698" i="13"/>
  <c r="AG697" i="13"/>
  <c r="AG682" i="13"/>
  <c r="AG681" i="13"/>
  <c r="AG680" i="13"/>
  <c r="AG679" i="13"/>
  <c r="AG678" i="13"/>
  <c r="AG677" i="13"/>
  <c r="AG676" i="13"/>
  <c r="AG675" i="13"/>
  <c r="AG674" i="13"/>
  <c r="AG673" i="13"/>
  <c r="AG672" i="13"/>
  <c r="AG671" i="13"/>
  <c r="AG670" i="13"/>
  <c r="AG669" i="13"/>
  <c r="AG668" i="13"/>
  <c r="AG667" i="13"/>
  <c r="AG666" i="13"/>
  <c r="AG665" i="13"/>
  <c r="AG664" i="13"/>
  <c r="AG663" i="13"/>
  <c r="AG662" i="13"/>
  <c r="AG661" i="13"/>
  <c r="AG660" i="13"/>
  <c r="AG659" i="13"/>
  <c r="AG658" i="13"/>
  <c r="AG657" i="13"/>
  <c r="AG656" i="13"/>
  <c r="AG655" i="13"/>
  <c r="AG654" i="13"/>
  <c r="AG653" i="13"/>
  <c r="AG652" i="13"/>
  <c r="AG651" i="13"/>
  <c r="AG636" i="13"/>
  <c r="AG635" i="13"/>
  <c r="AG634" i="13"/>
  <c r="AG633" i="13"/>
  <c r="AG632" i="13"/>
  <c r="AG631" i="13"/>
  <c r="AG630" i="13"/>
  <c r="AG629" i="13"/>
  <c r="AG628" i="13"/>
  <c r="AG627" i="13"/>
  <c r="AG626" i="13"/>
  <c r="AG625" i="13"/>
  <c r="AG624" i="13"/>
  <c r="AG623" i="13"/>
  <c r="AG622" i="13"/>
  <c r="AG621" i="13"/>
  <c r="AG620" i="13"/>
  <c r="AG619" i="13"/>
  <c r="AG618" i="13"/>
  <c r="AG617" i="13"/>
  <c r="AG616" i="13"/>
  <c r="AG615" i="13"/>
  <c r="AG614" i="13"/>
  <c r="AG613" i="13"/>
  <c r="AG612" i="13"/>
  <c r="AG611" i="13"/>
  <c r="AG610" i="13"/>
  <c r="AG609" i="13"/>
  <c r="AG608" i="13"/>
  <c r="AG607" i="13"/>
  <c r="AG606" i="13"/>
  <c r="AG605" i="13"/>
  <c r="AG590" i="13"/>
  <c r="AG589" i="13"/>
  <c r="AG588" i="13"/>
  <c r="AG587" i="13"/>
  <c r="AG586" i="13"/>
  <c r="AG585" i="13"/>
  <c r="AG584" i="13"/>
  <c r="AG583" i="13"/>
  <c r="AG582" i="13"/>
  <c r="AG581" i="13"/>
  <c r="AG580" i="13"/>
  <c r="AG579" i="13"/>
  <c r="AG578" i="13"/>
  <c r="AG577" i="13"/>
  <c r="AG576" i="13"/>
  <c r="AG575" i="13"/>
  <c r="AG574" i="13"/>
  <c r="AG573" i="13"/>
  <c r="AG572" i="13"/>
  <c r="AG571" i="13"/>
  <c r="AG570" i="13"/>
  <c r="AG569" i="13"/>
  <c r="AG568" i="13"/>
  <c r="AG567" i="13"/>
  <c r="AG566" i="13"/>
  <c r="AG565" i="13"/>
  <c r="AG564" i="13"/>
  <c r="AG563" i="13"/>
  <c r="AG562" i="13"/>
  <c r="AG561" i="13"/>
  <c r="AG560" i="13"/>
  <c r="AG559" i="13"/>
  <c r="AG544" i="13"/>
  <c r="AG543" i="13"/>
  <c r="AG542" i="13"/>
  <c r="AG541" i="13"/>
  <c r="AG540" i="13"/>
  <c r="AG539" i="13"/>
  <c r="AG538" i="13"/>
  <c r="AG537" i="13"/>
  <c r="AG536" i="13"/>
  <c r="AG535" i="13"/>
  <c r="AG534" i="13"/>
  <c r="AG533" i="13"/>
  <c r="AG532" i="13"/>
  <c r="AG531" i="13"/>
  <c r="AG530" i="13"/>
  <c r="AG529" i="13"/>
  <c r="AG528" i="13"/>
  <c r="AG527" i="13"/>
  <c r="AG526" i="13"/>
  <c r="AG525" i="13"/>
  <c r="AG524" i="13"/>
  <c r="AG523" i="13"/>
  <c r="AG522" i="13"/>
  <c r="AG521" i="13"/>
  <c r="AG520" i="13"/>
  <c r="AG519" i="13"/>
  <c r="AG518" i="13"/>
  <c r="AG517" i="13"/>
  <c r="AG516" i="13"/>
  <c r="AG515" i="13"/>
  <c r="AG514" i="13"/>
  <c r="AG513" i="13"/>
  <c r="AG498" i="13"/>
  <c r="AG497" i="13"/>
  <c r="AG496" i="13"/>
  <c r="AG495" i="13"/>
  <c r="AG494" i="13"/>
  <c r="AG493" i="13"/>
  <c r="AG492" i="13"/>
  <c r="AG491" i="13"/>
  <c r="AG490" i="13"/>
  <c r="AG489" i="13"/>
  <c r="AG488" i="13"/>
  <c r="AG487" i="13"/>
  <c r="AG486" i="13"/>
  <c r="AG485" i="13"/>
  <c r="AG484" i="13"/>
  <c r="AG483" i="13"/>
  <c r="AG482" i="13"/>
  <c r="AG481" i="13"/>
  <c r="AG480" i="13"/>
  <c r="AG479" i="13"/>
  <c r="AG478" i="13"/>
  <c r="AG477" i="13"/>
  <c r="AG476" i="13"/>
  <c r="AG475" i="13"/>
  <c r="AG474" i="13"/>
  <c r="AG473" i="13"/>
  <c r="AG472" i="13"/>
  <c r="AG471" i="13"/>
  <c r="AG470" i="13"/>
  <c r="AG469" i="13"/>
  <c r="AG468" i="13"/>
  <c r="AG467" i="13"/>
  <c r="AG452" i="13"/>
  <c r="AG451" i="13"/>
  <c r="AG450" i="13"/>
  <c r="AG449" i="13"/>
  <c r="AG448" i="13"/>
  <c r="AG447" i="13"/>
  <c r="AG446" i="13"/>
  <c r="AG445" i="13"/>
  <c r="AG444" i="13"/>
  <c r="AG443" i="13"/>
  <c r="AG442" i="13"/>
  <c r="AG441" i="13"/>
  <c r="AG440" i="13"/>
  <c r="AG439" i="13"/>
  <c r="AG438" i="13"/>
  <c r="AG437" i="13"/>
  <c r="AG436" i="13"/>
  <c r="AG435" i="13"/>
  <c r="AG434" i="13"/>
  <c r="AG433" i="13"/>
  <c r="AG432" i="13"/>
  <c r="AG431" i="13"/>
  <c r="AG430" i="13"/>
  <c r="AG429" i="13"/>
  <c r="AG428" i="13"/>
  <c r="AG427" i="13"/>
  <c r="AG426" i="13"/>
  <c r="AG425" i="13"/>
  <c r="AG424" i="13"/>
  <c r="AG423" i="13"/>
  <c r="AG422" i="13"/>
  <c r="AG421" i="13"/>
  <c r="AG406" i="13"/>
  <c r="AG405" i="13"/>
  <c r="AG404" i="13"/>
  <c r="AG403" i="13"/>
  <c r="AG402" i="13"/>
  <c r="AG401" i="13"/>
  <c r="AG400" i="13"/>
  <c r="AG399" i="13"/>
  <c r="AG398" i="13"/>
  <c r="AG397" i="13"/>
  <c r="AG396" i="13"/>
  <c r="AG395" i="13"/>
  <c r="AG394" i="13"/>
  <c r="AG393" i="13"/>
  <c r="AG392" i="13"/>
  <c r="AG391" i="13"/>
  <c r="AG390" i="13"/>
  <c r="AG389" i="13"/>
  <c r="AG388" i="13"/>
  <c r="AG387" i="13"/>
  <c r="AG386" i="13"/>
  <c r="AG385" i="13"/>
  <c r="AG384" i="13"/>
  <c r="AG383" i="13"/>
  <c r="AG382" i="13"/>
  <c r="AG381" i="13"/>
  <c r="AG380" i="13"/>
  <c r="AG379" i="13"/>
  <c r="AG378" i="13"/>
  <c r="AG377" i="13"/>
  <c r="AG376" i="13"/>
  <c r="AG375" i="13"/>
  <c r="AG360" i="13"/>
  <c r="AG359" i="13"/>
  <c r="AG358" i="13"/>
  <c r="AG357" i="13"/>
  <c r="AG356" i="13"/>
  <c r="AG355" i="13"/>
  <c r="AG354" i="13"/>
  <c r="AG353" i="13"/>
  <c r="AG352" i="13"/>
  <c r="AG351" i="13"/>
  <c r="AG350" i="13"/>
  <c r="AG349" i="13"/>
  <c r="AG348" i="13"/>
  <c r="AG347" i="13"/>
  <c r="AG346" i="13"/>
  <c r="AG345" i="13"/>
  <c r="AG344" i="13"/>
  <c r="AG343" i="13"/>
  <c r="AG342" i="13"/>
  <c r="AG341" i="13"/>
  <c r="AG340" i="13"/>
  <c r="AG339" i="13"/>
  <c r="AG338" i="13"/>
  <c r="AG337" i="13"/>
  <c r="AG336" i="13"/>
  <c r="AG335" i="13"/>
  <c r="AG334" i="13"/>
  <c r="AG333" i="13"/>
  <c r="AG332" i="13"/>
  <c r="AG331" i="13"/>
  <c r="AG330" i="13"/>
  <c r="AG329" i="13"/>
  <c r="AG314" i="13"/>
  <c r="AG313" i="13"/>
  <c r="AG312" i="13"/>
  <c r="AG311" i="13"/>
  <c r="AG310" i="13"/>
  <c r="AG309" i="13"/>
  <c r="AG308" i="13"/>
  <c r="AG307" i="13"/>
  <c r="AG306" i="13"/>
  <c r="AG305" i="13"/>
  <c r="AG304" i="13"/>
  <c r="AG303" i="13"/>
  <c r="AG302" i="13"/>
  <c r="AG301" i="13"/>
  <c r="AG300" i="13"/>
  <c r="AG299" i="13"/>
  <c r="AG298" i="13"/>
  <c r="AG297" i="13"/>
  <c r="AG296" i="13"/>
  <c r="AG295" i="13"/>
  <c r="AG294" i="13"/>
  <c r="AG293" i="13"/>
  <c r="AG292" i="13"/>
  <c r="AG291" i="13"/>
  <c r="AG290" i="13"/>
  <c r="AG289" i="13"/>
  <c r="AG288" i="13"/>
  <c r="AG287" i="13"/>
  <c r="AG286" i="13"/>
  <c r="AG285" i="13"/>
  <c r="AG284" i="13"/>
  <c r="AG283" i="13"/>
  <c r="AG268" i="13"/>
  <c r="AG267" i="13"/>
  <c r="AG266" i="13"/>
  <c r="AG265" i="13"/>
  <c r="AG264" i="13"/>
  <c r="AG263" i="13"/>
  <c r="AG262" i="13"/>
  <c r="AG261" i="13"/>
  <c r="AG260" i="13"/>
  <c r="AG259" i="13"/>
  <c r="AG258" i="13"/>
  <c r="AG257" i="13"/>
  <c r="AG256" i="13"/>
  <c r="AG255" i="13"/>
  <c r="AG254" i="13"/>
  <c r="AG253" i="13"/>
  <c r="AG252" i="13"/>
  <c r="AG251" i="13"/>
  <c r="AG250" i="13"/>
  <c r="AG249" i="13"/>
  <c r="AG248" i="13"/>
  <c r="AG247" i="13"/>
  <c r="AG246" i="13"/>
  <c r="AG245" i="13"/>
  <c r="AG244" i="13"/>
  <c r="AG243" i="13"/>
  <c r="AG242" i="13"/>
  <c r="AG241" i="13"/>
  <c r="AG240" i="13"/>
  <c r="AG239" i="13"/>
  <c r="AG238" i="13"/>
  <c r="AG237" i="13"/>
  <c r="AG222" i="13"/>
  <c r="AG221" i="13"/>
  <c r="AG220" i="13"/>
  <c r="AG219" i="13"/>
  <c r="AG218" i="13"/>
  <c r="AG217" i="13"/>
  <c r="AG216" i="13"/>
  <c r="AG215" i="13"/>
  <c r="AG214" i="13"/>
  <c r="AG213" i="13"/>
  <c r="AG212" i="13"/>
  <c r="AG211" i="13"/>
  <c r="AG210" i="13"/>
  <c r="AG209" i="13"/>
  <c r="AG208" i="13"/>
  <c r="AG207" i="13"/>
  <c r="AG206" i="13"/>
  <c r="AG205" i="13"/>
  <c r="AG204" i="13"/>
  <c r="AG203" i="13"/>
  <c r="AG202" i="13"/>
  <c r="AG201" i="13"/>
  <c r="AG200" i="13"/>
  <c r="AG199" i="13"/>
  <c r="AG198" i="13"/>
  <c r="AG197" i="13"/>
  <c r="AG196" i="13"/>
  <c r="AG195" i="13"/>
  <c r="AG194" i="13"/>
  <c r="AG193" i="13"/>
  <c r="AG192" i="13"/>
  <c r="AG191" i="13"/>
  <c r="AG176" i="13"/>
  <c r="AG175" i="13"/>
  <c r="AG174" i="13"/>
  <c r="AG173" i="13"/>
  <c r="AG172" i="13"/>
  <c r="AG171" i="13"/>
  <c r="AG170" i="13"/>
  <c r="AG169" i="13"/>
  <c r="AG168" i="13"/>
  <c r="AG167" i="13"/>
  <c r="AG166" i="13"/>
  <c r="AG165" i="13"/>
  <c r="AG164" i="13"/>
  <c r="AG163" i="13"/>
  <c r="AG162" i="13"/>
  <c r="AG161" i="13"/>
  <c r="AG160" i="13"/>
  <c r="AG159" i="13"/>
  <c r="AG158" i="13"/>
  <c r="AG157" i="13"/>
  <c r="AG156" i="13"/>
  <c r="AG155" i="13"/>
  <c r="AG154" i="13"/>
  <c r="AG153" i="13"/>
  <c r="AG152" i="13"/>
  <c r="AG151" i="13"/>
  <c r="AG150" i="13"/>
  <c r="AG149" i="13"/>
  <c r="AG148" i="13"/>
  <c r="AG147" i="13"/>
  <c r="AG146" i="13"/>
  <c r="AG145" i="13"/>
  <c r="AG130" i="13"/>
  <c r="AG129" i="13"/>
  <c r="AG128" i="13"/>
  <c r="AG127" i="13"/>
  <c r="AG126" i="13"/>
  <c r="AG125" i="13"/>
  <c r="AG124" i="13"/>
  <c r="AG123" i="13"/>
  <c r="AG122" i="13"/>
  <c r="AG121" i="13"/>
  <c r="AG120" i="13"/>
  <c r="AG119" i="13"/>
  <c r="AG118" i="13"/>
  <c r="AG117" i="13"/>
  <c r="AG116" i="13"/>
  <c r="AG115" i="13"/>
  <c r="AG114" i="13"/>
  <c r="AG113" i="13"/>
  <c r="AG112" i="13"/>
  <c r="AG111" i="13"/>
  <c r="AG110" i="13"/>
  <c r="AG109" i="13"/>
  <c r="AG108" i="13"/>
  <c r="AG107" i="13"/>
  <c r="AG106" i="13"/>
  <c r="AG105" i="13"/>
  <c r="AG104" i="13"/>
  <c r="AG103" i="13"/>
  <c r="AG102" i="13"/>
  <c r="AG101" i="13"/>
  <c r="AG100" i="13"/>
  <c r="AG99" i="13"/>
  <c r="AG78" i="13"/>
  <c r="AG79" i="13"/>
  <c r="AG80" i="13"/>
  <c r="AG81" i="13"/>
  <c r="AG82" i="13"/>
  <c r="AG83" i="13"/>
  <c r="AG84" i="13"/>
  <c r="AG77" i="13"/>
  <c r="AG76" i="13"/>
  <c r="AG75" i="13"/>
  <c r="AG74" i="13"/>
  <c r="AG73" i="13"/>
  <c r="AG72" i="13"/>
  <c r="AG71" i="13"/>
  <c r="AG70" i="13"/>
  <c r="AG69" i="13"/>
  <c r="AG68" i="13"/>
  <c r="AG67" i="13"/>
  <c r="AG66" i="13"/>
  <c r="AG65" i="13"/>
  <c r="AG64" i="13"/>
  <c r="AG63" i="13"/>
  <c r="AG62" i="13"/>
  <c r="AG61" i="13"/>
  <c r="AG60" i="13"/>
  <c r="AG59" i="13"/>
  <c r="AG58" i="13"/>
  <c r="AG57" i="13"/>
  <c r="AG56" i="13"/>
  <c r="AG55" i="13"/>
  <c r="AG54" i="13"/>
  <c r="AG53" i="13"/>
  <c r="AG12" i="13"/>
  <c r="AG14" i="13"/>
  <c r="AG15" i="13"/>
  <c r="AG16" i="13"/>
  <c r="AG17" i="13"/>
  <c r="AG18" i="13"/>
  <c r="AG19" i="13"/>
  <c r="AG20" i="13"/>
  <c r="AG21" i="13"/>
  <c r="AG22" i="13"/>
  <c r="AG23" i="13"/>
  <c r="AG24" i="13"/>
  <c r="AG25" i="13"/>
  <c r="AG26" i="13"/>
  <c r="AG27" i="13"/>
  <c r="AG28" i="13"/>
  <c r="AG29" i="13"/>
  <c r="AG30" i="13"/>
  <c r="AG31" i="13"/>
  <c r="AG32" i="13"/>
  <c r="AG33" i="13"/>
  <c r="AF33" i="13" s="1"/>
  <c r="AG34" i="13"/>
  <c r="AG35" i="13"/>
  <c r="AG11" i="13"/>
  <c r="U283" i="2"/>
  <c r="BC305" i="2"/>
  <c r="BC304" i="2"/>
  <c r="BC303" i="2"/>
  <c r="BC302" i="2"/>
  <c r="BC301" i="2"/>
  <c r="BC300" i="2"/>
  <c r="BC299" i="2"/>
  <c r="BC298" i="2"/>
  <c r="BC297" i="2"/>
  <c r="BC296" i="2"/>
  <c r="BC295" i="2"/>
  <c r="BC294" i="2"/>
  <c r="BC293" i="2"/>
  <c r="BC292" i="2"/>
  <c r="BC291" i="2"/>
  <c r="BC290" i="2"/>
  <c r="BC289" i="2"/>
  <c r="BC288" i="2"/>
  <c r="BC287" i="2"/>
  <c r="BC286" i="2"/>
  <c r="BC285" i="2"/>
  <c r="BC284" i="2"/>
  <c r="BC282" i="2"/>
  <c r="BC281" i="2"/>
  <c r="BC280" i="2"/>
  <c r="BC279" i="2"/>
  <c r="BC278" i="2"/>
  <c r="BC277" i="2"/>
  <c r="BC276" i="2"/>
  <c r="BC275" i="2"/>
  <c r="BC274" i="2"/>
  <c r="BC273" i="2"/>
  <c r="BC272" i="2"/>
  <c r="BC271" i="2"/>
  <c r="BC270" i="2"/>
  <c r="BC269" i="2"/>
  <c r="BC268" i="2"/>
  <c r="BC267" i="2"/>
  <c r="BC266" i="2"/>
  <c r="BC265" i="2"/>
  <c r="BC264" i="2"/>
  <c r="BC263" i="2"/>
  <c r="BC262" i="2"/>
  <c r="BC261" i="2"/>
  <c r="BC260" i="2"/>
  <c r="BC259" i="2"/>
  <c r="BC258" i="2"/>
  <c r="BC257" i="2"/>
  <c r="BC256" i="2"/>
  <c r="BC255" i="2"/>
  <c r="BC254" i="2"/>
  <c r="BC253" i="2"/>
  <c r="BC252" i="2"/>
  <c r="BC251" i="2"/>
  <c r="BC250" i="2"/>
  <c r="BC249" i="2"/>
  <c r="BC248" i="2"/>
  <c r="BC247" i="2"/>
  <c r="BC246" i="2"/>
  <c r="BC245" i="2"/>
  <c r="BC244" i="2"/>
  <c r="BC243" i="2"/>
  <c r="BC242" i="2"/>
  <c r="BC241" i="2"/>
  <c r="BC240" i="2"/>
  <c r="BC239" i="2"/>
  <c r="BC238" i="2"/>
  <c r="BC237" i="2"/>
  <c r="BC236" i="2"/>
  <c r="BC235" i="2"/>
  <c r="BC234" i="2"/>
  <c r="BC233" i="2"/>
  <c r="BC232" i="2"/>
  <c r="BC231" i="2"/>
  <c r="BC230" i="2"/>
  <c r="BC229" i="2"/>
  <c r="BC228" i="2"/>
  <c r="BC227" i="2"/>
  <c r="BC226" i="2"/>
  <c r="BC225" i="2"/>
  <c r="BC224" i="2"/>
  <c r="BC223" i="2"/>
  <c r="BC222" i="2"/>
  <c r="BC221" i="2"/>
  <c r="BC220" i="2"/>
  <c r="BC219" i="2"/>
  <c r="BC218" i="2"/>
  <c r="BC217" i="2"/>
  <c r="BC216" i="2"/>
  <c r="BC215" i="2"/>
  <c r="BC214" i="2"/>
  <c r="BC213" i="2"/>
  <c r="BC212" i="2"/>
  <c r="BC211" i="2"/>
  <c r="BC210" i="2"/>
  <c r="BC209" i="2"/>
  <c r="BC208" i="2"/>
  <c r="BC207" i="2"/>
  <c r="BC206" i="2"/>
  <c r="BC205" i="2"/>
  <c r="BC204" i="2"/>
  <c r="BC203" i="2"/>
  <c r="BC202" i="2"/>
  <c r="BC201" i="2"/>
  <c r="BC200" i="2"/>
  <c r="BC199" i="2"/>
  <c r="BC198" i="2"/>
  <c r="BC197" i="2"/>
  <c r="BC196" i="2"/>
  <c r="BC195" i="2"/>
  <c r="BC194" i="2"/>
  <c r="BC193" i="2"/>
  <c r="BC192" i="2"/>
  <c r="BC191" i="2"/>
  <c r="BC190" i="2"/>
  <c r="BC189" i="2"/>
  <c r="BC188" i="2"/>
  <c r="BC187" i="2"/>
  <c r="BC186" i="2"/>
  <c r="BC185" i="2"/>
  <c r="BC184" i="2"/>
  <c r="BC183" i="2"/>
  <c r="BC182" i="2"/>
  <c r="BC181" i="2"/>
  <c r="BC180" i="2"/>
  <c r="BC179" i="2"/>
  <c r="BC178" i="2"/>
  <c r="BC177" i="2"/>
  <c r="BC176" i="2"/>
  <c r="BC175" i="2"/>
  <c r="BC174" i="2"/>
  <c r="BC173" i="2"/>
  <c r="BC172" i="2"/>
  <c r="BC171" i="2"/>
  <c r="BC170" i="2"/>
  <c r="BC169" i="2"/>
  <c r="BC168" i="2"/>
  <c r="BC167" i="2"/>
  <c r="BC166" i="2"/>
  <c r="BC165" i="2"/>
  <c r="BC164" i="2"/>
  <c r="BC163" i="2"/>
  <c r="BC162" i="2"/>
  <c r="BC161" i="2"/>
  <c r="BC160" i="2"/>
  <c r="BC159" i="2"/>
  <c r="BC158" i="2"/>
  <c r="BC157" i="2"/>
  <c r="BC156" i="2"/>
  <c r="BC155" i="2"/>
  <c r="BC154" i="2"/>
  <c r="BC153" i="2"/>
  <c r="BC152" i="2"/>
  <c r="BC151" i="2"/>
  <c r="BC150" i="2"/>
  <c r="BC149" i="2"/>
  <c r="BC148" i="2"/>
  <c r="BC147" i="2"/>
  <c r="BC146" i="2"/>
  <c r="BC145" i="2"/>
  <c r="BC144" i="2"/>
  <c r="BC143" i="2"/>
  <c r="BC142" i="2"/>
  <c r="BC141" i="2"/>
  <c r="BC140" i="2"/>
  <c r="BC139" i="2"/>
  <c r="BC138" i="2"/>
  <c r="BC137" i="2"/>
  <c r="BC136" i="2"/>
  <c r="BC135" i="2"/>
  <c r="BC134" i="2"/>
  <c r="BC133" i="2"/>
  <c r="BC132" i="2"/>
  <c r="BC131" i="2"/>
  <c r="BC130" i="2"/>
  <c r="BC129" i="2"/>
  <c r="BC128" i="2"/>
  <c r="BC127" i="2"/>
  <c r="BC126" i="2"/>
  <c r="BC125" i="2"/>
  <c r="BC124" i="2"/>
  <c r="BC123" i="2"/>
  <c r="BC122" i="2"/>
  <c r="BC121" i="2"/>
  <c r="BC120" i="2"/>
  <c r="BC119" i="2"/>
  <c r="BC118" i="2"/>
  <c r="BC117" i="2"/>
  <c r="BC116" i="2"/>
  <c r="BC115" i="2"/>
  <c r="BC114" i="2"/>
  <c r="BC113" i="2"/>
  <c r="BC112" i="2"/>
  <c r="BC111" i="2"/>
  <c r="BC110" i="2"/>
  <c r="BC109" i="2"/>
  <c r="BC108" i="2"/>
  <c r="BC107" i="2"/>
  <c r="BC106" i="2"/>
  <c r="BC105" i="2"/>
  <c r="BC104" i="2"/>
  <c r="BC103" i="2"/>
  <c r="BC102" i="2"/>
  <c r="BC101" i="2"/>
  <c r="BC100" i="2"/>
  <c r="BC99" i="2"/>
  <c r="BC98" i="2"/>
  <c r="BC97" i="2"/>
  <c r="BC96" i="2"/>
  <c r="BC95" i="2"/>
  <c r="BC94" i="2"/>
  <c r="BC93" i="2"/>
  <c r="BC92" i="2"/>
  <c r="BC91" i="2"/>
  <c r="BC90" i="2"/>
  <c r="BC89" i="2"/>
  <c r="BC88" i="2"/>
  <c r="BC87" i="2"/>
  <c r="BC86" i="2"/>
  <c r="BC85" i="2"/>
  <c r="BC84" i="2"/>
  <c r="BC83" i="2"/>
  <c r="BC82" i="2"/>
  <c r="BC81" i="2"/>
  <c r="BC80" i="2"/>
  <c r="BC79" i="2"/>
  <c r="BC78" i="2"/>
  <c r="BC77" i="2"/>
  <c r="BC76" i="2"/>
  <c r="BC75" i="2"/>
  <c r="BC74" i="2"/>
  <c r="BC73" i="2"/>
  <c r="BC72" i="2"/>
  <c r="BC71" i="2"/>
  <c r="BC70" i="2"/>
  <c r="BC69" i="2"/>
  <c r="BC68" i="2"/>
  <c r="BC67" i="2"/>
  <c r="BC66" i="2"/>
  <c r="BC65" i="2"/>
  <c r="BC64" i="2"/>
  <c r="BC63" i="2"/>
  <c r="BC62" i="2"/>
  <c r="BC61" i="2"/>
  <c r="BC60" i="2"/>
  <c r="BC59" i="2"/>
  <c r="BC58" i="2"/>
  <c r="BC57" i="2"/>
  <c r="BC56" i="2"/>
  <c r="BC55" i="2"/>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S11" i="13"/>
  <c r="AB11" i="13" s="1"/>
  <c r="T36" i="13"/>
  <c r="T37" i="13"/>
  <c r="T38" i="13"/>
  <c r="T39" i="13"/>
  <c r="T40" i="13"/>
  <c r="T41" i="13"/>
  <c r="T42" i="13"/>
  <c r="T43" i="13"/>
  <c r="T44" i="13"/>
  <c r="T45" i="13"/>
  <c r="T46" i="13"/>
  <c r="T47" i="13"/>
  <c r="T48" i="13"/>
  <c r="T49" i="13"/>
  <c r="T50" i="13"/>
  <c r="T51" i="13"/>
  <c r="T52" i="13"/>
  <c r="T85" i="13"/>
  <c r="T86" i="13"/>
  <c r="T87" i="13"/>
  <c r="T88" i="13"/>
  <c r="T89" i="13"/>
  <c r="T90" i="13"/>
  <c r="T91" i="13"/>
  <c r="T92" i="13"/>
  <c r="T93" i="13"/>
  <c r="T94" i="13"/>
  <c r="T95" i="13"/>
  <c r="T96" i="13"/>
  <c r="T97" i="13"/>
  <c r="T98" i="13"/>
  <c r="T131" i="13"/>
  <c r="T132" i="13"/>
  <c r="T133" i="13"/>
  <c r="T134" i="13"/>
  <c r="T135" i="13"/>
  <c r="T136" i="13"/>
  <c r="T137" i="13"/>
  <c r="T138" i="13"/>
  <c r="T139" i="13"/>
  <c r="T140" i="13"/>
  <c r="T141" i="13"/>
  <c r="T142" i="13"/>
  <c r="T143" i="13"/>
  <c r="T144" i="13"/>
  <c r="T177" i="13"/>
  <c r="T178" i="13"/>
  <c r="T179" i="13"/>
  <c r="T180" i="13"/>
  <c r="T181" i="13"/>
  <c r="T182" i="13"/>
  <c r="T183" i="13"/>
  <c r="T184" i="13"/>
  <c r="T185" i="13"/>
  <c r="T186" i="13"/>
  <c r="T187" i="13"/>
  <c r="T188" i="13"/>
  <c r="T189" i="13"/>
  <c r="T190" i="13"/>
  <c r="T223" i="13"/>
  <c r="T224" i="13"/>
  <c r="T225" i="13"/>
  <c r="T226" i="13"/>
  <c r="T227" i="13"/>
  <c r="T228" i="13"/>
  <c r="T229" i="13"/>
  <c r="T230" i="13"/>
  <c r="T231" i="13"/>
  <c r="T232" i="13"/>
  <c r="T233" i="13"/>
  <c r="T234" i="13"/>
  <c r="T235" i="13"/>
  <c r="T236" i="13"/>
  <c r="T269" i="13"/>
  <c r="T270" i="13"/>
  <c r="T271" i="13"/>
  <c r="T272" i="13"/>
  <c r="T273" i="13"/>
  <c r="T274" i="13"/>
  <c r="T275" i="13"/>
  <c r="T276" i="13"/>
  <c r="T277" i="13"/>
  <c r="T278" i="13"/>
  <c r="T279" i="13"/>
  <c r="T280" i="13"/>
  <c r="T281" i="13"/>
  <c r="T282" i="13"/>
  <c r="T315" i="13"/>
  <c r="T316" i="13"/>
  <c r="T317" i="13"/>
  <c r="T318" i="13"/>
  <c r="T319" i="13"/>
  <c r="T320" i="13"/>
  <c r="T321" i="13"/>
  <c r="T322" i="13"/>
  <c r="T323" i="13"/>
  <c r="T324" i="13"/>
  <c r="T325" i="13"/>
  <c r="T326" i="13"/>
  <c r="T327" i="13"/>
  <c r="T328" i="13"/>
  <c r="T361" i="13"/>
  <c r="T362" i="13"/>
  <c r="T363" i="13"/>
  <c r="T364" i="13"/>
  <c r="T365" i="13"/>
  <c r="T366" i="13"/>
  <c r="T367" i="13"/>
  <c r="T368" i="13"/>
  <c r="T369" i="13"/>
  <c r="T370" i="13"/>
  <c r="T371" i="13"/>
  <c r="T372" i="13"/>
  <c r="T373" i="13"/>
  <c r="T374" i="13"/>
  <c r="T407" i="13"/>
  <c r="T408" i="13"/>
  <c r="T409" i="13"/>
  <c r="T410" i="13"/>
  <c r="T411" i="13"/>
  <c r="T412" i="13"/>
  <c r="T413" i="13"/>
  <c r="T414" i="13"/>
  <c r="T415" i="13"/>
  <c r="T416" i="13"/>
  <c r="T417" i="13"/>
  <c r="T418" i="13"/>
  <c r="T419" i="13"/>
  <c r="T420" i="13"/>
  <c r="T453" i="13"/>
  <c r="T454" i="13"/>
  <c r="T455" i="13"/>
  <c r="T456" i="13"/>
  <c r="T457" i="13"/>
  <c r="T458" i="13"/>
  <c r="T459" i="13"/>
  <c r="T460" i="13"/>
  <c r="T461" i="13"/>
  <c r="T462" i="13"/>
  <c r="T463" i="13"/>
  <c r="T464" i="13"/>
  <c r="T465" i="13"/>
  <c r="T466" i="13"/>
  <c r="T499" i="13"/>
  <c r="T500" i="13"/>
  <c r="T501" i="13"/>
  <c r="T502" i="13"/>
  <c r="T503" i="13"/>
  <c r="T504" i="13"/>
  <c r="T505" i="13"/>
  <c r="T506" i="13"/>
  <c r="T507" i="13"/>
  <c r="T508" i="13"/>
  <c r="T509" i="13"/>
  <c r="T510" i="13"/>
  <c r="T511" i="13"/>
  <c r="T512" i="13"/>
  <c r="T545" i="13"/>
  <c r="T546" i="13"/>
  <c r="T547" i="13"/>
  <c r="T548" i="13"/>
  <c r="T549" i="13"/>
  <c r="T550" i="13"/>
  <c r="T551" i="13"/>
  <c r="T552" i="13"/>
  <c r="T553" i="13"/>
  <c r="T554" i="13"/>
  <c r="T555" i="13"/>
  <c r="T556" i="13"/>
  <c r="T557" i="13"/>
  <c r="T558" i="13"/>
  <c r="T591" i="13"/>
  <c r="T592" i="13"/>
  <c r="T593" i="13"/>
  <c r="T594" i="13"/>
  <c r="T595" i="13"/>
  <c r="T596" i="13"/>
  <c r="T597" i="13"/>
  <c r="T598" i="13"/>
  <c r="T599" i="13"/>
  <c r="T600" i="13"/>
  <c r="T601" i="13"/>
  <c r="T602" i="13"/>
  <c r="T603" i="13"/>
  <c r="T604" i="13"/>
  <c r="T637" i="13"/>
  <c r="T638" i="13"/>
  <c r="T639" i="13"/>
  <c r="T640" i="13"/>
  <c r="T641" i="13"/>
  <c r="T642" i="13"/>
  <c r="T643" i="13"/>
  <c r="T644" i="13"/>
  <c r="T645" i="13"/>
  <c r="T646" i="13"/>
  <c r="T647" i="13"/>
  <c r="T648" i="13"/>
  <c r="T649" i="13"/>
  <c r="T650" i="13"/>
  <c r="T683" i="13"/>
  <c r="T684" i="13"/>
  <c r="T685" i="13"/>
  <c r="T686" i="13"/>
  <c r="T687" i="13"/>
  <c r="T688" i="13"/>
  <c r="T689" i="13"/>
  <c r="T690" i="13"/>
  <c r="T691" i="13"/>
  <c r="T692" i="13"/>
  <c r="T693" i="13"/>
  <c r="T694" i="13"/>
  <c r="T695" i="13"/>
  <c r="T696" i="13"/>
  <c r="T729" i="13"/>
  <c r="T730" i="13"/>
  <c r="T731" i="13"/>
  <c r="T732" i="13"/>
  <c r="T733" i="13"/>
  <c r="T734" i="13"/>
  <c r="T735" i="13"/>
  <c r="T736" i="13"/>
  <c r="T737" i="13"/>
  <c r="T738" i="13"/>
  <c r="T739" i="13"/>
  <c r="T740" i="13"/>
  <c r="T741" i="13"/>
  <c r="T742" i="13"/>
  <c r="T775" i="13"/>
  <c r="T776" i="13"/>
  <c r="T777" i="13"/>
  <c r="T778" i="13"/>
  <c r="T779" i="13"/>
  <c r="T780" i="13"/>
  <c r="T781" i="13"/>
  <c r="T782" i="13"/>
  <c r="T783" i="13"/>
  <c r="T784" i="13"/>
  <c r="T785" i="13"/>
  <c r="T786" i="13"/>
  <c r="T787" i="13"/>
  <c r="T788" i="13"/>
  <c r="T821" i="13"/>
  <c r="T822" i="13"/>
  <c r="T823" i="13"/>
  <c r="T824" i="13"/>
  <c r="T825" i="13"/>
  <c r="T826" i="13"/>
  <c r="T827" i="13"/>
  <c r="T828" i="13"/>
  <c r="T829" i="13"/>
  <c r="T830" i="13"/>
  <c r="T831" i="13"/>
  <c r="T832" i="13"/>
  <c r="T833" i="13"/>
  <c r="T834" i="13"/>
  <c r="E6" i="14"/>
  <c r="U146" i="2"/>
  <c r="U147" i="2"/>
  <c r="BE867" i="13"/>
  <c r="BE866" i="13"/>
  <c r="BE865" i="13"/>
  <c r="BE864" i="13"/>
  <c r="BE863" i="13"/>
  <c r="BE862" i="13"/>
  <c r="BE861" i="13"/>
  <c r="BE860" i="13"/>
  <c r="BE859" i="13"/>
  <c r="BE858" i="13"/>
  <c r="BE857" i="13"/>
  <c r="BE856" i="13"/>
  <c r="BE855" i="13"/>
  <c r="BE854" i="13"/>
  <c r="BE853" i="13"/>
  <c r="BE852" i="13"/>
  <c r="BE851" i="13"/>
  <c r="BE850" i="13"/>
  <c r="BE849" i="13"/>
  <c r="BE848" i="13"/>
  <c r="BE847" i="13"/>
  <c r="BE846" i="13"/>
  <c r="BE845" i="13"/>
  <c r="BE844" i="13"/>
  <c r="BE843" i="13"/>
  <c r="BE842" i="13"/>
  <c r="BE841" i="13"/>
  <c r="BE840" i="13"/>
  <c r="BE839" i="13"/>
  <c r="BE838" i="13"/>
  <c r="BE837" i="13"/>
  <c r="BE836" i="13"/>
  <c r="BE835" i="13"/>
  <c r="BE834" i="13"/>
  <c r="BE833" i="13"/>
  <c r="BE832" i="13"/>
  <c r="BE821" i="13"/>
  <c r="BE820" i="13"/>
  <c r="BE819" i="13"/>
  <c r="BE818" i="13"/>
  <c r="BE817" i="13"/>
  <c r="BE816" i="13"/>
  <c r="BE815" i="13"/>
  <c r="BE814" i="13"/>
  <c r="BE813" i="13"/>
  <c r="BE812" i="13"/>
  <c r="BE811" i="13"/>
  <c r="BE810" i="13"/>
  <c r="BE809" i="13"/>
  <c r="BE808" i="13"/>
  <c r="BE807" i="13"/>
  <c r="BE806" i="13"/>
  <c r="BE805" i="13"/>
  <c r="BE804" i="13"/>
  <c r="BE803" i="13"/>
  <c r="BE802" i="13"/>
  <c r="BE801" i="13"/>
  <c r="BE800" i="13"/>
  <c r="BE799" i="13"/>
  <c r="BE798" i="13"/>
  <c r="BE797" i="13"/>
  <c r="BE796" i="13"/>
  <c r="BE795" i="13"/>
  <c r="BE794" i="13"/>
  <c r="BE793" i="13"/>
  <c r="BE792" i="13"/>
  <c r="BE791" i="13"/>
  <c r="BE790" i="13"/>
  <c r="BE789" i="13"/>
  <c r="BE788" i="13"/>
  <c r="BE787" i="13"/>
  <c r="BE786" i="13"/>
  <c r="BE775" i="13"/>
  <c r="BE774" i="13"/>
  <c r="BE773" i="13"/>
  <c r="BE772" i="13"/>
  <c r="BE771" i="13"/>
  <c r="BE770" i="13"/>
  <c r="BE769" i="13"/>
  <c r="BE768" i="13"/>
  <c r="BE767" i="13"/>
  <c r="BE766" i="13"/>
  <c r="BE765" i="13"/>
  <c r="BE764" i="13"/>
  <c r="BE763" i="13"/>
  <c r="BE762" i="13"/>
  <c r="BE761" i="13"/>
  <c r="BE760" i="13"/>
  <c r="BE759" i="13"/>
  <c r="BE758" i="13"/>
  <c r="BE757" i="13"/>
  <c r="BE756" i="13"/>
  <c r="BE755" i="13"/>
  <c r="BE754" i="13"/>
  <c r="BE753" i="13"/>
  <c r="BE752" i="13"/>
  <c r="BE751" i="13"/>
  <c r="BE750" i="13"/>
  <c r="BE749" i="13"/>
  <c r="BE748" i="13"/>
  <c r="BE747" i="13"/>
  <c r="BE746" i="13"/>
  <c r="BE745" i="13"/>
  <c r="BE744" i="13"/>
  <c r="BE743" i="13"/>
  <c r="BE742" i="13"/>
  <c r="BE741" i="13"/>
  <c r="BE740" i="13"/>
  <c r="BE729" i="13"/>
  <c r="BE728" i="13"/>
  <c r="BE727" i="13"/>
  <c r="BE726" i="13"/>
  <c r="BE725" i="13"/>
  <c r="BE724" i="13"/>
  <c r="BE723" i="13"/>
  <c r="BE722" i="13"/>
  <c r="BE721" i="13"/>
  <c r="BE720" i="13"/>
  <c r="BE719" i="13"/>
  <c r="BE718" i="13"/>
  <c r="BE717" i="13"/>
  <c r="BE716" i="13"/>
  <c r="BE715" i="13"/>
  <c r="BE714" i="13"/>
  <c r="BE713" i="13"/>
  <c r="BE712" i="13"/>
  <c r="BE711" i="13"/>
  <c r="BE710" i="13"/>
  <c r="BE709" i="13"/>
  <c r="BE708" i="13"/>
  <c r="BE707" i="13"/>
  <c r="BE706" i="13"/>
  <c r="BE705" i="13"/>
  <c r="BE704" i="13"/>
  <c r="BE703" i="13"/>
  <c r="BE702" i="13"/>
  <c r="BE701" i="13"/>
  <c r="BE700" i="13"/>
  <c r="BE699" i="13"/>
  <c r="BE698" i="13"/>
  <c r="BE697" i="13"/>
  <c r="BE696" i="13"/>
  <c r="BE695" i="13"/>
  <c r="BE694" i="13"/>
  <c r="BE683" i="13"/>
  <c r="BE682" i="13"/>
  <c r="BE681" i="13"/>
  <c r="BE680" i="13"/>
  <c r="BE679" i="13"/>
  <c r="BE678" i="13"/>
  <c r="BE677" i="13"/>
  <c r="BE676" i="13"/>
  <c r="BE675" i="13"/>
  <c r="BE674" i="13"/>
  <c r="BE673" i="13"/>
  <c r="BE672" i="13"/>
  <c r="BE671" i="13"/>
  <c r="BE670" i="13"/>
  <c r="BE669" i="13"/>
  <c r="BE668" i="13"/>
  <c r="BE667" i="13"/>
  <c r="BE666" i="13"/>
  <c r="BE665" i="13"/>
  <c r="BE664" i="13"/>
  <c r="BE663" i="13"/>
  <c r="BE662" i="13"/>
  <c r="BE661" i="13"/>
  <c r="BE660" i="13"/>
  <c r="BE659" i="13"/>
  <c r="BE658" i="13"/>
  <c r="BE657" i="13"/>
  <c r="BE656" i="13"/>
  <c r="BE655" i="13"/>
  <c r="BE654" i="13"/>
  <c r="BE653" i="13"/>
  <c r="BE652" i="13"/>
  <c r="BE651" i="13"/>
  <c r="BE650" i="13"/>
  <c r="BE649" i="13"/>
  <c r="BE648" i="13"/>
  <c r="BE637" i="13"/>
  <c r="BE636" i="13"/>
  <c r="BE635" i="13"/>
  <c r="BE634" i="13"/>
  <c r="BE633" i="13"/>
  <c r="BE632" i="13"/>
  <c r="BE631" i="13"/>
  <c r="BE630" i="13"/>
  <c r="BE629" i="13"/>
  <c r="BE628" i="13"/>
  <c r="BE627" i="13"/>
  <c r="BE626" i="13"/>
  <c r="BE625" i="13"/>
  <c r="BE624" i="13"/>
  <c r="BE623" i="13"/>
  <c r="BE622" i="13"/>
  <c r="BE621" i="13"/>
  <c r="BE620" i="13"/>
  <c r="BE619" i="13"/>
  <c r="BE618" i="13"/>
  <c r="BE617" i="13"/>
  <c r="BE616" i="13"/>
  <c r="BE615" i="13"/>
  <c r="BE614" i="13"/>
  <c r="BE613" i="13"/>
  <c r="BE612" i="13"/>
  <c r="BE611" i="13"/>
  <c r="BE610" i="13"/>
  <c r="BE609" i="13"/>
  <c r="BE608" i="13"/>
  <c r="BE607" i="13"/>
  <c r="BE606" i="13"/>
  <c r="BE605" i="13"/>
  <c r="BE604" i="13"/>
  <c r="BE603" i="13"/>
  <c r="BE602" i="13"/>
  <c r="BE591" i="13"/>
  <c r="BE590" i="13"/>
  <c r="BE589" i="13"/>
  <c r="BE588" i="13"/>
  <c r="BE587" i="13"/>
  <c r="BE586" i="13"/>
  <c r="BE585" i="13"/>
  <c r="BE584" i="13"/>
  <c r="BE583" i="13"/>
  <c r="BE582" i="13"/>
  <c r="BE581" i="13"/>
  <c r="BE580" i="13"/>
  <c r="BE579" i="13"/>
  <c r="BE578" i="13"/>
  <c r="BE577" i="13"/>
  <c r="BE576" i="13"/>
  <c r="BE575" i="13"/>
  <c r="BE574" i="13"/>
  <c r="BE573" i="13"/>
  <c r="BE572" i="13"/>
  <c r="BE571" i="13"/>
  <c r="BE570" i="13"/>
  <c r="BE569" i="13"/>
  <c r="BE568" i="13"/>
  <c r="BE567" i="13"/>
  <c r="BE566" i="13"/>
  <c r="BE565" i="13"/>
  <c r="BE564" i="13"/>
  <c r="BE563" i="13"/>
  <c r="BE562" i="13"/>
  <c r="BE561" i="13"/>
  <c r="BE560" i="13"/>
  <c r="BE559" i="13"/>
  <c r="BE558" i="13"/>
  <c r="BE557" i="13"/>
  <c r="BE556" i="13"/>
  <c r="BE545" i="13"/>
  <c r="BE544" i="13"/>
  <c r="BE543" i="13"/>
  <c r="BE542" i="13"/>
  <c r="BE541" i="13"/>
  <c r="BE540" i="13"/>
  <c r="BE539" i="13"/>
  <c r="BE538" i="13"/>
  <c r="BE537" i="13"/>
  <c r="BE536" i="13"/>
  <c r="BE535" i="13"/>
  <c r="BE534" i="13"/>
  <c r="BE533" i="13"/>
  <c r="BE532" i="13"/>
  <c r="BE531" i="13"/>
  <c r="BE530" i="13"/>
  <c r="BE529" i="13"/>
  <c r="BE528" i="13"/>
  <c r="BE527" i="13"/>
  <c r="BE526" i="13"/>
  <c r="BE525" i="13"/>
  <c r="BE524" i="13"/>
  <c r="BE523" i="13"/>
  <c r="BE522" i="13"/>
  <c r="BE521" i="13"/>
  <c r="BE520" i="13"/>
  <c r="BE519" i="13"/>
  <c r="BE518" i="13"/>
  <c r="BE517" i="13"/>
  <c r="BE516" i="13"/>
  <c r="BE515" i="13"/>
  <c r="BE514" i="13"/>
  <c r="BE513" i="13"/>
  <c r="BE512" i="13"/>
  <c r="BE511" i="13"/>
  <c r="BE510" i="13"/>
  <c r="BE499" i="13"/>
  <c r="BE498" i="13"/>
  <c r="BE497" i="13"/>
  <c r="BE496" i="13"/>
  <c r="BE495" i="13"/>
  <c r="BE494" i="13"/>
  <c r="BE493" i="13"/>
  <c r="BE492" i="13"/>
  <c r="BE491" i="13"/>
  <c r="BE490" i="13"/>
  <c r="BE489" i="13"/>
  <c r="BE488" i="13"/>
  <c r="BE487" i="13"/>
  <c r="BE486" i="13"/>
  <c r="BE485" i="13"/>
  <c r="BE484" i="13"/>
  <c r="BE483" i="13"/>
  <c r="BE482" i="13"/>
  <c r="BE481" i="13"/>
  <c r="BE480" i="13"/>
  <c r="BE479" i="13"/>
  <c r="BE478" i="13"/>
  <c r="BE477" i="13"/>
  <c r="BE476" i="13"/>
  <c r="BE475" i="13"/>
  <c r="BE474" i="13"/>
  <c r="BE473" i="13"/>
  <c r="BE472" i="13"/>
  <c r="BE471" i="13"/>
  <c r="BE470" i="13"/>
  <c r="BE469" i="13"/>
  <c r="BE468" i="13"/>
  <c r="BE467" i="13"/>
  <c r="BE466" i="13"/>
  <c r="BE465" i="13"/>
  <c r="BE464" i="13"/>
  <c r="BE453" i="13"/>
  <c r="BE452" i="13"/>
  <c r="BE451" i="13"/>
  <c r="BE450" i="13"/>
  <c r="BE449" i="13"/>
  <c r="BE448" i="13"/>
  <c r="BE447" i="13"/>
  <c r="BE446" i="13"/>
  <c r="BE445" i="13"/>
  <c r="BE444" i="13"/>
  <c r="BE443" i="13"/>
  <c r="BE442" i="13"/>
  <c r="BE441" i="13"/>
  <c r="BE440" i="13"/>
  <c r="BE439" i="13"/>
  <c r="BE438" i="13"/>
  <c r="BE437" i="13"/>
  <c r="BE436" i="13"/>
  <c r="BE435" i="13"/>
  <c r="BE434" i="13"/>
  <c r="BE433" i="13"/>
  <c r="BE432" i="13"/>
  <c r="BE431" i="13"/>
  <c r="BE430" i="13"/>
  <c r="BE429" i="13"/>
  <c r="BE428" i="13"/>
  <c r="BE427" i="13"/>
  <c r="BE426" i="13"/>
  <c r="BE425" i="13"/>
  <c r="BE424" i="13"/>
  <c r="BE423" i="13"/>
  <c r="BE422" i="13"/>
  <c r="BE421" i="13"/>
  <c r="BE420" i="13"/>
  <c r="BE419" i="13"/>
  <c r="BE418" i="13"/>
  <c r="BE407" i="13"/>
  <c r="BE406" i="13"/>
  <c r="BE405" i="13"/>
  <c r="BE404" i="13"/>
  <c r="BE403" i="13"/>
  <c r="BE402" i="13"/>
  <c r="BE401" i="13"/>
  <c r="BE400" i="13"/>
  <c r="BE399" i="13"/>
  <c r="BE398" i="13"/>
  <c r="BE397" i="13"/>
  <c r="BE396" i="13"/>
  <c r="BE395" i="13"/>
  <c r="BE394" i="13"/>
  <c r="BE393" i="13"/>
  <c r="BE392" i="13"/>
  <c r="BE391" i="13"/>
  <c r="BE390" i="13"/>
  <c r="BE389" i="13"/>
  <c r="BE388" i="13"/>
  <c r="BE387" i="13"/>
  <c r="BE386" i="13"/>
  <c r="BE385" i="13"/>
  <c r="BE384" i="13"/>
  <c r="BE383" i="13"/>
  <c r="BE382" i="13"/>
  <c r="BE381" i="13"/>
  <c r="BE380" i="13"/>
  <c r="BE379" i="13"/>
  <c r="BE378" i="13"/>
  <c r="BE377" i="13"/>
  <c r="BE376" i="13"/>
  <c r="BE375" i="13"/>
  <c r="BE374" i="13"/>
  <c r="BE373" i="13"/>
  <c r="BE372" i="13"/>
  <c r="BE361" i="13"/>
  <c r="BE360" i="13"/>
  <c r="BE359" i="13"/>
  <c r="BE358" i="13"/>
  <c r="BE357" i="13"/>
  <c r="BE356" i="13"/>
  <c r="BE355" i="13"/>
  <c r="BE354" i="13"/>
  <c r="BE353" i="13"/>
  <c r="BE352" i="13"/>
  <c r="BE351" i="13"/>
  <c r="BE350" i="13"/>
  <c r="BE349" i="13"/>
  <c r="BE348" i="13"/>
  <c r="BE347" i="13"/>
  <c r="BE346" i="13"/>
  <c r="BE345" i="13"/>
  <c r="BE344" i="13"/>
  <c r="BE343" i="13"/>
  <c r="BE342" i="13"/>
  <c r="BE341" i="13"/>
  <c r="BE340" i="13"/>
  <c r="BE339" i="13"/>
  <c r="BE338" i="13"/>
  <c r="BE337" i="13"/>
  <c r="BE336" i="13"/>
  <c r="BE335" i="13"/>
  <c r="BE334" i="13"/>
  <c r="BE333" i="13"/>
  <c r="BE332" i="13"/>
  <c r="BE331" i="13"/>
  <c r="BE330" i="13"/>
  <c r="BE329" i="13"/>
  <c r="BE328" i="13"/>
  <c r="BE327" i="13"/>
  <c r="BE326" i="13"/>
  <c r="BE315" i="13"/>
  <c r="BE314" i="13"/>
  <c r="BE313" i="13"/>
  <c r="BE312" i="13"/>
  <c r="BE311" i="13"/>
  <c r="BE310" i="13"/>
  <c r="BE309" i="13"/>
  <c r="BE308" i="13"/>
  <c r="BE307" i="13"/>
  <c r="BE306" i="13"/>
  <c r="BE305" i="13"/>
  <c r="BE304" i="13"/>
  <c r="BE303" i="13"/>
  <c r="BE302" i="13"/>
  <c r="BE301" i="13"/>
  <c r="BE300" i="13"/>
  <c r="BE299" i="13"/>
  <c r="BE298" i="13"/>
  <c r="BE297" i="13"/>
  <c r="BE296" i="13"/>
  <c r="BE295" i="13"/>
  <c r="BE294" i="13"/>
  <c r="BE293" i="13"/>
  <c r="BE292" i="13"/>
  <c r="BE291" i="13"/>
  <c r="BE290" i="13"/>
  <c r="BE289" i="13"/>
  <c r="BE288" i="13"/>
  <c r="BE287" i="13"/>
  <c r="BE286" i="13"/>
  <c r="BE285" i="13"/>
  <c r="BE284" i="13"/>
  <c r="BE283" i="13"/>
  <c r="BE282" i="13"/>
  <c r="BE281" i="13"/>
  <c r="BE280" i="13"/>
  <c r="BE269" i="13"/>
  <c r="BE268" i="13"/>
  <c r="BE267" i="13"/>
  <c r="BE266" i="13"/>
  <c r="BE265" i="13"/>
  <c r="BE264" i="13"/>
  <c r="BE263" i="13"/>
  <c r="BE262" i="13"/>
  <c r="BE261" i="13"/>
  <c r="BE260" i="13"/>
  <c r="BE259" i="13"/>
  <c r="BE258" i="13"/>
  <c r="BE257" i="13"/>
  <c r="BE256" i="13"/>
  <c r="BE255" i="13"/>
  <c r="BE254" i="13"/>
  <c r="BE253" i="13"/>
  <c r="BE252" i="13"/>
  <c r="BE251" i="13"/>
  <c r="BE250" i="13"/>
  <c r="BE249" i="13"/>
  <c r="BE248" i="13"/>
  <c r="BE247" i="13"/>
  <c r="BE246" i="13"/>
  <c r="BE245" i="13"/>
  <c r="BE244" i="13"/>
  <c r="BE243" i="13"/>
  <c r="BE242" i="13"/>
  <c r="BE241" i="13"/>
  <c r="BE240" i="13"/>
  <c r="BE239" i="13"/>
  <c r="BE238" i="13"/>
  <c r="BE237" i="13"/>
  <c r="BE236" i="13"/>
  <c r="BE235" i="13"/>
  <c r="BE234" i="13"/>
  <c r="BE223" i="13"/>
  <c r="BE222" i="13"/>
  <c r="BE221" i="13"/>
  <c r="BE220" i="13"/>
  <c r="BE219" i="13"/>
  <c r="BE218" i="13"/>
  <c r="BE217" i="13"/>
  <c r="BE216" i="13"/>
  <c r="BE215" i="13"/>
  <c r="BE214" i="13"/>
  <c r="BE213" i="13"/>
  <c r="BE212" i="13"/>
  <c r="BE211" i="13"/>
  <c r="BE210" i="13"/>
  <c r="BE209" i="13"/>
  <c r="BE208" i="13"/>
  <c r="BE207" i="13"/>
  <c r="BE206" i="13"/>
  <c r="BE205" i="13"/>
  <c r="BE204" i="13"/>
  <c r="BE203" i="13"/>
  <c r="BE202" i="13"/>
  <c r="BE201" i="13"/>
  <c r="BE200" i="13"/>
  <c r="BE199" i="13"/>
  <c r="BE198" i="13"/>
  <c r="BE197" i="13"/>
  <c r="BE196" i="13"/>
  <c r="BE195" i="13"/>
  <c r="BE194" i="13"/>
  <c r="BE193" i="13"/>
  <c r="BE192" i="13"/>
  <c r="BE191" i="13"/>
  <c r="BE190" i="13"/>
  <c r="BE189" i="13"/>
  <c r="BE188" i="13"/>
  <c r="BE177" i="13"/>
  <c r="BE176" i="13"/>
  <c r="BE175" i="13"/>
  <c r="BE174" i="13"/>
  <c r="BE173" i="13"/>
  <c r="BE172" i="13"/>
  <c r="BE171" i="13"/>
  <c r="BE170" i="13"/>
  <c r="BE169" i="13"/>
  <c r="BE168" i="13"/>
  <c r="BE167" i="13"/>
  <c r="BE166" i="13"/>
  <c r="BE165" i="13"/>
  <c r="BE164" i="13"/>
  <c r="BE163" i="13"/>
  <c r="BE162" i="13"/>
  <c r="BE161" i="13"/>
  <c r="BE160" i="13"/>
  <c r="BE159" i="13"/>
  <c r="BE158" i="13"/>
  <c r="BE157" i="13"/>
  <c r="BE156" i="13"/>
  <c r="BE155" i="13"/>
  <c r="BE154" i="13"/>
  <c r="BE153" i="13"/>
  <c r="BE152" i="13"/>
  <c r="BE151" i="13"/>
  <c r="BE150" i="13"/>
  <c r="BE149" i="13"/>
  <c r="BE148" i="13"/>
  <c r="BE147" i="13"/>
  <c r="BE146" i="13"/>
  <c r="BE145" i="13"/>
  <c r="BE144" i="13"/>
  <c r="BE143" i="13"/>
  <c r="BE142" i="13"/>
  <c r="BE131" i="13"/>
  <c r="BE130" i="13"/>
  <c r="BE129" i="13"/>
  <c r="BE128" i="13"/>
  <c r="BE127" i="13"/>
  <c r="BE126" i="13"/>
  <c r="BE125" i="13"/>
  <c r="BE124" i="13"/>
  <c r="BE123" i="13"/>
  <c r="BE122" i="13"/>
  <c r="BE121" i="13"/>
  <c r="BE120" i="13"/>
  <c r="BE119" i="13"/>
  <c r="BE118" i="13"/>
  <c r="BE117" i="13"/>
  <c r="BE116" i="13"/>
  <c r="BE115" i="13"/>
  <c r="BE114" i="13"/>
  <c r="BE113" i="13"/>
  <c r="BE112" i="13"/>
  <c r="BE111" i="13"/>
  <c r="BE110" i="13"/>
  <c r="BE109" i="13"/>
  <c r="BE108" i="13"/>
  <c r="BE107" i="13"/>
  <c r="BE106" i="13"/>
  <c r="BE105" i="13"/>
  <c r="BE104" i="13"/>
  <c r="BE103" i="13"/>
  <c r="BE102" i="13"/>
  <c r="BE101" i="13"/>
  <c r="BE100" i="13"/>
  <c r="BE99" i="13"/>
  <c r="BE98" i="13"/>
  <c r="BE97" i="13"/>
  <c r="BE96" i="13"/>
  <c r="BE80" i="13"/>
  <c r="BE81" i="13"/>
  <c r="BE82" i="13"/>
  <c r="BE83" i="13"/>
  <c r="BE84" i="13"/>
  <c r="BE85" i="13"/>
  <c r="BE79" i="13"/>
  <c r="BE78" i="13"/>
  <c r="BE77" i="13"/>
  <c r="BE76" i="13"/>
  <c r="BE75" i="13"/>
  <c r="BE74" i="13"/>
  <c r="BE73" i="13"/>
  <c r="BE72" i="13"/>
  <c r="BE71" i="13"/>
  <c r="BE70" i="13"/>
  <c r="BE69" i="13"/>
  <c r="BE68" i="13"/>
  <c r="BE67" i="13"/>
  <c r="BE66" i="13"/>
  <c r="BE65" i="13"/>
  <c r="BE64" i="13"/>
  <c r="BE63" i="13"/>
  <c r="BE62" i="13"/>
  <c r="BE61" i="13"/>
  <c r="BE60" i="13"/>
  <c r="BE59" i="13"/>
  <c r="BE58" i="13"/>
  <c r="BE57" i="13"/>
  <c r="BE56" i="13"/>
  <c r="BE55" i="13"/>
  <c r="BE54" i="13"/>
  <c r="BE53" i="13"/>
  <c r="BE52" i="13"/>
  <c r="BE51" i="13"/>
  <c r="BE50" i="13"/>
  <c r="BE12" i="13"/>
  <c r="BE13" i="13"/>
  <c r="BE14" i="13"/>
  <c r="BE15" i="13"/>
  <c r="BE16" i="13"/>
  <c r="BE17" i="13"/>
  <c r="BE18" i="13"/>
  <c r="BE19" i="13"/>
  <c r="BE20" i="13"/>
  <c r="BE21" i="13"/>
  <c r="BE22" i="13"/>
  <c r="BE23" i="13"/>
  <c r="BE24" i="13"/>
  <c r="BE25" i="13"/>
  <c r="BE26" i="13"/>
  <c r="BE27" i="13"/>
  <c r="BE28" i="13"/>
  <c r="BE29" i="13"/>
  <c r="BE30" i="13"/>
  <c r="BE31" i="13"/>
  <c r="BE32" i="13"/>
  <c r="BE33" i="13"/>
  <c r="BE34" i="13"/>
  <c r="BE35" i="13"/>
  <c r="BE36" i="13"/>
  <c r="BE37" i="13"/>
  <c r="BE38" i="13"/>
  <c r="BE39" i="13"/>
  <c r="BE40" i="13"/>
  <c r="BE11" i="13"/>
  <c r="AJ866" i="13"/>
  <c r="AI866" i="13"/>
  <c r="AJ865" i="13"/>
  <c r="AI865" i="13"/>
  <c r="AJ864" i="13"/>
  <c r="AI864" i="13"/>
  <c r="AJ863" i="13"/>
  <c r="AI863" i="13"/>
  <c r="AJ862" i="13"/>
  <c r="AI862" i="13"/>
  <c r="AJ861" i="13"/>
  <c r="AI861" i="13"/>
  <c r="AJ860" i="13"/>
  <c r="AI860" i="13"/>
  <c r="AJ859" i="13"/>
  <c r="AI859" i="13"/>
  <c r="AJ858" i="13"/>
  <c r="AI858" i="13"/>
  <c r="AJ857" i="13"/>
  <c r="AI857" i="13"/>
  <c r="AJ856" i="13"/>
  <c r="AI856" i="13"/>
  <c r="AJ855" i="13"/>
  <c r="AI855" i="13"/>
  <c r="AJ854" i="13"/>
  <c r="AI854" i="13"/>
  <c r="AJ853" i="13"/>
  <c r="AI853" i="13"/>
  <c r="AJ852" i="13"/>
  <c r="AI852" i="13"/>
  <c r="AJ851" i="13"/>
  <c r="AI851" i="13"/>
  <c r="AJ850" i="13"/>
  <c r="AI850" i="13"/>
  <c r="AJ849" i="13"/>
  <c r="AI849" i="13"/>
  <c r="AJ848" i="13"/>
  <c r="AI848" i="13"/>
  <c r="AJ847" i="13"/>
  <c r="AI847" i="13"/>
  <c r="AJ846" i="13"/>
  <c r="AI846" i="13"/>
  <c r="AJ845" i="13"/>
  <c r="AI845" i="13"/>
  <c r="AJ844" i="13"/>
  <c r="AI844" i="13"/>
  <c r="AJ843" i="13"/>
  <c r="AI843" i="13"/>
  <c r="AJ842" i="13"/>
  <c r="AI842" i="13"/>
  <c r="AJ841" i="13"/>
  <c r="AI841" i="13"/>
  <c r="AJ840" i="13"/>
  <c r="AI840" i="13"/>
  <c r="AJ839" i="13"/>
  <c r="AI839" i="13"/>
  <c r="AJ838" i="13"/>
  <c r="AI838" i="13"/>
  <c r="AJ837" i="13"/>
  <c r="AI837" i="13"/>
  <c r="AJ836" i="13"/>
  <c r="AI836" i="13"/>
  <c r="AJ835" i="13"/>
  <c r="AI835" i="13"/>
  <c r="AJ820" i="13"/>
  <c r="AI820" i="13"/>
  <c r="AJ819" i="13"/>
  <c r="AI819" i="13"/>
  <c r="AJ818" i="13"/>
  <c r="AI818" i="13"/>
  <c r="AJ817" i="13"/>
  <c r="AI817" i="13"/>
  <c r="AJ816" i="13"/>
  <c r="AI816" i="13"/>
  <c r="AJ815" i="13"/>
  <c r="AI815" i="13"/>
  <c r="AJ814" i="13"/>
  <c r="AI814" i="13"/>
  <c r="AJ813" i="13"/>
  <c r="AI813" i="13"/>
  <c r="AJ812" i="13"/>
  <c r="AI812" i="13"/>
  <c r="AJ811" i="13"/>
  <c r="AI811" i="13"/>
  <c r="AJ810" i="13"/>
  <c r="AI810" i="13"/>
  <c r="AJ809" i="13"/>
  <c r="AI809" i="13"/>
  <c r="AJ808" i="13"/>
  <c r="AI808" i="13"/>
  <c r="AJ807" i="13"/>
  <c r="AI807" i="13"/>
  <c r="AJ806" i="13"/>
  <c r="AI806" i="13"/>
  <c r="AJ805" i="13"/>
  <c r="AI805" i="13"/>
  <c r="AJ804" i="13"/>
  <c r="AI804" i="13"/>
  <c r="AJ803" i="13"/>
  <c r="AI803" i="13"/>
  <c r="AJ802" i="13"/>
  <c r="AI802" i="13"/>
  <c r="AJ801" i="13"/>
  <c r="AI801" i="13"/>
  <c r="AJ800" i="13"/>
  <c r="AI800" i="13"/>
  <c r="AJ799" i="13"/>
  <c r="AI799" i="13"/>
  <c r="AJ798" i="13"/>
  <c r="AI798" i="13"/>
  <c r="AJ797" i="13"/>
  <c r="AI797" i="13"/>
  <c r="AJ796" i="13"/>
  <c r="AI796" i="13"/>
  <c r="AJ795" i="13"/>
  <c r="AI795" i="13"/>
  <c r="AJ794" i="13"/>
  <c r="AI794" i="13"/>
  <c r="AJ793" i="13"/>
  <c r="AI793" i="13"/>
  <c r="AJ792" i="13"/>
  <c r="AI792" i="13"/>
  <c r="AJ791" i="13"/>
  <c r="AI791" i="13"/>
  <c r="AJ790" i="13"/>
  <c r="AI790" i="13"/>
  <c r="AJ789" i="13"/>
  <c r="AI789" i="13"/>
  <c r="AJ774" i="13"/>
  <c r="AI774" i="13"/>
  <c r="AJ773" i="13"/>
  <c r="AI773" i="13"/>
  <c r="AJ772" i="13"/>
  <c r="AI772" i="13"/>
  <c r="AJ771" i="13"/>
  <c r="AI771" i="13"/>
  <c r="AJ770" i="13"/>
  <c r="AI770" i="13"/>
  <c r="AJ769" i="13"/>
  <c r="AI769" i="13"/>
  <c r="AJ768" i="13"/>
  <c r="AI768" i="13"/>
  <c r="AJ767" i="13"/>
  <c r="AI767" i="13"/>
  <c r="AJ766" i="13"/>
  <c r="AI766" i="13"/>
  <c r="AJ765" i="13"/>
  <c r="AI765" i="13"/>
  <c r="AJ764" i="13"/>
  <c r="AI764" i="13"/>
  <c r="AJ763" i="13"/>
  <c r="AI763" i="13"/>
  <c r="AJ762" i="13"/>
  <c r="AI762" i="13"/>
  <c r="AJ761" i="13"/>
  <c r="AI761" i="13"/>
  <c r="AJ760" i="13"/>
  <c r="AI760" i="13"/>
  <c r="AJ759" i="13"/>
  <c r="AI759" i="13"/>
  <c r="AJ758" i="13"/>
  <c r="AI758" i="13"/>
  <c r="AJ757" i="13"/>
  <c r="AI757" i="13"/>
  <c r="AJ756" i="13"/>
  <c r="AI756" i="13"/>
  <c r="AJ755" i="13"/>
  <c r="AI755" i="13"/>
  <c r="AJ754" i="13"/>
  <c r="AI754" i="13"/>
  <c r="AJ753" i="13"/>
  <c r="AI753" i="13"/>
  <c r="AJ752" i="13"/>
  <c r="AI752" i="13"/>
  <c r="AJ751" i="13"/>
  <c r="AI751" i="13"/>
  <c r="AJ750" i="13"/>
  <c r="AI750" i="13"/>
  <c r="AJ749" i="13"/>
  <c r="AI749" i="13"/>
  <c r="AJ748" i="13"/>
  <c r="AI748" i="13"/>
  <c r="AJ747" i="13"/>
  <c r="AI747" i="13"/>
  <c r="AJ746" i="13"/>
  <c r="AI746" i="13"/>
  <c r="AJ745" i="13"/>
  <c r="AI745" i="13"/>
  <c r="AJ744" i="13"/>
  <c r="AI744" i="13"/>
  <c r="AJ743" i="13"/>
  <c r="AI743" i="13"/>
  <c r="AJ728" i="13"/>
  <c r="AI728" i="13"/>
  <c r="AJ727" i="13"/>
  <c r="AI727" i="13"/>
  <c r="AJ726" i="13"/>
  <c r="AI726" i="13"/>
  <c r="AJ725" i="13"/>
  <c r="AI725" i="13"/>
  <c r="AJ724" i="13"/>
  <c r="AI724" i="13"/>
  <c r="AJ723" i="13"/>
  <c r="AI723" i="13"/>
  <c r="AJ722" i="13"/>
  <c r="AI722" i="13"/>
  <c r="AJ721" i="13"/>
  <c r="AI721" i="13"/>
  <c r="AJ720" i="13"/>
  <c r="AI720" i="13"/>
  <c r="AJ719" i="13"/>
  <c r="AI719" i="13"/>
  <c r="AJ718" i="13"/>
  <c r="AI718" i="13"/>
  <c r="AJ717" i="13"/>
  <c r="AI717" i="13"/>
  <c r="AJ716" i="13"/>
  <c r="AI716" i="13"/>
  <c r="AJ715" i="13"/>
  <c r="AI715" i="13"/>
  <c r="AJ714" i="13"/>
  <c r="AI714" i="13"/>
  <c r="AJ713" i="13"/>
  <c r="AI713" i="13"/>
  <c r="AJ712" i="13"/>
  <c r="AI712" i="13"/>
  <c r="AJ711" i="13"/>
  <c r="AI711" i="13"/>
  <c r="AJ710" i="13"/>
  <c r="AI710" i="13"/>
  <c r="AJ709" i="13"/>
  <c r="AI709" i="13"/>
  <c r="AJ708" i="13"/>
  <c r="AI708" i="13"/>
  <c r="AJ707" i="13"/>
  <c r="AI707" i="13"/>
  <c r="AJ706" i="13"/>
  <c r="AI706" i="13"/>
  <c r="AJ705" i="13"/>
  <c r="AI705" i="13"/>
  <c r="AJ704" i="13"/>
  <c r="AI704" i="13"/>
  <c r="AJ703" i="13"/>
  <c r="AI703" i="13"/>
  <c r="AJ702" i="13"/>
  <c r="AI702" i="13"/>
  <c r="AJ701" i="13"/>
  <c r="AI701" i="13"/>
  <c r="AJ700" i="13"/>
  <c r="AI700" i="13"/>
  <c r="AJ699" i="13"/>
  <c r="AI699" i="13"/>
  <c r="AJ698" i="13"/>
  <c r="AI698" i="13"/>
  <c r="AJ697" i="13"/>
  <c r="AI697" i="13"/>
  <c r="AJ682" i="13"/>
  <c r="AI682" i="13"/>
  <c r="AJ681" i="13"/>
  <c r="AI681" i="13"/>
  <c r="AJ680" i="13"/>
  <c r="AI680" i="13"/>
  <c r="AJ679" i="13"/>
  <c r="AI679" i="13"/>
  <c r="AJ678" i="13"/>
  <c r="AI678" i="13"/>
  <c r="AJ677" i="13"/>
  <c r="AI677" i="13"/>
  <c r="AJ676" i="13"/>
  <c r="AI676" i="13"/>
  <c r="AJ675" i="13"/>
  <c r="AI675" i="13"/>
  <c r="AJ674" i="13"/>
  <c r="AI674" i="13"/>
  <c r="AJ673" i="13"/>
  <c r="AI673" i="13"/>
  <c r="AJ672" i="13"/>
  <c r="AI672" i="13"/>
  <c r="AJ671" i="13"/>
  <c r="AI671" i="13"/>
  <c r="AJ670" i="13"/>
  <c r="AI670" i="13"/>
  <c r="AJ669" i="13"/>
  <c r="AI669" i="13"/>
  <c r="AJ668" i="13"/>
  <c r="AI668" i="13"/>
  <c r="AJ667" i="13"/>
  <c r="AI667" i="13"/>
  <c r="AJ666" i="13"/>
  <c r="AI666" i="13"/>
  <c r="AJ665" i="13"/>
  <c r="AI665" i="13"/>
  <c r="AJ664" i="13"/>
  <c r="AI664" i="13"/>
  <c r="AJ663" i="13"/>
  <c r="AI663" i="13"/>
  <c r="AJ662" i="13"/>
  <c r="AI662" i="13"/>
  <c r="AJ661" i="13"/>
  <c r="AI661" i="13"/>
  <c r="AJ660" i="13"/>
  <c r="AI660" i="13"/>
  <c r="AJ659" i="13"/>
  <c r="AI659" i="13"/>
  <c r="AJ658" i="13"/>
  <c r="AI658" i="13"/>
  <c r="AJ657" i="13"/>
  <c r="AI657" i="13"/>
  <c r="AJ656" i="13"/>
  <c r="AI656" i="13"/>
  <c r="AJ655" i="13"/>
  <c r="AI655" i="13"/>
  <c r="AJ654" i="13"/>
  <c r="AI654" i="13"/>
  <c r="AJ653" i="13"/>
  <c r="AI653" i="13"/>
  <c r="AJ652" i="13"/>
  <c r="AI652" i="13"/>
  <c r="AJ651" i="13"/>
  <c r="AI651" i="13"/>
  <c r="AJ636" i="13"/>
  <c r="AI636" i="13"/>
  <c r="AJ635" i="13"/>
  <c r="AI635" i="13"/>
  <c r="AJ634" i="13"/>
  <c r="AI634" i="13"/>
  <c r="AJ633" i="13"/>
  <c r="AI633" i="13"/>
  <c r="AJ632" i="13"/>
  <c r="AI632" i="13"/>
  <c r="AJ631" i="13"/>
  <c r="AI631" i="13"/>
  <c r="AJ630" i="13"/>
  <c r="AI630" i="13"/>
  <c r="AJ629" i="13"/>
  <c r="AI629" i="13"/>
  <c r="AJ628" i="13"/>
  <c r="AI628" i="13"/>
  <c r="AJ627" i="13"/>
  <c r="AI627" i="13"/>
  <c r="AJ626" i="13"/>
  <c r="AI626" i="13"/>
  <c r="AJ625" i="13"/>
  <c r="AI625" i="13"/>
  <c r="AJ624" i="13"/>
  <c r="AI624" i="13"/>
  <c r="AJ623" i="13"/>
  <c r="AI623" i="13"/>
  <c r="AJ622" i="13"/>
  <c r="AI622" i="13"/>
  <c r="AJ621" i="13"/>
  <c r="AI621" i="13"/>
  <c r="AJ620" i="13"/>
  <c r="AI620" i="13"/>
  <c r="AJ619" i="13"/>
  <c r="AI619" i="13"/>
  <c r="AJ618" i="13"/>
  <c r="AI618" i="13"/>
  <c r="AJ617" i="13"/>
  <c r="AI617" i="13"/>
  <c r="AJ616" i="13"/>
  <c r="AI616" i="13"/>
  <c r="AJ615" i="13"/>
  <c r="AI615" i="13"/>
  <c r="AJ614" i="13"/>
  <c r="AI614" i="13"/>
  <c r="AJ613" i="13"/>
  <c r="AI613" i="13"/>
  <c r="AJ612" i="13"/>
  <c r="AI612" i="13"/>
  <c r="AJ611" i="13"/>
  <c r="AI611" i="13"/>
  <c r="AJ610" i="13"/>
  <c r="AI610" i="13"/>
  <c r="AJ609" i="13"/>
  <c r="AI609" i="13"/>
  <c r="AJ608" i="13"/>
  <c r="AI608" i="13"/>
  <c r="AJ607" i="13"/>
  <c r="AI607" i="13"/>
  <c r="AJ606" i="13"/>
  <c r="AI606" i="13"/>
  <c r="AJ605" i="13"/>
  <c r="AI605" i="13"/>
  <c r="AJ590" i="13"/>
  <c r="AI590" i="13"/>
  <c r="AJ589" i="13"/>
  <c r="AI589" i="13"/>
  <c r="AJ588" i="13"/>
  <c r="AI588" i="13"/>
  <c r="AJ587" i="13"/>
  <c r="AI587" i="13"/>
  <c r="AJ586" i="13"/>
  <c r="AI586" i="13"/>
  <c r="AJ585" i="13"/>
  <c r="AI585" i="13"/>
  <c r="AJ584" i="13"/>
  <c r="AI584" i="13"/>
  <c r="AJ583" i="13"/>
  <c r="AI583" i="13"/>
  <c r="AJ582" i="13"/>
  <c r="AI582" i="13"/>
  <c r="AJ581" i="13"/>
  <c r="AI581" i="13"/>
  <c r="AJ580" i="13"/>
  <c r="AI580" i="13"/>
  <c r="AJ579" i="13"/>
  <c r="AI579" i="13"/>
  <c r="AJ578" i="13"/>
  <c r="AI578" i="13"/>
  <c r="AJ577" i="13"/>
  <c r="AI577" i="13"/>
  <c r="AJ576" i="13"/>
  <c r="AI576" i="13"/>
  <c r="AJ575" i="13"/>
  <c r="AI575" i="13"/>
  <c r="AJ574" i="13"/>
  <c r="AI574" i="13"/>
  <c r="AJ573" i="13"/>
  <c r="AI573" i="13"/>
  <c r="AJ572" i="13"/>
  <c r="AI572" i="13"/>
  <c r="AJ571" i="13"/>
  <c r="AI571" i="13"/>
  <c r="AJ570" i="13"/>
  <c r="AI570" i="13"/>
  <c r="AJ569" i="13"/>
  <c r="AI569" i="13"/>
  <c r="AJ568" i="13"/>
  <c r="AI568" i="13"/>
  <c r="AJ567" i="13"/>
  <c r="AI567" i="13"/>
  <c r="AJ566" i="13"/>
  <c r="AI566" i="13"/>
  <c r="AJ565" i="13"/>
  <c r="AI565" i="13"/>
  <c r="AJ564" i="13"/>
  <c r="AI564" i="13"/>
  <c r="AJ563" i="13"/>
  <c r="AI563" i="13"/>
  <c r="AJ562" i="13"/>
  <c r="AI562" i="13"/>
  <c r="AJ561" i="13"/>
  <c r="AI561" i="13"/>
  <c r="AJ560" i="13"/>
  <c r="AI560" i="13"/>
  <c r="AJ559" i="13"/>
  <c r="AI559" i="13"/>
  <c r="AJ544" i="13"/>
  <c r="AI544" i="13"/>
  <c r="AJ543" i="13"/>
  <c r="AI543" i="13"/>
  <c r="AJ542" i="13"/>
  <c r="AI542" i="13"/>
  <c r="AJ541" i="13"/>
  <c r="AI541" i="13"/>
  <c r="AJ540" i="13"/>
  <c r="AI540" i="13"/>
  <c r="AJ539" i="13"/>
  <c r="AI539" i="13"/>
  <c r="AJ538" i="13"/>
  <c r="AI538" i="13"/>
  <c r="AJ537" i="13"/>
  <c r="AI537" i="13"/>
  <c r="AJ536" i="13"/>
  <c r="AI536" i="13"/>
  <c r="AJ535" i="13"/>
  <c r="AI535" i="13"/>
  <c r="AJ534" i="13"/>
  <c r="AI534" i="13"/>
  <c r="AJ533" i="13"/>
  <c r="AI533" i="13"/>
  <c r="AJ532" i="13"/>
  <c r="AI532" i="13"/>
  <c r="AJ531" i="13"/>
  <c r="AI531" i="13"/>
  <c r="AJ530" i="13"/>
  <c r="AI530" i="13"/>
  <c r="AJ529" i="13"/>
  <c r="AI529" i="13"/>
  <c r="AJ528" i="13"/>
  <c r="AI528" i="13"/>
  <c r="AJ527" i="13"/>
  <c r="AI527" i="13"/>
  <c r="AJ526" i="13"/>
  <c r="AI526" i="13"/>
  <c r="AJ525" i="13"/>
  <c r="AI525" i="13"/>
  <c r="AJ524" i="13"/>
  <c r="AI524" i="13"/>
  <c r="AJ523" i="13"/>
  <c r="AI523" i="13"/>
  <c r="AJ522" i="13"/>
  <c r="AI522" i="13"/>
  <c r="AJ521" i="13"/>
  <c r="AI521" i="13"/>
  <c r="AJ520" i="13"/>
  <c r="AI520" i="13"/>
  <c r="AJ519" i="13"/>
  <c r="AI519" i="13"/>
  <c r="AJ518" i="13"/>
  <c r="AI518" i="13"/>
  <c r="AJ517" i="13"/>
  <c r="AI517" i="13"/>
  <c r="AJ516" i="13"/>
  <c r="AI516" i="13"/>
  <c r="AJ515" i="13"/>
  <c r="AI515" i="13"/>
  <c r="AJ514" i="13"/>
  <c r="AI514" i="13"/>
  <c r="AJ513" i="13"/>
  <c r="AI513" i="13"/>
  <c r="AJ498" i="13"/>
  <c r="AI498" i="13"/>
  <c r="AJ497" i="13"/>
  <c r="AI497" i="13"/>
  <c r="AJ496" i="13"/>
  <c r="AI496" i="13"/>
  <c r="AJ495" i="13"/>
  <c r="AI495" i="13"/>
  <c r="AJ494" i="13"/>
  <c r="AI494" i="13"/>
  <c r="AJ493" i="13"/>
  <c r="AI493" i="13"/>
  <c r="AJ492" i="13"/>
  <c r="AI492" i="13"/>
  <c r="AJ491" i="13"/>
  <c r="AI491" i="13"/>
  <c r="AJ490" i="13"/>
  <c r="AI490" i="13"/>
  <c r="AJ489" i="13"/>
  <c r="AI489" i="13"/>
  <c r="AJ488" i="13"/>
  <c r="AI488" i="13"/>
  <c r="AJ487" i="13"/>
  <c r="AI487" i="13"/>
  <c r="AJ486" i="13"/>
  <c r="AI486" i="13"/>
  <c r="AJ485" i="13"/>
  <c r="AI485" i="13"/>
  <c r="AJ484" i="13"/>
  <c r="AI484" i="13"/>
  <c r="AJ483" i="13"/>
  <c r="AI483" i="13"/>
  <c r="AJ482" i="13"/>
  <c r="AI482" i="13"/>
  <c r="AJ481" i="13"/>
  <c r="AI481" i="13"/>
  <c r="AJ480" i="13"/>
  <c r="AI480" i="13"/>
  <c r="AJ479" i="13"/>
  <c r="AI479" i="13"/>
  <c r="AJ478" i="13"/>
  <c r="AI478" i="13"/>
  <c r="AJ477" i="13"/>
  <c r="AI477" i="13"/>
  <c r="AJ476" i="13"/>
  <c r="AI476" i="13"/>
  <c r="AJ475" i="13"/>
  <c r="AI475" i="13"/>
  <c r="AJ474" i="13"/>
  <c r="AI474" i="13"/>
  <c r="AJ473" i="13"/>
  <c r="AI473" i="13"/>
  <c r="AJ472" i="13"/>
  <c r="AI472" i="13"/>
  <c r="AJ471" i="13"/>
  <c r="AI471" i="13"/>
  <c r="AJ470" i="13"/>
  <c r="AI470" i="13"/>
  <c r="AJ469" i="13"/>
  <c r="AI469" i="13"/>
  <c r="AJ468" i="13"/>
  <c r="AI468" i="13"/>
  <c r="AJ467" i="13"/>
  <c r="AI467" i="13"/>
  <c r="AJ452" i="13"/>
  <c r="AI452" i="13"/>
  <c r="AJ451" i="13"/>
  <c r="AI451" i="13"/>
  <c r="AJ450" i="13"/>
  <c r="AI450" i="13"/>
  <c r="AJ449" i="13"/>
  <c r="AI449" i="13"/>
  <c r="AJ448" i="13"/>
  <c r="AI448" i="13"/>
  <c r="AJ447" i="13"/>
  <c r="AI447" i="13"/>
  <c r="AJ446" i="13"/>
  <c r="AI446" i="13"/>
  <c r="AJ445" i="13"/>
  <c r="AI445" i="13"/>
  <c r="AJ444" i="13"/>
  <c r="AI444" i="13"/>
  <c r="AJ443" i="13"/>
  <c r="AI443" i="13"/>
  <c r="AJ442" i="13"/>
  <c r="AI442" i="13"/>
  <c r="AJ441" i="13"/>
  <c r="AI441" i="13"/>
  <c r="AJ440" i="13"/>
  <c r="AI440" i="13"/>
  <c r="AJ439" i="13"/>
  <c r="AI439" i="13"/>
  <c r="AJ438" i="13"/>
  <c r="AI438" i="13"/>
  <c r="AJ437" i="13"/>
  <c r="AI437" i="13"/>
  <c r="AJ436" i="13"/>
  <c r="AI436" i="13"/>
  <c r="AJ435" i="13"/>
  <c r="AI435" i="13"/>
  <c r="AJ434" i="13"/>
  <c r="AI434" i="13"/>
  <c r="AJ433" i="13"/>
  <c r="AI433" i="13"/>
  <c r="AJ432" i="13"/>
  <c r="AI432" i="13"/>
  <c r="AJ431" i="13"/>
  <c r="AI431" i="13"/>
  <c r="AJ430" i="13"/>
  <c r="AI430" i="13"/>
  <c r="AJ429" i="13"/>
  <c r="AI429" i="13"/>
  <c r="AJ428" i="13"/>
  <c r="AI428" i="13"/>
  <c r="AJ427" i="13"/>
  <c r="AI427" i="13"/>
  <c r="AJ426" i="13"/>
  <c r="AI426" i="13"/>
  <c r="AJ425" i="13"/>
  <c r="AI425" i="13"/>
  <c r="AJ424" i="13"/>
  <c r="AI424" i="13"/>
  <c r="AJ423" i="13"/>
  <c r="AI423" i="13"/>
  <c r="AJ422" i="13"/>
  <c r="AI422" i="13"/>
  <c r="AJ421" i="13"/>
  <c r="AI421" i="13"/>
  <c r="AJ406" i="13"/>
  <c r="AI406" i="13"/>
  <c r="AJ405" i="13"/>
  <c r="AI405" i="13"/>
  <c r="AJ404" i="13"/>
  <c r="AI404" i="13"/>
  <c r="AJ403" i="13"/>
  <c r="AI403" i="13"/>
  <c r="AJ402" i="13"/>
  <c r="AI402" i="13"/>
  <c r="AJ401" i="13"/>
  <c r="AI401" i="13"/>
  <c r="AJ400" i="13"/>
  <c r="AI400" i="13"/>
  <c r="AJ399" i="13"/>
  <c r="AI399" i="13"/>
  <c r="AJ398" i="13"/>
  <c r="AI398" i="13"/>
  <c r="AJ397" i="13"/>
  <c r="AI397" i="13"/>
  <c r="AJ396" i="13"/>
  <c r="AI396" i="13"/>
  <c r="AJ395" i="13"/>
  <c r="AI395" i="13"/>
  <c r="AJ394" i="13"/>
  <c r="AI394" i="13"/>
  <c r="AJ393" i="13"/>
  <c r="AI393" i="13"/>
  <c r="AJ392" i="13"/>
  <c r="AI392" i="13"/>
  <c r="AJ391" i="13"/>
  <c r="AI391" i="13"/>
  <c r="AJ390" i="13"/>
  <c r="AI390" i="13"/>
  <c r="AJ389" i="13"/>
  <c r="AI389" i="13"/>
  <c r="AJ388" i="13"/>
  <c r="AI388" i="13"/>
  <c r="AJ387" i="13"/>
  <c r="AI387" i="13"/>
  <c r="AJ386" i="13"/>
  <c r="AI386" i="13"/>
  <c r="AJ385" i="13"/>
  <c r="AI385" i="13"/>
  <c r="AJ384" i="13"/>
  <c r="AI384" i="13"/>
  <c r="AJ383" i="13"/>
  <c r="AI383" i="13"/>
  <c r="AJ382" i="13"/>
  <c r="AI382" i="13"/>
  <c r="AJ381" i="13"/>
  <c r="AI381" i="13"/>
  <c r="AJ380" i="13"/>
  <c r="AI380" i="13"/>
  <c r="AJ379" i="13"/>
  <c r="AI379" i="13"/>
  <c r="AJ378" i="13"/>
  <c r="AI378" i="13"/>
  <c r="AJ377" i="13"/>
  <c r="AI377" i="13"/>
  <c r="AJ376" i="13"/>
  <c r="AI376" i="13"/>
  <c r="AJ375" i="13"/>
  <c r="AI375" i="13"/>
  <c r="AJ360" i="13"/>
  <c r="AI360" i="13"/>
  <c r="AJ359" i="13"/>
  <c r="AI359" i="13"/>
  <c r="AJ358" i="13"/>
  <c r="AI358" i="13"/>
  <c r="AJ357" i="13"/>
  <c r="AI357" i="13"/>
  <c r="AJ356" i="13"/>
  <c r="AI356" i="13"/>
  <c r="AJ355" i="13"/>
  <c r="AI355" i="13"/>
  <c r="AJ354" i="13"/>
  <c r="AI354" i="13"/>
  <c r="AJ353" i="13"/>
  <c r="AI353" i="13"/>
  <c r="AJ352" i="13"/>
  <c r="AI352" i="13"/>
  <c r="AJ351" i="13"/>
  <c r="AI351" i="13"/>
  <c r="AJ350" i="13"/>
  <c r="AI350" i="13"/>
  <c r="AJ349" i="13"/>
  <c r="AI349" i="13"/>
  <c r="AJ348" i="13"/>
  <c r="AI348" i="13"/>
  <c r="AJ347" i="13"/>
  <c r="AI347" i="13"/>
  <c r="AJ346" i="13"/>
  <c r="AI346" i="13"/>
  <c r="AJ345" i="13"/>
  <c r="AI345" i="13"/>
  <c r="AJ344" i="13"/>
  <c r="AI344" i="13"/>
  <c r="AJ343" i="13"/>
  <c r="AI343" i="13"/>
  <c r="AJ342" i="13"/>
  <c r="AI342" i="13"/>
  <c r="AJ341" i="13"/>
  <c r="AI341" i="13"/>
  <c r="AJ340" i="13"/>
  <c r="AI340" i="13"/>
  <c r="AJ339" i="13"/>
  <c r="AI339" i="13"/>
  <c r="AJ338" i="13"/>
  <c r="AI338" i="13"/>
  <c r="AJ337" i="13"/>
  <c r="AI337" i="13"/>
  <c r="AJ336" i="13"/>
  <c r="AI336" i="13"/>
  <c r="AJ335" i="13"/>
  <c r="AI335" i="13"/>
  <c r="AJ334" i="13"/>
  <c r="AI334" i="13"/>
  <c r="AJ333" i="13"/>
  <c r="AI333" i="13"/>
  <c r="AJ332" i="13"/>
  <c r="AI332" i="13"/>
  <c r="AJ331" i="13"/>
  <c r="AI331" i="13"/>
  <c r="AJ330" i="13"/>
  <c r="AI330" i="13"/>
  <c r="AJ329" i="13"/>
  <c r="AI329" i="13"/>
  <c r="AJ314" i="13"/>
  <c r="AI314" i="13"/>
  <c r="AJ313" i="13"/>
  <c r="AI313" i="13"/>
  <c r="AJ312" i="13"/>
  <c r="AI312" i="13"/>
  <c r="AJ311" i="13"/>
  <c r="AI311" i="13"/>
  <c r="AJ310" i="13"/>
  <c r="AI310" i="13"/>
  <c r="AJ309" i="13"/>
  <c r="AI309" i="13"/>
  <c r="AJ308" i="13"/>
  <c r="AI308" i="13"/>
  <c r="AJ307" i="13"/>
  <c r="AI307" i="13"/>
  <c r="AJ306" i="13"/>
  <c r="AI306" i="13"/>
  <c r="AJ305" i="13"/>
  <c r="AI305" i="13"/>
  <c r="AJ304" i="13"/>
  <c r="AI304" i="13"/>
  <c r="AJ303" i="13"/>
  <c r="AI303" i="13"/>
  <c r="AJ302" i="13"/>
  <c r="AI302" i="13"/>
  <c r="AJ301" i="13"/>
  <c r="AI301" i="13"/>
  <c r="AJ300" i="13"/>
  <c r="AI300" i="13"/>
  <c r="AJ299" i="13"/>
  <c r="AI299" i="13"/>
  <c r="AJ298" i="13"/>
  <c r="AI298" i="13"/>
  <c r="AJ297" i="13"/>
  <c r="AI297" i="13"/>
  <c r="AJ296" i="13"/>
  <c r="AI296" i="13"/>
  <c r="AJ295" i="13"/>
  <c r="AI295" i="13"/>
  <c r="AJ294" i="13"/>
  <c r="AI294" i="13"/>
  <c r="AJ293" i="13"/>
  <c r="AI293" i="13"/>
  <c r="AJ292" i="13"/>
  <c r="AI292" i="13"/>
  <c r="AJ291" i="13"/>
  <c r="AI291" i="13"/>
  <c r="AJ290" i="13"/>
  <c r="AI290" i="13"/>
  <c r="AJ289" i="13"/>
  <c r="AI289" i="13"/>
  <c r="AJ288" i="13"/>
  <c r="AI288" i="13"/>
  <c r="AJ287" i="13"/>
  <c r="AI287" i="13"/>
  <c r="AJ286" i="13"/>
  <c r="AI286" i="13"/>
  <c r="AJ285" i="13"/>
  <c r="AI285" i="13"/>
  <c r="AJ284" i="13"/>
  <c r="AI284" i="13"/>
  <c r="AJ283" i="13"/>
  <c r="AI283" i="13"/>
  <c r="AJ268" i="13"/>
  <c r="AI268" i="13"/>
  <c r="AJ267" i="13"/>
  <c r="AI267" i="13"/>
  <c r="AJ266" i="13"/>
  <c r="AI266" i="13"/>
  <c r="AJ265" i="13"/>
  <c r="AI265" i="13"/>
  <c r="AJ264" i="13"/>
  <c r="AI264" i="13"/>
  <c r="AJ263" i="13"/>
  <c r="AI263" i="13"/>
  <c r="AJ262" i="13"/>
  <c r="AI262" i="13"/>
  <c r="AJ261" i="13"/>
  <c r="AI261" i="13"/>
  <c r="AJ260" i="13"/>
  <c r="AI260" i="13"/>
  <c r="AJ259" i="13"/>
  <c r="AI259" i="13"/>
  <c r="AJ258" i="13"/>
  <c r="AI258" i="13"/>
  <c r="AJ257" i="13"/>
  <c r="AI257" i="13"/>
  <c r="AJ256" i="13"/>
  <c r="AI256" i="13"/>
  <c r="AJ255" i="13"/>
  <c r="AI255" i="13"/>
  <c r="AJ254" i="13"/>
  <c r="AI254" i="13"/>
  <c r="AJ253" i="13"/>
  <c r="AI253" i="13"/>
  <c r="AJ252" i="13"/>
  <c r="AI252" i="13"/>
  <c r="AJ251" i="13"/>
  <c r="AI251" i="13"/>
  <c r="AJ250" i="13"/>
  <c r="AI250" i="13"/>
  <c r="AJ249" i="13"/>
  <c r="AI249" i="13"/>
  <c r="AJ248" i="13"/>
  <c r="AI248" i="13"/>
  <c r="AJ247" i="13"/>
  <c r="AI247" i="13"/>
  <c r="AJ246" i="13"/>
  <c r="AI246" i="13"/>
  <c r="AJ245" i="13"/>
  <c r="AI245" i="13"/>
  <c r="AJ244" i="13"/>
  <c r="AI244" i="13"/>
  <c r="AJ243" i="13"/>
  <c r="AI243" i="13"/>
  <c r="AJ242" i="13"/>
  <c r="AI242" i="13"/>
  <c r="AJ241" i="13"/>
  <c r="AI241" i="13"/>
  <c r="AJ240" i="13"/>
  <c r="AI240" i="13"/>
  <c r="AJ239" i="13"/>
  <c r="AI239" i="13"/>
  <c r="AJ238" i="13"/>
  <c r="AI238" i="13"/>
  <c r="AJ237" i="13"/>
  <c r="AI237" i="13"/>
  <c r="AJ222" i="13"/>
  <c r="AI222" i="13"/>
  <c r="AJ221" i="13"/>
  <c r="AI221" i="13"/>
  <c r="AJ220" i="13"/>
  <c r="AI220" i="13"/>
  <c r="AJ219" i="13"/>
  <c r="AI219" i="13"/>
  <c r="AJ218" i="13"/>
  <c r="AI218" i="13"/>
  <c r="AJ217" i="13"/>
  <c r="AI217" i="13"/>
  <c r="AJ216" i="13"/>
  <c r="AI216" i="13"/>
  <c r="AJ215" i="13"/>
  <c r="AI215" i="13"/>
  <c r="AJ214" i="13"/>
  <c r="AI214" i="13"/>
  <c r="AJ213" i="13"/>
  <c r="AI213" i="13"/>
  <c r="AJ212" i="13"/>
  <c r="AI212" i="13"/>
  <c r="AJ211" i="13"/>
  <c r="AI211" i="13"/>
  <c r="AJ210" i="13"/>
  <c r="AI210" i="13"/>
  <c r="AJ209" i="13"/>
  <c r="AI209" i="13"/>
  <c r="AJ208" i="13"/>
  <c r="AI208" i="13"/>
  <c r="AJ207" i="13"/>
  <c r="AI207" i="13"/>
  <c r="AJ206" i="13"/>
  <c r="AI206" i="13"/>
  <c r="AJ205" i="13"/>
  <c r="AI205" i="13"/>
  <c r="AJ204" i="13"/>
  <c r="AI204" i="13"/>
  <c r="AJ203" i="13"/>
  <c r="AI203" i="13"/>
  <c r="AJ202" i="13"/>
  <c r="AI202" i="13"/>
  <c r="AJ201" i="13"/>
  <c r="AI201" i="13"/>
  <c r="AJ200" i="13"/>
  <c r="AI200" i="13"/>
  <c r="AJ199" i="13"/>
  <c r="AI199" i="13"/>
  <c r="AJ198" i="13"/>
  <c r="AI198" i="13"/>
  <c r="AJ197" i="13"/>
  <c r="AI197" i="13"/>
  <c r="AJ196" i="13"/>
  <c r="AI196" i="13"/>
  <c r="AJ195" i="13"/>
  <c r="AI195" i="13"/>
  <c r="AJ194" i="13"/>
  <c r="AI194" i="13"/>
  <c r="AJ193" i="13"/>
  <c r="AI193" i="13"/>
  <c r="AJ192" i="13"/>
  <c r="AI192" i="13"/>
  <c r="AJ191" i="13"/>
  <c r="AI191" i="13"/>
  <c r="AJ176" i="13"/>
  <c r="AI176" i="13"/>
  <c r="AJ175" i="13"/>
  <c r="AI175" i="13"/>
  <c r="AJ174" i="13"/>
  <c r="AI174" i="13"/>
  <c r="AJ173" i="13"/>
  <c r="AI173" i="13"/>
  <c r="AJ172" i="13"/>
  <c r="AI172" i="13"/>
  <c r="AJ171" i="13"/>
  <c r="AI171" i="13"/>
  <c r="AJ170" i="13"/>
  <c r="AI170" i="13"/>
  <c r="AJ169" i="13"/>
  <c r="AI169" i="13"/>
  <c r="AJ168" i="13"/>
  <c r="AI168" i="13"/>
  <c r="AJ167" i="13"/>
  <c r="AI167" i="13"/>
  <c r="AJ166" i="13"/>
  <c r="AI166" i="13"/>
  <c r="AJ165" i="13"/>
  <c r="AI165" i="13"/>
  <c r="AJ164" i="13"/>
  <c r="AI164" i="13"/>
  <c r="AJ163" i="13"/>
  <c r="AI163" i="13"/>
  <c r="AJ162" i="13"/>
  <c r="AI162" i="13"/>
  <c r="AJ161" i="13"/>
  <c r="AI161" i="13"/>
  <c r="AJ160" i="13"/>
  <c r="AI160" i="13"/>
  <c r="AJ159" i="13"/>
  <c r="AI159" i="13"/>
  <c r="AJ158" i="13"/>
  <c r="AI158" i="13"/>
  <c r="AJ157" i="13"/>
  <c r="AI157" i="13"/>
  <c r="AJ156" i="13"/>
  <c r="AI156" i="13"/>
  <c r="AJ155" i="13"/>
  <c r="AI155" i="13"/>
  <c r="AJ154" i="13"/>
  <c r="AI154" i="13"/>
  <c r="AJ153" i="13"/>
  <c r="AI153" i="13"/>
  <c r="AJ152" i="13"/>
  <c r="AI152" i="13"/>
  <c r="AJ151" i="13"/>
  <c r="AI151" i="13"/>
  <c r="AJ150" i="13"/>
  <c r="AI150" i="13"/>
  <c r="AJ149" i="13"/>
  <c r="AI149" i="13"/>
  <c r="AJ148" i="13"/>
  <c r="AI148" i="13"/>
  <c r="AJ147" i="13"/>
  <c r="AI147" i="13"/>
  <c r="AJ146" i="13"/>
  <c r="AI146" i="13"/>
  <c r="AJ145" i="13"/>
  <c r="AI145" i="13"/>
  <c r="AJ130" i="13"/>
  <c r="AI130" i="13"/>
  <c r="AJ129" i="13"/>
  <c r="AI129" i="13"/>
  <c r="AJ128" i="13"/>
  <c r="AI128" i="13"/>
  <c r="AJ127" i="13"/>
  <c r="AI127" i="13"/>
  <c r="AJ126" i="13"/>
  <c r="AI126" i="13"/>
  <c r="AJ125" i="13"/>
  <c r="AI125" i="13"/>
  <c r="AJ124" i="13"/>
  <c r="AI124" i="13"/>
  <c r="AJ123" i="13"/>
  <c r="AI123" i="13"/>
  <c r="AJ122" i="13"/>
  <c r="AI122" i="13"/>
  <c r="AJ121" i="13"/>
  <c r="AI121" i="13"/>
  <c r="AJ120" i="13"/>
  <c r="AI120" i="13"/>
  <c r="AJ119" i="13"/>
  <c r="AI119" i="13"/>
  <c r="AJ118" i="13"/>
  <c r="AI118" i="13"/>
  <c r="AJ117" i="13"/>
  <c r="AI117" i="13"/>
  <c r="AJ116" i="13"/>
  <c r="AI116" i="13"/>
  <c r="AJ115" i="13"/>
  <c r="AI115" i="13"/>
  <c r="AJ114" i="13"/>
  <c r="AI114" i="13"/>
  <c r="AJ113" i="13"/>
  <c r="AI113" i="13"/>
  <c r="AJ112" i="13"/>
  <c r="AI112" i="13"/>
  <c r="AJ111" i="13"/>
  <c r="AI111" i="13"/>
  <c r="AJ110" i="13"/>
  <c r="AI110" i="13"/>
  <c r="AJ109" i="13"/>
  <c r="AI109" i="13"/>
  <c r="AJ108" i="13"/>
  <c r="AI108" i="13"/>
  <c r="AJ107" i="13"/>
  <c r="AI107" i="13"/>
  <c r="AJ106" i="13"/>
  <c r="AI106" i="13"/>
  <c r="AJ105" i="13"/>
  <c r="AI105" i="13"/>
  <c r="AJ104" i="13"/>
  <c r="AI104" i="13"/>
  <c r="AJ103" i="13"/>
  <c r="AI103" i="13"/>
  <c r="AJ102" i="13"/>
  <c r="AI102" i="13"/>
  <c r="AJ101" i="13"/>
  <c r="AI101" i="13"/>
  <c r="AJ100" i="13"/>
  <c r="AI100" i="13"/>
  <c r="AJ99" i="13"/>
  <c r="AI99" i="13"/>
  <c r="AI79" i="13"/>
  <c r="AJ79" i="13"/>
  <c r="AI80" i="13"/>
  <c r="AJ80" i="13"/>
  <c r="AI81" i="13"/>
  <c r="AJ81" i="13"/>
  <c r="AI82" i="13"/>
  <c r="AJ82" i="13"/>
  <c r="AI83" i="13"/>
  <c r="AJ83" i="13"/>
  <c r="AI84" i="13"/>
  <c r="AJ84" i="13"/>
  <c r="AJ78" i="13"/>
  <c r="AI78" i="13"/>
  <c r="AJ77" i="13"/>
  <c r="AI77" i="13"/>
  <c r="AJ76" i="13"/>
  <c r="AI76" i="13"/>
  <c r="AJ75" i="13"/>
  <c r="AI75" i="13"/>
  <c r="AJ74" i="13"/>
  <c r="AI74" i="13"/>
  <c r="AJ73" i="13"/>
  <c r="AI73" i="13"/>
  <c r="AJ72" i="13"/>
  <c r="AI72" i="13"/>
  <c r="AJ71" i="13"/>
  <c r="AI71" i="13"/>
  <c r="AJ70" i="13"/>
  <c r="AI70" i="13"/>
  <c r="AJ69" i="13"/>
  <c r="AI69" i="13"/>
  <c r="AJ68" i="13"/>
  <c r="AI68" i="13"/>
  <c r="AJ67" i="13"/>
  <c r="AI67" i="13"/>
  <c r="AJ66" i="13"/>
  <c r="AI66" i="13"/>
  <c r="AJ65" i="13"/>
  <c r="AI65" i="13"/>
  <c r="AJ64" i="13"/>
  <c r="AI64" i="13"/>
  <c r="AJ63" i="13"/>
  <c r="AI63" i="13"/>
  <c r="AJ62" i="13"/>
  <c r="AI62" i="13"/>
  <c r="AJ61" i="13"/>
  <c r="AI61" i="13"/>
  <c r="AJ60" i="13"/>
  <c r="AI60" i="13"/>
  <c r="AJ59" i="13"/>
  <c r="AI59" i="13"/>
  <c r="AJ58" i="13"/>
  <c r="AI58" i="13"/>
  <c r="AJ57" i="13"/>
  <c r="AI57" i="13"/>
  <c r="AJ56" i="13"/>
  <c r="AI56" i="13"/>
  <c r="AJ55" i="13"/>
  <c r="AI55" i="13"/>
  <c r="AJ54" i="13"/>
  <c r="AI54" i="13"/>
  <c r="AJ53" i="13"/>
  <c r="AI53" i="13"/>
  <c r="AI12" i="13"/>
  <c r="AJ12" i="13"/>
  <c r="AI13" i="13"/>
  <c r="AJ13" i="13"/>
  <c r="AI14" i="13"/>
  <c r="AJ14" i="13"/>
  <c r="AI15" i="13"/>
  <c r="AJ15" i="13"/>
  <c r="AI16" i="13"/>
  <c r="AJ16" i="13"/>
  <c r="AI17" i="13"/>
  <c r="AJ17" i="13"/>
  <c r="AI18" i="13"/>
  <c r="AJ18" i="13"/>
  <c r="AI19" i="13"/>
  <c r="AJ19" i="13"/>
  <c r="AI20" i="13"/>
  <c r="AJ20" i="13"/>
  <c r="AI21" i="13"/>
  <c r="AJ21" i="13"/>
  <c r="AI22" i="13"/>
  <c r="AJ22" i="13"/>
  <c r="AI23" i="13"/>
  <c r="AJ23" i="13"/>
  <c r="AI24" i="13"/>
  <c r="AJ24" i="13"/>
  <c r="AI25" i="13"/>
  <c r="AJ25" i="13"/>
  <c r="AI26" i="13"/>
  <c r="AJ26" i="13"/>
  <c r="AI27" i="13"/>
  <c r="AJ27" i="13"/>
  <c r="AI28" i="13"/>
  <c r="AJ28" i="13"/>
  <c r="AI29" i="13"/>
  <c r="AJ29" i="13"/>
  <c r="AI30" i="13"/>
  <c r="AJ30" i="13"/>
  <c r="AI31" i="13"/>
  <c r="AJ31" i="13"/>
  <c r="AI32" i="13"/>
  <c r="AJ32" i="13"/>
  <c r="AI33" i="13"/>
  <c r="AJ33" i="13"/>
  <c r="AI34" i="13"/>
  <c r="AJ34" i="13"/>
  <c r="AI35" i="13"/>
  <c r="AJ35" i="13"/>
  <c r="AJ11" i="13"/>
  <c r="AI11" i="13"/>
  <c r="BI868" i="13"/>
  <c r="BI869" i="13" s="1"/>
  <c r="BI870" i="13" s="1"/>
  <c r="BI851" i="13" s="1"/>
  <c r="BK868" i="13"/>
  <c r="BK869" i="13" s="1"/>
  <c r="BK870" i="13" s="1"/>
  <c r="BK851" i="13" s="1"/>
  <c r="BJ868" i="13"/>
  <c r="BJ869" i="13" s="1"/>
  <c r="BJ870" i="13" s="1"/>
  <c r="BJ851" i="13" s="1"/>
  <c r="BH868" i="13"/>
  <c r="BH869" i="13" s="1"/>
  <c r="BH870" i="13" s="1"/>
  <c r="BH851" i="13" s="1"/>
  <c r="BG868" i="13"/>
  <c r="BG869" i="13" s="1"/>
  <c r="BG870" i="13" s="1"/>
  <c r="BG851" i="13" s="1"/>
  <c r="BF868" i="13"/>
  <c r="BF869" i="13" s="1"/>
  <c r="BF870" i="13" s="1"/>
  <c r="BF851" i="13" s="1"/>
  <c r="BK822" i="13"/>
  <c r="BK823" i="13"/>
  <c r="BK824" i="13" s="1"/>
  <c r="BK805" i="13" s="1"/>
  <c r="BJ822" i="13"/>
  <c r="BJ823" i="13" s="1"/>
  <c r="BJ824" i="13" s="1"/>
  <c r="BJ805" i="13" s="1"/>
  <c r="BI822" i="13"/>
  <c r="BI823" i="13" s="1"/>
  <c r="BI824" i="13" s="1"/>
  <c r="BI805" i="13" s="1"/>
  <c r="BH822" i="13"/>
  <c r="BH823" i="13" s="1"/>
  <c r="BH824" i="13" s="1"/>
  <c r="BH805" i="13" s="1"/>
  <c r="BG822" i="13"/>
  <c r="BG823" i="13" s="1"/>
  <c r="BG824" i="13" s="1"/>
  <c r="BG805" i="13" s="1"/>
  <c r="BF822" i="13"/>
  <c r="BF823" i="13" s="1"/>
  <c r="BF824" i="13" s="1"/>
  <c r="BF805" i="13" s="1"/>
  <c r="BK776" i="13"/>
  <c r="BK777" i="13" s="1"/>
  <c r="BK778" i="13" s="1"/>
  <c r="BK759" i="13" s="1"/>
  <c r="BJ776" i="13"/>
  <c r="BJ777" i="13" s="1"/>
  <c r="BJ778" i="13" s="1"/>
  <c r="BJ759" i="13" s="1"/>
  <c r="BI776" i="13"/>
  <c r="BI777" i="13" s="1"/>
  <c r="BI778" i="13" s="1"/>
  <c r="BI759" i="13" s="1"/>
  <c r="BH776" i="13"/>
  <c r="BH777" i="13" s="1"/>
  <c r="BH778" i="13" s="1"/>
  <c r="BH759" i="13" s="1"/>
  <c r="BG776" i="13"/>
  <c r="BG777" i="13" s="1"/>
  <c r="BG778" i="13" s="1"/>
  <c r="BG759" i="13" s="1"/>
  <c r="BF776" i="13"/>
  <c r="BF777" i="13" s="1"/>
  <c r="BF778" i="13" s="1"/>
  <c r="BF759" i="13" s="1"/>
  <c r="BK730" i="13"/>
  <c r="BK731" i="13" s="1"/>
  <c r="BK732" i="13" s="1"/>
  <c r="BK713" i="13" s="1"/>
  <c r="BJ730" i="13"/>
  <c r="BJ731" i="13" s="1"/>
  <c r="BJ732" i="13" s="1"/>
  <c r="BJ713" i="13" s="1"/>
  <c r="BI730" i="13"/>
  <c r="BI731" i="13" s="1"/>
  <c r="BI732" i="13" s="1"/>
  <c r="BI713" i="13" s="1"/>
  <c r="BH730" i="13"/>
  <c r="BH731" i="13" s="1"/>
  <c r="BH732" i="13" s="1"/>
  <c r="BH713" i="13" s="1"/>
  <c r="BG730" i="13"/>
  <c r="BG731" i="13" s="1"/>
  <c r="BG732" i="13" s="1"/>
  <c r="BG713" i="13" s="1"/>
  <c r="BF730" i="13"/>
  <c r="BF731" i="13" s="1"/>
  <c r="BF732" i="13" s="1"/>
  <c r="BF713" i="13" s="1"/>
  <c r="BK684" i="13"/>
  <c r="BK685" i="13" s="1"/>
  <c r="BK686" i="13" s="1"/>
  <c r="BK667" i="13" s="1"/>
  <c r="BJ684" i="13"/>
  <c r="BJ685" i="13" s="1"/>
  <c r="BJ686" i="13" s="1"/>
  <c r="BJ667" i="13" s="1"/>
  <c r="BI684" i="13"/>
  <c r="BI685" i="13" s="1"/>
  <c r="BI686" i="13" s="1"/>
  <c r="BI667" i="13" s="1"/>
  <c r="BH684" i="13"/>
  <c r="BH685" i="13" s="1"/>
  <c r="BH686" i="13" s="1"/>
  <c r="BH667" i="13" s="1"/>
  <c r="BG684" i="13"/>
  <c r="BG685" i="13" s="1"/>
  <c r="BG686" i="13" s="1"/>
  <c r="BG667" i="13" s="1"/>
  <c r="BF684" i="13"/>
  <c r="BF685" i="13" s="1"/>
  <c r="BF686" i="13" s="1"/>
  <c r="BF667" i="13" s="1"/>
  <c r="BK638" i="13"/>
  <c r="BK639" i="13" s="1"/>
  <c r="BK640" i="13" s="1"/>
  <c r="BK621" i="13" s="1"/>
  <c r="BJ638" i="13"/>
  <c r="BJ639" i="13" s="1"/>
  <c r="BJ640" i="13" s="1"/>
  <c r="BJ621" i="13" s="1"/>
  <c r="BI638" i="13"/>
  <c r="BI639" i="13" s="1"/>
  <c r="BI640" i="13" s="1"/>
  <c r="BI621" i="13" s="1"/>
  <c r="BH638" i="13"/>
  <c r="BH639" i="13" s="1"/>
  <c r="BH640" i="13" s="1"/>
  <c r="BH621" i="13" s="1"/>
  <c r="BG638" i="13"/>
  <c r="BG639" i="13" s="1"/>
  <c r="BG640" i="13" s="1"/>
  <c r="BG621" i="13" s="1"/>
  <c r="BF638" i="13"/>
  <c r="BF639" i="13" s="1"/>
  <c r="BF640" i="13" s="1"/>
  <c r="BF621" i="13" s="1"/>
  <c r="BK592" i="13"/>
  <c r="BK593" i="13" s="1"/>
  <c r="BK594" i="13" s="1"/>
  <c r="BK575" i="13" s="1"/>
  <c r="BJ592" i="13"/>
  <c r="BJ593" i="13" s="1"/>
  <c r="BJ594" i="13" s="1"/>
  <c r="BJ575" i="13" s="1"/>
  <c r="BI592" i="13"/>
  <c r="BI593" i="13" s="1"/>
  <c r="BI594" i="13" s="1"/>
  <c r="BI575" i="13" s="1"/>
  <c r="BH592" i="13"/>
  <c r="BH593" i="13" s="1"/>
  <c r="BH594" i="13" s="1"/>
  <c r="BH575" i="13" s="1"/>
  <c r="BG592" i="13"/>
  <c r="BG593" i="13" s="1"/>
  <c r="BG594" i="13" s="1"/>
  <c r="BG575" i="13" s="1"/>
  <c r="BF592" i="13"/>
  <c r="BF593" i="13" s="1"/>
  <c r="BF594" i="13" s="1"/>
  <c r="BF575" i="13" s="1"/>
  <c r="BK546" i="13"/>
  <c r="BK547" i="13" s="1"/>
  <c r="BK548" i="13" s="1"/>
  <c r="BK529" i="13" s="1"/>
  <c r="BJ546" i="13"/>
  <c r="BJ547" i="13" s="1"/>
  <c r="BJ548" i="13" s="1"/>
  <c r="BJ529" i="13" s="1"/>
  <c r="BI546" i="13"/>
  <c r="BI547" i="13" s="1"/>
  <c r="BI548" i="13" s="1"/>
  <c r="BI529" i="13" s="1"/>
  <c r="BH546" i="13"/>
  <c r="BH547" i="13" s="1"/>
  <c r="BH548" i="13" s="1"/>
  <c r="BH529" i="13" s="1"/>
  <c r="BG546" i="13"/>
  <c r="BG547" i="13" s="1"/>
  <c r="BG548" i="13" s="1"/>
  <c r="BG529" i="13" s="1"/>
  <c r="BF546" i="13"/>
  <c r="BF547" i="13" s="1"/>
  <c r="BF548" i="13" s="1"/>
  <c r="BF529" i="13" s="1"/>
  <c r="BK500" i="13"/>
  <c r="BK501" i="13" s="1"/>
  <c r="BK502" i="13" s="1"/>
  <c r="BK483" i="13" s="1"/>
  <c r="BJ500" i="13"/>
  <c r="BJ501" i="13" s="1"/>
  <c r="BJ502" i="13" s="1"/>
  <c r="BJ483" i="13" s="1"/>
  <c r="BI500" i="13"/>
  <c r="BI501" i="13" s="1"/>
  <c r="BI502" i="13" s="1"/>
  <c r="BI483" i="13" s="1"/>
  <c r="BH500" i="13"/>
  <c r="BH501" i="13" s="1"/>
  <c r="BH502" i="13" s="1"/>
  <c r="BH483" i="13" s="1"/>
  <c r="BG500" i="13"/>
  <c r="BG501" i="13" s="1"/>
  <c r="BG502" i="13" s="1"/>
  <c r="BG483" i="13" s="1"/>
  <c r="BF500" i="13"/>
  <c r="BF501" i="13" s="1"/>
  <c r="BF502" i="13" s="1"/>
  <c r="BF483" i="13" s="1"/>
  <c r="BK454" i="13"/>
  <c r="BK455" i="13" s="1"/>
  <c r="BK456" i="13" s="1"/>
  <c r="BK437" i="13" s="1"/>
  <c r="BJ454" i="13"/>
  <c r="BJ455" i="13" s="1"/>
  <c r="BJ456" i="13" s="1"/>
  <c r="BJ437" i="13" s="1"/>
  <c r="BI454" i="13"/>
  <c r="BI455" i="13" s="1"/>
  <c r="BI456" i="13" s="1"/>
  <c r="BI437" i="13" s="1"/>
  <c r="BH454" i="13"/>
  <c r="BH455" i="13" s="1"/>
  <c r="BH456" i="13" s="1"/>
  <c r="BH437" i="13" s="1"/>
  <c r="BG454" i="13"/>
  <c r="BG455" i="13" s="1"/>
  <c r="BG456" i="13" s="1"/>
  <c r="BG437" i="13" s="1"/>
  <c r="BF454" i="13"/>
  <c r="BF455" i="13" s="1"/>
  <c r="BF456" i="13" s="1"/>
  <c r="BF437" i="13" s="1"/>
  <c r="BK408" i="13"/>
  <c r="BK409" i="13" s="1"/>
  <c r="BK410" i="13" s="1"/>
  <c r="BK391" i="13" s="1"/>
  <c r="BJ408" i="13"/>
  <c r="BJ409" i="13" s="1"/>
  <c r="BJ410" i="13" s="1"/>
  <c r="BJ391" i="13" s="1"/>
  <c r="BI408" i="13"/>
  <c r="BI409" i="13" s="1"/>
  <c r="BI410" i="13" s="1"/>
  <c r="BI391" i="13" s="1"/>
  <c r="BH408" i="13"/>
  <c r="BH409" i="13" s="1"/>
  <c r="BH410" i="13" s="1"/>
  <c r="BH391" i="13" s="1"/>
  <c r="BG408" i="13"/>
  <c r="BG409" i="13" s="1"/>
  <c r="BG410" i="13" s="1"/>
  <c r="BG391" i="13" s="1"/>
  <c r="BF408" i="13"/>
  <c r="BF409" i="13" s="1"/>
  <c r="BF410" i="13" s="1"/>
  <c r="BF391" i="13" s="1"/>
  <c r="BK362" i="13"/>
  <c r="BK363" i="13" s="1"/>
  <c r="BK364" i="13" s="1"/>
  <c r="BK345" i="13" s="1"/>
  <c r="BJ362" i="13"/>
  <c r="BJ363" i="13" s="1"/>
  <c r="BJ364" i="13" s="1"/>
  <c r="BJ345" i="13" s="1"/>
  <c r="BI362" i="13"/>
  <c r="BI363" i="13" s="1"/>
  <c r="BI364" i="13" s="1"/>
  <c r="BI345" i="13" s="1"/>
  <c r="BH362" i="13"/>
  <c r="BH363" i="13" s="1"/>
  <c r="BH364" i="13" s="1"/>
  <c r="BH345" i="13" s="1"/>
  <c r="BG362" i="13"/>
  <c r="BG363" i="13" s="1"/>
  <c r="BG364" i="13" s="1"/>
  <c r="BG345" i="13" s="1"/>
  <c r="BF362" i="13"/>
  <c r="BF363" i="13" s="1"/>
  <c r="BF364" i="13" s="1"/>
  <c r="BF345" i="13" s="1"/>
  <c r="BK316" i="13"/>
  <c r="BK317" i="13" s="1"/>
  <c r="BK318" i="13" s="1"/>
  <c r="BK299" i="13" s="1"/>
  <c r="BJ316" i="13"/>
  <c r="BJ317" i="13" s="1"/>
  <c r="BJ318" i="13" s="1"/>
  <c r="BJ299" i="13" s="1"/>
  <c r="BI316" i="13"/>
  <c r="BI317" i="13" s="1"/>
  <c r="BI318" i="13" s="1"/>
  <c r="BI299" i="13" s="1"/>
  <c r="BH316" i="13"/>
  <c r="BH317" i="13" s="1"/>
  <c r="BH318" i="13" s="1"/>
  <c r="BH299" i="13" s="1"/>
  <c r="BG316" i="13"/>
  <c r="BG317" i="13" s="1"/>
  <c r="BG318" i="13" s="1"/>
  <c r="BG299" i="13" s="1"/>
  <c r="BF316" i="13"/>
  <c r="BF317" i="13" s="1"/>
  <c r="BF318" i="13" s="1"/>
  <c r="BF299" i="13" s="1"/>
  <c r="BK270" i="13"/>
  <c r="BK271" i="13" s="1"/>
  <c r="BK272" i="13" s="1"/>
  <c r="BK253" i="13" s="1"/>
  <c r="BJ270" i="13"/>
  <c r="BJ271" i="13" s="1"/>
  <c r="BJ272" i="13" s="1"/>
  <c r="BJ253" i="13" s="1"/>
  <c r="BI270" i="13"/>
  <c r="BI271" i="13" s="1"/>
  <c r="BI272" i="13" s="1"/>
  <c r="BI253" i="13" s="1"/>
  <c r="BH270" i="13"/>
  <c r="BH271" i="13" s="1"/>
  <c r="BH272" i="13" s="1"/>
  <c r="BH253" i="13" s="1"/>
  <c r="BG270" i="13"/>
  <c r="BG271" i="13" s="1"/>
  <c r="BG272" i="13" s="1"/>
  <c r="BG253" i="13" s="1"/>
  <c r="BF270" i="13"/>
  <c r="BF271" i="13" s="1"/>
  <c r="BF272" i="13" s="1"/>
  <c r="BF253" i="13" s="1"/>
  <c r="BK224" i="13"/>
  <c r="BK225" i="13" s="1"/>
  <c r="BK226" i="13" s="1"/>
  <c r="BK207" i="13" s="1"/>
  <c r="BJ224" i="13"/>
  <c r="BJ225" i="13" s="1"/>
  <c r="BJ226" i="13" s="1"/>
  <c r="BJ207" i="13" s="1"/>
  <c r="BI224" i="13"/>
  <c r="BI225" i="13" s="1"/>
  <c r="BI226" i="13" s="1"/>
  <c r="BI207" i="13" s="1"/>
  <c r="BH224" i="13"/>
  <c r="BH225" i="13" s="1"/>
  <c r="BH226" i="13" s="1"/>
  <c r="BH207" i="13" s="1"/>
  <c r="BG224" i="13"/>
  <c r="BG225" i="13" s="1"/>
  <c r="BG226" i="13" s="1"/>
  <c r="BG207" i="13" s="1"/>
  <c r="BF224" i="13"/>
  <c r="BF225" i="13" s="1"/>
  <c r="BF226" i="13" s="1"/>
  <c r="BF207" i="13" s="1"/>
  <c r="BI178" i="13"/>
  <c r="BI179" i="13" s="1"/>
  <c r="BI180" i="13" s="1"/>
  <c r="BI161" i="13" s="1"/>
  <c r="BK178" i="13"/>
  <c r="BK179" i="13" s="1"/>
  <c r="BK180" i="13" s="1"/>
  <c r="BK161" i="13" s="1"/>
  <c r="BJ178" i="13"/>
  <c r="BJ179" i="13" s="1"/>
  <c r="BJ180" i="13" s="1"/>
  <c r="BJ161" i="13" s="1"/>
  <c r="BH178" i="13"/>
  <c r="BH179" i="13" s="1"/>
  <c r="BH180" i="13" s="1"/>
  <c r="BH161" i="13" s="1"/>
  <c r="BG178" i="13"/>
  <c r="BG179" i="13" s="1"/>
  <c r="BG180" i="13" s="1"/>
  <c r="BG161" i="13" s="1"/>
  <c r="BF178" i="13"/>
  <c r="BF179" i="13" s="1"/>
  <c r="BF180" i="13" s="1"/>
  <c r="BF161" i="13" s="1"/>
  <c r="BK132" i="13"/>
  <c r="BK133" i="13" s="1"/>
  <c r="BK134" i="13" s="1"/>
  <c r="BK115" i="13" s="1"/>
  <c r="BJ132" i="13"/>
  <c r="BJ133" i="13" s="1"/>
  <c r="BJ134" i="13" s="1"/>
  <c r="BJ115" i="13" s="1"/>
  <c r="BI132" i="13"/>
  <c r="BI133" i="13" s="1"/>
  <c r="BI134" i="13" s="1"/>
  <c r="BI115" i="13" s="1"/>
  <c r="BH132" i="13"/>
  <c r="BH133" i="13" s="1"/>
  <c r="BH134" i="13" s="1"/>
  <c r="BH115" i="13" s="1"/>
  <c r="BG132" i="13"/>
  <c r="BG133" i="13" s="1"/>
  <c r="BG134" i="13" s="1"/>
  <c r="BG115" i="13" s="1"/>
  <c r="BF132" i="13"/>
  <c r="BF133" i="13" s="1"/>
  <c r="BF134" i="13" s="1"/>
  <c r="BF115" i="13" s="1"/>
  <c r="BK828" i="13"/>
  <c r="BK829" i="13" s="1"/>
  <c r="BK830" i="13" s="1"/>
  <c r="BK833" i="13" s="1"/>
  <c r="BJ828" i="13"/>
  <c r="BJ829" i="13" s="1"/>
  <c r="BJ830" i="13" s="1"/>
  <c r="BJ833" i="13" s="1"/>
  <c r="BI828" i="13"/>
  <c r="BI829" i="13" s="1"/>
  <c r="BI830" i="13" s="1"/>
  <c r="BI833" i="13" s="1"/>
  <c r="BH828" i="13"/>
  <c r="BH829" i="13" s="1"/>
  <c r="BH830" i="13" s="1"/>
  <c r="BH833" i="13" s="1"/>
  <c r="BG828" i="13"/>
  <c r="BG829" i="13" s="1"/>
  <c r="BG830" i="13" s="1"/>
  <c r="BG833" i="13" s="1"/>
  <c r="BF828" i="13"/>
  <c r="BF829" i="13" s="1"/>
  <c r="BF830" i="13" s="1"/>
  <c r="BF833" i="13" s="1"/>
  <c r="BK782" i="13"/>
  <c r="BK783" i="13" s="1"/>
  <c r="BK784" i="13" s="1"/>
  <c r="BK787" i="13" s="1"/>
  <c r="BJ782" i="13"/>
  <c r="BJ783" i="13" s="1"/>
  <c r="BJ784" i="13" s="1"/>
  <c r="BJ787" i="13" s="1"/>
  <c r="BI782" i="13"/>
  <c r="BI783" i="13" s="1"/>
  <c r="BI784" i="13" s="1"/>
  <c r="BI787" i="13" s="1"/>
  <c r="BH782" i="13"/>
  <c r="BH783" i="13" s="1"/>
  <c r="BH784" i="13" s="1"/>
  <c r="BH787" i="13" s="1"/>
  <c r="BG782" i="13"/>
  <c r="BG783" i="13" s="1"/>
  <c r="BG784" i="13" s="1"/>
  <c r="BG787" i="13" s="1"/>
  <c r="BF782" i="13"/>
  <c r="BF783" i="13" s="1"/>
  <c r="BF784" i="13" s="1"/>
  <c r="BF787" i="13" s="1"/>
  <c r="BK736" i="13"/>
  <c r="BK737" i="13" s="1"/>
  <c r="BK738" i="13" s="1"/>
  <c r="BK741" i="13" s="1"/>
  <c r="BJ736" i="13"/>
  <c r="BJ737" i="13" s="1"/>
  <c r="BJ738" i="13" s="1"/>
  <c r="BJ741" i="13" s="1"/>
  <c r="BI736" i="13"/>
  <c r="BI737" i="13" s="1"/>
  <c r="BI738" i="13" s="1"/>
  <c r="BI741" i="13" s="1"/>
  <c r="BH736" i="13"/>
  <c r="BH737" i="13" s="1"/>
  <c r="BH738" i="13" s="1"/>
  <c r="BH741" i="13" s="1"/>
  <c r="BG736" i="13"/>
  <c r="BG737" i="13" s="1"/>
  <c r="BG738" i="13" s="1"/>
  <c r="BG741" i="13" s="1"/>
  <c r="BF736" i="13"/>
  <c r="BF737" i="13" s="1"/>
  <c r="BF738" i="13" s="1"/>
  <c r="BF741" i="13" s="1"/>
  <c r="BK690" i="13"/>
  <c r="BK691" i="13" s="1"/>
  <c r="BK692" i="13" s="1"/>
  <c r="BK695" i="13" s="1"/>
  <c r="BJ690" i="13"/>
  <c r="BJ691" i="13" s="1"/>
  <c r="BJ692" i="13" s="1"/>
  <c r="BJ695" i="13" s="1"/>
  <c r="BI690" i="13"/>
  <c r="BI691" i="13" s="1"/>
  <c r="BI692" i="13" s="1"/>
  <c r="BI695" i="13" s="1"/>
  <c r="BH690" i="13"/>
  <c r="BH691" i="13" s="1"/>
  <c r="BH692" i="13" s="1"/>
  <c r="BH695" i="13" s="1"/>
  <c r="BG690" i="13"/>
  <c r="BG691" i="13" s="1"/>
  <c r="BG692" i="13" s="1"/>
  <c r="BG695" i="13" s="1"/>
  <c r="BF690" i="13"/>
  <c r="BF691" i="13" s="1"/>
  <c r="BF692" i="13" s="1"/>
  <c r="BF695" i="13" s="1"/>
  <c r="BK644" i="13"/>
  <c r="BK645" i="13" s="1"/>
  <c r="BK646" i="13" s="1"/>
  <c r="BK649" i="13" s="1"/>
  <c r="BJ644" i="13"/>
  <c r="BJ645" i="13" s="1"/>
  <c r="BJ646" i="13" s="1"/>
  <c r="BJ649" i="13" s="1"/>
  <c r="BI644" i="13"/>
  <c r="BI645" i="13" s="1"/>
  <c r="BI646" i="13" s="1"/>
  <c r="BI649" i="13" s="1"/>
  <c r="BH644" i="13"/>
  <c r="BH645" i="13" s="1"/>
  <c r="BH646" i="13" s="1"/>
  <c r="BH649" i="13" s="1"/>
  <c r="BG644" i="13"/>
  <c r="BG645" i="13" s="1"/>
  <c r="BG646" i="13" s="1"/>
  <c r="BG649" i="13" s="1"/>
  <c r="BF644" i="13"/>
  <c r="BF645" i="13" s="1"/>
  <c r="BF646" i="13" s="1"/>
  <c r="BF649" i="13" s="1"/>
  <c r="BK598" i="13"/>
  <c r="BK599" i="13" s="1"/>
  <c r="BK600" i="13" s="1"/>
  <c r="BK603" i="13" s="1"/>
  <c r="BJ598" i="13"/>
  <c r="BJ599" i="13" s="1"/>
  <c r="BJ600" i="13" s="1"/>
  <c r="BJ603" i="13" s="1"/>
  <c r="BI598" i="13"/>
  <c r="BI599" i="13" s="1"/>
  <c r="BI600" i="13" s="1"/>
  <c r="BI603" i="13" s="1"/>
  <c r="BH598" i="13"/>
  <c r="BH599" i="13" s="1"/>
  <c r="BH600" i="13" s="1"/>
  <c r="BH603" i="13" s="1"/>
  <c r="BG598" i="13"/>
  <c r="BG599" i="13" s="1"/>
  <c r="BG600" i="13" s="1"/>
  <c r="BG603" i="13" s="1"/>
  <c r="BF598" i="13"/>
  <c r="BF599" i="13" s="1"/>
  <c r="BF600" i="13" s="1"/>
  <c r="BF603" i="13" s="1"/>
  <c r="BK552" i="13"/>
  <c r="BK553" i="13" s="1"/>
  <c r="BK554" i="13" s="1"/>
  <c r="BK557" i="13" s="1"/>
  <c r="BJ552" i="13"/>
  <c r="BJ553" i="13" s="1"/>
  <c r="BJ554" i="13" s="1"/>
  <c r="BJ557" i="13" s="1"/>
  <c r="BI552" i="13"/>
  <c r="BI553" i="13" s="1"/>
  <c r="BI554" i="13" s="1"/>
  <c r="BI557" i="13" s="1"/>
  <c r="BH552" i="13"/>
  <c r="BH553" i="13" s="1"/>
  <c r="BH554" i="13" s="1"/>
  <c r="BH557" i="13" s="1"/>
  <c r="BG552" i="13"/>
  <c r="BG553" i="13" s="1"/>
  <c r="BG554" i="13" s="1"/>
  <c r="BG557" i="13" s="1"/>
  <c r="BF552" i="13"/>
  <c r="BF553" i="13" s="1"/>
  <c r="BF554" i="13" s="1"/>
  <c r="BF557" i="13" s="1"/>
  <c r="BK506" i="13"/>
  <c r="BK507" i="13" s="1"/>
  <c r="BK508" i="13" s="1"/>
  <c r="BK511" i="13" s="1"/>
  <c r="BJ506" i="13"/>
  <c r="BJ507" i="13" s="1"/>
  <c r="BJ508" i="13" s="1"/>
  <c r="BJ511" i="13" s="1"/>
  <c r="BI506" i="13"/>
  <c r="BI507" i="13" s="1"/>
  <c r="BI508" i="13" s="1"/>
  <c r="BI511" i="13" s="1"/>
  <c r="BH506" i="13"/>
  <c r="BH507" i="13" s="1"/>
  <c r="BH508" i="13" s="1"/>
  <c r="BH511" i="13" s="1"/>
  <c r="BG506" i="13"/>
  <c r="BG507" i="13" s="1"/>
  <c r="BG508" i="13" s="1"/>
  <c r="BG511" i="13" s="1"/>
  <c r="BF506" i="13"/>
  <c r="BF507" i="13" s="1"/>
  <c r="BF508" i="13" s="1"/>
  <c r="BF511" i="13" s="1"/>
  <c r="BK460" i="13"/>
  <c r="BK461" i="13" s="1"/>
  <c r="BK462" i="13" s="1"/>
  <c r="BK465" i="13" s="1"/>
  <c r="BJ460" i="13"/>
  <c r="BJ461" i="13" s="1"/>
  <c r="BJ462" i="13" s="1"/>
  <c r="BJ465" i="13" s="1"/>
  <c r="BI460" i="13"/>
  <c r="BI461" i="13" s="1"/>
  <c r="BI462" i="13" s="1"/>
  <c r="BI465" i="13" s="1"/>
  <c r="BH460" i="13"/>
  <c r="BH461" i="13" s="1"/>
  <c r="BH462" i="13" s="1"/>
  <c r="BH465" i="13" s="1"/>
  <c r="BG460" i="13"/>
  <c r="BG461" i="13" s="1"/>
  <c r="BG462" i="13" s="1"/>
  <c r="BG465" i="13" s="1"/>
  <c r="BF460" i="13"/>
  <c r="BF461" i="13" s="1"/>
  <c r="BF462" i="13" s="1"/>
  <c r="BF465" i="13" s="1"/>
  <c r="BK414" i="13"/>
  <c r="BK415" i="13" s="1"/>
  <c r="BK416" i="13" s="1"/>
  <c r="BK419" i="13" s="1"/>
  <c r="BJ414" i="13"/>
  <c r="BJ415" i="13" s="1"/>
  <c r="BJ416" i="13" s="1"/>
  <c r="BJ419" i="13" s="1"/>
  <c r="BI414" i="13"/>
  <c r="BI415" i="13" s="1"/>
  <c r="BI416" i="13" s="1"/>
  <c r="BI419" i="13" s="1"/>
  <c r="BH414" i="13"/>
  <c r="BH415" i="13" s="1"/>
  <c r="BH416" i="13" s="1"/>
  <c r="BH419" i="13" s="1"/>
  <c r="BG414" i="13"/>
  <c r="BG415" i="13" s="1"/>
  <c r="BG416" i="13" s="1"/>
  <c r="BG419" i="13" s="1"/>
  <c r="BF414" i="13"/>
  <c r="BF415" i="13" s="1"/>
  <c r="BF416" i="13" s="1"/>
  <c r="BF419" i="13" s="1"/>
  <c r="BK368" i="13"/>
  <c r="BK369" i="13" s="1"/>
  <c r="BK370" i="13" s="1"/>
  <c r="BK373" i="13" s="1"/>
  <c r="BJ368" i="13"/>
  <c r="BJ369" i="13" s="1"/>
  <c r="BJ370" i="13" s="1"/>
  <c r="BJ373" i="13" s="1"/>
  <c r="BI368" i="13"/>
  <c r="BI369" i="13" s="1"/>
  <c r="BI370" i="13" s="1"/>
  <c r="BI373" i="13" s="1"/>
  <c r="BH368" i="13"/>
  <c r="BH369" i="13" s="1"/>
  <c r="BH370" i="13" s="1"/>
  <c r="BH373" i="13" s="1"/>
  <c r="BG368" i="13"/>
  <c r="BG369" i="13" s="1"/>
  <c r="BG370" i="13" s="1"/>
  <c r="BG373" i="13" s="1"/>
  <c r="BF368" i="13"/>
  <c r="BF369" i="13" s="1"/>
  <c r="BF370" i="13" s="1"/>
  <c r="BF373" i="13" s="1"/>
  <c r="BK322" i="13"/>
  <c r="BK323" i="13" s="1"/>
  <c r="BK324" i="13" s="1"/>
  <c r="BK327" i="13" s="1"/>
  <c r="BJ322" i="13"/>
  <c r="BJ323" i="13" s="1"/>
  <c r="BJ324" i="13" s="1"/>
  <c r="BJ327" i="13" s="1"/>
  <c r="BI322" i="13"/>
  <c r="BI323" i="13" s="1"/>
  <c r="BI324" i="13" s="1"/>
  <c r="BI327" i="13" s="1"/>
  <c r="BH322" i="13"/>
  <c r="BH323" i="13" s="1"/>
  <c r="BH324" i="13" s="1"/>
  <c r="BH327" i="13" s="1"/>
  <c r="BG322" i="13"/>
  <c r="BG323" i="13" s="1"/>
  <c r="BG324" i="13" s="1"/>
  <c r="BG327" i="13" s="1"/>
  <c r="BF322" i="13"/>
  <c r="BF323" i="13" s="1"/>
  <c r="BF324" i="13" s="1"/>
  <c r="BF327" i="13" s="1"/>
  <c r="BK276" i="13"/>
  <c r="BK277" i="13" s="1"/>
  <c r="BK278" i="13" s="1"/>
  <c r="BK281" i="13" s="1"/>
  <c r="BJ276" i="13"/>
  <c r="BJ277" i="13" s="1"/>
  <c r="BJ278" i="13" s="1"/>
  <c r="BJ281" i="13" s="1"/>
  <c r="BI276" i="13"/>
  <c r="BI277" i="13" s="1"/>
  <c r="BI278" i="13" s="1"/>
  <c r="BI281" i="13" s="1"/>
  <c r="BH276" i="13"/>
  <c r="BH277" i="13" s="1"/>
  <c r="BH278" i="13" s="1"/>
  <c r="BH281" i="13" s="1"/>
  <c r="BG276" i="13"/>
  <c r="BG277" i="13" s="1"/>
  <c r="BG278" i="13" s="1"/>
  <c r="BG281" i="13" s="1"/>
  <c r="BF276" i="13"/>
  <c r="BF277" i="13" s="1"/>
  <c r="BF278" i="13" s="1"/>
  <c r="BF281" i="13" s="1"/>
  <c r="BK230" i="13"/>
  <c r="BK231" i="13" s="1"/>
  <c r="BK232" i="13" s="1"/>
  <c r="BK235" i="13" s="1"/>
  <c r="BJ230" i="13"/>
  <c r="BJ231" i="13" s="1"/>
  <c r="BJ232" i="13" s="1"/>
  <c r="BJ235" i="13" s="1"/>
  <c r="BI230" i="13"/>
  <c r="BI231" i="13" s="1"/>
  <c r="BI232" i="13" s="1"/>
  <c r="BI235" i="13" s="1"/>
  <c r="BH230" i="13"/>
  <c r="BH231" i="13" s="1"/>
  <c r="BH232" i="13" s="1"/>
  <c r="BH235" i="13" s="1"/>
  <c r="BG230" i="13"/>
  <c r="BG231" i="13" s="1"/>
  <c r="BG232" i="13" s="1"/>
  <c r="BG235" i="13" s="1"/>
  <c r="BF230" i="13"/>
  <c r="BF231" i="13" s="1"/>
  <c r="BF232" i="13" s="1"/>
  <c r="BF235" i="13" s="1"/>
  <c r="BI184" i="13"/>
  <c r="BI185" i="13" s="1"/>
  <c r="BI186" i="13" s="1"/>
  <c r="BI189" i="13" s="1"/>
  <c r="BK184" i="13"/>
  <c r="BK185" i="13" s="1"/>
  <c r="BK186" i="13" s="1"/>
  <c r="BK189" i="13" s="1"/>
  <c r="BJ184" i="13"/>
  <c r="BJ185" i="13" s="1"/>
  <c r="BJ186" i="13" s="1"/>
  <c r="BJ189" i="13" s="1"/>
  <c r="BH184" i="13"/>
  <c r="BH185" i="13" s="1"/>
  <c r="BH186" i="13" s="1"/>
  <c r="BH189" i="13" s="1"/>
  <c r="BG184" i="13"/>
  <c r="BG185" i="13" s="1"/>
  <c r="BG186" i="13" s="1"/>
  <c r="BG189" i="13" s="1"/>
  <c r="BF184" i="13"/>
  <c r="BF185" i="13" s="1"/>
  <c r="BF186" i="13" s="1"/>
  <c r="BF189" i="13" s="1"/>
  <c r="BK138" i="13"/>
  <c r="BK139" i="13" s="1"/>
  <c r="BK140" i="13" s="1"/>
  <c r="BK143" i="13" s="1"/>
  <c r="BJ138" i="13"/>
  <c r="BJ139" i="13" s="1"/>
  <c r="BJ140" i="13" s="1"/>
  <c r="BJ143" i="13" s="1"/>
  <c r="BI138" i="13"/>
  <c r="BI139" i="13" s="1"/>
  <c r="BI140" i="13" s="1"/>
  <c r="BI143" i="13" s="1"/>
  <c r="BH138" i="13"/>
  <c r="BH139" i="13" s="1"/>
  <c r="BH140" i="13" s="1"/>
  <c r="BH143" i="13" s="1"/>
  <c r="BG138" i="13"/>
  <c r="BG139" i="13" s="1"/>
  <c r="BG140" i="13" s="1"/>
  <c r="BG143" i="13" s="1"/>
  <c r="BF138" i="13"/>
  <c r="BF139" i="13" s="1"/>
  <c r="BF140" i="13" s="1"/>
  <c r="BF143" i="13" s="1"/>
  <c r="BK92" i="13"/>
  <c r="BK93" i="13" s="1"/>
  <c r="BK94" i="13" s="1"/>
  <c r="BK97" i="13" s="1"/>
  <c r="BJ92" i="13"/>
  <c r="BJ93" i="13" s="1"/>
  <c r="BJ94" i="13" s="1"/>
  <c r="BJ97" i="13" s="1"/>
  <c r="BI92" i="13"/>
  <c r="BI93" i="13" s="1"/>
  <c r="BI94" i="13" s="1"/>
  <c r="BI97" i="13" s="1"/>
  <c r="BH92" i="13"/>
  <c r="BH93" i="13" s="1"/>
  <c r="BH94" i="13" s="1"/>
  <c r="BH97" i="13" s="1"/>
  <c r="BG92" i="13"/>
  <c r="BG93" i="13" s="1"/>
  <c r="BG94" i="13" s="1"/>
  <c r="BG97" i="13" s="1"/>
  <c r="BF92" i="13"/>
  <c r="BF93" i="13" s="1"/>
  <c r="BF94" i="13" s="1"/>
  <c r="BF97" i="13" s="1"/>
  <c r="BG86" i="13"/>
  <c r="BG87" i="13" s="1"/>
  <c r="BG88" i="13" s="1"/>
  <c r="BG69" i="13" s="1"/>
  <c r="BH86" i="13"/>
  <c r="BH87" i="13" s="1"/>
  <c r="BH88" i="13" s="1"/>
  <c r="BH69" i="13" s="1"/>
  <c r="BI86" i="13"/>
  <c r="BI87" i="13" s="1"/>
  <c r="BI88" i="13" s="1"/>
  <c r="BI69" i="13" s="1"/>
  <c r="BJ86" i="13"/>
  <c r="BJ87" i="13" s="1"/>
  <c r="BJ88" i="13" s="1"/>
  <c r="BJ69" i="13" s="1"/>
  <c r="BK86" i="13"/>
  <c r="BK87" i="13" s="1"/>
  <c r="BK88" i="13" s="1"/>
  <c r="BK69" i="13" s="1"/>
  <c r="BF86" i="13"/>
  <c r="BF87" i="13" s="1"/>
  <c r="BF88" i="13" s="1"/>
  <c r="BF69" i="13" s="1"/>
  <c r="BG46" i="13"/>
  <c r="BG47" i="13" s="1"/>
  <c r="BG48" i="13" s="1"/>
  <c r="BG51" i="13" s="1"/>
  <c r="BH46" i="13"/>
  <c r="BH47" i="13" s="1"/>
  <c r="BH48" i="13" s="1"/>
  <c r="BH51" i="13" s="1"/>
  <c r="BI46" i="13"/>
  <c r="BI47" i="13" s="1"/>
  <c r="BI48" i="13" s="1"/>
  <c r="BI51" i="13" s="1"/>
  <c r="BJ46" i="13"/>
  <c r="BJ47" i="13" s="1"/>
  <c r="BJ48" i="13" s="1"/>
  <c r="BJ51" i="13" s="1"/>
  <c r="BK46" i="13"/>
  <c r="BK47" i="13" s="1"/>
  <c r="BK48" i="13" s="1"/>
  <c r="BK51" i="13" s="1"/>
  <c r="BF46" i="13"/>
  <c r="BF47" i="13" s="1"/>
  <c r="BF48" i="13" s="1"/>
  <c r="BF51" i="13" s="1"/>
  <c r="BG41" i="13"/>
  <c r="BG42" i="13" s="1"/>
  <c r="BG43" i="13" s="1"/>
  <c r="BG24" i="13" s="1"/>
  <c r="BH41" i="13"/>
  <c r="BH42" i="13" s="1"/>
  <c r="BH43" i="13" s="1"/>
  <c r="BH24" i="13" s="1"/>
  <c r="BI41" i="13"/>
  <c r="BI42" i="13"/>
  <c r="BI43" i="13" s="1"/>
  <c r="BI24" i="13" s="1"/>
  <c r="BJ41" i="13"/>
  <c r="BJ42" i="13" s="1"/>
  <c r="BJ43" i="13" s="1"/>
  <c r="BJ24" i="13" s="1"/>
  <c r="BK41" i="13"/>
  <c r="BK42" i="13" s="1"/>
  <c r="BK43" i="13" s="1"/>
  <c r="BK24" i="13" s="1"/>
  <c r="BF41" i="13"/>
  <c r="BF42" i="13" s="1"/>
  <c r="BF43" i="13" s="1"/>
  <c r="BF24" i="13" s="1"/>
  <c r="BK5" i="13"/>
  <c r="BK6" i="13" s="1"/>
  <c r="BK7" i="13" s="1"/>
  <c r="BK8" i="13" s="1"/>
  <c r="BG5" i="13"/>
  <c r="BG6" i="13" s="1"/>
  <c r="BG7" i="13" s="1"/>
  <c r="BG8" i="13" s="1"/>
  <c r="BH5" i="13"/>
  <c r="BH6" i="13" s="1"/>
  <c r="BH7" i="13" s="1"/>
  <c r="BH8" i="13" s="1"/>
  <c r="BI5" i="13"/>
  <c r="BI6" i="13" s="1"/>
  <c r="BI7" i="13" s="1"/>
  <c r="BI8" i="13" s="1"/>
  <c r="BJ5" i="13"/>
  <c r="BJ6" i="13" s="1"/>
  <c r="BJ7" i="13" s="1"/>
  <c r="BJ8" i="13" s="1"/>
  <c r="BF5" i="13"/>
  <c r="BF6" i="13" s="1"/>
  <c r="BF7" i="13" s="1"/>
  <c r="BF8" i="13" s="1"/>
  <c r="AY866" i="13"/>
  <c r="AX866" i="13"/>
  <c r="AW866" i="13"/>
  <c r="AV866" i="13"/>
  <c r="AT866" i="13"/>
  <c r="AS866" i="13"/>
  <c r="AO866" i="13"/>
  <c r="AN866" i="13"/>
  <c r="AM866" i="13"/>
  <c r="AH866" i="13"/>
  <c r="S866" i="13"/>
  <c r="AB866" i="13" s="1"/>
  <c r="I866" i="13"/>
  <c r="AZ866" i="13" s="1"/>
  <c r="AY865" i="13"/>
  <c r="AX865" i="13"/>
  <c r="AW865" i="13"/>
  <c r="AV865" i="13"/>
  <c r="AT865" i="13"/>
  <c r="AS865" i="13"/>
  <c r="AO865" i="13"/>
  <c r="AN865" i="13"/>
  <c r="AM865" i="13"/>
  <c r="AH865" i="13"/>
  <c r="S865" i="13"/>
  <c r="AB865" i="13" s="1"/>
  <c r="I865" i="13"/>
  <c r="AZ865" i="13" s="1"/>
  <c r="AY864" i="13"/>
  <c r="AX864" i="13"/>
  <c r="AW864" i="13"/>
  <c r="AV864" i="13"/>
  <c r="AT864" i="13"/>
  <c r="AS864" i="13"/>
  <c r="AO864" i="13"/>
  <c r="AN864" i="13"/>
  <c r="AM864" i="13"/>
  <c r="AH864" i="13"/>
  <c r="S864" i="13"/>
  <c r="AB864" i="13" s="1"/>
  <c r="I864" i="13"/>
  <c r="AZ864" i="13" s="1"/>
  <c r="AY863" i="13"/>
  <c r="AX863" i="13"/>
  <c r="AW863" i="13"/>
  <c r="AV863" i="13"/>
  <c r="AT863" i="13"/>
  <c r="AS863" i="13"/>
  <c r="AO863" i="13"/>
  <c r="AN863" i="13"/>
  <c r="AM863" i="13"/>
  <c r="AH863" i="13"/>
  <c r="S863" i="13"/>
  <c r="AB863" i="13" s="1"/>
  <c r="I863" i="13"/>
  <c r="AZ863" i="13" s="1"/>
  <c r="AY862" i="13"/>
  <c r="AX862" i="13"/>
  <c r="AW862" i="13"/>
  <c r="AV862" i="13"/>
  <c r="AT862" i="13"/>
  <c r="AS862" i="13"/>
  <c r="AO862" i="13"/>
  <c r="AN862" i="13"/>
  <c r="AM862" i="13"/>
  <c r="AH862" i="13"/>
  <c r="S862" i="13"/>
  <c r="AB862" i="13" s="1"/>
  <c r="I862" i="13"/>
  <c r="AZ862" i="13" s="1"/>
  <c r="AY861" i="13"/>
  <c r="AX861" i="13"/>
  <c r="AW861" i="13"/>
  <c r="AV861" i="13"/>
  <c r="AT861" i="13"/>
  <c r="AS861" i="13"/>
  <c r="AO861" i="13"/>
  <c r="AN861" i="13"/>
  <c r="AM861" i="13"/>
  <c r="AH861" i="13"/>
  <c r="S861" i="13"/>
  <c r="AB861" i="13" s="1"/>
  <c r="I861" i="13"/>
  <c r="AZ861" i="13" s="1"/>
  <c r="AY860" i="13"/>
  <c r="AX860" i="13"/>
  <c r="AW860" i="13"/>
  <c r="AV860" i="13"/>
  <c r="AT860" i="13"/>
  <c r="AS860" i="13"/>
  <c r="AO860" i="13"/>
  <c r="AN860" i="13"/>
  <c r="AM860" i="13"/>
  <c r="AH860" i="13"/>
  <c r="S860" i="13"/>
  <c r="AB860" i="13" s="1"/>
  <c r="I860" i="13"/>
  <c r="AZ860" i="13" s="1"/>
  <c r="AY859" i="13"/>
  <c r="AX859" i="13"/>
  <c r="AW859" i="13"/>
  <c r="AV859" i="13"/>
  <c r="AT859" i="13"/>
  <c r="AS859" i="13"/>
  <c r="AO859" i="13"/>
  <c r="AN859" i="13"/>
  <c r="AM859" i="13"/>
  <c r="AH859" i="13"/>
  <c r="S859" i="13"/>
  <c r="AB859" i="13" s="1"/>
  <c r="I859" i="13"/>
  <c r="AZ859" i="13" s="1"/>
  <c r="AY858" i="13"/>
  <c r="AX858" i="13"/>
  <c r="AW858" i="13"/>
  <c r="AV858" i="13"/>
  <c r="AT858" i="13"/>
  <c r="AS858" i="13"/>
  <c r="AO858" i="13"/>
  <c r="AN858" i="13"/>
  <c r="AM858" i="13"/>
  <c r="AH858" i="13"/>
  <c r="S858" i="13"/>
  <c r="AB858" i="13" s="1"/>
  <c r="I858" i="13"/>
  <c r="AZ858" i="13" s="1"/>
  <c r="AY857" i="13"/>
  <c r="AX857" i="13"/>
  <c r="AW857" i="13"/>
  <c r="AV857" i="13"/>
  <c r="AT857" i="13"/>
  <c r="AS857" i="13"/>
  <c r="AO857" i="13"/>
  <c r="AN857" i="13"/>
  <c r="AM857" i="13"/>
  <c r="AH857" i="13"/>
  <c r="S857" i="13"/>
  <c r="AB857" i="13" s="1"/>
  <c r="I857" i="13"/>
  <c r="AZ857" i="13" s="1"/>
  <c r="AY856" i="13"/>
  <c r="AX856" i="13"/>
  <c r="AW856" i="13"/>
  <c r="AV856" i="13"/>
  <c r="AT856" i="13"/>
  <c r="AS856" i="13"/>
  <c r="AO856" i="13"/>
  <c r="AN856" i="13"/>
  <c r="AM856" i="13"/>
  <c r="AH856" i="13"/>
  <c r="S856" i="13"/>
  <c r="AB856" i="13" s="1"/>
  <c r="I856" i="13"/>
  <c r="AZ856" i="13" s="1"/>
  <c r="AY855" i="13"/>
  <c r="AX855" i="13"/>
  <c r="AW855" i="13"/>
  <c r="AV855" i="13"/>
  <c r="AT855" i="13"/>
  <c r="AS855" i="13"/>
  <c r="AO855" i="13"/>
  <c r="AN855" i="13"/>
  <c r="AM855" i="13"/>
  <c r="AH855" i="13"/>
  <c r="S855" i="13"/>
  <c r="AB855" i="13" s="1"/>
  <c r="I855" i="13"/>
  <c r="AZ855" i="13" s="1"/>
  <c r="AY854" i="13"/>
  <c r="AX854" i="13"/>
  <c r="AW854" i="13"/>
  <c r="AV854" i="13"/>
  <c r="AT854" i="13"/>
  <c r="AS854" i="13"/>
  <c r="AO854" i="13"/>
  <c r="AN854" i="13"/>
  <c r="AM854" i="13"/>
  <c r="AH854" i="13"/>
  <c r="S854" i="13"/>
  <c r="AB854" i="13" s="1"/>
  <c r="I854" i="13"/>
  <c r="AZ854" i="13" s="1"/>
  <c r="AY853" i="13"/>
  <c r="AX853" i="13"/>
  <c r="AW853" i="13"/>
  <c r="AV853" i="13"/>
  <c r="AT853" i="13"/>
  <c r="AS853" i="13"/>
  <c r="AO853" i="13"/>
  <c r="AN853" i="13"/>
  <c r="AM853" i="13"/>
  <c r="AH853" i="13"/>
  <c r="S853" i="13"/>
  <c r="AB853" i="13" s="1"/>
  <c r="I853" i="13"/>
  <c r="AZ853" i="13" s="1"/>
  <c r="AY852" i="13"/>
  <c r="AX852" i="13"/>
  <c r="AW852" i="13"/>
  <c r="AV852" i="13"/>
  <c r="AT852" i="13"/>
  <c r="AS852" i="13"/>
  <c r="AO852" i="13"/>
  <c r="AN852" i="13"/>
  <c r="AM852" i="13"/>
  <c r="AH852" i="13"/>
  <c r="S852" i="13"/>
  <c r="AB852" i="13" s="1"/>
  <c r="I852" i="13"/>
  <c r="AZ852" i="13" s="1"/>
  <c r="AY851" i="13"/>
  <c r="AX851" i="13"/>
  <c r="AW851" i="13"/>
  <c r="AV851" i="13"/>
  <c r="AT851" i="13"/>
  <c r="AS851" i="13"/>
  <c r="AO851" i="13"/>
  <c r="AN851" i="13"/>
  <c r="AM851" i="13"/>
  <c r="AH851" i="13"/>
  <c r="S851" i="13"/>
  <c r="AB851" i="13" s="1"/>
  <c r="I851" i="13"/>
  <c r="AZ851" i="13" s="1"/>
  <c r="AY850" i="13"/>
  <c r="AX850" i="13"/>
  <c r="AW850" i="13"/>
  <c r="AV850" i="13"/>
  <c r="AT850" i="13"/>
  <c r="AS850" i="13"/>
  <c r="AO850" i="13"/>
  <c r="AN850" i="13"/>
  <c r="AM850" i="13"/>
  <c r="AH850" i="13"/>
  <c r="S850" i="13"/>
  <c r="AB850" i="13" s="1"/>
  <c r="I850" i="13"/>
  <c r="AZ850" i="13" s="1"/>
  <c r="AY849" i="13"/>
  <c r="AX849" i="13"/>
  <c r="AW849" i="13"/>
  <c r="AV849" i="13"/>
  <c r="AT849" i="13"/>
  <c r="AS849" i="13"/>
  <c r="AO849" i="13"/>
  <c r="AN849" i="13"/>
  <c r="AM849" i="13"/>
  <c r="AH849" i="13"/>
  <c r="S849" i="13"/>
  <c r="AB849" i="13" s="1"/>
  <c r="I849" i="13"/>
  <c r="AZ849" i="13" s="1"/>
  <c r="AY848" i="13"/>
  <c r="AX848" i="13"/>
  <c r="AW848" i="13"/>
  <c r="AV848" i="13"/>
  <c r="AT848" i="13"/>
  <c r="AS848" i="13"/>
  <c r="AO848" i="13"/>
  <c r="AN848" i="13"/>
  <c r="AM848" i="13"/>
  <c r="AH848" i="13"/>
  <c r="S848" i="13"/>
  <c r="AB848" i="13" s="1"/>
  <c r="I848" i="13"/>
  <c r="AZ848" i="13" s="1"/>
  <c r="AY847" i="13"/>
  <c r="AX847" i="13"/>
  <c r="AW847" i="13"/>
  <c r="AV847" i="13"/>
  <c r="AT847" i="13"/>
  <c r="AS847" i="13"/>
  <c r="AO847" i="13"/>
  <c r="AN847" i="13"/>
  <c r="AM847" i="13"/>
  <c r="AH847" i="13"/>
  <c r="S847" i="13"/>
  <c r="AB847" i="13" s="1"/>
  <c r="I847" i="13"/>
  <c r="AZ847" i="13" s="1"/>
  <c r="AY846" i="13"/>
  <c r="AX846" i="13"/>
  <c r="AW846" i="13"/>
  <c r="AV846" i="13"/>
  <c r="AT846" i="13"/>
  <c r="AS846" i="13"/>
  <c r="AO846" i="13"/>
  <c r="AN846" i="13"/>
  <c r="AM846" i="13"/>
  <c r="AH846" i="13"/>
  <c r="S846" i="13"/>
  <c r="AB846" i="13" s="1"/>
  <c r="I846" i="13"/>
  <c r="AZ846" i="13" s="1"/>
  <c r="AY845" i="13"/>
  <c r="AX845" i="13"/>
  <c r="AW845" i="13"/>
  <c r="AV845" i="13"/>
  <c r="AT845" i="13"/>
  <c r="AS845" i="13"/>
  <c r="AO845" i="13"/>
  <c r="AN845" i="13"/>
  <c r="AM845" i="13"/>
  <c r="AH845" i="13"/>
  <c r="S845" i="13"/>
  <c r="AB845" i="13" s="1"/>
  <c r="I845" i="13"/>
  <c r="AZ845" i="13" s="1"/>
  <c r="AY844" i="13"/>
  <c r="AX844" i="13"/>
  <c r="AW844" i="13"/>
  <c r="AV844" i="13"/>
  <c r="AT844" i="13"/>
  <c r="AS844" i="13"/>
  <c r="AO844" i="13"/>
  <c r="AN844" i="13"/>
  <c r="AM844" i="13"/>
  <c r="AH844" i="13"/>
  <c r="S844" i="13"/>
  <c r="AB844" i="13" s="1"/>
  <c r="I844" i="13"/>
  <c r="AZ844" i="13" s="1"/>
  <c r="AY843" i="13"/>
  <c r="AX843" i="13"/>
  <c r="AW843" i="13"/>
  <c r="AV843" i="13"/>
  <c r="AT843" i="13"/>
  <c r="AS843" i="13"/>
  <c r="AO843" i="13"/>
  <c r="AN843" i="13"/>
  <c r="AM843" i="13"/>
  <c r="AH843" i="13"/>
  <c r="S843" i="13"/>
  <c r="AB843" i="13" s="1"/>
  <c r="I843" i="13"/>
  <c r="AZ843" i="13" s="1"/>
  <c r="AY842" i="13"/>
  <c r="AX842" i="13"/>
  <c r="AW842" i="13"/>
  <c r="AV842" i="13"/>
  <c r="AT842" i="13"/>
  <c r="AS842" i="13"/>
  <c r="AO842" i="13"/>
  <c r="AN842" i="13"/>
  <c r="AM842" i="13"/>
  <c r="AH842" i="13"/>
  <c r="S842" i="13"/>
  <c r="AB842" i="13" s="1"/>
  <c r="I842" i="13"/>
  <c r="AZ842" i="13" s="1"/>
  <c r="AY841" i="13"/>
  <c r="AX841" i="13"/>
  <c r="AW841" i="13"/>
  <c r="AV841" i="13"/>
  <c r="AT841" i="13"/>
  <c r="AS841" i="13"/>
  <c r="AO841" i="13"/>
  <c r="AN841" i="13"/>
  <c r="AM841" i="13"/>
  <c r="AH841" i="13"/>
  <c r="S841" i="13"/>
  <c r="AB841" i="13" s="1"/>
  <c r="I841" i="13"/>
  <c r="AZ841" i="13" s="1"/>
  <c r="AY840" i="13"/>
  <c r="AX840" i="13"/>
  <c r="AW840" i="13"/>
  <c r="AV840" i="13"/>
  <c r="AT840" i="13"/>
  <c r="AS840" i="13"/>
  <c r="AO840" i="13"/>
  <c r="AN840" i="13"/>
  <c r="AM840" i="13"/>
  <c r="AH840" i="13"/>
  <c r="S840" i="13"/>
  <c r="AB840" i="13" s="1"/>
  <c r="I840" i="13"/>
  <c r="AZ840" i="13" s="1"/>
  <c r="AY839" i="13"/>
  <c r="AX839" i="13"/>
  <c r="AW839" i="13"/>
  <c r="AV839" i="13"/>
  <c r="AT839" i="13"/>
  <c r="AS839" i="13"/>
  <c r="AO839" i="13"/>
  <c r="AN839" i="13"/>
  <c r="AM839" i="13"/>
  <c r="AH839" i="13"/>
  <c r="S839" i="13"/>
  <c r="AB839" i="13" s="1"/>
  <c r="I839" i="13"/>
  <c r="AZ839" i="13" s="1"/>
  <c r="AY838" i="13"/>
  <c r="AX838" i="13"/>
  <c r="AW838" i="13"/>
  <c r="AV838" i="13"/>
  <c r="AT838" i="13"/>
  <c r="AS838" i="13"/>
  <c r="AO838" i="13"/>
  <c r="AN838" i="13"/>
  <c r="AM838" i="13"/>
  <c r="AH838" i="13"/>
  <c r="S838" i="13"/>
  <c r="AB838" i="13" s="1"/>
  <c r="I838" i="13"/>
  <c r="AZ838" i="13" s="1"/>
  <c r="AY837" i="13"/>
  <c r="AX837" i="13"/>
  <c r="AW837" i="13"/>
  <c r="AV837" i="13"/>
  <c r="AT837" i="13"/>
  <c r="AS837" i="13"/>
  <c r="AO837" i="13"/>
  <c r="AN837" i="13"/>
  <c r="AM837" i="13"/>
  <c r="AH837" i="13"/>
  <c r="S837" i="13"/>
  <c r="AB837" i="13" s="1"/>
  <c r="I837" i="13"/>
  <c r="AZ837" i="13" s="1"/>
  <c r="AY836" i="13"/>
  <c r="AX836" i="13"/>
  <c r="AW836" i="13"/>
  <c r="AV836" i="13"/>
  <c r="AT836" i="13"/>
  <c r="AS836" i="13"/>
  <c r="AO836" i="13"/>
  <c r="AN836" i="13"/>
  <c r="AM836" i="13"/>
  <c r="AH836" i="13"/>
  <c r="S836" i="13"/>
  <c r="AB836" i="13" s="1"/>
  <c r="I836" i="13"/>
  <c r="AZ836" i="13" s="1"/>
  <c r="AY835" i="13"/>
  <c r="AX835" i="13"/>
  <c r="AW835" i="13"/>
  <c r="AV835" i="13"/>
  <c r="AT835" i="13"/>
  <c r="AS835" i="13"/>
  <c r="AO835" i="13"/>
  <c r="AN835" i="13"/>
  <c r="AM835" i="13"/>
  <c r="AH835" i="13"/>
  <c r="S835" i="13"/>
  <c r="AB835" i="13" s="1"/>
  <c r="I835" i="13"/>
  <c r="AZ835" i="13" s="1"/>
  <c r="AY820" i="13"/>
  <c r="AX820" i="13"/>
  <c r="AW820" i="13"/>
  <c r="AV820" i="13"/>
  <c r="AT820" i="13"/>
  <c r="AS820" i="13"/>
  <c r="AO820" i="13"/>
  <c r="AN820" i="13"/>
  <c r="AM820" i="13"/>
  <c r="AH820" i="13"/>
  <c r="S820" i="13"/>
  <c r="AB820" i="13" s="1"/>
  <c r="I820" i="13"/>
  <c r="AZ820" i="13" s="1"/>
  <c r="AY819" i="13"/>
  <c r="AX819" i="13"/>
  <c r="AW819" i="13"/>
  <c r="AV819" i="13"/>
  <c r="AT819" i="13"/>
  <c r="AS819" i="13"/>
  <c r="AO819" i="13"/>
  <c r="AN819" i="13"/>
  <c r="AM819" i="13"/>
  <c r="AH819" i="13"/>
  <c r="S819" i="13"/>
  <c r="AB819" i="13" s="1"/>
  <c r="I819" i="13"/>
  <c r="AZ819" i="13" s="1"/>
  <c r="AY818" i="13"/>
  <c r="AX818" i="13"/>
  <c r="AW818" i="13"/>
  <c r="AV818" i="13"/>
  <c r="AT818" i="13"/>
  <c r="AS818" i="13"/>
  <c r="AO818" i="13"/>
  <c r="AN818" i="13"/>
  <c r="AM818" i="13"/>
  <c r="AH818" i="13"/>
  <c r="S818" i="13"/>
  <c r="AB818" i="13" s="1"/>
  <c r="I818" i="13"/>
  <c r="AZ818" i="13" s="1"/>
  <c r="AY817" i="13"/>
  <c r="AX817" i="13"/>
  <c r="AW817" i="13"/>
  <c r="AV817" i="13"/>
  <c r="AT817" i="13"/>
  <c r="AS817" i="13"/>
  <c r="AO817" i="13"/>
  <c r="AN817" i="13"/>
  <c r="AM817" i="13"/>
  <c r="AH817" i="13"/>
  <c r="S817" i="13"/>
  <c r="AB817" i="13" s="1"/>
  <c r="I817" i="13"/>
  <c r="AZ817" i="13" s="1"/>
  <c r="AY816" i="13"/>
  <c r="AX816" i="13"/>
  <c r="AW816" i="13"/>
  <c r="AV816" i="13"/>
  <c r="AT816" i="13"/>
  <c r="AS816" i="13"/>
  <c r="AO816" i="13"/>
  <c r="AN816" i="13"/>
  <c r="AM816" i="13"/>
  <c r="AH816" i="13"/>
  <c r="S816" i="13"/>
  <c r="AB816" i="13" s="1"/>
  <c r="I816" i="13"/>
  <c r="AZ816" i="13" s="1"/>
  <c r="AY815" i="13"/>
  <c r="AX815" i="13"/>
  <c r="AW815" i="13"/>
  <c r="AV815" i="13"/>
  <c r="AT815" i="13"/>
  <c r="AS815" i="13"/>
  <c r="AO815" i="13"/>
  <c r="AN815" i="13"/>
  <c r="AM815" i="13"/>
  <c r="AH815" i="13"/>
  <c r="S815" i="13"/>
  <c r="AB815" i="13" s="1"/>
  <c r="I815" i="13"/>
  <c r="AZ815" i="13" s="1"/>
  <c r="AY814" i="13"/>
  <c r="AX814" i="13"/>
  <c r="AW814" i="13"/>
  <c r="AV814" i="13"/>
  <c r="AT814" i="13"/>
  <c r="AS814" i="13"/>
  <c r="AO814" i="13"/>
  <c r="AN814" i="13"/>
  <c r="AM814" i="13"/>
  <c r="AH814" i="13"/>
  <c r="S814" i="13"/>
  <c r="AB814" i="13" s="1"/>
  <c r="I814" i="13"/>
  <c r="AZ814" i="13" s="1"/>
  <c r="AY813" i="13"/>
  <c r="AX813" i="13"/>
  <c r="AW813" i="13"/>
  <c r="AV813" i="13"/>
  <c r="AT813" i="13"/>
  <c r="AS813" i="13"/>
  <c r="AO813" i="13"/>
  <c r="AN813" i="13"/>
  <c r="AM813" i="13"/>
  <c r="AH813" i="13"/>
  <c r="S813" i="13"/>
  <c r="AB813" i="13" s="1"/>
  <c r="I813" i="13"/>
  <c r="AZ813" i="13" s="1"/>
  <c r="AY812" i="13"/>
  <c r="AX812" i="13"/>
  <c r="AW812" i="13"/>
  <c r="AV812" i="13"/>
  <c r="AT812" i="13"/>
  <c r="AS812" i="13"/>
  <c r="AO812" i="13"/>
  <c r="AN812" i="13"/>
  <c r="AM812" i="13"/>
  <c r="AH812" i="13"/>
  <c r="S812" i="13"/>
  <c r="AB812" i="13" s="1"/>
  <c r="I812" i="13"/>
  <c r="AZ812" i="13" s="1"/>
  <c r="AY811" i="13"/>
  <c r="AX811" i="13"/>
  <c r="AW811" i="13"/>
  <c r="AV811" i="13"/>
  <c r="AT811" i="13"/>
  <c r="AS811" i="13"/>
  <c r="AO811" i="13"/>
  <c r="AN811" i="13"/>
  <c r="AM811" i="13"/>
  <c r="AH811" i="13"/>
  <c r="S811" i="13"/>
  <c r="AB811" i="13" s="1"/>
  <c r="I811" i="13"/>
  <c r="AZ811" i="13" s="1"/>
  <c r="AY810" i="13"/>
  <c r="AX810" i="13"/>
  <c r="AW810" i="13"/>
  <c r="AV810" i="13"/>
  <c r="AT810" i="13"/>
  <c r="AS810" i="13"/>
  <c r="AO810" i="13"/>
  <c r="AN810" i="13"/>
  <c r="AM810" i="13"/>
  <c r="AH810" i="13"/>
  <c r="S810" i="13"/>
  <c r="AB810" i="13" s="1"/>
  <c r="I810" i="13"/>
  <c r="AZ810" i="13" s="1"/>
  <c r="AY809" i="13"/>
  <c r="AX809" i="13"/>
  <c r="AW809" i="13"/>
  <c r="AV809" i="13"/>
  <c r="AT809" i="13"/>
  <c r="AS809" i="13"/>
  <c r="AO809" i="13"/>
  <c r="AN809" i="13"/>
  <c r="AM809" i="13"/>
  <c r="AH809" i="13"/>
  <c r="S809" i="13"/>
  <c r="AB809" i="13" s="1"/>
  <c r="I809" i="13"/>
  <c r="AZ809" i="13" s="1"/>
  <c r="AY808" i="13"/>
  <c r="AX808" i="13"/>
  <c r="AW808" i="13"/>
  <c r="AV808" i="13"/>
  <c r="AT808" i="13"/>
  <c r="AS808" i="13"/>
  <c r="AO808" i="13"/>
  <c r="AN808" i="13"/>
  <c r="AM808" i="13"/>
  <c r="AH808" i="13"/>
  <c r="S808" i="13"/>
  <c r="AB808" i="13" s="1"/>
  <c r="I808" i="13"/>
  <c r="AZ808" i="13" s="1"/>
  <c r="AY807" i="13"/>
  <c r="AX807" i="13"/>
  <c r="AW807" i="13"/>
  <c r="AV807" i="13"/>
  <c r="AT807" i="13"/>
  <c r="AS807" i="13"/>
  <c r="AO807" i="13"/>
  <c r="AN807" i="13"/>
  <c r="AM807" i="13"/>
  <c r="AH807" i="13"/>
  <c r="S807" i="13"/>
  <c r="AB807" i="13" s="1"/>
  <c r="I807" i="13"/>
  <c r="AZ807" i="13" s="1"/>
  <c r="AY806" i="13"/>
  <c r="AX806" i="13"/>
  <c r="AW806" i="13"/>
  <c r="AV806" i="13"/>
  <c r="AT806" i="13"/>
  <c r="AS806" i="13"/>
  <c r="AO806" i="13"/>
  <c r="AN806" i="13"/>
  <c r="AM806" i="13"/>
  <c r="AH806" i="13"/>
  <c r="S806" i="13"/>
  <c r="AB806" i="13" s="1"/>
  <c r="I806" i="13"/>
  <c r="AZ806" i="13" s="1"/>
  <c r="AY805" i="13"/>
  <c r="AX805" i="13"/>
  <c r="AW805" i="13"/>
  <c r="AV805" i="13"/>
  <c r="AT805" i="13"/>
  <c r="AS805" i="13"/>
  <c r="AO805" i="13"/>
  <c r="AN805" i="13"/>
  <c r="AM805" i="13"/>
  <c r="AH805" i="13"/>
  <c r="S805" i="13"/>
  <c r="AB805" i="13" s="1"/>
  <c r="I805" i="13"/>
  <c r="AZ805" i="13" s="1"/>
  <c r="AY804" i="13"/>
  <c r="AX804" i="13"/>
  <c r="AW804" i="13"/>
  <c r="AV804" i="13"/>
  <c r="AT804" i="13"/>
  <c r="AS804" i="13"/>
  <c r="AO804" i="13"/>
  <c r="AN804" i="13"/>
  <c r="AM804" i="13"/>
  <c r="AH804" i="13"/>
  <c r="S804" i="13"/>
  <c r="AB804" i="13" s="1"/>
  <c r="I804" i="13"/>
  <c r="AZ804" i="13" s="1"/>
  <c r="AY803" i="13"/>
  <c r="AX803" i="13"/>
  <c r="AW803" i="13"/>
  <c r="AV803" i="13"/>
  <c r="AT803" i="13"/>
  <c r="AS803" i="13"/>
  <c r="AO803" i="13"/>
  <c r="AN803" i="13"/>
  <c r="AM803" i="13"/>
  <c r="AH803" i="13"/>
  <c r="S803" i="13"/>
  <c r="AB803" i="13" s="1"/>
  <c r="I803" i="13"/>
  <c r="AZ803" i="13" s="1"/>
  <c r="AY802" i="13"/>
  <c r="AX802" i="13"/>
  <c r="AW802" i="13"/>
  <c r="AV802" i="13"/>
  <c r="AT802" i="13"/>
  <c r="AS802" i="13"/>
  <c r="AO802" i="13"/>
  <c r="AN802" i="13"/>
  <c r="AM802" i="13"/>
  <c r="AH802" i="13"/>
  <c r="S802" i="13"/>
  <c r="AB802" i="13" s="1"/>
  <c r="I802" i="13"/>
  <c r="AZ802" i="13" s="1"/>
  <c r="AY801" i="13"/>
  <c r="AX801" i="13"/>
  <c r="AW801" i="13"/>
  <c r="AV801" i="13"/>
  <c r="AT801" i="13"/>
  <c r="AS801" i="13"/>
  <c r="AO801" i="13"/>
  <c r="AN801" i="13"/>
  <c r="AM801" i="13"/>
  <c r="AH801" i="13"/>
  <c r="S801" i="13"/>
  <c r="AB801" i="13" s="1"/>
  <c r="I801" i="13"/>
  <c r="AZ801" i="13" s="1"/>
  <c r="AY800" i="13"/>
  <c r="AX800" i="13"/>
  <c r="AW800" i="13"/>
  <c r="AV800" i="13"/>
  <c r="AT800" i="13"/>
  <c r="AS800" i="13"/>
  <c r="AO800" i="13"/>
  <c r="AN800" i="13"/>
  <c r="AM800" i="13"/>
  <c r="AH800" i="13"/>
  <c r="S800" i="13"/>
  <c r="AB800" i="13" s="1"/>
  <c r="I800" i="13"/>
  <c r="AZ800" i="13" s="1"/>
  <c r="AY799" i="13"/>
  <c r="AX799" i="13"/>
  <c r="AW799" i="13"/>
  <c r="AV799" i="13"/>
  <c r="AT799" i="13"/>
  <c r="AS799" i="13"/>
  <c r="AO799" i="13"/>
  <c r="AN799" i="13"/>
  <c r="AM799" i="13"/>
  <c r="AH799" i="13"/>
  <c r="S799" i="13"/>
  <c r="AB799" i="13" s="1"/>
  <c r="I799" i="13"/>
  <c r="AZ799" i="13" s="1"/>
  <c r="AY798" i="13"/>
  <c r="AX798" i="13"/>
  <c r="AW798" i="13"/>
  <c r="AV798" i="13"/>
  <c r="AT798" i="13"/>
  <c r="AS798" i="13"/>
  <c r="AO798" i="13"/>
  <c r="AN798" i="13"/>
  <c r="AM798" i="13"/>
  <c r="AH798" i="13"/>
  <c r="S798" i="13"/>
  <c r="AB798" i="13" s="1"/>
  <c r="I798" i="13"/>
  <c r="AZ798" i="13" s="1"/>
  <c r="AY797" i="13"/>
  <c r="AX797" i="13"/>
  <c r="AW797" i="13"/>
  <c r="AV797" i="13"/>
  <c r="AT797" i="13"/>
  <c r="AS797" i="13"/>
  <c r="AO797" i="13"/>
  <c r="AN797" i="13"/>
  <c r="AM797" i="13"/>
  <c r="AH797" i="13"/>
  <c r="S797" i="13"/>
  <c r="AB797" i="13" s="1"/>
  <c r="I797" i="13"/>
  <c r="AZ797" i="13" s="1"/>
  <c r="AY796" i="13"/>
  <c r="AX796" i="13"/>
  <c r="AW796" i="13"/>
  <c r="AV796" i="13"/>
  <c r="AT796" i="13"/>
  <c r="AS796" i="13"/>
  <c r="AO796" i="13"/>
  <c r="AN796" i="13"/>
  <c r="AM796" i="13"/>
  <c r="AH796" i="13"/>
  <c r="S796" i="13"/>
  <c r="AB796" i="13" s="1"/>
  <c r="I796" i="13"/>
  <c r="AZ796" i="13" s="1"/>
  <c r="AY795" i="13"/>
  <c r="AX795" i="13"/>
  <c r="AW795" i="13"/>
  <c r="AV795" i="13"/>
  <c r="AT795" i="13"/>
  <c r="AS795" i="13"/>
  <c r="AO795" i="13"/>
  <c r="AN795" i="13"/>
  <c r="AM795" i="13"/>
  <c r="AH795" i="13"/>
  <c r="S795" i="13"/>
  <c r="AB795" i="13" s="1"/>
  <c r="I795" i="13"/>
  <c r="AZ795" i="13" s="1"/>
  <c r="AY794" i="13"/>
  <c r="AX794" i="13"/>
  <c r="AW794" i="13"/>
  <c r="AV794" i="13"/>
  <c r="AT794" i="13"/>
  <c r="AS794" i="13"/>
  <c r="AO794" i="13"/>
  <c r="AN794" i="13"/>
  <c r="AM794" i="13"/>
  <c r="AH794" i="13"/>
  <c r="S794" i="13"/>
  <c r="AB794" i="13" s="1"/>
  <c r="I794" i="13"/>
  <c r="AZ794" i="13" s="1"/>
  <c r="AY793" i="13"/>
  <c r="AX793" i="13"/>
  <c r="AW793" i="13"/>
  <c r="AV793" i="13"/>
  <c r="AT793" i="13"/>
  <c r="AS793" i="13"/>
  <c r="AO793" i="13"/>
  <c r="AN793" i="13"/>
  <c r="AM793" i="13"/>
  <c r="AH793" i="13"/>
  <c r="S793" i="13"/>
  <c r="AB793" i="13" s="1"/>
  <c r="I793" i="13"/>
  <c r="AZ793" i="13" s="1"/>
  <c r="AY792" i="13"/>
  <c r="AX792" i="13"/>
  <c r="AW792" i="13"/>
  <c r="AV792" i="13"/>
  <c r="AT792" i="13"/>
  <c r="AS792" i="13"/>
  <c r="AO792" i="13"/>
  <c r="AN792" i="13"/>
  <c r="AM792" i="13"/>
  <c r="AH792" i="13"/>
  <c r="S792" i="13"/>
  <c r="AB792" i="13" s="1"/>
  <c r="I792" i="13"/>
  <c r="AZ792" i="13" s="1"/>
  <c r="AY791" i="13"/>
  <c r="AX791" i="13"/>
  <c r="AW791" i="13"/>
  <c r="AV791" i="13"/>
  <c r="AT791" i="13"/>
  <c r="AS791" i="13"/>
  <c r="AO791" i="13"/>
  <c r="AN791" i="13"/>
  <c r="AM791" i="13"/>
  <c r="AH791" i="13"/>
  <c r="S791" i="13"/>
  <c r="AB791" i="13" s="1"/>
  <c r="I791" i="13"/>
  <c r="AZ791" i="13" s="1"/>
  <c r="AY790" i="13"/>
  <c r="AX790" i="13"/>
  <c r="AW790" i="13"/>
  <c r="AV790" i="13"/>
  <c r="AT790" i="13"/>
  <c r="AS790" i="13"/>
  <c r="AO790" i="13"/>
  <c r="AN790" i="13"/>
  <c r="AM790" i="13"/>
  <c r="AH790" i="13"/>
  <c r="S790" i="13"/>
  <c r="AB790" i="13" s="1"/>
  <c r="I790" i="13"/>
  <c r="AZ790" i="13" s="1"/>
  <c r="AY789" i="13"/>
  <c r="AX789" i="13"/>
  <c r="AW789" i="13"/>
  <c r="AV789" i="13"/>
  <c r="AT789" i="13"/>
  <c r="AS789" i="13"/>
  <c r="AO789" i="13"/>
  <c r="AN789" i="13"/>
  <c r="AM789" i="13"/>
  <c r="AH789" i="13"/>
  <c r="S789" i="13"/>
  <c r="AB789" i="13" s="1"/>
  <c r="I789" i="13"/>
  <c r="AZ789" i="13" s="1"/>
  <c r="AY774" i="13"/>
  <c r="AX774" i="13"/>
  <c r="AW774" i="13"/>
  <c r="AV774" i="13"/>
  <c r="AT774" i="13"/>
  <c r="AS774" i="13"/>
  <c r="AO774" i="13"/>
  <c r="AN774" i="13"/>
  <c r="AM774" i="13"/>
  <c r="AH774" i="13"/>
  <c r="S774" i="13"/>
  <c r="AB774" i="13" s="1"/>
  <c r="I774" i="13"/>
  <c r="AZ774" i="13" s="1"/>
  <c r="AY773" i="13"/>
  <c r="AX773" i="13"/>
  <c r="AW773" i="13"/>
  <c r="AV773" i="13"/>
  <c r="AT773" i="13"/>
  <c r="AS773" i="13"/>
  <c r="AO773" i="13"/>
  <c r="AN773" i="13"/>
  <c r="AM773" i="13"/>
  <c r="AH773" i="13"/>
  <c r="S773" i="13"/>
  <c r="AB773" i="13" s="1"/>
  <c r="I773" i="13"/>
  <c r="AZ773" i="13" s="1"/>
  <c r="AY772" i="13"/>
  <c r="AX772" i="13"/>
  <c r="AW772" i="13"/>
  <c r="AV772" i="13"/>
  <c r="AT772" i="13"/>
  <c r="AS772" i="13"/>
  <c r="AO772" i="13"/>
  <c r="AN772" i="13"/>
  <c r="AM772" i="13"/>
  <c r="AH772" i="13"/>
  <c r="S772" i="13"/>
  <c r="AB772" i="13" s="1"/>
  <c r="I772" i="13"/>
  <c r="AZ772" i="13" s="1"/>
  <c r="AY771" i="13"/>
  <c r="AX771" i="13"/>
  <c r="AW771" i="13"/>
  <c r="AV771" i="13"/>
  <c r="AT771" i="13"/>
  <c r="AS771" i="13"/>
  <c r="AO771" i="13"/>
  <c r="AN771" i="13"/>
  <c r="AM771" i="13"/>
  <c r="AH771" i="13"/>
  <c r="S771" i="13"/>
  <c r="AB771" i="13" s="1"/>
  <c r="I771" i="13"/>
  <c r="AZ771" i="13" s="1"/>
  <c r="AY770" i="13"/>
  <c r="AX770" i="13"/>
  <c r="AW770" i="13"/>
  <c r="AV770" i="13"/>
  <c r="AT770" i="13"/>
  <c r="AS770" i="13"/>
  <c r="AO770" i="13"/>
  <c r="AN770" i="13"/>
  <c r="AM770" i="13"/>
  <c r="AH770" i="13"/>
  <c r="S770" i="13"/>
  <c r="AB770" i="13" s="1"/>
  <c r="I770" i="13"/>
  <c r="AZ770" i="13" s="1"/>
  <c r="AY769" i="13"/>
  <c r="AX769" i="13"/>
  <c r="AW769" i="13"/>
  <c r="AV769" i="13"/>
  <c r="AT769" i="13"/>
  <c r="AS769" i="13"/>
  <c r="AO769" i="13"/>
  <c r="AN769" i="13"/>
  <c r="AM769" i="13"/>
  <c r="AH769" i="13"/>
  <c r="S769" i="13"/>
  <c r="AB769" i="13" s="1"/>
  <c r="I769" i="13"/>
  <c r="AZ769" i="13" s="1"/>
  <c r="AY768" i="13"/>
  <c r="AX768" i="13"/>
  <c r="AW768" i="13"/>
  <c r="AV768" i="13"/>
  <c r="AT768" i="13"/>
  <c r="AS768" i="13"/>
  <c r="AO768" i="13"/>
  <c r="AN768" i="13"/>
  <c r="AM768" i="13"/>
  <c r="AH768" i="13"/>
  <c r="S768" i="13"/>
  <c r="AB768" i="13" s="1"/>
  <c r="I768" i="13"/>
  <c r="AZ768" i="13" s="1"/>
  <c r="AY767" i="13"/>
  <c r="AX767" i="13"/>
  <c r="AW767" i="13"/>
  <c r="AV767" i="13"/>
  <c r="AT767" i="13"/>
  <c r="AS767" i="13"/>
  <c r="AO767" i="13"/>
  <c r="AN767" i="13"/>
  <c r="AM767" i="13"/>
  <c r="AH767" i="13"/>
  <c r="S767" i="13"/>
  <c r="AB767" i="13" s="1"/>
  <c r="I767" i="13"/>
  <c r="AZ767" i="13" s="1"/>
  <c r="AY766" i="13"/>
  <c r="AX766" i="13"/>
  <c r="AW766" i="13"/>
  <c r="AV766" i="13"/>
  <c r="AT766" i="13"/>
  <c r="AS766" i="13"/>
  <c r="AO766" i="13"/>
  <c r="AN766" i="13"/>
  <c r="AM766" i="13"/>
  <c r="AH766" i="13"/>
  <c r="S766" i="13"/>
  <c r="AB766" i="13" s="1"/>
  <c r="I766" i="13"/>
  <c r="AZ766" i="13" s="1"/>
  <c r="AY765" i="13"/>
  <c r="AX765" i="13"/>
  <c r="AW765" i="13"/>
  <c r="AV765" i="13"/>
  <c r="AT765" i="13"/>
  <c r="AS765" i="13"/>
  <c r="AO765" i="13"/>
  <c r="AN765" i="13"/>
  <c r="AM765" i="13"/>
  <c r="AH765" i="13"/>
  <c r="S765" i="13"/>
  <c r="AB765" i="13" s="1"/>
  <c r="I765" i="13"/>
  <c r="AZ765" i="13" s="1"/>
  <c r="AY764" i="13"/>
  <c r="AX764" i="13"/>
  <c r="AW764" i="13"/>
  <c r="AV764" i="13"/>
  <c r="AT764" i="13"/>
  <c r="AS764" i="13"/>
  <c r="AO764" i="13"/>
  <c r="AN764" i="13"/>
  <c r="AM764" i="13"/>
  <c r="AH764" i="13"/>
  <c r="S764" i="13"/>
  <c r="AB764" i="13" s="1"/>
  <c r="I764" i="13"/>
  <c r="AZ764" i="13" s="1"/>
  <c r="AY763" i="13"/>
  <c r="AX763" i="13"/>
  <c r="AW763" i="13"/>
  <c r="AV763" i="13"/>
  <c r="AT763" i="13"/>
  <c r="AS763" i="13"/>
  <c r="AO763" i="13"/>
  <c r="AN763" i="13"/>
  <c r="AM763" i="13"/>
  <c r="AH763" i="13"/>
  <c r="S763" i="13"/>
  <c r="AB763" i="13" s="1"/>
  <c r="I763" i="13"/>
  <c r="AZ763" i="13" s="1"/>
  <c r="AY762" i="13"/>
  <c r="AX762" i="13"/>
  <c r="AW762" i="13"/>
  <c r="AV762" i="13"/>
  <c r="AT762" i="13"/>
  <c r="AS762" i="13"/>
  <c r="AO762" i="13"/>
  <c r="AN762" i="13"/>
  <c r="AM762" i="13"/>
  <c r="AH762" i="13"/>
  <c r="S762" i="13"/>
  <c r="AB762" i="13" s="1"/>
  <c r="I762" i="13"/>
  <c r="AZ762" i="13" s="1"/>
  <c r="AY761" i="13"/>
  <c r="AX761" i="13"/>
  <c r="AW761" i="13"/>
  <c r="AV761" i="13"/>
  <c r="AT761" i="13"/>
  <c r="AS761" i="13"/>
  <c r="AO761" i="13"/>
  <c r="AN761" i="13"/>
  <c r="AM761" i="13"/>
  <c r="AH761" i="13"/>
  <c r="S761" i="13"/>
  <c r="AB761" i="13" s="1"/>
  <c r="I761" i="13"/>
  <c r="AZ761" i="13" s="1"/>
  <c r="AY760" i="13"/>
  <c r="AX760" i="13"/>
  <c r="AW760" i="13"/>
  <c r="AV760" i="13"/>
  <c r="AT760" i="13"/>
  <c r="AS760" i="13"/>
  <c r="AO760" i="13"/>
  <c r="AN760" i="13"/>
  <c r="AM760" i="13"/>
  <c r="AH760" i="13"/>
  <c r="S760" i="13"/>
  <c r="AB760" i="13" s="1"/>
  <c r="I760" i="13"/>
  <c r="AZ760" i="13" s="1"/>
  <c r="AY759" i="13"/>
  <c r="AX759" i="13"/>
  <c r="AW759" i="13"/>
  <c r="AV759" i="13"/>
  <c r="AT759" i="13"/>
  <c r="AS759" i="13"/>
  <c r="AO759" i="13"/>
  <c r="AN759" i="13"/>
  <c r="AM759" i="13"/>
  <c r="AH759" i="13"/>
  <c r="S759" i="13"/>
  <c r="AB759" i="13" s="1"/>
  <c r="I759" i="13"/>
  <c r="AZ759" i="13" s="1"/>
  <c r="AY758" i="13"/>
  <c r="AX758" i="13"/>
  <c r="AW758" i="13"/>
  <c r="AV758" i="13"/>
  <c r="AT758" i="13"/>
  <c r="AS758" i="13"/>
  <c r="AO758" i="13"/>
  <c r="AN758" i="13"/>
  <c r="AM758" i="13"/>
  <c r="AH758" i="13"/>
  <c r="S758" i="13"/>
  <c r="AB758" i="13" s="1"/>
  <c r="I758" i="13"/>
  <c r="AZ758" i="13" s="1"/>
  <c r="AY757" i="13"/>
  <c r="AX757" i="13"/>
  <c r="AW757" i="13"/>
  <c r="AV757" i="13"/>
  <c r="AT757" i="13"/>
  <c r="AS757" i="13"/>
  <c r="AO757" i="13"/>
  <c r="AN757" i="13"/>
  <c r="AM757" i="13"/>
  <c r="AH757" i="13"/>
  <c r="S757" i="13"/>
  <c r="AB757" i="13" s="1"/>
  <c r="I757" i="13"/>
  <c r="AZ757" i="13" s="1"/>
  <c r="AY756" i="13"/>
  <c r="AX756" i="13"/>
  <c r="AW756" i="13"/>
  <c r="AV756" i="13"/>
  <c r="AT756" i="13"/>
  <c r="AS756" i="13"/>
  <c r="AO756" i="13"/>
  <c r="AN756" i="13"/>
  <c r="AM756" i="13"/>
  <c r="AH756" i="13"/>
  <c r="S756" i="13"/>
  <c r="AB756" i="13" s="1"/>
  <c r="I756" i="13"/>
  <c r="AZ756" i="13" s="1"/>
  <c r="AY755" i="13"/>
  <c r="AX755" i="13"/>
  <c r="AW755" i="13"/>
  <c r="AV755" i="13"/>
  <c r="AT755" i="13"/>
  <c r="AS755" i="13"/>
  <c r="AO755" i="13"/>
  <c r="AN755" i="13"/>
  <c r="AM755" i="13"/>
  <c r="AH755" i="13"/>
  <c r="S755" i="13"/>
  <c r="AB755" i="13" s="1"/>
  <c r="I755" i="13"/>
  <c r="AZ755" i="13" s="1"/>
  <c r="AY754" i="13"/>
  <c r="AX754" i="13"/>
  <c r="AW754" i="13"/>
  <c r="AV754" i="13"/>
  <c r="AT754" i="13"/>
  <c r="AS754" i="13"/>
  <c r="AO754" i="13"/>
  <c r="AN754" i="13"/>
  <c r="AM754" i="13"/>
  <c r="AH754" i="13"/>
  <c r="S754" i="13"/>
  <c r="AB754" i="13" s="1"/>
  <c r="I754" i="13"/>
  <c r="AZ754" i="13" s="1"/>
  <c r="AY753" i="13"/>
  <c r="AX753" i="13"/>
  <c r="AW753" i="13"/>
  <c r="AV753" i="13"/>
  <c r="AT753" i="13"/>
  <c r="AS753" i="13"/>
  <c r="AO753" i="13"/>
  <c r="AN753" i="13"/>
  <c r="AM753" i="13"/>
  <c r="AH753" i="13"/>
  <c r="S753" i="13"/>
  <c r="AB753" i="13" s="1"/>
  <c r="I753" i="13"/>
  <c r="AZ753" i="13" s="1"/>
  <c r="AY752" i="13"/>
  <c r="AX752" i="13"/>
  <c r="AW752" i="13"/>
  <c r="AV752" i="13"/>
  <c r="AT752" i="13"/>
  <c r="AS752" i="13"/>
  <c r="AO752" i="13"/>
  <c r="AN752" i="13"/>
  <c r="AM752" i="13"/>
  <c r="AH752" i="13"/>
  <c r="S752" i="13"/>
  <c r="AB752" i="13" s="1"/>
  <c r="I752" i="13"/>
  <c r="AZ752" i="13" s="1"/>
  <c r="AY751" i="13"/>
  <c r="AX751" i="13"/>
  <c r="AW751" i="13"/>
  <c r="AV751" i="13"/>
  <c r="AT751" i="13"/>
  <c r="AS751" i="13"/>
  <c r="AO751" i="13"/>
  <c r="AN751" i="13"/>
  <c r="AM751" i="13"/>
  <c r="AH751" i="13"/>
  <c r="S751" i="13"/>
  <c r="AB751" i="13" s="1"/>
  <c r="I751" i="13"/>
  <c r="AZ751" i="13" s="1"/>
  <c r="AY750" i="13"/>
  <c r="AX750" i="13"/>
  <c r="AW750" i="13"/>
  <c r="AV750" i="13"/>
  <c r="AT750" i="13"/>
  <c r="AS750" i="13"/>
  <c r="AO750" i="13"/>
  <c r="AN750" i="13"/>
  <c r="AM750" i="13"/>
  <c r="AH750" i="13"/>
  <c r="S750" i="13"/>
  <c r="AB750" i="13" s="1"/>
  <c r="I750" i="13"/>
  <c r="AZ750" i="13" s="1"/>
  <c r="AY749" i="13"/>
  <c r="AX749" i="13"/>
  <c r="AW749" i="13"/>
  <c r="AV749" i="13"/>
  <c r="AT749" i="13"/>
  <c r="AS749" i="13"/>
  <c r="AO749" i="13"/>
  <c r="AN749" i="13"/>
  <c r="AM749" i="13"/>
  <c r="AH749" i="13"/>
  <c r="S749" i="13"/>
  <c r="AB749" i="13" s="1"/>
  <c r="I749" i="13"/>
  <c r="AZ749" i="13" s="1"/>
  <c r="AY748" i="13"/>
  <c r="AX748" i="13"/>
  <c r="AW748" i="13"/>
  <c r="AV748" i="13"/>
  <c r="AT748" i="13"/>
  <c r="AS748" i="13"/>
  <c r="AO748" i="13"/>
  <c r="AN748" i="13"/>
  <c r="AM748" i="13"/>
  <c r="AH748" i="13"/>
  <c r="S748" i="13"/>
  <c r="AB748" i="13" s="1"/>
  <c r="I748" i="13"/>
  <c r="AZ748" i="13" s="1"/>
  <c r="AY747" i="13"/>
  <c r="AX747" i="13"/>
  <c r="AW747" i="13"/>
  <c r="AV747" i="13"/>
  <c r="AT747" i="13"/>
  <c r="AS747" i="13"/>
  <c r="AO747" i="13"/>
  <c r="AN747" i="13"/>
  <c r="AM747" i="13"/>
  <c r="AH747" i="13"/>
  <c r="S747" i="13"/>
  <c r="AB747" i="13" s="1"/>
  <c r="I747" i="13"/>
  <c r="AZ747" i="13" s="1"/>
  <c r="AY746" i="13"/>
  <c r="AX746" i="13"/>
  <c r="AW746" i="13"/>
  <c r="AV746" i="13"/>
  <c r="AT746" i="13"/>
  <c r="AS746" i="13"/>
  <c r="AO746" i="13"/>
  <c r="AN746" i="13"/>
  <c r="AM746" i="13"/>
  <c r="AH746" i="13"/>
  <c r="S746" i="13"/>
  <c r="AB746" i="13" s="1"/>
  <c r="I746" i="13"/>
  <c r="AZ746" i="13" s="1"/>
  <c r="AY745" i="13"/>
  <c r="AX745" i="13"/>
  <c r="AW745" i="13"/>
  <c r="AV745" i="13"/>
  <c r="AT745" i="13"/>
  <c r="AS745" i="13"/>
  <c r="AO745" i="13"/>
  <c r="AN745" i="13"/>
  <c r="AM745" i="13"/>
  <c r="AH745" i="13"/>
  <c r="S745" i="13"/>
  <c r="AB745" i="13" s="1"/>
  <c r="I745" i="13"/>
  <c r="AZ745" i="13" s="1"/>
  <c r="AY744" i="13"/>
  <c r="AX744" i="13"/>
  <c r="AW744" i="13"/>
  <c r="AV744" i="13"/>
  <c r="AT744" i="13"/>
  <c r="AS744" i="13"/>
  <c r="AO744" i="13"/>
  <c r="AN744" i="13"/>
  <c r="AM744" i="13"/>
  <c r="AH744" i="13"/>
  <c r="S744" i="13"/>
  <c r="AB744" i="13" s="1"/>
  <c r="I744" i="13"/>
  <c r="AZ744" i="13" s="1"/>
  <c r="AY743" i="13"/>
  <c r="AX743" i="13"/>
  <c r="AW743" i="13"/>
  <c r="AV743" i="13"/>
  <c r="AT743" i="13"/>
  <c r="AS743" i="13"/>
  <c r="AO743" i="13"/>
  <c r="AN743" i="13"/>
  <c r="AM743" i="13"/>
  <c r="AH743" i="13"/>
  <c r="S743" i="13"/>
  <c r="AB743" i="13" s="1"/>
  <c r="I743" i="13"/>
  <c r="AZ743" i="13" s="1"/>
  <c r="AY728" i="13"/>
  <c r="AX728" i="13"/>
  <c r="AW728" i="13"/>
  <c r="AV728" i="13"/>
  <c r="AT728" i="13"/>
  <c r="AS728" i="13"/>
  <c r="AO728" i="13"/>
  <c r="AN728" i="13"/>
  <c r="AM728" i="13"/>
  <c r="AH728" i="13"/>
  <c r="S728" i="13"/>
  <c r="AB728" i="13" s="1"/>
  <c r="I728" i="13"/>
  <c r="AZ728" i="13" s="1"/>
  <c r="AY727" i="13"/>
  <c r="AX727" i="13"/>
  <c r="AW727" i="13"/>
  <c r="AV727" i="13"/>
  <c r="AT727" i="13"/>
  <c r="AS727" i="13"/>
  <c r="AO727" i="13"/>
  <c r="AN727" i="13"/>
  <c r="AM727" i="13"/>
  <c r="AH727" i="13"/>
  <c r="S727" i="13"/>
  <c r="AB727" i="13" s="1"/>
  <c r="I727" i="13"/>
  <c r="AZ727" i="13" s="1"/>
  <c r="AY726" i="13"/>
  <c r="AX726" i="13"/>
  <c r="AW726" i="13"/>
  <c r="AV726" i="13"/>
  <c r="AT726" i="13"/>
  <c r="AS726" i="13"/>
  <c r="AO726" i="13"/>
  <c r="AN726" i="13"/>
  <c r="AM726" i="13"/>
  <c r="AH726" i="13"/>
  <c r="S726" i="13"/>
  <c r="AB726" i="13" s="1"/>
  <c r="I726" i="13"/>
  <c r="AZ726" i="13" s="1"/>
  <c r="AY725" i="13"/>
  <c r="AX725" i="13"/>
  <c r="AW725" i="13"/>
  <c r="AV725" i="13"/>
  <c r="AT725" i="13"/>
  <c r="AS725" i="13"/>
  <c r="AO725" i="13"/>
  <c r="AN725" i="13"/>
  <c r="AM725" i="13"/>
  <c r="AH725" i="13"/>
  <c r="S725" i="13"/>
  <c r="AB725" i="13" s="1"/>
  <c r="I725" i="13"/>
  <c r="AZ725" i="13" s="1"/>
  <c r="AY724" i="13"/>
  <c r="AX724" i="13"/>
  <c r="AW724" i="13"/>
  <c r="AV724" i="13"/>
  <c r="AT724" i="13"/>
  <c r="AS724" i="13"/>
  <c r="AO724" i="13"/>
  <c r="AN724" i="13"/>
  <c r="AM724" i="13"/>
  <c r="AH724" i="13"/>
  <c r="S724" i="13"/>
  <c r="AB724" i="13" s="1"/>
  <c r="I724" i="13"/>
  <c r="AZ724" i="13" s="1"/>
  <c r="AY723" i="13"/>
  <c r="AX723" i="13"/>
  <c r="AW723" i="13"/>
  <c r="AV723" i="13"/>
  <c r="AT723" i="13"/>
  <c r="AS723" i="13"/>
  <c r="AO723" i="13"/>
  <c r="AN723" i="13"/>
  <c r="AM723" i="13"/>
  <c r="AH723" i="13"/>
  <c r="S723" i="13"/>
  <c r="AB723" i="13" s="1"/>
  <c r="I723" i="13"/>
  <c r="AZ723" i="13" s="1"/>
  <c r="AY722" i="13"/>
  <c r="AX722" i="13"/>
  <c r="AW722" i="13"/>
  <c r="AV722" i="13"/>
  <c r="AT722" i="13"/>
  <c r="AS722" i="13"/>
  <c r="AO722" i="13"/>
  <c r="AN722" i="13"/>
  <c r="AM722" i="13"/>
  <c r="AH722" i="13"/>
  <c r="S722" i="13"/>
  <c r="AB722" i="13" s="1"/>
  <c r="I722" i="13"/>
  <c r="AZ722" i="13" s="1"/>
  <c r="AY721" i="13"/>
  <c r="AX721" i="13"/>
  <c r="AW721" i="13"/>
  <c r="AV721" i="13"/>
  <c r="AT721" i="13"/>
  <c r="AS721" i="13"/>
  <c r="AO721" i="13"/>
  <c r="AN721" i="13"/>
  <c r="AM721" i="13"/>
  <c r="AH721" i="13"/>
  <c r="S721" i="13"/>
  <c r="AB721" i="13" s="1"/>
  <c r="I721" i="13"/>
  <c r="AZ721" i="13" s="1"/>
  <c r="AY720" i="13"/>
  <c r="AX720" i="13"/>
  <c r="AW720" i="13"/>
  <c r="AV720" i="13"/>
  <c r="AT720" i="13"/>
  <c r="AS720" i="13"/>
  <c r="AO720" i="13"/>
  <c r="AN720" i="13"/>
  <c r="AM720" i="13"/>
  <c r="AH720" i="13"/>
  <c r="S720" i="13"/>
  <c r="AB720" i="13" s="1"/>
  <c r="I720" i="13"/>
  <c r="AZ720" i="13" s="1"/>
  <c r="AY719" i="13"/>
  <c r="AX719" i="13"/>
  <c r="AW719" i="13"/>
  <c r="AV719" i="13"/>
  <c r="AT719" i="13"/>
  <c r="AS719" i="13"/>
  <c r="AO719" i="13"/>
  <c r="AN719" i="13"/>
  <c r="AM719" i="13"/>
  <c r="AH719" i="13"/>
  <c r="S719" i="13"/>
  <c r="AB719" i="13" s="1"/>
  <c r="I719" i="13"/>
  <c r="AZ719" i="13" s="1"/>
  <c r="AY718" i="13"/>
  <c r="AX718" i="13"/>
  <c r="AW718" i="13"/>
  <c r="AV718" i="13"/>
  <c r="AT718" i="13"/>
  <c r="AS718" i="13"/>
  <c r="AO718" i="13"/>
  <c r="AN718" i="13"/>
  <c r="AM718" i="13"/>
  <c r="AH718" i="13"/>
  <c r="S718" i="13"/>
  <c r="AB718" i="13" s="1"/>
  <c r="I718" i="13"/>
  <c r="AZ718" i="13" s="1"/>
  <c r="AY717" i="13"/>
  <c r="AX717" i="13"/>
  <c r="AW717" i="13"/>
  <c r="AV717" i="13"/>
  <c r="AT717" i="13"/>
  <c r="AS717" i="13"/>
  <c r="AO717" i="13"/>
  <c r="AN717" i="13"/>
  <c r="AM717" i="13"/>
  <c r="AH717" i="13"/>
  <c r="S717" i="13"/>
  <c r="AB717" i="13" s="1"/>
  <c r="I717" i="13"/>
  <c r="AZ717" i="13" s="1"/>
  <c r="AY716" i="13"/>
  <c r="AX716" i="13"/>
  <c r="AW716" i="13"/>
  <c r="AV716" i="13"/>
  <c r="AT716" i="13"/>
  <c r="AS716" i="13"/>
  <c r="AO716" i="13"/>
  <c r="AN716" i="13"/>
  <c r="AM716" i="13"/>
  <c r="AH716" i="13"/>
  <c r="S716" i="13"/>
  <c r="AB716" i="13" s="1"/>
  <c r="I716" i="13"/>
  <c r="AZ716" i="13" s="1"/>
  <c r="AY715" i="13"/>
  <c r="AX715" i="13"/>
  <c r="AW715" i="13"/>
  <c r="AV715" i="13"/>
  <c r="AT715" i="13"/>
  <c r="AS715" i="13"/>
  <c r="AO715" i="13"/>
  <c r="AN715" i="13"/>
  <c r="AM715" i="13"/>
  <c r="AH715" i="13"/>
  <c r="S715" i="13"/>
  <c r="AB715" i="13" s="1"/>
  <c r="I715" i="13"/>
  <c r="AZ715" i="13" s="1"/>
  <c r="AY714" i="13"/>
  <c r="AX714" i="13"/>
  <c r="AW714" i="13"/>
  <c r="AV714" i="13"/>
  <c r="AT714" i="13"/>
  <c r="AS714" i="13"/>
  <c r="AO714" i="13"/>
  <c r="AN714" i="13"/>
  <c r="AM714" i="13"/>
  <c r="AH714" i="13"/>
  <c r="S714" i="13"/>
  <c r="AB714" i="13" s="1"/>
  <c r="I714" i="13"/>
  <c r="AZ714" i="13" s="1"/>
  <c r="AY713" i="13"/>
  <c r="AX713" i="13"/>
  <c r="AW713" i="13"/>
  <c r="AV713" i="13"/>
  <c r="AT713" i="13"/>
  <c r="AS713" i="13"/>
  <c r="AO713" i="13"/>
  <c r="AN713" i="13"/>
  <c r="AM713" i="13"/>
  <c r="AH713" i="13"/>
  <c r="S713" i="13"/>
  <c r="AB713" i="13" s="1"/>
  <c r="I713" i="13"/>
  <c r="AZ713" i="13" s="1"/>
  <c r="AY712" i="13"/>
  <c r="AX712" i="13"/>
  <c r="AW712" i="13"/>
  <c r="AV712" i="13"/>
  <c r="AT712" i="13"/>
  <c r="AS712" i="13"/>
  <c r="AO712" i="13"/>
  <c r="AN712" i="13"/>
  <c r="AM712" i="13"/>
  <c r="AH712" i="13"/>
  <c r="S712" i="13"/>
  <c r="AB712" i="13" s="1"/>
  <c r="I712" i="13"/>
  <c r="AZ712" i="13" s="1"/>
  <c r="AY711" i="13"/>
  <c r="AX711" i="13"/>
  <c r="AW711" i="13"/>
  <c r="AV711" i="13"/>
  <c r="AT711" i="13"/>
  <c r="AS711" i="13"/>
  <c r="AO711" i="13"/>
  <c r="AN711" i="13"/>
  <c r="AM711" i="13"/>
  <c r="AH711" i="13"/>
  <c r="S711" i="13"/>
  <c r="AB711" i="13" s="1"/>
  <c r="I711" i="13"/>
  <c r="AZ711" i="13" s="1"/>
  <c r="AY710" i="13"/>
  <c r="AX710" i="13"/>
  <c r="AW710" i="13"/>
  <c r="AV710" i="13"/>
  <c r="AT710" i="13"/>
  <c r="AS710" i="13"/>
  <c r="AO710" i="13"/>
  <c r="AN710" i="13"/>
  <c r="AM710" i="13"/>
  <c r="AH710" i="13"/>
  <c r="S710" i="13"/>
  <c r="AB710" i="13" s="1"/>
  <c r="I710" i="13"/>
  <c r="AZ710" i="13" s="1"/>
  <c r="AY709" i="13"/>
  <c r="AX709" i="13"/>
  <c r="AW709" i="13"/>
  <c r="AV709" i="13"/>
  <c r="AT709" i="13"/>
  <c r="AS709" i="13"/>
  <c r="AO709" i="13"/>
  <c r="AN709" i="13"/>
  <c r="AM709" i="13"/>
  <c r="AH709" i="13"/>
  <c r="S709" i="13"/>
  <c r="AB709" i="13" s="1"/>
  <c r="I709" i="13"/>
  <c r="AZ709" i="13" s="1"/>
  <c r="AY708" i="13"/>
  <c r="AX708" i="13"/>
  <c r="AW708" i="13"/>
  <c r="AV708" i="13"/>
  <c r="AT708" i="13"/>
  <c r="AS708" i="13"/>
  <c r="AO708" i="13"/>
  <c r="AN708" i="13"/>
  <c r="AM708" i="13"/>
  <c r="AH708" i="13"/>
  <c r="S708" i="13"/>
  <c r="AB708" i="13" s="1"/>
  <c r="I708" i="13"/>
  <c r="AZ708" i="13" s="1"/>
  <c r="AY707" i="13"/>
  <c r="AX707" i="13"/>
  <c r="AW707" i="13"/>
  <c r="AV707" i="13"/>
  <c r="AT707" i="13"/>
  <c r="AS707" i="13"/>
  <c r="AO707" i="13"/>
  <c r="AN707" i="13"/>
  <c r="AM707" i="13"/>
  <c r="AH707" i="13"/>
  <c r="S707" i="13"/>
  <c r="AB707" i="13" s="1"/>
  <c r="I707" i="13"/>
  <c r="AZ707" i="13" s="1"/>
  <c r="AY706" i="13"/>
  <c r="AX706" i="13"/>
  <c r="AW706" i="13"/>
  <c r="AV706" i="13"/>
  <c r="AT706" i="13"/>
  <c r="AS706" i="13"/>
  <c r="AO706" i="13"/>
  <c r="AN706" i="13"/>
  <c r="AM706" i="13"/>
  <c r="AH706" i="13"/>
  <c r="S706" i="13"/>
  <c r="AB706" i="13" s="1"/>
  <c r="I706" i="13"/>
  <c r="AZ706" i="13" s="1"/>
  <c r="AY705" i="13"/>
  <c r="AX705" i="13"/>
  <c r="AW705" i="13"/>
  <c r="AV705" i="13"/>
  <c r="AT705" i="13"/>
  <c r="AS705" i="13"/>
  <c r="AO705" i="13"/>
  <c r="AN705" i="13"/>
  <c r="AM705" i="13"/>
  <c r="AH705" i="13"/>
  <c r="S705" i="13"/>
  <c r="AB705" i="13" s="1"/>
  <c r="I705" i="13"/>
  <c r="AZ705" i="13" s="1"/>
  <c r="AY704" i="13"/>
  <c r="AX704" i="13"/>
  <c r="AW704" i="13"/>
  <c r="AV704" i="13"/>
  <c r="AT704" i="13"/>
  <c r="AS704" i="13"/>
  <c r="AO704" i="13"/>
  <c r="AN704" i="13"/>
  <c r="AM704" i="13"/>
  <c r="AH704" i="13"/>
  <c r="S704" i="13"/>
  <c r="AB704" i="13" s="1"/>
  <c r="I704" i="13"/>
  <c r="AZ704" i="13" s="1"/>
  <c r="AY703" i="13"/>
  <c r="AX703" i="13"/>
  <c r="AW703" i="13"/>
  <c r="AV703" i="13"/>
  <c r="AT703" i="13"/>
  <c r="AS703" i="13"/>
  <c r="AO703" i="13"/>
  <c r="AN703" i="13"/>
  <c r="AM703" i="13"/>
  <c r="AH703" i="13"/>
  <c r="S703" i="13"/>
  <c r="AB703" i="13" s="1"/>
  <c r="I703" i="13"/>
  <c r="AZ703" i="13" s="1"/>
  <c r="AY702" i="13"/>
  <c r="AX702" i="13"/>
  <c r="AW702" i="13"/>
  <c r="AV702" i="13"/>
  <c r="AT702" i="13"/>
  <c r="AS702" i="13"/>
  <c r="AO702" i="13"/>
  <c r="AN702" i="13"/>
  <c r="AM702" i="13"/>
  <c r="AH702" i="13"/>
  <c r="S702" i="13"/>
  <c r="AB702" i="13" s="1"/>
  <c r="I702" i="13"/>
  <c r="AZ702" i="13" s="1"/>
  <c r="AY701" i="13"/>
  <c r="AX701" i="13"/>
  <c r="AW701" i="13"/>
  <c r="AV701" i="13"/>
  <c r="AT701" i="13"/>
  <c r="AS701" i="13"/>
  <c r="AO701" i="13"/>
  <c r="AN701" i="13"/>
  <c r="AM701" i="13"/>
  <c r="AH701" i="13"/>
  <c r="S701" i="13"/>
  <c r="AB701" i="13" s="1"/>
  <c r="I701" i="13"/>
  <c r="AZ701" i="13" s="1"/>
  <c r="AY700" i="13"/>
  <c r="AX700" i="13"/>
  <c r="AW700" i="13"/>
  <c r="AV700" i="13"/>
  <c r="AT700" i="13"/>
  <c r="AS700" i="13"/>
  <c r="AO700" i="13"/>
  <c r="AN700" i="13"/>
  <c r="AM700" i="13"/>
  <c r="AH700" i="13"/>
  <c r="S700" i="13"/>
  <c r="AB700" i="13" s="1"/>
  <c r="I700" i="13"/>
  <c r="AZ700" i="13" s="1"/>
  <c r="AY699" i="13"/>
  <c r="AX699" i="13"/>
  <c r="AW699" i="13"/>
  <c r="AV699" i="13"/>
  <c r="AT699" i="13"/>
  <c r="AS699" i="13"/>
  <c r="AO699" i="13"/>
  <c r="AN699" i="13"/>
  <c r="AM699" i="13"/>
  <c r="AH699" i="13"/>
  <c r="S699" i="13"/>
  <c r="AB699" i="13" s="1"/>
  <c r="I699" i="13"/>
  <c r="AZ699" i="13" s="1"/>
  <c r="AY698" i="13"/>
  <c r="AX698" i="13"/>
  <c r="AW698" i="13"/>
  <c r="AV698" i="13"/>
  <c r="AT698" i="13"/>
  <c r="AS698" i="13"/>
  <c r="AO698" i="13"/>
  <c r="AN698" i="13"/>
  <c r="AM698" i="13"/>
  <c r="AH698" i="13"/>
  <c r="S698" i="13"/>
  <c r="AB698" i="13" s="1"/>
  <c r="I698" i="13"/>
  <c r="AZ698" i="13" s="1"/>
  <c r="AY697" i="13"/>
  <c r="AX697" i="13"/>
  <c r="AW697" i="13"/>
  <c r="AV697" i="13"/>
  <c r="AT697" i="13"/>
  <c r="AS697" i="13"/>
  <c r="AO697" i="13"/>
  <c r="AN697" i="13"/>
  <c r="AM697" i="13"/>
  <c r="AH697" i="13"/>
  <c r="S697" i="13"/>
  <c r="AB697" i="13" s="1"/>
  <c r="I697" i="13"/>
  <c r="AZ697" i="13" s="1"/>
  <c r="AY682" i="13"/>
  <c r="AX682" i="13"/>
  <c r="AW682" i="13"/>
  <c r="AV682" i="13"/>
  <c r="AT682" i="13"/>
  <c r="AS682" i="13"/>
  <c r="AO682" i="13"/>
  <c r="AN682" i="13"/>
  <c r="AM682" i="13"/>
  <c r="AH682" i="13"/>
  <c r="S682" i="13"/>
  <c r="AB682" i="13" s="1"/>
  <c r="I682" i="13"/>
  <c r="AZ682" i="13" s="1"/>
  <c r="AY681" i="13"/>
  <c r="AX681" i="13"/>
  <c r="AW681" i="13"/>
  <c r="AV681" i="13"/>
  <c r="AT681" i="13"/>
  <c r="AS681" i="13"/>
  <c r="AO681" i="13"/>
  <c r="AN681" i="13"/>
  <c r="AM681" i="13"/>
  <c r="AH681" i="13"/>
  <c r="S681" i="13"/>
  <c r="AB681" i="13" s="1"/>
  <c r="I681" i="13"/>
  <c r="AZ681" i="13" s="1"/>
  <c r="AY680" i="13"/>
  <c r="AX680" i="13"/>
  <c r="AW680" i="13"/>
  <c r="AV680" i="13"/>
  <c r="AT680" i="13"/>
  <c r="AS680" i="13"/>
  <c r="AO680" i="13"/>
  <c r="AN680" i="13"/>
  <c r="AM680" i="13"/>
  <c r="AH680" i="13"/>
  <c r="S680" i="13"/>
  <c r="AB680" i="13" s="1"/>
  <c r="I680" i="13"/>
  <c r="AZ680" i="13" s="1"/>
  <c r="AY679" i="13"/>
  <c r="AX679" i="13"/>
  <c r="AW679" i="13"/>
  <c r="AV679" i="13"/>
  <c r="AT679" i="13"/>
  <c r="AS679" i="13"/>
  <c r="AO679" i="13"/>
  <c r="AN679" i="13"/>
  <c r="AM679" i="13"/>
  <c r="AH679" i="13"/>
  <c r="S679" i="13"/>
  <c r="AB679" i="13" s="1"/>
  <c r="I679" i="13"/>
  <c r="AZ679" i="13" s="1"/>
  <c r="AY678" i="13"/>
  <c r="AX678" i="13"/>
  <c r="AW678" i="13"/>
  <c r="AV678" i="13"/>
  <c r="AT678" i="13"/>
  <c r="AS678" i="13"/>
  <c r="AO678" i="13"/>
  <c r="AN678" i="13"/>
  <c r="AM678" i="13"/>
  <c r="AH678" i="13"/>
  <c r="S678" i="13"/>
  <c r="AB678" i="13" s="1"/>
  <c r="I678" i="13"/>
  <c r="AZ678" i="13" s="1"/>
  <c r="AY677" i="13"/>
  <c r="AX677" i="13"/>
  <c r="AW677" i="13"/>
  <c r="AV677" i="13"/>
  <c r="AT677" i="13"/>
  <c r="AS677" i="13"/>
  <c r="AO677" i="13"/>
  <c r="AN677" i="13"/>
  <c r="AM677" i="13"/>
  <c r="AH677" i="13"/>
  <c r="S677" i="13"/>
  <c r="AB677" i="13" s="1"/>
  <c r="I677" i="13"/>
  <c r="AZ677" i="13" s="1"/>
  <c r="AY676" i="13"/>
  <c r="AX676" i="13"/>
  <c r="AW676" i="13"/>
  <c r="AV676" i="13"/>
  <c r="AT676" i="13"/>
  <c r="AS676" i="13"/>
  <c r="AO676" i="13"/>
  <c r="AN676" i="13"/>
  <c r="AM676" i="13"/>
  <c r="AH676" i="13"/>
  <c r="S676" i="13"/>
  <c r="AB676" i="13" s="1"/>
  <c r="I676" i="13"/>
  <c r="AZ676" i="13" s="1"/>
  <c r="AY675" i="13"/>
  <c r="AX675" i="13"/>
  <c r="AW675" i="13"/>
  <c r="AV675" i="13"/>
  <c r="AT675" i="13"/>
  <c r="AS675" i="13"/>
  <c r="AO675" i="13"/>
  <c r="AN675" i="13"/>
  <c r="AM675" i="13"/>
  <c r="AH675" i="13"/>
  <c r="S675" i="13"/>
  <c r="AB675" i="13" s="1"/>
  <c r="I675" i="13"/>
  <c r="AZ675" i="13" s="1"/>
  <c r="AY674" i="13"/>
  <c r="AX674" i="13"/>
  <c r="AW674" i="13"/>
  <c r="AV674" i="13"/>
  <c r="AT674" i="13"/>
  <c r="AS674" i="13"/>
  <c r="AO674" i="13"/>
  <c r="AN674" i="13"/>
  <c r="AM674" i="13"/>
  <c r="AH674" i="13"/>
  <c r="S674" i="13"/>
  <c r="AB674" i="13" s="1"/>
  <c r="I674" i="13"/>
  <c r="AZ674" i="13" s="1"/>
  <c r="AY673" i="13"/>
  <c r="AX673" i="13"/>
  <c r="AW673" i="13"/>
  <c r="AV673" i="13"/>
  <c r="AT673" i="13"/>
  <c r="AS673" i="13"/>
  <c r="AO673" i="13"/>
  <c r="AN673" i="13"/>
  <c r="AM673" i="13"/>
  <c r="AH673" i="13"/>
  <c r="S673" i="13"/>
  <c r="AB673" i="13" s="1"/>
  <c r="I673" i="13"/>
  <c r="AZ673" i="13" s="1"/>
  <c r="AY672" i="13"/>
  <c r="AX672" i="13"/>
  <c r="AW672" i="13"/>
  <c r="AV672" i="13"/>
  <c r="AT672" i="13"/>
  <c r="AS672" i="13"/>
  <c r="AO672" i="13"/>
  <c r="AN672" i="13"/>
  <c r="AM672" i="13"/>
  <c r="AH672" i="13"/>
  <c r="S672" i="13"/>
  <c r="AB672" i="13" s="1"/>
  <c r="I672" i="13"/>
  <c r="AZ672" i="13" s="1"/>
  <c r="AY671" i="13"/>
  <c r="AX671" i="13"/>
  <c r="AW671" i="13"/>
  <c r="AV671" i="13"/>
  <c r="AT671" i="13"/>
  <c r="AS671" i="13"/>
  <c r="AO671" i="13"/>
  <c r="AN671" i="13"/>
  <c r="AM671" i="13"/>
  <c r="AH671" i="13"/>
  <c r="S671" i="13"/>
  <c r="AB671" i="13" s="1"/>
  <c r="I671" i="13"/>
  <c r="AZ671" i="13" s="1"/>
  <c r="AY670" i="13"/>
  <c r="AX670" i="13"/>
  <c r="AW670" i="13"/>
  <c r="AV670" i="13"/>
  <c r="AT670" i="13"/>
  <c r="AS670" i="13"/>
  <c r="AO670" i="13"/>
  <c r="AN670" i="13"/>
  <c r="AM670" i="13"/>
  <c r="AH670" i="13"/>
  <c r="S670" i="13"/>
  <c r="AB670" i="13" s="1"/>
  <c r="I670" i="13"/>
  <c r="AZ670" i="13" s="1"/>
  <c r="AY669" i="13"/>
  <c r="AX669" i="13"/>
  <c r="AW669" i="13"/>
  <c r="AV669" i="13"/>
  <c r="AT669" i="13"/>
  <c r="AS669" i="13"/>
  <c r="AO669" i="13"/>
  <c r="AN669" i="13"/>
  <c r="AM669" i="13"/>
  <c r="AH669" i="13"/>
  <c r="S669" i="13"/>
  <c r="AB669" i="13" s="1"/>
  <c r="I669" i="13"/>
  <c r="AZ669" i="13" s="1"/>
  <c r="AY668" i="13"/>
  <c r="AX668" i="13"/>
  <c r="AW668" i="13"/>
  <c r="AV668" i="13"/>
  <c r="AT668" i="13"/>
  <c r="AS668" i="13"/>
  <c r="AO668" i="13"/>
  <c r="AN668" i="13"/>
  <c r="AM668" i="13"/>
  <c r="AH668" i="13"/>
  <c r="S668" i="13"/>
  <c r="AB668" i="13" s="1"/>
  <c r="I668" i="13"/>
  <c r="AZ668" i="13" s="1"/>
  <c r="AY667" i="13"/>
  <c r="AX667" i="13"/>
  <c r="AW667" i="13"/>
  <c r="AV667" i="13"/>
  <c r="AT667" i="13"/>
  <c r="AS667" i="13"/>
  <c r="AO667" i="13"/>
  <c r="AN667" i="13"/>
  <c r="AM667" i="13"/>
  <c r="AH667" i="13"/>
  <c r="S667" i="13"/>
  <c r="AB667" i="13" s="1"/>
  <c r="I667" i="13"/>
  <c r="AZ667" i="13" s="1"/>
  <c r="AY666" i="13"/>
  <c r="AX666" i="13"/>
  <c r="AW666" i="13"/>
  <c r="AV666" i="13"/>
  <c r="AT666" i="13"/>
  <c r="AS666" i="13"/>
  <c r="AO666" i="13"/>
  <c r="AN666" i="13"/>
  <c r="AM666" i="13"/>
  <c r="AH666" i="13"/>
  <c r="S666" i="13"/>
  <c r="AB666" i="13" s="1"/>
  <c r="I666" i="13"/>
  <c r="AZ666" i="13" s="1"/>
  <c r="AY665" i="13"/>
  <c r="AX665" i="13"/>
  <c r="AW665" i="13"/>
  <c r="AV665" i="13"/>
  <c r="AT665" i="13"/>
  <c r="AS665" i="13"/>
  <c r="AO665" i="13"/>
  <c r="AN665" i="13"/>
  <c r="AM665" i="13"/>
  <c r="AH665" i="13"/>
  <c r="S665" i="13"/>
  <c r="AB665" i="13" s="1"/>
  <c r="I665" i="13"/>
  <c r="AZ665" i="13" s="1"/>
  <c r="AY664" i="13"/>
  <c r="AX664" i="13"/>
  <c r="AW664" i="13"/>
  <c r="AV664" i="13"/>
  <c r="AT664" i="13"/>
  <c r="AS664" i="13"/>
  <c r="AO664" i="13"/>
  <c r="AN664" i="13"/>
  <c r="AM664" i="13"/>
  <c r="AH664" i="13"/>
  <c r="S664" i="13"/>
  <c r="AB664" i="13" s="1"/>
  <c r="I664" i="13"/>
  <c r="AZ664" i="13" s="1"/>
  <c r="AY663" i="13"/>
  <c r="AX663" i="13"/>
  <c r="AW663" i="13"/>
  <c r="AV663" i="13"/>
  <c r="AT663" i="13"/>
  <c r="AS663" i="13"/>
  <c r="AO663" i="13"/>
  <c r="AN663" i="13"/>
  <c r="AM663" i="13"/>
  <c r="AH663" i="13"/>
  <c r="S663" i="13"/>
  <c r="AB663" i="13" s="1"/>
  <c r="I663" i="13"/>
  <c r="AZ663" i="13" s="1"/>
  <c r="AY662" i="13"/>
  <c r="AX662" i="13"/>
  <c r="AW662" i="13"/>
  <c r="AV662" i="13"/>
  <c r="AT662" i="13"/>
  <c r="AS662" i="13"/>
  <c r="AO662" i="13"/>
  <c r="AN662" i="13"/>
  <c r="AM662" i="13"/>
  <c r="AH662" i="13"/>
  <c r="S662" i="13"/>
  <c r="AB662" i="13" s="1"/>
  <c r="I662" i="13"/>
  <c r="AZ662" i="13" s="1"/>
  <c r="AY661" i="13"/>
  <c r="AX661" i="13"/>
  <c r="AW661" i="13"/>
  <c r="AV661" i="13"/>
  <c r="AT661" i="13"/>
  <c r="AS661" i="13"/>
  <c r="AO661" i="13"/>
  <c r="AN661" i="13"/>
  <c r="AM661" i="13"/>
  <c r="AH661" i="13"/>
  <c r="S661" i="13"/>
  <c r="AB661" i="13" s="1"/>
  <c r="I661" i="13"/>
  <c r="AZ661" i="13" s="1"/>
  <c r="AY660" i="13"/>
  <c r="AX660" i="13"/>
  <c r="AW660" i="13"/>
  <c r="AV660" i="13"/>
  <c r="AT660" i="13"/>
  <c r="AS660" i="13"/>
  <c r="AO660" i="13"/>
  <c r="AN660" i="13"/>
  <c r="AM660" i="13"/>
  <c r="AH660" i="13"/>
  <c r="S660" i="13"/>
  <c r="AB660" i="13" s="1"/>
  <c r="I660" i="13"/>
  <c r="AZ660" i="13" s="1"/>
  <c r="AY659" i="13"/>
  <c r="AX659" i="13"/>
  <c r="AW659" i="13"/>
  <c r="AV659" i="13"/>
  <c r="AT659" i="13"/>
  <c r="AS659" i="13"/>
  <c r="AO659" i="13"/>
  <c r="AN659" i="13"/>
  <c r="AM659" i="13"/>
  <c r="AH659" i="13"/>
  <c r="S659" i="13"/>
  <c r="AB659" i="13" s="1"/>
  <c r="I659" i="13"/>
  <c r="AZ659" i="13" s="1"/>
  <c r="AY658" i="13"/>
  <c r="AX658" i="13"/>
  <c r="AW658" i="13"/>
  <c r="AV658" i="13"/>
  <c r="AT658" i="13"/>
  <c r="AS658" i="13"/>
  <c r="AO658" i="13"/>
  <c r="AN658" i="13"/>
  <c r="AM658" i="13"/>
  <c r="AH658" i="13"/>
  <c r="S658" i="13"/>
  <c r="AB658" i="13" s="1"/>
  <c r="I658" i="13"/>
  <c r="AZ658" i="13" s="1"/>
  <c r="AY657" i="13"/>
  <c r="AX657" i="13"/>
  <c r="AW657" i="13"/>
  <c r="AV657" i="13"/>
  <c r="AT657" i="13"/>
  <c r="AS657" i="13"/>
  <c r="AO657" i="13"/>
  <c r="AN657" i="13"/>
  <c r="AM657" i="13"/>
  <c r="AH657" i="13"/>
  <c r="S657" i="13"/>
  <c r="AB657" i="13" s="1"/>
  <c r="I657" i="13"/>
  <c r="AZ657" i="13" s="1"/>
  <c r="AY656" i="13"/>
  <c r="AX656" i="13"/>
  <c r="AW656" i="13"/>
  <c r="AV656" i="13"/>
  <c r="AT656" i="13"/>
  <c r="AS656" i="13"/>
  <c r="AO656" i="13"/>
  <c r="AN656" i="13"/>
  <c r="AM656" i="13"/>
  <c r="AH656" i="13"/>
  <c r="S656" i="13"/>
  <c r="AB656" i="13" s="1"/>
  <c r="I656" i="13"/>
  <c r="AZ656" i="13" s="1"/>
  <c r="AY655" i="13"/>
  <c r="AX655" i="13"/>
  <c r="AW655" i="13"/>
  <c r="AV655" i="13"/>
  <c r="AT655" i="13"/>
  <c r="AS655" i="13"/>
  <c r="AO655" i="13"/>
  <c r="AN655" i="13"/>
  <c r="AM655" i="13"/>
  <c r="AH655" i="13"/>
  <c r="S655" i="13"/>
  <c r="AB655" i="13" s="1"/>
  <c r="I655" i="13"/>
  <c r="AZ655" i="13" s="1"/>
  <c r="AY654" i="13"/>
  <c r="AX654" i="13"/>
  <c r="AW654" i="13"/>
  <c r="AV654" i="13"/>
  <c r="AT654" i="13"/>
  <c r="AS654" i="13"/>
  <c r="AO654" i="13"/>
  <c r="AN654" i="13"/>
  <c r="AM654" i="13"/>
  <c r="AH654" i="13"/>
  <c r="S654" i="13"/>
  <c r="AB654" i="13" s="1"/>
  <c r="I654" i="13"/>
  <c r="AZ654" i="13" s="1"/>
  <c r="AY653" i="13"/>
  <c r="AX653" i="13"/>
  <c r="AW653" i="13"/>
  <c r="AV653" i="13"/>
  <c r="AT653" i="13"/>
  <c r="AS653" i="13"/>
  <c r="AO653" i="13"/>
  <c r="AN653" i="13"/>
  <c r="AM653" i="13"/>
  <c r="AH653" i="13"/>
  <c r="S653" i="13"/>
  <c r="AB653" i="13" s="1"/>
  <c r="I653" i="13"/>
  <c r="AZ653" i="13" s="1"/>
  <c r="AY652" i="13"/>
  <c r="AX652" i="13"/>
  <c r="AW652" i="13"/>
  <c r="AV652" i="13"/>
  <c r="AT652" i="13"/>
  <c r="AS652" i="13"/>
  <c r="AO652" i="13"/>
  <c r="AN652" i="13"/>
  <c r="AM652" i="13"/>
  <c r="AH652" i="13"/>
  <c r="S652" i="13"/>
  <c r="AB652" i="13" s="1"/>
  <c r="I652" i="13"/>
  <c r="AZ652" i="13" s="1"/>
  <c r="AY651" i="13"/>
  <c r="AX651" i="13"/>
  <c r="AW651" i="13"/>
  <c r="AV651" i="13"/>
  <c r="AT651" i="13"/>
  <c r="AS651" i="13"/>
  <c r="AO651" i="13"/>
  <c r="AN651" i="13"/>
  <c r="AM651" i="13"/>
  <c r="AH651" i="13"/>
  <c r="S651" i="13"/>
  <c r="AB651" i="13" s="1"/>
  <c r="I651" i="13"/>
  <c r="AZ651" i="13" s="1"/>
  <c r="AY636" i="13"/>
  <c r="AX636" i="13"/>
  <c r="AW636" i="13"/>
  <c r="AV636" i="13"/>
  <c r="AT636" i="13"/>
  <c r="AS636" i="13"/>
  <c r="AO636" i="13"/>
  <c r="AN636" i="13"/>
  <c r="AM636" i="13"/>
  <c r="AH636" i="13"/>
  <c r="S636" i="13"/>
  <c r="AB636" i="13" s="1"/>
  <c r="I636" i="13"/>
  <c r="AZ636" i="13" s="1"/>
  <c r="AY635" i="13"/>
  <c r="AX635" i="13"/>
  <c r="AW635" i="13"/>
  <c r="AV635" i="13"/>
  <c r="AT635" i="13"/>
  <c r="AS635" i="13"/>
  <c r="AO635" i="13"/>
  <c r="AN635" i="13"/>
  <c r="AM635" i="13"/>
  <c r="AH635" i="13"/>
  <c r="S635" i="13"/>
  <c r="AB635" i="13" s="1"/>
  <c r="I635" i="13"/>
  <c r="AZ635" i="13" s="1"/>
  <c r="AY634" i="13"/>
  <c r="AX634" i="13"/>
  <c r="AW634" i="13"/>
  <c r="AV634" i="13"/>
  <c r="AT634" i="13"/>
  <c r="AS634" i="13"/>
  <c r="AO634" i="13"/>
  <c r="AN634" i="13"/>
  <c r="AM634" i="13"/>
  <c r="AH634" i="13"/>
  <c r="S634" i="13"/>
  <c r="AB634" i="13" s="1"/>
  <c r="I634" i="13"/>
  <c r="AZ634" i="13" s="1"/>
  <c r="AY633" i="13"/>
  <c r="AX633" i="13"/>
  <c r="AW633" i="13"/>
  <c r="AV633" i="13"/>
  <c r="AT633" i="13"/>
  <c r="AS633" i="13"/>
  <c r="AO633" i="13"/>
  <c r="AN633" i="13"/>
  <c r="AM633" i="13"/>
  <c r="AH633" i="13"/>
  <c r="S633" i="13"/>
  <c r="AB633" i="13" s="1"/>
  <c r="I633" i="13"/>
  <c r="AZ633" i="13" s="1"/>
  <c r="AY632" i="13"/>
  <c r="AX632" i="13"/>
  <c r="AW632" i="13"/>
  <c r="AV632" i="13"/>
  <c r="AT632" i="13"/>
  <c r="AS632" i="13"/>
  <c r="AO632" i="13"/>
  <c r="AN632" i="13"/>
  <c r="AM632" i="13"/>
  <c r="AH632" i="13"/>
  <c r="S632" i="13"/>
  <c r="AB632" i="13" s="1"/>
  <c r="I632" i="13"/>
  <c r="AZ632" i="13" s="1"/>
  <c r="AY631" i="13"/>
  <c r="AX631" i="13"/>
  <c r="AW631" i="13"/>
  <c r="AV631" i="13"/>
  <c r="AT631" i="13"/>
  <c r="AS631" i="13"/>
  <c r="AO631" i="13"/>
  <c r="AN631" i="13"/>
  <c r="AM631" i="13"/>
  <c r="AH631" i="13"/>
  <c r="S631" i="13"/>
  <c r="AB631" i="13" s="1"/>
  <c r="I631" i="13"/>
  <c r="AZ631" i="13" s="1"/>
  <c r="AY630" i="13"/>
  <c r="AX630" i="13"/>
  <c r="AW630" i="13"/>
  <c r="AV630" i="13"/>
  <c r="AT630" i="13"/>
  <c r="AS630" i="13"/>
  <c r="AO630" i="13"/>
  <c r="AN630" i="13"/>
  <c r="AM630" i="13"/>
  <c r="AH630" i="13"/>
  <c r="S630" i="13"/>
  <c r="AB630" i="13" s="1"/>
  <c r="I630" i="13"/>
  <c r="AZ630" i="13" s="1"/>
  <c r="AY629" i="13"/>
  <c r="AX629" i="13"/>
  <c r="AW629" i="13"/>
  <c r="AV629" i="13"/>
  <c r="AT629" i="13"/>
  <c r="AS629" i="13"/>
  <c r="AO629" i="13"/>
  <c r="AN629" i="13"/>
  <c r="AM629" i="13"/>
  <c r="AH629" i="13"/>
  <c r="S629" i="13"/>
  <c r="AB629" i="13" s="1"/>
  <c r="I629" i="13"/>
  <c r="AZ629" i="13" s="1"/>
  <c r="AY628" i="13"/>
  <c r="AX628" i="13"/>
  <c r="AW628" i="13"/>
  <c r="AV628" i="13"/>
  <c r="AT628" i="13"/>
  <c r="AS628" i="13"/>
  <c r="AO628" i="13"/>
  <c r="AN628" i="13"/>
  <c r="AM628" i="13"/>
  <c r="AH628" i="13"/>
  <c r="S628" i="13"/>
  <c r="AB628" i="13" s="1"/>
  <c r="I628" i="13"/>
  <c r="AZ628" i="13" s="1"/>
  <c r="AY627" i="13"/>
  <c r="AX627" i="13"/>
  <c r="AW627" i="13"/>
  <c r="AV627" i="13"/>
  <c r="AT627" i="13"/>
  <c r="AS627" i="13"/>
  <c r="AO627" i="13"/>
  <c r="AN627" i="13"/>
  <c r="AM627" i="13"/>
  <c r="AH627" i="13"/>
  <c r="S627" i="13"/>
  <c r="AB627" i="13" s="1"/>
  <c r="I627" i="13"/>
  <c r="AZ627" i="13" s="1"/>
  <c r="AY626" i="13"/>
  <c r="AX626" i="13"/>
  <c r="AW626" i="13"/>
  <c r="AV626" i="13"/>
  <c r="AT626" i="13"/>
  <c r="AS626" i="13"/>
  <c r="AO626" i="13"/>
  <c r="AN626" i="13"/>
  <c r="AM626" i="13"/>
  <c r="AH626" i="13"/>
  <c r="S626" i="13"/>
  <c r="AB626" i="13" s="1"/>
  <c r="I626" i="13"/>
  <c r="AZ626" i="13" s="1"/>
  <c r="AY625" i="13"/>
  <c r="AX625" i="13"/>
  <c r="AW625" i="13"/>
  <c r="AV625" i="13"/>
  <c r="AT625" i="13"/>
  <c r="AS625" i="13"/>
  <c r="AO625" i="13"/>
  <c r="AN625" i="13"/>
  <c r="AM625" i="13"/>
  <c r="AH625" i="13"/>
  <c r="S625" i="13"/>
  <c r="AB625" i="13" s="1"/>
  <c r="I625" i="13"/>
  <c r="AZ625" i="13" s="1"/>
  <c r="AY624" i="13"/>
  <c r="AX624" i="13"/>
  <c r="AW624" i="13"/>
  <c r="AV624" i="13"/>
  <c r="AT624" i="13"/>
  <c r="AS624" i="13"/>
  <c r="AO624" i="13"/>
  <c r="AN624" i="13"/>
  <c r="AM624" i="13"/>
  <c r="AH624" i="13"/>
  <c r="S624" i="13"/>
  <c r="AB624" i="13" s="1"/>
  <c r="I624" i="13"/>
  <c r="AZ624" i="13" s="1"/>
  <c r="AY623" i="13"/>
  <c r="AX623" i="13"/>
  <c r="AW623" i="13"/>
  <c r="AV623" i="13"/>
  <c r="AT623" i="13"/>
  <c r="AS623" i="13"/>
  <c r="AO623" i="13"/>
  <c r="AN623" i="13"/>
  <c r="AM623" i="13"/>
  <c r="AH623" i="13"/>
  <c r="S623" i="13"/>
  <c r="AB623" i="13" s="1"/>
  <c r="I623" i="13"/>
  <c r="AZ623" i="13" s="1"/>
  <c r="AY622" i="13"/>
  <c r="AX622" i="13"/>
  <c r="AW622" i="13"/>
  <c r="AV622" i="13"/>
  <c r="AT622" i="13"/>
  <c r="AS622" i="13"/>
  <c r="AO622" i="13"/>
  <c r="AN622" i="13"/>
  <c r="AM622" i="13"/>
  <c r="AH622" i="13"/>
  <c r="S622" i="13"/>
  <c r="AB622" i="13" s="1"/>
  <c r="I622" i="13"/>
  <c r="AZ622" i="13" s="1"/>
  <c r="AY621" i="13"/>
  <c r="AX621" i="13"/>
  <c r="AW621" i="13"/>
  <c r="AV621" i="13"/>
  <c r="AT621" i="13"/>
  <c r="AS621" i="13"/>
  <c r="AO621" i="13"/>
  <c r="AN621" i="13"/>
  <c r="AM621" i="13"/>
  <c r="AH621" i="13"/>
  <c r="S621" i="13"/>
  <c r="AB621" i="13" s="1"/>
  <c r="I621" i="13"/>
  <c r="AZ621" i="13" s="1"/>
  <c r="AY620" i="13"/>
  <c r="AX620" i="13"/>
  <c r="AW620" i="13"/>
  <c r="AV620" i="13"/>
  <c r="AT620" i="13"/>
  <c r="AS620" i="13"/>
  <c r="AO620" i="13"/>
  <c r="AN620" i="13"/>
  <c r="AM620" i="13"/>
  <c r="AH620" i="13"/>
  <c r="S620" i="13"/>
  <c r="AB620" i="13" s="1"/>
  <c r="I620" i="13"/>
  <c r="AZ620" i="13" s="1"/>
  <c r="AY619" i="13"/>
  <c r="AX619" i="13"/>
  <c r="AW619" i="13"/>
  <c r="AV619" i="13"/>
  <c r="AT619" i="13"/>
  <c r="AS619" i="13"/>
  <c r="AO619" i="13"/>
  <c r="AN619" i="13"/>
  <c r="AM619" i="13"/>
  <c r="AH619" i="13"/>
  <c r="S619" i="13"/>
  <c r="AB619" i="13" s="1"/>
  <c r="I619" i="13"/>
  <c r="AZ619" i="13" s="1"/>
  <c r="AY618" i="13"/>
  <c r="AX618" i="13"/>
  <c r="AW618" i="13"/>
  <c r="AV618" i="13"/>
  <c r="AT618" i="13"/>
  <c r="AS618" i="13"/>
  <c r="AO618" i="13"/>
  <c r="AN618" i="13"/>
  <c r="AM618" i="13"/>
  <c r="AH618" i="13"/>
  <c r="S618" i="13"/>
  <c r="AB618" i="13" s="1"/>
  <c r="I618" i="13"/>
  <c r="AZ618" i="13" s="1"/>
  <c r="AY617" i="13"/>
  <c r="AX617" i="13"/>
  <c r="AW617" i="13"/>
  <c r="AV617" i="13"/>
  <c r="AT617" i="13"/>
  <c r="AS617" i="13"/>
  <c r="AO617" i="13"/>
  <c r="AN617" i="13"/>
  <c r="AM617" i="13"/>
  <c r="AH617" i="13"/>
  <c r="S617" i="13"/>
  <c r="AB617" i="13" s="1"/>
  <c r="I617" i="13"/>
  <c r="AZ617" i="13" s="1"/>
  <c r="AY616" i="13"/>
  <c r="AX616" i="13"/>
  <c r="AW616" i="13"/>
  <c r="AV616" i="13"/>
  <c r="AT616" i="13"/>
  <c r="AS616" i="13"/>
  <c r="AO616" i="13"/>
  <c r="AN616" i="13"/>
  <c r="AM616" i="13"/>
  <c r="AH616" i="13"/>
  <c r="S616" i="13"/>
  <c r="AB616" i="13" s="1"/>
  <c r="I616" i="13"/>
  <c r="AZ616" i="13" s="1"/>
  <c r="AY615" i="13"/>
  <c r="AX615" i="13"/>
  <c r="AW615" i="13"/>
  <c r="AV615" i="13"/>
  <c r="AT615" i="13"/>
  <c r="AS615" i="13"/>
  <c r="AO615" i="13"/>
  <c r="AN615" i="13"/>
  <c r="AM615" i="13"/>
  <c r="AH615" i="13"/>
  <c r="S615" i="13"/>
  <c r="AB615" i="13" s="1"/>
  <c r="I615" i="13"/>
  <c r="AZ615" i="13" s="1"/>
  <c r="AY614" i="13"/>
  <c r="AX614" i="13"/>
  <c r="AW614" i="13"/>
  <c r="AV614" i="13"/>
  <c r="AT614" i="13"/>
  <c r="AS614" i="13"/>
  <c r="AO614" i="13"/>
  <c r="AN614" i="13"/>
  <c r="AM614" i="13"/>
  <c r="AH614" i="13"/>
  <c r="S614" i="13"/>
  <c r="AB614" i="13" s="1"/>
  <c r="I614" i="13"/>
  <c r="AZ614" i="13" s="1"/>
  <c r="AY613" i="13"/>
  <c r="AX613" i="13"/>
  <c r="AW613" i="13"/>
  <c r="AV613" i="13"/>
  <c r="AT613" i="13"/>
  <c r="AS613" i="13"/>
  <c r="AO613" i="13"/>
  <c r="AN613" i="13"/>
  <c r="AM613" i="13"/>
  <c r="AH613" i="13"/>
  <c r="S613" i="13"/>
  <c r="AB613" i="13" s="1"/>
  <c r="I613" i="13"/>
  <c r="AZ613" i="13" s="1"/>
  <c r="AY612" i="13"/>
  <c r="AX612" i="13"/>
  <c r="AW612" i="13"/>
  <c r="AV612" i="13"/>
  <c r="AT612" i="13"/>
  <c r="AS612" i="13"/>
  <c r="AO612" i="13"/>
  <c r="AN612" i="13"/>
  <c r="AM612" i="13"/>
  <c r="AH612" i="13"/>
  <c r="S612" i="13"/>
  <c r="AB612" i="13" s="1"/>
  <c r="I612" i="13"/>
  <c r="AZ612" i="13" s="1"/>
  <c r="AY611" i="13"/>
  <c r="AX611" i="13"/>
  <c r="AW611" i="13"/>
  <c r="AV611" i="13"/>
  <c r="AT611" i="13"/>
  <c r="AS611" i="13"/>
  <c r="AO611" i="13"/>
  <c r="AN611" i="13"/>
  <c r="AM611" i="13"/>
  <c r="AH611" i="13"/>
  <c r="S611" i="13"/>
  <c r="AB611" i="13" s="1"/>
  <c r="I611" i="13"/>
  <c r="AZ611" i="13" s="1"/>
  <c r="AY610" i="13"/>
  <c r="AX610" i="13"/>
  <c r="AW610" i="13"/>
  <c r="AV610" i="13"/>
  <c r="AT610" i="13"/>
  <c r="AS610" i="13"/>
  <c r="AO610" i="13"/>
  <c r="AN610" i="13"/>
  <c r="AM610" i="13"/>
  <c r="AH610" i="13"/>
  <c r="S610" i="13"/>
  <c r="AB610" i="13" s="1"/>
  <c r="I610" i="13"/>
  <c r="AZ610" i="13" s="1"/>
  <c r="AY609" i="13"/>
  <c r="AX609" i="13"/>
  <c r="AW609" i="13"/>
  <c r="AV609" i="13"/>
  <c r="AT609" i="13"/>
  <c r="AS609" i="13"/>
  <c r="AO609" i="13"/>
  <c r="AN609" i="13"/>
  <c r="AM609" i="13"/>
  <c r="AH609" i="13"/>
  <c r="S609" i="13"/>
  <c r="AB609" i="13" s="1"/>
  <c r="I609" i="13"/>
  <c r="AZ609" i="13" s="1"/>
  <c r="AY608" i="13"/>
  <c r="AX608" i="13"/>
  <c r="AW608" i="13"/>
  <c r="AV608" i="13"/>
  <c r="AT608" i="13"/>
  <c r="AS608" i="13"/>
  <c r="AO608" i="13"/>
  <c r="AN608" i="13"/>
  <c r="AM608" i="13"/>
  <c r="AH608" i="13"/>
  <c r="S608" i="13"/>
  <c r="AB608" i="13" s="1"/>
  <c r="I608" i="13"/>
  <c r="AZ608" i="13" s="1"/>
  <c r="AY607" i="13"/>
  <c r="AX607" i="13"/>
  <c r="AW607" i="13"/>
  <c r="AV607" i="13"/>
  <c r="AT607" i="13"/>
  <c r="AS607" i="13"/>
  <c r="AO607" i="13"/>
  <c r="AN607" i="13"/>
  <c r="AM607" i="13"/>
  <c r="AH607" i="13"/>
  <c r="S607" i="13"/>
  <c r="AB607" i="13" s="1"/>
  <c r="I607" i="13"/>
  <c r="AZ607" i="13" s="1"/>
  <c r="AY606" i="13"/>
  <c r="AX606" i="13"/>
  <c r="AW606" i="13"/>
  <c r="AV606" i="13"/>
  <c r="AT606" i="13"/>
  <c r="AS606" i="13"/>
  <c r="AO606" i="13"/>
  <c r="AN606" i="13"/>
  <c r="AM606" i="13"/>
  <c r="AH606" i="13"/>
  <c r="S606" i="13"/>
  <c r="AB606" i="13" s="1"/>
  <c r="I606" i="13"/>
  <c r="AZ606" i="13" s="1"/>
  <c r="AY605" i="13"/>
  <c r="AX605" i="13"/>
  <c r="AW605" i="13"/>
  <c r="AV605" i="13"/>
  <c r="AT605" i="13"/>
  <c r="AS605" i="13"/>
  <c r="AO605" i="13"/>
  <c r="AN605" i="13"/>
  <c r="AM605" i="13"/>
  <c r="AH605" i="13"/>
  <c r="S605" i="13"/>
  <c r="AB605" i="13" s="1"/>
  <c r="I605" i="13"/>
  <c r="AZ605" i="13" s="1"/>
  <c r="AY590" i="13"/>
  <c r="AX590" i="13"/>
  <c r="AW590" i="13"/>
  <c r="AV590" i="13"/>
  <c r="AT590" i="13"/>
  <c r="AS590" i="13"/>
  <c r="AO590" i="13"/>
  <c r="AN590" i="13"/>
  <c r="AM590" i="13"/>
  <c r="AH590" i="13"/>
  <c r="S590" i="13"/>
  <c r="AB590" i="13" s="1"/>
  <c r="I590" i="13"/>
  <c r="AZ590" i="13" s="1"/>
  <c r="AY589" i="13"/>
  <c r="AX589" i="13"/>
  <c r="AW589" i="13"/>
  <c r="AV589" i="13"/>
  <c r="AT589" i="13"/>
  <c r="AS589" i="13"/>
  <c r="AO589" i="13"/>
  <c r="AN589" i="13"/>
  <c r="AM589" i="13"/>
  <c r="AH589" i="13"/>
  <c r="S589" i="13"/>
  <c r="AB589" i="13" s="1"/>
  <c r="I589" i="13"/>
  <c r="AZ589" i="13" s="1"/>
  <c r="AY588" i="13"/>
  <c r="AX588" i="13"/>
  <c r="AW588" i="13"/>
  <c r="AV588" i="13"/>
  <c r="AT588" i="13"/>
  <c r="AS588" i="13"/>
  <c r="AO588" i="13"/>
  <c r="AN588" i="13"/>
  <c r="AM588" i="13"/>
  <c r="AH588" i="13"/>
  <c r="S588" i="13"/>
  <c r="AB588" i="13" s="1"/>
  <c r="I588" i="13"/>
  <c r="AZ588" i="13" s="1"/>
  <c r="AY587" i="13"/>
  <c r="AX587" i="13"/>
  <c r="AW587" i="13"/>
  <c r="AV587" i="13"/>
  <c r="AT587" i="13"/>
  <c r="AS587" i="13"/>
  <c r="AO587" i="13"/>
  <c r="AN587" i="13"/>
  <c r="AM587" i="13"/>
  <c r="AH587" i="13"/>
  <c r="S587" i="13"/>
  <c r="AB587" i="13" s="1"/>
  <c r="I587" i="13"/>
  <c r="AZ587" i="13" s="1"/>
  <c r="AY586" i="13"/>
  <c r="AX586" i="13"/>
  <c r="AW586" i="13"/>
  <c r="AV586" i="13"/>
  <c r="AT586" i="13"/>
  <c r="AS586" i="13"/>
  <c r="AO586" i="13"/>
  <c r="AN586" i="13"/>
  <c r="AM586" i="13"/>
  <c r="AH586" i="13"/>
  <c r="S586" i="13"/>
  <c r="AB586" i="13" s="1"/>
  <c r="I586" i="13"/>
  <c r="AZ586" i="13" s="1"/>
  <c r="AY585" i="13"/>
  <c r="AX585" i="13"/>
  <c r="AW585" i="13"/>
  <c r="AV585" i="13"/>
  <c r="AT585" i="13"/>
  <c r="AS585" i="13"/>
  <c r="AO585" i="13"/>
  <c r="AN585" i="13"/>
  <c r="AM585" i="13"/>
  <c r="AH585" i="13"/>
  <c r="S585" i="13"/>
  <c r="AB585" i="13" s="1"/>
  <c r="I585" i="13"/>
  <c r="AZ585" i="13" s="1"/>
  <c r="AY584" i="13"/>
  <c r="AX584" i="13"/>
  <c r="AW584" i="13"/>
  <c r="AV584" i="13"/>
  <c r="AT584" i="13"/>
  <c r="AS584" i="13"/>
  <c r="AO584" i="13"/>
  <c r="AN584" i="13"/>
  <c r="AM584" i="13"/>
  <c r="AH584" i="13"/>
  <c r="S584" i="13"/>
  <c r="AB584" i="13" s="1"/>
  <c r="I584" i="13"/>
  <c r="AZ584" i="13" s="1"/>
  <c r="AY583" i="13"/>
  <c r="AX583" i="13"/>
  <c r="AW583" i="13"/>
  <c r="AV583" i="13"/>
  <c r="AT583" i="13"/>
  <c r="AS583" i="13"/>
  <c r="AO583" i="13"/>
  <c r="AN583" i="13"/>
  <c r="AM583" i="13"/>
  <c r="AH583" i="13"/>
  <c r="S583" i="13"/>
  <c r="AB583" i="13" s="1"/>
  <c r="I583" i="13"/>
  <c r="AZ583" i="13" s="1"/>
  <c r="AY582" i="13"/>
  <c r="AX582" i="13"/>
  <c r="AW582" i="13"/>
  <c r="AV582" i="13"/>
  <c r="AT582" i="13"/>
  <c r="AS582" i="13"/>
  <c r="AO582" i="13"/>
  <c r="AN582" i="13"/>
  <c r="AM582" i="13"/>
  <c r="AH582" i="13"/>
  <c r="S582" i="13"/>
  <c r="AB582" i="13" s="1"/>
  <c r="I582" i="13"/>
  <c r="AZ582" i="13" s="1"/>
  <c r="AY581" i="13"/>
  <c r="AX581" i="13"/>
  <c r="AW581" i="13"/>
  <c r="AV581" i="13"/>
  <c r="AT581" i="13"/>
  <c r="AS581" i="13"/>
  <c r="AO581" i="13"/>
  <c r="AN581" i="13"/>
  <c r="AM581" i="13"/>
  <c r="AH581" i="13"/>
  <c r="S581" i="13"/>
  <c r="AB581" i="13" s="1"/>
  <c r="I581" i="13"/>
  <c r="AZ581" i="13" s="1"/>
  <c r="AY580" i="13"/>
  <c r="AX580" i="13"/>
  <c r="AW580" i="13"/>
  <c r="AV580" i="13"/>
  <c r="AT580" i="13"/>
  <c r="AS580" i="13"/>
  <c r="AO580" i="13"/>
  <c r="AN580" i="13"/>
  <c r="AM580" i="13"/>
  <c r="AH580" i="13"/>
  <c r="S580" i="13"/>
  <c r="AB580" i="13" s="1"/>
  <c r="I580" i="13"/>
  <c r="AZ580" i="13" s="1"/>
  <c r="AY579" i="13"/>
  <c r="AX579" i="13"/>
  <c r="AW579" i="13"/>
  <c r="AV579" i="13"/>
  <c r="AT579" i="13"/>
  <c r="AS579" i="13"/>
  <c r="AO579" i="13"/>
  <c r="AN579" i="13"/>
  <c r="AM579" i="13"/>
  <c r="AH579" i="13"/>
  <c r="S579" i="13"/>
  <c r="AB579" i="13" s="1"/>
  <c r="I579" i="13"/>
  <c r="AZ579" i="13" s="1"/>
  <c r="AY578" i="13"/>
  <c r="AX578" i="13"/>
  <c r="AW578" i="13"/>
  <c r="AV578" i="13"/>
  <c r="AT578" i="13"/>
  <c r="AS578" i="13"/>
  <c r="AO578" i="13"/>
  <c r="AN578" i="13"/>
  <c r="AM578" i="13"/>
  <c r="AH578" i="13"/>
  <c r="S578" i="13"/>
  <c r="AB578" i="13" s="1"/>
  <c r="I578" i="13"/>
  <c r="AZ578" i="13" s="1"/>
  <c r="AY577" i="13"/>
  <c r="AX577" i="13"/>
  <c r="AW577" i="13"/>
  <c r="AV577" i="13"/>
  <c r="AT577" i="13"/>
  <c r="AS577" i="13"/>
  <c r="AO577" i="13"/>
  <c r="AN577" i="13"/>
  <c r="AM577" i="13"/>
  <c r="AH577" i="13"/>
  <c r="S577" i="13"/>
  <c r="AB577" i="13" s="1"/>
  <c r="I577" i="13"/>
  <c r="AZ577" i="13" s="1"/>
  <c r="AY576" i="13"/>
  <c r="AX576" i="13"/>
  <c r="AW576" i="13"/>
  <c r="AV576" i="13"/>
  <c r="AT576" i="13"/>
  <c r="AS576" i="13"/>
  <c r="AO576" i="13"/>
  <c r="AN576" i="13"/>
  <c r="AM576" i="13"/>
  <c r="AH576" i="13"/>
  <c r="S576" i="13"/>
  <c r="AB576" i="13" s="1"/>
  <c r="I576" i="13"/>
  <c r="AZ576" i="13" s="1"/>
  <c r="AY575" i="13"/>
  <c r="AX575" i="13"/>
  <c r="AW575" i="13"/>
  <c r="AV575" i="13"/>
  <c r="AT575" i="13"/>
  <c r="AS575" i="13"/>
  <c r="AO575" i="13"/>
  <c r="AN575" i="13"/>
  <c r="AM575" i="13"/>
  <c r="AH575" i="13"/>
  <c r="S575" i="13"/>
  <c r="AB575" i="13" s="1"/>
  <c r="I575" i="13"/>
  <c r="AZ575" i="13" s="1"/>
  <c r="AY574" i="13"/>
  <c r="AX574" i="13"/>
  <c r="AW574" i="13"/>
  <c r="AV574" i="13"/>
  <c r="AT574" i="13"/>
  <c r="AS574" i="13"/>
  <c r="AO574" i="13"/>
  <c r="AN574" i="13"/>
  <c r="AM574" i="13"/>
  <c r="AH574" i="13"/>
  <c r="S574" i="13"/>
  <c r="AB574" i="13" s="1"/>
  <c r="I574" i="13"/>
  <c r="AZ574" i="13" s="1"/>
  <c r="AY573" i="13"/>
  <c r="AX573" i="13"/>
  <c r="AW573" i="13"/>
  <c r="AV573" i="13"/>
  <c r="AT573" i="13"/>
  <c r="AS573" i="13"/>
  <c r="AO573" i="13"/>
  <c r="AN573" i="13"/>
  <c r="AM573" i="13"/>
  <c r="AH573" i="13"/>
  <c r="S573" i="13"/>
  <c r="AB573" i="13" s="1"/>
  <c r="I573" i="13"/>
  <c r="AZ573" i="13" s="1"/>
  <c r="AY572" i="13"/>
  <c r="AX572" i="13"/>
  <c r="AW572" i="13"/>
  <c r="AV572" i="13"/>
  <c r="AT572" i="13"/>
  <c r="AS572" i="13"/>
  <c r="AO572" i="13"/>
  <c r="AN572" i="13"/>
  <c r="AM572" i="13"/>
  <c r="AH572" i="13"/>
  <c r="S572" i="13"/>
  <c r="AB572" i="13" s="1"/>
  <c r="I572" i="13"/>
  <c r="AZ572" i="13" s="1"/>
  <c r="AY571" i="13"/>
  <c r="AX571" i="13"/>
  <c r="AW571" i="13"/>
  <c r="AV571" i="13"/>
  <c r="AT571" i="13"/>
  <c r="AS571" i="13"/>
  <c r="AO571" i="13"/>
  <c r="AN571" i="13"/>
  <c r="AM571" i="13"/>
  <c r="AH571" i="13"/>
  <c r="S571" i="13"/>
  <c r="AB571" i="13" s="1"/>
  <c r="I571" i="13"/>
  <c r="AZ571" i="13" s="1"/>
  <c r="AY570" i="13"/>
  <c r="AX570" i="13"/>
  <c r="AW570" i="13"/>
  <c r="AV570" i="13"/>
  <c r="AT570" i="13"/>
  <c r="AS570" i="13"/>
  <c r="AO570" i="13"/>
  <c r="AN570" i="13"/>
  <c r="AM570" i="13"/>
  <c r="AH570" i="13"/>
  <c r="S570" i="13"/>
  <c r="AB570" i="13" s="1"/>
  <c r="I570" i="13"/>
  <c r="AZ570" i="13" s="1"/>
  <c r="AY569" i="13"/>
  <c r="AX569" i="13"/>
  <c r="AW569" i="13"/>
  <c r="AV569" i="13"/>
  <c r="AT569" i="13"/>
  <c r="AS569" i="13"/>
  <c r="AO569" i="13"/>
  <c r="AN569" i="13"/>
  <c r="AM569" i="13"/>
  <c r="AH569" i="13"/>
  <c r="S569" i="13"/>
  <c r="AB569" i="13" s="1"/>
  <c r="I569" i="13"/>
  <c r="AZ569" i="13" s="1"/>
  <c r="AY568" i="13"/>
  <c r="AX568" i="13"/>
  <c r="AW568" i="13"/>
  <c r="AV568" i="13"/>
  <c r="AT568" i="13"/>
  <c r="AS568" i="13"/>
  <c r="AO568" i="13"/>
  <c r="AN568" i="13"/>
  <c r="AM568" i="13"/>
  <c r="AH568" i="13"/>
  <c r="S568" i="13"/>
  <c r="AB568" i="13" s="1"/>
  <c r="I568" i="13"/>
  <c r="AZ568" i="13" s="1"/>
  <c r="AY567" i="13"/>
  <c r="AX567" i="13"/>
  <c r="AW567" i="13"/>
  <c r="AV567" i="13"/>
  <c r="AT567" i="13"/>
  <c r="AS567" i="13"/>
  <c r="AO567" i="13"/>
  <c r="AN567" i="13"/>
  <c r="AM567" i="13"/>
  <c r="AH567" i="13"/>
  <c r="S567" i="13"/>
  <c r="AB567" i="13" s="1"/>
  <c r="I567" i="13"/>
  <c r="AZ567" i="13" s="1"/>
  <c r="AY566" i="13"/>
  <c r="AX566" i="13"/>
  <c r="AW566" i="13"/>
  <c r="AV566" i="13"/>
  <c r="AT566" i="13"/>
  <c r="AS566" i="13"/>
  <c r="AO566" i="13"/>
  <c r="AN566" i="13"/>
  <c r="AM566" i="13"/>
  <c r="AH566" i="13"/>
  <c r="S566" i="13"/>
  <c r="AB566" i="13" s="1"/>
  <c r="I566" i="13"/>
  <c r="AZ566" i="13" s="1"/>
  <c r="AY565" i="13"/>
  <c r="AX565" i="13"/>
  <c r="AW565" i="13"/>
  <c r="AV565" i="13"/>
  <c r="AT565" i="13"/>
  <c r="AS565" i="13"/>
  <c r="AO565" i="13"/>
  <c r="AN565" i="13"/>
  <c r="AM565" i="13"/>
  <c r="AH565" i="13"/>
  <c r="S565" i="13"/>
  <c r="AB565" i="13" s="1"/>
  <c r="I565" i="13"/>
  <c r="AZ565" i="13" s="1"/>
  <c r="AY564" i="13"/>
  <c r="AX564" i="13"/>
  <c r="AW564" i="13"/>
  <c r="AV564" i="13"/>
  <c r="AT564" i="13"/>
  <c r="AS564" i="13"/>
  <c r="AO564" i="13"/>
  <c r="AN564" i="13"/>
  <c r="AM564" i="13"/>
  <c r="AH564" i="13"/>
  <c r="S564" i="13"/>
  <c r="AB564" i="13" s="1"/>
  <c r="I564" i="13"/>
  <c r="AZ564" i="13" s="1"/>
  <c r="AY563" i="13"/>
  <c r="AX563" i="13"/>
  <c r="AW563" i="13"/>
  <c r="AV563" i="13"/>
  <c r="AT563" i="13"/>
  <c r="AS563" i="13"/>
  <c r="AO563" i="13"/>
  <c r="AN563" i="13"/>
  <c r="AM563" i="13"/>
  <c r="AH563" i="13"/>
  <c r="S563" i="13"/>
  <c r="AB563" i="13" s="1"/>
  <c r="I563" i="13"/>
  <c r="AZ563" i="13" s="1"/>
  <c r="AY562" i="13"/>
  <c r="AX562" i="13"/>
  <c r="AW562" i="13"/>
  <c r="AV562" i="13"/>
  <c r="AT562" i="13"/>
  <c r="AS562" i="13"/>
  <c r="AO562" i="13"/>
  <c r="AN562" i="13"/>
  <c r="AM562" i="13"/>
  <c r="AH562" i="13"/>
  <c r="S562" i="13"/>
  <c r="AB562" i="13" s="1"/>
  <c r="I562" i="13"/>
  <c r="AZ562" i="13" s="1"/>
  <c r="AY561" i="13"/>
  <c r="AX561" i="13"/>
  <c r="AW561" i="13"/>
  <c r="AV561" i="13"/>
  <c r="AT561" i="13"/>
  <c r="AS561" i="13"/>
  <c r="AO561" i="13"/>
  <c r="AN561" i="13"/>
  <c r="AM561" i="13"/>
  <c r="AH561" i="13"/>
  <c r="S561" i="13"/>
  <c r="AB561" i="13" s="1"/>
  <c r="I561" i="13"/>
  <c r="AZ561" i="13" s="1"/>
  <c r="AY560" i="13"/>
  <c r="AX560" i="13"/>
  <c r="AW560" i="13"/>
  <c r="AV560" i="13"/>
  <c r="AT560" i="13"/>
  <c r="AS560" i="13"/>
  <c r="AO560" i="13"/>
  <c r="AN560" i="13"/>
  <c r="AM560" i="13"/>
  <c r="AH560" i="13"/>
  <c r="S560" i="13"/>
  <c r="AB560" i="13" s="1"/>
  <c r="I560" i="13"/>
  <c r="AZ560" i="13" s="1"/>
  <c r="AY559" i="13"/>
  <c r="AX559" i="13"/>
  <c r="AW559" i="13"/>
  <c r="AV559" i="13"/>
  <c r="AT559" i="13"/>
  <c r="AS559" i="13"/>
  <c r="AO559" i="13"/>
  <c r="AN559" i="13"/>
  <c r="AM559" i="13"/>
  <c r="AH559" i="13"/>
  <c r="S559" i="13"/>
  <c r="AB559" i="13" s="1"/>
  <c r="I559" i="13"/>
  <c r="AZ559" i="13" s="1"/>
  <c r="AY544" i="13"/>
  <c r="AX544" i="13"/>
  <c r="AW544" i="13"/>
  <c r="AV544" i="13"/>
  <c r="AT544" i="13"/>
  <c r="AS544" i="13"/>
  <c r="AO544" i="13"/>
  <c r="AN544" i="13"/>
  <c r="AM544" i="13"/>
  <c r="AH544" i="13"/>
  <c r="S544" i="13"/>
  <c r="AB544" i="13" s="1"/>
  <c r="I544" i="13"/>
  <c r="AZ544" i="13" s="1"/>
  <c r="AY543" i="13"/>
  <c r="AX543" i="13"/>
  <c r="AW543" i="13"/>
  <c r="AV543" i="13"/>
  <c r="AT543" i="13"/>
  <c r="AS543" i="13"/>
  <c r="AO543" i="13"/>
  <c r="AN543" i="13"/>
  <c r="AM543" i="13"/>
  <c r="AH543" i="13"/>
  <c r="S543" i="13"/>
  <c r="AB543" i="13" s="1"/>
  <c r="I543" i="13"/>
  <c r="AZ543" i="13" s="1"/>
  <c r="AY542" i="13"/>
  <c r="AX542" i="13"/>
  <c r="AW542" i="13"/>
  <c r="AV542" i="13"/>
  <c r="AT542" i="13"/>
  <c r="AS542" i="13"/>
  <c r="AO542" i="13"/>
  <c r="AN542" i="13"/>
  <c r="AM542" i="13"/>
  <c r="AH542" i="13"/>
  <c r="S542" i="13"/>
  <c r="AB542" i="13" s="1"/>
  <c r="I542" i="13"/>
  <c r="AZ542" i="13" s="1"/>
  <c r="AY541" i="13"/>
  <c r="AX541" i="13"/>
  <c r="AW541" i="13"/>
  <c r="AV541" i="13"/>
  <c r="AT541" i="13"/>
  <c r="AS541" i="13"/>
  <c r="AO541" i="13"/>
  <c r="AN541" i="13"/>
  <c r="AM541" i="13"/>
  <c r="AH541" i="13"/>
  <c r="S541" i="13"/>
  <c r="AB541" i="13" s="1"/>
  <c r="I541" i="13"/>
  <c r="AZ541" i="13" s="1"/>
  <c r="AY540" i="13"/>
  <c r="AX540" i="13"/>
  <c r="AW540" i="13"/>
  <c r="AV540" i="13"/>
  <c r="AT540" i="13"/>
  <c r="AS540" i="13"/>
  <c r="AO540" i="13"/>
  <c r="AN540" i="13"/>
  <c r="AM540" i="13"/>
  <c r="AH540" i="13"/>
  <c r="S540" i="13"/>
  <c r="AB540" i="13" s="1"/>
  <c r="I540" i="13"/>
  <c r="AZ540" i="13" s="1"/>
  <c r="AY539" i="13"/>
  <c r="AX539" i="13"/>
  <c r="AW539" i="13"/>
  <c r="AV539" i="13"/>
  <c r="AT539" i="13"/>
  <c r="AS539" i="13"/>
  <c r="AO539" i="13"/>
  <c r="AN539" i="13"/>
  <c r="AM539" i="13"/>
  <c r="AH539" i="13"/>
  <c r="S539" i="13"/>
  <c r="AB539" i="13" s="1"/>
  <c r="I539" i="13"/>
  <c r="AZ539" i="13" s="1"/>
  <c r="AY538" i="13"/>
  <c r="AX538" i="13"/>
  <c r="AW538" i="13"/>
  <c r="AV538" i="13"/>
  <c r="AT538" i="13"/>
  <c r="AS538" i="13"/>
  <c r="AO538" i="13"/>
  <c r="AN538" i="13"/>
  <c r="AM538" i="13"/>
  <c r="AH538" i="13"/>
  <c r="S538" i="13"/>
  <c r="AB538" i="13" s="1"/>
  <c r="I538" i="13"/>
  <c r="AZ538" i="13" s="1"/>
  <c r="AY537" i="13"/>
  <c r="AX537" i="13"/>
  <c r="AW537" i="13"/>
  <c r="AV537" i="13"/>
  <c r="AT537" i="13"/>
  <c r="AS537" i="13"/>
  <c r="AO537" i="13"/>
  <c r="AN537" i="13"/>
  <c r="AM537" i="13"/>
  <c r="AH537" i="13"/>
  <c r="S537" i="13"/>
  <c r="AB537" i="13" s="1"/>
  <c r="I537" i="13"/>
  <c r="AZ537" i="13" s="1"/>
  <c r="AY536" i="13"/>
  <c r="AX536" i="13"/>
  <c r="AW536" i="13"/>
  <c r="AV536" i="13"/>
  <c r="AT536" i="13"/>
  <c r="AS536" i="13"/>
  <c r="AO536" i="13"/>
  <c r="AN536" i="13"/>
  <c r="AM536" i="13"/>
  <c r="AH536" i="13"/>
  <c r="S536" i="13"/>
  <c r="AB536" i="13" s="1"/>
  <c r="I536" i="13"/>
  <c r="AZ536" i="13" s="1"/>
  <c r="AY535" i="13"/>
  <c r="AX535" i="13"/>
  <c r="AW535" i="13"/>
  <c r="AV535" i="13"/>
  <c r="AT535" i="13"/>
  <c r="AS535" i="13"/>
  <c r="AO535" i="13"/>
  <c r="AN535" i="13"/>
  <c r="AM535" i="13"/>
  <c r="AH535" i="13"/>
  <c r="S535" i="13"/>
  <c r="AB535" i="13" s="1"/>
  <c r="I535" i="13"/>
  <c r="AZ535" i="13" s="1"/>
  <c r="AY534" i="13"/>
  <c r="AX534" i="13"/>
  <c r="AW534" i="13"/>
  <c r="AV534" i="13"/>
  <c r="AT534" i="13"/>
  <c r="AS534" i="13"/>
  <c r="AO534" i="13"/>
  <c r="AN534" i="13"/>
  <c r="AM534" i="13"/>
  <c r="AH534" i="13"/>
  <c r="S534" i="13"/>
  <c r="AB534" i="13" s="1"/>
  <c r="I534" i="13"/>
  <c r="AZ534" i="13" s="1"/>
  <c r="AY533" i="13"/>
  <c r="AX533" i="13"/>
  <c r="AW533" i="13"/>
  <c r="AV533" i="13"/>
  <c r="AT533" i="13"/>
  <c r="AS533" i="13"/>
  <c r="AO533" i="13"/>
  <c r="AN533" i="13"/>
  <c r="AM533" i="13"/>
  <c r="AH533" i="13"/>
  <c r="S533" i="13"/>
  <c r="AB533" i="13" s="1"/>
  <c r="I533" i="13"/>
  <c r="AZ533" i="13" s="1"/>
  <c r="AY532" i="13"/>
  <c r="AX532" i="13"/>
  <c r="AW532" i="13"/>
  <c r="AV532" i="13"/>
  <c r="AT532" i="13"/>
  <c r="AS532" i="13"/>
  <c r="AO532" i="13"/>
  <c r="AN532" i="13"/>
  <c r="AM532" i="13"/>
  <c r="AH532" i="13"/>
  <c r="S532" i="13"/>
  <c r="AB532" i="13" s="1"/>
  <c r="I532" i="13"/>
  <c r="AZ532" i="13" s="1"/>
  <c r="AY531" i="13"/>
  <c r="AX531" i="13"/>
  <c r="AW531" i="13"/>
  <c r="AV531" i="13"/>
  <c r="AT531" i="13"/>
  <c r="AS531" i="13"/>
  <c r="AO531" i="13"/>
  <c r="AN531" i="13"/>
  <c r="AM531" i="13"/>
  <c r="AH531" i="13"/>
  <c r="S531" i="13"/>
  <c r="AB531" i="13" s="1"/>
  <c r="I531" i="13"/>
  <c r="AZ531" i="13" s="1"/>
  <c r="AY530" i="13"/>
  <c r="AX530" i="13"/>
  <c r="AW530" i="13"/>
  <c r="AV530" i="13"/>
  <c r="AT530" i="13"/>
  <c r="AS530" i="13"/>
  <c r="AO530" i="13"/>
  <c r="AN530" i="13"/>
  <c r="AM530" i="13"/>
  <c r="AH530" i="13"/>
  <c r="S530" i="13"/>
  <c r="AB530" i="13" s="1"/>
  <c r="I530" i="13"/>
  <c r="AZ530" i="13" s="1"/>
  <c r="AY529" i="13"/>
  <c r="AX529" i="13"/>
  <c r="AW529" i="13"/>
  <c r="AV529" i="13"/>
  <c r="AT529" i="13"/>
  <c r="AS529" i="13"/>
  <c r="AO529" i="13"/>
  <c r="AN529" i="13"/>
  <c r="AM529" i="13"/>
  <c r="AH529" i="13"/>
  <c r="S529" i="13"/>
  <c r="AB529" i="13" s="1"/>
  <c r="I529" i="13"/>
  <c r="AZ529" i="13" s="1"/>
  <c r="AY528" i="13"/>
  <c r="AX528" i="13"/>
  <c r="AW528" i="13"/>
  <c r="AV528" i="13"/>
  <c r="AT528" i="13"/>
  <c r="AS528" i="13"/>
  <c r="AO528" i="13"/>
  <c r="AN528" i="13"/>
  <c r="AM528" i="13"/>
  <c r="AH528" i="13"/>
  <c r="S528" i="13"/>
  <c r="AB528" i="13" s="1"/>
  <c r="I528" i="13"/>
  <c r="AZ528" i="13" s="1"/>
  <c r="AY527" i="13"/>
  <c r="AX527" i="13"/>
  <c r="AW527" i="13"/>
  <c r="AV527" i="13"/>
  <c r="AT527" i="13"/>
  <c r="AS527" i="13"/>
  <c r="AO527" i="13"/>
  <c r="AN527" i="13"/>
  <c r="AM527" i="13"/>
  <c r="AH527" i="13"/>
  <c r="S527" i="13"/>
  <c r="AB527" i="13" s="1"/>
  <c r="I527" i="13"/>
  <c r="AZ527" i="13" s="1"/>
  <c r="AY526" i="13"/>
  <c r="AX526" i="13"/>
  <c r="AW526" i="13"/>
  <c r="AV526" i="13"/>
  <c r="AT526" i="13"/>
  <c r="AS526" i="13"/>
  <c r="AO526" i="13"/>
  <c r="AN526" i="13"/>
  <c r="AM526" i="13"/>
  <c r="AH526" i="13"/>
  <c r="S526" i="13"/>
  <c r="AB526" i="13" s="1"/>
  <c r="I526" i="13"/>
  <c r="AZ526" i="13" s="1"/>
  <c r="AY525" i="13"/>
  <c r="AX525" i="13"/>
  <c r="AW525" i="13"/>
  <c r="AV525" i="13"/>
  <c r="AT525" i="13"/>
  <c r="AS525" i="13"/>
  <c r="AO525" i="13"/>
  <c r="AN525" i="13"/>
  <c r="AM525" i="13"/>
  <c r="AH525" i="13"/>
  <c r="S525" i="13"/>
  <c r="AB525" i="13" s="1"/>
  <c r="I525" i="13"/>
  <c r="AZ525" i="13" s="1"/>
  <c r="AY524" i="13"/>
  <c r="AX524" i="13"/>
  <c r="AW524" i="13"/>
  <c r="AV524" i="13"/>
  <c r="AT524" i="13"/>
  <c r="AS524" i="13"/>
  <c r="AO524" i="13"/>
  <c r="AN524" i="13"/>
  <c r="AM524" i="13"/>
  <c r="AH524" i="13"/>
  <c r="S524" i="13"/>
  <c r="AB524" i="13" s="1"/>
  <c r="I524" i="13"/>
  <c r="AZ524" i="13" s="1"/>
  <c r="AY523" i="13"/>
  <c r="AX523" i="13"/>
  <c r="AW523" i="13"/>
  <c r="AV523" i="13"/>
  <c r="AT523" i="13"/>
  <c r="AS523" i="13"/>
  <c r="AO523" i="13"/>
  <c r="AN523" i="13"/>
  <c r="AM523" i="13"/>
  <c r="AH523" i="13"/>
  <c r="S523" i="13"/>
  <c r="AB523" i="13" s="1"/>
  <c r="I523" i="13"/>
  <c r="AZ523" i="13" s="1"/>
  <c r="AY522" i="13"/>
  <c r="AX522" i="13"/>
  <c r="AW522" i="13"/>
  <c r="AV522" i="13"/>
  <c r="AT522" i="13"/>
  <c r="AS522" i="13"/>
  <c r="AO522" i="13"/>
  <c r="AN522" i="13"/>
  <c r="AM522" i="13"/>
  <c r="AH522" i="13"/>
  <c r="S522" i="13"/>
  <c r="AB522" i="13" s="1"/>
  <c r="I522" i="13"/>
  <c r="AZ522" i="13" s="1"/>
  <c r="AY521" i="13"/>
  <c r="AX521" i="13"/>
  <c r="AW521" i="13"/>
  <c r="AV521" i="13"/>
  <c r="AT521" i="13"/>
  <c r="AS521" i="13"/>
  <c r="AO521" i="13"/>
  <c r="AN521" i="13"/>
  <c r="AM521" i="13"/>
  <c r="AH521" i="13"/>
  <c r="S521" i="13"/>
  <c r="AB521" i="13" s="1"/>
  <c r="I521" i="13"/>
  <c r="AZ521" i="13" s="1"/>
  <c r="AY520" i="13"/>
  <c r="AX520" i="13"/>
  <c r="AW520" i="13"/>
  <c r="AV520" i="13"/>
  <c r="AT520" i="13"/>
  <c r="AS520" i="13"/>
  <c r="AO520" i="13"/>
  <c r="AN520" i="13"/>
  <c r="AM520" i="13"/>
  <c r="AH520" i="13"/>
  <c r="S520" i="13"/>
  <c r="AB520" i="13" s="1"/>
  <c r="I520" i="13"/>
  <c r="AZ520" i="13" s="1"/>
  <c r="AY519" i="13"/>
  <c r="AX519" i="13"/>
  <c r="AW519" i="13"/>
  <c r="AV519" i="13"/>
  <c r="AT519" i="13"/>
  <c r="AS519" i="13"/>
  <c r="AO519" i="13"/>
  <c r="AN519" i="13"/>
  <c r="AM519" i="13"/>
  <c r="AH519" i="13"/>
  <c r="S519" i="13"/>
  <c r="AB519" i="13" s="1"/>
  <c r="I519" i="13"/>
  <c r="AZ519" i="13" s="1"/>
  <c r="AY518" i="13"/>
  <c r="AX518" i="13"/>
  <c r="AW518" i="13"/>
  <c r="AV518" i="13"/>
  <c r="AT518" i="13"/>
  <c r="AS518" i="13"/>
  <c r="AO518" i="13"/>
  <c r="AN518" i="13"/>
  <c r="AM518" i="13"/>
  <c r="AH518" i="13"/>
  <c r="S518" i="13"/>
  <c r="AB518" i="13" s="1"/>
  <c r="I518" i="13"/>
  <c r="AZ518" i="13" s="1"/>
  <c r="AY517" i="13"/>
  <c r="AX517" i="13"/>
  <c r="AW517" i="13"/>
  <c r="AV517" i="13"/>
  <c r="AT517" i="13"/>
  <c r="AS517" i="13"/>
  <c r="AO517" i="13"/>
  <c r="AN517" i="13"/>
  <c r="AM517" i="13"/>
  <c r="AH517" i="13"/>
  <c r="S517" i="13"/>
  <c r="AB517" i="13" s="1"/>
  <c r="I517" i="13"/>
  <c r="AZ517" i="13" s="1"/>
  <c r="AY516" i="13"/>
  <c r="AX516" i="13"/>
  <c r="AW516" i="13"/>
  <c r="AV516" i="13"/>
  <c r="AT516" i="13"/>
  <c r="AS516" i="13"/>
  <c r="AO516" i="13"/>
  <c r="AN516" i="13"/>
  <c r="AM516" i="13"/>
  <c r="AH516" i="13"/>
  <c r="S516" i="13"/>
  <c r="AB516" i="13" s="1"/>
  <c r="I516" i="13"/>
  <c r="AZ516" i="13" s="1"/>
  <c r="AY515" i="13"/>
  <c r="AX515" i="13"/>
  <c r="AW515" i="13"/>
  <c r="AV515" i="13"/>
  <c r="AT515" i="13"/>
  <c r="AS515" i="13"/>
  <c r="AO515" i="13"/>
  <c r="AN515" i="13"/>
  <c r="AM515" i="13"/>
  <c r="AH515" i="13"/>
  <c r="S515" i="13"/>
  <c r="AB515" i="13" s="1"/>
  <c r="I515" i="13"/>
  <c r="AZ515" i="13" s="1"/>
  <c r="AY514" i="13"/>
  <c r="AX514" i="13"/>
  <c r="AW514" i="13"/>
  <c r="AV514" i="13"/>
  <c r="AT514" i="13"/>
  <c r="AS514" i="13"/>
  <c r="AO514" i="13"/>
  <c r="AN514" i="13"/>
  <c r="AM514" i="13"/>
  <c r="AH514" i="13"/>
  <c r="S514" i="13"/>
  <c r="AB514" i="13" s="1"/>
  <c r="I514" i="13"/>
  <c r="AZ514" i="13" s="1"/>
  <c r="AY513" i="13"/>
  <c r="AX513" i="13"/>
  <c r="AW513" i="13"/>
  <c r="AV513" i="13"/>
  <c r="AT513" i="13"/>
  <c r="AS513" i="13"/>
  <c r="AO513" i="13"/>
  <c r="AN513" i="13"/>
  <c r="AM513" i="13"/>
  <c r="AH513" i="13"/>
  <c r="S513" i="13"/>
  <c r="AB513" i="13" s="1"/>
  <c r="I513" i="13"/>
  <c r="AZ513" i="13" s="1"/>
  <c r="AY498" i="13"/>
  <c r="AX498" i="13"/>
  <c r="AW498" i="13"/>
  <c r="AV498" i="13"/>
  <c r="AT498" i="13"/>
  <c r="AS498" i="13"/>
  <c r="AO498" i="13"/>
  <c r="AN498" i="13"/>
  <c r="AM498" i="13"/>
  <c r="AH498" i="13"/>
  <c r="S498" i="13"/>
  <c r="AB498" i="13" s="1"/>
  <c r="I498" i="13"/>
  <c r="AZ498" i="13" s="1"/>
  <c r="AY497" i="13"/>
  <c r="AX497" i="13"/>
  <c r="AW497" i="13"/>
  <c r="AV497" i="13"/>
  <c r="AT497" i="13"/>
  <c r="AS497" i="13"/>
  <c r="AO497" i="13"/>
  <c r="AN497" i="13"/>
  <c r="AM497" i="13"/>
  <c r="AH497" i="13"/>
  <c r="S497" i="13"/>
  <c r="AB497" i="13" s="1"/>
  <c r="I497" i="13"/>
  <c r="AZ497" i="13" s="1"/>
  <c r="AY496" i="13"/>
  <c r="AX496" i="13"/>
  <c r="AW496" i="13"/>
  <c r="AV496" i="13"/>
  <c r="AT496" i="13"/>
  <c r="AS496" i="13"/>
  <c r="AO496" i="13"/>
  <c r="AN496" i="13"/>
  <c r="AM496" i="13"/>
  <c r="AH496" i="13"/>
  <c r="S496" i="13"/>
  <c r="AB496" i="13" s="1"/>
  <c r="I496" i="13"/>
  <c r="AZ496" i="13" s="1"/>
  <c r="AY495" i="13"/>
  <c r="AX495" i="13"/>
  <c r="AW495" i="13"/>
  <c r="AV495" i="13"/>
  <c r="AT495" i="13"/>
  <c r="AS495" i="13"/>
  <c r="AO495" i="13"/>
  <c r="AN495" i="13"/>
  <c r="AM495" i="13"/>
  <c r="AH495" i="13"/>
  <c r="S495" i="13"/>
  <c r="AB495" i="13" s="1"/>
  <c r="I495" i="13"/>
  <c r="AZ495" i="13" s="1"/>
  <c r="AY494" i="13"/>
  <c r="AX494" i="13"/>
  <c r="AW494" i="13"/>
  <c r="AV494" i="13"/>
  <c r="AT494" i="13"/>
  <c r="AS494" i="13"/>
  <c r="AO494" i="13"/>
  <c r="AN494" i="13"/>
  <c r="AM494" i="13"/>
  <c r="AH494" i="13"/>
  <c r="S494" i="13"/>
  <c r="AB494" i="13" s="1"/>
  <c r="I494" i="13"/>
  <c r="AZ494" i="13" s="1"/>
  <c r="AY493" i="13"/>
  <c r="AX493" i="13"/>
  <c r="AW493" i="13"/>
  <c r="AV493" i="13"/>
  <c r="AT493" i="13"/>
  <c r="AS493" i="13"/>
  <c r="AO493" i="13"/>
  <c r="AN493" i="13"/>
  <c r="AM493" i="13"/>
  <c r="AH493" i="13"/>
  <c r="S493" i="13"/>
  <c r="AB493" i="13" s="1"/>
  <c r="I493" i="13"/>
  <c r="AZ493" i="13" s="1"/>
  <c r="AY492" i="13"/>
  <c r="AX492" i="13"/>
  <c r="AW492" i="13"/>
  <c r="AV492" i="13"/>
  <c r="AT492" i="13"/>
  <c r="AS492" i="13"/>
  <c r="AO492" i="13"/>
  <c r="AN492" i="13"/>
  <c r="AM492" i="13"/>
  <c r="AH492" i="13"/>
  <c r="S492" i="13"/>
  <c r="AB492" i="13" s="1"/>
  <c r="I492" i="13"/>
  <c r="AZ492" i="13" s="1"/>
  <c r="AY491" i="13"/>
  <c r="AX491" i="13"/>
  <c r="AW491" i="13"/>
  <c r="AV491" i="13"/>
  <c r="AT491" i="13"/>
  <c r="AS491" i="13"/>
  <c r="AO491" i="13"/>
  <c r="AN491" i="13"/>
  <c r="AM491" i="13"/>
  <c r="AH491" i="13"/>
  <c r="S491" i="13"/>
  <c r="AB491" i="13" s="1"/>
  <c r="I491" i="13"/>
  <c r="AZ491" i="13" s="1"/>
  <c r="AY490" i="13"/>
  <c r="AX490" i="13"/>
  <c r="AW490" i="13"/>
  <c r="AV490" i="13"/>
  <c r="AT490" i="13"/>
  <c r="AS490" i="13"/>
  <c r="AO490" i="13"/>
  <c r="AN490" i="13"/>
  <c r="AM490" i="13"/>
  <c r="AH490" i="13"/>
  <c r="S490" i="13"/>
  <c r="AB490" i="13" s="1"/>
  <c r="I490" i="13"/>
  <c r="AZ490" i="13" s="1"/>
  <c r="AY489" i="13"/>
  <c r="AX489" i="13"/>
  <c r="AW489" i="13"/>
  <c r="AV489" i="13"/>
  <c r="AT489" i="13"/>
  <c r="AS489" i="13"/>
  <c r="AO489" i="13"/>
  <c r="AN489" i="13"/>
  <c r="AM489" i="13"/>
  <c r="AH489" i="13"/>
  <c r="S489" i="13"/>
  <c r="AB489" i="13" s="1"/>
  <c r="I489" i="13"/>
  <c r="AZ489" i="13" s="1"/>
  <c r="AY488" i="13"/>
  <c r="AX488" i="13"/>
  <c r="AW488" i="13"/>
  <c r="AV488" i="13"/>
  <c r="AT488" i="13"/>
  <c r="AS488" i="13"/>
  <c r="AO488" i="13"/>
  <c r="AN488" i="13"/>
  <c r="AM488" i="13"/>
  <c r="AH488" i="13"/>
  <c r="S488" i="13"/>
  <c r="AB488" i="13" s="1"/>
  <c r="I488" i="13"/>
  <c r="AZ488" i="13" s="1"/>
  <c r="AY487" i="13"/>
  <c r="AX487" i="13"/>
  <c r="AW487" i="13"/>
  <c r="AV487" i="13"/>
  <c r="AT487" i="13"/>
  <c r="AS487" i="13"/>
  <c r="AO487" i="13"/>
  <c r="AN487" i="13"/>
  <c r="AM487" i="13"/>
  <c r="AH487" i="13"/>
  <c r="S487" i="13"/>
  <c r="AB487" i="13" s="1"/>
  <c r="I487" i="13"/>
  <c r="AZ487" i="13" s="1"/>
  <c r="AY486" i="13"/>
  <c r="AX486" i="13"/>
  <c r="AW486" i="13"/>
  <c r="AV486" i="13"/>
  <c r="AT486" i="13"/>
  <c r="AS486" i="13"/>
  <c r="AO486" i="13"/>
  <c r="AN486" i="13"/>
  <c r="AM486" i="13"/>
  <c r="AH486" i="13"/>
  <c r="S486" i="13"/>
  <c r="AB486" i="13" s="1"/>
  <c r="I486" i="13"/>
  <c r="AZ486" i="13" s="1"/>
  <c r="AY485" i="13"/>
  <c r="AX485" i="13"/>
  <c r="AW485" i="13"/>
  <c r="AV485" i="13"/>
  <c r="AT485" i="13"/>
  <c r="AS485" i="13"/>
  <c r="AO485" i="13"/>
  <c r="AN485" i="13"/>
  <c r="AM485" i="13"/>
  <c r="AH485" i="13"/>
  <c r="S485" i="13"/>
  <c r="AB485" i="13" s="1"/>
  <c r="I485" i="13"/>
  <c r="AZ485" i="13" s="1"/>
  <c r="AY484" i="13"/>
  <c r="AX484" i="13"/>
  <c r="AW484" i="13"/>
  <c r="AV484" i="13"/>
  <c r="AT484" i="13"/>
  <c r="AS484" i="13"/>
  <c r="AO484" i="13"/>
  <c r="AN484" i="13"/>
  <c r="AM484" i="13"/>
  <c r="AH484" i="13"/>
  <c r="S484" i="13"/>
  <c r="AB484" i="13" s="1"/>
  <c r="I484" i="13"/>
  <c r="AZ484" i="13" s="1"/>
  <c r="AY483" i="13"/>
  <c r="AX483" i="13"/>
  <c r="AW483" i="13"/>
  <c r="AV483" i="13"/>
  <c r="AT483" i="13"/>
  <c r="AS483" i="13"/>
  <c r="AO483" i="13"/>
  <c r="AN483" i="13"/>
  <c r="AM483" i="13"/>
  <c r="AH483" i="13"/>
  <c r="S483" i="13"/>
  <c r="AB483" i="13" s="1"/>
  <c r="I483" i="13"/>
  <c r="AZ483" i="13" s="1"/>
  <c r="AY482" i="13"/>
  <c r="AX482" i="13"/>
  <c r="AW482" i="13"/>
  <c r="AV482" i="13"/>
  <c r="AT482" i="13"/>
  <c r="AS482" i="13"/>
  <c r="AO482" i="13"/>
  <c r="AN482" i="13"/>
  <c r="AM482" i="13"/>
  <c r="AH482" i="13"/>
  <c r="S482" i="13"/>
  <c r="AB482" i="13" s="1"/>
  <c r="I482" i="13"/>
  <c r="AZ482" i="13" s="1"/>
  <c r="AY481" i="13"/>
  <c r="AX481" i="13"/>
  <c r="AW481" i="13"/>
  <c r="AV481" i="13"/>
  <c r="AT481" i="13"/>
  <c r="AS481" i="13"/>
  <c r="AO481" i="13"/>
  <c r="AN481" i="13"/>
  <c r="AM481" i="13"/>
  <c r="AH481" i="13"/>
  <c r="S481" i="13"/>
  <c r="AB481" i="13" s="1"/>
  <c r="I481" i="13"/>
  <c r="AZ481" i="13" s="1"/>
  <c r="AY480" i="13"/>
  <c r="AX480" i="13"/>
  <c r="AW480" i="13"/>
  <c r="AV480" i="13"/>
  <c r="AT480" i="13"/>
  <c r="AS480" i="13"/>
  <c r="AO480" i="13"/>
  <c r="AN480" i="13"/>
  <c r="AM480" i="13"/>
  <c r="AH480" i="13"/>
  <c r="S480" i="13"/>
  <c r="AB480" i="13" s="1"/>
  <c r="I480" i="13"/>
  <c r="AZ480" i="13" s="1"/>
  <c r="AY479" i="13"/>
  <c r="AX479" i="13"/>
  <c r="AW479" i="13"/>
  <c r="AV479" i="13"/>
  <c r="AT479" i="13"/>
  <c r="AS479" i="13"/>
  <c r="AO479" i="13"/>
  <c r="AN479" i="13"/>
  <c r="AM479" i="13"/>
  <c r="AH479" i="13"/>
  <c r="S479" i="13"/>
  <c r="AB479" i="13" s="1"/>
  <c r="I479" i="13"/>
  <c r="AZ479" i="13" s="1"/>
  <c r="AY478" i="13"/>
  <c r="AX478" i="13"/>
  <c r="AW478" i="13"/>
  <c r="AV478" i="13"/>
  <c r="AT478" i="13"/>
  <c r="AS478" i="13"/>
  <c r="AO478" i="13"/>
  <c r="AN478" i="13"/>
  <c r="AM478" i="13"/>
  <c r="AH478" i="13"/>
  <c r="S478" i="13"/>
  <c r="AB478" i="13" s="1"/>
  <c r="I478" i="13"/>
  <c r="AZ478" i="13" s="1"/>
  <c r="AY477" i="13"/>
  <c r="AX477" i="13"/>
  <c r="AW477" i="13"/>
  <c r="AV477" i="13"/>
  <c r="AT477" i="13"/>
  <c r="AS477" i="13"/>
  <c r="AO477" i="13"/>
  <c r="AN477" i="13"/>
  <c r="AM477" i="13"/>
  <c r="AH477" i="13"/>
  <c r="S477" i="13"/>
  <c r="AB477" i="13" s="1"/>
  <c r="I477" i="13"/>
  <c r="AZ477" i="13" s="1"/>
  <c r="AY476" i="13"/>
  <c r="AX476" i="13"/>
  <c r="AW476" i="13"/>
  <c r="AV476" i="13"/>
  <c r="AT476" i="13"/>
  <c r="AS476" i="13"/>
  <c r="AO476" i="13"/>
  <c r="AN476" i="13"/>
  <c r="AM476" i="13"/>
  <c r="AH476" i="13"/>
  <c r="S476" i="13"/>
  <c r="AB476" i="13" s="1"/>
  <c r="I476" i="13"/>
  <c r="AZ476" i="13" s="1"/>
  <c r="AY475" i="13"/>
  <c r="AX475" i="13"/>
  <c r="AW475" i="13"/>
  <c r="AV475" i="13"/>
  <c r="AT475" i="13"/>
  <c r="AS475" i="13"/>
  <c r="AO475" i="13"/>
  <c r="AN475" i="13"/>
  <c r="AM475" i="13"/>
  <c r="AH475" i="13"/>
  <c r="S475" i="13"/>
  <c r="AB475" i="13" s="1"/>
  <c r="I475" i="13"/>
  <c r="AZ475" i="13" s="1"/>
  <c r="AY474" i="13"/>
  <c r="AX474" i="13"/>
  <c r="AW474" i="13"/>
  <c r="AV474" i="13"/>
  <c r="AT474" i="13"/>
  <c r="AS474" i="13"/>
  <c r="AO474" i="13"/>
  <c r="AN474" i="13"/>
  <c r="AM474" i="13"/>
  <c r="AH474" i="13"/>
  <c r="S474" i="13"/>
  <c r="AB474" i="13" s="1"/>
  <c r="I474" i="13"/>
  <c r="AZ474" i="13" s="1"/>
  <c r="AY473" i="13"/>
  <c r="AX473" i="13"/>
  <c r="AW473" i="13"/>
  <c r="AV473" i="13"/>
  <c r="AT473" i="13"/>
  <c r="AS473" i="13"/>
  <c r="AO473" i="13"/>
  <c r="AN473" i="13"/>
  <c r="AM473" i="13"/>
  <c r="AH473" i="13"/>
  <c r="S473" i="13"/>
  <c r="AB473" i="13" s="1"/>
  <c r="I473" i="13"/>
  <c r="AZ473" i="13" s="1"/>
  <c r="AY472" i="13"/>
  <c r="AX472" i="13"/>
  <c r="AW472" i="13"/>
  <c r="AV472" i="13"/>
  <c r="AT472" i="13"/>
  <c r="AS472" i="13"/>
  <c r="AO472" i="13"/>
  <c r="AN472" i="13"/>
  <c r="AM472" i="13"/>
  <c r="AH472" i="13"/>
  <c r="S472" i="13"/>
  <c r="AB472" i="13" s="1"/>
  <c r="I472" i="13"/>
  <c r="AZ472" i="13" s="1"/>
  <c r="AY471" i="13"/>
  <c r="AX471" i="13"/>
  <c r="AW471" i="13"/>
  <c r="AV471" i="13"/>
  <c r="AT471" i="13"/>
  <c r="AS471" i="13"/>
  <c r="AO471" i="13"/>
  <c r="AN471" i="13"/>
  <c r="AM471" i="13"/>
  <c r="AH471" i="13"/>
  <c r="S471" i="13"/>
  <c r="AB471" i="13" s="1"/>
  <c r="I471" i="13"/>
  <c r="AZ471" i="13" s="1"/>
  <c r="AY470" i="13"/>
  <c r="AX470" i="13"/>
  <c r="AW470" i="13"/>
  <c r="AV470" i="13"/>
  <c r="AT470" i="13"/>
  <c r="AS470" i="13"/>
  <c r="AO470" i="13"/>
  <c r="AN470" i="13"/>
  <c r="AM470" i="13"/>
  <c r="AH470" i="13"/>
  <c r="S470" i="13"/>
  <c r="AB470" i="13" s="1"/>
  <c r="I470" i="13"/>
  <c r="AZ470" i="13" s="1"/>
  <c r="AY469" i="13"/>
  <c r="AX469" i="13"/>
  <c r="AW469" i="13"/>
  <c r="AV469" i="13"/>
  <c r="AT469" i="13"/>
  <c r="AS469" i="13"/>
  <c r="AO469" i="13"/>
  <c r="AN469" i="13"/>
  <c r="AM469" i="13"/>
  <c r="AH469" i="13"/>
  <c r="S469" i="13"/>
  <c r="AB469" i="13" s="1"/>
  <c r="I469" i="13"/>
  <c r="AZ469" i="13" s="1"/>
  <c r="AY468" i="13"/>
  <c r="AX468" i="13"/>
  <c r="AW468" i="13"/>
  <c r="AV468" i="13"/>
  <c r="AT468" i="13"/>
  <c r="AS468" i="13"/>
  <c r="AO468" i="13"/>
  <c r="AN468" i="13"/>
  <c r="AM468" i="13"/>
  <c r="AH468" i="13"/>
  <c r="S468" i="13"/>
  <c r="AB468" i="13" s="1"/>
  <c r="I468" i="13"/>
  <c r="AZ468" i="13" s="1"/>
  <c r="AY467" i="13"/>
  <c r="AX467" i="13"/>
  <c r="AW467" i="13"/>
  <c r="AV467" i="13"/>
  <c r="AT467" i="13"/>
  <c r="AS467" i="13"/>
  <c r="AO467" i="13"/>
  <c r="AN467" i="13"/>
  <c r="AM467" i="13"/>
  <c r="AH467" i="13"/>
  <c r="S467" i="13"/>
  <c r="AB467" i="13" s="1"/>
  <c r="I467" i="13"/>
  <c r="AZ467" i="13" s="1"/>
  <c r="AY452" i="13"/>
  <c r="AX452" i="13"/>
  <c r="AW452" i="13"/>
  <c r="AV452" i="13"/>
  <c r="AT452" i="13"/>
  <c r="AS452" i="13"/>
  <c r="AO452" i="13"/>
  <c r="AN452" i="13"/>
  <c r="AM452" i="13"/>
  <c r="AH452" i="13"/>
  <c r="S452" i="13"/>
  <c r="AB452" i="13" s="1"/>
  <c r="I452" i="13"/>
  <c r="AZ452" i="13" s="1"/>
  <c r="AY451" i="13"/>
  <c r="AX451" i="13"/>
  <c r="AW451" i="13"/>
  <c r="AV451" i="13"/>
  <c r="AT451" i="13"/>
  <c r="AS451" i="13"/>
  <c r="AO451" i="13"/>
  <c r="AN451" i="13"/>
  <c r="AM451" i="13"/>
  <c r="AH451" i="13"/>
  <c r="S451" i="13"/>
  <c r="AB451" i="13" s="1"/>
  <c r="I451" i="13"/>
  <c r="AZ451" i="13" s="1"/>
  <c r="AY450" i="13"/>
  <c r="AX450" i="13"/>
  <c r="AW450" i="13"/>
  <c r="AV450" i="13"/>
  <c r="AT450" i="13"/>
  <c r="AS450" i="13"/>
  <c r="AO450" i="13"/>
  <c r="AN450" i="13"/>
  <c r="AM450" i="13"/>
  <c r="AH450" i="13"/>
  <c r="S450" i="13"/>
  <c r="AB450" i="13" s="1"/>
  <c r="I450" i="13"/>
  <c r="AZ450" i="13" s="1"/>
  <c r="AY449" i="13"/>
  <c r="AX449" i="13"/>
  <c r="AW449" i="13"/>
  <c r="AV449" i="13"/>
  <c r="AT449" i="13"/>
  <c r="AS449" i="13"/>
  <c r="AO449" i="13"/>
  <c r="AN449" i="13"/>
  <c r="AM449" i="13"/>
  <c r="AH449" i="13"/>
  <c r="S449" i="13"/>
  <c r="AB449" i="13" s="1"/>
  <c r="I449" i="13"/>
  <c r="AZ449" i="13" s="1"/>
  <c r="AY448" i="13"/>
  <c r="AX448" i="13"/>
  <c r="AW448" i="13"/>
  <c r="AV448" i="13"/>
  <c r="AT448" i="13"/>
  <c r="AS448" i="13"/>
  <c r="AO448" i="13"/>
  <c r="AN448" i="13"/>
  <c r="AM448" i="13"/>
  <c r="AH448" i="13"/>
  <c r="S448" i="13"/>
  <c r="AB448" i="13" s="1"/>
  <c r="I448" i="13"/>
  <c r="AZ448" i="13" s="1"/>
  <c r="AY447" i="13"/>
  <c r="AX447" i="13"/>
  <c r="AW447" i="13"/>
  <c r="AV447" i="13"/>
  <c r="AT447" i="13"/>
  <c r="AS447" i="13"/>
  <c r="AO447" i="13"/>
  <c r="AN447" i="13"/>
  <c r="AM447" i="13"/>
  <c r="AH447" i="13"/>
  <c r="S447" i="13"/>
  <c r="AB447" i="13" s="1"/>
  <c r="I447" i="13"/>
  <c r="AZ447" i="13" s="1"/>
  <c r="AY446" i="13"/>
  <c r="AX446" i="13"/>
  <c r="AW446" i="13"/>
  <c r="AV446" i="13"/>
  <c r="AT446" i="13"/>
  <c r="AS446" i="13"/>
  <c r="AO446" i="13"/>
  <c r="AN446" i="13"/>
  <c r="AM446" i="13"/>
  <c r="AH446" i="13"/>
  <c r="S446" i="13"/>
  <c r="AB446" i="13" s="1"/>
  <c r="I446" i="13"/>
  <c r="AZ446" i="13" s="1"/>
  <c r="AY445" i="13"/>
  <c r="AX445" i="13"/>
  <c r="AW445" i="13"/>
  <c r="AV445" i="13"/>
  <c r="AT445" i="13"/>
  <c r="AS445" i="13"/>
  <c r="AO445" i="13"/>
  <c r="AN445" i="13"/>
  <c r="AM445" i="13"/>
  <c r="AH445" i="13"/>
  <c r="S445" i="13"/>
  <c r="AB445" i="13" s="1"/>
  <c r="I445" i="13"/>
  <c r="AZ445" i="13" s="1"/>
  <c r="AY444" i="13"/>
  <c r="AX444" i="13"/>
  <c r="AW444" i="13"/>
  <c r="AV444" i="13"/>
  <c r="AT444" i="13"/>
  <c r="AS444" i="13"/>
  <c r="AO444" i="13"/>
  <c r="AN444" i="13"/>
  <c r="AM444" i="13"/>
  <c r="AH444" i="13"/>
  <c r="S444" i="13"/>
  <c r="AB444" i="13" s="1"/>
  <c r="I444" i="13"/>
  <c r="AZ444" i="13" s="1"/>
  <c r="AY443" i="13"/>
  <c r="AX443" i="13"/>
  <c r="AW443" i="13"/>
  <c r="AV443" i="13"/>
  <c r="AT443" i="13"/>
  <c r="AS443" i="13"/>
  <c r="AO443" i="13"/>
  <c r="AN443" i="13"/>
  <c r="AM443" i="13"/>
  <c r="AH443" i="13"/>
  <c r="S443" i="13"/>
  <c r="AB443" i="13" s="1"/>
  <c r="I443" i="13"/>
  <c r="AZ443" i="13" s="1"/>
  <c r="AY442" i="13"/>
  <c r="AX442" i="13"/>
  <c r="AW442" i="13"/>
  <c r="AV442" i="13"/>
  <c r="AT442" i="13"/>
  <c r="AS442" i="13"/>
  <c r="AO442" i="13"/>
  <c r="AN442" i="13"/>
  <c r="AM442" i="13"/>
  <c r="AH442" i="13"/>
  <c r="S442" i="13"/>
  <c r="AB442" i="13" s="1"/>
  <c r="I442" i="13"/>
  <c r="AZ442" i="13" s="1"/>
  <c r="AY441" i="13"/>
  <c r="AX441" i="13"/>
  <c r="AW441" i="13"/>
  <c r="AV441" i="13"/>
  <c r="AT441" i="13"/>
  <c r="AS441" i="13"/>
  <c r="AO441" i="13"/>
  <c r="AN441" i="13"/>
  <c r="AM441" i="13"/>
  <c r="AH441" i="13"/>
  <c r="S441" i="13"/>
  <c r="AB441" i="13" s="1"/>
  <c r="I441" i="13"/>
  <c r="AZ441" i="13" s="1"/>
  <c r="AY440" i="13"/>
  <c r="AX440" i="13"/>
  <c r="AW440" i="13"/>
  <c r="AV440" i="13"/>
  <c r="AT440" i="13"/>
  <c r="AS440" i="13"/>
  <c r="AO440" i="13"/>
  <c r="AN440" i="13"/>
  <c r="AM440" i="13"/>
  <c r="AH440" i="13"/>
  <c r="S440" i="13"/>
  <c r="AB440" i="13" s="1"/>
  <c r="I440" i="13"/>
  <c r="AZ440" i="13" s="1"/>
  <c r="AY439" i="13"/>
  <c r="AX439" i="13"/>
  <c r="AW439" i="13"/>
  <c r="AV439" i="13"/>
  <c r="AT439" i="13"/>
  <c r="AS439" i="13"/>
  <c r="AO439" i="13"/>
  <c r="AN439" i="13"/>
  <c r="AM439" i="13"/>
  <c r="AH439" i="13"/>
  <c r="S439" i="13"/>
  <c r="AB439" i="13" s="1"/>
  <c r="I439" i="13"/>
  <c r="AZ439" i="13" s="1"/>
  <c r="AY438" i="13"/>
  <c r="AX438" i="13"/>
  <c r="AW438" i="13"/>
  <c r="AV438" i="13"/>
  <c r="AT438" i="13"/>
  <c r="AS438" i="13"/>
  <c r="AO438" i="13"/>
  <c r="AN438" i="13"/>
  <c r="AM438" i="13"/>
  <c r="AH438" i="13"/>
  <c r="S438" i="13"/>
  <c r="AB438" i="13" s="1"/>
  <c r="I438" i="13"/>
  <c r="AZ438" i="13" s="1"/>
  <c r="AY437" i="13"/>
  <c r="AX437" i="13"/>
  <c r="AW437" i="13"/>
  <c r="AV437" i="13"/>
  <c r="AT437" i="13"/>
  <c r="AS437" i="13"/>
  <c r="AO437" i="13"/>
  <c r="AN437" i="13"/>
  <c r="AM437" i="13"/>
  <c r="AH437" i="13"/>
  <c r="S437" i="13"/>
  <c r="AB437" i="13" s="1"/>
  <c r="I437" i="13"/>
  <c r="AZ437" i="13" s="1"/>
  <c r="AY436" i="13"/>
  <c r="AX436" i="13"/>
  <c r="AW436" i="13"/>
  <c r="AV436" i="13"/>
  <c r="AT436" i="13"/>
  <c r="AS436" i="13"/>
  <c r="AO436" i="13"/>
  <c r="AN436" i="13"/>
  <c r="AM436" i="13"/>
  <c r="AH436" i="13"/>
  <c r="S436" i="13"/>
  <c r="AB436" i="13" s="1"/>
  <c r="I436" i="13"/>
  <c r="AZ436" i="13" s="1"/>
  <c r="AY435" i="13"/>
  <c r="AX435" i="13"/>
  <c r="AW435" i="13"/>
  <c r="AV435" i="13"/>
  <c r="AT435" i="13"/>
  <c r="AS435" i="13"/>
  <c r="AO435" i="13"/>
  <c r="AN435" i="13"/>
  <c r="AM435" i="13"/>
  <c r="AH435" i="13"/>
  <c r="S435" i="13"/>
  <c r="AB435" i="13" s="1"/>
  <c r="I435" i="13"/>
  <c r="AZ435" i="13" s="1"/>
  <c r="AY434" i="13"/>
  <c r="AX434" i="13"/>
  <c r="AW434" i="13"/>
  <c r="AV434" i="13"/>
  <c r="AT434" i="13"/>
  <c r="AS434" i="13"/>
  <c r="AO434" i="13"/>
  <c r="AN434" i="13"/>
  <c r="AM434" i="13"/>
  <c r="AH434" i="13"/>
  <c r="S434" i="13"/>
  <c r="AB434" i="13" s="1"/>
  <c r="I434" i="13"/>
  <c r="AZ434" i="13" s="1"/>
  <c r="AY433" i="13"/>
  <c r="AX433" i="13"/>
  <c r="AW433" i="13"/>
  <c r="AV433" i="13"/>
  <c r="AT433" i="13"/>
  <c r="AS433" i="13"/>
  <c r="AO433" i="13"/>
  <c r="AN433" i="13"/>
  <c r="AM433" i="13"/>
  <c r="AH433" i="13"/>
  <c r="S433" i="13"/>
  <c r="AB433" i="13" s="1"/>
  <c r="I433" i="13"/>
  <c r="AZ433" i="13" s="1"/>
  <c r="AY432" i="13"/>
  <c r="AX432" i="13"/>
  <c r="AW432" i="13"/>
  <c r="AV432" i="13"/>
  <c r="AT432" i="13"/>
  <c r="AS432" i="13"/>
  <c r="AO432" i="13"/>
  <c r="AN432" i="13"/>
  <c r="AM432" i="13"/>
  <c r="AH432" i="13"/>
  <c r="S432" i="13"/>
  <c r="AB432" i="13" s="1"/>
  <c r="I432" i="13"/>
  <c r="AZ432" i="13" s="1"/>
  <c r="AY431" i="13"/>
  <c r="AX431" i="13"/>
  <c r="AW431" i="13"/>
  <c r="AV431" i="13"/>
  <c r="AT431" i="13"/>
  <c r="AS431" i="13"/>
  <c r="AO431" i="13"/>
  <c r="AN431" i="13"/>
  <c r="AM431" i="13"/>
  <c r="AH431" i="13"/>
  <c r="S431" i="13"/>
  <c r="AB431" i="13" s="1"/>
  <c r="I431" i="13"/>
  <c r="AZ431" i="13" s="1"/>
  <c r="AY430" i="13"/>
  <c r="AX430" i="13"/>
  <c r="AW430" i="13"/>
  <c r="AV430" i="13"/>
  <c r="AT430" i="13"/>
  <c r="AS430" i="13"/>
  <c r="AO430" i="13"/>
  <c r="AN430" i="13"/>
  <c r="AM430" i="13"/>
  <c r="AH430" i="13"/>
  <c r="S430" i="13"/>
  <c r="AB430" i="13" s="1"/>
  <c r="I430" i="13"/>
  <c r="AZ430" i="13" s="1"/>
  <c r="AY429" i="13"/>
  <c r="AX429" i="13"/>
  <c r="AW429" i="13"/>
  <c r="AV429" i="13"/>
  <c r="AT429" i="13"/>
  <c r="AS429" i="13"/>
  <c r="AO429" i="13"/>
  <c r="AN429" i="13"/>
  <c r="AM429" i="13"/>
  <c r="AH429" i="13"/>
  <c r="S429" i="13"/>
  <c r="AB429" i="13" s="1"/>
  <c r="I429" i="13"/>
  <c r="AZ429" i="13" s="1"/>
  <c r="AY428" i="13"/>
  <c r="AX428" i="13"/>
  <c r="AW428" i="13"/>
  <c r="AV428" i="13"/>
  <c r="AT428" i="13"/>
  <c r="AS428" i="13"/>
  <c r="AO428" i="13"/>
  <c r="AN428" i="13"/>
  <c r="AM428" i="13"/>
  <c r="AH428" i="13"/>
  <c r="S428" i="13"/>
  <c r="AB428" i="13" s="1"/>
  <c r="I428" i="13"/>
  <c r="AZ428" i="13" s="1"/>
  <c r="AY427" i="13"/>
  <c r="AX427" i="13"/>
  <c r="AW427" i="13"/>
  <c r="AV427" i="13"/>
  <c r="AT427" i="13"/>
  <c r="AS427" i="13"/>
  <c r="AO427" i="13"/>
  <c r="AN427" i="13"/>
  <c r="AM427" i="13"/>
  <c r="AH427" i="13"/>
  <c r="S427" i="13"/>
  <c r="AB427" i="13" s="1"/>
  <c r="I427" i="13"/>
  <c r="AZ427" i="13" s="1"/>
  <c r="AY426" i="13"/>
  <c r="AX426" i="13"/>
  <c r="AW426" i="13"/>
  <c r="AV426" i="13"/>
  <c r="AT426" i="13"/>
  <c r="AS426" i="13"/>
  <c r="AO426" i="13"/>
  <c r="AN426" i="13"/>
  <c r="AM426" i="13"/>
  <c r="AH426" i="13"/>
  <c r="S426" i="13"/>
  <c r="AB426" i="13" s="1"/>
  <c r="I426" i="13"/>
  <c r="AZ426" i="13" s="1"/>
  <c r="AY425" i="13"/>
  <c r="AX425" i="13"/>
  <c r="AW425" i="13"/>
  <c r="AV425" i="13"/>
  <c r="AT425" i="13"/>
  <c r="AS425" i="13"/>
  <c r="AO425" i="13"/>
  <c r="AN425" i="13"/>
  <c r="AM425" i="13"/>
  <c r="AH425" i="13"/>
  <c r="S425" i="13"/>
  <c r="AB425" i="13" s="1"/>
  <c r="I425" i="13"/>
  <c r="AZ425" i="13" s="1"/>
  <c r="AY424" i="13"/>
  <c r="AX424" i="13"/>
  <c r="AW424" i="13"/>
  <c r="AV424" i="13"/>
  <c r="AT424" i="13"/>
  <c r="AS424" i="13"/>
  <c r="AO424" i="13"/>
  <c r="AN424" i="13"/>
  <c r="AM424" i="13"/>
  <c r="AH424" i="13"/>
  <c r="S424" i="13"/>
  <c r="AB424" i="13" s="1"/>
  <c r="I424" i="13"/>
  <c r="AZ424" i="13" s="1"/>
  <c r="AY423" i="13"/>
  <c r="AX423" i="13"/>
  <c r="AW423" i="13"/>
  <c r="AV423" i="13"/>
  <c r="AT423" i="13"/>
  <c r="AS423" i="13"/>
  <c r="AO423" i="13"/>
  <c r="AN423" i="13"/>
  <c r="AM423" i="13"/>
  <c r="AH423" i="13"/>
  <c r="S423" i="13"/>
  <c r="AB423" i="13" s="1"/>
  <c r="I423" i="13"/>
  <c r="AZ423" i="13" s="1"/>
  <c r="AY422" i="13"/>
  <c r="AX422" i="13"/>
  <c r="AW422" i="13"/>
  <c r="AV422" i="13"/>
  <c r="AT422" i="13"/>
  <c r="AS422" i="13"/>
  <c r="AO422" i="13"/>
  <c r="AN422" i="13"/>
  <c r="AM422" i="13"/>
  <c r="AH422" i="13"/>
  <c r="S422" i="13"/>
  <c r="AB422" i="13" s="1"/>
  <c r="I422" i="13"/>
  <c r="AZ422" i="13" s="1"/>
  <c r="AY421" i="13"/>
  <c r="AX421" i="13"/>
  <c r="AW421" i="13"/>
  <c r="AV421" i="13"/>
  <c r="AT421" i="13"/>
  <c r="AS421" i="13"/>
  <c r="AO421" i="13"/>
  <c r="AN421" i="13"/>
  <c r="AM421" i="13"/>
  <c r="AH421" i="13"/>
  <c r="S421" i="13"/>
  <c r="AB421" i="13" s="1"/>
  <c r="I421" i="13"/>
  <c r="AZ421" i="13" s="1"/>
  <c r="AY406" i="13"/>
  <c r="AX406" i="13"/>
  <c r="AW406" i="13"/>
  <c r="AV406" i="13"/>
  <c r="AT406" i="13"/>
  <c r="AS406" i="13"/>
  <c r="AO406" i="13"/>
  <c r="AN406" i="13"/>
  <c r="AM406" i="13"/>
  <c r="AH406" i="13"/>
  <c r="S406" i="13"/>
  <c r="AB406" i="13" s="1"/>
  <c r="I406" i="13"/>
  <c r="AZ406" i="13" s="1"/>
  <c r="AY405" i="13"/>
  <c r="AX405" i="13"/>
  <c r="AW405" i="13"/>
  <c r="AV405" i="13"/>
  <c r="AT405" i="13"/>
  <c r="AS405" i="13"/>
  <c r="AO405" i="13"/>
  <c r="AN405" i="13"/>
  <c r="AM405" i="13"/>
  <c r="AH405" i="13"/>
  <c r="S405" i="13"/>
  <c r="AB405" i="13" s="1"/>
  <c r="I405" i="13"/>
  <c r="AZ405" i="13" s="1"/>
  <c r="AY404" i="13"/>
  <c r="AX404" i="13"/>
  <c r="AW404" i="13"/>
  <c r="AV404" i="13"/>
  <c r="AT404" i="13"/>
  <c r="AS404" i="13"/>
  <c r="AO404" i="13"/>
  <c r="AN404" i="13"/>
  <c r="AM404" i="13"/>
  <c r="AH404" i="13"/>
  <c r="S404" i="13"/>
  <c r="AB404" i="13" s="1"/>
  <c r="I404" i="13"/>
  <c r="AZ404" i="13" s="1"/>
  <c r="AY403" i="13"/>
  <c r="AX403" i="13"/>
  <c r="AW403" i="13"/>
  <c r="AV403" i="13"/>
  <c r="AT403" i="13"/>
  <c r="AS403" i="13"/>
  <c r="AO403" i="13"/>
  <c r="AN403" i="13"/>
  <c r="AM403" i="13"/>
  <c r="AH403" i="13"/>
  <c r="S403" i="13"/>
  <c r="AB403" i="13" s="1"/>
  <c r="I403" i="13"/>
  <c r="AZ403" i="13" s="1"/>
  <c r="AY402" i="13"/>
  <c r="AX402" i="13"/>
  <c r="AW402" i="13"/>
  <c r="AV402" i="13"/>
  <c r="AT402" i="13"/>
  <c r="AS402" i="13"/>
  <c r="AO402" i="13"/>
  <c r="AN402" i="13"/>
  <c r="AM402" i="13"/>
  <c r="AH402" i="13"/>
  <c r="S402" i="13"/>
  <c r="AB402" i="13" s="1"/>
  <c r="I402" i="13"/>
  <c r="AZ402" i="13" s="1"/>
  <c r="AY401" i="13"/>
  <c r="AX401" i="13"/>
  <c r="AW401" i="13"/>
  <c r="AV401" i="13"/>
  <c r="AT401" i="13"/>
  <c r="AS401" i="13"/>
  <c r="AO401" i="13"/>
  <c r="AN401" i="13"/>
  <c r="AM401" i="13"/>
  <c r="AH401" i="13"/>
  <c r="S401" i="13"/>
  <c r="AB401" i="13" s="1"/>
  <c r="I401" i="13"/>
  <c r="AZ401" i="13" s="1"/>
  <c r="AY400" i="13"/>
  <c r="AX400" i="13"/>
  <c r="AW400" i="13"/>
  <c r="AV400" i="13"/>
  <c r="AT400" i="13"/>
  <c r="AS400" i="13"/>
  <c r="AO400" i="13"/>
  <c r="AN400" i="13"/>
  <c r="AM400" i="13"/>
  <c r="AH400" i="13"/>
  <c r="S400" i="13"/>
  <c r="AB400" i="13" s="1"/>
  <c r="I400" i="13"/>
  <c r="AZ400" i="13" s="1"/>
  <c r="AY399" i="13"/>
  <c r="AX399" i="13"/>
  <c r="AW399" i="13"/>
  <c r="AV399" i="13"/>
  <c r="AT399" i="13"/>
  <c r="AS399" i="13"/>
  <c r="AO399" i="13"/>
  <c r="AN399" i="13"/>
  <c r="AM399" i="13"/>
  <c r="AH399" i="13"/>
  <c r="S399" i="13"/>
  <c r="AB399" i="13" s="1"/>
  <c r="I399" i="13"/>
  <c r="AZ399" i="13" s="1"/>
  <c r="AY398" i="13"/>
  <c r="AX398" i="13"/>
  <c r="AW398" i="13"/>
  <c r="AV398" i="13"/>
  <c r="AT398" i="13"/>
  <c r="AS398" i="13"/>
  <c r="AO398" i="13"/>
  <c r="AN398" i="13"/>
  <c r="AM398" i="13"/>
  <c r="AH398" i="13"/>
  <c r="S398" i="13"/>
  <c r="AB398" i="13" s="1"/>
  <c r="I398" i="13"/>
  <c r="AZ398" i="13" s="1"/>
  <c r="AY397" i="13"/>
  <c r="AX397" i="13"/>
  <c r="AW397" i="13"/>
  <c r="AV397" i="13"/>
  <c r="AT397" i="13"/>
  <c r="AS397" i="13"/>
  <c r="AO397" i="13"/>
  <c r="AN397" i="13"/>
  <c r="AM397" i="13"/>
  <c r="AH397" i="13"/>
  <c r="S397" i="13"/>
  <c r="AB397" i="13" s="1"/>
  <c r="I397" i="13"/>
  <c r="AZ397" i="13" s="1"/>
  <c r="AY396" i="13"/>
  <c r="AX396" i="13"/>
  <c r="AW396" i="13"/>
  <c r="AV396" i="13"/>
  <c r="AT396" i="13"/>
  <c r="AS396" i="13"/>
  <c r="AO396" i="13"/>
  <c r="AN396" i="13"/>
  <c r="AM396" i="13"/>
  <c r="AH396" i="13"/>
  <c r="S396" i="13"/>
  <c r="AB396" i="13" s="1"/>
  <c r="I396" i="13"/>
  <c r="AZ396" i="13" s="1"/>
  <c r="AY395" i="13"/>
  <c r="AX395" i="13"/>
  <c r="AW395" i="13"/>
  <c r="AV395" i="13"/>
  <c r="AT395" i="13"/>
  <c r="AS395" i="13"/>
  <c r="AO395" i="13"/>
  <c r="AN395" i="13"/>
  <c r="AM395" i="13"/>
  <c r="AH395" i="13"/>
  <c r="S395" i="13"/>
  <c r="AB395" i="13" s="1"/>
  <c r="I395" i="13"/>
  <c r="AZ395" i="13" s="1"/>
  <c r="AY394" i="13"/>
  <c r="AX394" i="13"/>
  <c r="AW394" i="13"/>
  <c r="AV394" i="13"/>
  <c r="AT394" i="13"/>
  <c r="AS394" i="13"/>
  <c r="AO394" i="13"/>
  <c r="AN394" i="13"/>
  <c r="AM394" i="13"/>
  <c r="AH394" i="13"/>
  <c r="S394" i="13"/>
  <c r="AB394" i="13" s="1"/>
  <c r="I394" i="13"/>
  <c r="AZ394" i="13" s="1"/>
  <c r="AY393" i="13"/>
  <c r="AX393" i="13"/>
  <c r="AW393" i="13"/>
  <c r="AV393" i="13"/>
  <c r="AT393" i="13"/>
  <c r="AS393" i="13"/>
  <c r="AO393" i="13"/>
  <c r="AN393" i="13"/>
  <c r="AM393" i="13"/>
  <c r="AH393" i="13"/>
  <c r="S393" i="13"/>
  <c r="AB393" i="13" s="1"/>
  <c r="I393" i="13"/>
  <c r="AZ393" i="13" s="1"/>
  <c r="AY392" i="13"/>
  <c r="AX392" i="13"/>
  <c r="AW392" i="13"/>
  <c r="AV392" i="13"/>
  <c r="AT392" i="13"/>
  <c r="AS392" i="13"/>
  <c r="AO392" i="13"/>
  <c r="AN392" i="13"/>
  <c r="AM392" i="13"/>
  <c r="AH392" i="13"/>
  <c r="S392" i="13"/>
  <c r="AB392" i="13" s="1"/>
  <c r="I392" i="13"/>
  <c r="AZ392" i="13" s="1"/>
  <c r="AY391" i="13"/>
  <c r="AX391" i="13"/>
  <c r="AW391" i="13"/>
  <c r="AV391" i="13"/>
  <c r="AT391" i="13"/>
  <c r="AS391" i="13"/>
  <c r="AO391" i="13"/>
  <c r="AN391" i="13"/>
  <c r="AM391" i="13"/>
  <c r="AH391" i="13"/>
  <c r="S391" i="13"/>
  <c r="AB391" i="13" s="1"/>
  <c r="I391" i="13"/>
  <c r="AZ391" i="13" s="1"/>
  <c r="AY390" i="13"/>
  <c r="AX390" i="13"/>
  <c r="AW390" i="13"/>
  <c r="AV390" i="13"/>
  <c r="AT390" i="13"/>
  <c r="AS390" i="13"/>
  <c r="AO390" i="13"/>
  <c r="AN390" i="13"/>
  <c r="AM390" i="13"/>
  <c r="AH390" i="13"/>
  <c r="S390" i="13"/>
  <c r="AB390" i="13" s="1"/>
  <c r="I390" i="13"/>
  <c r="AZ390" i="13" s="1"/>
  <c r="AY389" i="13"/>
  <c r="AX389" i="13"/>
  <c r="AW389" i="13"/>
  <c r="AV389" i="13"/>
  <c r="AT389" i="13"/>
  <c r="AS389" i="13"/>
  <c r="AO389" i="13"/>
  <c r="AN389" i="13"/>
  <c r="AM389" i="13"/>
  <c r="AH389" i="13"/>
  <c r="S389" i="13"/>
  <c r="AB389" i="13" s="1"/>
  <c r="I389" i="13"/>
  <c r="AZ389" i="13" s="1"/>
  <c r="AY388" i="13"/>
  <c r="AX388" i="13"/>
  <c r="AW388" i="13"/>
  <c r="AV388" i="13"/>
  <c r="AT388" i="13"/>
  <c r="AS388" i="13"/>
  <c r="AO388" i="13"/>
  <c r="AN388" i="13"/>
  <c r="AM388" i="13"/>
  <c r="AH388" i="13"/>
  <c r="S388" i="13"/>
  <c r="AB388" i="13" s="1"/>
  <c r="I388" i="13"/>
  <c r="AZ388" i="13" s="1"/>
  <c r="AY387" i="13"/>
  <c r="AX387" i="13"/>
  <c r="AW387" i="13"/>
  <c r="AV387" i="13"/>
  <c r="AT387" i="13"/>
  <c r="AS387" i="13"/>
  <c r="AO387" i="13"/>
  <c r="AN387" i="13"/>
  <c r="AM387" i="13"/>
  <c r="AH387" i="13"/>
  <c r="S387" i="13"/>
  <c r="AB387" i="13" s="1"/>
  <c r="I387" i="13"/>
  <c r="AZ387" i="13" s="1"/>
  <c r="AY386" i="13"/>
  <c r="AX386" i="13"/>
  <c r="AW386" i="13"/>
  <c r="AV386" i="13"/>
  <c r="AT386" i="13"/>
  <c r="AS386" i="13"/>
  <c r="AO386" i="13"/>
  <c r="AN386" i="13"/>
  <c r="AM386" i="13"/>
  <c r="AH386" i="13"/>
  <c r="S386" i="13"/>
  <c r="AB386" i="13" s="1"/>
  <c r="I386" i="13"/>
  <c r="AZ386" i="13" s="1"/>
  <c r="AY385" i="13"/>
  <c r="AX385" i="13"/>
  <c r="AW385" i="13"/>
  <c r="AV385" i="13"/>
  <c r="AT385" i="13"/>
  <c r="AS385" i="13"/>
  <c r="AO385" i="13"/>
  <c r="AN385" i="13"/>
  <c r="AM385" i="13"/>
  <c r="AH385" i="13"/>
  <c r="S385" i="13"/>
  <c r="AB385" i="13" s="1"/>
  <c r="I385" i="13"/>
  <c r="AZ385" i="13" s="1"/>
  <c r="AY384" i="13"/>
  <c r="AX384" i="13"/>
  <c r="AW384" i="13"/>
  <c r="AV384" i="13"/>
  <c r="AT384" i="13"/>
  <c r="AS384" i="13"/>
  <c r="AO384" i="13"/>
  <c r="AN384" i="13"/>
  <c r="AM384" i="13"/>
  <c r="AH384" i="13"/>
  <c r="S384" i="13"/>
  <c r="AB384" i="13" s="1"/>
  <c r="I384" i="13"/>
  <c r="AZ384" i="13" s="1"/>
  <c r="AY383" i="13"/>
  <c r="AX383" i="13"/>
  <c r="AW383" i="13"/>
  <c r="AV383" i="13"/>
  <c r="AT383" i="13"/>
  <c r="AS383" i="13"/>
  <c r="AO383" i="13"/>
  <c r="AN383" i="13"/>
  <c r="AM383" i="13"/>
  <c r="AH383" i="13"/>
  <c r="S383" i="13"/>
  <c r="AB383" i="13" s="1"/>
  <c r="I383" i="13"/>
  <c r="AZ383" i="13" s="1"/>
  <c r="AY382" i="13"/>
  <c r="AX382" i="13"/>
  <c r="AW382" i="13"/>
  <c r="AV382" i="13"/>
  <c r="AT382" i="13"/>
  <c r="AS382" i="13"/>
  <c r="AO382" i="13"/>
  <c r="AN382" i="13"/>
  <c r="AM382" i="13"/>
  <c r="AH382" i="13"/>
  <c r="S382" i="13"/>
  <c r="AB382" i="13" s="1"/>
  <c r="I382" i="13"/>
  <c r="AZ382" i="13" s="1"/>
  <c r="AY381" i="13"/>
  <c r="AX381" i="13"/>
  <c r="AW381" i="13"/>
  <c r="AV381" i="13"/>
  <c r="AT381" i="13"/>
  <c r="AS381" i="13"/>
  <c r="AO381" i="13"/>
  <c r="AN381" i="13"/>
  <c r="AM381" i="13"/>
  <c r="AH381" i="13"/>
  <c r="S381" i="13"/>
  <c r="AB381" i="13" s="1"/>
  <c r="I381" i="13"/>
  <c r="AZ381" i="13" s="1"/>
  <c r="AY380" i="13"/>
  <c r="AX380" i="13"/>
  <c r="AW380" i="13"/>
  <c r="AV380" i="13"/>
  <c r="AT380" i="13"/>
  <c r="AS380" i="13"/>
  <c r="AO380" i="13"/>
  <c r="AN380" i="13"/>
  <c r="AM380" i="13"/>
  <c r="AH380" i="13"/>
  <c r="S380" i="13"/>
  <c r="AB380" i="13" s="1"/>
  <c r="I380" i="13"/>
  <c r="AZ380" i="13" s="1"/>
  <c r="AY379" i="13"/>
  <c r="AX379" i="13"/>
  <c r="AW379" i="13"/>
  <c r="AV379" i="13"/>
  <c r="AT379" i="13"/>
  <c r="AS379" i="13"/>
  <c r="AO379" i="13"/>
  <c r="AN379" i="13"/>
  <c r="AM379" i="13"/>
  <c r="AH379" i="13"/>
  <c r="S379" i="13"/>
  <c r="AB379" i="13" s="1"/>
  <c r="I379" i="13"/>
  <c r="AZ379" i="13" s="1"/>
  <c r="AY378" i="13"/>
  <c r="AX378" i="13"/>
  <c r="AW378" i="13"/>
  <c r="AV378" i="13"/>
  <c r="AT378" i="13"/>
  <c r="AS378" i="13"/>
  <c r="AO378" i="13"/>
  <c r="AN378" i="13"/>
  <c r="AM378" i="13"/>
  <c r="AH378" i="13"/>
  <c r="S378" i="13"/>
  <c r="AB378" i="13" s="1"/>
  <c r="I378" i="13"/>
  <c r="AZ378" i="13" s="1"/>
  <c r="AY377" i="13"/>
  <c r="AX377" i="13"/>
  <c r="AW377" i="13"/>
  <c r="AV377" i="13"/>
  <c r="AT377" i="13"/>
  <c r="AS377" i="13"/>
  <c r="AO377" i="13"/>
  <c r="AN377" i="13"/>
  <c r="AM377" i="13"/>
  <c r="AH377" i="13"/>
  <c r="S377" i="13"/>
  <c r="AB377" i="13" s="1"/>
  <c r="I377" i="13"/>
  <c r="AZ377" i="13" s="1"/>
  <c r="AY376" i="13"/>
  <c r="AX376" i="13"/>
  <c r="AW376" i="13"/>
  <c r="AV376" i="13"/>
  <c r="AT376" i="13"/>
  <c r="AS376" i="13"/>
  <c r="AO376" i="13"/>
  <c r="AN376" i="13"/>
  <c r="AM376" i="13"/>
  <c r="AH376" i="13"/>
  <c r="S376" i="13"/>
  <c r="AB376" i="13" s="1"/>
  <c r="I376" i="13"/>
  <c r="AZ376" i="13" s="1"/>
  <c r="AY375" i="13"/>
  <c r="AX375" i="13"/>
  <c r="AW375" i="13"/>
  <c r="AV375" i="13"/>
  <c r="AT375" i="13"/>
  <c r="AS375" i="13"/>
  <c r="AO375" i="13"/>
  <c r="AN375" i="13"/>
  <c r="AM375" i="13"/>
  <c r="AH375" i="13"/>
  <c r="S375" i="13"/>
  <c r="AB375" i="13" s="1"/>
  <c r="I375" i="13"/>
  <c r="AZ375" i="13" s="1"/>
  <c r="AY360" i="13"/>
  <c r="AX360" i="13"/>
  <c r="AW360" i="13"/>
  <c r="AV360" i="13"/>
  <c r="AT360" i="13"/>
  <c r="AS360" i="13"/>
  <c r="AO360" i="13"/>
  <c r="AN360" i="13"/>
  <c r="AM360" i="13"/>
  <c r="AH360" i="13"/>
  <c r="S360" i="13"/>
  <c r="AB360" i="13" s="1"/>
  <c r="I360" i="13"/>
  <c r="AZ360" i="13" s="1"/>
  <c r="AY359" i="13"/>
  <c r="AX359" i="13"/>
  <c r="AW359" i="13"/>
  <c r="AV359" i="13"/>
  <c r="AT359" i="13"/>
  <c r="AS359" i="13"/>
  <c r="AO359" i="13"/>
  <c r="AN359" i="13"/>
  <c r="AM359" i="13"/>
  <c r="AH359" i="13"/>
  <c r="S359" i="13"/>
  <c r="AB359" i="13" s="1"/>
  <c r="I359" i="13"/>
  <c r="AZ359" i="13" s="1"/>
  <c r="AY358" i="13"/>
  <c r="AX358" i="13"/>
  <c r="AW358" i="13"/>
  <c r="AV358" i="13"/>
  <c r="AT358" i="13"/>
  <c r="AS358" i="13"/>
  <c r="AO358" i="13"/>
  <c r="AN358" i="13"/>
  <c r="AM358" i="13"/>
  <c r="AH358" i="13"/>
  <c r="S358" i="13"/>
  <c r="AB358" i="13" s="1"/>
  <c r="I358" i="13"/>
  <c r="AZ358" i="13" s="1"/>
  <c r="AY357" i="13"/>
  <c r="AX357" i="13"/>
  <c r="AW357" i="13"/>
  <c r="AV357" i="13"/>
  <c r="AT357" i="13"/>
  <c r="AS357" i="13"/>
  <c r="AO357" i="13"/>
  <c r="AN357" i="13"/>
  <c r="AM357" i="13"/>
  <c r="AH357" i="13"/>
  <c r="S357" i="13"/>
  <c r="AB357" i="13" s="1"/>
  <c r="I357" i="13"/>
  <c r="AZ357" i="13" s="1"/>
  <c r="AY356" i="13"/>
  <c r="AX356" i="13"/>
  <c r="AW356" i="13"/>
  <c r="AV356" i="13"/>
  <c r="AT356" i="13"/>
  <c r="AS356" i="13"/>
  <c r="AO356" i="13"/>
  <c r="AN356" i="13"/>
  <c r="AM356" i="13"/>
  <c r="AH356" i="13"/>
  <c r="S356" i="13"/>
  <c r="AB356" i="13" s="1"/>
  <c r="I356" i="13"/>
  <c r="AZ356" i="13" s="1"/>
  <c r="AY355" i="13"/>
  <c r="AX355" i="13"/>
  <c r="AW355" i="13"/>
  <c r="AV355" i="13"/>
  <c r="AT355" i="13"/>
  <c r="AS355" i="13"/>
  <c r="AO355" i="13"/>
  <c r="AN355" i="13"/>
  <c r="AM355" i="13"/>
  <c r="AH355" i="13"/>
  <c r="S355" i="13"/>
  <c r="AB355" i="13" s="1"/>
  <c r="I355" i="13"/>
  <c r="AZ355" i="13" s="1"/>
  <c r="AY354" i="13"/>
  <c r="AX354" i="13"/>
  <c r="AW354" i="13"/>
  <c r="AV354" i="13"/>
  <c r="AT354" i="13"/>
  <c r="AS354" i="13"/>
  <c r="AO354" i="13"/>
  <c r="AN354" i="13"/>
  <c r="AM354" i="13"/>
  <c r="AH354" i="13"/>
  <c r="S354" i="13"/>
  <c r="AB354" i="13" s="1"/>
  <c r="I354" i="13"/>
  <c r="AZ354" i="13" s="1"/>
  <c r="AY353" i="13"/>
  <c r="AX353" i="13"/>
  <c r="AW353" i="13"/>
  <c r="AV353" i="13"/>
  <c r="AT353" i="13"/>
  <c r="AS353" i="13"/>
  <c r="AO353" i="13"/>
  <c r="AN353" i="13"/>
  <c r="AM353" i="13"/>
  <c r="AH353" i="13"/>
  <c r="S353" i="13"/>
  <c r="AB353" i="13" s="1"/>
  <c r="I353" i="13"/>
  <c r="AZ353" i="13" s="1"/>
  <c r="AY352" i="13"/>
  <c r="AX352" i="13"/>
  <c r="AW352" i="13"/>
  <c r="AV352" i="13"/>
  <c r="AT352" i="13"/>
  <c r="AS352" i="13"/>
  <c r="AO352" i="13"/>
  <c r="AN352" i="13"/>
  <c r="AM352" i="13"/>
  <c r="AH352" i="13"/>
  <c r="S352" i="13"/>
  <c r="AB352" i="13" s="1"/>
  <c r="I352" i="13"/>
  <c r="AZ352" i="13" s="1"/>
  <c r="AY351" i="13"/>
  <c r="AX351" i="13"/>
  <c r="AW351" i="13"/>
  <c r="AV351" i="13"/>
  <c r="AT351" i="13"/>
  <c r="AS351" i="13"/>
  <c r="AO351" i="13"/>
  <c r="AN351" i="13"/>
  <c r="AM351" i="13"/>
  <c r="AH351" i="13"/>
  <c r="S351" i="13"/>
  <c r="AB351" i="13" s="1"/>
  <c r="I351" i="13"/>
  <c r="AZ351" i="13" s="1"/>
  <c r="AY350" i="13"/>
  <c r="AX350" i="13"/>
  <c r="AW350" i="13"/>
  <c r="AV350" i="13"/>
  <c r="AT350" i="13"/>
  <c r="AS350" i="13"/>
  <c r="AO350" i="13"/>
  <c r="AN350" i="13"/>
  <c r="AM350" i="13"/>
  <c r="AH350" i="13"/>
  <c r="S350" i="13"/>
  <c r="AB350" i="13" s="1"/>
  <c r="I350" i="13"/>
  <c r="AZ350" i="13" s="1"/>
  <c r="AY349" i="13"/>
  <c r="AX349" i="13"/>
  <c r="AW349" i="13"/>
  <c r="AV349" i="13"/>
  <c r="AT349" i="13"/>
  <c r="AS349" i="13"/>
  <c r="AO349" i="13"/>
  <c r="AN349" i="13"/>
  <c r="AM349" i="13"/>
  <c r="AH349" i="13"/>
  <c r="S349" i="13"/>
  <c r="AB349" i="13" s="1"/>
  <c r="I349" i="13"/>
  <c r="AZ349" i="13" s="1"/>
  <c r="AY348" i="13"/>
  <c r="AX348" i="13"/>
  <c r="AW348" i="13"/>
  <c r="AV348" i="13"/>
  <c r="AT348" i="13"/>
  <c r="AS348" i="13"/>
  <c r="AO348" i="13"/>
  <c r="AN348" i="13"/>
  <c r="AM348" i="13"/>
  <c r="AH348" i="13"/>
  <c r="S348" i="13"/>
  <c r="AB348" i="13" s="1"/>
  <c r="I348" i="13"/>
  <c r="AZ348" i="13" s="1"/>
  <c r="AY347" i="13"/>
  <c r="AX347" i="13"/>
  <c r="AW347" i="13"/>
  <c r="AV347" i="13"/>
  <c r="AT347" i="13"/>
  <c r="AS347" i="13"/>
  <c r="AO347" i="13"/>
  <c r="AN347" i="13"/>
  <c r="AM347" i="13"/>
  <c r="AH347" i="13"/>
  <c r="S347" i="13"/>
  <c r="AB347" i="13" s="1"/>
  <c r="I347" i="13"/>
  <c r="AZ347" i="13" s="1"/>
  <c r="AY346" i="13"/>
  <c r="AX346" i="13"/>
  <c r="AW346" i="13"/>
  <c r="AV346" i="13"/>
  <c r="AT346" i="13"/>
  <c r="AS346" i="13"/>
  <c r="AO346" i="13"/>
  <c r="AN346" i="13"/>
  <c r="AM346" i="13"/>
  <c r="AH346" i="13"/>
  <c r="S346" i="13"/>
  <c r="AB346" i="13" s="1"/>
  <c r="I346" i="13"/>
  <c r="AZ346" i="13" s="1"/>
  <c r="AY345" i="13"/>
  <c r="AX345" i="13"/>
  <c r="AW345" i="13"/>
  <c r="AV345" i="13"/>
  <c r="AT345" i="13"/>
  <c r="AS345" i="13"/>
  <c r="AO345" i="13"/>
  <c r="AN345" i="13"/>
  <c r="AM345" i="13"/>
  <c r="AH345" i="13"/>
  <c r="S345" i="13"/>
  <c r="AB345" i="13" s="1"/>
  <c r="I345" i="13"/>
  <c r="AZ345" i="13" s="1"/>
  <c r="AY344" i="13"/>
  <c r="AX344" i="13"/>
  <c r="AW344" i="13"/>
  <c r="AV344" i="13"/>
  <c r="AT344" i="13"/>
  <c r="AS344" i="13"/>
  <c r="AO344" i="13"/>
  <c r="AN344" i="13"/>
  <c r="AM344" i="13"/>
  <c r="AH344" i="13"/>
  <c r="S344" i="13"/>
  <c r="AB344" i="13" s="1"/>
  <c r="I344" i="13"/>
  <c r="AZ344" i="13" s="1"/>
  <c r="AY343" i="13"/>
  <c r="AX343" i="13"/>
  <c r="AW343" i="13"/>
  <c r="AV343" i="13"/>
  <c r="AT343" i="13"/>
  <c r="AS343" i="13"/>
  <c r="AO343" i="13"/>
  <c r="AN343" i="13"/>
  <c r="AM343" i="13"/>
  <c r="AH343" i="13"/>
  <c r="S343" i="13"/>
  <c r="AB343" i="13" s="1"/>
  <c r="I343" i="13"/>
  <c r="AZ343" i="13" s="1"/>
  <c r="AY342" i="13"/>
  <c r="AX342" i="13"/>
  <c r="AW342" i="13"/>
  <c r="AV342" i="13"/>
  <c r="AT342" i="13"/>
  <c r="AS342" i="13"/>
  <c r="AO342" i="13"/>
  <c r="AN342" i="13"/>
  <c r="AM342" i="13"/>
  <c r="AH342" i="13"/>
  <c r="S342" i="13"/>
  <c r="AB342" i="13" s="1"/>
  <c r="I342" i="13"/>
  <c r="AZ342" i="13" s="1"/>
  <c r="AY341" i="13"/>
  <c r="AX341" i="13"/>
  <c r="AW341" i="13"/>
  <c r="AV341" i="13"/>
  <c r="AT341" i="13"/>
  <c r="AS341" i="13"/>
  <c r="AO341" i="13"/>
  <c r="AN341" i="13"/>
  <c r="AM341" i="13"/>
  <c r="AH341" i="13"/>
  <c r="S341" i="13"/>
  <c r="AB341" i="13" s="1"/>
  <c r="I341" i="13"/>
  <c r="AZ341" i="13" s="1"/>
  <c r="AY340" i="13"/>
  <c r="AX340" i="13"/>
  <c r="AW340" i="13"/>
  <c r="AV340" i="13"/>
  <c r="AT340" i="13"/>
  <c r="AS340" i="13"/>
  <c r="AO340" i="13"/>
  <c r="AN340" i="13"/>
  <c r="AM340" i="13"/>
  <c r="AH340" i="13"/>
  <c r="S340" i="13"/>
  <c r="AB340" i="13" s="1"/>
  <c r="I340" i="13"/>
  <c r="AZ340" i="13" s="1"/>
  <c r="AY339" i="13"/>
  <c r="AX339" i="13"/>
  <c r="AW339" i="13"/>
  <c r="AV339" i="13"/>
  <c r="AT339" i="13"/>
  <c r="AS339" i="13"/>
  <c r="AO339" i="13"/>
  <c r="AN339" i="13"/>
  <c r="AM339" i="13"/>
  <c r="AH339" i="13"/>
  <c r="S339" i="13"/>
  <c r="AB339" i="13" s="1"/>
  <c r="I339" i="13"/>
  <c r="AZ339" i="13" s="1"/>
  <c r="AY338" i="13"/>
  <c r="AX338" i="13"/>
  <c r="AW338" i="13"/>
  <c r="AV338" i="13"/>
  <c r="AT338" i="13"/>
  <c r="AS338" i="13"/>
  <c r="AO338" i="13"/>
  <c r="AN338" i="13"/>
  <c r="AM338" i="13"/>
  <c r="AH338" i="13"/>
  <c r="S338" i="13"/>
  <c r="AB338" i="13" s="1"/>
  <c r="I338" i="13"/>
  <c r="AZ338" i="13" s="1"/>
  <c r="AY337" i="13"/>
  <c r="AX337" i="13"/>
  <c r="AW337" i="13"/>
  <c r="AV337" i="13"/>
  <c r="AT337" i="13"/>
  <c r="AS337" i="13"/>
  <c r="AO337" i="13"/>
  <c r="AN337" i="13"/>
  <c r="AM337" i="13"/>
  <c r="AH337" i="13"/>
  <c r="S337" i="13"/>
  <c r="AB337" i="13" s="1"/>
  <c r="I337" i="13"/>
  <c r="AZ337" i="13" s="1"/>
  <c r="AY336" i="13"/>
  <c r="AX336" i="13"/>
  <c r="AW336" i="13"/>
  <c r="AV336" i="13"/>
  <c r="AT336" i="13"/>
  <c r="AS336" i="13"/>
  <c r="AO336" i="13"/>
  <c r="AN336" i="13"/>
  <c r="AM336" i="13"/>
  <c r="AH336" i="13"/>
  <c r="S336" i="13"/>
  <c r="AB336" i="13" s="1"/>
  <c r="I336" i="13"/>
  <c r="AZ336" i="13" s="1"/>
  <c r="AY335" i="13"/>
  <c r="AX335" i="13"/>
  <c r="AW335" i="13"/>
  <c r="AV335" i="13"/>
  <c r="AT335" i="13"/>
  <c r="AS335" i="13"/>
  <c r="AO335" i="13"/>
  <c r="AN335" i="13"/>
  <c r="AM335" i="13"/>
  <c r="AH335" i="13"/>
  <c r="S335" i="13"/>
  <c r="AB335" i="13" s="1"/>
  <c r="I335" i="13"/>
  <c r="AZ335" i="13" s="1"/>
  <c r="AY334" i="13"/>
  <c r="AX334" i="13"/>
  <c r="AW334" i="13"/>
  <c r="AV334" i="13"/>
  <c r="AT334" i="13"/>
  <c r="AS334" i="13"/>
  <c r="AO334" i="13"/>
  <c r="AN334" i="13"/>
  <c r="AM334" i="13"/>
  <c r="AH334" i="13"/>
  <c r="S334" i="13"/>
  <c r="AB334" i="13" s="1"/>
  <c r="I334" i="13"/>
  <c r="AZ334" i="13" s="1"/>
  <c r="AY333" i="13"/>
  <c r="AX333" i="13"/>
  <c r="AW333" i="13"/>
  <c r="AV333" i="13"/>
  <c r="AT333" i="13"/>
  <c r="AS333" i="13"/>
  <c r="AO333" i="13"/>
  <c r="AN333" i="13"/>
  <c r="AM333" i="13"/>
  <c r="AH333" i="13"/>
  <c r="S333" i="13"/>
  <c r="AB333" i="13" s="1"/>
  <c r="I333" i="13"/>
  <c r="AZ333" i="13" s="1"/>
  <c r="AY332" i="13"/>
  <c r="AX332" i="13"/>
  <c r="AW332" i="13"/>
  <c r="AV332" i="13"/>
  <c r="AT332" i="13"/>
  <c r="AS332" i="13"/>
  <c r="AO332" i="13"/>
  <c r="AN332" i="13"/>
  <c r="AM332" i="13"/>
  <c r="AH332" i="13"/>
  <c r="S332" i="13"/>
  <c r="AB332" i="13" s="1"/>
  <c r="I332" i="13"/>
  <c r="AZ332" i="13" s="1"/>
  <c r="AY331" i="13"/>
  <c r="AX331" i="13"/>
  <c r="AW331" i="13"/>
  <c r="AV331" i="13"/>
  <c r="AT331" i="13"/>
  <c r="AS331" i="13"/>
  <c r="AO331" i="13"/>
  <c r="AN331" i="13"/>
  <c r="AM331" i="13"/>
  <c r="AH331" i="13"/>
  <c r="S331" i="13"/>
  <c r="AB331" i="13" s="1"/>
  <c r="I331" i="13"/>
  <c r="AZ331" i="13" s="1"/>
  <c r="AY330" i="13"/>
  <c r="AX330" i="13"/>
  <c r="AW330" i="13"/>
  <c r="AV330" i="13"/>
  <c r="AT330" i="13"/>
  <c r="AS330" i="13"/>
  <c r="AO330" i="13"/>
  <c r="AN330" i="13"/>
  <c r="AM330" i="13"/>
  <c r="AH330" i="13"/>
  <c r="S330" i="13"/>
  <c r="AB330" i="13" s="1"/>
  <c r="I330" i="13"/>
  <c r="AZ330" i="13" s="1"/>
  <c r="AY329" i="13"/>
  <c r="AX329" i="13"/>
  <c r="AW329" i="13"/>
  <c r="AV329" i="13"/>
  <c r="AT329" i="13"/>
  <c r="AS329" i="13"/>
  <c r="AO329" i="13"/>
  <c r="AN329" i="13"/>
  <c r="AM329" i="13"/>
  <c r="AH329" i="13"/>
  <c r="S329" i="13"/>
  <c r="AB329" i="13" s="1"/>
  <c r="I329" i="13"/>
  <c r="AZ329" i="13" s="1"/>
  <c r="AY314" i="13"/>
  <c r="AX314" i="13"/>
  <c r="AW314" i="13"/>
  <c r="AV314" i="13"/>
  <c r="AT314" i="13"/>
  <c r="AS314" i="13"/>
  <c r="AO314" i="13"/>
  <c r="AN314" i="13"/>
  <c r="AM314" i="13"/>
  <c r="AH314" i="13"/>
  <c r="S314" i="13"/>
  <c r="AB314" i="13" s="1"/>
  <c r="I314" i="13"/>
  <c r="AZ314" i="13" s="1"/>
  <c r="AY313" i="13"/>
  <c r="AX313" i="13"/>
  <c r="AW313" i="13"/>
  <c r="AV313" i="13"/>
  <c r="AT313" i="13"/>
  <c r="AS313" i="13"/>
  <c r="AO313" i="13"/>
  <c r="AN313" i="13"/>
  <c r="AM313" i="13"/>
  <c r="AH313" i="13"/>
  <c r="S313" i="13"/>
  <c r="AB313" i="13" s="1"/>
  <c r="I313" i="13"/>
  <c r="AZ313" i="13" s="1"/>
  <c r="AY312" i="13"/>
  <c r="AX312" i="13"/>
  <c r="AW312" i="13"/>
  <c r="AV312" i="13"/>
  <c r="AT312" i="13"/>
  <c r="AS312" i="13"/>
  <c r="AO312" i="13"/>
  <c r="AN312" i="13"/>
  <c r="AM312" i="13"/>
  <c r="AH312" i="13"/>
  <c r="S312" i="13"/>
  <c r="AB312" i="13" s="1"/>
  <c r="I312" i="13"/>
  <c r="AZ312" i="13" s="1"/>
  <c r="AY311" i="13"/>
  <c r="AX311" i="13"/>
  <c r="AW311" i="13"/>
  <c r="AV311" i="13"/>
  <c r="AT311" i="13"/>
  <c r="AS311" i="13"/>
  <c r="AO311" i="13"/>
  <c r="AN311" i="13"/>
  <c r="AM311" i="13"/>
  <c r="AH311" i="13"/>
  <c r="S311" i="13"/>
  <c r="AB311" i="13" s="1"/>
  <c r="I311" i="13"/>
  <c r="AZ311" i="13" s="1"/>
  <c r="AY310" i="13"/>
  <c r="AX310" i="13"/>
  <c r="AW310" i="13"/>
  <c r="AV310" i="13"/>
  <c r="AT310" i="13"/>
  <c r="AS310" i="13"/>
  <c r="AO310" i="13"/>
  <c r="AN310" i="13"/>
  <c r="AM310" i="13"/>
  <c r="AH310" i="13"/>
  <c r="S310" i="13"/>
  <c r="AB310" i="13" s="1"/>
  <c r="I310" i="13"/>
  <c r="AZ310" i="13" s="1"/>
  <c r="AY309" i="13"/>
  <c r="AX309" i="13"/>
  <c r="AW309" i="13"/>
  <c r="AV309" i="13"/>
  <c r="AT309" i="13"/>
  <c r="AS309" i="13"/>
  <c r="AO309" i="13"/>
  <c r="AN309" i="13"/>
  <c r="AM309" i="13"/>
  <c r="AH309" i="13"/>
  <c r="S309" i="13"/>
  <c r="AB309" i="13" s="1"/>
  <c r="I309" i="13"/>
  <c r="AZ309" i="13" s="1"/>
  <c r="AY308" i="13"/>
  <c r="AX308" i="13"/>
  <c r="AW308" i="13"/>
  <c r="AV308" i="13"/>
  <c r="AT308" i="13"/>
  <c r="AS308" i="13"/>
  <c r="AO308" i="13"/>
  <c r="AN308" i="13"/>
  <c r="AM308" i="13"/>
  <c r="AH308" i="13"/>
  <c r="S308" i="13"/>
  <c r="AB308" i="13" s="1"/>
  <c r="I308" i="13"/>
  <c r="AZ308" i="13" s="1"/>
  <c r="AY307" i="13"/>
  <c r="AX307" i="13"/>
  <c r="AW307" i="13"/>
  <c r="AV307" i="13"/>
  <c r="AT307" i="13"/>
  <c r="AS307" i="13"/>
  <c r="AO307" i="13"/>
  <c r="AN307" i="13"/>
  <c r="AM307" i="13"/>
  <c r="AH307" i="13"/>
  <c r="S307" i="13"/>
  <c r="AB307" i="13" s="1"/>
  <c r="I307" i="13"/>
  <c r="AZ307" i="13" s="1"/>
  <c r="AY306" i="13"/>
  <c r="AX306" i="13"/>
  <c r="AW306" i="13"/>
  <c r="AV306" i="13"/>
  <c r="AT306" i="13"/>
  <c r="AS306" i="13"/>
  <c r="AO306" i="13"/>
  <c r="AN306" i="13"/>
  <c r="AM306" i="13"/>
  <c r="AH306" i="13"/>
  <c r="S306" i="13"/>
  <c r="AB306" i="13" s="1"/>
  <c r="I306" i="13"/>
  <c r="AZ306" i="13" s="1"/>
  <c r="AY305" i="13"/>
  <c r="AX305" i="13"/>
  <c r="AW305" i="13"/>
  <c r="AV305" i="13"/>
  <c r="AT305" i="13"/>
  <c r="AS305" i="13"/>
  <c r="AO305" i="13"/>
  <c r="AN305" i="13"/>
  <c r="AM305" i="13"/>
  <c r="AH305" i="13"/>
  <c r="S305" i="13"/>
  <c r="AB305" i="13" s="1"/>
  <c r="I305" i="13"/>
  <c r="AZ305" i="13" s="1"/>
  <c r="AY304" i="13"/>
  <c r="AX304" i="13"/>
  <c r="AW304" i="13"/>
  <c r="AV304" i="13"/>
  <c r="AT304" i="13"/>
  <c r="AS304" i="13"/>
  <c r="AO304" i="13"/>
  <c r="AN304" i="13"/>
  <c r="AM304" i="13"/>
  <c r="AH304" i="13"/>
  <c r="S304" i="13"/>
  <c r="AB304" i="13" s="1"/>
  <c r="I304" i="13"/>
  <c r="AZ304" i="13" s="1"/>
  <c r="AY303" i="13"/>
  <c r="AX303" i="13"/>
  <c r="AW303" i="13"/>
  <c r="AV303" i="13"/>
  <c r="AT303" i="13"/>
  <c r="AS303" i="13"/>
  <c r="AO303" i="13"/>
  <c r="AN303" i="13"/>
  <c r="AM303" i="13"/>
  <c r="AH303" i="13"/>
  <c r="S303" i="13"/>
  <c r="AB303" i="13" s="1"/>
  <c r="I303" i="13"/>
  <c r="AZ303" i="13" s="1"/>
  <c r="AY302" i="13"/>
  <c r="AX302" i="13"/>
  <c r="AW302" i="13"/>
  <c r="AV302" i="13"/>
  <c r="AT302" i="13"/>
  <c r="AS302" i="13"/>
  <c r="AO302" i="13"/>
  <c r="AN302" i="13"/>
  <c r="AM302" i="13"/>
  <c r="AH302" i="13"/>
  <c r="S302" i="13"/>
  <c r="AB302" i="13" s="1"/>
  <c r="I302" i="13"/>
  <c r="AZ302" i="13" s="1"/>
  <c r="AY301" i="13"/>
  <c r="AX301" i="13"/>
  <c r="AW301" i="13"/>
  <c r="AV301" i="13"/>
  <c r="AT301" i="13"/>
  <c r="AS301" i="13"/>
  <c r="AO301" i="13"/>
  <c r="AN301" i="13"/>
  <c r="AM301" i="13"/>
  <c r="AH301" i="13"/>
  <c r="S301" i="13"/>
  <c r="AB301" i="13" s="1"/>
  <c r="I301" i="13"/>
  <c r="AZ301" i="13" s="1"/>
  <c r="AY300" i="13"/>
  <c r="AX300" i="13"/>
  <c r="AW300" i="13"/>
  <c r="AV300" i="13"/>
  <c r="AT300" i="13"/>
  <c r="AS300" i="13"/>
  <c r="AO300" i="13"/>
  <c r="AN300" i="13"/>
  <c r="AM300" i="13"/>
  <c r="AH300" i="13"/>
  <c r="S300" i="13"/>
  <c r="AB300" i="13" s="1"/>
  <c r="I300" i="13"/>
  <c r="AZ300" i="13" s="1"/>
  <c r="AY299" i="13"/>
  <c r="AX299" i="13"/>
  <c r="AW299" i="13"/>
  <c r="AV299" i="13"/>
  <c r="AT299" i="13"/>
  <c r="AS299" i="13"/>
  <c r="AO299" i="13"/>
  <c r="AN299" i="13"/>
  <c r="AM299" i="13"/>
  <c r="AH299" i="13"/>
  <c r="S299" i="13"/>
  <c r="AB299" i="13" s="1"/>
  <c r="I299" i="13"/>
  <c r="AZ299" i="13" s="1"/>
  <c r="AY298" i="13"/>
  <c r="AX298" i="13"/>
  <c r="AW298" i="13"/>
  <c r="AV298" i="13"/>
  <c r="AT298" i="13"/>
  <c r="AS298" i="13"/>
  <c r="AO298" i="13"/>
  <c r="AN298" i="13"/>
  <c r="AM298" i="13"/>
  <c r="AH298" i="13"/>
  <c r="S298" i="13"/>
  <c r="AB298" i="13" s="1"/>
  <c r="I298" i="13"/>
  <c r="AZ298" i="13" s="1"/>
  <c r="AY297" i="13"/>
  <c r="AX297" i="13"/>
  <c r="AW297" i="13"/>
  <c r="AV297" i="13"/>
  <c r="AT297" i="13"/>
  <c r="AS297" i="13"/>
  <c r="AO297" i="13"/>
  <c r="AN297" i="13"/>
  <c r="AM297" i="13"/>
  <c r="AH297" i="13"/>
  <c r="S297" i="13"/>
  <c r="AB297" i="13" s="1"/>
  <c r="I297" i="13"/>
  <c r="AZ297" i="13" s="1"/>
  <c r="AY296" i="13"/>
  <c r="AX296" i="13"/>
  <c r="AW296" i="13"/>
  <c r="AV296" i="13"/>
  <c r="AT296" i="13"/>
  <c r="AS296" i="13"/>
  <c r="AO296" i="13"/>
  <c r="AN296" i="13"/>
  <c r="AM296" i="13"/>
  <c r="AH296" i="13"/>
  <c r="S296" i="13"/>
  <c r="AB296" i="13" s="1"/>
  <c r="I296" i="13"/>
  <c r="AZ296" i="13" s="1"/>
  <c r="AY295" i="13"/>
  <c r="AX295" i="13"/>
  <c r="AW295" i="13"/>
  <c r="AV295" i="13"/>
  <c r="AT295" i="13"/>
  <c r="AS295" i="13"/>
  <c r="AO295" i="13"/>
  <c r="AN295" i="13"/>
  <c r="AM295" i="13"/>
  <c r="AH295" i="13"/>
  <c r="S295" i="13"/>
  <c r="AB295" i="13" s="1"/>
  <c r="I295" i="13"/>
  <c r="AZ295" i="13" s="1"/>
  <c r="AY294" i="13"/>
  <c r="AX294" i="13"/>
  <c r="AW294" i="13"/>
  <c r="AV294" i="13"/>
  <c r="AT294" i="13"/>
  <c r="AS294" i="13"/>
  <c r="AO294" i="13"/>
  <c r="AN294" i="13"/>
  <c r="AM294" i="13"/>
  <c r="AH294" i="13"/>
  <c r="S294" i="13"/>
  <c r="AB294" i="13" s="1"/>
  <c r="I294" i="13"/>
  <c r="AZ294" i="13" s="1"/>
  <c r="AY293" i="13"/>
  <c r="AX293" i="13"/>
  <c r="AW293" i="13"/>
  <c r="AV293" i="13"/>
  <c r="AT293" i="13"/>
  <c r="AS293" i="13"/>
  <c r="AO293" i="13"/>
  <c r="AN293" i="13"/>
  <c r="AM293" i="13"/>
  <c r="AH293" i="13"/>
  <c r="S293" i="13"/>
  <c r="AB293" i="13" s="1"/>
  <c r="I293" i="13"/>
  <c r="AZ293" i="13" s="1"/>
  <c r="AY292" i="13"/>
  <c r="AX292" i="13"/>
  <c r="AW292" i="13"/>
  <c r="AV292" i="13"/>
  <c r="AT292" i="13"/>
  <c r="AS292" i="13"/>
  <c r="AO292" i="13"/>
  <c r="AN292" i="13"/>
  <c r="AM292" i="13"/>
  <c r="AH292" i="13"/>
  <c r="S292" i="13"/>
  <c r="AB292" i="13" s="1"/>
  <c r="I292" i="13"/>
  <c r="AZ292" i="13" s="1"/>
  <c r="AY291" i="13"/>
  <c r="AX291" i="13"/>
  <c r="AW291" i="13"/>
  <c r="AV291" i="13"/>
  <c r="AT291" i="13"/>
  <c r="AS291" i="13"/>
  <c r="AO291" i="13"/>
  <c r="AN291" i="13"/>
  <c r="AM291" i="13"/>
  <c r="AH291" i="13"/>
  <c r="S291" i="13"/>
  <c r="AB291" i="13" s="1"/>
  <c r="I291" i="13"/>
  <c r="AZ291" i="13" s="1"/>
  <c r="AY290" i="13"/>
  <c r="AX290" i="13"/>
  <c r="AW290" i="13"/>
  <c r="AV290" i="13"/>
  <c r="AT290" i="13"/>
  <c r="AS290" i="13"/>
  <c r="AO290" i="13"/>
  <c r="AN290" i="13"/>
  <c r="AM290" i="13"/>
  <c r="AH290" i="13"/>
  <c r="S290" i="13"/>
  <c r="AB290" i="13" s="1"/>
  <c r="I290" i="13"/>
  <c r="AZ290" i="13" s="1"/>
  <c r="AY289" i="13"/>
  <c r="AX289" i="13"/>
  <c r="AW289" i="13"/>
  <c r="AV289" i="13"/>
  <c r="AT289" i="13"/>
  <c r="AS289" i="13"/>
  <c r="AO289" i="13"/>
  <c r="AN289" i="13"/>
  <c r="AM289" i="13"/>
  <c r="AH289" i="13"/>
  <c r="S289" i="13"/>
  <c r="AB289" i="13" s="1"/>
  <c r="I289" i="13"/>
  <c r="AZ289" i="13" s="1"/>
  <c r="AY288" i="13"/>
  <c r="AX288" i="13"/>
  <c r="AW288" i="13"/>
  <c r="AV288" i="13"/>
  <c r="AT288" i="13"/>
  <c r="AS288" i="13"/>
  <c r="AO288" i="13"/>
  <c r="AN288" i="13"/>
  <c r="AM288" i="13"/>
  <c r="AH288" i="13"/>
  <c r="S288" i="13"/>
  <c r="AB288" i="13" s="1"/>
  <c r="I288" i="13"/>
  <c r="AZ288" i="13" s="1"/>
  <c r="AY287" i="13"/>
  <c r="AX287" i="13"/>
  <c r="AW287" i="13"/>
  <c r="AV287" i="13"/>
  <c r="AT287" i="13"/>
  <c r="AS287" i="13"/>
  <c r="AO287" i="13"/>
  <c r="AN287" i="13"/>
  <c r="AM287" i="13"/>
  <c r="AH287" i="13"/>
  <c r="S287" i="13"/>
  <c r="AB287" i="13" s="1"/>
  <c r="I287" i="13"/>
  <c r="AZ287" i="13" s="1"/>
  <c r="AY286" i="13"/>
  <c r="AX286" i="13"/>
  <c r="AW286" i="13"/>
  <c r="AV286" i="13"/>
  <c r="AT286" i="13"/>
  <c r="AS286" i="13"/>
  <c r="AO286" i="13"/>
  <c r="AN286" i="13"/>
  <c r="AM286" i="13"/>
  <c r="AH286" i="13"/>
  <c r="S286" i="13"/>
  <c r="AB286" i="13" s="1"/>
  <c r="I286" i="13"/>
  <c r="AZ286" i="13" s="1"/>
  <c r="AY285" i="13"/>
  <c r="AX285" i="13"/>
  <c r="AW285" i="13"/>
  <c r="AV285" i="13"/>
  <c r="AT285" i="13"/>
  <c r="AS285" i="13"/>
  <c r="AO285" i="13"/>
  <c r="AN285" i="13"/>
  <c r="AM285" i="13"/>
  <c r="AH285" i="13"/>
  <c r="S285" i="13"/>
  <c r="AB285" i="13" s="1"/>
  <c r="I285" i="13"/>
  <c r="AZ285" i="13" s="1"/>
  <c r="AY284" i="13"/>
  <c r="AX284" i="13"/>
  <c r="AW284" i="13"/>
  <c r="AV284" i="13"/>
  <c r="AT284" i="13"/>
  <c r="AS284" i="13"/>
  <c r="AO284" i="13"/>
  <c r="AN284" i="13"/>
  <c r="AM284" i="13"/>
  <c r="AH284" i="13"/>
  <c r="S284" i="13"/>
  <c r="AB284" i="13" s="1"/>
  <c r="I284" i="13"/>
  <c r="AZ284" i="13" s="1"/>
  <c r="AY283" i="13"/>
  <c r="AX283" i="13"/>
  <c r="AW283" i="13"/>
  <c r="AV283" i="13"/>
  <c r="AT283" i="13"/>
  <c r="AS283" i="13"/>
  <c r="AO283" i="13"/>
  <c r="AN283" i="13"/>
  <c r="AM283" i="13"/>
  <c r="AH283" i="13"/>
  <c r="S283" i="13"/>
  <c r="AB283" i="13" s="1"/>
  <c r="I283" i="13"/>
  <c r="AZ283" i="13" s="1"/>
  <c r="AY268" i="13"/>
  <c r="AX268" i="13"/>
  <c r="AW268" i="13"/>
  <c r="AV268" i="13"/>
  <c r="AT268" i="13"/>
  <c r="AS268" i="13"/>
  <c r="AO268" i="13"/>
  <c r="AN268" i="13"/>
  <c r="AM268" i="13"/>
  <c r="AH268" i="13"/>
  <c r="S268" i="13"/>
  <c r="AB268" i="13" s="1"/>
  <c r="I268" i="13"/>
  <c r="AZ268" i="13" s="1"/>
  <c r="AY267" i="13"/>
  <c r="AX267" i="13"/>
  <c r="AW267" i="13"/>
  <c r="AV267" i="13"/>
  <c r="AT267" i="13"/>
  <c r="AS267" i="13"/>
  <c r="AO267" i="13"/>
  <c r="AN267" i="13"/>
  <c r="AM267" i="13"/>
  <c r="AH267" i="13"/>
  <c r="S267" i="13"/>
  <c r="AB267" i="13" s="1"/>
  <c r="I267" i="13"/>
  <c r="AZ267" i="13" s="1"/>
  <c r="AY266" i="13"/>
  <c r="AX266" i="13"/>
  <c r="AW266" i="13"/>
  <c r="AV266" i="13"/>
  <c r="AT266" i="13"/>
  <c r="AS266" i="13"/>
  <c r="AO266" i="13"/>
  <c r="AN266" i="13"/>
  <c r="AM266" i="13"/>
  <c r="AH266" i="13"/>
  <c r="S266" i="13"/>
  <c r="AB266" i="13" s="1"/>
  <c r="I266" i="13"/>
  <c r="AZ266" i="13" s="1"/>
  <c r="AY265" i="13"/>
  <c r="AX265" i="13"/>
  <c r="AW265" i="13"/>
  <c r="AV265" i="13"/>
  <c r="AT265" i="13"/>
  <c r="AS265" i="13"/>
  <c r="AO265" i="13"/>
  <c r="AN265" i="13"/>
  <c r="AM265" i="13"/>
  <c r="AH265" i="13"/>
  <c r="S265" i="13"/>
  <c r="AB265" i="13" s="1"/>
  <c r="I265" i="13"/>
  <c r="AZ265" i="13" s="1"/>
  <c r="AY264" i="13"/>
  <c r="AX264" i="13"/>
  <c r="AW264" i="13"/>
  <c r="AV264" i="13"/>
  <c r="AT264" i="13"/>
  <c r="AS264" i="13"/>
  <c r="AO264" i="13"/>
  <c r="AN264" i="13"/>
  <c r="AM264" i="13"/>
  <c r="AH264" i="13"/>
  <c r="S264" i="13"/>
  <c r="AB264" i="13" s="1"/>
  <c r="I264" i="13"/>
  <c r="AZ264" i="13" s="1"/>
  <c r="AY263" i="13"/>
  <c r="AX263" i="13"/>
  <c r="AW263" i="13"/>
  <c r="AV263" i="13"/>
  <c r="AT263" i="13"/>
  <c r="AS263" i="13"/>
  <c r="AO263" i="13"/>
  <c r="AN263" i="13"/>
  <c r="AM263" i="13"/>
  <c r="AH263" i="13"/>
  <c r="S263" i="13"/>
  <c r="AB263" i="13" s="1"/>
  <c r="I263" i="13"/>
  <c r="AZ263" i="13" s="1"/>
  <c r="AY262" i="13"/>
  <c r="AX262" i="13"/>
  <c r="AW262" i="13"/>
  <c r="AV262" i="13"/>
  <c r="AT262" i="13"/>
  <c r="AS262" i="13"/>
  <c r="AO262" i="13"/>
  <c r="AN262" i="13"/>
  <c r="AM262" i="13"/>
  <c r="AH262" i="13"/>
  <c r="S262" i="13"/>
  <c r="AB262" i="13" s="1"/>
  <c r="I262" i="13"/>
  <c r="AZ262" i="13" s="1"/>
  <c r="AY261" i="13"/>
  <c r="AX261" i="13"/>
  <c r="AW261" i="13"/>
  <c r="AV261" i="13"/>
  <c r="AT261" i="13"/>
  <c r="AS261" i="13"/>
  <c r="AO261" i="13"/>
  <c r="AN261" i="13"/>
  <c r="AM261" i="13"/>
  <c r="AH261" i="13"/>
  <c r="S261" i="13"/>
  <c r="AB261" i="13" s="1"/>
  <c r="I261" i="13"/>
  <c r="AZ261" i="13" s="1"/>
  <c r="AY260" i="13"/>
  <c r="AX260" i="13"/>
  <c r="AW260" i="13"/>
  <c r="AV260" i="13"/>
  <c r="AT260" i="13"/>
  <c r="AS260" i="13"/>
  <c r="AO260" i="13"/>
  <c r="AN260" i="13"/>
  <c r="AM260" i="13"/>
  <c r="AH260" i="13"/>
  <c r="S260" i="13"/>
  <c r="AB260" i="13" s="1"/>
  <c r="I260" i="13"/>
  <c r="AZ260" i="13" s="1"/>
  <c r="AY259" i="13"/>
  <c r="AX259" i="13"/>
  <c r="AW259" i="13"/>
  <c r="AV259" i="13"/>
  <c r="AT259" i="13"/>
  <c r="AS259" i="13"/>
  <c r="AO259" i="13"/>
  <c r="AN259" i="13"/>
  <c r="AM259" i="13"/>
  <c r="AH259" i="13"/>
  <c r="S259" i="13"/>
  <c r="AB259" i="13" s="1"/>
  <c r="I259" i="13"/>
  <c r="AZ259" i="13" s="1"/>
  <c r="AY258" i="13"/>
  <c r="AX258" i="13"/>
  <c r="AW258" i="13"/>
  <c r="AV258" i="13"/>
  <c r="AT258" i="13"/>
  <c r="AS258" i="13"/>
  <c r="AO258" i="13"/>
  <c r="AN258" i="13"/>
  <c r="AM258" i="13"/>
  <c r="AH258" i="13"/>
  <c r="S258" i="13"/>
  <c r="AB258" i="13" s="1"/>
  <c r="I258" i="13"/>
  <c r="AZ258" i="13" s="1"/>
  <c r="AY257" i="13"/>
  <c r="AX257" i="13"/>
  <c r="AW257" i="13"/>
  <c r="AV257" i="13"/>
  <c r="AT257" i="13"/>
  <c r="AS257" i="13"/>
  <c r="AO257" i="13"/>
  <c r="AN257" i="13"/>
  <c r="AM257" i="13"/>
  <c r="AH257" i="13"/>
  <c r="S257" i="13"/>
  <c r="AB257" i="13" s="1"/>
  <c r="I257" i="13"/>
  <c r="AZ257" i="13" s="1"/>
  <c r="AY256" i="13"/>
  <c r="AX256" i="13"/>
  <c r="AW256" i="13"/>
  <c r="AV256" i="13"/>
  <c r="AT256" i="13"/>
  <c r="AS256" i="13"/>
  <c r="AO256" i="13"/>
  <c r="AN256" i="13"/>
  <c r="AM256" i="13"/>
  <c r="AH256" i="13"/>
  <c r="S256" i="13"/>
  <c r="AB256" i="13" s="1"/>
  <c r="I256" i="13"/>
  <c r="AZ256" i="13" s="1"/>
  <c r="AY255" i="13"/>
  <c r="AX255" i="13"/>
  <c r="AW255" i="13"/>
  <c r="AV255" i="13"/>
  <c r="AT255" i="13"/>
  <c r="AS255" i="13"/>
  <c r="AO255" i="13"/>
  <c r="AN255" i="13"/>
  <c r="AM255" i="13"/>
  <c r="AH255" i="13"/>
  <c r="S255" i="13"/>
  <c r="AB255" i="13" s="1"/>
  <c r="I255" i="13"/>
  <c r="AZ255" i="13" s="1"/>
  <c r="AY254" i="13"/>
  <c r="AX254" i="13"/>
  <c r="AW254" i="13"/>
  <c r="AV254" i="13"/>
  <c r="AT254" i="13"/>
  <c r="AS254" i="13"/>
  <c r="AO254" i="13"/>
  <c r="AN254" i="13"/>
  <c r="AM254" i="13"/>
  <c r="AH254" i="13"/>
  <c r="S254" i="13"/>
  <c r="AB254" i="13" s="1"/>
  <c r="I254" i="13"/>
  <c r="AZ254" i="13" s="1"/>
  <c r="AY253" i="13"/>
  <c r="AX253" i="13"/>
  <c r="AW253" i="13"/>
  <c r="AV253" i="13"/>
  <c r="AT253" i="13"/>
  <c r="AS253" i="13"/>
  <c r="AO253" i="13"/>
  <c r="AN253" i="13"/>
  <c r="AM253" i="13"/>
  <c r="AH253" i="13"/>
  <c r="S253" i="13"/>
  <c r="AB253" i="13" s="1"/>
  <c r="I253" i="13"/>
  <c r="AZ253" i="13" s="1"/>
  <c r="AY252" i="13"/>
  <c r="AX252" i="13"/>
  <c r="AW252" i="13"/>
  <c r="AV252" i="13"/>
  <c r="AT252" i="13"/>
  <c r="AS252" i="13"/>
  <c r="AO252" i="13"/>
  <c r="AN252" i="13"/>
  <c r="AM252" i="13"/>
  <c r="AH252" i="13"/>
  <c r="S252" i="13"/>
  <c r="AB252" i="13" s="1"/>
  <c r="I252" i="13"/>
  <c r="AZ252" i="13" s="1"/>
  <c r="AY251" i="13"/>
  <c r="AX251" i="13"/>
  <c r="AW251" i="13"/>
  <c r="AV251" i="13"/>
  <c r="AT251" i="13"/>
  <c r="AS251" i="13"/>
  <c r="AO251" i="13"/>
  <c r="AN251" i="13"/>
  <c r="AM251" i="13"/>
  <c r="AH251" i="13"/>
  <c r="S251" i="13"/>
  <c r="AB251" i="13" s="1"/>
  <c r="I251" i="13"/>
  <c r="AZ251" i="13" s="1"/>
  <c r="AY250" i="13"/>
  <c r="AX250" i="13"/>
  <c r="AW250" i="13"/>
  <c r="AV250" i="13"/>
  <c r="AT250" i="13"/>
  <c r="AS250" i="13"/>
  <c r="AO250" i="13"/>
  <c r="AN250" i="13"/>
  <c r="AM250" i="13"/>
  <c r="AH250" i="13"/>
  <c r="S250" i="13"/>
  <c r="AB250" i="13" s="1"/>
  <c r="I250" i="13"/>
  <c r="AZ250" i="13" s="1"/>
  <c r="AY249" i="13"/>
  <c r="AX249" i="13"/>
  <c r="AW249" i="13"/>
  <c r="AV249" i="13"/>
  <c r="AT249" i="13"/>
  <c r="AS249" i="13"/>
  <c r="AO249" i="13"/>
  <c r="AN249" i="13"/>
  <c r="AM249" i="13"/>
  <c r="AH249" i="13"/>
  <c r="S249" i="13"/>
  <c r="AB249" i="13" s="1"/>
  <c r="I249" i="13"/>
  <c r="AZ249" i="13" s="1"/>
  <c r="AY248" i="13"/>
  <c r="AX248" i="13"/>
  <c r="AW248" i="13"/>
  <c r="AV248" i="13"/>
  <c r="AT248" i="13"/>
  <c r="AS248" i="13"/>
  <c r="AO248" i="13"/>
  <c r="AN248" i="13"/>
  <c r="AM248" i="13"/>
  <c r="AH248" i="13"/>
  <c r="S248" i="13"/>
  <c r="AB248" i="13" s="1"/>
  <c r="I248" i="13"/>
  <c r="AZ248" i="13" s="1"/>
  <c r="AY247" i="13"/>
  <c r="AX247" i="13"/>
  <c r="AW247" i="13"/>
  <c r="AV247" i="13"/>
  <c r="AT247" i="13"/>
  <c r="AS247" i="13"/>
  <c r="AO247" i="13"/>
  <c r="AN247" i="13"/>
  <c r="AM247" i="13"/>
  <c r="AH247" i="13"/>
  <c r="S247" i="13"/>
  <c r="AB247" i="13" s="1"/>
  <c r="I247" i="13"/>
  <c r="AZ247" i="13" s="1"/>
  <c r="AY246" i="13"/>
  <c r="AX246" i="13"/>
  <c r="AW246" i="13"/>
  <c r="AV246" i="13"/>
  <c r="AT246" i="13"/>
  <c r="AS246" i="13"/>
  <c r="AO246" i="13"/>
  <c r="AN246" i="13"/>
  <c r="AM246" i="13"/>
  <c r="AH246" i="13"/>
  <c r="S246" i="13"/>
  <c r="AB246" i="13" s="1"/>
  <c r="I246" i="13"/>
  <c r="AZ246" i="13" s="1"/>
  <c r="AY245" i="13"/>
  <c r="AX245" i="13"/>
  <c r="AW245" i="13"/>
  <c r="AV245" i="13"/>
  <c r="AT245" i="13"/>
  <c r="AS245" i="13"/>
  <c r="AO245" i="13"/>
  <c r="AN245" i="13"/>
  <c r="AM245" i="13"/>
  <c r="AH245" i="13"/>
  <c r="S245" i="13"/>
  <c r="AB245" i="13" s="1"/>
  <c r="I245" i="13"/>
  <c r="AZ245" i="13" s="1"/>
  <c r="AY244" i="13"/>
  <c r="AX244" i="13"/>
  <c r="AW244" i="13"/>
  <c r="AV244" i="13"/>
  <c r="AT244" i="13"/>
  <c r="AS244" i="13"/>
  <c r="AO244" i="13"/>
  <c r="AN244" i="13"/>
  <c r="AM244" i="13"/>
  <c r="AH244" i="13"/>
  <c r="S244" i="13"/>
  <c r="AB244" i="13" s="1"/>
  <c r="I244" i="13"/>
  <c r="AZ244" i="13" s="1"/>
  <c r="AY243" i="13"/>
  <c r="AX243" i="13"/>
  <c r="AW243" i="13"/>
  <c r="AV243" i="13"/>
  <c r="AT243" i="13"/>
  <c r="AS243" i="13"/>
  <c r="AO243" i="13"/>
  <c r="AN243" i="13"/>
  <c r="AM243" i="13"/>
  <c r="AH243" i="13"/>
  <c r="S243" i="13"/>
  <c r="AB243" i="13" s="1"/>
  <c r="I243" i="13"/>
  <c r="AZ243" i="13" s="1"/>
  <c r="AY242" i="13"/>
  <c r="AX242" i="13"/>
  <c r="AW242" i="13"/>
  <c r="AV242" i="13"/>
  <c r="AT242" i="13"/>
  <c r="AS242" i="13"/>
  <c r="AO242" i="13"/>
  <c r="AN242" i="13"/>
  <c r="AM242" i="13"/>
  <c r="AH242" i="13"/>
  <c r="S242" i="13"/>
  <c r="AB242" i="13" s="1"/>
  <c r="I242" i="13"/>
  <c r="AZ242" i="13" s="1"/>
  <c r="AY241" i="13"/>
  <c r="AX241" i="13"/>
  <c r="AW241" i="13"/>
  <c r="AV241" i="13"/>
  <c r="AT241" i="13"/>
  <c r="AS241" i="13"/>
  <c r="AO241" i="13"/>
  <c r="AN241" i="13"/>
  <c r="AM241" i="13"/>
  <c r="AH241" i="13"/>
  <c r="S241" i="13"/>
  <c r="AB241" i="13" s="1"/>
  <c r="I241" i="13"/>
  <c r="AZ241" i="13" s="1"/>
  <c r="AY240" i="13"/>
  <c r="AX240" i="13"/>
  <c r="AW240" i="13"/>
  <c r="AV240" i="13"/>
  <c r="AT240" i="13"/>
  <c r="AS240" i="13"/>
  <c r="AO240" i="13"/>
  <c r="AN240" i="13"/>
  <c r="AM240" i="13"/>
  <c r="AH240" i="13"/>
  <c r="S240" i="13"/>
  <c r="AB240" i="13" s="1"/>
  <c r="I240" i="13"/>
  <c r="AZ240" i="13" s="1"/>
  <c r="AY239" i="13"/>
  <c r="AX239" i="13"/>
  <c r="AW239" i="13"/>
  <c r="AV239" i="13"/>
  <c r="AT239" i="13"/>
  <c r="AS239" i="13"/>
  <c r="AO239" i="13"/>
  <c r="AN239" i="13"/>
  <c r="AM239" i="13"/>
  <c r="AH239" i="13"/>
  <c r="S239" i="13"/>
  <c r="AB239" i="13" s="1"/>
  <c r="I239" i="13"/>
  <c r="AZ239" i="13" s="1"/>
  <c r="AY238" i="13"/>
  <c r="AX238" i="13"/>
  <c r="AW238" i="13"/>
  <c r="AV238" i="13"/>
  <c r="AT238" i="13"/>
  <c r="AS238" i="13"/>
  <c r="AO238" i="13"/>
  <c r="AN238" i="13"/>
  <c r="AM238" i="13"/>
  <c r="AH238" i="13"/>
  <c r="S238" i="13"/>
  <c r="AB238" i="13" s="1"/>
  <c r="I238" i="13"/>
  <c r="AZ238" i="13" s="1"/>
  <c r="AY237" i="13"/>
  <c r="AX237" i="13"/>
  <c r="AW237" i="13"/>
  <c r="AV237" i="13"/>
  <c r="AT237" i="13"/>
  <c r="AS237" i="13"/>
  <c r="AO237" i="13"/>
  <c r="AN237" i="13"/>
  <c r="AM237" i="13"/>
  <c r="AH237" i="13"/>
  <c r="S237" i="13"/>
  <c r="AB237" i="13" s="1"/>
  <c r="I237" i="13"/>
  <c r="AZ237" i="13" s="1"/>
  <c r="AY222" i="13"/>
  <c r="AX222" i="13"/>
  <c r="AW222" i="13"/>
  <c r="AV222" i="13"/>
  <c r="AT222" i="13"/>
  <c r="AS222" i="13"/>
  <c r="AO222" i="13"/>
  <c r="AN222" i="13"/>
  <c r="AM222" i="13"/>
  <c r="AH222" i="13"/>
  <c r="S222" i="13"/>
  <c r="AB222" i="13" s="1"/>
  <c r="I222" i="13"/>
  <c r="AZ222" i="13" s="1"/>
  <c r="AY221" i="13"/>
  <c r="AX221" i="13"/>
  <c r="AW221" i="13"/>
  <c r="AV221" i="13"/>
  <c r="AT221" i="13"/>
  <c r="AS221" i="13"/>
  <c r="AO221" i="13"/>
  <c r="AN221" i="13"/>
  <c r="AM221" i="13"/>
  <c r="AH221" i="13"/>
  <c r="S221" i="13"/>
  <c r="AB221" i="13" s="1"/>
  <c r="I221" i="13"/>
  <c r="AZ221" i="13" s="1"/>
  <c r="AY220" i="13"/>
  <c r="AX220" i="13"/>
  <c r="AW220" i="13"/>
  <c r="AV220" i="13"/>
  <c r="AT220" i="13"/>
  <c r="AS220" i="13"/>
  <c r="AO220" i="13"/>
  <c r="AN220" i="13"/>
  <c r="AM220" i="13"/>
  <c r="AH220" i="13"/>
  <c r="S220" i="13"/>
  <c r="AB220" i="13" s="1"/>
  <c r="I220" i="13"/>
  <c r="AZ220" i="13" s="1"/>
  <c r="AY219" i="13"/>
  <c r="AX219" i="13"/>
  <c r="AW219" i="13"/>
  <c r="AV219" i="13"/>
  <c r="AT219" i="13"/>
  <c r="AS219" i="13"/>
  <c r="AO219" i="13"/>
  <c r="AN219" i="13"/>
  <c r="AM219" i="13"/>
  <c r="AH219" i="13"/>
  <c r="S219" i="13"/>
  <c r="AB219" i="13" s="1"/>
  <c r="I219" i="13"/>
  <c r="AZ219" i="13" s="1"/>
  <c r="AY218" i="13"/>
  <c r="AX218" i="13"/>
  <c r="AW218" i="13"/>
  <c r="AV218" i="13"/>
  <c r="AT218" i="13"/>
  <c r="AS218" i="13"/>
  <c r="AO218" i="13"/>
  <c r="AN218" i="13"/>
  <c r="AM218" i="13"/>
  <c r="AH218" i="13"/>
  <c r="S218" i="13"/>
  <c r="AB218" i="13" s="1"/>
  <c r="I218" i="13"/>
  <c r="AZ218" i="13" s="1"/>
  <c r="AY217" i="13"/>
  <c r="AX217" i="13"/>
  <c r="AW217" i="13"/>
  <c r="AV217" i="13"/>
  <c r="AT217" i="13"/>
  <c r="AS217" i="13"/>
  <c r="AO217" i="13"/>
  <c r="AN217" i="13"/>
  <c r="AM217" i="13"/>
  <c r="AH217" i="13"/>
  <c r="S217" i="13"/>
  <c r="AB217" i="13" s="1"/>
  <c r="I217" i="13"/>
  <c r="AZ217" i="13" s="1"/>
  <c r="AY216" i="13"/>
  <c r="AX216" i="13"/>
  <c r="AW216" i="13"/>
  <c r="AV216" i="13"/>
  <c r="AT216" i="13"/>
  <c r="AS216" i="13"/>
  <c r="AO216" i="13"/>
  <c r="AN216" i="13"/>
  <c r="AM216" i="13"/>
  <c r="AH216" i="13"/>
  <c r="S216" i="13"/>
  <c r="AB216" i="13" s="1"/>
  <c r="I216" i="13"/>
  <c r="AZ216" i="13" s="1"/>
  <c r="AY215" i="13"/>
  <c r="AX215" i="13"/>
  <c r="AW215" i="13"/>
  <c r="AV215" i="13"/>
  <c r="AT215" i="13"/>
  <c r="AS215" i="13"/>
  <c r="AO215" i="13"/>
  <c r="AN215" i="13"/>
  <c r="AM215" i="13"/>
  <c r="AH215" i="13"/>
  <c r="S215" i="13"/>
  <c r="AB215" i="13" s="1"/>
  <c r="I215" i="13"/>
  <c r="AZ215" i="13" s="1"/>
  <c r="AY214" i="13"/>
  <c r="AX214" i="13"/>
  <c r="AW214" i="13"/>
  <c r="AV214" i="13"/>
  <c r="AT214" i="13"/>
  <c r="AS214" i="13"/>
  <c r="AO214" i="13"/>
  <c r="AN214" i="13"/>
  <c r="AM214" i="13"/>
  <c r="AH214" i="13"/>
  <c r="S214" i="13"/>
  <c r="AB214" i="13" s="1"/>
  <c r="I214" i="13"/>
  <c r="AZ214" i="13" s="1"/>
  <c r="AY213" i="13"/>
  <c r="AX213" i="13"/>
  <c r="AW213" i="13"/>
  <c r="AV213" i="13"/>
  <c r="AT213" i="13"/>
  <c r="AS213" i="13"/>
  <c r="AO213" i="13"/>
  <c r="AN213" i="13"/>
  <c r="AM213" i="13"/>
  <c r="AH213" i="13"/>
  <c r="S213" i="13"/>
  <c r="AB213" i="13" s="1"/>
  <c r="I213" i="13"/>
  <c r="AZ213" i="13" s="1"/>
  <c r="AY212" i="13"/>
  <c r="AX212" i="13"/>
  <c r="AW212" i="13"/>
  <c r="AV212" i="13"/>
  <c r="AT212" i="13"/>
  <c r="AS212" i="13"/>
  <c r="AO212" i="13"/>
  <c r="AN212" i="13"/>
  <c r="AM212" i="13"/>
  <c r="AH212" i="13"/>
  <c r="S212" i="13"/>
  <c r="AB212" i="13" s="1"/>
  <c r="I212" i="13"/>
  <c r="AZ212" i="13" s="1"/>
  <c r="AY211" i="13"/>
  <c r="AX211" i="13"/>
  <c r="AW211" i="13"/>
  <c r="AV211" i="13"/>
  <c r="AT211" i="13"/>
  <c r="AS211" i="13"/>
  <c r="AO211" i="13"/>
  <c r="AN211" i="13"/>
  <c r="AM211" i="13"/>
  <c r="AH211" i="13"/>
  <c r="S211" i="13"/>
  <c r="AB211" i="13" s="1"/>
  <c r="I211" i="13"/>
  <c r="AZ211" i="13" s="1"/>
  <c r="AY210" i="13"/>
  <c r="AX210" i="13"/>
  <c r="AW210" i="13"/>
  <c r="AV210" i="13"/>
  <c r="AT210" i="13"/>
  <c r="AS210" i="13"/>
  <c r="AO210" i="13"/>
  <c r="AN210" i="13"/>
  <c r="AM210" i="13"/>
  <c r="AH210" i="13"/>
  <c r="S210" i="13"/>
  <c r="AB210" i="13" s="1"/>
  <c r="I210" i="13"/>
  <c r="AZ210" i="13" s="1"/>
  <c r="AY209" i="13"/>
  <c r="AX209" i="13"/>
  <c r="AW209" i="13"/>
  <c r="AV209" i="13"/>
  <c r="AT209" i="13"/>
  <c r="AS209" i="13"/>
  <c r="AO209" i="13"/>
  <c r="AN209" i="13"/>
  <c r="AM209" i="13"/>
  <c r="AH209" i="13"/>
  <c r="S209" i="13"/>
  <c r="AB209" i="13" s="1"/>
  <c r="I209" i="13"/>
  <c r="AZ209" i="13" s="1"/>
  <c r="AY208" i="13"/>
  <c r="AX208" i="13"/>
  <c r="AW208" i="13"/>
  <c r="AV208" i="13"/>
  <c r="AT208" i="13"/>
  <c r="AS208" i="13"/>
  <c r="AO208" i="13"/>
  <c r="AN208" i="13"/>
  <c r="AM208" i="13"/>
  <c r="AH208" i="13"/>
  <c r="S208" i="13"/>
  <c r="AB208" i="13" s="1"/>
  <c r="I208" i="13"/>
  <c r="AZ208" i="13" s="1"/>
  <c r="AY207" i="13"/>
  <c r="AX207" i="13"/>
  <c r="AW207" i="13"/>
  <c r="AV207" i="13"/>
  <c r="AT207" i="13"/>
  <c r="AS207" i="13"/>
  <c r="AO207" i="13"/>
  <c r="AN207" i="13"/>
  <c r="AM207" i="13"/>
  <c r="AH207" i="13"/>
  <c r="S207" i="13"/>
  <c r="AB207" i="13" s="1"/>
  <c r="I207" i="13"/>
  <c r="AZ207" i="13" s="1"/>
  <c r="AY206" i="13"/>
  <c r="AX206" i="13"/>
  <c r="AW206" i="13"/>
  <c r="AV206" i="13"/>
  <c r="AT206" i="13"/>
  <c r="AS206" i="13"/>
  <c r="AO206" i="13"/>
  <c r="AN206" i="13"/>
  <c r="AM206" i="13"/>
  <c r="AH206" i="13"/>
  <c r="S206" i="13"/>
  <c r="AB206" i="13" s="1"/>
  <c r="I206" i="13"/>
  <c r="AZ206" i="13" s="1"/>
  <c r="AY205" i="13"/>
  <c r="AX205" i="13"/>
  <c r="AW205" i="13"/>
  <c r="AV205" i="13"/>
  <c r="AT205" i="13"/>
  <c r="AS205" i="13"/>
  <c r="AO205" i="13"/>
  <c r="AN205" i="13"/>
  <c r="AM205" i="13"/>
  <c r="AH205" i="13"/>
  <c r="S205" i="13"/>
  <c r="AB205" i="13" s="1"/>
  <c r="I205" i="13"/>
  <c r="AZ205" i="13" s="1"/>
  <c r="AY204" i="13"/>
  <c r="AX204" i="13"/>
  <c r="AW204" i="13"/>
  <c r="AV204" i="13"/>
  <c r="AT204" i="13"/>
  <c r="AS204" i="13"/>
  <c r="AO204" i="13"/>
  <c r="AN204" i="13"/>
  <c r="AM204" i="13"/>
  <c r="AH204" i="13"/>
  <c r="S204" i="13"/>
  <c r="AB204" i="13" s="1"/>
  <c r="I204" i="13"/>
  <c r="AZ204" i="13" s="1"/>
  <c r="AY203" i="13"/>
  <c r="AX203" i="13"/>
  <c r="AW203" i="13"/>
  <c r="AV203" i="13"/>
  <c r="AT203" i="13"/>
  <c r="AS203" i="13"/>
  <c r="AO203" i="13"/>
  <c r="AN203" i="13"/>
  <c r="AM203" i="13"/>
  <c r="AH203" i="13"/>
  <c r="S203" i="13"/>
  <c r="AB203" i="13" s="1"/>
  <c r="I203" i="13"/>
  <c r="AZ203" i="13" s="1"/>
  <c r="AY202" i="13"/>
  <c r="AX202" i="13"/>
  <c r="AW202" i="13"/>
  <c r="AV202" i="13"/>
  <c r="AT202" i="13"/>
  <c r="AS202" i="13"/>
  <c r="AO202" i="13"/>
  <c r="AN202" i="13"/>
  <c r="AM202" i="13"/>
  <c r="AH202" i="13"/>
  <c r="S202" i="13"/>
  <c r="AB202" i="13" s="1"/>
  <c r="I202" i="13"/>
  <c r="AZ202" i="13" s="1"/>
  <c r="AY201" i="13"/>
  <c r="AX201" i="13"/>
  <c r="AW201" i="13"/>
  <c r="AV201" i="13"/>
  <c r="AT201" i="13"/>
  <c r="AS201" i="13"/>
  <c r="AO201" i="13"/>
  <c r="AN201" i="13"/>
  <c r="AM201" i="13"/>
  <c r="AH201" i="13"/>
  <c r="S201" i="13"/>
  <c r="AB201" i="13" s="1"/>
  <c r="I201" i="13"/>
  <c r="AZ201" i="13" s="1"/>
  <c r="AY200" i="13"/>
  <c r="AX200" i="13"/>
  <c r="AW200" i="13"/>
  <c r="AV200" i="13"/>
  <c r="AT200" i="13"/>
  <c r="AS200" i="13"/>
  <c r="AO200" i="13"/>
  <c r="AN200" i="13"/>
  <c r="AM200" i="13"/>
  <c r="AH200" i="13"/>
  <c r="S200" i="13"/>
  <c r="AB200" i="13" s="1"/>
  <c r="I200" i="13"/>
  <c r="AZ200" i="13" s="1"/>
  <c r="AY199" i="13"/>
  <c r="AX199" i="13"/>
  <c r="AW199" i="13"/>
  <c r="AV199" i="13"/>
  <c r="AT199" i="13"/>
  <c r="AS199" i="13"/>
  <c r="AO199" i="13"/>
  <c r="AN199" i="13"/>
  <c r="AM199" i="13"/>
  <c r="AH199" i="13"/>
  <c r="S199" i="13"/>
  <c r="AB199" i="13" s="1"/>
  <c r="I199" i="13"/>
  <c r="AZ199" i="13" s="1"/>
  <c r="AY198" i="13"/>
  <c r="AX198" i="13"/>
  <c r="AW198" i="13"/>
  <c r="AV198" i="13"/>
  <c r="AT198" i="13"/>
  <c r="AS198" i="13"/>
  <c r="AO198" i="13"/>
  <c r="AN198" i="13"/>
  <c r="AM198" i="13"/>
  <c r="AH198" i="13"/>
  <c r="S198" i="13"/>
  <c r="AB198" i="13" s="1"/>
  <c r="I198" i="13"/>
  <c r="AZ198" i="13" s="1"/>
  <c r="AY197" i="13"/>
  <c r="AX197" i="13"/>
  <c r="AW197" i="13"/>
  <c r="AV197" i="13"/>
  <c r="AT197" i="13"/>
  <c r="AS197" i="13"/>
  <c r="AO197" i="13"/>
  <c r="AN197" i="13"/>
  <c r="AM197" i="13"/>
  <c r="AH197" i="13"/>
  <c r="S197" i="13"/>
  <c r="AB197" i="13" s="1"/>
  <c r="I197" i="13"/>
  <c r="AZ197" i="13" s="1"/>
  <c r="AY196" i="13"/>
  <c r="AX196" i="13"/>
  <c r="AW196" i="13"/>
  <c r="AV196" i="13"/>
  <c r="AT196" i="13"/>
  <c r="AS196" i="13"/>
  <c r="AO196" i="13"/>
  <c r="AN196" i="13"/>
  <c r="AM196" i="13"/>
  <c r="AH196" i="13"/>
  <c r="S196" i="13"/>
  <c r="AB196" i="13" s="1"/>
  <c r="I196" i="13"/>
  <c r="AZ196" i="13" s="1"/>
  <c r="AY195" i="13"/>
  <c r="AX195" i="13"/>
  <c r="AW195" i="13"/>
  <c r="AV195" i="13"/>
  <c r="AT195" i="13"/>
  <c r="AS195" i="13"/>
  <c r="AO195" i="13"/>
  <c r="AN195" i="13"/>
  <c r="AM195" i="13"/>
  <c r="AH195" i="13"/>
  <c r="S195" i="13"/>
  <c r="AB195" i="13" s="1"/>
  <c r="I195" i="13"/>
  <c r="AZ195" i="13" s="1"/>
  <c r="AY194" i="13"/>
  <c r="AX194" i="13"/>
  <c r="AW194" i="13"/>
  <c r="AV194" i="13"/>
  <c r="AT194" i="13"/>
  <c r="AS194" i="13"/>
  <c r="AO194" i="13"/>
  <c r="AN194" i="13"/>
  <c r="AM194" i="13"/>
  <c r="AH194" i="13"/>
  <c r="S194" i="13"/>
  <c r="AB194" i="13" s="1"/>
  <c r="I194" i="13"/>
  <c r="AZ194" i="13" s="1"/>
  <c r="AY193" i="13"/>
  <c r="AX193" i="13"/>
  <c r="AW193" i="13"/>
  <c r="AV193" i="13"/>
  <c r="AT193" i="13"/>
  <c r="AS193" i="13"/>
  <c r="AO193" i="13"/>
  <c r="AN193" i="13"/>
  <c r="AM193" i="13"/>
  <c r="AH193" i="13"/>
  <c r="S193" i="13"/>
  <c r="AB193" i="13" s="1"/>
  <c r="I193" i="13"/>
  <c r="AZ193" i="13" s="1"/>
  <c r="AY192" i="13"/>
  <c r="AX192" i="13"/>
  <c r="AW192" i="13"/>
  <c r="AV192" i="13"/>
  <c r="AT192" i="13"/>
  <c r="AS192" i="13"/>
  <c r="AO192" i="13"/>
  <c r="AN192" i="13"/>
  <c r="AM192" i="13"/>
  <c r="AH192" i="13"/>
  <c r="S192" i="13"/>
  <c r="AB192" i="13" s="1"/>
  <c r="I192" i="13"/>
  <c r="AZ192" i="13" s="1"/>
  <c r="AY191" i="13"/>
  <c r="AX191" i="13"/>
  <c r="AW191" i="13"/>
  <c r="AV191" i="13"/>
  <c r="AT191" i="13"/>
  <c r="AS191" i="13"/>
  <c r="AO191" i="13"/>
  <c r="AN191" i="13"/>
  <c r="AM191" i="13"/>
  <c r="AH191" i="13"/>
  <c r="S191" i="13"/>
  <c r="AB191" i="13" s="1"/>
  <c r="I191" i="13"/>
  <c r="AZ191" i="13" s="1"/>
  <c r="AY176" i="13"/>
  <c r="AX176" i="13"/>
  <c r="AW176" i="13"/>
  <c r="AV176" i="13"/>
  <c r="AT176" i="13"/>
  <c r="AS176" i="13"/>
  <c r="AO176" i="13"/>
  <c r="AN176" i="13"/>
  <c r="AM176" i="13"/>
  <c r="AH176" i="13"/>
  <c r="S176" i="13"/>
  <c r="AB176" i="13" s="1"/>
  <c r="I176" i="13"/>
  <c r="AZ176" i="13" s="1"/>
  <c r="AY175" i="13"/>
  <c r="AX175" i="13"/>
  <c r="AW175" i="13"/>
  <c r="AV175" i="13"/>
  <c r="AT175" i="13"/>
  <c r="AS175" i="13"/>
  <c r="AO175" i="13"/>
  <c r="AN175" i="13"/>
  <c r="AM175" i="13"/>
  <c r="AH175" i="13"/>
  <c r="S175" i="13"/>
  <c r="AB175" i="13" s="1"/>
  <c r="I175" i="13"/>
  <c r="AZ175" i="13" s="1"/>
  <c r="AY174" i="13"/>
  <c r="AX174" i="13"/>
  <c r="AW174" i="13"/>
  <c r="AV174" i="13"/>
  <c r="AT174" i="13"/>
  <c r="AS174" i="13"/>
  <c r="AO174" i="13"/>
  <c r="AN174" i="13"/>
  <c r="AM174" i="13"/>
  <c r="AH174" i="13"/>
  <c r="S174" i="13"/>
  <c r="AB174" i="13" s="1"/>
  <c r="I174" i="13"/>
  <c r="AZ174" i="13" s="1"/>
  <c r="AY173" i="13"/>
  <c r="AX173" i="13"/>
  <c r="AW173" i="13"/>
  <c r="AV173" i="13"/>
  <c r="AT173" i="13"/>
  <c r="AS173" i="13"/>
  <c r="AO173" i="13"/>
  <c r="AN173" i="13"/>
  <c r="AM173" i="13"/>
  <c r="AH173" i="13"/>
  <c r="S173" i="13"/>
  <c r="AB173" i="13" s="1"/>
  <c r="I173" i="13"/>
  <c r="AZ173" i="13" s="1"/>
  <c r="AY172" i="13"/>
  <c r="AX172" i="13"/>
  <c r="AW172" i="13"/>
  <c r="AV172" i="13"/>
  <c r="AT172" i="13"/>
  <c r="AS172" i="13"/>
  <c r="AO172" i="13"/>
  <c r="AN172" i="13"/>
  <c r="AM172" i="13"/>
  <c r="AH172" i="13"/>
  <c r="S172" i="13"/>
  <c r="AB172" i="13" s="1"/>
  <c r="I172" i="13"/>
  <c r="AZ172" i="13" s="1"/>
  <c r="AY171" i="13"/>
  <c r="AX171" i="13"/>
  <c r="AW171" i="13"/>
  <c r="AV171" i="13"/>
  <c r="AT171" i="13"/>
  <c r="AS171" i="13"/>
  <c r="AO171" i="13"/>
  <c r="AN171" i="13"/>
  <c r="AM171" i="13"/>
  <c r="AH171" i="13"/>
  <c r="S171" i="13"/>
  <c r="AB171" i="13" s="1"/>
  <c r="I171" i="13"/>
  <c r="AZ171" i="13" s="1"/>
  <c r="AY170" i="13"/>
  <c r="AX170" i="13"/>
  <c r="AW170" i="13"/>
  <c r="AV170" i="13"/>
  <c r="AT170" i="13"/>
  <c r="AS170" i="13"/>
  <c r="AO170" i="13"/>
  <c r="AN170" i="13"/>
  <c r="AM170" i="13"/>
  <c r="AH170" i="13"/>
  <c r="S170" i="13"/>
  <c r="AB170" i="13" s="1"/>
  <c r="I170" i="13"/>
  <c r="AZ170" i="13" s="1"/>
  <c r="AY169" i="13"/>
  <c r="AX169" i="13"/>
  <c r="AW169" i="13"/>
  <c r="AV169" i="13"/>
  <c r="AT169" i="13"/>
  <c r="AS169" i="13"/>
  <c r="AO169" i="13"/>
  <c r="AN169" i="13"/>
  <c r="AM169" i="13"/>
  <c r="AH169" i="13"/>
  <c r="S169" i="13"/>
  <c r="AB169" i="13" s="1"/>
  <c r="I169" i="13"/>
  <c r="AZ169" i="13" s="1"/>
  <c r="AY168" i="13"/>
  <c r="AX168" i="13"/>
  <c r="AW168" i="13"/>
  <c r="AV168" i="13"/>
  <c r="AT168" i="13"/>
  <c r="AS168" i="13"/>
  <c r="AO168" i="13"/>
  <c r="AN168" i="13"/>
  <c r="AM168" i="13"/>
  <c r="AH168" i="13"/>
  <c r="S168" i="13"/>
  <c r="AB168" i="13" s="1"/>
  <c r="I168" i="13"/>
  <c r="AZ168" i="13" s="1"/>
  <c r="AY167" i="13"/>
  <c r="AX167" i="13"/>
  <c r="AW167" i="13"/>
  <c r="AV167" i="13"/>
  <c r="AT167" i="13"/>
  <c r="AS167" i="13"/>
  <c r="AO167" i="13"/>
  <c r="AN167" i="13"/>
  <c r="AM167" i="13"/>
  <c r="AH167" i="13"/>
  <c r="S167" i="13"/>
  <c r="AB167" i="13" s="1"/>
  <c r="I167" i="13"/>
  <c r="AZ167" i="13" s="1"/>
  <c r="AY166" i="13"/>
  <c r="AX166" i="13"/>
  <c r="AW166" i="13"/>
  <c r="AV166" i="13"/>
  <c r="AT166" i="13"/>
  <c r="AS166" i="13"/>
  <c r="AO166" i="13"/>
  <c r="AN166" i="13"/>
  <c r="AM166" i="13"/>
  <c r="AH166" i="13"/>
  <c r="S166" i="13"/>
  <c r="AB166" i="13" s="1"/>
  <c r="I166" i="13"/>
  <c r="AZ166" i="13" s="1"/>
  <c r="AY165" i="13"/>
  <c r="AX165" i="13"/>
  <c r="AW165" i="13"/>
  <c r="AV165" i="13"/>
  <c r="AT165" i="13"/>
  <c r="AS165" i="13"/>
  <c r="AO165" i="13"/>
  <c r="AN165" i="13"/>
  <c r="AM165" i="13"/>
  <c r="AH165" i="13"/>
  <c r="S165" i="13"/>
  <c r="AB165" i="13" s="1"/>
  <c r="I165" i="13"/>
  <c r="AZ165" i="13" s="1"/>
  <c r="AY164" i="13"/>
  <c r="AX164" i="13"/>
  <c r="AW164" i="13"/>
  <c r="AV164" i="13"/>
  <c r="AT164" i="13"/>
  <c r="AS164" i="13"/>
  <c r="AO164" i="13"/>
  <c r="AN164" i="13"/>
  <c r="AM164" i="13"/>
  <c r="AH164" i="13"/>
  <c r="S164" i="13"/>
  <c r="AB164" i="13" s="1"/>
  <c r="I164" i="13"/>
  <c r="AZ164" i="13" s="1"/>
  <c r="AY163" i="13"/>
  <c r="AX163" i="13"/>
  <c r="AW163" i="13"/>
  <c r="AV163" i="13"/>
  <c r="AT163" i="13"/>
  <c r="AS163" i="13"/>
  <c r="AO163" i="13"/>
  <c r="AN163" i="13"/>
  <c r="AM163" i="13"/>
  <c r="AH163" i="13"/>
  <c r="S163" i="13"/>
  <c r="AB163" i="13" s="1"/>
  <c r="I163" i="13"/>
  <c r="AZ163" i="13" s="1"/>
  <c r="AY162" i="13"/>
  <c r="AX162" i="13"/>
  <c r="AW162" i="13"/>
  <c r="AV162" i="13"/>
  <c r="AT162" i="13"/>
  <c r="AS162" i="13"/>
  <c r="AO162" i="13"/>
  <c r="AN162" i="13"/>
  <c r="AM162" i="13"/>
  <c r="AH162" i="13"/>
  <c r="S162" i="13"/>
  <c r="AB162" i="13" s="1"/>
  <c r="I162" i="13"/>
  <c r="AZ162" i="13" s="1"/>
  <c r="AY161" i="13"/>
  <c r="AX161" i="13"/>
  <c r="AW161" i="13"/>
  <c r="AV161" i="13"/>
  <c r="AT161" i="13"/>
  <c r="AS161" i="13"/>
  <c r="AO161" i="13"/>
  <c r="AN161" i="13"/>
  <c r="AM161" i="13"/>
  <c r="AH161" i="13"/>
  <c r="S161" i="13"/>
  <c r="AB161" i="13" s="1"/>
  <c r="I161" i="13"/>
  <c r="AZ161" i="13" s="1"/>
  <c r="AY160" i="13"/>
  <c r="AX160" i="13"/>
  <c r="AW160" i="13"/>
  <c r="AV160" i="13"/>
  <c r="AT160" i="13"/>
  <c r="AS160" i="13"/>
  <c r="AO160" i="13"/>
  <c r="AN160" i="13"/>
  <c r="AM160" i="13"/>
  <c r="AH160" i="13"/>
  <c r="S160" i="13"/>
  <c r="AB160" i="13" s="1"/>
  <c r="I160" i="13"/>
  <c r="AZ160" i="13" s="1"/>
  <c r="AY159" i="13"/>
  <c r="AX159" i="13"/>
  <c r="AW159" i="13"/>
  <c r="AV159" i="13"/>
  <c r="AT159" i="13"/>
  <c r="AS159" i="13"/>
  <c r="AO159" i="13"/>
  <c r="AN159" i="13"/>
  <c r="AM159" i="13"/>
  <c r="AH159" i="13"/>
  <c r="S159" i="13"/>
  <c r="AB159" i="13" s="1"/>
  <c r="I159" i="13"/>
  <c r="AZ159" i="13" s="1"/>
  <c r="AY158" i="13"/>
  <c r="AX158" i="13"/>
  <c r="AW158" i="13"/>
  <c r="AV158" i="13"/>
  <c r="AT158" i="13"/>
  <c r="AS158" i="13"/>
  <c r="AO158" i="13"/>
  <c r="AN158" i="13"/>
  <c r="AM158" i="13"/>
  <c r="AH158" i="13"/>
  <c r="S158" i="13"/>
  <c r="AB158" i="13" s="1"/>
  <c r="I158" i="13"/>
  <c r="AZ158" i="13" s="1"/>
  <c r="AY157" i="13"/>
  <c r="AX157" i="13"/>
  <c r="AW157" i="13"/>
  <c r="AV157" i="13"/>
  <c r="AT157" i="13"/>
  <c r="AS157" i="13"/>
  <c r="AO157" i="13"/>
  <c r="AN157" i="13"/>
  <c r="AM157" i="13"/>
  <c r="AH157" i="13"/>
  <c r="S157" i="13"/>
  <c r="AB157" i="13" s="1"/>
  <c r="I157" i="13"/>
  <c r="AZ157" i="13" s="1"/>
  <c r="AY156" i="13"/>
  <c r="AX156" i="13"/>
  <c r="AW156" i="13"/>
  <c r="AV156" i="13"/>
  <c r="AT156" i="13"/>
  <c r="AS156" i="13"/>
  <c r="AO156" i="13"/>
  <c r="AN156" i="13"/>
  <c r="AM156" i="13"/>
  <c r="AH156" i="13"/>
  <c r="S156" i="13"/>
  <c r="AB156" i="13" s="1"/>
  <c r="I156" i="13"/>
  <c r="AZ156" i="13" s="1"/>
  <c r="AY155" i="13"/>
  <c r="AX155" i="13"/>
  <c r="AW155" i="13"/>
  <c r="AV155" i="13"/>
  <c r="AT155" i="13"/>
  <c r="AS155" i="13"/>
  <c r="AO155" i="13"/>
  <c r="AN155" i="13"/>
  <c r="AM155" i="13"/>
  <c r="AH155" i="13"/>
  <c r="S155" i="13"/>
  <c r="AB155" i="13" s="1"/>
  <c r="I155" i="13"/>
  <c r="AZ155" i="13" s="1"/>
  <c r="AY154" i="13"/>
  <c r="AX154" i="13"/>
  <c r="AW154" i="13"/>
  <c r="AV154" i="13"/>
  <c r="AT154" i="13"/>
  <c r="AS154" i="13"/>
  <c r="AO154" i="13"/>
  <c r="AN154" i="13"/>
  <c r="AM154" i="13"/>
  <c r="AH154" i="13"/>
  <c r="S154" i="13"/>
  <c r="AB154" i="13" s="1"/>
  <c r="I154" i="13"/>
  <c r="AZ154" i="13" s="1"/>
  <c r="AY153" i="13"/>
  <c r="AX153" i="13"/>
  <c r="AW153" i="13"/>
  <c r="AV153" i="13"/>
  <c r="AT153" i="13"/>
  <c r="AS153" i="13"/>
  <c r="AO153" i="13"/>
  <c r="AN153" i="13"/>
  <c r="AM153" i="13"/>
  <c r="AH153" i="13"/>
  <c r="S153" i="13"/>
  <c r="AB153" i="13" s="1"/>
  <c r="I153" i="13"/>
  <c r="AZ153" i="13" s="1"/>
  <c r="AY152" i="13"/>
  <c r="AX152" i="13"/>
  <c r="AW152" i="13"/>
  <c r="AV152" i="13"/>
  <c r="AT152" i="13"/>
  <c r="AS152" i="13"/>
  <c r="AO152" i="13"/>
  <c r="AN152" i="13"/>
  <c r="AM152" i="13"/>
  <c r="AH152" i="13"/>
  <c r="S152" i="13"/>
  <c r="AB152" i="13" s="1"/>
  <c r="I152" i="13"/>
  <c r="AZ152" i="13" s="1"/>
  <c r="AY151" i="13"/>
  <c r="AX151" i="13"/>
  <c r="AW151" i="13"/>
  <c r="AV151" i="13"/>
  <c r="AT151" i="13"/>
  <c r="AS151" i="13"/>
  <c r="AO151" i="13"/>
  <c r="AN151" i="13"/>
  <c r="AM151" i="13"/>
  <c r="AH151" i="13"/>
  <c r="S151" i="13"/>
  <c r="AB151" i="13" s="1"/>
  <c r="I151" i="13"/>
  <c r="AZ151" i="13" s="1"/>
  <c r="AY150" i="13"/>
  <c r="AX150" i="13"/>
  <c r="AW150" i="13"/>
  <c r="AV150" i="13"/>
  <c r="AT150" i="13"/>
  <c r="AS150" i="13"/>
  <c r="AO150" i="13"/>
  <c r="AN150" i="13"/>
  <c r="AM150" i="13"/>
  <c r="AH150" i="13"/>
  <c r="S150" i="13"/>
  <c r="AB150" i="13" s="1"/>
  <c r="I150" i="13"/>
  <c r="AZ150" i="13" s="1"/>
  <c r="AY149" i="13"/>
  <c r="AX149" i="13"/>
  <c r="AW149" i="13"/>
  <c r="AV149" i="13"/>
  <c r="AT149" i="13"/>
  <c r="AS149" i="13"/>
  <c r="AO149" i="13"/>
  <c r="AN149" i="13"/>
  <c r="AM149" i="13"/>
  <c r="AH149" i="13"/>
  <c r="S149" i="13"/>
  <c r="AB149" i="13" s="1"/>
  <c r="I149" i="13"/>
  <c r="AZ149" i="13" s="1"/>
  <c r="AY148" i="13"/>
  <c r="AX148" i="13"/>
  <c r="AW148" i="13"/>
  <c r="AV148" i="13"/>
  <c r="AT148" i="13"/>
  <c r="AS148" i="13"/>
  <c r="AO148" i="13"/>
  <c r="AN148" i="13"/>
  <c r="AM148" i="13"/>
  <c r="AH148" i="13"/>
  <c r="S148" i="13"/>
  <c r="AB148" i="13" s="1"/>
  <c r="I148" i="13"/>
  <c r="AZ148" i="13" s="1"/>
  <c r="AY147" i="13"/>
  <c r="AX147" i="13"/>
  <c r="AW147" i="13"/>
  <c r="AV147" i="13"/>
  <c r="AT147" i="13"/>
  <c r="AS147" i="13"/>
  <c r="AO147" i="13"/>
  <c r="AN147" i="13"/>
  <c r="AM147" i="13"/>
  <c r="AH147" i="13"/>
  <c r="S147" i="13"/>
  <c r="AB147" i="13" s="1"/>
  <c r="I147" i="13"/>
  <c r="AZ147" i="13" s="1"/>
  <c r="AY146" i="13"/>
  <c r="AX146" i="13"/>
  <c r="AW146" i="13"/>
  <c r="AV146" i="13"/>
  <c r="AT146" i="13"/>
  <c r="AS146" i="13"/>
  <c r="AO146" i="13"/>
  <c r="AN146" i="13"/>
  <c r="AM146" i="13"/>
  <c r="AH146" i="13"/>
  <c r="S146" i="13"/>
  <c r="AB146" i="13" s="1"/>
  <c r="I146" i="13"/>
  <c r="AZ146" i="13" s="1"/>
  <c r="AY145" i="13"/>
  <c r="AX145" i="13"/>
  <c r="AW145" i="13"/>
  <c r="AV145" i="13"/>
  <c r="AT145" i="13"/>
  <c r="AS145" i="13"/>
  <c r="AO145" i="13"/>
  <c r="AN145" i="13"/>
  <c r="AM145" i="13"/>
  <c r="AH145" i="13"/>
  <c r="S145" i="13"/>
  <c r="AB145" i="13" s="1"/>
  <c r="I145" i="13"/>
  <c r="AZ145" i="13" s="1"/>
  <c r="I25" i="13"/>
  <c r="AZ25" i="13" s="1"/>
  <c r="I26" i="13"/>
  <c r="AZ26" i="13"/>
  <c r="S25" i="13"/>
  <c r="AB25" i="13" s="1"/>
  <c r="AH25" i="13"/>
  <c r="AM25" i="13"/>
  <c r="AN25" i="13"/>
  <c r="AO25" i="13"/>
  <c r="AS25" i="13"/>
  <c r="AT25" i="13"/>
  <c r="AV25" i="13"/>
  <c r="AW25" i="13"/>
  <c r="AX25" i="13"/>
  <c r="AY25" i="13"/>
  <c r="S26" i="13"/>
  <c r="AB26" i="13" s="1"/>
  <c r="AH26" i="13"/>
  <c r="AM26" i="13"/>
  <c r="AN26" i="13"/>
  <c r="AO26" i="13"/>
  <c r="AS26" i="13"/>
  <c r="AT26" i="13"/>
  <c r="AV26" i="13"/>
  <c r="AW26" i="13"/>
  <c r="AX26" i="13"/>
  <c r="AY26" i="13"/>
  <c r="I27" i="13"/>
  <c r="AZ27" i="13"/>
  <c r="S27" i="13"/>
  <c r="AB27" i="13" s="1"/>
  <c r="AH27" i="13"/>
  <c r="AM27" i="13"/>
  <c r="AN27" i="13"/>
  <c r="AO27" i="13"/>
  <c r="AS27" i="13"/>
  <c r="AT27" i="13"/>
  <c r="AV27" i="13"/>
  <c r="AW27" i="13"/>
  <c r="AX27" i="13"/>
  <c r="AY27" i="13"/>
  <c r="I28" i="13"/>
  <c r="AZ28" i="13"/>
  <c r="S28" i="13"/>
  <c r="AB28" i="13" s="1"/>
  <c r="AH28" i="13"/>
  <c r="AM28" i="13"/>
  <c r="AN28" i="13"/>
  <c r="AO28" i="13"/>
  <c r="AS28" i="13"/>
  <c r="AT28" i="13"/>
  <c r="AV28" i="13"/>
  <c r="AW28" i="13"/>
  <c r="AX28" i="13"/>
  <c r="AY28" i="13"/>
  <c r="I29" i="13"/>
  <c r="AZ29" i="13" s="1"/>
  <c r="S29" i="13"/>
  <c r="AB29" i="13" s="1"/>
  <c r="AH29" i="13"/>
  <c r="AM29" i="13"/>
  <c r="AN29" i="13"/>
  <c r="AO29" i="13"/>
  <c r="AS29" i="13"/>
  <c r="AT29" i="13"/>
  <c r="AV29" i="13"/>
  <c r="AW29" i="13"/>
  <c r="AX29" i="13"/>
  <c r="AY29" i="13"/>
  <c r="I30" i="13"/>
  <c r="AZ30" i="13"/>
  <c r="S30" i="13"/>
  <c r="AB30" i="13" s="1"/>
  <c r="AH30" i="13"/>
  <c r="AM30" i="13"/>
  <c r="AN30" i="13"/>
  <c r="AO30" i="13"/>
  <c r="AS30" i="13"/>
  <c r="AT30" i="13"/>
  <c r="AV30" i="13"/>
  <c r="AW30" i="13"/>
  <c r="AX30" i="13"/>
  <c r="AY30" i="13"/>
  <c r="I31" i="13"/>
  <c r="AZ31" i="13" s="1"/>
  <c r="S31" i="13"/>
  <c r="AB31" i="13" s="1"/>
  <c r="AH31" i="13"/>
  <c r="AM31" i="13"/>
  <c r="AN31" i="13"/>
  <c r="AO31" i="13"/>
  <c r="AS31" i="13"/>
  <c r="AT31" i="13"/>
  <c r="AV31" i="13"/>
  <c r="AW31" i="13"/>
  <c r="AX31" i="13"/>
  <c r="AY31" i="13"/>
  <c r="I32" i="13"/>
  <c r="AZ32" i="13" s="1"/>
  <c r="S32" i="13"/>
  <c r="AB32" i="13" s="1"/>
  <c r="AH32" i="13"/>
  <c r="AM32" i="13"/>
  <c r="AN32" i="13"/>
  <c r="AO32" i="13"/>
  <c r="AS32" i="13"/>
  <c r="AT32" i="13"/>
  <c r="AV32" i="13"/>
  <c r="AW32" i="13"/>
  <c r="AX32" i="13"/>
  <c r="AY32" i="13"/>
  <c r="I33" i="13"/>
  <c r="AZ33" i="13" s="1"/>
  <c r="S33" i="13"/>
  <c r="AB33" i="13" s="1"/>
  <c r="AH33" i="13"/>
  <c r="AM33" i="13"/>
  <c r="AN33" i="13"/>
  <c r="AO33" i="13"/>
  <c r="AS33" i="13"/>
  <c r="AT33" i="13"/>
  <c r="AV33" i="13"/>
  <c r="AW33" i="13"/>
  <c r="AX33" i="13"/>
  <c r="AY33" i="13"/>
  <c r="I34" i="13"/>
  <c r="AZ34" i="13" s="1"/>
  <c r="S34" i="13"/>
  <c r="AB34" i="13" s="1"/>
  <c r="AH34" i="13"/>
  <c r="AM34" i="13"/>
  <c r="AN34" i="13"/>
  <c r="AO34" i="13"/>
  <c r="AS34" i="13"/>
  <c r="AT34" i="13"/>
  <c r="AV34" i="13"/>
  <c r="AW34" i="13"/>
  <c r="AX34" i="13"/>
  <c r="AY34" i="13"/>
  <c r="I35" i="13"/>
  <c r="AZ35" i="13" s="1"/>
  <c r="S35" i="13"/>
  <c r="AB35" i="13" s="1"/>
  <c r="AH35" i="13"/>
  <c r="AM35" i="13"/>
  <c r="AN35" i="13"/>
  <c r="AO35" i="13"/>
  <c r="AS35" i="13"/>
  <c r="AT35" i="13"/>
  <c r="AV35" i="13"/>
  <c r="AW35" i="13"/>
  <c r="AX35" i="13"/>
  <c r="AY35" i="13"/>
  <c r="AT23" i="13"/>
  <c r="AT24" i="13"/>
  <c r="AT53" i="13"/>
  <c r="AT54" i="13"/>
  <c r="AT55" i="13"/>
  <c r="AT56" i="13"/>
  <c r="AT57" i="13"/>
  <c r="AT58" i="13"/>
  <c r="AT59" i="13"/>
  <c r="AT60" i="13"/>
  <c r="AT61" i="13"/>
  <c r="AT62" i="13"/>
  <c r="AT63" i="13"/>
  <c r="AT64" i="13"/>
  <c r="AT65" i="13"/>
  <c r="AT66" i="13"/>
  <c r="AT67" i="13"/>
  <c r="AT68" i="13"/>
  <c r="AT69" i="13"/>
  <c r="AT70" i="13"/>
  <c r="AT71" i="13"/>
  <c r="AT900" i="13"/>
  <c r="AT901" i="13"/>
  <c r="AT902" i="13"/>
  <c r="AT903" i="13"/>
  <c r="AT904" i="13"/>
  <c r="AT905" i="13"/>
  <c r="AT906" i="13"/>
  <c r="AT907" i="13"/>
  <c r="AT908" i="13"/>
  <c r="AT909" i="13"/>
  <c r="AT910" i="13"/>
  <c r="AT911" i="13"/>
  <c r="AT912" i="13"/>
  <c r="AT913" i="13"/>
  <c r="AT914" i="13"/>
  <c r="AT915" i="13"/>
  <c r="AT916" i="13"/>
  <c r="AT917" i="13"/>
  <c r="AT918" i="13"/>
  <c r="AI3" i="13"/>
  <c r="AH3" i="13"/>
  <c r="AF3" i="13"/>
  <c r="U245" i="2"/>
  <c r="U40" i="2"/>
  <c r="S12" i="13"/>
  <c r="AB12" i="13" s="1"/>
  <c r="S13" i="13"/>
  <c r="AB13" i="13" s="1"/>
  <c r="S14" i="13"/>
  <c r="AB14" i="13" s="1"/>
  <c r="S15" i="13"/>
  <c r="AB15" i="13" s="1"/>
  <c r="S16" i="13"/>
  <c r="AB16" i="13" s="1"/>
  <c r="S17" i="13"/>
  <c r="AB17" i="13" s="1"/>
  <c r="S18" i="13"/>
  <c r="AB18" i="13" s="1"/>
  <c r="S19" i="13"/>
  <c r="AB19" i="13" s="1"/>
  <c r="S20" i="13"/>
  <c r="AB20" i="13" s="1"/>
  <c r="S21" i="13"/>
  <c r="AB21" i="13" s="1"/>
  <c r="S22" i="13"/>
  <c r="AB22" i="13" s="1"/>
  <c r="S23" i="13"/>
  <c r="AB23" i="13" s="1"/>
  <c r="S24" i="13"/>
  <c r="AB24" i="13" s="1"/>
  <c r="S53" i="13"/>
  <c r="AB53" i="13" s="1"/>
  <c r="S54" i="13"/>
  <c r="AB54" i="13" s="1"/>
  <c r="S55" i="13"/>
  <c r="AB55" i="13" s="1"/>
  <c r="S56" i="13"/>
  <c r="AB56" i="13" s="1"/>
  <c r="S57" i="13"/>
  <c r="AB57" i="13" s="1"/>
  <c r="S58" i="13"/>
  <c r="AB58" i="13" s="1"/>
  <c r="S59" i="13"/>
  <c r="AB59" i="13" s="1"/>
  <c r="S60" i="13"/>
  <c r="AB60" i="13" s="1"/>
  <c r="S61" i="13"/>
  <c r="AB61" i="13" s="1"/>
  <c r="S62" i="13"/>
  <c r="AB62" i="13" s="1"/>
  <c r="S63" i="13"/>
  <c r="AB63" i="13" s="1"/>
  <c r="S64" i="13"/>
  <c r="AB64" i="13" s="1"/>
  <c r="S65" i="13"/>
  <c r="AB65" i="13" s="1"/>
  <c r="S66" i="13"/>
  <c r="AB66" i="13" s="1"/>
  <c r="S67" i="13"/>
  <c r="AB67" i="13" s="1"/>
  <c r="S68" i="13"/>
  <c r="AB68" i="13" s="1"/>
  <c r="S69" i="13"/>
  <c r="AB69" i="13" s="1"/>
  <c r="S70" i="13"/>
  <c r="AB70" i="13" s="1"/>
  <c r="S71" i="13"/>
  <c r="AB71" i="13" s="1"/>
  <c r="S72" i="13"/>
  <c r="AB72" i="13" s="1"/>
  <c r="S73" i="13"/>
  <c r="AB73" i="13" s="1"/>
  <c r="S74" i="13"/>
  <c r="AB74" i="13" s="1"/>
  <c r="S75" i="13"/>
  <c r="AB75" i="13" s="1"/>
  <c r="S76" i="13"/>
  <c r="AB76" i="13" s="1"/>
  <c r="S77" i="13"/>
  <c r="AB77" i="13" s="1"/>
  <c r="S78" i="13"/>
  <c r="AB78" i="13" s="1"/>
  <c r="S79" i="13"/>
  <c r="AB79" i="13" s="1"/>
  <c r="S80" i="13"/>
  <c r="AB80" i="13" s="1"/>
  <c r="S81" i="13"/>
  <c r="AB81" i="13" s="1"/>
  <c r="S82" i="13"/>
  <c r="AB82" i="13" s="1"/>
  <c r="S83" i="13"/>
  <c r="AB83" i="13" s="1"/>
  <c r="S84" i="13"/>
  <c r="AB84" i="13" s="1"/>
  <c r="S99" i="13"/>
  <c r="AB99" i="13" s="1"/>
  <c r="S100" i="13"/>
  <c r="AB100" i="13" s="1"/>
  <c r="S101" i="13"/>
  <c r="AB101" i="13" s="1"/>
  <c r="S102" i="13"/>
  <c r="AB102" i="13" s="1"/>
  <c r="S103" i="13"/>
  <c r="AB103" i="13" s="1"/>
  <c r="S104" i="13"/>
  <c r="AB104" i="13" s="1"/>
  <c r="S105" i="13"/>
  <c r="AB105" i="13" s="1"/>
  <c r="S106" i="13"/>
  <c r="AB106" i="13" s="1"/>
  <c r="S107" i="13"/>
  <c r="AB107" i="13" s="1"/>
  <c r="S108" i="13"/>
  <c r="AB108" i="13" s="1"/>
  <c r="S109" i="13"/>
  <c r="AB109" i="13" s="1"/>
  <c r="S110" i="13"/>
  <c r="AB110" i="13" s="1"/>
  <c r="S111" i="13"/>
  <c r="AB111" i="13" s="1"/>
  <c r="S112" i="13"/>
  <c r="AB112" i="13" s="1"/>
  <c r="S113" i="13"/>
  <c r="AB113" i="13" s="1"/>
  <c r="S114" i="13"/>
  <c r="AB114" i="13" s="1"/>
  <c r="S115" i="13"/>
  <c r="AB115" i="13" s="1"/>
  <c r="S116" i="13"/>
  <c r="AB116" i="13" s="1"/>
  <c r="S117" i="13"/>
  <c r="AB117" i="13" s="1"/>
  <c r="S118" i="13"/>
  <c r="AB118" i="13" s="1"/>
  <c r="S119" i="13"/>
  <c r="AB119" i="13" s="1"/>
  <c r="S120" i="13"/>
  <c r="AB120" i="13" s="1"/>
  <c r="S121" i="13"/>
  <c r="AB121" i="13" s="1"/>
  <c r="S122" i="13"/>
  <c r="AB122" i="13" s="1"/>
  <c r="S123" i="13"/>
  <c r="AB123" i="13" s="1"/>
  <c r="S124" i="13"/>
  <c r="AB124" i="13" s="1"/>
  <c r="S125" i="13"/>
  <c r="AB125" i="13" s="1"/>
  <c r="S126" i="13"/>
  <c r="AB126" i="13" s="1"/>
  <c r="S127" i="13"/>
  <c r="AB127" i="13" s="1"/>
  <c r="S128" i="13"/>
  <c r="AB128" i="13" s="1"/>
  <c r="S129" i="13"/>
  <c r="AB129" i="13" s="1"/>
  <c r="S130" i="13"/>
  <c r="AB130" i="13" s="1"/>
  <c r="N6" i="14"/>
  <c r="L6" i="14"/>
  <c r="K6" i="14"/>
  <c r="J6" i="14"/>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4" i="2"/>
  <c r="U285" i="2"/>
  <c r="U286" i="2"/>
  <c r="U287" i="2"/>
  <c r="U288" i="2"/>
  <c r="U289" i="2"/>
  <c r="U290" i="2"/>
  <c r="U291" i="2"/>
  <c r="U292" i="2"/>
  <c r="U293" i="2"/>
  <c r="U294" i="2"/>
  <c r="U295" i="2"/>
  <c r="U296" i="2"/>
  <c r="U297" i="2"/>
  <c r="U298" i="2"/>
  <c r="U299" i="2"/>
  <c r="U300" i="2"/>
  <c r="U301" i="2"/>
  <c r="U302" i="2"/>
  <c r="U303" i="2"/>
  <c r="U304" i="2"/>
  <c r="U4" i="2"/>
  <c r="F6" i="14"/>
  <c r="J35" i="14"/>
  <c r="P35" i="14"/>
  <c r="Q35" i="14"/>
  <c r="T35" i="14"/>
  <c r="U35" i="14" s="1"/>
  <c r="Z35" i="14"/>
  <c r="Y35" i="14" s="1"/>
  <c r="W35" i="14" s="1"/>
  <c r="AA35" i="14"/>
  <c r="AB35" i="14"/>
  <c r="AC35" i="14"/>
  <c r="AE35" i="14"/>
  <c r="AD35" i="14" s="1"/>
  <c r="AF35" i="14"/>
  <c r="AG35" i="14"/>
  <c r="AH35" i="14"/>
  <c r="J36" i="14"/>
  <c r="P36" i="14"/>
  <c r="Q36" i="14"/>
  <c r="T36" i="14"/>
  <c r="U36" i="14" s="1"/>
  <c r="Z36" i="14"/>
  <c r="Y36" i="14" s="1"/>
  <c r="W36" i="14" s="1"/>
  <c r="AA36" i="14"/>
  <c r="AB36" i="14"/>
  <c r="AC36" i="14"/>
  <c r="AE36" i="14"/>
  <c r="AD36" i="14" s="1"/>
  <c r="AF36" i="14"/>
  <c r="AG36" i="14"/>
  <c r="AH36" i="14"/>
  <c r="J37" i="14"/>
  <c r="P37" i="14"/>
  <c r="Q37" i="14"/>
  <c r="T37" i="14"/>
  <c r="U37" i="14" s="1"/>
  <c r="Z37" i="14"/>
  <c r="Y37" i="14" s="1"/>
  <c r="W37" i="14" s="1"/>
  <c r="AA37" i="14"/>
  <c r="AB37" i="14"/>
  <c r="AC37" i="14"/>
  <c r="AE37" i="14"/>
  <c r="AD37" i="14" s="1"/>
  <c r="AF37" i="14"/>
  <c r="AG37" i="14"/>
  <c r="AH37" i="14"/>
  <c r="J38" i="14"/>
  <c r="P38" i="14"/>
  <c r="Q38" i="14"/>
  <c r="T38" i="14"/>
  <c r="U38" i="14" s="1"/>
  <c r="Z38" i="14"/>
  <c r="Y38" i="14" s="1"/>
  <c r="W38" i="14" s="1"/>
  <c r="AA38" i="14"/>
  <c r="AB38" i="14"/>
  <c r="AC38" i="14"/>
  <c r="AE38" i="14"/>
  <c r="AD38" i="14" s="1"/>
  <c r="AF38" i="14"/>
  <c r="AG38" i="14"/>
  <c r="AH38" i="14"/>
  <c r="J39" i="14"/>
  <c r="P39" i="14"/>
  <c r="Q39" i="14"/>
  <c r="T39" i="14"/>
  <c r="U39" i="14" s="1"/>
  <c r="Z39" i="14"/>
  <c r="Y39" i="14" s="1"/>
  <c r="W39" i="14" s="1"/>
  <c r="AA39" i="14"/>
  <c r="AB39" i="14"/>
  <c r="AC39" i="14"/>
  <c r="AE39" i="14"/>
  <c r="AD39" i="14" s="1"/>
  <c r="AF39" i="14"/>
  <c r="AG39" i="14"/>
  <c r="AH39" i="14"/>
  <c r="J40" i="14"/>
  <c r="P40" i="14"/>
  <c r="Q40" i="14"/>
  <c r="T40" i="14"/>
  <c r="U40" i="14" s="1"/>
  <c r="Z40" i="14"/>
  <c r="Y40" i="14" s="1"/>
  <c r="W40" i="14" s="1"/>
  <c r="AA40" i="14"/>
  <c r="AB40" i="14"/>
  <c r="AC40" i="14"/>
  <c r="AE40" i="14"/>
  <c r="AD40" i="14" s="1"/>
  <c r="AF40" i="14"/>
  <c r="AG40" i="14"/>
  <c r="AH40" i="14"/>
  <c r="J41" i="14"/>
  <c r="P41" i="14"/>
  <c r="Q41" i="14"/>
  <c r="T41" i="14"/>
  <c r="U41" i="14" s="1"/>
  <c r="Z41" i="14"/>
  <c r="Y41" i="14" s="1"/>
  <c r="W41" i="14" s="1"/>
  <c r="AA41" i="14"/>
  <c r="AB41" i="14"/>
  <c r="AC41" i="14"/>
  <c r="AE41" i="14"/>
  <c r="AD41" i="14" s="1"/>
  <c r="AF41" i="14"/>
  <c r="AG41" i="14"/>
  <c r="AH41" i="14"/>
  <c r="J42" i="14"/>
  <c r="P42" i="14"/>
  <c r="Q42" i="14"/>
  <c r="T42" i="14"/>
  <c r="U42" i="14" s="1"/>
  <c r="Z42" i="14"/>
  <c r="Y42" i="14" s="1"/>
  <c r="W42" i="14" s="1"/>
  <c r="AA42" i="14"/>
  <c r="AB42" i="14"/>
  <c r="AC42" i="14"/>
  <c r="AE42" i="14"/>
  <c r="AD42" i="14" s="1"/>
  <c r="AF42" i="14"/>
  <c r="AG42" i="14"/>
  <c r="AH42" i="14"/>
  <c r="J43" i="14"/>
  <c r="P43" i="14"/>
  <c r="Q43" i="14"/>
  <c r="T43" i="14"/>
  <c r="U43" i="14" s="1"/>
  <c r="Z43" i="14"/>
  <c r="Y43" i="14" s="1"/>
  <c r="W43" i="14" s="1"/>
  <c r="AA43" i="14"/>
  <c r="AB43" i="14"/>
  <c r="AC43" i="14"/>
  <c r="AE43" i="14"/>
  <c r="AD43" i="14" s="1"/>
  <c r="AF43" i="14"/>
  <c r="AG43" i="14"/>
  <c r="AH43" i="14"/>
  <c r="J44" i="14"/>
  <c r="P44" i="14"/>
  <c r="Q44" i="14"/>
  <c r="T44" i="14"/>
  <c r="U44" i="14" s="1"/>
  <c r="Z44" i="14"/>
  <c r="Y44" i="14" s="1"/>
  <c r="W44" i="14" s="1"/>
  <c r="AA44" i="14"/>
  <c r="AB44" i="14"/>
  <c r="AC44" i="14"/>
  <c r="AE44" i="14"/>
  <c r="AD44" i="14" s="1"/>
  <c r="AF44" i="14"/>
  <c r="AG44" i="14"/>
  <c r="AH44" i="14"/>
  <c r="J45" i="14"/>
  <c r="P45" i="14"/>
  <c r="Q45" i="14"/>
  <c r="T45" i="14"/>
  <c r="U45" i="14" s="1"/>
  <c r="Z45" i="14"/>
  <c r="Y45" i="14" s="1"/>
  <c r="W45" i="14" s="1"/>
  <c r="AA45" i="14"/>
  <c r="AB45" i="14"/>
  <c r="AC45" i="14"/>
  <c r="AE45" i="14"/>
  <c r="AD45" i="14" s="1"/>
  <c r="AF45" i="14"/>
  <c r="AG45" i="14"/>
  <c r="AH45" i="14"/>
  <c r="J46" i="14"/>
  <c r="P46" i="14"/>
  <c r="Q46" i="14"/>
  <c r="T46" i="14"/>
  <c r="U46" i="14" s="1"/>
  <c r="Z46" i="14"/>
  <c r="Y46" i="14" s="1"/>
  <c r="W46" i="14" s="1"/>
  <c r="AA46" i="14"/>
  <c r="AB46" i="14"/>
  <c r="AC46" i="14"/>
  <c r="AE46" i="14"/>
  <c r="AD46" i="14" s="1"/>
  <c r="AF46" i="14"/>
  <c r="AG46" i="14"/>
  <c r="AH46" i="14"/>
  <c r="J47" i="14"/>
  <c r="P47" i="14"/>
  <c r="Q47" i="14"/>
  <c r="T47" i="14"/>
  <c r="U47" i="14" s="1"/>
  <c r="Z47" i="14"/>
  <c r="Y47" i="14" s="1"/>
  <c r="W47" i="14" s="1"/>
  <c r="AA47" i="14"/>
  <c r="AB47" i="14"/>
  <c r="AC47" i="14"/>
  <c r="AE47" i="14"/>
  <c r="AD47" i="14" s="1"/>
  <c r="AF47" i="14"/>
  <c r="AG47" i="14"/>
  <c r="AH47" i="14"/>
  <c r="J48" i="14"/>
  <c r="P48" i="14"/>
  <c r="Q48" i="14"/>
  <c r="T48" i="14"/>
  <c r="U48" i="14" s="1"/>
  <c r="Z48" i="14"/>
  <c r="Y48" i="14" s="1"/>
  <c r="W48" i="14" s="1"/>
  <c r="AA48" i="14"/>
  <c r="AB48" i="14"/>
  <c r="AC48" i="14"/>
  <c r="AE48" i="14"/>
  <c r="AD48" i="14" s="1"/>
  <c r="AF48" i="14"/>
  <c r="AG48" i="14"/>
  <c r="AH48" i="14"/>
  <c r="J49" i="14"/>
  <c r="P49" i="14"/>
  <c r="Q49" i="14"/>
  <c r="T49" i="14"/>
  <c r="U49" i="14" s="1"/>
  <c r="Z49" i="14"/>
  <c r="Y49" i="14" s="1"/>
  <c r="W49" i="14" s="1"/>
  <c r="AA49" i="14"/>
  <c r="AB49" i="14"/>
  <c r="AC49" i="14"/>
  <c r="AE49" i="14"/>
  <c r="AD49" i="14" s="1"/>
  <c r="AF49" i="14"/>
  <c r="AG49" i="14"/>
  <c r="AH49" i="14"/>
  <c r="J50" i="14"/>
  <c r="P50" i="14"/>
  <c r="Q50" i="14"/>
  <c r="T50" i="14"/>
  <c r="U50" i="14" s="1"/>
  <c r="Z50" i="14"/>
  <c r="Y50" i="14" s="1"/>
  <c r="W50" i="14" s="1"/>
  <c r="AA50" i="14"/>
  <c r="AB50" i="14"/>
  <c r="AC50" i="14"/>
  <c r="AE50" i="14"/>
  <c r="AD50" i="14" s="1"/>
  <c r="AF50" i="14"/>
  <c r="AG50" i="14"/>
  <c r="AH50" i="14"/>
  <c r="J51" i="14"/>
  <c r="P51" i="14"/>
  <c r="Q51" i="14"/>
  <c r="T51" i="14"/>
  <c r="U51" i="14" s="1"/>
  <c r="Z51" i="14"/>
  <c r="Y51" i="14" s="1"/>
  <c r="W51" i="14" s="1"/>
  <c r="AA51" i="14"/>
  <c r="AB51" i="14"/>
  <c r="AC51" i="14"/>
  <c r="AE51" i="14"/>
  <c r="AD51" i="14" s="1"/>
  <c r="AF51" i="14"/>
  <c r="AG51" i="14"/>
  <c r="AH51" i="14"/>
  <c r="J52" i="14"/>
  <c r="P52" i="14"/>
  <c r="Q52" i="14"/>
  <c r="T52" i="14"/>
  <c r="U52" i="14" s="1"/>
  <c r="Z52" i="14"/>
  <c r="Y52" i="14" s="1"/>
  <c r="W52" i="14" s="1"/>
  <c r="AA52" i="14"/>
  <c r="AB52" i="14"/>
  <c r="AC52" i="14"/>
  <c r="AE52" i="14"/>
  <c r="AD52" i="14" s="1"/>
  <c r="AF52" i="14"/>
  <c r="AG52" i="14"/>
  <c r="AH52" i="14"/>
  <c r="J53" i="14"/>
  <c r="P53" i="14"/>
  <c r="Q53" i="14"/>
  <c r="T53" i="14"/>
  <c r="U53" i="14" s="1"/>
  <c r="Z53" i="14"/>
  <c r="Y53" i="14" s="1"/>
  <c r="W53" i="14" s="1"/>
  <c r="AA53" i="14"/>
  <c r="AB53" i="14"/>
  <c r="AC53" i="14"/>
  <c r="AE53" i="14"/>
  <c r="AD53" i="14" s="1"/>
  <c r="AF53" i="14"/>
  <c r="AG53" i="14"/>
  <c r="AH53" i="14"/>
  <c r="J54" i="14"/>
  <c r="P54" i="14"/>
  <c r="Q54" i="14"/>
  <c r="T54" i="14"/>
  <c r="U54" i="14" s="1"/>
  <c r="Z54" i="14"/>
  <c r="Y54" i="14" s="1"/>
  <c r="W54" i="14" s="1"/>
  <c r="AA54" i="14"/>
  <c r="AB54" i="14"/>
  <c r="AC54" i="14"/>
  <c r="AE54" i="14"/>
  <c r="AD54" i="14" s="1"/>
  <c r="AF54" i="14"/>
  <c r="AG54" i="14"/>
  <c r="AH54" i="14"/>
  <c r="J55" i="14"/>
  <c r="P55" i="14"/>
  <c r="Q55" i="14"/>
  <c r="T55" i="14"/>
  <c r="U55" i="14" s="1"/>
  <c r="Z55" i="14"/>
  <c r="Y55" i="14" s="1"/>
  <c r="W55" i="14" s="1"/>
  <c r="AA55" i="14"/>
  <c r="AB55" i="14"/>
  <c r="AC55" i="14"/>
  <c r="AE55" i="14"/>
  <c r="AD55" i="14" s="1"/>
  <c r="AF55" i="14"/>
  <c r="AG55" i="14"/>
  <c r="AH55" i="14"/>
  <c r="J56" i="14"/>
  <c r="P56" i="14"/>
  <c r="Q56" i="14"/>
  <c r="T56" i="14"/>
  <c r="U56" i="14" s="1"/>
  <c r="Z56" i="14"/>
  <c r="Y56" i="14" s="1"/>
  <c r="W56" i="14" s="1"/>
  <c r="AA56" i="14"/>
  <c r="AB56" i="14"/>
  <c r="AC56" i="14"/>
  <c r="AE56" i="14"/>
  <c r="AD56" i="14" s="1"/>
  <c r="AF56" i="14"/>
  <c r="AG56" i="14"/>
  <c r="AH56" i="14"/>
  <c r="J57" i="14"/>
  <c r="P57" i="14"/>
  <c r="Q57" i="14"/>
  <c r="T57" i="14"/>
  <c r="U57" i="14" s="1"/>
  <c r="Z57" i="14"/>
  <c r="Y57" i="14" s="1"/>
  <c r="W57" i="14" s="1"/>
  <c r="AA57" i="14"/>
  <c r="AB57" i="14"/>
  <c r="AC57" i="14"/>
  <c r="AE57" i="14"/>
  <c r="AD57" i="14" s="1"/>
  <c r="AF57" i="14"/>
  <c r="AG57" i="14"/>
  <c r="AH57" i="14"/>
  <c r="J58" i="14"/>
  <c r="P58" i="14"/>
  <c r="Q58" i="14"/>
  <c r="T58" i="14"/>
  <c r="U58" i="14" s="1"/>
  <c r="Z58" i="14"/>
  <c r="Y58" i="14" s="1"/>
  <c r="W58" i="14" s="1"/>
  <c r="AA58" i="14"/>
  <c r="AB58" i="14"/>
  <c r="AC58" i="14"/>
  <c r="AE58" i="14"/>
  <c r="AD58" i="14" s="1"/>
  <c r="AF58" i="14"/>
  <c r="AG58" i="14"/>
  <c r="AH58" i="14"/>
  <c r="J59" i="14"/>
  <c r="P59" i="14"/>
  <c r="Q59" i="14"/>
  <c r="T59" i="14"/>
  <c r="U59" i="14" s="1"/>
  <c r="Z59" i="14"/>
  <c r="Y59" i="14" s="1"/>
  <c r="W59" i="14" s="1"/>
  <c r="AA59" i="14"/>
  <c r="AB59" i="14"/>
  <c r="AC59" i="14"/>
  <c r="AE59" i="14"/>
  <c r="AD59" i="14" s="1"/>
  <c r="AF59" i="14"/>
  <c r="AG59" i="14"/>
  <c r="AH59" i="14"/>
  <c r="J60" i="14"/>
  <c r="P60" i="14"/>
  <c r="Q60" i="14"/>
  <c r="T60" i="14"/>
  <c r="U60" i="14" s="1"/>
  <c r="Z60" i="14"/>
  <c r="Y60" i="14" s="1"/>
  <c r="W60" i="14" s="1"/>
  <c r="AA60" i="14"/>
  <c r="AB60" i="14"/>
  <c r="AC60" i="14"/>
  <c r="AE60" i="14"/>
  <c r="AD60" i="14" s="1"/>
  <c r="AF60" i="14"/>
  <c r="AG60" i="14"/>
  <c r="AH60" i="14"/>
  <c r="J61" i="14"/>
  <c r="P61" i="14"/>
  <c r="Q61" i="14"/>
  <c r="T61" i="14"/>
  <c r="U61" i="14" s="1"/>
  <c r="Z61" i="14"/>
  <c r="Y61" i="14" s="1"/>
  <c r="W61" i="14" s="1"/>
  <c r="AA61" i="14"/>
  <c r="AB61" i="14"/>
  <c r="AC61" i="14"/>
  <c r="AE61" i="14"/>
  <c r="AD61" i="14" s="1"/>
  <c r="AF61" i="14"/>
  <c r="AG61" i="14"/>
  <c r="AH61" i="14"/>
  <c r="J62" i="14"/>
  <c r="P62" i="14"/>
  <c r="Q62" i="14"/>
  <c r="T62" i="14"/>
  <c r="U62" i="14" s="1"/>
  <c r="Z62" i="14"/>
  <c r="Y62" i="14" s="1"/>
  <c r="W62" i="14" s="1"/>
  <c r="AA62" i="14"/>
  <c r="AB62" i="14"/>
  <c r="AC62" i="14"/>
  <c r="AE62" i="14"/>
  <c r="AD62" i="14" s="1"/>
  <c r="AF62" i="14"/>
  <c r="AG62" i="14"/>
  <c r="AH62" i="14"/>
  <c r="J63" i="14"/>
  <c r="P63" i="14"/>
  <c r="Q63" i="14"/>
  <c r="T63" i="14"/>
  <c r="U63" i="14" s="1"/>
  <c r="Z63" i="14"/>
  <c r="Y63" i="14" s="1"/>
  <c r="W63" i="14" s="1"/>
  <c r="AA63" i="14"/>
  <c r="AB63" i="14"/>
  <c r="AC63" i="14"/>
  <c r="AE63" i="14"/>
  <c r="AD63" i="14" s="1"/>
  <c r="AF63" i="14"/>
  <c r="AG63" i="14"/>
  <c r="AH63" i="14"/>
  <c r="J64" i="14"/>
  <c r="P64" i="14"/>
  <c r="Q64" i="14"/>
  <c r="T64" i="14"/>
  <c r="U64" i="14" s="1"/>
  <c r="Z64" i="14"/>
  <c r="Y64" i="14" s="1"/>
  <c r="W64" i="14" s="1"/>
  <c r="AA64" i="14"/>
  <c r="AB64" i="14"/>
  <c r="AC64" i="14"/>
  <c r="AE64" i="14"/>
  <c r="AD64" i="14" s="1"/>
  <c r="AF64" i="14"/>
  <c r="AG64" i="14"/>
  <c r="AH64" i="14"/>
  <c r="J65" i="14"/>
  <c r="P65" i="14"/>
  <c r="Q65" i="14"/>
  <c r="T65" i="14"/>
  <c r="U65" i="14" s="1"/>
  <c r="Z65" i="14"/>
  <c r="Y65" i="14" s="1"/>
  <c r="W65" i="14" s="1"/>
  <c r="AA65" i="14"/>
  <c r="AB65" i="14"/>
  <c r="AC65" i="14"/>
  <c r="AE65" i="14"/>
  <c r="AD65" i="14" s="1"/>
  <c r="AF65" i="14"/>
  <c r="AG65" i="14"/>
  <c r="AH65" i="14"/>
  <c r="J66" i="14"/>
  <c r="P66" i="14"/>
  <c r="Q66" i="14"/>
  <c r="T66" i="14"/>
  <c r="U66" i="14" s="1"/>
  <c r="Z66" i="14"/>
  <c r="Y66" i="14" s="1"/>
  <c r="W66" i="14" s="1"/>
  <c r="AA66" i="14"/>
  <c r="AB66" i="14"/>
  <c r="AC66" i="14"/>
  <c r="AE66" i="14"/>
  <c r="AD66" i="14" s="1"/>
  <c r="AF66" i="14"/>
  <c r="AG66" i="14"/>
  <c r="AH66" i="14"/>
  <c r="J67" i="14"/>
  <c r="P67" i="14"/>
  <c r="Q67" i="14"/>
  <c r="T67" i="14"/>
  <c r="U67" i="14" s="1"/>
  <c r="Z67" i="14"/>
  <c r="Y67" i="14" s="1"/>
  <c r="W67" i="14" s="1"/>
  <c r="AA67" i="14"/>
  <c r="AB67" i="14"/>
  <c r="AC67" i="14"/>
  <c r="AE67" i="14"/>
  <c r="AD67" i="14" s="1"/>
  <c r="AF67" i="14"/>
  <c r="AG67" i="14"/>
  <c r="AH67" i="14"/>
  <c r="J68" i="14"/>
  <c r="P68" i="14"/>
  <c r="Q68" i="14"/>
  <c r="T68" i="14"/>
  <c r="U68" i="14" s="1"/>
  <c r="Z68" i="14"/>
  <c r="Y68" i="14" s="1"/>
  <c r="W68" i="14" s="1"/>
  <c r="AA68" i="14"/>
  <c r="AB68" i="14"/>
  <c r="AC68" i="14"/>
  <c r="AE68" i="14"/>
  <c r="AD68" i="14" s="1"/>
  <c r="AF68" i="14"/>
  <c r="AG68" i="14"/>
  <c r="AH68" i="14"/>
  <c r="J69" i="14"/>
  <c r="P69" i="14"/>
  <c r="Q69" i="14"/>
  <c r="T69" i="14"/>
  <c r="U69" i="14" s="1"/>
  <c r="Z69" i="14"/>
  <c r="Y69" i="14" s="1"/>
  <c r="W69" i="14" s="1"/>
  <c r="AA69" i="14"/>
  <c r="AB69" i="14"/>
  <c r="AC69" i="14"/>
  <c r="AE69" i="14"/>
  <c r="AD69" i="14" s="1"/>
  <c r="AF69" i="14"/>
  <c r="AG69" i="14"/>
  <c r="AH69" i="14"/>
  <c r="J70" i="14"/>
  <c r="P70" i="14"/>
  <c r="Q70" i="14"/>
  <c r="T70" i="14"/>
  <c r="U70" i="14" s="1"/>
  <c r="Z70" i="14"/>
  <c r="Y70" i="14" s="1"/>
  <c r="W70" i="14" s="1"/>
  <c r="AA70" i="14"/>
  <c r="AB70" i="14"/>
  <c r="AC70" i="14"/>
  <c r="AE70" i="14"/>
  <c r="AD70" i="14" s="1"/>
  <c r="AF70" i="14"/>
  <c r="AG70" i="14"/>
  <c r="AH70" i="14"/>
  <c r="J71" i="14"/>
  <c r="P71" i="14"/>
  <c r="Q71" i="14"/>
  <c r="T71" i="14"/>
  <c r="U71" i="14" s="1"/>
  <c r="Z71" i="14"/>
  <c r="Y71" i="14" s="1"/>
  <c r="W71" i="14" s="1"/>
  <c r="AA71" i="14"/>
  <c r="AB71" i="14"/>
  <c r="AC71" i="14"/>
  <c r="AE71" i="14"/>
  <c r="AD71" i="14" s="1"/>
  <c r="AF71" i="14"/>
  <c r="AG71" i="14"/>
  <c r="AH71" i="14"/>
  <c r="J72" i="14"/>
  <c r="P72" i="14"/>
  <c r="Q72" i="14"/>
  <c r="T72" i="14"/>
  <c r="U72" i="14" s="1"/>
  <c r="Z72" i="14"/>
  <c r="Y72" i="14" s="1"/>
  <c r="W72" i="14" s="1"/>
  <c r="AA72" i="14"/>
  <c r="AB72" i="14"/>
  <c r="AC72" i="14"/>
  <c r="AE72" i="14"/>
  <c r="AD72" i="14" s="1"/>
  <c r="AF72" i="14"/>
  <c r="AG72" i="14"/>
  <c r="AH72" i="14"/>
  <c r="J73" i="14"/>
  <c r="P73" i="14"/>
  <c r="Q73" i="14"/>
  <c r="T73" i="14"/>
  <c r="U73" i="14" s="1"/>
  <c r="Z73" i="14"/>
  <c r="Y73" i="14" s="1"/>
  <c r="W73" i="14" s="1"/>
  <c r="AA73" i="14"/>
  <c r="AB73" i="14"/>
  <c r="AC73" i="14"/>
  <c r="AE73" i="14"/>
  <c r="AD73" i="14" s="1"/>
  <c r="AF73" i="14"/>
  <c r="AG73" i="14"/>
  <c r="AH73" i="14"/>
  <c r="J74" i="14"/>
  <c r="P74" i="14"/>
  <c r="Q74" i="14"/>
  <c r="T74" i="14"/>
  <c r="U74" i="14" s="1"/>
  <c r="Z74" i="14"/>
  <c r="Y74" i="14" s="1"/>
  <c r="W74" i="14" s="1"/>
  <c r="AA74" i="14"/>
  <c r="AB74" i="14"/>
  <c r="AC74" i="14"/>
  <c r="AE74" i="14"/>
  <c r="AD74" i="14" s="1"/>
  <c r="AF74" i="14"/>
  <c r="AG74" i="14"/>
  <c r="AH74" i="14"/>
  <c r="J75" i="14"/>
  <c r="P75" i="14"/>
  <c r="Q75" i="14"/>
  <c r="T75" i="14"/>
  <c r="U75" i="14" s="1"/>
  <c r="Z75" i="14"/>
  <c r="Y75" i="14" s="1"/>
  <c r="W75" i="14" s="1"/>
  <c r="AA75" i="14"/>
  <c r="AB75" i="14"/>
  <c r="AC75" i="14"/>
  <c r="AE75" i="14"/>
  <c r="AD75" i="14" s="1"/>
  <c r="AF75" i="14"/>
  <c r="AG75" i="14"/>
  <c r="AH75" i="14"/>
  <c r="J76" i="14"/>
  <c r="P76" i="14"/>
  <c r="Q76" i="14"/>
  <c r="T76" i="14"/>
  <c r="U76" i="14" s="1"/>
  <c r="Z76" i="14"/>
  <c r="Y76" i="14" s="1"/>
  <c r="W76" i="14" s="1"/>
  <c r="AA76" i="14"/>
  <c r="AB76" i="14"/>
  <c r="AC76" i="14"/>
  <c r="AE76" i="14"/>
  <c r="AD76" i="14" s="1"/>
  <c r="AF76" i="14"/>
  <c r="AG76" i="14"/>
  <c r="AH76" i="14"/>
  <c r="J77" i="14"/>
  <c r="P77" i="14"/>
  <c r="Q77" i="14"/>
  <c r="T77" i="14"/>
  <c r="U77" i="14" s="1"/>
  <c r="Z77" i="14"/>
  <c r="Y77" i="14" s="1"/>
  <c r="W77" i="14" s="1"/>
  <c r="AA77" i="14"/>
  <c r="AB77" i="14"/>
  <c r="AC77" i="14"/>
  <c r="AE77" i="14"/>
  <c r="AD77" i="14" s="1"/>
  <c r="AF77" i="14"/>
  <c r="AG77" i="14"/>
  <c r="AH77" i="14"/>
  <c r="J78" i="14"/>
  <c r="P78" i="14"/>
  <c r="Q78" i="14"/>
  <c r="T78" i="14"/>
  <c r="U78" i="14" s="1"/>
  <c r="Z78" i="14"/>
  <c r="Y78" i="14" s="1"/>
  <c r="W78" i="14" s="1"/>
  <c r="AA78" i="14"/>
  <c r="AB78" i="14"/>
  <c r="AC78" i="14"/>
  <c r="AE78" i="14"/>
  <c r="AD78" i="14" s="1"/>
  <c r="AF78" i="14"/>
  <c r="AG78" i="14"/>
  <c r="AH78" i="14"/>
  <c r="J79" i="14"/>
  <c r="P79" i="14"/>
  <c r="Q79" i="14"/>
  <c r="T79" i="14"/>
  <c r="U79" i="14" s="1"/>
  <c r="Z79" i="14"/>
  <c r="Y79" i="14" s="1"/>
  <c r="W79" i="14" s="1"/>
  <c r="AA79" i="14"/>
  <c r="AB79" i="14"/>
  <c r="AC79" i="14"/>
  <c r="AE79" i="14"/>
  <c r="AD79" i="14" s="1"/>
  <c r="AF79" i="14"/>
  <c r="AG79" i="14"/>
  <c r="AH79" i="14"/>
  <c r="J80" i="14"/>
  <c r="P80" i="14"/>
  <c r="Q80" i="14"/>
  <c r="T80" i="14"/>
  <c r="U80" i="14" s="1"/>
  <c r="Z80" i="14"/>
  <c r="Y80" i="14" s="1"/>
  <c r="W80" i="14" s="1"/>
  <c r="AA80" i="14"/>
  <c r="AB80" i="14"/>
  <c r="AC80" i="14"/>
  <c r="AE80" i="14"/>
  <c r="AD80" i="14" s="1"/>
  <c r="AF80" i="14"/>
  <c r="AG80" i="14"/>
  <c r="AH80" i="14"/>
  <c r="J81" i="14"/>
  <c r="P81" i="14"/>
  <c r="Q81" i="14"/>
  <c r="T81" i="14"/>
  <c r="U81" i="14" s="1"/>
  <c r="Z81" i="14"/>
  <c r="Y81" i="14" s="1"/>
  <c r="W81" i="14" s="1"/>
  <c r="AA81" i="14"/>
  <c r="AB81" i="14"/>
  <c r="AC81" i="14"/>
  <c r="AE81" i="14"/>
  <c r="AD81" i="14" s="1"/>
  <c r="AF81" i="14"/>
  <c r="AG81" i="14"/>
  <c r="AH81" i="14"/>
  <c r="J82" i="14"/>
  <c r="P82" i="14"/>
  <c r="Q82" i="14"/>
  <c r="T82" i="14"/>
  <c r="U82" i="14" s="1"/>
  <c r="Z82" i="14"/>
  <c r="Y82" i="14" s="1"/>
  <c r="W82" i="14" s="1"/>
  <c r="AA82" i="14"/>
  <c r="AB82" i="14"/>
  <c r="AC82" i="14"/>
  <c r="AE82" i="14"/>
  <c r="AD82" i="14" s="1"/>
  <c r="AF82" i="14"/>
  <c r="AG82" i="14"/>
  <c r="AH82" i="14"/>
  <c r="J83" i="14"/>
  <c r="P83" i="14"/>
  <c r="Q83" i="14"/>
  <c r="T83" i="14"/>
  <c r="U83" i="14" s="1"/>
  <c r="Z83" i="14"/>
  <c r="Y83" i="14" s="1"/>
  <c r="W83" i="14" s="1"/>
  <c r="AA83" i="14"/>
  <c r="AB83" i="14"/>
  <c r="AC83" i="14"/>
  <c r="AE83" i="14"/>
  <c r="AD83" i="14" s="1"/>
  <c r="AF83" i="14"/>
  <c r="AG83" i="14"/>
  <c r="AH83" i="14"/>
  <c r="J84" i="14"/>
  <c r="P84" i="14"/>
  <c r="Q84" i="14"/>
  <c r="T84" i="14"/>
  <c r="U84" i="14" s="1"/>
  <c r="Z84" i="14"/>
  <c r="Y84" i="14" s="1"/>
  <c r="W84" i="14" s="1"/>
  <c r="AA84" i="14"/>
  <c r="AB84" i="14"/>
  <c r="AC84" i="14"/>
  <c r="AE84" i="14"/>
  <c r="AD84" i="14" s="1"/>
  <c r="AF84" i="14"/>
  <c r="AG84" i="14"/>
  <c r="AH84" i="14"/>
  <c r="J85" i="14"/>
  <c r="P85" i="14"/>
  <c r="Q85" i="14"/>
  <c r="T85" i="14"/>
  <c r="U85" i="14" s="1"/>
  <c r="Z85" i="14"/>
  <c r="Y85" i="14" s="1"/>
  <c r="W85" i="14" s="1"/>
  <c r="AA85" i="14"/>
  <c r="AB85" i="14"/>
  <c r="AC85" i="14"/>
  <c r="AE85" i="14"/>
  <c r="AD85" i="14" s="1"/>
  <c r="AF85" i="14"/>
  <c r="AG85" i="14"/>
  <c r="AH85" i="14"/>
  <c r="J86" i="14"/>
  <c r="P86" i="14"/>
  <c r="Q86" i="14"/>
  <c r="T86" i="14"/>
  <c r="U86" i="14" s="1"/>
  <c r="Z86" i="14"/>
  <c r="Y86" i="14" s="1"/>
  <c r="W86" i="14" s="1"/>
  <c r="AA86" i="14"/>
  <c r="AB86" i="14"/>
  <c r="AC86" i="14"/>
  <c r="AE86" i="14"/>
  <c r="AD86" i="14" s="1"/>
  <c r="AF86" i="14"/>
  <c r="AG86" i="14"/>
  <c r="AH86" i="14"/>
  <c r="J87" i="14"/>
  <c r="P87" i="14"/>
  <c r="Q87" i="14"/>
  <c r="T87" i="14"/>
  <c r="U87" i="14" s="1"/>
  <c r="Z87" i="14"/>
  <c r="Y87" i="14" s="1"/>
  <c r="W87" i="14" s="1"/>
  <c r="AA87" i="14"/>
  <c r="AB87" i="14"/>
  <c r="AC87" i="14"/>
  <c r="AE87" i="14"/>
  <c r="AD87" i="14" s="1"/>
  <c r="AF87" i="14"/>
  <c r="AG87" i="14"/>
  <c r="AH87" i="14"/>
  <c r="J88" i="14"/>
  <c r="P88" i="14"/>
  <c r="Q88" i="14"/>
  <c r="T88" i="14"/>
  <c r="U88" i="14" s="1"/>
  <c r="Z88" i="14"/>
  <c r="Y88" i="14" s="1"/>
  <c r="W88" i="14" s="1"/>
  <c r="AA88" i="14"/>
  <c r="AB88" i="14"/>
  <c r="AC88" i="14"/>
  <c r="AE88" i="14"/>
  <c r="AD88" i="14" s="1"/>
  <c r="AF88" i="14"/>
  <c r="AG88" i="14"/>
  <c r="AH88" i="14"/>
  <c r="J89" i="14"/>
  <c r="P89" i="14"/>
  <c r="Q89" i="14"/>
  <c r="T89" i="14"/>
  <c r="U89" i="14" s="1"/>
  <c r="Z89" i="14"/>
  <c r="Y89" i="14" s="1"/>
  <c r="W89" i="14" s="1"/>
  <c r="AA89" i="14"/>
  <c r="AB89" i="14"/>
  <c r="AC89" i="14"/>
  <c r="AE89" i="14"/>
  <c r="AD89" i="14" s="1"/>
  <c r="AF89" i="14"/>
  <c r="AG89" i="14"/>
  <c r="AH89" i="14"/>
  <c r="J90" i="14"/>
  <c r="P90" i="14"/>
  <c r="Q90" i="14"/>
  <c r="T90" i="14"/>
  <c r="U90" i="14" s="1"/>
  <c r="Z90" i="14"/>
  <c r="Y90" i="14" s="1"/>
  <c r="W90" i="14" s="1"/>
  <c r="AA90" i="14"/>
  <c r="AB90" i="14"/>
  <c r="AC90" i="14"/>
  <c r="AE90" i="14"/>
  <c r="AD90" i="14" s="1"/>
  <c r="AF90" i="14"/>
  <c r="AG90" i="14"/>
  <c r="AH90" i="14"/>
  <c r="J91" i="14"/>
  <c r="P91" i="14"/>
  <c r="Q91" i="14"/>
  <c r="T91" i="14"/>
  <c r="U91" i="14" s="1"/>
  <c r="Z91" i="14"/>
  <c r="Y91" i="14" s="1"/>
  <c r="W91" i="14" s="1"/>
  <c r="AA91" i="14"/>
  <c r="AB91" i="14"/>
  <c r="AC91" i="14"/>
  <c r="AE91" i="14"/>
  <c r="AD91" i="14" s="1"/>
  <c r="AF91" i="14"/>
  <c r="AG91" i="14"/>
  <c r="AH91" i="14"/>
  <c r="J92" i="14"/>
  <c r="P92" i="14"/>
  <c r="Q92" i="14"/>
  <c r="T92" i="14"/>
  <c r="U92" i="14" s="1"/>
  <c r="Z92" i="14"/>
  <c r="Y92" i="14" s="1"/>
  <c r="W92" i="14" s="1"/>
  <c r="AA92" i="14"/>
  <c r="AB92" i="14"/>
  <c r="AC92" i="14"/>
  <c r="AE92" i="14"/>
  <c r="AD92" i="14" s="1"/>
  <c r="AF92" i="14"/>
  <c r="AG92" i="14"/>
  <c r="AH92" i="14"/>
  <c r="J93" i="14"/>
  <c r="P93" i="14"/>
  <c r="Q93" i="14"/>
  <c r="T93" i="14"/>
  <c r="U93" i="14" s="1"/>
  <c r="Z93" i="14"/>
  <c r="Y93" i="14" s="1"/>
  <c r="W93" i="14" s="1"/>
  <c r="AA93" i="14"/>
  <c r="AB93" i="14"/>
  <c r="AC93" i="14"/>
  <c r="AE93" i="14"/>
  <c r="AD93" i="14" s="1"/>
  <c r="AF93" i="14"/>
  <c r="AG93" i="14"/>
  <c r="AH93" i="14"/>
  <c r="J94" i="14"/>
  <c r="P94" i="14"/>
  <c r="Q94" i="14"/>
  <c r="T94" i="14"/>
  <c r="U94" i="14" s="1"/>
  <c r="Z94" i="14"/>
  <c r="Y94" i="14" s="1"/>
  <c r="W94" i="14" s="1"/>
  <c r="AA94" i="14"/>
  <c r="AB94" i="14"/>
  <c r="AC94" i="14"/>
  <c r="AE94" i="14"/>
  <c r="AD94" i="14" s="1"/>
  <c r="AF94" i="14"/>
  <c r="AG94" i="14"/>
  <c r="AH94" i="14"/>
  <c r="J95" i="14"/>
  <c r="P95" i="14"/>
  <c r="Q95" i="14"/>
  <c r="T95" i="14"/>
  <c r="U95" i="14" s="1"/>
  <c r="Z95" i="14"/>
  <c r="Y95" i="14" s="1"/>
  <c r="W95" i="14" s="1"/>
  <c r="AA95" i="14"/>
  <c r="AB95" i="14"/>
  <c r="AC95" i="14"/>
  <c r="AE95" i="14"/>
  <c r="AD95" i="14" s="1"/>
  <c r="AF95" i="14"/>
  <c r="AG95" i="14"/>
  <c r="AH95" i="14"/>
  <c r="J96" i="14"/>
  <c r="P96" i="14"/>
  <c r="Q96" i="14"/>
  <c r="T96" i="14"/>
  <c r="U96" i="14" s="1"/>
  <c r="Z96" i="14"/>
  <c r="Y96" i="14" s="1"/>
  <c r="W96" i="14" s="1"/>
  <c r="AA96" i="14"/>
  <c r="AB96" i="14"/>
  <c r="AC96" i="14"/>
  <c r="AE96" i="14"/>
  <c r="AD96" i="14" s="1"/>
  <c r="AF96" i="14"/>
  <c r="AG96" i="14"/>
  <c r="AH96" i="14"/>
  <c r="J97" i="14"/>
  <c r="P97" i="14"/>
  <c r="Q97" i="14"/>
  <c r="T97" i="14"/>
  <c r="U97" i="14" s="1"/>
  <c r="Z97" i="14"/>
  <c r="Y97" i="14" s="1"/>
  <c r="W97" i="14" s="1"/>
  <c r="AA97" i="14"/>
  <c r="AB97" i="14"/>
  <c r="AC97" i="14"/>
  <c r="AE97" i="14"/>
  <c r="AD97" i="14" s="1"/>
  <c r="AF97" i="14"/>
  <c r="AG97" i="14"/>
  <c r="AH97" i="14"/>
  <c r="J98" i="14"/>
  <c r="P98" i="14"/>
  <c r="Q98" i="14"/>
  <c r="T98" i="14"/>
  <c r="U98" i="14" s="1"/>
  <c r="Z98" i="14"/>
  <c r="Y98" i="14" s="1"/>
  <c r="W98" i="14" s="1"/>
  <c r="AA98" i="14"/>
  <c r="AB98" i="14"/>
  <c r="AC98" i="14"/>
  <c r="AE98" i="14"/>
  <c r="AD98" i="14" s="1"/>
  <c r="AF98" i="14"/>
  <c r="AG98" i="14"/>
  <c r="AH98" i="14"/>
  <c r="J99" i="14"/>
  <c r="P99" i="14"/>
  <c r="Q99" i="14"/>
  <c r="T99" i="14"/>
  <c r="U99" i="14" s="1"/>
  <c r="Z99" i="14"/>
  <c r="Y99" i="14" s="1"/>
  <c r="W99" i="14" s="1"/>
  <c r="AA99" i="14"/>
  <c r="AB99" i="14"/>
  <c r="AC99" i="14"/>
  <c r="AE99" i="14"/>
  <c r="AD99" i="14" s="1"/>
  <c r="AF99" i="14"/>
  <c r="AG99" i="14"/>
  <c r="AH99" i="14"/>
  <c r="J100" i="14"/>
  <c r="P100" i="14"/>
  <c r="Q100" i="14"/>
  <c r="T100" i="14"/>
  <c r="U100" i="14" s="1"/>
  <c r="Z100" i="14"/>
  <c r="Y100" i="14" s="1"/>
  <c r="W100" i="14" s="1"/>
  <c r="AA100" i="14"/>
  <c r="AB100" i="14"/>
  <c r="AC100" i="14"/>
  <c r="AE100" i="14"/>
  <c r="AD100" i="14" s="1"/>
  <c r="AF100" i="14"/>
  <c r="AG100" i="14"/>
  <c r="AH100" i="14"/>
  <c r="J101" i="14"/>
  <c r="P101" i="14"/>
  <c r="Q101" i="14"/>
  <c r="T101" i="14"/>
  <c r="U101" i="14" s="1"/>
  <c r="Z101" i="14"/>
  <c r="Y101" i="14" s="1"/>
  <c r="W101" i="14" s="1"/>
  <c r="AA101" i="14"/>
  <c r="AB101" i="14"/>
  <c r="AC101" i="14"/>
  <c r="AE101" i="14"/>
  <c r="AD101" i="14" s="1"/>
  <c r="AF101" i="14"/>
  <c r="AG101" i="14"/>
  <c r="AH101" i="14"/>
  <c r="J102" i="14"/>
  <c r="P102" i="14"/>
  <c r="Q102" i="14"/>
  <c r="T102" i="14"/>
  <c r="U102" i="14" s="1"/>
  <c r="Z102" i="14"/>
  <c r="Y102" i="14" s="1"/>
  <c r="W102" i="14" s="1"/>
  <c r="AA102" i="14"/>
  <c r="AB102" i="14"/>
  <c r="AC102" i="14"/>
  <c r="AE102" i="14"/>
  <c r="AD102" i="14" s="1"/>
  <c r="AF102" i="14"/>
  <c r="AG102" i="14"/>
  <c r="AH102" i="14"/>
  <c r="J103" i="14"/>
  <c r="P103" i="14"/>
  <c r="Q103" i="14"/>
  <c r="T103" i="14"/>
  <c r="U103" i="14" s="1"/>
  <c r="Z103" i="14"/>
  <c r="Y103" i="14" s="1"/>
  <c r="W103" i="14" s="1"/>
  <c r="AA103" i="14"/>
  <c r="AB103" i="14"/>
  <c r="AC103" i="14"/>
  <c r="AE103" i="14"/>
  <c r="AD103" i="14" s="1"/>
  <c r="AF103" i="14"/>
  <c r="AG103" i="14"/>
  <c r="AH103" i="14"/>
  <c r="J104" i="14"/>
  <c r="P104" i="14"/>
  <c r="Q104" i="14"/>
  <c r="T104" i="14"/>
  <c r="U104" i="14" s="1"/>
  <c r="Z104" i="14"/>
  <c r="Y104" i="14" s="1"/>
  <c r="W104" i="14" s="1"/>
  <c r="AA104" i="14"/>
  <c r="AB104" i="14"/>
  <c r="AC104" i="14"/>
  <c r="AE104" i="14"/>
  <c r="AD104" i="14" s="1"/>
  <c r="AF104" i="14"/>
  <c r="AG104" i="14"/>
  <c r="AH104" i="14"/>
  <c r="J105" i="14"/>
  <c r="P105" i="14"/>
  <c r="Q105" i="14"/>
  <c r="T105" i="14"/>
  <c r="U105" i="14" s="1"/>
  <c r="Z105" i="14"/>
  <c r="Y105" i="14" s="1"/>
  <c r="W105" i="14" s="1"/>
  <c r="AA105" i="14"/>
  <c r="AB105" i="14"/>
  <c r="AC105" i="14"/>
  <c r="AE105" i="14"/>
  <c r="AD105" i="14" s="1"/>
  <c r="AF105" i="14"/>
  <c r="AG105" i="14"/>
  <c r="AH105" i="14"/>
  <c r="J106" i="14"/>
  <c r="P106" i="14"/>
  <c r="Q106" i="14"/>
  <c r="T106" i="14"/>
  <c r="U106" i="14" s="1"/>
  <c r="Z106" i="14"/>
  <c r="Y106" i="14" s="1"/>
  <c r="W106" i="14" s="1"/>
  <c r="AA106" i="14"/>
  <c r="AB106" i="14"/>
  <c r="AC106" i="14"/>
  <c r="AE106" i="14"/>
  <c r="AD106" i="14" s="1"/>
  <c r="AF106" i="14"/>
  <c r="AG106" i="14"/>
  <c r="AH106" i="14"/>
  <c r="J107" i="14"/>
  <c r="P107" i="14"/>
  <c r="Q107" i="14"/>
  <c r="T107" i="14"/>
  <c r="U107" i="14" s="1"/>
  <c r="Z107" i="14"/>
  <c r="Y107" i="14" s="1"/>
  <c r="W107" i="14" s="1"/>
  <c r="AA107" i="14"/>
  <c r="AB107" i="14"/>
  <c r="AC107" i="14"/>
  <c r="AE107" i="14"/>
  <c r="AD107" i="14" s="1"/>
  <c r="AF107" i="14"/>
  <c r="AG107" i="14"/>
  <c r="AH107" i="14"/>
  <c r="J108" i="14"/>
  <c r="P108" i="14"/>
  <c r="Q108" i="14"/>
  <c r="T108" i="14"/>
  <c r="U108" i="14" s="1"/>
  <c r="Z108" i="14"/>
  <c r="Y108" i="14" s="1"/>
  <c r="W108" i="14" s="1"/>
  <c r="AA108" i="14"/>
  <c r="AB108" i="14"/>
  <c r="AC108" i="14"/>
  <c r="AE108" i="14"/>
  <c r="AD108" i="14" s="1"/>
  <c r="AF108" i="14"/>
  <c r="AG108" i="14"/>
  <c r="AH108" i="14"/>
  <c r="J109" i="14"/>
  <c r="P109" i="14"/>
  <c r="Q109" i="14"/>
  <c r="T109" i="14"/>
  <c r="U109" i="14" s="1"/>
  <c r="Z109" i="14"/>
  <c r="Y109" i="14" s="1"/>
  <c r="W109" i="14" s="1"/>
  <c r="AA109" i="14"/>
  <c r="AB109" i="14"/>
  <c r="AC109" i="14"/>
  <c r="AE109" i="14"/>
  <c r="AD109" i="14" s="1"/>
  <c r="AF109" i="14"/>
  <c r="AG109" i="14"/>
  <c r="AH109" i="14"/>
  <c r="J110" i="14"/>
  <c r="P110" i="14"/>
  <c r="Q110" i="14"/>
  <c r="T110" i="14"/>
  <c r="U110" i="14" s="1"/>
  <c r="Z110" i="14"/>
  <c r="Y110" i="14" s="1"/>
  <c r="W110" i="14" s="1"/>
  <c r="AA110" i="14"/>
  <c r="AB110" i="14"/>
  <c r="AC110" i="14"/>
  <c r="AE110" i="14"/>
  <c r="AD110" i="14" s="1"/>
  <c r="AF110" i="14"/>
  <c r="AG110" i="14"/>
  <c r="AH110" i="14"/>
  <c r="J111" i="14"/>
  <c r="P111" i="14"/>
  <c r="Q111" i="14"/>
  <c r="T111" i="14"/>
  <c r="U111" i="14" s="1"/>
  <c r="Z111" i="14"/>
  <c r="Y111" i="14" s="1"/>
  <c r="W111" i="14" s="1"/>
  <c r="AA111" i="14"/>
  <c r="AB111" i="14"/>
  <c r="AC111" i="14"/>
  <c r="AE111" i="14"/>
  <c r="AD111" i="14" s="1"/>
  <c r="AF111" i="14"/>
  <c r="AG111" i="14"/>
  <c r="AH111" i="14"/>
  <c r="J112" i="14"/>
  <c r="P112" i="14"/>
  <c r="Q112" i="14"/>
  <c r="T112" i="14"/>
  <c r="U112" i="14" s="1"/>
  <c r="Z112" i="14"/>
  <c r="Y112" i="14" s="1"/>
  <c r="W112" i="14" s="1"/>
  <c r="AA112" i="14"/>
  <c r="AB112" i="14"/>
  <c r="AC112" i="14"/>
  <c r="AE112" i="14"/>
  <c r="AD112" i="14" s="1"/>
  <c r="AF112" i="14"/>
  <c r="AG112" i="14"/>
  <c r="AH112" i="14"/>
  <c r="J113" i="14"/>
  <c r="P113" i="14"/>
  <c r="Q113" i="14"/>
  <c r="T113" i="14"/>
  <c r="U113" i="14" s="1"/>
  <c r="Z113" i="14"/>
  <c r="Y113" i="14" s="1"/>
  <c r="W113" i="14" s="1"/>
  <c r="AA113" i="14"/>
  <c r="AB113" i="14"/>
  <c r="AC113" i="14"/>
  <c r="AE113" i="14"/>
  <c r="AD113" i="14" s="1"/>
  <c r="AF113" i="14"/>
  <c r="AG113" i="14"/>
  <c r="AH113" i="14"/>
  <c r="J114" i="14"/>
  <c r="P114" i="14"/>
  <c r="Q114" i="14"/>
  <c r="T114" i="14"/>
  <c r="U114" i="14" s="1"/>
  <c r="Z114" i="14"/>
  <c r="Y114" i="14" s="1"/>
  <c r="W114" i="14" s="1"/>
  <c r="AA114" i="14"/>
  <c r="AB114" i="14"/>
  <c r="AC114" i="14"/>
  <c r="AE114" i="14"/>
  <c r="AD114" i="14" s="1"/>
  <c r="AF114" i="14"/>
  <c r="AG114" i="14"/>
  <c r="AH114" i="14"/>
  <c r="J115" i="14"/>
  <c r="P115" i="14"/>
  <c r="Q115" i="14"/>
  <c r="T115" i="14"/>
  <c r="U115" i="14" s="1"/>
  <c r="Z115" i="14"/>
  <c r="Y115" i="14" s="1"/>
  <c r="W115" i="14" s="1"/>
  <c r="AA115" i="14"/>
  <c r="AB115" i="14"/>
  <c r="AC115" i="14"/>
  <c r="AE115" i="14"/>
  <c r="AD115" i="14" s="1"/>
  <c r="AF115" i="14"/>
  <c r="AG115" i="14"/>
  <c r="AH115" i="14"/>
  <c r="J116" i="14"/>
  <c r="P116" i="14"/>
  <c r="Q116" i="14"/>
  <c r="T116" i="14"/>
  <c r="U116" i="14" s="1"/>
  <c r="Z116" i="14"/>
  <c r="Y116" i="14" s="1"/>
  <c r="W116" i="14" s="1"/>
  <c r="AA116" i="14"/>
  <c r="AB116" i="14"/>
  <c r="AC116" i="14"/>
  <c r="AE116" i="14"/>
  <c r="AD116" i="14" s="1"/>
  <c r="AF116" i="14"/>
  <c r="AG116" i="14"/>
  <c r="AH116" i="14"/>
  <c r="J117" i="14"/>
  <c r="P117" i="14"/>
  <c r="Q117" i="14"/>
  <c r="T117" i="14"/>
  <c r="U117" i="14" s="1"/>
  <c r="Z117" i="14"/>
  <c r="Y117" i="14" s="1"/>
  <c r="W117" i="14" s="1"/>
  <c r="AA117" i="14"/>
  <c r="AB117" i="14"/>
  <c r="AC117" i="14"/>
  <c r="AE117" i="14"/>
  <c r="AD117" i="14" s="1"/>
  <c r="AF117" i="14"/>
  <c r="AG117" i="14"/>
  <c r="AH117" i="14"/>
  <c r="J118" i="14"/>
  <c r="P118" i="14"/>
  <c r="Q118" i="14"/>
  <c r="T118" i="14"/>
  <c r="U118" i="14" s="1"/>
  <c r="Z118" i="14"/>
  <c r="Y118" i="14" s="1"/>
  <c r="W118" i="14" s="1"/>
  <c r="AA118" i="14"/>
  <c r="AB118" i="14"/>
  <c r="AC118" i="14"/>
  <c r="AE118" i="14"/>
  <c r="AD118" i="14" s="1"/>
  <c r="AF118" i="14"/>
  <c r="AG118" i="14"/>
  <c r="AH118" i="14"/>
  <c r="J119" i="14"/>
  <c r="P119" i="14"/>
  <c r="Q119" i="14"/>
  <c r="T119" i="14"/>
  <c r="U119" i="14" s="1"/>
  <c r="Z119" i="14"/>
  <c r="Y119" i="14" s="1"/>
  <c r="W119" i="14" s="1"/>
  <c r="AA119" i="14"/>
  <c r="AB119" i="14"/>
  <c r="AC119" i="14"/>
  <c r="AE119" i="14"/>
  <c r="AD119" i="14" s="1"/>
  <c r="AF119" i="14"/>
  <c r="AG119" i="14"/>
  <c r="AH119" i="14"/>
  <c r="J120" i="14"/>
  <c r="P120" i="14"/>
  <c r="Q120" i="14"/>
  <c r="T120" i="14"/>
  <c r="U120" i="14" s="1"/>
  <c r="Z120" i="14"/>
  <c r="Y120" i="14" s="1"/>
  <c r="W120" i="14" s="1"/>
  <c r="AA120" i="14"/>
  <c r="AB120" i="14"/>
  <c r="AC120" i="14"/>
  <c r="AE120" i="14"/>
  <c r="AD120" i="14" s="1"/>
  <c r="AF120" i="14"/>
  <c r="AG120" i="14"/>
  <c r="AH120" i="14"/>
  <c r="J121" i="14"/>
  <c r="P121" i="14"/>
  <c r="Q121" i="14"/>
  <c r="T121" i="14"/>
  <c r="U121" i="14" s="1"/>
  <c r="Z121" i="14"/>
  <c r="Y121" i="14" s="1"/>
  <c r="W121" i="14" s="1"/>
  <c r="AA121" i="14"/>
  <c r="AB121" i="14"/>
  <c r="AC121" i="14"/>
  <c r="AE121" i="14"/>
  <c r="AD121" i="14" s="1"/>
  <c r="AF121" i="14"/>
  <c r="AG121" i="14"/>
  <c r="AH121" i="14"/>
  <c r="J122" i="14"/>
  <c r="P122" i="14"/>
  <c r="Q122" i="14"/>
  <c r="T122" i="14"/>
  <c r="U122" i="14" s="1"/>
  <c r="Z122" i="14"/>
  <c r="Y122" i="14" s="1"/>
  <c r="W122" i="14" s="1"/>
  <c r="AA122" i="14"/>
  <c r="AB122" i="14"/>
  <c r="AC122" i="14"/>
  <c r="AE122" i="14"/>
  <c r="AD122" i="14" s="1"/>
  <c r="AF122" i="14"/>
  <c r="AG122" i="14"/>
  <c r="AH122" i="14"/>
  <c r="J123" i="14"/>
  <c r="P123" i="14"/>
  <c r="Q123" i="14"/>
  <c r="T123" i="14"/>
  <c r="U123" i="14" s="1"/>
  <c r="Z123" i="14"/>
  <c r="Y123" i="14" s="1"/>
  <c r="W123" i="14" s="1"/>
  <c r="AA123" i="14"/>
  <c r="AB123" i="14"/>
  <c r="AC123" i="14"/>
  <c r="AE123" i="14"/>
  <c r="AD123" i="14" s="1"/>
  <c r="AF123" i="14"/>
  <c r="AG123" i="14"/>
  <c r="AH123" i="14"/>
  <c r="J124" i="14"/>
  <c r="P124" i="14"/>
  <c r="Q124" i="14"/>
  <c r="T124" i="14"/>
  <c r="U124" i="14" s="1"/>
  <c r="Z124" i="14"/>
  <c r="Y124" i="14" s="1"/>
  <c r="W124" i="14" s="1"/>
  <c r="AA124" i="14"/>
  <c r="AB124" i="14"/>
  <c r="AC124" i="14"/>
  <c r="AE124" i="14"/>
  <c r="AD124" i="14" s="1"/>
  <c r="AF124" i="14"/>
  <c r="AG124" i="14"/>
  <c r="AH124" i="14"/>
  <c r="J125" i="14"/>
  <c r="P125" i="14"/>
  <c r="Q125" i="14"/>
  <c r="T125" i="14"/>
  <c r="U125" i="14" s="1"/>
  <c r="Z125" i="14"/>
  <c r="Y125" i="14" s="1"/>
  <c r="W125" i="14" s="1"/>
  <c r="AA125" i="14"/>
  <c r="AB125" i="14"/>
  <c r="AC125" i="14"/>
  <c r="AE125" i="14"/>
  <c r="AD125" i="14" s="1"/>
  <c r="AF125" i="14"/>
  <c r="AG125" i="14"/>
  <c r="AH125" i="14"/>
  <c r="J126" i="14"/>
  <c r="P126" i="14"/>
  <c r="Q126" i="14"/>
  <c r="T126" i="14"/>
  <c r="U126" i="14" s="1"/>
  <c r="Z126" i="14"/>
  <c r="Y126" i="14" s="1"/>
  <c r="W126" i="14" s="1"/>
  <c r="AA126" i="14"/>
  <c r="AB126" i="14"/>
  <c r="AC126" i="14"/>
  <c r="AE126" i="14"/>
  <c r="AD126" i="14" s="1"/>
  <c r="AF126" i="14"/>
  <c r="AG126" i="14"/>
  <c r="AH126" i="14"/>
  <c r="J127" i="14"/>
  <c r="P127" i="14"/>
  <c r="Q127" i="14"/>
  <c r="T127" i="14"/>
  <c r="U127" i="14" s="1"/>
  <c r="Z127" i="14"/>
  <c r="Y127" i="14" s="1"/>
  <c r="W127" i="14" s="1"/>
  <c r="AA127" i="14"/>
  <c r="AB127" i="14"/>
  <c r="AC127" i="14"/>
  <c r="AE127" i="14"/>
  <c r="AD127" i="14" s="1"/>
  <c r="AF127" i="14"/>
  <c r="AG127" i="14"/>
  <c r="AH127" i="14"/>
  <c r="J128" i="14"/>
  <c r="P128" i="14"/>
  <c r="Q128" i="14"/>
  <c r="T128" i="14"/>
  <c r="U128" i="14" s="1"/>
  <c r="Z128" i="14"/>
  <c r="Y128" i="14" s="1"/>
  <c r="W128" i="14" s="1"/>
  <c r="AA128" i="14"/>
  <c r="AB128" i="14"/>
  <c r="AC128" i="14"/>
  <c r="AE128" i="14"/>
  <c r="AD128" i="14" s="1"/>
  <c r="AF128" i="14"/>
  <c r="AG128" i="14"/>
  <c r="AH128" i="14"/>
  <c r="J129" i="14"/>
  <c r="P129" i="14"/>
  <c r="Q129" i="14"/>
  <c r="T129" i="14"/>
  <c r="U129" i="14" s="1"/>
  <c r="Z129" i="14"/>
  <c r="Y129" i="14" s="1"/>
  <c r="W129" i="14" s="1"/>
  <c r="AA129" i="14"/>
  <c r="AB129" i="14"/>
  <c r="AC129" i="14"/>
  <c r="AE129" i="14"/>
  <c r="AD129" i="14" s="1"/>
  <c r="AF129" i="14"/>
  <c r="AG129" i="14"/>
  <c r="AH129" i="14"/>
  <c r="J130" i="14"/>
  <c r="P130" i="14"/>
  <c r="Q130" i="14"/>
  <c r="T130" i="14"/>
  <c r="U130" i="14" s="1"/>
  <c r="Z130" i="14"/>
  <c r="Y130" i="14" s="1"/>
  <c r="W130" i="14" s="1"/>
  <c r="AA130" i="14"/>
  <c r="AB130" i="14"/>
  <c r="AC130" i="14"/>
  <c r="AE130" i="14"/>
  <c r="AD130" i="14" s="1"/>
  <c r="AF130" i="14"/>
  <c r="AG130" i="14"/>
  <c r="AH130" i="14"/>
  <c r="J131" i="14"/>
  <c r="P131" i="14"/>
  <c r="Q131" i="14"/>
  <c r="T131" i="14"/>
  <c r="U131" i="14" s="1"/>
  <c r="Z131" i="14"/>
  <c r="Y131" i="14" s="1"/>
  <c r="W131" i="14" s="1"/>
  <c r="AA131" i="14"/>
  <c r="AB131" i="14"/>
  <c r="AC131" i="14"/>
  <c r="AE131" i="14"/>
  <c r="AD131" i="14" s="1"/>
  <c r="AF131" i="14"/>
  <c r="AG131" i="14"/>
  <c r="AH131" i="14"/>
  <c r="J132" i="14"/>
  <c r="P132" i="14"/>
  <c r="Q132" i="14"/>
  <c r="T132" i="14"/>
  <c r="U132" i="14" s="1"/>
  <c r="Z132" i="14"/>
  <c r="Y132" i="14" s="1"/>
  <c r="W132" i="14" s="1"/>
  <c r="AA132" i="14"/>
  <c r="AB132" i="14"/>
  <c r="AC132" i="14"/>
  <c r="AE132" i="14"/>
  <c r="AD132" i="14" s="1"/>
  <c r="AF132" i="14"/>
  <c r="AG132" i="14"/>
  <c r="AH132" i="14"/>
  <c r="J133" i="14"/>
  <c r="P133" i="14"/>
  <c r="Q133" i="14"/>
  <c r="T133" i="14"/>
  <c r="U133" i="14" s="1"/>
  <c r="Z133" i="14"/>
  <c r="Y133" i="14" s="1"/>
  <c r="W133" i="14" s="1"/>
  <c r="AA133" i="14"/>
  <c r="AB133" i="14"/>
  <c r="AC133" i="14"/>
  <c r="AE133" i="14"/>
  <c r="AD133" i="14" s="1"/>
  <c r="AF133" i="14"/>
  <c r="AG133" i="14"/>
  <c r="AH133" i="14"/>
  <c r="J134" i="14"/>
  <c r="P134" i="14"/>
  <c r="Q134" i="14"/>
  <c r="T134" i="14"/>
  <c r="U134" i="14" s="1"/>
  <c r="Z134" i="14"/>
  <c r="Y134" i="14" s="1"/>
  <c r="W134" i="14" s="1"/>
  <c r="AA134" i="14"/>
  <c r="AB134" i="14"/>
  <c r="AC134" i="14"/>
  <c r="AE134" i="14"/>
  <c r="AD134" i="14" s="1"/>
  <c r="AF134" i="14"/>
  <c r="AG134" i="14"/>
  <c r="AH134" i="14"/>
  <c r="J135" i="14"/>
  <c r="P135" i="14"/>
  <c r="Q135" i="14"/>
  <c r="T135" i="14"/>
  <c r="U135" i="14" s="1"/>
  <c r="Z135" i="14"/>
  <c r="Y135" i="14" s="1"/>
  <c r="W135" i="14" s="1"/>
  <c r="AA135" i="14"/>
  <c r="AB135" i="14"/>
  <c r="AC135" i="14"/>
  <c r="AE135" i="14"/>
  <c r="AD135" i="14" s="1"/>
  <c r="AF135" i="14"/>
  <c r="AG135" i="14"/>
  <c r="AH135" i="14"/>
  <c r="J136" i="14"/>
  <c r="P136" i="14"/>
  <c r="Q136" i="14"/>
  <c r="T136" i="14"/>
  <c r="U136" i="14" s="1"/>
  <c r="Z136" i="14"/>
  <c r="Y136" i="14" s="1"/>
  <c r="W136" i="14" s="1"/>
  <c r="AA136" i="14"/>
  <c r="AB136" i="14"/>
  <c r="AC136" i="14"/>
  <c r="AE136" i="14"/>
  <c r="AD136" i="14" s="1"/>
  <c r="AF136" i="14"/>
  <c r="AG136" i="14"/>
  <c r="AH136" i="14"/>
  <c r="J137" i="14"/>
  <c r="P137" i="14"/>
  <c r="Q137" i="14"/>
  <c r="T137" i="14"/>
  <c r="U137" i="14" s="1"/>
  <c r="Z137" i="14"/>
  <c r="Y137" i="14" s="1"/>
  <c r="W137" i="14" s="1"/>
  <c r="AA137" i="14"/>
  <c r="AB137" i="14"/>
  <c r="AC137" i="14"/>
  <c r="AE137" i="14"/>
  <c r="AD137" i="14" s="1"/>
  <c r="AF137" i="14"/>
  <c r="AG137" i="14"/>
  <c r="AH137" i="14"/>
  <c r="J138" i="14"/>
  <c r="P138" i="14"/>
  <c r="Q138" i="14"/>
  <c r="T138" i="14"/>
  <c r="U138" i="14" s="1"/>
  <c r="Z138" i="14"/>
  <c r="Y138" i="14" s="1"/>
  <c r="W138" i="14" s="1"/>
  <c r="AA138" i="14"/>
  <c r="AB138" i="14"/>
  <c r="AC138" i="14"/>
  <c r="AE138" i="14"/>
  <c r="AD138" i="14" s="1"/>
  <c r="AF138" i="14"/>
  <c r="AG138" i="14"/>
  <c r="AH138" i="14"/>
  <c r="AH34" i="14"/>
  <c r="AG34" i="14"/>
  <c r="AF34" i="14"/>
  <c r="AE34" i="14"/>
  <c r="AD34" i="14" s="1"/>
  <c r="AC34" i="14"/>
  <c r="AB34" i="14"/>
  <c r="AA34" i="14"/>
  <c r="Z34" i="14"/>
  <c r="Y34" i="14" s="1"/>
  <c r="W34" i="14" s="1"/>
  <c r="T34" i="14"/>
  <c r="U34" i="14" s="1"/>
  <c r="Q34" i="14"/>
  <c r="P34" i="14"/>
  <c r="J34" i="14"/>
  <c r="AH33" i="14"/>
  <c r="AG33" i="14"/>
  <c r="AF33" i="14"/>
  <c r="AE33" i="14"/>
  <c r="AD33" i="14" s="1"/>
  <c r="AC33" i="14"/>
  <c r="AB33" i="14"/>
  <c r="AA33" i="14"/>
  <c r="Z33" i="14"/>
  <c r="Y33" i="14" s="1"/>
  <c r="W33" i="14" s="1"/>
  <c r="T33" i="14"/>
  <c r="U33" i="14" s="1"/>
  <c r="Q33" i="14"/>
  <c r="P33" i="14"/>
  <c r="J33" i="14"/>
  <c r="AH32" i="14"/>
  <c r="AG32" i="14"/>
  <c r="AF32" i="14"/>
  <c r="AE32" i="14"/>
  <c r="AD32" i="14" s="1"/>
  <c r="AC32" i="14"/>
  <c r="AB32" i="14"/>
  <c r="AA32" i="14"/>
  <c r="Z32" i="14"/>
  <c r="Y32" i="14" s="1"/>
  <c r="W32" i="14" s="1"/>
  <c r="T32" i="14"/>
  <c r="U32" i="14" s="1"/>
  <c r="Q32" i="14"/>
  <c r="P32" i="14"/>
  <c r="J32" i="14"/>
  <c r="AH31" i="14"/>
  <c r="AG31" i="14"/>
  <c r="AF31" i="14"/>
  <c r="AE31" i="14"/>
  <c r="AD31" i="14" s="1"/>
  <c r="AC31" i="14"/>
  <c r="AB31" i="14"/>
  <c r="AA31" i="14"/>
  <c r="Z31" i="14"/>
  <c r="Y31" i="14" s="1"/>
  <c r="W31" i="14" s="1"/>
  <c r="T31" i="14"/>
  <c r="U31" i="14" s="1"/>
  <c r="Q31" i="14"/>
  <c r="P31" i="14"/>
  <c r="J31" i="14"/>
  <c r="AH30" i="14"/>
  <c r="AG30" i="14"/>
  <c r="AF30" i="14"/>
  <c r="AE30" i="14"/>
  <c r="AD30" i="14" s="1"/>
  <c r="AC30" i="14"/>
  <c r="AB30" i="14"/>
  <c r="AA30" i="14"/>
  <c r="Z30" i="14"/>
  <c r="Y30" i="14" s="1"/>
  <c r="W30" i="14" s="1"/>
  <c r="T30" i="14"/>
  <c r="U30" i="14" s="1"/>
  <c r="Q30" i="14"/>
  <c r="P30" i="14"/>
  <c r="J30" i="14"/>
  <c r="AH29" i="14"/>
  <c r="AG29" i="14"/>
  <c r="AF29" i="14"/>
  <c r="AE29" i="14"/>
  <c r="AD29" i="14" s="1"/>
  <c r="AC29" i="14"/>
  <c r="AB29" i="14"/>
  <c r="AA29" i="14"/>
  <c r="Z29" i="14"/>
  <c r="Y29" i="14" s="1"/>
  <c r="W29" i="14" s="1"/>
  <c r="T29" i="14"/>
  <c r="U29" i="14" s="1"/>
  <c r="Q29" i="14"/>
  <c r="P29" i="14"/>
  <c r="J29" i="14"/>
  <c r="AH28" i="14"/>
  <c r="AG28" i="14"/>
  <c r="AF28" i="14"/>
  <c r="AE28" i="14"/>
  <c r="AD28" i="14" s="1"/>
  <c r="AC28" i="14"/>
  <c r="AB28" i="14"/>
  <c r="AA28" i="14"/>
  <c r="Z28" i="14"/>
  <c r="Y28" i="14" s="1"/>
  <c r="W28" i="14" s="1"/>
  <c r="T28" i="14"/>
  <c r="U28" i="14" s="1"/>
  <c r="Q28" i="14"/>
  <c r="P28" i="14"/>
  <c r="J28" i="14"/>
  <c r="AH27" i="14"/>
  <c r="AG27" i="14"/>
  <c r="AF27" i="14"/>
  <c r="AE27" i="14"/>
  <c r="AD27" i="14" s="1"/>
  <c r="AC27" i="14"/>
  <c r="AB27" i="14"/>
  <c r="AA27" i="14"/>
  <c r="Z27" i="14"/>
  <c r="Y27" i="14" s="1"/>
  <c r="W27" i="14" s="1"/>
  <c r="T27" i="14"/>
  <c r="U27" i="14" s="1"/>
  <c r="Q27" i="14"/>
  <c r="P27" i="14"/>
  <c r="J27" i="14"/>
  <c r="AH26" i="14"/>
  <c r="AG26" i="14"/>
  <c r="AF26" i="14"/>
  <c r="AE26" i="14"/>
  <c r="AD26" i="14" s="1"/>
  <c r="AC26" i="14"/>
  <c r="AB26" i="14"/>
  <c r="AA26" i="14"/>
  <c r="Z26" i="14"/>
  <c r="Y26" i="14" s="1"/>
  <c r="W26" i="14" s="1"/>
  <c r="T26" i="14"/>
  <c r="U26" i="14" s="1"/>
  <c r="Q26" i="14"/>
  <c r="P26" i="14"/>
  <c r="J26" i="14"/>
  <c r="AH25" i="14"/>
  <c r="AG25" i="14"/>
  <c r="AF25" i="14"/>
  <c r="AE25" i="14"/>
  <c r="AD25" i="14" s="1"/>
  <c r="AC25" i="14"/>
  <c r="AB25" i="14"/>
  <c r="AA25" i="14"/>
  <c r="Z25" i="14"/>
  <c r="Y25" i="14" s="1"/>
  <c r="W25" i="14" s="1"/>
  <c r="T25" i="14"/>
  <c r="U25" i="14" s="1"/>
  <c r="Q25" i="14"/>
  <c r="P25" i="14"/>
  <c r="J25" i="14"/>
  <c r="AH24" i="14"/>
  <c r="AG24" i="14"/>
  <c r="AF24" i="14"/>
  <c r="AE24" i="14"/>
  <c r="AD24" i="14" s="1"/>
  <c r="AC24" i="14"/>
  <c r="AB24" i="14"/>
  <c r="AA24" i="14"/>
  <c r="Z24" i="14"/>
  <c r="Y24" i="14" s="1"/>
  <c r="W24" i="14" s="1"/>
  <c r="T24" i="14"/>
  <c r="U24" i="14" s="1"/>
  <c r="Q24" i="14"/>
  <c r="P24" i="14"/>
  <c r="J24" i="14"/>
  <c r="AH23" i="14"/>
  <c r="AG23" i="14"/>
  <c r="AF23" i="14"/>
  <c r="AE23" i="14"/>
  <c r="AD23" i="14" s="1"/>
  <c r="AC23" i="14"/>
  <c r="AB23" i="14"/>
  <c r="AA23" i="14"/>
  <c r="Z23" i="14"/>
  <c r="Y23" i="14" s="1"/>
  <c r="W23" i="14" s="1"/>
  <c r="T23" i="14"/>
  <c r="U23" i="14" s="1"/>
  <c r="Q23" i="14"/>
  <c r="P23" i="14"/>
  <c r="J23" i="14"/>
  <c r="AH22" i="14"/>
  <c r="AG22" i="14"/>
  <c r="AF22" i="14"/>
  <c r="AE22" i="14"/>
  <c r="AD22" i="14" s="1"/>
  <c r="AC22" i="14"/>
  <c r="AB22" i="14"/>
  <c r="AA22" i="14"/>
  <c r="Z22" i="14"/>
  <c r="Y22" i="14" s="1"/>
  <c r="W22" i="14" s="1"/>
  <c r="T22" i="14"/>
  <c r="U22" i="14" s="1"/>
  <c r="Q22" i="14"/>
  <c r="P22" i="14"/>
  <c r="J22" i="14"/>
  <c r="AH21" i="14"/>
  <c r="AG21" i="14"/>
  <c r="AF21" i="14"/>
  <c r="AE21" i="14"/>
  <c r="AD21" i="14" s="1"/>
  <c r="AC21" i="14"/>
  <c r="AB21" i="14"/>
  <c r="AA21" i="14"/>
  <c r="Z21" i="14"/>
  <c r="Y21" i="14" s="1"/>
  <c r="W21" i="14" s="1"/>
  <c r="T21" i="14"/>
  <c r="U21" i="14" s="1"/>
  <c r="Q21" i="14"/>
  <c r="P21" i="14"/>
  <c r="J21" i="14"/>
  <c r="AH20" i="14"/>
  <c r="AG20" i="14"/>
  <c r="AF20" i="14"/>
  <c r="AE20" i="14"/>
  <c r="AD20" i="14" s="1"/>
  <c r="AC20" i="14"/>
  <c r="AB20" i="14"/>
  <c r="AA20" i="14"/>
  <c r="Z20" i="14"/>
  <c r="Y20" i="14" s="1"/>
  <c r="W20" i="14" s="1"/>
  <c r="T20" i="14"/>
  <c r="U20" i="14" s="1"/>
  <c r="Q20" i="14"/>
  <c r="P20" i="14"/>
  <c r="J20" i="14"/>
  <c r="AH19" i="14"/>
  <c r="AG19" i="14"/>
  <c r="AF19" i="14"/>
  <c r="AE19" i="14"/>
  <c r="AD19" i="14" s="1"/>
  <c r="AC19" i="14"/>
  <c r="AB19" i="14"/>
  <c r="AA19" i="14"/>
  <c r="Z19" i="14"/>
  <c r="Y19" i="14" s="1"/>
  <c r="W19" i="14" s="1"/>
  <c r="T19" i="14"/>
  <c r="U19" i="14" s="1"/>
  <c r="Q19" i="14"/>
  <c r="P19" i="14"/>
  <c r="J19" i="14"/>
  <c r="AH18" i="14"/>
  <c r="AG18" i="14"/>
  <c r="AF18" i="14"/>
  <c r="AE18" i="14"/>
  <c r="AD18" i="14" s="1"/>
  <c r="AC18" i="14"/>
  <c r="AB18" i="14"/>
  <c r="AA18" i="14"/>
  <c r="Z18" i="14"/>
  <c r="Y18" i="14" s="1"/>
  <c r="W18" i="14" s="1"/>
  <c r="T18" i="14"/>
  <c r="U18" i="14" s="1"/>
  <c r="P18" i="14"/>
  <c r="J18" i="14"/>
  <c r="AH17" i="14"/>
  <c r="AG17" i="14"/>
  <c r="AF17" i="14"/>
  <c r="AE17" i="14"/>
  <c r="AD17" i="14" s="1"/>
  <c r="AC17" i="14"/>
  <c r="AB17" i="14"/>
  <c r="AA17" i="14"/>
  <c r="Z17" i="14"/>
  <c r="Y17" i="14" s="1"/>
  <c r="W17" i="14" s="1"/>
  <c r="T17" i="14"/>
  <c r="U17" i="14" s="1"/>
  <c r="Q17" i="14"/>
  <c r="P17" i="14"/>
  <c r="J17" i="14"/>
  <c r="AH16" i="14"/>
  <c r="AG16" i="14"/>
  <c r="AF16" i="14"/>
  <c r="AE16" i="14"/>
  <c r="AD16" i="14" s="1"/>
  <c r="AC16" i="14"/>
  <c r="AB16" i="14"/>
  <c r="AA16" i="14"/>
  <c r="Z16" i="14"/>
  <c r="Y16" i="14" s="1"/>
  <c r="W16" i="14" s="1"/>
  <c r="T16" i="14"/>
  <c r="U16" i="14" s="1"/>
  <c r="P16" i="14"/>
  <c r="J16" i="14"/>
  <c r="AH15" i="14"/>
  <c r="AG15" i="14"/>
  <c r="AF15" i="14"/>
  <c r="AE15" i="14"/>
  <c r="AD15" i="14" s="1"/>
  <c r="AC15" i="14"/>
  <c r="AB15" i="14"/>
  <c r="AA15" i="14"/>
  <c r="Z15" i="14"/>
  <c r="Y15" i="14" s="1"/>
  <c r="W15" i="14" s="1"/>
  <c r="T15" i="14"/>
  <c r="U15" i="14" s="1"/>
  <c r="P15" i="14"/>
  <c r="J15" i="14"/>
  <c r="AH14" i="14"/>
  <c r="AG14" i="14"/>
  <c r="AF14" i="14"/>
  <c r="AE14" i="14"/>
  <c r="AD14" i="14" s="1"/>
  <c r="AC14" i="14"/>
  <c r="AB14" i="14"/>
  <c r="AA14" i="14"/>
  <c r="Z14" i="14"/>
  <c r="Y14" i="14" s="1"/>
  <c r="W14" i="14" s="1"/>
  <c r="T14" i="14"/>
  <c r="U14" i="14" s="1"/>
  <c r="P14" i="14"/>
  <c r="J14" i="14"/>
  <c r="AH13" i="14"/>
  <c r="AG13" i="14"/>
  <c r="AF13" i="14"/>
  <c r="AE13" i="14"/>
  <c r="AD13" i="14" s="1"/>
  <c r="AC13" i="14"/>
  <c r="AB13" i="14"/>
  <c r="AA13" i="14"/>
  <c r="Z13" i="14"/>
  <c r="Y13" i="14" s="1"/>
  <c r="W13" i="14" s="1"/>
  <c r="T13" i="14"/>
  <c r="U13" i="14" s="1"/>
  <c r="P13" i="14"/>
  <c r="J13" i="14"/>
  <c r="AH12" i="14"/>
  <c r="AG12" i="14"/>
  <c r="AF12" i="14"/>
  <c r="AE12" i="14"/>
  <c r="AD12" i="14" s="1"/>
  <c r="AC12" i="14"/>
  <c r="AB12" i="14"/>
  <c r="AA12" i="14"/>
  <c r="Z12" i="14"/>
  <c r="Y12" i="14" s="1"/>
  <c r="W12" i="14" s="1"/>
  <c r="T12" i="14"/>
  <c r="U12" i="14" s="1"/>
  <c r="P12" i="14"/>
  <c r="J12" i="14"/>
  <c r="AH11" i="14"/>
  <c r="AG11" i="14"/>
  <c r="AF11" i="14"/>
  <c r="AE11" i="14"/>
  <c r="AD11" i="14" s="1"/>
  <c r="AC11" i="14"/>
  <c r="AB11" i="14"/>
  <c r="AA11" i="14"/>
  <c r="Z11" i="14"/>
  <c r="Y11" i="14" s="1"/>
  <c r="W11" i="14" s="1"/>
  <c r="T11" i="14"/>
  <c r="U11" i="14" s="1"/>
  <c r="P11" i="14"/>
  <c r="J11" i="14"/>
  <c r="AH10" i="14"/>
  <c r="AG10" i="14"/>
  <c r="AF10" i="14"/>
  <c r="AE10" i="14"/>
  <c r="AD10" i="14" s="1"/>
  <c r="AC10" i="14"/>
  <c r="AB10" i="14"/>
  <c r="AA10" i="14"/>
  <c r="Z10" i="14"/>
  <c r="Y10" i="14" s="1"/>
  <c r="W10" i="14" s="1"/>
  <c r="T10" i="14"/>
  <c r="U10" i="14" s="1"/>
  <c r="P10" i="14"/>
  <c r="J10" i="14"/>
  <c r="AE9" i="14"/>
  <c r="AD9" i="14" s="1"/>
  <c r="AC9" i="14"/>
  <c r="AB9" i="14"/>
  <c r="AA9" i="14"/>
  <c r="Z9" i="14"/>
  <c r="Y9" i="14" s="1"/>
  <c r="W9" i="14" s="1"/>
  <c r="T9" i="14"/>
  <c r="U9" i="14" s="1"/>
  <c r="P9" i="14"/>
  <c r="J9" i="14"/>
  <c r="AH100" i="13"/>
  <c r="AH101" i="13"/>
  <c r="AH102" i="13"/>
  <c r="AH103" i="13"/>
  <c r="AH104" i="13"/>
  <c r="AH105" i="13"/>
  <c r="AH106" i="13"/>
  <c r="AH107" i="13"/>
  <c r="AH108" i="13"/>
  <c r="AH109" i="13"/>
  <c r="AH110" i="13"/>
  <c r="AH111" i="13"/>
  <c r="AH112" i="13"/>
  <c r="AH113" i="13"/>
  <c r="AH114" i="13"/>
  <c r="AH115" i="13"/>
  <c r="AH116" i="13"/>
  <c r="AH117" i="13"/>
  <c r="AH118" i="13"/>
  <c r="AH119" i="13"/>
  <c r="AH120" i="13"/>
  <c r="AH121" i="13"/>
  <c r="AH122" i="13"/>
  <c r="AH123" i="13"/>
  <c r="AH124" i="13"/>
  <c r="AH125" i="13"/>
  <c r="AH126" i="13"/>
  <c r="AH127" i="13"/>
  <c r="AH128" i="13"/>
  <c r="AH129" i="13"/>
  <c r="AH130" i="13"/>
  <c r="AH99" i="13"/>
  <c r="AH56" i="13"/>
  <c r="AH57" i="13"/>
  <c r="AH60" i="13"/>
  <c r="AH61" i="13"/>
  <c r="AH62" i="13"/>
  <c r="AH63" i="13"/>
  <c r="AH64" i="13"/>
  <c r="AH65" i="13"/>
  <c r="AH66" i="13"/>
  <c r="AH67" i="13"/>
  <c r="AH68" i="13"/>
  <c r="AH69" i="13"/>
  <c r="AH70" i="13"/>
  <c r="AH71" i="13"/>
  <c r="AH72" i="13"/>
  <c r="AH74" i="13"/>
  <c r="AH75" i="13"/>
  <c r="AH76" i="13"/>
  <c r="AH77" i="13"/>
  <c r="AH78" i="13"/>
  <c r="AH79" i="13"/>
  <c r="AH80" i="13"/>
  <c r="AH81" i="13"/>
  <c r="AH82" i="13"/>
  <c r="AH83" i="13"/>
  <c r="AH84" i="13"/>
  <c r="AS67" i="13"/>
  <c r="AV67" i="13"/>
  <c r="AW67" i="13"/>
  <c r="AX67" i="13"/>
  <c r="AY67" i="13"/>
  <c r="AS68" i="13"/>
  <c r="AV68" i="13"/>
  <c r="AW68" i="13"/>
  <c r="AX68" i="13"/>
  <c r="AY68" i="13"/>
  <c r="AS69" i="13"/>
  <c r="AV69" i="13"/>
  <c r="AW69" i="13"/>
  <c r="AX69" i="13"/>
  <c r="AY69" i="13"/>
  <c r="AS70" i="13"/>
  <c r="AV70" i="13"/>
  <c r="AW70" i="13"/>
  <c r="AX70" i="13"/>
  <c r="AY70" i="13"/>
  <c r="AS71" i="13"/>
  <c r="AV71" i="13"/>
  <c r="AW71" i="13"/>
  <c r="AX71" i="13"/>
  <c r="AY71" i="13"/>
  <c r="AS72" i="13"/>
  <c r="AT72" i="13"/>
  <c r="AV72" i="13"/>
  <c r="AW72" i="13"/>
  <c r="AX72" i="13"/>
  <c r="AY72" i="13"/>
  <c r="AS73" i="13"/>
  <c r="AT73" i="13"/>
  <c r="AV73" i="13"/>
  <c r="AW73" i="13"/>
  <c r="AX73" i="13"/>
  <c r="AY73" i="13"/>
  <c r="AS74" i="13"/>
  <c r="AT74" i="13"/>
  <c r="AV74" i="13"/>
  <c r="AW74" i="13"/>
  <c r="AX74" i="13"/>
  <c r="AY74" i="13"/>
  <c r="AS75" i="13"/>
  <c r="AT75" i="13"/>
  <c r="AV75" i="13"/>
  <c r="AW75" i="13"/>
  <c r="AX75" i="13"/>
  <c r="AY75" i="13"/>
  <c r="AS76" i="13"/>
  <c r="AT76" i="13"/>
  <c r="AV76" i="13"/>
  <c r="AW76" i="13"/>
  <c r="AX76" i="13"/>
  <c r="AY76" i="13"/>
  <c r="AS77" i="13"/>
  <c r="AT77" i="13"/>
  <c r="AV77" i="13"/>
  <c r="AW77" i="13"/>
  <c r="AX77" i="13"/>
  <c r="AY77" i="13"/>
  <c r="AS78" i="13"/>
  <c r="AT78" i="13"/>
  <c r="AV78" i="13"/>
  <c r="AW78" i="13"/>
  <c r="AX78" i="13"/>
  <c r="AY78" i="13"/>
  <c r="AS79" i="13"/>
  <c r="AT79" i="13"/>
  <c r="AV79" i="13"/>
  <c r="AW79" i="13"/>
  <c r="AX79" i="13"/>
  <c r="AY79" i="13"/>
  <c r="AS80" i="13"/>
  <c r="AT80" i="13"/>
  <c r="AV80" i="13"/>
  <c r="AW80" i="13"/>
  <c r="AX80" i="13"/>
  <c r="AY80" i="13"/>
  <c r="AS81" i="13"/>
  <c r="AT81" i="13"/>
  <c r="AV81" i="13"/>
  <c r="AW81" i="13"/>
  <c r="AX81" i="13"/>
  <c r="AY81" i="13"/>
  <c r="AS82" i="13"/>
  <c r="AT82" i="13"/>
  <c r="AV82" i="13"/>
  <c r="AW82" i="13"/>
  <c r="AX82" i="13"/>
  <c r="AY82" i="13"/>
  <c r="AS83" i="13"/>
  <c r="AT83" i="13"/>
  <c r="AV83" i="13"/>
  <c r="AW83" i="13"/>
  <c r="AX83" i="13"/>
  <c r="AY83" i="13"/>
  <c r="AS84" i="13"/>
  <c r="AT84" i="13"/>
  <c r="AV84" i="13"/>
  <c r="AW84" i="13"/>
  <c r="AX84" i="13"/>
  <c r="AY84" i="13"/>
  <c r="I67" i="13"/>
  <c r="AZ67" i="13" s="1"/>
  <c r="AM67" i="13"/>
  <c r="AN67" i="13"/>
  <c r="AO67" i="13"/>
  <c r="I68" i="13"/>
  <c r="AZ68" i="13" s="1"/>
  <c r="AM68" i="13"/>
  <c r="AN68" i="13"/>
  <c r="AO68" i="13"/>
  <c r="I69" i="13"/>
  <c r="AZ69" i="13" s="1"/>
  <c r="AM69" i="13"/>
  <c r="AN69" i="13"/>
  <c r="AO69" i="13"/>
  <c r="I70" i="13"/>
  <c r="AZ70" i="13" s="1"/>
  <c r="AM70" i="13"/>
  <c r="AN70" i="13"/>
  <c r="AO70" i="13"/>
  <c r="I71" i="13"/>
  <c r="AZ71" i="13" s="1"/>
  <c r="AM71" i="13"/>
  <c r="AN71" i="13"/>
  <c r="AO71" i="13"/>
  <c r="I72" i="13"/>
  <c r="AZ72" i="13" s="1"/>
  <c r="AM72" i="13"/>
  <c r="AN72" i="13"/>
  <c r="AO72" i="13"/>
  <c r="I73" i="13"/>
  <c r="AZ73" i="13" s="1"/>
  <c r="AH73" i="13"/>
  <c r="AM73" i="13"/>
  <c r="AN73" i="13"/>
  <c r="AO73" i="13"/>
  <c r="I74" i="13"/>
  <c r="AZ74" i="13" s="1"/>
  <c r="AM74" i="13"/>
  <c r="AN74" i="13"/>
  <c r="AO74" i="13"/>
  <c r="I75" i="13"/>
  <c r="AZ75" i="13" s="1"/>
  <c r="AM75" i="13"/>
  <c r="AN75" i="13"/>
  <c r="AO75" i="13"/>
  <c r="I76" i="13"/>
  <c r="AZ76" i="13" s="1"/>
  <c r="AM76" i="13"/>
  <c r="AN76" i="13"/>
  <c r="AO76" i="13"/>
  <c r="I77" i="13"/>
  <c r="AZ77" i="13" s="1"/>
  <c r="AM77" i="13"/>
  <c r="AN77" i="13"/>
  <c r="AO77" i="13"/>
  <c r="I78" i="13"/>
  <c r="AZ78" i="13" s="1"/>
  <c r="AM78" i="13"/>
  <c r="AN78" i="13"/>
  <c r="AO78" i="13"/>
  <c r="I79" i="13"/>
  <c r="AZ79" i="13" s="1"/>
  <c r="AM79" i="13"/>
  <c r="AN79" i="13"/>
  <c r="AO79" i="13"/>
  <c r="I80" i="13"/>
  <c r="AZ80" i="13" s="1"/>
  <c r="AM80" i="13"/>
  <c r="AN80" i="13"/>
  <c r="AO80" i="13"/>
  <c r="I81" i="13"/>
  <c r="AZ81" i="13" s="1"/>
  <c r="AM81" i="13"/>
  <c r="AN81" i="13"/>
  <c r="AO81" i="13"/>
  <c r="I82" i="13"/>
  <c r="AZ82" i="13" s="1"/>
  <c r="AM82" i="13"/>
  <c r="AN82" i="13"/>
  <c r="AO82" i="13"/>
  <c r="I83" i="13"/>
  <c r="AZ83" i="13" s="1"/>
  <c r="AM83" i="13"/>
  <c r="AN83" i="13"/>
  <c r="AO83" i="13"/>
  <c r="I84" i="13"/>
  <c r="AZ84" i="13" s="1"/>
  <c r="AM84" i="13"/>
  <c r="AN84" i="13"/>
  <c r="AO84" i="13"/>
  <c r="I130" i="13"/>
  <c r="AZ130" i="13" s="1"/>
  <c r="AM130" i="13"/>
  <c r="AN130" i="13"/>
  <c r="AO130" i="13"/>
  <c r="AS130" i="13"/>
  <c r="AT130" i="13"/>
  <c r="AV130" i="13"/>
  <c r="AW130" i="13"/>
  <c r="AX130" i="13"/>
  <c r="AY130" i="13"/>
  <c r="I53" i="13"/>
  <c r="AZ53" i="13" s="1"/>
  <c r="AH53" i="13"/>
  <c r="AM53" i="13"/>
  <c r="AO53" i="13"/>
  <c r="AS53" i="13"/>
  <c r="AV53" i="13"/>
  <c r="AW53" i="13"/>
  <c r="AX53" i="13"/>
  <c r="AY53" i="13"/>
  <c r="I54" i="13"/>
  <c r="AZ54" i="13" s="1"/>
  <c r="AH54" i="13"/>
  <c r="AM54" i="13"/>
  <c r="AO54" i="13"/>
  <c r="AS54" i="13"/>
  <c r="AV54" i="13"/>
  <c r="AW54" i="13"/>
  <c r="AX54" i="13"/>
  <c r="AY54" i="13"/>
  <c r="I55" i="13"/>
  <c r="AZ55" i="13" s="1"/>
  <c r="AH55" i="13"/>
  <c r="AM55" i="13"/>
  <c r="AO55" i="13"/>
  <c r="AS55" i="13"/>
  <c r="AV55" i="13"/>
  <c r="AW55" i="13"/>
  <c r="AX55" i="13"/>
  <c r="AY55" i="13"/>
  <c r="I99" i="13"/>
  <c r="AZ99" i="13" s="1"/>
  <c r="AM99" i="13"/>
  <c r="AN99" i="13"/>
  <c r="AO99" i="13"/>
  <c r="AS99" i="13"/>
  <c r="AT99" i="13"/>
  <c r="AV99" i="13"/>
  <c r="AW99" i="13"/>
  <c r="AX99" i="13"/>
  <c r="AY99" i="13"/>
  <c r="I100" i="13"/>
  <c r="AZ100" i="13" s="1"/>
  <c r="AM100" i="13"/>
  <c r="AN100" i="13"/>
  <c r="AO100" i="13"/>
  <c r="AS100" i="13"/>
  <c r="AT100" i="13"/>
  <c r="AV100" i="13"/>
  <c r="AW100" i="13"/>
  <c r="AX100" i="13"/>
  <c r="AY100" i="13"/>
  <c r="I128" i="13"/>
  <c r="AZ128" i="13" s="1"/>
  <c r="AM128" i="13"/>
  <c r="AN128" i="13"/>
  <c r="AO128" i="13"/>
  <c r="AS128" i="13"/>
  <c r="AT128" i="13"/>
  <c r="AV128" i="13"/>
  <c r="AW128" i="13"/>
  <c r="AX128" i="13"/>
  <c r="AY128" i="13"/>
  <c r="I129" i="13"/>
  <c r="AZ129" i="13" s="1"/>
  <c r="AM129" i="13"/>
  <c r="AN129" i="13"/>
  <c r="AO129" i="13"/>
  <c r="AS129" i="13"/>
  <c r="AT129" i="13"/>
  <c r="AV129" i="13"/>
  <c r="AW129" i="13"/>
  <c r="AX129" i="13"/>
  <c r="AY129" i="13"/>
  <c r="AY127" i="13"/>
  <c r="AX127" i="13"/>
  <c r="AW127" i="13"/>
  <c r="AV127" i="13"/>
  <c r="AT127" i="13"/>
  <c r="AS127" i="13"/>
  <c r="AO127" i="13"/>
  <c r="AN127" i="13"/>
  <c r="AM127" i="13"/>
  <c r="I127" i="13"/>
  <c r="AZ127" i="13" s="1"/>
  <c r="AY126" i="13"/>
  <c r="AX126" i="13"/>
  <c r="AW126" i="13"/>
  <c r="AV126" i="13"/>
  <c r="AT126" i="13"/>
  <c r="AS126" i="13"/>
  <c r="AO126" i="13"/>
  <c r="AN126" i="13"/>
  <c r="AM126" i="13"/>
  <c r="I126" i="13"/>
  <c r="AZ126" i="13" s="1"/>
  <c r="AY125" i="13"/>
  <c r="AX125" i="13"/>
  <c r="AW125" i="13"/>
  <c r="AV125" i="13"/>
  <c r="AT125" i="13"/>
  <c r="AS125" i="13"/>
  <c r="AO125" i="13"/>
  <c r="AN125" i="13"/>
  <c r="AM125" i="13"/>
  <c r="I125" i="13"/>
  <c r="AZ125" i="13" s="1"/>
  <c r="AY124" i="13"/>
  <c r="AX124" i="13"/>
  <c r="AW124" i="13"/>
  <c r="AV124" i="13"/>
  <c r="AT124" i="13"/>
  <c r="AS124" i="13"/>
  <c r="AO124" i="13"/>
  <c r="AN124" i="13"/>
  <c r="AM124" i="13"/>
  <c r="I124" i="13"/>
  <c r="AZ124" i="13" s="1"/>
  <c r="AY123" i="13"/>
  <c r="AX123" i="13"/>
  <c r="AW123" i="13"/>
  <c r="AV123" i="13"/>
  <c r="AT123" i="13"/>
  <c r="AS123" i="13"/>
  <c r="AO123" i="13"/>
  <c r="AN123" i="13"/>
  <c r="AM123" i="13"/>
  <c r="I123" i="13"/>
  <c r="AZ123" i="13" s="1"/>
  <c r="AY122" i="13"/>
  <c r="AX122" i="13"/>
  <c r="AW122" i="13"/>
  <c r="AV122" i="13"/>
  <c r="AT122" i="13"/>
  <c r="AS122" i="13"/>
  <c r="AO122" i="13"/>
  <c r="AN122" i="13"/>
  <c r="AM122" i="13"/>
  <c r="I122" i="13"/>
  <c r="AZ122" i="13" s="1"/>
  <c r="AY121" i="13"/>
  <c r="AX121" i="13"/>
  <c r="AW121" i="13"/>
  <c r="AV121" i="13"/>
  <c r="AT121" i="13"/>
  <c r="AS121" i="13"/>
  <c r="AO121" i="13"/>
  <c r="AN121" i="13"/>
  <c r="AM121" i="13"/>
  <c r="I121" i="13"/>
  <c r="AZ121" i="13" s="1"/>
  <c r="AY120" i="13"/>
  <c r="AX120" i="13"/>
  <c r="AW120" i="13"/>
  <c r="AV120" i="13"/>
  <c r="AT120" i="13"/>
  <c r="AS120" i="13"/>
  <c r="AO120" i="13"/>
  <c r="AN120" i="13"/>
  <c r="AM120" i="13"/>
  <c r="I120" i="13"/>
  <c r="AZ120" i="13" s="1"/>
  <c r="AY119" i="13"/>
  <c r="AX119" i="13"/>
  <c r="AW119" i="13"/>
  <c r="AV119" i="13"/>
  <c r="AT119" i="13"/>
  <c r="AS119" i="13"/>
  <c r="AO119" i="13"/>
  <c r="AN119" i="13"/>
  <c r="AM119" i="13"/>
  <c r="I119" i="13"/>
  <c r="AZ119" i="13" s="1"/>
  <c r="AY118" i="13"/>
  <c r="AX118" i="13"/>
  <c r="AW118" i="13"/>
  <c r="AV118" i="13"/>
  <c r="AT118" i="13"/>
  <c r="AS118" i="13"/>
  <c r="AO118" i="13"/>
  <c r="AN118" i="13"/>
  <c r="AM118" i="13"/>
  <c r="I118" i="13"/>
  <c r="AZ118" i="13" s="1"/>
  <c r="AY117" i="13"/>
  <c r="AX117" i="13"/>
  <c r="AW117" i="13"/>
  <c r="AV117" i="13"/>
  <c r="AT117" i="13"/>
  <c r="AS117" i="13"/>
  <c r="AO117" i="13"/>
  <c r="AN117" i="13"/>
  <c r="AM117" i="13"/>
  <c r="I117" i="13"/>
  <c r="AZ117" i="13" s="1"/>
  <c r="AY116" i="13"/>
  <c r="AX116" i="13"/>
  <c r="AW116" i="13"/>
  <c r="AV116" i="13"/>
  <c r="AT116" i="13"/>
  <c r="AS116" i="13"/>
  <c r="AO116" i="13"/>
  <c r="AN116" i="13"/>
  <c r="AM116" i="13"/>
  <c r="I116" i="13"/>
  <c r="AZ116" i="13" s="1"/>
  <c r="AY115" i="13"/>
  <c r="AX115" i="13"/>
  <c r="AW115" i="13"/>
  <c r="AV115" i="13"/>
  <c r="AT115" i="13"/>
  <c r="AS115" i="13"/>
  <c r="AO115" i="13"/>
  <c r="AN115" i="13"/>
  <c r="AM115" i="13"/>
  <c r="I115" i="13"/>
  <c r="AZ115" i="13" s="1"/>
  <c r="AY114" i="13"/>
  <c r="AX114" i="13"/>
  <c r="AW114" i="13"/>
  <c r="AV114" i="13"/>
  <c r="AT114" i="13"/>
  <c r="AS114" i="13"/>
  <c r="AO114" i="13"/>
  <c r="AN114" i="13"/>
  <c r="AM114" i="13"/>
  <c r="I114" i="13"/>
  <c r="AZ114" i="13" s="1"/>
  <c r="AY113" i="13"/>
  <c r="AX113" i="13"/>
  <c r="AW113" i="13"/>
  <c r="AV113" i="13"/>
  <c r="AT113" i="13"/>
  <c r="AS113" i="13"/>
  <c r="AO113" i="13"/>
  <c r="AN113" i="13"/>
  <c r="AM113" i="13"/>
  <c r="I113" i="13"/>
  <c r="AZ113" i="13" s="1"/>
  <c r="AY112" i="13"/>
  <c r="AX112" i="13"/>
  <c r="AW112" i="13"/>
  <c r="AV112" i="13"/>
  <c r="AT112" i="13"/>
  <c r="AS112" i="13"/>
  <c r="AO112" i="13"/>
  <c r="AN112" i="13"/>
  <c r="AM112" i="13"/>
  <c r="I112" i="13"/>
  <c r="AZ112" i="13" s="1"/>
  <c r="AY111" i="13"/>
  <c r="AX111" i="13"/>
  <c r="AW111" i="13"/>
  <c r="AV111" i="13"/>
  <c r="AT111" i="13"/>
  <c r="AS111" i="13"/>
  <c r="AO111" i="13"/>
  <c r="AN111" i="13"/>
  <c r="AM111" i="13"/>
  <c r="I111" i="13"/>
  <c r="AZ111" i="13" s="1"/>
  <c r="AY110" i="13"/>
  <c r="AX110" i="13"/>
  <c r="AW110" i="13"/>
  <c r="AV110" i="13"/>
  <c r="AT110" i="13"/>
  <c r="AS110" i="13"/>
  <c r="AO110" i="13"/>
  <c r="AN110" i="13"/>
  <c r="AM110" i="13"/>
  <c r="I110" i="13"/>
  <c r="AZ110" i="13" s="1"/>
  <c r="AY109" i="13"/>
  <c r="AX109" i="13"/>
  <c r="AW109" i="13"/>
  <c r="AV109" i="13"/>
  <c r="AT109" i="13"/>
  <c r="AS109" i="13"/>
  <c r="AO109" i="13"/>
  <c r="AN109" i="13"/>
  <c r="AM109" i="13"/>
  <c r="I109" i="13"/>
  <c r="AZ109" i="13" s="1"/>
  <c r="AY108" i="13"/>
  <c r="AX108" i="13"/>
  <c r="AW108" i="13"/>
  <c r="AV108" i="13"/>
  <c r="AT108" i="13"/>
  <c r="AS108" i="13"/>
  <c r="AO108" i="13"/>
  <c r="AN108" i="13"/>
  <c r="AM108" i="13"/>
  <c r="I108" i="13"/>
  <c r="AZ108" i="13" s="1"/>
  <c r="AY107" i="13"/>
  <c r="AX107" i="13"/>
  <c r="AW107" i="13"/>
  <c r="AV107" i="13"/>
  <c r="AT107" i="13"/>
  <c r="AS107" i="13"/>
  <c r="AO107" i="13"/>
  <c r="AN107" i="13"/>
  <c r="AM107" i="13"/>
  <c r="I107" i="13"/>
  <c r="AZ107" i="13" s="1"/>
  <c r="AY106" i="13"/>
  <c r="AX106" i="13"/>
  <c r="AW106" i="13"/>
  <c r="AV106" i="13"/>
  <c r="AT106" i="13"/>
  <c r="AS106" i="13"/>
  <c r="AO106" i="13"/>
  <c r="AN106" i="13"/>
  <c r="AM106" i="13"/>
  <c r="I106" i="13"/>
  <c r="AZ106" i="13" s="1"/>
  <c r="AY105" i="13"/>
  <c r="AX105" i="13"/>
  <c r="AW105" i="13"/>
  <c r="AV105" i="13"/>
  <c r="AT105" i="13"/>
  <c r="AS105" i="13"/>
  <c r="AO105" i="13"/>
  <c r="AN105" i="13"/>
  <c r="AM105" i="13"/>
  <c r="I105" i="13"/>
  <c r="AZ105" i="13" s="1"/>
  <c r="AY104" i="13"/>
  <c r="AX104" i="13"/>
  <c r="AW104" i="13"/>
  <c r="AV104" i="13"/>
  <c r="AT104" i="13"/>
  <c r="AS104" i="13"/>
  <c r="AO104" i="13"/>
  <c r="AN104" i="13"/>
  <c r="AM104" i="13"/>
  <c r="I104" i="13"/>
  <c r="AZ104" i="13" s="1"/>
  <c r="AY103" i="13"/>
  <c r="AX103" i="13"/>
  <c r="AW103" i="13"/>
  <c r="AV103" i="13"/>
  <c r="AT103" i="13"/>
  <c r="AS103" i="13"/>
  <c r="AO103" i="13"/>
  <c r="AN103" i="13"/>
  <c r="AM103" i="13"/>
  <c r="I103" i="13"/>
  <c r="AZ103" i="13" s="1"/>
  <c r="AY102" i="13"/>
  <c r="AX102" i="13"/>
  <c r="AW102" i="13"/>
  <c r="AV102" i="13"/>
  <c r="AT102" i="13"/>
  <c r="AS102" i="13"/>
  <c r="AO102" i="13"/>
  <c r="AN102" i="13"/>
  <c r="AM102" i="13"/>
  <c r="I102" i="13"/>
  <c r="AZ102" i="13" s="1"/>
  <c r="AY101" i="13"/>
  <c r="AX101" i="13"/>
  <c r="AW101" i="13"/>
  <c r="AV101" i="13"/>
  <c r="AT101" i="13"/>
  <c r="AS101" i="13"/>
  <c r="AO101" i="13"/>
  <c r="AN101" i="13"/>
  <c r="AM101" i="13"/>
  <c r="I101" i="13"/>
  <c r="AZ101" i="13" s="1"/>
  <c r="AY66" i="13"/>
  <c r="AX66" i="13"/>
  <c r="AW66" i="13"/>
  <c r="AV66" i="13"/>
  <c r="AS66" i="13"/>
  <c r="AO66" i="13"/>
  <c r="AN66" i="13"/>
  <c r="I66" i="13"/>
  <c r="AZ66" i="13" s="1"/>
  <c r="AY65" i="13"/>
  <c r="AX65" i="13"/>
  <c r="AW65" i="13"/>
  <c r="AV65" i="13"/>
  <c r="AS65" i="13"/>
  <c r="AN65" i="13"/>
  <c r="AM65" i="13"/>
  <c r="I65" i="13"/>
  <c r="AZ65" i="13" s="1"/>
  <c r="AY64" i="13"/>
  <c r="AX64" i="13"/>
  <c r="AW64" i="13"/>
  <c r="AV64" i="13"/>
  <c r="AS64" i="13"/>
  <c r="AO64" i="13"/>
  <c r="AN64" i="13"/>
  <c r="I64" i="13"/>
  <c r="AZ64" i="13" s="1"/>
  <c r="AY63" i="13"/>
  <c r="AX63" i="13"/>
  <c r="AW63" i="13"/>
  <c r="AV63" i="13"/>
  <c r="AS63" i="13"/>
  <c r="AO63" i="13"/>
  <c r="AN63" i="13"/>
  <c r="I63" i="13"/>
  <c r="AZ63" i="13" s="1"/>
  <c r="AY62" i="13"/>
  <c r="AX62" i="13"/>
  <c r="AW62" i="13"/>
  <c r="AV62" i="13"/>
  <c r="AS62" i="13"/>
  <c r="AO62" i="13"/>
  <c r="AN62" i="13"/>
  <c r="I62" i="13"/>
  <c r="AZ62" i="13" s="1"/>
  <c r="AY61" i="13"/>
  <c r="AX61" i="13"/>
  <c r="AW61" i="13"/>
  <c r="AV61" i="13"/>
  <c r="AS61" i="13"/>
  <c r="AO61" i="13"/>
  <c r="AM61" i="13"/>
  <c r="I61" i="13"/>
  <c r="AZ61" i="13" s="1"/>
  <c r="AY60" i="13"/>
  <c r="AX60" i="13"/>
  <c r="AW60" i="13"/>
  <c r="AV60" i="13"/>
  <c r="AS60" i="13"/>
  <c r="AO60" i="13"/>
  <c r="AM60" i="13"/>
  <c r="I60" i="13"/>
  <c r="AZ60" i="13" s="1"/>
  <c r="AY59" i="13"/>
  <c r="AX59" i="13"/>
  <c r="AW59" i="13"/>
  <c r="AV59" i="13"/>
  <c r="AS59" i="13"/>
  <c r="AO59" i="13"/>
  <c r="AM59" i="13"/>
  <c r="AH59" i="13"/>
  <c r="I59" i="13"/>
  <c r="AZ59" i="13" s="1"/>
  <c r="AY58" i="13"/>
  <c r="AX58" i="13"/>
  <c r="AW58" i="13"/>
  <c r="AV58" i="13"/>
  <c r="AS58" i="13"/>
  <c r="AO58" i="13"/>
  <c r="AM58" i="13"/>
  <c r="AH58" i="13"/>
  <c r="I58" i="13"/>
  <c r="AZ58" i="13" s="1"/>
  <c r="AY57" i="13"/>
  <c r="AX57" i="13"/>
  <c r="AW57" i="13"/>
  <c r="AV57" i="13"/>
  <c r="AS57" i="13"/>
  <c r="AO57" i="13"/>
  <c r="AM57" i="13"/>
  <c r="I57" i="13"/>
  <c r="AZ57" i="13" s="1"/>
  <c r="AY56" i="13"/>
  <c r="AX56" i="13"/>
  <c r="AW56" i="13"/>
  <c r="AV56" i="13"/>
  <c r="AS56" i="13"/>
  <c r="AO56" i="13"/>
  <c r="AM56" i="13"/>
  <c r="I56" i="13"/>
  <c r="AZ56" i="13" s="1"/>
  <c r="AF9" i="14"/>
  <c r="AH9" i="14"/>
  <c r="AG9" i="14"/>
  <c r="AN55" i="13"/>
  <c r="AN54" i="13"/>
  <c r="AN60" i="13"/>
  <c r="AO13" i="13"/>
  <c r="AM14" i="13"/>
  <c r="AO17" i="13"/>
  <c r="AM20" i="13"/>
  <c r="AO20" i="13"/>
  <c r="AM21" i="13"/>
  <c r="AO21" i="13"/>
  <c r="AO22" i="13"/>
  <c r="AN23" i="13"/>
  <c r="AN24" i="13"/>
  <c r="AO11" i="13"/>
  <c r="AW12" i="13"/>
  <c r="AX12" i="13"/>
  <c r="AY12" i="13"/>
  <c r="AW13" i="13"/>
  <c r="AX13" i="13"/>
  <c r="AY13" i="13"/>
  <c r="AW14" i="13"/>
  <c r="AX14" i="13"/>
  <c r="AY14" i="13"/>
  <c r="AW15" i="13"/>
  <c r="AX15" i="13"/>
  <c r="AY15" i="13"/>
  <c r="AW16" i="13"/>
  <c r="AX16" i="13"/>
  <c r="AY16" i="13"/>
  <c r="AW17" i="13"/>
  <c r="AX17" i="13"/>
  <c r="AY17" i="13"/>
  <c r="AW18" i="13"/>
  <c r="AX18" i="13"/>
  <c r="AY18" i="13"/>
  <c r="AW19" i="13"/>
  <c r="AX19" i="13"/>
  <c r="AY19" i="13"/>
  <c r="AW20" i="13"/>
  <c r="AX20" i="13"/>
  <c r="AY20" i="13"/>
  <c r="AW21" i="13"/>
  <c r="AX21" i="13"/>
  <c r="AY21" i="13"/>
  <c r="AW22" i="13"/>
  <c r="AX22" i="13"/>
  <c r="AY22" i="13"/>
  <c r="AW23" i="13"/>
  <c r="AX23" i="13"/>
  <c r="AY23" i="13"/>
  <c r="AW24" i="13"/>
  <c r="AX24" i="13"/>
  <c r="AY24" i="13"/>
  <c r="AX11" i="13"/>
  <c r="AY11" i="13"/>
  <c r="AW11" i="13"/>
  <c r="AN53" i="13"/>
  <c r="AN59" i="13"/>
  <c r="AN61" i="13"/>
  <c r="AN56" i="13"/>
  <c r="AM64" i="13"/>
  <c r="AM62" i="13"/>
  <c r="AO65" i="13"/>
  <c r="AM63" i="13"/>
  <c r="AN57" i="13"/>
  <c r="AM66" i="13"/>
  <c r="AN58" i="13"/>
  <c r="I11" i="13"/>
  <c r="AZ11" i="13" s="1"/>
  <c r="I12" i="13"/>
  <c r="AZ12" i="13" s="1"/>
  <c r="I13" i="13"/>
  <c r="AZ13" i="13"/>
  <c r="I14" i="13"/>
  <c r="AZ14" i="13" s="1"/>
  <c r="I15" i="13"/>
  <c r="AZ15" i="13" s="1"/>
  <c r="I16" i="13"/>
  <c r="AZ16" i="13" s="1"/>
  <c r="I17" i="13"/>
  <c r="AZ17" i="13" s="1"/>
  <c r="I18" i="13"/>
  <c r="AZ18" i="13" s="1"/>
  <c r="I19" i="13"/>
  <c r="AZ19" i="13" s="1"/>
  <c r="I20" i="13"/>
  <c r="AZ20" i="13" s="1"/>
  <c r="I21" i="13"/>
  <c r="AZ21" i="13" s="1"/>
  <c r="I22" i="13"/>
  <c r="AZ22" i="13" s="1"/>
  <c r="I23" i="13"/>
  <c r="AZ23" i="13" s="1"/>
  <c r="I24" i="13"/>
  <c r="AZ24" i="13" s="1"/>
  <c r="AH12" i="13"/>
  <c r="AH13" i="13"/>
  <c r="AH14" i="13"/>
  <c r="AH15" i="13"/>
  <c r="AH16" i="13"/>
  <c r="AH17" i="13"/>
  <c r="AH18" i="13"/>
  <c r="AH19" i="13"/>
  <c r="AH20" i="13"/>
  <c r="AH21" i="13"/>
  <c r="AH22" i="13"/>
  <c r="AH23" i="13"/>
  <c r="AH24" i="13"/>
  <c r="AH11" i="13"/>
  <c r="AS16" i="13"/>
  <c r="AT16" i="13"/>
  <c r="AV16" i="13"/>
  <c r="AS17" i="13"/>
  <c r="AT17" i="13"/>
  <c r="AV17" i="13"/>
  <c r="AS18" i="13"/>
  <c r="AT18" i="13"/>
  <c r="AV18" i="13"/>
  <c r="AS19" i="13"/>
  <c r="AT19" i="13"/>
  <c r="AV19" i="13"/>
  <c r="AS20" i="13"/>
  <c r="AT20" i="13"/>
  <c r="AV20" i="13"/>
  <c r="AS21" i="13"/>
  <c r="AT21" i="13"/>
  <c r="AV21" i="13"/>
  <c r="AS22" i="13"/>
  <c r="AT22" i="13"/>
  <c r="AV22" i="13"/>
  <c r="AS23" i="13"/>
  <c r="AV23" i="13"/>
  <c r="AS24" i="13"/>
  <c r="AV24" i="13"/>
  <c r="AS12" i="13"/>
  <c r="AT12" i="13"/>
  <c r="AV12" i="13"/>
  <c r="AS13" i="13"/>
  <c r="AT13" i="13"/>
  <c r="AV13" i="13"/>
  <c r="AS14" i="13"/>
  <c r="AT14" i="13"/>
  <c r="AV14" i="13"/>
  <c r="AS15" i="13"/>
  <c r="AT15" i="13"/>
  <c r="AV15" i="13"/>
  <c r="AV11" i="13"/>
  <c r="AT11" i="13"/>
  <c r="AS11" i="13"/>
  <c r="J13" i="2"/>
  <c r="AO24" i="13"/>
  <c r="AN20" i="13"/>
  <c r="AN19" i="13"/>
  <c r="AO18" i="13"/>
  <c r="AO12" i="13"/>
  <c r="AO19" i="13"/>
  <c r="AN17" i="13"/>
  <c r="AO23" i="13"/>
  <c r="AN22" i="13"/>
  <c r="AN18" i="13"/>
  <c r="AN21" i="13"/>
  <c r="AN13" i="13"/>
  <c r="AO16" i="13"/>
  <c r="AN16" i="13"/>
  <c r="AO15" i="13"/>
  <c r="AN15" i="13"/>
  <c r="AN14" i="13"/>
  <c r="AO14" i="13"/>
  <c r="AM12" i="13"/>
  <c r="AN11" i="13"/>
  <c r="F10" i="2"/>
  <c r="L10" i="2" s="1"/>
  <c r="C9" i="4"/>
  <c r="D9" i="4"/>
  <c r="E9" i="4"/>
  <c r="D10" i="2"/>
  <c r="Q15" i="14"/>
  <c r="Q13" i="14"/>
  <c r="Q11" i="14"/>
  <c r="O6" i="14"/>
  <c r="Q9" i="14"/>
  <c r="M9" i="4"/>
  <c r="Q18" i="14"/>
  <c r="Q16" i="14"/>
  <c r="Q14" i="14"/>
  <c r="Q12" i="14"/>
  <c r="Q10" i="14"/>
  <c r="AM18" i="13"/>
  <c r="AM19" i="13"/>
  <c r="AM22" i="13"/>
  <c r="AM17" i="13"/>
  <c r="AM16" i="13"/>
  <c r="AM24" i="13"/>
  <c r="AM13" i="13"/>
  <c r="AM23" i="13"/>
  <c r="AM15" i="13"/>
  <c r="AT899" i="13"/>
  <c r="AT893" i="13"/>
  <c r="AT895" i="13"/>
  <c r="AT897" i="13"/>
  <c r="AT894" i="13"/>
  <c r="AT896" i="13"/>
  <c r="AT887" i="13"/>
  <c r="AT898" i="13"/>
  <c r="AT890" i="13"/>
  <c r="AT889" i="13"/>
  <c r="AT891" i="13"/>
  <c r="AT892" i="13"/>
  <c r="AT888" i="13"/>
  <c r="AN12" i="13"/>
  <c r="G91" i="16" l="1"/>
  <c r="H91" i="16"/>
  <c r="H47" i="16"/>
  <c r="G47" i="16"/>
  <c r="H48" i="16"/>
  <c r="G48" i="16"/>
  <c r="G49" i="16"/>
  <c r="H49" i="16"/>
  <c r="H50" i="16"/>
  <c r="G50" i="16"/>
  <c r="G51" i="16"/>
  <c r="H51" i="16"/>
  <c r="H52" i="16"/>
  <c r="G52" i="16"/>
  <c r="G53" i="16"/>
  <c r="H53" i="16"/>
  <c r="G54" i="16"/>
  <c r="H54" i="16"/>
  <c r="G55" i="16"/>
  <c r="H55" i="16"/>
  <c r="H56" i="16"/>
  <c r="G56" i="16"/>
  <c r="G57" i="16"/>
  <c r="H57" i="16"/>
  <c r="G58" i="16"/>
  <c r="H58" i="16"/>
  <c r="H59" i="16"/>
  <c r="G59" i="16"/>
  <c r="H60" i="16"/>
  <c r="G60" i="16"/>
  <c r="G61" i="16"/>
  <c r="H61" i="16"/>
  <c r="H62" i="16"/>
  <c r="G62" i="16"/>
  <c r="H63" i="16"/>
  <c r="G63" i="16"/>
  <c r="H64" i="16"/>
  <c r="G64" i="16"/>
  <c r="G65" i="16"/>
  <c r="H65" i="16"/>
  <c r="G66" i="16"/>
  <c r="H66" i="16"/>
  <c r="G67" i="16"/>
  <c r="H67" i="16"/>
  <c r="H68" i="16"/>
  <c r="G68" i="16"/>
  <c r="H69" i="16"/>
  <c r="G69" i="16"/>
  <c r="H70" i="16"/>
  <c r="G70" i="16"/>
  <c r="H71" i="16"/>
  <c r="G71" i="16"/>
  <c r="G72" i="16"/>
  <c r="H72" i="16"/>
  <c r="G73" i="16"/>
  <c r="H73" i="16"/>
  <c r="G74" i="16"/>
  <c r="H74" i="16"/>
  <c r="H75" i="16"/>
  <c r="G75" i="16"/>
  <c r="G76" i="16"/>
  <c r="H76" i="16"/>
  <c r="G77" i="16"/>
  <c r="H77" i="16"/>
  <c r="G78" i="16"/>
  <c r="H78" i="16"/>
  <c r="H79" i="16"/>
  <c r="G79" i="16"/>
  <c r="G80" i="16"/>
  <c r="H80" i="16"/>
  <c r="H81" i="16"/>
  <c r="G81" i="16"/>
  <c r="G82" i="16"/>
  <c r="H82" i="16"/>
  <c r="G83" i="16"/>
  <c r="H83" i="16"/>
  <c r="G84" i="16"/>
  <c r="H84" i="16"/>
  <c r="H85" i="16"/>
  <c r="G85" i="16"/>
  <c r="G86" i="16"/>
  <c r="H86" i="16"/>
  <c r="G87" i="16"/>
  <c r="H87" i="16"/>
  <c r="H88" i="16"/>
  <c r="G88" i="16"/>
  <c r="G89" i="16"/>
  <c r="H89" i="16"/>
  <c r="H90" i="16"/>
  <c r="G90" i="16"/>
  <c r="G92" i="16"/>
  <c r="H92" i="16"/>
  <c r="G93" i="16"/>
  <c r="H93" i="16"/>
  <c r="H94" i="16"/>
  <c r="G94" i="16"/>
  <c r="H95" i="16"/>
  <c r="G95" i="16"/>
  <c r="G96" i="16"/>
  <c r="H96" i="16"/>
  <c r="H97" i="16"/>
  <c r="G97" i="16"/>
  <c r="H98" i="16"/>
  <c r="G98" i="16"/>
  <c r="G99" i="16"/>
  <c r="H99" i="16"/>
  <c r="H100" i="16"/>
  <c r="G100" i="16"/>
  <c r="G101" i="16"/>
  <c r="H101" i="16"/>
  <c r="G102" i="16"/>
  <c r="H102" i="16"/>
  <c r="H103" i="16"/>
  <c r="G103" i="16"/>
  <c r="G104" i="16"/>
  <c r="H104" i="16"/>
  <c r="G105" i="16"/>
  <c r="H105" i="16"/>
  <c r="G106" i="16"/>
  <c r="H106" i="16"/>
  <c r="G107" i="16"/>
  <c r="H107" i="16"/>
  <c r="G108" i="16"/>
  <c r="H108" i="16"/>
  <c r="H109" i="16"/>
  <c r="G109" i="16"/>
  <c r="H110" i="16"/>
  <c r="G110" i="16"/>
  <c r="H111" i="16"/>
  <c r="G111" i="16"/>
  <c r="H112" i="16"/>
  <c r="G112" i="16"/>
  <c r="H113" i="16"/>
  <c r="G113" i="16"/>
  <c r="G114" i="16"/>
  <c r="H114" i="16"/>
  <c r="H115" i="16"/>
  <c r="G115" i="16"/>
  <c r="G116" i="16"/>
  <c r="H116" i="16"/>
  <c r="H117" i="16"/>
  <c r="G117" i="16"/>
  <c r="H118" i="16"/>
  <c r="G118" i="16"/>
  <c r="G119" i="16"/>
  <c r="H119" i="16"/>
  <c r="G120" i="16"/>
  <c r="H120" i="16"/>
  <c r="H121" i="16"/>
  <c r="G121" i="16"/>
  <c r="G122" i="16"/>
  <c r="H122" i="16"/>
  <c r="H123" i="16"/>
  <c r="G123" i="16"/>
  <c r="G124" i="16"/>
  <c r="H124" i="16"/>
  <c r="G125" i="16"/>
  <c r="H125" i="16"/>
  <c r="H126" i="16"/>
  <c r="G126" i="16"/>
  <c r="G127" i="16"/>
  <c r="H127" i="16"/>
  <c r="G128" i="16"/>
  <c r="H128" i="16"/>
  <c r="G129" i="16"/>
  <c r="H129" i="16"/>
  <c r="G130" i="16"/>
  <c r="H130" i="16"/>
  <c r="G131" i="16"/>
  <c r="H131" i="16"/>
  <c r="H132" i="16"/>
  <c r="G132" i="16"/>
  <c r="G133" i="16"/>
  <c r="H133" i="16"/>
  <c r="H134" i="16"/>
  <c r="G134" i="16"/>
  <c r="G135" i="16"/>
  <c r="H135" i="16"/>
  <c r="H136" i="16"/>
  <c r="G136" i="16"/>
  <c r="G137" i="16"/>
  <c r="H137" i="16"/>
  <c r="G138" i="16"/>
  <c r="H138" i="16"/>
  <c r="H139" i="16"/>
  <c r="G139" i="16"/>
  <c r="G140" i="16"/>
  <c r="H140" i="16"/>
  <c r="G141" i="16"/>
  <c r="H141" i="16"/>
  <c r="G142" i="16"/>
  <c r="H142" i="16"/>
  <c r="H143" i="16"/>
  <c r="G143" i="16"/>
  <c r="H144" i="16"/>
  <c r="G144" i="16"/>
  <c r="H145" i="16"/>
  <c r="G145" i="16"/>
  <c r="G146" i="16"/>
  <c r="H146" i="16"/>
  <c r="H147" i="16"/>
  <c r="G147" i="16"/>
  <c r="H148" i="16"/>
  <c r="G148" i="16"/>
  <c r="H149" i="16"/>
  <c r="G149" i="16"/>
  <c r="H150" i="16"/>
  <c r="G150" i="16"/>
  <c r="G151" i="16"/>
  <c r="H151" i="16"/>
  <c r="G152" i="16"/>
  <c r="H152" i="16"/>
  <c r="G153" i="16"/>
  <c r="H153" i="16"/>
  <c r="G154" i="16"/>
  <c r="H154" i="16"/>
  <c r="H155" i="16"/>
  <c r="G155" i="16"/>
  <c r="G156" i="16"/>
  <c r="H156" i="16"/>
  <c r="G157" i="16"/>
  <c r="H157" i="16"/>
  <c r="G158" i="16"/>
  <c r="H158" i="16"/>
  <c r="G159" i="16"/>
  <c r="H159" i="16"/>
  <c r="G160" i="16"/>
  <c r="H160" i="16"/>
  <c r="G161" i="16"/>
  <c r="H161" i="16"/>
  <c r="H162" i="16"/>
  <c r="G162" i="16"/>
  <c r="G163" i="16"/>
  <c r="H163" i="16"/>
  <c r="H164" i="16"/>
  <c r="G164" i="16"/>
  <c r="H165" i="16"/>
  <c r="G165" i="16"/>
  <c r="G166" i="16"/>
  <c r="H166" i="16"/>
  <c r="H167" i="16"/>
  <c r="G167" i="16"/>
  <c r="H168" i="16"/>
  <c r="G168" i="16"/>
  <c r="H169" i="16"/>
  <c r="G169" i="16"/>
  <c r="H170" i="16"/>
  <c r="G170" i="16"/>
  <c r="G171" i="16"/>
  <c r="H171" i="16"/>
  <c r="H172" i="16"/>
  <c r="G172" i="16"/>
  <c r="H173" i="16"/>
  <c r="G173" i="16"/>
  <c r="G174" i="16"/>
  <c r="H174" i="16"/>
  <c r="H175" i="16"/>
  <c r="G175" i="16"/>
  <c r="G176" i="16"/>
  <c r="H176" i="16"/>
  <c r="G177" i="16"/>
  <c r="H177" i="16"/>
  <c r="H178" i="16"/>
  <c r="G178" i="16"/>
  <c r="H179" i="16"/>
  <c r="G179" i="16"/>
  <c r="G180" i="16"/>
  <c r="H180" i="16"/>
  <c r="G181" i="16"/>
  <c r="H181" i="16"/>
  <c r="H182" i="16"/>
  <c r="G182" i="16"/>
  <c r="G183" i="16"/>
  <c r="H183" i="16"/>
  <c r="H184" i="16"/>
  <c r="G184" i="16"/>
  <c r="G185" i="16"/>
  <c r="H185" i="16"/>
  <c r="G186" i="16"/>
  <c r="H186" i="16"/>
  <c r="G187" i="16"/>
  <c r="H187" i="16"/>
  <c r="G188" i="16"/>
  <c r="H188" i="16"/>
  <c r="G189" i="16"/>
  <c r="H189" i="16"/>
  <c r="G190" i="16"/>
  <c r="H190" i="16"/>
  <c r="H191" i="16"/>
  <c r="G191" i="16"/>
  <c r="G192" i="16"/>
  <c r="H192" i="16"/>
  <c r="G193" i="16"/>
  <c r="H193" i="16"/>
  <c r="H194" i="16"/>
  <c r="G194" i="16"/>
  <c r="H195" i="16"/>
  <c r="G195" i="16"/>
  <c r="H196" i="16"/>
  <c r="G196" i="16"/>
  <c r="H197" i="16"/>
  <c r="G197" i="16"/>
  <c r="H198" i="16"/>
  <c r="G198" i="16"/>
  <c r="H199" i="16"/>
  <c r="G199" i="16"/>
  <c r="H200" i="16"/>
  <c r="G200" i="16"/>
  <c r="H201" i="16"/>
  <c r="G201" i="16"/>
  <c r="H202" i="16"/>
  <c r="G202" i="16"/>
  <c r="H203" i="16"/>
  <c r="G203" i="16"/>
  <c r="H204" i="16"/>
  <c r="G204" i="16"/>
  <c r="H205" i="16"/>
  <c r="G205" i="16"/>
  <c r="H206" i="16"/>
  <c r="G206" i="16"/>
  <c r="H207" i="16"/>
  <c r="G207" i="16"/>
  <c r="H208" i="16"/>
  <c r="G208" i="16"/>
  <c r="H209" i="16"/>
  <c r="G209" i="16"/>
  <c r="H210" i="16"/>
  <c r="G210" i="16"/>
  <c r="G211" i="16"/>
  <c r="H211" i="16"/>
  <c r="H212" i="16"/>
  <c r="G212" i="16"/>
  <c r="H213" i="16"/>
  <c r="G213" i="16"/>
  <c r="H214" i="16"/>
  <c r="G214" i="16"/>
  <c r="H215" i="16"/>
  <c r="G215" i="16"/>
  <c r="H216" i="16"/>
  <c r="G216" i="16"/>
  <c r="H217" i="16"/>
  <c r="G217" i="16"/>
  <c r="G218" i="16"/>
  <c r="H218" i="16"/>
  <c r="H219" i="16"/>
  <c r="G219" i="16"/>
  <c r="H220" i="16"/>
  <c r="G220" i="16"/>
  <c r="H221" i="16"/>
  <c r="G221" i="16"/>
  <c r="H222" i="16"/>
  <c r="G222" i="16"/>
  <c r="H223" i="16"/>
  <c r="G223" i="16"/>
  <c r="H224" i="16"/>
  <c r="G224" i="16"/>
  <c r="H225" i="16"/>
  <c r="G225" i="16"/>
  <c r="H226" i="16"/>
  <c r="G226" i="16"/>
  <c r="H227" i="16"/>
  <c r="G227" i="16"/>
  <c r="H228" i="16"/>
  <c r="G228" i="16"/>
  <c r="H229" i="16"/>
  <c r="G229" i="16"/>
  <c r="G230" i="16"/>
  <c r="H230" i="16"/>
  <c r="G231" i="16"/>
  <c r="H231" i="16"/>
  <c r="G232" i="16"/>
  <c r="H232" i="16"/>
  <c r="H233" i="16"/>
  <c r="G233" i="16"/>
  <c r="G234" i="16"/>
  <c r="H234" i="16"/>
  <c r="H235" i="16"/>
  <c r="G235" i="16"/>
  <c r="H236" i="16"/>
  <c r="G236" i="16"/>
  <c r="H237" i="16"/>
  <c r="G237" i="16"/>
  <c r="H238" i="16"/>
  <c r="G238" i="16"/>
  <c r="H239" i="16"/>
  <c r="G239" i="16"/>
  <c r="H240" i="16"/>
  <c r="G240" i="16"/>
  <c r="H241" i="16"/>
  <c r="G241" i="16"/>
  <c r="H242" i="16"/>
  <c r="G242" i="16"/>
  <c r="G243" i="16"/>
  <c r="H243" i="16"/>
  <c r="G244" i="16"/>
  <c r="H244" i="16"/>
  <c r="G245" i="16"/>
  <c r="H245" i="16"/>
  <c r="G246" i="16"/>
  <c r="H246" i="16"/>
  <c r="G247" i="16"/>
  <c r="H247" i="16"/>
  <c r="G248" i="16"/>
  <c r="H248" i="16"/>
  <c r="G249" i="16"/>
  <c r="H249" i="16"/>
  <c r="G250" i="16"/>
  <c r="H250" i="16"/>
  <c r="G251" i="16"/>
  <c r="H251" i="16"/>
  <c r="G252" i="16"/>
  <c r="H252" i="16"/>
  <c r="H253" i="16"/>
  <c r="G253" i="16"/>
  <c r="H254" i="16"/>
  <c r="G254" i="16"/>
  <c r="H255" i="16"/>
  <c r="G255" i="16"/>
  <c r="G256" i="16"/>
  <c r="H256" i="16"/>
  <c r="H257" i="16"/>
  <c r="G257" i="16"/>
  <c r="H258" i="16"/>
  <c r="G258" i="16"/>
  <c r="G259" i="16"/>
  <c r="H259" i="16"/>
  <c r="G260" i="16"/>
  <c r="H260" i="16"/>
  <c r="G261" i="16"/>
  <c r="H261" i="16"/>
  <c r="H262" i="16"/>
  <c r="G262" i="16"/>
  <c r="G263" i="16"/>
  <c r="H263" i="16"/>
  <c r="G264" i="16"/>
  <c r="H264" i="16"/>
  <c r="H265" i="16"/>
  <c r="G265" i="16"/>
  <c r="G266" i="16"/>
  <c r="H266" i="16"/>
  <c r="G267" i="16"/>
  <c r="H267" i="16"/>
  <c r="G268" i="16"/>
  <c r="H268" i="16"/>
  <c r="H269" i="16"/>
  <c r="G269" i="16"/>
  <c r="H270" i="16"/>
  <c r="G270" i="16"/>
  <c r="H271" i="16"/>
  <c r="G271" i="16"/>
  <c r="H272" i="16"/>
  <c r="G272" i="16"/>
  <c r="H273" i="16"/>
  <c r="G273" i="16"/>
  <c r="G274" i="16"/>
  <c r="H274" i="16"/>
  <c r="H275" i="16"/>
  <c r="G275" i="16"/>
  <c r="H276" i="16"/>
  <c r="G276" i="16"/>
  <c r="H277" i="16"/>
  <c r="G277" i="16"/>
  <c r="H278" i="16"/>
  <c r="G278" i="16"/>
  <c r="H279" i="16"/>
  <c r="G279" i="16"/>
  <c r="G280" i="16"/>
  <c r="H280" i="16"/>
  <c r="H281" i="16"/>
  <c r="G281" i="16"/>
  <c r="G282" i="16"/>
  <c r="H282" i="16"/>
  <c r="G283" i="16"/>
  <c r="H283" i="16"/>
  <c r="H284" i="16"/>
  <c r="G284" i="16"/>
  <c r="G285" i="16"/>
  <c r="H285" i="16"/>
  <c r="H286" i="16"/>
  <c r="G286" i="16"/>
  <c r="H287" i="16"/>
  <c r="G287" i="16"/>
  <c r="G288" i="16"/>
  <c r="H288" i="16"/>
  <c r="H289" i="16"/>
  <c r="G289" i="16"/>
  <c r="G290" i="16"/>
  <c r="H290" i="16"/>
  <c r="G291" i="16"/>
  <c r="H291" i="16"/>
  <c r="G292" i="16"/>
  <c r="H292" i="16"/>
  <c r="H293" i="16"/>
  <c r="G293" i="16"/>
  <c r="G294" i="16"/>
  <c r="H294" i="16"/>
  <c r="G295" i="16"/>
  <c r="H295" i="16"/>
  <c r="G296" i="16"/>
  <c r="H296" i="16"/>
  <c r="H297" i="16"/>
  <c r="G297" i="16"/>
  <c r="H298" i="16"/>
  <c r="G298" i="16"/>
  <c r="H299" i="16"/>
  <c r="G299" i="16"/>
  <c r="G300" i="16"/>
  <c r="H300" i="16"/>
  <c r="G301" i="16"/>
  <c r="H301" i="16"/>
  <c r="G302" i="16"/>
  <c r="H302" i="16"/>
  <c r="G303" i="16"/>
  <c r="H303" i="16"/>
  <c r="G304" i="16"/>
  <c r="H304" i="16"/>
  <c r="H305" i="16"/>
  <c r="G305" i="16"/>
  <c r="H306" i="16"/>
  <c r="G306" i="16"/>
  <c r="G307" i="16"/>
  <c r="H307" i="16"/>
  <c r="H308" i="16"/>
  <c r="G308" i="16"/>
  <c r="G309" i="16"/>
  <c r="H309" i="16"/>
  <c r="H310" i="16"/>
  <c r="G310" i="16"/>
  <c r="G311" i="16"/>
  <c r="H311" i="16"/>
  <c r="G312" i="16"/>
  <c r="H312" i="16"/>
  <c r="H313" i="16"/>
  <c r="G313" i="16"/>
  <c r="G314" i="16"/>
  <c r="H314" i="16"/>
  <c r="H315" i="16"/>
  <c r="G315" i="16"/>
  <c r="H316" i="16"/>
  <c r="G316" i="16"/>
  <c r="H317" i="16"/>
  <c r="G317" i="16"/>
  <c r="G318" i="16"/>
  <c r="H318" i="16"/>
  <c r="G319" i="16"/>
  <c r="H319" i="16"/>
  <c r="H320" i="16"/>
  <c r="G320" i="16"/>
  <c r="G321" i="16"/>
  <c r="H321" i="16"/>
  <c r="H322" i="16"/>
  <c r="G322" i="16"/>
  <c r="H323" i="16"/>
  <c r="G323" i="16"/>
  <c r="H324" i="16"/>
  <c r="G324" i="16"/>
  <c r="G325" i="16"/>
  <c r="H325" i="16"/>
  <c r="G326" i="16"/>
  <c r="H326" i="16"/>
  <c r="H327" i="16"/>
  <c r="G327" i="16"/>
  <c r="H328" i="16"/>
  <c r="G328" i="16"/>
  <c r="G329" i="16"/>
  <c r="H329" i="16"/>
  <c r="H330" i="16"/>
  <c r="G330" i="16"/>
  <c r="H331" i="16"/>
  <c r="G331" i="16"/>
  <c r="H332" i="16"/>
  <c r="G332" i="16"/>
  <c r="H333" i="16"/>
  <c r="G333" i="16"/>
  <c r="H334" i="16"/>
  <c r="G334" i="16"/>
  <c r="G335" i="16"/>
  <c r="H335" i="16"/>
  <c r="G336" i="16"/>
  <c r="H336" i="16"/>
  <c r="G337" i="16"/>
  <c r="H337" i="16"/>
  <c r="H338" i="16"/>
  <c r="G338" i="16"/>
  <c r="G339" i="16"/>
  <c r="H339" i="16"/>
  <c r="H340" i="16"/>
  <c r="G340" i="16"/>
  <c r="G341" i="16"/>
  <c r="H341" i="16"/>
  <c r="G342" i="16"/>
  <c r="H342" i="16"/>
  <c r="G343" i="16"/>
  <c r="H343" i="16"/>
  <c r="H344" i="16"/>
  <c r="G344" i="16"/>
  <c r="G345" i="16"/>
  <c r="H345" i="16"/>
  <c r="H346" i="16"/>
  <c r="G346" i="16"/>
  <c r="G347" i="16"/>
  <c r="H347" i="16"/>
  <c r="H348" i="16"/>
  <c r="G348" i="16"/>
  <c r="G349" i="16"/>
  <c r="H349" i="16"/>
  <c r="H350" i="16"/>
  <c r="G350" i="16"/>
  <c r="H351" i="16"/>
  <c r="G351" i="16"/>
  <c r="H352" i="16"/>
  <c r="G352" i="16"/>
  <c r="H353" i="16"/>
  <c r="G353" i="16"/>
  <c r="H354" i="16"/>
  <c r="G354" i="16"/>
  <c r="H355" i="16"/>
  <c r="G355" i="16"/>
  <c r="H356" i="16"/>
  <c r="G356" i="16"/>
  <c r="H357" i="16"/>
  <c r="G357" i="16"/>
  <c r="H358" i="16"/>
  <c r="G358" i="16"/>
  <c r="H359" i="16"/>
  <c r="G359" i="16"/>
  <c r="H360" i="16"/>
  <c r="G360" i="16"/>
  <c r="G361" i="16"/>
  <c r="H361" i="16"/>
  <c r="G362" i="16"/>
  <c r="H362" i="16"/>
  <c r="H363" i="16"/>
  <c r="G363" i="16"/>
  <c r="H364" i="16"/>
  <c r="G364" i="16"/>
  <c r="G365" i="16"/>
  <c r="H365" i="16"/>
  <c r="H366" i="16"/>
  <c r="G366" i="16"/>
  <c r="H367" i="16"/>
  <c r="G367" i="16"/>
  <c r="H368" i="16"/>
  <c r="G368" i="16"/>
  <c r="H369" i="16"/>
  <c r="G369" i="16"/>
  <c r="G370" i="16"/>
  <c r="H370" i="16"/>
  <c r="H371" i="16"/>
  <c r="G371" i="16"/>
  <c r="H372" i="16"/>
  <c r="G372" i="16"/>
  <c r="H373" i="16"/>
  <c r="G373" i="16"/>
  <c r="G374" i="16"/>
  <c r="H374" i="16"/>
  <c r="H375" i="16"/>
  <c r="G375" i="16"/>
  <c r="G376" i="16"/>
  <c r="H376" i="16"/>
  <c r="H377" i="16"/>
  <c r="G377" i="16"/>
  <c r="G378" i="16"/>
  <c r="H378" i="16"/>
  <c r="H379" i="16"/>
  <c r="G379" i="16"/>
  <c r="G380" i="16"/>
  <c r="H380" i="16"/>
  <c r="G381" i="16"/>
  <c r="H381" i="16"/>
  <c r="H382" i="16"/>
  <c r="G382" i="16"/>
  <c r="H383" i="16"/>
  <c r="G383" i="16"/>
  <c r="G384" i="16"/>
  <c r="H384" i="16"/>
  <c r="H385" i="16"/>
  <c r="G385" i="16"/>
  <c r="H386" i="16"/>
  <c r="G386" i="16"/>
  <c r="H387" i="16"/>
  <c r="G387" i="16"/>
  <c r="H388" i="16"/>
  <c r="G388" i="16"/>
  <c r="H389" i="16"/>
  <c r="G389" i="16"/>
  <c r="G390" i="16"/>
  <c r="H390" i="16"/>
  <c r="G391" i="16"/>
  <c r="H391" i="16"/>
  <c r="G392" i="16"/>
  <c r="H392" i="16"/>
  <c r="G393" i="16"/>
  <c r="H393" i="16"/>
  <c r="G394" i="16"/>
  <c r="H394" i="16"/>
  <c r="H395" i="16"/>
  <c r="G395" i="16"/>
  <c r="G396" i="16"/>
  <c r="H396" i="16"/>
  <c r="G397" i="16"/>
  <c r="H397" i="16"/>
  <c r="H398" i="16"/>
  <c r="G398" i="16"/>
  <c r="G399" i="16"/>
  <c r="H399" i="16"/>
  <c r="H400" i="16"/>
  <c r="G400" i="16"/>
  <c r="H401" i="16"/>
  <c r="G401" i="16"/>
  <c r="H402" i="16"/>
  <c r="G402" i="16"/>
  <c r="H403" i="16"/>
  <c r="G403" i="16"/>
  <c r="H404" i="16"/>
  <c r="G404" i="16"/>
  <c r="H405" i="16"/>
  <c r="G405" i="16"/>
  <c r="H406" i="16"/>
  <c r="G406" i="16"/>
  <c r="H407" i="16"/>
  <c r="G407" i="16"/>
  <c r="H408" i="16"/>
  <c r="G408" i="16"/>
  <c r="H409" i="16"/>
  <c r="G409" i="16"/>
  <c r="G410" i="16"/>
  <c r="H410" i="16"/>
  <c r="H411" i="16"/>
  <c r="G411" i="16"/>
  <c r="H412" i="16"/>
  <c r="G412" i="16"/>
  <c r="H413" i="16"/>
  <c r="G413" i="16"/>
  <c r="H414" i="16"/>
  <c r="G414" i="16"/>
  <c r="H415" i="16"/>
  <c r="G415" i="16"/>
  <c r="G416" i="16"/>
  <c r="H416" i="16"/>
  <c r="H417" i="16"/>
  <c r="G417" i="16"/>
  <c r="G418" i="16"/>
  <c r="H418" i="16"/>
  <c r="H419" i="16"/>
  <c r="G419" i="16"/>
  <c r="H420" i="16"/>
  <c r="G420" i="16"/>
  <c r="H421" i="16"/>
  <c r="G421" i="16"/>
  <c r="H422" i="16"/>
  <c r="G422" i="16"/>
  <c r="H423" i="16"/>
  <c r="G423" i="16"/>
  <c r="H424" i="16"/>
  <c r="G424" i="16"/>
  <c r="H425" i="16"/>
  <c r="G425" i="16"/>
  <c r="H426" i="16"/>
  <c r="G426" i="16"/>
  <c r="H427" i="16"/>
  <c r="G427" i="16"/>
  <c r="G428" i="16"/>
  <c r="H428" i="16"/>
  <c r="H429" i="16"/>
  <c r="G429" i="16"/>
  <c r="G430" i="16"/>
  <c r="H430" i="16"/>
  <c r="G431" i="16"/>
  <c r="H431" i="16"/>
  <c r="G432" i="16"/>
  <c r="H432" i="16"/>
  <c r="G433" i="16"/>
  <c r="H433" i="16"/>
  <c r="H434" i="16"/>
  <c r="G434" i="16"/>
  <c r="H435" i="16"/>
  <c r="G435" i="16"/>
  <c r="G436" i="16"/>
  <c r="H436" i="16"/>
  <c r="G437" i="16"/>
  <c r="H437" i="16"/>
  <c r="G438" i="16"/>
  <c r="H438" i="16"/>
  <c r="G439" i="16"/>
  <c r="H439" i="16"/>
  <c r="H440" i="16"/>
  <c r="G440" i="16"/>
  <c r="H441" i="16"/>
  <c r="G441" i="16"/>
  <c r="G442" i="16"/>
  <c r="H442" i="16"/>
  <c r="H443" i="16"/>
  <c r="G443" i="16"/>
  <c r="H444" i="16"/>
  <c r="G444" i="16"/>
  <c r="G445" i="16"/>
  <c r="H445" i="16"/>
  <c r="H446" i="16"/>
  <c r="G446" i="16"/>
  <c r="G447" i="16"/>
  <c r="H447" i="16"/>
  <c r="H448" i="16"/>
  <c r="G448" i="16"/>
  <c r="G449" i="16"/>
  <c r="H449" i="16"/>
  <c r="H450" i="16"/>
  <c r="G450" i="16"/>
  <c r="G451" i="16"/>
  <c r="H451" i="16"/>
  <c r="H452" i="16"/>
  <c r="G452" i="16"/>
  <c r="H453" i="16"/>
  <c r="G453" i="16"/>
  <c r="G454" i="16"/>
  <c r="H454" i="16"/>
  <c r="H455" i="16"/>
  <c r="G455" i="16"/>
  <c r="G456" i="16"/>
  <c r="H456" i="16"/>
  <c r="G457" i="16"/>
  <c r="H457" i="16"/>
  <c r="H458" i="16"/>
  <c r="G458" i="16"/>
  <c r="G459" i="16"/>
  <c r="H459" i="16"/>
  <c r="G460" i="16"/>
  <c r="H460" i="16"/>
  <c r="H461" i="16"/>
  <c r="G461" i="16"/>
  <c r="H462" i="16"/>
  <c r="G462" i="16"/>
  <c r="G463" i="16"/>
  <c r="H463" i="16"/>
  <c r="H464" i="16"/>
  <c r="G464" i="16"/>
  <c r="G465" i="16"/>
  <c r="H465" i="16"/>
  <c r="H466" i="16"/>
  <c r="G466" i="16"/>
  <c r="G467" i="16"/>
  <c r="H467" i="16"/>
  <c r="H468" i="16"/>
  <c r="G468" i="16"/>
  <c r="G469" i="16"/>
  <c r="H469" i="16"/>
  <c r="H470" i="16"/>
  <c r="G470" i="16"/>
  <c r="G471" i="16"/>
  <c r="H471" i="16"/>
  <c r="H472" i="16"/>
  <c r="G472" i="16"/>
  <c r="H473" i="16"/>
  <c r="G473" i="16"/>
  <c r="G474" i="16"/>
  <c r="H474" i="16"/>
  <c r="G475" i="16"/>
  <c r="H475" i="16"/>
  <c r="H476" i="16"/>
  <c r="G476" i="16"/>
  <c r="H477" i="16"/>
  <c r="G477" i="16"/>
  <c r="H478" i="16"/>
  <c r="G478" i="16"/>
  <c r="H479" i="16"/>
  <c r="G479" i="16"/>
  <c r="H480" i="16"/>
  <c r="G480" i="16"/>
  <c r="G481" i="16"/>
  <c r="H481" i="16"/>
  <c r="G482" i="16"/>
  <c r="H482" i="16"/>
  <c r="H483" i="16"/>
  <c r="G483" i="16"/>
  <c r="H484" i="16"/>
  <c r="G484" i="16"/>
  <c r="G485" i="16"/>
  <c r="H485" i="16"/>
  <c r="H486" i="16"/>
  <c r="G486" i="16"/>
  <c r="H487" i="16"/>
  <c r="G487" i="16"/>
  <c r="G488" i="16"/>
  <c r="H488" i="16"/>
  <c r="H489" i="16"/>
  <c r="G489" i="16"/>
  <c r="H490" i="16"/>
  <c r="G490" i="16"/>
  <c r="H491" i="16"/>
  <c r="G491" i="16"/>
  <c r="G492" i="16"/>
  <c r="H492" i="16"/>
  <c r="H493" i="16"/>
  <c r="G493" i="16"/>
  <c r="H494" i="16"/>
  <c r="G494" i="16"/>
  <c r="H495" i="16"/>
  <c r="G495" i="16"/>
  <c r="H496" i="16"/>
  <c r="G496" i="16"/>
  <c r="H497" i="16"/>
  <c r="G497" i="16"/>
  <c r="H498" i="16"/>
  <c r="G498" i="16"/>
  <c r="H499" i="16"/>
  <c r="G499" i="16"/>
  <c r="H500" i="16"/>
  <c r="G500" i="16"/>
  <c r="H501" i="16"/>
  <c r="G501" i="16"/>
  <c r="H502" i="16"/>
  <c r="G502" i="16"/>
  <c r="G503" i="16"/>
  <c r="H503" i="16"/>
  <c r="G504" i="16"/>
  <c r="H504" i="16"/>
  <c r="H505" i="16"/>
  <c r="G505" i="16"/>
  <c r="G506" i="16"/>
  <c r="H506" i="16"/>
  <c r="G507" i="16"/>
  <c r="H507" i="16"/>
  <c r="G508" i="16"/>
  <c r="H508" i="16"/>
  <c r="G509" i="16"/>
  <c r="H509" i="16"/>
  <c r="G510" i="16"/>
  <c r="H510" i="16"/>
  <c r="G511" i="16"/>
  <c r="H511" i="16"/>
  <c r="H512" i="16"/>
  <c r="G512" i="16"/>
  <c r="G513" i="16"/>
  <c r="H513" i="16"/>
  <c r="H514" i="16"/>
  <c r="G514" i="16"/>
  <c r="G515" i="16"/>
  <c r="H515" i="16"/>
  <c r="H516" i="16"/>
  <c r="G516" i="16"/>
  <c r="H517" i="16"/>
  <c r="G517" i="16"/>
  <c r="G518" i="16"/>
  <c r="H518" i="16"/>
  <c r="G519" i="16"/>
  <c r="H519" i="16"/>
  <c r="G520" i="16"/>
  <c r="H520" i="16"/>
  <c r="G521" i="16"/>
  <c r="H521" i="16"/>
  <c r="G522" i="16"/>
  <c r="H522" i="16"/>
  <c r="G523" i="16"/>
  <c r="H523" i="16"/>
  <c r="H524" i="16"/>
  <c r="G524" i="16"/>
  <c r="G525" i="16"/>
  <c r="H525" i="16"/>
  <c r="H526" i="16"/>
  <c r="G526" i="16"/>
  <c r="H527" i="16"/>
  <c r="G527" i="16"/>
  <c r="G528" i="16"/>
  <c r="H528" i="16"/>
  <c r="G529" i="16"/>
  <c r="H529" i="16"/>
  <c r="G530" i="16"/>
  <c r="H530" i="16"/>
  <c r="H531" i="16"/>
  <c r="G531" i="16"/>
  <c r="H532" i="16"/>
  <c r="G532" i="16"/>
  <c r="H533" i="16"/>
  <c r="G533" i="16"/>
  <c r="G534" i="16"/>
  <c r="H534" i="16"/>
  <c r="H535" i="16"/>
  <c r="G535" i="16"/>
  <c r="G536" i="16"/>
  <c r="H536" i="16"/>
  <c r="G537" i="16"/>
  <c r="H537" i="16"/>
  <c r="G538" i="16"/>
  <c r="H538" i="16"/>
  <c r="G539" i="16"/>
  <c r="H539" i="16"/>
  <c r="G540" i="16"/>
  <c r="H540" i="16"/>
  <c r="G541" i="16"/>
  <c r="H541" i="16"/>
  <c r="G542" i="16"/>
  <c r="H542" i="16"/>
  <c r="G543" i="16"/>
  <c r="H543" i="16"/>
  <c r="G544" i="16"/>
  <c r="H544" i="16"/>
  <c r="G545" i="16"/>
  <c r="H545" i="16"/>
  <c r="G546" i="16"/>
  <c r="H546" i="16"/>
  <c r="H547" i="16"/>
  <c r="G547" i="16"/>
  <c r="H548" i="16"/>
  <c r="G548" i="16"/>
  <c r="G549" i="16"/>
  <c r="H549" i="16"/>
  <c r="G550" i="16"/>
  <c r="H550" i="16"/>
  <c r="G551" i="16"/>
  <c r="H551" i="16"/>
  <c r="H552" i="16"/>
  <c r="G552" i="16"/>
  <c r="G553" i="16"/>
  <c r="H553" i="16"/>
  <c r="G554" i="16"/>
  <c r="H554" i="16"/>
  <c r="G555" i="16"/>
  <c r="H555" i="16"/>
  <c r="H556" i="16"/>
  <c r="G556" i="16"/>
  <c r="G557" i="16"/>
  <c r="H557" i="16"/>
  <c r="H558" i="16"/>
  <c r="G558" i="16"/>
  <c r="H559" i="16"/>
  <c r="G559" i="16"/>
  <c r="H560" i="16"/>
  <c r="G560" i="16"/>
  <c r="G561" i="16"/>
  <c r="H561" i="16"/>
  <c r="G562" i="16"/>
  <c r="H562" i="16"/>
  <c r="G563" i="16"/>
  <c r="H563" i="16"/>
  <c r="G564" i="16"/>
  <c r="H564" i="16"/>
  <c r="G565" i="16"/>
  <c r="H565" i="16"/>
  <c r="G566" i="16"/>
  <c r="H566" i="16"/>
  <c r="H567" i="16"/>
  <c r="G567" i="16"/>
  <c r="H568" i="16"/>
  <c r="G568" i="16"/>
  <c r="H569" i="16"/>
  <c r="G569" i="16"/>
  <c r="H570" i="16"/>
  <c r="G570" i="16"/>
  <c r="H571" i="16"/>
  <c r="G571" i="16"/>
  <c r="H572" i="16"/>
  <c r="G572" i="16"/>
  <c r="G573" i="16"/>
  <c r="H573" i="16"/>
  <c r="H574" i="16"/>
  <c r="G574" i="16"/>
  <c r="H575" i="16"/>
  <c r="G575" i="16"/>
  <c r="H576" i="16"/>
  <c r="G576" i="16"/>
  <c r="H577" i="16"/>
  <c r="G577" i="16"/>
  <c r="H578" i="16"/>
  <c r="G578" i="16"/>
  <c r="G579" i="16"/>
  <c r="H579" i="16"/>
  <c r="H580" i="16"/>
  <c r="G580" i="16"/>
  <c r="H581" i="16"/>
  <c r="G581" i="16"/>
  <c r="H582" i="16"/>
  <c r="G582" i="16"/>
  <c r="H583" i="16"/>
  <c r="G583" i="16"/>
  <c r="H584" i="16"/>
  <c r="G584" i="16"/>
  <c r="G585" i="16"/>
  <c r="H585" i="16"/>
  <c r="H586" i="16"/>
  <c r="G586" i="16"/>
  <c r="G587" i="16"/>
  <c r="H587" i="16"/>
  <c r="G588" i="16"/>
  <c r="H588" i="16"/>
  <c r="G589" i="16"/>
  <c r="H589" i="16"/>
  <c r="H590" i="16"/>
  <c r="G590" i="16"/>
  <c r="H591" i="16"/>
  <c r="G591" i="16"/>
  <c r="G592" i="16"/>
  <c r="H592" i="16"/>
  <c r="H593" i="16"/>
  <c r="G593" i="16"/>
  <c r="G594" i="16"/>
  <c r="H594" i="16"/>
  <c r="G595" i="16"/>
  <c r="H595" i="16"/>
  <c r="G596" i="16"/>
  <c r="H596" i="16"/>
  <c r="H597" i="16"/>
  <c r="G597" i="16"/>
  <c r="H598" i="16"/>
  <c r="G598" i="16"/>
  <c r="H599" i="16"/>
  <c r="G599" i="16"/>
  <c r="H600" i="16"/>
  <c r="G600" i="16"/>
  <c r="H601" i="16"/>
  <c r="G601" i="16"/>
  <c r="G602" i="16"/>
  <c r="H602" i="16"/>
  <c r="H28" i="16"/>
  <c r="G28" i="16"/>
  <c r="G29" i="16"/>
  <c r="H29" i="16"/>
  <c r="H30" i="16"/>
  <c r="G30" i="16"/>
  <c r="H31" i="16"/>
  <c r="G31" i="16"/>
  <c r="G32" i="16"/>
  <c r="H32" i="16"/>
  <c r="H33" i="16"/>
  <c r="G33" i="16"/>
  <c r="G34" i="16"/>
  <c r="H34" i="16"/>
  <c r="H35" i="16"/>
  <c r="G35" i="16"/>
  <c r="G36" i="16"/>
  <c r="H36" i="16"/>
  <c r="H37" i="16"/>
  <c r="G37" i="16"/>
  <c r="H38" i="16"/>
  <c r="G38" i="16"/>
  <c r="H39" i="16"/>
  <c r="G39" i="16"/>
  <c r="H40" i="16"/>
  <c r="G40" i="16"/>
  <c r="H41" i="16"/>
  <c r="G41" i="16"/>
  <c r="H42" i="16"/>
  <c r="G42" i="16"/>
  <c r="G43" i="16"/>
  <c r="H43" i="16"/>
  <c r="H44" i="16"/>
  <c r="G44" i="16"/>
  <c r="H45" i="16"/>
  <c r="G45" i="16"/>
  <c r="G46" i="16"/>
  <c r="H46" i="16"/>
  <c r="AF35" i="13"/>
  <c r="K102" i="16"/>
  <c r="O102" i="16" s="1"/>
  <c r="F102" i="16"/>
  <c r="E102" i="16" s="1"/>
  <c r="F121" i="16"/>
  <c r="E121" i="16" s="1"/>
  <c r="K121" i="16"/>
  <c r="O121" i="16" s="1"/>
  <c r="K126" i="16"/>
  <c r="O126" i="16" s="1"/>
  <c r="F126" i="16"/>
  <c r="E126" i="16" s="1"/>
  <c r="K205" i="16"/>
  <c r="O205" i="16" s="1"/>
  <c r="F205" i="16"/>
  <c r="E205" i="16" s="1"/>
  <c r="F210" i="16"/>
  <c r="E210" i="16" s="1"/>
  <c r="K210" i="16"/>
  <c r="O210" i="16" s="1"/>
  <c r="K323" i="16"/>
  <c r="O323" i="16" s="1"/>
  <c r="F323" i="16"/>
  <c r="E323" i="16" s="1"/>
  <c r="F331" i="16"/>
  <c r="E331" i="16" s="1"/>
  <c r="K331" i="16"/>
  <c r="O331" i="16" s="1"/>
  <c r="K405" i="16"/>
  <c r="O405" i="16" s="1"/>
  <c r="F405" i="16"/>
  <c r="E405" i="16" s="1"/>
  <c r="K470" i="16"/>
  <c r="O470" i="16" s="1"/>
  <c r="F470" i="16"/>
  <c r="E470" i="16" s="1"/>
  <c r="K485" i="16"/>
  <c r="O485" i="16" s="1"/>
  <c r="F485" i="16"/>
  <c r="E485" i="16" s="1"/>
  <c r="N44" i="16"/>
  <c r="N36" i="16"/>
  <c r="N28" i="16"/>
  <c r="F19" i="16"/>
  <c r="E19" i="16" s="1"/>
  <c r="F11" i="16"/>
  <c r="E11" i="16" s="1"/>
  <c r="K10" i="16"/>
  <c r="O10" i="16" s="1"/>
  <c r="N602" i="16"/>
  <c r="N594" i="16"/>
  <c r="L586" i="16"/>
  <c r="N578" i="16"/>
  <c r="L570" i="16"/>
  <c r="N562" i="16"/>
  <c r="N554" i="16"/>
  <c r="N546" i="16"/>
  <c r="N538" i="16"/>
  <c r="N530" i="16"/>
  <c r="N522" i="16"/>
  <c r="N514" i="16"/>
  <c r="N506" i="16"/>
  <c r="N498" i="16"/>
  <c r="N490" i="16"/>
  <c r="N482" i="16"/>
  <c r="N474" i="16"/>
  <c r="N466" i="16"/>
  <c r="N458" i="16"/>
  <c r="N450" i="16"/>
  <c r="N442" i="16"/>
  <c r="N434" i="16"/>
  <c r="N426" i="16"/>
  <c r="N418" i="16"/>
  <c r="L410" i="16"/>
  <c r="N402" i="16"/>
  <c r="L394" i="16"/>
  <c r="N386" i="16"/>
  <c r="L378" i="16"/>
  <c r="N370" i="16"/>
  <c r="N362" i="16"/>
  <c r="L354" i="16"/>
  <c r="N346" i="16"/>
  <c r="N338" i="16"/>
  <c r="K330" i="16"/>
  <c r="O330" i="16" s="1"/>
  <c r="N322" i="16"/>
  <c r="N314" i="16"/>
  <c r="N306" i="16"/>
  <c r="N298" i="16"/>
  <c r="K290" i="16"/>
  <c r="O290" i="16" s="1"/>
  <c r="N282" i="16"/>
  <c r="N274" i="16"/>
  <c r="N266" i="16"/>
  <c r="N258" i="16"/>
  <c r="N250" i="16"/>
  <c r="N234" i="16"/>
  <c r="N226" i="16"/>
  <c r="N218" i="16"/>
  <c r="N210" i="16"/>
  <c r="N202" i="16"/>
  <c r="L194" i="16"/>
  <c r="F186" i="16"/>
  <c r="E186" i="16" s="1"/>
  <c r="N178" i="16"/>
  <c r="N170" i="16"/>
  <c r="N162" i="16"/>
  <c r="N154" i="16"/>
  <c r="N146" i="16"/>
  <c r="N138" i="16"/>
  <c r="F130" i="16"/>
  <c r="E130" i="16" s="1"/>
  <c r="N122" i="16"/>
  <c r="N114" i="16"/>
  <c r="N106" i="16"/>
  <c r="N98" i="16"/>
  <c r="N89" i="16"/>
  <c r="N81" i="16"/>
  <c r="N73" i="16"/>
  <c r="N65" i="16"/>
  <c r="N57" i="16"/>
  <c r="N49" i="16"/>
  <c r="N43" i="16"/>
  <c r="N35" i="16"/>
  <c r="N27" i="16"/>
  <c r="L9" i="16"/>
  <c r="N601" i="16"/>
  <c r="N593" i="16"/>
  <c r="L585" i="16"/>
  <c r="N577" i="16"/>
  <c r="N569" i="16"/>
  <c r="N561" i="16"/>
  <c r="N553" i="16"/>
  <c r="N545" i="16"/>
  <c r="N537" i="16"/>
  <c r="N529" i="16"/>
  <c r="N521" i="16"/>
  <c r="N513" i="16"/>
  <c r="L505" i="16"/>
  <c r="N497" i="16"/>
  <c r="N489" i="16"/>
  <c r="N481" i="16"/>
  <c r="N473" i="16"/>
  <c r="N465" i="16"/>
  <c r="N457" i="16"/>
  <c r="N449" i="16"/>
  <c r="N441" i="16"/>
  <c r="N433" i="16"/>
  <c r="N425" i="16"/>
  <c r="N417" i="16"/>
  <c r="N409" i="16"/>
  <c r="N401" i="16"/>
  <c r="N393" i="16"/>
  <c r="N385" i="16"/>
  <c r="N377" i="16"/>
  <c r="N369" i="16"/>
  <c r="N361" i="16"/>
  <c r="N353" i="16"/>
  <c r="N345" i="16"/>
  <c r="N337" i="16"/>
  <c r="N329" i="16"/>
  <c r="N321" i="16"/>
  <c r="N313" i="16"/>
  <c r="N305" i="16"/>
  <c r="N297" i="16"/>
  <c r="N289" i="16"/>
  <c r="N281" i="16"/>
  <c r="N273" i="16"/>
  <c r="N265" i="16"/>
  <c r="N257" i="16"/>
  <c r="N249" i="16"/>
  <c r="N241" i="16"/>
  <c r="N233" i="16"/>
  <c r="N225" i="16"/>
  <c r="N217" i="16"/>
  <c r="N209" i="16"/>
  <c r="N201" i="16"/>
  <c r="N193" i="16"/>
  <c r="N185" i="16"/>
  <c r="N177" i="16"/>
  <c r="N169" i="16"/>
  <c r="N161" i="16"/>
  <c r="N153" i="16"/>
  <c r="N145" i="16"/>
  <c r="N137" i="16"/>
  <c r="N129" i="16"/>
  <c r="N121" i="16"/>
  <c r="N113" i="16"/>
  <c r="N105" i="16"/>
  <c r="N97" i="16"/>
  <c r="N88" i="16"/>
  <c r="N80" i="16"/>
  <c r="N72" i="16"/>
  <c r="N64" i="16"/>
  <c r="N56" i="16"/>
  <c r="N48" i="16"/>
  <c r="L42" i="16"/>
  <c r="N34" i="16"/>
  <c r="K25" i="16"/>
  <c r="O25" i="16" s="1"/>
  <c r="K17" i="16"/>
  <c r="O17" i="16" s="1"/>
  <c r="K8" i="16"/>
  <c r="O8" i="16" s="1"/>
  <c r="N600" i="16"/>
  <c r="N592" i="16"/>
  <c r="N584" i="16"/>
  <c r="N576" i="16"/>
  <c r="N568" i="16"/>
  <c r="N560" i="16"/>
  <c r="N552" i="16"/>
  <c r="N544" i="16"/>
  <c r="N536" i="16"/>
  <c r="N528" i="16"/>
  <c r="N520" i="16"/>
  <c r="N512" i="16"/>
  <c r="N504" i="16"/>
  <c r="N496" i="16"/>
  <c r="N488" i="16"/>
  <c r="N480" i="16"/>
  <c r="N472" i="16"/>
  <c r="N464" i="16"/>
  <c r="N456" i="16"/>
  <c r="N448" i="16"/>
  <c r="N440" i="16"/>
  <c r="N432" i="16"/>
  <c r="N424" i="16"/>
  <c r="N416" i="16"/>
  <c r="N408" i="16"/>
  <c r="N400" i="16"/>
  <c r="N392" i="16"/>
  <c r="N384" i="16"/>
  <c r="N376" i="16"/>
  <c r="N368" i="16"/>
  <c r="N360" i="16"/>
  <c r="N352" i="16"/>
  <c r="N344" i="16"/>
  <c r="N336" i="16"/>
  <c r="N328" i="16"/>
  <c r="N320" i="16"/>
  <c r="N312" i="16"/>
  <c r="N304" i="16"/>
  <c r="N296" i="16"/>
  <c r="N288" i="16"/>
  <c r="N280" i="16"/>
  <c r="N272" i="16"/>
  <c r="N264" i="16"/>
  <c r="N256" i="16"/>
  <c r="N248" i="16"/>
  <c r="N240" i="16"/>
  <c r="N232" i="16"/>
  <c r="N224" i="16"/>
  <c r="N216" i="16"/>
  <c r="N208" i="16"/>
  <c r="N200" i="16"/>
  <c r="N192" i="16"/>
  <c r="N184" i="16"/>
  <c r="N176" i="16"/>
  <c r="N168" i="16"/>
  <c r="N160" i="16"/>
  <c r="N152" i="16"/>
  <c r="N144" i="16"/>
  <c r="N136" i="16"/>
  <c r="N128" i="16"/>
  <c r="N120" i="16"/>
  <c r="N112" i="16"/>
  <c r="N104" i="16"/>
  <c r="N96" i="16"/>
  <c r="L87" i="16"/>
  <c r="L79" i="16"/>
  <c r="F71" i="16"/>
  <c r="E71" i="16" s="1"/>
  <c r="L63" i="16"/>
  <c r="L55" i="16"/>
  <c r="L47" i="16"/>
  <c r="N41" i="16"/>
  <c r="N33" i="16"/>
  <c r="L24" i="16"/>
  <c r="L16" i="16"/>
  <c r="L599" i="16"/>
  <c r="N591" i="16"/>
  <c r="L583" i="16"/>
  <c r="L575" i="16"/>
  <c r="L567" i="16"/>
  <c r="L559" i="16"/>
  <c r="L551" i="16"/>
  <c r="L535" i="16"/>
  <c r="L527" i="16"/>
  <c r="N519" i="16"/>
  <c r="N511" i="16"/>
  <c r="L503" i="16"/>
  <c r="K495" i="16"/>
  <c r="O495" i="16" s="1"/>
  <c r="L487" i="16"/>
  <c r="L479" i="16"/>
  <c r="N471" i="16"/>
  <c r="L463" i="16"/>
  <c r="L455" i="16"/>
  <c r="L447" i="16"/>
  <c r="K439" i="16"/>
  <c r="O439" i="16" s="1"/>
  <c r="L431" i="16"/>
  <c r="L423" i="16"/>
  <c r="N415" i="16"/>
  <c r="L407" i="16"/>
  <c r="N399" i="16"/>
  <c r="L391" i="16"/>
  <c r="L383" i="16"/>
  <c r="L375" i="16"/>
  <c r="L367" i="16"/>
  <c r="L359" i="16"/>
  <c r="L351" i="16"/>
  <c r="L343" i="16"/>
  <c r="L335" i="16"/>
  <c r="L327" i="16"/>
  <c r="L319" i="16"/>
  <c r="L311" i="16"/>
  <c r="L303" i="16"/>
  <c r="L295" i="16"/>
  <c r="L287" i="16"/>
  <c r="L279" i="16"/>
  <c r="L271" i="16"/>
  <c r="L263" i="16"/>
  <c r="L255" i="16"/>
  <c r="L247" i="16"/>
  <c r="L239" i="16"/>
  <c r="L231" i="16"/>
  <c r="L223" i="16"/>
  <c r="N215" i="16"/>
  <c r="L207" i="16"/>
  <c r="N199" i="16"/>
  <c r="L191" i="16"/>
  <c r="N183" i="16"/>
  <c r="L175" i="16"/>
  <c r="L167" i="16"/>
  <c r="L159" i="16"/>
  <c r="L151" i="16"/>
  <c r="N143" i="16"/>
  <c r="L135" i="16"/>
  <c r="L127" i="16"/>
  <c r="L119" i="16"/>
  <c r="L111" i="16"/>
  <c r="L103" i="16"/>
  <c r="L95" i="16"/>
  <c r="N86" i="16"/>
  <c r="N78" i="16"/>
  <c r="N70" i="16"/>
  <c r="N62" i="16"/>
  <c r="N54" i="16"/>
  <c r="N40" i="16"/>
  <c r="N32" i="16"/>
  <c r="N23" i="16"/>
  <c r="L15" i="16"/>
  <c r="K6" i="16"/>
  <c r="O6" i="16" s="1"/>
  <c r="N598" i="16"/>
  <c r="N590" i="16"/>
  <c r="N582" i="16"/>
  <c r="N574" i="16"/>
  <c r="N566" i="16"/>
  <c r="N558" i="16"/>
  <c r="N550" i="16"/>
  <c r="N542" i="16"/>
  <c r="N534" i="16"/>
  <c r="N526" i="16"/>
  <c r="N518" i="16"/>
  <c r="N510" i="16"/>
  <c r="N502" i="16"/>
  <c r="N494" i="16"/>
  <c r="N486" i="16"/>
  <c r="N478" i="16"/>
  <c r="N470" i="16"/>
  <c r="N462" i="16"/>
  <c r="N454" i="16"/>
  <c r="N446" i="16"/>
  <c r="N438" i="16"/>
  <c r="N430" i="16"/>
  <c r="N422" i="16"/>
  <c r="N414" i="16"/>
  <c r="N406" i="16"/>
  <c r="N398" i="16"/>
  <c r="N390" i="16"/>
  <c r="N382" i="16"/>
  <c r="N374" i="16"/>
  <c r="N366" i="16"/>
  <c r="N358" i="16"/>
  <c r="N350" i="16"/>
  <c r="N342" i="16"/>
  <c r="N334" i="16"/>
  <c r="N326" i="16"/>
  <c r="N318" i="16"/>
  <c r="N310" i="16"/>
  <c r="N302" i="16"/>
  <c r="N294" i="16"/>
  <c r="N286" i="16"/>
  <c r="N278" i="16"/>
  <c r="N270" i="16"/>
  <c r="N262" i="16"/>
  <c r="N254" i="16"/>
  <c r="N246" i="16"/>
  <c r="N238" i="16"/>
  <c r="N230" i="16"/>
  <c r="N222" i="16"/>
  <c r="N214" i="16"/>
  <c r="N206" i="16"/>
  <c r="N198" i="16"/>
  <c r="N190" i="16"/>
  <c r="N182" i="16"/>
  <c r="N174" i="16"/>
  <c r="N166" i="16"/>
  <c r="N158" i="16"/>
  <c r="N150" i="16"/>
  <c r="N142" i="16"/>
  <c r="N134" i="16"/>
  <c r="N126" i="16"/>
  <c r="N118" i="16"/>
  <c r="N110" i="16"/>
  <c r="N102" i="16"/>
  <c r="N94" i="16"/>
  <c r="N85" i="16"/>
  <c r="N77" i="16"/>
  <c r="N69" i="16"/>
  <c r="N61" i="16"/>
  <c r="N53" i="16"/>
  <c r="N39" i="16"/>
  <c r="N31" i="16"/>
  <c r="L22" i="16"/>
  <c r="F14" i="16"/>
  <c r="E14" i="16" s="1"/>
  <c r="L5" i="16"/>
  <c r="N597" i="16"/>
  <c r="N589" i="16"/>
  <c r="F581" i="16"/>
  <c r="E581" i="16" s="1"/>
  <c r="L573" i="16"/>
  <c r="F565" i="16"/>
  <c r="E565" i="16" s="1"/>
  <c r="N557" i="16"/>
  <c r="N549" i="16"/>
  <c r="N541" i="16"/>
  <c r="N533" i="16"/>
  <c r="N525" i="16"/>
  <c r="N517" i="16"/>
  <c r="N509" i="16"/>
  <c r="L501" i="16"/>
  <c r="N485" i="16"/>
  <c r="N477" i="16"/>
  <c r="F469" i="16"/>
  <c r="E469" i="16" s="1"/>
  <c r="N461" i="16"/>
  <c r="N453" i="16"/>
  <c r="L445" i="16"/>
  <c r="N437" i="16"/>
  <c r="L429" i="16"/>
  <c r="N421" i="16"/>
  <c r="N413" i="16"/>
  <c r="N405" i="16"/>
  <c r="N397" i="16"/>
  <c r="F389" i="16"/>
  <c r="E389" i="16" s="1"/>
  <c r="N381" i="16"/>
  <c r="N373" i="16"/>
  <c r="N365" i="16"/>
  <c r="N357" i="16"/>
  <c r="N349" i="16"/>
  <c r="N341" i="16"/>
  <c r="K333" i="16"/>
  <c r="O333" i="16" s="1"/>
  <c r="N325" i="16"/>
  <c r="N317" i="16"/>
  <c r="N309" i="16"/>
  <c r="N301" i="16"/>
  <c r="L293" i="16"/>
  <c r="N285" i="16"/>
  <c r="N277" i="16"/>
  <c r="N269" i="16"/>
  <c r="N261" i="16"/>
  <c r="N253" i="16"/>
  <c r="N245" i="16"/>
  <c r="N237" i="16"/>
  <c r="N229" i="16"/>
  <c r="N221" i="16"/>
  <c r="N213" i="16"/>
  <c r="N205" i="16"/>
  <c r="N197" i="16"/>
  <c r="N189" i="16"/>
  <c r="N181" i="16"/>
  <c r="N173" i="16"/>
  <c r="N165" i="16"/>
  <c r="N157" i="16"/>
  <c r="N149" i="16"/>
  <c r="N141" i="16"/>
  <c r="N133" i="16"/>
  <c r="N125" i="16"/>
  <c r="N117" i="16"/>
  <c r="N109" i="16"/>
  <c r="N101" i="16"/>
  <c r="N93" i="16"/>
  <c r="L84" i="16"/>
  <c r="L76" i="16"/>
  <c r="L68" i="16"/>
  <c r="L60" i="16"/>
  <c r="L52" i="16"/>
  <c r="N46" i="16"/>
  <c r="N38" i="16"/>
  <c r="N30" i="16"/>
  <c r="L596" i="16"/>
  <c r="L588" i="16"/>
  <c r="L580" i="16"/>
  <c r="L572" i="16"/>
  <c r="L564" i="16"/>
  <c r="L556" i="16"/>
  <c r="N548" i="16"/>
  <c r="L540" i="16"/>
  <c r="L532" i="16"/>
  <c r="N524" i="16"/>
  <c r="L516" i="16"/>
  <c r="L508" i="16"/>
  <c r="L500" i="16"/>
  <c r="L492" i="16"/>
  <c r="L484" i="16"/>
  <c r="L476" i="16"/>
  <c r="L468" i="16"/>
  <c r="L460" i="16"/>
  <c r="L452" i="16"/>
  <c r="L444" i="16"/>
  <c r="F436" i="16"/>
  <c r="E436" i="16" s="1"/>
  <c r="L428" i="16"/>
  <c r="L420" i="16"/>
  <c r="L412" i="16"/>
  <c r="L404" i="16"/>
  <c r="L396" i="16"/>
  <c r="L388" i="16"/>
  <c r="L380" i="16"/>
  <c r="L372" i="16"/>
  <c r="L364" i="16"/>
  <c r="L356" i="16"/>
  <c r="L348" i="16"/>
  <c r="L324" i="16"/>
  <c r="N316" i="16"/>
  <c r="N308" i="16"/>
  <c r="L300" i="16"/>
  <c r="L292" i="16"/>
  <c r="L284" i="16"/>
  <c r="L276" i="16"/>
  <c r="L268" i="16"/>
  <c r="K260" i="16"/>
  <c r="O260" i="16" s="1"/>
  <c r="L252" i="16"/>
  <c r="L244" i="16"/>
  <c r="L236" i="16"/>
  <c r="L228" i="16"/>
  <c r="N220" i="16"/>
  <c r="L212" i="16"/>
  <c r="L204" i="16"/>
  <c r="L196" i="16"/>
  <c r="L188" i="16"/>
  <c r="L180" i="16"/>
  <c r="L172" i="16"/>
  <c r="L164" i="16"/>
  <c r="L156" i="16"/>
  <c r="L148" i="16"/>
  <c r="L140" i="16"/>
  <c r="L132" i="16"/>
  <c r="L124" i="16"/>
  <c r="L116" i="16"/>
  <c r="L108" i="16"/>
  <c r="L100" i="16"/>
  <c r="L92" i="16"/>
  <c r="N83" i="16"/>
  <c r="N75" i="16"/>
  <c r="N67" i="16"/>
  <c r="N59" i="16"/>
  <c r="N51" i="16"/>
  <c r="N45" i="16"/>
  <c r="L37" i="16"/>
  <c r="L29" i="16"/>
  <c r="F20" i="16"/>
  <c r="E20" i="16" s="1"/>
  <c r="F12" i="16"/>
  <c r="E12" i="16" s="1"/>
  <c r="F3" i="16"/>
  <c r="E3" i="16" s="1"/>
  <c r="N595" i="16"/>
  <c r="N587" i="16"/>
  <c r="N579" i="16"/>
  <c r="N571" i="16"/>
  <c r="N563" i="16"/>
  <c r="N555" i="16"/>
  <c r="N547" i="16"/>
  <c r="N539" i="16"/>
  <c r="N531" i="16"/>
  <c r="N523" i="16"/>
  <c r="N515" i="16"/>
  <c r="N507" i="16"/>
  <c r="N499" i="16"/>
  <c r="N491" i="16"/>
  <c r="N483" i="16"/>
  <c r="N475" i="16"/>
  <c r="N467" i="16"/>
  <c r="N459" i="16"/>
  <c r="N451" i="16"/>
  <c r="N443" i="16"/>
  <c r="N435" i="16"/>
  <c r="N427" i="16"/>
  <c r="N419" i="16"/>
  <c r="N411" i="16"/>
  <c r="N403" i="16"/>
  <c r="N395" i="16"/>
  <c r="N387" i="16"/>
  <c r="N379" i="16"/>
  <c r="N371" i="16"/>
  <c r="N363" i="16"/>
  <c r="N355" i="16"/>
  <c r="N347" i="16"/>
  <c r="N339" i="16"/>
  <c r="N331" i="16"/>
  <c r="N323" i="16"/>
  <c r="N315" i="16"/>
  <c r="N307" i="16"/>
  <c r="N299" i="16"/>
  <c r="N291" i="16"/>
  <c r="N283" i="16"/>
  <c r="N275" i="16"/>
  <c r="N267" i="16"/>
  <c r="N259" i="16"/>
  <c r="N251" i="16"/>
  <c r="N243" i="16"/>
  <c r="N235" i="16"/>
  <c r="N227" i="16"/>
  <c r="N219" i="16"/>
  <c r="N211" i="16"/>
  <c r="N203" i="16"/>
  <c r="N195" i="16"/>
  <c r="N187" i="16"/>
  <c r="N179" i="16"/>
  <c r="N171" i="16"/>
  <c r="N163" i="16"/>
  <c r="N155" i="16"/>
  <c r="N147" i="16"/>
  <c r="N139" i="16"/>
  <c r="N131" i="16"/>
  <c r="N123" i="16"/>
  <c r="N115" i="16"/>
  <c r="N107" i="16"/>
  <c r="N99" i="16"/>
  <c r="N91" i="16"/>
  <c r="N90" i="16"/>
  <c r="K82" i="16"/>
  <c r="O82" i="16" s="1"/>
  <c r="N74" i="16"/>
  <c r="N66" i="16"/>
  <c r="N58" i="16"/>
  <c r="N50" i="16"/>
  <c r="F22" i="16"/>
  <c r="E22" i="16" s="1"/>
  <c r="K288" i="16"/>
  <c r="O288" i="16" s="1"/>
  <c r="K22" i="16"/>
  <c r="O22" i="16" s="1"/>
  <c r="G2" i="16"/>
  <c r="H2" i="16"/>
  <c r="G20" i="16"/>
  <c r="H20" i="16"/>
  <c r="G12" i="16"/>
  <c r="H12" i="16"/>
  <c r="G3" i="16"/>
  <c r="H3" i="16"/>
  <c r="L11" i="16"/>
  <c r="G19" i="16"/>
  <c r="H19" i="16"/>
  <c r="G11" i="16"/>
  <c r="H11" i="16"/>
  <c r="G10" i="16"/>
  <c r="H10" i="16"/>
  <c r="N11" i="16"/>
  <c r="G26" i="16"/>
  <c r="H26" i="16"/>
  <c r="G18" i="16"/>
  <c r="H18" i="16"/>
  <c r="G9" i="16"/>
  <c r="H9" i="16"/>
  <c r="G25" i="16"/>
  <c r="H25" i="16"/>
  <c r="G17" i="16"/>
  <c r="H17" i="16"/>
  <c r="G8" i="16"/>
  <c r="H8" i="16"/>
  <c r="G24" i="16"/>
  <c r="H24" i="16"/>
  <c r="G16" i="16"/>
  <c r="H16" i="16"/>
  <c r="G7" i="16"/>
  <c r="H7" i="16"/>
  <c r="G23" i="16"/>
  <c r="H23" i="16"/>
  <c r="G15" i="16"/>
  <c r="H15" i="16"/>
  <c r="G6" i="16"/>
  <c r="H6" i="16"/>
  <c r="G22" i="16"/>
  <c r="H22" i="16"/>
  <c r="G14" i="16"/>
  <c r="H14" i="16"/>
  <c r="G5" i="16"/>
  <c r="H5" i="16"/>
  <c r="G21" i="16"/>
  <c r="H21" i="16"/>
  <c r="G13" i="16"/>
  <c r="H13" i="16"/>
  <c r="G4" i="16"/>
  <c r="H4" i="16"/>
  <c r="P46" i="16"/>
  <c r="P42" i="16"/>
  <c r="P38" i="16"/>
  <c r="P34" i="16"/>
  <c r="P30" i="16"/>
  <c r="P601" i="16"/>
  <c r="P597" i="16"/>
  <c r="P593" i="16"/>
  <c r="P589" i="16"/>
  <c r="P585" i="16"/>
  <c r="P581" i="16"/>
  <c r="P577" i="16"/>
  <c r="P573" i="16"/>
  <c r="P569" i="16"/>
  <c r="P565" i="16"/>
  <c r="P561" i="16"/>
  <c r="P557" i="16"/>
  <c r="P553" i="16"/>
  <c r="P549" i="16"/>
  <c r="P545" i="16"/>
  <c r="P541" i="16"/>
  <c r="P537" i="16"/>
  <c r="P533" i="16"/>
  <c r="P529" i="16"/>
  <c r="P525" i="16"/>
  <c r="P521" i="16"/>
  <c r="P517" i="16"/>
  <c r="P513" i="16"/>
  <c r="P509" i="16"/>
  <c r="P505" i="16"/>
  <c r="P501" i="16"/>
  <c r="P497" i="16"/>
  <c r="P493" i="16"/>
  <c r="P489" i="16"/>
  <c r="P485" i="16"/>
  <c r="P481" i="16"/>
  <c r="P477" i="16"/>
  <c r="P473" i="16"/>
  <c r="P469" i="16"/>
  <c r="P465" i="16"/>
  <c r="P461" i="16"/>
  <c r="P457" i="16"/>
  <c r="P453" i="16"/>
  <c r="P449" i="16"/>
  <c r="P445" i="16"/>
  <c r="P441" i="16"/>
  <c r="P437" i="16"/>
  <c r="P433" i="16"/>
  <c r="P429" i="16"/>
  <c r="P425" i="16"/>
  <c r="P421" i="16"/>
  <c r="P417" i="16"/>
  <c r="P413" i="16"/>
  <c r="P409" i="16"/>
  <c r="P405" i="16"/>
  <c r="P401" i="16"/>
  <c r="P397" i="16"/>
  <c r="P393" i="16"/>
  <c r="P389" i="16"/>
  <c r="P385" i="16"/>
  <c r="P381" i="16"/>
  <c r="P377" i="16"/>
  <c r="P373" i="16"/>
  <c r="P369" i="16"/>
  <c r="P365" i="16"/>
  <c r="P361" i="16"/>
  <c r="P357" i="16"/>
  <c r="P353" i="16"/>
  <c r="P349" i="16"/>
  <c r="P345" i="16"/>
  <c r="P341" i="16"/>
  <c r="P337" i="16"/>
  <c r="P333" i="16"/>
  <c r="P329" i="16"/>
  <c r="P325" i="16"/>
  <c r="P321" i="16"/>
  <c r="P317" i="16"/>
  <c r="P313" i="16"/>
  <c r="P309" i="16"/>
  <c r="P305" i="16"/>
  <c r="P301" i="16"/>
  <c r="P297" i="16"/>
  <c r="P293" i="16"/>
  <c r="P289" i="16"/>
  <c r="P285" i="16"/>
  <c r="P281" i="16"/>
  <c r="P277" i="16"/>
  <c r="P273" i="16"/>
  <c r="P269" i="16"/>
  <c r="P265" i="16"/>
  <c r="P261" i="16"/>
  <c r="P257" i="16"/>
  <c r="P253" i="16"/>
  <c r="P249" i="16"/>
  <c r="P245" i="16"/>
  <c r="P241" i="16"/>
  <c r="P237" i="16"/>
  <c r="P233" i="16"/>
  <c r="P229" i="16"/>
  <c r="P225" i="16"/>
  <c r="P221" i="16"/>
  <c r="P217" i="16"/>
  <c r="P213" i="16"/>
  <c r="P209" i="16"/>
  <c r="P205" i="16"/>
  <c r="P201" i="16"/>
  <c r="P197" i="16"/>
  <c r="P193" i="16"/>
  <c r="P189" i="16"/>
  <c r="P185" i="16"/>
  <c r="P181" i="16"/>
  <c r="P177" i="16"/>
  <c r="P173" i="16"/>
  <c r="P169" i="16"/>
  <c r="P165" i="16"/>
  <c r="P161" i="16"/>
  <c r="P157" i="16"/>
  <c r="P153" i="16"/>
  <c r="P149" i="16"/>
  <c r="P145" i="16"/>
  <c r="P141" i="16"/>
  <c r="P137" i="16"/>
  <c r="P133" i="16"/>
  <c r="P129" i="16"/>
  <c r="P125" i="16"/>
  <c r="P121" i="16"/>
  <c r="P117" i="16"/>
  <c r="P113" i="16"/>
  <c r="P109" i="16"/>
  <c r="P105" i="16"/>
  <c r="P101" i="16"/>
  <c r="P97" i="16"/>
  <c r="P93" i="16"/>
  <c r="F480" i="16"/>
  <c r="E480" i="16" s="1"/>
  <c r="P88" i="16"/>
  <c r="P84" i="16"/>
  <c r="P80" i="16"/>
  <c r="P76" i="16"/>
  <c r="P72" i="16"/>
  <c r="P68" i="16"/>
  <c r="P64" i="16"/>
  <c r="P60" i="16"/>
  <c r="P56" i="16"/>
  <c r="P52" i="16"/>
  <c r="P48" i="16"/>
  <c r="P45" i="16"/>
  <c r="P41" i="16"/>
  <c r="P37" i="16"/>
  <c r="P33" i="16"/>
  <c r="P29" i="16"/>
  <c r="P600" i="16"/>
  <c r="P596" i="16"/>
  <c r="P592" i="16"/>
  <c r="P588" i="16"/>
  <c r="P584" i="16"/>
  <c r="P580" i="16"/>
  <c r="P576" i="16"/>
  <c r="P572" i="16"/>
  <c r="P568" i="16"/>
  <c r="P564" i="16"/>
  <c r="P560" i="16"/>
  <c r="P556" i="16"/>
  <c r="P552" i="16"/>
  <c r="P548" i="16"/>
  <c r="P544" i="16"/>
  <c r="P540" i="16"/>
  <c r="P536" i="16"/>
  <c r="P532" i="16"/>
  <c r="P528" i="16"/>
  <c r="P524" i="16"/>
  <c r="P520" i="16"/>
  <c r="P516" i="16"/>
  <c r="P512" i="16"/>
  <c r="P508" i="16"/>
  <c r="P504" i="16"/>
  <c r="P500" i="16"/>
  <c r="P496" i="16"/>
  <c r="P492" i="16"/>
  <c r="P488" i="16"/>
  <c r="P484" i="16"/>
  <c r="P480" i="16"/>
  <c r="P476" i="16"/>
  <c r="P472" i="16"/>
  <c r="P468" i="16"/>
  <c r="P464" i="16"/>
  <c r="P460" i="16"/>
  <c r="P456" i="16"/>
  <c r="P452" i="16"/>
  <c r="P448" i="16"/>
  <c r="P444" i="16"/>
  <c r="P440" i="16"/>
  <c r="P436" i="16"/>
  <c r="P432" i="16"/>
  <c r="P428" i="16"/>
  <c r="P424" i="16"/>
  <c r="P420" i="16"/>
  <c r="P416" i="16"/>
  <c r="P412" i="16"/>
  <c r="P408" i="16"/>
  <c r="P404" i="16"/>
  <c r="P400" i="16"/>
  <c r="P396" i="16"/>
  <c r="P392" i="16"/>
  <c r="P388" i="16"/>
  <c r="P384" i="16"/>
  <c r="P380" i="16"/>
  <c r="P376" i="16"/>
  <c r="P372" i="16"/>
  <c r="P368" i="16"/>
  <c r="P364" i="16"/>
  <c r="P360" i="16"/>
  <c r="P356" i="16"/>
  <c r="P352" i="16"/>
  <c r="P348" i="16"/>
  <c r="P344" i="16"/>
  <c r="P340" i="16"/>
  <c r="P336" i="16"/>
  <c r="P332" i="16"/>
  <c r="P328" i="16"/>
  <c r="P324" i="16"/>
  <c r="P320" i="16"/>
  <c r="P316" i="16"/>
  <c r="P312" i="16"/>
  <c r="P308" i="16"/>
  <c r="P304" i="16"/>
  <c r="P300" i="16"/>
  <c r="P296" i="16"/>
  <c r="P292" i="16"/>
  <c r="P288" i="16"/>
  <c r="P284" i="16"/>
  <c r="P280" i="16"/>
  <c r="P276" i="16"/>
  <c r="P272" i="16"/>
  <c r="P268" i="16"/>
  <c r="P264" i="16"/>
  <c r="P260" i="16"/>
  <c r="P256" i="16"/>
  <c r="P252" i="16"/>
  <c r="P248" i="16"/>
  <c r="P244" i="16"/>
  <c r="P240" i="16"/>
  <c r="P236" i="16"/>
  <c r="P232" i="16"/>
  <c r="P228" i="16"/>
  <c r="P224" i="16"/>
  <c r="P220" i="16"/>
  <c r="P216" i="16"/>
  <c r="P212" i="16"/>
  <c r="P208" i="16"/>
  <c r="P204" i="16"/>
  <c r="P200" i="16"/>
  <c r="P196" i="16"/>
  <c r="P192" i="16"/>
  <c r="P188" i="16"/>
  <c r="P184" i="16"/>
  <c r="P180" i="16"/>
  <c r="P176" i="16"/>
  <c r="P172" i="16"/>
  <c r="P168" i="16"/>
  <c r="P164" i="16"/>
  <c r="P160" i="16"/>
  <c r="P156" i="16"/>
  <c r="P152" i="16"/>
  <c r="P148" i="16"/>
  <c r="P144" i="16"/>
  <c r="P140" i="16"/>
  <c r="P136" i="16"/>
  <c r="P132" i="16"/>
  <c r="P128" i="16"/>
  <c r="P124" i="16"/>
  <c r="P120" i="16"/>
  <c r="P116" i="16"/>
  <c r="P112" i="16"/>
  <c r="P108" i="16"/>
  <c r="P104" i="16"/>
  <c r="P100" i="16"/>
  <c r="P96" i="16"/>
  <c r="P92" i="16"/>
  <c r="P87" i="16"/>
  <c r="P83" i="16"/>
  <c r="P79" i="16"/>
  <c r="P75" i="16"/>
  <c r="P71" i="16"/>
  <c r="P67" i="16"/>
  <c r="P63" i="16"/>
  <c r="P59" i="16"/>
  <c r="P55" i="16"/>
  <c r="P51" i="16"/>
  <c r="P47" i="16"/>
  <c r="K9" i="16"/>
  <c r="O9" i="16" s="1"/>
  <c r="P44" i="16"/>
  <c r="P40" i="16"/>
  <c r="P36" i="16"/>
  <c r="P32" i="16"/>
  <c r="P28" i="16"/>
  <c r="P599" i="16"/>
  <c r="P595" i="16"/>
  <c r="P591" i="16"/>
  <c r="P587" i="16"/>
  <c r="P583" i="16"/>
  <c r="P579" i="16"/>
  <c r="P575" i="16"/>
  <c r="P571" i="16"/>
  <c r="P567" i="16"/>
  <c r="P563" i="16"/>
  <c r="P559" i="16"/>
  <c r="P555" i="16"/>
  <c r="P551" i="16"/>
  <c r="P547" i="16"/>
  <c r="P543" i="16"/>
  <c r="P539" i="16"/>
  <c r="P535" i="16"/>
  <c r="P531" i="16"/>
  <c r="P527" i="16"/>
  <c r="P523" i="16"/>
  <c r="P519" i="16"/>
  <c r="P515" i="16"/>
  <c r="P511" i="16"/>
  <c r="P507" i="16"/>
  <c r="P503" i="16"/>
  <c r="P499" i="16"/>
  <c r="P495" i="16"/>
  <c r="P491" i="16"/>
  <c r="P487" i="16"/>
  <c r="P483" i="16"/>
  <c r="P479" i="16"/>
  <c r="P475" i="16"/>
  <c r="P471" i="16"/>
  <c r="P467" i="16"/>
  <c r="P463" i="16"/>
  <c r="P459" i="16"/>
  <c r="P455" i="16"/>
  <c r="P451" i="16"/>
  <c r="P447" i="16"/>
  <c r="P443" i="16"/>
  <c r="P439" i="16"/>
  <c r="P435" i="16"/>
  <c r="P431" i="16"/>
  <c r="P427" i="16"/>
  <c r="P423" i="16"/>
  <c r="P419" i="16"/>
  <c r="P415" i="16"/>
  <c r="P411" i="16"/>
  <c r="P407" i="16"/>
  <c r="P403" i="16"/>
  <c r="P399" i="16"/>
  <c r="P395" i="16"/>
  <c r="P391" i="16"/>
  <c r="P387" i="16"/>
  <c r="P383" i="16"/>
  <c r="P379" i="16"/>
  <c r="P375" i="16"/>
  <c r="P371" i="16"/>
  <c r="P367" i="16"/>
  <c r="P363" i="16"/>
  <c r="P359" i="16"/>
  <c r="P355" i="16"/>
  <c r="P351" i="16"/>
  <c r="P347" i="16"/>
  <c r="P343" i="16"/>
  <c r="P339" i="16"/>
  <c r="P335" i="16"/>
  <c r="P331" i="16"/>
  <c r="P327" i="16"/>
  <c r="P323" i="16"/>
  <c r="P319" i="16"/>
  <c r="P315" i="16"/>
  <c r="P311" i="16"/>
  <c r="P307" i="16"/>
  <c r="P303" i="16"/>
  <c r="P299" i="16"/>
  <c r="P295" i="16"/>
  <c r="P291" i="16"/>
  <c r="P287" i="16"/>
  <c r="P283" i="16"/>
  <c r="P279" i="16"/>
  <c r="P275" i="16"/>
  <c r="P271" i="16"/>
  <c r="P267" i="16"/>
  <c r="P263" i="16"/>
  <c r="P259" i="16"/>
  <c r="P255" i="16"/>
  <c r="P251" i="16"/>
  <c r="P247" i="16"/>
  <c r="P243" i="16"/>
  <c r="P239" i="16"/>
  <c r="P235" i="16"/>
  <c r="P231" i="16"/>
  <c r="P227" i="16"/>
  <c r="P223" i="16"/>
  <c r="P219" i="16"/>
  <c r="P215" i="16"/>
  <c r="P211" i="16"/>
  <c r="P207" i="16"/>
  <c r="P203" i="16"/>
  <c r="P199" i="16"/>
  <c r="P195" i="16"/>
  <c r="P191" i="16"/>
  <c r="P187" i="16"/>
  <c r="P183" i="16"/>
  <c r="P179" i="16"/>
  <c r="P175" i="16"/>
  <c r="P171" i="16"/>
  <c r="P167" i="16"/>
  <c r="P163" i="16"/>
  <c r="P159" i="16"/>
  <c r="P155" i="16"/>
  <c r="P151" i="16"/>
  <c r="P147" i="16"/>
  <c r="P143" i="16"/>
  <c r="P139" i="16"/>
  <c r="P135" i="16"/>
  <c r="P131" i="16"/>
  <c r="P127" i="16"/>
  <c r="P123" i="16"/>
  <c r="P119" i="16"/>
  <c r="P115" i="16"/>
  <c r="P111" i="16"/>
  <c r="P107" i="16"/>
  <c r="P103" i="16"/>
  <c r="P99" i="16"/>
  <c r="P95" i="16"/>
  <c r="P90" i="16"/>
  <c r="P86" i="16"/>
  <c r="P82" i="16"/>
  <c r="P78" i="16"/>
  <c r="P74" i="16"/>
  <c r="P70" i="16"/>
  <c r="P66" i="16"/>
  <c r="P62" i="16"/>
  <c r="P58" i="16"/>
  <c r="P54" i="16"/>
  <c r="P50" i="16"/>
  <c r="P43" i="16"/>
  <c r="P39" i="16"/>
  <c r="P35" i="16"/>
  <c r="P31" i="16"/>
  <c r="P602" i="16"/>
  <c r="P598" i="16"/>
  <c r="P594" i="16"/>
  <c r="P590" i="16"/>
  <c r="P586" i="16"/>
  <c r="P582" i="16"/>
  <c r="P578" i="16"/>
  <c r="P574" i="16"/>
  <c r="P570" i="16"/>
  <c r="P566" i="16"/>
  <c r="P562" i="16"/>
  <c r="P558" i="16"/>
  <c r="P554" i="16"/>
  <c r="P550" i="16"/>
  <c r="P546" i="16"/>
  <c r="P542" i="16"/>
  <c r="P538" i="16"/>
  <c r="P534" i="16"/>
  <c r="P530" i="16"/>
  <c r="P526" i="16"/>
  <c r="P522" i="16"/>
  <c r="P518" i="16"/>
  <c r="P514" i="16"/>
  <c r="P510" i="16"/>
  <c r="P506" i="16"/>
  <c r="P502" i="16"/>
  <c r="P498" i="16"/>
  <c r="P494" i="16"/>
  <c r="P490" i="16"/>
  <c r="P486" i="16"/>
  <c r="P482" i="16"/>
  <c r="P478" i="16"/>
  <c r="P474" i="16"/>
  <c r="P470" i="16"/>
  <c r="P466" i="16"/>
  <c r="P462" i="16"/>
  <c r="P458" i="16"/>
  <c r="P454" i="16"/>
  <c r="P450" i="16"/>
  <c r="P446" i="16"/>
  <c r="P442" i="16"/>
  <c r="P438" i="16"/>
  <c r="P434" i="16"/>
  <c r="P430" i="16"/>
  <c r="P426" i="16"/>
  <c r="P422" i="16"/>
  <c r="P418" i="16"/>
  <c r="P414" i="16"/>
  <c r="P410" i="16"/>
  <c r="P406" i="16"/>
  <c r="P402" i="16"/>
  <c r="P398" i="16"/>
  <c r="P394" i="16"/>
  <c r="P390" i="16"/>
  <c r="P386" i="16"/>
  <c r="P382" i="16"/>
  <c r="P378" i="16"/>
  <c r="P374" i="16"/>
  <c r="P370" i="16"/>
  <c r="P366" i="16"/>
  <c r="P362" i="16"/>
  <c r="P358" i="16"/>
  <c r="P354" i="16"/>
  <c r="P350" i="16"/>
  <c r="P346" i="16"/>
  <c r="P342" i="16"/>
  <c r="P338" i="16"/>
  <c r="P334" i="16"/>
  <c r="P330" i="16"/>
  <c r="P326" i="16"/>
  <c r="P322" i="16"/>
  <c r="P318" i="16"/>
  <c r="P314" i="16"/>
  <c r="P310" i="16"/>
  <c r="P306" i="16"/>
  <c r="P302" i="16"/>
  <c r="P298" i="16"/>
  <c r="P294" i="16"/>
  <c r="P290" i="16"/>
  <c r="P286" i="16"/>
  <c r="P282" i="16"/>
  <c r="P278" i="16"/>
  <c r="P274" i="16"/>
  <c r="P270" i="16"/>
  <c r="P266" i="16"/>
  <c r="P262" i="16"/>
  <c r="P258" i="16"/>
  <c r="P254" i="16"/>
  <c r="P250" i="16"/>
  <c r="P246" i="16"/>
  <c r="P242" i="16"/>
  <c r="P238" i="16"/>
  <c r="P234" i="16"/>
  <c r="P230" i="16"/>
  <c r="P226" i="16"/>
  <c r="P222" i="16"/>
  <c r="P218" i="16"/>
  <c r="P214" i="16"/>
  <c r="P210" i="16"/>
  <c r="P206" i="16"/>
  <c r="P202" i="16"/>
  <c r="P198" i="16"/>
  <c r="P194" i="16"/>
  <c r="P190" i="16"/>
  <c r="P186" i="16"/>
  <c r="P182" i="16"/>
  <c r="P178" i="16"/>
  <c r="P174" i="16"/>
  <c r="P170" i="16"/>
  <c r="P166" i="16"/>
  <c r="P162" i="16"/>
  <c r="P158" i="16"/>
  <c r="P154" i="16"/>
  <c r="P150" i="16"/>
  <c r="P146" i="16"/>
  <c r="P142" i="16"/>
  <c r="P138" i="16"/>
  <c r="P134" i="16"/>
  <c r="P130" i="16"/>
  <c r="P126" i="16"/>
  <c r="P122" i="16"/>
  <c r="P118" i="16"/>
  <c r="P114" i="16"/>
  <c r="P110" i="16"/>
  <c r="P106" i="16"/>
  <c r="P102" i="16"/>
  <c r="P98" i="16"/>
  <c r="P94" i="16"/>
  <c r="P91" i="16"/>
  <c r="K384" i="16"/>
  <c r="O384" i="16" s="1"/>
  <c r="F600" i="16"/>
  <c r="E600" i="16" s="1"/>
  <c r="P89" i="16"/>
  <c r="P85" i="16"/>
  <c r="P81" i="16"/>
  <c r="P77" i="16"/>
  <c r="P73" i="16"/>
  <c r="P69" i="16"/>
  <c r="P65" i="16"/>
  <c r="P61" i="16"/>
  <c r="P57" i="16"/>
  <c r="P53" i="16"/>
  <c r="P49" i="16"/>
  <c r="F253" i="16"/>
  <c r="E253" i="16" s="1"/>
  <c r="K38" i="16"/>
  <c r="O38" i="16" s="1"/>
  <c r="L25" i="16"/>
  <c r="P27" i="16"/>
  <c r="P24" i="16"/>
  <c r="P20" i="16"/>
  <c r="P16" i="16"/>
  <c r="P12" i="16"/>
  <c r="P7" i="16"/>
  <c r="P23" i="16"/>
  <c r="P19" i="16"/>
  <c r="P15" i="16"/>
  <c r="P11" i="16"/>
  <c r="P10" i="16"/>
  <c r="P6" i="16"/>
  <c r="P26" i="16"/>
  <c r="P22" i="16"/>
  <c r="P18" i="16"/>
  <c r="P14" i="16"/>
  <c r="F200" i="16"/>
  <c r="E200" i="16" s="1"/>
  <c r="K560" i="16"/>
  <c r="O560" i="16" s="1"/>
  <c r="K229" i="16"/>
  <c r="O229" i="16" s="1"/>
  <c r="P9" i="16"/>
  <c r="P5" i="16"/>
  <c r="P25" i="16"/>
  <c r="P21" i="16"/>
  <c r="P17" i="16"/>
  <c r="P13" i="16"/>
  <c r="P8" i="16"/>
  <c r="P4" i="16"/>
  <c r="N14" i="16"/>
  <c r="L14" i="16"/>
  <c r="N22" i="16"/>
  <c r="L8" i="16"/>
  <c r="N8" i="16"/>
  <c r="F46" i="16"/>
  <c r="E46" i="16" s="1"/>
  <c r="N5" i="16"/>
  <c r="K5" i="16"/>
  <c r="O5" i="16" s="1"/>
  <c r="F23" i="16"/>
  <c r="E23" i="16" s="1"/>
  <c r="F419" i="16"/>
  <c r="E419" i="16" s="1"/>
  <c r="K44" i="16"/>
  <c r="O44" i="16" s="1"/>
  <c r="F501" i="16"/>
  <c r="E501" i="16" s="1"/>
  <c r="F349" i="16"/>
  <c r="E349" i="16" s="1"/>
  <c r="L44" i="16"/>
  <c r="L35" i="16"/>
  <c r="L41" i="16"/>
  <c r="L89" i="16"/>
  <c r="L81" i="16"/>
  <c r="L73" i="16"/>
  <c r="L65" i="16"/>
  <c r="L118" i="16"/>
  <c r="L110" i="16"/>
  <c r="L102" i="16"/>
  <c r="L94" i="16"/>
  <c r="L150" i="16"/>
  <c r="L142" i="16"/>
  <c r="L134" i="16"/>
  <c r="L126" i="16"/>
  <c r="L182" i="16"/>
  <c r="L174" i="16"/>
  <c r="L166" i="16"/>
  <c r="L158" i="16"/>
  <c r="L214" i="16"/>
  <c r="L206" i="16"/>
  <c r="L198" i="16"/>
  <c r="L190" i="16"/>
  <c r="L246" i="16"/>
  <c r="L238" i="16"/>
  <c r="L230" i="16"/>
  <c r="L222" i="16"/>
  <c r="L278" i="16"/>
  <c r="L270" i="16"/>
  <c r="L262" i="16"/>
  <c r="L254" i="16"/>
  <c r="L314" i="16"/>
  <c r="L306" i="16"/>
  <c r="L298" i="16"/>
  <c r="L290" i="16"/>
  <c r="L346" i="16"/>
  <c r="L338" i="16"/>
  <c r="L330" i="16"/>
  <c r="L322" i="16"/>
  <c r="L374" i="16"/>
  <c r="L366" i="16"/>
  <c r="L358" i="16"/>
  <c r="L350" i="16"/>
  <c r="L406" i="16"/>
  <c r="L398" i="16"/>
  <c r="L390" i="16"/>
  <c r="L382" i="16"/>
  <c r="L441" i="16"/>
  <c r="L433" i="16"/>
  <c r="L425" i="16"/>
  <c r="L417" i="16"/>
  <c r="L469" i="16"/>
  <c r="L461" i="16"/>
  <c r="L453" i="16"/>
  <c r="L497" i="16"/>
  <c r="L489" i="16"/>
  <c r="L481" i="16"/>
  <c r="L537" i="16"/>
  <c r="L529" i="16"/>
  <c r="L521" i="16"/>
  <c r="L513" i="16"/>
  <c r="L565" i="16"/>
  <c r="L557" i="16"/>
  <c r="L549" i="16"/>
  <c r="L541" i="16"/>
  <c r="L597" i="16"/>
  <c r="L589" i="16"/>
  <c r="L581" i="16"/>
  <c r="F453" i="16"/>
  <c r="E453" i="16" s="1"/>
  <c r="F357" i="16"/>
  <c r="E357" i="16" s="1"/>
  <c r="L51" i="16"/>
  <c r="L43" i="16"/>
  <c r="L34" i="16"/>
  <c r="L88" i="16"/>
  <c r="L80" i="16"/>
  <c r="L72" i="16"/>
  <c r="L64" i="16"/>
  <c r="L117" i="16"/>
  <c r="L109" i="16"/>
  <c r="L101" i="16"/>
  <c r="L93" i="16"/>
  <c r="L149" i="16"/>
  <c r="L141" i="16"/>
  <c r="L133" i="16"/>
  <c r="L125" i="16"/>
  <c r="L181" i="16"/>
  <c r="L173" i="16"/>
  <c r="L165" i="16"/>
  <c r="L157" i="16"/>
  <c r="L213" i="16"/>
  <c r="L205" i="16"/>
  <c r="L197" i="16"/>
  <c r="L189" i="16"/>
  <c r="L245" i="16"/>
  <c r="L237" i="16"/>
  <c r="L229" i="16"/>
  <c r="L221" i="16"/>
  <c r="L277" i="16"/>
  <c r="L269" i="16"/>
  <c r="L261" i="16"/>
  <c r="L253" i="16"/>
  <c r="L313" i="16"/>
  <c r="L305" i="16"/>
  <c r="L297" i="16"/>
  <c r="L289" i="16"/>
  <c r="L345" i="16"/>
  <c r="L337" i="16"/>
  <c r="L329" i="16"/>
  <c r="L321" i="16"/>
  <c r="L373" i="16"/>
  <c r="L365" i="16"/>
  <c r="L357" i="16"/>
  <c r="L349" i="16"/>
  <c r="L405" i="16"/>
  <c r="L397" i="16"/>
  <c r="L389" i="16"/>
  <c r="L381" i="16"/>
  <c r="L440" i="16"/>
  <c r="L432" i="16"/>
  <c r="L424" i="16"/>
  <c r="L416" i="16"/>
  <c r="L504" i="16"/>
  <c r="L496" i="16"/>
  <c r="L488" i="16"/>
  <c r="L480" i="16"/>
  <c r="L536" i="16"/>
  <c r="L528" i="16"/>
  <c r="L520" i="16"/>
  <c r="L512" i="16"/>
  <c r="L548" i="16"/>
  <c r="L58" i="16"/>
  <c r="L50" i="16"/>
  <c r="L33" i="16"/>
  <c r="L71" i="16"/>
  <c r="L220" i="16"/>
  <c r="L260" i="16"/>
  <c r="L312" i="16"/>
  <c r="L304" i="16"/>
  <c r="L296" i="16"/>
  <c r="L288" i="16"/>
  <c r="L344" i="16"/>
  <c r="L336" i="16"/>
  <c r="L328" i="16"/>
  <c r="L320" i="16"/>
  <c r="L439" i="16"/>
  <c r="L415" i="16"/>
  <c r="L443" i="16"/>
  <c r="L467" i="16"/>
  <c r="L459" i="16"/>
  <c r="L451" i="16"/>
  <c r="L495" i="16"/>
  <c r="L519" i="16"/>
  <c r="L511" i="16"/>
  <c r="L539" i="16"/>
  <c r="L563" i="16"/>
  <c r="L555" i="16"/>
  <c r="L547" i="16"/>
  <c r="L571" i="16"/>
  <c r="L595" i="16"/>
  <c r="L587" i="16"/>
  <c r="L579" i="16"/>
  <c r="L57" i="16"/>
  <c r="L49" i="16"/>
  <c r="L40" i="16"/>
  <c r="L32" i="16"/>
  <c r="L86" i="16"/>
  <c r="L78" i="16"/>
  <c r="L70" i="16"/>
  <c r="L62" i="16"/>
  <c r="L91" i="16"/>
  <c r="L115" i="16"/>
  <c r="L107" i="16"/>
  <c r="L99" i="16"/>
  <c r="L123" i="16"/>
  <c r="L147" i="16"/>
  <c r="L139" i="16"/>
  <c r="L131" i="16"/>
  <c r="L155" i="16"/>
  <c r="L179" i="16"/>
  <c r="L171" i="16"/>
  <c r="L163" i="16"/>
  <c r="L187" i="16"/>
  <c r="L211" i="16"/>
  <c r="L203" i="16"/>
  <c r="L195" i="16"/>
  <c r="L219" i="16"/>
  <c r="L243" i="16"/>
  <c r="L235" i="16"/>
  <c r="L227" i="16"/>
  <c r="L251" i="16"/>
  <c r="L275" i="16"/>
  <c r="L267" i="16"/>
  <c r="L259" i="16"/>
  <c r="L347" i="16"/>
  <c r="L371" i="16"/>
  <c r="L363" i="16"/>
  <c r="L355" i="16"/>
  <c r="L379" i="16"/>
  <c r="L403" i="16"/>
  <c r="L395" i="16"/>
  <c r="L387" i="16"/>
  <c r="L438" i="16"/>
  <c r="L430" i="16"/>
  <c r="L422" i="16"/>
  <c r="L414" i="16"/>
  <c r="L474" i="16"/>
  <c r="L466" i="16"/>
  <c r="L458" i="16"/>
  <c r="L450" i="16"/>
  <c r="L502" i="16"/>
  <c r="L494" i="16"/>
  <c r="L486" i="16"/>
  <c r="L478" i="16"/>
  <c r="L534" i="16"/>
  <c r="L526" i="16"/>
  <c r="L518" i="16"/>
  <c r="L510" i="16"/>
  <c r="L562" i="16"/>
  <c r="L554" i="16"/>
  <c r="L546" i="16"/>
  <c r="L602" i="16"/>
  <c r="L594" i="16"/>
  <c r="L578" i="16"/>
  <c r="L56" i="16"/>
  <c r="L48" i="16"/>
  <c r="L39" i="16"/>
  <c r="L31" i="16"/>
  <c r="L85" i="16"/>
  <c r="L77" i="16"/>
  <c r="L69" i="16"/>
  <c r="L61" i="16"/>
  <c r="L122" i="16"/>
  <c r="L114" i="16"/>
  <c r="L106" i="16"/>
  <c r="L98" i="16"/>
  <c r="L154" i="16"/>
  <c r="L146" i="16"/>
  <c r="L138" i="16"/>
  <c r="L130" i="16"/>
  <c r="L186" i="16"/>
  <c r="L178" i="16"/>
  <c r="L170" i="16"/>
  <c r="L162" i="16"/>
  <c r="L218" i="16"/>
  <c r="L210" i="16"/>
  <c r="L202" i="16"/>
  <c r="L250" i="16"/>
  <c r="L242" i="16"/>
  <c r="L234" i="16"/>
  <c r="L226" i="16"/>
  <c r="L282" i="16"/>
  <c r="L274" i="16"/>
  <c r="L266" i="16"/>
  <c r="L258" i="16"/>
  <c r="L310" i="16"/>
  <c r="L302" i="16"/>
  <c r="L294" i="16"/>
  <c r="L286" i="16"/>
  <c r="L342" i="16"/>
  <c r="L334" i="16"/>
  <c r="L326" i="16"/>
  <c r="L318" i="16"/>
  <c r="L370" i="16"/>
  <c r="L362" i="16"/>
  <c r="L402" i="16"/>
  <c r="L386" i="16"/>
  <c r="L437" i="16"/>
  <c r="L421" i="16"/>
  <c r="L413" i="16"/>
  <c r="L473" i="16"/>
  <c r="L465" i="16"/>
  <c r="L457" i="16"/>
  <c r="L449" i="16"/>
  <c r="L493" i="16"/>
  <c r="L485" i="16"/>
  <c r="L477" i="16"/>
  <c r="L533" i="16"/>
  <c r="L525" i="16"/>
  <c r="L517" i="16"/>
  <c r="L509" i="16"/>
  <c r="L569" i="16"/>
  <c r="L561" i="16"/>
  <c r="L553" i="16"/>
  <c r="L545" i="16"/>
  <c r="L601" i="16"/>
  <c r="L593" i="16"/>
  <c r="L577" i="16"/>
  <c r="L38" i="16"/>
  <c r="L30" i="16"/>
  <c r="L121" i="16"/>
  <c r="L113" i="16"/>
  <c r="L105" i="16"/>
  <c r="L97" i="16"/>
  <c r="L153" i="16"/>
  <c r="L145" i="16"/>
  <c r="L137" i="16"/>
  <c r="L129" i="16"/>
  <c r="L185" i="16"/>
  <c r="L177" i="16"/>
  <c r="L169" i="16"/>
  <c r="L161" i="16"/>
  <c r="L217" i="16"/>
  <c r="L209" i="16"/>
  <c r="L201" i="16"/>
  <c r="L193" i="16"/>
  <c r="L249" i="16"/>
  <c r="L241" i="16"/>
  <c r="L233" i="16"/>
  <c r="L225" i="16"/>
  <c r="L281" i="16"/>
  <c r="L273" i="16"/>
  <c r="L265" i="16"/>
  <c r="L257" i="16"/>
  <c r="L309" i="16"/>
  <c r="L301" i="16"/>
  <c r="L285" i="16"/>
  <c r="L341" i="16"/>
  <c r="L333" i="16"/>
  <c r="L325" i="16"/>
  <c r="L317" i="16"/>
  <c r="L377" i="16"/>
  <c r="L369" i="16"/>
  <c r="L361" i="16"/>
  <c r="L353" i="16"/>
  <c r="L409" i="16"/>
  <c r="L401" i="16"/>
  <c r="L393" i="16"/>
  <c r="L385" i="16"/>
  <c r="L436" i="16"/>
  <c r="L472" i="16"/>
  <c r="L464" i="16"/>
  <c r="L456" i="16"/>
  <c r="L448" i="16"/>
  <c r="L524" i="16"/>
  <c r="L568" i="16"/>
  <c r="L560" i="16"/>
  <c r="L552" i="16"/>
  <c r="L544" i="16"/>
  <c r="L600" i="16"/>
  <c r="L592" i="16"/>
  <c r="L584" i="16"/>
  <c r="L576" i="16"/>
  <c r="F530" i="16"/>
  <c r="E530" i="16" s="1"/>
  <c r="K133" i="16"/>
  <c r="O133" i="16" s="1"/>
  <c r="L54" i="16"/>
  <c r="L46" i="16"/>
  <c r="L59" i="16"/>
  <c r="L83" i="16"/>
  <c r="L75" i="16"/>
  <c r="L67" i="16"/>
  <c r="L120" i="16"/>
  <c r="L112" i="16"/>
  <c r="L104" i="16"/>
  <c r="L96" i="16"/>
  <c r="L152" i="16"/>
  <c r="L144" i="16"/>
  <c r="L136" i="16"/>
  <c r="L128" i="16"/>
  <c r="L184" i="16"/>
  <c r="L176" i="16"/>
  <c r="L168" i="16"/>
  <c r="L160" i="16"/>
  <c r="L216" i="16"/>
  <c r="L208" i="16"/>
  <c r="L200" i="16"/>
  <c r="L192" i="16"/>
  <c r="L248" i="16"/>
  <c r="L240" i="16"/>
  <c r="L232" i="16"/>
  <c r="L224" i="16"/>
  <c r="L280" i="16"/>
  <c r="L272" i="16"/>
  <c r="L264" i="16"/>
  <c r="L256" i="16"/>
  <c r="L308" i="16"/>
  <c r="L340" i="16"/>
  <c r="L332" i="16"/>
  <c r="L316" i="16"/>
  <c r="L376" i="16"/>
  <c r="L368" i="16"/>
  <c r="L360" i="16"/>
  <c r="L352" i="16"/>
  <c r="L408" i="16"/>
  <c r="L400" i="16"/>
  <c r="L392" i="16"/>
  <c r="L384" i="16"/>
  <c r="L411" i="16"/>
  <c r="L435" i="16"/>
  <c r="L427" i="16"/>
  <c r="L419" i="16"/>
  <c r="L471" i="16"/>
  <c r="L475" i="16"/>
  <c r="L499" i="16"/>
  <c r="L491" i="16"/>
  <c r="L483" i="16"/>
  <c r="L507" i="16"/>
  <c r="L531" i="16"/>
  <c r="L523" i="16"/>
  <c r="L515" i="16"/>
  <c r="L543" i="16"/>
  <c r="L591" i="16"/>
  <c r="K221" i="16"/>
  <c r="O221" i="16" s="1"/>
  <c r="L53" i="16"/>
  <c r="L45" i="16"/>
  <c r="L36" i="16"/>
  <c r="L28" i="16"/>
  <c r="L90" i="16"/>
  <c r="L82" i="16"/>
  <c r="L74" i="16"/>
  <c r="L66" i="16"/>
  <c r="L143" i="16"/>
  <c r="L183" i="16"/>
  <c r="L215" i="16"/>
  <c r="L199" i="16"/>
  <c r="L283" i="16"/>
  <c r="L307" i="16"/>
  <c r="L299" i="16"/>
  <c r="L291" i="16"/>
  <c r="L315" i="16"/>
  <c r="L339" i="16"/>
  <c r="L331" i="16"/>
  <c r="L323" i="16"/>
  <c r="L399" i="16"/>
  <c r="L442" i="16"/>
  <c r="L434" i="16"/>
  <c r="L426" i="16"/>
  <c r="L418" i="16"/>
  <c r="L470" i="16"/>
  <c r="L462" i="16"/>
  <c r="L454" i="16"/>
  <c r="L446" i="16"/>
  <c r="L506" i="16"/>
  <c r="L498" i="16"/>
  <c r="L490" i="16"/>
  <c r="L482" i="16"/>
  <c r="L538" i="16"/>
  <c r="L530" i="16"/>
  <c r="L522" i="16"/>
  <c r="L514" i="16"/>
  <c r="L566" i="16"/>
  <c r="L558" i="16"/>
  <c r="L550" i="16"/>
  <c r="L542" i="16"/>
  <c r="L598" i="16"/>
  <c r="L590" i="16"/>
  <c r="L582" i="16"/>
  <c r="L574" i="16"/>
  <c r="L27" i="16"/>
  <c r="O27" i="16" s="1"/>
  <c r="K41" i="16"/>
  <c r="O41" i="16" s="1"/>
  <c r="F30" i="16"/>
  <c r="E30" i="16" s="1"/>
  <c r="F533" i="16"/>
  <c r="E533" i="16" s="1"/>
  <c r="K202" i="16"/>
  <c r="O202" i="16" s="1"/>
  <c r="K458" i="16"/>
  <c r="O458" i="16" s="1"/>
  <c r="F320" i="16"/>
  <c r="E320" i="16" s="1"/>
  <c r="F152" i="16"/>
  <c r="E152" i="16" s="1"/>
  <c r="K192" i="16"/>
  <c r="O192" i="16" s="1"/>
  <c r="F224" i="16"/>
  <c r="E224" i="16" s="1"/>
  <c r="K272" i="16"/>
  <c r="O272" i="16" s="1"/>
  <c r="K312" i="16"/>
  <c r="O312" i="16" s="1"/>
  <c r="F38" i="16"/>
  <c r="E38" i="16" s="1"/>
  <c r="F10" i="16"/>
  <c r="E10" i="16" s="1"/>
  <c r="K32" i="16"/>
  <c r="O32" i="16" s="1"/>
  <c r="K178" i="16"/>
  <c r="O178" i="16" s="1"/>
  <c r="F458" i="16"/>
  <c r="E458" i="16" s="1"/>
  <c r="K362" i="16"/>
  <c r="O362" i="16" s="1"/>
  <c r="K266" i="16"/>
  <c r="O266" i="16" s="1"/>
  <c r="F154" i="16"/>
  <c r="E154" i="16" s="1"/>
  <c r="F178" i="16"/>
  <c r="E178" i="16" s="1"/>
  <c r="F226" i="16"/>
  <c r="E226" i="16" s="1"/>
  <c r="K170" i="16"/>
  <c r="O170" i="16" s="1"/>
  <c r="F250" i="16"/>
  <c r="E250" i="16" s="1"/>
  <c r="K394" i="16"/>
  <c r="O394" i="16" s="1"/>
  <c r="F442" i="16"/>
  <c r="E442" i="16" s="1"/>
  <c r="K282" i="16"/>
  <c r="O282" i="16" s="1"/>
  <c r="F378" i="16"/>
  <c r="E378" i="16" s="1"/>
  <c r="F514" i="16"/>
  <c r="E514" i="16" s="1"/>
  <c r="F194" i="16"/>
  <c r="E194" i="16" s="1"/>
  <c r="K466" i="16"/>
  <c r="O466" i="16" s="1"/>
  <c r="F114" i="16"/>
  <c r="E114" i="16" s="1"/>
  <c r="K74" i="16"/>
  <c r="O74" i="16" s="1"/>
  <c r="K90" i="16"/>
  <c r="O90" i="16" s="1"/>
  <c r="F170" i="16"/>
  <c r="E170" i="16" s="1"/>
  <c r="F314" i="16"/>
  <c r="E314" i="16" s="1"/>
  <c r="K250" i="16"/>
  <c r="O250" i="16" s="1"/>
  <c r="F146" i="16"/>
  <c r="E146" i="16" s="1"/>
  <c r="F394" i="16"/>
  <c r="E394" i="16" s="1"/>
  <c r="K418" i="16"/>
  <c r="O418" i="16" s="1"/>
  <c r="F570" i="16"/>
  <c r="E570" i="16" s="1"/>
  <c r="K538" i="16"/>
  <c r="O538" i="16" s="1"/>
  <c r="F578" i="16"/>
  <c r="E578" i="16" s="1"/>
  <c r="F106" i="16"/>
  <c r="E106" i="16" s="1"/>
  <c r="F602" i="16"/>
  <c r="E602" i="16" s="1"/>
  <c r="F218" i="16"/>
  <c r="E218" i="16" s="1"/>
  <c r="F594" i="16"/>
  <c r="E594" i="16" s="1"/>
  <c r="K410" i="16"/>
  <c r="O410" i="16" s="1"/>
  <c r="K530" i="16"/>
  <c r="O530" i="16" s="1"/>
  <c r="K122" i="16"/>
  <c r="O122" i="16" s="1"/>
  <c r="K338" i="16"/>
  <c r="O338" i="16" s="1"/>
  <c r="L3" i="16"/>
  <c r="F563" i="16"/>
  <c r="E563" i="16" s="1"/>
  <c r="F98" i="16"/>
  <c r="E98" i="16" s="1"/>
  <c r="K154" i="16"/>
  <c r="O154" i="16" s="1"/>
  <c r="K274" i="16"/>
  <c r="O274" i="16" s="1"/>
  <c r="K50" i="16"/>
  <c r="O50" i="16" s="1"/>
  <c r="F234" i="16"/>
  <c r="E234" i="16" s="1"/>
  <c r="F346" i="16"/>
  <c r="E346" i="16" s="1"/>
  <c r="K186" i="16"/>
  <c r="O186" i="16" s="1"/>
  <c r="F498" i="16"/>
  <c r="E498" i="16" s="1"/>
  <c r="K426" i="16"/>
  <c r="O426" i="16" s="1"/>
  <c r="K554" i="16"/>
  <c r="O554" i="16" s="1"/>
  <c r="F506" i="16"/>
  <c r="E506" i="16" s="1"/>
  <c r="K562" i="16"/>
  <c r="O562" i="16" s="1"/>
  <c r="K490" i="16"/>
  <c r="O490" i="16" s="1"/>
  <c r="F330" i="16"/>
  <c r="E330" i="16" s="1"/>
  <c r="F306" i="16"/>
  <c r="E306" i="16" s="1"/>
  <c r="K138" i="16"/>
  <c r="O138" i="16" s="1"/>
  <c r="K298" i="16"/>
  <c r="O298" i="16" s="1"/>
  <c r="K162" i="16"/>
  <c r="O162" i="16" s="1"/>
  <c r="F66" i="16"/>
  <c r="E66" i="16" s="1"/>
  <c r="K378" i="16"/>
  <c r="O378" i="16" s="1"/>
  <c r="F16" i="16"/>
  <c r="E16" i="16" s="1"/>
  <c r="K66" i="16"/>
  <c r="O66" i="16" s="1"/>
  <c r="K234" i="16"/>
  <c r="O234" i="16" s="1"/>
  <c r="K386" i="16"/>
  <c r="O386" i="16" s="1"/>
  <c r="F434" i="16"/>
  <c r="E434" i="16" s="1"/>
  <c r="F490" i="16"/>
  <c r="E490" i="16" s="1"/>
  <c r="K218" i="16"/>
  <c r="O218" i="16" s="1"/>
  <c r="F50" i="16"/>
  <c r="E50" i="16" s="1"/>
  <c r="K98" i="16"/>
  <c r="O98" i="16" s="1"/>
  <c r="K402" i="16"/>
  <c r="O402" i="16" s="1"/>
  <c r="F474" i="16"/>
  <c r="E474" i="16" s="1"/>
  <c r="F538" i="16"/>
  <c r="E538" i="16" s="1"/>
  <c r="F40" i="16"/>
  <c r="E40" i="16" s="1"/>
  <c r="K258" i="16"/>
  <c r="O258" i="16" s="1"/>
  <c r="F354" i="16"/>
  <c r="E354" i="16" s="1"/>
  <c r="K450" i="16"/>
  <c r="O450" i="16" s="1"/>
  <c r="K514" i="16"/>
  <c r="O514" i="16" s="1"/>
  <c r="L17" i="16"/>
  <c r="K114" i="16"/>
  <c r="O114" i="16" s="1"/>
  <c r="F586" i="16"/>
  <c r="E586" i="16" s="1"/>
  <c r="K322" i="16"/>
  <c r="O322" i="16" s="1"/>
  <c r="N17" i="16"/>
  <c r="F74" i="16"/>
  <c r="E74" i="16" s="1"/>
  <c r="K436" i="16"/>
  <c r="O436" i="16" s="1"/>
  <c r="K421" i="16"/>
  <c r="O421" i="16" s="1"/>
  <c r="K557" i="16"/>
  <c r="O557" i="16" s="1"/>
  <c r="K582" i="16"/>
  <c r="O582" i="16" s="1"/>
  <c r="F557" i="16"/>
  <c r="E557" i="16" s="1"/>
  <c r="F261" i="16"/>
  <c r="E261" i="16" s="1"/>
  <c r="F429" i="16"/>
  <c r="E429" i="16" s="1"/>
  <c r="F413" i="16"/>
  <c r="E413" i="16" s="1"/>
  <c r="F437" i="16"/>
  <c r="E437" i="16" s="1"/>
  <c r="F269" i="16"/>
  <c r="E269" i="16" s="1"/>
  <c r="K389" i="16"/>
  <c r="O389" i="16" s="1"/>
  <c r="L20" i="16"/>
  <c r="F277" i="16"/>
  <c r="E277" i="16" s="1"/>
  <c r="F597" i="16"/>
  <c r="E597" i="16" s="1"/>
  <c r="K149" i="16"/>
  <c r="O149" i="16" s="1"/>
  <c r="L19" i="16"/>
  <c r="F541" i="16"/>
  <c r="E541" i="16" s="1"/>
  <c r="K437" i="16"/>
  <c r="O437" i="16" s="1"/>
  <c r="K429" i="16"/>
  <c r="O429" i="16" s="1"/>
  <c r="K325" i="16"/>
  <c r="O325" i="16" s="1"/>
  <c r="K270" i="16"/>
  <c r="O270" i="16" s="1"/>
  <c r="N37" i="16"/>
  <c r="K37" i="16"/>
  <c r="O37" i="16" s="1"/>
  <c r="K29" i="16"/>
  <c r="O29" i="16" s="1"/>
  <c r="L21" i="16"/>
  <c r="F21" i="16"/>
  <c r="E21" i="16" s="1"/>
  <c r="L13" i="16"/>
  <c r="F13" i="16"/>
  <c r="E13" i="16" s="1"/>
  <c r="N7" i="16"/>
  <c r="L7" i="16"/>
  <c r="K7" i="16"/>
  <c r="O7" i="16" s="1"/>
  <c r="N599" i="16"/>
  <c r="F599" i="16"/>
  <c r="E599" i="16" s="1"/>
  <c r="K583" i="16"/>
  <c r="O583" i="16" s="1"/>
  <c r="F583" i="16"/>
  <c r="E583" i="16" s="1"/>
  <c r="N575" i="16"/>
  <c r="K575" i="16"/>
  <c r="O575" i="16" s="1"/>
  <c r="F575" i="16"/>
  <c r="E575" i="16" s="1"/>
  <c r="N567" i="16"/>
  <c r="K567" i="16"/>
  <c r="O567" i="16" s="1"/>
  <c r="N559" i="16"/>
  <c r="N551" i="16"/>
  <c r="K551" i="16"/>
  <c r="O551" i="16" s="1"/>
  <c r="N535" i="16"/>
  <c r="K535" i="16"/>
  <c r="O535" i="16" s="1"/>
  <c r="F535" i="16"/>
  <c r="E535" i="16" s="1"/>
  <c r="F527" i="16"/>
  <c r="E527" i="16" s="1"/>
  <c r="K527" i="16"/>
  <c r="O527" i="16" s="1"/>
  <c r="N503" i="16"/>
  <c r="F487" i="16"/>
  <c r="E487" i="16" s="1"/>
  <c r="K487" i="16"/>
  <c r="O487" i="16" s="1"/>
  <c r="K463" i="16"/>
  <c r="O463" i="16" s="1"/>
  <c r="N455" i="16"/>
  <c r="K455" i="16"/>
  <c r="O455" i="16" s="1"/>
  <c r="N447" i="16"/>
  <c r="F447" i="16"/>
  <c r="E447" i="16" s="1"/>
  <c r="K423" i="16"/>
  <c r="O423" i="16" s="1"/>
  <c r="K407" i="16"/>
  <c r="O407" i="16" s="1"/>
  <c r="K391" i="16"/>
  <c r="O391" i="16" s="1"/>
  <c r="N383" i="16"/>
  <c r="K383" i="16"/>
  <c r="O383" i="16" s="1"/>
  <c r="F383" i="16"/>
  <c r="E383" i="16" s="1"/>
  <c r="K375" i="16"/>
  <c r="O375" i="16" s="1"/>
  <c r="N367" i="16"/>
  <c r="F367" i="16"/>
  <c r="E367" i="16" s="1"/>
  <c r="N359" i="16"/>
  <c r="K359" i="16"/>
  <c r="O359" i="16" s="1"/>
  <c r="N351" i="16"/>
  <c r="F351" i="16"/>
  <c r="E351" i="16" s="1"/>
  <c r="K351" i="16"/>
  <c r="O351" i="16" s="1"/>
  <c r="N343" i="16"/>
  <c r="K343" i="16"/>
  <c r="O343" i="16" s="1"/>
  <c r="F343" i="16"/>
  <c r="E343" i="16" s="1"/>
  <c r="F335" i="16"/>
  <c r="E335" i="16" s="1"/>
  <c r="K335" i="16"/>
  <c r="O335" i="16" s="1"/>
  <c r="N327" i="16"/>
  <c r="K327" i="16"/>
  <c r="O327" i="16" s="1"/>
  <c r="N319" i="16"/>
  <c r="F319" i="16"/>
  <c r="E319" i="16" s="1"/>
  <c r="N311" i="16"/>
  <c r="K311" i="16"/>
  <c r="O311" i="16" s="1"/>
  <c r="K303" i="16"/>
  <c r="O303" i="16" s="1"/>
  <c r="K295" i="16"/>
  <c r="O295" i="16" s="1"/>
  <c r="N287" i="16"/>
  <c r="K287" i="16"/>
  <c r="O287" i="16" s="1"/>
  <c r="N279" i="16"/>
  <c r="F279" i="16"/>
  <c r="E279" i="16" s="1"/>
  <c r="N271" i="16"/>
  <c r="N263" i="16"/>
  <c r="F263" i="16"/>
  <c r="E263" i="16" s="1"/>
  <c r="N255" i="16"/>
  <c r="K255" i="16"/>
  <c r="O255" i="16" s="1"/>
  <c r="F255" i="16"/>
  <c r="E255" i="16" s="1"/>
  <c r="N247" i="16"/>
  <c r="N239" i="16"/>
  <c r="K239" i="16"/>
  <c r="O239" i="16" s="1"/>
  <c r="N231" i="16"/>
  <c r="F231" i="16"/>
  <c r="E231" i="16" s="1"/>
  <c r="N223" i="16"/>
  <c r="F223" i="16"/>
  <c r="E223" i="16" s="1"/>
  <c r="N207" i="16"/>
  <c r="K207" i="16"/>
  <c r="O207" i="16" s="1"/>
  <c r="N191" i="16"/>
  <c r="K191" i="16"/>
  <c r="O191" i="16" s="1"/>
  <c r="N175" i="16"/>
  <c r="F175" i="16"/>
  <c r="E175" i="16" s="1"/>
  <c r="N167" i="16"/>
  <c r="N159" i="16"/>
  <c r="N151" i="16"/>
  <c r="F151" i="16"/>
  <c r="E151" i="16" s="1"/>
  <c r="N135" i="16"/>
  <c r="K135" i="16"/>
  <c r="O135" i="16" s="1"/>
  <c r="N127" i="16"/>
  <c r="K127" i="16"/>
  <c r="O127" i="16" s="1"/>
  <c r="N119" i="16"/>
  <c r="K119" i="16"/>
  <c r="O119" i="16" s="1"/>
  <c r="F119" i="16"/>
  <c r="E119" i="16" s="1"/>
  <c r="N111" i="16"/>
  <c r="K111" i="16"/>
  <c r="O111" i="16" s="1"/>
  <c r="F111" i="16"/>
  <c r="E111" i="16" s="1"/>
  <c r="N103" i="16"/>
  <c r="K103" i="16"/>
  <c r="O103" i="16" s="1"/>
  <c r="N95" i="16"/>
  <c r="K95" i="16"/>
  <c r="O95" i="16" s="1"/>
  <c r="N87" i="16"/>
  <c r="K87" i="16"/>
  <c r="O87" i="16" s="1"/>
  <c r="F87" i="16"/>
  <c r="E87" i="16" s="1"/>
  <c r="N79" i="16"/>
  <c r="N63" i="16"/>
  <c r="K63" i="16"/>
  <c r="O63" i="16" s="1"/>
  <c r="N55" i="16"/>
  <c r="K55" i="16"/>
  <c r="O55" i="16" s="1"/>
  <c r="N47" i="16"/>
  <c r="K47" i="16"/>
  <c r="O47" i="16" s="1"/>
  <c r="F199" i="16"/>
  <c r="E199" i="16" s="1"/>
  <c r="F311" i="16"/>
  <c r="E311" i="16" s="1"/>
  <c r="K543" i="16"/>
  <c r="O543" i="16" s="1"/>
  <c r="K503" i="16"/>
  <c r="O503" i="16" s="1"/>
  <c r="F239" i="16"/>
  <c r="E239" i="16" s="1"/>
  <c r="N42" i="16"/>
  <c r="N26" i="16"/>
  <c r="F26" i="16"/>
  <c r="E26" i="16" s="1"/>
  <c r="K26" i="16"/>
  <c r="O26" i="16" s="1"/>
  <c r="N18" i="16"/>
  <c r="F18" i="16"/>
  <c r="E18" i="16" s="1"/>
  <c r="F4" i="16"/>
  <c r="E4" i="16" s="1"/>
  <c r="K4" i="16"/>
  <c r="O4" i="16" s="1"/>
  <c r="N596" i="16"/>
  <c r="K596" i="16"/>
  <c r="O596" i="16" s="1"/>
  <c r="N588" i="16"/>
  <c r="K588" i="16"/>
  <c r="O588" i="16" s="1"/>
  <c r="N580" i="16"/>
  <c r="N572" i="16"/>
  <c r="F572" i="16"/>
  <c r="E572" i="16" s="1"/>
  <c r="N564" i="16"/>
  <c r="F564" i="16"/>
  <c r="E564" i="16" s="1"/>
  <c r="N556" i="16"/>
  <c r="F556" i="16"/>
  <c r="E556" i="16" s="1"/>
  <c r="N540" i="16"/>
  <c r="K540" i="16"/>
  <c r="O540" i="16" s="1"/>
  <c r="N532" i="16"/>
  <c r="F532" i="16"/>
  <c r="E532" i="16" s="1"/>
  <c r="K532" i="16"/>
  <c r="O532" i="16" s="1"/>
  <c r="N516" i="16"/>
  <c r="K516" i="16"/>
  <c r="O516" i="16" s="1"/>
  <c r="N508" i="16"/>
  <c r="K508" i="16"/>
  <c r="O508" i="16" s="1"/>
  <c r="F508" i="16"/>
  <c r="E508" i="16" s="1"/>
  <c r="N500" i="16"/>
  <c r="K500" i="16"/>
  <c r="O500" i="16" s="1"/>
  <c r="N492" i="16"/>
  <c r="K492" i="16"/>
  <c r="O492" i="16" s="1"/>
  <c r="N484" i="16"/>
  <c r="F484" i="16"/>
  <c r="E484" i="16" s="1"/>
  <c r="K484" i="16"/>
  <c r="O484" i="16" s="1"/>
  <c r="N476" i="16"/>
  <c r="K476" i="16"/>
  <c r="O476" i="16" s="1"/>
  <c r="N468" i="16"/>
  <c r="F468" i="16"/>
  <c r="E468" i="16" s="1"/>
  <c r="N460" i="16"/>
  <c r="F460" i="16"/>
  <c r="E460" i="16" s="1"/>
  <c r="N452" i="16"/>
  <c r="K452" i="16"/>
  <c r="O452" i="16" s="1"/>
  <c r="N444" i="16"/>
  <c r="N436" i="16"/>
  <c r="N428" i="16"/>
  <c r="K428" i="16"/>
  <c r="O428" i="16" s="1"/>
  <c r="F428" i="16"/>
  <c r="E428" i="16" s="1"/>
  <c r="N420" i="16"/>
  <c r="K420" i="16"/>
  <c r="O420" i="16" s="1"/>
  <c r="F420" i="16"/>
  <c r="E420" i="16" s="1"/>
  <c r="N412" i="16"/>
  <c r="K412" i="16"/>
  <c r="O412" i="16" s="1"/>
  <c r="N404" i="16"/>
  <c r="N396" i="16"/>
  <c r="K396" i="16"/>
  <c r="O396" i="16" s="1"/>
  <c r="F396" i="16"/>
  <c r="E396" i="16" s="1"/>
  <c r="N388" i="16"/>
  <c r="K388" i="16"/>
  <c r="O388" i="16" s="1"/>
  <c r="N380" i="16"/>
  <c r="F380" i="16"/>
  <c r="E380" i="16" s="1"/>
  <c r="K380" i="16"/>
  <c r="O380" i="16" s="1"/>
  <c r="N372" i="16"/>
  <c r="F372" i="16"/>
  <c r="E372" i="16" s="1"/>
  <c r="N364" i="16"/>
  <c r="F364" i="16"/>
  <c r="E364" i="16" s="1"/>
  <c r="N356" i="16"/>
  <c r="F356" i="16"/>
  <c r="E356" i="16" s="1"/>
  <c r="N348" i="16"/>
  <c r="F348" i="16"/>
  <c r="E348" i="16" s="1"/>
  <c r="N340" i="16"/>
  <c r="F340" i="16"/>
  <c r="E340" i="16" s="1"/>
  <c r="N332" i="16"/>
  <c r="K332" i="16"/>
  <c r="O332" i="16" s="1"/>
  <c r="F332" i="16"/>
  <c r="E332" i="16" s="1"/>
  <c r="N324" i="16"/>
  <c r="K324" i="16"/>
  <c r="O324" i="16" s="1"/>
  <c r="N300" i="16"/>
  <c r="K300" i="16"/>
  <c r="O300" i="16" s="1"/>
  <c r="N292" i="16"/>
  <c r="F292" i="16"/>
  <c r="E292" i="16" s="1"/>
  <c r="N284" i="16"/>
  <c r="N276" i="16"/>
  <c r="F276" i="16"/>
  <c r="E276" i="16" s="1"/>
  <c r="N268" i="16"/>
  <c r="F268" i="16"/>
  <c r="E268" i="16" s="1"/>
  <c r="N260" i="16"/>
  <c r="N252" i="16"/>
  <c r="K252" i="16"/>
  <c r="O252" i="16" s="1"/>
  <c r="N244" i="16"/>
  <c r="K244" i="16"/>
  <c r="O244" i="16" s="1"/>
  <c r="N236" i="16"/>
  <c r="N228" i="16"/>
  <c r="K228" i="16"/>
  <c r="O228" i="16" s="1"/>
  <c r="F228" i="16"/>
  <c r="E228" i="16" s="1"/>
  <c r="N212" i="16"/>
  <c r="F212" i="16"/>
  <c r="E212" i="16" s="1"/>
  <c r="K212" i="16"/>
  <c r="O212" i="16" s="1"/>
  <c r="N204" i="16"/>
  <c r="F204" i="16"/>
  <c r="E204" i="16" s="1"/>
  <c r="N196" i="16"/>
  <c r="N188" i="16"/>
  <c r="F188" i="16"/>
  <c r="E188" i="16" s="1"/>
  <c r="K188" i="16"/>
  <c r="O188" i="16" s="1"/>
  <c r="N180" i="16"/>
  <c r="K180" i="16"/>
  <c r="O180" i="16" s="1"/>
  <c r="N172" i="16"/>
  <c r="N164" i="16"/>
  <c r="N156" i="16"/>
  <c r="N148" i="16"/>
  <c r="F148" i="16"/>
  <c r="E148" i="16" s="1"/>
  <c r="N140" i="16"/>
  <c r="K140" i="16"/>
  <c r="O140" i="16" s="1"/>
  <c r="N132" i="16"/>
  <c r="K132" i="16"/>
  <c r="O132" i="16" s="1"/>
  <c r="N124" i="16"/>
  <c r="F124" i="16"/>
  <c r="E124" i="16" s="1"/>
  <c r="N116" i="16"/>
  <c r="F116" i="16"/>
  <c r="E116" i="16" s="1"/>
  <c r="N108" i="16"/>
  <c r="K108" i="16"/>
  <c r="O108" i="16" s="1"/>
  <c r="F108" i="16"/>
  <c r="E108" i="16" s="1"/>
  <c r="N100" i="16"/>
  <c r="F100" i="16"/>
  <c r="E100" i="16" s="1"/>
  <c r="N92" i="16"/>
  <c r="N84" i="16"/>
  <c r="N76" i="16"/>
  <c r="F76" i="16"/>
  <c r="E76" i="16" s="1"/>
  <c r="N68" i="16"/>
  <c r="F68" i="16"/>
  <c r="E68" i="16" s="1"/>
  <c r="N60" i="16"/>
  <c r="K60" i="16"/>
  <c r="O60" i="16" s="1"/>
  <c r="N52" i="16"/>
  <c r="F135" i="16"/>
  <c r="E135" i="16" s="1"/>
  <c r="F375" i="16"/>
  <c r="E375" i="16" s="1"/>
  <c r="K84" i="16"/>
  <c r="O84" i="16" s="1"/>
  <c r="K247" i="16"/>
  <c r="O247" i="16" s="1"/>
  <c r="F247" i="16"/>
  <c r="E247" i="16" s="1"/>
  <c r="K196" i="16"/>
  <c r="O196" i="16" s="1"/>
  <c r="F412" i="16"/>
  <c r="E412" i="16" s="1"/>
  <c r="F399" i="16"/>
  <c r="E399" i="16" s="1"/>
  <c r="F471" i="16"/>
  <c r="E471" i="16" s="1"/>
  <c r="K45" i="16"/>
  <c r="O45" i="16" s="1"/>
  <c r="K559" i="16"/>
  <c r="O559" i="16" s="1"/>
  <c r="F79" i="16"/>
  <c r="E79" i="16" s="1"/>
  <c r="K319" i="16"/>
  <c r="O319" i="16" s="1"/>
  <c r="F156" i="16"/>
  <c r="E156" i="16" s="1"/>
  <c r="K172" i="16"/>
  <c r="O172" i="16" s="1"/>
  <c r="K399" i="16"/>
  <c r="O399" i="16" s="1"/>
  <c r="K364" i="16"/>
  <c r="O364" i="16" s="1"/>
  <c r="K148" i="16"/>
  <c r="O148" i="16" s="1"/>
  <c r="F492" i="16"/>
  <c r="E492" i="16" s="1"/>
  <c r="F423" i="16"/>
  <c r="E423" i="16" s="1"/>
  <c r="K164" i="16"/>
  <c r="O164" i="16" s="1"/>
  <c r="F180" i="16"/>
  <c r="E180" i="16" s="1"/>
  <c r="F300" i="16"/>
  <c r="E300" i="16" s="1"/>
  <c r="F415" i="16"/>
  <c r="E415" i="16" s="1"/>
  <c r="F359" i="16"/>
  <c r="E359" i="16" s="1"/>
  <c r="K263" i="16"/>
  <c r="O263" i="16" s="1"/>
  <c r="F215" i="16"/>
  <c r="E215" i="16" s="1"/>
  <c r="F191" i="16"/>
  <c r="E191" i="16" s="1"/>
  <c r="F172" i="16"/>
  <c r="E172" i="16" s="1"/>
  <c r="F444" i="16"/>
  <c r="E444" i="16" s="1"/>
  <c r="K404" i="16"/>
  <c r="O404" i="16" s="1"/>
  <c r="K572" i="16"/>
  <c r="O572" i="16" s="1"/>
  <c r="K231" i="16"/>
  <c r="O231" i="16" s="1"/>
  <c r="F284" i="16"/>
  <c r="E284" i="16" s="1"/>
  <c r="F511" i="16"/>
  <c r="E511" i="16" s="1"/>
  <c r="F431" i="16"/>
  <c r="E431" i="16" s="1"/>
  <c r="K580" i="16"/>
  <c r="O580" i="16" s="1"/>
  <c r="F29" i="16"/>
  <c r="E29" i="16" s="1"/>
  <c r="K34" i="16"/>
  <c r="O34" i="16" s="1"/>
  <c r="K151" i="16"/>
  <c r="O151" i="16" s="1"/>
  <c r="K548" i="16"/>
  <c r="O548" i="16" s="1"/>
  <c r="F7" i="16"/>
  <c r="E7" i="16" s="1"/>
  <c r="F207" i="16"/>
  <c r="E207" i="16" s="1"/>
  <c r="K479" i="16"/>
  <c r="O479" i="16" s="1"/>
  <c r="K100" i="16"/>
  <c r="O100" i="16" s="1"/>
  <c r="F143" i="16"/>
  <c r="E143" i="16" s="1"/>
  <c r="F159" i="16"/>
  <c r="E159" i="16" s="1"/>
  <c r="F516" i="16"/>
  <c r="E516" i="16" s="1"/>
  <c r="K444" i="16"/>
  <c r="O444" i="16" s="1"/>
  <c r="F404" i="16"/>
  <c r="E404" i="16" s="1"/>
  <c r="F588" i="16"/>
  <c r="E588" i="16" s="1"/>
  <c r="K279" i="16"/>
  <c r="O279" i="16" s="1"/>
  <c r="K284" i="16"/>
  <c r="O284" i="16" s="1"/>
  <c r="F439" i="16"/>
  <c r="E439" i="16" s="1"/>
  <c r="K431" i="16"/>
  <c r="O431" i="16" s="1"/>
  <c r="F127" i="16"/>
  <c r="E127" i="16" s="1"/>
  <c r="K447" i="16"/>
  <c r="O447" i="16" s="1"/>
  <c r="F548" i="16"/>
  <c r="E548" i="16" s="1"/>
  <c r="K70" i="16"/>
  <c r="O70" i="16" s="1"/>
  <c r="K278" i="16"/>
  <c r="O278" i="16" s="1"/>
  <c r="K353" i="16"/>
  <c r="O353" i="16" s="1"/>
  <c r="F310" i="16"/>
  <c r="E310" i="16" s="1"/>
  <c r="F449" i="16"/>
  <c r="E449" i="16" s="1"/>
  <c r="K433" i="16"/>
  <c r="O433" i="16" s="1"/>
  <c r="F457" i="16"/>
  <c r="E457" i="16" s="1"/>
  <c r="K446" i="16"/>
  <c r="O446" i="16" s="1"/>
  <c r="L6" i="16"/>
  <c r="N20" i="16"/>
  <c r="K78" i="16"/>
  <c r="O78" i="16" s="1"/>
  <c r="K110" i="16"/>
  <c r="O110" i="16" s="1"/>
  <c r="K406" i="16"/>
  <c r="O406" i="16" s="1"/>
  <c r="K374" i="16"/>
  <c r="O374" i="16" s="1"/>
  <c r="F118" i="16"/>
  <c r="E118" i="16" s="1"/>
  <c r="K561" i="16"/>
  <c r="O561" i="16" s="1"/>
  <c r="F433" i="16"/>
  <c r="E433" i="16" s="1"/>
  <c r="F446" i="16"/>
  <c r="E446" i="16" s="1"/>
  <c r="K118" i="16"/>
  <c r="O118" i="16" s="1"/>
  <c r="N6" i="16"/>
  <c r="F574" i="16"/>
  <c r="E574" i="16" s="1"/>
  <c r="K28" i="16"/>
  <c r="O28" i="16" s="1"/>
  <c r="F513" i="16"/>
  <c r="E513" i="16" s="1"/>
  <c r="F441" i="16"/>
  <c r="E441" i="16" s="1"/>
  <c r="F94" i="16"/>
  <c r="E94" i="16" s="1"/>
  <c r="K49" i="16"/>
  <c r="O49" i="16" s="1"/>
  <c r="K206" i="16"/>
  <c r="O206" i="16" s="1"/>
  <c r="K302" i="16"/>
  <c r="O302" i="16" s="1"/>
  <c r="K36" i="16"/>
  <c r="O36" i="16" s="1"/>
  <c r="K15" i="16"/>
  <c r="O15" i="16" s="1"/>
  <c r="F6" i="16"/>
  <c r="E6" i="16" s="1"/>
  <c r="K94" i="16"/>
  <c r="O94" i="16" s="1"/>
  <c r="F27" i="16"/>
  <c r="E27" i="16" s="1"/>
  <c r="K350" i="16"/>
  <c r="O350" i="16" s="1"/>
  <c r="N9" i="16"/>
  <c r="F509" i="16"/>
  <c r="E509" i="16" s="1"/>
  <c r="F45" i="16"/>
  <c r="E45" i="16" s="1"/>
  <c r="K13" i="16"/>
  <c r="O13" i="16" s="1"/>
  <c r="F42" i="16"/>
  <c r="E42" i="16" s="1"/>
  <c r="K175" i="16"/>
  <c r="O175" i="16" s="1"/>
  <c r="K316" i="16"/>
  <c r="O316" i="16" s="1"/>
  <c r="F183" i="16"/>
  <c r="E183" i="16" s="1"/>
  <c r="K124" i="16"/>
  <c r="O124" i="16" s="1"/>
  <c r="K471" i="16"/>
  <c r="O471" i="16" s="1"/>
  <c r="F164" i="16"/>
  <c r="E164" i="16" s="1"/>
  <c r="F220" i="16"/>
  <c r="E220" i="16" s="1"/>
  <c r="K591" i="16"/>
  <c r="O591" i="16" s="1"/>
  <c r="K271" i="16"/>
  <c r="O271" i="16" s="1"/>
  <c r="K564" i="16"/>
  <c r="O564" i="16" s="1"/>
  <c r="AF19" i="13"/>
  <c r="M56" i="14"/>
  <c r="O56" i="14" s="1"/>
  <c r="M41" i="14"/>
  <c r="O41" i="14" s="1"/>
  <c r="M130" i="14"/>
  <c r="O130" i="14" s="1"/>
  <c r="M67" i="14"/>
  <c r="O67" i="14" s="1"/>
  <c r="M133" i="14"/>
  <c r="O133" i="14" s="1"/>
  <c r="L856" i="13"/>
  <c r="N856" i="13" s="1"/>
  <c r="X856" i="13" s="1"/>
  <c r="M74" i="14"/>
  <c r="O74" i="14" s="1"/>
  <c r="M23" i="14"/>
  <c r="O23" i="14" s="1"/>
  <c r="M84" i="14"/>
  <c r="O84" i="14" s="1"/>
  <c r="M103" i="14"/>
  <c r="O103" i="14" s="1"/>
  <c r="M53" i="14"/>
  <c r="O53" i="14" s="1"/>
  <c r="M34" i="14"/>
  <c r="O34" i="14" s="1"/>
  <c r="M68" i="14"/>
  <c r="O68" i="14" s="1"/>
  <c r="M50" i="14"/>
  <c r="O50" i="14" s="1"/>
  <c r="M100" i="14"/>
  <c r="O100" i="14" s="1"/>
  <c r="M136" i="14"/>
  <c r="O136" i="14" s="1"/>
  <c r="M58" i="14"/>
  <c r="O58" i="14" s="1"/>
  <c r="M80" i="14"/>
  <c r="O80" i="14" s="1"/>
  <c r="M44" i="14"/>
  <c r="O44" i="14" s="1"/>
  <c r="M128" i="14"/>
  <c r="O128" i="14" s="1"/>
  <c r="M52" i="14"/>
  <c r="O52" i="14" s="1"/>
  <c r="M99" i="14"/>
  <c r="O99" i="14" s="1"/>
  <c r="M12" i="14"/>
  <c r="O12" i="14" s="1"/>
  <c r="M123" i="14"/>
  <c r="O123" i="14" s="1"/>
  <c r="M19" i="14"/>
  <c r="O19" i="14" s="1"/>
  <c r="M65" i="14"/>
  <c r="O65" i="14" s="1"/>
  <c r="M70" i="14"/>
  <c r="O70" i="14" s="1"/>
  <c r="M129" i="14"/>
  <c r="O129" i="14" s="1"/>
  <c r="M83" i="14"/>
  <c r="O83" i="14" s="1"/>
  <c r="M98" i="14"/>
  <c r="O98" i="14" s="1"/>
  <c r="M78" i="14"/>
  <c r="O78" i="14" s="1"/>
  <c r="M21" i="14"/>
  <c r="O21" i="14" s="1"/>
  <c r="M117" i="14"/>
  <c r="O117" i="14" s="1"/>
  <c r="M73" i="14"/>
  <c r="O73" i="14" s="1"/>
  <c r="M120" i="14"/>
  <c r="O120" i="14" s="1"/>
  <c r="M111" i="14"/>
  <c r="O111" i="14" s="1"/>
  <c r="M40" i="14"/>
  <c r="O40" i="14" s="1"/>
  <c r="M42" i="14"/>
  <c r="O42" i="14" s="1"/>
  <c r="M126" i="14"/>
  <c r="O126" i="14" s="1"/>
  <c r="M122" i="14"/>
  <c r="O122" i="14" s="1"/>
  <c r="M82" i="14"/>
  <c r="O82" i="14" s="1"/>
  <c r="M87" i="14"/>
  <c r="O87" i="14" s="1"/>
  <c r="M32" i="14"/>
  <c r="O32" i="14" s="1"/>
  <c r="M9" i="14"/>
  <c r="O9" i="14" s="1"/>
  <c r="M102" i="14"/>
  <c r="O102" i="14" s="1"/>
  <c r="M36" i="14"/>
  <c r="O36" i="14" s="1"/>
  <c r="M64" i="14"/>
  <c r="O64" i="14" s="1"/>
  <c r="M118" i="14"/>
  <c r="O118" i="14" s="1"/>
  <c r="M18" i="14"/>
  <c r="O18" i="14" s="1"/>
  <c r="L294" i="13"/>
  <c r="N294" i="13" s="1"/>
  <c r="X294" i="13" s="1"/>
  <c r="L662" i="13"/>
  <c r="N662" i="13" s="1"/>
  <c r="X662" i="13" s="1"/>
  <c r="M37" i="14"/>
  <c r="O37" i="14" s="1"/>
  <c r="M61" i="14"/>
  <c r="O61" i="14" s="1"/>
  <c r="M62" i="14"/>
  <c r="O62" i="14" s="1"/>
  <c r="M15" i="14"/>
  <c r="O15" i="14" s="1"/>
  <c r="M75" i="14"/>
  <c r="O75" i="14" s="1"/>
  <c r="M27" i="14"/>
  <c r="O27" i="14" s="1"/>
  <c r="M79" i="14"/>
  <c r="O79" i="14" s="1"/>
  <c r="M39" i="14"/>
  <c r="O39" i="14" s="1"/>
  <c r="M31" i="14"/>
  <c r="O31" i="14" s="1"/>
  <c r="M86" i="14"/>
  <c r="O86" i="14" s="1"/>
  <c r="M69" i="14"/>
  <c r="O69" i="14" s="1"/>
  <c r="M96" i="14"/>
  <c r="O96" i="14" s="1"/>
  <c r="L356" i="13"/>
  <c r="N356" i="13" s="1"/>
  <c r="X356" i="13" s="1"/>
  <c r="L724" i="13"/>
  <c r="N724" i="13" s="1"/>
  <c r="L30" i="13"/>
  <c r="N30" i="13" s="1"/>
  <c r="X30" i="13" s="1"/>
  <c r="L386" i="13"/>
  <c r="N386" i="13" s="1"/>
  <c r="X386" i="13" s="1"/>
  <c r="L754" i="13"/>
  <c r="N754" i="13" s="1"/>
  <c r="X754" i="13" s="1"/>
  <c r="M112" i="14"/>
  <c r="O112" i="14" s="1"/>
  <c r="M137" i="14"/>
  <c r="O137" i="14" s="1"/>
  <c r="M93" i="14"/>
  <c r="O93" i="14" s="1"/>
  <c r="M76" i="14"/>
  <c r="O76" i="14" s="1"/>
  <c r="M16" i="14"/>
  <c r="O16" i="14" s="1"/>
  <c r="M101" i="14"/>
  <c r="O101" i="14" s="1"/>
  <c r="M91" i="14"/>
  <c r="O91" i="14" s="1"/>
  <c r="L70" i="13"/>
  <c r="N70" i="13" s="1"/>
  <c r="X70" i="13" s="1"/>
  <c r="L448" i="13"/>
  <c r="N448" i="13" s="1"/>
  <c r="X448" i="13" s="1"/>
  <c r="L816" i="13"/>
  <c r="N816" i="13" s="1"/>
  <c r="X816" i="13" s="1"/>
  <c r="M24" i="14"/>
  <c r="O24" i="14" s="1"/>
  <c r="M97" i="14"/>
  <c r="O97" i="14" s="1"/>
  <c r="M72" i="14"/>
  <c r="O72" i="14" s="1"/>
  <c r="M114" i="14"/>
  <c r="O114" i="14" s="1"/>
  <c r="M20" i="14"/>
  <c r="O20" i="14" s="1"/>
  <c r="M92" i="14"/>
  <c r="O92" i="14" s="1"/>
  <c r="M71" i="14"/>
  <c r="O71" i="14" s="1"/>
  <c r="M59" i="14"/>
  <c r="O59" i="14" s="1"/>
  <c r="M33" i="14"/>
  <c r="O33" i="14" s="1"/>
  <c r="M17" i="14"/>
  <c r="O17" i="14" s="1"/>
  <c r="M51" i="14"/>
  <c r="O51" i="14" s="1"/>
  <c r="M95" i="14"/>
  <c r="O95" i="14" s="1"/>
  <c r="M138" i="14"/>
  <c r="O138" i="14" s="1"/>
  <c r="L110" i="13"/>
  <c r="N110" i="13" s="1"/>
  <c r="L478" i="13"/>
  <c r="N478" i="13" s="1"/>
  <c r="X478" i="13" s="1"/>
  <c r="M127" i="14"/>
  <c r="O127" i="14" s="1"/>
  <c r="M94" i="14"/>
  <c r="O94" i="14" s="1"/>
  <c r="M26" i="14"/>
  <c r="O26" i="14" s="1"/>
  <c r="M104" i="14"/>
  <c r="O104" i="14" s="1"/>
  <c r="M55" i="14"/>
  <c r="O55" i="14" s="1"/>
  <c r="M13" i="14"/>
  <c r="O13" i="14" s="1"/>
  <c r="M131" i="14"/>
  <c r="O131" i="14" s="1"/>
  <c r="M115" i="14"/>
  <c r="O115" i="14" s="1"/>
  <c r="M81" i="14"/>
  <c r="O81" i="14" s="1"/>
  <c r="M134" i="14"/>
  <c r="O134" i="14" s="1"/>
  <c r="M116" i="14"/>
  <c r="O116" i="14" s="1"/>
  <c r="L841" i="13"/>
  <c r="N841" i="13" s="1"/>
  <c r="X841" i="13" s="1"/>
  <c r="L849" i="13"/>
  <c r="N849" i="13" s="1"/>
  <c r="X849" i="13" s="1"/>
  <c r="L857" i="13"/>
  <c r="N857" i="13" s="1"/>
  <c r="X857" i="13" s="1"/>
  <c r="L865" i="13"/>
  <c r="N865" i="13" s="1"/>
  <c r="BA865" i="13" s="1"/>
  <c r="BB865" i="13" s="1"/>
  <c r="L815" i="13"/>
  <c r="N815" i="13" s="1"/>
  <c r="X815" i="13" s="1"/>
  <c r="L807" i="13"/>
  <c r="N807" i="13" s="1"/>
  <c r="X807" i="13" s="1"/>
  <c r="L799" i="13"/>
  <c r="N799" i="13" s="1"/>
  <c r="X799" i="13" s="1"/>
  <c r="L791" i="13"/>
  <c r="N791" i="13" s="1"/>
  <c r="X791" i="13" s="1"/>
  <c r="L769" i="13"/>
  <c r="N769" i="13" s="1"/>
  <c r="X769" i="13" s="1"/>
  <c r="L761" i="13"/>
  <c r="N761" i="13" s="1"/>
  <c r="X761" i="13" s="1"/>
  <c r="L753" i="13"/>
  <c r="N753" i="13" s="1"/>
  <c r="X753" i="13" s="1"/>
  <c r="L745" i="13"/>
  <c r="N745" i="13" s="1"/>
  <c r="X745" i="13" s="1"/>
  <c r="L723" i="13"/>
  <c r="N723" i="13" s="1"/>
  <c r="X723" i="13" s="1"/>
  <c r="L715" i="13"/>
  <c r="N715" i="13" s="1"/>
  <c r="X715" i="13" s="1"/>
  <c r="L707" i="13"/>
  <c r="N707" i="13" s="1"/>
  <c r="X707" i="13" s="1"/>
  <c r="L699" i="13"/>
  <c r="N699" i="13" s="1"/>
  <c r="X699" i="13" s="1"/>
  <c r="L677" i="13"/>
  <c r="N677" i="13" s="1"/>
  <c r="X677" i="13" s="1"/>
  <c r="L669" i="13"/>
  <c r="N669" i="13" s="1"/>
  <c r="X669" i="13" s="1"/>
  <c r="L661" i="13"/>
  <c r="N661" i="13" s="1"/>
  <c r="X661" i="13" s="1"/>
  <c r="L653" i="13"/>
  <c r="N653" i="13" s="1"/>
  <c r="X653" i="13" s="1"/>
  <c r="L631" i="13"/>
  <c r="N631" i="13" s="1"/>
  <c r="X631" i="13" s="1"/>
  <c r="L623" i="13"/>
  <c r="N623" i="13" s="1"/>
  <c r="X623" i="13" s="1"/>
  <c r="L615" i="13"/>
  <c r="N615" i="13" s="1"/>
  <c r="X615" i="13" s="1"/>
  <c r="L607" i="13"/>
  <c r="N607" i="13" s="1"/>
  <c r="X607" i="13" s="1"/>
  <c r="L585" i="13"/>
  <c r="N585" i="13" s="1"/>
  <c r="L577" i="13"/>
  <c r="N577" i="13" s="1"/>
  <c r="X577" i="13" s="1"/>
  <c r="L569" i="13"/>
  <c r="N569" i="13" s="1"/>
  <c r="X569" i="13" s="1"/>
  <c r="L561" i="13"/>
  <c r="N561" i="13" s="1"/>
  <c r="X561" i="13" s="1"/>
  <c r="L539" i="13"/>
  <c r="N539" i="13" s="1"/>
  <c r="X539" i="13" s="1"/>
  <c r="L531" i="13"/>
  <c r="N531" i="13" s="1"/>
  <c r="X531" i="13" s="1"/>
  <c r="L523" i="13"/>
  <c r="N523" i="13" s="1"/>
  <c r="X523" i="13" s="1"/>
  <c r="L515" i="13"/>
  <c r="N515" i="13" s="1"/>
  <c r="X515" i="13" s="1"/>
  <c r="L493" i="13"/>
  <c r="N493" i="13" s="1"/>
  <c r="X493" i="13" s="1"/>
  <c r="L485" i="13"/>
  <c r="N485" i="13" s="1"/>
  <c r="X485" i="13" s="1"/>
  <c r="L477" i="13"/>
  <c r="N477" i="13" s="1"/>
  <c r="X477" i="13" s="1"/>
  <c r="L469" i="13"/>
  <c r="N469" i="13" s="1"/>
  <c r="L447" i="13"/>
  <c r="N447" i="13" s="1"/>
  <c r="X447" i="13" s="1"/>
  <c r="L439" i="13"/>
  <c r="N439" i="13" s="1"/>
  <c r="X439" i="13" s="1"/>
  <c r="L431" i="13"/>
  <c r="N431" i="13" s="1"/>
  <c r="X431" i="13" s="1"/>
  <c r="L423" i="13"/>
  <c r="N423" i="13" s="1"/>
  <c r="X423" i="13" s="1"/>
  <c r="L401" i="13"/>
  <c r="N401" i="13" s="1"/>
  <c r="X401" i="13" s="1"/>
  <c r="L393" i="13"/>
  <c r="N393" i="13" s="1"/>
  <c r="L385" i="13"/>
  <c r="N385" i="13" s="1"/>
  <c r="X385" i="13" s="1"/>
  <c r="L377" i="13"/>
  <c r="N377" i="13" s="1"/>
  <c r="L355" i="13"/>
  <c r="N355" i="13" s="1"/>
  <c r="X355" i="13" s="1"/>
  <c r="L347" i="13"/>
  <c r="N347" i="13" s="1"/>
  <c r="X347" i="13" s="1"/>
  <c r="L339" i="13"/>
  <c r="N339" i="13" s="1"/>
  <c r="X339" i="13" s="1"/>
  <c r="L331" i="13"/>
  <c r="N331" i="13" s="1"/>
  <c r="X331" i="13" s="1"/>
  <c r="L309" i="13"/>
  <c r="N309" i="13" s="1"/>
  <c r="L301" i="13"/>
  <c r="N301" i="13" s="1"/>
  <c r="X301" i="13" s="1"/>
  <c r="L293" i="13"/>
  <c r="N293" i="13" s="1"/>
  <c r="X293" i="13" s="1"/>
  <c r="L285" i="13"/>
  <c r="N285" i="13" s="1"/>
  <c r="X285" i="13" s="1"/>
  <c r="L263" i="13"/>
  <c r="N263" i="13" s="1"/>
  <c r="X263" i="13" s="1"/>
  <c r="L255" i="13"/>
  <c r="N255" i="13" s="1"/>
  <c r="X255" i="13" s="1"/>
  <c r="L247" i="13"/>
  <c r="N247" i="13" s="1"/>
  <c r="X247" i="13" s="1"/>
  <c r="L239" i="13"/>
  <c r="N239" i="13" s="1"/>
  <c r="X239" i="13" s="1"/>
  <c r="L217" i="13"/>
  <c r="N217" i="13" s="1"/>
  <c r="L209" i="13"/>
  <c r="N209" i="13" s="1"/>
  <c r="X209" i="13" s="1"/>
  <c r="L201" i="13"/>
  <c r="N201" i="13" s="1"/>
  <c r="X201" i="13" s="1"/>
  <c r="L193" i="13"/>
  <c r="N193" i="13" s="1"/>
  <c r="X193" i="13" s="1"/>
  <c r="L171" i="13"/>
  <c r="N171" i="13" s="1"/>
  <c r="X171" i="13" s="1"/>
  <c r="L163" i="13"/>
  <c r="N163" i="13" s="1"/>
  <c r="X163" i="13" s="1"/>
  <c r="L155" i="13"/>
  <c r="N155" i="13" s="1"/>
  <c r="L147" i="13"/>
  <c r="N147" i="13" s="1"/>
  <c r="X147" i="13" s="1"/>
  <c r="L125" i="13"/>
  <c r="N125" i="13" s="1"/>
  <c r="L117" i="13"/>
  <c r="N117" i="13" s="1"/>
  <c r="X117" i="13" s="1"/>
  <c r="L109" i="13"/>
  <c r="N109" i="13" s="1"/>
  <c r="X109" i="13" s="1"/>
  <c r="L101" i="13"/>
  <c r="N101" i="13" s="1"/>
  <c r="L71" i="13"/>
  <c r="N71" i="13" s="1"/>
  <c r="X71" i="13" s="1"/>
  <c r="L79" i="13"/>
  <c r="N79" i="13" s="1"/>
  <c r="X79" i="13" s="1"/>
  <c r="L63" i="13"/>
  <c r="N63" i="13" s="1"/>
  <c r="X63" i="13" s="1"/>
  <c r="L55" i="13"/>
  <c r="N55" i="13" s="1"/>
  <c r="X55" i="13" s="1"/>
  <c r="L15" i="13"/>
  <c r="N15" i="13" s="1"/>
  <c r="L23" i="13"/>
  <c r="N23" i="13" s="1"/>
  <c r="X23" i="13" s="1"/>
  <c r="L31" i="13"/>
  <c r="N31" i="13" s="1"/>
  <c r="X31" i="13" s="1"/>
  <c r="L842" i="13"/>
  <c r="N842" i="13" s="1"/>
  <c r="L850" i="13"/>
  <c r="N850" i="13" s="1"/>
  <c r="X850" i="13" s="1"/>
  <c r="L858" i="13"/>
  <c r="N858" i="13" s="1"/>
  <c r="X858" i="13" s="1"/>
  <c r="L866" i="13"/>
  <c r="N866" i="13" s="1"/>
  <c r="L814" i="13"/>
  <c r="N814" i="13" s="1"/>
  <c r="L806" i="13"/>
  <c r="N806" i="13" s="1"/>
  <c r="L798" i="13"/>
  <c r="N798" i="13" s="1"/>
  <c r="X798" i="13" s="1"/>
  <c r="L790" i="13"/>
  <c r="N790" i="13" s="1"/>
  <c r="X790" i="13" s="1"/>
  <c r="L768" i="13"/>
  <c r="N768" i="13" s="1"/>
  <c r="X768" i="13" s="1"/>
  <c r="L760" i="13"/>
  <c r="N760" i="13" s="1"/>
  <c r="X760" i="13" s="1"/>
  <c r="L752" i="13"/>
  <c r="N752" i="13" s="1"/>
  <c r="X752" i="13" s="1"/>
  <c r="L744" i="13"/>
  <c r="N744" i="13" s="1"/>
  <c r="X744" i="13" s="1"/>
  <c r="L722" i="13"/>
  <c r="N722" i="13" s="1"/>
  <c r="X722" i="13" s="1"/>
  <c r="L714" i="13"/>
  <c r="N714" i="13" s="1"/>
  <c r="L706" i="13"/>
  <c r="N706" i="13" s="1"/>
  <c r="L698" i="13"/>
  <c r="N698" i="13" s="1"/>
  <c r="X698" i="13" s="1"/>
  <c r="L676" i="13"/>
  <c r="N676" i="13" s="1"/>
  <c r="X676" i="13" s="1"/>
  <c r="L668" i="13"/>
  <c r="N668" i="13" s="1"/>
  <c r="X668" i="13" s="1"/>
  <c r="L660" i="13"/>
  <c r="N660" i="13" s="1"/>
  <c r="X660" i="13" s="1"/>
  <c r="L652" i="13"/>
  <c r="N652" i="13" s="1"/>
  <c r="L630" i="13"/>
  <c r="N630" i="13" s="1"/>
  <c r="L622" i="13"/>
  <c r="N622" i="13" s="1"/>
  <c r="L614" i="13"/>
  <c r="N614" i="13" s="1"/>
  <c r="L606" i="13"/>
  <c r="N606" i="13" s="1"/>
  <c r="X606" i="13" s="1"/>
  <c r="L584" i="13"/>
  <c r="N584" i="13" s="1"/>
  <c r="X584" i="13" s="1"/>
  <c r="L576" i="13"/>
  <c r="N576" i="13" s="1"/>
  <c r="X576" i="13" s="1"/>
  <c r="L568" i="13"/>
  <c r="N568" i="13" s="1"/>
  <c r="X568" i="13" s="1"/>
  <c r="L560" i="13"/>
  <c r="N560" i="13" s="1"/>
  <c r="X560" i="13" s="1"/>
  <c r="L538" i="13"/>
  <c r="N538" i="13" s="1"/>
  <c r="X538" i="13" s="1"/>
  <c r="L530" i="13"/>
  <c r="N530" i="13" s="1"/>
  <c r="L522" i="13"/>
  <c r="N522" i="13" s="1"/>
  <c r="L514" i="13"/>
  <c r="N514" i="13" s="1"/>
  <c r="X514" i="13" s="1"/>
  <c r="L492" i="13"/>
  <c r="N492" i="13" s="1"/>
  <c r="L484" i="13"/>
  <c r="N484" i="13" s="1"/>
  <c r="X484" i="13" s="1"/>
  <c r="L476" i="13"/>
  <c r="N476" i="13" s="1"/>
  <c r="X476" i="13" s="1"/>
  <c r="L468" i="13"/>
  <c r="N468" i="13" s="1"/>
  <c r="X468" i="13" s="1"/>
  <c r="L446" i="13"/>
  <c r="N446" i="13" s="1"/>
  <c r="X446" i="13" s="1"/>
  <c r="L438" i="13"/>
  <c r="N438" i="13" s="1"/>
  <c r="L430" i="13"/>
  <c r="N430" i="13" s="1"/>
  <c r="X430" i="13" s="1"/>
  <c r="L422" i="13"/>
  <c r="N422" i="13" s="1"/>
  <c r="L400" i="13"/>
  <c r="N400" i="13" s="1"/>
  <c r="X400" i="13" s="1"/>
  <c r="L392" i="13"/>
  <c r="N392" i="13" s="1"/>
  <c r="X392" i="13" s="1"/>
  <c r="L384" i="13"/>
  <c r="N384" i="13" s="1"/>
  <c r="X384" i="13" s="1"/>
  <c r="L376" i="13"/>
  <c r="N376" i="13" s="1"/>
  <c r="X376" i="13" s="1"/>
  <c r="L354" i="13"/>
  <c r="N354" i="13" s="1"/>
  <c r="X354" i="13" s="1"/>
  <c r="L346" i="13"/>
  <c r="N346" i="13" s="1"/>
  <c r="L338" i="13"/>
  <c r="N338" i="13" s="1"/>
  <c r="L330" i="13"/>
  <c r="N330" i="13" s="1"/>
  <c r="X330" i="13" s="1"/>
  <c r="L308" i="13"/>
  <c r="N308" i="13" s="1"/>
  <c r="X308" i="13" s="1"/>
  <c r="L300" i="13"/>
  <c r="N300" i="13" s="1"/>
  <c r="X300" i="13" s="1"/>
  <c r="L292" i="13"/>
  <c r="N292" i="13" s="1"/>
  <c r="X292" i="13" s="1"/>
  <c r="L284" i="13"/>
  <c r="N284" i="13" s="1"/>
  <c r="X284" i="13" s="1"/>
  <c r="L262" i="13"/>
  <c r="N262" i="13" s="1"/>
  <c r="BA262" i="13" s="1"/>
  <c r="BB262" i="13" s="1"/>
  <c r="L254" i="13"/>
  <c r="N254" i="13" s="1"/>
  <c r="L246" i="13"/>
  <c r="N246" i="13" s="1"/>
  <c r="L238" i="13"/>
  <c r="N238" i="13" s="1"/>
  <c r="X238" i="13" s="1"/>
  <c r="L216" i="13"/>
  <c r="N216" i="13" s="1"/>
  <c r="X216" i="13" s="1"/>
  <c r="L208" i="13"/>
  <c r="N208" i="13" s="1"/>
  <c r="X208" i="13" s="1"/>
  <c r="L200" i="13"/>
  <c r="N200" i="13" s="1"/>
  <c r="X200" i="13" s="1"/>
  <c r="L192" i="13"/>
  <c r="N192" i="13" s="1"/>
  <c r="X192" i="13" s="1"/>
  <c r="L170" i="13"/>
  <c r="N170" i="13" s="1"/>
  <c r="L162" i="13"/>
  <c r="N162" i="13" s="1"/>
  <c r="L154" i="13"/>
  <c r="N154" i="13" s="1"/>
  <c r="L146" i="13"/>
  <c r="N146" i="13" s="1"/>
  <c r="X146" i="13" s="1"/>
  <c r="L124" i="13"/>
  <c r="N124" i="13" s="1"/>
  <c r="X124" i="13" s="1"/>
  <c r="L116" i="13"/>
  <c r="N116" i="13" s="1"/>
  <c r="X116" i="13" s="1"/>
  <c r="L108" i="13"/>
  <c r="N108" i="13" s="1"/>
  <c r="X108" i="13" s="1"/>
  <c r="L100" i="13"/>
  <c r="N100" i="13" s="1"/>
  <c r="X100" i="13" s="1"/>
  <c r="L72" i="13"/>
  <c r="N72" i="13" s="1"/>
  <c r="L80" i="13"/>
  <c r="N80" i="13" s="1"/>
  <c r="L62" i="13"/>
  <c r="N62" i="13" s="1"/>
  <c r="L54" i="13"/>
  <c r="N54" i="13" s="1"/>
  <c r="X54" i="13" s="1"/>
  <c r="L16" i="13"/>
  <c r="N16" i="13" s="1"/>
  <c r="X16" i="13" s="1"/>
  <c r="L24" i="13"/>
  <c r="N24" i="13" s="1"/>
  <c r="X24" i="13" s="1"/>
  <c r="L32" i="13"/>
  <c r="N32" i="13" s="1"/>
  <c r="L843" i="13"/>
  <c r="N843" i="13" s="1"/>
  <c r="X843" i="13" s="1"/>
  <c r="L851" i="13"/>
  <c r="N851" i="13" s="1"/>
  <c r="X851" i="13" s="1"/>
  <c r="L859" i="13"/>
  <c r="N859" i="13" s="1"/>
  <c r="L835" i="13"/>
  <c r="N835" i="13" s="1"/>
  <c r="X835" i="13" s="1"/>
  <c r="L813" i="13"/>
  <c r="N813" i="13" s="1"/>
  <c r="X813" i="13" s="1"/>
  <c r="L805" i="13"/>
  <c r="N805" i="13" s="1"/>
  <c r="L797" i="13"/>
  <c r="N797" i="13" s="1"/>
  <c r="X797" i="13" s="1"/>
  <c r="L789" i="13"/>
  <c r="N789" i="13" s="1"/>
  <c r="X789" i="13" s="1"/>
  <c r="L767" i="13"/>
  <c r="N767" i="13" s="1"/>
  <c r="X767" i="13" s="1"/>
  <c r="L759" i="13"/>
  <c r="N759" i="13" s="1"/>
  <c r="X759" i="13" s="1"/>
  <c r="L751" i="13"/>
  <c r="N751" i="13" s="1"/>
  <c r="L743" i="13"/>
  <c r="N743" i="13" s="1"/>
  <c r="L721" i="13"/>
  <c r="N721" i="13" s="1"/>
  <c r="BA721" i="13" s="1"/>
  <c r="BB721" i="13" s="1"/>
  <c r="L713" i="13"/>
  <c r="N713" i="13" s="1"/>
  <c r="L705" i="13"/>
  <c r="N705" i="13" s="1"/>
  <c r="X705" i="13" s="1"/>
  <c r="L697" i="13"/>
  <c r="N697" i="13" s="1"/>
  <c r="X697" i="13" s="1"/>
  <c r="L675" i="13"/>
  <c r="N675" i="13" s="1"/>
  <c r="L667" i="13"/>
  <c r="N667" i="13" s="1"/>
  <c r="X667" i="13" s="1"/>
  <c r="L659" i="13"/>
  <c r="N659" i="13" s="1"/>
  <c r="L651" i="13"/>
  <c r="N651" i="13" s="1"/>
  <c r="L629" i="13"/>
  <c r="N629" i="13" s="1"/>
  <c r="X629" i="13" s="1"/>
  <c r="L621" i="13"/>
  <c r="N621" i="13" s="1"/>
  <c r="L613" i="13"/>
  <c r="N613" i="13" s="1"/>
  <c r="X613" i="13" s="1"/>
  <c r="L605" i="13"/>
  <c r="N605" i="13" s="1"/>
  <c r="X605" i="13" s="1"/>
  <c r="L583" i="13"/>
  <c r="N583" i="13" s="1"/>
  <c r="X583" i="13" s="1"/>
  <c r="L575" i="13"/>
  <c r="N575" i="13" s="1"/>
  <c r="X575" i="13" s="1"/>
  <c r="L567" i="13"/>
  <c r="N567" i="13" s="1"/>
  <c r="L559" i="13"/>
  <c r="N559" i="13" s="1"/>
  <c r="X559" i="13" s="1"/>
  <c r="L537" i="13"/>
  <c r="N537" i="13" s="1"/>
  <c r="X537" i="13" s="1"/>
  <c r="L529" i="13"/>
  <c r="N529" i="13" s="1"/>
  <c r="X529" i="13" s="1"/>
  <c r="L521" i="13"/>
  <c r="N521" i="13" s="1"/>
  <c r="X521" i="13" s="1"/>
  <c r="L513" i="13"/>
  <c r="N513" i="13" s="1"/>
  <c r="X513" i="13" s="1"/>
  <c r="L491" i="13"/>
  <c r="N491" i="13" s="1"/>
  <c r="X491" i="13" s="1"/>
  <c r="L483" i="13"/>
  <c r="N483" i="13" s="1"/>
  <c r="X483" i="13" s="1"/>
  <c r="L475" i="13"/>
  <c r="N475" i="13" s="1"/>
  <c r="L467" i="13"/>
  <c r="N467" i="13" s="1"/>
  <c r="X467" i="13" s="1"/>
  <c r="L445" i="13"/>
  <c r="N445" i="13" s="1"/>
  <c r="X445" i="13" s="1"/>
  <c r="L437" i="13"/>
  <c r="N437" i="13" s="1"/>
  <c r="X437" i="13" s="1"/>
  <c r="L429" i="13"/>
  <c r="N429" i="13" s="1"/>
  <c r="X429" i="13" s="1"/>
  <c r="L421" i="13"/>
  <c r="N421" i="13" s="1"/>
  <c r="X421" i="13" s="1"/>
  <c r="L399" i="13"/>
  <c r="N399" i="13" s="1"/>
  <c r="X399" i="13" s="1"/>
  <c r="L391" i="13"/>
  <c r="N391" i="13" s="1"/>
  <c r="L383" i="13"/>
  <c r="N383" i="13" s="1"/>
  <c r="L375" i="13"/>
  <c r="N375" i="13" s="1"/>
  <c r="X375" i="13" s="1"/>
  <c r="L353" i="13"/>
  <c r="N353" i="13" s="1"/>
  <c r="X353" i="13" s="1"/>
  <c r="L345" i="13"/>
  <c r="N345" i="13" s="1"/>
  <c r="BA345" i="13" s="1"/>
  <c r="BB345" i="13" s="1"/>
  <c r="L337" i="13"/>
  <c r="N337" i="13" s="1"/>
  <c r="X337" i="13" s="1"/>
  <c r="L329" i="13"/>
  <c r="N329" i="13" s="1"/>
  <c r="X329" i="13" s="1"/>
  <c r="L307" i="13"/>
  <c r="N307" i="13" s="1"/>
  <c r="X307" i="13" s="1"/>
  <c r="L299" i="13"/>
  <c r="N299" i="13" s="1"/>
  <c r="X299" i="13" s="1"/>
  <c r="L291" i="13"/>
  <c r="N291" i="13" s="1"/>
  <c r="L283" i="13"/>
  <c r="N283" i="13" s="1"/>
  <c r="X283" i="13" s="1"/>
  <c r="L261" i="13"/>
  <c r="N261" i="13" s="1"/>
  <c r="X261" i="13" s="1"/>
  <c r="L253" i="13"/>
  <c r="N253" i="13" s="1"/>
  <c r="L245" i="13"/>
  <c r="N245" i="13" s="1"/>
  <c r="X245" i="13" s="1"/>
  <c r="L237" i="13"/>
  <c r="N237" i="13" s="1"/>
  <c r="X237" i="13" s="1"/>
  <c r="L215" i="13"/>
  <c r="N215" i="13" s="1"/>
  <c r="X215" i="13" s="1"/>
  <c r="L207" i="13"/>
  <c r="N207" i="13" s="1"/>
  <c r="L199" i="13"/>
  <c r="N199" i="13" s="1"/>
  <c r="L191" i="13"/>
  <c r="N191" i="13" s="1"/>
  <c r="L169" i="13"/>
  <c r="N169" i="13" s="1"/>
  <c r="X169" i="13" s="1"/>
  <c r="L161" i="13"/>
  <c r="N161" i="13" s="1"/>
  <c r="X161" i="13" s="1"/>
  <c r="L153" i="13"/>
  <c r="N153" i="13" s="1"/>
  <c r="X153" i="13" s="1"/>
  <c r="L145" i="13"/>
  <c r="N145" i="13" s="1"/>
  <c r="X145" i="13" s="1"/>
  <c r="L123" i="13"/>
  <c r="N123" i="13" s="1"/>
  <c r="X123" i="13" s="1"/>
  <c r="L115" i="13"/>
  <c r="N115" i="13" s="1"/>
  <c r="X115" i="13" s="1"/>
  <c r="L107" i="13"/>
  <c r="N107" i="13" s="1"/>
  <c r="L99" i="13"/>
  <c r="N99" i="13" s="1"/>
  <c r="X99" i="13" s="1"/>
  <c r="L73" i="13"/>
  <c r="N73" i="13" s="1"/>
  <c r="X73" i="13" s="1"/>
  <c r="L81" i="13"/>
  <c r="N81" i="13" s="1"/>
  <c r="X81" i="13" s="1"/>
  <c r="L61" i="13"/>
  <c r="N61" i="13" s="1"/>
  <c r="X61" i="13" s="1"/>
  <c r="L53" i="13"/>
  <c r="N53" i="13" s="1"/>
  <c r="X53" i="13" s="1"/>
  <c r="L17" i="13"/>
  <c r="N17" i="13" s="1"/>
  <c r="BA17" i="13" s="1"/>
  <c r="BB17" i="13" s="1"/>
  <c r="L25" i="13"/>
  <c r="N25" i="13" s="1"/>
  <c r="Q16" i="16" s="1"/>
  <c r="L34" i="13"/>
  <c r="N34" i="13" s="1"/>
  <c r="M110" i="14"/>
  <c r="O110" i="14" s="1"/>
  <c r="M48" i="14"/>
  <c r="O48" i="14" s="1"/>
  <c r="M88" i="14"/>
  <c r="O88" i="14" s="1"/>
  <c r="M132" i="14"/>
  <c r="O132" i="14" s="1"/>
  <c r="M49" i="14"/>
  <c r="O49" i="14" s="1"/>
  <c r="L836" i="13"/>
  <c r="N836" i="13" s="1"/>
  <c r="X836" i="13" s="1"/>
  <c r="L844" i="13"/>
  <c r="N844" i="13" s="1"/>
  <c r="X844" i="13" s="1"/>
  <c r="L852" i="13"/>
  <c r="N852" i="13" s="1"/>
  <c r="L860" i="13"/>
  <c r="N860" i="13" s="1"/>
  <c r="X860" i="13" s="1"/>
  <c r="L820" i="13"/>
  <c r="N820" i="13" s="1"/>
  <c r="X820" i="13" s="1"/>
  <c r="L812" i="13"/>
  <c r="N812" i="13" s="1"/>
  <c r="L804" i="13"/>
  <c r="N804" i="13" s="1"/>
  <c r="X804" i="13" s="1"/>
  <c r="L796" i="13"/>
  <c r="N796" i="13" s="1"/>
  <c r="X796" i="13" s="1"/>
  <c r="L774" i="13"/>
  <c r="N774" i="13" s="1"/>
  <c r="X774" i="13" s="1"/>
  <c r="L766" i="13"/>
  <c r="N766" i="13" s="1"/>
  <c r="L758" i="13"/>
  <c r="N758" i="13" s="1"/>
  <c r="L750" i="13"/>
  <c r="N750" i="13" s="1"/>
  <c r="X750" i="13" s="1"/>
  <c r="L728" i="13"/>
  <c r="N728" i="13" s="1"/>
  <c r="BA728" i="13" s="1"/>
  <c r="BB728" i="13" s="1"/>
  <c r="L720" i="13"/>
  <c r="N720" i="13" s="1"/>
  <c r="X720" i="13" s="1"/>
  <c r="L712" i="13"/>
  <c r="N712" i="13" s="1"/>
  <c r="X712" i="13" s="1"/>
  <c r="L704" i="13"/>
  <c r="N704" i="13" s="1"/>
  <c r="X704" i="13" s="1"/>
  <c r="L682" i="13"/>
  <c r="N682" i="13" s="1"/>
  <c r="X682" i="13" s="1"/>
  <c r="L674" i="13"/>
  <c r="N674" i="13" s="1"/>
  <c r="X674" i="13" s="1"/>
  <c r="L666" i="13"/>
  <c r="N666" i="13" s="1"/>
  <c r="L658" i="13"/>
  <c r="N658" i="13" s="1"/>
  <c r="L636" i="13"/>
  <c r="N636" i="13" s="1"/>
  <c r="BA636" i="13" s="1"/>
  <c r="BB636" i="13" s="1"/>
  <c r="L628" i="13"/>
  <c r="N628" i="13" s="1"/>
  <c r="L620" i="13"/>
  <c r="N620" i="13" s="1"/>
  <c r="X620" i="13" s="1"/>
  <c r="L612" i="13"/>
  <c r="N612" i="13" s="1"/>
  <c r="X612" i="13" s="1"/>
  <c r="L590" i="13"/>
  <c r="N590" i="13" s="1"/>
  <c r="X590" i="13" s="1"/>
  <c r="L582" i="13"/>
  <c r="N582" i="13" s="1"/>
  <c r="X582" i="13" s="1"/>
  <c r="L574" i="13"/>
  <c r="N574" i="13" s="1"/>
  <c r="L566" i="13"/>
  <c r="N566" i="13" s="1"/>
  <c r="X566" i="13" s="1"/>
  <c r="L544" i="13"/>
  <c r="N544" i="13" s="1"/>
  <c r="X544" i="13" s="1"/>
  <c r="L536" i="13"/>
  <c r="N536" i="13" s="1"/>
  <c r="L528" i="13"/>
  <c r="N528" i="13" s="1"/>
  <c r="X528" i="13" s="1"/>
  <c r="L520" i="13"/>
  <c r="N520" i="13" s="1"/>
  <c r="X520" i="13" s="1"/>
  <c r="L498" i="13"/>
  <c r="N498" i="13" s="1"/>
  <c r="X498" i="13" s="1"/>
  <c r="L490" i="13"/>
  <c r="N490" i="13" s="1"/>
  <c r="L482" i="13"/>
  <c r="N482" i="13" s="1"/>
  <c r="L474" i="13"/>
  <c r="N474" i="13" s="1"/>
  <c r="X474" i="13" s="1"/>
  <c r="L452" i="13"/>
  <c r="N452" i="13" s="1"/>
  <c r="X452" i="13" s="1"/>
  <c r="L444" i="13"/>
  <c r="N444" i="13" s="1"/>
  <c r="L436" i="13"/>
  <c r="N436" i="13" s="1"/>
  <c r="X436" i="13" s="1"/>
  <c r="L428" i="13"/>
  <c r="N428" i="13" s="1"/>
  <c r="X428" i="13" s="1"/>
  <c r="L406" i="13"/>
  <c r="N406" i="13" s="1"/>
  <c r="X406" i="13" s="1"/>
  <c r="L398" i="13"/>
  <c r="N398" i="13" s="1"/>
  <c r="X398" i="13" s="1"/>
  <c r="L390" i="13"/>
  <c r="N390" i="13" s="1"/>
  <c r="L382" i="13"/>
  <c r="N382" i="13" s="1"/>
  <c r="X382" i="13" s="1"/>
  <c r="L360" i="13"/>
  <c r="N360" i="13" s="1"/>
  <c r="X360" i="13" s="1"/>
  <c r="L352" i="13"/>
  <c r="N352" i="13" s="1"/>
  <c r="L344" i="13"/>
  <c r="N344" i="13" s="1"/>
  <c r="X344" i="13" s="1"/>
  <c r="L336" i="13"/>
  <c r="N336" i="13" s="1"/>
  <c r="X336" i="13" s="1"/>
  <c r="L314" i="13"/>
  <c r="N314" i="13" s="1"/>
  <c r="X314" i="13" s="1"/>
  <c r="L306" i="13"/>
  <c r="N306" i="13" s="1"/>
  <c r="X306" i="13" s="1"/>
  <c r="L298" i="13"/>
  <c r="N298" i="13" s="1"/>
  <c r="L290" i="13"/>
  <c r="N290" i="13" s="1"/>
  <c r="L268" i="13"/>
  <c r="N268" i="13" s="1"/>
  <c r="X268" i="13" s="1"/>
  <c r="L260" i="13"/>
  <c r="N260" i="13" s="1"/>
  <c r="X260" i="13" s="1"/>
  <c r="L252" i="13"/>
  <c r="N252" i="13" s="1"/>
  <c r="BA252" i="13" s="1"/>
  <c r="BB252" i="13" s="1"/>
  <c r="L244" i="13"/>
  <c r="N244" i="13" s="1"/>
  <c r="X244" i="13" s="1"/>
  <c r="L222" i="13"/>
  <c r="N222" i="13" s="1"/>
  <c r="X222" i="13" s="1"/>
  <c r="L214" i="13"/>
  <c r="N214" i="13" s="1"/>
  <c r="X214" i="13" s="1"/>
  <c r="L206" i="13"/>
  <c r="N206" i="13" s="1"/>
  <c r="X206" i="13" s="1"/>
  <c r="L198" i="13"/>
  <c r="N198" i="13" s="1"/>
  <c r="X198" i="13" s="1"/>
  <c r="L176" i="13"/>
  <c r="N176" i="13" s="1"/>
  <c r="X176" i="13" s="1"/>
  <c r="L168" i="13"/>
  <c r="N168" i="13" s="1"/>
  <c r="X168" i="13" s="1"/>
  <c r="L160" i="13"/>
  <c r="N160" i="13" s="1"/>
  <c r="X160" i="13" s="1"/>
  <c r="L152" i="13"/>
  <c r="N152" i="13" s="1"/>
  <c r="X152" i="13" s="1"/>
  <c r="L130" i="13"/>
  <c r="N130" i="13" s="1"/>
  <c r="X130" i="13" s="1"/>
  <c r="L122" i="13"/>
  <c r="N122" i="13" s="1"/>
  <c r="X122" i="13" s="1"/>
  <c r="L114" i="13"/>
  <c r="N114" i="13" s="1"/>
  <c r="L106" i="13"/>
  <c r="N106" i="13" s="1"/>
  <c r="X106" i="13" s="1"/>
  <c r="L82" i="13"/>
  <c r="N82" i="13" s="1"/>
  <c r="X82" i="13" s="1"/>
  <c r="L74" i="13"/>
  <c r="N74" i="13" s="1"/>
  <c r="L83" i="13"/>
  <c r="N83" i="13" s="1"/>
  <c r="X83" i="13" s="1"/>
  <c r="L60" i="13"/>
  <c r="N60" i="13" s="1"/>
  <c r="X60" i="13" s="1"/>
  <c r="L33" i="13"/>
  <c r="N33" i="13" s="1"/>
  <c r="X33" i="13" s="1"/>
  <c r="L18" i="13"/>
  <c r="N18" i="13" s="1"/>
  <c r="L26" i="13"/>
  <c r="N26" i="13" s="1"/>
  <c r="BA26" i="13" s="1"/>
  <c r="BB26" i="13" s="1"/>
  <c r="L35" i="13"/>
  <c r="N35" i="13" s="1"/>
  <c r="BA35" i="13" s="1"/>
  <c r="BB35" i="13" s="1"/>
  <c r="L837" i="13"/>
  <c r="N837" i="13" s="1"/>
  <c r="X837" i="13" s="1"/>
  <c r="L845" i="13"/>
  <c r="N845" i="13" s="1"/>
  <c r="L853" i="13"/>
  <c r="N853" i="13" s="1"/>
  <c r="X853" i="13" s="1"/>
  <c r="L861" i="13"/>
  <c r="N861" i="13" s="1"/>
  <c r="X861" i="13" s="1"/>
  <c r="L819" i="13"/>
  <c r="N819" i="13" s="1"/>
  <c r="BA819" i="13" s="1"/>
  <c r="BB819" i="13" s="1"/>
  <c r="L811" i="13"/>
  <c r="N811" i="13" s="1"/>
  <c r="X811" i="13" s="1"/>
  <c r="L803" i="13"/>
  <c r="N803" i="13" s="1"/>
  <c r="L795" i="13"/>
  <c r="N795" i="13" s="1"/>
  <c r="L773" i="13"/>
  <c r="N773" i="13" s="1"/>
  <c r="X773" i="13" s="1"/>
  <c r="L765" i="13"/>
  <c r="N765" i="13" s="1"/>
  <c r="X765" i="13" s="1"/>
  <c r="L757" i="13"/>
  <c r="N757" i="13" s="1"/>
  <c r="X757" i="13" s="1"/>
  <c r="L749" i="13"/>
  <c r="N749" i="13" s="1"/>
  <c r="X749" i="13" s="1"/>
  <c r="L727" i="13"/>
  <c r="N727" i="13" s="1"/>
  <c r="X727" i="13" s="1"/>
  <c r="L719" i="13"/>
  <c r="N719" i="13" s="1"/>
  <c r="X719" i="13" s="1"/>
  <c r="L711" i="13"/>
  <c r="N711" i="13" s="1"/>
  <c r="L703" i="13"/>
  <c r="N703" i="13" s="1"/>
  <c r="X703" i="13" s="1"/>
  <c r="L681" i="13"/>
  <c r="N681" i="13" s="1"/>
  <c r="X681" i="13" s="1"/>
  <c r="L673" i="13"/>
  <c r="N673" i="13" s="1"/>
  <c r="X673" i="13" s="1"/>
  <c r="L665" i="13"/>
  <c r="N665" i="13" s="1"/>
  <c r="X665" i="13" s="1"/>
  <c r="L657" i="13"/>
  <c r="N657" i="13" s="1"/>
  <c r="T657" i="13" s="1"/>
  <c r="O657" i="13" s="1"/>
  <c r="L635" i="13"/>
  <c r="N635" i="13" s="1"/>
  <c r="X635" i="13" s="1"/>
  <c r="L627" i="13"/>
  <c r="N627" i="13" s="1"/>
  <c r="X627" i="13" s="1"/>
  <c r="L619" i="13"/>
  <c r="N619" i="13" s="1"/>
  <c r="L611" i="13"/>
  <c r="N611" i="13" s="1"/>
  <c r="X611" i="13" s="1"/>
  <c r="L589" i="13"/>
  <c r="N589" i="13" s="1"/>
  <c r="X589" i="13" s="1"/>
  <c r="L581" i="13"/>
  <c r="N581" i="13" s="1"/>
  <c r="L573" i="13"/>
  <c r="N573" i="13" s="1"/>
  <c r="X573" i="13" s="1"/>
  <c r="L565" i="13"/>
  <c r="N565" i="13" s="1"/>
  <c r="X565" i="13" s="1"/>
  <c r="L543" i="13"/>
  <c r="N543" i="13" s="1"/>
  <c r="X543" i="13" s="1"/>
  <c r="L535" i="13"/>
  <c r="N535" i="13" s="1"/>
  <c r="BA535" i="13" s="1"/>
  <c r="BB535" i="13" s="1"/>
  <c r="L527" i="13"/>
  <c r="N527" i="13" s="1"/>
  <c r="L519" i="13"/>
  <c r="N519" i="13" s="1"/>
  <c r="L497" i="13"/>
  <c r="N497" i="13" s="1"/>
  <c r="X497" i="13" s="1"/>
  <c r="L489" i="13"/>
  <c r="N489" i="13" s="1"/>
  <c r="L481" i="13"/>
  <c r="N481" i="13" s="1"/>
  <c r="X481" i="13" s="1"/>
  <c r="L473" i="13"/>
  <c r="N473" i="13" s="1"/>
  <c r="X473" i="13" s="1"/>
  <c r="L451" i="13"/>
  <c r="N451" i="13" s="1"/>
  <c r="X451" i="13" s="1"/>
  <c r="L443" i="13"/>
  <c r="N443" i="13" s="1"/>
  <c r="L435" i="13"/>
  <c r="N435" i="13" s="1"/>
  <c r="X435" i="13" s="1"/>
  <c r="L427" i="13"/>
  <c r="N427" i="13" s="1"/>
  <c r="X427" i="13" s="1"/>
  <c r="L405" i="13"/>
  <c r="N405" i="13" s="1"/>
  <c r="X405" i="13" s="1"/>
  <c r="L397" i="13"/>
  <c r="N397" i="13" s="1"/>
  <c r="X397" i="13" s="1"/>
  <c r="L389" i="13"/>
  <c r="N389" i="13" s="1"/>
  <c r="X389" i="13" s="1"/>
  <c r="L381" i="13"/>
  <c r="N381" i="13" s="1"/>
  <c r="X381" i="13" s="1"/>
  <c r="L359" i="13"/>
  <c r="N359" i="13" s="1"/>
  <c r="X359" i="13" s="1"/>
  <c r="L351" i="13"/>
  <c r="N351" i="13" s="1"/>
  <c r="X351" i="13" s="1"/>
  <c r="L343" i="13"/>
  <c r="N343" i="13" s="1"/>
  <c r="L335" i="13"/>
  <c r="N335" i="13" s="1"/>
  <c r="X335" i="13" s="1"/>
  <c r="L313" i="13"/>
  <c r="N313" i="13" s="1"/>
  <c r="X313" i="13" s="1"/>
  <c r="L305" i="13"/>
  <c r="N305" i="13" s="1"/>
  <c r="L297" i="13"/>
  <c r="N297" i="13" s="1"/>
  <c r="X297" i="13" s="1"/>
  <c r="L289" i="13"/>
  <c r="N289" i="13" s="1"/>
  <c r="X289" i="13" s="1"/>
  <c r="L267" i="13"/>
  <c r="N267" i="13" s="1"/>
  <c r="X267" i="13" s="1"/>
  <c r="L259" i="13"/>
  <c r="N259" i="13" s="1"/>
  <c r="X259" i="13" s="1"/>
  <c r="L251" i="13"/>
  <c r="N251" i="13" s="1"/>
  <c r="L243" i="13"/>
  <c r="N243" i="13" s="1"/>
  <c r="X243" i="13" s="1"/>
  <c r="L221" i="13"/>
  <c r="N221" i="13" s="1"/>
  <c r="X221" i="13" s="1"/>
  <c r="L213" i="13"/>
  <c r="N213" i="13" s="1"/>
  <c r="L205" i="13"/>
  <c r="N205" i="13" s="1"/>
  <c r="X205" i="13" s="1"/>
  <c r="L197" i="13"/>
  <c r="N197" i="13" s="1"/>
  <c r="X197" i="13" s="1"/>
  <c r="L175" i="13"/>
  <c r="N175" i="13" s="1"/>
  <c r="X175" i="13" s="1"/>
  <c r="L167" i="13"/>
  <c r="N167" i="13" s="1"/>
  <c r="X167" i="13" s="1"/>
  <c r="L159" i="13"/>
  <c r="N159" i="13" s="1"/>
  <c r="L151" i="13"/>
  <c r="N151" i="13" s="1"/>
  <c r="X151" i="13" s="1"/>
  <c r="L129" i="13"/>
  <c r="N129" i="13" s="1"/>
  <c r="X129" i="13" s="1"/>
  <c r="L121" i="13"/>
  <c r="N121" i="13" s="1"/>
  <c r="X121" i="13" s="1"/>
  <c r="L113" i="13"/>
  <c r="N113" i="13" s="1"/>
  <c r="X113" i="13" s="1"/>
  <c r="L105" i="13"/>
  <c r="N105" i="13" s="1"/>
  <c r="X105" i="13" s="1"/>
  <c r="L67" i="13"/>
  <c r="N67" i="13" s="1"/>
  <c r="X67" i="13" s="1"/>
  <c r="L75" i="13"/>
  <c r="N75" i="13" s="1"/>
  <c r="X75" i="13" s="1"/>
  <c r="L84" i="13"/>
  <c r="N84" i="13" s="1"/>
  <c r="X84" i="13" s="1"/>
  <c r="L59" i="13"/>
  <c r="N59" i="13" s="1"/>
  <c r="X59" i="13" s="1"/>
  <c r="L11" i="13"/>
  <c r="L19" i="13"/>
  <c r="N19" i="13" s="1"/>
  <c r="BA19" i="13" s="1"/>
  <c r="BB19" i="13" s="1"/>
  <c r="L27" i="13"/>
  <c r="N27" i="13" s="1"/>
  <c r="L838" i="13"/>
  <c r="N838" i="13" s="1"/>
  <c r="X838" i="13" s="1"/>
  <c r="L846" i="13"/>
  <c r="N846" i="13" s="1"/>
  <c r="X846" i="13" s="1"/>
  <c r="L854" i="13"/>
  <c r="N854" i="13" s="1"/>
  <c r="BA854" i="13" s="1"/>
  <c r="BB854" i="13" s="1"/>
  <c r="L862" i="13"/>
  <c r="N862" i="13" s="1"/>
  <c r="X862" i="13" s="1"/>
  <c r="L818" i="13"/>
  <c r="N818" i="13" s="1"/>
  <c r="X818" i="13" s="1"/>
  <c r="L810" i="13"/>
  <c r="N810" i="13" s="1"/>
  <c r="X810" i="13" s="1"/>
  <c r="L802" i="13"/>
  <c r="N802" i="13" s="1"/>
  <c r="X802" i="13" s="1"/>
  <c r="L794" i="13"/>
  <c r="N794" i="13" s="1"/>
  <c r="X794" i="13" s="1"/>
  <c r="L772" i="13"/>
  <c r="N772" i="13" s="1"/>
  <c r="BA772" i="13" s="1"/>
  <c r="BB772" i="13" s="1"/>
  <c r="L764" i="13"/>
  <c r="N764" i="13" s="1"/>
  <c r="X764" i="13" s="1"/>
  <c r="L756" i="13"/>
  <c r="N756" i="13" s="1"/>
  <c r="X756" i="13" s="1"/>
  <c r="L748" i="13"/>
  <c r="N748" i="13" s="1"/>
  <c r="X748" i="13" s="1"/>
  <c r="L726" i="13"/>
  <c r="N726" i="13" s="1"/>
  <c r="X726" i="13" s="1"/>
  <c r="L718" i="13"/>
  <c r="N718" i="13" s="1"/>
  <c r="X718" i="13" s="1"/>
  <c r="L710" i="13"/>
  <c r="N710" i="13" s="1"/>
  <c r="X710" i="13" s="1"/>
  <c r="L702" i="13"/>
  <c r="N702" i="13" s="1"/>
  <c r="X702" i="13" s="1"/>
  <c r="L680" i="13"/>
  <c r="N680" i="13" s="1"/>
  <c r="X680" i="13" s="1"/>
  <c r="L672" i="13"/>
  <c r="N672" i="13" s="1"/>
  <c r="X672" i="13" s="1"/>
  <c r="L664" i="13"/>
  <c r="N664" i="13" s="1"/>
  <c r="X664" i="13" s="1"/>
  <c r="L656" i="13"/>
  <c r="N656" i="13" s="1"/>
  <c r="X656" i="13" s="1"/>
  <c r="L634" i="13"/>
  <c r="N634" i="13" s="1"/>
  <c r="X634" i="13" s="1"/>
  <c r="L626" i="13"/>
  <c r="N626" i="13" s="1"/>
  <c r="X626" i="13" s="1"/>
  <c r="L618" i="13"/>
  <c r="N618" i="13" s="1"/>
  <c r="X618" i="13" s="1"/>
  <c r="L610" i="13"/>
  <c r="N610" i="13" s="1"/>
  <c r="X610" i="13" s="1"/>
  <c r="L588" i="13"/>
  <c r="N588" i="13" s="1"/>
  <c r="X588" i="13" s="1"/>
  <c r="L580" i="13"/>
  <c r="N580" i="13" s="1"/>
  <c r="X580" i="13" s="1"/>
  <c r="L572" i="13"/>
  <c r="N572" i="13" s="1"/>
  <c r="X572" i="13" s="1"/>
  <c r="L564" i="13"/>
  <c r="N564" i="13" s="1"/>
  <c r="BA564" i="13" s="1"/>
  <c r="BB564" i="13" s="1"/>
  <c r="L542" i="13"/>
  <c r="N542" i="13" s="1"/>
  <c r="X542" i="13" s="1"/>
  <c r="L534" i="13"/>
  <c r="N534" i="13" s="1"/>
  <c r="X534" i="13" s="1"/>
  <c r="L526" i="13"/>
  <c r="N526" i="13" s="1"/>
  <c r="X526" i="13" s="1"/>
  <c r="L518" i="13"/>
  <c r="N518" i="13" s="1"/>
  <c r="X518" i="13" s="1"/>
  <c r="L496" i="13"/>
  <c r="N496" i="13" s="1"/>
  <c r="X496" i="13" s="1"/>
  <c r="L488" i="13"/>
  <c r="N488" i="13" s="1"/>
  <c r="X488" i="13" s="1"/>
  <c r="L480" i="13"/>
  <c r="N480" i="13" s="1"/>
  <c r="X480" i="13" s="1"/>
  <c r="L472" i="13"/>
  <c r="N472" i="13" s="1"/>
  <c r="X472" i="13" s="1"/>
  <c r="L450" i="13"/>
  <c r="N450" i="13" s="1"/>
  <c r="X450" i="13" s="1"/>
  <c r="L442" i="13"/>
  <c r="N442" i="13" s="1"/>
  <c r="X442" i="13" s="1"/>
  <c r="L434" i="13"/>
  <c r="N434" i="13" s="1"/>
  <c r="L426" i="13"/>
  <c r="N426" i="13" s="1"/>
  <c r="X426" i="13" s="1"/>
  <c r="L404" i="13"/>
  <c r="N404" i="13" s="1"/>
  <c r="X404" i="13" s="1"/>
  <c r="L396" i="13"/>
  <c r="N396" i="13" s="1"/>
  <c r="X396" i="13" s="1"/>
  <c r="L388" i="13"/>
  <c r="N388" i="13" s="1"/>
  <c r="X388" i="13" s="1"/>
  <c r="L380" i="13"/>
  <c r="N380" i="13" s="1"/>
  <c r="X380" i="13" s="1"/>
  <c r="L358" i="13"/>
  <c r="N358" i="13" s="1"/>
  <c r="X358" i="13" s="1"/>
  <c r="L350" i="13"/>
  <c r="N350" i="13" s="1"/>
  <c r="X350" i="13" s="1"/>
  <c r="L342" i="13"/>
  <c r="N342" i="13" s="1"/>
  <c r="X342" i="13" s="1"/>
  <c r="L334" i="13"/>
  <c r="N334" i="13" s="1"/>
  <c r="X334" i="13" s="1"/>
  <c r="L312" i="13"/>
  <c r="N312" i="13" s="1"/>
  <c r="X312" i="13" s="1"/>
  <c r="L304" i="13"/>
  <c r="N304" i="13" s="1"/>
  <c r="X304" i="13" s="1"/>
  <c r="L296" i="13"/>
  <c r="N296" i="13" s="1"/>
  <c r="X296" i="13" s="1"/>
  <c r="L288" i="13"/>
  <c r="N288" i="13" s="1"/>
  <c r="X288" i="13" s="1"/>
  <c r="L266" i="13"/>
  <c r="N266" i="13" s="1"/>
  <c r="X266" i="13" s="1"/>
  <c r="L258" i="13"/>
  <c r="N258" i="13" s="1"/>
  <c r="X258" i="13" s="1"/>
  <c r="L250" i="13"/>
  <c r="N250" i="13" s="1"/>
  <c r="X250" i="13" s="1"/>
  <c r="L242" i="13"/>
  <c r="N242" i="13" s="1"/>
  <c r="X242" i="13" s="1"/>
  <c r="L220" i="13"/>
  <c r="N220" i="13" s="1"/>
  <c r="X220" i="13" s="1"/>
  <c r="L212" i="13"/>
  <c r="N212" i="13" s="1"/>
  <c r="X212" i="13" s="1"/>
  <c r="L204" i="13"/>
  <c r="N204" i="13" s="1"/>
  <c r="X204" i="13" s="1"/>
  <c r="L196" i="13"/>
  <c r="N196" i="13" s="1"/>
  <c r="X196" i="13" s="1"/>
  <c r="L174" i="13"/>
  <c r="N174" i="13" s="1"/>
  <c r="X174" i="13" s="1"/>
  <c r="L166" i="13"/>
  <c r="N166" i="13" s="1"/>
  <c r="X166" i="13" s="1"/>
  <c r="L158" i="13"/>
  <c r="N158" i="13" s="1"/>
  <c r="X158" i="13" s="1"/>
  <c r="L150" i="13"/>
  <c r="N150" i="13" s="1"/>
  <c r="X150" i="13" s="1"/>
  <c r="L128" i="13"/>
  <c r="N128" i="13" s="1"/>
  <c r="X128" i="13" s="1"/>
  <c r="L120" i="13"/>
  <c r="N120" i="13" s="1"/>
  <c r="X120" i="13" s="1"/>
  <c r="L112" i="13"/>
  <c r="N112" i="13" s="1"/>
  <c r="X112" i="13" s="1"/>
  <c r="L104" i="13"/>
  <c r="N104" i="13" s="1"/>
  <c r="X104" i="13" s="1"/>
  <c r="L68" i="13"/>
  <c r="N68" i="13" s="1"/>
  <c r="X68" i="13" s="1"/>
  <c r="L76" i="13"/>
  <c r="N76" i="13" s="1"/>
  <c r="X76" i="13" s="1"/>
  <c r="L66" i="13"/>
  <c r="N66" i="13" s="1"/>
  <c r="X66" i="13" s="1"/>
  <c r="L58" i="13"/>
  <c r="N58" i="13" s="1"/>
  <c r="X58" i="13" s="1"/>
  <c r="L12" i="13"/>
  <c r="N12" i="13" s="1"/>
  <c r="X12" i="13" s="1"/>
  <c r="L20" i="13"/>
  <c r="N20" i="13" s="1"/>
  <c r="BA20" i="13" s="1"/>
  <c r="BB20" i="13" s="1"/>
  <c r="L28" i="13"/>
  <c r="N28" i="13" s="1"/>
  <c r="X28" i="13" s="1"/>
  <c r="L839" i="13"/>
  <c r="N839" i="13" s="1"/>
  <c r="X839" i="13" s="1"/>
  <c r="L847" i="13"/>
  <c r="N847" i="13" s="1"/>
  <c r="X847" i="13" s="1"/>
  <c r="L855" i="13"/>
  <c r="N855" i="13" s="1"/>
  <c r="X855" i="13" s="1"/>
  <c r="L863" i="13"/>
  <c r="N863" i="13" s="1"/>
  <c r="L817" i="13"/>
  <c r="N817" i="13" s="1"/>
  <c r="BA817" i="13" s="1"/>
  <c r="BB817" i="13" s="1"/>
  <c r="L809" i="13"/>
  <c r="N809" i="13" s="1"/>
  <c r="X809" i="13" s="1"/>
  <c r="L801" i="13"/>
  <c r="N801" i="13" s="1"/>
  <c r="X801" i="13" s="1"/>
  <c r="L793" i="13"/>
  <c r="N793" i="13" s="1"/>
  <c r="X793" i="13" s="1"/>
  <c r="L771" i="13"/>
  <c r="N771" i="13" s="1"/>
  <c r="X771" i="13" s="1"/>
  <c r="L763" i="13"/>
  <c r="N763" i="13" s="1"/>
  <c r="X763" i="13" s="1"/>
  <c r="L755" i="13"/>
  <c r="N755" i="13" s="1"/>
  <c r="X755" i="13" s="1"/>
  <c r="L747" i="13"/>
  <c r="N747" i="13" s="1"/>
  <c r="X747" i="13" s="1"/>
  <c r="L725" i="13"/>
  <c r="N725" i="13" s="1"/>
  <c r="X725" i="13" s="1"/>
  <c r="L717" i="13"/>
  <c r="N717" i="13" s="1"/>
  <c r="X717" i="13" s="1"/>
  <c r="L709" i="13"/>
  <c r="N709" i="13" s="1"/>
  <c r="X709" i="13" s="1"/>
  <c r="L701" i="13"/>
  <c r="N701" i="13" s="1"/>
  <c r="X701" i="13" s="1"/>
  <c r="L679" i="13"/>
  <c r="N679" i="13" s="1"/>
  <c r="X679" i="13" s="1"/>
  <c r="L671" i="13"/>
  <c r="N671" i="13" s="1"/>
  <c r="X671" i="13" s="1"/>
  <c r="L663" i="13"/>
  <c r="N663" i="13" s="1"/>
  <c r="X663" i="13" s="1"/>
  <c r="L655" i="13"/>
  <c r="N655" i="13" s="1"/>
  <c r="X655" i="13" s="1"/>
  <c r="L633" i="13"/>
  <c r="N633" i="13" s="1"/>
  <c r="X633" i="13" s="1"/>
  <c r="L625" i="13"/>
  <c r="N625" i="13" s="1"/>
  <c r="X625" i="13" s="1"/>
  <c r="L617" i="13"/>
  <c r="N617" i="13" s="1"/>
  <c r="X617" i="13" s="1"/>
  <c r="L609" i="13"/>
  <c r="N609" i="13" s="1"/>
  <c r="BA609" i="13" s="1"/>
  <c r="BB609" i="13" s="1"/>
  <c r="L587" i="13"/>
  <c r="N587" i="13" s="1"/>
  <c r="X587" i="13" s="1"/>
  <c r="L579" i="13"/>
  <c r="N579" i="13" s="1"/>
  <c r="X579" i="13" s="1"/>
  <c r="L571" i="13"/>
  <c r="N571" i="13" s="1"/>
  <c r="X571" i="13" s="1"/>
  <c r="L563" i="13"/>
  <c r="N563" i="13" s="1"/>
  <c r="X563" i="13" s="1"/>
  <c r="L541" i="13"/>
  <c r="N541" i="13" s="1"/>
  <c r="X541" i="13" s="1"/>
  <c r="L533" i="13"/>
  <c r="N533" i="13" s="1"/>
  <c r="X533" i="13" s="1"/>
  <c r="L525" i="13"/>
  <c r="N525" i="13" s="1"/>
  <c r="X525" i="13" s="1"/>
  <c r="L517" i="13"/>
  <c r="N517" i="13" s="1"/>
  <c r="X517" i="13" s="1"/>
  <c r="L495" i="13"/>
  <c r="N495" i="13" s="1"/>
  <c r="X495" i="13" s="1"/>
  <c r="L487" i="13"/>
  <c r="N487" i="13" s="1"/>
  <c r="T487" i="13" s="1"/>
  <c r="O487" i="13" s="1"/>
  <c r="L479" i="13"/>
  <c r="N479" i="13" s="1"/>
  <c r="X479" i="13" s="1"/>
  <c r="L471" i="13"/>
  <c r="N471" i="13" s="1"/>
  <c r="L449" i="13"/>
  <c r="N449" i="13" s="1"/>
  <c r="X449" i="13" s="1"/>
  <c r="L441" i="13"/>
  <c r="N441" i="13" s="1"/>
  <c r="X441" i="13" s="1"/>
  <c r="L433" i="13"/>
  <c r="N433" i="13" s="1"/>
  <c r="X433" i="13" s="1"/>
  <c r="L425" i="13"/>
  <c r="N425" i="13" s="1"/>
  <c r="X425" i="13" s="1"/>
  <c r="L403" i="13"/>
  <c r="N403" i="13" s="1"/>
  <c r="X403" i="13" s="1"/>
  <c r="L395" i="13"/>
  <c r="N395" i="13" s="1"/>
  <c r="X395" i="13" s="1"/>
  <c r="L387" i="13"/>
  <c r="N387" i="13" s="1"/>
  <c r="X387" i="13" s="1"/>
  <c r="L379" i="13"/>
  <c r="N379" i="13" s="1"/>
  <c r="BA379" i="13" s="1"/>
  <c r="BB379" i="13" s="1"/>
  <c r="L357" i="13"/>
  <c r="N357" i="13" s="1"/>
  <c r="X357" i="13" s="1"/>
  <c r="L349" i="13"/>
  <c r="N349" i="13" s="1"/>
  <c r="X349" i="13" s="1"/>
  <c r="L341" i="13"/>
  <c r="N341" i="13" s="1"/>
  <c r="X341" i="13" s="1"/>
  <c r="L333" i="13"/>
  <c r="N333" i="13" s="1"/>
  <c r="L311" i="13"/>
  <c r="N311" i="13" s="1"/>
  <c r="X311" i="13" s="1"/>
  <c r="L303" i="13"/>
  <c r="N303" i="13" s="1"/>
  <c r="X303" i="13" s="1"/>
  <c r="L295" i="13"/>
  <c r="N295" i="13" s="1"/>
  <c r="X295" i="13" s="1"/>
  <c r="L287" i="13"/>
  <c r="N287" i="13" s="1"/>
  <c r="X287" i="13" s="1"/>
  <c r="L265" i="13"/>
  <c r="N265" i="13" s="1"/>
  <c r="X265" i="13" s="1"/>
  <c r="L257" i="13"/>
  <c r="N257" i="13" s="1"/>
  <c r="X257" i="13" s="1"/>
  <c r="L249" i="13"/>
  <c r="N249" i="13" s="1"/>
  <c r="X249" i="13" s="1"/>
  <c r="L241" i="13"/>
  <c r="N241" i="13" s="1"/>
  <c r="X241" i="13" s="1"/>
  <c r="L219" i="13"/>
  <c r="N219" i="13" s="1"/>
  <c r="X219" i="13" s="1"/>
  <c r="L211" i="13"/>
  <c r="N211" i="13" s="1"/>
  <c r="X211" i="13" s="1"/>
  <c r="L203" i="13"/>
  <c r="N203" i="13" s="1"/>
  <c r="X203" i="13" s="1"/>
  <c r="L195" i="13"/>
  <c r="N195" i="13" s="1"/>
  <c r="X195" i="13" s="1"/>
  <c r="L173" i="13"/>
  <c r="N173" i="13" s="1"/>
  <c r="X173" i="13" s="1"/>
  <c r="L165" i="13"/>
  <c r="N165" i="13" s="1"/>
  <c r="X165" i="13" s="1"/>
  <c r="L157" i="13"/>
  <c r="N157" i="13" s="1"/>
  <c r="X157" i="13" s="1"/>
  <c r="L149" i="13"/>
  <c r="N149" i="13" s="1"/>
  <c r="X149" i="13" s="1"/>
  <c r="L127" i="13"/>
  <c r="N127" i="13" s="1"/>
  <c r="X127" i="13" s="1"/>
  <c r="L119" i="13"/>
  <c r="N119" i="13" s="1"/>
  <c r="X119" i="13" s="1"/>
  <c r="L111" i="13"/>
  <c r="N111" i="13" s="1"/>
  <c r="X111" i="13" s="1"/>
  <c r="L103" i="13"/>
  <c r="N103" i="13" s="1"/>
  <c r="X103" i="13" s="1"/>
  <c r="L69" i="13"/>
  <c r="N69" i="13" s="1"/>
  <c r="X69" i="13" s="1"/>
  <c r="L77" i="13"/>
  <c r="N77" i="13" s="1"/>
  <c r="X77" i="13" s="1"/>
  <c r="L65" i="13"/>
  <c r="N65" i="13" s="1"/>
  <c r="X65" i="13" s="1"/>
  <c r="L57" i="13"/>
  <c r="N57" i="13" s="1"/>
  <c r="X57" i="13" s="1"/>
  <c r="L13" i="13"/>
  <c r="N13" i="13" s="1"/>
  <c r="X13" i="13" s="1"/>
  <c r="L21" i="13"/>
  <c r="N21" i="13" s="1"/>
  <c r="X21" i="13" s="1"/>
  <c r="L29" i="13"/>
  <c r="N29" i="13" s="1"/>
  <c r="X29" i="13" s="1"/>
  <c r="L808" i="13"/>
  <c r="N808" i="13" s="1"/>
  <c r="X808" i="13" s="1"/>
  <c r="L716" i="13"/>
  <c r="N716" i="13" s="1"/>
  <c r="X716" i="13" s="1"/>
  <c r="L624" i="13"/>
  <c r="N624" i="13" s="1"/>
  <c r="X624" i="13" s="1"/>
  <c r="L532" i="13"/>
  <c r="N532" i="13" s="1"/>
  <c r="X532" i="13" s="1"/>
  <c r="L440" i="13"/>
  <c r="N440" i="13" s="1"/>
  <c r="X440" i="13" s="1"/>
  <c r="L348" i="13"/>
  <c r="N348" i="13" s="1"/>
  <c r="X348" i="13" s="1"/>
  <c r="L256" i="13"/>
  <c r="N256" i="13" s="1"/>
  <c r="X256" i="13" s="1"/>
  <c r="L164" i="13"/>
  <c r="N164" i="13" s="1"/>
  <c r="X164" i="13" s="1"/>
  <c r="L78" i="13"/>
  <c r="N78" i="13" s="1"/>
  <c r="X78" i="13" s="1"/>
  <c r="L800" i="13"/>
  <c r="N800" i="13" s="1"/>
  <c r="X800" i="13" s="1"/>
  <c r="L708" i="13"/>
  <c r="N708" i="13" s="1"/>
  <c r="X708" i="13" s="1"/>
  <c r="L616" i="13"/>
  <c r="N616" i="13" s="1"/>
  <c r="X616" i="13" s="1"/>
  <c r="L524" i="13"/>
  <c r="N524" i="13" s="1"/>
  <c r="X524" i="13" s="1"/>
  <c r="L432" i="13"/>
  <c r="N432" i="13" s="1"/>
  <c r="X432" i="13" s="1"/>
  <c r="L340" i="13"/>
  <c r="N340" i="13" s="1"/>
  <c r="X340" i="13" s="1"/>
  <c r="L248" i="13"/>
  <c r="N248" i="13" s="1"/>
  <c r="X248" i="13" s="1"/>
  <c r="L156" i="13"/>
  <c r="N156" i="13" s="1"/>
  <c r="X156" i="13" s="1"/>
  <c r="L64" i="13"/>
  <c r="N64" i="13" s="1"/>
  <c r="X64" i="13" s="1"/>
  <c r="L792" i="13"/>
  <c r="N792" i="13" s="1"/>
  <c r="X792" i="13" s="1"/>
  <c r="L700" i="13"/>
  <c r="N700" i="13" s="1"/>
  <c r="X700" i="13" s="1"/>
  <c r="L608" i="13"/>
  <c r="N608" i="13" s="1"/>
  <c r="X608" i="13" s="1"/>
  <c r="L516" i="13"/>
  <c r="N516" i="13" s="1"/>
  <c r="X516" i="13" s="1"/>
  <c r="L424" i="13"/>
  <c r="N424" i="13" s="1"/>
  <c r="X424" i="13" s="1"/>
  <c r="L332" i="13"/>
  <c r="N332" i="13" s="1"/>
  <c r="X332" i="13" s="1"/>
  <c r="L240" i="13"/>
  <c r="N240" i="13" s="1"/>
  <c r="L148" i="13"/>
  <c r="N148" i="13" s="1"/>
  <c r="X148" i="13" s="1"/>
  <c r="L56" i="13"/>
  <c r="N56" i="13" s="1"/>
  <c r="X56" i="13" s="1"/>
  <c r="L840" i="13"/>
  <c r="N840" i="13" s="1"/>
  <c r="X840" i="13" s="1"/>
  <c r="L770" i="13"/>
  <c r="N770" i="13" s="1"/>
  <c r="BA770" i="13" s="1"/>
  <c r="BB770" i="13" s="1"/>
  <c r="L678" i="13"/>
  <c r="N678" i="13" s="1"/>
  <c r="X678" i="13" s="1"/>
  <c r="L586" i="13"/>
  <c r="N586" i="13" s="1"/>
  <c r="X586" i="13" s="1"/>
  <c r="L494" i="13"/>
  <c r="N494" i="13" s="1"/>
  <c r="X494" i="13" s="1"/>
  <c r="L402" i="13"/>
  <c r="N402" i="13" s="1"/>
  <c r="X402" i="13" s="1"/>
  <c r="L310" i="13"/>
  <c r="N310" i="13" s="1"/>
  <c r="X310" i="13" s="1"/>
  <c r="L218" i="13"/>
  <c r="N218" i="13" s="1"/>
  <c r="X218" i="13" s="1"/>
  <c r="L126" i="13"/>
  <c r="N126" i="13" s="1"/>
  <c r="X126" i="13" s="1"/>
  <c r="L14" i="13"/>
  <c r="N14" i="13" s="1"/>
  <c r="BA14" i="13" s="1"/>
  <c r="BB14" i="13" s="1"/>
  <c r="M10" i="14"/>
  <c r="O10" i="14" s="1"/>
  <c r="M57" i="14"/>
  <c r="O57" i="14" s="1"/>
  <c r="M38" i="14"/>
  <c r="O38" i="14" s="1"/>
  <c r="M14" i="14"/>
  <c r="O14" i="14" s="1"/>
  <c r="M109" i="14"/>
  <c r="O109" i="14" s="1"/>
  <c r="M108" i="14"/>
  <c r="O108" i="14" s="1"/>
  <c r="M63" i="14"/>
  <c r="O63" i="14" s="1"/>
  <c r="M90" i="14"/>
  <c r="O90" i="14" s="1"/>
  <c r="M107" i="14"/>
  <c r="O107" i="14" s="1"/>
  <c r="M45" i="14"/>
  <c r="O45" i="14" s="1"/>
  <c r="M119" i="14"/>
  <c r="O119" i="14" s="1"/>
  <c r="M135" i="14"/>
  <c r="O135" i="14" s="1"/>
  <c r="M106" i="14"/>
  <c r="O106" i="14" s="1"/>
  <c r="M11" i="14"/>
  <c r="O11" i="14" s="1"/>
  <c r="M113" i="14"/>
  <c r="O113" i="14" s="1"/>
  <c r="M77" i="14"/>
  <c r="O77" i="14" s="1"/>
  <c r="M35" i="14"/>
  <c r="O35" i="14" s="1"/>
  <c r="M28" i="14"/>
  <c r="O28" i="14" s="1"/>
  <c r="L848" i="13"/>
  <c r="N848" i="13" s="1"/>
  <c r="X848" i="13" s="1"/>
  <c r="L762" i="13"/>
  <c r="N762" i="13" s="1"/>
  <c r="X762" i="13" s="1"/>
  <c r="L670" i="13"/>
  <c r="N670" i="13" s="1"/>
  <c r="X670" i="13" s="1"/>
  <c r="L578" i="13"/>
  <c r="N578" i="13" s="1"/>
  <c r="X578" i="13" s="1"/>
  <c r="L486" i="13"/>
  <c r="N486" i="13" s="1"/>
  <c r="X486" i="13" s="1"/>
  <c r="L394" i="13"/>
  <c r="N394" i="13" s="1"/>
  <c r="X394" i="13" s="1"/>
  <c r="L302" i="13"/>
  <c r="N302" i="13" s="1"/>
  <c r="X302" i="13" s="1"/>
  <c r="L210" i="13"/>
  <c r="N210" i="13" s="1"/>
  <c r="X210" i="13" s="1"/>
  <c r="L118" i="13"/>
  <c r="N118" i="13" s="1"/>
  <c r="X118" i="13" s="1"/>
  <c r="L22" i="13"/>
  <c r="N22" i="13" s="1"/>
  <c r="BA22" i="13" s="1"/>
  <c r="BB22" i="13" s="1"/>
  <c r="M125" i="14"/>
  <c r="O125" i="14" s="1"/>
  <c r="M60" i="14"/>
  <c r="O60" i="14" s="1"/>
  <c r="M54" i="14"/>
  <c r="O54" i="14" s="1"/>
  <c r="M43" i="14"/>
  <c r="O43" i="14" s="1"/>
  <c r="M105" i="14"/>
  <c r="O105" i="14" s="1"/>
  <c r="M22" i="14"/>
  <c r="O22" i="14" s="1"/>
  <c r="M25" i="14"/>
  <c r="O25" i="14" s="1"/>
  <c r="M121" i="14"/>
  <c r="O121" i="14" s="1"/>
  <c r="M30" i="14"/>
  <c r="O30" i="14" s="1"/>
  <c r="M85" i="14"/>
  <c r="O85" i="14" s="1"/>
  <c r="M29" i="14"/>
  <c r="O29" i="14" s="1"/>
  <c r="M66" i="14"/>
  <c r="O66" i="14" s="1"/>
  <c r="M46" i="14"/>
  <c r="O46" i="14" s="1"/>
  <c r="M47" i="14"/>
  <c r="O47" i="14" s="1"/>
  <c r="M89" i="14"/>
  <c r="O89" i="14" s="1"/>
  <c r="M124" i="14"/>
  <c r="O124" i="14" s="1"/>
  <c r="L864" i="13"/>
  <c r="N864" i="13" s="1"/>
  <c r="X864" i="13" s="1"/>
  <c r="L746" i="13"/>
  <c r="N746" i="13" s="1"/>
  <c r="X746" i="13" s="1"/>
  <c r="L654" i="13"/>
  <c r="N654" i="13" s="1"/>
  <c r="X654" i="13" s="1"/>
  <c r="L562" i="13"/>
  <c r="N562" i="13" s="1"/>
  <c r="X562" i="13" s="1"/>
  <c r="L470" i="13"/>
  <c r="N470" i="13" s="1"/>
  <c r="X470" i="13" s="1"/>
  <c r="L378" i="13"/>
  <c r="N378" i="13" s="1"/>
  <c r="X378" i="13" s="1"/>
  <c r="L286" i="13"/>
  <c r="N286" i="13" s="1"/>
  <c r="X286" i="13" s="1"/>
  <c r="L194" i="13"/>
  <c r="N194" i="13" s="1"/>
  <c r="X194" i="13" s="1"/>
  <c r="L102" i="13"/>
  <c r="N102" i="13" s="1"/>
  <c r="X102" i="13" s="1"/>
  <c r="L172" i="13"/>
  <c r="N172" i="13" s="1"/>
  <c r="X172" i="13" s="1"/>
  <c r="L540" i="13"/>
  <c r="N540" i="13" s="1"/>
  <c r="X540" i="13" s="1"/>
  <c r="L202" i="13"/>
  <c r="N202" i="13" s="1"/>
  <c r="X202" i="13" s="1"/>
  <c r="L570" i="13"/>
  <c r="N570" i="13" s="1"/>
  <c r="X570" i="13" s="1"/>
  <c r="L264" i="13"/>
  <c r="N264" i="13" s="1"/>
  <c r="X264" i="13" s="1"/>
  <c r="L632" i="13"/>
  <c r="N632" i="13" s="1"/>
  <c r="X632" i="13" s="1"/>
  <c r="AD23" i="13"/>
  <c r="AD35" i="13"/>
  <c r="V35" i="13"/>
  <c r="W35" i="13" s="1"/>
  <c r="K308" i="16"/>
  <c r="O308" i="16" s="1"/>
  <c r="L4" i="16"/>
  <c r="V19" i="13"/>
  <c r="W19" i="13" s="1"/>
  <c r="F507" i="16"/>
  <c r="E507" i="16" s="1"/>
  <c r="K18" i="16"/>
  <c r="O18" i="16" s="1"/>
  <c r="K415" i="16"/>
  <c r="O415" i="16" s="1"/>
  <c r="K511" i="16"/>
  <c r="O511" i="16" s="1"/>
  <c r="K3" i="16"/>
  <c r="K99" i="16"/>
  <c r="O99" i="16" s="1"/>
  <c r="F540" i="16"/>
  <c r="E540" i="16" s="1"/>
  <c r="K355" i="16"/>
  <c r="O355" i="16" s="1"/>
  <c r="F167" i="16"/>
  <c r="E167" i="16" s="1"/>
  <c r="N4" i="16"/>
  <c r="F91" i="16"/>
  <c r="E91" i="16" s="1"/>
  <c r="F491" i="16"/>
  <c r="E491" i="16" s="1"/>
  <c r="K531" i="16"/>
  <c r="O531" i="16" s="1"/>
  <c r="F571" i="16"/>
  <c r="E571" i="16" s="1"/>
  <c r="F537" i="16"/>
  <c r="E537" i="16" s="1"/>
  <c r="L12" i="16"/>
  <c r="K31" i="16"/>
  <c r="O31" i="16" s="1"/>
  <c r="F84" i="16"/>
  <c r="E84" i="16" s="1"/>
  <c r="N12" i="16"/>
  <c r="K52" i="16"/>
  <c r="O52" i="16" s="1"/>
  <c r="F236" i="16"/>
  <c r="E236" i="16" s="1"/>
  <c r="V33" i="13"/>
  <c r="W33" i="13" s="1"/>
  <c r="F523" i="16"/>
  <c r="E523" i="16" s="1"/>
  <c r="F259" i="16"/>
  <c r="E259" i="16" s="1"/>
  <c r="F519" i="16"/>
  <c r="E519" i="16" s="1"/>
  <c r="K599" i="16"/>
  <c r="O599" i="16" s="1"/>
  <c r="F169" i="16"/>
  <c r="E169" i="16" s="1"/>
  <c r="N3" i="16"/>
  <c r="F99" i="16"/>
  <c r="E99" i="16" s="1"/>
  <c r="K259" i="16"/>
  <c r="O259" i="16" s="1"/>
  <c r="F499" i="16"/>
  <c r="E499" i="16" s="1"/>
  <c r="N25" i="16"/>
  <c r="F265" i="16"/>
  <c r="E265" i="16" s="1"/>
  <c r="F92" i="16"/>
  <c r="E92" i="16" s="1"/>
  <c r="F244" i="16"/>
  <c r="E244" i="16" s="1"/>
  <c r="F355" i="16"/>
  <c r="E355" i="16" s="1"/>
  <c r="F9" i="16"/>
  <c r="E9" i="16" s="1"/>
  <c r="K67" i="16"/>
  <c r="O67" i="16" s="1"/>
  <c r="K219" i="16"/>
  <c r="O219" i="16" s="1"/>
  <c r="K395" i="16"/>
  <c r="O395" i="16" s="1"/>
  <c r="F427" i="16"/>
  <c r="E427" i="16" s="1"/>
  <c r="K587" i="16"/>
  <c r="O587" i="16" s="1"/>
  <c r="F89" i="16"/>
  <c r="E89" i="16" s="1"/>
  <c r="K337" i="16"/>
  <c r="O337" i="16" s="1"/>
  <c r="K481" i="16"/>
  <c r="O481" i="16" s="1"/>
  <c r="N15" i="16"/>
  <c r="F60" i="16"/>
  <c r="E60" i="16" s="1"/>
  <c r="K204" i="16"/>
  <c r="O204" i="16" s="1"/>
  <c r="L18" i="16"/>
  <c r="K363" i="16"/>
  <c r="O363" i="16" s="1"/>
  <c r="K107" i="16"/>
  <c r="O107" i="16" s="1"/>
  <c r="K187" i="16"/>
  <c r="O187" i="16" s="1"/>
  <c r="K315" i="16"/>
  <c r="O315" i="16" s="1"/>
  <c r="F555" i="16"/>
  <c r="E555" i="16" s="1"/>
  <c r="F401" i="16"/>
  <c r="E401" i="16" s="1"/>
  <c r="K489" i="16"/>
  <c r="O489" i="16" s="1"/>
  <c r="K156" i="16"/>
  <c r="O156" i="16" s="1"/>
  <c r="L26" i="16"/>
  <c r="K451" i="16"/>
  <c r="O451" i="16" s="1"/>
  <c r="F251" i="16"/>
  <c r="E251" i="16" s="1"/>
  <c r="F476" i="16"/>
  <c r="E476" i="16" s="1"/>
  <c r="F489" i="16"/>
  <c r="E489" i="16" s="1"/>
  <c r="K569" i="16"/>
  <c r="O569" i="16" s="1"/>
  <c r="K379" i="16"/>
  <c r="O379" i="16" s="1"/>
  <c r="K42" i="16"/>
  <c r="O42" i="16" s="1"/>
  <c r="F443" i="16"/>
  <c r="E443" i="16" s="1"/>
  <c r="K220" i="16"/>
  <c r="O220" i="16" s="1"/>
  <c r="K340" i="16"/>
  <c r="O340" i="16" s="1"/>
  <c r="K571" i="16"/>
  <c r="O571" i="16" s="1"/>
  <c r="F515" i="16"/>
  <c r="E515" i="16" s="1"/>
  <c r="K556" i="16"/>
  <c r="O556" i="16" s="1"/>
  <c r="K236" i="16"/>
  <c r="O236" i="16" s="1"/>
  <c r="F193" i="16"/>
  <c r="E193" i="16" s="1"/>
  <c r="K75" i="16"/>
  <c r="O75" i="16" s="1"/>
  <c r="F403" i="16"/>
  <c r="E403" i="16" s="1"/>
  <c r="F435" i="16"/>
  <c r="E435" i="16" s="1"/>
  <c r="K595" i="16"/>
  <c r="O595" i="16" s="1"/>
  <c r="K33" i="16"/>
  <c r="O33" i="16" s="1"/>
  <c r="K57" i="16"/>
  <c r="O57" i="16" s="1"/>
  <c r="F105" i="16"/>
  <c r="E105" i="16" s="1"/>
  <c r="K169" i="16"/>
  <c r="O169" i="16" s="1"/>
  <c r="K225" i="16"/>
  <c r="O225" i="16" s="1"/>
  <c r="K281" i="16"/>
  <c r="O281" i="16" s="1"/>
  <c r="F345" i="16"/>
  <c r="E345" i="16" s="1"/>
  <c r="K68" i="16"/>
  <c r="O68" i="16" s="1"/>
  <c r="AD360" i="13"/>
  <c r="AD632" i="13"/>
  <c r="AD76" i="13"/>
  <c r="AD114" i="13"/>
  <c r="AD160" i="13"/>
  <c r="AD222" i="13"/>
  <c r="AD290" i="13"/>
  <c r="AD336" i="13"/>
  <c r="AD406" i="13"/>
  <c r="AD452" i="13"/>
  <c r="AD520" i="13"/>
  <c r="AD582" i="13"/>
  <c r="AD628" i="13"/>
  <c r="AD682" i="13"/>
  <c r="AD750" i="13"/>
  <c r="AD820" i="13"/>
  <c r="AD68" i="13"/>
  <c r="AD122" i="13"/>
  <c r="AD168" i="13"/>
  <c r="AD214" i="13"/>
  <c r="AD260" i="13"/>
  <c r="AD314" i="13"/>
  <c r="AD382" i="13"/>
  <c r="AD436" i="13"/>
  <c r="AD482" i="13"/>
  <c r="AD528" i="13"/>
  <c r="AD574" i="13"/>
  <c r="AD620" i="13"/>
  <c r="AD666" i="13"/>
  <c r="AD728" i="13"/>
  <c r="AD842" i="13"/>
  <c r="AD78" i="13"/>
  <c r="AD130" i="13"/>
  <c r="AD176" i="13"/>
  <c r="AD206" i="13"/>
  <c r="AD252" i="13"/>
  <c r="AD298" i="13"/>
  <c r="AD344" i="13"/>
  <c r="AD390" i="13"/>
  <c r="AD428" i="13"/>
  <c r="AD474" i="13"/>
  <c r="AD498" i="13"/>
  <c r="AD544" i="13"/>
  <c r="AD590" i="13"/>
  <c r="AD636" i="13"/>
  <c r="AD674" i="13"/>
  <c r="AD712" i="13"/>
  <c r="AD758" i="13"/>
  <c r="AD774" i="13"/>
  <c r="AD804" i="13"/>
  <c r="AD858" i="13"/>
  <c r="AD63" i="13"/>
  <c r="AD101" i="13"/>
  <c r="AD125" i="13"/>
  <c r="AD171" i="13"/>
  <c r="AD217" i="13"/>
  <c r="AD255" i="13"/>
  <c r="AD293" i="13"/>
  <c r="AD331" i="13"/>
  <c r="AD355" i="13"/>
  <c r="AD393" i="13"/>
  <c r="AD431" i="13"/>
  <c r="AD469" i="13"/>
  <c r="AD493" i="13"/>
  <c r="AD531" i="13"/>
  <c r="AD561" i="13"/>
  <c r="AD577" i="13"/>
  <c r="AD607" i="13"/>
  <c r="AD623" i="13"/>
  <c r="AD653" i="13"/>
  <c r="AD669" i="13"/>
  <c r="AD699" i="13"/>
  <c r="AD715" i="13"/>
  <c r="AD745" i="13"/>
  <c r="AD761" i="13"/>
  <c r="AD769" i="13"/>
  <c r="AD799" i="13"/>
  <c r="AD815" i="13"/>
  <c r="AD845" i="13"/>
  <c r="AD861" i="13"/>
  <c r="AD55" i="13"/>
  <c r="AD83" i="13"/>
  <c r="AD117" i="13"/>
  <c r="AD155" i="13"/>
  <c r="AD193" i="13"/>
  <c r="AD209" i="13"/>
  <c r="AD247" i="13"/>
  <c r="AD285" i="13"/>
  <c r="AD309" i="13"/>
  <c r="AD347" i="13"/>
  <c r="AD385" i="13"/>
  <c r="AD423" i="13"/>
  <c r="AD447" i="13"/>
  <c r="AD485" i="13"/>
  <c r="AD515" i="13"/>
  <c r="AD539" i="13"/>
  <c r="AD569" i="13"/>
  <c r="AD615" i="13"/>
  <c r="AD631" i="13"/>
  <c r="AD661" i="13"/>
  <c r="AD677" i="13"/>
  <c r="AD707" i="13"/>
  <c r="AD723" i="13"/>
  <c r="AD753" i="13"/>
  <c r="AD791" i="13"/>
  <c r="AD807" i="13"/>
  <c r="AD837" i="13"/>
  <c r="AD853" i="13"/>
  <c r="AD240" i="13"/>
  <c r="AD332" i="13"/>
  <c r="AD532" i="13"/>
  <c r="AD770" i="13"/>
  <c r="AD394" i="13"/>
  <c r="AD767" i="13"/>
  <c r="AD60" i="13"/>
  <c r="AD106" i="13"/>
  <c r="AD152" i="13"/>
  <c r="AD198" i="13"/>
  <c r="AD244" i="13"/>
  <c r="AD268" i="13"/>
  <c r="AD306" i="13"/>
  <c r="AD352" i="13"/>
  <c r="AD398" i="13"/>
  <c r="AD444" i="13"/>
  <c r="AD490" i="13"/>
  <c r="AD536" i="13"/>
  <c r="AD566" i="13"/>
  <c r="AD612" i="13"/>
  <c r="AD658" i="13"/>
  <c r="AD704" i="13"/>
  <c r="AD720" i="13"/>
  <c r="AD766" i="13"/>
  <c r="AD796" i="13"/>
  <c r="AD812" i="13"/>
  <c r="AD850" i="13"/>
  <c r="AD866" i="13"/>
  <c r="AD71" i="13"/>
  <c r="AD109" i="13"/>
  <c r="AD147" i="13"/>
  <c r="AD163" i="13"/>
  <c r="AD201" i="13"/>
  <c r="AD239" i="13"/>
  <c r="AD263" i="13"/>
  <c r="AD301" i="13"/>
  <c r="AD339" i="13"/>
  <c r="AD377" i="13"/>
  <c r="AD401" i="13"/>
  <c r="AD439" i="13"/>
  <c r="AD477" i="13"/>
  <c r="AD523" i="13"/>
  <c r="AD585" i="13"/>
  <c r="AD65" i="13"/>
  <c r="AD53" i="13"/>
  <c r="AD61" i="13"/>
  <c r="AD69" i="13"/>
  <c r="AD77" i="13"/>
  <c r="AD99" i="13"/>
  <c r="AD107" i="13"/>
  <c r="AD115" i="13"/>
  <c r="AD123" i="13"/>
  <c r="AD145" i="13"/>
  <c r="AD153" i="13"/>
  <c r="AD161" i="13"/>
  <c r="AD169" i="13"/>
  <c r="AD191" i="13"/>
  <c r="AD199" i="13"/>
  <c r="AD207" i="13"/>
  <c r="AD215" i="13"/>
  <c r="AD237" i="13"/>
  <c r="AD245" i="13"/>
  <c r="AD253" i="13"/>
  <c r="AD261" i="13"/>
  <c r="AD283" i="13"/>
  <c r="AD291" i="13"/>
  <c r="AD299" i="13"/>
  <c r="AD307" i="13"/>
  <c r="AD329" i="13"/>
  <c r="AD337" i="13"/>
  <c r="AD345" i="13"/>
  <c r="AD353" i="13"/>
  <c r="AD375" i="13"/>
  <c r="AD383" i="13"/>
  <c r="AD391" i="13"/>
  <c r="AD399" i="13"/>
  <c r="AD421" i="13"/>
  <c r="AD429" i="13"/>
  <c r="AD437" i="13"/>
  <c r="AD445" i="13"/>
  <c r="AD467" i="13"/>
  <c r="AD475" i="13"/>
  <c r="AD483" i="13"/>
  <c r="AD491" i="13"/>
  <c r="AD513" i="13"/>
  <c r="AD521" i="13"/>
  <c r="AD529" i="13"/>
  <c r="AD537" i="13"/>
  <c r="AD559" i="13"/>
  <c r="AD567" i="13"/>
  <c r="AD575" i="13"/>
  <c r="AD583" i="13"/>
  <c r="AD605" i="13"/>
  <c r="AD613" i="13"/>
  <c r="AD621" i="13"/>
  <c r="AD629" i="13"/>
  <c r="AD651" i="13"/>
  <c r="AD659" i="13"/>
  <c r="AD667" i="13"/>
  <c r="AD675" i="13"/>
  <c r="AD697" i="13"/>
  <c r="AD705" i="13"/>
  <c r="AD713" i="13"/>
  <c r="AD721" i="13"/>
  <c r="AD743" i="13"/>
  <c r="AD751" i="13"/>
  <c r="AD64" i="13"/>
  <c r="AD72" i="13"/>
  <c r="AD82" i="13"/>
  <c r="AD102" i="13"/>
  <c r="AD110" i="13"/>
  <c r="AD118" i="13"/>
  <c r="AD126" i="13"/>
  <c r="AD148" i="13"/>
  <c r="AD156" i="13"/>
  <c r="AD164" i="13"/>
  <c r="AD172" i="13"/>
  <c r="AD194" i="13"/>
  <c r="AD202" i="13"/>
  <c r="AD210" i="13"/>
  <c r="AD218" i="13"/>
  <c r="AD248" i="13"/>
  <c r="AD256" i="13"/>
  <c r="AD264" i="13"/>
  <c r="AD286" i="13"/>
  <c r="AD294" i="13"/>
  <c r="AD302" i="13"/>
  <c r="AD310" i="13"/>
  <c r="AD340" i="13"/>
  <c r="AD348" i="13"/>
  <c r="AD356" i="13"/>
  <c r="AD378" i="13"/>
  <c r="AD386" i="13"/>
  <c r="AD402" i="13"/>
  <c r="AD424" i="13"/>
  <c r="AD432" i="13"/>
  <c r="AD440" i="13"/>
  <c r="AD448" i="13"/>
  <c r="AD470" i="13"/>
  <c r="AD478" i="13"/>
  <c r="AD486" i="13"/>
  <c r="AD494" i="13"/>
  <c r="AD516" i="13"/>
  <c r="AD524" i="13"/>
  <c r="AD540" i="13"/>
  <c r="AD562" i="13"/>
  <c r="AD578" i="13"/>
  <c r="AD586" i="13"/>
  <c r="AD608" i="13"/>
  <c r="AD616" i="13"/>
  <c r="AD624" i="13"/>
  <c r="AD654" i="13"/>
  <c r="AD662" i="13"/>
  <c r="AD670" i="13"/>
  <c r="AD678" i="13"/>
  <c r="AD700" i="13"/>
  <c r="AD708" i="13"/>
  <c r="AD716" i="13"/>
  <c r="AD724" i="13"/>
  <c r="AD746" i="13"/>
  <c r="AD754" i="13"/>
  <c r="AD762" i="13"/>
  <c r="AD792" i="13"/>
  <c r="AD800" i="13"/>
  <c r="AD808" i="13"/>
  <c r="AD816" i="13"/>
  <c r="AD838" i="13"/>
  <c r="AD846" i="13"/>
  <c r="AD854" i="13"/>
  <c r="AD862" i="13"/>
  <c r="AD56" i="13"/>
  <c r="N585" i="16"/>
  <c r="N505" i="16"/>
  <c r="AD759" i="13"/>
  <c r="AD789" i="13"/>
  <c r="AD797" i="13"/>
  <c r="AD805" i="13"/>
  <c r="AD54" i="13"/>
  <c r="AD62" i="13"/>
  <c r="AD70" i="13"/>
  <c r="AD84" i="13"/>
  <c r="AD100" i="13"/>
  <c r="AD108" i="13"/>
  <c r="AD116" i="13"/>
  <c r="AD124" i="13"/>
  <c r="AD192" i="13"/>
  <c r="AD200" i="13"/>
  <c r="AD208" i="13"/>
  <c r="AD216" i="13"/>
  <c r="AD238" i="13"/>
  <c r="AD246" i="13"/>
  <c r="AD254" i="13"/>
  <c r="AD262" i="13"/>
  <c r="AD284" i="13"/>
  <c r="AD292" i="13"/>
  <c r="AD300" i="13"/>
  <c r="AD308" i="13"/>
  <c r="AD376" i="13"/>
  <c r="AD384" i="13"/>
  <c r="AD392" i="13"/>
  <c r="AD400" i="13"/>
  <c r="AD422" i="13"/>
  <c r="AD430" i="13"/>
  <c r="AD438" i="13"/>
  <c r="AD446" i="13"/>
  <c r="AD468" i="13"/>
  <c r="AD476" i="13"/>
  <c r="AD484" i="13"/>
  <c r="AD492" i="13"/>
  <c r="AD560" i="13"/>
  <c r="AD568" i="13"/>
  <c r="AD576" i="13"/>
  <c r="AD584" i="13"/>
  <c r="AD606" i="13"/>
  <c r="AD614" i="13"/>
  <c r="AD622" i="13"/>
  <c r="AD630" i="13"/>
  <c r="AD652" i="13"/>
  <c r="AD660" i="13"/>
  <c r="AD668" i="13"/>
  <c r="AD676" i="13"/>
  <c r="AD744" i="13"/>
  <c r="AD752" i="13"/>
  <c r="AD760" i="13"/>
  <c r="AD768" i="13"/>
  <c r="AD790" i="13"/>
  <c r="AD798" i="13"/>
  <c r="AD806" i="13"/>
  <c r="AD814" i="13"/>
  <c r="AD836" i="13"/>
  <c r="AD844" i="13"/>
  <c r="AD852" i="13"/>
  <c r="AD860" i="13"/>
  <c r="K193" i="16"/>
  <c r="O193" i="16" s="1"/>
  <c r="F273" i="16"/>
  <c r="E273" i="16" s="1"/>
  <c r="F561" i="16"/>
  <c r="E561" i="16" s="1"/>
  <c r="F567" i="16"/>
  <c r="E567" i="16" s="1"/>
  <c r="N389" i="16"/>
  <c r="AD57" i="13"/>
  <c r="AD73" i="13"/>
  <c r="AD81" i="13"/>
  <c r="AD103" i="13"/>
  <c r="AD111" i="13"/>
  <c r="AD119" i="13"/>
  <c r="AD127" i="13"/>
  <c r="AD149" i="13"/>
  <c r="AD157" i="13"/>
  <c r="AD165" i="13"/>
  <c r="AD173" i="13"/>
  <c r="AD241" i="13"/>
  <c r="AD249" i="13"/>
  <c r="AD257" i="13"/>
  <c r="AD265" i="13"/>
  <c r="AD287" i="13"/>
  <c r="AD295" i="13"/>
  <c r="AD303" i="13"/>
  <c r="AD311" i="13"/>
  <c r="AD333" i="13"/>
  <c r="AD341" i="13"/>
  <c r="AD349" i="13"/>
  <c r="AD357" i="13"/>
  <c r="AD425" i="13"/>
  <c r="AD433" i="13"/>
  <c r="AD441" i="13"/>
  <c r="AD449" i="13"/>
  <c r="AD471" i="13"/>
  <c r="AD479" i="13"/>
  <c r="AD487" i="13"/>
  <c r="AD495" i="13"/>
  <c r="AD517" i="13"/>
  <c r="AD525" i="13"/>
  <c r="AD533" i="13"/>
  <c r="AD541" i="13"/>
  <c r="AD609" i="13"/>
  <c r="AD617" i="13"/>
  <c r="AD625" i="13"/>
  <c r="AD633" i="13"/>
  <c r="AD655" i="13"/>
  <c r="AD663" i="13"/>
  <c r="AD671" i="13"/>
  <c r="AD679" i="13"/>
  <c r="AD701" i="13"/>
  <c r="AD709" i="13"/>
  <c r="AD717" i="13"/>
  <c r="AD725" i="13"/>
  <c r="AD793" i="13"/>
  <c r="AD801" i="13"/>
  <c r="AD809" i="13"/>
  <c r="AD817" i="13"/>
  <c r="AD839" i="13"/>
  <c r="AD847" i="13"/>
  <c r="AD855" i="13"/>
  <c r="AD863" i="13"/>
  <c r="N410" i="16"/>
  <c r="N330" i="16"/>
  <c r="N290" i="16"/>
  <c r="N242" i="16"/>
  <c r="N186" i="16"/>
  <c r="N130" i="16"/>
  <c r="N82" i="16"/>
  <c r="F82" i="16"/>
  <c r="E82" i="16" s="1"/>
  <c r="N583" i="16"/>
  <c r="N543" i="16"/>
  <c r="N407" i="16"/>
  <c r="F407" i="16"/>
  <c r="E407" i="16" s="1"/>
  <c r="N71" i="16"/>
  <c r="K71" i="16"/>
  <c r="O71" i="16" s="1"/>
  <c r="AD80" i="13"/>
  <c r="AD104" i="13"/>
  <c r="AD112" i="13"/>
  <c r="AD120" i="13"/>
  <c r="AD128" i="13"/>
  <c r="AD150" i="13"/>
  <c r="AD158" i="13"/>
  <c r="AD166" i="13"/>
  <c r="AD174" i="13"/>
  <c r="AD196" i="13"/>
  <c r="AD204" i="13"/>
  <c r="AD212" i="13"/>
  <c r="AD220" i="13"/>
  <c r="AD288" i="13"/>
  <c r="AD296" i="13"/>
  <c r="AD304" i="13"/>
  <c r="AD312" i="13"/>
  <c r="AD334" i="13"/>
  <c r="AD342" i="13"/>
  <c r="AD350" i="13"/>
  <c r="AD358" i="13"/>
  <c r="AD380" i="13"/>
  <c r="AD388" i="13"/>
  <c r="AD396" i="13"/>
  <c r="AD404" i="13"/>
  <c r="AD472" i="13"/>
  <c r="AD480" i="13"/>
  <c r="AD488" i="13"/>
  <c r="AD496" i="13"/>
  <c r="AD518" i="13"/>
  <c r="AD526" i="13"/>
  <c r="AD534" i="13"/>
  <c r="AD542" i="13"/>
  <c r="AD564" i="13"/>
  <c r="AD572" i="13"/>
  <c r="AD580" i="13"/>
  <c r="AD588" i="13"/>
  <c r="AD656" i="13"/>
  <c r="AD664" i="13"/>
  <c r="AD672" i="13"/>
  <c r="AD680" i="13"/>
  <c r="AD702" i="13"/>
  <c r="AD710" i="13"/>
  <c r="AD718" i="13"/>
  <c r="AD726" i="13"/>
  <c r="AD748" i="13"/>
  <c r="AD756" i="13"/>
  <c r="AD764" i="13"/>
  <c r="AD772" i="13"/>
  <c r="AD840" i="13"/>
  <c r="AD848" i="13"/>
  <c r="AD856" i="13"/>
  <c r="AD864" i="13"/>
  <c r="AD79" i="13"/>
  <c r="AD105" i="13"/>
  <c r="AD113" i="13"/>
  <c r="AD121" i="13"/>
  <c r="AD129" i="13"/>
  <c r="AD151" i="13"/>
  <c r="AD159" i="13"/>
  <c r="AD167" i="13"/>
  <c r="AD175" i="13"/>
  <c r="AD197" i="13"/>
  <c r="AD205" i="13"/>
  <c r="AD213" i="13"/>
  <c r="AD221" i="13"/>
  <c r="AD289" i="13"/>
  <c r="AD297" i="13"/>
  <c r="AD305" i="13"/>
  <c r="AD313" i="13"/>
  <c r="AD335" i="13"/>
  <c r="AD343" i="13"/>
  <c r="AD351" i="13"/>
  <c r="AD359" i="13"/>
  <c r="AD381" i="13"/>
  <c r="AD389" i="13"/>
  <c r="AD397" i="13"/>
  <c r="AD405" i="13"/>
  <c r="AD473" i="13"/>
  <c r="AD481" i="13"/>
  <c r="AD489" i="13"/>
  <c r="AD497" i="13"/>
  <c r="AD519" i="13"/>
  <c r="AD527" i="13"/>
  <c r="AD535" i="13"/>
  <c r="AD543" i="13"/>
  <c r="AD565" i="13"/>
  <c r="AD573" i="13"/>
  <c r="AD581" i="13"/>
  <c r="AD589" i="13"/>
  <c r="AD657" i="13"/>
  <c r="AD665" i="13"/>
  <c r="AD673" i="13"/>
  <c r="AD681" i="13"/>
  <c r="AD703" i="13"/>
  <c r="AD711" i="13"/>
  <c r="AD719" i="13"/>
  <c r="AD727" i="13"/>
  <c r="AD749" i="13"/>
  <c r="AD757" i="13"/>
  <c r="AD765" i="13"/>
  <c r="AD773" i="13"/>
  <c r="AD841" i="13"/>
  <c r="AD849" i="13"/>
  <c r="AD857" i="13"/>
  <c r="AD865" i="13"/>
  <c r="F81" i="16"/>
  <c r="E81" i="16" s="1"/>
  <c r="K293" i="16"/>
  <c r="O293" i="16" s="1"/>
  <c r="F517" i="16"/>
  <c r="E517" i="16" s="1"/>
  <c r="F388" i="16"/>
  <c r="E388" i="16" s="1"/>
  <c r="F327" i="16"/>
  <c r="E327" i="16" s="1"/>
  <c r="K165" i="16"/>
  <c r="O165" i="16" s="1"/>
  <c r="F34" i="16"/>
  <c r="E34" i="16" s="1"/>
  <c r="AY896" i="13"/>
  <c r="N586" i="16"/>
  <c r="K167" i="16"/>
  <c r="O167" i="16" s="1"/>
  <c r="F303" i="16"/>
  <c r="E303" i="16" s="1"/>
  <c r="F55" i="16"/>
  <c r="E55" i="16" s="1"/>
  <c r="F409" i="16"/>
  <c r="E409" i="16" s="1"/>
  <c r="K457" i="16"/>
  <c r="O457" i="16" s="1"/>
  <c r="L10" i="16"/>
  <c r="K197" i="16"/>
  <c r="O197" i="16" s="1"/>
  <c r="K417" i="16"/>
  <c r="O417" i="16" s="1"/>
  <c r="F47" i="16"/>
  <c r="E47" i="16" s="1"/>
  <c r="K367" i="16"/>
  <c r="O367" i="16" s="1"/>
  <c r="Q6" i="14"/>
  <c r="K16" i="16"/>
  <c r="O16" i="16" s="1"/>
  <c r="F596" i="16"/>
  <c r="E596" i="16" s="1"/>
  <c r="AW905" i="13"/>
  <c r="N431" i="16"/>
  <c r="AF857" i="13"/>
  <c r="V857" i="13" s="1"/>
  <c r="W857" i="13" s="1"/>
  <c r="F308" i="16"/>
  <c r="E308" i="16" s="1"/>
  <c r="K372" i="16"/>
  <c r="O372" i="16" s="1"/>
  <c r="F580" i="16"/>
  <c r="E580" i="16" s="1"/>
  <c r="AF287" i="13"/>
  <c r="V287" i="13" s="1"/>
  <c r="W287" i="13" s="1"/>
  <c r="AY888" i="13"/>
  <c r="AY916" i="13"/>
  <c r="BA917" i="13"/>
  <c r="AY887" i="13"/>
  <c r="BA888" i="13"/>
  <c r="AF433" i="13"/>
  <c r="V433" i="13" s="1"/>
  <c r="W433" i="13" s="1"/>
  <c r="AF655" i="13"/>
  <c r="V655" i="13" s="1"/>
  <c r="W655" i="13" s="1"/>
  <c r="AF663" i="13"/>
  <c r="V663" i="13" s="1"/>
  <c r="W663" i="13" s="1"/>
  <c r="AF747" i="13"/>
  <c r="V747" i="13" s="1"/>
  <c r="W747" i="13" s="1"/>
  <c r="AF843" i="13"/>
  <c r="V843" i="13" s="1"/>
  <c r="W843" i="13" s="1"/>
  <c r="AF706" i="13"/>
  <c r="V706" i="13" s="1"/>
  <c r="W706" i="13" s="1"/>
  <c r="K594" i="16"/>
  <c r="O594" i="16" s="1"/>
  <c r="K76" i="16"/>
  <c r="O76" i="16" s="1"/>
  <c r="N13" i="16"/>
  <c r="N16" i="16"/>
  <c r="F362" i="16"/>
  <c r="E362" i="16" s="1"/>
  <c r="AF151" i="13"/>
  <c r="V151" i="13" s="1"/>
  <c r="W151" i="13" s="1"/>
  <c r="AF251" i="13"/>
  <c r="V251" i="13" s="1"/>
  <c r="W251" i="13" s="1"/>
  <c r="AF711" i="13"/>
  <c r="V711" i="13" s="1"/>
  <c r="W711" i="13" s="1"/>
  <c r="N194" i="16"/>
  <c r="AF205" i="13"/>
  <c r="V205" i="13" s="1"/>
  <c r="W205" i="13" s="1"/>
  <c r="AF305" i="13"/>
  <c r="V305" i="13" s="1"/>
  <c r="W305" i="13" s="1"/>
  <c r="F505" i="16"/>
  <c r="E505" i="16" s="1"/>
  <c r="K348" i="16"/>
  <c r="O348" i="16" s="1"/>
  <c r="F271" i="16"/>
  <c r="E271" i="16" s="1"/>
  <c r="F551" i="16"/>
  <c r="E551" i="16" s="1"/>
  <c r="AF73" i="13"/>
  <c r="V73" i="13" s="1"/>
  <c r="W73" i="13" s="1"/>
  <c r="AF127" i="13"/>
  <c r="V127" i="13" s="1"/>
  <c r="W127" i="13" s="1"/>
  <c r="AF817" i="13"/>
  <c r="V817" i="13" s="1"/>
  <c r="W817" i="13" s="1"/>
  <c r="AU908" i="13"/>
  <c r="AU887" i="13"/>
  <c r="AU916" i="13"/>
  <c r="BA887" i="13"/>
  <c r="AU893" i="13"/>
  <c r="AW887" i="13"/>
  <c r="BA890" i="13"/>
  <c r="F252" i="16"/>
  <c r="E252" i="16" s="1"/>
  <c r="F559" i="16"/>
  <c r="E559" i="16" s="1"/>
  <c r="K199" i="16"/>
  <c r="O199" i="16" s="1"/>
  <c r="F370" i="16"/>
  <c r="E370" i="16" s="1"/>
  <c r="N439" i="16"/>
  <c r="N429" i="16"/>
  <c r="T761" i="13"/>
  <c r="O761" i="13" s="1"/>
  <c r="AF860" i="13"/>
  <c r="V860" i="13" s="1"/>
  <c r="W860" i="13" s="1"/>
  <c r="AF677" i="13"/>
  <c r="V677" i="13" s="1"/>
  <c r="W677" i="13" s="1"/>
  <c r="AF192" i="13"/>
  <c r="V192" i="13" s="1"/>
  <c r="W192" i="13" s="1"/>
  <c r="F525" i="16"/>
  <c r="E525" i="16" s="1"/>
  <c r="K268" i="16"/>
  <c r="O268" i="16" s="1"/>
  <c r="K215" i="16"/>
  <c r="O215" i="16" s="1"/>
  <c r="AF171" i="13"/>
  <c r="V171" i="13" s="1"/>
  <c r="W171" i="13" s="1"/>
  <c r="BA841" i="13"/>
  <c r="BB841" i="13" s="1"/>
  <c r="AF765" i="13"/>
  <c r="V765" i="13" s="1"/>
  <c r="W765" i="13" s="1"/>
  <c r="BA905" i="13"/>
  <c r="AF389" i="13"/>
  <c r="V389" i="13" s="1"/>
  <c r="W389" i="13" s="1"/>
  <c r="AF59" i="13"/>
  <c r="V59" i="13" s="1"/>
  <c r="W59" i="13" s="1"/>
  <c r="AU914" i="13"/>
  <c r="AF721" i="13"/>
  <c r="V721" i="13" s="1"/>
  <c r="W721" i="13" s="1"/>
  <c r="K601" i="16"/>
  <c r="O601" i="16" s="1"/>
  <c r="F543" i="16"/>
  <c r="E543" i="16" s="1"/>
  <c r="K223" i="16"/>
  <c r="O223" i="16" s="1"/>
  <c r="Q341" i="16"/>
  <c r="T849" i="13"/>
  <c r="O849" i="13" s="1"/>
  <c r="Q577" i="16"/>
  <c r="Q405" i="16"/>
  <c r="Q277" i="16"/>
  <c r="Q509" i="16"/>
  <c r="T677" i="13"/>
  <c r="O677" i="13" s="1"/>
  <c r="Q533" i="16"/>
  <c r="Q269" i="16"/>
  <c r="Q213" i="16"/>
  <c r="AF14" i="13"/>
  <c r="V14" i="13" s="1"/>
  <c r="W14" i="13" s="1"/>
  <c r="AF246" i="13"/>
  <c r="V246" i="13" s="1"/>
  <c r="W246" i="13" s="1"/>
  <c r="AF702" i="13"/>
  <c r="V702" i="13" s="1"/>
  <c r="W702" i="13" s="1"/>
  <c r="AF710" i="13"/>
  <c r="V710" i="13" s="1"/>
  <c r="W710" i="13" s="1"/>
  <c r="AF722" i="13"/>
  <c r="V722" i="13" s="1"/>
  <c r="W722" i="13" s="1"/>
  <c r="AF744" i="13"/>
  <c r="V744" i="13" s="1"/>
  <c r="W744" i="13" s="1"/>
  <c r="AF748" i="13"/>
  <c r="V748" i="13" s="1"/>
  <c r="W748" i="13" s="1"/>
  <c r="AF802" i="13"/>
  <c r="V802" i="13" s="1"/>
  <c r="W802" i="13" s="1"/>
  <c r="AF836" i="13"/>
  <c r="V836" i="13" s="1"/>
  <c r="W836" i="13" s="1"/>
  <c r="AF614" i="13"/>
  <c r="V614" i="13" s="1"/>
  <c r="W614" i="13" s="1"/>
  <c r="AF680" i="13"/>
  <c r="V680" i="13" s="1"/>
  <c r="W680" i="13" s="1"/>
  <c r="AF351" i="13"/>
  <c r="V351" i="13" s="1"/>
  <c r="W351" i="13" s="1"/>
  <c r="BA677" i="13"/>
  <c r="BB677" i="13" s="1"/>
  <c r="AF376" i="13"/>
  <c r="V376" i="13" s="1"/>
  <c r="W376" i="13" s="1"/>
  <c r="AF359" i="13"/>
  <c r="V359" i="13" s="1"/>
  <c r="W359" i="13" s="1"/>
  <c r="AF519" i="13"/>
  <c r="V519" i="13" s="1"/>
  <c r="W519" i="13" s="1"/>
  <c r="AF543" i="13"/>
  <c r="V543" i="13" s="1"/>
  <c r="W543" i="13" s="1"/>
  <c r="AF573" i="13"/>
  <c r="V573" i="13" s="1"/>
  <c r="W573" i="13" s="1"/>
  <c r="AF749" i="13"/>
  <c r="V749" i="13" s="1"/>
  <c r="W749" i="13" s="1"/>
  <c r="AU888" i="13"/>
  <c r="AY898" i="13"/>
  <c r="AF203" i="13"/>
  <c r="V203" i="13" s="1"/>
  <c r="W203" i="13" s="1"/>
  <c r="AF259" i="13"/>
  <c r="V259" i="13" s="1"/>
  <c r="W259" i="13" s="1"/>
  <c r="AW888" i="13"/>
  <c r="AU895" i="13"/>
  <c r="AF55" i="13"/>
  <c r="V55" i="13" s="1"/>
  <c r="W55" i="13" s="1"/>
  <c r="AF67" i="13"/>
  <c r="V67" i="13" s="1"/>
  <c r="W67" i="13" s="1"/>
  <c r="AF57" i="13"/>
  <c r="V57" i="13" s="1"/>
  <c r="W57" i="13" s="1"/>
  <c r="AF125" i="13"/>
  <c r="V125" i="13" s="1"/>
  <c r="W125" i="13" s="1"/>
  <c r="AF117" i="13"/>
  <c r="V117" i="13" s="1"/>
  <c r="W117" i="13" s="1"/>
  <c r="AF109" i="13"/>
  <c r="V109" i="13" s="1"/>
  <c r="W109" i="13" s="1"/>
  <c r="AF101" i="13"/>
  <c r="V101" i="13" s="1"/>
  <c r="W101" i="13" s="1"/>
  <c r="BA907" i="13"/>
  <c r="AF431" i="13"/>
  <c r="V431" i="13" s="1"/>
  <c r="W431" i="13" s="1"/>
  <c r="AF617" i="13"/>
  <c r="V617" i="13" s="1"/>
  <c r="W617" i="13" s="1"/>
  <c r="AF755" i="13"/>
  <c r="V755" i="13" s="1"/>
  <c r="W755" i="13" s="1"/>
  <c r="K79" i="16"/>
  <c r="O79" i="16" s="1"/>
  <c r="N354" i="16"/>
  <c r="F260" i="16"/>
  <c r="E260" i="16" s="1"/>
  <c r="K40" i="16"/>
  <c r="O40" i="16" s="1"/>
  <c r="F95" i="16"/>
  <c r="E95" i="16" s="1"/>
  <c r="K21" i="16"/>
  <c r="O21" i="16" s="1"/>
  <c r="F43" i="16"/>
  <c r="E43" i="16" s="1"/>
  <c r="N293" i="16"/>
  <c r="AF343" i="13"/>
  <c r="V343" i="13" s="1"/>
  <c r="W343" i="13" s="1"/>
  <c r="AF425" i="13"/>
  <c r="V425" i="13" s="1"/>
  <c r="W425" i="13" s="1"/>
  <c r="AF539" i="13"/>
  <c r="V539" i="13" s="1"/>
  <c r="W539" i="13" s="1"/>
  <c r="AF541" i="13"/>
  <c r="V541" i="13" s="1"/>
  <c r="W541" i="13" s="1"/>
  <c r="AF311" i="13"/>
  <c r="V311" i="13" s="1"/>
  <c r="W311" i="13" s="1"/>
  <c r="AF357" i="13"/>
  <c r="V357" i="13" s="1"/>
  <c r="W357" i="13" s="1"/>
  <c r="AF495" i="13"/>
  <c r="V495" i="13" s="1"/>
  <c r="W495" i="13" s="1"/>
  <c r="AF717" i="13"/>
  <c r="V717" i="13" s="1"/>
  <c r="W717" i="13" s="1"/>
  <c r="AF18" i="13"/>
  <c r="V18" i="13" s="1"/>
  <c r="W18" i="13" s="1"/>
  <c r="AF477" i="13"/>
  <c r="V477" i="13" s="1"/>
  <c r="W477" i="13" s="1"/>
  <c r="AF623" i="13"/>
  <c r="V623" i="13" s="1"/>
  <c r="W623" i="13" s="1"/>
  <c r="F103" i="16"/>
  <c r="E103" i="16" s="1"/>
  <c r="K183" i="16"/>
  <c r="O183" i="16" s="1"/>
  <c r="F455" i="16"/>
  <c r="E455" i="16" s="1"/>
  <c r="F37" i="16"/>
  <c r="E37" i="16" s="1"/>
  <c r="F463" i="16"/>
  <c r="E463" i="16" s="1"/>
  <c r="AF103" i="13"/>
  <c r="V103" i="13" s="1"/>
  <c r="W103" i="13" s="1"/>
  <c r="AF219" i="13"/>
  <c r="V219" i="13" s="1"/>
  <c r="W219" i="13" s="1"/>
  <c r="AF333" i="13"/>
  <c r="V333" i="13" s="1"/>
  <c r="W333" i="13" s="1"/>
  <c r="AF403" i="13"/>
  <c r="V403" i="13" s="1"/>
  <c r="W403" i="13" s="1"/>
  <c r="AF517" i="13"/>
  <c r="V517" i="13" s="1"/>
  <c r="W517" i="13" s="1"/>
  <c r="AF571" i="13"/>
  <c r="V571" i="13" s="1"/>
  <c r="W571" i="13" s="1"/>
  <c r="AF625" i="13"/>
  <c r="V625" i="13" s="1"/>
  <c r="W625" i="13" s="1"/>
  <c r="AF679" i="13"/>
  <c r="V679" i="13" s="1"/>
  <c r="W679" i="13" s="1"/>
  <c r="BA493" i="13"/>
  <c r="BB493" i="13" s="1"/>
  <c r="BA125" i="13"/>
  <c r="BB125" i="13" s="1"/>
  <c r="AF263" i="13"/>
  <c r="V263" i="13" s="1"/>
  <c r="W263" i="13" s="1"/>
  <c r="AF763" i="13"/>
  <c r="V763" i="13" s="1"/>
  <c r="W763" i="13" s="1"/>
  <c r="AF81" i="13"/>
  <c r="V81" i="13" s="1"/>
  <c r="W81" i="13" s="1"/>
  <c r="AF154" i="13"/>
  <c r="V154" i="13" s="1"/>
  <c r="W154" i="13" s="1"/>
  <c r="AF254" i="13"/>
  <c r="V254" i="13" s="1"/>
  <c r="W254" i="13" s="1"/>
  <c r="AF262" i="13"/>
  <c r="V262" i="13" s="1"/>
  <c r="W262" i="13" s="1"/>
  <c r="AF330" i="13"/>
  <c r="V330" i="13" s="1"/>
  <c r="W330" i="13" s="1"/>
  <c r="AF338" i="13"/>
  <c r="V338" i="13" s="1"/>
  <c r="W338" i="13" s="1"/>
  <c r="AF354" i="13"/>
  <c r="V354" i="13" s="1"/>
  <c r="W354" i="13" s="1"/>
  <c r="AF400" i="13"/>
  <c r="V400" i="13" s="1"/>
  <c r="W400" i="13" s="1"/>
  <c r="AF446" i="13"/>
  <c r="V446" i="13" s="1"/>
  <c r="W446" i="13" s="1"/>
  <c r="AF468" i="13"/>
  <c r="V468" i="13" s="1"/>
  <c r="W468" i="13" s="1"/>
  <c r="AF538" i="13"/>
  <c r="V538" i="13" s="1"/>
  <c r="W538" i="13" s="1"/>
  <c r="AF606" i="13"/>
  <c r="V606" i="13" s="1"/>
  <c r="W606" i="13" s="1"/>
  <c r="AF652" i="13"/>
  <c r="V652" i="13" s="1"/>
  <c r="W652" i="13" s="1"/>
  <c r="AF676" i="13"/>
  <c r="V676" i="13" s="1"/>
  <c r="W676" i="13" s="1"/>
  <c r="AF726" i="13"/>
  <c r="V726" i="13" s="1"/>
  <c r="W726" i="13" s="1"/>
  <c r="AF772" i="13"/>
  <c r="V772" i="13" s="1"/>
  <c r="W772" i="13" s="1"/>
  <c r="AF852" i="13"/>
  <c r="V852" i="13" s="1"/>
  <c r="W852" i="13" s="1"/>
  <c r="AF385" i="13"/>
  <c r="V385" i="13" s="1"/>
  <c r="W385" i="13" s="1"/>
  <c r="AF70" i="13"/>
  <c r="V70" i="13" s="1"/>
  <c r="W70" i="13" s="1"/>
  <c r="AF239" i="13"/>
  <c r="V239" i="13" s="1"/>
  <c r="W239" i="13" s="1"/>
  <c r="AF569" i="13"/>
  <c r="V569" i="13" s="1"/>
  <c r="W569" i="13" s="1"/>
  <c r="AF863" i="13"/>
  <c r="V863" i="13" s="1"/>
  <c r="W863" i="13" s="1"/>
  <c r="AY913" i="13"/>
  <c r="AW895" i="13"/>
  <c r="BA912" i="13"/>
  <c r="AW914" i="13"/>
  <c r="AW894" i="13"/>
  <c r="AU904" i="13"/>
  <c r="BA401" i="13"/>
  <c r="BB401" i="13" s="1"/>
  <c r="AF471" i="13"/>
  <c r="V471" i="13" s="1"/>
  <c r="W471" i="13" s="1"/>
  <c r="AF349" i="13"/>
  <c r="V349" i="13" s="1"/>
  <c r="W349" i="13" s="1"/>
  <c r="AF441" i="13"/>
  <c r="V441" i="13" s="1"/>
  <c r="W441" i="13" s="1"/>
  <c r="AF671" i="13"/>
  <c r="V671" i="13" s="1"/>
  <c r="W671" i="13" s="1"/>
  <c r="AF709" i="13"/>
  <c r="V709" i="13" s="1"/>
  <c r="W709" i="13" s="1"/>
  <c r="AF725" i="13"/>
  <c r="V725" i="13" s="1"/>
  <c r="W725" i="13" s="1"/>
  <c r="AF855" i="13"/>
  <c r="V855" i="13" s="1"/>
  <c r="W855" i="13" s="1"/>
  <c r="AF195" i="13"/>
  <c r="V195" i="13" s="1"/>
  <c r="W195" i="13" s="1"/>
  <c r="AF561" i="13"/>
  <c r="V561" i="13" s="1"/>
  <c r="W561" i="13" s="1"/>
  <c r="AF26" i="13"/>
  <c r="V26" i="13" s="1"/>
  <c r="W26" i="13" s="1"/>
  <c r="AF100" i="13"/>
  <c r="V100" i="13" s="1"/>
  <c r="W100" i="13" s="1"/>
  <c r="AF162" i="13"/>
  <c r="V162" i="13" s="1"/>
  <c r="W162" i="13" s="1"/>
  <c r="AF346" i="13"/>
  <c r="V346" i="13" s="1"/>
  <c r="W346" i="13" s="1"/>
  <c r="AF422" i="13"/>
  <c r="V422" i="13" s="1"/>
  <c r="W422" i="13" s="1"/>
  <c r="AF438" i="13"/>
  <c r="V438" i="13" s="1"/>
  <c r="W438" i="13" s="1"/>
  <c r="AF492" i="13"/>
  <c r="V492" i="13" s="1"/>
  <c r="W492" i="13" s="1"/>
  <c r="AF530" i="13"/>
  <c r="V530" i="13" s="1"/>
  <c r="W530" i="13" s="1"/>
  <c r="AF622" i="13"/>
  <c r="V622" i="13" s="1"/>
  <c r="W622" i="13" s="1"/>
  <c r="AF630" i="13"/>
  <c r="V630" i="13" s="1"/>
  <c r="W630" i="13" s="1"/>
  <c r="AF848" i="13"/>
  <c r="V848" i="13" s="1"/>
  <c r="W848" i="13" s="1"/>
  <c r="AF864" i="13"/>
  <c r="V864" i="13" s="1"/>
  <c r="W864" i="13" s="1"/>
  <c r="AF767" i="13"/>
  <c r="V767" i="13" s="1"/>
  <c r="W767" i="13" s="1"/>
  <c r="AF217" i="13"/>
  <c r="V217" i="13" s="1"/>
  <c r="W217" i="13" s="1"/>
  <c r="AF255" i="13"/>
  <c r="V255" i="13" s="1"/>
  <c r="W255" i="13" s="1"/>
  <c r="AF856" i="13"/>
  <c r="V856" i="13" s="1"/>
  <c r="W856" i="13" s="1"/>
  <c r="AF63" i="13"/>
  <c r="V63" i="13" s="1"/>
  <c r="W63" i="13" s="1"/>
  <c r="AF201" i="13"/>
  <c r="V201" i="13" s="1"/>
  <c r="W201" i="13" s="1"/>
  <c r="AF285" i="13"/>
  <c r="V285" i="13" s="1"/>
  <c r="W285" i="13" s="1"/>
  <c r="AF355" i="13"/>
  <c r="V355" i="13" s="1"/>
  <c r="W355" i="13" s="1"/>
  <c r="AF443" i="13"/>
  <c r="V443" i="13" s="1"/>
  <c r="W443" i="13" s="1"/>
  <c r="AF485" i="13"/>
  <c r="V485" i="13" s="1"/>
  <c r="W485" i="13" s="1"/>
  <c r="AF515" i="13"/>
  <c r="V515" i="13" s="1"/>
  <c r="W515" i="13" s="1"/>
  <c r="AF535" i="13"/>
  <c r="V535" i="13" s="1"/>
  <c r="W535" i="13" s="1"/>
  <c r="AF635" i="13"/>
  <c r="V635" i="13" s="1"/>
  <c r="W635" i="13" s="1"/>
  <c r="AF723" i="13"/>
  <c r="V723" i="13" s="1"/>
  <c r="W723" i="13" s="1"/>
  <c r="AF773" i="13"/>
  <c r="V773" i="13" s="1"/>
  <c r="W773" i="13" s="1"/>
  <c r="AF815" i="13"/>
  <c r="V815" i="13" s="1"/>
  <c r="W815" i="13" s="1"/>
  <c r="AF853" i="13"/>
  <c r="V853" i="13" s="1"/>
  <c r="W853" i="13" s="1"/>
  <c r="AF331" i="13"/>
  <c r="V331" i="13" s="1"/>
  <c r="W331" i="13" s="1"/>
  <c r="AF381" i="13"/>
  <c r="V381" i="13" s="1"/>
  <c r="W381" i="13" s="1"/>
  <c r="AF759" i="13"/>
  <c r="V759" i="13" s="1"/>
  <c r="W759" i="13" s="1"/>
  <c r="AF761" i="13"/>
  <c r="V761" i="13" s="1"/>
  <c r="W761" i="13" s="1"/>
  <c r="AF789" i="13"/>
  <c r="V789" i="13" s="1"/>
  <c r="W789" i="13" s="1"/>
  <c r="AF798" i="13"/>
  <c r="V798" i="13" s="1"/>
  <c r="W798" i="13" s="1"/>
  <c r="AF835" i="13"/>
  <c r="V835" i="13" s="1"/>
  <c r="W835" i="13" s="1"/>
  <c r="AF65" i="13"/>
  <c r="V65" i="13" s="1"/>
  <c r="W65" i="13" s="1"/>
  <c r="AW911" i="13"/>
  <c r="AW909" i="13"/>
  <c r="AW896" i="13"/>
  <c r="AW891" i="13"/>
  <c r="AF167" i="13"/>
  <c r="V167" i="13" s="1"/>
  <c r="W167" i="13" s="1"/>
  <c r="AF341" i="13"/>
  <c r="V341" i="13" s="1"/>
  <c r="W341" i="13" s="1"/>
  <c r="AF423" i="13"/>
  <c r="V423" i="13" s="1"/>
  <c r="W423" i="13" s="1"/>
  <c r="AF435" i="13"/>
  <c r="V435" i="13" s="1"/>
  <c r="W435" i="13" s="1"/>
  <c r="AF809" i="13"/>
  <c r="V809" i="13" s="1"/>
  <c r="W809" i="13" s="1"/>
  <c r="AF119" i="13"/>
  <c r="V119" i="13" s="1"/>
  <c r="W119" i="13" s="1"/>
  <c r="AF297" i="13"/>
  <c r="V297" i="13" s="1"/>
  <c r="W297" i="13" s="1"/>
  <c r="AF522" i="13"/>
  <c r="V522" i="13" s="1"/>
  <c r="W522" i="13" s="1"/>
  <c r="AF581" i="13"/>
  <c r="V581" i="13" s="1"/>
  <c r="W581" i="13" s="1"/>
  <c r="AF615" i="13"/>
  <c r="V615" i="13" s="1"/>
  <c r="W615" i="13" s="1"/>
  <c r="AF560" i="13"/>
  <c r="V560" i="13" s="1"/>
  <c r="W560" i="13" s="1"/>
  <c r="AF75" i="13"/>
  <c r="V75" i="13" s="1"/>
  <c r="W75" i="13" s="1"/>
  <c r="AF25" i="13"/>
  <c r="V25" i="13" s="1"/>
  <c r="W25" i="13" s="1"/>
  <c r="AF147" i="13"/>
  <c r="V147" i="13" s="1"/>
  <c r="W147" i="13" s="1"/>
  <c r="AF211" i="13"/>
  <c r="V211" i="13" s="1"/>
  <c r="W211" i="13" s="1"/>
  <c r="AF347" i="13"/>
  <c r="V347" i="13" s="1"/>
  <c r="W347" i="13" s="1"/>
  <c r="AF427" i="13"/>
  <c r="V427" i="13" s="1"/>
  <c r="W427" i="13" s="1"/>
  <c r="AF439" i="13"/>
  <c r="V439" i="13" s="1"/>
  <c r="W439" i="13" s="1"/>
  <c r="AF479" i="13"/>
  <c r="V479" i="13" s="1"/>
  <c r="W479" i="13" s="1"/>
  <c r="AF11" i="13"/>
  <c r="V11" i="13" s="1"/>
  <c r="W11" i="13" s="1"/>
  <c r="AF28" i="13"/>
  <c r="V28" i="13" s="1"/>
  <c r="W28" i="13" s="1"/>
  <c r="AF20" i="13"/>
  <c r="V20" i="13" s="1"/>
  <c r="W20" i="13" s="1"/>
  <c r="AF56" i="13"/>
  <c r="V56" i="13" s="1"/>
  <c r="W56" i="13" s="1"/>
  <c r="AF64" i="13"/>
  <c r="V64" i="13" s="1"/>
  <c r="W64" i="13" s="1"/>
  <c r="AF72" i="13"/>
  <c r="V72" i="13" s="1"/>
  <c r="W72" i="13" s="1"/>
  <c r="AF83" i="13"/>
  <c r="V83" i="13" s="1"/>
  <c r="W83" i="13" s="1"/>
  <c r="AF79" i="13"/>
  <c r="V79" i="13" s="1"/>
  <c r="W79" i="13" s="1"/>
  <c r="AF102" i="13"/>
  <c r="V102" i="13" s="1"/>
  <c r="W102" i="13" s="1"/>
  <c r="AF114" i="13"/>
  <c r="V114" i="13" s="1"/>
  <c r="W114" i="13" s="1"/>
  <c r="AF148" i="13"/>
  <c r="V148" i="13" s="1"/>
  <c r="W148" i="13" s="1"/>
  <c r="AF156" i="13"/>
  <c r="V156" i="13" s="1"/>
  <c r="W156" i="13" s="1"/>
  <c r="AF164" i="13"/>
  <c r="V164" i="13" s="1"/>
  <c r="W164" i="13" s="1"/>
  <c r="AF172" i="13"/>
  <c r="V172" i="13" s="1"/>
  <c r="W172" i="13" s="1"/>
  <c r="AF202" i="13"/>
  <c r="V202" i="13" s="1"/>
  <c r="W202" i="13" s="1"/>
  <c r="AF210" i="13"/>
  <c r="V210" i="13" s="1"/>
  <c r="W210" i="13" s="1"/>
  <c r="AF240" i="13"/>
  <c r="V240" i="13" s="1"/>
  <c r="W240" i="13" s="1"/>
  <c r="AF248" i="13"/>
  <c r="V248" i="13" s="1"/>
  <c r="W248" i="13" s="1"/>
  <c r="AF256" i="13"/>
  <c r="V256" i="13" s="1"/>
  <c r="W256" i="13" s="1"/>
  <c r="AF264" i="13"/>
  <c r="V264" i="13" s="1"/>
  <c r="W264" i="13" s="1"/>
  <c r="AF310" i="13"/>
  <c r="V310" i="13" s="1"/>
  <c r="W310" i="13" s="1"/>
  <c r="AF356" i="13"/>
  <c r="V356" i="13" s="1"/>
  <c r="W356" i="13" s="1"/>
  <c r="AF378" i="13"/>
  <c r="V378" i="13" s="1"/>
  <c r="W378" i="13" s="1"/>
  <c r="AF386" i="13"/>
  <c r="V386" i="13" s="1"/>
  <c r="W386" i="13" s="1"/>
  <c r="AF402" i="13"/>
  <c r="V402" i="13" s="1"/>
  <c r="W402" i="13" s="1"/>
  <c r="AF424" i="13"/>
  <c r="V424" i="13" s="1"/>
  <c r="W424" i="13" s="1"/>
  <c r="AF452" i="13"/>
  <c r="V452" i="13" s="1"/>
  <c r="W452" i="13" s="1"/>
  <c r="AF494" i="13"/>
  <c r="V494" i="13" s="1"/>
  <c r="W494" i="13" s="1"/>
  <c r="AF516" i="13"/>
  <c r="V516" i="13" s="1"/>
  <c r="W516" i="13" s="1"/>
  <c r="AF524" i="13"/>
  <c r="V524" i="13" s="1"/>
  <c r="W524" i="13" s="1"/>
  <c r="AF562" i="13"/>
  <c r="V562" i="13" s="1"/>
  <c r="W562" i="13" s="1"/>
  <c r="AF570" i="13"/>
  <c r="V570" i="13" s="1"/>
  <c r="W570" i="13" s="1"/>
  <c r="AF586" i="13"/>
  <c r="V586" i="13" s="1"/>
  <c r="W586" i="13" s="1"/>
  <c r="AF608" i="13"/>
  <c r="V608" i="13" s="1"/>
  <c r="W608" i="13" s="1"/>
  <c r="AF616" i="13"/>
  <c r="V616" i="13" s="1"/>
  <c r="W616" i="13" s="1"/>
  <c r="AF624" i="13"/>
  <c r="V624" i="13" s="1"/>
  <c r="W624" i="13" s="1"/>
  <c r="AF632" i="13"/>
  <c r="V632" i="13" s="1"/>
  <c r="W632" i="13" s="1"/>
  <c r="AF662" i="13"/>
  <c r="V662" i="13" s="1"/>
  <c r="W662" i="13" s="1"/>
  <c r="AF670" i="13"/>
  <c r="V670" i="13" s="1"/>
  <c r="W670" i="13" s="1"/>
  <c r="AF678" i="13"/>
  <c r="V678" i="13" s="1"/>
  <c r="W678" i="13" s="1"/>
  <c r="AF700" i="13"/>
  <c r="V700" i="13" s="1"/>
  <c r="W700" i="13" s="1"/>
  <c r="AF708" i="13"/>
  <c r="V708" i="13" s="1"/>
  <c r="W708" i="13" s="1"/>
  <c r="AF716" i="13"/>
  <c r="V716" i="13" s="1"/>
  <c r="W716" i="13" s="1"/>
  <c r="AF724" i="13"/>
  <c r="V724" i="13" s="1"/>
  <c r="W724" i="13" s="1"/>
  <c r="AF800" i="13"/>
  <c r="V800" i="13" s="1"/>
  <c r="W800" i="13" s="1"/>
  <c r="AF808" i="13"/>
  <c r="V808" i="13" s="1"/>
  <c r="W808" i="13" s="1"/>
  <c r="AF816" i="13"/>
  <c r="V816" i="13" s="1"/>
  <c r="W816" i="13" s="1"/>
  <c r="AF854" i="13"/>
  <c r="V854" i="13" s="1"/>
  <c r="W854" i="13" s="1"/>
  <c r="AF866" i="13"/>
  <c r="V866" i="13" s="1"/>
  <c r="W866" i="13" s="1"/>
  <c r="AF61" i="13"/>
  <c r="V61" i="13" s="1"/>
  <c r="W61" i="13" s="1"/>
  <c r="AF69" i="13"/>
  <c r="V69" i="13" s="1"/>
  <c r="W69" i="13" s="1"/>
  <c r="AF215" i="13"/>
  <c r="V215" i="13" s="1"/>
  <c r="W215" i="13" s="1"/>
  <c r="AF237" i="13"/>
  <c r="V237" i="13" s="1"/>
  <c r="W237" i="13" s="1"/>
  <c r="AF375" i="13"/>
  <c r="V375" i="13" s="1"/>
  <c r="W375" i="13" s="1"/>
  <c r="AF399" i="13"/>
  <c r="V399" i="13" s="1"/>
  <c r="W399" i="13" s="1"/>
  <c r="AF559" i="13"/>
  <c r="V559" i="13" s="1"/>
  <c r="W559" i="13" s="1"/>
  <c r="AF567" i="13"/>
  <c r="V567" i="13" s="1"/>
  <c r="W567" i="13" s="1"/>
  <c r="AF575" i="13"/>
  <c r="V575" i="13" s="1"/>
  <c r="W575" i="13" s="1"/>
  <c r="AF583" i="13"/>
  <c r="V583" i="13" s="1"/>
  <c r="W583" i="13" s="1"/>
  <c r="AF613" i="13"/>
  <c r="V613" i="13" s="1"/>
  <c r="W613" i="13" s="1"/>
  <c r="AF621" i="13"/>
  <c r="V621" i="13" s="1"/>
  <c r="W621" i="13" s="1"/>
  <c r="AF629" i="13"/>
  <c r="V629" i="13" s="1"/>
  <c r="W629" i="13" s="1"/>
  <c r="AF651" i="13"/>
  <c r="V651" i="13" s="1"/>
  <c r="W651" i="13" s="1"/>
  <c r="AF675" i="13"/>
  <c r="V675" i="13" s="1"/>
  <c r="W675" i="13" s="1"/>
  <c r="AF697" i="13"/>
  <c r="V697" i="13" s="1"/>
  <c r="W697" i="13" s="1"/>
  <c r="N10" i="16"/>
  <c r="F445" i="16"/>
  <c r="E445" i="16" s="1"/>
  <c r="N394" i="16"/>
  <c r="N378" i="16"/>
  <c r="F461" i="16"/>
  <c r="E461" i="16" s="1"/>
  <c r="N24" i="16"/>
  <c r="N19" i="16"/>
  <c r="K24" i="16"/>
  <c r="O24" i="16" s="1"/>
  <c r="AF62" i="13"/>
  <c r="V62" i="13" s="1"/>
  <c r="W62" i="13" s="1"/>
  <c r="AF768" i="13"/>
  <c r="V768" i="13" s="1"/>
  <c r="W768" i="13" s="1"/>
  <c r="AD140" i="2"/>
  <c r="AF140" i="2" s="1"/>
  <c r="AD113" i="2"/>
  <c r="AF113" i="2" s="1"/>
  <c r="AF659" i="13"/>
  <c r="V659" i="13" s="1"/>
  <c r="W659" i="13" s="1"/>
  <c r="AD173" i="2"/>
  <c r="AF173" i="2" s="1"/>
  <c r="AD163" i="2"/>
  <c r="AF163" i="2" s="1"/>
  <c r="AD158" i="2"/>
  <c r="AF158" i="2" s="1"/>
  <c r="AD214" i="2"/>
  <c r="AF214" i="2" s="1"/>
  <c r="AD462" i="2"/>
  <c r="AF462" i="2" s="1"/>
  <c r="AD178" i="2"/>
  <c r="AF178" i="2" s="1"/>
  <c r="AF24" i="13"/>
  <c r="V24" i="13" s="1"/>
  <c r="W24" i="13" s="1"/>
  <c r="AF16" i="13"/>
  <c r="V16" i="13" s="1"/>
  <c r="W16" i="13" s="1"/>
  <c r="AF169" i="13"/>
  <c r="V169" i="13" s="1"/>
  <c r="W169" i="13" s="1"/>
  <c r="AF261" i="13"/>
  <c r="V261" i="13" s="1"/>
  <c r="W261" i="13" s="1"/>
  <c r="AF794" i="13"/>
  <c r="V794" i="13" s="1"/>
  <c r="W794" i="13" s="1"/>
  <c r="AD168" i="2"/>
  <c r="AF168" i="2" s="1"/>
  <c r="AF99" i="13"/>
  <c r="V99" i="13" s="1"/>
  <c r="W99" i="13" s="1"/>
  <c r="AF123" i="13"/>
  <c r="V123" i="13" s="1"/>
  <c r="W123" i="13" s="1"/>
  <c r="AF340" i="13"/>
  <c r="V340" i="13" s="1"/>
  <c r="W340" i="13" s="1"/>
  <c r="AF818" i="13"/>
  <c r="V818" i="13" s="1"/>
  <c r="W818" i="13" s="1"/>
  <c r="AF108" i="13"/>
  <c r="V108" i="13" s="1"/>
  <c r="W108" i="13" s="1"/>
  <c r="AF756" i="13"/>
  <c r="V756" i="13" s="1"/>
  <c r="W756" i="13" s="1"/>
  <c r="AF302" i="13"/>
  <c r="V302" i="13" s="1"/>
  <c r="W302" i="13" s="1"/>
  <c r="AF146" i="13"/>
  <c r="V146" i="13" s="1"/>
  <c r="W146" i="13" s="1"/>
  <c r="AF170" i="13"/>
  <c r="V170" i="13" s="1"/>
  <c r="W170" i="13" s="1"/>
  <c r="AF153" i="13"/>
  <c r="V153" i="13" s="1"/>
  <c r="W153" i="13" s="1"/>
  <c r="AF200" i="13"/>
  <c r="V200" i="13" s="1"/>
  <c r="W200" i="13" s="1"/>
  <c r="BA699" i="13"/>
  <c r="BB699" i="13" s="1"/>
  <c r="AF34" i="13"/>
  <c r="V34" i="13" s="1"/>
  <c r="W34" i="13" s="1"/>
  <c r="AF82" i="13"/>
  <c r="V82" i="13" s="1"/>
  <c r="W82" i="13" s="1"/>
  <c r="AF107" i="13"/>
  <c r="V107" i="13" s="1"/>
  <c r="W107" i="13" s="1"/>
  <c r="AF111" i="13"/>
  <c r="V111" i="13" s="1"/>
  <c r="W111" i="13" s="1"/>
  <c r="AF161" i="13"/>
  <c r="V161" i="13" s="1"/>
  <c r="W161" i="13" s="1"/>
  <c r="AF199" i="13"/>
  <c r="V199" i="13" s="1"/>
  <c r="W199" i="13" s="1"/>
  <c r="AF241" i="13"/>
  <c r="V241" i="13" s="1"/>
  <c r="W241" i="13" s="1"/>
  <c r="AF295" i="13"/>
  <c r="V295" i="13" s="1"/>
  <c r="W295" i="13" s="1"/>
  <c r="AF329" i="13"/>
  <c r="V329" i="13" s="1"/>
  <c r="W329" i="13" s="1"/>
  <c r="AF337" i="13"/>
  <c r="V337" i="13" s="1"/>
  <c r="W337" i="13" s="1"/>
  <c r="AF379" i="13"/>
  <c r="V379" i="13" s="1"/>
  <c r="W379" i="13" s="1"/>
  <c r="AF395" i="13"/>
  <c r="V395" i="13" s="1"/>
  <c r="W395" i="13" s="1"/>
  <c r="AF421" i="13"/>
  <c r="V421" i="13" s="1"/>
  <c r="W421" i="13" s="1"/>
  <c r="AF487" i="13"/>
  <c r="V487" i="13" s="1"/>
  <c r="W487" i="13" s="1"/>
  <c r="AF513" i="13"/>
  <c r="V513" i="13" s="1"/>
  <c r="W513" i="13" s="1"/>
  <c r="AF521" i="13"/>
  <c r="V521" i="13" s="1"/>
  <c r="W521" i="13" s="1"/>
  <c r="AF797" i="13"/>
  <c r="V797" i="13" s="1"/>
  <c r="W797" i="13" s="1"/>
  <c r="AF801" i="13"/>
  <c r="V801" i="13" s="1"/>
  <c r="W801" i="13" s="1"/>
  <c r="AF847" i="13"/>
  <c r="V847" i="13" s="1"/>
  <c r="W847" i="13" s="1"/>
  <c r="AD340" i="2"/>
  <c r="AF340" i="2" s="1"/>
  <c r="AF332" i="13"/>
  <c r="V332" i="13" s="1"/>
  <c r="W332" i="13" s="1"/>
  <c r="AD396" i="2"/>
  <c r="AF396" i="2" s="1"/>
  <c r="AF53" i="13"/>
  <c r="V53" i="13" s="1"/>
  <c r="W53" i="13" s="1"/>
  <c r="AF77" i="13"/>
  <c r="V77" i="13" s="1"/>
  <c r="W77" i="13" s="1"/>
  <c r="AW915" i="13"/>
  <c r="AY910" i="13"/>
  <c r="BA889" i="13"/>
  <c r="AW897" i="13"/>
  <c r="AY899" i="13"/>
  <c r="AW892" i="13"/>
  <c r="AY918" i="13"/>
  <c r="BA914" i="13"/>
  <c r="BA893" i="13"/>
  <c r="AF191" i="13"/>
  <c r="V191" i="13" s="1"/>
  <c r="W191" i="13" s="1"/>
  <c r="AF208" i="13"/>
  <c r="V208" i="13" s="1"/>
  <c r="W208" i="13" s="1"/>
  <c r="AF245" i="13"/>
  <c r="V245" i="13" s="1"/>
  <c r="W245" i="13" s="1"/>
  <c r="AF253" i="13"/>
  <c r="V253" i="13" s="1"/>
  <c r="W253" i="13" s="1"/>
  <c r="AF197" i="13"/>
  <c r="V197" i="13" s="1"/>
  <c r="W197" i="13" s="1"/>
  <c r="AF209" i="13"/>
  <c r="V209" i="13" s="1"/>
  <c r="W209" i="13" s="1"/>
  <c r="AF221" i="13"/>
  <c r="V221" i="13" s="1"/>
  <c r="W221" i="13" s="1"/>
  <c r="AF301" i="13"/>
  <c r="V301" i="13" s="1"/>
  <c r="W301" i="13" s="1"/>
  <c r="AF401" i="13"/>
  <c r="V401" i="13" s="1"/>
  <c r="W401" i="13" s="1"/>
  <c r="AF447" i="13"/>
  <c r="V447" i="13" s="1"/>
  <c r="W447" i="13" s="1"/>
  <c r="AF481" i="13"/>
  <c r="V481" i="13" s="1"/>
  <c r="W481" i="13" s="1"/>
  <c r="AF493" i="13"/>
  <c r="V493" i="13" s="1"/>
  <c r="W493" i="13" s="1"/>
  <c r="AF527" i="13"/>
  <c r="V527" i="13" s="1"/>
  <c r="W527" i="13" s="1"/>
  <c r="AF585" i="13"/>
  <c r="V585" i="13" s="1"/>
  <c r="W585" i="13" s="1"/>
  <c r="AF627" i="13"/>
  <c r="V627" i="13" s="1"/>
  <c r="W627" i="13" s="1"/>
  <c r="AF631" i="13"/>
  <c r="V631" i="13" s="1"/>
  <c r="W631" i="13" s="1"/>
  <c r="AF661" i="13"/>
  <c r="V661" i="13" s="1"/>
  <c r="W661" i="13" s="1"/>
  <c r="AF669" i="13"/>
  <c r="V669" i="13" s="1"/>
  <c r="W669" i="13" s="1"/>
  <c r="AF681" i="13"/>
  <c r="V681" i="13" s="1"/>
  <c r="W681" i="13" s="1"/>
  <c r="AF699" i="13"/>
  <c r="V699" i="13" s="1"/>
  <c r="W699" i="13" s="1"/>
  <c r="AF703" i="13"/>
  <c r="V703" i="13" s="1"/>
  <c r="W703" i="13" s="1"/>
  <c r="AF745" i="13"/>
  <c r="V745" i="13" s="1"/>
  <c r="W745" i="13" s="1"/>
  <c r="AF803" i="13"/>
  <c r="V803" i="13" s="1"/>
  <c r="W803" i="13" s="1"/>
  <c r="AF807" i="13"/>
  <c r="V807" i="13" s="1"/>
  <c r="W807" i="13" s="1"/>
  <c r="AF811" i="13"/>
  <c r="V811" i="13" s="1"/>
  <c r="W811" i="13" s="1"/>
  <c r="AF247" i="13"/>
  <c r="V247" i="13" s="1"/>
  <c r="W247" i="13" s="1"/>
  <c r="AF293" i="13"/>
  <c r="V293" i="13" s="1"/>
  <c r="W293" i="13" s="1"/>
  <c r="AF489" i="13"/>
  <c r="V489" i="13" s="1"/>
  <c r="W489" i="13" s="1"/>
  <c r="AF653" i="13"/>
  <c r="V653" i="13" s="1"/>
  <c r="W653" i="13" s="1"/>
  <c r="AF806" i="13"/>
  <c r="V806" i="13" s="1"/>
  <c r="W806" i="13" s="1"/>
  <c r="AF27" i="13"/>
  <c r="V27" i="13" s="1"/>
  <c r="W27" i="13" s="1"/>
  <c r="BA84" i="13"/>
  <c r="BB84" i="13" s="1"/>
  <c r="AF175" i="13"/>
  <c r="V175" i="13" s="1"/>
  <c r="W175" i="13" s="1"/>
  <c r="AF207" i="13"/>
  <c r="V207" i="13" s="1"/>
  <c r="W207" i="13" s="1"/>
  <c r="AF286" i="13"/>
  <c r="V286" i="13" s="1"/>
  <c r="W286" i="13" s="1"/>
  <c r="AF289" i="13"/>
  <c r="V289" i="13" s="1"/>
  <c r="W289" i="13" s="1"/>
  <c r="AF429" i="13"/>
  <c r="V429" i="13" s="1"/>
  <c r="W429" i="13" s="1"/>
  <c r="AF437" i="13"/>
  <c r="V437" i="13" s="1"/>
  <c r="W437" i="13" s="1"/>
  <c r="AF445" i="13"/>
  <c r="V445" i="13" s="1"/>
  <c r="W445" i="13" s="1"/>
  <c r="AF665" i="13"/>
  <c r="V665" i="13" s="1"/>
  <c r="W665" i="13" s="1"/>
  <c r="AF22" i="13"/>
  <c r="V22" i="13" s="1"/>
  <c r="W22" i="13" s="1"/>
  <c r="AF54" i="13"/>
  <c r="V54" i="13" s="1"/>
  <c r="W54" i="13" s="1"/>
  <c r="AF124" i="13"/>
  <c r="V124" i="13" s="1"/>
  <c r="W124" i="13" s="1"/>
  <c r="AF284" i="13"/>
  <c r="V284" i="13" s="1"/>
  <c r="W284" i="13" s="1"/>
  <c r="AF292" i="13"/>
  <c r="V292" i="13" s="1"/>
  <c r="W292" i="13" s="1"/>
  <c r="AF308" i="13"/>
  <c r="V308" i="13" s="1"/>
  <c r="W308" i="13" s="1"/>
  <c r="AF392" i="13"/>
  <c r="V392" i="13" s="1"/>
  <c r="W392" i="13" s="1"/>
  <c r="AF430" i="13"/>
  <c r="V430" i="13" s="1"/>
  <c r="W430" i="13" s="1"/>
  <c r="AF476" i="13"/>
  <c r="V476" i="13" s="1"/>
  <c r="W476" i="13" s="1"/>
  <c r="AF484" i="13"/>
  <c r="V484" i="13" s="1"/>
  <c r="W484" i="13" s="1"/>
  <c r="AF568" i="13"/>
  <c r="V568" i="13" s="1"/>
  <c r="W568" i="13" s="1"/>
  <c r="AF576" i="13"/>
  <c r="V576" i="13" s="1"/>
  <c r="W576" i="13" s="1"/>
  <c r="AF584" i="13"/>
  <c r="V584" i="13" s="1"/>
  <c r="W584" i="13" s="1"/>
  <c r="AF660" i="13"/>
  <c r="V660" i="13" s="1"/>
  <c r="W660" i="13" s="1"/>
  <c r="AF698" i="13"/>
  <c r="V698" i="13" s="1"/>
  <c r="W698" i="13" s="1"/>
  <c r="AF714" i="13"/>
  <c r="V714" i="13" s="1"/>
  <c r="W714" i="13" s="1"/>
  <c r="AF752" i="13"/>
  <c r="V752" i="13" s="1"/>
  <c r="W752" i="13" s="1"/>
  <c r="AF760" i="13"/>
  <c r="V760" i="13" s="1"/>
  <c r="W760" i="13" s="1"/>
  <c r="AF764" i="13"/>
  <c r="V764" i="13" s="1"/>
  <c r="W764" i="13" s="1"/>
  <c r="AF790" i="13"/>
  <c r="V790" i="13" s="1"/>
  <c r="W790" i="13" s="1"/>
  <c r="AF814" i="13"/>
  <c r="V814" i="13" s="1"/>
  <c r="W814" i="13" s="1"/>
  <c r="BA748" i="13"/>
  <c r="BB748" i="13" s="1"/>
  <c r="AF17" i="13"/>
  <c r="V17" i="13" s="1"/>
  <c r="W17" i="13" s="1"/>
  <c r="AF71" i="13"/>
  <c r="V71" i="13" s="1"/>
  <c r="W71" i="13" s="1"/>
  <c r="AF121" i="13"/>
  <c r="V121" i="13" s="1"/>
  <c r="W121" i="13" s="1"/>
  <c r="AF165" i="13"/>
  <c r="V165" i="13" s="1"/>
  <c r="W165" i="13" s="1"/>
  <c r="AF265" i="13"/>
  <c r="V265" i="13" s="1"/>
  <c r="W265" i="13" s="1"/>
  <c r="AF307" i="13"/>
  <c r="V307" i="13" s="1"/>
  <c r="W307" i="13" s="1"/>
  <c r="AF397" i="13"/>
  <c r="V397" i="13" s="1"/>
  <c r="W397" i="13" s="1"/>
  <c r="AF470" i="13"/>
  <c r="V470" i="13" s="1"/>
  <c r="W470" i="13" s="1"/>
  <c r="AF473" i="13"/>
  <c r="V473" i="13" s="1"/>
  <c r="W473" i="13" s="1"/>
  <c r="AF523" i="13"/>
  <c r="V523" i="13" s="1"/>
  <c r="W523" i="13" s="1"/>
  <c r="AF579" i="13"/>
  <c r="V579" i="13" s="1"/>
  <c r="W579" i="13" s="1"/>
  <c r="AF13" i="13"/>
  <c r="V13" i="13" s="1"/>
  <c r="W13" i="13" s="1"/>
  <c r="AF31" i="13"/>
  <c r="V31" i="13" s="1"/>
  <c r="W31" i="13" s="1"/>
  <c r="AF115" i="13"/>
  <c r="V115" i="13" s="1"/>
  <c r="W115" i="13" s="1"/>
  <c r="AY901" i="13"/>
  <c r="AF145" i="13"/>
  <c r="V145" i="13" s="1"/>
  <c r="W145" i="13" s="1"/>
  <c r="AF149" i="13"/>
  <c r="V149" i="13" s="1"/>
  <c r="W149" i="13" s="1"/>
  <c r="AF173" i="13"/>
  <c r="V173" i="13" s="1"/>
  <c r="W173" i="13" s="1"/>
  <c r="AF193" i="13"/>
  <c r="V193" i="13" s="1"/>
  <c r="W193" i="13" s="1"/>
  <c r="AF294" i="13"/>
  <c r="V294" i="13" s="1"/>
  <c r="W294" i="13" s="1"/>
  <c r="AF299" i="13"/>
  <c r="V299" i="13" s="1"/>
  <c r="W299" i="13" s="1"/>
  <c r="AF345" i="13"/>
  <c r="V345" i="13" s="1"/>
  <c r="W345" i="13" s="1"/>
  <c r="AF353" i="13"/>
  <c r="V353" i="13" s="1"/>
  <c r="W353" i="13" s="1"/>
  <c r="AF467" i="13"/>
  <c r="V467" i="13" s="1"/>
  <c r="W467" i="13" s="1"/>
  <c r="AF514" i="13"/>
  <c r="V514" i="13" s="1"/>
  <c r="W514" i="13" s="1"/>
  <c r="AF525" i="13"/>
  <c r="V525" i="13" s="1"/>
  <c r="W525" i="13" s="1"/>
  <c r="AF810" i="13"/>
  <c r="V810" i="13" s="1"/>
  <c r="W810" i="13" s="1"/>
  <c r="AF813" i="13"/>
  <c r="V813" i="13" s="1"/>
  <c r="W813" i="13" s="1"/>
  <c r="AF865" i="13"/>
  <c r="V865" i="13" s="1"/>
  <c r="W865" i="13" s="1"/>
  <c r="N21" i="16"/>
  <c r="F591" i="16"/>
  <c r="E591" i="16" s="1"/>
  <c r="F287" i="16"/>
  <c r="E287" i="16" s="1"/>
  <c r="AF29" i="13"/>
  <c r="V29" i="13" s="1"/>
  <c r="W29" i="13" s="1"/>
  <c r="AF21" i="13"/>
  <c r="V21" i="13" s="1"/>
  <c r="W21" i="13" s="1"/>
  <c r="AF12" i="13"/>
  <c r="V12" i="13" s="1"/>
  <c r="W12" i="13" s="1"/>
  <c r="AF60" i="13"/>
  <c r="V60" i="13" s="1"/>
  <c r="W60" i="13" s="1"/>
  <c r="AF78" i="13"/>
  <c r="V78" i="13" s="1"/>
  <c r="W78" i="13" s="1"/>
  <c r="AF122" i="13"/>
  <c r="V122" i="13" s="1"/>
  <c r="W122" i="13" s="1"/>
  <c r="AF130" i="13"/>
  <c r="V130" i="13" s="1"/>
  <c r="W130" i="13" s="1"/>
  <c r="AF152" i="13"/>
  <c r="V152" i="13" s="1"/>
  <c r="W152" i="13" s="1"/>
  <c r="AF206" i="13"/>
  <c r="V206" i="13" s="1"/>
  <c r="W206" i="13" s="1"/>
  <c r="AF222" i="13"/>
  <c r="V222" i="13" s="1"/>
  <c r="W222" i="13" s="1"/>
  <c r="AF336" i="13"/>
  <c r="V336" i="13" s="1"/>
  <c r="W336" i="13" s="1"/>
  <c r="AF382" i="13"/>
  <c r="V382" i="13" s="1"/>
  <c r="W382" i="13" s="1"/>
  <c r="AF390" i="13"/>
  <c r="V390" i="13" s="1"/>
  <c r="W390" i="13" s="1"/>
  <c r="AF444" i="13"/>
  <c r="V444" i="13" s="1"/>
  <c r="W444" i="13" s="1"/>
  <c r="AF490" i="13"/>
  <c r="V490" i="13" s="1"/>
  <c r="W490" i="13" s="1"/>
  <c r="AF574" i="13"/>
  <c r="V574" i="13" s="1"/>
  <c r="W574" i="13" s="1"/>
  <c r="AF620" i="13"/>
  <c r="V620" i="13" s="1"/>
  <c r="W620" i="13" s="1"/>
  <c r="AF628" i="13"/>
  <c r="V628" i="13" s="1"/>
  <c r="W628" i="13" s="1"/>
  <c r="AF636" i="13"/>
  <c r="V636" i="13" s="1"/>
  <c r="W636" i="13" s="1"/>
  <c r="AF682" i="13"/>
  <c r="V682" i="13" s="1"/>
  <c r="W682" i="13" s="1"/>
  <c r="AF804" i="13"/>
  <c r="V804" i="13" s="1"/>
  <c r="W804" i="13" s="1"/>
  <c r="AF812" i="13"/>
  <c r="V812" i="13" s="1"/>
  <c r="W812" i="13" s="1"/>
  <c r="AF820" i="13"/>
  <c r="V820" i="13" s="1"/>
  <c r="W820" i="13" s="1"/>
  <c r="AF858" i="13"/>
  <c r="V858" i="13" s="1"/>
  <c r="W858" i="13" s="1"/>
  <c r="N29" i="16"/>
  <c r="N423" i="16"/>
  <c r="N391" i="16"/>
  <c r="N375" i="16"/>
  <c r="AD64" i="2"/>
  <c r="AF64" i="2" s="1"/>
  <c r="AD67" i="2"/>
  <c r="AF67" i="2" s="1"/>
  <c r="BA577" i="13"/>
  <c r="BB577" i="13" s="1"/>
  <c r="AD62" i="2"/>
  <c r="AF62" i="2" s="1"/>
  <c r="AD265" i="2"/>
  <c r="AF265" i="2" s="1"/>
  <c r="AD297" i="2"/>
  <c r="AF297" i="2" s="1"/>
  <c r="AD16" i="2"/>
  <c r="AF16" i="2" s="1"/>
  <c r="AD21" i="2"/>
  <c r="AF21" i="2" s="1"/>
  <c r="AD300" i="2"/>
  <c r="AF300" i="2" s="1"/>
  <c r="AD6" i="2"/>
  <c r="AF6" i="2" s="1"/>
  <c r="AD231" i="2"/>
  <c r="AF231" i="2" s="1"/>
  <c r="AD463" i="2"/>
  <c r="AF463" i="2" s="1"/>
  <c r="AD499" i="2"/>
  <c r="AF499" i="2" s="1"/>
  <c r="AD215" i="2"/>
  <c r="AF215" i="2" s="1"/>
  <c r="AD201" i="2"/>
  <c r="AF201" i="2" s="1"/>
  <c r="AD9" i="2"/>
  <c r="AF9" i="2" s="1"/>
  <c r="AD69" i="2"/>
  <c r="AF69" i="2" s="1"/>
  <c r="AD20" i="2"/>
  <c r="AF20" i="2" s="1"/>
  <c r="AD34" i="2"/>
  <c r="AF34" i="2" s="1"/>
  <c r="AD126" i="2"/>
  <c r="AF126" i="2" s="1"/>
  <c r="AD166" i="2"/>
  <c r="AF166" i="2" s="1"/>
  <c r="AD264" i="2"/>
  <c r="AF264" i="2" s="1"/>
  <c r="AD294" i="2"/>
  <c r="AF294" i="2" s="1"/>
  <c r="AD252" i="2"/>
  <c r="AF252" i="2" s="1"/>
  <c r="AD251" i="2"/>
  <c r="AF251" i="2" s="1"/>
  <c r="AD299" i="2"/>
  <c r="AF299" i="2" s="1"/>
  <c r="AD405" i="2"/>
  <c r="AF405" i="2" s="1"/>
  <c r="AD362" i="2"/>
  <c r="AF362" i="2" s="1"/>
  <c r="AD22" i="2"/>
  <c r="AF22" i="2" s="1"/>
  <c r="AD217" i="2"/>
  <c r="AF217" i="2" s="1"/>
  <c r="AD185" i="2"/>
  <c r="AF185" i="2" s="1"/>
  <c r="AD208" i="2"/>
  <c r="AF208" i="2" s="1"/>
  <c r="AD245" i="2"/>
  <c r="AF245" i="2" s="1"/>
  <c r="AD244" i="2"/>
  <c r="AF244" i="2" s="1"/>
  <c r="AD219" i="2"/>
  <c r="AF219" i="2" s="1"/>
  <c r="AD266" i="2"/>
  <c r="AF266" i="2" s="1"/>
  <c r="AD71" i="2"/>
  <c r="AF71" i="2" s="1"/>
  <c r="AD425" i="2"/>
  <c r="AF425" i="2" s="1"/>
  <c r="AD453" i="2"/>
  <c r="AF453" i="2" s="1"/>
  <c r="AD421" i="2"/>
  <c r="AF421" i="2" s="1"/>
  <c r="AD388" i="2"/>
  <c r="AF388" i="2" s="1"/>
  <c r="AD381" i="2"/>
  <c r="AF381" i="2" s="1"/>
  <c r="AD334" i="2"/>
  <c r="AF334" i="2" s="1"/>
  <c r="AD311" i="2"/>
  <c r="AF311" i="2" s="1"/>
  <c r="AD417" i="2"/>
  <c r="AF417" i="2" s="1"/>
  <c r="AD335" i="2"/>
  <c r="AF335" i="2" s="1"/>
  <c r="AD403" i="2"/>
  <c r="AF403" i="2" s="1"/>
  <c r="AD392" i="2"/>
  <c r="AF392" i="2" s="1"/>
  <c r="AD444" i="2"/>
  <c r="AF444" i="2" s="1"/>
  <c r="AD455" i="2"/>
  <c r="AF455" i="2" s="1"/>
  <c r="AD406" i="2"/>
  <c r="AF406" i="2" s="1"/>
  <c r="AD488" i="2"/>
  <c r="AF488" i="2" s="1"/>
  <c r="AD473" i="2"/>
  <c r="AF473" i="2" s="1"/>
  <c r="AD496" i="2"/>
  <c r="AF496" i="2" s="1"/>
  <c r="AD47" i="2"/>
  <c r="AF47" i="2" s="1"/>
  <c r="AD39" i="2"/>
  <c r="AF39" i="2" s="1"/>
  <c r="AD296" i="2"/>
  <c r="AF296" i="2" s="1"/>
  <c r="AD103" i="2"/>
  <c r="AF103" i="2" s="1"/>
  <c r="AD58" i="2"/>
  <c r="AF58" i="2" s="1"/>
  <c r="AD122" i="2"/>
  <c r="AF122" i="2" s="1"/>
  <c r="AD186" i="2"/>
  <c r="AF186" i="2" s="1"/>
  <c r="AD242" i="2"/>
  <c r="AF242" i="2" s="1"/>
  <c r="AD11" i="2"/>
  <c r="AF11" i="2" s="1"/>
  <c r="AD155" i="2"/>
  <c r="AF155" i="2" s="1"/>
  <c r="AD211" i="2"/>
  <c r="AF211" i="2" s="1"/>
  <c r="AD267" i="2"/>
  <c r="AF267" i="2" s="1"/>
  <c r="AD36" i="2"/>
  <c r="AF36" i="2" s="1"/>
  <c r="AD100" i="2"/>
  <c r="AF100" i="2" s="1"/>
  <c r="AD164" i="2"/>
  <c r="AF164" i="2" s="1"/>
  <c r="AD228" i="2"/>
  <c r="AF228" i="2" s="1"/>
  <c r="AD293" i="2"/>
  <c r="AF293" i="2" s="1"/>
  <c r="AD61" i="2"/>
  <c r="AF61" i="2" s="1"/>
  <c r="AD125" i="2"/>
  <c r="AF125" i="2" s="1"/>
  <c r="AD189" i="2"/>
  <c r="AF189" i="2" s="1"/>
  <c r="AD253" i="2"/>
  <c r="AF253" i="2" s="1"/>
  <c r="AD24" i="2"/>
  <c r="AF24" i="2" s="1"/>
  <c r="AD88" i="2"/>
  <c r="AF88" i="2" s="1"/>
  <c r="AD152" i="2"/>
  <c r="AF152" i="2" s="1"/>
  <c r="AD216" i="2"/>
  <c r="AF216" i="2" s="1"/>
  <c r="AD280" i="2"/>
  <c r="AF280" i="2" s="1"/>
  <c r="AD41" i="2"/>
  <c r="AF41" i="2" s="1"/>
  <c r="AD105" i="2"/>
  <c r="AF105" i="2" s="1"/>
  <c r="AD249" i="2"/>
  <c r="AF249" i="2" s="1"/>
  <c r="AD46" i="2"/>
  <c r="AF46" i="2" s="1"/>
  <c r="AD159" i="2"/>
  <c r="AF159" i="2" s="1"/>
  <c r="AD222" i="2"/>
  <c r="AF222" i="2" s="1"/>
  <c r="AD281" i="2"/>
  <c r="AF281" i="2" s="1"/>
  <c r="AD94" i="2"/>
  <c r="AF94" i="2" s="1"/>
  <c r="AD193" i="2"/>
  <c r="AF193" i="2" s="1"/>
  <c r="AD278" i="2"/>
  <c r="AF278" i="2" s="1"/>
  <c r="AD86" i="2"/>
  <c r="AF86" i="2" s="1"/>
  <c r="AD451" i="2"/>
  <c r="AF451" i="2" s="1"/>
  <c r="AD432" i="2"/>
  <c r="AF432" i="2" s="1"/>
  <c r="AD468" i="2"/>
  <c r="AF468" i="2" s="1"/>
  <c r="AD408" i="2"/>
  <c r="AF408" i="2" s="1"/>
  <c r="AD438" i="2"/>
  <c r="AF438" i="2" s="1"/>
  <c r="AD313" i="2"/>
  <c r="AF313" i="2" s="1"/>
  <c r="AD497" i="2"/>
  <c r="AF497" i="2" s="1"/>
  <c r="AD15" i="2"/>
  <c r="AF15" i="2" s="1"/>
  <c r="AD209" i="2"/>
  <c r="AF209" i="2" s="1"/>
  <c r="AD273" i="2"/>
  <c r="AF273" i="2" s="1"/>
  <c r="AD254" i="2"/>
  <c r="AF254" i="2" s="1"/>
  <c r="AD4" i="2"/>
  <c r="AF4" i="2" s="1"/>
  <c r="AD66" i="2"/>
  <c r="AF66" i="2" s="1"/>
  <c r="AD130" i="2"/>
  <c r="AF130" i="2" s="1"/>
  <c r="AD194" i="2"/>
  <c r="AF194" i="2" s="1"/>
  <c r="AD250" i="2"/>
  <c r="AF250" i="2" s="1"/>
  <c r="AD19" i="2"/>
  <c r="AF19" i="2" s="1"/>
  <c r="AD347" i="2"/>
  <c r="AF347" i="2" s="1"/>
  <c r="AD364" i="2"/>
  <c r="AF364" i="2" s="1"/>
  <c r="AD447" i="2"/>
  <c r="AF447" i="2" s="1"/>
  <c r="AD474" i="2"/>
  <c r="AF474" i="2" s="1"/>
  <c r="AD5" i="2"/>
  <c r="AF5" i="2" s="1"/>
  <c r="AD42" i="2"/>
  <c r="AF42" i="2" s="1"/>
  <c r="AD138" i="2"/>
  <c r="AF138" i="2" s="1"/>
  <c r="AD218" i="2"/>
  <c r="AF218" i="2" s="1"/>
  <c r="AD291" i="2"/>
  <c r="AF291" i="2" s="1"/>
  <c r="AD59" i="2"/>
  <c r="AF59" i="2" s="1"/>
  <c r="AD115" i="2"/>
  <c r="AF115" i="2" s="1"/>
  <c r="AD171" i="2"/>
  <c r="AF171" i="2" s="1"/>
  <c r="AD235" i="2"/>
  <c r="AF235" i="2" s="1"/>
  <c r="AD12" i="2"/>
  <c r="AF12" i="2" s="1"/>
  <c r="AD84" i="2"/>
  <c r="AF84" i="2" s="1"/>
  <c r="AD156" i="2"/>
  <c r="AF156" i="2" s="1"/>
  <c r="AD236" i="2"/>
  <c r="AF236" i="2" s="1"/>
  <c r="AD13" i="2"/>
  <c r="AF13" i="2" s="1"/>
  <c r="AD85" i="2"/>
  <c r="AF85" i="2" s="1"/>
  <c r="AD157" i="2"/>
  <c r="AF157" i="2" s="1"/>
  <c r="AD229" i="2"/>
  <c r="AF229" i="2" s="1"/>
  <c r="AD302" i="2"/>
  <c r="AF302" i="2" s="1"/>
  <c r="AD80" i="2"/>
  <c r="AF80" i="2" s="1"/>
  <c r="AD160" i="2"/>
  <c r="AF160" i="2" s="1"/>
  <c r="AD232" i="2"/>
  <c r="AF232" i="2" s="1"/>
  <c r="AD305" i="2"/>
  <c r="AF305" i="2" s="1"/>
  <c r="AD73" i="2"/>
  <c r="AF73" i="2" s="1"/>
  <c r="AD145" i="2"/>
  <c r="AF145" i="2" s="1"/>
  <c r="AD110" i="2"/>
  <c r="AF110" i="2" s="1"/>
  <c r="AD182" i="2"/>
  <c r="AF182" i="2" s="1"/>
  <c r="AD199" i="2"/>
  <c r="AF199" i="2" s="1"/>
  <c r="AD239" i="2"/>
  <c r="AF239" i="2" s="1"/>
  <c r="AD303" i="2"/>
  <c r="AF303" i="2" s="1"/>
  <c r="AD87" i="2"/>
  <c r="AF87" i="2" s="1"/>
  <c r="AD169" i="2"/>
  <c r="AF169" i="2" s="1"/>
  <c r="AD333" i="2"/>
  <c r="AF333" i="2" s="1"/>
  <c r="AD492" i="2"/>
  <c r="AF492" i="2" s="1"/>
  <c r="AD382" i="2"/>
  <c r="AF382" i="2" s="1"/>
  <c r="AD369" i="2"/>
  <c r="AF369" i="2" s="1"/>
  <c r="AD384" i="2"/>
  <c r="AF384" i="2" s="1"/>
  <c r="AD161" i="2"/>
  <c r="AF161" i="2" s="1"/>
  <c r="AD111" i="2"/>
  <c r="AF111" i="2" s="1"/>
  <c r="AD270" i="2"/>
  <c r="AF270" i="2" s="1"/>
  <c r="AD3" i="2"/>
  <c r="AF3" i="2" s="1"/>
  <c r="AD82" i="2"/>
  <c r="AF82" i="2" s="1"/>
  <c r="AD162" i="2"/>
  <c r="AF162" i="2" s="1"/>
  <c r="AD27" i="2"/>
  <c r="AF27" i="2" s="1"/>
  <c r="AD83" i="2"/>
  <c r="AF83" i="2" s="1"/>
  <c r="AD131" i="2"/>
  <c r="AF131" i="2" s="1"/>
  <c r="AD195" i="2"/>
  <c r="AF195" i="2" s="1"/>
  <c r="AD259" i="2"/>
  <c r="AF259" i="2" s="1"/>
  <c r="AD44" i="2"/>
  <c r="AF44" i="2" s="1"/>
  <c r="AD116" i="2"/>
  <c r="AF116" i="2" s="1"/>
  <c r="AD188" i="2"/>
  <c r="AF188" i="2" s="1"/>
  <c r="AD260" i="2"/>
  <c r="AF260" i="2" s="1"/>
  <c r="AD37" i="2"/>
  <c r="AF37" i="2" s="1"/>
  <c r="AD109" i="2"/>
  <c r="AF109" i="2" s="1"/>
  <c r="AD181" i="2"/>
  <c r="AF181" i="2" s="1"/>
  <c r="AD261" i="2"/>
  <c r="AF261" i="2" s="1"/>
  <c r="AD40" i="2"/>
  <c r="AF40" i="2" s="1"/>
  <c r="AD112" i="2"/>
  <c r="AF112" i="2" s="1"/>
  <c r="AD184" i="2"/>
  <c r="AF184" i="2" s="1"/>
  <c r="AD256" i="2"/>
  <c r="AF256" i="2" s="1"/>
  <c r="AD25" i="2"/>
  <c r="AF25" i="2" s="1"/>
  <c r="AD97" i="2"/>
  <c r="AF97" i="2" s="1"/>
  <c r="AD230" i="2"/>
  <c r="AF230" i="2" s="1"/>
  <c r="AD288" i="2"/>
  <c r="AF288" i="2" s="1"/>
  <c r="AD70" i="2"/>
  <c r="AF70" i="2" s="1"/>
  <c r="AD127" i="2"/>
  <c r="AF127" i="2" s="1"/>
  <c r="AD175" i="2"/>
  <c r="AF175" i="2" s="1"/>
  <c r="AD238" i="2"/>
  <c r="AF238" i="2" s="1"/>
  <c r="AD298" i="2"/>
  <c r="AF298" i="2" s="1"/>
  <c r="AD54" i="2"/>
  <c r="AF54" i="2" s="1"/>
  <c r="AD493" i="2"/>
  <c r="AF493" i="2" s="1"/>
  <c r="AD317" i="2"/>
  <c r="AF317" i="2" s="1"/>
  <c r="AD390" i="2"/>
  <c r="AF390" i="2" s="1"/>
  <c r="AD393" i="2"/>
  <c r="AF393" i="2" s="1"/>
  <c r="AD183" i="2"/>
  <c r="AF183" i="2" s="1"/>
  <c r="AD10" i="2"/>
  <c r="AF10" i="2" s="1"/>
  <c r="AD90" i="2"/>
  <c r="AF90" i="2" s="1"/>
  <c r="AD170" i="2"/>
  <c r="AF170" i="2" s="1"/>
  <c r="AD258" i="2"/>
  <c r="AF258" i="2" s="1"/>
  <c r="AD91" i="2"/>
  <c r="AF91" i="2" s="1"/>
  <c r="AD139" i="2"/>
  <c r="AF139" i="2" s="1"/>
  <c r="AD203" i="2"/>
  <c r="AF203" i="2" s="1"/>
  <c r="AD275" i="2"/>
  <c r="AF275" i="2" s="1"/>
  <c r="AD52" i="2"/>
  <c r="AF52" i="2" s="1"/>
  <c r="AD124" i="2"/>
  <c r="AF124" i="2" s="1"/>
  <c r="AD196" i="2"/>
  <c r="AF196" i="2" s="1"/>
  <c r="AD268" i="2"/>
  <c r="AF268" i="2" s="1"/>
  <c r="AD45" i="2"/>
  <c r="AF45" i="2" s="1"/>
  <c r="AD117" i="2"/>
  <c r="AF117" i="2" s="1"/>
  <c r="AD197" i="2"/>
  <c r="AF197" i="2" s="1"/>
  <c r="AD269" i="2"/>
  <c r="AF269" i="2" s="1"/>
  <c r="AD471" i="2"/>
  <c r="AF471" i="2" s="1"/>
  <c r="AD480" i="2"/>
  <c r="AF480" i="2" s="1"/>
  <c r="AD465" i="2"/>
  <c r="AF465" i="2" s="1"/>
  <c r="AD206" i="2"/>
  <c r="AF206" i="2" s="1"/>
  <c r="AD18" i="2"/>
  <c r="AF18" i="2" s="1"/>
  <c r="AD146" i="2"/>
  <c r="AF146" i="2" s="1"/>
  <c r="AD274" i="2"/>
  <c r="AF274" i="2" s="1"/>
  <c r="AD75" i="2"/>
  <c r="AF75" i="2" s="1"/>
  <c r="AD284" i="2"/>
  <c r="AF284" i="2" s="1"/>
  <c r="AD92" i="2"/>
  <c r="AF92" i="2" s="1"/>
  <c r="AD212" i="2"/>
  <c r="AF212" i="2" s="1"/>
  <c r="AD29" i="2"/>
  <c r="AF29" i="2" s="1"/>
  <c r="AD149" i="2"/>
  <c r="AF149" i="2" s="1"/>
  <c r="AD277" i="2"/>
  <c r="AF277" i="2" s="1"/>
  <c r="AD72" i="2"/>
  <c r="AF72" i="2" s="1"/>
  <c r="AD176" i="2"/>
  <c r="AF176" i="2" s="1"/>
  <c r="AD272" i="2"/>
  <c r="AF272" i="2" s="1"/>
  <c r="AD65" i="2"/>
  <c r="AF65" i="2" s="1"/>
  <c r="AD271" i="2"/>
  <c r="AF271" i="2" s="1"/>
  <c r="AD246" i="2"/>
  <c r="AF246" i="2" s="1"/>
  <c r="AD241" i="2"/>
  <c r="AF241" i="2" s="1"/>
  <c r="AD198" i="2"/>
  <c r="AF198" i="2" s="1"/>
  <c r="AD174" i="2"/>
  <c r="AF174" i="2" s="1"/>
  <c r="AD191" i="2"/>
  <c r="AF191" i="2" s="1"/>
  <c r="AD316" i="2"/>
  <c r="AF316" i="2" s="1"/>
  <c r="AD326" i="2"/>
  <c r="AF326" i="2" s="1"/>
  <c r="AD458" i="2"/>
  <c r="AF458" i="2" s="1"/>
  <c r="AD304" i="2"/>
  <c r="AF304" i="2" s="1"/>
  <c r="AD190" i="2"/>
  <c r="AF190" i="2" s="1"/>
  <c r="AD26" i="2"/>
  <c r="AF26" i="2" s="1"/>
  <c r="AD154" i="2"/>
  <c r="AF154" i="2" s="1"/>
  <c r="AD282" i="2"/>
  <c r="AF282" i="2" s="1"/>
  <c r="AD179" i="2"/>
  <c r="AF179" i="2" s="1"/>
  <c r="AD292" i="2"/>
  <c r="AF292" i="2" s="1"/>
  <c r="AD108" i="2"/>
  <c r="AF108" i="2" s="1"/>
  <c r="AD220" i="2"/>
  <c r="AF220" i="2" s="1"/>
  <c r="AD53" i="2"/>
  <c r="AF53" i="2" s="1"/>
  <c r="AD165" i="2"/>
  <c r="AF165" i="2" s="1"/>
  <c r="AD286" i="2"/>
  <c r="AF286" i="2" s="1"/>
  <c r="AD96" i="2"/>
  <c r="AF96" i="2" s="1"/>
  <c r="AD192" i="2"/>
  <c r="AF192" i="2" s="1"/>
  <c r="AD289" i="2"/>
  <c r="AF289" i="2" s="1"/>
  <c r="AD81" i="2"/>
  <c r="AF81" i="2" s="1"/>
  <c r="AD207" i="2"/>
  <c r="AF207" i="2" s="1"/>
  <c r="AD223" i="2"/>
  <c r="AF223" i="2" s="1"/>
  <c r="AD177" i="2"/>
  <c r="AF177" i="2" s="1"/>
  <c r="AD153" i="2"/>
  <c r="AF153" i="2" s="1"/>
  <c r="AD151" i="2"/>
  <c r="AF151" i="2" s="1"/>
  <c r="AD150" i="2"/>
  <c r="AF150" i="2" s="1"/>
  <c r="AD402" i="2"/>
  <c r="AF402" i="2" s="1"/>
  <c r="AD436" i="2"/>
  <c r="AF436" i="2" s="1"/>
  <c r="AD486" i="2"/>
  <c r="AF486" i="2" s="1"/>
  <c r="AD7" i="2"/>
  <c r="AF7" i="2" s="1"/>
  <c r="AD167" i="2"/>
  <c r="AF167" i="2" s="1"/>
  <c r="AD74" i="2"/>
  <c r="AF74" i="2" s="1"/>
  <c r="AD210" i="2"/>
  <c r="AF210" i="2" s="1"/>
  <c r="AD35" i="2"/>
  <c r="AF35" i="2" s="1"/>
  <c r="AD123" i="2"/>
  <c r="AF123" i="2" s="1"/>
  <c r="AD227" i="2"/>
  <c r="AF227" i="2" s="1"/>
  <c r="AD28" i="2"/>
  <c r="AF28" i="2" s="1"/>
  <c r="AD148" i="2"/>
  <c r="AF148" i="2" s="1"/>
  <c r="AD276" i="2"/>
  <c r="AF276" i="2" s="1"/>
  <c r="AD93" i="2"/>
  <c r="AF93" i="2" s="1"/>
  <c r="AD213" i="2"/>
  <c r="AF213" i="2" s="1"/>
  <c r="AD32" i="2"/>
  <c r="AF32" i="2" s="1"/>
  <c r="AD128" i="2"/>
  <c r="AF128" i="2" s="1"/>
  <c r="AD224" i="2"/>
  <c r="AF224" i="2" s="1"/>
  <c r="AD17" i="2"/>
  <c r="AF17" i="2" s="1"/>
  <c r="AD121" i="2"/>
  <c r="AF121" i="2" s="1"/>
  <c r="AD142" i="2"/>
  <c r="AF142" i="2" s="1"/>
  <c r="AD102" i="2"/>
  <c r="AF102" i="2" s="1"/>
  <c r="AD63" i="2"/>
  <c r="AF63" i="2" s="1"/>
  <c r="AD30" i="2"/>
  <c r="AF30" i="2" s="1"/>
  <c r="AD23" i="2"/>
  <c r="AF23" i="2" s="1"/>
  <c r="AD472" i="2"/>
  <c r="AF472" i="2" s="1"/>
  <c r="AD365" i="2"/>
  <c r="AF365" i="2" s="1"/>
  <c r="AD8" i="2"/>
  <c r="AF8" i="2" s="1"/>
  <c r="AD98" i="2"/>
  <c r="AF98" i="2" s="1"/>
  <c r="AD226" i="2"/>
  <c r="AF226" i="2" s="1"/>
  <c r="AD43" i="2"/>
  <c r="AF43" i="2" s="1"/>
  <c r="AD60" i="2"/>
  <c r="AF60" i="2" s="1"/>
  <c r="AD172" i="2"/>
  <c r="AF172" i="2" s="1"/>
  <c r="AD285" i="2"/>
  <c r="AF285" i="2" s="1"/>
  <c r="AD101" i="2"/>
  <c r="AF101" i="2" s="1"/>
  <c r="AD221" i="2"/>
  <c r="AF221" i="2" s="1"/>
  <c r="AD48" i="2"/>
  <c r="AF48" i="2" s="1"/>
  <c r="AD136" i="2"/>
  <c r="AF136" i="2" s="1"/>
  <c r="AD240" i="2"/>
  <c r="AF240" i="2" s="1"/>
  <c r="AD33" i="2"/>
  <c r="AF33" i="2" s="1"/>
  <c r="AD129" i="2"/>
  <c r="AF129" i="2" s="1"/>
  <c r="AD78" i="2"/>
  <c r="AF78" i="2" s="1"/>
  <c r="AD38" i="2"/>
  <c r="AF38" i="2" s="1"/>
  <c r="AD31" i="2"/>
  <c r="AF31" i="2" s="1"/>
  <c r="AD279" i="2"/>
  <c r="AF279" i="2" s="1"/>
  <c r="AD255" i="2"/>
  <c r="AF255" i="2" s="1"/>
  <c r="AD475" i="2"/>
  <c r="AF475" i="2" s="1"/>
  <c r="AD437" i="2"/>
  <c r="AF437" i="2" s="1"/>
  <c r="AD361" i="2"/>
  <c r="AF361" i="2" s="1"/>
  <c r="AD143" i="2"/>
  <c r="AF143" i="2" s="1"/>
  <c r="AD247" i="2"/>
  <c r="AF247" i="2" s="1"/>
  <c r="AD290" i="2"/>
  <c r="AF290" i="2" s="1"/>
  <c r="AD106" i="2"/>
  <c r="AF106" i="2" s="1"/>
  <c r="AD234" i="2"/>
  <c r="AF234" i="2" s="1"/>
  <c r="AD51" i="2"/>
  <c r="AF51" i="2" s="1"/>
  <c r="AD147" i="2"/>
  <c r="AF147" i="2" s="1"/>
  <c r="AD243" i="2"/>
  <c r="AF243" i="2" s="1"/>
  <c r="AD68" i="2"/>
  <c r="AF68" i="2" s="1"/>
  <c r="AD180" i="2"/>
  <c r="AF180" i="2" s="1"/>
  <c r="AD301" i="2"/>
  <c r="AF301" i="2" s="1"/>
  <c r="AD133" i="2"/>
  <c r="AF133" i="2" s="1"/>
  <c r="AD237" i="2"/>
  <c r="AF237" i="2" s="1"/>
  <c r="AD56" i="2"/>
  <c r="AF56" i="2" s="1"/>
  <c r="AD144" i="2"/>
  <c r="AF144" i="2" s="1"/>
  <c r="AD248" i="2"/>
  <c r="AF248" i="2" s="1"/>
  <c r="AD49" i="2"/>
  <c r="AF49" i="2" s="1"/>
  <c r="AD137" i="2"/>
  <c r="AF137" i="2" s="1"/>
  <c r="AD14" i="2"/>
  <c r="AF14" i="2" s="1"/>
  <c r="AD287" i="2"/>
  <c r="AF287" i="2" s="1"/>
  <c r="AD262" i="2"/>
  <c r="AF262" i="2" s="1"/>
  <c r="AD257" i="2"/>
  <c r="AF257" i="2" s="1"/>
  <c r="AD233" i="2"/>
  <c r="AF233" i="2" s="1"/>
  <c r="AD118" i="2"/>
  <c r="AF118" i="2" s="1"/>
  <c r="AD95" i="2"/>
  <c r="AF95" i="2" s="1"/>
  <c r="AD295" i="2"/>
  <c r="AF295" i="2" s="1"/>
  <c r="AD200" i="2"/>
  <c r="AF200" i="2" s="1"/>
  <c r="AD205" i="2"/>
  <c r="AF205" i="2" s="1"/>
  <c r="AD204" i="2"/>
  <c r="AF204" i="2" s="1"/>
  <c r="AD187" i="2"/>
  <c r="AF187" i="2" s="1"/>
  <c r="AD202" i="2"/>
  <c r="AF202" i="2" s="1"/>
  <c r="AD79" i="2"/>
  <c r="AF79" i="2" s="1"/>
  <c r="AD478" i="2"/>
  <c r="AF478" i="2" s="1"/>
  <c r="AD55" i="2"/>
  <c r="AF55" i="2" s="1"/>
  <c r="AD263" i="2"/>
  <c r="AF263" i="2" s="1"/>
  <c r="AD89" i="2"/>
  <c r="AF89" i="2" s="1"/>
  <c r="AD120" i="2"/>
  <c r="AF120" i="2" s="1"/>
  <c r="AD141" i="2"/>
  <c r="AF141" i="2" s="1"/>
  <c r="AD132" i="2"/>
  <c r="AF132" i="2" s="1"/>
  <c r="AD107" i="2"/>
  <c r="AF107" i="2" s="1"/>
  <c r="AD114" i="2"/>
  <c r="AF114" i="2" s="1"/>
  <c r="AD135" i="2"/>
  <c r="AF135" i="2" s="1"/>
  <c r="AD359" i="2"/>
  <c r="AF359" i="2" s="1"/>
  <c r="AF750" i="13"/>
  <c r="V750" i="13" s="1"/>
  <c r="W750" i="13" s="1"/>
  <c r="AD119" i="2"/>
  <c r="AF119" i="2" s="1"/>
  <c r="AD134" i="2"/>
  <c r="AF134" i="2" s="1"/>
  <c r="AD57" i="2"/>
  <c r="AF57" i="2" s="1"/>
  <c r="AD104" i="2"/>
  <c r="AF104" i="2" s="1"/>
  <c r="AD77" i="2"/>
  <c r="AF77" i="2" s="1"/>
  <c r="AD76" i="2"/>
  <c r="AF76" i="2" s="1"/>
  <c r="AD99" i="2"/>
  <c r="AF99" i="2" s="1"/>
  <c r="AD50" i="2"/>
  <c r="AF50" i="2" s="1"/>
  <c r="AD225" i="2"/>
  <c r="AF225" i="2" s="1"/>
  <c r="BA618" i="13"/>
  <c r="BB618" i="13" s="1"/>
  <c r="AF106" i="13"/>
  <c r="V106" i="13" s="1"/>
  <c r="W106" i="13" s="1"/>
  <c r="AF268" i="13"/>
  <c r="V268" i="13" s="1"/>
  <c r="W268" i="13" s="1"/>
  <c r="BA769" i="13"/>
  <c r="BB769" i="13" s="1"/>
  <c r="BA653" i="13"/>
  <c r="BB653" i="13" s="1"/>
  <c r="AF252" i="13"/>
  <c r="V252" i="13" s="1"/>
  <c r="W252" i="13" s="1"/>
  <c r="AF160" i="13"/>
  <c r="V160" i="13" s="1"/>
  <c r="W160" i="13" s="1"/>
  <c r="AF260" i="13"/>
  <c r="V260" i="13" s="1"/>
  <c r="W260" i="13" s="1"/>
  <c r="AF344" i="13"/>
  <c r="V344" i="13" s="1"/>
  <c r="W344" i="13" s="1"/>
  <c r="AF30" i="13"/>
  <c r="V30" i="13" s="1"/>
  <c r="W30" i="13" s="1"/>
  <c r="AF116" i="13"/>
  <c r="V116" i="13" s="1"/>
  <c r="W116" i="13" s="1"/>
  <c r="AF216" i="13"/>
  <c r="V216" i="13" s="1"/>
  <c r="W216" i="13" s="1"/>
  <c r="AF238" i="13"/>
  <c r="V238" i="13" s="1"/>
  <c r="W238" i="13" s="1"/>
  <c r="AF300" i="13"/>
  <c r="V300" i="13" s="1"/>
  <c r="W300" i="13" s="1"/>
  <c r="AF384" i="13"/>
  <c r="V384" i="13" s="1"/>
  <c r="W384" i="13" s="1"/>
  <c r="AF668" i="13"/>
  <c r="V668" i="13" s="1"/>
  <c r="W668" i="13" s="1"/>
  <c r="AF718" i="13"/>
  <c r="V718" i="13" s="1"/>
  <c r="W718" i="13" s="1"/>
  <c r="AF840" i="13"/>
  <c r="V840" i="13" s="1"/>
  <c r="W840" i="13" s="1"/>
  <c r="AF844" i="13"/>
  <c r="V844" i="13" s="1"/>
  <c r="W844" i="13" s="1"/>
  <c r="AF520" i="13"/>
  <c r="V520" i="13" s="1"/>
  <c r="W520" i="13" s="1"/>
  <c r="AF23" i="13"/>
  <c r="V23" i="13" s="1"/>
  <c r="W23" i="13" s="1"/>
  <c r="AF15" i="13"/>
  <c r="V15" i="13" s="1"/>
  <c r="W15" i="13" s="1"/>
  <c r="AF168" i="13"/>
  <c r="V168" i="13" s="1"/>
  <c r="W168" i="13" s="1"/>
  <c r="AF214" i="13"/>
  <c r="V214" i="13" s="1"/>
  <c r="W214" i="13" s="1"/>
  <c r="AF32" i="13"/>
  <c r="V32" i="13" s="1"/>
  <c r="W32" i="13" s="1"/>
  <c r="AF68" i="13"/>
  <c r="V68" i="13" s="1"/>
  <c r="W68" i="13" s="1"/>
  <c r="AF76" i="13"/>
  <c r="V76" i="13" s="1"/>
  <c r="W76" i="13" s="1"/>
  <c r="AF110" i="13"/>
  <c r="V110" i="13" s="1"/>
  <c r="W110" i="13" s="1"/>
  <c r="AF218" i="13"/>
  <c r="V218" i="13" s="1"/>
  <c r="W218" i="13" s="1"/>
  <c r="AF298" i="13"/>
  <c r="V298" i="13" s="1"/>
  <c r="W298" i="13" s="1"/>
  <c r="AF306" i="13"/>
  <c r="V306" i="13" s="1"/>
  <c r="W306" i="13" s="1"/>
  <c r="AF314" i="13"/>
  <c r="V314" i="13" s="1"/>
  <c r="W314" i="13" s="1"/>
  <c r="AF428" i="13"/>
  <c r="V428" i="13" s="1"/>
  <c r="W428" i="13" s="1"/>
  <c r="AF432" i="13"/>
  <c r="V432" i="13" s="1"/>
  <c r="W432" i="13" s="1"/>
  <c r="AF440" i="13"/>
  <c r="V440" i="13" s="1"/>
  <c r="W440" i="13" s="1"/>
  <c r="AF448" i="13"/>
  <c r="V448" i="13" s="1"/>
  <c r="W448" i="13" s="1"/>
  <c r="AF478" i="13"/>
  <c r="V478" i="13" s="1"/>
  <c r="W478" i="13" s="1"/>
  <c r="AF528" i="13"/>
  <c r="V528" i="13" s="1"/>
  <c r="W528" i="13" s="1"/>
  <c r="AF536" i="13"/>
  <c r="V536" i="13" s="1"/>
  <c r="W536" i="13" s="1"/>
  <c r="AF544" i="13"/>
  <c r="V544" i="13" s="1"/>
  <c r="W544" i="13" s="1"/>
  <c r="AF566" i="13"/>
  <c r="V566" i="13" s="1"/>
  <c r="W566" i="13" s="1"/>
  <c r="AF578" i="13"/>
  <c r="V578" i="13" s="1"/>
  <c r="W578" i="13" s="1"/>
  <c r="AF704" i="13"/>
  <c r="V704" i="13" s="1"/>
  <c r="W704" i="13" s="1"/>
  <c r="AF720" i="13"/>
  <c r="V720" i="13" s="1"/>
  <c r="W720" i="13" s="1"/>
  <c r="AF728" i="13"/>
  <c r="V728" i="13" s="1"/>
  <c r="W728" i="13" s="1"/>
  <c r="AF758" i="13"/>
  <c r="V758" i="13" s="1"/>
  <c r="W758" i="13" s="1"/>
  <c r="AF770" i="13"/>
  <c r="V770" i="13" s="1"/>
  <c r="W770" i="13" s="1"/>
  <c r="AF796" i="13"/>
  <c r="V796" i="13" s="1"/>
  <c r="W796" i="13" s="1"/>
  <c r="AF862" i="13"/>
  <c r="V862" i="13" s="1"/>
  <c r="W862" i="13" s="1"/>
  <c r="AW900" i="13"/>
  <c r="AU910" i="13"/>
  <c r="AF113" i="13"/>
  <c r="V113" i="13" s="1"/>
  <c r="W113" i="13" s="1"/>
  <c r="AF105" i="13"/>
  <c r="V105" i="13" s="1"/>
  <c r="W105" i="13" s="1"/>
  <c r="AF194" i="13"/>
  <c r="V194" i="13" s="1"/>
  <c r="W194" i="13" s="1"/>
  <c r="AF309" i="13"/>
  <c r="V309" i="13" s="1"/>
  <c r="W309" i="13" s="1"/>
  <c r="AF469" i="13"/>
  <c r="V469" i="13" s="1"/>
  <c r="W469" i="13" s="1"/>
  <c r="AF540" i="13"/>
  <c r="V540" i="13" s="1"/>
  <c r="W540" i="13" s="1"/>
  <c r="AF565" i="13"/>
  <c r="V565" i="13" s="1"/>
  <c r="W565" i="13" s="1"/>
  <c r="AY892" i="13"/>
  <c r="BA899" i="13"/>
  <c r="AW902" i="13"/>
  <c r="BA903" i="13"/>
  <c r="BA902" i="13"/>
  <c r="AF198" i="13"/>
  <c r="V198" i="13" s="1"/>
  <c r="W198" i="13" s="1"/>
  <c r="AF352" i="13"/>
  <c r="V352" i="13" s="1"/>
  <c r="W352" i="13" s="1"/>
  <c r="AF719" i="13"/>
  <c r="V719" i="13" s="1"/>
  <c r="W719" i="13" s="1"/>
  <c r="AU899" i="13"/>
  <c r="AY893" i="13"/>
  <c r="AF394" i="13"/>
  <c r="V394" i="13" s="1"/>
  <c r="W394" i="13" s="1"/>
  <c r="AF619" i="13"/>
  <c r="V619" i="13" s="1"/>
  <c r="W619" i="13" s="1"/>
  <c r="AF715" i="13"/>
  <c r="V715" i="13" s="1"/>
  <c r="W715" i="13" s="1"/>
  <c r="AF753" i="13"/>
  <c r="V753" i="13" s="1"/>
  <c r="W753" i="13" s="1"/>
  <c r="AF837" i="13"/>
  <c r="V837" i="13" s="1"/>
  <c r="W837" i="13" s="1"/>
  <c r="AF582" i="13"/>
  <c r="V582" i="13" s="1"/>
  <c r="W582" i="13" s="1"/>
  <c r="AF607" i="13"/>
  <c r="V607" i="13" s="1"/>
  <c r="W607" i="13" s="1"/>
  <c r="AF845" i="13"/>
  <c r="V845" i="13" s="1"/>
  <c r="W845" i="13" s="1"/>
  <c r="AF398" i="13"/>
  <c r="V398" i="13" s="1"/>
  <c r="W398" i="13" s="1"/>
  <c r="AF486" i="13"/>
  <c r="V486" i="13" s="1"/>
  <c r="W486" i="13" s="1"/>
  <c r="AF605" i="13"/>
  <c r="V605" i="13" s="1"/>
  <c r="W605" i="13" s="1"/>
  <c r="AF667" i="13"/>
  <c r="V667" i="13" s="1"/>
  <c r="W667" i="13" s="1"/>
  <c r="AF348" i="13"/>
  <c r="V348" i="13" s="1"/>
  <c r="W348" i="13" s="1"/>
  <c r="AF393" i="13"/>
  <c r="V393" i="13" s="1"/>
  <c r="W393" i="13" s="1"/>
  <c r="AF474" i="13"/>
  <c r="V474" i="13" s="1"/>
  <c r="W474" i="13" s="1"/>
  <c r="AF531" i="13"/>
  <c r="V531" i="13" s="1"/>
  <c r="W531" i="13" s="1"/>
  <c r="AF673" i="13"/>
  <c r="V673" i="13" s="1"/>
  <c r="W673" i="13" s="1"/>
  <c r="AF849" i="13"/>
  <c r="V849" i="13" s="1"/>
  <c r="W849" i="13" s="1"/>
  <c r="AF126" i="13"/>
  <c r="V126" i="13" s="1"/>
  <c r="W126" i="13" s="1"/>
  <c r="AF118" i="13"/>
  <c r="V118" i="13" s="1"/>
  <c r="W118" i="13" s="1"/>
  <c r="AF155" i="13"/>
  <c r="V155" i="13" s="1"/>
  <c r="W155" i="13" s="1"/>
  <c r="AF163" i="13"/>
  <c r="V163" i="13" s="1"/>
  <c r="W163" i="13" s="1"/>
  <c r="AF244" i="13"/>
  <c r="V244" i="13" s="1"/>
  <c r="W244" i="13" s="1"/>
  <c r="AF339" i="13"/>
  <c r="V339" i="13" s="1"/>
  <c r="W339" i="13" s="1"/>
  <c r="AF377" i="13"/>
  <c r="V377" i="13" s="1"/>
  <c r="W377" i="13" s="1"/>
  <c r="AF532" i="13"/>
  <c r="V532" i="13" s="1"/>
  <c r="W532" i="13" s="1"/>
  <c r="AF705" i="13"/>
  <c r="V705" i="13" s="1"/>
  <c r="W705" i="13" s="1"/>
  <c r="K519" i="16"/>
  <c r="O519" i="16" s="1"/>
  <c r="F35" i="16"/>
  <c r="E35" i="16" s="1"/>
  <c r="K53" i="16"/>
  <c r="O53" i="16" s="1"/>
  <c r="K143" i="16"/>
  <c r="O143" i="16" s="1"/>
  <c r="N570" i="16"/>
  <c r="N335" i="16"/>
  <c r="N303" i="16"/>
  <c r="AU890" i="13"/>
  <c r="AW907" i="13"/>
  <c r="BA892" i="13"/>
  <c r="BA897" i="13"/>
  <c r="BA900" i="13"/>
  <c r="AW916" i="13"/>
  <c r="BA911" i="13"/>
  <c r="AW917" i="13"/>
  <c r="AY895" i="13"/>
  <c r="AU901" i="13"/>
  <c r="AY889" i="13"/>
  <c r="AU903" i="13"/>
  <c r="AY906" i="13"/>
  <c r="AD330" i="2"/>
  <c r="AF330" i="2" s="1"/>
  <c r="AD370" i="2"/>
  <c r="AF370" i="2" s="1"/>
  <c r="AD450" i="2"/>
  <c r="AF450" i="2" s="1"/>
  <c r="AD431" i="2"/>
  <c r="AF431" i="2" s="1"/>
  <c r="AD307" i="2"/>
  <c r="AF307" i="2" s="1"/>
  <c r="AD355" i="2"/>
  <c r="AF355" i="2" s="1"/>
  <c r="AD411" i="2"/>
  <c r="AF411" i="2" s="1"/>
  <c r="AD459" i="2"/>
  <c r="AF459" i="2" s="1"/>
  <c r="AD445" i="2"/>
  <c r="AF445" i="2" s="1"/>
  <c r="AD324" i="2"/>
  <c r="AF324" i="2" s="1"/>
  <c r="AD372" i="2"/>
  <c r="AF372" i="2" s="1"/>
  <c r="AD412" i="2"/>
  <c r="AF412" i="2" s="1"/>
  <c r="AD461" i="2"/>
  <c r="AF461" i="2" s="1"/>
  <c r="AD503" i="2"/>
  <c r="AF503" i="2" s="1"/>
  <c r="AD424" i="2"/>
  <c r="AF424" i="2" s="1"/>
  <c r="AD358" i="2"/>
  <c r="AF358" i="2" s="1"/>
  <c r="AD414" i="2"/>
  <c r="AF414" i="2" s="1"/>
  <c r="AD376" i="2"/>
  <c r="AF376" i="2" s="1"/>
  <c r="AD337" i="2"/>
  <c r="AF337" i="2" s="1"/>
  <c r="AD401" i="2"/>
  <c r="AF401" i="2" s="1"/>
  <c r="AD449" i="2"/>
  <c r="AF449" i="2" s="1"/>
  <c r="AD505" i="2"/>
  <c r="AF505" i="2" s="1"/>
  <c r="AD429" i="2"/>
  <c r="AF429" i="2" s="1"/>
  <c r="AD495" i="2"/>
  <c r="AF495" i="2" s="1"/>
  <c r="AU918" i="13"/>
  <c r="AU891" i="13"/>
  <c r="BA916" i="13"/>
  <c r="BA918" i="13"/>
  <c r="AY909" i="13"/>
  <c r="AU902" i="13"/>
  <c r="AY894" i="13"/>
  <c r="AU892" i="13"/>
  <c r="AY903" i="13"/>
  <c r="AU909" i="13"/>
  <c r="AY897" i="13"/>
  <c r="AU911" i="13"/>
  <c r="AY914" i="13"/>
  <c r="BA901" i="13"/>
  <c r="AW899" i="13"/>
  <c r="AD338" i="2"/>
  <c r="AF338" i="2" s="1"/>
  <c r="AD410" i="2"/>
  <c r="AF410" i="2" s="1"/>
  <c r="AD477" i="2"/>
  <c r="AF477" i="2" s="1"/>
  <c r="AD487" i="2"/>
  <c r="AF487" i="2" s="1"/>
  <c r="AD419" i="2"/>
  <c r="AF419" i="2" s="1"/>
  <c r="AD467" i="2"/>
  <c r="AF467" i="2" s="1"/>
  <c r="AD507" i="2"/>
  <c r="AF507" i="2" s="1"/>
  <c r="AD336" i="2"/>
  <c r="AF336" i="2" s="1"/>
  <c r="AD420" i="2"/>
  <c r="AF420" i="2" s="1"/>
  <c r="AD476" i="2"/>
  <c r="AF476" i="2" s="1"/>
  <c r="AD325" i="2"/>
  <c r="AF325" i="2" s="1"/>
  <c r="AD320" i="2"/>
  <c r="AF320" i="2" s="1"/>
  <c r="AD310" i="2"/>
  <c r="AF310" i="2" s="1"/>
  <c r="AD366" i="2"/>
  <c r="AF366" i="2" s="1"/>
  <c r="AD422" i="2"/>
  <c r="AF422" i="2" s="1"/>
  <c r="AD470" i="2"/>
  <c r="AF470" i="2" s="1"/>
  <c r="AD351" i="2"/>
  <c r="AF351" i="2" s="1"/>
  <c r="AD416" i="2"/>
  <c r="AF416" i="2" s="1"/>
  <c r="AD345" i="2"/>
  <c r="AF345" i="2" s="1"/>
  <c r="AD409" i="2"/>
  <c r="AF409" i="2" s="1"/>
  <c r="AD442" i="2"/>
  <c r="AF442" i="2" s="1"/>
  <c r="AD485" i="2"/>
  <c r="AF485" i="2" s="1"/>
  <c r="AD328" i="2"/>
  <c r="AF328" i="2" s="1"/>
  <c r="AD283" i="2"/>
  <c r="AF283" i="2" s="1"/>
  <c r="AW903" i="13"/>
  <c r="AU907" i="13"/>
  <c r="AY904" i="13"/>
  <c r="AY907" i="13"/>
  <c r="AW898" i="13"/>
  <c r="AU915" i="13"/>
  <c r="AY902" i="13"/>
  <c r="AU900" i="13"/>
  <c r="AY911" i="13"/>
  <c r="AU917" i="13"/>
  <c r="AY905" i="13"/>
  <c r="BA891" i="13"/>
  <c r="AW889" i="13"/>
  <c r="BA909" i="13"/>
  <c r="AD306" i="2"/>
  <c r="AF306" i="2" s="1"/>
  <c r="AD378" i="2"/>
  <c r="AF378" i="2" s="1"/>
  <c r="AD466" i="2"/>
  <c r="AF466" i="2" s="1"/>
  <c r="AD501" i="2"/>
  <c r="AF501" i="2" s="1"/>
  <c r="AD315" i="2"/>
  <c r="AF315" i="2" s="1"/>
  <c r="AD363" i="2"/>
  <c r="AF363" i="2" s="1"/>
  <c r="AD309" i="2"/>
  <c r="AF309" i="2" s="1"/>
  <c r="AD469" i="2"/>
  <c r="AF469" i="2" s="1"/>
  <c r="AD360" i="2"/>
  <c r="AF360" i="2" s="1"/>
  <c r="AD332" i="2"/>
  <c r="AF332" i="2" s="1"/>
  <c r="AD380" i="2"/>
  <c r="AF380" i="2" s="1"/>
  <c r="AD428" i="2"/>
  <c r="AF428" i="2" s="1"/>
  <c r="AD484" i="2"/>
  <c r="AF484" i="2" s="1"/>
  <c r="AD349" i="2"/>
  <c r="AF349" i="2" s="1"/>
  <c r="AD319" i="2"/>
  <c r="AF319" i="2" s="1"/>
  <c r="AD344" i="2"/>
  <c r="AF344" i="2" s="1"/>
  <c r="AD318" i="2"/>
  <c r="AF318" i="2" s="1"/>
  <c r="AD374" i="2"/>
  <c r="AF374" i="2" s="1"/>
  <c r="AD430" i="2"/>
  <c r="AF430" i="2" s="1"/>
  <c r="AD407" i="2"/>
  <c r="AF407" i="2" s="1"/>
  <c r="AD464" i="2"/>
  <c r="AF464" i="2" s="1"/>
  <c r="AD353" i="2"/>
  <c r="AF353" i="2" s="1"/>
  <c r="AD457" i="2"/>
  <c r="AF457" i="2" s="1"/>
  <c r="AD509" i="2"/>
  <c r="AF509" i="2" s="1"/>
  <c r="AD352" i="2"/>
  <c r="AF352" i="2" s="1"/>
  <c r="AW906" i="13"/>
  <c r="AU906" i="13"/>
  <c r="AD346" i="2"/>
  <c r="AF346" i="2" s="1"/>
  <c r="AD418" i="2"/>
  <c r="AF418" i="2" s="1"/>
  <c r="AD327" i="2"/>
  <c r="AF327" i="2" s="1"/>
  <c r="AD312" i="2"/>
  <c r="AF312" i="2" s="1"/>
  <c r="AD323" i="2"/>
  <c r="AF323" i="2" s="1"/>
  <c r="AD371" i="2"/>
  <c r="AF371" i="2" s="1"/>
  <c r="AD427" i="2"/>
  <c r="AF427" i="2" s="1"/>
  <c r="BA908" i="13"/>
  <c r="AY917" i="13"/>
  <c r="AW890" i="13"/>
  <c r="AD314" i="2"/>
  <c r="AF314" i="2" s="1"/>
  <c r="AD386" i="2"/>
  <c r="AF386" i="2" s="1"/>
  <c r="AD482" i="2"/>
  <c r="AF482" i="2" s="1"/>
  <c r="AD367" i="2"/>
  <c r="AF367" i="2" s="1"/>
  <c r="AD368" i="2"/>
  <c r="AF368" i="2" s="1"/>
  <c r="AD379" i="2"/>
  <c r="AF379" i="2" s="1"/>
  <c r="AD483" i="2"/>
  <c r="AF483" i="2" s="1"/>
  <c r="AD341" i="2"/>
  <c r="AF341" i="2" s="1"/>
  <c r="AD343" i="2"/>
  <c r="AF343" i="2" s="1"/>
  <c r="AU889" i="13"/>
  <c r="BA913" i="13"/>
  <c r="AW908" i="13"/>
  <c r="AU897" i="13"/>
  <c r="AU898" i="13"/>
  <c r="AY891" i="13"/>
  <c r="AY915" i="13"/>
  <c r="BA894" i="13"/>
  <c r="AW893" i="13"/>
  <c r="BA896" i="13"/>
  <c r="AW910" i="13"/>
  <c r="BA898" i="13"/>
  <c r="AW904" i="13"/>
  <c r="BA915" i="13"/>
  <c r="AW913" i="13"/>
  <c r="AY900" i="13"/>
  <c r="AD354" i="2"/>
  <c r="AF354" i="2" s="1"/>
  <c r="AD426" i="2"/>
  <c r="AF426" i="2" s="1"/>
  <c r="AD490" i="2"/>
  <c r="AF490" i="2" s="1"/>
  <c r="AD400" i="2"/>
  <c r="AF400" i="2" s="1"/>
  <c r="AD331" i="2"/>
  <c r="AF331" i="2" s="1"/>
  <c r="AD387" i="2"/>
  <c r="AF387" i="2" s="1"/>
  <c r="AD435" i="2"/>
  <c r="AF435" i="2" s="1"/>
  <c r="AD491" i="2"/>
  <c r="AF491" i="2" s="1"/>
  <c r="AD357" i="2"/>
  <c r="AF357" i="2" s="1"/>
  <c r="AD391" i="2"/>
  <c r="AF391" i="2" s="1"/>
  <c r="AD504" i="2"/>
  <c r="AF504" i="2" s="1"/>
  <c r="AD348" i="2"/>
  <c r="AF348" i="2" s="1"/>
  <c r="AD452" i="2"/>
  <c r="AF452" i="2" s="1"/>
  <c r="AD500" i="2"/>
  <c r="AF500" i="2" s="1"/>
  <c r="AD389" i="2"/>
  <c r="AF389" i="2" s="1"/>
  <c r="AD383" i="2"/>
  <c r="AF383" i="2" s="1"/>
  <c r="AD448" i="2"/>
  <c r="AF448" i="2" s="1"/>
  <c r="AD342" i="2"/>
  <c r="AF342" i="2" s="1"/>
  <c r="AD398" i="2"/>
  <c r="AF398" i="2" s="1"/>
  <c r="AD446" i="2"/>
  <c r="AF446" i="2" s="1"/>
  <c r="AD494" i="2"/>
  <c r="AF494" i="2" s="1"/>
  <c r="AD479" i="2"/>
  <c r="AF479" i="2" s="1"/>
  <c r="AD321" i="2"/>
  <c r="AF321" i="2" s="1"/>
  <c r="AD377" i="2"/>
  <c r="AF377" i="2" s="1"/>
  <c r="AD433" i="2"/>
  <c r="AF433" i="2" s="1"/>
  <c r="AD481" i="2"/>
  <c r="AF481" i="2" s="1"/>
  <c r="AD498" i="2"/>
  <c r="AF498" i="2" s="1"/>
  <c r="AD375" i="2"/>
  <c r="AF375" i="2" s="1"/>
  <c r="AU905" i="13"/>
  <c r="BA910" i="13"/>
  <c r="AU894" i="13"/>
  <c r="AU912" i="13"/>
  <c r="AU913" i="13"/>
  <c r="AY912" i="13"/>
  <c r="BA895" i="13"/>
  <c r="AW901" i="13"/>
  <c r="BA904" i="13"/>
  <c r="AW918" i="13"/>
  <c r="BA906" i="13"/>
  <c r="AW912" i="13"/>
  <c r="AY890" i="13"/>
  <c r="AU896" i="13"/>
  <c r="AY908" i="13"/>
  <c r="AD322" i="2"/>
  <c r="AF322" i="2" s="1"/>
  <c r="AD394" i="2"/>
  <c r="AF394" i="2" s="1"/>
  <c r="AD434" i="2"/>
  <c r="AF434" i="2" s="1"/>
  <c r="AD397" i="2"/>
  <c r="AF397" i="2" s="1"/>
  <c r="AD399" i="2"/>
  <c r="AF399" i="2" s="1"/>
  <c r="AD440" i="2"/>
  <c r="AF440" i="2" s="1"/>
  <c r="AD339" i="2"/>
  <c r="AF339" i="2" s="1"/>
  <c r="AD395" i="2"/>
  <c r="AF395" i="2" s="1"/>
  <c r="AD443" i="2"/>
  <c r="AF443" i="2" s="1"/>
  <c r="AD373" i="2"/>
  <c r="AF373" i="2" s="1"/>
  <c r="AD439" i="2"/>
  <c r="AF439" i="2" s="1"/>
  <c r="AD308" i="2"/>
  <c r="AF308" i="2" s="1"/>
  <c r="AD356" i="2"/>
  <c r="AF356" i="2" s="1"/>
  <c r="AD404" i="2"/>
  <c r="AF404" i="2" s="1"/>
  <c r="AD460" i="2"/>
  <c r="AF460" i="2" s="1"/>
  <c r="AD508" i="2"/>
  <c r="AF508" i="2" s="1"/>
  <c r="AD413" i="2"/>
  <c r="AF413" i="2" s="1"/>
  <c r="AD423" i="2"/>
  <c r="AF423" i="2" s="1"/>
  <c r="AD350" i="2"/>
  <c r="AF350" i="2" s="1"/>
  <c r="AD454" i="2"/>
  <c r="AF454" i="2" s="1"/>
  <c r="AD502" i="2"/>
  <c r="AF502" i="2" s="1"/>
  <c r="AD329" i="2"/>
  <c r="AF329" i="2" s="1"/>
  <c r="AD385" i="2"/>
  <c r="AF385" i="2" s="1"/>
  <c r="AD441" i="2"/>
  <c r="AF441" i="2" s="1"/>
  <c r="AD489" i="2"/>
  <c r="AF489" i="2" s="1"/>
  <c r="AD506" i="2"/>
  <c r="AF506" i="2" s="1"/>
  <c r="AD415" i="2"/>
  <c r="AF415" i="2" s="1"/>
  <c r="AD456" i="2"/>
  <c r="AF456" i="2" s="1"/>
  <c r="AY920" i="13"/>
  <c r="AW920" i="13"/>
  <c r="AF654" i="13"/>
  <c r="V654" i="13" s="1"/>
  <c r="W654" i="13" s="1"/>
  <c r="AF746" i="13"/>
  <c r="V746" i="13" s="1"/>
  <c r="W746" i="13" s="1"/>
  <c r="AF754" i="13"/>
  <c r="V754" i="13" s="1"/>
  <c r="W754" i="13" s="1"/>
  <c r="AF762" i="13"/>
  <c r="V762" i="13" s="1"/>
  <c r="W762" i="13" s="1"/>
  <c r="AF792" i="13"/>
  <c r="V792" i="13" s="1"/>
  <c r="W792" i="13" s="1"/>
  <c r="AF838" i="13"/>
  <c r="V838" i="13" s="1"/>
  <c r="W838" i="13" s="1"/>
  <c r="AF846" i="13"/>
  <c r="V846" i="13" s="1"/>
  <c r="W846" i="13" s="1"/>
  <c r="AF176" i="13"/>
  <c r="V176" i="13" s="1"/>
  <c r="W176" i="13" s="1"/>
  <c r="AF290" i="13"/>
  <c r="V290" i="13" s="1"/>
  <c r="W290" i="13" s="1"/>
  <c r="AF360" i="13"/>
  <c r="V360" i="13" s="1"/>
  <c r="W360" i="13" s="1"/>
  <c r="AF707" i="13"/>
  <c r="V707" i="13" s="1"/>
  <c r="W707" i="13" s="1"/>
  <c r="AF769" i="13"/>
  <c r="V769" i="13" s="1"/>
  <c r="W769" i="13" s="1"/>
  <c r="AF791" i="13"/>
  <c r="V791" i="13" s="1"/>
  <c r="W791" i="13" s="1"/>
  <c r="AF799" i="13"/>
  <c r="V799" i="13" s="1"/>
  <c r="W799" i="13" s="1"/>
  <c r="AF819" i="13"/>
  <c r="V819" i="13" s="1"/>
  <c r="W819" i="13" s="1"/>
  <c r="AF861" i="13"/>
  <c r="V861" i="13" s="1"/>
  <c r="W861" i="13" s="1"/>
  <c r="AF129" i="13"/>
  <c r="V129" i="13" s="1"/>
  <c r="W129" i="13" s="1"/>
  <c r="AF159" i="13"/>
  <c r="V159" i="13" s="1"/>
  <c r="W159" i="13" s="1"/>
  <c r="AF213" i="13"/>
  <c r="V213" i="13" s="1"/>
  <c r="W213" i="13" s="1"/>
  <c r="AF243" i="13"/>
  <c r="V243" i="13" s="1"/>
  <c r="W243" i="13" s="1"/>
  <c r="AF267" i="13"/>
  <c r="V267" i="13" s="1"/>
  <c r="W267" i="13" s="1"/>
  <c r="AF313" i="13"/>
  <c r="V313" i="13" s="1"/>
  <c r="W313" i="13" s="1"/>
  <c r="AF335" i="13"/>
  <c r="V335" i="13" s="1"/>
  <c r="W335" i="13" s="1"/>
  <c r="AF405" i="13"/>
  <c r="V405" i="13" s="1"/>
  <c r="W405" i="13" s="1"/>
  <c r="AF451" i="13"/>
  <c r="V451" i="13" s="1"/>
  <c r="W451" i="13" s="1"/>
  <c r="AF497" i="13"/>
  <c r="V497" i="13" s="1"/>
  <c r="W497" i="13" s="1"/>
  <c r="AF406" i="13"/>
  <c r="V406" i="13" s="1"/>
  <c r="W406" i="13" s="1"/>
  <c r="AF436" i="13"/>
  <c r="V436" i="13" s="1"/>
  <c r="W436" i="13" s="1"/>
  <c r="AF482" i="13"/>
  <c r="V482" i="13" s="1"/>
  <c r="W482" i="13" s="1"/>
  <c r="AF498" i="13"/>
  <c r="V498" i="13" s="1"/>
  <c r="W498" i="13" s="1"/>
  <c r="AF590" i="13"/>
  <c r="V590" i="13" s="1"/>
  <c r="W590" i="13" s="1"/>
  <c r="AF612" i="13"/>
  <c r="V612" i="13" s="1"/>
  <c r="W612" i="13" s="1"/>
  <c r="AF658" i="13"/>
  <c r="V658" i="13" s="1"/>
  <c r="W658" i="13" s="1"/>
  <c r="AF666" i="13"/>
  <c r="V666" i="13" s="1"/>
  <c r="W666" i="13" s="1"/>
  <c r="AF84" i="13"/>
  <c r="V84" i="13" s="1"/>
  <c r="W84" i="13" s="1"/>
  <c r="AF157" i="13"/>
  <c r="V157" i="13" s="1"/>
  <c r="W157" i="13" s="1"/>
  <c r="AF249" i="13"/>
  <c r="V249" i="13" s="1"/>
  <c r="W249" i="13" s="1"/>
  <c r="AF257" i="13"/>
  <c r="V257" i="13" s="1"/>
  <c r="W257" i="13" s="1"/>
  <c r="AF303" i="13"/>
  <c r="V303" i="13" s="1"/>
  <c r="W303" i="13" s="1"/>
  <c r="AF387" i="13"/>
  <c r="V387" i="13" s="1"/>
  <c r="W387" i="13" s="1"/>
  <c r="AF449" i="13"/>
  <c r="V449" i="13" s="1"/>
  <c r="W449" i="13" s="1"/>
  <c r="AF533" i="13"/>
  <c r="V533" i="13" s="1"/>
  <c r="W533" i="13" s="1"/>
  <c r="AF563" i="13"/>
  <c r="V563" i="13" s="1"/>
  <c r="W563" i="13" s="1"/>
  <c r="AF587" i="13"/>
  <c r="V587" i="13" s="1"/>
  <c r="W587" i="13" s="1"/>
  <c r="AF609" i="13"/>
  <c r="V609" i="13" s="1"/>
  <c r="W609" i="13" s="1"/>
  <c r="AF633" i="13"/>
  <c r="V633" i="13" s="1"/>
  <c r="W633" i="13" s="1"/>
  <c r="AF701" i="13"/>
  <c r="V701" i="13" s="1"/>
  <c r="W701" i="13" s="1"/>
  <c r="AF58" i="13"/>
  <c r="V58" i="13" s="1"/>
  <c r="W58" i="13" s="1"/>
  <c r="AF66" i="13"/>
  <c r="V66" i="13" s="1"/>
  <c r="W66" i="13" s="1"/>
  <c r="AF74" i="13"/>
  <c r="V74" i="13" s="1"/>
  <c r="W74" i="13" s="1"/>
  <c r="AF80" i="13"/>
  <c r="V80" i="13" s="1"/>
  <c r="W80" i="13" s="1"/>
  <c r="AF104" i="13"/>
  <c r="V104" i="13" s="1"/>
  <c r="W104" i="13" s="1"/>
  <c r="AF112" i="13"/>
  <c r="V112" i="13" s="1"/>
  <c r="W112" i="13" s="1"/>
  <c r="AF120" i="13"/>
  <c r="V120" i="13" s="1"/>
  <c r="W120" i="13" s="1"/>
  <c r="AF128" i="13"/>
  <c r="V128" i="13" s="1"/>
  <c r="W128" i="13" s="1"/>
  <c r="AF150" i="13"/>
  <c r="V150" i="13" s="1"/>
  <c r="W150" i="13" s="1"/>
  <c r="AF158" i="13"/>
  <c r="V158" i="13" s="1"/>
  <c r="W158" i="13" s="1"/>
  <c r="AF166" i="13"/>
  <c r="V166" i="13" s="1"/>
  <c r="W166" i="13" s="1"/>
  <c r="AF174" i="13"/>
  <c r="V174" i="13" s="1"/>
  <c r="W174" i="13" s="1"/>
  <c r="AF196" i="13"/>
  <c r="V196" i="13" s="1"/>
  <c r="W196" i="13" s="1"/>
  <c r="AF204" i="13"/>
  <c r="V204" i="13" s="1"/>
  <c r="W204" i="13" s="1"/>
  <c r="AF212" i="13"/>
  <c r="V212" i="13" s="1"/>
  <c r="W212" i="13" s="1"/>
  <c r="AF220" i="13"/>
  <c r="V220" i="13" s="1"/>
  <c r="W220" i="13" s="1"/>
  <c r="AF242" i="13"/>
  <c r="V242" i="13" s="1"/>
  <c r="W242" i="13" s="1"/>
  <c r="AF250" i="13"/>
  <c r="V250" i="13" s="1"/>
  <c r="W250" i="13" s="1"/>
  <c r="AF258" i="13"/>
  <c r="V258" i="13" s="1"/>
  <c r="W258" i="13" s="1"/>
  <c r="AF266" i="13"/>
  <c r="V266" i="13" s="1"/>
  <c r="W266" i="13" s="1"/>
  <c r="AF288" i="13"/>
  <c r="V288" i="13" s="1"/>
  <c r="W288" i="13" s="1"/>
  <c r="AF296" i="13"/>
  <c r="V296" i="13" s="1"/>
  <c r="W296" i="13" s="1"/>
  <c r="AF304" i="13"/>
  <c r="V304" i="13" s="1"/>
  <c r="W304" i="13" s="1"/>
  <c r="AF312" i="13"/>
  <c r="V312" i="13" s="1"/>
  <c r="W312" i="13" s="1"/>
  <c r="AF334" i="13"/>
  <c r="V334" i="13" s="1"/>
  <c r="W334" i="13" s="1"/>
  <c r="AF342" i="13"/>
  <c r="V342" i="13" s="1"/>
  <c r="W342" i="13" s="1"/>
  <c r="AF350" i="13"/>
  <c r="V350" i="13" s="1"/>
  <c r="W350" i="13" s="1"/>
  <c r="AF358" i="13"/>
  <c r="V358" i="13" s="1"/>
  <c r="W358" i="13" s="1"/>
  <c r="AF380" i="13"/>
  <c r="V380" i="13" s="1"/>
  <c r="W380" i="13" s="1"/>
  <c r="AF388" i="13"/>
  <c r="V388" i="13" s="1"/>
  <c r="W388" i="13" s="1"/>
  <c r="AF396" i="13"/>
  <c r="V396" i="13" s="1"/>
  <c r="W396" i="13" s="1"/>
  <c r="AF404" i="13"/>
  <c r="V404" i="13" s="1"/>
  <c r="W404" i="13" s="1"/>
  <c r="AF426" i="13"/>
  <c r="V426" i="13" s="1"/>
  <c r="W426" i="13" s="1"/>
  <c r="AF434" i="13"/>
  <c r="V434" i="13" s="1"/>
  <c r="W434" i="13" s="1"/>
  <c r="AF442" i="13"/>
  <c r="V442" i="13" s="1"/>
  <c r="W442" i="13" s="1"/>
  <c r="AF450" i="13"/>
  <c r="V450" i="13" s="1"/>
  <c r="W450" i="13" s="1"/>
  <c r="AF472" i="13"/>
  <c r="V472" i="13" s="1"/>
  <c r="W472" i="13" s="1"/>
  <c r="AF480" i="13"/>
  <c r="V480" i="13" s="1"/>
  <c r="W480" i="13" s="1"/>
  <c r="AF488" i="13"/>
  <c r="V488" i="13" s="1"/>
  <c r="W488" i="13" s="1"/>
  <c r="AF496" i="13"/>
  <c r="V496" i="13" s="1"/>
  <c r="W496" i="13" s="1"/>
  <c r="AF518" i="13"/>
  <c r="V518" i="13" s="1"/>
  <c r="W518" i="13" s="1"/>
  <c r="AF526" i="13"/>
  <c r="V526" i="13" s="1"/>
  <c r="W526" i="13" s="1"/>
  <c r="AF534" i="13"/>
  <c r="V534" i="13" s="1"/>
  <c r="W534" i="13" s="1"/>
  <c r="AF542" i="13"/>
  <c r="V542" i="13" s="1"/>
  <c r="W542" i="13" s="1"/>
  <c r="AF564" i="13"/>
  <c r="V564" i="13" s="1"/>
  <c r="W564" i="13" s="1"/>
  <c r="AF572" i="13"/>
  <c r="V572" i="13" s="1"/>
  <c r="W572" i="13" s="1"/>
  <c r="AF580" i="13"/>
  <c r="V580" i="13" s="1"/>
  <c r="W580" i="13" s="1"/>
  <c r="AF588" i="13"/>
  <c r="V588" i="13" s="1"/>
  <c r="W588" i="13" s="1"/>
  <c r="AF610" i="13"/>
  <c r="V610" i="13" s="1"/>
  <c r="W610" i="13" s="1"/>
  <c r="AF618" i="13"/>
  <c r="V618" i="13" s="1"/>
  <c r="W618" i="13" s="1"/>
  <c r="AF626" i="13"/>
  <c r="V626" i="13" s="1"/>
  <c r="W626" i="13" s="1"/>
  <c r="AF634" i="13"/>
  <c r="V634" i="13" s="1"/>
  <c r="W634" i="13" s="1"/>
  <c r="AF656" i="13"/>
  <c r="V656" i="13" s="1"/>
  <c r="W656" i="13" s="1"/>
  <c r="AF664" i="13"/>
  <c r="V664" i="13" s="1"/>
  <c r="W664" i="13" s="1"/>
  <c r="AF672" i="13"/>
  <c r="V672" i="13" s="1"/>
  <c r="W672" i="13" s="1"/>
  <c r="AF589" i="13"/>
  <c r="V589" i="13" s="1"/>
  <c r="W589" i="13" s="1"/>
  <c r="AF611" i="13"/>
  <c r="V611" i="13" s="1"/>
  <c r="W611" i="13" s="1"/>
  <c r="AF657" i="13"/>
  <c r="V657" i="13" s="1"/>
  <c r="W657" i="13" s="1"/>
  <c r="AF674" i="13"/>
  <c r="V674" i="13" s="1"/>
  <c r="W674" i="13" s="1"/>
  <c r="AF283" i="13"/>
  <c r="V283" i="13" s="1"/>
  <c r="W283" i="13" s="1"/>
  <c r="AF291" i="13"/>
  <c r="V291" i="13" s="1"/>
  <c r="W291" i="13" s="1"/>
  <c r="AF383" i="13"/>
  <c r="V383" i="13" s="1"/>
  <c r="W383" i="13" s="1"/>
  <c r="AF391" i="13"/>
  <c r="V391" i="13" s="1"/>
  <c r="W391" i="13" s="1"/>
  <c r="AF475" i="13"/>
  <c r="V475" i="13" s="1"/>
  <c r="W475" i="13" s="1"/>
  <c r="AF483" i="13"/>
  <c r="V483" i="13" s="1"/>
  <c r="W483" i="13" s="1"/>
  <c r="AF491" i="13"/>
  <c r="V491" i="13" s="1"/>
  <c r="W491" i="13" s="1"/>
  <c r="AF529" i="13"/>
  <c r="V529" i="13" s="1"/>
  <c r="W529" i="13" s="1"/>
  <c r="AF537" i="13"/>
  <c r="V537" i="13" s="1"/>
  <c r="W537" i="13" s="1"/>
  <c r="AF713" i="13"/>
  <c r="V713" i="13" s="1"/>
  <c r="W713" i="13" s="1"/>
  <c r="AF743" i="13"/>
  <c r="V743" i="13" s="1"/>
  <c r="W743" i="13" s="1"/>
  <c r="AF751" i="13"/>
  <c r="V751" i="13" s="1"/>
  <c r="W751" i="13" s="1"/>
  <c r="AF805" i="13"/>
  <c r="V805" i="13" s="1"/>
  <c r="W805" i="13" s="1"/>
  <c r="AF851" i="13"/>
  <c r="V851" i="13" s="1"/>
  <c r="W851" i="13" s="1"/>
  <c r="AF859" i="13"/>
  <c r="V859" i="13" s="1"/>
  <c r="W859" i="13" s="1"/>
  <c r="AF727" i="13"/>
  <c r="V727" i="13" s="1"/>
  <c r="W727" i="13" s="1"/>
  <c r="AF757" i="13"/>
  <c r="V757" i="13" s="1"/>
  <c r="W757" i="13" s="1"/>
  <c r="AF795" i="13"/>
  <c r="V795" i="13" s="1"/>
  <c r="W795" i="13" s="1"/>
  <c r="AF841" i="13"/>
  <c r="V841" i="13" s="1"/>
  <c r="W841" i="13" s="1"/>
  <c r="AF712" i="13"/>
  <c r="V712" i="13" s="1"/>
  <c r="W712" i="13" s="1"/>
  <c r="AF766" i="13"/>
  <c r="V766" i="13" s="1"/>
  <c r="W766" i="13" s="1"/>
  <c r="AF774" i="13"/>
  <c r="V774" i="13" s="1"/>
  <c r="W774" i="13" s="1"/>
  <c r="AF842" i="13"/>
  <c r="V842" i="13" s="1"/>
  <c r="W842" i="13" s="1"/>
  <c r="AF850" i="13"/>
  <c r="V850" i="13" s="1"/>
  <c r="W850" i="13" s="1"/>
  <c r="AF577" i="13"/>
  <c r="V577" i="13" s="1"/>
  <c r="W577" i="13" s="1"/>
  <c r="AF771" i="13"/>
  <c r="V771" i="13" s="1"/>
  <c r="W771" i="13" s="1"/>
  <c r="AF793" i="13"/>
  <c r="V793" i="13" s="1"/>
  <c r="W793" i="13" s="1"/>
  <c r="AF839" i="13"/>
  <c r="V839" i="13" s="1"/>
  <c r="W839" i="13" s="1"/>
  <c r="N573" i="16"/>
  <c r="N493" i="16"/>
  <c r="N527" i="16"/>
  <c r="N495" i="16"/>
  <c r="F479" i="16"/>
  <c r="E479" i="16" s="1"/>
  <c r="N479" i="16"/>
  <c r="F295" i="16"/>
  <c r="E295" i="16" s="1"/>
  <c r="N295" i="16"/>
  <c r="F495" i="16"/>
  <c r="E495" i="16" s="1"/>
  <c r="F573" i="16"/>
  <c r="E573" i="16" s="1"/>
  <c r="N581" i="16"/>
  <c r="N565" i="16"/>
  <c r="K501" i="16"/>
  <c r="O501" i="16" s="1"/>
  <c r="N501" i="16"/>
  <c r="N487" i="16"/>
  <c r="N469" i="16"/>
  <c r="N463" i="16"/>
  <c r="N445" i="16"/>
  <c r="N2" i="16"/>
  <c r="L2" i="16"/>
  <c r="K317" i="16"/>
  <c r="O317" i="16" s="1"/>
  <c r="N333" i="16"/>
  <c r="X585" i="13" l="1"/>
  <c r="BA585" i="13"/>
  <c r="BB585" i="13" s="1"/>
  <c r="X724" i="13"/>
  <c r="BA724" i="13"/>
  <c r="BB724" i="13" s="1"/>
  <c r="X110" i="13"/>
  <c r="Q70" i="16"/>
  <c r="X469" i="13"/>
  <c r="BA469" i="13"/>
  <c r="BB469" i="13" s="1"/>
  <c r="X393" i="13"/>
  <c r="BA393" i="13"/>
  <c r="BB393" i="13" s="1"/>
  <c r="X377" i="13"/>
  <c r="BA377" i="13"/>
  <c r="BB377" i="13" s="1"/>
  <c r="BA309" i="13"/>
  <c r="BB309" i="13" s="1"/>
  <c r="X309" i="13"/>
  <c r="X217" i="13"/>
  <c r="Q149" i="16"/>
  <c r="BA217" i="13"/>
  <c r="BB217" i="13" s="1"/>
  <c r="X155" i="13"/>
  <c r="BA155" i="13"/>
  <c r="BB155" i="13" s="1"/>
  <c r="X125" i="13"/>
  <c r="Q85" i="16"/>
  <c r="X101" i="13"/>
  <c r="Q61" i="16"/>
  <c r="X15" i="13"/>
  <c r="BA15" i="13"/>
  <c r="BB15" i="13" s="1"/>
  <c r="X842" i="13"/>
  <c r="BA842" i="13"/>
  <c r="BB842" i="13" s="1"/>
  <c r="X866" i="13"/>
  <c r="BA866" i="13"/>
  <c r="BB866" i="13" s="1"/>
  <c r="Q564" i="16"/>
  <c r="BA814" i="13"/>
  <c r="BB814" i="13" s="1"/>
  <c r="BA806" i="13"/>
  <c r="BB806" i="13" s="1"/>
  <c r="X806" i="13"/>
  <c r="T806" i="13"/>
  <c r="O806" i="13" s="1"/>
  <c r="X714" i="13"/>
  <c r="BA714" i="13"/>
  <c r="BB714" i="13" s="1"/>
  <c r="Q492" i="16"/>
  <c r="X706" i="13"/>
  <c r="Q484" i="16"/>
  <c r="X652" i="13"/>
  <c r="T630" i="13"/>
  <c r="O630" i="13" s="1"/>
  <c r="X630" i="13"/>
  <c r="X622" i="13"/>
  <c r="T622" i="13"/>
  <c r="O622" i="13" s="1"/>
  <c r="BA622" i="13"/>
  <c r="BB622" i="13" s="1"/>
  <c r="X614" i="13"/>
  <c r="X530" i="13"/>
  <c r="BA530" i="13"/>
  <c r="BB530" i="13" s="1"/>
  <c r="Q364" i="16"/>
  <c r="X522" i="13"/>
  <c r="T522" i="13"/>
  <c r="O522" i="13" s="1"/>
  <c r="X492" i="13"/>
  <c r="BA492" i="13"/>
  <c r="BB492" i="13" s="1"/>
  <c r="X438" i="13"/>
  <c r="Q300" i="16"/>
  <c r="BA438" i="13"/>
  <c r="BB438" i="13" s="1"/>
  <c r="X422" i="13"/>
  <c r="BA422" i="13"/>
  <c r="BB422" i="13" s="1"/>
  <c r="X346" i="13"/>
  <c r="BA346" i="13"/>
  <c r="BB346" i="13" s="1"/>
  <c r="X338" i="13"/>
  <c r="BA338" i="13"/>
  <c r="BB338" i="13" s="1"/>
  <c r="X254" i="13"/>
  <c r="Q172" i="16"/>
  <c r="BA254" i="13"/>
  <c r="BB254" i="13" s="1"/>
  <c r="X246" i="13"/>
  <c r="BA246" i="13"/>
  <c r="BB246" i="13" s="1"/>
  <c r="T246" i="13"/>
  <c r="O246" i="13" s="1"/>
  <c r="X170" i="13"/>
  <c r="BA170" i="13"/>
  <c r="BB170" i="13" s="1"/>
  <c r="X162" i="13"/>
  <c r="BA162" i="13"/>
  <c r="BB162" i="13" s="1"/>
  <c r="T162" i="13"/>
  <c r="O162" i="13" s="1"/>
  <c r="X154" i="13"/>
  <c r="BA154" i="13"/>
  <c r="BB154" i="13" s="1"/>
  <c r="X72" i="13"/>
  <c r="BA72" i="13"/>
  <c r="BB72" i="13" s="1"/>
  <c r="X80" i="13"/>
  <c r="BA80" i="13"/>
  <c r="BB80" i="13" s="1"/>
  <c r="X62" i="13"/>
  <c r="BA62" i="13"/>
  <c r="BB62" i="13" s="1"/>
  <c r="X859" i="13"/>
  <c r="BA859" i="13"/>
  <c r="BB859" i="13" s="1"/>
  <c r="T859" i="13"/>
  <c r="O859" i="13" s="1"/>
  <c r="X805" i="13"/>
  <c r="BA805" i="13"/>
  <c r="BB805" i="13" s="1"/>
  <c r="X751" i="13"/>
  <c r="BA751" i="13"/>
  <c r="BB751" i="13" s="1"/>
  <c r="Q515" i="16"/>
  <c r="X743" i="13"/>
  <c r="T743" i="13"/>
  <c r="O743" i="13" s="1"/>
  <c r="X713" i="13"/>
  <c r="BA713" i="13"/>
  <c r="BB713" i="13" s="1"/>
  <c r="X675" i="13"/>
  <c r="Q467" i="16"/>
  <c r="X659" i="13"/>
  <c r="BA659" i="13"/>
  <c r="BB659" i="13" s="1"/>
  <c r="Q451" i="16"/>
  <c r="X651" i="13"/>
  <c r="T651" i="13"/>
  <c r="O651" i="13" s="1"/>
  <c r="X621" i="13"/>
  <c r="BA621" i="13"/>
  <c r="BB621" i="13" s="1"/>
  <c r="X567" i="13"/>
  <c r="Q387" i="16"/>
  <c r="X475" i="13"/>
  <c r="BA475" i="13"/>
  <c r="BB475" i="13" s="1"/>
  <c r="T475" i="13"/>
  <c r="O475" i="13" s="1"/>
  <c r="X391" i="13"/>
  <c r="BA391" i="13"/>
  <c r="BB391" i="13" s="1"/>
  <c r="T391" i="13"/>
  <c r="O391" i="13" s="1"/>
  <c r="X383" i="13"/>
  <c r="BA383" i="13"/>
  <c r="BB383" i="13" s="1"/>
  <c r="X291" i="13"/>
  <c r="BA291" i="13"/>
  <c r="BB291" i="13" s="1"/>
  <c r="Q195" i="16"/>
  <c r="X253" i="13"/>
  <c r="T253" i="13"/>
  <c r="O253" i="13" s="1"/>
  <c r="BA253" i="13"/>
  <c r="BB253" i="13" s="1"/>
  <c r="X207" i="13"/>
  <c r="BA207" i="13"/>
  <c r="BB207" i="13" s="1"/>
  <c r="X199" i="13"/>
  <c r="Q131" i="16"/>
  <c r="BA199" i="13"/>
  <c r="BB199" i="13" s="1"/>
  <c r="X191" i="13"/>
  <c r="BA191" i="13"/>
  <c r="BB191" i="13" s="1"/>
  <c r="X107" i="13"/>
  <c r="BA107" i="13"/>
  <c r="BB107" i="13" s="1"/>
  <c r="X34" i="13"/>
  <c r="BA34" i="13"/>
  <c r="BB34" i="13" s="1"/>
  <c r="Q25" i="16"/>
  <c r="X852" i="13"/>
  <c r="T852" i="13"/>
  <c r="O852" i="13" s="1"/>
  <c r="BA852" i="13"/>
  <c r="BB852" i="13" s="1"/>
  <c r="X812" i="13"/>
  <c r="BA812" i="13"/>
  <c r="BB812" i="13" s="1"/>
  <c r="X766" i="13"/>
  <c r="X758" i="13"/>
  <c r="BA758" i="13"/>
  <c r="BB758" i="13" s="1"/>
  <c r="X666" i="13"/>
  <c r="Q458" i="16"/>
  <c r="X658" i="13"/>
  <c r="BA658" i="13"/>
  <c r="BB658" i="13" s="1"/>
  <c r="X628" i="13"/>
  <c r="BA628" i="13"/>
  <c r="BB628" i="13" s="1"/>
  <c r="X574" i="13"/>
  <c r="T574" i="13"/>
  <c r="O574" i="13" s="1"/>
  <c r="BA574" i="13"/>
  <c r="BB574" i="13" s="1"/>
  <c r="X536" i="13"/>
  <c r="BA536" i="13"/>
  <c r="BB536" i="13" s="1"/>
  <c r="X490" i="13"/>
  <c r="Q338" i="16"/>
  <c r="X482" i="13"/>
  <c r="Q330" i="16"/>
  <c r="BA482" i="13"/>
  <c r="BB482" i="13" s="1"/>
  <c r="X444" i="13"/>
  <c r="BA444" i="13"/>
  <c r="BB444" i="13" s="1"/>
  <c r="X390" i="13"/>
  <c r="BA390" i="13"/>
  <c r="BB390" i="13" s="1"/>
  <c r="X352" i="13"/>
  <c r="BA352" i="13"/>
  <c r="BB352" i="13" s="1"/>
  <c r="X298" i="13"/>
  <c r="Q202" i="16"/>
  <c r="BA298" i="13"/>
  <c r="BB298" i="13" s="1"/>
  <c r="X290" i="13"/>
  <c r="Q194" i="16"/>
  <c r="X114" i="13"/>
  <c r="BA114" i="13"/>
  <c r="BB114" i="13" s="1"/>
  <c r="X74" i="13"/>
  <c r="BA74" i="13"/>
  <c r="BB74" i="13" s="1"/>
  <c r="X845" i="13"/>
  <c r="BA845" i="13"/>
  <c r="BB845" i="13" s="1"/>
  <c r="X803" i="13"/>
  <c r="BA803" i="13"/>
  <c r="BB803" i="13" s="1"/>
  <c r="X795" i="13"/>
  <c r="BA795" i="13"/>
  <c r="BB795" i="13" s="1"/>
  <c r="X711" i="13"/>
  <c r="BA711" i="13"/>
  <c r="BB711" i="13" s="1"/>
  <c r="X619" i="13"/>
  <c r="BA619" i="13"/>
  <c r="BB619" i="13" s="1"/>
  <c r="X581" i="13"/>
  <c r="BA581" i="13"/>
  <c r="BB581" i="13" s="1"/>
  <c r="X527" i="13"/>
  <c r="BA527" i="13"/>
  <c r="BB527" i="13" s="1"/>
  <c r="X519" i="13"/>
  <c r="BA519" i="13"/>
  <c r="BB519" i="13" s="1"/>
  <c r="X489" i="13"/>
  <c r="BA489" i="13"/>
  <c r="BB489" i="13" s="1"/>
  <c r="X443" i="13"/>
  <c r="BA443" i="13"/>
  <c r="BB443" i="13" s="1"/>
  <c r="X343" i="13"/>
  <c r="Q233" i="16"/>
  <c r="X305" i="13"/>
  <c r="BA305" i="13"/>
  <c r="BB305" i="13" s="1"/>
  <c r="X251" i="13"/>
  <c r="BA251" i="13"/>
  <c r="BB251" i="13" s="1"/>
  <c r="X213" i="13"/>
  <c r="BA213" i="13"/>
  <c r="BB213" i="13" s="1"/>
  <c r="X159" i="13"/>
  <c r="BA159" i="13"/>
  <c r="BB159" i="13" s="1"/>
  <c r="X434" i="13"/>
  <c r="BA434" i="13"/>
  <c r="BB434" i="13" s="1"/>
  <c r="X863" i="13"/>
  <c r="BA863" i="13"/>
  <c r="BB863" i="13" s="1"/>
  <c r="X471" i="13"/>
  <c r="T471" i="13"/>
  <c r="O471" i="13" s="1"/>
  <c r="X333" i="13"/>
  <c r="Q223" i="16"/>
  <c r="X240" i="13"/>
  <c r="BA240" i="13"/>
  <c r="BB240" i="13" s="1"/>
  <c r="T426" i="13"/>
  <c r="O426" i="13" s="1"/>
  <c r="BA858" i="13"/>
  <c r="BB858" i="13" s="1"/>
  <c r="BA428" i="13"/>
  <c r="BB428" i="13" s="1"/>
  <c r="BA476" i="13"/>
  <c r="BB476" i="13" s="1"/>
  <c r="T259" i="13"/>
  <c r="O259" i="13" s="1"/>
  <c r="Q590" i="16"/>
  <c r="O3" i="16"/>
  <c r="O2" i="16"/>
  <c r="BA567" i="13"/>
  <c r="BB567" i="13" s="1"/>
  <c r="BA308" i="13"/>
  <c r="BB308" i="13" s="1"/>
  <c r="BA745" i="13"/>
  <c r="BB745" i="13" s="1"/>
  <c r="Q518" i="16"/>
  <c r="BA285" i="13"/>
  <c r="BB285" i="13" s="1"/>
  <c r="BA193" i="13"/>
  <c r="BB193" i="13" s="1"/>
  <c r="Q189" i="16"/>
  <c r="T805" i="13"/>
  <c r="O805" i="13" s="1"/>
  <c r="Q299" i="16"/>
  <c r="Q445" i="16"/>
  <c r="BA110" i="13"/>
  <c r="BB110" i="13" s="1"/>
  <c r="BA584" i="13"/>
  <c r="BB584" i="13" s="1"/>
  <c r="BA260" i="13"/>
  <c r="BB260" i="13" s="1"/>
  <c r="BA121" i="13"/>
  <c r="BB121" i="13" s="1"/>
  <c r="BA124" i="13"/>
  <c r="BB124" i="13" s="1"/>
  <c r="T193" i="13"/>
  <c r="O193" i="13" s="1"/>
  <c r="Q232" i="16"/>
  <c r="T260" i="13"/>
  <c r="O260" i="13" s="1"/>
  <c r="Q44" i="16"/>
  <c r="Q529" i="16"/>
  <c r="BA437" i="13"/>
  <c r="BB437" i="13" s="1"/>
  <c r="BA81" i="13"/>
  <c r="BB81" i="13" s="1"/>
  <c r="T529" i="13"/>
  <c r="O529" i="13" s="1"/>
  <c r="Q278" i="16"/>
  <c r="Q253" i="16"/>
  <c r="Q532" i="16"/>
  <c r="Q84" i="16"/>
  <c r="T345" i="13"/>
  <c r="O345" i="13" s="1"/>
  <c r="BA70" i="13"/>
  <c r="BB70" i="13" s="1"/>
  <c r="Q601" i="16"/>
  <c r="T561" i="13"/>
  <c r="O561" i="13" s="1"/>
  <c r="X865" i="13"/>
  <c r="BA16" i="13"/>
  <c r="BB16" i="13" s="1"/>
  <c r="BA342" i="13"/>
  <c r="BB342" i="13" s="1"/>
  <c r="Q296" i="16"/>
  <c r="Q306" i="16"/>
  <c r="T676" i="13"/>
  <c r="O676" i="13" s="1"/>
  <c r="T808" i="13"/>
  <c r="O808" i="13" s="1"/>
  <c r="BA754" i="13"/>
  <c r="BB754" i="13" s="1"/>
  <c r="BA400" i="13"/>
  <c r="BB400" i="13" s="1"/>
  <c r="BA216" i="13"/>
  <c r="BB216" i="13" s="1"/>
  <c r="BA768" i="13"/>
  <c r="BB768" i="13" s="1"/>
  <c r="Q424" i="16"/>
  <c r="T308" i="13"/>
  <c r="O308" i="13" s="1"/>
  <c r="BA529" i="13"/>
  <c r="BB529" i="13" s="1"/>
  <c r="X345" i="13"/>
  <c r="BA765" i="13"/>
  <c r="BB765" i="13" s="1"/>
  <c r="BA802" i="13"/>
  <c r="BB802" i="13" s="1"/>
  <c r="BA101" i="13"/>
  <c r="BB101" i="13" s="1"/>
  <c r="BA561" i="13"/>
  <c r="BB561" i="13" s="1"/>
  <c r="T81" i="13"/>
  <c r="O81" i="13" s="1"/>
  <c r="Q127" i="16"/>
  <c r="T720" i="13"/>
  <c r="O720" i="13" s="1"/>
  <c r="T400" i="13"/>
  <c r="O400" i="13" s="1"/>
  <c r="T492" i="13"/>
  <c r="O492" i="13" s="1"/>
  <c r="BA676" i="13"/>
  <c r="BB676" i="13" s="1"/>
  <c r="Q587" i="16"/>
  <c r="BA627" i="13"/>
  <c r="BB627" i="13" s="1"/>
  <c r="BA239" i="13"/>
  <c r="BB239" i="13" s="1"/>
  <c r="BA293" i="13"/>
  <c r="BB293" i="13" s="1"/>
  <c r="Q456" i="16"/>
  <c r="Q580" i="16"/>
  <c r="T662" i="13"/>
  <c r="O662" i="13" s="1"/>
  <c r="BA630" i="13"/>
  <c r="BB630" i="13" s="1"/>
  <c r="BA579" i="13"/>
  <c r="BB579" i="13" s="1"/>
  <c r="BA259" i="13"/>
  <c r="BB259" i="13" s="1"/>
  <c r="BA674" i="13"/>
  <c r="BB674" i="13" s="1"/>
  <c r="Q159" i="16"/>
  <c r="Q244" i="16"/>
  <c r="BA582" i="13"/>
  <c r="BB582" i="13" s="1"/>
  <c r="BA662" i="13"/>
  <c r="BB662" i="13" s="1"/>
  <c r="BA617" i="13"/>
  <c r="BB617" i="13" s="1"/>
  <c r="Q146" i="16"/>
  <c r="BA844" i="13"/>
  <c r="BB844" i="13" s="1"/>
  <c r="Q210" i="16"/>
  <c r="BA55" i="13"/>
  <c r="BB55" i="13" s="1"/>
  <c r="T115" i="13"/>
  <c r="O115" i="13" s="1"/>
  <c r="Q93" i="16"/>
  <c r="BA851" i="13"/>
  <c r="BB851" i="13" s="1"/>
  <c r="BA575" i="13"/>
  <c r="BB575" i="13" s="1"/>
  <c r="BA667" i="13"/>
  <c r="BB667" i="13" s="1"/>
  <c r="BA756" i="13"/>
  <c r="BB756" i="13" s="1"/>
  <c r="BA398" i="13"/>
  <c r="BB398" i="13" s="1"/>
  <c r="BA214" i="13"/>
  <c r="BB214" i="13" s="1"/>
  <c r="Q477" i="16"/>
  <c r="BA109" i="13"/>
  <c r="BB109" i="13" s="1"/>
  <c r="BA356" i="13"/>
  <c r="BB356" i="13" s="1"/>
  <c r="T722" i="13"/>
  <c r="O722" i="13" s="1"/>
  <c r="T609" i="13"/>
  <c r="O609" i="13" s="1"/>
  <c r="T791" i="13"/>
  <c r="O791" i="13" s="1"/>
  <c r="T55" i="13"/>
  <c r="O55" i="13" s="1"/>
  <c r="BA759" i="13"/>
  <c r="BB759" i="13" s="1"/>
  <c r="BA359" i="13"/>
  <c r="BB359" i="13" s="1"/>
  <c r="BA192" i="13"/>
  <c r="BB192" i="13" s="1"/>
  <c r="BA607" i="13"/>
  <c r="BB607" i="13" s="1"/>
  <c r="BA583" i="13"/>
  <c r="BB583" i="13" s="1"/>
  <c r="BA445" i="13"/>
  <c r="BB445" i="13" s="1"/>
  <c r="T167" i="13"/>
  <c r="O167" i="13" s="1"/>
  <c r="Q246" i="16"/>
  <c r="Q570" i="16"/>
  <c r="BA201" i="13"/>
  <c r="BB201" i="13" s="1"/>
  <c r="BA212" i="13"/>
  <c r="BB212" i="13" s="1"/>
  <c r="BA261" i="13"/>
  <c r="BB261" i="13" s="1"/>
  <c r="BA106" i="13"/>
  <c r="BB106" i="13" s="1"/>
  <c r="BA387" i="13"/>
  <c r="BB387" i="13" s="1"/>
  <c r="Q89" i="16"/>
  <c r="T753" i="13"/>
  <c r="O753" i="13" s="1"/>
  <c r="Q123" i="16"/>
  <c r="BA835" i="13"/>
  <c r="BB835" i="13" s="1"/>
  <c r="T238" i="13"/>
  <c r="O238" i="13" s="1"/>
  <c r="BA430" i="13"/>
  <c r="BB430" i="13" s="1"/>
  <c r="BA382" i="13"/>
  <c r="BB382" i="13" s="1"/>
  <c r="BA753" i="13"/>
  <c r="BB753" i="13" s="1"/>
  <c r="BA385" i="13"/>
  <c r="BB385" i="13" s="1"/>
  <c r="BA755" i="13"/>
  <c r="BB755" i="13" s="1"/>
  <c r="BA718" i="13"/>
  <c r="BB718" i="13" s="1"/>
  <c r="Q122" i="16"/>
  <c r="T798" i="13"/>
  <c r="O798" i="13" s="1"/>
  <c r="BA73" i="13"/>
  <c r="BB73" i="13" s="1"/>
  <c r="BA522" i="13"/>
  <c r="BB522" i="13" s="1"/>
  <c r="BA268" i="13"/>
  <c r="BB268" i="13" s="1"/>
  <c r="BA176" i="13"/>
  <c r="BB176" i="13" s="1"/>
  <c r="BA614" i="13"/>
  <c r="BB614" i="13" s="1"/>
  <c r="BA30" i="13"/>
  <c r="BB30" i="13" s="1"/>
  <c r="Q187" i="16"/>
  <c r="Q378" i="16"/>
  <c r="Q262" i="16"/>
  <c r="T860" i="13"/>
  <c r="O860" i="13" s="1"/>
  <c r="Q250" i="16"/>
  <c r="BA375" i="13"/>
  <c r="BB375" i="13" s="1"/>
  <c r="BA813" i="13"/>
  <c r="BB813" i="13" s="1"/>
  <c r="T681" i="13"/>
  <c r="O681" i="13" s="1"/>
  <c r="BA467" i="13"/>
  <c r="BB467" i="13" s="1"/>
  <c r="BA514" i="13"/>
  <c r="BB514" i="13" s="1"/>
  <c r="BA860" i="13"/>
  <c r="BB860" i="13" s="1"/>
  <c r="BA386" i="13"/>
  <c r="BB386" i="13" s="1"/>
  <c r="T387" i="13"/>
  <c r="O387" i="13" s="1"/>
  <c r="T629" i="13"/>
  <c r="O629" i="13" s="1"/>
  <c r="Q379" i="16"/>
  <c r="BA798" i="13"/>
  <c r="BB798" i="13" s="1"/>
  <c r="BA743" i="13"/>
  <c r="BB743" i="13" s="1"/>
  <c r="BA117" i="13"/>
  <c r="BB117" i="13" s="1"/>
  <c r="BA294" i="13"/>
  <c r="BB294" i="13" s="1"/>
  <c r="BA209" i="13"/>
  <c r="BB209" i="13" s="1"/>
  <c r="BA606" i="13"/>
  <c r="BB606" i="13" s="1"/>
  <c r="T422" i="13"/>
  <c r="O422" i="13" s="1"/>
  <c r="Q243" i="16"/>
  <c r="Q453" i="16"/>
  <c r="T201" i="13"/>
  <c r="O201" i="13" s="1"/>
  <c r="Q325" i="16"/>
  <c r="Q476" i="16"/>
  <c r="Q56" i="16"/>
  <c r="BA494" i="13"/>
  <c r="BB494" i="13" s="1"/>
  <c r="BA820" i="13"/>
  <c r="BB820" i="13" s="1"/>
  <c r="BA837" i="13"/>
  <c r="BB837" i="13" s="1"/>
  <c r="Q409" i="16"/>
  <c r="T534" i="13"/>
  <c r="O534" i="13" s="1"/>
  <c r="BA166" i="13"/>
  <c r="BB166" i="13" s="1"/>
  <c r="BA848" i="13"/>
  <c r="BB848" i="13" s="1"/>
  <c r="Q115" i="16"/>
  <c r="T636" i="13"/>
  <c r="O636" i="13" s="1"/>
  <c r="BA248" i="13"/>
  <c r="BB248" i="13" s="1"/>
  <c r="BA655" i="13"/>
  <c r="BB655" i="13" s="1"/>
  <c r="BA210" i="13"/>
  <c r="BB210" i="13" s="1"/>
  <c r="BA719" i="13"/>
  <c r="BB719" i="13" s="1"/>
  <c r="BA115" i="13"/>
  <c r="BB115" i="13" s="1"/>
  <c r="BA855" i="13"/>
  <c r="BB855" i="13" s="1"/>
  <c r="BA23" i="13"/>
  <c r="BB23" i="13" s="1"/>
  <c r="BA681" i="13"/>
  <c r="BB681" i="13" s="1"/>
  <c r="BA360" i="13"/>
  <c r="BB360" i="13" s="1"/>
  <c r="Q130" i="16"/>
  <c r="Q307" i="16"/>
  <c r="Q141" i="16"/>
  <c r="Q274" i="16"/>
  <c r="Q198" i="16"/>
  <c r="T811" i="13"/>
  <c r="O811" i="13" s="1"/>
  <c r="T667" i="13"/>
  <c r="O667" i="13" s="1"/>
  <c r="Q397" i="16"/>
  <c r="Q285" i="16"/>
  <c r="Q205" i="16"/>
  <c r="T514" i="13"/>
  <c r="O514" i="13" s="1"/>
  <c r="Q40" i="16"/>
  <c r="X814" i="13"/>
  <c r="X535" i="13"/>
  <c r="Q345" i="16"/>
  <c r="T111" i="13"/>
  <c r="O111" i="13" s="1"/>
  <c r="Q281" i="16"/>
  <c r="BA480" i="13"/>
  <c r="BB480" i="13" s="1"/>
  <c r="BA490" i="13"/>
  <c r="BB490" i="13" s="1"/>
  <c r="BA122" i="13"/>
  <c r="BB122" i="13" s="1"/>
  <c r="Q22" i="16"/>
  <c r="BA405" i="13"/>
  <c r="BB405" i="13" s="1"/>
  <c r="BA626" i="13"/>
  <c r="BB626" i="13" s="1"/>
  <c r="BA353" i="13"/>
  <c r="BB353" i="13" s="1"/>
  <c r="Q153" i="16"/>
  <c r="Q455" i="16"/>
  <c r="T721" i="13"/>
  <c r="O721" i="13" s="1"/>
  <c r="X636" i="13"/>
  <c r="BA810" i="13"/>
  <c r="BB810" i="13" s="1"/>
  <c r="Q203" i="16"/>
  <c r="Q402" i="16"/>
  <c r="T480" i="13"/>
  <c r="O480" i="13" s="1"/>
  <c r="Q573" i="16"/>
  <c r="T572" i="13"/>
  <c r="O572" i="13" s="1"/>
  <c r="BA811" i="13"/>
  <c r="BB811" i="13" s="1"/>
  <c r="BA221" i="13"/>
  <c r="BB221" i="13" s="1"/>
  <c r="BA671" i="13"/>
  <c r="BB671" i="13" s="1"/>
  <c r="BA18" i="13"/>
  <c r="BB18" i="13" s="1"/>
  <c r="BA351" i="13"/>
  <c r="BB351" i="13" s="1"/>
  <c r="BA31" i="13"/>
  <c r="BB31" i="13" s="1"/>
  <c r="BA497" i="13"/>
  <c r="BB497" i="13" s="1"/>
  <c r="BA791" i="13"/>
  <c r="BB791" i="13" s="1"/>
  <c r="BA483" i="13"/>
  <c r="BB483" i="13" s="1"/>
  <c r="BA330" i="13"/>
  <c r="BB330" i="13" s="1"/>
  <c r="BA722" i="13"/>
  <c r="BB722" i="13" s="1"/>
  <c r="BA790" i="13"/>
  <c r="BB790" i="13" s="1"/>
  <c r="BA515" i="13"/>
  <c r="BB515" i="13" s="1"/>
  <c r="BA306" i="13"/>
  <c r="BB306" i="13" s="1"/>
  <c r="BA446" i="13"/>
  <c r="BB446" i="13" s="1"/>
  <c r="BA857" i="13"/>
  <c r="BB857" i="13" s="1"/>
  <c r="T268" i="13"/>
  <c r="O268" i="13" s="1"/>
  <c r="T606" i="13"/>
  <c r="O606" i="13" s="1"/>
  <c r="Q333" i="16"/>
  <c r="Q349" i="16"/>
  <c r="Q331" i="16"/>
  <c r="Q537" i="16"/>
  <c r="Q450" i="16"/>
  <c r="Q135" i="16"/>
  <c r="BA629" i="13"/>
  <c r="BB629" i="13" s="1"/>
  <c r="BA238" i="13"/>
  <c r="BB238" i="13" s="1"/>
  <c r="T607" i="13"/>
  <c r="O607" i="13" s="1"/>
  <c r="T54" i="13"/>
  <c r="O54" i="13" s="1"/>
  <c r="BA849" i="13"/>
  <c r="BB849" i="13" s="1"/>
  <c r="T170" i="13"/>
  <c r="O170" i="13" s="1"/>
  <c r="BA423" i="13"/>
  <c r="BB423" i="13" s="1"/>
  <c r="BA299" i="13"/>
  <c r="BB299" i="13" s="1"/>
  <c r="T30" i="13"/>
  <c r="O30" i="13" s="1"/>
  <c r="BA350" i="13"/>
  <c r="BB350" i="13" s="1"/>
  <c r="BA571" i="13"/>
  <c r="BB571" i="13" s="1"/>
  <c r="X19" i="13"/>
  <c r="X25" i="13"/>
  <c r="BA544" i="13"/>
  <c r="BB544" i="13" s="1"/>
  <c r="BA452" i="13"/>
  <c r="BB452" i="13" s="1"/>
  <c r="T452" i="13"/>
  <c r="O452" i="13" s="1"/>
  <c r="T258" i="13"/>
  <c r="O258" i="13" s="1"/>
  <c r="BA425" i="13"/>
  <c r="BB425" i="13" s="1"/>
  <c r="BA477" i="13"/>
  <c r="BB477" i="13" s="1"/>
  <c r="BA149" i="13"/>
  <c r="BB149" i="13" s="1"/>
  <c r="BA76" i="13"/>
  <c r="BB76" i="13" s="1"/>
  <c r="BA698" i="13"/>
  <c r="BB698" i="13" s="1"/>
  <c r="BA335" i="13"/>
  <c r="BB335" i="13" s="1"/>
  <c r="BA82" i="13"/>
  <c r="BB82" i="13" s="1"/>
  <c r="BA766" i="13"/>
  <c r="BB766" i="13" s="1"/>
  <c r="BA99" i="13"/>
  <c r="BB99" i="13" s="1"/>
  <c r="Q47" i="16"/>
  <c r="Q179" i="16"/>
  <c r="Q184" i="16"/>
  <c r="T537" i="13"/>
  <c r="O537" i="13" s="1"/>
  <c r="Q197" i="16"/>
  <c r="Q308" i="16"/>
  <c r="BA54" i="13"/>
  <c r="BB54" i="13" s="1"/>
  <c r="T535" i="13"/>
  <c r="O535" i="13" s="1"/>
  <c r="Q563" i="16"/>
  <c r="BA290" i="13"/>
  <c r="BB290" i="13" s="1"/>
  <c r="BA354" i="13"/>
  <c r="BB354" i="13" s="1"/>
  <c r="X262" i="13"/>
  <c r="X721" i="13"/>
  <c r="BA25" i="13"/>
  <c r="BB25" i="13" s="1"/>
  <c r="BA703" i="13"/>
  <c r="BB703" i="13" s="1"/>
  <c r="BA569" i="13"/>
  <c r="BB569" i="13" s="1"/>
  <c r="BA661" i="13"/>
  <c r="BB661" i="13" s="1"/>
  <c r="BA485" i="13"/>
  <c r="BB485" i="13" s="1"/>
  <c r="BA793" i="13"/>
  <c r="BB793" i="13" s="1"/>
  <c r="BA147" i="13"/>
  <c r="BB147" i="13" s="1"/>
  <c r="BA773" i="13"/>
  <c r="BB773" i="13" s="1"/>
  <c r="BA146" i="13"/>
  <c r="BB146" i="13" s="1"/>
  <c r="BA301" i="13"/>
  <c r="BB301" i="13" s="1"/>
  <c r="BA559" i="13"/>
  <c r="BB559" i="13" s="1"/>
  <c r="BA563" i="13"/>
  <c r="BB563" i="13" s="1"/>
  <c r="BA664" i="13"/>
  <c r="BB664" i="13" s="1"/>
  <c r="BA198" i="13"/>
  <c r="BB198" i="13" s="1"/>
  <c r="BA706" i="13"/>
  <c r="BB706" i="13" s="1"/>
  <c r="BA156" i="13"/>
  <c r="BB156" i="13" s="1"/>
  <c r="Q82" i="16"/>
  <c r="Q63" i="16"/>
  <c r="T62" i="13"/>
  <c r="O62" i="13" s="1"/>
  <c r="Q386" i="16"/>
  <c r="Q241" i="16"/>
  <c r="T538" i="13"/>
  <c r="O538" i="13" s="1"/>
  <c r="T78" i="13"/>
  <c r="O78" i="13" s="1"/>
  <c r="Q389" i="16"/>
  <c r="T109" i="13"/>
  <c r="O109" i="13" s="1"/>
  <c r="T759" i="13"/>
  <c r="O759" i="13" s="1"/>
  <c r="T430" i="13"/>
  <c r="O430" i="13" s="1"/>
  <c r="Q258" i="16"/>
  <c r="Q261" i="16"/>
  <c r="Q540" i="16"/>
  <c r="Q360" i="16"/>
  <c r="Q221" i="16"/>
  <c r="Q481" i="16"/>
  <c r="BA169" i="13"/>
  <c r="BB169" i="13" s="1"/>
  <c r="BA331" i="13"/>
  <c r="BB331" i="13" s="1"/>
  <c r="Q496" i="16"/>
  <c r="BA761" i="13"/>
  <c r="BB761" i="13" s="1"/>
  <c r="T117" i="13"/>
  <c r="O117" i="13" s="1"/>
  <c r="Q157" i="16"/>
  <c r="BA537" i="13"/>
  <c r="BB537" i="13" s="1"/>
  <c r="BA669" i="13"/>
  <c r="BB669" i="13" s="1"/>
  <c r="BA538" i="13"/>
  <c r="BB538" i="13" s="1"/>
  <c r="X728" i="13"/>
  <c r="X18" i="13"/>
  <c r="BA442" i="13"/>
  <c r="BB442" i="13" s="1"/>
  <c r="BA701" i="13"/>
  <c r="BB701" i="13" s="1"/>
  <c r="BA111" i="13"/>
  <c r="BB111" i="13" s="1"/>
  <c r="BA112" i="13"/>
  <c r="BB112" i="13" s="1"/>
  <c r="Q270" i="16"/>
  <c r="T295" i="13"/>
  <c r="O295" i="13" s="1"/>
  <c r="Q347" i="16"/>
  <c r="T428" i="13"/>
  <c r="O428" i="13" s="1"/>
  <c r="BA589" i="13"/>
  <c r="BB589" i="13" s="1"/>
  <c r="BA129" i="13"/>
  <c r="BB129" i="13" s="1"/>
  <c r="BA663" i="13"/>
  <c r="BB663" i="13" s="1"/>
  <c r="T494" i="13"/>
  <c r="O494" i="13" s="1"/>
  <c r="BA295" i="13"/>
  <c r="BB295" i="13" s="1"/>
  <c r="X14" i="13"/>
  <c r="BA172" i="13"/>
  <c r="BB172" i="13" s="1"/>
  <c r="BA29" i="13"/>
  <c r="BB29" i="13" s="1"/>
  <c r="Q391" i="16"/>
  <c r="Q112" i="16"/>
  <c r="Q327" i="16"/>
  <c r="Q222" i="16"/>
  <c r="Q33" i="16"/>
  <c r="Q353" i="16"/>
  <c r="T795" i="13"/>
  <c r="O795" i="13" s="1"/>
  <c r="Q26" i="16"/>
  <c r="X487" i="13"/>
  <c r="BA487" i="13"/>
  <c r="BB487" i="13" s="1"/>
  <c r="BA847" i="13"/>
  <c r="BB847" i="13" s="1"/>
  <c r="Q376" i="16"/>
  <c r="BA726" i="13"/>
  <c r="BB726" i="13" s="1"/>
  <c r="BA358" i="13"/>
  <c r="BB358" i="13" s="1"/>
  <c r="Q97" i="16"/>
  <c r="Q289" i="16"/>
  <c r="BA450" i="13"/>
  <c r="BB450" i="13" s="1"/>
  <c r="T211" i="13"/>
  <c r="O211" i="13" s="1"/>
  <c r="BA611" i="13"/>
  <c r="BB611" i="13" s="1"/>
  <c r="BA100" i="13"/>
  <c r="BB100" i="13" s="1"/>
  <c r="Q336" i="16"/>
  <c r="BA433" i="13"/>
  <c r="BB433" i="13" s="1"/>
  <c r="BA341" i="13"/>
  <c r="BB341" i="13" s="1"/>
  <c r="BA488" i="13"/>
  <c r="BB488" i="13" s="1"/>
  <c r="BA836" i="13"/>
  <c r="BB836" i="13" s="1"/>
  <c r="Q165" i="16"/>
  <c r="BA247" i="13"/>
  <c r="BB247" i="13" s="1"/>
  <c r="BA763" i="13"/>
  <c r="BB763" i="13" s="1"/>
  <c r="BA720" i="13"/>
  <c r="BB720" i="13" s="1"/>
  <c r="BA395" i="13"/>
  <c r="BB395" i="13" s="1"/>
  <c r="BA64" i="13"/>
  <c r="BB64" i="13" s="1"/>
  <c r="BA287" i="13"/>
  <c r="BB287" i="13" s="1"/>
  <c r="BA243" i="13"/>
  <c r="BB243" i="13" s="1"/>
  <c r="BA682" i="13"/>
  <c r="BB682" i="13" s="1"/>
  <c r="BA343" i="13"/>
  <c r="BB343" i="13" s="1"/>
  <c r="BA767" i="13"/>
  <c r="BB767" i="13" s="1"/>
  <c r="BA78" i="13"/>
  <c r="BB78" i="13" s="1"/>
  <c r="BA542" i="13"/>
  <c r="BB542" i="13" s="1"/>
  <c r="Q138" i="16"/>
  <c r="Q599" i="16"/>
  <c r="Q552" i="16"/>
  <c r="BA266" i="13"/>
  <c r="BB266" i="13" s="1"/>
  <c r="T524" i="13"/>
  <c r="O524" i="13" s="1"/>
  <c r="X609" i="13"/>
  <c r="Q101" i="16"/>
  <c r="Q602" i="16"/>
  <c r="Q582" i="16"/>
  <c r="T491" i="13"/>
  <c r="O491" i="13" s="1"/>
  <c r="BA533" i="13"/>
  <c r="BB533" i="13" s="1"/>
  <c r="Q487" i="16"/>
  <c r="T682" i="13"/>
  <c r="O682" i="13" s="1"/>
  <c r="T339" i="13"/>
  <c r="O339" i="13" s="1"/>
  <c r="T498" i="13"/>
  <c r="O498" i="13" s="1"/>
  <c r="BA560" i="13"/>
  <c r="BB560" i="13" s="1"/>
  <c r="Q51" i="16"/>
  <c r="BA339" i="13"/>
  <c r="BB339" i="13" s="1"/>
  <c r="T314" i="13"/>
  <c r="O314" i="13" s="1"/>
  <c r="Q357" i="16"/>
  <c r="BA652" i="13"/>
  <c r="BB652" i="13" s="1"/>
  <c r="X20" i="13"/>
  <c r="BA616" i="13"/>
  <c r="BB616" i="13" s="1"/>
  <c r="BA376" i="13"/>
  <c r="BB376" i="13" s="1"/>
  <c r="BA588" i="13"/>
  <c r="BB588" i="13" s="1"/>
  <c r="BA263" i="13"/>
  <c r="BB263" i="13" s="1"/>
  <c r="Q39" i="16"/>
  <c r="Q366" i="16"/>
  <c r="T762" i="13"/>
  <c r="O762" i="13" s="1"/>
  <c r="Q403" i="16"/>
  <c r="BA532" i="13"/>
  <c r="BB532" i="13" s="1"/>
  <c r="BA222" i="13"/>
  <c r="BB222" i="13" s="1"/>
  <c r="BA304" i="13"/>
  <c r="BB304" i="13" s="1"/>
  <c r="BA406" i="13"/>
  <c r="BB406" i="13" s="1"/>
  <c r="BA249" i="13"/>
  <c r="BB249" i="13" s="1"/>
  <c r="T67" i="13"/>
  <c r="O67" i="13" s="1"/>
  <c r="Q147" i="16"/>
  <c r="Q423" i="16"/>
  <c r="T560" i="13"/>
  <c r="O560" i="13" s="1"/>
  <c r="Q400" i="16"/>
  <c r="Q485" i="16"/>
  <c r="BA284" i="13"/>
  <c r="BB284" i="13" s="1"/>
  <c r="Q24" i="16"/>
  <c r="X379" i="13"/>
  <c r="BA33" i="13"/>
  <c r="BB33" i="13" s="1"/>
  <c r="BA175" i="13"/>
  <c r="BB175" i="13" s="1"/>
  <c r="Q464" i="16"/>
  <c r="T20" i="13"/>
  <c r="O20" i="13" s="1"/>
  <c r="BA613" i="13"/>
  <c r="BB613" i="13" s="1"/>
  <c r="BA799" i="13"/>
  <c r="BB799" i="13" s="1"/>
  <c r="BA451" i="13"/>
  <c r="BB451" i="13" s="1"/>
  <c r="Q293" i="16"/>
  <c r="Q359" i="16"/>
  <c r="Q377" i="16"/>
  <c r="T451" i="13"/>
  <c r="O451" i="13" s="1"/>
  <c r="Q457" i="16"/>
  <c r="Q478" i="16"/>
  <c r="BA123" i="13"/>
  <c r="BB123" i="13" s="1"/>
  <c r="BA67" i="13"/>
  <c r="BB67" i="13" s="1"/>
  <c r="BA65" i="13"/>
  <c r="BB65" i="13" s="1"/>
  <c r="BA801" i="13"/>
  <c r="BB801" i="13" s="1"/>
  <c r="BA727" i="13"/>
  <c r="BB727" i="13" s="1"/>
  <c r="BA157" i="13"/>
  <c r="BB157" i="13" s="1"/>
  <c r="Q334" i="16"/>
  <c r="BA431" i="13"/>
  <c r="BB431" i="13" s="1"/>
  <c r="Q212" i="16"/>
  <c r="BA774" i="13"/>
  <c r="BB774" i="13" s="1"/>
  <c r="BA399" i="13"/>
  <c r="BB399" i="13" s="1"/>
  <c r="BA63" i="13"/>
  <c r="BB63" i="13" s="1"/>
  <c r="BA864" i="13"/>
  <c r="BB864" i="13" s="1"/>
  <c r="BA590" i="13"/>
  <c r="BB590" i="13" s="1"/>
  <c r="BA27" i="13"/>
  <c r="BB27" i="13" s="1"/>
  <c r="BA709" i="13"/>
  <c r="BB709" i="13" s="1"/>
  <c r="BA126" i="13"/>
  <c r="BB126" i="13" s="1"/>
  <c r="BA764" i="13"/>
  <c r="BB764" i="13" s="1"/>
  <c r="BA672" i="13"/>
  <c r="BB672" i="13" s="1"/>
  <c r="BA215" i="13"/>
  <c r="BB215" i="13" s="1"/>
  <c r="BA314" i="13"/>
  <c r="BB314" i="13" s="1"/>
  <c r="BA130" i="13"/>
  <c r="BB130" i="13" s="1"/>
  <c r="BA540" i="13"/>
  <c r="BB540" i="13" s="1"/>
  <c r="BA707" i="13"/>
  <c r="BB707" i="13" s="1"/>
  <c r="Q231" i="16"/>
  <c r="Q249" i="16"/>
  <c r="Q188" i="16"/>
  <c r="T406" i="13"/>
  <c r="O406" i="13" s="1"/>
  <c r="Q295" i="16"/>
  <c r="T249" i="13"/>
  <c r="O249" i="13" s="1"/>
  <c r="T123" i="13"/>
  <c r="O123" i="13" s="1"/>
  <c r="T376" i="13"/>
  <c r="O376" i="13" s="1"/>
  <c r="Q447" i="16"/>
  <c r="T158" i="13"/>
  <c r="O158" i="13" s="1"/>
  <c r="Q511" i="16"/>
  <c r="BA580" i="13"/>
  <c r="BB580" i="13" s="1"/>
  <c r="BA654" i="13"/>
  <c r="BB654" i="13" s="1"/>
  <c r="T840" i="13"/>
  <c r="O840" i="13" s="1"/>
  <c r="Q549" i="16"/>
  <c r="T836" i="13"/>
  <c r="O836" i="13" s="1"/>
  <c r="BA498" i="13"/>
  <c r="BB498" i="13" s="1"/>
  <c r="BA525" i="13"/>
  <c r="BB525" i="13" s="1"/>
  <c r="BA491" i="13"/>
  <c r="BB491" i="13" s="1"/>
  <c r="BA471" i="13"/>
  <c r="BB471" i="13" s="1"/>
  <c r="Q86" i="16"/>
  <c r="Q273" i="16"/>
  <c r="Q81" i="16"/>
  <c r="Q410" i="16"/>
  <c r="T440" i="13"/>
  <c r="O440" i="13" s="1"/>
  <c r="Q185" i="16"/>
  <c r="Q107" i="16"/>
  <c r="Q569" i="16"/>
  <c r="BA161" i="13"/>
  <c r="BB161" i="13" s="1"/>
  <c r="T192" i="13"/>
  <c r="O192" i="13" s="1"/>
  <c r="Q551" i="16"/>
  <c r="Q579" i="16"/>
  <c r="Q520" i="16"/>
  <c r="Q505" i="16"/>
  <c r="Q211" i="16"/>
  <c r="BA440" i="13"/>
  <c r="BB440" i="13" s="1"/>
  <c r="T17" i="13"/>
  <c r="O17" i="13" s="1"/>
  <c r="BA840" i="13"/>
  <c r="BB840" i="13" s="1"/>
  <c r="T13" i="13"/>
  <c r="O13" i="13" s="1"/>
  <c r="BA118" i="13"/>
  <c r="BB118" i="13" s="1"/>
  <c r="X854" i="13"/>
  <c r="BA468" i="13"/>
  <c r="BB468" i="13" s="1"/>
  <c r="Q372" i="16"/>
  <c r="Q454" i="16"/>
  <c r="BA486" i="13"/>
  <c r="BB486" i="13" s="1"/>
  <c r="BA120" i="13"/>
  <c r="BB120" i="13" s="1"/>
  <c r="Q60" i="16"/>
  <c r="Q154" i="16"/>
  <c r="BA523" i="13"/>
  <c r="BB523" i="13" s="1"/>
  <c r="BA396" i="13"/>
  <c r="BB396" i="13" s="1"/>
  <c r="BA615" i="13"/>
  <c r="BB615" i="13" s="1"/>
  <c r="BA843" i="13"/>
  <c r="BB843" i="13" s="1"/>
  <c r="BA307" i="13"/>
  <c r="BB307" i="13" s="1"/>
  <c r="BA846" i="13"/>
  <c r="BB846" i="13" s="1"/>
  <c r="BA267" i="13"/>
  <c r="BB267" i="13" s="1"/>
  <c r="Q90" i="16"/>
  <c r="Q208" i="16"/>
  <c r="Q272" i="16"/>
  <c r="T635" i="13"/>
  <c r="O635" i="13" s="1"/>
  <c r="T468" i="13"/>
  <c r="O468" i="13" s="1"/>
  <c r="Q508" i="16"/>
  <c r="Q275" i="16"/>
  <c r="BA675" i="13"/>
  <c r="BB675" i="13" s="1"/>
  <c r="Q309" i="16"/>
  <c r="Q531" i="16"/>
  <c r="X17" i="13"/>
  <c r="T212" i="13"/>
  <c r="O212" i="13" s="1"/>
  <c r="Q374" i="16"/>
  <c r="T764" i="13"/>
  <c r="O764" i="13" s="1"/>
  <c r="BA635" i="13"/>
  <c r="BB635" i="13" s="1"/>
  <c r="BA744" i="13"/>
  <c r="BB744" i="13" s="1"/>
  <c r="X819" i="13"/>
  <c r="BA543" i="13"/>
  <c r="BB543" i="13" s="1"/>
  <c r="BA610" i="13"/>
  <c r="BB610" i="13" s="1"/>
  <c r="BA668" i="13"/>
  <c r="BB668" i="13" s="1"/>
  <c r="BA245" i="13"/>
  <c r="BB245" i="13" s="1"/>
  <c r="BA61" i="13"/>
  <c r="BB61" i="13" s="1"/>
  <c r="Q170" i="16"/>
  <c r="Q106" i="16"/>
  <c r="T573" i="13"/>
  <c r="O573" i="13" s="1"/>
  <c r="Q214" i="16"/>
  <c r="T153" i="13"/>
  <c r="O153" i="13" s="1"/>
  <c r="T448" i="13"/>
  <c r="O448" i="13" s="1"/>
  <c r="T263" i="13"/>
  <c r="O263" i="13" s="1"/>
  <c r="Q311" i="16"/>
  <c r="T613" i="13"/>
  <c r="O613" i="13" s="1"/>
  <c r="T355" i="13"/>
  <c r="O355" i="13" s="1"/>
  <c r="T71" i="13"/>
  <c r="O71" i="13" s="1"/>
  <c r="BA631" i="13"/>
  <c r="BB631" i="13" s="1"/>
  <c r="BA71" i="13"/>
  <c r="BB71" i="13" s="1"/>
  <c r="BA113" i="13"/>
  <c r="BB113" i="13" s="1"/>
  <c r="BA148" i="13"/>
  <c r="BB148" i="13" s="1"/>
  <c r="BA69" i="13"/>
  <c r="BB69" i="13" s="1"/>
  <c r="BA334" i="13"/>
  <c r="BB334" i="13" s="1"/>
  <c r="BA521" i="13"/>
  <c r="BB521" i="13" s="1"/>
  <c r="Q62" i="16"/>
  <c r="Q204" i="16"/>
  <c r="BA58" i="13"/>
  <c r="BB58" i="13" s="1"/>
  <c r="BA83" i="13"/>
  <c r="BB83" i="13" s="1"/>
  <c r="Q565" i="16"/>
  <c r="Q437" i="16"/>
  <c r="BA337" i="13"/>
  <c r="BB337" i="13" s="1"/>
  <c r="BA573" i="13"/>
  <c r="BB573" i="13" s="1"/>
  <c r="X817" i="13"/>
  <c r="BA541" i="13"/>
  <c r="BB541" i="13" s="1"/>
  <c r="T790" i="13"/>
  <c r="O790" i="13" s="1"/>
  <c r="BA447" i="13"/>
  <c r="BB447" i="13" s="1"/>
  <c r="BA853" i="13"/>
  <c r="BB853" i="13" s="1"/>
  <c r="BA850" i="13"/>
  <c r="BB850" i="13" s="1"/>
  <c r="BA426" i="13"/>
  <c r="BB426" i="13" s="1"/>
  <c r="BA797" i="13"/>
  <c r="BB797" i="13" s="1"/>
  <c r="T429" i="13"/>
  <c r="O429" i="13" s="1"/>
  <c r="Q480" i="16"/>
  <c r="Q490" i="16"/>
  <c r="Q183" i="16"/>
  <c r="Q416" i="16"/>
  <c r="Q567" i="16"/>
  <c r="T148" i="13"/>
  <c r="O148" i="13" s="1"/>
  <c r="BA815" i="13"/>
  <c r="BB815" i="13" s="1"/>
  <c r="BA478" i="13"/>
  <c r="BB478" i="13" s="1"/>
  <c r="BA528" i="13"/>
  <c r="BB528" i="13" s="1"/>
  <c r="BA665" i="13"/>
  <c r="BB665" i="13" s="1"/>
  <c r="BA723" i="13"/>
  <c r="BB723" i="13" s="1"/>
  <c r="BA160" i="13"/>
  <c r="BB160" i="13" s="1"/>
  <c r="Q140" i="16"/>
  <c r="T150" i="13"/>
  <c r="O150" i="13" s="1"/>
  <c r="T116" i="13"/>
  <c r="O116" i="13" s="1"/>
  <c r="Q38" i="16"/>
  <c r="Q352" i="16"/>
  <c r="Q43" i="16"/>
  <c r="Q117" i="16"/>
  <c r="BA429" i="13"/>
  <c r="BB429" i="13" s="1"/>
  <c r="T24" i="13"/>
  <c r="O24" i="13" s="1"/>
  <c r="BA355" i="13"/>
  <c r="BB355" i="13" s="1"/>
  <c r="BA484" i="13"/>
  <c r="BB484" i="13" s="1"/>
  <c r="BA24" i="13"/>
  <c r="BB24" i="13" s="1"/>
  <c r="Q494" i="16"/>
  <c r="Q439" i="16"/>
  <c r="Q332" i="16"/>
  <c r="T760" i="13"/>
  <c r="O760" i="13" s="1"/>
  <c r="BA448" i="13"/>
  <c r="BB448" i="13" s="1"/>
  <c r="Q396" i="16"/>
  <c r="Q355" i="16"/>
  <c r="BA392" i="13"/>
  <c r="BB392" i="13" s="1"/>
  <c r="Q35" i="16"/>
  <c r="BA705" i="13"/>
  <c r="BB705" i="13" s="1"/>
  <c r="BA153" i="13"/>
  <c r="BB153" i="13" s="1"/>
  <c r="BA518" i="13"/>
  <c r="BB518" i="13" s="1"/>
  <c r="BA116" i="13"/>
  <c r="BB116" i="13" s="1"/>
  <c r="BA576" i="13"/>
  <c r="BB576" i="13" s="1"/>
  <c r="T337" i="13"/>
  <c r="O337" i="13" s="1"/>
  <c r="T392" i="13"/>
  <c r="O392" i="13" s="1"/>
  <c r="T205" i="13"/>
  <c r="O205" i="13" s="1"/>
  <c r="T344" i="13"/>
  <c r="O344" i="13" s="1"/>
  <c r="BA297" i="13"/>
  <c r="BB297" i="13" s="1"/>
  <c r="BA102" i="13"/>
  <c r="BB102" i="13" s="1"/>
  <c r="BA208" i="13"/>
  <c r="BB208" i="13" s="1"/>
  <c r="BA389" i="13"/>
  <c r="BB389" i="13" s="1"/>
  <c r="BA725" i="13"/>
  <c r="BB725" i="13" s="1"/>
  <c r="Q503" i="16"/>
  <c r="Q160" i="16"/>
  <c r="BA757" i="13"/>
  <c r="BB757" i="13" s="1"/>
  <c r="T401" i="13"/>
  <c r="O401" i="13" s="1"/>
  <c r="BA539" i="13"/>
  <c r="BB539" i="13" s="1"/>
  <c r="BA712" i="13"/>
  <c r="BB712" i="13" s="1"/>
  <c r="BA620" i="13"/>
  <c r="BB620" i="13" s="1"/>
  <c r="BA670" i="13"/>
  <c r="BB670" i="13" s="1"/>
  <c r="BA171" i="13"/>
  <c r="BB171" i="13" s="1"/>
  <c r="BA702" i="13"/>
  <c r="BB702" i="13" s="1"/>
  <c r="T245" i="13"/>
  <c r="O245" i="13" s="1"/>
  <c r="Q326" i="16"/>
  <c r="Q521" i="16"/>
  <c r="BA760" i="13"/>
  <c r="BB760" i="13" s="1"/>
  <c r="T620" i="13"/>
  <c r="O620" i="13" s="1"/>
  <c r="T539" i="13"/>
  <c r="O539" i="13" s="1"/>
  <c r="Q483" i="16"/>
  <c r="BA804" i="13"/>
  <c r="BB804" i="13" s="1"/>
  <c r="BA195" i="13"/>
  <c r="BB195" i="13" s="1"/>
  <c r="BA300" i="13"/>
  <c r="BB300" i="13" s="1"/>
  <c r="BA265" i="13"/>
  <c r="BB265" i="13" s="1"/>
  <c r="T110" i="13"/>
  <c r="O110" i="13" s="1"/>
  <c r="Q368" i="16"/>
  <c r="T666" i="13"/>
  <c r="O666" i="13" s="1"/>
  <c r="BA513" i="13"/>
  <c r="BB513" i="13" s="1"/>
  <c r="BA264" i="13"/>
  <c r="BB264" i="13" s="1"/>
  <c r="BA152" i="13"/>
  <c r="BB152" i="13" s="1"/>
  <c r="BA856" i="13"/>
  <c r="BB856" i="13" s="1"/>
  <c r="BA173" i="13"/>
  <c r="BB173" i="13" s="1"/>
  <c r="BA749" i="13"/>
  <c r="BB749" i="13" s="1"/>
  <c r="BA710" i="13"/>
  <c r="BB710" i="13" s="1"/>
  <c r="BA357" i="13"/>
  <c r="BB357" i="13" s="1"/>
  <c r="BA747" i="13"/>
  <c r="BB747" i="13" s="1"/>
  <c r="BA205" i="13"/>
  <c r="BB205" i="13" s="1"/>
  <c r="BA292" i="13"/>
  <c r="BB292" i="13" s="1"/>
  <c r="BA472" i="13"/>
  <c r="BB472" i="13" s="1"/>
  <c r="BA211" i="13"/>
  <c r="BB211" i="13" s="1"/>
  <c r="BA474" i="13"/>
  <c r="BB474" i="13" s="1"/>
  <c r="BA163" i="13"/>
  <c r="BB163" i="13" s="1"/>
  <c r="BA656" i="13"/>
  <c r="BB656" i="13" s="1"/>
  <c r="BA717" i="13"/>
  <c r="BB717" i="13" s="1"/>
  <c r="T436" i="13"/>
  <c r="O436" i="13" s="1"/>
  <c r="Q463" i="16"/>
  <c r="Q598" i="16"/>
  <c r="Q230" i="16"/>
  <c r="Q482" i="16"/>
  <c r="Q168" i="16"/>
  <c r="Q251" i="16"/>
  <c r="Q151" i="16"/>
  <c r="T588" i="13"/>
  <c r="O588" i="13" s="1"/>
  <c r="BA402" i="13"/>
  <c r="BB402" i="13" s="1"/>
  <c r="T856" i="13"/>
  <c r="O856" i="13" s="1"/>
  <c r="T845" i="13"/>
  <c r="O845" i="13" s="1"/>
  <c r="Q488" i="16"/>
  <c r="Q434" i="16"/>
  <c r="BA168" i="13"/>
  <c r="BB168" i="13" s="1"/>
  <c r="Q155" i="16"/>
  <c r="BA481" i="13"/>
  <c r="BB481" i="13" s="1"/>
  <c r="T19" i="13"/>
  <c r="O19" i="13" s="1"/>
  <c r="BA439" i="13"/>
  <c r="BB439" i="13" s="1"/>
  <c r="X252" i="13"/>
  <c r="X35" i="13"/>
  <c r="BA421" i="13"/>
  <c r="BB421" i="13" s="1"/>
  <c r="BA623" i="13"/>
  <c r="BB623" i="13" s="1"/>
  <c r="Q443" i="16"/>
  <c r="BA427" i="13"/>
  <c r="BB427" i="13" s="1"/>
  <c r="BA237" i="13"/>
  <c r="BB237" i="13" s="1"/>
  <c r="BA716" i="13"/>
  <c r="BB716" i="13" s="1"/>
  <c r="BA449" i="13"/>
  <c r="BB449" i="13" s="1"/>
  <c r="BA441" i="13"/>
  <c r="BB441" i="13" s="1"/>
  <c r="BA158" i="13"/>
  <c r="BB158" i="13" s="1"/>
  <c r="BA288" i="13"/>
  <c r="BB288" i="13" s="1"/>
  <c r="T386" i="13"/>
  <c r="O386" i="13" s="1"/>
  <c r="BA59" i="13"/>
  <c r="BB59" i="13" s="1"/>
  <c r="BA436" i="13"/>
  <c r="BB436" i="13" s="1"/>
  <c r="BA397" i="13"/>
  <c r="BB397" i="13" s="1"/>
  <c r="BA103" i="13"/>
  <c r="BB103" i="13" s="1"/>
  <c r="Q111" i="16"/>
  <c r="Q247" i="16"/>
  <c r="T287" i="13"/>
  <c r="O287" i="13" s="1"/>
  <c r="Q201" i="16"/>
  <c r="Q225" i="16"/>
  <c r="Q383" i="16"/>
  <c r="Q248" i="16"/>
  <c r="Q418" i="16"/>
  <c r="Q600" i="16"/>
  <c r="T74" i="13"/>
  <c r="O74" i="13" s="1"/>
  <c r="Q265" i="16"/>
  <c r="Q322" i="16"/>
  <c r="Q417" i="16"/>
  <c r="T379" i="13"/>
  <c r="O379" i="13" s="1"/>
  <c r="T853" i="13"/>
  <c r="O853" i="13" s="1"/>
  <c r="BA808" i="13"/>
  <c r="BB808" i="13" s="1"/>
  <c r="T156" i="13"/>
  <c r="O156" i="13" s="1"/>
  <c r="BA624" i="13"/>
  <c r="BB624" i="13" s="1"/>
  <c r="Q32" i="16"/>
  <c r="BA283" i="13"/>
  <c r="BB283" i="13" s="1"/>
  <c r="T347" i="13"/>
  <c r="O347" i="13" s="1"/>
  <c r="Q544" i="16"/>
  <c r="T384" i="13"/>
  <c r="O384" i="13" s="1"/>
  <c r="BA526" i="13"/>
  <c r="BB526" i="13" s="1"/>
  <c r="BA651" i="13"/>
  <c r="BB651" i="13" s="1"/>
  <c r="X22" i="13"/>
  <c r="BA344" i="13"/>
  <c r="BB344" i="13" s="1"/>
  <c r="BA789" i="13"/>
  <c r="BB789" i="13" s="1"/>
  <c r="BA715" i="13"/>
  <c r="BB715" i="13" s="1"/>
  <c r="BA145" i="13"/>
  <c r="BB145" i="13" s="1"/>
  <c r="BA809" i="13"/>
  <c r="BB809" i="13" s="1"/>
  <c r="BA660" i="13"/>
  <c r="BB660" i="13" s="1"/>
  <c r="BA194" i="13"/>
  <c r="BB194" i="13" s="1"/>
  <c r="Q321" i="16"/>
  <c r="T752" i="13"/>
  <c r="O752" i="13" s="1"/>
  <c r="Q452" i="16"/>
  <c r="T404" i="13"/>
  <c r="O404" i="13" s="1"/>
  <c r="Q109" i="16"/>
  <c r="Q557" i="16"/>
  <c r="BA381" i="13"/>
  <c r="BB381" i="13" s="1"/>
  <c r="BA697" i="13"/>
  <c r="BB697" i="13" s="1"/>
  <c r="Q13" i="16"/>
  <c r="BA605" i="13"/>
  <c r="BB605" i="13" s="1"/>
  <c r="BA218" i="13"/>
  <c r="BB218" i="13" s="1"/>
  <c r="Q162" i="16"/>
  <c r="T623" i="13"/>
  <c r="O623" i="13" s="1"/>
  <c r="Q594" i="16"/>
  <c r="BA752" i="13"/>
  <c r="BB752" i="13" s="1"/>
  <c r="BA347" i="13"/>
  <c r="BB347" i="13" s="1"/>
  <c r="BA105" i="13"/>
  <c r="BB105" i="13" s="1"/>
  <c r="BA796" i="13"/>
  <c r="BB796" i="13" s="1"/>
  <c r="BA242" i="13"/>
  <c r="BB242" i="13" s="1"/>
  <c r="BA807" i="13"/>
  <c r="BB807" i="13" s="1"/>
  <c r="BA794" i="13"/>
  <c r="BB794" i="13" s="1"/>
  <c r="BA673" i="13"/>
  <c r="BB673" i="13" s="1"/>
  <c r="BA496" i="13"/>
  <c r="BB496" i="13" s="1"/>
  <c r="BA340" i="13"/>
  <c r="BB340" i="13" s="1"/>
  <c r="BA150" i="13"/>
  <c r="BB150" i="13" s="1"/>
  <c r="BA633" i="13"/>
  <c r="BB633" i="13" s="1"/>
  <c r="BA56" i="13"/>
  <c r="BB56" i="13" s="1"/>
  <c r="BA800" i="13"/>
  <c r="BB800" i="13" s="1"/>
  <c r="BA708" i="13"/>
  <c r="BB708" i="13" s="1"/>
  <c r="BA750" i="13"/>
  <c r="BB750" i="13" s="1"/>
  <c r="BA818" i="13"/>
  <c r="BB818" i="13" s="1"/>
  <c r="BA566" i="13"/>
  <c r="BB566" i="13" s="1"/>
  <c r="BA634" i="13"/>
  <c r="BB634" i="13" s="1"/>
  <c r="Q145" i="16"/>
  <c r="T352" i="13"/>
  <c r="O352" i="13" s="1"/>
  <c r="Q375" i="16"/>
  <c r="Q119" i="16"/>
  <c r="T174" i="13"/>
  <c r="O174" i="13" s="1"/>
  <c r="T481" i="13"/>
  <c r="O481" i="13" s="1"/>
  <c r="Q539" i="16"/>
  <c r="T194" i="13"/>
  <c r="O194" i="13" s="1"/>
  <c r="T439" i="13"/>
  <c r="O439" i="13" s="1"/>
  <c r="Q462" i="16"/>
  <c r="Q42" i="16"/>
  <c r="Q271" i="16"/>
  <c r="Q362" i="16"/>
  <c r="T804" i="13"/>
  <c r="O804" i="13" s="1"/>
  <c r="Q337" i="16"/>
  <c r="Q224" i="16"/>
  <c r="Q367" i="16"/>
  <c r="T292" i="13"/>
  <c r="O292" i="13" s="1"/>
  <c r="Q57" i="16"/>
  <c r="T715" i="13"/>
  <c r="O715" i="13" s="1"/>
  <c r="Q568" i="16"/>
  <c r="Q550" i="16"/>
  <c r="BA250" i="13"/>
  <c r="BB250" i="13" s="1"/>
  <c r="BA310" i="13"/>
  <c r="BB310" i="13" s="1"/>
  <c r="BA66" i="13"/>
  <c r="BB66" i="13" s="1"/>
  <c r="BA79" i="13"/>
  <c r="BB79" i="13" s="1"/>
  <c r="BA568" i="13"/>
  <c r="BB568" i="13" s="1"/>
  <c r="X27" i="13"/>
  <c r="BA531" i="13"/>
  <c r="BB531" i="13" s="1"/>
  <c r="BA53" i="13"/>
  <c r="BB53" i="13" s="1"/>
  <c r="BA816" i="13"/>
  <c r="BB816" i="13" s="1"/>
  <c r="BA60" i="13"/>
  <c r="BB60" i="13" s="1"/>
  <c r="BA565" i="13"/>
  <c r="BB565" i="13" s="1"/>
  <c r="Q354" i="16"/>
  <c r="T796" i="13"/>
  <c r="O796" i="13" s="1"/>
  <c r="Q559" i="16"/>
  <c r="Q431" i="16"/>
  <c r="T476" i="13"/>
  <c r="O476" i="13" s="1"/>
  <c r="Q173" i="16"/>
  <c r="Q219" i="16"/>
  <c r="T421" i="13"/>
  <c r="O421" i="13" s="1"/>
  <c r="BA257" i="13"/>
  <c r="BB257" i="13" s="1"/>
  <c r="BA612" i="13"/>
  <c r="BB612" i="13" s="1"/>
  <c r="BA108" i="13"/>
  <c r="BB108" i="13" s="1"/>
  <c r="BA384" i="13"/>
  <c r="BB384" i="13" s="1"/>
  <c r="BA329" i="13"/>
  <c r="BB329" i="13" s="1"/>
  <c r="BA762" i="13"/>
  <c r="BB762" i="13" s="1"/>
  <c r="BA704" i="13"/>
  <c r="BB704" i="13" s="1"/>
  <c r="BA473" i="13"/>
  <c r="BB473" i="13" s="1"/>
  <c r="Q226" i="16"/>
  <c r="Q174" i="16"/>
  <c r="T240" i="13"/>
  <c r="O240" i="13" s="1"/>
  <c r="Q399" i="16"/>
  <c r="Q527" i="16"/>
  <c r="T53" i="13"/>
  <c r="O53" i="13" s="1"/>
  <c r="BA255" i="13"/>
  <c r="BB255" i="13" s="1"/>
  <c r="Q566" i="16"/>
  <c r="Q388" i="16"/>
  <c r="BA200" i="13"/>
  <c r="BB200" i="13" s="1"/>
  <c r="X657" i="13"/>
  <c r="T32" i="13"/>
  <c r="O32" i="13" s="1"/>
  <c r="Q23" i="16"/>
  <c r="BA679" i="13"/>
  <c r="BB679" i="13" s="1"/>
  <c r="BA578" i="13"/>
  <c r="BB578" i="13" s="1"/>
  <c r="BA404" i="13"/>
  <c r="BB404" i="13" s="1"/>
  <c r="BA333" i="13"/>
  <c r="BB333" i="13" s="1"/>
  <c r="BA57" i="13"/>
  <c r="BB57" i="13" s="1"/>
  <c r="Q430" i="16"/>
  <c r="Q385" i="16"/>
  <c r="Q495" i="16"/>
  <c r="Q200" i="16"/>
  <c r="Q472" i="16"/>
  <c r="BA312" i="13"/>
  <c r="BB312" i="13" s="1"/>
  <c r="BA77" i="13"/>
  <c r="BB77" i="13" s="1"/>
  <c r="T14" i="13"/>
  <c r="O14" i="13" s="1"/>
  <c r="BA657" i="13"/>
  <c r="BB657" i="13" s="1"/>
  <c r="Q323" i="16"/>
  <c r="T659" i="13"/>
  <c r="O659" i="13" s="1"/>
  <c r="BA127" i="13"/>
  <c r="BB127" i="13" s="1"/>
  <c r="BA167" i="13"/>
  <c r="BB167" i="13" s="1"/>
  <c r="BA678" i="13"/>
  <c r="BB678" i="13" s="1"/>
  <c r="BA562" i="13"/>
  <c r="BB562" i="13" s="1"/>
  <c r="BA792" i="13"/>
  <c r="BB792" i="13" s="1"/>
  <c r="BA570" i="13"/>
  <c r="BB570" i="13" s="1"/>
  <c r="BA165" i="13"/>
  <c r="BB165" i="13" s="1"/>
  <c r="BA349" i="13"/>
  <c r="BB349" i="13" s="1"/>
  <c r="T25" i="13"/>
  <c r="O25" i="13" s="1"/>
  <c r="BA241" i="13"/>
  <c r="BB241" i="13" s="1"/>
  <c r="Q87" i="16"/>
  <c r="T164" i="13"/>
  <c r="O164" i="13" s="1"/>
  <c r="Q166" i="16"/>
  <c r="Q136" i="16"/>
  <c r="Q344" i="16"/>
  <c r="Q584" i="16"/>
  <c r="Q254" i="16"/>
  <c r="Q343" i="16"/>
  <c r="T118" i="13"/>
  <c r="O118" i="13" s="1"/>
  <c r="Q103" i="16"/>
  <c r="T564" i="13"/>
  <c r="O564" i="13" s="1"/>
  <c r="T616" i="13"/>
  <c r="O616" i="13" s="1"/>
  <c r="BA196" i="13"/>
  <c r="BB196" i="13" s="1"/>
  <c r="BA632" i="13"/>
  <c r="BB632" i="13" s="1"/>
  <c r="BA296" i="13"/>
  <c r="BB296" i="13" s="1"/>
  <c r="Q479" i="16"/>
  <c r="Q597" i="16"/>
  <c r="BA746" i="13"/>
  <c r="BB746" i="13" s="1"/>
  <c r="BA313" i="13"/>
  <c r="BB313" i="13" s="1"/>
  <c r="Q3" i="16"/>
  <c r="BA403" i="13"/>
  <c r="BB403" i="13" s="1"/>
  <c r="X772" i="13"/>
  <c r="X770" i="13"/>
  <c r="T356" i="13"/>
  <c r="O356" i="13" s="1"/>
  <c r="T393" i="13"/>
  <c r="O393" i="13" s="1"/>
  <c r="BA202" i="13"/>
  <c r="BB202" i="13" s="1"/>
  <c r="BA394" i="13"/>
  <c r="BB394" i="13" s="1"/>
  <c r="BA220" i="13"/>
  <c r="BB220" i="13" s="1"/>
  <c r="BA517" i="13"/>
  <c r="BB517" i="13" s="1"/>
  <c r="BA28" i="13"/>
  <c r="BB28" i="13" s="1"/>
  <c r="BA336" i="13"/>
  <c r="BB336" i="13" s="1"/>
  <c r="BA862" i="13"/>
  <c r="BB862" i="13" s="1"/>
  <c r="BA204" i="13"/>
  <c r="BB204" i="13" s="1"/>
  <c r="BA332" i="13"/>
  <c r="BB332" i="13" s="1"/>
  <c r="BA700" i="13"/>
  <c r="BB700" i="13" s="1"/>
  <c r="BA258" i="13"/>
  <c r="BB258" i="13" s="1"/>
  <c r="Q31" i="16"/>
  <c r="Q65" i="16"/>
  <c r="Q152" i="16"/>
  <c r="Q240" i="16"/>
  <c r="Q175" i="16"/>
  <c r="Q303" i="16"/>
  <c r="Q591" i="16"/>
  <c r="Q471" i="16"/>
  <c r="T60" i="13"/>
  <c r="O60" i="13" s="1"/>
  <c r="Q475" i="16"/>
  <c r="Q411" i="16"/>
  <c r="BA680" i="13"/>
  <c r="BB680" i="13" s="1"/>
  <c r="Q536" i="16"/>
  <c r="BA244" i="13"/>
  <c r="BB244" i="13" s="1"/>
  <c r="BA838" i="13"/>
  <c r="BB838" i="13" s="1"/>
  <c r="BA608" i="13"/>
  <c r="BB608" i="13" s="1"/>
  <c r="Q134" i="16"/>
  <c r="T21" i="13"/>
  <c r="O21" i="13" s="1"/>
  <c r="Q486" i="16"/>
  <c r="T770" i="13"/>
  <c r="O770" i="13" s="1"/>
  <c r="T172" i="13"/>
  <c r="O172" i="13" s="1"/>
  <c r="Q414" i="16"/>
  <c r="BA524" i="13"/>
  <c r="BB524" i="13" s="1"/>
  <c r="BA380" i="13"/>
  <c r="BB380" i="13" s="1"/>
  <c r="BA164" i="13"/>
  <c r="BB164" i="13" s="1"/>
  <c r="BA861" i="13"/>
  <c r="BB861" i="13" s="1"/>
  <c r="BA128" i="13"/>
  <c r="BB128" i="13" s="1"/>
  <c r="BA75" i="13"/>
  <c r="BB75" i="13" s="1"/>
  <c r="BA625" i="13"/>
  <c r="BB625" i="13" s="1"/>
  <c r="BA197" i="13"/>
  <c r="BB197" i="13" s="1"/>
  <c r="BA572" i="13"/>
  <c r="BB572" i="13" s="1"/>
  <c r="BA479" i="13"/>
  <c r="BB479" i="13" s="1"/>
  <c r="BA12" i="13"/>
  <c r="BB12" i="13" s="1"/>
  <c r="BA289" i="13"/>
  <c r="BB289" i="13" s="1"/>
  <c r="BA203" i="13"/>
  <c r="BB203" i="13" s="1"/>
  <c r="T197" i="13"/>
  <c r="O197" i="13" s="1"/>
  <c r="Q50" i="16"/>
  <c r="T578" i="13"/>
  <c r="O578" i="13" s="1"/>
  <c r="Q95" i="16"/>
  <c r="Q150" i="16"/>
  <c r="Q98" i="16"/>
  <c r="BA520" i="13"/>
  <c r="BB520" i="13" s="1"/>
  <c r="BA388" i="13"/>
  <c r="BB388" i="13" s="1"/>
  <c r="T286" i="13"/>
  <c r="O286" i="13" s="1"/>
  <c r="Q542" i="16"/>
  <c r="Q287" i="16"/>
  <c r="Q513" i="16"/>
  <c r="Q239" i="16"/>
  <c r="T654" i="13"/>
  <c r="O654" i="13" s="1"/>
  <c r="BA470" i="13"/>
  <c r="BB470" i="13" s="1"/>
  <c r="BA534" i="13"/>
  <c r="BB534" i="13" s="1"/>
  <c r="BA286" i="13"/>
  <c r="BB286" i="13" s="1"/>
  <c r="BA516" i="13"/>
  <c r="BB516" i="13" s="1"/>
  <c r="BA219" i="13"/>
  <c r="BB219" i="13" s="1"/>
  <c r="Q350" i="16"/>
  <c r="T403" i="13"/>
  <c r="O403" i="13" s="1"/>
  <c r="T104" i="13"/>
  <c r="O104" i="13" s="1"/>
  <c r="T678" i="13"/>
  <c r="O678" i="13" s="1"/>
  <c r="BA119" i="13"/>
  <c r="BB119" i="13" s="1"/>
  <c r="BA432" i="13"/>
  <c r="BB432" i="13" s="1"/>
  <c r="BA256" i="13"/>
  <c r="BB256" i="13" s="1"/>
  <c r="T31" i="13"/>
  <c r="O31" i="13" s="1"/>
  <c r="T663" i="13"/>
  <c r="O663" i="13" s="1"/>
  <c r="BA348" i="13"/>
  <c r="BB348" i="13" s="1"/>
  <c r="T70" i="13"/>
  <c r="O70" i="13" s="1"/>
  <c r="BA587" i="13"/>
  <c r="BB587" i="13" s="1"/>
  <c r="BA771" i="13"/>
  <c r="BB771" i="13" s="1"/>
  <c r="Q79" i="16"/>
  <c r="T196" i="13"/>
  <c r="O196" i="13" s="1"/>
  <c r="Q320" i="16"/>
  <c r="Q407" i="16"/>
  <c r="Q192" i="16"/>
  <c r="BA104" i="13"/>
  <c r="BB104" i="13" s="1"/>
  <c r="BA839" i="13"/>
  <c r="BB839" i="13" s="1"/>
  <c r="BA435" i="13"/>
  <c r="BB435" i="13" s="1"/>
  <c r="BA21" i="13"/>
  <c r="BB21" i="13" s="1"/>
  <c r="T424" i="13"/>
  <c r="O424" i="13" s="1"/>
  <c r="Q256" i="16"/>
  <c r="BA68" i="13"/>
  <c r="BB68" i="13" s="1"/>
  <c r="Q504" i="16"/>
  <c r="T210" i="13"/>
  <c r="O210" i="13" s="1"/>
  <c r="X564" i="13"/>
  <c r="X26" i="13"/>
  <c r="X32" i="13"/>
  <c r="BA32" i="13"/>
  <c r="BB32" i="13" s="1"/>
  <c r="BA13" i="13"/>
  <c r="BB13" i="13" s="1"/>
  <c r="BA495" i="13"/>
  <c r="BB495" i="13" s="1"/>
  <c r="T348" i="13"/>
  <c r="O348" i="13" s="1"/>
  <c r="Q207" i="16"/>
  <c r="Q297" i="16"/>
  <c r="Q105" i="16"/>
  <c r="T390" i="13"/>
  <c r="O390" i="13" s="1"/>
  <c r="T748" i="13"/>
  <c r="O748" i="13" s="1"/>
  <c r="Q206" i="16"/>
  <c r="BA151" i="13"/>
  <c r="BB151" i="13" s="1"/>
  <c r="Q595" i="16"/>
  <c r="BA302" i="13"/>
  <c r="BB302" i="13" s="1"/>
  <c r="BA311" i="13"/>
  <c r="BB311" i="13" s="1"/>
  <c r="Q215" i="16"/>
  <c r="Q390" i="16"/>
  <c r="Q575" i="16"/>
  <c r="T586" i="13"/>
  <c r="O586" i="13" s="1"/>
  <c r="Q425" i="16"/>
  <c r="Q440" i="16"/>
  <c r="BA303" i="13"/>
  <c r="BB303" i="13" s="1"/>
  <c r="T26" i="13"/>
  <c r="O26" i="13" s="1"/>
  <c r="BA586" i="13"/>
  <c r="BB586" i="13" s="1"/>
  <c r="BA378" i="13"/>
  <c r="BB378" i="13" s="1"/>
  <c r="T562" i="13"/>
  <c r="O562" i="13" s="1"/>
  <c r="Q583" i="16"/>
  <c r="Q169" i="16"/>
  <c r="Q489" i="16"/>
  <c r="BA206" i="13"/>
  <c r="BB206" i="13" s="1"/>
  <c r="Q448" i="16"/>
  <c r="BA424" i="13"/>
  <c r="BB424" i="13" s="1"/>
  <c r="BA174" i="13"/>
  <c r="BB174" i="13" s="1"/>
  <c r="BA666" i="13"/>
  <c r="BB666" i="13" s="1"/>
  <c r="N11" i="13"/>
  <c r="AB3" i="13"/>
  <c r="AJ3" i="13"/>
  <c r="AC3" i="13"/>
  <c r="AD3" i="13"/>
  <c r="Q69" i="16"/>
  <c r="T124" i="13"/>
  <c r="O124" i="13" s="1"/>
  <c r="T765" i="13"/>
  <c r="O765" i="13" s="1"/>
  <c r="Q500" i="16"/>
  <c r="T699" i="13"/>
  <c r="O699" i="13" s="1"/>
  <c r="T290" i="13"/>
  <c r="O290" i="13" s="1"/>
  <c r="Q459" i="16"/>
  <c r="Q52" i="16"/>
  <c r="T768" i="13"/>
  <c r="O768" i="13" s="1"/>
  <c r="T444" i="13"/>
  <c r="O444" i="13" s="1"/>
  <c r="T298" i="13"/>
  <c r="O298" i="13" s="1"/>
  <c r="T814" i="13"/>
  <c r="O814" i="13" s="1"/>
  <c r="Q99" i="16"/>
  <c r="Q108" i="16"/>
  <c r="Q340" i="16"/>
  <c r="T773" i="13"/>
  <c r="O773" i="13" s="1"/>
  <c r="Q473" i="16"/>
  <c r="BB888" i="13"/>
  <c r="Q469" i="16"/>
  <c r="T285" i="13"/>
  <c r="O285" i="13" s="1"/>
  <c r="T34" i="13"/>
  <c r="O34" i="13" s="1"/>
  <c r="T854" i="13"/>
  <c r="O854" i="13" s="1"/>
  <c r="Q125" i="16"/>
  <c r="Q585" i="16"/>
  <c r="T820" i="13"/>
  <c r="O820" i="13" s="1"/>
  <c r="Q164" i="16"/>
  <c r="T333" i="13"/>
  <c r="O333" i="13" s="1"/>
  <c r="Q507" i="16"/>
  <c r="T307" i="13"/>
  <c r="O307" i="13" s="1"/>
  <c r="T199" i="13"/>
  <c r="O199" i="13" s="1"/>
  <c r="T490" i="13"/>
  <c r="O490" i="13" s="1"/>
  <c r="T306" i="13"/>
  <c r="O306" i="13" s="1"/>
  <c r="T64" i="13"/>
  <c r="O64" i="13" s="1"/>
  <c r="T754" i="13"/>
  <c r="O754" i="13" s="1"/>
  <c r="T101" i="13"/>
  <c r="O101" i="13" s="1"/>
  <c r="T477" i="13"/>
  <c r="O477" i="13" s="1"/>
  <c r="T382" i="13"/>
  <c r="O382" i="13" s="1"/>
  <c r="Q525" i="16"/>
  <c r="T544" i="13"/>
  <c r="O544" i="13" s="1"/>
  <c r="Q28" i="16"/>
  <c r="Q449" i="16"/>
  <c r="Q498" i="16"/>
  <c r="T147" i="13"/>
  <c r="O147" i="13" s="1"/>
  <c r="T482" i="13"/>
  <c r="O482" i="13" s="1"/>
  <c r="T841" i="13"/>
  <c r="O841" i="13" s="1"/>
  <c r="T445" i="13"/>
  <c r="O445" i="13" s="1"/>
  <c r="T59" i="13"/>
  <c r="O59" i="13" s="1"/>
  <c r="Q358" i="16"/>
  <c r="Q468" i="16"/>
  <c r="Q171" i="16"/>
  <c r="T343" i="13"/>
  <c r="O343" i="13" s="1"/>
  <c r="Q394" i="16"/>
  <c r="T195" i="13"/>
  <c r="O195" i="13" s="1"/>
  <c r="T358" i="13"/>
  <c r="O358" i="13" s="1"/>
  <c r="Q545" i="16"/>
  <c r="Q29" i="16"/>
  <c r="T714" i="13"/>
  <c r="O714" i="13" s="1"/>
  <c r="Q555" i="16"/>
  <c r="Q588" i="16"/>
  <c r="T241" i="13"/>
  <c r="O241" i="13" s="1"/>
  <c r="T377" i="13"/>
  <c r="O377" i="13" s="1"/>
  <c r="T709" i="13"/>
  <c r="O709" i="13" s="1"/>
  <c r="Q556" i="16"/>
  <c r="Q363" i="16"/>
  <c r="T769" i="13"/>
  <c r="O769" i="13" s="1"/>
  <c r="T77" i="13"/>
  <c r="O77" i="13" s="1"/>
  <c r="T706" i="13"/>
  <c r="O706" i="13" s="1"/>
  <c r="T431" i="13"/>
  <c r="O431" i="13" s="1"/>
  <c r="T493" i="13"/>
  <c r="O493" i="13" s="1"/>
  <c r="T309" i="13"/>
  <c r="O309" i="13" s="1"/>
  <c r="Q177" i="16"/>
  <c r="Q381" i="16"/>
  <c r="BB887" i="13"/>
  <c r="T283" i="13"/>
  <c r="O283" i="13" s="1"/>
  <c r="Q133" i="16"/>
  <c r="T585" i="13"/>
  <c r="O585" i="13" s="1"/>
  <c r="Q426" i="16"/>
  <c r="T664" i="13"/>
  <c r="O664" i="13" s="1"/>
  <c r="T291" i="13"/>
  <c r="O291" i="13" s="1"/>
  <c r="Q288" i="16"/>
  <c r="Q319" i="16"/>
  <c r="T342" i="13"/>
  <c r="O342" i="13" s="1"/>
  <c r="Q558" i="16"/>
  <c r="T254" i="13"/>
  <c r="O254" i="13" s="1"/>
  <c r="Q267" i="16"/>
  <c r="Q436" i="16"/>
  <c r="T745" i="13"/>
  <c r="O745" i="13" s="1"/>
  <c r="T217" i="13"/>
  <c r="O217" i="13" s="1"/>
  <c r="T125" i="13"/>
  <c r="O125" i="13" s="1"/>
  <c r="Q178" i="16"/>
  <c r="Q218" i="16"/>
  <c r="Q290" i="16"/>
  <c r="Q291" i="16"/>
  <c r="Q282" i="16"/>
  <c r="T530" i="13"/>
  <c r="O530" i="13" s="1"/>
  <c r="T698" i="13"/>
  <c r="O698" i="13" s="1"/>
  <c r="Q415" i="16"/>
  <c r="T543" i="13"/>
  <c r="O543" i="13" s="1"/>
  <c r="T675" i="13"/>
  <c r="O675" i="13" s="1"/>
  <c r="Q548" i="16"/>
  <c r="Q335" i="16"/>
  <c r="BB914" i="13"/>
  <c r="Q114" i="16"/>
  <c r="T168" i="13"/>
  <c r="O168" i="13" s="1"/>
  <c r="Q72" i="16"/>
  <c r="T112" i="13"/>
  <c r="O112" i="13" s="1"/>
  <c r="Q530" i="16"/>
  <c r="T766" i="13"/>
  <c r="O766" i="13" s="1"/>
  <c r="Q6" i="16"/>
  <c r="T15" i="13"/>
  <c r="O15" i="13" s="1"/>
  <c r="Q259" i="16"/>
  <c r="T383" i="13"/>
  <c r="O383" i="13" s="1"/>
  <c r="BB896" i="13"/>
  <c r="Q356" i="16"/>
  <c r="BB893" i="13"/>
  <c r="T751" i="13"/>
  <c r="O751" i="13" s="1"/>
  <c r="Q593" i="16"/>
  <c r="T857" i="13"/>
  <c r="O857" i="13" s="1"/>
  <c r="T114" i="13"/>
  <c r="O114" i="13" s="1"/>
  <c r="Q74" i="16"/>
  <c r="Q428" i="16"/>
  <c r="Q228" i="16"/>
  <c r="T338" i="13"/>
  <c r="O338" i="13" s="1"/>
  <c r="BB899" i="13"/>
  <c r="Q193" i="16"/>
  <c r="T289" i="13"/>
  <c r="O289" i="13" s="1"/>
  <c r="T865" i="13"/>
  <c r="O865" i="13" s="1"/>
  <c r="T488" i="13"/>
  <c r="O488" i="13" s="1"/>
  <c r="BB894" i="13"/>
  <c r="BB909" i="13"/>
  <c r="T653" i="13"/>
  <c r="O653" i="13" s="1"/>
  <c r="T438" i="13"/>
  <c r="O438" i="13" s="1"/>
  <c r="T567" i="13"/>
  <c r="O567" i="13" s="1"/>
  <c r="T28" i="13"/>
  <c r="O28" i="13" s="1"/>
  <c r="Q19" i="16"/>
  <c r="Q543" i="16"/>
  <c r="T793" i="13"/>
  <c r="O793" i="13" s="1"/>
  <c r="T27" i="13"/>
  <c r="O27" i="13" s="1"/>
  <c r="Q18" i="16"/>
  <c r="Q365" i="16"/>
  <c r="T531" i="13"/>
  <c r="O531" i="13" s="1"/>
  <c r="Q67" i="16"/>
  <c r="T107" i="13"/>
  <c r="O107" i="13" s="1"/>
  <c r="T72" i="13"/>
  <c r="O72" i="13" s="1"/>
  <c r="Q46" i="16"/>
  <c r="Q541" i="16"/>
  <c r="Q58" i="16"/>
  <c r="T84" i="13"/>
  <c r="O84" i="13" s="1"/>
  <c r="Q578" i="16"/>
  <c r="T842" i="13"/>
  <c r="O842" i="13" s="1"/>
  <c r="Q465" i="16"/>
  <c r="T673" i="13"/>
  <c r="O673" i="13" s="1"/>
  <c r="Q317" i="16"/>
  <c r="T469" i="13"/>
  <c r="O469" i="13" s="1"/>
  <c r="Q14" i="16"/>
  <c r="T23" i="13"/>
  <c r="O23" i="13" s="1"/>
  <c r="Q236" i="16"/>
  <c r="T346" i="13"/>
  <c r="O346" i="13" s="1"/>
  <c r="Q401" i="16"/>
  <c r="T581" i="13"/>
  <c r="O581" i="13" s="1"/>
  <c r="Q491" i="16"/>
  <c r="T713" i="13"/>
  <c r="O713" i="13" s="1"/>
  <c r="Q420" i="16"/>
  <c r="T614" i="13"/>
  <c r="O614" i="13" s="1"/>
  <c r="Q139" i="16"/>
  <c r="T207" i="13"/>
  <c r="O207" i="13" s="1"/>
  <c r="Q92" i="16"/>
  <c r="T146" i="13"/>
  <c r="O146" i="13" s="1"/>
  <c r="Q522" i="16"/>
  <c r="T758" i="13"/>
  <c r="O758" i="13" s="1"/>
  <c r="BB897" i="13"/>
  <c r="Q148" i="16"/>
  <c r="T216" i="13"/>
  <c r="O216" i="13" s="1"/>
  <c r="Q37" i="16"/>
  <c r="T63" i="13"/>
  <c r="O63" i="13" s="1"/>
  <c r="Q220" i="16"/>
  <c r="T330" i="13"/>
  <c r="O330" i="13" s="1"/>
  <c r="T106" i="13"/>
  <c r="O106" i="13" s="1"/>
  <c r="Q66" i="16"/>
  <c r="T219" i="13"/>
  <c r="O219" i="13" s="1"/>
  <c r="Q370" i="16"/>
  <c r="T536" i="13"/>
  <c r="O536" i="13" s="1"/>
  <c r="T75" i="13"/>
  <c r="O75" i="13" s="1"/>
  <c r="Q49" i="16"/>
  <c r="Q100" i="16"/>
  <c r="T154" i="13"/>
  <c r="O154" i="13" s="1"/>
  <c r="T80" i="13"/>
  <c r="O80" i="13" s="1"/>
  <c r="Q54" i="16"/>
  <c r="T517" i="13"/>
  <c r="O517" i="13" s="1"/>
  <c r="Q351" i="16"/>
  <c r="T159" i="13"/>
  <c r="O159" i="13" s="1"/>
  <c r="T433" i="13"/>
  <c r="O433" i="13" s="1"/>
  <c r="Q427" i="16"/>
  <c r="T621" i="13"/>
  <c r="O621" i="13" s="1"/>
  <c r="T331" i="13"/>
  <c r="O331" i="13" s="1"/>
  <c r="Q305" i="16"/>
  <c r="T443" i="13"/>
  <c r="O443" i="13" s="1"/>
  <c r="Q9" i="16"/>
  <c r="T18" i="13"/>
  <c r="O18" i="13" s="1"/>
  <c r="Q113" i="16"/>
  <c r="BB889" i="13"/>
  <c r="T261" i="13"/>
  <c r="O261" i="13" s="1"/>
  <c r="Q562" i="16"/>
  <c r="T812" i="13"/>
  <c r="O812" i="13" s="1"/>
  <c r="Q553" i="16"/>
  <c r="T803" i="13"/>
  <c r="O803" i="13" s="1"/>
  <c r="Q413" i="16"/>
  <c r="T447" i="13"/>
  <c r="O447" i="13" s="1"/>
  <c r="Q421" i="16"/>
  <c r="T615" i="13"/>
  <c r="O615" i="13" s="1"/>
  <c r="BB891" i="13"/>
  <c r="T513" i="13"/>
  <c r="O513" i="13" s="1"/>
  <c r="T618" i="13"/>
  <c r="O618" i="13" s="1"/>
  <c r="T176" i="13"/>
  <c r="O176" i="13" s="1"/>
  <c r="C885" i="13" a="1"/>
  <c r="BB892" i="13"/>
  <c r="Q433" i="16"/>
  <c r="T627" i="13"/>
  <c r="O627" i="13" s="1"/>
  <c r="Q502" i="16"/>
  <c r="T724" i="13"/>
  <c r="O724" i="13" s="1"/>
  <c r="Q571" i="16"/>
  <c r="T835" i="13"/>
  <c r="O835" i="13" s="1"/>
  <c r="T527" i="13"/>
  <c r="O527" i="13" s="1"/>
  <c r="Q361" i="16"/>
  <c r="Q460" i="16"/>
  <c r="T668" i="13"/>
  <c r="O668" i="13" s="1"/>
  <c r="Q561" i="16"/>
  <c r="Q497" i="16"/>
  <c r="T719" i="13"/>
  <c r="O719" i="13" s="1"/>
  <c r="Q209" i="16"/>
  <c r="T305" i="13"/>
  <c r="O305" i="13" s="1"/>
  <c r="BB913" i="13"/>
  <c r="BB911" i="13"/>
  <c r="BB895" i="13"/>
  <c r="BB890" i="13"/>
  <c r="BB912" i="13"/>
  <c r="BB917" i="13"/>
  <c r="BB907" i="13"/>
  <c r="BB918" i="13"/>
  <c r="BB916" i="13"/>
  <c r="BB905" i="13"/>
  <c r="BB904" i="13"/>
  <c r="BB898" i="13"/>
  <c r="BB906" i="13"/>
  <c r="BB900" i="13"/>
  <c r="BB903" i="13"/>
  <c r="BB910" i="13"/>
  <c r="BB908" i="13"/>
  <c r="BB902" i="13"/>
  <c r="BB915" i="13"/>
  <c r="BB901" i="13"/>
  <c r="Q444" i="16"/>
  <c r="T652" i="13"/>
  <c r="O652" i="13" s="1"/>
  <c r="Q538" i="16" l="1"/>
  <c r="T774" i="13"/>
  <c r="O774" i="13" s="1"/>
  <c r="Q161" i="16"/>
  <c r="T243" i="13"/>
  <c r="O243" i="13" s="1"/>
  <c r="T16" i="13"/>
  <c r="O16" i="13" s="1"/>
  <c r="Q7" i="16"/>
  <c r="Q264" i="16"/>
  <c r="T388" i="13"/>
  <c r="O388" i="13" s="1"/>
  <c r="Q404" i="16"/>
  <c r="T584" i="13"/>
  <c r="O584" i="13" s="1"/>
  <c r="T575" i="13"/>
  <c r="O575" i="13" s="1"/>
  <c r="Q395" i="16"/>
  <c r="T626" i="13"/>
  <c r="O626" i="13" s="1"/>
  <c r="Q432" i="16"/>
  <c r="T442" i="13"/>
  <c r="O442" i="13" s="1"/>
  <c r="Q304" i="16"/>
  <c r="Q514" i="16"/>
  <c r="T750" i="13"/>
  <c r="O750" i="13" s="1"/>
  <c r="Q560" i="16"/>
  <c r="T810" i="13"/>
  <c r="O810" i="13" s="1"/>
  <c r="Q180" i="16"/>
  <c r="T262" i="13"/>
  <c r="O262" i="13" s="1"/>
  <c r="Q519" i="16"/>
  <c r="T755" i="13"/>
  <c r="O755" i="13" s="1"/>
  <c r="T313" i="13"/>
  <c r="O313" i="13" s="1"/>
  <c r="Q217" i="16"/>
  <c r="T674" i="13"/>
  <c r="O674" i="13" s="1"/>
  <c r="Q466" i="16"/>
  <c r="Q506" i="16"/>
  <c r="T728" i="13"/>
  <c r="O728" i="13" s="1"/>
  <c r="T175" i="13"/>
  <c r="O175" i="13" s="1"/>
  <c r="Q121" i="16"/>
  <c r="Q547" i="16"/>
  <c r="T797" i="13"/>
  <c r="O797" i="13" s="1"/>
  <c r="T850" i="13"/>
  <c r="O850" i="13" s="1"/>
  <c r="Q586" i="16"/>
  <c r="C885" i="13"/>
  <c r="AT886" i="13"/>
  <c r="AU886" i="13"/>
  <c r="BA886" i="13"/>
  <c r="AY886" i="13"/>
  <c r="AW886" i="13"/>
  <c r="T844" i="13"/>
  <c r="O844" i="13" s="1"/>
  <c r="Q41" i="16"/>
  <c r="T434" i="13"/>
  <c r="O434" i="13" s="1"/>
  <c r="Q75" i="16"/>
  <c r="Q276" i="16"/>
  <c r="T354" i="13"/>
  <c r="O354" i="13" s="1"/>
  <c r="Q373" i="16"/>
  <c r="Q235" i="16"/>
  <c r="T851" i="13"/>
  <c r="O851" i="13" s="1"/>
  <c r="T863" i="13"/>
  <c r="O863" i="13" s="1"/>
  <c r="Q21" i="16"/>
  <c r="T566" i="13"/>
  <c r="O566" i="13" s="1"/>
  <c r="T672" i="13"/>
  <c r="O672" i="13" s="1"/>
  <c r="Q314" i="16"/>
  <c r="Q313" i="16"/>
  <c r="Q143" i="16"/>
  <c r="Q176" i="16"/>
  <c r="T198" i="13"/>
  <c r="O198" i="13" s="1"/>
  <c r="T661" i="13"/>
  <c r="O661" i="13" s="1"/>
  <c r="T293" i="13"/>
  <c r="O293" i="13" s="1"/>
  <c r="T351" i="13"/>
  <c r="O351" i="13" s="1"/>
  <c r="T577" i="13"/>
  <c r="O577" i="13" s="1"/>
  <c r="T66" i="13"/>
  <c r="O66" i="13" s="1"/>
  <c r="T718" i="13"/>
  <c r="O718" i="13" s="1"/>
  <c r="T837" i="13"/>
  <c r="O837" i="13" s="1"/>
  <c r="Q499" i="16"/>
  <c r="Q156" i="16"/>
  <c r="T437" i="13"/>
  <c r="O437" i="13" s="1"/>
  <c r="T214" i="13"/>
  <c r="O214" i="13" s="1"/>
  <c r="Q55" i="16"/>
  <c r="T402" i="13"/>
  <c r="O402" i="13" s="1"/>
  <c r="T589" i="13"/>
  <c r="O589" i="13" s="1"/>
  <c r="T385" i="13"/>
  <c r="O385" i="13" s="1"/>
  <c r="T483" i="13"/>
  <c r="O483" i="13" s="1"/>
  <c r="Q255" i="16"/>
  <c r="Q310" i="16"/>
  <c r="T521" i="13"/>
  <c r="O521" i="13" s="1"/>
  <c r="T617" i="13"/>
  <c r="O617" i="13" s="1"/>
  <c r="Q441" i="16"/>
  <c r="T126" i="13"/>
  <c r="O126" i="13" s="1"/>
  <c r="Q237" i="16"/>
  <c r="T819" i="13"/>
  <c r="O819" i="13" s="1"/>
  <c r="T215" i="13"/>
  <c r="O215" i="13" s="1"/>
  <c r="Q412" i="16"/>
  <c r="T628" i="13"/>
  <c r="O628" i="13" s="1"/>
  <c r="T299" i="13"/>
  <c r="O299" i="13" s="1"/>
  <c r="Q242" i="16"/>
  <c r="T82" i="13"/>
  <c r="O82" i="13" s="1"/>
  <c r="T250" i="13"/>
  <c r="O250" i="13" s="1"/>
  <c r="T497" i="13"/>
  <c r="O497" i="13" s="1"/>
  <c r="Q280" i="16"/>
  <c r="Q116" i="16"/>
  <c r="T658" i="13"/>
  <c r="O658" i="13" s="1"/>
  <c r="T398" i="13"/>
  <c r="O398" i="13" s="1"/>
  <c r="Q526" i="16"/>
  <c r="Q263" i="16"/>
  <c r="Q517" i="16"/>
  <c r="T122" i="13"/>
  <c r="O122" i="13" s="1"/>
  <c r="T239" i="13"/>
  <c r="O239" i="13" s="1"/>
  <c r="T155" i="13"/>
  <c r="O155" i="13" s="1"/>
  <c r="T129" i="13"/>
  <c r="O129" i="13" s="1"/>
  <c r="T563" i="13"/>
  <c r="O563" i="13" s="1"/>
  <c r="Q393" i="16"/>
  <c r="T423" i="13"/>
  <c r="O423" i="13" s="1"/>
  <c r="T571" i="13"/>
  <c r="O571" i="13" s="1"/>
  <c r="T169" i="13"/>
  <c r="O169" i="13" s="1"/>
  <c r="T360" i="13"/>
  <c r="O360" i="13" s="1"/>
  <c r="T73" i="13"/>
  <c r="O73" i="13" s="1"/>
  <c r="T446" i="13"/>
  <c r="O446" i="13" s="1"/>
  <c r="T569" i="13"/>
  <c r="O569" i="13" s="1"/>
  <c r="T515" i="13"/>
  <c r="O515" i="13" s="1"/>
  <c r="T209" i="13"/>
  <c r="O209" i="13" s="1"/>
  <c r="T353" i="13"/>
  <c r="O353" i="13" s="1"/>
  <c r="Q474" i="16"/>
  <c r="T523" i="13"/>
  <c r="O523" i="13" s="1"/>
  <c r="Q186" i="16"/>
  <c r="T519" i="13"/>
  <c r="O519" i="13" s="1"/>
  <c r="Q596" i="16"/>
  <c r="T526" i="13"/>
  <c r="O526" i="13" s="1"/>
  <c r="Q328" i="16"/>
  <c r="T813" i="13"/>
  <c r="O813" i="13" s="1"/>
  <c r="T65" i="13"/>
  <c r="O65" i="13" s="1"/>
  <c r="Q392" i="16"/>
  <c r="Q422" i="16"/>
  <c r="Q348" i="16"/>
  <c r="Q36" i="16"/>
  <c r="T405" i="13"/>
  <c r="O405" i="13" s="1"/>
  <c r="T221" i="13"/>
  <c r="O221" i="13" s="1"/>
  <c r="Q266" i="16"/>
  <c r="Q292" i="16"/>
  <c r="T559" i="13"/>
  <c r="O559" i="13" s="1"/>
  <c r="T191" i="13"/>
  <c r="O191" i="13" s="1"/>
  <c r="T311" i="13"/>
  <c r="O311" i="13" s="1"/>
  <c r="Q371" i="16"/>
  <c r="Q71" i="16"/>
  <c r="Q284" i="16"/>
  <c r="Q435" i="16"/>
  <c r="T485" i="13"/>
  <c r="O485" i="13" s="1"/>
  <c r="Q369" i="16"/>
  <c r="T294" i="13"/>
  <c r="O294" i="13" s="1"/>
  <c r="Q442" i="16"/>
  <c r="T532" i="13"/>
  <c r="O532" i="13" s="1"/>
  <c r="T151" i="13"/>
  <c r="O151" i="13" s="1"/>
  <c r="T266" i="13"/>
  <c r="O266" i="13" s="1"/>
  <c r="Q229" i="16"/>
  <c r="T703" i="13"/>
  <c r="O703" i="13" s="1"/>
  <c r="Q268" i="16"/>
  <c r="T301" i="13"/>
  <c r="O301" i="13" s="1"/>
  <c r="T103" i="13"/>
  <c r="O103" i="13" s="1"/>
  <c r="T203" i="13"/>
  <c r="O203" i="13" s="1"/>
  <c r="T582" i="13"/>
  <c r="O582" i="13" s="1"/>
  <c r="Q523" i="16"/>
  <c r="T213" i="13"/>
  <c r="O213" i="13" s="1"/>
  <c r="Q27" i="16"/>
  <c r="T329" i="13"/>
  <c r="O329" i="13" s="1"/>
  <c r="Q461" i="16"/>
  <c r="T669" i="13"/>
  <c r="O669" i="13" s="1"/>
  <c r="Q77" i="16"/>
  <c r="Q94" i="16"/>
  <c r="T99" i="13"/>
  <c r="O99" i="13" s="1"/>
  <c r="Q59" i="16"/>
  <c r="T533" i="13"/>
  <c r="O533" i="13" s="1"/>
  <c r="Q11" i="16"/>
  <c r="Q301" i="16"/>
  <c r="T660" i="13"/>
  <c r="O660" i="13" s="1"/>
  <c r="Q167" i="16"/>
  <c r="T665" i="13"/>
  <c r="O665" i="13" s="1"/>
  <c r="T171" i="13"/>
  <c r="O171" i="13" s="1"/>
  <c r="T202" i="13"/>
  <c r="O202" i="13" s="1"/>
  <c r="T35" i="13"/>
  <c r="O35" i="13" s="1"/>
  <c r="T479" i="13"/>
  <c r="O479" i="13" s="1"/>
  <c r="T427" i="13"/>
  <c r="O427" i="13" s="1"/>
  <c r="Q199" i="16"/>
  <c r="Q124" i="16"/>
  <c r="T332" i="13"/>
  <c r="O332" i="13" s="1"/>
  <c r="Q339" i="16"/>
  <c r="T846" i="13"/>
  <c r="O846" i="13" s="1"/>
  <c r="Q342" i="16"/>
  <c r="T166" i="13"/>
  <c r="O166" i="13" s="1"/>
  <c r="T394" i="13"/>
  <c r="O394" i="13" s="1"/>
  <c r="T518" i="13"/>
  <c r="O518" i="13" s="1"/>
  <c r="Q8" i="16"/>
  <c r="L885" i="13"/>
  <c r="Q126" i="16"/>
  <c r="T756" i="13"/>
  <c r="O756" i="13" s="1"/>
  <c r="T255" i="13"/>
  <c r="O255" i="13" s="1"/>
  <c r="Q104" i="16"/>
  <c r="T624" i="13"/>
  <c r="O624" i="13" s="1"/>
  <c r="T542" i="13"/>
  <c r="O542" i="13" s="1"/>
  <c r="Q470" i="16"/>
  <c r="T304" i="13"/>
  <c r="O304" i="13" s="1"/>
  <c r="T359" i="13"/>
  <c r="O359" i="13" s="1"/>
  <c r="T763" i="13"/>
  <c r="O763" i="13" s="1"/>
  <c r="T267" i="13"/>
  <c r="O267" i="13" s="1"/>
  <c r="Q96" i="16"/>
  <c r="Q384" i="16"/>
  <c r="T866" i="13"/>
  <c r="O866" i="13" s="1"/>
  <c r="T802" i="13"/>
  <c r="O802" i="13" s="1"/>
  <c r="Q238" i="16"/>
  <c r="T656" i="13"/>
  <c r="O656" i="13" s="1"/>
  <c r="T794" i="13"/>
  <c r="O794" i="13" s="1"/>
  <c r="Q5" i="16"/>
  <c r="T583" i="13"/>
  <c r="O583" i="13" s="1"/>
  <c r="Q142" i="16"/>
  <c r="T725" i="13"/>
  <c r="O725" i="13" s="1"/>
  <c r="T705" i="13"/>
  <c r="O705" i="13" s="1"/>
  <c r="T297" i="13"/>
  <c r="O297" i="13" s="1"/>
  <c r="T580" i="13"/>
  <c r="O580" i="13" s="1"/>
  <c r="T247" i="13"/>
  <c r="O247" i="13" s="1"/>
  <c r="T579" i="13"/>
  <c r="O579" i="13" s="1"/>
  <c r="T671" i="13"/>
  <c r="O671" i="13" s="1"/>
  <c r="T712" i="13"/>
  <c r="O712" i="13" s="1"/>
  <c r="T540" i="13"/>
  <c r="O540" i="13" s="1"/>
  <c r="T716" i="13"/>
  <c r="O716" i="13" s="1"/>
  <c r="T83" i="13"/>
  <c r="O83" i="13" s="1"/>
  <c r="Q346" i="16"/>
  <c r="T206" i="13"/>
  <c r="O206" i="13" s="1"/>
  <c r="Q191" i="16"/>
  <c r="Q252" i="16"/>
  <c r="Q137" i="16"/>
  <c r="T242" i="13"/>
  <c r="O242" i="13" s="1"/>
  <c r="T610" i="13"/>
  <c r="O610" i="13" s="1"/>
  <c r="Q572" i="16"/>
  <c r="Q528" i="16"/>
  <c r="T486" i="13"/>
  <c r="O486" i="13" s="1"/>
  <c r="Q576" i="16"/>
  <c r="T484" i="13"/>
  <c r="O484" i="13" s="1"/>
  <c r="T590" i="13"/>
  <c r="O590" i="13" s="1"/>
  <c r="Q4" i="16"/>
  <c r="Q181" i="16"/>
  <c r="T397" i="13"/>
  <c r="O397" i="13" s="1"/>
  <c r="T744" i="13"/>
  <c r="O744" i="13" s="1"/>
  <c r="Q589" i="16"/>
  <c r="T334" i="13"/>
  <c r="O334" i="13" s="1"/>
  <c r="T105" i="13"/>
  <c r="O105" i="13" s="1"/>
  <c r="T843" i="13"/>
  <c r="O843" i="13" s="1"/>
  <c r="Q64" i="16"/>
  <c r="Q129" i="16"/>
  <c r="T251" i="13"/>
  <c r="O251" i="13" s="1"/>
  <c r="Q110" i="16"/>
  <c r="T288" i="13"/>
  <c r="O288" i="13" s="1"/>
  <c r="T130" i="13"/>
  <c r="O130" i="13" s="1"/>
  <c r="T634" i="13"/>
  <c r="O634" i="13" s="1"/>
  <c r="Q324" i="16"/>
  <c r="T817" i="13"/>
  <c r="O817" i="13" s="1"/>
  <c r="T157" i="13"/>
  <c r="O157" i="13" s="1"/>
  <c r="Q419" i="16"/>
  <c r="T378" i="13"/>
  <c r="O378" i="13" s="1"/>
  <c r="T655" i="13"/>
  <c r="O655" i="13" s="1"/>
  <c r="Q512" i="16"/>
  <c r="Q163" i="16"/>
  <c r="T809" i="13"/>
  <c r="O809" i="13" s="1"/>
  <c r="T389" i="13"/>
  <c r="O389" i="13" s="1"/>
  <c r="T100" i="13"/>
  <c r="O100" i="13" s="1"/>
  <c r="T252" i="13"/>
  <c r="O252" i="13" s="1"/>
  <c r="Q302" i="16"/>
  <c r="Q592" i="16"/>
  <c r="T528" i="13"/>
  <c r="O528" i="13" s="1"/>
  <c r="T33" i="13"/>
  <c r="O33" i="13" s="1"/>
  <c r="T341" i="13"/>
  <c r="O341" i="13" s="1"/>
  <c r="T58" i="13"/>
  <c r="O58" i="13" s="1"/>
  <c r="Q245" i="16"/>
  <c r="T799" i="13"/>
  <c r="O799" i="13" s="1"/>
  <c r="T160" i="13"/>
  <c r="O160" i="13" s="1"/>
  <c r="Q316" i="16"/>
  <c r="T631" i="13"/>
  <c r="O631" i="13" s="1"/>
  <c r="Q534" i="16"/>
  <c r="T222" i="13"/>
  <c r="O222" i="13" s="1"/>
  <c r="T815" i="13"/>
  <c r="O815" i="13" s="1"/>
  <c r="Q234" i="16"/>
  <c r="Q380" i="16"/>
  <c r="Q227" i="16"/>
  <c r="Q144" i="16"/>
  <c r="Q524" i="16"/>
  <c r="T208" i="13"/>
  <c r="O208" i="13" s="1"/>
  <c r="T300" i="13"/>
  <c r="O300" i="13" s="1"/>
  <c r="T702" i="13"/>
  <c r="O702" i="13" s="1"/>
  <c r="T612" i="13"/>
  <c r="O612" i="13" s="1"/>
  <c r="T244" i="13"/>
  <c r="O244" i="13" s="1"/>
  <c r="Q260" i="16"/>
  <c r="Q17" i="16"/>
  <c r="T670" i="13"/>
  <c r="O670" i="13" s="1"/>
  <c r="T565" i="13"/>
  <c r="O565" i="13" s="1"/>
  <c r="T163" i="13"/>
  <c r="O163" i="13" s="1"/>
  <c r="T204" i="13"/>
  <c r="O204" i="13" s="1"/>
  <c r="T12" i="13"/>
  <c r="O12" i="13" s="1"/>
  <c r="P3" i="16" s="1"/>
  <c r="T818" i="13"/>
  <c r="O818" i="13" s="1"/>
  <c r="T520" i="13"/>
  <c r="O520" i="13" s="1"/>
  <c r="T772" i="13"/>
  <c r="O772" i="13" s="1"/>
  <c r="T700" i="13"/>
  <c r="O700" i="13" s="1"/>
  <c r="T173" i="13"/>
  <c r="O173" i="13" s="1"/>
  <c r="T801" i="13"/>
  <c r="O801" i="13" s="1"/>
  <c r="T633" i="13"/>
  <c r="O633" i="13" s="1"/>
  <c r="T61" i="13"/>
  <c r="O61" i="13" s="1"/>
  <c r="T816" i="13"/>
  <c r="O816" i="13" s="1"/>
  <c r="Q102" i="16"/>
  <c r="T357" i="13"/>
  <c r="O357" i="13" s="1"/>
  <c r="T478" i="13"/>
  <c r="O478" i="13" s="1"/>
  <c r="T296" i="13"/>
  <c r="O296" i="13" s="1"/>
  <c r="T395" i="13"/>
  <c r="O395" i="13" s="1"/>
  <c r="T399" i="13"/>
  <c r="O399" i="13" s="1"/>
  <c r="T121" i="13"/>
  <c r="O121" i="13" s="1"/>
  <c r="T149" i="13"/>
  <c r="O149" i="13" s="1"/>
  <c r="T707" i="13"/>
  <c r="O707" i="13" s="1"/>
  <c r="T708" i="13"/>
  <c r="O708" i="13" s="1"/>
  <c r="T792" i="13"/>
  <c r="O792" i="13" s="1"/>
  <c r="Q48" i="16"/>
  <c r="Q83" i="16"/>
  <c r="T265" i="13"/>
  <c r="O265" i="13" s="1"/>
  <c r="T57" i="13"/>
  <c r="O57" i="13" s="1"/>
  <c r="T611" i="13"/>
  <c r="O611" i="13" s="1"/>
  <c r="T161" i="13"/>
  <c r="O161" i="13" s="1"/>
  <c r="T120" i="13"/>
  <c r="O120" i="13" s="1"/>
  <c r="Q80" i="16"/>
  <c r="T747" i="13"/>
  <c r="O747" i="13" s="1"/>
  <c r="T525" i="13"/>
  <c r="O525" i="13" s="1"/>
  <c r="T632" i="13"/>
  <c r="O632" i="13" s="1"/>
  <c r="Q438" i="16"/>
  <c r="T396" i="13"/>
  <c r="O396" i="13" s="1"/>
  <c r="Q279" i="16"/>
  <c r="T625" i="13"/>
  <c r="O625" i="13" s="1"/>
  <c r="T284" i="13"/>
  <c r="O284" i="13" s="1"/>
  <c r="T349" i="13"/>
  <c r="O349" i="13" s="1"/>
  <c r="T701" i="13"/>
  <c r="O701" i="13" s="1"/>
  <c r="T704" i="13"/>
  <c r="O704" i="13" s="1"/>
  <c r="Q406" i="16"/>
  <c r="T767" i="13"/>
  <c r="O767" i="13" s="1"/>
  <c r="T727" i="13"/>
  <c r="O727" i="13" s="1"/>
  <c r="T380" i="13"/>
  <c r="O380" i="13" s="1"/>
  <c r="T449" i="13"/>
  <c r="O449" i="13" s="1"/>
  <c r="T69" i="13"/>
  <c r="O69" i="13" s="1"/>
  <c r="Q286" i="16"/>
  <c r="T861" i="13"/>
  <c r="O861" i="13" s="1"/>
  <c r="T605" i="13"/>
  <c r="O605" i="13" s="1"/>
  <c r="T472" i="13"/>
  <c r="O472" i="13" s="1"/>
  <c r="T516" i="13"/>
  <c r="O516" i="13" s="1"/>
  <c r="Q581" i="16"/>
  <c r="T22" i="13"/>
  <c r="O22" i="13" s="1"/>
  <c r="Q15" i="16"/>
  <c r="T789" i="13"/>
  <c r="O789" i="13" s="1"/>
  <c r="Q158" i="16"/>
  <c r="T800" i="13"/>
  <c r="O800" i="13" s="1"/>
  <c r="T749" i="13"/>
  <c r="O749" i="13" s="1"/>
  <c r="T679" i="13"/>
  <c r="O679" i="13" s="1"/>
  <c r="T474" i="13"/>
  <c r="O474" i="13" s="1"/>
  <c r="T576" i="13"/>
  <c r="O576" i="13" s="1"/>
  <c r="T495" i="13"/>
  <c r="O495" i="13" s="1"/>
  <c r="Q118" i="16"/>
  <c r="Q516" i="16"/>
  <c r="T102" i="13"/>
  <c r="O102" i="13" s="1"/>
  <c r="T541" i="13"/>
  <c r="O541" i="13" s="1"/>
  <c r="T489" i="13"/>
  <c r="O489" i="13" s="1"/>
  <c r="T310" i="13"/>
  <c r="O310" i="13" s="1"/>
  <c r="T218" i="13"/>
  <c r="O218" i="13" s="1"/>
  <c r="Q76" i="16"/>
  <c r="T425" i="13"/>
  <c r="O425" i="13" s="1"/>
  <c r="T127" i="13"/>
  <c r="O127" i="13" s="1"/>
  <c r="T496" i="13"/>
  <c r="O496" i="13" s="1"/>
  <c r="T710" i="13"/>
  <c r="O710" i="13" s="1"/>
  <c r="T855" i="13"/>
  <c r="O855" i="13" s="1"/>
  <c r="T757" i="13"/>
  <c r="O757" i="13" s="1"/>
  <c r="Q45" i="16"/>
  <c r="T152" i="13"/>
  <c r="O152" i="13" s="1"/>
  <c r="Q329" i="16"/>
  <c r="Q78" i="16"/>
  <c r="Q554" i="16"/>
  <c r="T335" i="13"/>
  <c r="O335" i="13" s="1"/>
  <c r="T340" i="13"/>
  <c r="O340" i="13" s="1"/>
  <c r="T723" i="13"/>
  <c r="O723" i="13" s="1"/>
  <c r="Q501" i="16"/>
  <c r="T435" i="13"/>
  <c r="O435" i="13" s="1"/>
  <c r="T350" i="13"/>
  <c r="O350" i="13" s="1"/>
  <c r="T375" i="13"/>
  <c r="O375" i="13" s="1"/>
  <c r="T473" i="13"/>
  <c r="O473" i="13" s="1"/>
  <c r="Q12" i="16"/>
  <c r="T711" i="13"/>
  <c r="O711" i="13" s="1"/>
  <c r="T441" i="13"/>
  <c r="O441" i="13" s="1"/>
  <c r="T336" i="13"/>
  <c r="O336" i="13" s="1"/>
  <c r="T858" i="13"/>
  <c r="O858" i="13" s="1"/>
  <c r="Q429" i="16"/>
  <c r="T864" i="13"/>
  <c r="O864" i="13" s="1"/>
  <c r="T256" i="13"/>
  <c r="O256" i="13" s="1"/>
  <c r="T119" i="13"/>
  <c r="O119" i="13" s="1"/>
  <c r="T726" i="13"/>
  <c r="O726" i="13" s="1"/>
  <c r="Q298" i="16"/>
  <c r="Q128" i="16"/>
  <c r="T200" i="13"/>
  <c r="O200" i="13" s="1"/>
  <c r="Q132" i="16"/>
  <c r="T257" i="13"/>
  <c r="O257" i="13" s="1"/>
  <c r="T680" i="13"/>
  <c r="O680" i="13" s="1"/>
  <c r="T165" i="13"/>
  <c r="O165" i="13" s="1"/>
  <c r="Q315" i="16"/>
  <c r="T467" i="13"/>
  <c r="O467" i="13" s="1"/>
  <c r="Q68" i="16"/>
  <c r="T108" i="13"/>
  <c r="O108" i="13" s="1"/>
  <c r="T128" i="13"/>
  <c r="O128" i="13" s="1"/>
  <c r="Q88" i="16"/>
  <c r="Q196" i="16"/>
  <c r="T717" i="13"/>
  <c r="O717" i="13" s="1"/>
  <c r="Q53" i="16"/>
  <c r="T79" i="13"/>
  <c r="O79" i="13" s="1"/>
  <c r="T113" i="13"/>
  <c r="O113" i="13" s="1"/>
  <c r="Q73" i="16"/>
  <c r="T847" i="13"/>
  <c r="O847" i="13" s="1"/>
  <c r="Q120" i="16"/>
  <c r="T568" i="13"/>
  <c r="O568" i="13" s="1"/>
  <c r="T697" i="13"/>
  <c r="O697" i="13" s="1"/>
  <c r="T76" i="13"/>
  <c r="O76" i="13" s="1"/>
  <c r="Q546" i="16"/>
  <c r="Q493" i="16"/>
  <c r="T807" i="13"/>
  <c r="O807" i="13" s="1"/>
  <c r="T302" i="13"/>
  <c r="O302" i="13" s="1"/>
  <c r="T237" i="13"/>
  <c r="O237" i="13" s="1"/>
  <c r="Q190" i="16"/>
  <c r="Q10" i="16"/>
  <c r="Q408" i="16"/>
  <c r="Q283" i="16"/>
  <c r="Q382" i="16"/>
  <c r="T68" i="13"/>
  <c r="O68" i="13" s="1"/>
  <c r="T862" i="13"/>
  <c r="O862" i="13" s="1"/>
  <c r="Q398" i="16"/>
  <c r="T619" i="13"/>
  <c r="O619" i="13" s="1"/>
  <c r="T848" i="13"/>
  <c r="O848" i="13" s="1"/>
  <c r="Q446" i="16"/>
  <c r="T587" i="13"/>
  <c r="O587" i="13" s="1"/>
  <c r="Q34" i="16"/>
  <c r="T771" i="13"/>
  <c r="O771" i="13" s="1"/>
  <c r="Q535" i="16"/>
  <c r="T303" i="13"/>
  <c r="O303" i="13" s="1"/>
  <c r="T29" i="13"/>
  <c r="O29" i="13" s="1"/>
  <c r="Q20" i="16"/>
  <c r="T56" i="13"/>
  <c r="O56" i="13" s="1"/>
  <c r="Q30" i="16"/>
  <c r="T570" i="13"/>
  <c r="O570" i="13" s="1"/>
  <c r="T248" i="13"/>
  <c r="O248" i="13" s="1"/>
  <c r="T839" i="13"/>
  <c r="O839" i="13" s="1"/>
  <c r="T220" i="13"/>
  <c r="O220" i="13" s="1"/>
  <c r="Q216" i="16"/>
  <c r="T312" i="13"/>
  <c r="O312" i="13" s="1"/>
  <c r="Q510" i="16"/>
  <c r="T746" i="13"/>
  <c r="O746" i="13" s="1"/>
  <c r="T381" i="13"/>
  <c r="O381" i="13" s="1"/>
  <c r="Q257" i="16"/>
  <c r="T145" i="13"/>
  <c r="O145" i="13" s="1"/>
  <c r="Q91" i="16"/>
  <c r="T608" i="13"/>
  <c r="O608" i="13" s="1"/>
  <c r="Q574" i="16"/>
  <c r="T838" i="13"/>
  <c r="O838" i="13" s="1"/>
  <c r="Q318" i="16"/>
  <c r="T470" i="13"/>
  <c r="O470" i="13" s="1"/>
  <c r="Q294" i="16"/>
  <c r="T432" i="13"/>
  <c r="O432" i="13" s="1"/>
  <c r="T450" i="13"/>
  <c r="O450" i="13" s="1"/>
  <c r="Q312" i="16"/>
  <c r="Q182" i="16"/>
  <c r="T264" i="13"/>
  <c r="O264" i="13" s="1"/>
  <c r="X11" i="13"/>
  <c r="BA11" i="13"/>
  <c r="BB11" i="13" s="1"/>
  <c r="AM11" i="13"/>
  <c r="AU920" i="13" s="1"/>
  <c r="BB920" i="13" s="1"/>
  <c r="O885" i="13"/>
  <c r="AU885" i="13"/>
  <c r="AU919" i="13" s="1"/>
  <c r="AT885" i="13"/>
  <c r="BA885" i="13"/>
  <c r="BA919" i="13" s="1"/>
  <c r="J885" i="13"/>
  <c r="AY885" i="13"/>
  <c r="AY919" i="13" s="1"/>
  <c r="D885" i="13"/>
  <c r="AW885" i="13"/>
  <c r="BB886" i="13" l="1"/>
  <c r="T11" i="13"/>
  <c r="O11" i="13" s="1"/>
  <c r="P2" i="16" s="1"/>
  <c r="Q2" i="16"/>
  <c r="O888" i="13"/>
  <c r="D913" i="13"/>
  <c r="J901" i="13"/>
  <c r="D916" i="13"/>
  <c r="L901" i="13"/>
  <c r="J892" i="13"/>
  <c r="D904" i="13"/>
  <c r="D898" i="13"/>
  <c r="J899" i="13"/>
  <c r="D908" i="13"/>
  <c r="L913" i="13"/>
  <c r="D912" i="13"/>
  <c r="O902" i="13"/>
  <c r="J915" i="13"/>
  <c r="O892" i="13"/>
  <c r="L903" i="13"/>
  <c r="D903" i="13"/>
  <c r="O903" i="13"/>
  <c r="O905" i="13"/>
  <c r="O915" i="13"/>
  <c r="D890" i="13"/>
  <c r="O908" i="13"/>
  <c r="L895" i="13"/>
  <c r="D895" i="13"/>
  <c r="J911" i="13"/>
  <c r="L912" i="13"/>
  <c r="L918" i="13"/>
  <c r="L891" i="13"/>
  <c r="J890" i="13"/>
  <c r="O918" i="13"/>
  <c r="D918" i="13"/>
  <c r="O890" i="13"/>
  <c r="L907" i="13"/>
  <c r="O911" i="13"/>
  <c r="D915" i="13"/>
  <c r="J896" i="13"/>
  <c r="D914" i="13"/>
  <c r="J914" i="13"/>
  <c r="J912" i="13"/>
  <c r="D893" i="13"/>
  <c r="J907" i="13"/>
  <c r="L888" i="13"/>
  <c r="D917" i="13"/>
  <c r="D887" i="13"/>
  <c r="J918" i="13"/>
  <c r="O887" i="13"/>
  <c r="L900" i="13"/>
  <c r="J906" i="13"/>
  <c r="J894" i="13"/>
  <c r="L898" i="13"/>
  <c r="D888" i="13"/>
  <c r="O898" i="13"/>
  <c r="D906" i="13"/>
  <c r="J910" i="13"/>
  <c r="L909" i="13"/>
  <c r="O917" i="13"/>
  <c r="O913" i="13"/>
  <c r="O916" i="13"/>
  <c r="J888" i="13"/>
  <c r="J904" i="13"/>
  <c r="O909" i="13"/>
  <c r="D892" i="13"/>
  <c r="J898" i="13"/>
  <c r="L890" i="13"/>
  <c r="D891" i="13"/>
  <c r="D907" i="13"/>
  <c r="J909" i="13"/>
  <c r="O896" i="13"/>
  <c r="O910" i="13"/>
  <c r="D894" i="13"/>
  <c r="O900" i="13"/>
  <c r="J900" i="13"/>
  <c r="D909" i="13"/>
  <c r="D901" i="13"/>
  <c r="J889" i="13"/>
  <c r="D911" i="13"/>
  <c r="L915" i="13"/>
  <c r="O912" i="13"/>
  <c r="L893" i="13"/>
  <c r="J886" i="13"/>
  <c r="L904" i="13"/>
  <c r="J887" i="13"/>
  <c r="D897" i="13"/>
  <c r="L894" i="13"/>
  <c r="J905" i="13"/>
  <c r="L902" i="13"/>
  <c r="L892" i="13"/>
  <c r="L889" i="13"/>
  <c r="L906" i="13"/>
  <c r="O891" i="13"/>
  <c r="L887" i="13"/>
  <c r="J893" i="13"/>
  <c r="D902" i="13"/>
  <c r="O899" i="13"/>
  <c r="J895" i="13"/>
  <c r="O893" i="13"/>
  <c r="O889" i="13"/>
  <c r="D896" i="13"/>
  <c r="L916" i="13"/>
  <c r="L896" i="13"/>
  <c r="O897" i="13"/>
  <c r="D899" i="13"/>
  <c r="L905" i="13"/>
  <c r="D889" i="13"/>
  <c r="D905" i="13"/>
  <c r="J902" i="13"/>
  <c r="J908" i="13"/>
  <c r="D900" i="13"/>
  <c r="L910" i="13"/>
  <c r="J916" i="13"/>
  <c r="L886" i="13"/>
  <c r="D910" i="13"/>
  <c r="O907" i="13"/>
  <c r="O886" i="13"/>
  <c r="O894" i="13"/>
  <c r="O904" i="13"/>
  <c r="L911" i="13"/>
  <c r="J913" i="13"/>
  <c r="O901" i="13"/>
  <c r="J917" i="13"/>
  <c r="L899" i="13"/>
  <c r="J903" i="13"/>
  <c r="L897" i="13"/>
  <c r="O895" i="13"/>
  <c r="L917" i="13"/>
  <c r="L914" i="13"/>
  <c r="O914" i="13"/>
  <c r="O906" i="13"/>
  <c r="J891" i="13"/>
  <c r="J897" i="13"/>
  <c r="D886" i="13"/>
  <c r="L908" i="13"/>
  <c r="Q885" i="13"/>
  <c r="AW919" i="13"/>
  <c r="BB919" i="13" s="1"/>
  <c r="AU921" i="13" s="1"/>
  <c r="BB885" i="13"/>
  <c r="Q900" i="13" l="1"/>
  <c r="Q886" i="13"/>
  <c r="Q911" i="13"/>
  <c r="Q887" i="13"/>
  <c r="Q912" i="13"/>
  <c r="O919" i="13"/>
  <c r="Q905" i="13"/>
  <c r="Q910" i="13"/>
  <c r="J919" i="13"/>
  <c r="Q916" i="13"/>
  <c r="Q897" i="13"/>
  <c r="Q888" i="13"/>
  <c r="Q917" i="13"/>
  <c r="Q915" i="13"/>
  <c r="Q896" i="13"/>
  <c r="Q901" i="13"/>
  <c r="Q907" i="13"/>
  <c r="Q908" i="13"/>
  <c r="Q913" i="13"/>
  <c r="AW921" i="13"/>
  <c r="Q909" i="13"/>
  <c r="Q891" i="13"/>
  <c r="Q903" i="13"/>
  <c r="Q889" i="13"/>
  <c r="Q893" i="13"/>
  <c r="Q895" i="13"/>
  <c r="Q898" i="13"/>
  <c r="D919" i="13"/>
  <c r="L919" i="13"/>
  <c r="Q918" i="13"/>
  <c r="Q904" i="13"/>
  <c r="Q899" i="13"/>
  <c r="Q894" i="13"/>
  <c r="Q892" i="13"/>
  <c r="Q902" i="13"/>
  <c r="Q906" i="13"/>
  <c r="Q914" i="13"/>
  <c r="Q890" i="13"/>
  <c r="BA921" i="13"/>
  <c r="AY921" i="13"/>
  <c r="BB921" i="13" s="1"/>
  <c r="Q919" i="13" l="1"/>
  <c r="O920" i="13" l="1"/>
  <c r="D920" i="13"/>
  <c r="J920" i="13"/>
  <c r="L920" i="13"/>
  <c r="Q920" i="13" l="1"/>
  <c r="Q1" i="1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<sst xmlns="http://schemas.openxmlformats.org/spreadsheetml/2006/main" count="3140" uniqueCount="1360">
  <si>
    <t>ערך המין</t>
  </si>
  <si>
    <t>מצב העץ</t>
  </si>
  <si>
    <t>מיקום העץ</t>
  </si>
  <si>
    <t>ערך העץ</t>
  </si>
  <si>
    <t>גודל העץ (סמ"ר)</t>
  </si>
  <si>
    <t>רשום קוטר</t>
  </si>
  <si>
    <t>טופס לחישוב ערך נופי של עץ בש"ח</t>
  </si>
  <si>
    <t>קוטר 2</t>
  </si>
  <si>
    <t>קוטר 3</t>
  </si>
  <si>
    <t>טופס לחישוב ערך נופי של עץ רב גזעי בש"ח</t>
  </si>
  <si>
    <t>TreeStatus</t>
  </si>
  <si>
    <t>TreePlace</t>
  </si>
  <si>
    <t>שם עברי</t>
  </si>
  <si>
    <t>שם מדעי</t>
  </si>
  <si>
    <t>אגון גמיש</t>
  </si>
  <si>
    <t>Agonis flexuosa</t>
  </si>
  <si>
    <t>אגוז שחור</t>
  </si>
  <si>
    <t>Juglans nigra</t>
  </si>
  <si>
    <t>אגס קלריאני</t>
  </si>
  <si>
    <t>Pyrus calleryana</t>
  </si>
  <si>
    <t>אדר מילני</t>
  </si>
  <si>
    <t>Acer negundo</t>
  </si>
  <si>
    <t>אדר סורי</t>
  </si>
  <si>
    <t>Acer obtusifolium</t>
  </si>
  <si>
    <t>אולמוס נמוך</t>
  </si>
  <si>
    <t>Ulmus purnila</t>
  </si>
  <si>
    <t>אולמוס [בוקיצה]קטן עלים</t>
  </si>
  <si>
    <t>Ulmus parvifolia</t>
  </si>
  <si>
    <t>אורן ירושלים</t>
  </si>
  <si>
    <t>Pinus halepensis</t>
  </si>
  <si>
    <t>אורן קנארי</t>
  </si>
  <si>
    <t>Pinus canariensis</t>
  </si>
  <si>
    <t>אורן קפריסאי</t>
  </si>
  <si>
    <t>Pinus brutea</t>
  </si>
  <si>
    <t>אזדרכת מצויה</t>
  </si>
  <si>
    <t>אילנטה בלוטית</t>
  </si>
  <si>
    <t>Ailanthus altissima</t>
  </si>
  <si>
    <t>אלביציה ורודה</t>
  </si>
  <si>
    <t>Albizzia julibrissin</t>
  </si>
  <si>
    <t>אלביציה צהובה</t>
  </si>
  <si>
    <t>Albizzia lebbeck</t>
  </si>
  <si>
    <t>אלה ארץ ישראלית</t>
  </si>
  <si>
    <t>אלה אטלנטית</t>
  </si>
  <si>
    <t>Pistacia atlantica</t>
  </si>
  <si>
    <t>אלה סינית</t>
  </si>
  <si>
    <t>Pistacia chinensis</t>
  </si>
  <si>
    <t>אלון איטלקי</t>
  </si>
  <si>
    <t>Quercus brutia</t>
  </si>
  <si>
    <t>אלון אנגלי</t>
  </si>
  <si>
    <t>Quercus robur</t>
  </si>
  <si>
    <t>אלון ארוך עוקצים</t>
  </si>
  <si>
    <t>Quercus pedunculiflora</t>
  </si>
  <si>
    <t>אלון הגלעין</t>
  </si>
  <si>
    <t>Quercus ilex</t>
  </si>
  <si>
    <t>אלון השעם</t>
  </si>
  <si>
    <t>Quercus suber</t>
  </si>
  <si>
    <t>אלון התבור</t>
  </si>
  <si>
    <t>Quercus ithaburensis</t>
  </si>
  <si>
    <t>אלון התולע</t>
  </si>
  <si>
    <t>Quercus boissieri</t>
  </si>
  <si>
    <t>אלון מפורץ</t>
  </si>
  <si>
    <t>Quercus frainetto</t>
  </si>
  <si>
    <t>אלון מצוי</t>
  </si>
  <si>
    <t>Quercus calliprinos</t>
  </si>
  <si>
    <t>אלמוגן רחב עלים</t>
  </si>
  <si>
    <t>Erythrina corralodendrum</t>
  </si>
  <si>
    <t>אנטרלוביום כפוף פרי</t>
  </si>
  <si>
    <t>Enterelobium controtosiliqum</t>
  </si>
  <si>
    <t>אפרסמון יפני</t>
  </si>
  <si>
    <t>Diospyros kaki</t>
  </si>
  <si>
    <t>אקליפטוס הצוארון</t>
  </si>
  <si>
    <t>Eucaliptus torquata</t>
  </si>
  <si>
    <t>אקליפטוס המקור</t>
  </si>
  <si>
    <t>אקליפטוס טורלי</t>
  </si>
  <si>
    <t>Eucaliptus torelli</t>
  </si>
  <si>
    <t>אקליפטוס לימוני</t>
  </si>
  <si>
    <t>Eucaliptus citrus</t>
  </si>
  <si>
    <t>אראוקריה רמה</t>
  </si>
  <si>
    <t>Araucaria exceisa</t>
  </si>
  <si>
    <t>ארז אטלנטי</t>
  </si>
  <si>
    <t>Cedrus atlantica</t>
  </si>
  <si>
    <t>ארז הימלאי</t>
  </si>
  <si>
    <t>Cedrus deodore</t>
  </si>
  <si>
    <t>ארכי-תמר מינים שונים</t>
  </si>
  <si>
    <t>Archontophoenix alexandrae</t>
  </si>
  <si>
    <t>ארקית רומנזוף</t>
  </si>
  <si>
    <t>Arecastrum romanzoffianum</t>
  </si>
  <si>
    <t>אשל הפרקים</t>
  </si>
  <si>
    <t>בוהיניה מגוונת</t>
  </si>
  <si>
    <t>Bauhinia variegata</t>
  </si>
  <si>
    <t>בולוסנתוס נאה</t>
  </si>
  <si>
    <t>Bolusanthus speciosus</t>
  </si>
  <si>
    <t>בומבק צייבה [הודי]</t>
  </si>
  <si>
    <t>Bombax ceiba</t>
  </si>
  <si>
    <t>ברוש מצוי (צריפי + אופקי)</t>
  </si>
  <si>
    <t>Cupressus sempervirens</t>
  </si>
  <si>
    <t>ברוש קרח (אריזוני)</t>
  </si>
  <si>
    <t>Cupressus glabra (arizonica)</t>
  </si>
  <si>
    <t>ברכיכון אדרי</t>
  </si>
  <si>
    <t>Brachychiton acerofolius</t>
  </si>
  <si>
    <t>ברכיכטון דו-גוני</t>
  </si>
  <si>
    <t>Brachychiton discolor</t>
  </si>
  <si>
    <t>ברכיכטון הסלעים</t>
  </si>
  <si>
    <t>Brachychiton rupestris</t>
  </si>
  <si>
    <t>ברכיכטון צפצפתי</t>
  </si>
  <si>
    <t>Brachychiton populneus</t>
  </si>
  <si>
    <t>גלדיציה תלת קוצית 'ללא קוצים'</t>
  </si>
  <si>
    <t>Gleditsia triacanthos inermis</t>
  </si>
  <si>
    <t>גרווילאה חסונה</t>
  </si>
  <si>
    <t>Gravillea robusta</t>
  </si>
  <si>
    <t>דולב מזרחי</t>
  </si>
  <si>
    <t>Platanus onentalis</t>
  </si>
  <si>
    <t>דולב מערבי</t>
  </si>
  <si>
    <t>Platanus occidentalis</t>
  </si>
  <si>
    <t>דיפסיס (נאודיפסיס) דקרי</t>
  </si>
  <si>
    <t>Dypsis decarii = Neodypsis d.</t>
  </si>
  <si>
    <t>דרקונית קנרית</t>
  </si>
  <si>
    <t>Dracaena draco</t>
  </si>
  <si>
    <t>הדר מינים שונים</t>
  </si>
  <si>
    <t>הובניה מתוקה</t>
  </si>
  <si>
    <t>Hovenia dulcis</t>
  </si>
  <si>
    <t>הוויה פורסטריאנה</t>
  </si>
  <si>
    <t>Howea foresteriana</t>
  </si>
  <si>
    <t>וושינגטוניה חוטית</t>
  </si>
  <si>
    <t>Washingtonia filifera</t>
  </si>
  <si>
    <t>וושינגטוניה חסונה</t>
  </si>
  <si>
    <t>Washingtonia robusta</t>
  </si>
  <si>
    <t>זית אירופי</t>
  </si>
  <si>
    <t>חרוב מצוי</t>
  </si>
  <si>
    <t>טבבויה איפה</t>
  </si>
  <si>
    <t>Tabebuia ipe</t>
  </si>
  <si>
    <t>טבבויה צהובה</t>
  </si>
  <si>
    <t>Tabebuia chrysantha (palmeria)</t>
  </si>
  <si>
    <t>טקסודיון דו – טורי</t>
  </si>
  <si>
    <t>Taxodium distichum</t>
  </si>
  <si>
    <t>טרכיקרפוס פורטוני</t>
  </si>
  <si>
    <t>Trachicarpus fortunei</t>
  </si>
  <si>
    <t>ינבוט לבן</t>
  </si>
  <si>
    <t>Prosopis alba</t>
  </si>
  <si>
    <t>כוריזיה בקבוקית</t>
  </si>
  <si>
    <t>Chorisia insignis</t>
  </si>
  <si>
    <t>כוריזיה הדורה</t>
  </si>
  <si>
    <t>Chorisia speciosa</t>
  </si>
  <si>
    <t>כליל החורש</t>
  </si>
  <si>
    <t>כסיית האבוב</t>
  </si>
  <si>
    <t>כרבל לביד</t>
  </si>
  <si>
    <t>Alectryon tomentosum</t>
  </si>
  <si>
    <t>לגונריה פטרסון</t>
  </si>
  <si>
    <t>Lagunaris patersonli</t>
  </si>
  <si>
    <t>לגרסטרמיה הודית</t>
  </si>
  <si>
    <t xml:space="preserve">ליגוסטרום יפני </t>
  </si>
  <si>
    <t>ליוויסטונה סינית</t>
  </si>
  <si>
    <t>Livistona chinensis</t>
  </si>
  <si>
    <t>ליקוידמבר לבני</t>
  </si>
  <si>
    <t>Liquidamaber styraciflua</t>
  </si>
  <si>
    <t>ליקוידמבר מפואר</t>
  </si>
  <si>
    <t>Liquidamabar fomosana</t>
  </si>
  <si>
    <t>מגנוליה גדולת פרחים</t>
  </si>
  <si>
    <t>Magnolia grandiflora</t>
  </si>
  <si>
    <t>מילה אמריקנית</t>
  </si>
  <si>
    <t>Fraxinus Americana</t>
  </si>
  <si>
    <t>מילה ירוקת עד</t>
  </si>
  <si>
    <t>Fraxinus uhdei</t>
  </si>
  <si>
    <t>מילה סורית</t>
  </si>
  <si>
    <t>Fraximus syriacus</t>
  </si>
  <si>
    <t>מילה פנסילוונית</t>
  </si>
  <si>
    <t>Fraxinus pennsylvanica</t>
  </si>
  <si>
    <t>מיש בונגה</t>
  </si>
  <si>
    <t>Celtis bungeana</t>
  </si>
  <si>
    <t>מיש דרומי</t>
  </si>
  <si>
    <t>Celtis australis</t>
  </si>
  <si>
    <t>מכנף נאה</t>
  </si>
  <si>
    <t>Tipuana tipu</t>
  </si>
  <si>
    <t>מללוייקה מינים שונים</t>
  </si>
  <si>
    <t>סבל פלמטו</t>
  </si>
  <si>
    <t>Sabal palmetto</t>
  </si>
  <si>
    <t>סופורה יפנית</t>
  </si>
  <si>
    <t>Sophora japonica</t>
  </si>
  <si>
    <t>סיאגרוס רומנזוף</t>
  </si>
  <si>
    <t>Syagrus romanzoffianum</t>
  </si>
  <si>
    <t>סיגלון חד-עלים</t>
  </si>
  <si>
    <t>Jacaranda acutifolia</t>
  </si>
  <si>
    <t>סינקרפיה ערניית</t>
  </si>
  <si>
    <t>Syncarpia glomulifera</t>
  </si>
  <si>
    <t>סיסם הודי</t>
  </si>
  <si>
    <t>Dalbergis sissoo</t>
  </si>
  <si>
    <t>ספיון השעווה</t>
  </si>
  <si>
    <t>Sapium sebiferum</t>
  </si>
  <si>
    <t>עוזרר מינים שונים</t>
  </si>
  <si>
    <t>עץ השמן המכסיף</t>
  </si>
  <si>
    <t>Elaeagnus angustifolia</t>
  </si>
  <si>
    <t>ער אציל</t>
  </si>
  <si>
    <t>ערבת בבל</t>
  </si>
  <si>
    <t>Salix babylonica</t>
  </si>
  <si>
    <t>ערבה מחודדת</t>
  </si>
  <si>
    <t>פיג'ואה תרבותית</t>
  </si>
  <si>
    <t>פיטולקה דו ביתית</t>
  </si>
  <si>
    <t>פיטוספורום גלוני</t>
  </si>
  <si>
    <t>פיקוס בנגלי</t>
  </si>
  <si>
    <t>פיקוס בנימינה</t>
  </si>
  <si>
    <t>Ficus benjamina</t>
  </si>
  <si>
    <t>פיקוס הגומי</t>
  </si>
  <si>
    <t>פיקוס השדרות</t>
  </si>
  <si>
    <t>Ficus retusa</t>
  </si>
  <si>
    <t>פיקוס השקמה</t>
  </si>
  <si>
    <t>Ficus sycomorus</t>
  </si>
  <si>
    <t>פיקוס התאנה</t>
  </si>
  <si>
    <t>Ficus cerica</t>
  </si>
  <si>
    <t>פיקוס חלוד</t>
  </si>
  <si>
    <t>Ficus rubiginosa</t>
  </si>
  <si>
    <t>פיקוס מעוקם</t>
  </si>
  <si>
    <t>Ficus obliqua</t>
  </si>
  <si>
    <t>פיקוס צר עלים</t>
  </si>
  <si>
    <t>Ficus nerilifolia</t>
  </si>
  <si>
    <t>פיקוס קדוש (דתי)</t>
  </si>
  <si>
    <t>Ficus religiosa</t>
  </si>
  <si>
    <t>פלומריה ריחנית</t>
  </si>
  <si>
    <t>פלפלון בכות</t>
  </si>
  <si>
    <t>Schinus molle</t>
  </si>
  <si>
    <t>פנסית דו נוצתית</t>
  </si>
  <si>
    <t>Koeleutheria dipinnata</t>
  </si>
  <si>
    <t>פקן תרבותי</t>
  </si>
  <si>
    <t>Carya pecan</t>
  </si>
  <si>
    <t>צאלון נאה</t>
  </si>
  <si>
    <t>Delonix Regis</t>
  </si>
  <si>
    <t>צפצפה מינים שונים</t>
  </si>
  <si>
    <t>צפצפה מכסיפה</t>
  </si>
  <si>
    <t>Populus alba</t>
  </si>
  <si>
    <t>קופרסוציפריס "ליילנדי"</t>
  </si>
  <si>
    <t xml:space="preserve">Cuperssocyparis leylandi  </t>
  </si>
  <si>
    <t>קזוארינה מינים שונים</t>
  </si>
  <si>
    <t>Casuarina spp</t>
  </si>
  <si>
    <t>קטלב מצוי</t>
  </si>
  <si>
    <t>Arbutus andrachne</t>
  </si>
  <si>
    <t>קיגליה מנוצה</t>
  </si>
  <si>
    <t>Kigelia pinnata</t>
  </si>
  <si>
    <t>קליטריס מינים שונים</t>
  </si>
  <si>
    <t>קליסטמון מינים שונים</t>
  </si>
  <si>
    <t>קרית הפקאן [פקאן]</t>
  </si>
  <si>
    <t>קתרוסית מרובעת</t>
  </si>
  <si>
    <t>רוביניה בת השיטה</t>
  </si>
  <si>
    <t>רימון מצוי</t>
  </si>
  <si>
    <t>שזיף דודבני אדם</t>
  </si>
  <si>
    <t>Prunus cerasifera artopurpurea</t>
  </si>
  <si>
    <t>שיזף מצוי</t>
  </si>
  <si>
    <t>שיטה רכה</t>
  </si>
  <si>
    <t>Acacia decumens</t>
  </si>
  <si>
    <t>שיטה כחלכלה</t>
  </si>
  <si>
    <t>שיטת הסוכך/סלילנית</t>
  </si>
  <si>
    <t>שיטת ביילי</t>
  </si>
  <si>
    <t>Acacis baileyana</t>
  </si>
  <si>
    <t>שלטית מקומטת</t>
  </si>
  <si>
    <t>Peltophorum dubium</t>
  </si>
  <si>
    <t xml:space="preserve">שסק יפני </t>
  </si>
  <si>
    <t>שקד מצוי</t>
  </si>
  <si>
    <t>תבטיה מינים שונים</t>
  </si>
  <si>
    <t>תויה מזרחית</t>
  </si>
  <si>
    <t>תות לבן</t>
  </si>
  <si>
    <t>Morus alba</t>
  </si>
  <si>
    <t>תות לבן "בכוחי"</t>
  </si>
  <si>
    <t>Morus alba pendula</t>
  </si>
  <si>
    <t>תות מינים שונים זכר</t>
  </si>
  <si>
    <t>Monus nigra</t>
  </si>
  <si>
    <t>תות מינים שונים נקבה</t>
  </si>
  <si>
    <t>תמר מצוי</t>
  </si>
  <si>
    <t>Phoenix dactilifera</t>
  </si>
  <si>
    <t>תמר קנארי</t>
  </si>
  <si>
    <t>Phoenix canariensis</t>
  </si>
  <si>
    <t>diameter</t>
  </si>
  <si>
    <t>קוטר העץ</t>
  </si>
  <si>
    <t xml:space="preserve">שם מדעי </t>
  </si>
  <si>
    <t>Juglans regia</t>
  </si>
  <si>
    <t>Pyrus syriaca</t>
  </si>
  <si>
    <t>אגס תרבותי</t>
  </si>
  <si>
    <t>Pyrus communis</t>
  </si>
  <si>
    <t>אדנסוניה מאוצבעת</t>
  </si>
  <si>
    <t>Adansonia digitata</t>
  </si>
  <si>
    <t>Rhus lancea</t>
  </si>
  <si>
    <t>Pinus roxburghii</t>
  </si>
  <si>
    <t>Pinus pinea</t>
  </si>
  <si>
    <t>Pinus brutia</t>
  </si>
  <si>
    <t>Melia azedarach</t>
  </si>
  <si>
    <t>אינגה אמיתית</t>
  </si>
  <si>
    <t>Inga vera</t>
  </si>
  <si>
    <t>Eucalyptus camadulensis</t>
  </si>
  <si>
    <t>Albizia julibrissin</t>
  </si>
  <si>
    <t>Albizia lebbeck</t>
  </si>
  <si>
    <t>אלון שסוע</t>
  </si>
  <si>
    <t>Quercus cerris</t>
  </si>
  <si>
    <t>אלמוגן הודי</t>
  </si>
  <si>
    <t>Erythrina indica</t>
  </si>
  <si>
    <t>אלמוגן כרבולתי</t>
  </si>
  <si>
    <t>Erythrina crista-galli</t>
  </si>
  <si>
    <t>Erythrina corallodendrum</t>
  </si>
  <si>
    <t>Enterolobium cyclocarpum</t>
  </si>
  <si>
    <t>אפרסמון אמריקני</t>
  </si>
  <si>
    <t>Diospyros virginiana</t>
  </si>
  <si>
    <t>Eucalyptus torquata</t>
  </si>
  <si>
    <t>Araucaria bidwiillii</t>
  </si>
  <si>
    <t>Araucaria heterophylla</t>
  </si>
  <si>
    <t>Cedrus deodara</t>
  </si>
  <si>
    <t>ארז הלבנון</t>
  </si>
  <si>
    <t>Cedrus libani</t>
  </si>
  <si>
    <t>Rhamnus alaternus</t>
  </si>
  <si>
    <t>Tamarix aphylla</t>
  </si>
  <si>
    <t>Bauhinia variegate</t>
  </si>
  <si>
    <t>Bolusanthus specious</t>
  </si>
  <si>
    <t>Ulmus pumila</t>
  </si>
  <si>
    <t>Cupressus arizonica</t>
  </si>
  <si>
    <t>ברוש בכות</t>
  </si>
  <si>
    <t>Cupressus funebris</t>
  </si>
  <si>
    <t>Cupressus macrocarpa</t>
  </si>
  <si>
    <t>ברוש פורטוגלי</t>
  </si>
  <si>
    <t>Cupressus lusitanica</t>
  </si>
  <si>
    <t>Cupressus cashmeriana</t>
  </si>
  <si>
    <t>ברזילי הדור</t>
  </si>
  <si>
    <t>Metrosideros excelsa</t>
  </si>
  <si>
    <t>ברכיכיטון אדרי</t>
  </si>
  <si>
    <t>Brachychiton australis</t>
  </si>
  <si>
    <t>ברכיכיטון אוסטרלי</t>
  </si>
  <si>
    <t>Brachychiton populneum</t>
  </si>
  <si>
    <t>Phillyrea latifolia</t>
  </si>
  <si>
    <t>גינקו דו-אונתי</t>
  </si>
  <si>
    <t>Ginkgo biloba</t>
  </si>
  <si>
    <t>Gleditsia triacanthos</t>
  </si>
  <si>
    <t>Grevillea robusta</t>
  </si>
  <si>
    <t>דולב אדרי</t>
  </si>
  <si>
    <t>Platanus acerifolia</t>
  </si>
  <si>
    <t>Platanus orientalis</t>
  </si>
  <si>
    <t>דולב קליפורני</t>
  </si>
  <si>
    <t>Platanus racemoca</t>
  </si>
  <si>
    <t>Tecoma castanifolia</t>
  </si>
  <si>
    <t>הדר החושחש</t>
  </si>
  <si>
    <t>Citrus aurantium</t>
  </si>
  <si>
    <t>הטרומלס קטלבי</t>
  </si>
  <si>
    <t>Heteromeles arbutifolia</t>
  </si>
  <si>
    <t>היביסקוס רם</t>
  </si>
  <si>
    <t>Hibiscus elatus</t>
  </si>
  <si>
    <t>הינומית צהובה</t>
  </si>
  <si>
    <t>Hymenosporum flavum</t>
  </si>
  <si>
    <t>זלקובה משורית</t>
  </si>
  <si>
    <t>Zelkova serrate</t>
  </si>
  <si>
    <t>זקום מצרי</t>
  </si>
  <si>
    <t>Balanites aegyptiaca</t>
  </si>
  <si>
    <t>חוזרר החורש</t>
  </si>
  <si>
    <t>Eriobolus trilobatus</t>
  </si>
  <si>
    <t>Khaya nyasica</t>
  </si>
  <si>
    <t>Ceratonia siliqua</t>
  </si>
  <si>
    <t>Tabebuia impetiginosa</t>
  </si>
  <si>
    <t>Tetraclinis articulate</t>
  </si>
  <si>
    <t>טכסודיון דו-טורי</t>
  </si>
  <si>
    <t>טקומן סיני</t>
  </si>
  <si>
    <t>Radermachia sinica</t>
  </si>
  <si>
    <t>ינבוט המסקיטו</t>
  </si>
  <si>
    <t>Prosopis juliflora</t>
  </si>
  <si>
    <t>יצהרון מכסיף</t>
  </si>
  <si>
    <t>Elaeagnus angutifolia</t>
  </si>
  <si>
    <t>כיטלפת טשקנט X</t>
  </si>
  <si>
    <t>Chitalpa tashkentensis X</t>
  </si>
  <si>
    <t>Cercis siliquastrum</t>
  </si>
  <si>
    <t>כנוף-זרע אדרי</t>
  </si>
  <si>
    <t>pterospermum acerifolium</t>
  </si>
  <si>
    <t>Cassia fistula</t>
  </si>
  <si>
    <t>Styrax officinalis</t>
  </si>
  <si>
    <t>Lagunaria patersonii</t>
  </si>
  <si>
    <t>Ligustrum japonicum</t>
  </si>
  <si>
    <t>ליקווידמבר לבני</t>
  </si>
  <si>
    <t>liquidambar styraciflua</t>
  </si>
  <si>
    <t>מגלון אפריקני</t>
  </si>
  <si>
    <t>Harpephyllum caffrum</t>
  </si>
  <si>
    <t>מורינגה מכונפת</t>
  </si>
  <si>
    <t>Moringa oleifera</t>
  </si>
  <si>
    <t>מורינגה רותמית</t>
  </si>
  <si>
    <t>Moringa peregrine</t>
  </si>
  <si>
    <t>מטאסקוויה סינית</t>
  </si>
  <si>
    <t>Metasequoia glyptostroboides</t>
  </si>
  <si>
    <t>Fraxinus uhde</t>
  </si>
  <si>
    <t>Fraxinus ornus</t>
  </si>
  <si>
    <t>Fraxinus syriaca</t>
  </si>
  <si>
    <t>מללויקה מינים שונים</t>
  </si>
  <si>
    <t>מנגו הודי</t>
  </si>
  <si>
    <t>Mangifera indica</t>
  </si>
  <si>
    <t>מקדמיה רבועה</t>
  </si>
  <si>
    <t>Macadamia tetraphylla</t>
  </si>
  <si>
    <t>Maerua crassifolia</t>
  </si>
  <si>
    <t>Spathodea campanulata</t>
  </si>
  <si>
    <t>Jacaranda mimosifolia</t>
  </si>
  <si>
    <t>סיזיגיון אוסטרלי</t>
  </si>
  <si>
    <t>Syzygium austral</t>
  </si>
  <si>
    <t>סיזיגיון ימבולן</t>
  </si>
  <si>
    <t>Syzygium jambolan</t>
  </si>
  <si>
    <t>סיזיגיון מכבדי</t>
  </si>
  <si>
    <t>Syzygium paniculatum</t>
  </si>
  <si>
    <t>Dalbergia sissoo</t>
  </si>
  <si>
    <t>Sequoia sempervirens</t>
  </si>
  <si>
    <t>עוזרר אדום</t>
  </si>
  <si>
    <t>Crataegus azarolus</t>
  </si>
  <si>
    <t>Laurus nobilis</t>
  </si>
  <si>
    <t>ערער רם</t>
  </si>
  <si>
    <t>Juniperus excels</t>
  </si>
  <si>
    <t>פארון הכף</t>
  </si>
  <si>
    <t>Calodendrum capensis</t>
  </si>
  <si>
    <t>פודוקרפוס גדול-עלים</t>
  </si>
  <si>
    <t xml:space="preserve">Podocarpus macrophyllus </t>
  </si>
  <si>
    <t>פודוקרפוס מגלי</t>
  </si>
  <si>
    <t>Podocarpus falcatus</t>
  </si>
  <si>
    <t>פולובניית פרוטון</t>
  </si>
  <si>
    <t>Paulownia fortune</t>
  </si>
  <si>
    <t>פונגמיה מנוצה</t>
  </si>
  <si>
    <t>Pongamia pinnata</t>
  </si>
  <si>
    <t>פטרוקריה מיילנית</t>
  </si>
  <si>
    <t>Pterocarya fraxinifolia</t>
  </si>
  <si>
    <t>פיטולקה דו-ביתית</t>
  </si>
  <si>
    <t>Phytolacca dioica</t>
  </si>
  <si>
    <t>Pittosporum undulatum</t>
  </si>
  <si>
    <t>פיקוס אוזני</t>
  </si>
  <si>
    <t>Ficus auriculata</t>
  </si>
  <si>
    <t>Ficus bengalensis</t>
  </si>
  <si>
    <t>Ficus elastic</t>
  </si>
  <si>
    <t xml:space="preserve"> Ficus microcarpa</t>
  </si>
  <si>
    <t>Ficus carica</t>
  </si>
  <si>
    <t>פיקוס כינורי</t>
  </si>
  <si>
    <t>Ficus lyrata</t>
  </si>
  <si>
    <t>Ficus oblique</t>
  </si>
  <si>
    <t>פיקוס צר-עלים</t>
  </si>
  <si>
    <t>Ficus binnendijkii</t>
  </si>
  <si>
    <t>פירמיאנה פשוטה</t>
  </si>
  <si>
    <t xml:space="preserve">Firmiana simplex </t>
  </si>
  <si>
    <t>Plumeria rubra</t>
  </si>
  <si>
    <t>Schinus terebinthifolius</t>
  </si>
  <si>
    <t>פנסית דו-נוצתית</t>
  </si>
  <si>
    <t>Koelreuteria bipinnata</t>
  </si>
  <si>
    <t>פנסית מכבדית</t>
  </si>
  <si>
    <t>Koelreuteria paniculata</t>
  </si>
  <si>
    <t>Delonix regia</t>
  </si>
  <si>
    <t>צפצפה מקוצעת</t>
  </si>
  <si>
    <t>Populus angulate</t>
  </si>
  <si>
    <t>צפצפה שחורה 'איטלקית'</t>
  </si>
  <si>
    <t>Populus nigra 'Italica'</t>
  </si>
  <si>
    <t>צפצפת הפרת</t>
  </si>
  <si>
    <t>Populus euphratica</t>
  </si>
  <si>
    <t>Cupaniopsis anacardioides</t>
  </si>
  <si>
    <t>Corymbia torelliana</t>
  </si>
  <si>
    <t>Corymbia (Eucalyptus) citriodora</t>
  </si>
  <si>
    <t>קורימביה (אקליפטוס) אדום</t>
  </si>
  <si>
    <t>Corymbia ficifolia</t>
  </si>
  <si>
    <t>קזוארינה שבטבטית</t>
  </si>
  <si>
    <t>Casuarina equisetifolia</t>
  </si>
  <si>
    <t>Arbutus unedo</t>
  </si>
  <si>
    <t>קטלפה ביגנונית</t>
  </si>
  <si>
    <t>Catalpa bignonioides</t>
  </si>
  <si>
    <t>קינמון קמפורי</t>
  </si>
  <si>
    <t>Cinnamomum camphora</t>
  </si>
  <si>
    <t>קליטריס כחלחל</t>
  </si>
  <si>
    <t>Callitris glaucophylla</t>
  </si>
  <si>
    <t>Callistemon phoeniceus</t>
  </si>
  <si>
    <t>Callistemon viminalis</t>
  </si>
  <si>
    <t>Callistemon citrinus</t>
  </si>
  <si>
    <t>Xylosma salzmannii</t>
  </si>
  <si>
    <t>Carya illinoinensis</t>
  </si>
  <si>
    <t>Citharexylum spinosum</t>
  </si>
  <si>
    <t>Robinia pseudo-acacia</t>
  </si>
  <si>
    <t>רוולנה מדגסקרית</t>
  </si>
  <si>
    <t>Ravenala madagascariensis</t>
  </si>
  <si>
    <t>Punica granatum</t>
  </si>
  <si>
    <t>שדר משתלשל</t>
  </si>
  <si>
    <t>Betula pendula</t>
  </si>
  <si>
    <t>Schotia latifolia</t>
  </si>
  <si>
    <t>שזיף פעמוני</t>
  </si>
  <si>
    <t>Prunus campanulata</t>
  </si>
  <si>
    <t>Zizphus spina-christi</t>
  </si>
  <si>
    <t>Acacia pendula</t>
  </si>
  <si>
    <t>שיטת הנגב</t>
  </si>
  <si>
    <t>Vachellia gerrardii</t>
  </si>
  <si>
    <t>שיטת המשוכות</t>
  </si>
  <si>
    <t>Vachellia farnesiana</t>
  </si>
  <si>
    <t>שיטה מלבינה</t>
  </si>
  <si>
    <t>Acacia saligna</t>
  </si>
  <si>
    <t>שיטה סלילנית</t>
  </si>
  <si>
    <t>Acacia raddiana</t>
  </si>
  <si>
    <t>שיטה סוככנית</t>
  </si>
  <si>
    <t>Acacia tortilis</t>
  </si>
  <si>
    <t>שסע פרהיבי</t>
  </si>
  <si>
    <t>Schizolobium parahybum</t>
  </si>
  <si>
    <t>שסק יפני</t>
  </si>
  <si>
    <t>Eriobotrya japonica</t>
  </si>
  <si>
    <t>שזיף מינים שונים</t>
  </si>
  <si>
    <t xml:space="preserve">Morus alba </t>
  </si>
  <si>
    <t>תמרינד הודי</t>
  </si>
  <si>
    <t>Tamarindus indica</t>
  </si>
  <si>
    <t>Thespesia populnea</t>
  </si>
  <si>
    <t>שם העץ</t>
  </si>
  <si>
    <t>לבחור מרשימה</t>
  </si>
  <si>
    <t>דוח תאימות עבור טופס לחישוב_ערך חליפי 2016ינואר.xls</t>
  </si>
  <si>
    <t>הפעל ב- 28/01/2016 11:45</t>
  </si>
  <si>
    <t>אין תמיכה בתכונות הבאות בחוברת עבודה זו בגירסאות קודמות של Excel. תכונות אלה יאבדו או ייפגעו בעת פתיחת חוברת עבודה זו בגירסה קודמת של Excel או אם תשמור אותה בתבנית קובץ קודמת.</t>
  </si>
  <si>
    <t>אובדן פונקציונליות משמעותי</t>
  </si>
  <si>
    <t>מספר המופעים</t>
  </si>
  <si>
    <t>גירסה</t>
  </si>
  <si>
    <t>כל אפקט באובייקט זה יוסר. כל טקסט שיגלוש מעבר לגבולות של גרפיקה זו ייראה חתוך.</t>
  </si>
  <si>
    <t>C1:R237!"חד גזעי"</t>
  </si>
  <si>
    <t>Excel 97-2003</t>
  </si>
  <si>
    <t>B3:M19!"רב גזעי"</t>
  </si>
  <si>
    <t>תא אחד או יותר בחוברת עבודה זו מכילים כללי אימות נתונים המפנים לערכים בגליונות עבודה אחרים. כללי אימות נתונים אלה לא יישמרו.</t>
  </si>
  <si>
    <t>F11!"חד גזעי"</t>
  </si>
  <si>
    <t>אובדן איכות מינימלי</t>
  </si>
  <si>
    <t>תאים או סגנונות מסוימים בחוברת עבודה זו מכילים עיצוב שאין בו תמיכה בתבנית הקובץ שנבחרה. תבניות אלה יומרו לתבנית הזמינה הקרובה ביותר.</t>
  </si>
  <si>
    <t>אבוקדו אמריקני (זנים שונים)</t>
  </si>
  <si>
    <t>אגוז המלך</t>
  </si>
  <si>
    <t>אגס סורי</t>
  </si>
  <si>
    <t>אגס קלרי</t>
  </si>
  <si>
    <t>אדר ברגר</t>
  </si>
  <si>
    <t>אדר כפני</t>
  </si>
  <si>
    <t>אדר מצוי</t>
  </si>
  <si>
    <t>אוג אזמלני</t>
  </si>
  <si>
    <t>אוג הבורסקאים</t>
  </si>
  <si>
    <t>אוג הדונג</t>
  </si>
  <si>
    <t>אוג הקופל</t>
  </si>
  <si>
    <t>אוגניה חד-פרחית</t>
  </si>
  <si>
    <t>אורן ארך-עלים</t>
  </si>
  <si>
    <t>אורן הגלעין</t>
  </si>
  <si>
    <t>אורן החוף</t>
  </si>
  <si>
    <t>אורן קנרי</t>
  </si>
  <si>
    <t>איקליפטוס בהיר-קליפה</t>
  </si>
  <si>
    <t>איקליפטוס המקור</t>
  </si>
  <si>
    <t>איקליפטוס הצאוורון</t>
  </si>
  <si>
    <t>איקליפטוס מסמרי</t>
  </si>
  <si>
    <t>אלה ארץ-ישראלית</t>
  </si>
  <si>
    <t>אלון ארך-עוקצים</t>
  </si>
  <si>
    <t>אלון הלבנון</t>
  </si>
  <si>
    <t>אלמוגן אתיופי</t>
  </si>
  <si>
    <t>אלמוגן רחב-עלים</t>
  </si>
  <si>
    <t>אלת הבוטנה</t>
  </si>
  <si>
    <t>אנטרולוביום עגול-פרי</t>
  </si>
  <si>
    <t>אפרסמון יפני (זנים שונים)</t>
  </si>
  <si>
    <t>אפרסק מצוי (זנים שונים)</t>
  </si>
  <si>
    <t>אקמנה סמיטי</t>
  </si>
  <si>
    <t>אראוקריית בידוויל</t>
  </si>
  <si>
    <t>אשחר רחב-עלים</t>
  </si>
  <si>
    <t>אשל סיני</t>
  </si>
  <si>
    <t>בומבק צייבה</t>
  </si>
  <si>
    <t>בוקיצה אמריקנית</t>
  </si>
  <si>
    <t>בוקיצה נמוכה</t>
  </si>
  <si>
    <t>בוקיצה קטנת-עלים</t>
  </si>
  <si>
    <t>בוקיצה שעירה</t>
  </si>
  <si>
    <t>בר-זית בינוני</t>
  </si>
  <si>
    <t>ברוש אריזוני</t>
  </si>
  <si>
    <t>ברוש גדול-פירות</t>
  </si>
  <si>
    <t>ברוש מצוי</t>
  </si>
  <si>
    <t>ברוש קירח</t>
  </si>
  <si>
    <t>ברוש קשמירי</t>
  </si>
  <si>
    <t>ברכיכיטון בידוויל</t>
  </si>
  <si>
    <t>ברכיכיטון הסלעים</t>
  </si>
  <si>
    <t>ברכיכיטון צפצפתי</t>
  </si>
  <si>
    <t>גואיבה מצויה (זנים שונים)</t>
  </si>
  <si>
    <t>גואיבה תותית (זנים שונים)</t>
  </si>
  <si>
    <t>גלדיצייה תלת-קוצית</t>
  </si>
  <si>
    <t>דובדבן</t>
  </si>
  <si>
    <t>דולב מכסיקני</t>
  </si>
  <si>
    <t>דומביאה עגולת-עלים</t>
  </si>
  <si>
    <t>דק-פרי זקוף</t>
  </si>
  <si>
    <t>דק-פרי ערמוני</t>
  </si>
  <si>
    <t xml:space="preserve">הדר האשכולית </t>
  </si>
  <si>
    <t xml:space="preserve">הדר האתרוג </t>
  </si>
  <si>
    <t xml:space="preserve">הדר הלימון </t>
  </si>
  <si>
    <t>הדר המנדרין</t>
  </si>
  <si>
    <t xml:space="preserve">הדר הפומלו </t>
  </si>
  <si>
    <t xml:space="preserve">הדר התפוז </t>
  </si>
  <si>
    <t>הומלנתוס צפצפתי</t>
  </si>
  <si>
    <t>חאיה ניאסית</t>
  </si>
  <si>
    <t xml:space="preserve">חבוש מוארך </t>
  </si>
  <si>
    <t>חלבלוב דמוי-קוטינוס</t>
  </si>
  <si>
    <t>חלבלוב רותמי</t>
  </si>
  <si>
    <t>טטרקליניס מפריק</t>
  </si>
  <si>
    <t>טרמינליה הודית</t>
  </si>
  <si>
    <t>יוקה מינים שונים</t>
  </si>
  <si>
    <t>יתרופית תמימה</t>
  </si>
  <si>
    <t>כילופסיס סרגלי</t>
  </si>
  <si>
    <t>כליל קנדי</t>
  </si>
  <si>
    <t>לבנה רפואי</t>
  </si>
  <si>
    <t>לגונריית פטרסון</t>
  </si>
  <si>
    <t>ליגוסטרום יפני</t>
  </si>
  <si>
    <t>מגנוליה גדולת-פרחים</t>
  </si>
  <si>
    <t>מילה ירוקת-עד</t>
  </si>
  <si>
    <t>מילה לבנת-פרחים</t>
  </si>
  <si>
    <t>מיש אפריקני</t>
  </si>
  <si>
    <t>מיש סיני</t>
  </si>
  <si>
    <t>מרואה עבת-עלים</t>
  </si>
  <si>
    <t>מרקמיה צהובה</t>
  </si>
  <si>
    <t>מתחלית פעמונית</t>
  </si>
  <si>
    <t>נולינה מופשלת</t>
  </si>
  <si>
    <t>סולנום גדול</t>
  </si>
  <si>
    <t>סופורה אמריקנית</t>
  </si>
  <si>
    <t>סיגלון עלי-מימוסה</t>
  </si>
  <si>
    <t>ספיון השעוה</t>
  </si>
  <si>
    <t>סקויה נאה</t>
  </si>
  <si>
    <t>עוזרר קוצני</t>
  </si>
  <si>
    <t xml:space="preserve">ערבה צריפית </t>
  </si>
  <si>
    <t>ערף דביק שמו שונה לגופנן המדבר (נקרא גם ערף המדבר)</t>
  </si>
  <si>
    <t>פיטוספורום יפני</t>
  </si>
  <si>
    <t xml:space="preserve">פיקוס השקמה </t>
  </si>
  <si>
    <t>פיקוס קדוש</t>
  </si>
  <si>
    <t>פלפלון דמוי-אלה</t>
  </si>
  <si>
    <t>פפיה מצויה</t>
  </si>
  <si>
    <t>פרקינסוניה שיכנית</t>
  </si>
  <si>
    <t>צחר כחלחל</t>
  </si>
  <si>
    <t>צייבה מחומשת</t>
  </si>
  <si>
    <t>צינית מקרינה</t>
  </si>
  <si>
    <t>קוטינוס מזרחי</t>
  </si>
  <si>
    <t>קולווילאה אשכולית</t>
  </si>
  <si>
    <t>קוסוניה משובלת</t>
  </si>
  <si>
    <t>קופניון אנקרדי</t>
  </si>
  <si>
    <t>קורימביה (איקליפטוס) טורל</t>
  </si>
  <si>
    <t>קורימביה (איקליפטוס) לימוני</t>
  </si>
  <si>
    <t>קזוארינה אשונה</t>
  </si>
  <si>
    <t>קטלב משונן</t>
  </si>
  <si>
    <t xml:space="preserve">קיגליה מנוצה </t>
  </si>
  <si>
    <t>קליסטמון אדום</t>
  </si>
  <si>
    <t>קליסטמון הנצרים</t>
  </si>
  <si>
    <t>קליסטמון תרוג</t>
  </si>
  <si>
    <t>קסילוסמת זלצמן</t>
  </si>
  <si>
    <t>קריית הפקן</t>
  </si>
  <si>
    <t>רוביניה בת-שיטה</t>
  </si>
  <si>
    <t>שוטיה רחבת-עלים</t>
  </si>
  <si>
    <t>שזיף דובדבני 'אדום'/'שחור'</t>
  </si>
  <si>
    <t>שיטה כחלחלה</t>
  </si>
  <si>
    <t>שיטה משתלשלת</t>
  </si>
  <si>
    <t>שיטת עלי-ערבה</t>
  </si>
  <si>
    <t>שלטית אפריקנית</t>
  </si>
  <si>
    <t>תויה מינים שונים</t>
  </si>
  <si>
    <t>תות שחור</t>
  </si>
  <si>
    <t>תספזיה צפצפתית</t>
  </si>
  <si>
    <t>Persea americana</t>
  </si>
  <si>
    <t>Acer buergerianum</t>
  </si>
  <si>
    <t>Acer palmatum</t>
  </si>
  <si>
    <t>Acer campestre</t>
  </si>
  <si>
    <t>Rhus coriaria</t>
  </si>
  <si>
    <t>Rhus succedanea</t>
  </si>
  <si>
    <t>Rhus copallina</t>
  </si>
  <si>
    <t>Eugenia uniflora</t>
  </si>
  <si>
    <t>Pinus pinaster</t>
  </si>
  <si>
    <t>Eucalyptus leucoxylon</t>
  </si>
  <si>
    <t>Eucalyptus gomphocephala</t>
  </si>
  <si>
    <t>Pistacia palaestina</t>
  </si>
  <si>
    <t>Quercus libani</t>
  </si>
  <si>
    <t>Quercus calliprino</t>
  </si>
  <si>
    <t>Erythrina abyssinica</t>
  </si>
  <si>
    <t>Pistacia vera</t>
  </si>
  <si>
    <t xml:space="preserve"> Persica vulgaris</t>
  </si>
  <si>
    <t>Acmena smithii</t>
  </si>
  <si>
    <t>Tamarix chinensis</t>
  </si>
  <si>
    <t>Ulmus americana</t>
  </si>
  <si>
    <t>Ulmus canescens</t>
  </si>
  <si>
    <t>Cupressus glabra</t>
  </si>
  <si>
    <t>Brachychiton aserifolius</t>
  </si>
  <si>
    <t>Brachychiton bidwillii</t>
  </si>
  <si>
    <t>Psidium guajava</t>
  </si>
  <si>
    <t>Psidium cattleianum</t>
  </si>
  <si>
    <t>Prunus subgenera cerasus</t>
  </si>
  <si>
    <t>Platanus mexicana</t>
  </si>
  <si>
    <t>Dombeya rotundifolia</t>
  </si>
  <si>
    <t>Tecoma stans</t>
  </si>
  <si>
    <t>Citrus paradisi</t>
  </si>
  <si>
    <t>Citrus medica</t>
  </si>
  <si>
    <t>Citrus limon</t>
  </si>
  <si>
    <t>Citrus reticulata</t>
  </si>
  <si>
    <t>Citrus grandis</t>
  </si>
  <si>
    <t>Citrus sinensis</t>
  </si>
  <si>
    <t>Homalanthus populifolius</t>
  </si>
  <si>
    <t>Olea europaea</t>
  </si>
  <si>
    <t>Cydonia oblonga</t>
  </si>
  <si>
    <t>Euphorbia cotinifolia</t>
  </si>
  <si>
    <t>Euphorbia tirucalli</t>
  </si>
  <si>
    <t>Tabebuia chrysantha</t>
  </si>
  <si>
    <t>Terminalia arjuna</t>
  </si>
  <si>
    <t>Yucca spp.</t>
  </si>
  <si>
    <t>Jatropha integerrima</t>
  </si>
  <si>
    <t>Chilopsis linearis</t>
  </si>
  <si>
    <t>Cercis canadensis</t>
  </si>
  <si>
    <t>Lagerstroemia indica</t>
  </si>
  <si>
    <t>Celtis africana</t>
  </si>
  <si>
    <t>Celtis sinensis</t>
  </si>
  <si>
    <t>Melaleuca spp.</t>
  </si>
  <si>
    <t>Markhamia lutea</t>
  </si>
  <si>
    <t>Nolina recurvata</t>
  </si>
  <si>
    <t>Solanum macranthum</t>
  </si>
  <si>
    <t>Sophora secundiflora</t>
  </si>
  <si>
    <t xml:space="preserve">Sophora japonica </t>
  </si>
  <si>
    <t>Crataegus aronia</t>
  </si>
  <si>
    <t>Salix acmophylla</t>
  </si>
  <si>
    <t>Salix humboldtiana</t>
  </si>
  <si>
    <t>Cordia myxa</t>
  </si>
  <si>
    <t>Feijoa sellowiana</t>
  </si>
  <si>
    <t>Pittosporum tobira</t>
  </si>
  <si>
    <t xml:space="preserve">Ficus sycomorus </t>
  </si>
  <si>
    <t>Carica papaya</t>
  </si>
  <si>
    <t>Parkinsonia aculeata</t>
  </si>
  <si>
    <t>Leucaena leucocephala</t>
  </si>
  <si>
    <t>Ceiba Pantandra</t>
  </si>
  <si>
    <t>Ilex cornuta</t>
  </si>
  <si>
    <t>Cotinus coggygria</t>
  </si>
  <si>
    <t>Colvillea racemosa</t>
  </si>
  <si>
    <t>Cussonia spicata</t>
  </si>
  <si>
    <t>Casuarina stricta</t>
  </si>
  <si>
    <t>Callistermon spp.</t>
  </si>
  <si>
    <t>Prunus cerasifera 'Atropurpurea'/'Nigra'</t>
  </si>
  <si>
    <t>Prunus spp.</t>
  </si>
  <si>
    <t>Faidherbia albida</t>
  </si>
  <si>
    <t>Acacia salicina</t>
  </si>
  <si>
    <t>Peltophorum africanum</t>
  </si>
  <si>
    <t>Amygdalus communis</t>
  </si>
  <si>
    <t>Thuja spp.</t>
  </si>
  <si>
    <t xml:space="preserve">Morus nigra </t>
  </si>
  <si>
    <t>ערך מין 2018</t>
  </si>
  <si>
    <t>מצב בריאותי</t>
  </si>
  <si>
    <t xml:space="preserve">ניקוד </t>
  </si>
  <si>
    <t xml:space="preserve">עץ מת </t>
  </si>
  <si>
    <t>זווית נטיית הגזע גדולה מ-45 מעלות מאנך ו/או שיעור הנגעים, הפגעים והריקבונות גדול מ-30% משטח איבר העץ הנסקר</t>
  </si>
  <si>
    <t>זווית נטיית הגזע גדולה מ-30 מעלות מאנך ו/או שיעור הנגעים, הפגעים והריקבונות נמוך מ-30% משטח איבר העץ הנסקר</t>
  </si>
  <si>
    <t>זווית נטיית הגזע גדולה מ-10 מעלות מאנך ו/או שיעור הנגעים, הפגעים והריקבונות נמוך מ-10% משטח איבר העץ הנסקר</t>
  </si>
  <si>
    <t>(עץ בר שיקום מהיר יחסית)</t>
  </si>
  <si>
    <t>זווית נטיית הגזע נמוכה מ-10 מעלות מאנך ו/או אין בעץ נגעים, פגעים או ריקבונות. עץ יציב מבחינה שלדית ובעל אופק חיים יציב</t>
  </si>
  <si>
    <t>זווית נטיית הגזע גדולה מ-20 מעלות מאנך ו/או שיעור הנגעים, הפגעים והריקבונות נמוך מ-20% משטח איבר העץ הנסקר. עץ בעל מבנה שלדי בר תיקון בגיזום או טיפול אגרונומי</t>
  </si>
  <si>
    <t>עצים בתוך היישוב (בתחום הקו הכחול)</t>
  </si>
  <si>
    <t>ניקוד</t>
  </si>
  <si>
    <t>עצים בחצרות פרטיות – בלב השטח (במרחק העולה על 4 מ' מדופן שפונה לשטח ציבורי)</t>
  </si>
  <si>
    <t>עצים בחצרות פרטיות – צמודי דופן לשטחים ציבוריים (במרחק של עד 4 מ' מדופן שפונה לשטח ציבורי)</t>
  </si>
  <si>
    <t>עצים בשטחים ציבוריים (רחובות, רחבות עירוניות, שבצ"ים, שצ"פים וכו')</t>
  </si>
  <si>
    <t>עצים בשטחים פתוחים</t>
  </si>
  <si>
    <t>העץ</t>
  </si>
  <si>
    <t>המקבץ מתוך מכלול העצים בשטח התכנית</t>
  </si>
  <si>
    <t>-</t>
  </si>
  <si>
    <t>בשטח התכנית נכללים עד 10% מכלל העצים במקבץ</t>
  </si>
  <si>
    <t>בשטח התכנית נכללים עד 30% מכלל העצים במקבץ</t>
  </si>
  <si>
    <t>בשטח התכנית נכללים עד 50% מכלל העצים במקבץ</t>
  </si>
  <si>
    <t>עץ בודד בשטח פתוח</t>
  </si>
  <si>
    <t>עץ באזור מדברי או באזור יבש</t>
  </si>
  <si>
    <t>בשטח התכנית נכללים יותר מ-50% מכלל העצים במקבץ</t>
  </si>
  <si>
    <t>מספר עץ</t>
  </si>
  <si>
    <t>מין העץ</t>
  </si>
  <si>
    <t>כמות עצים</t>
  </si>
  <si>
    <t>גובה עץ (מ')</t>
  </si>
  <si>
    <t>קוטר גזע (ס"מ)</t>
  </si>
  <si>
    <t>מצב בריאותי (0-5)</t>
  </si>
  <si>
    <t>מקום העץ (0-5)</t>
  </si>
  <si>
    <t>ערך מין (0-5)</t>
  </si>
  <si>
    <t>חופת העץ (0-5)</t>
  </si>
  <si>
    <t>סך ערך (0-20)</t>
  </si>
  <si>
    <t>אזור שורשים מוגן (מ')</t>
  </si>
  <si>
    <t>שווי עץ (₪)</t>
  </si>
  <si>
    <t>היתכנות העתקה</t>
  </si>
  <si>
    <t>הערות</t>
  </si>
  <si>
    <r>
      <t xml:space="preserve">בברכה, אגרונום </t>
    </r>
    <r>
      <rPr>
        <sz val="11"/>
        <color theme="1"/>
        <rFont val="Calibri"/>
        <family val="2"/>
      </rPr>
      <t xml:space="preserve">B.Sc.Agr </t>
    </r>
  </si>
  <si>
    <t>סקר  עצים להיתר בניה</t>
  </si>
  <si>
    <t>ערכיות גבוהה מאוד</t>
  </si>
  <si>
    <t>ערכיות גבוהה</t>
  </si>
  <si>
    <t>ערכיות בינונית</t>
  </si>
  <si>
    <t>ערכיות נמוכה</t>
  </si>
  <si>
    <t>סה"כ</t>
  </si>
  <si>
    <t>גזע 1</t>
  </si>
  <si>
    <t>גזע 2</t>
  </si>
  <si>
    <t>גזע 3</t>
  </si>
  <si>
    <t>סמ"ר 1</t>
  </si>
  <si>
    <t>סמ"ר 2</t>
  </si>
  <si>
    <t>סמ"ר 3</t>
  </si>
  <si>
    <t>המין ערך</t>
  </si>
  <si>
    <t>שם המין</t>
  </si>
  <si>
    <t>שווי עץ רגיל</t>
  </si>
  <si>
    <t>ערך המין רגיל</t>
  </si>
  <si>
    <t>עצים רגילים</t>
  </si>
  <si>
    <t>שווי דקל</t>
  </si>
  <si>
    <t>ערך מין דקל</t>
  </si>
  <si>
    <t>ארכי-תמר אלכסנדרה</t>
  </si>
  <si>
    <t>בוטיה דרומית</t>
  </si>
  <si>
    <t>Butia capitata</t>
  </si>
  <si>
    <t>ביסמרקיה אצילה</t>
  </si>
  <si>
    <t>Bismarckia nobilis</t>
  </si>
  <si>
    <t>דום מצרי</t>
  </si>
  <si>
    <t>Hyphaena thebaica</t>
  </si>
  <si>
    <t>Dypsis lutescens</t>
  </si>
  <si>
    <t xml:space="preserve">Dypsis decarii </t>
  </si>
  <si>
    <t>דקל זנב השועל</t>
  </si>
  <si>
    <t>Wodyetia bifurcata</t>
  </si>
  <si>
    <t>Washingtonia Robusta</t>
  </si>
  <si>
    <t>טרכיקרפוס פורטון</t>
  </si>
  <si>
    <t>Trachycarpus fortuni</t>
  </si>
  <si>
    <t>כמרופס נמוך</t>
  </si>
  <si>
    <t>Chamaerops humilis</t>
  </si>
  <si>
    <t>Livistonia spp.</t>
  </si>
  <si>
    <t>סייגרוס רומנזוף</t>
  </si>
  <si>
    <t>קנטיה פורסטר</t>
  </si>
  <si>
    <t>Howea (Kentia) forsteriana</t>
  </si>
  <si>
    <t>קריוטה נאה</t>
  </si>
  <si>
    <t>Caryota mitis</t>
  </si>
  <si>
    <t>Ravenea rivularis</t>
  </si>
  <si>
    <t>רומם מלכותי</t>
  </si>
  <si>
    <t>Roysotnea regia</t>
  </si>
  <si>
    <t>רפיס רם</t>
  </si>
  <si>
    <t>Rhapis excalsa</t>
  </si>
  <si>
    <t>תמר נטוי</t>
  </si>
  <si>
    <t>Phoenix reclinata</t>
  </si>
  <si>
    <t>תמר קנרי</t>
  </si>
  <si>
    <t>דקל</t>
  </si>
  <si>
    <t>תאריך:</t>
  </si>
  <si>
    <t>טבלת מידע מרכזת</t>
  </si>
  <si>
    <t>ערכיות העץ</t>
  </si>
  <si>
    <t>סטאטוס מוצע</t>
  </si>
  <si>
    <t>נוסחה לאזור שורשים</t>
  </si>
  <si>
    <t>Apple</t>
  </si>
  <si>
    <t>שימור</t>
  </si>
  <si>
    <t>כריתה</t>
  </si>
  <si>
    <t>העתקה</t>
  </si>
  <si>
    <t>קוטר משוקלל</t>
  </si>
  <si>
    <t>סה"כ ערך חליפי</t>
  </si>
  <si>
    <t>ריכוז ערך חליפי לפי סטאטוס</t>
  </si>
  <si>
    <t>סה"כ כמות עצים</t>
  </si>
  <si>
    <t>סה"כ עצים</t>
  </si>
  <si>
    <t>סך ערך       (0-20)</t>
  </si>
  <si>
    <t>עצים צריפיים</t>
  </si>
  <si>
    <t>העצים המסומנים בכחול במפת המדידה, אינם עצים/ אינם קיימים/ אינם עצים בוגרים כהגדרתם בתיקון 89 לחוק התכנון והבניה.</t>
  </si>
  <si>
    <t>גוש 123 חלקה 123</t>
  </si>
  <si>
    <t>יעוד עצים</t>
  </si>
  <si>
    <t>שם פוליגון</t>
  </si>
  <si>
    <t>סיכום פוליגון</t>
  </si>
  <si>
    <t>סיכום/ ממוצע</t>
  </si>
  <si>
    <t>מספר מדגם</t>
  </si>
  <si>
    <t>הערות לפוליגון: שטח מדגם הפוליגון הינו 15 אחוז משטח הפוליגון. במקרה של פוליגון שדירת עצים, המדגם הינו 20 אחוז ממספר העצים בשדרה</t>
  </si>
  <si>
    <t>על הפוליגון לכלול לפחות 20 פרטים. אחרת סקר פרטני</t>
  </si>
  <si>
    <t>עצים לטבלה מסכמת</t>
  </si>
  <si>
    <t>הדר הלימון</t>
  </si>
  <si>
    <t>חבוש מוארך</t>
  </si>
  <si>
    <t>דיפסיס לוטסנס</t>
  </si>
  <si>
    <t>התניות</t>
  </si>
  <si>
    <t>ערך חליפי מ 10 ס"מ</t>
  </si>
  <si>
    <t>אזור שורשים מוגן מיוחד עצים צריפיים</t>
  </si>
  <si>
    <t>כן</t>
  </si>
  <si>
    <t>לא</t>
  </si>
  <si>
    <t>אימות נתונים</t>
  </si>
  <si>
    <t>אזור שורשים מוגן שטח פתוח</t>
  </si>
  <si>
    <t>אחוזים מכלל העצים</t>
  </si>
  <si>
    <t>פטור מרישיון</t>
  </si>
  <si>
    <t>עצים לפטור</t>
  </si>
  <si>
    <t>נוסחאות עזר פטור מרישיון לתיבת סך ערך</t>
  </si>
  <si>
    <t>טבלה מסכמת - קביעת ערכיות העצים</t>
  </si>
  <si>
    <t>טבלה מסכמת - קביעת סטאטוס עצים</t>
  </si>
  <si>
    <t>בכל מקרה פטור מרישיון</t>
  </si>
  <si>
    <t>פטור מרישיון רק בתכנית בר תוקף לבניה</t>
  </si>
  <si>
    <t>VLOOKUP(C8,'חד גזעי'!$AH$2:$AH$6,1,FALSE)</t>
  </si>
  <si>
    <t>פטור מרישיון תכנית בייעוד מגורים</t>
  </si>
  <si>
    <t>שווי עץ לפני כמות עצים</t>
  </si>
  <si>
    <t>לא נדרש ברישיון</t>
  </si>
  <si>
    <t>Unknown</t>
  </si>
  <si>
    <t>יערן עירוני וגוזם מומחה, אורי אייגנר</t>
  </si>
  <si>
    <t>ממצאי הבדיקה נכונים לזמן הבדיקה בלבד. הסקר אינו סקר בטיחות עצים</t>
  </si>
  <si>
    <t>אזור שורשים מוגן חושב לעד 4 מ', לכל היותר, כפי המקובל.</t>
  </si>
  <si>
    <t>אזור שורשים 4 מ'</t>
  </si>
  <si>
    <t>אזור שורשים מוגן</t>
  </si>
  <si>
    <t>אזור שורשים צריפיים</t>
  </si>
  <si>
    <t>רשימה ישנה</t>
  </si>
  <si>
    <t>אבוקדו אמריקני</t>
  </si>
  <si>
    <t>אבוקדו הודי</t>
  </si>
  <si>
    <t>אבוקדו קנרי</t>
  </si>
  <si>
    <t>אבוקדו קרוליני</t>
  </si>
  <si>
    <t>אגוז לבן</t>
  </si>
  <si>
    <t>אגון גמיש ארגמני</t>
  </si>
  <si>
    <t>אגס אוסורי</t>
  </si>
  <si>
    <t>אגס ערבתי</t>
  </si>
  <si>
    <t>אגס שקדי</t>
  </si>
  <si>
    <t>אדר אדום</t>
  </si>
  <si>
    <t>אדר גדול-עלים</t>
  </si>
  <si>
    <t>אדר דולבני</t>
  </si>
  <si>
    <t>אדר דמוי-דולב</t>
  </si>
  <si>
    <t>אוג תמים</t>
  </si>
  <si>
    <t>אוכנה מסורית</t>
  </si>
  <si>
    <t>אורן הצנובר</t>
  </si>
  <si>
    <t>אזדרכת הודית</t>
  </si>
  <si>
    <t>אילנתה בלוטית</t>
  </si>
  <si>
    <t>איקליפטוס אגסי</t>
  </si>
  <si>
    <t>איקליפטוס אדום</t>
  </si>
  <si>
    <t>איקליפטוס אדום-זירים</t>
  </si>
  <si>
    <t>איקליפטוס אדום-מצנפת</t>
  </si>
  <si>
    <t>איקליפטוס אינקרסטה</t>
  </si>
  <si>
    <t>איקליפטוס אלני</t>
  </si>
  <si>
    <t>איקליפטוס ארבע-הכנפות</t>
  </si>
  <si>
    <t>איקליפטוס ארוך-מצנפת</t>
  </si>
  <si>
    <t>איקליפטוס אשכולי</t>
  </si>
  <si>
    <t>איקליפטוס ברידגס</t>
  </si>
  <si>
    <t>איקליפטוס גאן</t>
  </si>
  <si>
    <t>איקליפטוס גביעני</t>
  </si>
  <si>
    <t>איקליפטוס גדול</t>
  </si>
  <si>
    <t>איקליפטוס גדול-קרנים</t>
  </si>
  <si>
    <t>איקליפטוס גלילי</t>
  </si>
  <si>
    <t>איקליפטוס גס</t>
  </si>
  <si>
    <t>איקליפטוס גרדנר</t>
  </si>
  <si>
    <t>איקליפטוס דו-גוני</t>
  </si>
  <si>
    <t>איקליפטוס דוליכורינכה</t>
  </si>
  <si>
    <t>איקליפטוס הטבעות</t>
  </si>
  <si>
    <t>איקליפטוס הישימון</t>
  </si>
  <si>
    <t>איקליפטוס וודורד</t>
  </si>
  <si>
    <t>איקליפטוס ורוד-קליפה</t>
  </si>
  <si>
    <t>איקליפטוס חיוני</t>
  </si>
  <si>
    <t>איקליפטוס חלק</t>
  </si>
  <si>
    <t>איקליפטוס חסון</t>
  </si>
  <si>
    <t>איקליפטוס חרוק</t>
  </si>
  <si>
    <t>איקליפטוס טורלי (קורימביה טורלי)</t>
  </si>
  <si>
    <t>איקליפטוס יפה-עלים</t>
  </si>
  <si>
    <t>איקליפטוס כדורי</t>
  </si>
  <si>
    <t>איקליפטוס כהה-קליפה</t>
  </si>
  <si>
    <t>איקליפטוס כלאיים</t>
  </si>
  <si>
    <t>איקליפטוס כתום</t>
  </si>
  <si>
    <t>איקליפטוס לבן-ארגמן</t>
  </si>
  <si>
    <t>איקליפטוס למן</t>
  </si>
  <si>
    <t>איקליפטוס לנסדון</t>
  </si>
  <si>
    <t>איקליפטוס מאובק</t>
  </si>
  <si>
    <t>איקליפטוס מאפיר</t>
  </si>
  <si>
    <t>איקליפטוס מוכתם</t>
  </si>
  <si>
    <t>איקליפטוס מיידן</t>
  </si>
  <si>
    <t>איקליפטוס מכבדי</t>
  </si>
  <si>
    <t>איקליפטוס מכחיל</t>
  </si>
  <si>
    <t>איקליפטוס מכסיף</t>
  </si>
  <si>
    <t>איקליפטוס מעובה</t>
  </si>
  <si>
    <t>איקליפטוס מערבי</t>
  </si>
  <si>
    <t>איקליפטוס מצולע</t>
  </si>
  <si>
    <t>איקליפטוס מקופל-פרי</t>
  </si>
  <si>
    <t>איקליפטוס מרובע</t>
  </si>
  <si>
    <t>איקליפטוס מריתי</t>
  </si>
  <si>
    <t>איקליפטוס נאה</t>
  </si>
  <si>
    <t>איקליפטוס נטוי</t>
  </si>
  <si>
    <t>איקליפטוס סטריקלנד</t>
  </si>
  <si>
    <t>איקליפטוס ססגוני</t>
  </si>
  <si>
    <t>איקליפטוס סרגנטי</t>
  </si>
  <si>
    <t>איקליפטוס עדין</t>
  </si>
  <si>
    <t>איקליפטוס עפיץ</t>
  </si>
  <si>
    <t>איקליפטוס ערבתי</t>
  </si>
  <si>
    <t>איקליפטוס פורה</t>
  </si>
  <si>
    <t>איקליפטוס פורמני</t>
  </si>
  <si>
    <t>איקליפטוס פלוקטון</t>
  </si>
  <si>
    <t>איקליפטוס פרין</t>
  </si>
  <si>
    <t>איקליפטוס צפוף</t>
  </si>
  <si>
    <t>איקליפטוס צפצפתי</t>
  </si>
  <si>
    <t>איקליפטוס קינגסמיל</t>
  </si>
  <si>
    <t>איקליפטוס קמחי</t>
  </si>
  <si>
    <t>איקליפטוס קרנוני</t>
  </si>
  <si>
    <t>איקליפטוס רב-פרחים</t>
  </si>
  <si>
    <t>איקליפטוס שונה-עלים</t>
  </si>
  <si>
    <t>איקליפטוס שחור-סות</t>
  </si>
  <si>
    <t>איקליפטוס שטייגר</t>
  </si>
  <si>
    <t>איקליפטוס שמוט</t>
  </si>
  <si>
    <t>איקליפטוס שרפי</t>
  </si>
  <si>
    <t>איקלפטוס המקור (מכון)</t>
  </si>
  <si>
    <t>איקלפטוס המקור (עומר)</t>
  </si>
  <si>
    <t>איקלפטוס הצוארון (צהב עומר)</t>
  </si>
  <si>
    <t>איקלפטוס קלילנד</t>
  </si>
  <si>
    <t>אלומגן חרמשי</t>
  </si>
  <si>
    <t>אלמוגן מעולה</t>
  </si>
  <si>
    <t>אלמוגן נשפוני</t>
  </si>
  <si>
    <t>אלמוגן צר-פרחים</t>
  </si>
  <si>
    <t>אלת מסטיק</t>
  </si>
  <si>
    <t>אפרסק מצוי</t>
  </si>
  <si>
    <t>אשחר ארץ-ישראלי</t>
  </si>
  <si>
    <t>אשל החוף</t>
  </si>
  <si>
    <t>אשל הירדן</t>
  </si>
  <si>
    <t>אשל צרפתי</t>
  </si>
  <si>
    <t>אשל קטן-פרחים</t>
  </si>
  <si>
    <t>בוהיניה ארגמנית</t>
  </si>
  <si>
    <t>בוהיניה טורטיקטה</t>
  </si>
  <si>
    <t>בוהיניה יחידת-מאבק</t>
  </si>
  <si>
    <t>בוהיניית בלק</t>
  </si>
  <si>
    <t>בוהיניית קרון</t>
  </si>
  <si>
    <t>בירנית מפושקת</t>
  </si>
  <si>
    <t>בן עוזרר דלקורי</t>
  </si>
  <si>
    <t>ברוש בייקר</t>
  </si>
  <si>
    <t>ברוש הדור</t>
  </si>
  <si>
    <t>ברכיכיטון גרגור</t>
  </si>
  <si>
    <t>ברכיכיטון דו-גוני</t>
  </si>
  <si>
    <t>גויאבה מצויה (זנים שונים)</t>
  </si>
  <si>
    <t>גויאבה תותית (זנים שונים)</t>
  </si>
  <si>
    <t>גופנן המדבר</t>
  </si>
  <si>
    <t>דובדבן חמוץ</t>
  </si>
  <si>
    <t>דובדבן יפני</t>
  </si>
  <si>
    <t>דובדבן מהלב</t>
  </si>
  <si>
    <t>דובדבן מתוק</t>
  </si>
  <si>
    <t>דומביאה וליך</t>
  </si>
  <si>
    <t>דקל רובליני</t>
  </si>
  <si>
    <t>דקל רווניאת הפלגים</t>
  </si>
  <si>
    <t>הדר הלימה</t>
  </si>
  <si>
    <t>הדר הלימונית</t>
  </si>
  <si>
    <t>הדר הקלמנטינה</t>
  </si>
  <si>
    <t>הווניה מתוקה</t>
  </si>
  <si>
    <t>היביסקוס חליף</t>
  </si>
  <si>
    <t>היביסקוס טילייתי ('סתריה')</t>
  </si>
  <si>
    <t>זקיניה דוקרנית</t>
  </si>
  <si>
    <t>טיליה רחבת-עלים</t>
  </si>
  <si>
    <t>טקסוס מעונב</t>
  </si>
  <si>
    <t>יוקה דרומית</t>
  </si>
  <si>
    <t>יוקה פילית</t>
  </si>
  <si>
    <t>יטרופית מחולקת</t>
  </si>
  <si>
    <t>יטרופית קצרת-אונות</t>
  </si>
  <si>
    <t>יטרופית תמימה</t>
  </si>
  <si>
    <t>כיטלפת טשקנט</t>
  </si>
  <si>
    <t>כנף-זרע אדרי</t>
  </si>
  <si>
    <t>לבן- עלה שיחני גרין קלאוד</t>
  </si>
  <si>
    <t>מורן החורש</t>
  </si>
  <si>
    <t>מייש</t>
  </si>
  <si>
    <t>מייש אפריקני</t>
  </si>
  <si>
    <t>מייש בונגה</t>
  </si>
  <si>
    <t>מייש דרומי</t>
  </si>
  <si>
    <t>מייש הכף</t>
  </si>
  <si>
    <t>מייש חלק</t>
  </si>
  <si>
    <t>מייש מערבי</t>
  </si>
  <si>
    <t>מייש מרובע</t>
  </si>
  <si>
    <t>מייש מרושת</t>
  </si>
  <si>
    <t>מייש סיני</t>
  </si>
  <si>
    <t>מייש קווקזי</t>
  </si>
  <si>
    <t>מייש קוצני</t>
  </si>
  <si>
    <t>מירסיאנתוס ריחני</t>
  </si>
  <si>
    <t>מללויקה דקת-קליפה</t>
  </si>
  <si>
    <t>מללויקה ירוקת-פרחים</t>
  </si>
  <si>
    <t>מללויקה לבנת-קליפה</t>
  </si>
  <si>
    <t>מללויקה מאפירה</t>
  </si>
  <si>
    <t>מללויקה מחפה</t>
  </si>
  <si>
    <t>מללויקה מכסיפה</t>
  </si>
  <si>
    <t>מללויקה מצומדת</t>
  </si>
  <si>
    <t>מללויקה מתקלפת</t>
  </si>
  <si>
    <t>מללויקה קטנת-פרחים</t>
  </si>
  <si>
    <t>מללויקה רותמית</t>
  </si>
  <si>
    <t>מללויקה רחבת-עלים</t>
  </si>
  <si>
    <t>מללויקת כלאיים</t>
  </si>
  <si>
    <t>מקלורה זהובה</t>
  </si>
  <si>
    <t>סהרון קשה עלים</t>
  </si>
  <si>
    <t>סטיפנולוביום יפני</t>
  </si>
  <si>
    <t>סטנוקרפוס הגלגלים</t>
  </si>
  <si>
    <t>ער קנרי</t>
  </si>
  <si>
    <t>ערבה מצודנה</t>
  </si>
  <si>
    <t>ערבה רותמית</t>
  </si>
  <si>
    <t>ערבה שבירה</t>
  </si>
  <si>
    <t>ערמונית הסוסים</t>
  </si>
  <si>
    <t>ערער אדום</t>
  </si>
  <si>
    <t>ערער ארזני</t>
  </si>
  <si>
    <t>ערער ברמודי</t>
  </si>
  <si>
    <t>ערער הגלעין</t>
  </si>
  <si>
    <t>ערער המצוקים</t>
  </si>
  <si>
    <t>ערער וירגיני</t>
  </si>
  <si>
    <t>ערער חד-זרעי</t>
  </si>
  <si>
    <t>ערער לוקייני</t>
  </si>
  <si>
    <t>ערער מצוי</t>
  </si>
  <si>
    <t>ערער סיני</t>
  </si>
  <si>
    <t>ערער ספרדי</t>
  </si>
  <si>
    <t>ערער רד-פנסיל</t>
  </si>
  <si>
    <t>פיקוס בת-שקמה</t>
  </si>
  <si>
    <t>צינית קרולינית וויל פלמינג</t>
  </si>
  <si>
    <t>צינית קרולינית פריד אוף יוסטון</t>
  </si>
  <si>
    <t>ציקס מופשל</t>
  </si>
  <si>
    <t>צפצפה שחורה</t>
  </si>
  <si>
    <t>קזוארינה סיבית</t>
  </si>
  <si>
    <t>קליאנדרה אדומת-פרי</t>
  </si>
  <si>
    <t>קליאנדרה ורודת-קרקפות</t>
  </si>
  <si>
    <t>קליאנדרה לבנת-קרקפת (ALBA)</t>
  </si>
  <si>
    <t>קליאנדרה קליפורנית</t>
  </si>
  <si>
    <t>קליאנדרת שולץ</t>
  </si>
  <si>
    <t>קליטריס מיובל</t>
  </si>
  <si>
    <t xml:space="preserve">קסאלפיניה יפהפייה </t>
  </si>
  <si>
    <t>רואיסטוניה רג'ה- דקל המלך (דקל קוקוס)</t>
  </si>
  <si>
    <t>שיטה גלדנית</t>
  </si>
  <si>
    <t>שיטה דוקרנית</t>
  </si>
  <si>
    <t>שיטה דורית</t>
  </si>
  <si>
    <t>שיטה דמוית-פלפלון</t>
  </si>
  <si>
    <t>שיטה הקיאית</t>
  </si>
  <si>
    <t>שיטה הרדופית</t>
  </si>
  <si>
    <t>שיטה חד-קרנית</t>
  </si>
  <si>
    <t>שיטה לשונית</t>
  </si>
  <si>
    <t>שיטה מחוספסת-גביע</t>
  </si>
  <si>
    <t>שיטה מחורצת</t>
  </si>
  <si>
    <t>שיטה נאה</t>
  </si>
  <si>
    <t>שיטה נודעת</t>
  </si>
  <si>
    <t>שיטה נפוצה</t>
  </si>
  <si>
    <t>שיטה סיבית</t>
  </si>
  <si>
    <t>שיטה סנגלית</t>
  </si>
  <si>
    <t>שיטה צרת-עלים</t>
  </si>
  <si>
    <t>שיטה קוון</t>
  </si>
  <si>
    <t>שיטה קטכו</t>
  </si>
  <si>
    <t>שיטה קטנת-עלים</t>
  </si>
  <si>
    <t>שיטה קטנת-שינון</t>
  </si>
  <si>
    <t>שיטה רבת-פרחים</t>
  </si>
  <si>
    <t>שיטה ריסנית</t>
  </si>
  <si>
    <t>שיטה שחורת-עצה</t>
  </si>
  <si>
    <t>שיטת הוויט</t>
  </si>
  <si>
    <t>שיטת המולגה</t>
  </si>
  <si>
    <t>שיטת המקור</t>
  </si>
  <si>
    <t>שיטת ויקטוריה</t>
  </si>
  <si>
    <t>Persea indica</t>
  </si>
  <si>
    <t>Persea canariensis</t>
  </si>
  <si>
    <t>Persea borbonia</t>
  </si>
  <si>
    <t>Juglans cinerea</t>
  </si>
  <si>
    <t>Agonis flexuosa after dark</t>
  </si>
  <si>
    <t>Pyrus ussuriensis</t>
  </si>
  <si>
    <t>Pyrus salicifolia</t>
  </si>
  <si>
    <t>Pyrus amygdaliformis</t>
  </si>
  <si>
    <t>Acer rubrum</t>
  </si>
  <si>
    <t>Acer macrophyllum</t>
  </si>
  <si>
    <t>Acer pseudo-platanus</t>
  </si>
  <si>
    <t>Acer platanoides</t>
  </si>
  <si>
    <t xml:space="preserve"> Rhus coriaria</t>
  </si>
  <si>
    <t>Rhus integrifolia</t>
  </si>
  <si>
    <t>Ochna serrulata</t>
  </si>
  <si>
    <t>Melia azadirachta</t>
  </si>
  <si>
    <t>Eucalyptus pyriformis</t>
  </si>
  <si>
    <t>Eucalyptus ficifolia</t>
  </si>
  <si>
    <t>Eucalyptus erythronema</t>
  </si>
  <si>
    <t>Eucalyptus erythrocorys</t>
  </si>
  <si>
    <t>Eucalyptus incrassata</t>
  </si>
  <si>
    <t>Eucalyptus cladocalyx</t>
  </si>
  <si>
    <t>Eucalyptus tetraptera</t>
  </si>
  <si>
    <t>Eucalyptus macrandra</t>
  </si>
  <si>
    <t>Eucalyptus botryoides</t>
  </si>
  <si>
    <t>Eucalyptus bridgesiana</t>
  </si>
  <si>
    <t>Eucalyptus gunnii</t>
  </si>
  <si>
    <t>Eucalyptus calycogona</t>
  </si>
  <si>
    <t>Eucalyptus grandis</t>
  </si>
  <si>
    <t>Eucalyptus megacornuta</t>
  </si>
  <si>
    <t>Eucalyptus hemiphloia</t>
  </si>
  <si>
    <t>Eucalyptus rudis</t>
  </si>
  <si>
    <t>Eucalyptus gardneri</t>
  </si>
  <si>
    <t>Eucalyptus bicolor</t>
  </si>
  <si>
    <t>Eucalyptus dolichorhyncha</t>
  </si>
  <si>
    <t>Eucalyptus annulata</t>
  </si>
  <si>
    <t>Eucalyptus eremophila</t>
  </si>
  <si>
    <t>Eucalyptus woodwardii</t>
  </si>
  <si>
    <t>Eucalyptus salmonophloia</t>
  </si>
  <si>
    <t>Eucalyptus salubris</t>
  </si>
  <si>
    <t>Eucalyptus forrestiana</t>
  </si>
  <si>
    <t>Eucalyptus robusta</t>
  </si>
  <si>
    <t>Eucalyptus platypus</t>
  </si>
  <si>
    <t>Eucalyptus torelliana</t>
  </si>
  <si>
    <t>Eucalyptus calophylla</t>
  </si>
  <si>
    <t>Eucalyptus globulus</t>
  </si>
  <si>
    <t>Eucalyptus sideroxylon</t>
  </si>
  <si>
    <t>Eucalyptus gomphocornuta</t>
  </si>
  <si>
    <t>Eucalyptus torwood</t>
  </si>
  <si>
    <t>Eucalyptus alba-purpurea</t>
  </si>
  <si>
    <t>Eucalyptus citriodora</t>
  </si>
  <si>
    <t>Eucalyptus lehmannii</t>
  </si>
  <si>
    <t>Eucalyptus lansdowneana</t>
  </si>
  <si>
    <t>Eucalyptus pulverulenta</t>
  </si>
  <si>
    <t>Eucalyptus cinerea</t>
  </si>
  <si>
    <t>Eucalyptus maculata</t>
  </si>
  <si>
    <t>Eucalyptus maideni</t>
  </si>
  <si>
    <t>Eucalyptus paniculata</t>
  </si>
  <si>
    <t>Eucalyptus caesia</t>
  </si>
  <si>
    <t>Eucalyptus campaspe</t>
  </si>
  <si>
    <t>Eucalyptus grossa</t>
  </si>
  <si>
    <t>Eucalyptus occidentalis</t>
  </si>
  <si>
    <t>Eucalyptus angulosa</t>
  </si>
  <si>
    <t>Eucalyptus ptychocarpa</t>
  </si>
  <si>
    <t>Eucalyptus tetragona</t>
  </si>
  <si>
    <t>Eucalyptus spathulata</t>
  </si>
  <si>
    <t>Eucalyptus eximia</t>
  </si>
  <si>
    <t>Eucalyptus nutans</t>
  </si>
  <si>
    <t>Eucalyptus stricklandii</t>
  </si>
  <si>
    <t>Eucalyptus diversicolor</t>
  </si>
  <si>
    <t>Eucalyptus sargentii</t>
  </si>
  <si>
    <t>Eucalyptus gracilis</t>
  </si>
  <si>
    <t>Eucalyptus astringens</t>
  </si>
  <si>
    <t>Eucalyptus saligna</t>
  </si>
  <si>
    <t>Eucalyptus foecunda</t>
  </si>
  <si>
    <t>Eucalyptus formanii</t>
  </si>
  <si>
    <t>Eucalyptus flocktoniae</t>
  </si>
  <si>
    <t>Eucalyptus perriniana</t>
  </si>
  <si>
    <t>Eucalyptus crebra</t>
  </si>
  <si>
    <t>Eucalyptus populnea</t>
  </si>
  <si>
    <t>Eucalyptus kingsmillii</t>
  </si>
  <si>
    <t>Eucalyptus pruinosa</t>
  </si>
  <si>
    <t>Eucalyptus cornuta</t>
  </si>
  <si>
    <t>Eucalyptus polyanthemos</t>
  </si>
  <si>
    <t>Eucalyptus diversifolia</t>
  </si>
  <si>
    <t>Eucalyptus melanophloia</t>
  </si>
  <si>
    <t>Eucalyptus staigeriana</t>
  </si>
  <si>
    <t>Eucalyptus tereticornis</t>
  </si>
  <si>
    <t>Eucalyptus resinifera</t>
  </si>
  <si>
    <t>Eucalyptus camaldulensis (מכון)</t>
  </si>
  <si>
    <t>Eucalyptus camaldulensis 'עומר '</t>
  </si>
  <si>
    <t>Eucalyptus torquata צהב 'omer'</t>
  </si>
  <si>
    <t>Eucalyptus clelandii</t>
  </si>
  <si>
    <t>Erythrina falcata</t>
  </si>
  <si>
    <t>Erythrina insignis</t>
  </si>
  <si>
    <t>Erythrina vespertilio</t>
  </si>
  <si>
    <t>Erythrina princeps</t>
  </si>
  <si>
    <t>Pistacia lentiscus</t>
  </si>
  <si>
    <t>Persica vulgaris</t>
  </si>
  <si>
    <t>Rhamnus lycioides</t>
  </si>
  <si>
    <t>Tamarix sp.</t>
  </si>
  <si>
    <t>Tamarix jordanis</t>
  </si>
  <si>
    <t>Tamarix gallica</t>
  </si>
  <si>
    <t>Tamarix parviflora</t>
  </si>
  <si>
    <t>Bauhinia purpurea</t>
  </si>
  <si>
    <t>Bauhinia torticata</t>
  </si>
  <si>
    <t>Bauhinia monandra</t>
  </si>
  <si>
    <t>Bauhinia blakeana</t>
  </si>
  <si>
    <t>Bauhinia carronii</t>
  </si>
  <si>
    <t>Pleno Flore divaricata Tabernaemontana</t>
  </si>
  <si>
    <t>Raphiolepis delacouri</t>
  </si>
  <si>
    <t>Cupressus bakeri</t>
  </si>
  <si>
    <t>Cupressus elegans</t>
  </si>
  <si>
    <t>Brachychiton gregori</t>
  </si>
  <si>
    <t>Psidium guajava</t>
  </si>
  <si>
    <t>Cerasus vulgaris</t>
  </si>
  <si>
    <t>Cerasus serrulata</t>
  </si>
  <si>
    <t>Cerasus mahaleb</t>
  </si>
  <si>
    <t>Cerasus avium</t>
  </si>
  <si>
    <t>Dombeya wallichii</t>
  </si>
  <si>
    <t>Dypsis decarii</t>
  </si>
  <si>
    <t>Dypsis (Chrysalidocarpus) lutescens</t>
  </si>
  <si>
    <t>Phoenix roebelenii</t>
  </si>
  <si>
    <t>Citrus aurantiifolia</t>
  </si>
  <si>
    <t>Citrus limetta</t>
  </si>
  <si>
    <t>Citrus Clementine</t>
  </si>
  <si>
    <t>Hibiscus mutabilis</t>
  </si>
  <si>
    <t>Hibiscus tiliaceus</t>
  </si>
  <si>
    <t xml:space="preserve">pungens Jacquinia </t>
  </si>
  <si>
    <t>Tilia platyphyllos</t>
  </si>
  <si>
    <t>Taxus baccata</t>
  </si>
  <si>
    <t>Jatropha multifida</t>
  </si>
  <si>
    <t>Jatropha curcas</t>
  </si>
  <si>
    <t xml:space="preserve">Leucophyllum frutescens - Green Cloud </t>
  </si>
  <si>
    <t>Viburnum tinus</t>
  </si>
  <si>
    <t>Celtis sp.</t>
  </si>
  <si>
    <t>Celtis capensis</t>
  </si>
  <si>
    <t>Celtis laevigata</t>
  </si>
  <si>
    <t>Celtis occidentalis</t>
  </si>
  <si>
    <t>Celtis tetrandra</t>
  </si>
  <si>
    <t>Celtis reticulata</t>
  </si>
  <si>
    <t>Celtis caucasica</t>
  </si>
  <si>
    <t>Celtis spinosa</t>
  </si>
  <si>
    <t>Myrcianthes fragrans</t>
  </si>
  <si>
    <t>Melaleuca halmaturorum</t>
  </si>
  <si>
    <t>Melaleuca viridiflora</t>
  </si>
  <si>
    <t>Melaleuca styphelioides</t>
  </si>
  <si>
    <t>Melaleuca incana</t>
  </si>
  <si>
    <t>Melaleuca bracteata</t>
  </si>
  <si>
    <t>Melaleuca argentea</t>
  </si>
  <si>
    <t>Melaleuca armillaris</t>
  </si>
  <si>
    <t>Melaleuca nesophylla</t>
  </si>
  <si>
    <t>Melaleuca parviflora</t>
  </si>
  <si>
    <t>Melaleuca genistifolia</t>
  </si>
  <si>
    <t>Melaleuca leucadendra</t>
  </si>
  <si>
    <t>Melaleuca 'hybrid'</t>
  </si>
  <si>
    <t>Maclura pomifera</t>
  </si>
  <si>
    <t>laurifolia Cocculus</t>
  </si>
  <si>
    <t>Styphnolobium japonicum</t>
  </si>
  <si>
    <t>Stenocarpus sinuatus</t>
  </si>
  <si>
    <t>Laurus canariensis</t>
  </si>
  <si>
    <t>Salix matsudana</t>
  </si>
  <si>
    <t>Salix viminalis</t>
  </si>
  <si>
    <t>Salix fragilis</t>
  </si>
  <si>
    <t>Aesculus hippocastanum</t>
  </si>
  <si>
    <t>Juniperus phoenicea</t>
  </si>
  <si>
    <t>Juniperus oxycedrus</t>
  </si>
  <si>
    <t>Juniperus bermudiana</t>
  </si>
  <si>
    <t>Juniperus drupacea</t>
  </si>
  <si>
    <t>Juniperus scopulorum</t>
  </si>
  <si>
    <t>Juniperus virginiana</t>
  </si>
  <si>
    <t>Juniperus monosperma</t>
  </si>
  <si>
    <t>Juniperus lucayana</t>
  </si>
  <si>
    <t>Juniperus communis</t>
  </si>
  <si>
    <t>Juniperus chinensis</t>
  </si>
  <si>
    <t>Juniperus thurifera</t>
  </si>
  <si>
    <t>Juniperus 'Red Pencil'</t>
  </si>
  <si>
    <t>Podocarpus macrophyllus</t>
  </si>
  <si>
    <t>Ficus pseudo-sycomorus</t>
  </si>
  <si>
    <t>Ficus microcarpa</t>
  </si>
  <si>
    <t>Firmiana simplex</t>
  </si>
  <si>
    <t>Ilex vomitoria</t>
  </si>
  <si>
    <t>Ilex vomitoria Pride of Houston</t>
  </si>
  <si>
    <t xml:space="preserve">Cycas revoluta </t>
  </si>
  <si>
    <t>Populus nigra</t>
  </si>
  <si>
    <t>Allocasuarina verticillata</t>
  </si>
  <si>
    <t xml:space="preserve">inophloia Casuarina </t>
  </si>
  <si>
    <t>Calliandra haematocarpa</t>
  </si>
  <si>
    <t>Calliandra heamatocephala</t>
  </si>
  <si>
    <t>Calliandra heamatocephala alba</t>
  </si>
  <si>
    <t>Calliandra californica</t>
  </si>
  <si>
    <t>Calliandra schultzei</t>
  </si>
  <si>
    <t>Callitris verrucosa</t>
  </si>
  <si>
    <t>Caesalpinia pulcherrima</t>
  </si>
  <si>
    <t>Roestonia regia</t>
  </si>
  <si>
    <t>Prunus spp</t>
  </si>
  <si>
    <t>Acacia coriacea</t>
  </si>
  <si>
    <t>Acacia paradoxa</t>
  </si>
  <si>
    <t>Acacia verticillata</t>
  </si>
  <si>
    <t>Acacia schinoides</t>
  </si>
  <si>
    <t>Acacia hakeoides</t>
  </si>
  <si>
    <t>Acacia neriifolia</t>
  </si>
  <si>
    <t>Acacia horrida</t>
  </si>
  <si>
    <t>Acacia ligulata</t>
  </si>
  <si>
    <t>Acacia lasiocalyx</t>
  </si>
  <si>
    <t>Acacia aulacocarpa</t>
  </si>
  <si>
    <t>Acacia decora</t>
  </si>
  <si>
    <t>Acacia notabilis</t>
  </si>
  <si>
    <t>Acacia congnata</t>
  </si>
  <si>
    <t>Acacia fimbriata</t>
  </si>
  <si>
    <t>Acacia senegal</t>
  </si>
  <si>
    <t>Acacia cyclops</t>
  </si>
  <si>
    <t>Acacia stenophylla</t>
  </si>
  <si>
    <t>Acacia caven</t>
  </si>
  <si>
    <t>Acacia catechu</t>
  </si>
  <si>
    <t>Acacia pravissima</t>
  </si>
  <si>
    <t>Acacia denticulosa</t>
  </si>
  <si>
    <t>Acacia pycnantha</t>
  </si>
  <si>
    <t>Acacia decurrens</t>
  </si>
  <si>
    <t>Acacia melanoxylon</t>
  </si>
  <si>
    <t>Acacia baileyana</t>
  </si>
  <si>
    <t>Acacia howittii</t>
  </si>
  <si>
    <t>Acacia aneura</t>
  </si>
  <si>
    <t>Acacia rostellifera</t>
  </si>
  <si>
    <t>Acacia</t>
  </si>
  <si>
    <t>Thuja spp</t>
  </si>
  <si>
    <t>Morus nigra</t>
  </si>
  <si>
    <t>Phoenix dactylifera</t>
  </si>
  <si>
    <t>2024 יעלה</t>
  </si>
  <si>
    <t>האם עץ/פוליגון</t>
  </si>
  <si>
    <t>מספר עץ/פוליגון</t>
  </si>
  <si>
    <t>מין העץ עברי-לועזי</t>
  </si>
  <si>
    <t>מין העץ בלועזית</t>
  </si>
  <si>
    <t>ניקוד ערך מין העץ</t>
  </si>
  <si>
    <t>ניקוד חופת העץ</t>
  </si>
  <si>
    <t>ניקוד מצב בריאותי</t>
  </si>
  <si>
    <t>ניקוד מיקום העץ</t>
  </si>
  <si>
    <t>סך ערכיות העץ</t>
  </si>
  <si>
    <t>הערות אגרונום</t>
  </si>
  <si>
    <t>סטטוס מוצע</t>
  </si>
  <si>
    <t>הערות מתכנן</t>
  </si>
  <si>
    <r>
      <t xml:space="preserve">גובה העץ </t>
    </r>
    <r>
      <rPr>
        <b/>
        <sz val="10"/>
        <color theme="1"/>
        <rFont val="Arial"/>
        <family val="2"/>
        <scheme val="minor"/>
      </rPr>
      <t>(מ')</t>
    </r>
  </si>
  <si>
    <r>
      <t xml:space="preserve">קוטר גזע ראשי </t>
    </r>
    <r>
      <rPr>
        <b/>
        <sz val="8"/>
        <color theme="1"/>
        <rFont val="Arial"/>
        <family val="2"/>
        <scheme val="minor"/>
      </rPr>
      <t>(ס"מ)</t>
    </r>
  </si>
  <si>
    <r>
      <t xml:space="preserve">קוטר גזע 2 </t>
    </r>
    <r>
      <rPr>
        <b/>
        <sz val="8"/>
        <color theme="1"/>
        <rFont val="Arial"/>
        <family val="2"/>
        <scheme val="minor"/>
      </rPr>
      <t>(ס"מ)</t>
    </r>
  </si>
  <si>
    <r>
      <t xml:space="preserve">קוטר גזע 3 </t>
    </r>
    <r>
      <rPr>
        <b/>
        <sz val="8"/>
        <color theme="1"/>
        <rFont val="Arial"/>
        <family val="2"/>
        <scheme val="minor"/>
      </rPr>
      <t>(ס"מ)</t>
    </r>
  </si>
  <si>
    <r>
      <t xml:space="preserve">אזור שורשים מוגן </t>
    </r>
    <r>
      <rPr>
        <b/>
        <sz val="8"/>
        <color theme="1"/>
        <rFont val="Arial"/>
        <family val="2"/>
        <scheme val="minor"/>
      </rPr>
      <t>(מ')</t>
    </r>
  </si>
  <si>
    <r>
      <t xml:space="preserve">שווי עצים </t>
    </r>
    <r>
      <rPr>
        <b/>
        <sz val="9"/>
        <color theme="1"/>
        <rFont val="Arial"/>
        <family val="2"/>
        <scheme val="minor"/>
      </rPr>
      <t>(בש"ח)</t>
    </r>
  </si>
  <si>
    <t>שווי עץ פוליגון</t>
  </si>
  <si>
    <t>סך ערך = 0 (בשביל דקלים)</t>
  </si>
  <si>
    <t xml:space="preserve">ערך חליפי 10 ס"מ </t>
  </si>
  <si>
    <t>ערך חליפי זית וחרוב</t>
  </si>
  <si>
    <t>IF(D866=0,IF(N866=0,0,IF('חד גזעי'!$AM$2="לא",IF(F866&lt;20,0,IFNA(AK866,AF866)),IF(F866&lt;10,0,IFNA(AK866,AF866)))),D866*IF(N866=0,0,IF('חד גזעי'!$AM$2="לא",IF(F866&lt;20,0,IFNA(AK866,AF866)),IF(F866&lt;10,0,IFNA(AK866,AF866)))))</t>
  </si>
  <si>
    <t>נוסחא קודמת לשווי עץ</t>
  </si>
  <si>
    <t>כתובת</t>
  </si>
  <si>
    <t>זית וחרוב כל קוטר - יש להזין קוטר</t>
  </si>
  <si>
    <t>להכניס קוטר נדרש לזית וחרוב</t>
  </si>
  <si>
    <t>אנונה</t>
  </si>
  <si>
    <t>Annona cherimola</t>
  </si>
  <si>
    <t>דיפסיס משולש</t>
  </si>
  <si>
    <t>ליצ'י</t>
  </si>
  <si>
    <t>Litchi chinensis</t>
  </si>
  <si>
    <t>משמש</t>
  </si>
  <si>
    <t>Prunus armeniaca</t>
  </si>
  <si>
    <t>נקטרינה</t>
  </si>
  <si>
    <t>Prunus persica nectarina</t>
  </si>
  <si>
    <t>שיטה עגולת הזרעים</t>
  </si>
  <si>
    <t>שיטת עלי ערבה</t>
  </si>
  <si>
    <t>תפוח עץ</t>
  </si>
  <si>
    <t>Malus domestica spp</t>
  </si>
  <si>
    <t>איקליפטוס לימוני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</si>
</sst>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quot;₪&quot;\ * #,##0.00_ ;_ &quot;₪&quot;\ * \-#,##0.00_ ;_ &quot;₪&quot;\ * &quot;-&quot;??_ ;_ @_ "/>
    <numFmt numFmtId="164" formatCode="&quot;₪&quot;\ #,##0"/>
    <numFmt numFmtId="165" formatCode="_ &quot;₪&quot;\ * #,##0_ ;_ &quot;₪&quot;\ * \-#,##0_ ;_ &quot;₪&quot;\ * &quot;-&quot;??_ ;_ @_ "/>
    <numFmt numFmtId="166" formatCode="0;\-0;;@"/>
    <numFmt numFmtId="167" formatCode=";;;"/>
  </numFmts>
  <fonts count="36">
    <font>
      <sz val="10"/>
      <name val="Arial"/>
      <charset val="177"/>
    </font>
    <font>
      <sz val="8"/>
      <name val="Arial"/>
      <family val="2"/>
    </font>
    <font>
      <u/>
      <sz val="10"/>
      <color indexed="12"/>
      <name val="Arial"/>
      <family val="2"/>
    </font>
    <font>
      <sz val="14"/>
      <name val="Arial"/>
      <family val="2"/>
    </font>
    <font>
      <b/>
      <sz val="14"/>
      <name val="Arial"/>
      <family val="2"/>
    </font>
    <font>
      <sz val="10"/>
      <name val="Arial"/>
      <family val="2"/>
    </font>
    <font>
      <sz val="14"/>
      <name val="Arial"/>
      <family val="2"/>
    </font>
    <font>
      <sz val="12"/>
      <name val="Arial"/>
      <family val="2"/>
    </font>
    <font>
      <b/>
      <u/>
      <sz val="20"/>
      <name val="Arial"/>
      <family val="2"/>
    </font>
    <font>
      <b/>
      <sz val="16"/>
      <name val="Arial"/>
      <family val="2"/>
    </font>
    <font>
      <b/>
      <u/>
      <sz val="16"/>
      <name val="Arial"/>
      <family val="2"/>
    </font>
    <font>
      <b/>
      <sz val="10"/>
      <name val="Arial"/>
      <family val="2"/>
    </font>
    <font>
      <sz val="12"/>
      <name val="David"/>
      <family val="2"/>
    </font>
    <font>
      <b/>
      <sz val="11"/>
      <name val="David"/>
      <family val="2"/>
      <charset val="177"/>
    </font>
    <font>
      <sz val="12"/>
      <name val="David"/>
      <family val="2"/>
      <charset val="177"/>
    </font>
    <font>
      <b/>
      <sz val="12"/>
      <name val="David"/>
      <family val="2"/>
      <charset val="177"/>
    </font>
    <font>
      <b/>
      <u/>
      <sz val="12"/>
      <name val="David"/>
      <family val="2"/>
      <charset val="177"/>
    </font>
    <font>
      <sz val="10"/>
      <color rgb="FF000000"/>
      <name val="Inherit"/>
    </font>
    <font>
      <b/>
      <sz val="14"/>
      <color theme="1"/>
      <name val="David"/>
      <family val="2"/>
      <charset val="177"/>
    </font>
    <font>
      <sz val="10"/>
      <name val="Arial"/>
      <family val="2"/>
    </font>
    <font>
      <sz val="11"/>
      <color theme="1"/>
      <name val="Arial"/>
      <family val="2"/>
    </font>
    <font>
      <b/>
      <sz val="18"/>
      <color theme="1"/>
      <name val="Arial"/>
      <family val="2"/>
    </font>
    <font>
      <sz val="11"/>
      <color theme="1"/>
      <name val="Calibri"/>
      <family val="2"/>
    </font>
    <font>
      <b/>
      <sz val="12"/>
      <name val="Arial"/>
      <family val="2"/>
    </font>
    <font>
      <sz val="13.5"/>
      <name val="David"/>
      <family val="2"/>
    </font>
    <font>
      <b/>
      <sz val="12"/>
      <name val="David"/>
      <family val="2"/>
    </font>
    <font>
      <b/>
      <sz val="18"/>
      <name val="Arial"/>
      <family val="2"/>
    </font>
    <font>
      <sz val="10"/>
      <name val="Arial"/>
      <family val="2"/>
    </font>
    <font>
      <sz val="11"/>
      <name val="Arial"/>
      <family val="2"/>
      <scheme val="minor"/>
    </font>
    <font>
      <b/>
      <sz val="10"/>
      <color theme="1"/>
      <name val="Arial"/>
      <family val="2"/>
      <scheme val="minor"/>
    </font>
    <font>
      <b/>
      <sz val="11"/>
      <color theme="1"/>
      <name val="Arial"/>
      <family val="2"/>
      <scheme val="minor"/>
    </font>
    <font>
      <b/>
      <sz val="11"/>
      <name val="Arial"/>
      <family val="2"/>
      <scheme val="minor"/>
    </font>
    <font>
      <sz val="11"/>
      <color theme="1"/>
      <name val="Arial"/>
      <family val="2"/>
      <scheme val="minor"/>
    </font>
    <font>
      <b/>
      <sz val="8"/>
      <color theme="1"/>
      <name val="Arial"/>
      <family val="2"/>
      <scheme val="minor"/>
    </font>
    <font>
      <b/>
      <sz val="9"/>
      <color theme="1"/>
      <name val="Arial"/>
      <family val="2"/>
      <scheme val="minor"/>
    </font>
    <font>
      <sz val="8"/>
      <name val="Arial"/>
      <charset val="177"/>
    </font>
  </fonts>
  <fills count="2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rgb="FFBFBFBF"/>
        <bgColor indexed="64"/>
      </patternFill>
    </fill>
    <fill>
      <patternFill patternType="solid">
        <fgColor rgb="FFD9D9D9"/>
        <bgColor indexed="64"/>
      </patternFill>
    </fill>
    <fill>
      <patternFill patternType="solid">
        <fgColor rgb="FFFF0000"/>
        <bgColor indexed="64"/>
      </patternFill>
    </fill>
    <fill>
      <patternFill patternType="solid">
        <fgColor theme="0" tint="-0.249977111117893"/>
        <bgColor indexed="64"/>
      </patternFill>
    </fill>
    <fill>
      <patternFill patternType="solid">
        <fgColor rgb="FFC6E0B4"/>
        <bgColor indexed="64"/>
      </patternFill>
    </fill>
    <fill>
      <patternFill patternType="solid">
        <fgColor rgb="FF00B0F0"/>
        <bgColor indexed="64"/>
      </patternFill>
    </fill>
    <fill>
      <patternFill patternType="solid">
        <fgColor rgb="FFFFC000"/>
        <bgColor indexed="64"/>
      </patternFill>
    </fill>
    <fill>
      <patternFill patternType="solid">
        <fgColor rgb="FF0070C0"/>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rgb="FFFFCC0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008BBC"/>
        <bgColor indexed="64"/>
      </patternFill>
    </fill>
    <fill>
      <patternFill patternType="solid">
        <fgColor theme="9" tint="0.59999389629810485"/>
        <bgColor indexed="64"/>
      </patternFill>
    </fill>
  </fills>
  <borders count="41">
    <border>
      <left/>
      <right/>
      <top/>
      <bottom/>
      <diagonal/>
    </border>
    <border>
      <left style="medium">
        <color indexed="64"/>
      </left>
      <right/>
      <top/>
      <bottom/>
      <diagonal/>
    </border>
    <border>
      <left/>
      <right/>
      <top/>
      <bottom style="medium">
        <color indexed="64"/>
      </bottom>
      <diagonal/>
    </border>
    <border>
      <left/>
      <right/>
      <top/>
      <bottom style="double">
        <color indexed="64"/>
      </bottom>
      <diagonal/>
    </border>
    <border>
      <left/>
      <right style="double">
        <color indexed="64"/>
      </right>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8"/>
      </right>
      <top style="medium">
        <color indexed="8"/>
      </top>
      <bottom/>
      <diagonal/>
    </border>
    <border>
      <left/>
      <right/>
      <top style="medium">
        <color indexed="8"/>
      </top>
      <bottom/>
      <diagonal/>
    </border>
    <border>
      <left/>
      <right style="medium">
        <color indexed="8"/>
      </right>
      <top/>
      <bottom/>
      <diagonal/>
    </border>
    <border>
      <left/>
      <right style="medium">
        <color indexed="8"/>
      </right>
      <top/>
      <bottom style="medium">
        <color indexed="8"/>
      </bottom>
      <diagonal/>
    </border>
    <border>
      <left/>
      <right/>
      <top/>
      <bottom style="medium">
        <color indexed="8"/>
      </bottom>
      <diagonal/>
    </border>
    <border>
      <left/>
      <right style="medium">
        <color indexed="8"/>
      </right>
      <top style="medium">
        <color indexed="8"/>
      </top>
      <bottom style="medium">
        <color indexed="8"/>
      </bottom>
      <diagonal/>
    </border>
    <border>
      <left/>
      <right/>
      <top style="medium">
        <color indexed="8"/>
      </top>
      <bottom style="medium">
        <color indexed="8"/>
      </bottom>
      <diagonal/>
    </border>
    <border>
      <left style="medium">
        <color indexed="8"/>
      </left>
      <right/>
      <top style="medium">
        <color indexed="8"/>
      </top>
      <bottom/>
      <diagonal/>
    </border>
    <border>
      <left style="medium">
        <color indexed="8"/>
      </left>
      <right/>
      <top/>
      <bottom/>
      <diagonal/>
    </border>
    <border>
      <left style="medium">
        <color indexed="8"/>
      </left>
      <right/>
      <top/>
      <bottom style="medium">
        <color indexed="8"/>
      </bottom>
      <diagonal/>
    </border>
    <border>
      <left style="medium">
        <color indexed="8"/>
      </left>
      <right/>
      <top style="medium">
        <color indexed="8"/>
      </top>
      <bottom style="medium">
        <color indexed="8"/>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5">
    <xf numFmtId="0" fontId="0" fillId="0" borderId="0"/>
    <xf numFmtId="0" fontId="2" fillId="0" borderId="0" applyNumberFormat="0" applyFill="0" applyBorder="0" applyAlignment="0" applyProtection="0">
      <alignment vertical="top"/>
      <protection locked="0"/>
    </xf>
    <xf numFmtId="44" fontId="19" fillId="0" borderId="0" applyFont="0" applyFill="0" applyBorder="0" applyAlignment="0" applyProtection="0"/>
    <xf numFmtId="0" fontId="5" fillId="0" borderId="0"/>
    <xf numFmtId="9" fontId="27" fillId="0" borderId="0" applyFont="0" applyFill="0" applyBorder="0" applyAlignment="0" applyProtection="0"/>
  </cellStyleXfs>
  <cellXfs count="262">
    <xf numFmtId="0" fontId="0" fillId="0" borderId="0" xfId="0"/>
    <xf numFmtId="0" fontId="0" fillId="0" borderId="0" xfId="0" applyAlignment="1">
      <alignment horizontal="center"/>
    </xf>
    <xf numFmtId="0" fontId="0" fillId="0" borderId="1" xfId="0" applyBorder="1" applyAlignment="1">
      <alignment horizontal="center"/>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0" fontId="7" fillId="0" borderId="2" xfId="0" applyFont="1" applyBorder="1" applyAlignment="1">
      <alignment horizontal="center"/>
    </xf>
    <xf numFmtId="0" fontId="8" fillId="0" borderId="0" xfId="0" applyFont="1"/>
    <xf numFmtId="0" fontId="9" fillId="0" borderId="0" xfId="0" applyFont="1" applyAlignment="1">
      <alignment horizontal="center"/>
    </xf>
    <xf numFmtId="0" fontId="0" fillId="0" borderId="3" xfId="0" applyBorder="1"/>
    <xf numFmtId="0" fontId="0" fillId="0" borderId="4" xfId="0" applyBorder="1"/>
    <xf numFmtId="2" fontId="9" fillId="2" borderId="5" xfId="0" applyNumberFormat="1" applyFont="1" applyFill="1" applyBorder="1" applyAlignment="1">
      <alignment horizontal="center"/>
    </xf>
    <xf numFmtId="0" fontId="10" fillId="2" borderId="6" xfId="0" applyFont="1" applyFill="1" applyBorder="1" applyAlignment="1">
      <alignment horizontal="center"/>
    </xf>
    <xf numFmtId="0" fontId="17" fillId="0" borderId="0" xfId="0" applyFont="1"/>
    <xf numFmtId="0" fontId="0" fillId="3" borderId="7" xfId="0" applyFill="1" applyBorder="1" applyAlignment="1">
      <alignment horizontal="center"/>
    </xf>
    <xf numFmtId="0" fontId="4" fillId="3" borderId="0" xfId="0" applyFont="1" applyFill="1" applyAlignment="1">
      <alignment horizontal="center"/>
    </xf>
    <xf numFmtId="0" fontId="0" fillId="3" borderId="8" xfId="0" applyFill="1" applyBorder="1" applyAlignment="1">
      <alignment horizontal="center"/>
    </xf>
    <xf numFmtId="0" fontId="18" fillId="4" borderId="7" xfId="0" applyFont="1" applyFill="1" applyBorder="1" applyAlignment="1">
      <alignment horizontal="right" vertical="center" wrapText="1" readingOrder="2"/>
    </xf>
    <xf numFmtId="0" fontId="18" fillId="4" borderId="9" xfId="0" applyFont="1" applyFill="1" applyBorder="1" applyAlignment="1">
      <alignment horizontal="right" vertical="center" wrapText="1" readingOrder="2"/>
    </xf>
    <xf numFmtId="0" fontId="18" fillId="4" borderId="7" xfId="0" applyFont="1" applyFill="1" applyBorder="1" applyAlignment="1">
      <alignment vertical="center" wrapText="1" readingOrder="2"/>
    </xf>
    <xf numFmtId="0" fontId="0" fillId="5" borderId="0" xfId="0" applyFill="1" applyAlignment="1">
      <alignment horizontal="center"/>
    </xf>
    <xf numFmtId="0" fontId="4" fillId="6" borderId="0" xfId="0" applyFont="1" applyFill="1" applyAlignment="1">
      <alignment horizontal="center"/>
    </xf>
    <xf numFmtId="0" fontId="1" fillId="0" borderId="0" xfId="0" applyFont="1" applyAlignment="1">
      <alignment horizontal="center"/>
    </xf>
    <xf numFmtId="49" fontId="7" fillId="7" borderId="0" xfId="0" applyNumberFormat="1" applyFont="1" applyFill="1" applyAlignment="1">
      <alignment horizontal="center"/>
    </xf>
    <xf numFmtId="0" fontId="4" fillId="8" borderId="0" xfId="0" applyFont="1" applyFill="1" applyAlignment="1">
      <alignment horizontal="center"/>
    </xf>
    <xf numFmtId="0" fontId="7" fillId="7" borderId="0" xfId="0" applyFont="1" applyFill="1" applyAlignment="1" applyProtection="1">
      <alignment horizontal="center"/>
      <protection locked="0"/>
    </xf>
    <xf numFmtId="0" fontId="11" fillId="0" borderId="0" xfId="0" applyFont="1" applyAlignment="1">
      <alignment vertical="top" wrapText="1"/>
    </xf>
    <xf numFmtId="0" fontId="0" fillId="0" borderId="0" xfId="0" applyAlignment="1">
      <alignment vertical="top" wrapText="1"/>
    </xf>
    <xf numFmtId="0" fontId="0" fillId="0" borderId="10" xfId="0" applyBorder="1" applyAlignment="1">
      <alignment vertical="top" wrapText="1"/>
    </xf>
    <xf numFmtId="0" fontId="0" fillId="0" borderId="11" xfId="0" applyBorder="1" applyAlignment="1">
      <alignment vertical="top" wrapText="1"/>
    </xf>
    <xf numFmtId="0" fontId="0" fillId="0" borderId="12" xfId="0" applyBorder="1" applyAlignment="1">
      <alignment vertical="top" wrapText="1"/>
    </xf>
    <xf numFmtId="0" fontId="0" fillId="0" borderId="13" xfId="0" applyBorder="1" applyAlignment="1">
      <alignment vertical="top" wrapText="1"/>
    </xf>
    <xf numFmtId="0" fontId="0" fillId="0" borderId="14" xfId="0" applyBorder="1" applyAlignment="1">
      <alignment vertical="top" wrapText="1"/>
    </xf>
    <xf numFmtId="0" fontId="0" fillId="0" borderId="15" xfId="0" applyBorder="1" applyAlignment="1">
      <alignment vertical="top" wrapText="1"/>
    </xf>
    <xf numFmtId="0" fontId="0" fillId="0" borderId="16" xfId="0" applyBorder="1" applyAlignment="1">
      <alignment vertical="top" wrapText="1"/>
    </xf>
    <xf numFmtId="0" fontId="11" fillId="0" borderId="0" xfId="0" applyFont="1" applyAlignment="1">
      <alignment horizontal="center" vertical="top" wrapText="1"/>
    </xf>
    <xf numFmtId="0" fontId="0" fillId="0" borderId="0" xfId="0" applyAlignment="1">
      <alignment horizontal="center" vertical="top" wrapText="1"/>
    </xf>
    <xf numFmtId="0" fontId="0" fillId="0" borderId="11" xfId="0" applyBorder="1" applyAlignment="1">
      <alignment horizontal="center" vertical="top" wrapText="1"/>
    </xf>
    <xf numFmtId="0" fontId="0" fillId="0" borderId="17" xfId="0" applyBorder="1" applyAlignment="1">
      <alignment horizontal="center" vertical="top" wrapText="1"/>
    </xf>
    <xf numFmtId="0" fontId="2" fillId="0" borderId="0" xfId="1" applyAlignment="1" applyProtection="1">
      <alignment horizontal="center" vertical="top" wrapText="1"/>
    </xf>
    <xf numFmtId="0" fontId="0" fillId="0" borderId="18" xfId="0" applyBorder="1" applyAlignment="1">
      <alignment horizontal="center" vertical="top" wrapText="1"/>
    </xf>
    <xf numFmtId="0" fontId="0" fillId="0" borderId="14" xfId="0" applyBorder="1" applyAlignment="1">
      <alignment horizontal="center" vertical="top" wrapText="1"/>
    </xf>
    <xf numFmtId="0" fontId="2" fillId="0" borderId="14" xfId="1" applyBorder="1" applyAlignment="1" applyProtection="1">
      <alignment horizontal="center" vertical="top" wrapText="1"/>
    </xf>
    <xf numFmtId="0" fontId="0" fillId="0" borderId="19" xfId="0" applyBorder="1" applyAlignment="1">
      <alignment horizontal="center" vertical="top" wrapText="1"/>
    </xf>
    <xf numFmtId="0" fontId="0" fillId="0" borderId="16" xfId="0" applyBorder="1" applyAlignment="1">
      <alignment horizontal="center" vertical="top" wrapText="1"/>
    </xf>
    <xf numFmtId="0" fontId="0" fillId="0" borderId="20" xfId="0" applyBorder="1" applyAlignment="1">
      <alignment horizontal="center" vertical="top" wrapText="1"/>
    </xf>
    <xf numFmtId="0" fontId="12" fillId="0" borderId="21" xfId="0" applyFont="1" applyBorder="1" applyAlignment="1">
      <alignment horizontal="left" vertical="center" wrapText="1" readingOrder="1"/>
    </xf>
    <xf numFmtId="0" fontId="12" fillId="0" borderId="21" xfId="0" applyFont="1" applyBorder="1" applyAlignment="1">
      <alignment horizontal="left" vertical="center" readingOrder="1"/>
    </xf>
    <xf numFmtId="0" fontId="12" fillId="0" borderId="21" xfId="0" applyFont="1" applyBorder="1" applyAlignment="1">
      <alignment horizontal="left" vertical="center" readingOrder="2"/>
    </xf>
    <xf numFmtId="0" fontId="12" fillId="0" borderId="22" xfId="0" applyFont="1" applyBorder="1" applyAlignment="1">
      <alignment horizontal="right" vertical="center" readingOrder="2"/>
    </xf>
    <xf numFmtId="0" fontId="12" fillId="0" borderId="23" xfId="0" applyFont="1" applyBorder="1" applyAlignment="1">
      <alignment horizontal="left" vertical="center" readingOrder="2"/>
    </xf>
    <xf numFmtId="4" fontId="12" fillId="0" borderId="24" xfId="0" applyNumberFormat="1" applyFont="1" applyBorder="1" applyAlignment="1">
      <alignment horizontal="center" vertical="center" wrapText="1" readingOrder="1"/>
    </xf>
    <xf numFmtId="0" fontId="12" fillId="0" borderId="25" xfId="0" applyFont="1" applyBorder="1" applyAlignment="1">
      <alignment horizontal="right" vertical="center" readingOrder="2"/>
    </xf>
    <xf numFmtId="4" fontId="12" fillId="0" borderId="26" xfId="0" applyNumberFormat="1" applyFont="1" applyBorder="1" applyAlignment="1">
      <alignment horizontal="center" vertical="center" wrapText="1" readingOrder="1"/>
    </xf>
    <xf numFmtId="0" fontId="12" fillId="0" borderId="25" xfId="0" applyFont="1" applyBorder="1" applyAlignment="1">
      <alignment horizontal="right" vertical="center" wrapText="1" readingOrder="2"/>
    </xf>
    <xf numFmtId="0" fontId="12" fillId="0" borderId="25" xfId="0" applyFont="1" applyBorder="1" applyAlignment="1">
      <alignment wrapText="1"/>
    </xf>
    <xf numFmtId="0" fontId="12" fillId="0" borderId="25" xfId="0" applyFont="1" applyBorder="1" applyAlignment="1">
      <alignment horizontal="right"/>
    </xf>
    <xf numFmtId="0" fontId="12" fillId="0" borderId="27" xfId="0" applyFont="1" applyBorder="1" applyAlignment="1">
      <alignment horizontal="right" vertical="center" readingOrder="2"/>
    </xf>
    <xf numFmtId="0" fontId="12" fillId="0" borderId="28" xfId="0" applyFont="1" applyBorder="1" applyAlignment="1">
      <alignment horizontal="left" vertical="center" wrapText="1" readingOrder="1"/>
    </xf>
    <xf numFmtId="4" fontId="12" fillId="0" borderId="29" xfId="0" applyNumberFormat="1" applyFont="1" applyBorder="1" applyAlignment="1">
      <alignment horizontal="center" vertical="center" wrapText="1" readingOrder="1"/>
    </xf>
    <xf numFmtId="0" fontId="7" fillId="0" borderId="0" xfId="0" applyFont="1"/>
    <xf numFmtId="0" fontId="15" fillId="9" borderId="21" xfId="0" applyFont="1" applyFill="1" applyBorder="1" applyAlignment="1">
      <alignment horizontal="center" vertical="center" wrapText="1"/>
    </xf>
    <xf numFmtId="0" fontId="14" fillId="0" borderId="21" xfId="0" applyFont="1" applyBorder="1" applyAlignment="1">
      <alignment horizontal="center" vertical="center" wrapText="1"/>
    </xf>
    <xf numFmtId="0" fontId="13" fillId="10" borderId="21" xfId="0" applyFont="1" applyFill="1" applyBorder="1" applyAlignment="1">
      <alignment horizontal="center" vertical="center" wrapText="1" readingOrder="2"/>
    </xf>
    <xf numFmtId="0" fontId="14" fillId="0" borderId="21" xfId="0" applyFont="1" applyBorder="1" applyAlignment="1">
      <alignment horizontal="center" vertical="center" wrapText="1" readingOrder="2"/>
    </xf>
    <xf numFmtId="0" fontId="14" fillId="0" borderId="21" xfId="0" applyFont="1" applyBorder="1" applyAlignment="1">
      <alignment horizontal="justify" vertical="center" wrapText="1"/>
    </xf>
    <xf numFmtId="0" fontId="16" fillId="0" borderId="21" xfId="0" applyFont="1" applyBorder="1" applyAlignment="1">
      <alignment horizontal="center" vertical="center" wrapText="1"/>
    </xf>
    <xf numFmtId="0" fontId="14" fillId="0" borderId="21" xfId="0" applyFont="1" applyBorder="1" applyAlignment="1">
      <alignment vertical="center" wrapText="1"/>
    </xf>
    <xf numFmtId="0" fontId="5" fillId="0" borderId="0" xfId="0" applyFont="1"/>
    <xf numFmtId="0" fontId="5" fillId="5" borderId="0" xfId="0" applyFont="1" applyFill="1"/>
    <xf numFmtId="0" fontId="20" fillId="0" borderId="0" xfId="0" applyFont="1" applyAlignment="1">
      <alignment horizontal="right" vertical="center" readingOrder="2"/>
    </xf>
    <xf numFmtId="0" fontId="0" fillId="0" borderId="21" xfId="0" applyBorder="1"/>
    <xf numFmtId="0" fontId="0" fillId="0" borderId="21" xfId="0" applyBorder="1" applyAlignment="1">
      <alignment horizontal="center"/>
    </xf>
    <xf numFmtId="0" fontId="0" fillId="0" borderId="30" xfId="0" applyBorder="1" applyAlignment="1">
      <alignment horizontal="center"/>
    </xf>
    <xf numFmtId="0" fontId="5" fillId="0" borderId="21" xfId="0" applyFont="1" applyBorder="1" applyAlignment="1">
      <alignment horizontal="right" readingOrder="2"/>
    </xf>
    <xf numFmtId="0" fontId="0" fillId="0" borderId="21" xfId="0" applyBorder="1" applyAlignment="1">
      <alignment horizontal="right" readingOrder="2"/>
    </xf>
    <xf numFmtId="0" fontId="5" fillId="0" borderId="21" xfId="0" applyFont="1" applyBorder="1"/>
    <xf numFmtId="0" fontId="5" fillId="0" borderId="21" xfId="3" applyBorder="1" applyAlignment="1">
      <alignment horizontal="center"/>
    </xf>
    <xf numFmtId="0" fontId="11" fillId="0" borderId="21" xfId="0" applyFont="1" applyBorder="1"/>
    <xf numFmtId="164" fontId="5" fillId="0" borderId="21" xfId="2" applyNumberFormat="1" applyFont="1" applyBorder="1"/>
    <xf numFmtId="4" fontId="25" fillId="0" borderId="21" xfId="0" applyNumberFormat="1" applyFont="1" applyBorder="1" applyAlignment="1">
      <alignment horizontal="center"/>
    </xf>
    <xf numFmtId="0" fontId="12" fillId="0" borderId="21" xfId="0" applyFont="1" applyBorder="1" applyAlignment="1">
      <alignment horizontal="left"/>
    </xf>
    <xf numFmtId="0" fontId="5" fillId="11" borderId="21" xfId="0" applyFont="1" applyFill="1" applyBorder="1"/>
    <xf numFmtId="0" fontId="0" fillId="14" borderId="21" xfId="0" applyFill="1" applyBorder="1" applyAlignment="1">
      <alignment wrapText="1"/>
    </xf>
    <xf numFmtId="1" fontId="0" fillId="0" borderId="21" xfId="0" applyNumberFormat="1" applyBorder="1"/>
    <xf numFmtId="14" fontId="0" fillId="0" borderId="0" xfId="0" applyNumberFormat="1" applyAlignment="1">
      <alignment horizontal="right"/>
    </xf>
    <xf numFmtId="0" fontId="21" fillId="0" borderId="0" xfId="0" applyFont="1" applyAlignment="1">
      <alignment vertical="center" readingOrder="2"/>
    </xf>
    <xf numFmtId="0" fontId="24" fillId="13" borderId="21" xfId="0" applyFont="1" applyFill="1" applyBorder="1" applyAlignment="1">
      <alignment horizontal="left" vertical="center" wrapText="1"/>
    </xf>
    <xf numFmtId="0" fontId="7" fillId="13" borderId="21" xfId="0" applyFont="1" applyFill="1" applyBorder="1" applyAlignment="1">
      <alignment horizontal="left" vertical="center" wrapText="1" indent="1" readingOrder="2"/>
    </xf>
    <xf numFmtId="0" fontId="7" fillId="13" borderId="21" xfId="0" applyFont="1" applyFill="1" applyBorder="1" applyAlignment="1">
      <alignment horizontal="center" vertical="center" wrapText="1" readingOrder="2"/>
    </xf>
    <xf numFmtId="0" fontId="7" fillId="13" borderId="21" xfId="0" applyFont="1" applyFill="1" applyBorder="1" applyAlignment="1">
      <alignment horizontal="left" vertical="center" wrapText="1"/>
    </xf>
    <xf numFmtId="0" fontId="23" fillId="0" borderId="21" xfId="0" applyFont="1" applyBorder="1" applyAlignment="1">
      <alignment horizontal="center" vertical="center" wrapText="1"/>
    </xf>
    <xf numFmtId="0" fontId="23" fillId="0" borderId="21" xfId="0" applyFont="1" applyBorder="1" applyAlignment="1">
      <alignment vertical="center" wrapText="1"/>
    </xf>
    <xf numFmtId="0" fontId="5" fillId="0" borderId="21" xfId="0" applyFont="1" applyBorder="1" applyAlignment="1">
      <alignment wrapText="1"/>
    </xf>
    <xf numFmtId="0" fontId="5" fillId="3" borderId="21" xfId="0" applyFont="1" applyFill="1" applyBorder="1" applyAlignment="1">
      <alignment wrapText="1"/>
    </xf>
    <xf numFmtId="0" fontId="0" fillId="3" borderId="21" xfId="0" applyFill="1" applyBorder="1" applyAlignment="1">
      <alignment wrapText="1"/>
    </xf>
    <xf numFmtId="0" fontId="9" fillId="0" borderId="0" xfId="0" applyFont="1"/>
    <xf numFmtId="0" fontId="5" fillId="0" borderId="32" xfId="0" applyFont="1" applyBorder="1"/>
    <xf numFmtId="165" fontId="0" fillId="14" borderId="21" xfId="2" applyNumberFormat="1" applyFont="1" applyFill="1" applyBorder="1" applyAlignment="1"/>
    <xf numFmtId="0" fontId="0" fillId="14" borderId="21" xfId="0" applyFill="1" applyBorder="1" applyAlignment="1">
      <alignment horizontal="center" vertical="center" wrapText="1"/>
    </xf>
    <xf numFmtId="0" fontId="5" fillId="3" borderId="21" xfId="0" applyFont="1" applyFill="1" applyBorder="1" applyAlignment="1">
      <alignment horizontal="center"/>
    </xf>
    <xf numFmtId="0" fontId="5" fillId="0" borderId="21" xfId="0" applyFont="1" applyBorder="1" applyAlignment="1">
      <alignment horizontal="center"/>
    </xf>
    <xf numFmtId="0" fontId="0" fillId="3" borderId="21" xfId="0" applyFill="1" applyBorder="1" applyAlignment="1">
      <alignment horizontal="center"/>
    </xf>
    <xf numFmtId="0" fontId="26" fillId="0" borderId="0" xfId="0" applyFont="1" applyAlignment="1">
      <alignment horizontal="center"/>
    </xf>
    <xf numFmtId="0" fontId="0" fillId="16" borderId="21" xfId="0" applyFill="1" applyBorder="1"/>
    <xf numFmtId="0" fontId="0" fillId="3" borderId="21" xfId="0" applyFill="1" applyBorder="1"/>
    <xf numFmtId="164" fontId="0" fillId="0" borderId="0" xfId="0" applyNumberFormat="1"/>
    <xf numFmtId="0" fontId="0" fillId="14" borderId="0" xfId="0" applyFill="1"/>
    <xf numFmtId="0" fontId="5" fillId="0" borderId="30" xfId="3" applyBorder="1" applyAlignment="1">
      <alignment horizontal="center"/>
    </xf>
    <xf numFmtId="166" fontId="0" fillId="0" borderId="21" xfId="0" applyNumberFormat="1" applyBorder="1"/>
    <xf numFmtId="0" fontId="0" fillId="11" borderId="0" xfId="0" applyFill="1"/>
    <xf numFmtId="0" fontId="5" fillId="3" borderId="21" xfId="0" applyFont="1" applyFill="1" applyBorder="1"/>
    <xf numFmtId="166" fontId="0" fillId="6" borderId="21" xfId="0" applyNumberFormat="1" applyFill="1" applyBorder="1"/>
    <xf numFmtId="166" fontId="0" fillId="3" borderId="21" xfId="0" applyNumberFormat="1" applyFill="1" applyBorder="1"/>
    <xf numFmtId="0" fontId="0" fillId="11" borderId="21" xfId="0" applyFill="1" applyBorder="1"/>
    <xf numFmtId="4" fontId="25" fillId="0" borderId="30" xfId="0" applyNumberFormat="1" applyFont="1" applyBorder="1" applyAlignment="1">
      <alignment horizontal="center"/>
    </xf>
    <xf numFmtId="9" fontId="0" fillId="21" borderId="7" xfId="4" applyFont="1" applyFill="1" applyBorder="1"/>
    <xf numFmtId="9" fontId="0" fillId="21" borderId="21" xfId="4" applyFont="1" applyFill="1" applyBorder="1"/>
    <xf numFmtId="9" fontId="0" fillId="23" borderId="21" xfId="4" applyFont="1" applyFill="1" applyBorder="1" applyAlignment="1"/>
    <xf numFmtId="0" fontId="5" fillId="0" borderId="32" xfId="0" applyFont="1" applyBorder="1" applyAlignment="1">
      <alignment horizontal="center"/>
    </xf>
    <xf numFmtId="0" fontId="5" fillId="0" borderId="32" xfId="0" applyFont="1" applyBorder="1" applyAlignment="1">
      <alignment horizontal="center" vertical="center"/>
    </xf>
    <xf numFmtId="0" fontId="5" fillId="0" borderId="30" xfId="0" applyFont="1" applyBorder="1" applyAlignment="1">
      <alignment horizontal="center" vertical="center"/>
    </xf>
    <xf numFmtId="1" fontId="0" fillId="14" borderId="7" xfId="4" applyNumberFormat="1" applyFont="1" applyFill="1" applyBorder="1" applyAlignment="1">
      <alignment horizontal="center"/>
    </xf>
    <xf numFmtId="0" fontId="0" fillId="0" borderId="36" xfId="0" applyBorder="1"/>
    <xf numFmtId="0" fontId="12" fillId="0" borderId="36" xfId="0" applyFont="1" applyBorder="1" applyAlignment="1">
      <alignment horizontal="right" vertical="center" readingOrder="2"/>
    </xf>
    <xf numFmtId="0" fontId="0" fillId="16" borderId="21" xfId="0" applyFill="1" applyBorder="1" applyAlignment="1">
      <alignment wrapText="1"/>
    </xf>
    <xf numFmtId="0" fontId="5" fillId="14" borderId="21" xfId="0" applyFont="1" applyFill="1" applyBorder="1" applyAlignment="1">
      <alignment horizontal="center" vertical="center"/>
    </xf>
    <xf numFmtId="166" fontId="0" fillId="0" borderId="31" xfId="0" applyNumberFormat="1" applyBorder="1" applyAlignment="1">
      <alignment horizontal="right"/>
    </xf>
    <xf numFmtId="0" fontId="0" fillId="3" borderId="0" xfId="0" applyFill="1"/>
    <xf numFmtId="0" fontId="0" fillId="3" borderId="0" xfId="0" applyFill="1" applyAlignment="1">
      <alignment horizontal="center"/>
    </xf>
    <xf numFmtId="0" fontId="0" fillId="0" borderId="30" xfId="0" applyBorder="1"/>
    <xf numFmtId="0" fontId="20" fillId="3" borderId="0" xfId="0" applyFont="1" applyFill="1" applyAlignment="1">
      <alignment horizontal="right" vertical="center" readingOrder="2"/>
    </xf>
    <xf numFmtId="0" fontId="5" fillId="3" borderId="0" xfId="0" applyFont="1" applyFill="1"/>
    <xf numFmtId="14" fontId="0" fillId="3" borderId="0" xfId="0" applyNumberFormat="1" applyFill="1" applyAlignment="1">
      <alignment horizontal="right"/>
    </xf>
    <xf numFmtId="22" fontId="5" fillId="0" borderId="21" xfId="0" applyNumberFormat="1" applyFont="1" applyBorder="1"/>
    <xf numFmtId="22" fontId="0" fillId="3" borderId="0" xfId="0" applyNumberFormat="1" applyFill="1"/>
    <xf numFmtId="22" fontId="5" fillId="0" borderId="0" xfId="0" applyNumberFormat="1" applyFont="1"/>
    <xf numFmtId="22" fontId="20" fillId="0" borderId="0" xfId="0" applyNumberFormat="1" applyFont="1" applyAlignment="1">
      <alignment horizontal="right" vertical="center" readingOrder="2"/>
    </xf>
    <xf numFmtId="22" fontId="0" fillId="0" borderId="0" xfId="0" applyNumberFormat="1"/>
    <xf numFmtId="14" fontId="5" fillId="0" borderId="0" xfId="0" applyNumberFormat="1" applyFont="1" applyAlignment="1">
      <alignment horizontal="right"/>
    </xf>
    <xf numFmtId="14" fontId="0" fillId="0" borderId="0" xfId="0" applyNumberFormat="1"/>
    <xf numFmtId="0" fontId="0" fillId="0" borderId="0" xfId="0" applyAlignment="1">
      <alignment wrapText="1"/>
    </xf>
    <xf numFmtId="0" fontId="7" fillId="13" borderId="0" xfId="0" applyFont="1" applyFill="1" applyAlignment="1">
      <alignment horizontal="center" vertical="center" wrapText="1" readingOrder="2"/>
    </xf>
    <xf numFmtId="3" fontId="28" fillId="0" borderId="36" xfId="0" applyNumberFormat="1" applyFont="1" applyBorder="1" applyAlignment="1">
      <alignment horizontal="right" vertical="center"/>
    </xf>
    <xf numFmtId="0" fontId="28" fillId="0" borderId="36" xfId="0" applyFont="1" applyBorder="1"/>
    <xf numFmtId="0" fontId="29" fillId="24" borderId="21" xfId="0" applyFont="1" applyFill="1" applyBorder="1" applyAlignment="1">
      <alignment horizontal="center" vertical="center" wrapText="1"/>
    </xf>
    <xf numFmtId="0" fontId="29" fillId="24" borderId="36" xfId="0" applyFont="1" applyFill="1" applyBorder="1" applyAlignment="1">
      <alignment horizontal="center" vertical="center" wrapText="1"/>
    </xf>
    <xf numFmtId="0" fontId="30" fillId="24" borderId="21" xfId="0" applyFont="1" applyFill="1" applyBorder="1" applyAlignment="1">
      <alignment horizontal="center" vertical="center" wrapText="1"/>
    </xf>
    <xf numFmtId="0" fontId="31" fillId="24" borderId="21" xfId="0" applyFont="1" applyFill="1" applyBorder="1" applyAlignment="1">
      <alignment horizontal="center" vertical="center" wrapText="1"/>
    </xf>
    <xf numFmtId="0" fontId="0" fillId="0" borderId="21" xfId="0" applyBorder="1" applyAlignment="1">
      <alignment wrapText="1"/>
    </xf>
    <xf numFmtId="0" fontId="0" fillId="0" borderId="36" xfId="0" applyBorder="1" applyAlignment="1">
      <alignment horizontal="center" wrapText="1"/>
    </xf>
    <xf numFmtId="0" fontId="0" fillId="0" borderId="21" xfId="0" applyBorder="1" applyAlignment="1">
      <alignment horizontal="center" wrapText="1"/>
    </xf>
    <xf numFmtId="0" fontId="0" fillId="0" borderId="21" xfId="0" applyBorder="1" applyAlignment="1">
      <alignment horizontal="left" wrapText="1"/>
    </xf>
    <xf numFmtId="0" fontId="32" fillId="0" borderId="21" xfId="0" applyFont="1" applyBorder="1" applyAlignment="1">
      <alignment horizontal="center" wrapText="1"/>
    </xf>
    <xf numFmtId="1" fontId="0" fillId="0" borderId="21" xfId="0" applyNumberFormat="1" applyBorder="1" applyAlignment="1">
      <alignment horizontal="center" wrapText="1"/>
    </xf>
    <xf numFmtId="0" fontId="0" fillId="0" borderId="21" xfId="0" applyBorder="1" applyAlignment="1">
      <alignment horizontal="right" vertical="top" wrapText="1"/>
    </xf>
    <xf numFmtId="166" fontId="0" fillId="0" borderId="21" xfId="0" applyNumberFormat="1" applyBorder="1" applyAlignment="1">
      <alignment horizontal="right" vertical="top" wrapText="1"/>
    </xf>
    <xf numFmtId="166" fontId="0" fillId="0" borderId="0" xfId="0" applyNumberFormat="1"/>
    <xf numFmtId="166" fontId="0" fillId="0" borderId="21" xfId="0" applyNumberFormat="1" applyBorder="1" applyAlignment="1">
      <alignment horizontal="center" wrapText="1"/>
    </xf>
    <xf numFmtId="3" fontId="0" fillId="0" borderId="0" xfId="0" applyNumberFormat="1"/>
    <xf numFmtId="2" fontId="0" fillId="0" borderId="0" xfId="0" applyNumberFormat="1"/>
    <xf numFmtId="0" fontId="0" fillId="23" borderId="21" xfId="0" applyFill="1" applyBorder="1"/>
    <xf numFmtId="0" fontId="28" fillId="5" borderId="25" xfId="0" applyFont="1" applyFill="1" applyBorder="1"/>
    <xf numFmtId="3" fontId="28" fillId="5" borderId="25" xfId="0" applyNumberFormat="1" applyFont="1" applyFill="1" applyBorder="1" applyAlignment="1">
      <alignment horizontal="right" vertical="center"/>
    </xf>
    <xf numFmtId="3" fontId="28" fillId="5" borderId="27" xfId="0" applyNumberFormat="1" applyFont="1" applyFill="1" applyBorder="1" applyAlignment="1">
      <alignment horizontal="right" vertical="center"/>
    </xf>
    <xf numFmtId="3" fontId="28" fillId="5" borderId="30" xfId="0" applyNumberFormat="1" applyFont="1" applyFill="1" applyBorder="1" applyAlignment="1">
      <alignment horizontal="right" vertical="center"/>
    </xf>
    <xf numFmtId="0" fontId="28" fillId="5" borderId="21" xfId="0" applyFont="1" applyFill="1" applyBorder="1"/>
    <xf numFmtId="3" fontId="28" fillId="5" borderId="21" xfId="0" applyNumberFormat="1" applyFont="1" applyFill="1" applyBorder="1" applyAlignment="1">
      <alignment horizontal="right" vertical="center"/>
    </xf>
    <xf numFmtId="0" fontId="28" fillId="5" borderId="21" xfId="0" applyFont="1" applyFill="1" applyBorder="1" applyAlignment="1">
      <alignment horizontal="right"/>
    </xf>
    <xf numFmtId="3" fontId="28" fillId="5" borderId="21" xfId="0" applyNumberFormat="1" applyFont="1" applyFill="1" applyBorder="1" applyAlignment="1">
      <alignment horizontal="right" vertical="center" wrapText="1"/>
    </xf>
    <xf numFmtId="3" fontId="28" fillId="5" borderId="28" xfId="0" applyNumberFormat="1" applyFont="1" applyFill="1" applyBorder="1" applyAlignment="1">
      <alignment horizontal="right" vertical="center"/>
    </xf>
    <xf numFmtId="0" fontId="28" fillId="5" borderId="21" xfId="0" applyFont="1" applyFill="1" applyBorder="1" applyAlignment="1">
      <alignment horizontal="right" wrapText="1"/>
    </xf>
    <xf numFmtId="0" fontId="0" fillId="5" borderId="21" xfId="0" applyFill="1" applyBorder="1"/>
    <xf numFmtId="4" fontId="28" fillId="5" borderId="21" xfId="0" applyNumberFormat="1" applyFont="1" applyFill="1" applyBorder="1" applyAlignment="1">
      <alignment horizontal="center" vertical="center"/>
    </xf>
    <xf numFmtId="0" fontId="28" fillId="5" borderId="21" xfId="0" applyFont="1" applyFill="1" applyBorder="1" applyAlignment="1">
      <alignment horizontal="center"/>
    </xf>
    <xf numFmtId="3" fontId="28" fillId="5" borderId="21" xfId="0" applyNumberFormat="1" applyFont="1" applyFill="1" applyBorder="1" applyAlignment="1">
      <alignment horizontal="center" vertical="center"/>
    </xf>
    <xf numFmtId="3" fontId="28" fillId="5" borderId="28" xfId="0" applyNumberFormat="1" applyFont="1" applyFill="1" applyBorder="1" applyAlignment="1">
      <alignment horizontal="center" vertical="center"/>
    </xf>
    <xf numFmtId="3" fontId="28" fillId="5" borderId="39" xfId="0" applyNumberFormat="1" applyFont="1" applyFill="1" applyBorder="1" applyAlignment="1">
      <alignment horizontal="center" vertical="center"/>
    </xf>
    <xf numFmtId="0" fontId="28" fillId="5" borderId="39" xfId="0" applyFont="1" applyFill="1" applyBorder="1" applyAlignment="1">
      <alignment horizontal="center"/>
    </xf>
    <xf numFmtId="0" fontId="28" fillId="5" borderId="31" xfId="0" applyFont="1" applyFill="1" applyBorder="1" applyAlignment="1">
      <alignment horizontal="center"/>
    </xf>
    <xf numFmtId="3" fontId="28" fillId="5" borderId="31" xfId="0" applyNumberFormat="1" applyFont="1" applyFill="1" applyBorder="1" applyAlignment="1">
      <alignment horizontal="center" vertical="center"/>
    </xf>
    <xf numFmtId="0" fontId="0" fillId="3" borderId="21" xfId="0" applyFill="1" applyBorder="1" applyAlignment="1">
      <alignment horizontal="center" vertical="top" wrapText="1"/>
    </xf>
    <xf numFmtId="0" fontId="0" fillId="3" borderId="21" xfId="0" applyFill="1" applyBorder="1" applyAlignment="1">
      <alignment horizontal="center"/>
    </xf>
    <xf numFmtId="9" fontId="0" fillId="17" borderId="21" xfId="4" applyFont="1" applyFill="1" applyBorder="1" applyAlignment="1">
      <alignment horizontal="center"/>
    </xf>
    <xf numFmtId="9" fontId="5" fillId="20" borderId="31" xfId="4" applyFont="1" applyFill="1" applyBorder="1" applyAlignment="1">
      <alignment horizontal="center"/>
    </xf>
    <xf numFmtId="9" fontId="5" fillId="20" borderId="36" xfId="4" applyFont="1" applyFill="1" applyBorder="1" applyAlignment="1">
      <alignment horizontal="center"/>
    </xf>
    <xf numFmtId="9" fontId="0" fillId="22" borderId="21" xfId="4" applyFont="1" applyFill="1" applyBorder="1" applyAlignment="1">
      <alignment horizontal="center"/>
    </xf>
    <xf numFmtId="9" fontId="0" fillId="17" borderId="31" xfId="4" applyFont="1" applyFill="1" applyBorder="1" applyAlignment="1">
      <alignment horizontal="center"/>
    </xf>
    <xf numFmtId="9" fontId="0" fillId="17" borderId="35" xfId="4" applyFont="1" applyFill="1" applyBorder="1" applyAlignment="1">
      <alignment horizontal="center"/>
    </xf>
    <xf numFmtId="9" fontId="0" fillId="17" borderId="36" xfId="4" applyFont="1" applyFill="1" applyBorder="1" applyAlignment="1">
      <alignment horizontal="center"/>
    </xf>
    <xf numFmtId="9" fontId="0" fillId="18" borderId="31" xfId="4" applyFont="1" applyFill="1" applyBorder="1" applyAlignment="1">
      <alignment horizontal="center"/>
    </xf>
    <xf numFmtId="9" fontId="0" fillId="18" borderId="36" xfId="4" applyFont="1" applyFill="1" applyBorder="1" applyAlignment="1">
      <alignment horizontal="center"/>
    </xf>
    <xf numFmtId="9" fontId="5" fillId="19" borderId="31" xfId="4" applyFont="1" applyFill="1" applyBorder="1" applyAlignment="1">
      <alignment horizontal="center"/>
    </xf>
    <xf numFmtId="9" fontId="5" fillId="19" borderId="35" xfId="4" applyFont="1" applyFill="1" applyBorder="1" applyAlignment="1">
      <alignment horizontal="center"/>
    </xf>
    <xf numFmtId="9" fontId="5" fillId="19" borderId="36" xfId="4" applyFont="1" applyFill="1" applyBorder="1" applyAlignment="1">
      <alignment horizontal="center"/>
    </xf>
    <xf numFmtId="167" fontId="0" fillId="0" borderId="21" xfId="0" applyNumberFormat="1" applyBorder="1" applyAlignment="1">
      <alignment horizontal="center"/>
    </xf>
    <xf numFmtId="0" fontId="0" fillId="14" borderId="32" xfId="0" applyFill="1" applyBorder="1" applyAlignment="1">
      <alignment horizontal="center" wrapText="1"/>
    </xf>
    <xf numFmtId="0" fontId="0" fillId="14" borderId="34" xfId="0" applyFill="1" applyBorder="1" applyAlignment="1">
      <alignment horizontal="center" wrapText="1"/>
    </xf>
    <xf numFmtId="0" fontId="0" fillId="14" borderId="30" xfId="0" applyFill="1" applyBorder="1" applyAlignment="1">
      <alignment horizontal="center" wrapText="1"/>
    </xf>
    <xf numFmtId="0" fontId="5" fillId="3" borderId="32"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wrapText="1"/>
    </xf>
    <xf numFmtId="0" fontId="0" fillId="3" borderId="32" xfId="0" applyFill="1" applyBorder="1" applyAlignment="1">
      <alignment horizontal="center" wrapText="1"/>
    </xf>
    <xf numFmtId="0" fontId="0" fillId="3" borderId="34" xfId="0" applyFill="1" applyBorder="1" applyAlignment="1">
      <alignment horizontal="center" wrapText="1"/>
    </xf>
    <xf numFmtId="0" fontId="0" fillId="3" borderId="30" xfId="0" applyFill="1" applyBorder="1" applyAlignment="1">
      <alignment horizontal="center" wrapText="1"/>
    </xf>
    <xf numFmtId="0" fontId="21" fillId="0" borderId="0" xfId="0" applyFont="1" applyAlignment="1">
      <alignment horizontal="center" vertical="center" readingOrder="2"/>
    </xf>
    <xf numFmtId="0" fontId="20" fillId="0" borderId="0" xfId="0" applyFont="1" applyAlignment="1">
      <alignment horizontal="center" vertical="center" readingOrder="2"/>
    </xf>
    <xf numFmtId="0" fontId="0" fillId="0" borderId="0" xfId="0" applyAlignment="1">
      <alignment horizontal="center"/>
    </xf>
    <xf numFmtId="0" fontId="0" fillId="0" borderId="38" xfId="0" applyBorder="1" applyAlignment="1">
      <alignment horizontal="center"/>
    </xf>
    <xf numFmtId="167" fontId="0" fillId="0" borderId="32" xfId="0" applyNumberFormat="1" applyBorder="1" applyAlignment="1">
      <alignment horizontal="center"/>
    </xf>
    <xf numFmtId="167" fontId="0" fillId="0" borderId="34" xfId="0" applyNumberFormat="1" applyBorder="1" applyAlignment="1">
      <alignment horizontal="center"/>
    </xf>
    <xf numFmtId="167" fontId="0" fillId="0" borderId="30" xfId="0" applyNumberFormat="1" applyBorder="1" applyAlignment="1">
      <alignment horizontal="center"/>
    </xf>
    <xf numFmtId="0" fontId="0" fillId="3" borderId="40" xfId="0" applyFill="1" applyBorder="1" applyAlignment="1">
      <alignment horizontal="center" wrapText="1"/>
    </xf>
    <xf numFmtId="0" fontId="26" fillId="0" borderId="0" xfId="0" applyFont="1" applyAlignment="1">
      <alignment horizontal="center"/>
    </xf>
    <xf numFmtId="0" fontId="21" fillId="0" borderId="33" xfId="0" applyFont="1" applyBorder="1" applyAlignment="1">
      <alignment horizontal="center" vertical="center" readingOrder="2"/>
    </xf>
    <xf numFmtId="0" fontId="5" fillId="3" borderId="21" xfId="0" applyFont="1" applyFill="1" applyBorder="1" applyAlignment="1">
      <alignment horizontal="center"/>
    </xf>
    <xf numFmtId="0" fontId="23" fillId="0" borderId="0" xfId="0" applyFont="1" applyAlignment="1">
      <alignment horizontal="center"/>
    </xf>
    <xf numFmtId="0" fontId="0" fillId="0" borderId="21" xfId="0" applyBorder="1" applyAlignment="1">
      <alignment horizontal="center"/>
    </xf>
    <xf numFmtId="166" fontId="0" fillId="6" borderId="31" xfId="0" applyNumberFormat="1" applyFill="1" applyBorder="1" applyAlignment="1">
      <alignment horizontal="center"/>
    </xf>
    <xf numFmtId="166" fontId="0" fillId="6" borderId="36" xfId="0" applyNumberFormat="1" applyFill="1" applyBorder="1" applyAlignment="1">
      <alignment horizontal="center"/>
    </xf>
    <xf numFmtId="166" fontId="0" fillId="0" borderId="31" xfId="0" applyNumberFormat="1" applyBorder="1" applyAlignment="1">
      <alignment horizontal="center"/>
    </xf>
    <xf numFmtId="166" fontId="0" fillId="0" borderId="36" xfId="0" applyNumberFormat="1" applyBorder="1" applyAlignment="1">
      <alignment horizontal="center"/>
    </xf>
    <xf numFmtId="165" fontId="0" fillId="11" borderId="21" xfId="2" applyNumberFormat="1" applyFont="1" applyFill="1" applyBorder="1" applyAlignment="1">
      <alignment horizontal="center"/>
    </xf>
    <xf numFmtId="165" fontId="0" fillId="3" borderId="21" xfId="2" applyNumberFormat="1" applyFont="1" applyFill="1" applyBorder="1" applyAlignment="1">
      <alignment horizontal="center"/>
    </xf>
    <xf numFmtId="165" fontId="0" fillId="15" borderId="21" xfId="2" applyNumberFormat="1" applyFont="1" applyFill="1" applyBorder="1" applyAlignment="1">
      <alignment horizontal="center"/>
    </xf>
    <xf numFmtId="1" fontId="0" fillId="11" borderId="31" xfId="4" applyNumberFormat="1" applyFont="1" applyFill="1" applyBorder="1" applyAlignment="1">
      <alignment horizontal="center"/>
    </xf>
    <xf numFmtId="1" fontId="0" fillId="11" borderId="35" xfId="4" applyNumberFormat="1" applyFont="1" applyFill="1" applyBorder="1" applyAlignment="1">
      <alignment horizontal="center"/>
    </xf>
    <xf numFmtId="1" fontId="0" fillId="11" borderId="36" xfId="4" applyNumberFormat="1" applyFont="1" applyFill="1" applyBorder="1" applyAlignment="1">
      <alignment horizontal="center"/>
    </xf>
    <xf numFmtId="1" fontId="0" fillId="6" borderId="31" xfId="4" applyNumberFormat="1" applyFont="1" applyFill="1" applyBorder="1" applyAlignment="1">
      <alignment horizontal="center"/>
    </xf>
    <xf numFmtId="1" fontId="0" fillId="6" borderId="36" xfId="4" applyNumberFormat="1" applyFont="1" applyFill="1" applyBorder="1" applyAlignment="1">
      <alignment horizontal="center"/>
    </xf>
    <xf numFmtId="1" fontId="0" fillId="3" borderId="31" xfId="0" applyNumberFormat="1" applyFill="1" applyBorder="1" applyAlignment="1">
      <alignment horizontal="center"/>
    </xf>
    <xf numFmtId="1" fontId="0" fillId="3" borderId="37" xfId="0" applyNumberFormat="1" applyFill="1" applyBorder="1" applyAlignment="1">
      <alignment horizontal="center"/>
    </xf>
    <xf numFmtId="1" fontId="5" fillId="12" borderId="31" xfId="4" applyNumberFormat="1" applyFont="1" applyFill="1" applyBorder="1" applyAlignment="1">
      <alignment horizontal="center"/>
    </xf>
    <xf numFmtId="1" fontId="5" fillId="12" borderId="35" xfId="4" applyNumberFormat="1" applyFont="1" applyFill="1" applyBorder="1" applyAlignment="1">
      <alignment horizontal="center"/>
    </xf>
    <xf numFmtId="1" fontId="5" fillId="12" borderId="36" xfId="4" applyNumberFormat="1" applyFont="1" applyFill="1" applyBorder="1" applyAlignment="1">
      <alignment horizontal="center"/>
    </xf>
    <xf numFmtId="166" fontId="0" fillId="0" borderId="35" xfId="0" applyNumberFormat="1" applyBorder="1" applyAlignment="1">
      <alignment horizontal="center"/>
    </xf>
    <xf numFmtId="0" fontId="4" fillId="0" borderId="31" xfId="0" applyFont="1" applyBorder="1" applyAlignment="1">
      <alignment horizontal="center"/>
    </xf>
    <xf numFmtId="0" fontId="4" fillId="0" borderId="35" xfId="0" applyFont="1" applyBorder="1" applyAlignment="1">
      <alignment horizontal="center"/>
    </xf>
    <xf numFmtId="0" fontId="4" fillId="0" borderId="36" xfId="0" applyFont="1" applyBorder="1" applyAlignment="1">
      <alignment horizontal="center"/>
    </xf>
    <xf numFmtId="0" fontId="5" fillId="11" borderId="31" xfId="0" applyFont="1" applyFill="1" applyBorder="1" applyAlignment="1">
      <alignment horizontal="center" vertical="center"/>
    </xf>
    <xf numFmtId="0" fontId="5" fillId="11" borderId="36"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36" xfId="0" applyFont="1" applyFill="1" applyBorder="1" applyAlignment="1">
      <alignment horizontal="center" vertical="center"/>
    </xf>
    <xf numFmtId="0" fontId="5" fillId="15" borderId="31" xfId="0" applyFont="1" applyFill="1" applyBorder="1" applyAlignment="1">
      <alignment horizontal="center" vertical="center"/>
    </xf>
    <xf numFmtId="0" fontId="5" fillId="15" borderId="36" xfId="0" applyFont="1" applyFill="1" applyBorder="1" applyAlignment="1">
      <alignment horizontal="center" vertical="center"/>
    </xf>
    <xf numFmtId="0" fontId="5" fillId="11" borderId="35" xfId="0" applyFont="1" applyFill="1" applyBorder="1" applyAlignment="1">
      <alignment horizontal="center" vertical="center"/>
    </xf>
    <xf numFmtId="0" fontId="5" fillId="6" borderId="31" xfId="0" applyFont="1" applyFill="1" applyBorder="1" applyAlignment="1">
      <alignment horizontal="center" vertical="center"/>
    </xf>
    <xf numFmtId="0" fontId="5" fillId="6" borderId="36" xfId="0" applyFont="1" applyFill="1" applyBorder="1" applyAlignment="1">
      <alignment horizontal="center" vertical="center"/>
    </xf>
    <xf numFmtId="0" fontId="5" fillId="12" borderId="31" xfId="0" applyFont="1" applyFill="1" applyBorder="1" applyAlignment="1">
      <alignment horizontal="center" vertical="center"/>
    </xf>
    <xf numFmtId="0" fontId="5" fillId="12" borderId="35" xfId="0" applyFont="1" applyFill="1" applyBorder="1" applyAlignment="1">
      <alignment horizontal="center" vertical="center"/>
    </xf>
    <xf numFmtId="0" fontId="5" fillId="12" borderId="36" xfId="0" applyFont="1" applyFill="1" applyBorder="1" applyAlignment="1">
      <alignment horizontal="center" vertical="center"/>
    </xf>
    <xf numFmtId="0" fontId="0" fillId="0" borderId="21" xfId="0" applyBorder="1" applyAlignment="1">
      <alignment horizontal="center" vertical="center" wrapText="1"/>
    </xf>
    <xf numFmtId="0" fontId="0" fillId="3" borderId="31" xfId="0" applyFill="1" applyBorder="1" applyAlignment="1">
      <alignment horizontal="center"/>
    </xf>
    <xf numFmtId="0" fontId="0" fillId="3" borderId="35" xfId="0" applyFill="1" applyBorder="1" applyAlignment="1">
      <alignment horizontal="center"/>
    </xf>
    <xf numFmtId="0" fontId="0" fillId="3" borderId="36" xfId="0" applyFill="1" applyBorder="1" applyAlignment="1">
      <alignment horizontal="center"/>
    </xf>
    <xf numFmtId="0" fontId="0" fillId="0" borderId="31"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14" fillId="0" borderId="21" xfId="0" applyFont="1" applyBorder="1" applyAlignment="1">
      <alignment horizontal="center" vertical="center" wrapText="1" readingOrder="2"/>
    </xf>
    <xf numFmtId="0" fontId="15" fillId="9" borderId="21" xfId="0" applyFont="1" applyFill="1" applyBorder="1" applyAlignment="1">
      <alignment horizontal="center" vertical="center" wrapText="1"/>
    </xf>
    <xf numFmtId="0" fontId="14" fillId="0" borderId="21" xfId="0" applyFont="1" applyBorder="1" applyAlignment="1">
      <alignment horizontal="justify" vertical="center" wrapText="1"/>
    </xf>
  </cellXfs>
  <cellStyles count="5">
    <cellStyle name="Currency" xfId="2" builtinId="4"/>
    <cellStyle name="Normal" xfId="0" builtinId="0"/>
    <cellStyle name="Normal 2" xfId="3" xr:uid="{00000000-0005-0000-0000-000031000000}"/>
    <cellStyle name="Percent" xfId="4" builtinId="5"/>
    <cellStyle name="היפר-קישור" xfId="1" builtinId="8"/>
  </cellStyles>
  <dxfs count="411">
    <dxf>
      <font>
        <color rgb="FFFF0000"/>
      </font>
      <fill>
        <patternFill>
          <bgColor rgb="FFFFC7CE"/>
        </patternFill>
      </fill>
    </dxf>
    <dxf>
      <font>
        <color rgb="FF9C0006"/>
      </font>
      <fill>
        <patternFill>
          <bgColor rgb="FFFFC7CE"/>
        </patternFill>
      </fill>
    </dxf>
    <dxf>
      <font>
        <color rgb="FFFF0000"/>
      </font>
      <fill>
        <patternFill>
          <bgColor rgb="FFFFC7CE"/>
        </patternFill>
      </fill>
    </dxf>
    <dxf>
      <font>
        <color rgb="FF9C0006"/>
      </font>
      <fill>
        <patternFill>
          <bgColor rgb="FFFFC7CE"/>
        </patternFill>
      </fill>
    </dxf>
    <dxf>
      <font>
        <color rgb="FFFF0000"/>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ill>
        <patternFill>
          <bgColor theme="5" tint="0.39994506668294322"/>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theme="0" tint="-0.24994659260841701"/>
        </patternFill>
      </fill>
    </dxf>
    <dxf>
      <fill>
        <patternFill>
          <bgColor rgb="FF00B050"/>
        </patternFill>
      </fill>
    </dxf>
    <dxf>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C000"/>
        </patternFill>
      </fill>
    </dxf>
    <dxf>
      <fill>
        <patternFill>
          <bgColor rgb="FF0070C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FF00"/>
        </patternFill>
      </fill>
    </dxf>
    <dxf>
      <fill>
        <patternFill>
          <bgColor theme="0" tint="-0.34998626667073579"/>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ill>
        <patternFill>
          <bgColor rgb="FFFF0000"/>
        </patternFill>
      </fill>
    </dxf>
    <dxf>
      <fill>
        <patternFill>
          <bgColor rgb="FF92D050"/>
        </patternFill>
      </fill>
    </dxf>
    <dxf>
      <fill>
        <patternFill>
          <bgColor theme="0" tint="-0.34998626667073579"/>
        </patternFill>
      </fill>
    </dxf>
    <dxf>
      <fill>
        <patternFill>
          <bgColor rgb="FFFFFF00"/>
        </patternFill>
      </fill>
    </dxf>
    <dxf>
      <font>
        <color rgb="FF9C0006"/>
      </font>
      <fill>
        <patternFill>
          <bgColor rgb="FFFFFF00"/>
        </patternFill>
      </fill>
    </dxf>
    <dxf>
      <font>
        <color rgb="FF9C0006"/>
      </font>
      <fill>
        <patternFill>
          <bgColor theme="0" tint="-0.34998626667073579"/>
        </patternFill>
      </fill>
    </dxf>
    <dxf>
      <font>
        <color rgb="FF9C0006"/>
      </font>
      <fill>
        <patternFill>
          <bgColor rgb="FF92D050"/>
        </patternFill>
      </fill>
    </dxf>
    <dxf>
      <font>
        <color rgb="FF9C0006"/>
      </font>
      <fill>
        <patternFill>
          <bgColor rgb="FFFF0000"/>
        </patternFill>
      </fill>
    </dxf>
  </dxfs>
  <tableStyles count="0" defaultTableStyle="TableStyleMedium2" defaultPivotStyle="PivotStyleLight16"/>
  <colors>
    <mruColors>
      <color rgb="FFFFC7CE"/>
      <color rgb="FF008BB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2</xdr:col>
      <xdr:colOff>521585</xdr:colOff>
      <xdr:row>35</xdr:row>
      <xdr:rowOff>98227</xdr:rowOff>
    </xdr:from>
    <xdr:to>
      <xdr:col>3</xdr:col>
      <xdr:colOff>152400</xdr:colOff>
      <xdr:row>40</xdr:row>
      <xdr:rowOff>0</xdr:rowOff>
    </xdr:to>
    <xdr:pic>
      <xdr:nvPicPr>
        <xdr:cNvPr id="3" name="תמונה 2">
          <a:extLst>
            <a:ext uri="{FF2B5EF4-FFF2-40B4-BE49-F238E27FC236}">
              <a16:creationId xmlns:a16="http://schemas.microsoft.com/office/drawing/2014/main" id="{BC1D1397-A56C-4AD8-806A-39BF265E4E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83504925" y="5937052"/>
          <a:ext cx="811915" cy="7113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142875</xdr:colOff>
      <xdr:row>1</xdr:row>
      <xdr:rowOff>9525</xdr:rowOff>
    </xdr:from>
    <xdr:to>
      <xdr:col>12</xdr:col>
      <xdr:colOff>447675</xdr:colOff>
      <xdr:row>33</xdr:row>
      <xdr:rowOff>171450</xdr:rowOff>
    </xdr:to>
    <xdr:grpSp>
      <xdr:nvGrpSpPr>
        <xdr:cNvPr id="2314" name="Group 8">
          <a:extLst>
            <a:ext uri="{FF2B5EF4-FFF2-40B4-BE49-F238E27FC236}">
              <a16:creationId xmlns:a16="http://schemas.microsoft.com/office/drawing/2014/main" id="{00000000-0008-0000-0000-00000A090000}"/>
            </a:ext>
          </a:extLst>
        </xdr:cNvPr>
        <xdr:cNvGrpSpPr>
          <a:grpSpLocks/>
        </xdr:cNvGrpSpPr>
      </xdr:nvGrpSpPr>
      <xdr:grpSpPr bwMode="auto">
        <a:xfrm>
          <a:off x="10029322896" y="499382"/>
          <a:ext cx="8768443" cy="13945961"/>
          <a:chOff x="15563" y="31"/>
          <a:chExt cx="775" cy="568"/>
        </a:xfrm>
      </xdr:grpSpPr>
      <xdr:sp macro="" textlink="">
        <xdr:nvSpPr>
          <xdr:cNvPr id="2054" name="Text Box 6">
            <a:extLst>
              <a:ext uri="{FF2B5EF4-FFF2-40B4-BE49-F238E27FC236}">
                <a16:creationId xmlns:a16="http://schemas.microsoft.com/office/drawing/2014/main" id="{00000000-0008-0000-0000-000006080000}"/>
              </a:ext>
            </a:extLst>
          </xdr:cNvPr>
          <xdr:cNvSpPr txBox="1">
            <a:spLocks noChangeArrowheads="1"/>
          </xdr:cNvSpPr>
        </xdr:nvSpPr>
        <xdr:spPr bwMode="auto">
          <a:xfrm>
            <a:off x="15593" y="277"/>
            <a:ext cx="743" cy="312"/>
          </a:xfrm>
          <a:prstGeom prst="rect">
            <a:avLst/>
          </a:prstGeom>
          <a:solidFill>
            <a:srgbClr val="FFFFFF"/>
          </a:solidFill>
          <a:ln>
            <a:noFill/>
          </a:ln>
        </xdr:spPr>
        <xdr:txBody>
          <a:bodyPr vertOverflow="clip" wrap="square" lIns="0" tIns="27432" rIns="36576" bIns="0" anchor="t" upright="1"/>
          <a:lstStyle/>
          <a:p>
            <a:pPr algn="r" rtl="1">
              <a:defRPr sz="1000"/>
            </a:pPr>
            <a:r>
              <a:rPr lang="he-IL" sz="1200" b="1" i="0" u="sng" strike="noStrike" baseline="0">
                <a:solidFill>
                  <a:srgbClr val="000000"/>
                </a:solidFill>
                <a:latin typeface="Arial"/>
                <a:cs typeface="Arial"/>
              </a:rPr>
              <a:t>הסברים:</a:t>
            </a:r>
          </a:p>
          <a:p>
            <a:pPr algn="r" rtl="1">
              <a:defRPr sz="1000"/>
            </a:pPr>
            <a:endParaRPr lang="he-IL" sz="1200" b="0" i="0" u="none" strike="noStrike" baseline="0">
              <a:solidFill>
                <a:srgbClr val="000000"/>
              </a:solidFill>
              <a:latin typeface="Arial"/>
              <a:cs typeface="Arial"/>
            </a:endParaRPr>
          </a:p>
          <a:p>
            <a:pPr algn="r" rtl="1">
              <a:defRPr sz="1000"/>
            </a:pPr>
            <a:r>
              <a:rPr lang="he-IL" sz="1200" b="1" i="0" u="none" strike="noStrike" baseline="0">
                <a:solidFill>
                  <a:srgbClr val="000000"/>
                </a:solidFill>
                <a:latin typeface="Arial"/>
                <a:cs typeface="Arial"/>
              </a:rPr>
              <a:t>1.</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גודל העץ</a:t>
            </a:r>
            <a:r>
              <a:rPr lang="he-IL" sz="1200" b="0" i="0" u="none" strike="noStrike" baseline="0">
                <a:solidFill>
                  <a:srgbClr val="000000"/>
                </a:solidFill>
                <a:latin typeface="Arial"/>
                <a:cs typeface="Arial"/>
              </a:rPr>
              <a:t> - נקבע לפי שטח החתך של הגזע בגובה 1.3 מ'. בעץ רב גזעים מודדים את שלוש הגזעים העיקריים.</a:t>
            </a:r>
          </a:p>
          <a:p>
            <a:pPr algn="r" rtl="1">
              <a:defRPr sz="1000"/>
            </a:pPr>
            <a:endParaRPr lang="he-IL" sz="1200" b="0" i="0" u="none" strike="noStrike" baseline="0">
              <a:solidFill>
                <a:srgbClr val="000000"/>
              </a:solidFill>
              <a:latin typeface="Arial"/>
              <a:cs typeface="Arial"/>
            </a:endParaRPr>
          </a:p>
          <a:p>
            <a:pPr algn="r" rtl="1">
              <a:defRPr sz="1000"/>
            </a:pPr>
            <a:r>
              <a:rPr lang="he-IL" sz="1200" b="1" i="0" u="none" strike="noStrike" baseline="0">
                <a:solidFill>
                  <a:srgbClr val="000000"/>
                </a:solidFill>
                <a:latin typeface="Arial"/>
                <a:cs typeface="Arial"/>
              </a:rPr>
              <a:t>2.</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ערך המין</a:t>
            </a:r>
            <a:r>
              <a:rPr lang="he-IL" sz="1200" b="0" i="0" u="none" strike="noStrike" baseline="0">
                <a:solidFill>
                  <a:srgbClr val="000000"/>
                </a:solidFill>
                <a:latin typeface="Arial"/>
                <a:cs typeface="Arial"/>
              </a:rPr>
              <a:t> - בין 0.01 ל – 1.00 לפי רשימה מומלצת מצורפת שעודכנה בשנת 2018.</a:t>
            </a:r>
          </a:p>
          <a:p>
            <a:pPr algn="r" rtl="1">
              <a:defRPr sz="1000"/>
            </a:pPr>
            <a:endParaRPr lang="he-IL" sz="1200" b="0" i="0" u="none" strike="noStrike" baseline="0">
              <a:solidFill>
                <a:srgbClr val="000000"/>
              </a:solidFill>
              <a:latin typeface="Arial"/>
              <a:cs typeface="Arial"/>
            </a:endParaRPr>
          </a:p>
          <a:p>
            <a:pPr algn="r" rtl="1">
              <a:defRPr sz="1000"/>
            </a:pPr>
            <a:r>
              <a:rPr lang="he-IL" sz="1200" b="1" i="0" u="none" strike="noStrike" baseline="0">
                <a:solidFill>
                  <a:srgbClr val="000000"/>
                </a:solidFill>
                <a:latin typeface="Arial"/>
                <a:cs typeface="Arial"/>
              </a:rPr>
              <a:t>3.</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מצב העץ</a:t>
            </a:r>
            <a:r>
              <a:rPr lang="he-IL" sz="1200" b="0" i="0" u="none" strike="noStrike" baseline="0">
                <a:solidFill>
                  <a:srgbClr val="000000"/>
                </a:solidFill>
                <a:latin typeface="Arial"/>
                <a:cs typeface="Arial"/>
              </a:rPr>
              <a:t> - מצבו הבריאותי של העץ הנקבע על סמך בדיקה ויזואלית חיצונית ומתייחס למצב העץ במועד עריכת הסקר כולל התבחינים הבאים: נוכחות מזיקים, מחלות, ריקבונות, מצב צוואר השורש, נטיית הגזע, מבנה שלד העץ, נתוני בית הגידול  ונתונים פיזיים נוספים המאפשרים הערכת מצבו הבריאותי ותוחלת חייו בהשוואה למין אליו העץ משתייך. ערכי הבריאות מצורפים בגיליון "ערכים לבריאות העץ"</a:t>
            </a:r>
          </a:p>
          <a:p>
            <a:pPr rtl="1"/>
            <a:r>
              <a:rPr lang="he-IL" sz="1200" b="1" i="0" u="none" strike="noStrike" baseline="0">
                <a:solidFill>
                  <a:srgbClr val="000000"/>
                </a:solidFill>
                <a:latin typeface="Arial"/>
                <a:cs typeface="Arial"/>
              </a:rPr>
              <a:t>4.</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מיקום העץ</a:t>
            </a:r>
            <a:r>
              <a:rPr lang="he-IL" sz="1200" b="0" i="0" u="none" strike="noStrike" baseline="0">
                <a:solidFill>
                  <a:srgbClr val="000000"/>
                </a:solidFill>
                <a:latin typeface="Arial"/>
                <a:cs typeface="Arial"/>
              </a:rPr>
              <a:t> -</a:t>
            </a:r>
            <a:r>
              <a:rPr lang="he-IL" sz="1100" b="0" i="0" baseline="0">
                <a:effectLst/>
                <a:latin typeface="+mn-lt"/>
                <a:ea typeface="+mn-ea"/>
                <a:cs typeface="+mn-cs"/>
              </a:rPr>
              <a:t> </a:t>
            </a:r>
            <a:r>
              <a:rPr lang="he-IL" sz="1200" b="0" i="0" baseline="0">
                <a:effectLst/>
                <a:latin typeface="+mn-lt"/>
                <a:ea typeface="+mn-ea"/>
                <a:cs typeface="+mn-cs"/>
              </a:rPr>
              <a:t>ניקוד מיקומו של העץ במרחב מתייחס לשני מצבים עיקריים: עץ בתחום היישוב (ערים, ישובים כפריים וקהילתיים וכו') ועץ במרחב הפתוח. הבדלה זו נוצרה בשל ההקשר המרחבי של העץ ותועלתו הציבורית. היות שעצים במרחבים הבנויים משפיעים ישירות ולאורך זמן על הציבור – נמדדת השפעתם על פי מיקומם בממשק הציבורי. עצים המצויים במרחבים הפתוחים מצויים בסכנת פיתוח עיקרית מתשתיות אורכיות (כבישים, מחלפים, מסילות, צנרות הובלה לתשתיות) וחלקם הגדול מוגן בתחומי שמורות הטבע, היערות, והגנים הלאומיים. ערכי מיקום העץ מצורפים בגיליון "ערכים למיקום העץ"  </a:t>
            </a:r>
          </a:p>
          <a:p>
            <a:pPr rtl="1"/>
            <a:endParaRPr lang="he-IL" sz="1200">
              <a:effectLst/>
            </a:endParaRPr>
          </a:p>
        </xdr:txBody>
      </xdr:sp>
      <xdr:sp macro="" textlink="">
        <xdr:nvSpPr>
          <xdr:cNvPr id="2316" name="Rectangle 7">
            <a:extLst>
              <a:ext uri="{FF2B5EF4-FFF2-40B4-BE49-F238E27FC236}">
                <a16:creationId xmlns:a16="http://schemas.microsoft.com/office/drawing/2014/main" id="{00000000-0008-0000-0000-00000C090000}"/>
              </a:ext>
            </a:extLst>
          </xdr:cNvPr>
          <xdr:cNvSpPr>
            <a:spLocks noChangeArrowheads="1"/>
          </xdr:cNvSpPr>
        </xdr:nvSpPr>
        <xdr:spPr bwMode="auto">
          <a:xfrm>
            <a:off x="15563" y="31"/>
            <a:ext cx="775" cy="568"/>
          </a:xfrm>
          <a:prstGeom prst="rect">
            <a:avLst/>
          </a:prstGeom>
          <a:noFill/>
          <a:ln w="9525">
            <a:solidFill>
              <a:srgbClr val="008000"/>
            </a:solidFill>
            <a:miter lim="800000"/>
            <a:headEnd/>
            <a:tailEnd/>
          </a:ln>
          <a:scene3d>
            <a:camera prst="legacyObliqueTopRight"/>
            <a:lightRig rig="legacyFlat3" dir="b"/>
          </a:scene3d>
          <a:sp3d extrusionH="430200" prstMaterial="legacyMatte">
            <a:bevelT w="13500" h="13500" prst="angle"/>
            <a:bevelB w="13500" h="13500" prst="angle"/>
            <a:extrusionClr>
              <a:srgbClr val="008000"/>
            </a:extrusionClr>
          </a:sp3d>
          <a:extLst>
            <a:ext uri="{909E8E84-426E-40DD-AFC4-6F175D3DCCD1}">
              <a14:hiddenFill xmlns:a14="http://schemas.microsoft.com/office/drawing/2010/main">
                <a:solidFill>
                  <a:srgbClr val="FFFFFF"/>
                </a:solidFill>
              </a14:hiddenFill>
            </a:ext>
          </a:extLst>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104775</xdr:colOff>
      <xdr:row>13</xdr:row>
      <xdr:rowOff>95250</xdr:rowOff>
    </xdr:from>
    <xdr:to>
      <xdr:col>12</xdr:col>
      <xdr:colOff>809625</xdr:colOff>
      <xdr:row>31</xdr:row>
      <xdr:rowOff>152400</xdr:rowOff>
    </xdr:to>
    <xdr:sp macro="" textlink="">
      <xdr:nvSpPr>
        <xdr:cNvPr id="3079" name="Text Box 7">
          <a:extLst>
            <a:ext uri="{FF2B5EF4-FFF2-40B4-BE49-F238E27FC236}">
              <a16:creationId xmlns:a16="http://schemas.microsoft.com/office/drawing/2014/main" id="{00000000-0008-0000-0100-0000070C0000}"/>
            </a:ext>
          </a:extLst>
        </xdr:cNvPr>
        <xdr:cNvSpPr txBox="1">
          <a:spLocks noChangeArrowheads="1"/>
        </xdr:cNvSpPr>
      </xdr:nvSpPr>
      <xdr:spPr bwMode="auto">
        <a:xfrm>
          <a:off x="148389975" y="2638425"/>
          <a:ext cx="6838950" cy="2971800"/>
        </a:xfrm>
        <a:prstGeom prst="rect">
          <a:avLst/>
        </a:prstGeom>
        <a:solidFill>
          <a:srgbClr val="FFFFFF"/>
        </a:solidFill>
        <a:ln>
          <a:noFill/>
        </a:ln>
      </xdr:spPr>
      <xdr:txBody>
        <a:bodyPr vertOverflow="clip" wrap="square" lIns="0" tIns="27432" rIns="36576" bIns="0" anchor="t" upright="1"/>
        <a:lstStyle/>
        <a:p>
          <a:pPr algn="r" rtl="1">
            <a:defRPr sz="1000"/>
          </a:pPr>
          <a:r>
            <a:rPr lang="he-IL" sz="1200" b="1" i="0" u="sng" strike="noStrike" baseline="0">
              <a:solidFill>
                <a:srgbClr val="000000"/>
              </a:solidFill>
              <a:latin typeface="Arial"/>
              <a:cs typeface="Arial"/>
            </a:rPr>
            <a:t>הסברים:</a:t>
          </a:r>
        </a:p>
        <a:p>
          <a:pPr algn="r" rtl="1">
            <a:defRPr sz="1000"/>
          </a:pPr>
          <a:endParaRPr lang="he-IL" sz="1200" b="0" i="0" u="none" strike="noStrike" baseline="0">
            <a:solidFill>
              <a:srgbClr val="000000"/>
            </a:solidFill>
            <a:latin typeface="Arial"/>
            <a:cs typeface="Arial"/>
          </a:endParaRPr>
        </a:p>
        <a:p>
          <a:pPr algn="r" rtl="1">
            <a:defRPr sz="1000"/>
          </a:pPr>
          <a:r>
            <a:rPr lang="he-IL" sz="1200" b="1" i="0" u="none" strike="noStrike" baseline="0">
              <a:solidFill>
                <a:srgbClr val="000000"/>
              </a:solidFill>
              <a:latin typeface="Arial"/>
              <a:cs typeface="Arial"/>
            </a:rPr>
            <a:t>1.</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גודל העץ</a:t>
          </a:r>
          <a:r>
            <a:rPr lang="he-IL" sz="1200" b="0" i="0" u="none" strike="noStrike" baseline="0">
              <a:solidFill>
                <a:srgbClr val="000000"/>
              </a:solidFill>
              <a:latin typeface="Arial"/>
              <a:cs typeface="Arial"/>
            </a:rPr>
            <a:t> - נקבע לפי שטח החתך של הגזע בגובה החזה. בעץ רב גזעים מודדים גזע עיקרי + 50% משטח שאר הגזעים.</a:t>
          </a:r>
        </a:p>
        <a:p>
          <a:pPr algn="r" rtl="1">
            <a:defRPr sz="1000"/>
          </a:pPr>
          <a:endParaRPr lang="he-IL" sz="1200" b="0" i="0" u="none" strike="noStrike" baseline="0">
            <a:solidFill>
              <a:srgbClr val="000000"/>
            </a:solidFill>
            <a:latin typeface="Arial"/>
            <a:cs typeface="Arial"/>
          </a:endParaRPr>
        </a:p>
        <a:p>
          <a:pPr algn="r" rtl="1">
            <a:defRPr sz="1000"/>
          </a:pPr>
          <a:r>
            <a:rPr lang="he-IL" sz="1200" b="1" i="0" u="none" strike="noStrike" baseline="0">
              <a:solidFill>
                <a:srgbClr val="000000"/>
              </a:solidFill>
              <a:latin typeface="Arial"/>
              <a:cs typeface="Arial"/>
            </a:rPr>
            <a:t>2.</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ערך המין</a:t>
          </a:r>
          <a:r>
            <a:rPr lang="he-IL" sz="1200" b="0" i="0" u="none" strike="noStrike" baseline="0">
              <a:solidFill>
                <a:srgbClr val="000000"/>
              </a:solidFill>
              <a:latin typeface="Arial"/>
              <a:cs typeface="Arial"/>
            </a:rPr>
            <a:t> - נקבע לפי תכונות המין, חוזק השלד, אורך חיים צפוי, עמידות לפגעים, ערך סביבתי ואסטטי ושכיחות. (לדוגמא:         ערך המין של עץ     אלון תבור = 0.9, לעומתו ערך המין של עץ איזדרכת = 0.2).</a:t>
          </a:r>
        </a:p>
        <a:p>
          <a:pPr algn="r" rtl="1">
            <a:defRPr sz="1000"/>
          </a:pPr>
          <a:endParaRPr lang="he-IL" sz="1200" b="0" i="0" u="none" strike="noStrike" baseline="0">
            <a:solidFill>
              <a:srgbClr val="000000"/>
            </a:solidFill>
            <a:latin typeface="Arial"/>
            <a:cs typeface="Arial"/>
          </a:endParaRPr>
        </a:p>
        <a:p>
          <a:pPr algn="r" rtl="1">
            <a:defRPr sz="1000"/>
          </a:pPr>
          <a:r>
            <a:rPr lang="he-IL" sz="1200" b="1" i="0" u="none" strike="noStrike" baseline="0">
              <a:solidFill>
                <a:srgbClr val="000000"/>
              </a:solidFill>
              <a:latin typeface="Arial"/>
              <a:cs typeface="Arial"/>
            </a:rPr>
            <a:t>3.</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מצב העץ</a:t>
          </a:r>
          <a:r>
            <a:rPr lang="he-IL" sz="1200" b="0" i="0" u="none" strike="noStrike" baseline="0">
              <a:solidFill>
                <a:srgbClr val="000000"/>
              </a:solidFill>
              <a:latin typeface="Arial"/>
              <a:cs typeface="Arial"/>
            </a:rPr>
            <a:t> - נקבע לפי בריאות, קצב צמיחה, חיוניות, מצב פגעים, צפיפות נוף, חולשת מבנה ואורך חיים צפוי. (לדוגמא: עץ       בריא שמצבו טוב יקבל ערך 1, לעומתו עץ עם חשש לשבר יקבל ערך 0.1).</a:t>
          </a:r>
        </a:p>
        <a:p>
          <a:pPr algn="r" rtl="1">
            <a:defRPr sz="1000"/>
          </a:pPr>
          <a:endParaRPr lang="he-IL" sz="1200" b="0" i="0" u="none" strike="noStrike" baseline="0">
            <a:solidFill>
              <a:srgbClr val="000000"/>
            </a:solidFill>
            <a:latin typeface="Arial"/>
            <a:cs typeface="Arial"/>
          </a:endParaRPr>
        </a:p>
        <a:p>
          <a:pPr algn="r" rtl="1">
            <a:defRPr sz="1000"/>
          </a:pPr>
          <a:r>
            <a:rPr lang="he-IL" sz="1200" b="1" i="0" u="none" strike="noStrike" baseline="0">
              <a:solidFill>
                <a:srgbClr val="000000"/>
              </a:solidFill>
              <a:latin typeface="Arial"/>
              <a:cs typeface="Arial"/>
            </a:rPr>
            <a:t>4.</a:t>
          </a:r>
          <a:r>
            <a:rPr lang="he-IL" sz="1200" b="0" i="0" u="none" strike="noStrike" baseline="0">
              <a:solidFill>
                <a:srgbClr val="000000"/>
              </a:solidFill>
              <a:latin typeface="Arial"/>
              <a:cs typeface="Arial"/>
            </a:rPr>
            <a:t> </a:t>
          </a:r>
          <a:r>
            <a:rPr lang="he-IL" sz="1200" b="0" i="0" u="sng" strike="noStrike" baseline="0">
              <a:solidFill>
                <a:srgbClr val="000000"/>
              </a:solidFill>
              <a:latin typeface="Arial"/>
              <a:cs typeface="Arial"/>
            </a:rPr>
            <a:t>מיקום העץ</a:t>
          </a:r>
          <a:r>
            <a:rPr lang="he-IL" sz="1200" b="0" i="0" u="none" strike="noStrike" baseline="0">
              <a:solidFill>
                <a:srgbClr val="000000"/>
              </a:solidFill>
              <a:latin typeface="Arial"/>
              <a:cs typeface="Arial"/>
            </a:rPr>
            <a:t> - נקבע לפי חשיבות המקום הנקודת מבט: היסטורית, אדריכלית, ריגשית ואישית, הנדסית, אקלימית ואסטטית.       (דוגמאות לערך מיקום העץ: מקום היסטורי/מקום בולט = 1, בית פרטי = 0.8-0.9, נוף פתוח = 0.8, שטח ציבורי/גן                  בוטני/פארק/מגרש משחקים = 0.6-0.8, עץ בודד/איזור בילוי = 0.6-0.7, איזור תעשיה = 0.5-0.6, כביש מהיר = 0.4-0.6,      חורשה עירונית = 0.3, יער צפוף = 0.1-0.2).</a:t>
          </a:r>
          <a:endParaRPr lang="he-IL"/>
        </a:p>
      </xdr:txBody>
    </xdr:sp>
    <xdr:clientData/>
  </xdr:twoCellAnchor>
  <xdr:twoCellAnchor>
    <xdr:from>
      <xdr:col>0</xdr:col>
      <xdr:colOff>314325</xdr:colOff>
      <xdr:row>1</xdr:row>
      <xdr:rowOff>66675</xdr:rowOff>
    </xdr:from>
    <xdr:to>
      <xdr:col>13</xdr:col>
      <xdr:colOff>476250</xdr:colOff>
      <xdr:row>32</xdr:row>
      <xdr:rowOff>142875</xdr:rowOff>
    </xdr:to>
    <xdr:grpSp>
      <xdr:nvGrpSpPr>
        <xdr:cNvPr id="3420" name="Group 12">
          <a:extLst>
            <a:ext uri="{FF2B5EF4-FFF2-40B4-BE49-F238E27FC236}">
              <a16:creationId xmlns:a16="http://schemas.microsoft.com/office/drawing/2014/main" id="{00000000-0008-0000-0100-00005C0D0000}"/>
            </a:ext>
          </a:extLst>
        </xdr:cNvPr>
        <xdr:cNvGrpSpPr>
          <a:grpSpLocks/>
        </xdr:cNvGrpSpPr>
      </xdr:nvGrpSpPr>
      <xdr:grpSpPr bwMode="auto">
        <a:xfrm>
          <a:off x="9978675750" y="228600"/>
          <a:ext cx="8267700" cy="5657850"/>
          <a:chOff x="15502" y="24"/>
          <a:chExt cx="801" cy="581"/>
        </a:xfrm>
      </xdr:grpSpPr>
      <xdr:sp macro="" textlink="">
        <xdr:nvSpPr>
          <xdr:cNvPr id="3421" name="Rectangle 9">
            <a:extLst>
              <a:ext uri="{FF2B5EF4-FFF2-40B4-BE49-F238E27FC236}">
                <a16:creationId xmlns:a16="http://schemas.microsoft.com/office/drawing/2014/main" id="{00000000-0008-0000-0100-00005D0D0000}"/>
              </a:ext>
            </a:extLst>
          </xdr:cNvPr>
          <xdr:cNvSpPr>
            <a:spLocks noChangeArrowheads="1"/>
          </xdr:cNvSpPr>
        </xdr:nvSpPr>
        <xdr:spPr bwMode="auto">
          <a:xfrm>
            <a:off x="15502" y="24"/>
            <a:ext cx="801" cy="581"/>
          </a:xfrm>
          <a:prstGeom prst="rect">
            <a:avLst/>
          </a:prstGeom>
          <a:noFill/>
          <a:ln w="9525">
            <a:solidFill>
              <a:srgbClr val="008000"/>
            </a:solidFill>
            <a:miter lim="800000"/>
            <a:headEnd/>
            <a:tailEnd/>
          </a:ln>
          <a:scene3d>
            <a:camera prst="legacyObliqueTopRight"/>
            <a:lightRig rig="legacyFlat3" dir="b"/>
          </a:scene3d>
          <a:sp3d extrusionH="430200" prstMaterial="legacyMatte">
            <a:bevelT w="13500" h="13500" prst="angle"/>
            <a:bevelB w="13500" h="13500" prst="angle"/>
            <a:extrusionClr>
              <a:srgbClr val="008000"/>
            </a:extrusionClr>
          </a:sp3d>
          <a:extLst>
            <a:ext uri="{909E8E84-426E-40DD-AFC4-6F175D3DCCD1}">
              <a14:hiddenFill xmlns:a14="http://schemas.microsoft.com/office/drawing/2010/main">
                <a:solidFill>
                  <a:srgbClr val="FFFFFF"/>
                </a:solidFill>
              </a14:hiddenFill>
            </a:ext>
          </a:extLst>
        </xdr:spPr>
      </xdr:sp>
      <xdr:sp macro="" textlink="">
        <xdr:nvSpPr>
          <xdr:cNvPr id="3082" name="Text Box 10">
            <a:extLst>
              <a:ext uri="{FF2B5EF4-FFF2-40B4-BE49-F238E27FC236}">
                <a16:creationId xmlns:a16="http://schemas.microsoft.com/office/drawing/2014/main" id="{00000000-0008-0000-0100-00000A0C0000}"/>
              </a:ext>
            </a:extLst>
          </xdr:cNvPr>
          <xdr:cNvSpPr txBox="1">
            <a:spLocks noChangeArrowheads="1"/>
          </xdr:cNvSpPr>
        </xdr:nvSpPr>
        <xdr:spPr bwMode="auto">
          <a:xfrm>
            <a:off x="15537" y="277"/>
            <a:ext cx="744" cy="309"/>
          </a:xfrm>
          <a:prstGeom prst="rect">
            <a:avLst/>
          </a:prstGeom>
          <a:solidFill>
            <a:srgbClr val="FFFFFF"/>
          </a:solidFill>
          <a:ln>
            <a:noFill/>
          </a:ln>
        </xdr:spPr>
        <xdr:txBody>
          <a:bodyPr vertOverflow="clip" wrap="square" lIns="0" tIns="27432" rIns="36576" bIns="0" anchor="t" upright="1"/>
          <a:lstStyle/>
          <a:p>
            <a:pPr algn="r" rtl="1">
              <a:defRPr sz="1000"/>
            </a:pPr>
            <a:r>
              <a:rPr lang="he-IL" sz="1200" b="1" i="0" u="sng" strike="noStrike" baseline="0">
                <a:solidFill>
                  <a:srgbClr val="000000"/>
                </a:solidFill>
                <a:latin typeface="Arial"/>
                <a:cs typeface="Arial"/>
              </a:rPr>
              <a:t>הסברים:</a:t>
            </a:r>
          </a:p>
          <a:p>
            <a:pPr algn="r" rtl="1">
              <a:defRPr sz="1000"/>
            </a:pPr>
            <a:endParaRPr lang="he-IL" sz="1200" b="1" i="0" u="sng" strike="noStrike" baseline="0">
              <a:solidFill>
                <a:srgbClr val="000000"/>
              </a:solidFill>
              <a:latin typeface="Arial"/>
              <a:cs typeface="Arial"/>
            </a:endParaRPr>
          </a:p>
          <a:p>
            <a:pPr rtl="1"/>
            <a:r>
              <a:rPr lang="he-IL" sz="1100" b="1" i="0" baseline="0">
                <a:effectLst/>
                <a:latin typeface="+mn-lt"/>
                <a:ea typeface="+mn-ea"/>
                <a:cs typeface="+mn-cs"/>
              </a:rPr>
              <a:t>1.</a:t>
            </a:r>
            <a:r>
              <a:rPr lang="he-IL" sz="1100" b="0" i="0" baseline="0">
                <a:effectLst/>
                <a:latin typeface="+mn-lt"/>
                <a:ea typeface="+mn-ea"/>
                <a:cs typeface="+mn-cs"/>
              </a:rPr>
              <a:t> </a:t>
            </a:r>
            <a:r>
              <a:rPr lang="he-IL" sz="1100" b="0" i="0" u="sng" baseline="0">
                <a:effectLst/>
                <a:latin typeface="+mn-lt"/>
                <a:ea typeface="+mn-ea"/>
                <a:cs typeface="+mn-cs"/>
              </a:rPr>
              <a:t>גודל העץ</a:t>
            </a:r>
            <a:r>
              <a:rPr lang="he-IL" sz="1100" b="0" i="0" baseline="0">
                <a:effectLst/>
                <a:latin typeface="+mn-lt"/>
                <a:ea typeface="+mn-ea"/>
                <a:cs typeface="+mn-cs"/>
              </a:rPr>
              <a:t> - נקבע לפי שטח החתך של הגזע בגובה 1.3 מ'. בעץ רב גזעי מודדים את שלוש הגזעים העיקריים.</a:t>
            </a:r>
          </a:p>
          <a:p>
            <a:pPr rtl="1"/>
            <a:endParaRPr lang="he-IL" sz="1400">
              <a:effectLst/>
            </a:endParaRPr>
          </a:p>
          <a:p>
            <a:pPr rtl="1"/>
            <a:r>
              <a:rPr lang="he-IL" sz="1100" b="1" i="0" baseline="0">
                <a:effectLst/>
                <a:latin typeface="+mn-lt"/>
                <a:ea typeface="+mn-ea"/>
                <a:cs typeface="+mn-cs"/>
              </a:rPr>
              <a:t>2.</a:t>
            </a:r>
            <a:r>
              <a:rPr lang="he-IL" sz="1100" b="0" i="0" baseline="0">
                <a:effectLst/>
                <a:latin typeface="+mn-lt"/>
                <a:ea typeface="+mn-ea"/>
                <a:cs typeface="+mn-cs"/>
              </a:rPr>
              <a:t> </a:t>
            </a:r>
            <a:r>
              <a:rPr lang="he-IL" sz="1100" b="0" i="0" u="sng" baseline="0">
                <a:effectLst/>
                <a:latin typeface="+mn-lt"/>
                <a:ea typeface="+mn-ea"/>
                <a:cs typeface="+mn-cs"/>
              </a:rPr>
              <a:t>ערך המין</a:t>
            </a:r>
            <a:r>
              <a:rPr lang="he-IL" sz="1100" b="0" i="0" baseline="0">
                <a:effectLst/>
                <a:latin typeface="+mn-lt"/>
                <a:ea typeface="+mn-ea"/>
                <a:cs typeface="+mn-cs"/>
              </a:rPr>
              <a:t> - בין 0.01 ל – 1.00 לפי רשימה מומלצת מצורפת שעודכנה בשנת 2018.</a:t>
            </a:r>
          </a:p>
          <a:p>
            <a:pPr rtl="1"/>
            <a:endParaRPr lang="he-IL" sz="1400">
              <a:effectLst/>
            </a:endParaRPr>
          </a:p>
          <a:p>
            <a:pPr rtl="1"/>
            <a:r>
              <a:rPr lang="he-IL" sz="1100" b="1" i="0" baseline="0">
                <a:effectLst/>
                <a:latin typeface="+mn-lt"/>
                <a:ea typeface="+mn-ea"/>
                <a:cs typeface="+mn-cs"/>
              </a:rPr>
              <a:t>3.</a:t>
            </a:r>
            <a:r>
              <a:rPr lang="he-IL" sz="1100" b="0" i="0" baseline="0">
                <a:effectLst/>
                <a:latin typeface="+mn-lt"/>
                <a:ea typeface="+mn-ea"/>
                <a:cs typeface="+mn-cs"/>
              </a:rPr>
              <a:t> </a:t>
            </a:r>
            <a:r>
              <a:rPr lang="he-IL" sz="1100" b="0" i="0" u="sng" baseline="0">
                <a:effectLst/>
                <a:latin typeface="+mn-lt"/>
                <a:ea typeface="+mn-ea"/>
                <a:cs typeface="+mn-cs"/>
              </a:rPr>
              <a:t>מצב העץ</a:t>
            </a:r>
            <a:r>
              <a:rPr lang="he-IL" sz="1100" b="0" i="0" baseline="0">
                <a:effectLst/>
                <a:latin typeface="+mn-lt"/>
                <a:ea typeface="+mn-ea"/>
                <a:cs typeface="+mn-cs"/>
              </a:rPr>
              <a:t> - מצבו הבריאותי של העץ הנקבע על סמך בדיקה ויזואלית חיצונית ומתייחס למצב העץ במועד עריכת הסקר כולל התבחינים הבאים: נוכחות מזיקים, מחלות, ריקבונות, מצב צוואר השורש, נטיית הגזע, מבנה שלד העץ, נתוני בית הגידול  ונתונים פיזיים נוספים המאפשרים הערכת מצבו הבריאותי ותוחלת חייו בהשוואה למין אליו העץ משתייך. ערכי הבריאות מצורפים בגיליון "ערכים לבריאות העץ"  </a:t>
            </a:r>
          </a:p>
          <a:p>
            <a:pPr rtl="1"/>
            <a:endParaRPr lang="he-IL" sz="1400">
              <a:effectLst/>
            </a:endParaRPr>
          </a:p>
          <a:p>
            <a:pPr rtl="1"/>
            <a:r>
              <a:rPr lang="he-IL" sz="1100" b="1" i="0" baseline="0">
                <a:effectLst/>
                <a:latin typeface="+mn-lt"/>
                <a:ea typeface="+mn-ea"/>
                <a:cs typeface="+mn-cs"/>
              </a:rPr>
              <a:t>4.</a:t>
            </a:r>
            <a:r>
              <a:rPr lang="he-IL" sz="1100" b="0" i="0" baseline="0">
                <a:effectLst/>
                <a:latin typeface="+mn-lt"/>
                <a:ea typeface="+mn-ea"/>
                <a:cs typeface="+mn-cs"/>
              </a:rPr>
              <a:t> </a:t>
            </a:r>
            <a:r>
              <a:rPr lang="he-IL" sz="1100" b="0" i="0" u="sng" baseline="0">
                <a:effectLst/>
                <a:latin typeface="+mn-lt"/>
                <a:ea typeface="+mn-ea"/>
                <a:cs typeface="+mn-cs"/>
              </a:rPr>
              <a:t>מיקום העץ</a:t>
            </a:r>
            <a:r>
              <a:rPr lang="he-IL" sz="1100" b="0" i="0" baseline="0">
                <a:effectLst/>
                <a:latin typeface="+mn-lt"/>
                <a:ea typeface="+mn-ea"/>
                <a:cs typeface="+mn-cs"/>
              </a:rPr>
              <a:t> - ניקוד מיקומו של העץ במרחב מתייחס לשני מצבים עיקריים: עץ בתחום היישוב (ערים, ישובים כפריים וקהילתיים וכו') ועץ במרחב הפתוח. הבדלה זו נוצרה בשל ההקשר המרחבי של העץ ותועלתו הציבורית. היות שעצים במרחבים הבנויים משפיעים ישירות ולאורך זמן על הציבור – נמדדת השפעתם על פי מיקומם בממשק הציבורי. עצים המצויים במרחבים הפתוחים מצויים בסכנת פיתוח עיקרית מתשתיות אורכיות (כבישים, מחלפים, מסילות, צנרות הובלה לתשתיות) וחלקם הגדול מוגן בתחומי שמורות הטבע, היערות, והגנים הלאומיים. ערכי מיקום העץ מצורפים בגיליון "ערכים למיקום העץ"  </a:t>
            </a:r>
            <a:endParaRPr lang="he-IL" sz="1400">
              <a:effectLst/>
            </a:endParaRPr>
          </a:p>
          <a:p>
            <a:pPr rtl="1"/>
            <a:endParaRPr lang="he-IL" sz="1400">
              <a:effectLst/>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859f9f7cf79b943/&#1513;&#1493;&#1500;&#1495;&#1503;%20&#1492;&#1506;&#1489;&#1493;&#1491;&#1492;/&#1497;&#1506;&#1500;&#1492;%201.xlsx" TargetMode="External"/><Relationship Id="rId1" Type="http://schemas.openxmlformats.org/officeDocument/2006/relationships/externalLinkPath" Target="https://d.docs.live.net/e859f9f7cf79b943/&#1513;&#1493;&#1500;&#1495;&#1503;%20&#1492;&#1506;&#1489;&#1493;&#1491;&#1492;/&#1497;&#1506;&#1500;&#1492;%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טבלת סקר עצים - גרסה 07.25"/>
      <sheetName val="פרמטרים"/>
      <sheetName val="actionReason"/>
      <sheetName val="TreeType"/>
      <sheetName val="NumTreeORpolygon"/>
    </sheetNames>
    <sheetDataSet>
      <sheetData sheetId="0"/>
      <sheetData sheetId="1"/>
      <sheetData sheetId="2"/>
      <sheetData sheetId="3">
        <row r="1">
          <cell r="A1" t="str">
            <v>שם המין</v>
          </cell>
          <cell r="B1" t="str">
            <v>שם מדעי</v>
          </cell>
          <cell r="C1" t="str">
            <v>ניקוד ערך מין העץ</v>
          </cell>
          <cell r="D1" t="str">
            <v>ID</v>
          </cell>
          <cell r="E1" t="str">
            <v>שם המין +שם מדעי</v>
          </cell>
        </row>
        <row r="2">
          <cell r="A2" t="str">
            <v>Unknown</v>
          </cell>
          <cell r="B2" t="str">
            <v>Unknown</v>
          </cell>
          <cell r="C2">
            <v>0</v>
          </cell>
          <cell r="D2">
            <v>513</v>
          </cell>
          <cell r="E2" t="str">
            <v>Unknown</v>
          </cell>
        </row>
        <row r="3">
          <cell r="A3" t="str">
            <v>אבוקדו אמריקני</v>
          </cell>
          <cell r="B3" t="str">
            <v>Persea americana</v>
          </cell>
          <cell r="C3">
            <v>3</v>
          </cell>
          <cell r="D3">
            <v>1</v>
          </cell>
          <cell r="E3" t="str">
            <v>אבוקדו אמריקני, Persea americana</v>
          </cell>
        </row>
        <row r="4">
          <cell r="A4" t="str">
            <v>אבוקדו הודי</v>
          </cell>
          <cell r="B4" t="str">
            <v>Persea indica</v>
          </cell>
          <cell r="C4">
            <v>3</v>
          </cell>
          <cell r="D4">
            <v>294</v>
          </cell>
          <cell r="E4" t="str">
            <v>אבוקדו הודי, Persea indica</v>
          </cell>
        </row>
        <row r="5">
          <cell r="A5" t="str">
            <v>אבוקדו קנרי</v>
          </cell>
          <cell r="B5" t="str">
            <v>Persea canariensis</v>
          </cell>
          <cell r="C5">
            <v>3</v>
          </cell>
          <cell r="D5">
            <v>295</v>
          </cell>
          <cell r="E5" t="str">
            <v>אבוקדו קנרי, Persea canariensis</v>
          </cell>
        </row>
        <row r="6">
          <cell r="A6" t="str">
            <v>אבוקדו קרוליני</v>
          </cell>
          <cell r="B6" t="str">
            <v>Persea borbonia</v>
          </cell>
          <cell r="C6">
            <v>3</v>
          </cell>
          <cell r="D6">
            <v>296</v>
          </cell>
          <cell r="E6" t="str">
            <v>אבוקדו קרוליני, Persea borbonia</v>
          </cell>
        </row>
        <row r="7">
          <cell r="A7" t="str">
            <v>אגוז המלך</v>
          </cell>
          <cell r="B7" t="str">
            <v>Juglans regia</v>
          </cell>
          <cell r="C7">
            <v>3</v>
          </cell>
          <cell r="D7">
            <v>2</v>
          </cell>
          <cell r="E7" t="str">
            <v>אגוז המלך, Juglans regia</v>
          </cell>
        </row>
        <row r="8">
          <cell r="A8" t="str">
            <v>אגוז לבן</v>
          </cell>
          <cell r="B8" t="str">
            <v>Juglans cinerea</v>
          </cell>
          <cell r="C8">
            <v>3</v>
          </cell>
          <cell r="D8">
            <v>297</v>
          </cell>
          <cell r="E8" t="str">
            <v>אגוז לבן, Juglans cinerea</v>
          </cell>
        </row>
        <row r="9">
          <cell r="A9" t="str">
            <v>אגוז שחור</v>
          </cell>
          <cell r="B9" t="str">
            <v>Juglans nigra</v>
          </cell>
          <cell r="C9">
            <v>3</v>
          </cell>
          <cell r="D9">
            <v>3</v>
          </cell>
          <cell r="E9" t="str">
            <v>אגוז שחור, Juglans nigra</v>
          </cell>
        </row>
        <row r="10">
          <cell r="A10" t="str">
            <v>אגון גמיש</v>
          </cell>
          <cell r="B10" t="str">
            <v>Agonis flexuosa</v>
          </cell>
          <cell r="C10">
            <v>3</v>
          </cell>
          <cell r="D10">
            <v>4</v>
          </cell>
          <cell r="E10" t="str">
            <v>אגון גמיש, Agonis flexuosa</v>
          </cell>
        </row>
        <row r="11">
          <cell r="A11" t="str">
            <v>אגון גמיש ארגמני</v>
          </cell>
          <cell r="B11" t="str">
            <v>Agonis flexuosa after dark</v>
          </cell>
          <cell r="C11">
            <v>3</v>
          </cell>
          <cell r="D11">
            <v>298</v>
          </cell>
          <cell r="E11" t="str">
            <v>אגון גמיש ארגמני, Agonis flexuosa after dark</v>
          </cell>
        </row>
        <row r="12">
          <cell r="A12" t="str">
            <v>אגס אוסורי</v>
          </cell>
          <cell r="B12" t="str">
            <v>Pyrus ussuriensis</v>
          </cell>
          <cell r="C12">
            <v>3</v>
          </cell>
          <cell r="D12">
            <v>299</v>
          </cell>
          <cell r="E12" t="str">
            <v>אגס אוסורי, Pyrus ussuriensis</v>
          </cell>
        </row>
        <row r="13">
          <cell r="A13" t="str">
            <v>אגס סורי</v>
          </cell>
          <cell r="B13" t="str">
            <v>Pyrus syriaca</v>
          </cell>
          <cell r="C13">
            <v>3</v>
          </cell>
          <cell r="D13">
            <v>5</v>
          </cell>
          <cell r="E13" t="str">
            <v>אגס סורי, Pyrus syriaca</v>
          </cell>
        </row>
        <row r="14">
          <cell r="A14" t="str">
            <v>אגס ערבתי</v>
          </cell>
          <cell r="B14" t="str">
            <v>Pyrus salicifolia</v>
          </cell>
          <cell r="C14">
            <v>2</v>
          </cell>
          <cell r="D14">
            <v>300</v>
          </cell>
          <cell r="E14" t="str">
            <v>אגס ערבתי, Pyrus salicifolia</v>
          </cell>
        </row>
        <row r="15">
          <cell r="A15" t="str">
            <v>אגס קלרי</v>
          </cell>
          <cell r="B15" t="str">
            <v>Pyrus calleryana</v>
          </cell>
          <cell r="C15">
            <v>3</v>
          </cell>
          <cell r="D15">
            <v>6</v>
          </cell>
          <cell r="E15" t="str">
            <v>אגס קלרי, Pyrus calleryana</v>
          </cell>
        </row>
        <row r="16">
          <cell r="A16" t="str">
            <v>אגס שקדי</v>
          </cell>
          <cell r="B16" t="str">
            <v>Pyrus amygdaliformis</v>
          </cell>
          <cell r="C16">
            <v>3</v>
          </cell>
          <cell r="D16">
            <v>301</v>
          </cell>
          <cell r="E16" t="str">
            <v>אגס שקדי, Pyrus amygdaliformis</v>
          </cell>
        </row>
        <row r="17">
          <cell r="A17" t="str">
            <v>אגס תרבותי</v>
          </cell>
          <cell r="B17" t="str">
            <v>Pyrus communis</v>
          </cell>
          <cell r="C17">
            <v>2</v>
          </cell>
          <cell r="D17">
            <v>7</v>
          </cell>
          <cell r="E17" t="str">
            <v>אגס תרבותי, Pyrus communis</v>
          </cell>
        </row>
        <row r="18">
          <cell r="A18" t="str">
            <v>אדנסוניה מאוצבעת</v>
          </cell>
          <cell r="B18" t="str">
            <v>Adansonia digitata</v>
          </cell>
          <cell r="C18">
            <v>4</v>
          </cell>
          <cell r="D18">
            <v>8</v>
          </cell>
          <cell r="E18" t="str">
            <v>אדנסוניה מאוצבעת, Adansonia digitata</v>
          </cell>
        </row>
        <row r="19">
          <cell r="A19" t="str">
            <v>אדר אדום</v>
          </cell>
          <cell r="B19" t="str">
            <v>Acer rubrum</v>
          </cell>
          <cell r="C19">
            <v>3</v>
          </cell>
          <cell r="D19">
            <v>303</v>
          </cell>
          <cell r="E19" t="str">
            <v>אדר אדום, Acer rubrum</v>
          </cell>
        </row>
        <row r="20">
          <cell r="A20" t="str">
            <v>אדר ברגר</v>
          </cell>
          <cell r="B20" t="str">
            <v>Acer buergerianum</v>
          </cell>
          <cell r="C20">
            <v>3</v>
          </cell>
          <cell r="D20">
            <v>9</v>
          </cell>
          <cell r="E20" t="str">
            <v>אדר ברגר, Acer buergerianum</v>
          </cell>
        </row>
        <row r="21">
          <cell r="A21" t="str">
            <v>אדר גדול-עלים</v>
          </cell>
          <cell r="B21" t="str">
            <v>Acer macrophyllum</v>
          </cell>
          <cell r="C21">
            <v>3</v>
          </cell>
          <cell r="D21">
            <v>304</v>
          </cell>
          <cell r="E21" t="str">
            <v>אדר גדול-עלים, Acer macrophyllum</v>
          </cell>
        </row>
        <row r="22">
          <cell r="A22" t="str">
            <v>אדר דולבני</v>
          </cell>
          <cell r="B22" t="str">
            <v>Acer pseudo-platanus</v>
          </cell>
          <cell r="C22">
            <v>4</v>
          </cell>
          <cell r="D22">
            <v>305</v>
          </cell>
          <cell r="E22" t="str">
            <v>אדר דולבני, Acer pseudo-platanus</v>
          </cell>
        </row>
        <row r="23">
          <cell r="A23" t="str">
            <v>אדר דמוי-דולב</v>
          </cell>
          <cell r="B23" t="str">
            <v>Acer platanoides</v>
          </cell>
          <cell r="C23">
            <v>4</v>
          </cell>
          <cell r="D23">
            <v>306</v>
          </cell>
          <cell r="E23" t="str">
            <v>אדר דמוי-דולב, Acer platanoides</v>
          </cell>
        </row>
        <row r="24">
          <cell r="A24" t="str">
            <v>אדר כפני</v>
          </cell>
          <cell r="B24" t="str">
            <v>Acer palmatum</v>
          </cell>
          <cell r="C24">
            <v>2</v>
          </cell>
          <cell r="D24">
            <v>10</v>
          </cell>
          <cell r="E24" t="str">
            <v>אדר כפני, Acer palmatum</v>
          </cell>
        </row>
        <row r="25">
          <cell r="A25" t="str">
            <v>אדר מילני</v>
          </cell>
          <cell r="B25" t="str">
            <v>Acer negundo</v>
          </cell>
          <cell r="C25">
            <v>2</v>
          </cell>
          <cell r="D25">
            <v>11</v>
          </cell>
          <cell r="E25" t="str">
            <v>אדר מילני, Acer negundo</v>
          </cell>
        </row>
        <row r="26">
          <cell r="A26" t="str">
            <v>אדר מצוי</v>
          </cell>
          <cell r="B26" t="str">
            <v>Acer campestre</v>
          </cell>
          <cell r="C26">
            <v>3</v>
          </cell>
          <cell r="D26">
            <v>12</v>
          </cell>
          <cell r="E26" t="str">
            <v>אדר מצוי, Acer campestre</v>
          </cell>
        </row>
        <row r="27">
          <cell r="A27" t="str">
            <v>אדר סורי</v>
          </cell>
          <cell r="B27" t="str">
            <v>Acer obtusifolium</v>
          </cell>
          <cell r="C27">
            <v>4</v>
          </cell>
          <cell r="D27">
            <v>13</v>
          </cell>
          <cell r="E27" t="str">
            <v>אדר סורי, Acer obtusifolium</v>
          </cell>
        </row>
        <row r="28">
          <cell r="A28" t="str">
            <v>אוג אזמלני</v>
          </cell>
          <cell r="B28" t="str">
            <v>Rhus lancea</v>
          </cell>
          <cell r="C28">
            <v>3</v>
          </cell>
          <cell r="D28">
            <v>14</v>
          </cell>
          <cell r="E28" t="str">
            <v>אוג אזמלני, Rhus lancea</v>
          </cell>
        </row>
        <row r="29">
          <cell r="A29" t="str">
            <v>אוג הבורסקאים</v>
          </cell>
          <cell r="B29" t="str">
            <v xml:space="preserve"> Rhus coriaria</v>
          </cell>
          <cell r="C29">
            <v>3</v>
          </cell>
          <cell r="D29">
            <v>519</v>
          </cell>
          <cell r="E29" t="str">
            <v>אוג הבורסקאים,  Rhus coriaria</v>
          </cell>
        </row>
        <row r="30">
          <cell r="A30" t="str">
            <v>אוג הדונג</v>
          </cell>
          <cell r="B30" t="str">
            <v>Rhus succedanea</v>
          </cell>
          <cell r="C30">
            <v>2</v>
          </cell>
          <cell r="D30">
            <v>16</v>
          </cell>
          <cell r="E30" t="str">
            <v>אוג הדונג, Rhus succedanea</v>
          </cell>
        </row>
        <row r="31">
          <cell r="A31" t="str">
            <v>אוג הקופל</v>
          </cell>
          <cell r="B31" t="str">
            <v>Rhus copallina</v>
          </cell>
          <cell r="C31">
            <v>3</v>
          </cell>
          <cell r="D31">
            <v>17</v>
          </cell>
          <cell r="E31" t="str">
            <v>אוג הקופל, Rhus copallina</v>
          </cell>
        </row>
        <row r="32">
          <cell r="A32" t="str">
            <v>אוג תמים</v>
          </cell>
          <cell r="B32" t="str">
            <v>Rhus integrifolia</v>
          </cell>
          <cell r="C32">
            <v>4</v>
          </cell>
          <cell r="D32">
            <v>307</v>
          </cell>
          <cell r="E32" t="str">
            <v>אוג תמים, Rhus integrifolia</v>
          </cell>
        </row>
        <row r="33">
          <cell r="A33" t="str">
            <v>אוגניה חד-פרחית</v>
          </cell>
          <cell r="B33" t="str">
            <v>Eugenia uniflora</v>
          </cell>
          <cell r="C33">
            <v>3</v>
          </cell>
          <cell r="D33">
            <v>520</v>
          </cell>
          <cell r="E33" t="str">
            <v>אוגניה חד-פרחית, Eugenia uniflora</v>
          </cell>
        </row>
        <row r="34">
          <cell r="A34" t="str">
            <v>אוכנה מסורית</v>
          </cell>
          <cell r="B34" t="str">
            <v>Ochna serrulata</v>
          </cell>
          <cell r="C34">
            <v>4</v>
          </cell>
          <cell r="D34">
            <v>308</v>
          </cell>
          <cell r="E34" t="str">
            <v>אוכנה מסורית, Ochna serrulata</v>
          </cell>
        </row>
        <row r="35">
          <cell r="A35" t="str">
            <v>אורן ארך-עלים</v>
          </cell>
          <cell r="B35" t="str">
            <v>Pinus roxburghii</v>
          </cell>
          <cell r="C35">
            <v>4</v>
          </cell>
          <cell r="D35">
            <v>19</v>
          </cell>
          <cell r="E35" t="str">
            <v>אורן ארך-עלים, Pinus roxburghii</v>
          </cell>
        </row>
        <row r="36">
          <cell r="A36" t="str">
            <v>אורן החוף</v>
          </cell>
          <cell r="B36" t="str">
            <v>Pinus pinaster</v>
          </cell>
          <cell r="C36">
            <v>3</v>
          </cell>
          <cell r="D36">
            <v>21</v>
          </cell>
          <cell r="E36" t="str">
            <v>אורן החוף, Pinus pinaster</v>
          </cell>
        </row>
        <row r="37">
          <cell r="A37" t="str">
            <v>אורן הצנובר</v>
          </cell>
          <cell r="B37" t="str">
            <v>Pinus pinea</v>
          </cell>
          <cell r="C37">
            <v>4</v>
          </cell>
          <cell r="D37">
            <v>20</v>
          </cell>
          <cell r="E37" t="str">
            <v>אורן הצנובר, Pinus pinea</v>
          </cell>
        </row>
        <row r="38">
          <cell r="A38" t="str">
            <v>אורן ירושלים</v>
          </cell>
          <cell r="B38" t="str">
            <v>Pinus halepensis</v>
          </cell>
          <cell r="C38">
            <v>3</v>
          </cell>
          <cell r="D38">
            <v>22</v>
          </cell>
          <cell r="E38" t="str">
            <v>אורן ירושלים, Pinus halepensis</v>
          </cell>
        </row>
        <row r="39">
          <cell r="A39" t="str">
            <v>אורן קנרי</v>
          </cell>
          <cell r="B39" t="str">
            <v>Pinus canariensis</v>
          </cell>
          <cell r="C39">
            <v>3</v>
          </cell>
          <cell r="D39">
            <v>23</v>
          </cell>
          <cell r="E39" t="str">
            <v>אורן קנרי, Pinus canariensis</v>
          </cell>
        </row>
        <row r="40">
          <cell r="A40" t="str">
            <v>אורן קפריסאי</v>
          </cell>
          <cell r="B40" t="str">
            <v>Pinus brutia</v>
          </cell>
          <cell r="C40">
            <v>3</v>
          </cell>
          <cell r="D40">
            <v>24</v>
          </cell>
          <cell r="E40" t="str">
            <v>אורן קפריסאי, Pinus brutia</v>
          </cell>
        </row>
        <row r="41">
          <cell r="A41" t="str">
            <v>אזדרכת הודית</v>
          </cell>
          <cell r="B41" t="str">
            <v>Melia azadirachta</v>
          </cell>
          <cell r="C41">
            <v>2</v>
          </cell>
          <cell r="D41">
            <v>309</v>
          </cell>
          <cell r="E41" t="str">
            <v>אזדרכת הודית, Melia azadirachta</v>
          </cell>
        </row>
        <row r="42">
          <cell r="A42" t="str">
            <v>אזדרכת מצויה</v>
          </cell>
          <cell r="B42" t="str">
            <v>Melia azedarach</v>
          </cell>
          <cell r="C42">
            <v>1</v>
          </cell>
          <cell r="D42">
            <v>25</v>
          </cell>
          <cell r="E42" t="str">
            <v>אזדרכת מצויה, Melia azedarach</v>
          </cell>
        </row>
        <row r="43">
          <cell r="A43" t="str">
            <v>אילנתה בלוטית</v>
          </cell>
          <cell r="B43" t="str">
            <v>Ailanthus altissima</v>
          </cell>
          <cell r="C43">
            <v>0</v>
          </cell>
          <cell r="D43">
            <v>26</v>
          </cell>
          <cell r="E43" t="str">
            <v>אילנתה בלוטית, Ailanthus altissima</v>
          </cell>
        </row>
        <row r="44">
          <cell r="A44" t="str">
            <v>אינגה אמיתית</v>
          </cell>
          <cell r="B44" t="str">
            <v>Inga vera</v>
          </cell>
          <cell r="C44">
            <v>3</v>
          </cell>
          <cell r="D44">
            <v>27</v>
          </cell>
          <cell r="E44" t="str">
            <v>אינגה אמיתית, Inga vera</v>
          </cell>
        </row>
        <row r="45">
          <cell r="A45" t="str">
            <v>איקליפטוס אגסי</v>
          </cell>
          <cell r="B45" t="str">
            <v>Eucalyptus pyriformis</v>
          </cell>
          <cell r="C45">
            <v>3</v>
          </cell>
          <cell r="D45">
            <v>311</v>
          </cell>
          <cell r="E45" t="str">
            <v>איקליפטוס אגסי, Eucalyptus pyriformis</v>
          </cell>
        </row>
        <row r="46">
          <cell r="A46" t="str">
            <v>איקליפטוס אדום</v>
          </cell>
          <cell r="B46" t="str">
            <v>Eucalyptus ficifolia</v>
          </cell>
          <cell r="C46">
            <v>3</v>
          </cell>
          <cell r="D46">
            <v>312</v>
          </cell>
          <cell r="E46" t="str">
            <v>איקליפטוס אדום, Eucalyptus ficifolia</v>
          </cell>
        </row>
        <row r="47">
          <cell r="A47" t="str">
            <v>איקליפטוס אדום-זירים</v>
          </cell>
          <cell r="B47" t="str">
            <v>Eucalyptus erythronema</v>
          </cell>
          <cell r="C47">
            <v>3</v>
          </cell>
          <cell r="D47">
            <v>313</v>
          </cell>
          <cell r="E47" t="str">
            <v>איקליפטוס אדום-זירים, Eucalyptus erythronema</v>
          </cell>
        </row>
        <row r="48">
          <cell r="A48" t="str">
            <v>איקליפטוס אדום-מצנפת</v>
          </cell>
          <cell r="B48" t="str">
            <v>Eucalyptus erythrocorys</v>
          </cell>
          <cell r="C48">
            <v>3</v>
          </cell>
          <cell r="D48">
            <v>314</v>
          </cell>
          <cell r="E48" t="str">
            <v>איקליפטוס אדום-מצנפת, Eucalyptus erythrocorys</v>
          </cell>
        </row>
        <row r="49">
          <cell r="A49" t="str">
            <v>איקליפטוס אינקרסטה</v>
          </cell>
          <cell r="B49" t="str">
            <v>Eucalyptus incrassata</v>
          </cell>
          <cell r="C49">
            <v>3</v>
          </cell>
          <cell r="D49">
            <v>315</v>
          </cell>
          <cell r="E49" t="str">
            <v>איקליפטוס אינקרסטה, Eucalyptus incrassata</v>
          </cell>
        </row>
        <row r="50">
          <cell r="A50" t="str">
            <v>איקליפטוס אלני</v>
          </cell>
          <cell r="B50" t="str">
            <v>Eucalyptus cladocalyx</v>
          </cell>
          <cell r="C50">
            <v>3</v>
          </cell>
          <cell r="D50">
            <v>316</v>
          </cell>
          <cell r="E50" t="str">
            <v>איקליפטוס אלני, Eucalyptus cladocalyx</v>
          </cell>
        </row>
        <row r="51">
          <cell r="A51" t="str">
            <v>איקליפטוס ארבע-הכנפות</v>
          </cell>
          <cell r="B51" t="str">
            <v>Eucalyptus tetraptera</v>
          </cell>
          <cell r="C51">
            <v>3</v>
          </cell>
          <cell r="D51">
            <v>317</v>
          </cell>
          <cell r="E51" t="str">
            <v>איקליפטוס ארבע-הכנפות, Eucalyptus tetraptera</v>
          </cell>
        </row>
        <row r="52">
          <cell r="A52" t="str">
            <v>איקליפטוס ארוך-מצנפת</v>
          </cell>
          <cell r="B52" t="str">
            <v>Eucalyptus macrandra</v>
          </cell>
          <cell r="C52">
            <v>3</v>
          </cell>
          <cell r="D52">
            <v>318</v>
          </cell>
          <cell r="E52" t="str">
            <v>איקליפטוס ארוך-מצנפת, Eucalyptus macrandra</v>
          </cell>
        </row>
        <row r="53">
          <cell r="A53" t="str">
            <v>איקליפטוס אשכולי</v>
          </cell>
          <cell r="B53" t="str">
            <v>Eucalyptus botryoides</v>
          </cell>
          <cell r="C53">
            <v>3</v>
          </cell>
          <cell r="D53">
            <v>319</v>
          </cell>
          <cell r="E53" t="str">
            <v>איקליפטוס אשכולי, Eucalyptus botryoides</v>
          </cell>
        </row>
        <row r="54">
          <cell r="A54" t="str">
            <v>איקליפטוס בהיר-קליפה</v>
          </cell>
          <cell r="B54" t="str">
            <v>Eucalyptus leucoxylon</v>
          </cell>
          <cell r="C54">
            <v>3</v>
          </cell>
          <cell r="D54">
            <v>28</v>
          </cell>
          <cell r="E54" t="str">
            <v>איקליפטוס בהיר-קליפה, Eucalyptus leucoxylon</v>
          </cell>
        </row>
        <row r="55">
          <cell r="A55" t="str">
            <v>איקליפטוס ברידגס</v>
          </cell>
          <cell r="B55" t="str">
            <v>Eucalyptus bridgesiana</v>
          </cell>
          <cell r="C55">
            <v>3</v>
          </cell>
          <cell r="D55">
            <v>320</v>
          </cell>
          <cell r="E55" t="str">
            <v>איקליפטוס ברידגס, Eucalyptus bridgesiana</v>
          </cell>
        </row>
        <row r="56">
          <cell r="A56" t="str">
            <v>איקליפטוס גאן</v>
          </cell>
          <cell r="B56" t="str">
            <v>Eucalyptus gunnii</v>
          </cell>
          <cell r="C56">
            <v>3</v>
          </cell>
          <cell r="D56">
            <v>321</v>
          </cell>
          <cell r="E56" t="str">
            <v>איקליפטוס גאן, Eucalyptus gunnii</v>
          </cell>
        </row>
        <row r="57">
          <cell r="A57" t="str">
            <v>איקליפטוס גביעני</v>
          </cell>
          <cell r="B57" t="str">
            <v>Eucalyptus calycogona</v>
          </cell>
          <cell r="C57">
            <v>3</v>
          </cell>
          <cell r="D57">
            <v>322</v>
          </cell>
          <cell r="E57" t="str">
            <v>איקליפטוס גביעני, Eucalyptus calycogona</v>
          </cell>
        </row>
        <row r="58">
          <cell r="A58" t="str">
            <v>איקליפטוס גדול</v>
          </cell>
          <cell r="B58" t="str">
            <v>Eucalyptus grandis</v>
          </cell>
          <cell r="C58">
            <v>3</v>
          </cell>
          <cell r="D58">
            <v>323</v>
          </cell>
          <cell r="E58" t="str">
            <v>איקליפטוס גדול, Eucalyptus grandis</v>
          </cell>
        </row>
        <row r="59">
          <cell r="A59" t="str">
            <v>איקליפטוס גדול-קרנים</v>
          </cell>
          <cell r="B59" t="str">
            <v>Eucalyptus megacornuta</v>
          </cell>
          <cell r="C59">
            <v>3</v>
          </cell>
          <cell r="D59">
            <v>324</v>
          </cell>
          <cell r="E59" t="str">
            <v>איקליפטוס גדול-קרנים, Eucalyptus megacornuta</v>
          </cell>
        </row>
        <row r="60">
          <cell r="A60" t="str">
            <v>איקליפטוס גלילי</v>
          </cell>
          <cell r="B60" t="str">
            <v>Eucalyptus hemiphloia</v>
          </cell>
          <cell r="C60">
            <v>3</v>
          </cell>
          <cell r="D60">
            <v>325</v>
          </cell>
          <cell r="E60" t="str">
            <v>איקליפטוס גלילי, Eucalyptus hemiphloia</v>
          </cell>
        </row>
        <row r="61">
          <cell r="A61" t="str">
            <v>איקליפטוס גס</v>
          </cell>
          <cell r="B61" t="str">
            <v>Eucalyptus rudis</v>
          </cell>
          <cell r="C61">
            <v>3</v>
          </cell>
          <cell r="D61">
            <v>326</v>
          </cell>
          <cell r="E61" t="str">
            <v>איקליפטוס גס, Eucalyptus rudis</v>
          </cell>
        </row>
        <row r="62">
          <cell r="A62" t="str">
            <v>איקליפטוס גרדנר</v>
          </cell>
          <cell r="B62" t="str">
            <v>Eucalyptus gardneri</v>
          </cell>
          <cell r="C62">
            <v>3</v>
          </cell>
          <cell r="D62">
            <v>327</v>
          </cell>
          <cell r="E62" t="str">
            <v>איקליפטוס גרדנר, Eucalyptus gardneri</v>
          </cell>
        </row>
        <row r="63">
          <cell r="A63" t="str">
            <v>איקליפטוס דו-גוני</v>
          </cell>
          <cell r="B63" t="str">
            <v>Eucalyptus bicolor</v>
          </cell>
          <cell r="C63">
            <v>3</v>
          </cell>
          <cell r="D63">
            <v>328</v>
          </cell>
          <cell r="E63" t="str">
            <v>איקליפטוס דו-גוני, Eucalyptus bicolor</v>
          </cell>
        </row>
        <row r="64">
          <cell r="A64" t="str">
            <v>איקליפטוס דוליכורינכה</v>
          </cell>
          <cell r="B64" t="str">
            <v>Eucalyptus dolichorhyncha</v>
          </cell>
          <cell r="C64">
            <v>3</v>
          </cell>
          <cell r="D64">
            <v>329</v>
          </cell>
          <cell r="E64" t="str">
            <v>איקליפטוס דוליכורינכה, Eucalyptus dolichorhyncha</v>
          </cell>
        </row>
        <row r="65">
          <cell r="A65" t="str">
            <v>איקליפטוס הטבעות</v>
          </cell>
          <cell r="B65" t="str">
            <v>Eucalyptus annulata</v>
          </cell>
          <cell r="C65">
            <v>3</v>
          </cell>
          <cell r="D65">
            <v>330</v>
          </cell>
          <cell r="E65" t="str">
            <v>איקליפטוס הטבעות, Eucalyptus annulata</v>
          </cell>
        </row>
        <row r="66">
          <cell r="A66" t="str">
            <v>איקליפטוס הישימון</v>
          </cell>
          <cell r="B66" t="str">
            <v>Eucalyptus eremophila</v>
          </cell>
          <cell r="C66">
            <v>3</v>
          </cell>
          <cell r="D66">
            <v>331</v>
          </cell>
          <cell r="E66" t="str">
            <v>איקליפטוס הישימון, Eucalyptus eremophila</v>
          </cell>
        </row>
        <row r="67">
          <cell r="A67" t="str">
            <v>איקליפטוס המקור</v>
          </cell>
          <cell r="B67" t="str">
            <v>Eucalyptus camadulensis</v>
          </cell>
          <cell r="C67">
            <v>3</v>
          </cell>
          <cell r="D67">
            <v>29</v>
          </cell>
          <cell r="E67" t="str">
            <v>איקליפטוס המקור, Eucalyptus camadulensis</v>
          </cell>
        </row>
        <row r="68">
          <cell r="A68" t="str">
            <v>איקליפטוס הצאוורון</v>
          </cell>
          <cell r="B68" t="str">
            <v>Eucalyptus torquata</v>
          </cell>
          <cell r="C68">
            <v>3</v>
          </cell>
          <cell r="D68">
            <v>30</v>
          </cell>
          <cell r="E68" t="str">
            <v>איקליפטוס הצאוורון, Eucalyptus torquata</v>
          </cell>
        </row>
        <row r="69">
          <cell r="A69" t="str">
            <v>איקליפטוס וודורד</v>
          </cell>
          <cell r="B69" t="str">
            <v>Eucalyptus woodwardii</v>
          </cell>
          <cell r="C69">
            <v>3</v>
          </cell>
          <cell r="D69">
            <v>332</v>
          </cell>
          <cell r="E69" t="str">
            <v>איקליפטוס וודורד, Eucalyptus woodwardii</v>
          </cell>
        </row>
        <row r="70">
          <cell r="A70" t="str">
            <v>איקליפטוס ורוד-קליפה</v>
          </cell>
          <cell r="B70" t="str">
            <v>Eucalyptus salmonophloia</v>
          </cell>
          <cell r="C70">
            <v>3</v>
          </cell>
          <cell r="D70">
            <v>333</v>
          </cell>
          <cell r="E70" t="str">
            <v>איקליפטוס ורוד-קליפה, Eucalyptus salmonophloia</v>
          </cell>
        </row>
        <row r="71">
          <cell r="A71" t="str">
            <v>איקליפטוס חיוני</v>
          </cell>
          <cell r="B71" t="str">
            <v>Eucalyptus salubris</v>
          </cell>
          <cell r="C71">
            <v>3</v>
          </cell>
          <cell r="D71">
            <v>334</v>
          </cell>
          <cell r="E71" t="str">
            <v>איקליפטוס חיוני, Eucalyptus salubris</v>
          </cell>
        </row>
        <row r="72">
          <cell r="A72" t="str">
            <v>איקליפטוס חלק</v>
          </cell>
          <cell r="B72" t="str">
            <v>Eucalyptus forrestiana</v>
          </cell>
          <cell r="C72">
            <v>3</v>
          </cell>
          <cell r="D72">
            <v>335</v>
          </cell>
          <cell r="E72" t="str">
            <v>איקליפטוס חלק, Eucalyptus forrestiana</v>
          </cell>
        </row>
        <row r="73">
          <cell r="A73" t="str">
            <v>איקליפטוס חסון</v>
          </cell>
          <cell r="B73" t="str">
            <v>Eucalyptus robusta</v>
          </cell>
          <cell r="C73">
            <v>3</v>
          </cell>
          <cell r="D73">
            <v>336</v>
          </cell>
          <cell r="E73" t="str">
            <v>איקליפטוס חסון, Eucalyptus robusta</v>
          </cell>
        </row>
        <row r="74">
          <cell r="A74" t="str">
            <v>איקליפטוס חרוק</v>
          </cell>
          <cell r="B74" t="str">
            <v>Eucalyptus platypus</v>
          </cell>
          <cell r="C74">
            <v>3</v>
          </cell>
          <cell r="D74">
            <v>337</v>
          </cell>
          <cell r="E74" t="str">
            <v>איקליפטוס חרוק, Eucalyptus platypus</v>
          </cell>
        </row>
        <row r="75">
          <cell r="A75" t="str">
            <v>איקליפטוס טורלי (קורימביה טורלי)</v>
          </cell>
          <cell r="B75" t="str">
            <v>Eucalyptus torelliana</v>
          </cell>
          <cell r="C75">
            <v>3</v>
          </cell>
          <cell r="D75">
            <v>338</v>
          </cell>
          <cell r="E75" t="str">
            <v>איקליפטוס טורלי (קורימביה טורלי), Eucalyptus torelliana</v>
          </cell>
        </row>
        <row r="76">
          <cell r="A76" t="str">
            <v>איקליפטוס יפה-עלים</v>
          </cell>
          <cell r="B76" t="str">
            <v>Eucalyptus calophylla</v>
          </cell>
          <cell r="C76">
            <v>3</v>
          </cell>
          <cell r="D76">
            <v>339</v>
          </cell>
          <cell r="E76" t="str">
            <v>איקליפטוס יפה-עלים, Eucalyptus calophylla</v>
          </cell>
        </row>
        <row r="77">
          <cell r="A77" t="str">
            <v>איקליפטוס כדורי</v>
          </cell>
          <cell r="B77" t="str">
            <v>Eucalyptus globulus</v>
          </cell>
          <cell r="C77">
            <v>3</v>
          </cell>
          <cell r="D77">
            <v>340</v>
          </cell>
          <cell r="E77" t="str">
            <v>איקליפטוס כדורי, Eucalyptus globulus</v>
          </cell>
        </row>
        <row r="78">
          <cell r="A78" t="str">
            <v>איקליפטוס כהה-קליפה</v>
          </cell>
          <cell r="B78" t="str">
            <v>Eucalyptus sideroxylon</v>
          </cell>
          <cell r="C78">
            <v>3</v>
          </cell>
          <cell r="D78">
            <v>341</v>
          </cell>
          <cell r="E78" t="str">
            <v>איקליפטוס כהה-קליפה, Eucalyptus sideroxylon</v>
          </cell>
        </row>
        <row r="79">
          <cell r="A79" t="str">
            <v>איקליפטוס כלאיים</v>
          </cell>
          <cell r="B79" t="str">
            <v>Eucalyptus gomphocornuta</v>
          </cell>
          <cell r="C79">
            <v>3</v>
          </cell>
          <cell r="D79">
            <v>342</v>
          </cell>
          <cell r="E79" t="str">
            <v>איקליפטוס כלאיים, Eucalyptus gomphocornuta</v>
          </cell>
        </row>
        <row r="80">
          <cell r="A80" t="str">
            <v>איקליפטוס כתום</v>
          </cell>
          <cell r="B80" t="str">
            <v>Eucalyptus torwood</v>
          </cell>
          <cell r="C80">
            <v>3</v>
          </cell>
          <cell r="D80">
            <v>343</v>
          </cell>
          <cell r="E80" t="str">
            <v>איקליפטוס כתום, Eucalyptus torwood</v>
          </cell>
        </row>
        <row r="81">
          <cell r="A81" t="str">
            <v>איקליפטוס לבן-ארגמן</v>
          </cell>
          <cell r="B81" t="str">
            <v>Eucalyptus alba-purpurea</v>
          </cell>
          <cell r="C81">
            <v>3</v>
          </cell>
          <cell r="D81">
            <v>344</v>
          </cell>
          <cell r="E81" t="str">
            <v>איקליפטוס לבן-ארגמן, Eucalyptus alba-purpurea</v>
          </cell>
        </row>
        <row r="82">
          <cell r="A82" t="str">
            <v>ערבה</v>
          </cell>
          <cell r="B82" t="str">
            <v>Eucalyptus citriodora</v>
          </cell>
          <cell r="C82">
            <v>3</v>
          </cell>
          <cell r="D82">
            <v>345</v>
          </cell>
          <cell r="E82" t="str">
            <v>ערבה, Eucalyptus citriodora</v>
          </cell>
        </row>
        <row r="83">
          <cell r="A83" t="str">
            <v>איקליפטוס למן</v>
          </cell>
          <cell r="B83" t="str">
            <v>Eucalyptus lehmannii</v>
          </cell>
          <cell r="C83">
            <v>3</v>
          </cell>
          <cell r="D83">
            <v>346</v>
          </cell>
          <cell r="E83" t="str">
            <v>איקליפטוס למן, Eucalyptus lehmannii</v>
          </cell>
        </row>
        <row r="84">
          <cell r="A84" t="str">
            <v>איקליפטוס לנסדון</v>
          </cell>
          <cell r="B84" t="str">
            <v>Eucalyptus lansdowneana</v>
          </cell>
          <cell r="C84">
            <v>3</v>
          </cell>
          <cell r="D84">
            <v>347</v>
          </cell>
          <cell r="E84" t="str">
            <v>איקליפטוס לנסדון, Eucalyptus lansdowneana</v>
          </cell>
        </row>
        <row r="85">
          <cell r="A85" t="str">
            <v>איקליפטוס מאובק</v>
          </cell>
          <cell r="B85" t="str">
            <v>Eucalyptus pulverulenta</v>
          </cell>
          <cell r="C85">
            <v>3</v>
          </cell>
          <cell r="D85">
            <v>348</v>
          </cell>
          <cell r="E85" t="str">
            <v>איקליפטוס מאובק, Eucalyptus pulverulenta</v>
          </cell>
        </row>
        <row r="86">
          <cell r="A86" t="str">
            <v>איקליפטוס מאפיר</v>
          </cell>
          <cell r="B86" t="str">
            <v>Eucalyptus cinerea</v>
          </cell>
          <cell r="C86">
            <v>3</v>
          </cell>
          <cell r="D86">
            <v>349</v>
          </cell>
          <cell r="E86" t="str">
            <v>איקליפטוס מאפיר, Eucalyptus cinerea</v>
          </cell>
        </row>
        <row r="87">
          <cell r="A87" t="str">
            <v>איקליפטוס מוכתם</v>
          </cell>
          <cell r="B87" t="str">
            <v>Eucalyptus maculata</v>
          </cell>
          <cell r="C87">
            <v>3</v>
          </cell>
          <cell r="D87">
            <v>350</v>
          </cell>
          <cell r="E87" t="str">
            <v>איקליפטוס מוכתם, Eucalyptus maculata</v>
          </cell>
        </row>
        <row r="88">
          <cell r="A88" t="str">
            <v>איקליפטוס מיידן</v>
          </cell>
          <cell r="B88" t="str">
            <v>Eucalyptus maideni</v>
          </cell>
          <cell r="C88">
            <v>3</v>
          </cell>
          <cell r="D88">
            <v>351</v>
          </cell>
          <cell r="E88" t="str">
            <v>איקליפטוס מיידן, Eucalyptus maideni</v>
          </cell>
        </row>
        <row r="89">
          <cell r="A89" t="str">
            <v>איקליפטוס מכבדי</v>
          </cell>
          <cell r="B89" t="str">
            <v>Eucalyptus paniculata</v>
          </cell>
          <cell r="C89">
            <v>3</v>
          </cell>
          <cell r="D89">
            <v>352</v>
          </cell>
          <cell r="E89" t="str">
            <v>איקליפטוס מכבדי, Eucalyptus paniculata</v>
          </cell>
        </row>
        <row r="90">
          <cell r="A90" t="str">
            <v>איקליפטוס מכחיל</v>
          </cell>
          <cell r="B90" t="str">
            <v>Eucalyptus caesia</v>
          </cell>
          <cell r="C90">
            <v>3</v>
          </cell>
          <cell r="D90">
            <v>353</v>
          </cell>
          <cell r="E90" t="str">
            <v>איקליפטוס מכחיל, Eucalyptus caesia</v>
          </cell>
        </row>
        <row r="91">
          <cell r="A91" t="str">
            <v>איקליפטוס מכסיף</v>
          </cell>
          <cell r="B91" t="str">
            <v>Eucalyptus campaspe</v>
          </cell>
          <cell r="C91">
            <v>3</v>
          </cell>
          <cell r="D91">
            <v>354</v>
          </cell>
          <cell r="E91" t="str">
            <v>איקליפטוס מכסיף, Eucalyptus campaspe</v>
          </cell>
        </row>
        <row r="92">
          <cell r="A92" t="str">
            <v>איקליפטוס מסמרי</v>
          </cell>
          <cell r="B92" t="str">
            <v>Eucalyptus gomphocephala</v>
          </cell>
          <cell r="C92">
            <v>3</v>
          </cell>
          <cell r="D92">
            <v>31</v>
          </cell>
          <cell r="E92" t="str">
            <v>איקליפטוס מסמרי, Eucalyptus gomphocephala</v>
          </cell>
        </row>
        <row r="93">
          <cell r="A93" t="str">
            <v>איקליפטוס מעובה</v>
          </cell>
          <cell r="B93" t="str">
            <v>Eucalyptus grossa</v>
          </cell>
          <cell r="C93">
            <v>3</v>
          </cell>
          <cell r="D93">
            <v>355</v>
          </cell>
          <cell r="E93" t="str">
            <v>איקליפטוס מעובה, Eucalyptus grossa</v>
          </cell>
        </row>
        <row r="94">
          <cell r="A94" t="str">
            <v>איקליפטוס מערבי</v>
          </cell>
          <cell r="B94" t="str">
            <v>Eucalyptus occidentalis</v>
          </cell>
          <cell r="C94">
            <v>3</v>
          </cell>
          <cell r="D94">
            <v>356</v>
          </cell>
          <cell r="E94" t="str">
            <v>איקליפטוס מערבי, Eucalyptus occidentalis</v>
          </cell>
        </row>
        <row r="95">
          <cell r="A95" t="str">
            <v>איקליפטוס מצולע</v>
          </cell>
          <cell r="B95" t="str">
            <v>Eucalyptus angulosa</v>
          </cell>
          <cell r="C95">
            <v>3</v>
          </cell>
          <cell r="D95">
            <v>357</v>
          </cell>
          <cell r="E95" t="str">
            <v>איקליפטוס מצולע, Eucalyptus angulosa</v>
          </cell>
        </row>
        <row r="96">
          <cell r="A96" t="str">
            <v>איקליפטוס מקופל-פרי</v>
          </cell>
          <cell r="B96" t="str">
            <v>Eucalyptus ptychocarpa</v>
          </cell>
          <cell r="C96">
            <v>3</v>
          </cell>
          <cell r="D96">
            <v>358</v>
          </cell>
          <cell r="E96" t="str">
            <v>איקליפטוס מקופל-פרי, Eucalyptus ptychocarpa</v>
          </cell>
        </row>
        <row r="97">
          <cell r="A97" t="str">
            <v>איקליפטוס מרובע</v>
          </cell>
          <cell r="B97" t="str">
            <v>Eucalyptus tetragona</v>
          </cell>
          <cell r="C97">
            <v>3</v>
          </cell>
          <cell r="D97">
            <v>359</v>
          </cell>
          <cell r="E97" t="str">
            <v>איקליפטוס מרובע, Eucalyptus tetragona</v>
          </cell>
        </row>
        <row r="98">
          <cell r="A98" t="str">
            <v>איקליפטוס מריתי</v>
          </cell>
          <cell r="B98" t="str">
            <v>Eucalyptus spathulata</v>
          </cell>
          <cell r="C98">
            <v>3</v>
          </cell>
          <cell r="D98">
            <v>360</v>
          </cell>
          <cell r="E98" t="str">
            <v>איקליפטוס מריתי, Eucalyptus spathulata</v>
          </cell>
        </row>
        <row r="99">
          <cell r="A99" t="str">
            <v>איקליפטוס נאה</v>
          </cell>
          <cell r="B99" t="str">
            <v>Eucalyptus eximia</v>
          </cell>
          <cell r="C99">
            <v>3</v>
          </cell>
          <cell r="D99">
            <v>361</v>
          </cell>
          <cell r="E99" t="str">
            <v>איקליפטוס נאה, Eucalyptus eximia</v>
          </cell>
        </row>
        <row r="100">
          <cell r="A100" t="str">
            <v>איקליפטוס נטוי</v>
          </cell>
          <cell r="B100" t="str">
            <v>Eucalyptus nutans</v>
          </cell>
          <cell r="C100">
            <v>3</v>
          </cell>
          <cell r="D100">
            <v>362</v>
          </cell>
          <cell r="E100" t="str">
            <v>איקליפטוס נטוי, Eucalyptus nutans</v>
          </cell>
        </row>
        <row r="101">
          <cell r="A101" t="str">
            <v>איקליפטוס סטריקלנד</v>
          </cell>
          <cell r="B101" t="str">
            <v>Eucalyptus stricklandii</v>
          </cell>
          <cell r="C101">
            <v>3</v>
          </cell>
          <cell r="D101">
            <v>363</v>
          </cell>
          <cell r="E101" t="str">
            <v>איקליפטוס סטריקלנד, Eucalyptus stricklandii</v>
          </cell>
        </row>
        <row r="102">
          <cell r="A102" t="str">
            <v>איקליפטוס ססגוני</v>
          </cell>
          <cell r="B102" t="str">
            <v>Eucalyptus diversicolor</v>
          </cell>
          <cell r="C102">
            <v>3</v>
          </cell>
          <cell r="D102">
            <v>364</v>
          </cell>
          <cell r="E102" t="str">
            <v>איקליפטוס ססגוני, Eucalyptus diversicolor</v>
          </cell>
        </row>
        <row r="103">
          <cell r="A103" t="str">
            <v>איקליפטוס סרגנטי</v>
          </cell>
          <cell r="B103" t="str">
            <v>Eucalyptus sargentii</v>
          </cell>
          <cell r="C103">
            <v>3</v>
          </cell>
          <cell r="D103">
            <v>365</v>
          </cell>
          <cell r="E103" t="str">
            <v>איקליפטוס סרגנטי, Eucalyptus sargentii</v>
          </cell>
        </row>
        <row r="104">
          <cell r="A104" t="str">
            <v>איקליפטוס עדין</v>
          </cell>
          <cell r="B104" t="str">
            <v>Eucalyptus gracilis</v>
          </cell>
          <cell r="C104">
            <v>3</v>
          </cell>
          <cell r="D104">
            <v>366</v>
          </cell>
          <cell r="E104" t="str">
            <v>איקליפטוס עדין, Eucalyptus gracilis</v>
          </cell>
        </row>
        <row r="105">
          <cell r="A105" t="str">
            <v>איקליפטוס עפיץ</v>
          </cell>
          <cell r="B105" t="str">
            <v>Eucalyptus astringens</v>
          </cell>
          <cell r="C105">
            <v>3</v>
          </cell>
          <cell r="D105">
            <v>367</v>
          </cell>
          <cell r="E105" t="str">
            <v>איקליפטוס עפיץ, Eucalyptus astringens</v>
          </cell>
        </row>
        <row r="106">
          <cell r="A106" t="str">
            <v>איקליפטוס ערבתי</v>
          </cell>
          <cell r="B106" t="str">
            <v>Eucalyptus saligna</v>
          </cell>
          <cell r="C106">
            <v>3</v>
          </cell>
          <cell r="D106">
            <v>368</v>
          </cell>
          <cell r="E106" t="str">
            <v>איקליפטוס ערבתי, Eucalyptus saligna</v>
          </cell>
        </row>
        <row r="107">
          <cell r="A107" t="str">
            <v>איקליפטוס פורה</v>
          </cell>
          <cell r="B107" t="str">
            <v>Eucalyptus foecunda</v>
          </cell>
          <cell r="C107">
            <v>3</v>
          </cell>
          <cell r="D107">
            <v>369</v>
          </cell>
          <cell r="E107" t="str">
            <v>איקליפטוס פורה, Eucalyptus foecunda</v>
          </cell>
        </row>
        <row r="108">
          <cell r="A108" t="str">
            <v>איקליפטוס פורמני</v>
          </cell>
          <cell r="B108" t="str">
            <v>Eucalyptus formanii</v>
          </cell>
          <cell r="C108">
            <v>3</v>
          </cell>
          <cell r="D108">
            <v>370</v>
          </cell>
          <cell r="E108" t="str">
            <v>איקליפטוס פורמני, Eucalyptus formanii</v>
          </cell>
        </row>
        <row r="109">
          <cell r="A109" t="str">
            <v>איקליפטוס פלוקטון</v>
          </cell>
          <cell r="B109" t="str">
            <v>Eucalyptus flocktoniae</v>
          </cell>
          <cell r="C109">
            <v>3</v>
          </cell>
          <cell r="D109">
            <v>371</v>
          </cell>
          <cell r="E109" t="str">
            <v>איקליפטוס פלוקטון, Eucalyptus flocktoniae</v>
          </cell>
        </row>
        <row r="110">
          <cell r="A110" t="str">
            <v>איקליפטוס פרין</v>
          </cell>
          <cell r="B110" t="str">
            <v>Eucalyptus perriniana</v>
          </cell>
          <cell r="C110">
            <v>3</v>
          </cell>
          <cell r="D110">
            <v>372</v>
          </cell>
          <cell r="E110" t="str">
            <v>איקליפטוס פרין, Eucalyptus perriniana</v>
          </cell>
        </row>
        <row r="111">
          <cell r="A111" t="str">
            <v>איקליפטוס צפוף</v>
          </cell>
          <cell r="B111" t="str">
            <v>Eucalyptus crebra</v>
          </cell>
          <cell r="C111">
            <v>3</v>
          </cell>
          <cell r="D111">
            <v>373</v>
          </cell>
          <cell r="E111" t="str">
            <v>איקליפטוס צפוף, Eucalyptus crebra</v>
          </cell>
        </row>
        <row r="112">
          <cell r="A112" t="str">
            <v>איקליפטוס צפצפתי</v>
          </cell>
          <cell r="B112" t="str">
            <v>Eucalyptus populnea</v>
          </cell>
          <cell r="C112">
            <v>3</v>
          </cell>
          <cell r="D112">
            <v>374</v>
          </cell>
          <cell r="E112" t="str">
            <v>איקליפטוס צפצפתי, Eucalyptus populnea</v>
          </cell>
        </row>
        <row r="113">
          <cell r="A113" t="str">
            <v>איקליפטוס קינגסמיל</v>
          </cell>
          <cell r="B113" t="str">
            <v>Eucalyptus kingsmillii</v>
          </cell>
          <cell r="C113">
            <v>3</v>
          </cell>
          <cell r="D113">
            <v>375</v>
          </cell>
          <cell r="E113" t="str">
            <v>איקליפטוס קינגסמיל, Eucalyptus kingsmillii</v>
          </cell>
        </row>
        <row r="114">
          <cell r="A114" t="str">
            <v>איקליפטוס קמחי</v>
          </cell>
          <cell r="B114" t="str">
            <v>Eucalyptus pruinosa</v>
          </cell>
          <cell r="C114">
            <v>3</v>
          </cell>
          <cell r="D114">
            <v>376</v>
          </cell>
          <cell r="E114" t="str">
            <v>איקליפטוס קמחי, Eucalyptus pruinosa</v>
          </cell>
        </row>
        <row r="115">
          <cell r="A115" t="str">
            <v>איקליפטוס קרנוני</v>
          </cell>
          <cell r="B115" t="str">
            <v>Eucalyptus cornuta</v>
          </cell>
          <cell r="C115">
            <v>3</v>
          </cell>
          <cell r="D115">
            <v>377</v>
          </cell>
          <cell r="E115" t="str">
            <v>איקליפטוס קרנוני, Eucalyptus cornuta</v>
          </cell>
        </row>
        <row r="116">
          <cell r="A116" t="str">
            <v>איקליפטוס רב-פרחים</v>
          </cell>
          <cell r="B116" t="str">
            <v>Eucalyptus polyanthemos</v>
          </cell>
          <cell r="C116">
            <v>3</v>
          </cell>
          <cell r="D116">
            <v>378</v>
          </cell>
          <cell r="E116" t="str">
            <v>איקליפטוס רב-פרחים, Eucalyptus polyanthemos</v>
          </cell>
        </row>
        <row r="117">
          <cell r="A117" t="str">
            <v>איקליפטוס שונה-עלים</v>
          </cell>
          <cell r="B117" t="str">
            <v>Eucalyptus diversifolia</v>
          </cell>
          <cell r="C117">
            <v>3</v>
          </cell>
          <cell r="D117">
            <v>379</v>
          </cell>
          <cell r="E117" t="str">
            <v>איקליפטוס שונה-עלים, Eucalyptus diversifolia</v>
          </cell>
        </row>
        <row r="118">
          <cell r="A118" t="str">
            <v>איקליפטוס שחור-סות</v>
          </cell>
          <cell r="B118" t="str">
            <v>Eucalyptus melanophloia</v>
          </cell>
          <cell r="C118">
            <v>3</v>
          </cell>
          <cell r="D118">
            <v>521</v>
          </cell>
          <cell r="E118" t="str">
            <v>איקליפטוס שחור-סות, Eucalyptus melanophloia</v>
          </cell>
        </row>
        <row r="119">
          <cell r="A119" t="str">
            <v>איקליפטוס שטייגר</v>
          </cell>
          <cell r="B119" t="str">
            <v>Eucalyptus staigeriana</v>
          </cell>
          <cell r="C119">
            <v>3</v>
          </cell>
          <cell r="D119">
            <v>380</v>
          </cell>
          <cell r="E119" t="str">
            <v>איקליפטוס שטייגר, Eucalyptus staigeriana</v>
          </cell>
        </row>
        <row r="120">
          <cell r="A120" t="str">
            <v>איקליפטוס שמוט</v>
          </cell>
          <cell r="B120" t="str">
            <v>Eucalyptus tereticornis</v>
          </cell>
          <cell r="C120">
            <v>3</v>
          </cell>
          <cell r="D120">
            <v>381</v>
          </cell>
          <cell r="E120" t="str">
            <v>איקליפטוס שמוט, Eucalyptus tereticornis</v>
          </cell>
        </row>
        <row r="121">
          <cell r="A121" t="str">
            <v>איקליפטוס שרפי</v>
          </cell>
          <cell r="B121" t="str">
            <v>Eucalyptus resinifera</v>
          </cell>
          <cell r="C121">
            <v>3</v>
          </cell>
          <cell r="D121">
            <v>382</v>
          </cell>
          <cell r="E121" t="str">
            <v>איקליפטוס שרפי, Eucalyptus resinifera</v>
          </cell>
        </row>
        <row r="122">
          <cell r="A122" t="str">
            <v>איקלפטוס המקור (מכון)</v>
          </cell>
          <cell r="B122" t="str">
            <v>Eucalyptus camaldulensis (מכון)</v>
          </cell>
          <cell r="C122">
            <v>3</v>
          </cell>
          <cell r="D122">
            <v>384</v>
          </cell>
          <cell r="E122" t="str">
            <v>איקלפטוס המקור (מכון), Eucalyptus camaldulensis (מכון)</v>
          </cell>
        </row>
        <row r="123">
          <cell r="A123" t="str">
            <v>איקלפטוס המקור (עומר)</v>
          </cell>
          <cell r="B123" t="str">
            <v>Eucalyptus camaldulensis 'עומר '</v>
          </cell>
          <cell r="C123">
            <v>3</v>
          </cell>
          <cell r="D123">
            <v>383</v>
          </cell>
          <cell r="E123" t="str">
            <v>איקלפטוס המקור (עומר), Eucalyptus camaldulensis 'עומר '</v>
          </cell>
        </row>
        <row r="124">
          <cell r="A124" t="str">
            <v>איקלפטוס הצוארון (צהב עומר)</v>
          </cell>
          <cell r="B124" t="str">
            <v>Eucalyptus torquata צהב 'omer'</v>
          </cell>
          <cell r="C124">
            <v>3</v>
          </cell>
          <cell r="D124">
            <v>385</v>
          </cell>
          <cell r="E124" t="str">
            <v>איקלפטוס הצוארון (צהב עומר), Eucalyptus torquata צהב 'omer'</v>
          </cell>
        </row>
        <row r="125">
          <cell r="A125" t="str">
            <v>איקלפטוס קלילנד</v>
          </cell>
          <cell r="B125" t="str">
            <v>Eucalyptus clelandii</v>
          </cell>
          <cell r="C125">
            <v>3</v>
          </cell>
          <cell r="D125">
            <v>386</v>
          </cell>
          <cell r="E125" t="str">
            <v>איקלפטוס קלילנד, Eucalyptus clelandii</v>
          </cell>
        </row>
        <row r="126">
          <cell r="A126" t="str">
            <v>אלביציה ורודה</v>
          </cell>
          <cell r="B126" t="str">
            <v>Albizia julibrissin</v>
          </cell>
          <cell r="C126">
            <v>3</v>
          </cell>
          <cell r="D126">
            <v>32</v>
          </cell>
          <cell r="E126" t="str">
            <v>אלביציה ורודה, Albizia julibrissin</v>
          </cell>
        </row>
        <row r="127">
          <cell r="A127" t="str">
            <v>אלביציה צהובה</v>
          </cell>
          <cell r="B127" t="str">
            <v>Albizia lebbeck</v>
          </cell>
          <cell r="C127">
            <v>3</v>
          </cell>
          <cell r="D127">
            <v>33</v>
          </cell>
          <cell r="E127" t="str">
            <v>אלביציה צהובה, Albizia lebbeck</v>
          </cell>
        </row>
        <row r="128">
          <cell r="A128" t="str">
            <v>אלה אטלנטית</v>
          </cell>
          <cell r="B128" t="str">
            <v>Pistacia atlantica</v>
          </cell>
          <cell r="C128">
            <v>5</v>
          </cell>
          <cell r="D128">
            <v>34</v>
          </cell>
          <cell r="E128" t="str">
            <v>אלה אטלנטית, Pistacia atlantica</v>
          </cell>
        </row>
        <row r="129">
          <cell r="A129" t="str">
            <v>אלה ארץ-ישראלית</v>
          </cell>
          <cell r="B129" t="str">
            <v>Pistacia palaestina</v>
          </cell>
          <cell r="C129">
            <v>4</v>
          </cell>
          <cell r="D129">
            <v>35</v>
          </cell>
          <cell r="E129" t="str">
            <v>אלה ארץ-ישראלית, Pistacia palaestina</v>
          </cell>
        </row>
        <row r="130">
          <cell r="A130" t="str">
            <v>אלה סינית</v>
          </cell>
          <cell r="B130" t="str">
            <v>Pistacia chinensis</v>
          </cell>
          <cell r="C130">
            <v>3</v>
          </cell>
          <cell r="D130">
            <v>36</v>
          </cell>
          <cell r="E130" t="str">
            <v>אלה סינית, Pistacia chinensis</v>
          </cell>
        </row>
        <row r="131">
          <cell r="A131" t="str">
            <v>אלומגן חרמשי</v>
          </cell>
          <cell r="B131" t="str">
            <v>Erythrina falcata</v>
          </cell>
          <cell r="C131">
            <v>3</v>
          </cell>
          <cell r="D131">
            <v>563</v>
          </cell>
          <cell r="E131" t="str">
            <v>אלומגן חרמשי, Erythrina falcata</v>
          </cell>
        </row>
        <row r="132">
          <cell r="A132" t="str">
            <v>אלון אנגלי</v>
          </cell>
          <cell r="B132" t="str">
            <v>Quercus robur</v>
          </cell>
          <cell r="C132">
            <v>4</v>
          </cell>
          <cell r="D132">
            <v>37</v>
          </cell>
          <cell r="E132" t="str">
            <v>אלון אנגלי, Quercus robur</v>
          </cell>
        </row>
        <row r="133">
          <cell r="A133" t="str">
            <v>אלון ארך-עוקצים</v>
          </cell>
          <cell r="B133" t="str">
            <v>Quercus pedunculiflora</v>
          </cell>
          <cell r="C133">
            <v>4</v>
          </cell>
          <cell r="D133">
            <v>38</v>
          </cell>
          <cell r="E133" t="str">
            <v>אלון ארך-עוקצים, Quercus pedunculiflora</v>
          </cell>
        </row>
        <row r="134">
          <cell r="A134" t="str">
            <v>אלון הגלעין</v>
          </cell>
          <cell r="B134" t="str">
            <v>Quercus ilex</v>
          </cell>
          <cell r="C134">
            <v>5</v>
          </cell>
          <cell r="D134">
            <v>39</v>
          </cell>
          <cell r="E134" t="str">
            <v>אלון הגלעין, Quercus ilex</v>
          </cell>
        </row>
        <row r="135">
          <cell r="A135" t="str">
            <v>אלון הלבנון</v>
          </cell>
          <cell r="B135" t="str">
            <v>Quercus libani</v>
          </cell>
          <cell r="C135">
            <v>4</v>
          </cell>
          <cell r="D135">
            <v>40</v>
          </cell>
          <cell r="E135" t="str">
            <v>אלון הלבנון, Quercus libani</v>
          </cell>
        </row>
        <row r="136">
          <cell r="A136" t="str">
            <v>אלון השעם</v>
          </cell>
          <cell r="B136" t="str">
            <v>Quercus suber</v>
          </cell>
          <cell r="C136">
            <v>5</v>
          </cell>
          <cell r="D136">
            <v>41</v>
          </cell>
          <cell r="E136" t="str">
            <v>אלון השעם, Quercus suber</v>
          </cell>
        </row>
        <row r="137">
          <cell r="A137" t="str">
            <v>אלון התבור</v>
          </cell>
          <cell r="B137" t="str">
            <v>Quercus ithaburensis</v>
          </cell>
          <cell r="C137">
            <v>5</v>
          </cell>
          <cell r="D137">
            <v>42</v>
          </cell>
          <cell r="E137" t="str">
            <v>אלון התבור, Quercus ithaburensis</v>
          </cell>
        </row>
        <row r="138">
          <cell r="A138" t="str">
            <v>אלון התולע</v>
          </cell>
          <cell r="B138" t="str">
            <v>Quercus boissieri</v>
          </cell>
          <cell r="C138">
            <v>5</v>
          </cell>
          <cell r="D138">
            <v>43</v>
          </cell>
          <cell r="E138" t="str">
            <v>אלון התולע, Quercus boissieri</v>
          </cell>
        </row>
        <row r="139">
          <cell r="A139" t="str">
            <v>אלון מצוי</v>
          </cell>
          <cell r="B139" t="str">
            <v>Quercus calliprino</v>
          </cell>
          <cell r="C139">
            <v>5</v>
          </cell>
          <cell r="D139">
            <v>44</v>
          </cell>
          <cell r="E139" t="str">
            <v>אלון מצוי, Quercus calliprino</v>
          </cell>
        </row>
        <row r="140">
          <cell r="A140" t="str">
            <v>אלון שסוע</v>
          </cell>
          <cell r="B140" t="str">
            <v>Quercus cerris</v>
          </cell>
          <cell r="C140">
            <v>4</v>
          </cell>
          <cell r="D140">
            <v>45</v>
          </cell>
          <cell r="E140" t="str">
            <v>אלון שסוע, Quercus cerris</v>
          </cell>
        </row>
        <row r="141">
          <cell r="A141" t="str">
            <v>אלמוגן אתיופי</v>
          </cell>
          <cell r="B141" t="str">
            <v>Erythrina abyssinica</v>
          </cell>
          <cell r="C141">
            <v>3</v>
          </cell>
          <cell r="D141">
            <v>46</v>
          </cell>
          <cell r="E141" t="str">
            <v>אלמוגן אתיופי, Erythrina abyssinica</v>
          </cell>
        </row>
        <row r="142">
          <cell r="A142" t="str">
            <v>אלמוגן הודי</v>
          </cell>
          <cell r="B142" t="str">
            <v>Erythrina indica</v>
          </cell>
          <cell r="C142">
            <v>3</v>
          </cell>
          <cell r="D142">
            <v>47</v>
          </cell>
          <cell r="E142" t="str">
            <v>אלמוגן הודי, Erythrina indica</v>
          </cell>
        </row>
        <row r="143">
          <cell r="A143" t="str">
            <v>אלמוגן כרבולתי</v>
          </cell>
          <cell r="B143" t="str">
            <v>Erythrina crista-galli</v>
          </cell>
          <cell r="C143">
            <v>3</v>
          </cell>
          <cell r="D143">
            <v>48</v>
          </cell>
          <cell r="E143" t="str">
            <v>אלמוגן כרבולתי, Erythrina crista-galli</v>
          </cell>
        </row>
        <row r="144">
          <cell r="A144" t="str">
            <v>אלמוגן מעולה</v>
          </cell>
          <cell r="B144" t="str">
            <v>Erythrina insignis</v>
          </cell>
          <cell r="C144">
            <v>3</v>
          </cell>
          <cell r="D144">
            <v>389</v>
          </cell>
          <cell r="E144" t="str">
            <v>אלמוגן מעולה, Erythrina insignis</v>
          </cell>
        </row>
        <row r="145">
          <cell r="A145" t="str">
            <v>אלמוגן נשפוני</v>
          </cell>
          <cell r="B145" t="str">
            <v>Erythrina vespertilio</v>
          </cell>
          <cell r="C145">
            <v>3</v>
          </cell>
          <cell r="D145">
            <v>390</v>
          </cell>
          <cell r="E145" t="str">
            <v>אלמוגן נשפוני, Erythrina vespertilio</v>
          </cell>
        </row>
        <row r="146">
          <cell r="A146" t="str">
            <v>אלמוגן צר-פרחים</v>
          </cell>
          <cell r="B146" t="str">
            <v>Erythrina princeps</v>
          </cell>
          <cell r="C146">
            <v>3</v>
          </cell>
          <cell r="D146">
            <v>391</v>
          </cell>
          <cell r="E146" t="str">
            <v>אלמוגן צר-פרחים, Erythrina princeps</v>
          </cell>
        </row>
        <row r="147">
          <cell r="A147" t="str">
            <v>אלמוגן רחב-עלים</v>
          </cell>
          <cell r="B147" t="str">
            <v>Erythrina corallodendrum</v>
          </cell>
          <cell r="C147">
            <v>3</v>
          </cell>
          <cell r="D147">
            <v>49</v>
          </cell>
          <cell r="E147" t="str">
            <v>אלמוגן רחב-עלים, Erythrina corallodendrum</v>
          </cell>
        </row>
        <row r="148">
          <cell r="A148" t="str">
            <v>אלת הבוטנה</v>
          </cell>
          <cell r="B148" t="str">
            <v>Pistacia vera</v>
          </cell>
          <cell r="C148">
            <v>4</v>
          </cell>
          <cell r="D148">
            <v>50</v>
          </cell>
          <cell r="E148" t="str">
            <v>אלת הבוטנה, Pistacia vera</v>
          </cell>
        </row>
        <row r="149">
          <cell r="A149" t="str">
            <v>אלת מסטיק</v>
          </cell>
          <cell r="B149" t="str">
            <v>Pistacia lentiscus</v>
          </cell>
          <cell r="C149">
            <v>4.3</v>
          </cell>
          <cell r="D149">
            <v>392</v>
          </cell>
          <cell r="E149" t="str">
            <v>אלת מסטיק, Pistacia lentiscus</v>
          </cell>
        </row>
        <row r="150">
          <cell r="A150" t="str">
            <v>אנונה</v>
          </cell>
          <cell r="B150" t="str">
            <v>Annona cherimola</v>
          </cell>
          <cell r="C150">
            <v>3</v>
          </cell>
          <cell r="D150">
            <v>567</v>
          </cell>
          <cell r="E150" t="str">
            <v>אנונה, Annona cherimola</v>
          </cell>
        </row>
        <row r="151">
          <cell r="A151" t="str">
            <v>אנטרולוביום עגול-פרי</v>
          </cell>
          <cell r="B151" t="str">
            <v>Enterolobium cyclocarpum</v>
          </cell>
          <cell r="C151">
            <v>3</v>
          </cell>
          <cell r="D151">
            <v>51</v>
          </cell>
          <cell r="E151" t="str">
            <v>אנטרולוביום עגול-פרי, Enterolobium cyclocarpum</v>
          </cell>
        </row>
        <row r="152">
          <cell r="A152" t="str">
            <v>אפרסמון אמריקני</v>
          </cell>
          <cell r="B152" t="str">
            <v>Diospyros virginiana</v>
          </cell>
          <cell r="C152">
            <v>3</v>
          </cell>
          <cell r="D152">
            <v>522</v>
          </cell>
          <cell r="E152" t="str">
            <v>אפרסמון אמריקני, Diospyros virginiana</v>
          </cell>
        </row>
        <row r="153">
          <cell r="A153" t="str">
            <v>אפרסמון יפני (זנים שונים)</v>
          </cell>
          <cell r="B153" t="str">
            <v>Diospyros kaki</v>
          </cell>
          <cell r="C153">
            <v>2</v>
          </cell>
          <cell r="D153">
            <v>523</v>
          </cell>
          <cell r="E153" t="str">
            <v>אפרסמון יפני (זנים שונים), Diospyros kaki</v>
          </cell>
        </row>
        <row r="154">
          <cell r="A154" t="str">
            <v>אפרסק מצוי</v>
          </cell>
          <cell r="B154" t="str">
            <v>Persica vulgaris</v>
          </cell>
          <cell r="C154">
            <v>2</v>
          </cell>
          <cell r="D154">
            <v>54</v>
          </cell>
          <cell r="E154" t="str">
            <v>אפרסק מצוי, Persica vulgaris</v>
          </cell>
        </row>
        <row r="155">
          <cell r="A155" t="str">
            <v>אקמנה סמיטי</v>
          </cell>
          <cell r="B155" t="str">
            <v>Acmena smithii</v>
          </cell>
          <cell r="C155">
            <v>2</v>
          </cell>
          <cell r="D155">
            <v>524</v>
          </cell>
          <cell r="E155" t="str">
            <v>אקמנה סמיטי, Acmena smithii</v>
          </cell>
        </row>
        <row r="156">
          <cell r="A156" t="str">
            <v>אראוקריה רמה</v>
          </cell>
          <cell r="B156" t="str">
            <v>Araucaria heterophylla</v>
          </cell>
          <cell r="C156">
            <v>4</v>
          </cell>
          <cell r="D156">
            <v>56</v>
          </cell>
          <cell r="E156" t="str">
            <v>אראוקריה רמה, Araucaria heterophylla</v>
          </cell>
        </row>
        <row r="157">
          <cell r="A157" t="str">
            <v>אראוקריית בידוויל</v>
          </cell>
          <cell r="B157" t="str">
            <v>Araucaria bidwiillii</v>
          </cell>
          <cell r="C157">
            <v>4</v>
          </cell>
          <cell r="D157">
            <v>57</v>
          </cell>
          <cell r="E157" t="str">
            <v>אראוקריית בידוויל, Araucaria bidwiillii</v>
          </cell>
        </row>
        <row r="158">
          <cell r="A158" t="str">
            <v>ארז אטלנטי</v>
          </cell>
          <cell r="B158" t="str">
            <v>Cedrus atlantica</v>
          </cell>
          <cell r="C158">
            <v>5</v>
          </cell>
          <cell r="D158">
            <v>58</v>
          </cell>
          <cell r="E158" t="str">
            <v>ארז אטלנטי, Cedrus atlantica</v>
          </cell>
        </row>
        <row r="159">
          <cell r="A159" t="str">
            <v>ארז הימלאי</v>
          </cell>
          <cell r="B159" t="str">
            <v>Cedrus deodara</v>
          </cell>
          <cell r="C159">
            <v>5</v>
          </cell>
          <cell r="D159">
            <v>59</v>
          </cell>
          <cell r="E159" t="str">
            <v>ארז הימלאי, Cedrus deodara</v>
          </cell>
        </row>
        <row r="160">
          <cell r="A160" t="str">
            <v>ארז הלבנון</v>
          </cell>
          <cell r="B160" t="str">
            <v>Cedrus libani</v>
          </cell>
          <cell r="C160">
            <v>5</v>
          </cell>
          <cell r="D160">
            <v>60</v>
          </cell>
          <cell r="E160" t="str">
            <v>ארז הלבנון, Cedrus libani</v>
          </cell>
        </row>
        <row r="161">
          <cell r="A161" t="str">
            <v>ארכי-תמר אלכסנדרה</v>
          </cell>
          <cell r="B161" t="str">
            <v>Archontophoenix alexandrae</v>
          </cell>
          <cell r="C161">
            <v>3</v>
          </cell>
          <cell r="D161">
            <v>525</v>
          </cell>
          <cell r="E161" t="str">
            <v>ארכי-תמר אלכסנדרה, Archontophoenix alexandrae</v>
          </cell>
        </row>
        <row r="162">
          <cell r="A162" t="str">
            <v>אשחר ארץ-ישראלי</v>
          </cell>
          <cell r="B162" t="str">
            <v>Rhamnus lycioides</v>
          </cell>
          <cell r="C162">
            <v>3.5</v>
          </cell>
          <cell r="D162">
            <v>393</v>
          </cell>
          <cell r="E162" t="str">
            <v>אשחר ארץ-ישראלי, Rhamnus lycioides</v>
          </cell>
        </row>
        <row r="163">
          <cell r="A163" t="str">
            <v>אשחר רחב-עלים</v>
          </cell>
          <cell r="B163" t="str">
            <v>Rhamnus alaternus</v>
          </cell>
          <cell r="C163">
            <v>2</v>
          </cell>
          <cell r="D163">
            <v>62</v>
          </cell>
          <cell r="E163" t="str">
            <v>אשחר רחב-עלים, Rhamnus alaternus</v>
          </cell>
        </row>
        <row r="164">
          <cell r="A164" t="str">
            <v>אשל החוף</v>
          </cell>
          <cell r="B164" t="str">
            <v>Tamarix sp.</v>
          </cell>
          <cell r="C164">
            <v>3</v>
          </cell>
          <cell r="D164">
            <v>394</v>
          </cell>
          <cell r="E164" t="str">
            <v>אשל החוף, Tamarix sp.</v>
          </cell>
        </row>
        <row r="165">
          <cell r="A165" t="str">
            <v>אשל הירדן</v>
          </cell>
          <cell r="B165" t="str">
            <v>Tamarix jordanis</v>
          </cell>
          <cell r="C165">
            <v>3</v>
          </cell>
          <cell r="D165">
            <v>395</v>
          </cell>
          <cell r="E165" t="str">
            <v>אשל הירדן, Tamarix jordanis</v>
          </cell>
        </row>
        <row r="166">
          <cell r="A166" t="str">
            <v>אשל הפרקים</v>
          </cell>
          <cell r="B166" t="str">
            <v>Tamarix aphylla</v>
          </cell>
          <cell r="C166">
            <v>3</v>
          </cell>
          <cell r="D166">
            <v>63</v>
          </cell>
          <cell r="E166" t="str">
            <v>אשל הפרקים, Tamarix aphylla</v>
          </cell>
        </row>
        <row r="167">
          <cell r="A167" t="str">
            <v>אשל סיני</v>
          </cell>
          <cell r="B167" t="str">
            <v>Tamarix chinensis</v>
          </cell>
          <cell r="C167">
            <v>2</v>
          </cell>
          <cell r="D167">
            <v>526</v>
          </cell>
          <cell r="E167" t="str">
            <v>אשל סיני, Tamarix chinensis</v>
          </cell>
        </row>
        <row r="168">
          <cell r="A168" t="str">
            <v>אשל צרפתי</v>
          </cell>
          <cell r="B168" t="str">
            <v>Tamarix gallica</v>
          </cell>
          <cell r="C168">
            <v>3</v>
          </cell>
          <cell r="D168">
            <v>396</v>
          </cell>
          <cell r="E168" t="str">
            <v>אשל צרפתי, Tamarix gallica</v>
          </cell>
        </row>
        <row r="169">
          <cell r="A169" t="str">
            <v>אשל קטן-פרחים</v>
          </cell>
          <cell r="B169" t="str">
            <v>Tamarix parviflora</v>
          </cell>
          <cell r="C169">
            <v>3</v>
          </cell>
          <cell r="D169">
            <v>397</v>
          </cell>
          <cell r="E169" t="str">
            <v>אשל קטן-פרחים, Tamarix parviflora</v>
          </cell>
        </row>
        <row r="170">
          <cell r="A170" t="str">
            <v>בוהיניה ארגמנית</v>
          </cell>
          <cell r="B170" t="str">
            <v>Bauhinia purpurea</v>
          </cell>
          <cell r="C170">
            <v>3</v>
          </cell>
          <cell r="D170">
            <v>398</v>
          </cell>
          <cell r="E170" t="str">
            <v>בוהיניה ארגמנית, Bauhinia purpurea</v>
          </cell>
        </row>
        <row r="171">
          <cell r="A171" t="str">
            <v>בוהיניה טורטיקטה</v>
          </cell>
          <cell r="B171" t="str">
            <v>Bauhinia torticata</v>
          </cell>
          <cell r="C171">
            <v>3</v>
          </cell>
          <cell r="D171">
            <v>399</v>
          </cell>
          <cell r="E171" t="str">
            <v>בוהיניה טורטיקטה, Bauhinia torticata</v>
          </cell>
        </row>
        <row r="172">
          <cell r="A172" t="str">
            <v>בוהיניה יחידת-מאבק</v>
          </cell>
          <cell r="B172" t="str">
            <v>Bauhinia monandra</v>
          </cell>
          <cell r="C172">
            <v>3</v>
          </cell>
          <cell r="D172">
            <v>400</v>
          </cell>
          <cell r="E172" t="str">
            <v>בוהיניה יחידת-מאבק, Bauhinia monandra</v>
          </cell>
        </row>
        <row r="173">
          <cell r="A173" t="str">
            <v>בוהיניה מגוונת</v>
          </cell>
          <cell r="B173" t="str">
            <v>Bauhinia variegate</v>
          </cell>
          <cell r="C173">
            <v>3</v>
          </cell>
          <cell r="D173">
            <v>65</v>
          </cell>
          <cell r="E173" t="str">
            <v>בוהיניה מגוונת, Bauhinia variegate</v>
          </cell>
        </row>
        <row r="174">
          <cell r="A174" t="str">
            <v>בוהיניית בלק</v>
          </cell>
          <cell r="B174" t="str">
            <v>Bauhinia blakeana</v>
          </cell>
          <cell r="C174">
            <v>3</v>
          </cell>
          <cell r="D174">
            <v>401</v>
          </cell>
          <cell r="E174" t="str">
            <v>בוהיניית בלק, Bauhinia blakeana</v>
          </cell>
        </row>
        <row r="175">
          <cell r="A175" t="str">
            <v>בוהיניית קרון</v>
          </cell>
          <cell r="B175" t="str">
            <v>Bauhinia carronii</v>
          </cell>
          <cell r="C175">
            <v>3</v>
          </cell>
          <cell r="D175">
            <v>402</v>
          </cell>
          <cell r="E175" t="str">
            <v>בוהיניית קרון, Bauhinia carronii</v>
          </cell>
        </row>
        <row r="176">
          <cell r="A176" t="str">
            <v>בוטיה דרומית</v>
          </cell>
          <cell r="B176" t="str">
            <v>Butia capitata</v>
          </cell>
          <cell r="C176">
            <v>3</v>
          </cell>
          <cell r="D176">
            <v>66</v>
          </cell>
          <cell r="E176" t="str">
            <v>בוטיה דרומית, Butia capitata</v>
          </cell>
        </row>
        <row r="177">
          <cell r="A177" t="str">
            <v>בולוסנתוס נאה</v>
          </cell>
          <cell r="B177" t="str">
            <v>Bolusanthus specious</v>
          </cell>
          <cell r="C177">
            <v>4</v>
          </cell>
          <cell r="D177">
            <v>67</v>
          </cell>
          <cell r="E177" t="str">
            <v>בולוסנתוס נאה, Bolusanthus specious</v>
          </cell>
        </row>
        <row r="178">
          <cell r="A178" t="str">
            <v>בומבק צייבה</v>
          </cell>
          <cell r="B178" t="str">
            <v>Bombax ceiba</v>
          </cell>
          <cell r="C178">
            <v>3</v>
          </cell>
          <cell r="D178">
            <v>68</v>
          </cell>
          <cell r="E178" t="str">
            <v>בומבק צייבה, Bombax ceiba</v>
          </cell>
        </row>
        <row r="179">
          <cell r="A179" t="str">
            <v>בוקיצה אמריקנית</v>
          </cell>
          <cell r="B179" t="str">
            <v>Ulmus americana</v>
          </cell>
          <cell r="C179">
            <v>2</v>
          </cell>
          <cell r="D179">
            <v>69</v>
          </cell>
          <cell r="E179" t="str">
            <v>בוקיצה אמריקנית, Ulmus americana</v>
          </cell>
        </row>
        <row r="180">
          <cell r="A180" t="str">
            <v>בוקיצה נמוכה</v>
          </cell>
          <cell r="B180" t="str">
            <v>Ulmus pumila</v>
          </cell>
          <cell r="C180">
            <v>2</v>
          </cell>
          <cell r="D180">
            <v>70</v>
          </cell>
          <cell r="E180" t="str">
            <v>בוקיצה נמוכה, Ulmus pumila</v>
          </cell>
        </row>
        <row r="181">
          <cell r="A181" t="str">
            <v>בוקיצה קטנת-עלים</v>
          </cell>
          <cell r="B181" t="str">
            <v>Ulmus parvifolia</v>
          </cell>
          <cell r="C181">
            <v>3</v>
          </cell>
          <cell r="D181">
            <v>71</v>
          </cell>
          <cell r="E181" t="str">
            <v>בוקיצה קטנת-עלים, Ulmus parvifolia</v>
          </cell>
        </row>
        <row r="182">
          <cell r="A182" t="str">
            <v>בוקיצה שעירה</v>
          </cell>
          <cell r="B182" t="str">
            <v>Ulmus canescens</v>
          </cell>
          <cell r="C182">
            <v>3</v>
          </cell>
          <cell r="D182">
            <v>72</v>
          </cell>
          <cell r="E182" t="str">
            <v>בוקיצה שעירה, Ulmus canescens</v>
          </cell>
        </row>
        <row r="183">
          <cell r="A183" t="str">
            <v>ביסמרקיה אצילה</v>
          </cell>
          <cell r="B183" t="str">
            <v>Bismarckia nobilis</v>
          </cell>
          <cell r="C183">
            <v>3</v>
          </cell>
          <cell r="D183">
            <v>73</v>
          </cell>
          <cell r="E183" t="str">
            <v>ביסמרקיה אצילה, Bismarckia nobilis</v>
          </cell>
        </row>
        <row r="184">
          <cell r="A184" t="str">
            <v>בירנית מפושקת</v>
          </cell>
          <cell r="B184" t="str">
            <v>Pleno Flore divaricata Tabernaemontana</v>
          </cell>
          <cell r="C184">
            <v>3</v>
          </cell>
          <cell r="D184">
            <v>403</v>
          </cell>
          <cell r="E184" t="str">
            <v>בירנית מפושקת, Pleno Flore divaricata Tabernaemontana</v>
          </cell>
        </row>
        <row r="185">
          <cell r="A185" t="str">
            <v>בן עוזרר דלקורי</v>
          </cell>
          <cell r="B185" t="str">
            <v>Raphiolepis delacouri</v>
          </cell>
          <cell r="C185">
            <v>2</v>
          </cell>
          <cell r="D185">
            <v>404</v>
          </cell>
          <cell r="E185" t="str">
            <v>בן עוזרר דלקורי, Raphiolepis delacouri</v>
          </cell>
        </row>
        <row r="186">
          <cell r="A186" t="str">
            <v>בר-זית בינוני</v>
          </cell>
          <cell r="B186" t="str">
            <v>Phillyrea latifolia</v>
          </cell>
          <cell r="C186">
            <v>3</v>
          </cell>
          <cell r="D186">
            <v>528</v>
          </cell>
          <cell r="E186" t="str">
            <v>בר-זית בינוני, Phillyrea latifolia</v>
          </cell>
        </row>
        <row r="187">
          <cell r="A187" t="str">
            <v>ברוש אריזוני</v>
          </cell>
          <cell r="B187" t="str">
            <v>Cupressus arizonica</v>
          </cell>
          <cell r="C187">
            <v>4</v>
          </cell>
          <cell r="D187">
            <v>75</v>
          </cell>
          <cell r="E187" t="str">
            <v>ברוש אריזוני, Cupressus arizonica</v>
          </cell>
        </row>
        <row r="188">
          <cell r="A188" t="str">
            <v>ברוש בייקר</v>
          </cell>
          <cell r="B188" t="str">
            <v>Cupressus bakeri</v>
          </cell>
          <cell r="C188">
            <v>4</v>
          </cell>
          <cell r="D188">
            <v>405</v>
          </cell>
          <cell r="E188" t="str">
            <v>ברוש בייקר, Cupressus bakeri</v>
          </cell>
        </row>
        <row r="189">
          <cell r="A189" t="str">
            <v>ברוש בכות</v>
          </cell>
          <cell r="B189" t="str">
            <v>Cupressus funebris</v>
          </cell>
          <cell r="C189">
            <v>4</v>
          </cell>
          <cell r="D189">
            <v>76</v>
          </cell>
          <cell r="E189" t="str">
            <v>ברוש בכות, Cupressus funebris</v>
          </cell>
        </row>
        <row r="190">
          <cell r="A190" t="str">
            <v>ברוש גדול-פירות</v>
          </cell>
          <cell r="B190" t="str">
            <v>Cupressus macrocarpa</v>
          </cell>
          <cell r="C190">
            <v>2</v>
          </cell>
          <cell r="D190">
            <v>77</v>
          </cell>
          <cell r="E190" t="str">
            <v>ברוש גדול-פירות, Cupressus macrocarpa</v>
          </cell>
        </row>
        <row r="191">
          <cell r="A191" t="str">
            <v>ברוש הדור</v>
          </cell>
          <cell r="B191" t="str">
            <v>Cupressus elegans</v>
          </cell>
          <cell r="C191">
            <v>4</v>
          </cell>
          <cell r="D191">
            <v>406</v>
          </cell>
          <cell r="E191" t="str">
            <v>ברוש הדור, Cupressus elegans</v>
          </cell>
        </row>
        <row r="192">
          <cell r="A192" t="str">
            <v>ברוש מצוי</v>
          </cell>
          <cell r="B192" t="str">
            <v>Cupressus sempervirens</v>
          </cell>
          <cell r="C192">
            <v>4</v>
          </cell>
          <cell r="D192">
            <v>78</v>
          </cell>
          <cell r="E192" t="str">
            <v>ברוש מצוי, Cupressus sempervirens</v>
          </cell>
        </row>
        <row r="193">
          <cell r="A193" t="str">
            <v>ברוש פורטוגלי</v>
          </cell>
          <cell r="B193" t="str">
            <v>Cupressus lusitanica</v>
          </cell>
          <cell r="C193">
            <v>4</v>
          </cell>
          <cell r="D193">
            <v>79</v>
          </cell>
          <cell r="E193" t="str">
            <v>ברוש פורטוגלי, Cupressus lusitanica</v>
          </cell>
        </row>
        <row r="194">
          <cell r="A194" t="str">
            <v>ברוש קירח</v>
          </cell>
          <cell r="B194" t="str">
            <v>Cupressus glabra</v>
          </cell>
          <cell r="C194">
            <v>4</v>
          </cell>
          <cell r="D194">
            <v>527</v>
          </cell>
          <cell r="E194" t="str">
            <v>ברוש קירח, Cupressus glabra</v>
          </cell>
        </row>
        <row r="195">
          <cell r="A195" t="str">
            <v>ברוש קשמירי</v>
          </cell>
          <cell r="B195" t="str">
            <v>Cupressus cashmeriana</v>
          </cell>
          <cell r="C195">
            <v>4</v>
          </cell>
          <cell r="D195">
            <v>81</v>
          </cell>
          <cell r="E195" t="str">
            <v>ברוש קשמירי, Cupressus cashmeriana</v>
          </cell>
        </row>
        <row r="196">
          <cell r="A196" t="str">
            <v>ברזילי הדור</v>
          </cell>
          <cell r="B196" t="str">
            <v>Metrosideros excelsa</v>
          </cell>
          <cell r="C196">
            <v>3</v>
          </cell>
          <cell r="D196">
            <v>82</v>
          </cell>
          <cell r="E196" t="str">
            <v>ברזילי הדור, Metrosideros excelsa</v>
          </cell>
        </row>
        <row r="197">
          <cell r="A197" t="str">
            <v>ברכיכיטון אדרי</v>
          </cell>
          <cell r="B197" t="str">
            <v>Brachychiton aserifolius</v>
          </cell>
          <cell r="C197">
            <v>3</v>
          </cell>
          <cell r="D197">
            <v>84</v>
          </cell>
          <cell r="E197" t="str">
            <v>ברכיכיטון אדרי, Brachychiton aserifolius</v>
          </cell>
        </row>
        <row r="198">
          <cell r="A198" t="str">
            <v>ברכיכיטון אוסטרלי</v>
          </cell>
          <cell r="B198" t="str">
            <v>Brachychiton australis</v>
          </cell>
          <cell r="C198">
            <v>3</v>
          </cell>
          <cell r="D198">
            <v>85</v>
          </cell>
          <cell r="E198" t="str">
            <v>ברכיכיטון אוסטרלי, Brachychiton australis</v>
          </cell>
        </row>
        <row r="199">
          <cell r="A199" t="str">
            <v>ברכיכיטון בידוויל</v>
          </cell>
          <cell r="B199" t="str">
            <v>Brachychiton bidwillii</v>
          </cell>
          <cell r="C199">
            <v>3</v>
          </cell>
          <cell r="D199">
            <v>86</v>
          </cell>
          <cell r="E199" t="str">
            <v>ברכיכיטון בידוויל, Brachychiton bidwillii</v>
          </cell>
        </row>
        <row r="200">
          <cell r="A200" t="str">
            <v>ברכיכיטון גרגור</v>
          </cell>
          <cell r="B200" t="str">
            <v>Brachychiton gregori</v>
          </cell>
          <cell r="C200">
            <v>3</v>
          </cell>
          <cell r="D200">
            <v>407</v>
          </cell>
          <cell r="E200" t="str">
            <v>ברכיכיטון גרגור, Brachychiton gregori</v>
          </cell>
        </row>
        <row r="201">
          <cell r="A201" t="str">
            <v>ברכיכיטון דו-גוני</v>
          </cell>
          <cell r="B201" t="str">
            <v>Brachychiton discolor</v>
          </cell>
          <cell r="C201">
            <v>3</v>
          </cell>
          <cell r="D201">
            <v>83</v>
          </cell>
          <cell r="E201" t="str">
            <v>ברכיכיטון דו-גוני, Brachychiton discolor</v>
          </cell>
        </row>
        <row r="202">
          <cell r="A202" t="str">
            <v>ברכיכיטון הסלעים</v>
          </cell>
          <cell r="B202" t="str">
            <v>Brachychiton rupestris</v>
          </cell>
          <cell r="C202">
            <v>3</v>
          </cell>
          <cell r="D202">
            <v>87</v>
          </cell>
          <cell r="E202" t="str">
            <v>ברכיכיטון הסלעים, Brachychiton rupestris</v>
          </cell>
        </row>
        <row r="203">
          <cell r="A203" t="str">
            <v>ברכיכיטון צפצפתי</v>
          </cell>
          <cell r="B203" t="str">
            <v>Brachychiton populneum</v>
          </cell>
          <cell r="C203">
            <v>3</v>
          </cell>
          <cell r="D203">
            <v>88</v>
          </cell>
          <cell r="E203" t="str">
            <v>ברכיכיטון צפצפתי, Brachychiton populneum</v>
          </cell>
        </row>
        <row r="204">
          <cell r="A204" t="str">
            <v>גויאבה מצויה (זנים שונים)</v>
          </cell>
          <cell r="B204" t="str">
            <v>Psidium guajava</v>
          </cell>
          <cell r="C204">
            <v>2</v>
          </cell>
          <cell r="D204">
            <v>89</v>
          </cell>
          <cell r="E204" t="str">
            <v>גויאבה מצויה (זנים שונים), Psidium guajava</v>
          </cell>
        </row>
        <row r="205">
          <cell r="A205" t="str">
            <v>גויאבה תותית (זנים שונים)</v>
          </cell>
          <cell r="B205" t="str">
            <v>Psidium cattleianum</v>
          </cell>
          <cell r="C205">
            <v>2</v>
          </cell>
          <cell r="D205">
            <v>530</v>
          </cell>
          <cell r="E205" t="str">
            <v>גויאבה תותית (זנים שונים), Psidium cattleianum</v>
          </cell>
        </row>
        <row r="206">
          <cell r="A206" t="str">
            <v>גופנן המדבר</v>
          </cell>
          <cell r="B206" t="str">
            <v>Cordia myxa</v>
          </cell>
          <cell r="C206">
            <v>3</v>
          </cell>
          <cell r="D206">
            <v>544</v>
          </cell>
          <cell r="E206" t="str">
            <v>גופנן המדבר, Cordia myxa</v>
          </cell>
        </row>
        <row r="207">
          <cell r="A207" t="str">
            <v>גינקו דו-אונתי</v>
          </cell>
          <cell r="B207" t="str">
            <v>Ginkgo biloba</v>
          </cell>
          <cell r="C207">
            <v>4</v>
          </cell>
          <cell r="D207">
            <v>91</v>
          </cell>
          <cell r="E207" t="str">
            <v>גינקו דו-אונתי, Ginkgo biloba</v>
          </cell>
        </row>
        <row r="208">
          <cell r="A208" t="str">
            <v>גלדיצייה תלת-קוצית</v>
          </cell>
          <cell r="B208" t="str">
            <v>Gleditsia triacanthos</v>
          </cell>
          <cell r="C208">
            <v>3</v>
          </cell>
          <cell r="D208">
            <v>92</v>
          </cell>
          <cell r="E208" t="str">
            <v>גלדיצייה תלת-קוצית, Gleditsia triacanthos</v>
          </cell>
        </row>
        <row r="209">
          <cell r="A209" t="str">
            <v>גרווילאה חסונה</v>
          </cell>
          <cell r="B209" t="str">
            <v>Grevillea robusta</v>
          </cell>
          <cell r="C209">
            <v>3</v>
          </cell>
          <cell r="D209">
            <v>93</v>
          </cell>
          <cell r="E209" t="str">
            <v>גרווילאה חסונה, Grevillea robusta</v>
          </cell>
        </row>
        <row r="210">
          <cell r="A210" t="str">
            <v>דובדבן חמוץ</v>
          </cell>
          <cell r="B210" t="str">
            <v>Cerasus vulgaris</v>
          </cell>
          <cell r="C210">
            <v>3</v>
          </cell>
          <cell r="D210">
            <v>408</v>
          </cell>
          <cell r="E210" t="str">
            <v>דובדבן חמוץ, Cerasus vulgaris</v>
          </cell>
        </row>
        <row r="211">
          <cell r="A211" t="str">
            <v>דובדבן יפני</v>
          </cell>
          <cell r="B211" t="str">
            <v>Cerasus serrulata</v>
          </cell>
          <cell r="C211">
            <v>3</v>
          </cell>
          <cell r="D211">
            <v>409</v>
          </cell>
          <cell r="E211" t="str">
            <v>דובדבן יפני, Cerasus serrulata</v>
          </cell>
        </row>
        <row r="212">
          <cell r="A212" t="str">
            <v>דובדבן מהלב</v>
          </cell>
          <cell r="B212" t="str">
            <v>Cerasus mahaleb</v>
          </cell>
          <cell r="C212">
            <v>3</v>
          </cell>
          <cell r="D212">
            <v>410</v>
          </cell>
          <cell r="E212" t="str">
            <v>דובדבן מהלב, Cerasus mahaleb</v>
          </cell>
        </row>
        <row r="213">
          <cell r="A213" t="str">
            <v>דובדבן מתוק</v>
          </cell>
          <cell r="B213" t="str">
            <v>Cerasus avium</v>
          </cell>
          <cell r="C213">
            <v>3</v>
          </cell>
          <cell r="D213">
            <v>411</v>
          </cell>
          <cell r="E213" t="str">
            <v>דובדבן מתוק, Cerasus avium</v>
          </cell>
        </row>
        <row r="214">
          <cell r="A214" t="str">
            <v>דולב אדרי</v>
          </cell>
          <cell r="B214" t="str">
            <v>Platanus acerifolia</v>
          </cell>
          <cell r="C214">
            <v>3</v>
          </cell>
          <cell r="D214">
            <v>95</v>
          </cell>
          <cell r="E214" t="str">
            <v>דולב אדרי, Platanus acerifolia</v>
          </cell>
        </row>
        <row r="215">
          <cell r="A215" t="str">
            <v>דולב מזרחי</v>
          </cell>
          <cell r="B215" t="str">
            <v>Platanus orientalis</v>
          </cell>
          <cell r="C215">
            <v>4</v>
          </cell>
          <cell r="D215">
            <v>96</v>
          </cell>
          <cell r="E215" t="str">
            <v>דולב מזרחי, Platanus orientalis</v>
          </cell>
        </row>
        <row r="216">
          <cell r="A216" t="str">
            <v>דולב מכסיקני</v>
          </cell>
          <cell r="B216" t="str">
            <v>Platanus mexicana</v>
          </cell>
          <cell r="C216">
            <v>4</v>
          </cell>
          <cell r="D216">
            <v>97</v>
          </cell>
          <cell r="E216" t="str">
            <v>דולב מכסיקני, Platanus mexicana</v>
          </cell>
        </row>
        <row r="217">
          <cell r="A217" t="str">
            <v>דולב קליפורני</v>
          </cell>
          <cell r="B217" t="str">
            <v>Platanus racemoca</v>
          </cell>
          <cell r="C217">
            <v>3</v>
          </cell>
          <cell r="D217">
            <v>98</v>
          </cell>
          <cell r="E217" t="str">
            <v>דולב קליפורני, Platanus racemoca</v>
          </cell>
        </row>
        <row r="218">
          <cell r="A218" t="str">
            <v>דום מצרי</v>
          </cell>
          <cell r="B218" t="str">
            <v>Hyphaena thebaica</v>
          </cell>
          <cell r="C218">
            <v>4</v>
          </cell>
          <cell r="D218">
            <v>99</v>
          </cell>
          <cell r="E218" t="str">
            <v>דום מצרי, Hyphaena thebaica</v>
          </cell>
        </row>
        <row r="219">
          <cell r="A219" t="str">
            <v>דומביאה וליך</v>
          </cell>
          <cell r="B219" t="str">
            <v>Dombeya wallichii</v>
          </cell>
          <cell r="C219">
            <v>4</v>
          </cell>
          <cell r="D219">
            <v>412</v>
          </cell>
          <cell r="E219" t="str">
            <v>דומביאה וליך, Dombeya wallichii</v>
          </cell>
        </row>
        <row r="220">
          <cell r="A220" t="str">
            <v>דומביאה עגולת-עלים</v>
          </cell>
          <cell r="B220" t="str">
            <v>Dombeya rotundifolia</v>
          </cell>
          <cell r="C220">
            <v>3</v>
          </cell>
          <cell r="D220">
            <v>100</v>
          </cell>
          <cell r="E220" t="str">
            <v>דומביאה עגולת-עלים, Dombeya rotundifolia</v>
          </cell>
        </row>
        <row r="221">
          <cell r="A221" t="str">
            <v>דיפסיס משולש</v>
          </cell>
          <cell r="B221" t="str">
            <v>Dypsis decarii</v>
          </cell>
          <cell r="C221">
            <v>1</v>
          </cell>
          <cell r="D221">
            <v>518</v>
          </cell>
          <cell r="E221" t="str">
            <v>דיפסיס משולש, Dypsis decarii</v>
          </cell>
        </row>
        <row r="222">
          <cell r="A222" t="str">
            <v>דיפסיס לוטסנס</v>
          </cell>
          <cell r="B222" t="str">
            <v>Dypsis (Chrysalidocarpus) lutescens</v>
          </cell>
          <cell r="C222">
            <v>3</v>
          </cell>
          <cell r="D222">
            <v>531</v>
          </cell>
          <cell r="E222" t="str">
            <v>דיפסיס לוטסנס, Dypsis (Chrysalidocarpus) lutescens</v>
          </cell>
        </row>
        <row r="223">
          <cell r="A223" t="str">
            <v>דק-פרי זקוף</v>
          </cell>
          <cell r="B223" t="str">
            <v>Tecoma stans</v>
          </cell>
          <cell r="C223">
            <v>2</v>
          </cell>
          <cell r="D223">
            <v>103</v>
          </cell>
          <cell r="E223" t="str">
            <v>דק-פרי זקוף, Tecoma stans</v>
          </cell>
        </row>
        <row r="224">
          <cell r="A224" t="str">
            <v>דק-פרי ערמוני</v>
          </cell>
          <cell r="B224" t="str">
            <v>Tecoma castanifolia</v>
          </cell>
          <cell r="C224">
            <v>3</v>
          </cell>
          <cell r="D224">
            <v>104</v>
          </cell>
          <cell r="E224" t="str">
            <v>דק-פרי ערמוני, Tecoma castanifolia</v>
          </cell>
        </row>
        <row r="225">
          <cell r="A225" t="str">
            <v>דקל זנב השועל</v>
          </cell>
          <cell r="B225" t="str">
            <v>Wodyetia bifurcata</v>
          </cell>
          <cell r="C225">
            <v>3</v>
          </cell>
          <cell r="D225">
            <v>532</v>
          </cell>
          <cell r="E225" t="str">
            <v>דקל זנב השועל, Wodyetia bifurcata</v>
          </cell>
        </row>
        <row r="226">
          <cell r="A226" t="str">
            <v>דקל רובליני</v>
          </cell>
          <cell r="B226" t="str">
            <v>Phoenix roebelenii</v>
          </cell>
          <cell r="C226">
            <v>4</v>
          </cell>
          <cell r="D226">
            <v>413</v>
          </cell>
          <cell r="E226" t="str">
            <v>דקל רובליני, Phoenix roebelenii</v>
          </cell>
        </row>
        <row r="227">
          <cell r="A227" t="str">
            <v>דקל רווניאת הפלגים</v>
          </cell>
          <cell r="B227" t="str">
            <v>Ravenea rivularis</v>
          </cell>
          <cell r="C227">
            <v>2</v>
          </cell>
          <cell r="D227">
            <v>533</v>
          </cell>
          <cell r="E227" t="str">
            <v>דקל רווניאת הפלגים, Ravenea rivularis</v>
          </cell>
        </row>
        <row r="228">
          <cell r="A228" t="str">
            <v>דרקונית קנרית</v>
          </cell>
          <cell r="B228" t="str">
            <v>Dracaena draco</v>
          </cell>
          <cell r="C228">
            <v>4</v>
          </cell>
          <cell r="D228">
            <v>106</v>
          </cell>
          <cell r="E228" t="str">
            <v>דרקונית קנרית, Dracaena draco</v>
          </cell>
        </row>
        <row r="229">
          <cell r="A229" t="str">
            <v xml:space="preserve">הדר האשכולית </v>
          </cell>
          <cell r="B229" t="str">
            <v>Citrus paradisi</v>
          </cell>
          <cell r="C229">
            <v>2</v>
          </cell>
          <cell r="D229">
            <v>107</v>
          </cell>
          <cell r="E229" t="str">
            <v>הדר האשכולית , Citrus paradisi</v>
          </cell>
        </row>
        <row r="230">
          <cell r="A230" t="str">
            <v xml:space="preserve">הדר האתרוג </v>
          </cell>
          <cell r="B230" t="str">
            <v>Citrus medica</v>
          </cell>
          <cell r="C230">
            <v>2</v>
          </cell>
          <cell r="D230">
            <v>108</v>
          </cell>
          <cell r="E230" t="str">
            <v>הדר האתרוג , Citrus medica</v>
          </cell>
        </row>
        <row r="231">
          <cell r="A231" t="str">
            <v>הדר החושחש</v>
          </cell>
          <cell r="B231" t="str">
            <v>Citrus aurantium</v>
          </cell>
          <cell r="C231">
            <v>3</v>
          </cell>
          <cell r="D231">
            <v>109</v>
          </cell>
          <cell r="E231" t="str">
            <v>הדר החושחש, Citrus aurantium</v>
          </cell>
        </row>
        <row r="232">
          <cell r="A232" t="str">
            <v>הדר הלימה</v>
          </cell>
          <cell r="B232" t="str">
            <v>Citrus aurantiifolia</v>
          </cell>
          <cell r="C232">
            <v>3</v>
          </cell>
          <cell r="D232">
            <v>414</v>
          </cell>
          <cell r="E232" t="str">
            <v>הדר הלימה, Citrus aurantiifolia</v>
          </cell>
        </row>
        <row r="233">
          <cell r="A233" t="str">
            <v>הדר הלימון</v>
          </cell>
          <cell r="B233" t="str">
            <v>Citrus limon</v>
          </cell>
          <cell r="C233">
            <v>3</v>
          </cell>
          <cell r="D233">
            <v>110</v>
          </cell>
          <cell r="E233" t="str">
            <v>הדר הלימון, Citrus limon</v>
          </cell>
        </row>
        <row r="234">
          <cell r="A234" t="str">
            <v>הדר הלימונית</v>
          </cell>
          <cell r="B234" t="str">
            <v>Citrus limetta</v>
          </cell>
          <cell r="C234">
            <v>2</v>
          </cell>
          <cell r="D234">
            <v>415</v>
          </cell>
          <cell r="E234" t="str">
            <v>הדר הלימונית, Citrus limetta</v>
          </cell>
        </row>
        <row r="235">
          <cell r="A235" t="str">
            <v>הדר המנדרין</v>
          </cell>
          <cell r="B235" t="str">
            <v>Citrus reticulata</v>
          </cell>
          <cell r="C235">
            <v>2</v>
          </cell>
          <cell r="D235">
            <v>111</v>
          </cell>
          <cell r="E235" t="str">
            <v>הדר המנדרין, Citrus reticulata</v>
          </cell>
        </row>
        <row r="236">
          <cell r="A236" t="str">
            <v xml:space="preserve">הדר הפומלו </v>
          </cell>
          <cell r="B236" t="str">
            <v>Citrus grandis</v>
          </cell>
          <cell r="C236">
            <v>2</v>
          </cell>
          <cell r="D236">
            <v>112</v>
          </cell>
          <cell r="E236" t="str">
            <v>הדר הפומלו , Citrus grandis</v>
          </cell>
        </row>
        <row r="237">
          <cell r="A237" t="str">
            <v>הדר הקלמנטינה</v>
          </cell>
          <cell r="B237" t="str">
            <v>Citrus Clementine</v>
          </cell>
          <cell r="C237">
            <v>2</v>
          </cell>
          <cell r="D237">
            <v>514</v>
          </cell>
          <cell r="E237" t="str">
            <v>הדר הקלמנטינה, Citrus Clementine</v>
          </cell>
        </row>
        <row r="238">
          <cell r="A238" t="str">
            <v xml:space="preserve">הדר התפוז </v>
          </cell>
          <cell r="B238" t="str">
            <v>Citrus sinensis</v>
          </cell>
          <cell r="C238">
            <v>2</v>
          </cell>
          <cell r="D238">
            <v>113</v>
          </cell>
          <cell r="E238" t="str">
            <v>הדר התפוז , Citrus sinensis</v>
          </cell>
        </row>
        <row r="239">
          <cell r="A239" t="str">
            <v>הווניה מתוקה</v>
          </cell>
          <cell r="B239" t="str">
            <v>Hovenia dulcis</v>
          </cell>
          <cell r="C239">
            <v>3</v>
          </cell>
          <cell r="D239">
            <v>114</v>
          </cell>
          <cell r="E239" t="str">
            <v>הווניה מתוקה, Hovenia dulcis</v>
          </cell>
        </row>
        <row r="240">
          <cell r="A240" t="str">
            <v>הומלנתוס צפצפתי</v>
          </cell>
          <cell r="B240" t="str">
            <v>Homalanthus populifolius</v>
          </cell>
          <cell r="C240">
            <v>2</v>
          </cell>
          <cell r="D240">
            <v>115</v>
          </cell>
          <cell r="E240" t="str">
            <v>הומלנתוס צפצפתי, Homalanthus populifolius</v>
          </cell>
        </row>
        <row r="241">
          <cell r="A241" t="str">
            <v>הטרומלס קטלבי</v>
          </cell>
          <cell r="B241" t="str">
            <v>Heteromeles arbutifolia</v>
          </cell>
          <cell r="C241">
            <v>3</v>
          </cell>
          <cell r="D241">
            <v>116</v>
          </cell>
          <cell r="E241" t="str">
            <v>הטרומלס קטלבי, Heteromeles arbutifolia</v>
          </cell>
        </row>
        <row r="242">
          <cell r="A242" t="str">
            <v>היביסקוס חליף</v>
          </cell>
          <cell r="B242" t="str">
            <v>Hibiscus mutabilis</v>
          </cell>
          <cell r="C242">
            <v>3</v>
          </cell>
          <cell r="D242">
            <v>416</v>
          </cell>
          <cell r="E242" t="str">
            <v>היביסקוס חליף, Hibiscus mutabilis</v>
          </cell>
        </row>
        <row r="243">
          <cell r="A243" t="str">
            <v>היביסקוס טילייתי ('סתריה')</v>
          </cell>
          <cell r="B243" t="str">
            <v>Hibiscus tiliaceus</v>
          </cell>
          <cell r="C243">
            <v>3</v>
          </cell>
          <cell r="D243">
            <v>417</v>
          </cell>
          <cell r="E243" t="str">
            <v>היביסקוס טילייתי ('סתריה'), Hibiscus tiliaceus</v>
          </cell>
        </row>
        <row r="244">
          <cell r="A244" t="str">
            <v>היביסקוס רם</v>
          </cell>
          <cell r="B244" t="str">
            <v>Hibiscus elatus</v>
          </cell>
          <cell r="C244">
            <v>2</v>
          </cell>
          <cell r="D244">
            <v>117</v>
          </cell>
          <cell r="E244" t="str">
            <v>היביסקוס רם, Hibiscus elatus</v>
          </cell>
        </row>
        <row r="245">
          <cell r="A245" t="str">
            <v>הינומית צהובה</v>
          </cell>
          <cell r="B245" t="str">
            <v>Hymenosporum flavum</v>
          </cell>
          <cell r="C245">
            <v>3</v>
          </cell>
          <cell r="D245">
            <v>118</v>
          </cell>
          <cell r="E245" t="str">
            <v>הינומית צהובה, Hymenosporum flavum</v>
          </cell>
        </row>
        <row r="246">
          <cell r="A246" t="str">
            <v>וושינגטוניה חוטית</v>
          </cell>
          <cell r="B246" t="str">
            <v>Washingtonia filifera</v>
          </cell>
          <cell r="C246">
            <v>3</v>
          </cell>
          <cell r="D246">
            <v>119</v>
          </cell>
          <cell r="E246" t="str">
            <v>וושינגטוניה חוטית, Washingtonia filifera</v>
          </cell>
        </row>
        <row r="247">
          <cell r="A247" t="str">
            <v>וושינגטוניה חסונה</v>
          </cell>
          <cell r="B247" t="str">
            <v>Washingtonia Robusta</v>
          </cell>
          <cell r="C247">
            <v>2</v>
          </cell>
          <cell r="D247">
            <v>120</v>
          </cell>
          <cell r="E247" t="str">
            <v>וושינגטוניה חסונה, Washingtonia Robusta</v>
          </cell>
        </row>
        <row r="248">
          <cell r="A248" t="str">
            <v>זית אירופי</v>
          </cell>
          <cell r="B248" t="str">
            <v>Olea europaea</v>
          </cell>
          <cell r="C248">
            <v>4</v>
          </cell>
          <cell r="D248">
            <v>121</v>
          </cell>
          <cell r="E248" t="str">
            <v>זית אירופי, Olea europaea</v>
          </cell>
        </row>
        <row r="249">
          <cell r="A249" t="str">
            <v>זלקובה משורית</v>
          </cell>
          <cell r="B249" t="str">
            <v>Zelkova serrate</v>
          </cell>
          <cell r="C249">
            <v>4</v>
          </cell>
          <cell r="D249">
            <v>122</v>
          </cell>
          <cell r="E249" t="str">
            <v>זלקובה משורית, Zelkova serrate</v>
          </cell>
        </row>
        <row r="250">
          <cell r="A250" t="str">
            <v>זקום מצרי</v>
          </cell>
          <cell r="B250" t="str">
            <v>Balanites aegyptiaca</v>
          </cell>
          <cell r="C250">
            <v>4</v>
          </cell>
          <cell r="D250">
            <v>123</v>
          </cell>
          <cell r="E250" t="str">
            <v>זקום מצרי, Balanites aegyptiaca</v>
          </cell>
        </row>
        <row r="251">
          <cell r="A251" t="str">
            <v>זקיניה דוקרנית</v>
          </cell>
          <cell r="B251" t="str">
            <v xml:space="preserve">pungens Jacquinia </v>
          </cell>
          <cell r="C251">
            <v>2</v>
          </cell>
          <cell r="D251">
            <v>420</v>
          </cell>
          <cell r="E251" t="str">
            <v xml:space="preserve">זקיניה דוקרנית, pungens Jacquinia </v>
          </cell>
        </row>
        <row r="252">
          <cell r="A252" t="str">
            <v>חאיה ניאסית</v>
          </cell>
          <cell r="B252" t="str">
            <v>Khaya nyasica</v>
          </cell>
          <cell r="C252">
            <v>3</v>
          </cell>
          <cell r="D252">
            <v>535</v>
          </cell>
          <cell r="E252" t="str">
            <v>חאיה ניאסית, Khaya nyasica</v>
          </cell>
        </row>
        <row r="253">
          <cell r="A253" t="str">
            <v>חבוש מוארך</v>
          </cell>
          <cell r="B253" t="str">
            <v>Cydonia oblonga</v>
          </cell>
          <cell r="C253">
            <v>2</v>
          </cell>
          <cell r="D253">
            <v>536</v>
          </cell>
          <cell r="E253" t="str">
            <v>חבוש מוארך, Cydonia oblonga</v>
          </cell>
        </row>
        <row r="254">
          <cell r="A254" t="str">
            <v>חוזרר החורש</v>
          </cell>
          <cell r="B254" t="str">
            <v>Eriobolus trilobatus</v>
          </cell>
          <cell r="C254">
            <v>4</v>
          </cell>
          <cell r="D254">
            <v>537</v>
          </cell>
          <cell r="E254" t="str">
            <v>חוזרר החורש, Eriobolus trilobatus</v>
          </cell>
        </row>
        <row r="255">
          <cell r="A255" t="str">
            <v>חלבלוב דמוי-קוטינוס</v>
          </cell>
          <cell r="B255" t="str">
            <v>Euphorbia cotinifolia</v>
          </cell>
          <cell r="C255">
            <v>2</v>
          </cell>
          <cell r="D255">
            <v>538</v>
          </cell>
          <cell r="E255" t="str">
            <v>חלבלוב דמוי-קוטינוס, Euphorbia cotinifolia</v>
          </cell>
        </row>
        <row r="256">
          <cell r="A256" t="str">
            <v>חלבלוב רותמי</v>
          </cell>
          <cell r="B256" t="str">
            <v>Euphorbia tirucalli</v>
          </cell>
          <cell r="C256">
            <v>2</v>
          </cell>
          <cell r="D256">
            <v>128</v>
          </cell>
          <cell r="E256" t="str">
            <v>חלבלוב רותמי, Euphorbia tirucalli</v>
          </cell>
        </row>
        <row r="257">
          <cell r="A257" t="str">
            <v>חרוב מצוי</v>
          </cell>
          <cell r="B257" t="str">
            <v>Ceratonia siliqua</v>
          </cell>
          <cell r="C257">
            <v>4</v>
          </cell>
          <cell r="D257">
            <v>129</v>
          </cell>
          <cell r="E257" t="str">
            <v>חרוב מצוי, Ceratonia siliqua</v>
          </cell>
        </row>
        <row r="258">
          <cell r="A258" t="str">
            <v>טבבויה איפה</v>
          </cell>
          <cell r="B258" t="str">
            <v>Tabebuia impetiginosa</v>
          </cell>
          <cell r="C258">
            <v>4</v>
          </cell>
          <cell r="D258">
            <v>130</v>
          </cell>
          <cell r="E258" t="str">
            <v>טבבויה איפה, Tabebuia impetiginosa</v>
          </cell>
        </row>
        <row r="259">
          <cell r="A259" t="str">
            <v>טבבויה צהובה</v>
          </cell>
          <cell r="B259" t="str">
            <v>Tabebuia chrysantha</v>
          </cell>
          <cell r="C259">
            <v>3</v>
          </cell>
          <cell r="D259">
            <v>131</v>
          </cell>
          <cell r="E259" t="str">
            <v>טבבויה צהובה, Tabebuia chrysantha</v>
          </cell>
        </row>
        <row r="260">
          <cell r="A260" t="str">
            <v>טטרקליניס מפריק</v>
          </cell>
          <cell r="B260" t="str">
            <v>Tetraclinis articulate</v>
          </cell>
          <cell r="C260">
            <v>3</v>
          </cell>
          <cell r="D260">
            <v>132</v>
          </cell>
          <cell r="E260" t="str">
            <v>טטרקליניס מפריק, Tetraclinis articulate</v>
          </cell>
        </row>
        <row r="261">
          <cell r="A261" t="str">
            <v>טיליה רחבת-עלים</v>
          </cell>
          <cell r="B261" t="str">
            <v>Tilia platyphyllos</v>
          </cell>
          <cell r="C261">
            <v>3</v>
          </cell>
          <cell r="D261">
            <v>564</v>
          </cell>
          <cell r="E261" t="str">
            <v>טיליה רחבת-עלים, Tilia platyphyllos</v>
          </cell>
        </row>
        <row r="262">
          <cell r="A262" t="str">
            <v>טכסודיון דו-טורי</v>
          </cell>
          <cell r="B262" t="str">
            <v>Taxodium distichum</v>
          </cell>
          <cell r="C262">
            <v>4</v>
          </cell>
          <cell r="D262">
            <v>133</v>
          </cell>
          <cell r="E262" t="str">
            <v>טכסודיון דו-טורי, Taxodium distichum</v>
          </cell>
        </row>
        <row r="263">
          <cell r="A263" t="str">
            <v>טקומן סיני</v>
          </cell>
          <cell r="B263" t="str">
            <v>Radermachia sinica</v>
          </cell>
          <cell r="C263">
            <v>3</v>
          </cell>
          <cell r="D263">
            <v>134</v>
          </cell>
          <cell r="E263" t="str">
            <v>טקומן סיני, Radermachia sinica</v>
          </cell>
        </row>
        <row r="264">
          <cell r="A264" t="str">
            <v>טקסוס מעונב</v>
          </cell>
          <cell r="B264" t="str">
            <v>Taxus baccata</v>
          </cell>
          <cell r="C264">
            <v>4</v>
          </cell>
          <cell r="D264">
            <v>421</v>
          </cell>
          <cell r="E264" t="str">
            <v>טקסוס מעונב, Taxus baccata</v>
          </cell>
        </row>
        <row r="265">
          <cell r="A265" t="str">
            <v>טרכיקרפוס פורטון</v>
          </cell>
          <cell r="B265" t="str">
            <v>Trachycarpus fortuni</v>
          </cell>
          <cell r="C265">
            <v>4</v>
          </cell>
          <cell r="D265">
            <v>135</v>
          </cell>
          <cell r="E265" t="str">
            <v>טרכיקרפוס פורטון, Trachycarpus fortuni</v>
          </cell>
        </row>
        <row r="266">
          <cell r="A266" t="str">
            <v>טרמינליה הודית</v>
          </cell>
          <cell r="B266" t="str">
            <v>Terminalia arjuna</v>
          </cell>
          <cell r="C266">
            <v>3</v>
          </cell>
          <cell r="D266">
            <v>136</v>
          </cell>
          <cell r="E266" t="str">
            <v>טרמינליה הודית, Terminalia arjuna</v>
          </cell>
        </row>
        <row r="267">
          <cell r="A267" t="str">
            <v>יטרופית מחולקת</v>
          </cell>
          <cell r="B267" t="str">
            <v>Jatropha multifida</v>
          </cell>
          <cell r="C267">
            <v>2</v>
          </cell>
          <cell r="D267">
            <v>425</v>
          </cell>
          <cell r="E267" t="str">
            <v>יטרופית מחולקת, Jatropha multifida</v>
          </cell>
        </row>
        <row r="268">
          <cell r="A268" t="str">
            <v>יטרופית קצרת-אונות</v>
          </cell>
          <cell r="B268" t="str">
            <v>Jatropha curcas</v>
          </cell>
          <cell r="C268">
            <v>2</v>
          </cell>
          <cell r="D268">
            <v>426</v>
          </cell>
          <cell r="E268" t="str">
            <v>יטרופית קצרת-אונות, Jatropha curcas</v>
          </cell>
        </row>
        <row r="269">
          <cell r="A269" t="str">
            <v>יטרופית תמימה</v>
          </cell>
          <cell r="B269" t="str">
            <v>Jatropha integerrima</v>
          </cell>
          <cell r="C269">
            <v>2</v>
          </cell>
          <cell r="D269">
            <v>539</v>
          </cell>
          <cell r="E269" t="str">
            <v>יטרופית תמימה, Jatropha integerrima</v>
          </cell>
        </row>
        <row r="270">
          <cell r="A270" t="str">
            <v>ינבוט המסקיטו</v>
          </cell>
          <cell r="B270" t="str">
            <v>Prosopis juliflora</v>
          </cell>
          <cell r="C270">
            <v>2</v>
          </cell>
          <cell r="D270">
            <v>137</v>
          </cell>
          <cell r="E270" t="str">
            <v>ינבוט המסקיטו, Prosopis juliflora</v>
          </cell>
        </row>
        <row r="271">
          <cell r="A271" t="str">
            <v>ינבוט לבן</v>
          </cell>
          <cell r="B271" t="str">
            <v>Prosopis alba</v>
          </cell>
          <cell r="C271">
            <v>3</v>
          </cell>
          <cell r="D271">
            <v>138</v>
          </cell>
          <cell r="E271" t="str">
            <v>ינבוט לבן, Prosopis alba</v>
          </cell>
        </row>
        <row r="272">
          <cell r="A272" t="str">
            <v>יצהרון מכסיף</v>
          </cell>
          <cell r="B272" t="str">
            <v>Elaeagnus angutifolia</v>
          </cell>
          <cell r="C272">
            <v>3</v>
          </cell>
          <cell r="D272">
            <v>139</v>
          </cell>
          <cell r="E272" t="str">
            <v>יצהרון מכסיף, Elaeagnus angutifolia</v>
          </cell>
        </row>
        <row r="273">
          <cell r="A273" t="str">
            <v>כוריזיה בקבוקית</v>
          </cell>
          <cell r="B273" t="str">
            <v>Chorisia insignis</v>
          </cell>
          <cell r="C273">
            <v>3</v>
          </cell>
          <cell r="D273">
            <v>141</v>
          </cell>
          <cell r="E273" t="str">
            <v>כוריזיה בקבוקית, Chorisia insignis</v>
          </cell>
        </row>
        <row r="274">
          <cell r="A274" t="str">
            <v>כוריזיה הדורה</v>
          </cell>
          <cell r="B274" t="str">
            <v>Chorisia speciosa</v>
          </cell>
          <cell r="C274">
            <v>4</v>
          </cell>
          <cell r="D274">
            <v>142</v>
          </cell>
          <cell r="E274" t="str">
            <v>כוריזיה הדורה, Chorisia speciosa</v>
          </cell>
        </row>
        <row r="275">
          <cell r="A275" t="str">
            <v>כיטלפת טשקנט</v>
          </cell>
          <cell r="B275" t="str">
            <v>Chitalpa tashkentensis X</v>
          </cell>
          <cell r="C275">
            <v>3</v>
          </cell>
          <cell r="D275">
            <v>143</v>
          </cell>
          <cell r="E275" t="str">
            <v>כיטלפת טשקנט, Chitalpa tashkentensis X</v>
          </cell>
        </row>
        <row r="276">
          <cell r="A276" t="str">
            <v>כילופסיס סרגלי</v>
          </cell>
          <cell r="B276" t="str">
            <v>Chilopsis linearis</v>
          </cell>
          <cell r="C276">
            <v>3</v>
          </cell>
          <cell r="D276">
            <v>144</v>
          </cell>
          <cell r="E276" t="str">
            <v>כילופסיס סרגלי, Chilopsis linearis</v>
          </cell>
        </row>
        <row r="277">
          <cell r="A277" t="str">
            <v>כליל החורש</v>
          </cell>
          <cell r="B277" t="str">
            <v>Cercis siliquastrum</v>
          </cell>
          <cell r="C277">
            <v>4</v>
          </cell>
          <cell r="D277">
            <v>145</v>
          </cell>
          <cell r="E277" t="str">
            <v>כליל החורש, Cercis siliquastrum</v>
          </cell>
        </row>
        <row r="278">
          <cell r="A278" t="str">
            <v>כליל קנדי</v>
          </cell>
          <cell r="B278" t="str">
            <v>Cercis canadensis</v>
          </cell>
          <cell r="C278">
            <v>3</v>
          </cell>
          <cell r="D278">
            <v>146</v>
          </cell>
          <cell r="E278" t="str">
            <v>כליל קנדי, Cercis canadensis</v>
          </cell>
        </row>
        <row r="279">
          <cell r="A279" t="str">
            <v>כמרופס נמוך</v>
          </cell>
          <cell r="B279" t="str">
            <v>Chamaerops humilis</v>
          </cell>
          <cell r="C279">
            <v>5</v>
          </cell>
          <cell r="D279">
            <v>147</v>
          </cell>
          <cell r="E279" t="str">
            <v>כמרופס נמוך, Chamaerops humilis</v>
          </cell>
        </row>
        <row r="280">
          <cell r="A280" t="str">
            <v>כנף-זרע אדרי</v>
          </cell>
          <cell r="B280" t="str">
            <v>pterospermum acerifolium</v>
          </cell>
          <cell r="C280">
            <v>4</v>
          </cell>
          <cell r="D280">
            <v>148</v>
          </cell>
          <cell r="E280" t="str">
            <v>כנף-זרע אדרי, pterospermum acerifolium</v>
          </cell>
        </row>
        <row r="281">
          <cell r="A281" t="str">
            <v>כסיית האבוב</v>
          </cell>
          <cell r="B281" t="str">
            <v>Cassia fistula</v>
          </cell>
          <cell r="C281">
            <v>3</v>
          </cell>
          <cell r="D281">
            <v>149</v>
          </cell>
          <cell r="E281" t="str">
            <v>כסיית האבוב, Cassia fistula</v>
          </cell>
        </row>
        <row r="282">
          <cell r="A282" t="str">
            <v>כרבל לביד</v>
          </cell>
          <cell r="B282" t="str">
            <v>Alectryon tomentosum</v>
          </cell>
          <cell r="C282">
            <v>3</v>
          </cell>
          <cell r="D282">
            <v>150</v>
          </cell>
          <cell r="E282" t="str">
            <v>כרבל לביד, Alectryon tomentosum</v>
          </cell>
        </row>
        <row r="283">
          <cell r="A283" t="str">
            <v>לבן- עלה שיחני גרין קלאוד</v>
          </cell>
          <cell r="B283" t="str">
            <v xml:space="preserve">Leucophyllum frutescens - Green Cloud </v>
          </cell>
          <cell r="C283">
            <v>3</v>
          </cell>
          <cell r="D283">
            <v>427</v>
          </cell>
          <cell r="E283" t="str">
            <v xml:space="preserve">לבן- עלה שיחני גרין קלאוד, Leucophyllum frutescens - Green Cloud </v>
          </cell>
        </row>
        <row r="284">
          <cell r="A284" t="str">
            <v>לבנה רפואי</v>
          </cell>
          <cell r="B284" t="str">
            <v>Styrax officinalis</v>
          </cell>
          <cell r="C284">
            <v>4</v>
          </cell>
          <cell r="D284">
            <v>151</v>
          </cell>
          <cell r="E284" t="str">
            <v>לבנה רפואי, Styrax officinalis</v>
          </cell>
        </row>
        <row r="285">
          <cell r="A285" t="str">
            <v>לגונריית פטרסון</v>
          </cell>
          <cell r="B285" t="str">
            <v>Lagunaria patersonii</v>
          </cell>
          <cell r="C285">
            <v>3</v>
          </cell>
          <cell r="D285">
            <v>152</v>
          </cell>
          <cell r="E285" t="str">
            <v>לגונריית פטרסון, Lagunaria patersonii</v>
          </cell>
        </row>
        <row r="286">
          <cell r="A286" t="str">
            <v>לגרסטרמיה הודית</v>
          </cell>
          <cell r="B286" t="str">
            <v>Lagerstroemia indica</v>
          </cell>
          <cell r="C286">
            <v>3</v>
          </cell>
          <cell r="D286">
            <v>153</v>
          </cell>
          <cell r="E286" t="str">
            <v>לגרסטרמיה הודית, Lagerstroemia indica</v>
          </cell>
        </row>
        <row r="287">
          <cell r="A287" t="str">
            <v>ליגוסטרום יפני</v>
          </cell>
          <cell r="B287" t="str">
            <v>Ligustrum japonicum</v>
          </cell>
          <cell r="C287">
            <v>3</v>
          </cell>
          <cell r="D287">
            <v>154</v>
          </cell>
          <cell r="E287" t="str">
            <v>ליגוסטרום יפני, Ligustrum japonicum</v>
          </cell>
        </row>
        <row r="288">
          <cell r="A288" t="str">
            <v>ליוויסטונה סינית</v>
          </cell>
          <cell r="B288" t="str">
            <v>Livistona chinensis</v>
          </cell>
          <cell r="C288">
            <v>4</v>
          </cell>
          <cell r="D288">
            <v>428</v>
          </cell>
          <cell r="E288" t="str">
            <v>ליוויסטונה סינית, Livistona chinensis</v>
          </cell>
        </row>
        <row r="289">
          <cell r="A289" t="str">
            <v>ליצ'י</v>
          </cell>
          <cell r="B289" t="str">
            <v>Litchi chinensis</v>
          </cell>
          <cell r="C289">
            <v>3</v>
          </cell>
          <cell r="D289">
            <v>565</v>
          </cell>
          <cell r="E289" t="str">
            <v>ליצ'י, Litchi chinensis</v>
          </cell>
        </row>
        <row r="290">
          <cell r="A290" t="str">
            <v>ליקווידמבר לבני</v>
          </cell>
          <cell r="B290" t="str">
            <v>liquidambar styraciflua</v>
          </cell>
          <cell r="C290">
            <v>3</v>
          </cell>
          <cell r="D290">
            <v>156</v>
          </cell>
          <cell r="E290" t="str">
            <v>ליקווידמבר לבני, liquidambar styraciflua</v>
          </cell>
        </row>
        <row r="291">
          <cell r="A291" t="str">
            <v>מגלון אפריקני</v>
          </cell>
          <cell r="B291" t="str">
            <v>Harpephyllum caffrum</v>
          </cell>
          <cell r="C291">
            <v>3</v>
          </cell>
          <cell r="D291">
            <v>157</v>
          </cell>
          <cell r="E291" t="str">
            <v>מגלון אפריקני, Harpephyllum caffrum</v>
          </cell>
        </row>
        <row r="292">
          <cell r="A292" t="str">
            <v>מגנוליה גדולת-פרחים</v>
          </cell>
          <cell r="B292" t="str">
            <v>Magnolia grandiflora</v>
          </cell>
          <cell r="C292">
            <v>4</v>
          </cell>
          <cell r="D292">
            <v>158</v>
          </cell>
          <cell r="E292" t="str">
            <v>מגנוליה גדולת-פרחים, Magnolia grandiflora</v>
          </cell>
        </row>
        <row r="293">
          <cell r="A293" t="str">
            <v>מורינגה מכונפת</v>
          </cell>
          <cell r="B293" t="str">
            <v>Moringa oleifera</v>
          </cell>
          <cell r="C293">
            <v>3</v>
          </cell>
          <cell r="D293">
            <v>159</v>
          </cell>
          <cell r="E293" t="str">
            <v>מורינגה מכונפת, Moringa oleifera</v>
          </cell>
        </row>
        <row r="294">
          <cell r="A294" t="str">
            <v>מורינגה רותמית</v>
          </cell>
          <cell r="B294" t="str">
            <v>Moringa peregrine</v>
          </cell>
          <cell r="C294">
            <v>3</v>
          </cell>
          <cell r="D294">
            <v>160</v>
          </cell>
          <cell r="E294" t="str">
            <v>מורינגה רותמית, Moringa peregrine</v>
          </cell>
        </row>
        <row r="295">
          <cell r="A295" t="str">
            <v>מורן החורש</v>
          </cell>
          <cell r="B295" t="str">
            <v>Viburnum tinus</v>
          </cell>
          <cell r="C295">
            <v>1</v>
          </cell>
          <cell r="D295">
            <v>540</v>
          </cell>
          <cell r="E295" t="str">
            <v>מורן החורש, Viburnum tinus</v>
          </cell>
        </row>
        <row r="296">
          <cell r="A296" t="str">
            <v>מטאסקוויה סינית</v>
          </cell>
          <cell r="B296" t="str">
            <v>Metasequoia glyptostroboides</v>
          </cell>
          <cell r="C296">
            <v>4</v>
          </cell>
          <cell r="D296">
            <v>541</v>
          </cell>
          <cell r="E296" t="str">
            <v>מטאסקוויה סינית, Metasequoia glyptostroboides</v>
          </cell>
        </row>
        <row r="297">
          <cell r="A297" t="str">
            <v>מייש</v>
          </cell>
          <cell r="B297" t="str">
            <v>Celtis sp.</v>
          </cell>
          <cell r="C297">
            <v>4</v>
          </cell>
          <cell r="D297">
            <v>429</v>
          </cell>
          <cell r="E297" t="str">
            <v>מייש, Celtis sp.</v>
          </cell>
        </row>
        <row r="298">
          <cell r="A298" t="str">
            <v>מייש אפריקני</v>
          </cell>
          <cell r="B298" t="str">
            <v>Celtis africana</v>
          </cell>
          <cell r="C298">
            <v>3</v>
          </cell>
          <cell r="D298">
            <v>167</v>
          </cell>
          <cell r="E298" t="str">
            <v>מייש אפריקני, Celtis africana</v>
          </cell>
        </row>
        <row r="299">
          <cell r="A299" t="str">
            <v>מייש בונגה</v>
          </cell>
          <cell r="B299" t="str">
            <v>Celtis bungeana</v>
          </cell>
          <cell r="C299">
            <v>4</v>
          </cell>
          <cell r="D299">
            <v>168</v>
          </cell>
          <cell r="E299" t="str">
            <v>מייש בונגה, Celtis bungeana</v>
          </cell>
        </row>
        <row r="300">
          <cell r="A300" t="str">
            <v>מייש דרומי</v>
          </cell>
          <cell r="B300" t="str">
            <v>Celtis australis</v>
          </cell>
          <cell r="C300">
            <v>4</v>
          </cell>
          <cell r="D300">
            <v>169</v>
          </cell>
          <cell r="E300" t="str">
            <v>מייש דרומי, Celtis australis</v>
          </cell>
        </row>
        <row r="301">
          <cell r="A301" t="str">
            <v>מייש הכף</v>
          </cell>
          <cell r="B301" t="str">
            <v>Celtis capensis</v>
          </cell>
          <cell r="C301">
            <v>4</v>
          </cell>
          <cell r="D301">
            <v>430</v>
          </cell>
          <cell r="E301" t="str">
            <v>מייש הכף, Celtis capensis</v>
          </cell>
        </row>
        <row r="302">
          <cell r="A302" t="str">
            <v>מייש חלק</v>
          </cell>
          <cell r="B302" t="str">
            <v>Celtis laevigata</v>
          </cell>
          <cell r="C302">
            <v>4</v>
          </cell>
          <cell r="D302">
            <v>431</v>
          </cell>
          <cell r="E302" t="str">
            <v>מייש חלק, Celtis laevigata</v>
          </cell>
        </row>
        <row r="303">
          <cell r="A303" t="str">
            <v>מייש מערבי</v>
          </cell>
          <cell r="B303" t="str">
            <v>Celtis occidentalis</v>
          </cell>
          <cell r="C303">
            <v>4</v>
          </cell>
          <cell r="D303">
            <v>432</v>
          </cell>
          <cell r="E303" t="str">
            <v>מייש מערבי, Celtis occidentalis</v>
          </cell>
        </row>
        <row r="304">
          <cell r="A304" t="str">
            <v>מייש מרובע</v>
          </cell>
          <cell r="B304" t="str">
            <v>Celtis tetrandra</v>
          </cell>
          <cell r="C304">
            <v>4</v>
          </cell>
          <cell r="D304">
            <v>433</v>
          </cell>
          <cell r="E304" t="str">
            <v>מייש מרובע, Celtis tetrandra</v>
          </cell>
        </row>
        <row r="305">
          <cell r="A305" t="str">
            <v>מייש מרושת</v>
          </cell>
          <cell r="B305" t="str">
            <v>Celtis reticulata</v>
          </cell>
          <cell r="C305">
            <v>4</v>
          </cell>
          <cell r="D305">
            <v>434</v>
          </cell>
          <cell r="E305" t="str">
            <v>מייש מרושת, Celtis reticulata</v>
          </cell>
        </row>
        <row r="306">
          <cell r="A306" t="str">
            <v>מייש סיני</v>
          </cell>
          <cell r="B306" t="str">
            <v>Celtis sinensis</v>
          </cell>
          <cell r="C306">
            <v>3</v>
          </cell>
          <cell r="D306">
            <v>170</v>
          </cell>
          <cell r="E306" t="str">
            <v>מייש סיני, Celtis sinensis</v>
          </cell>
        </row>
        <row r="307">
          <cell r="A307" t="str">
            <v>מייש קווקזי</v>
          </cell>
          <cell r="B307" t="str">
            <v>Celtis caucasica</v>
          </cell>
          <cell r="C307">
            <v>4</v>
          </cell>
          <cell r="D307">
            <v>435</v>
          </cell>
          <cell r="E307" t="str">
            <v>מייש קווקזי, Celtis caucasica</v>
          </cell>
        </row>
        <row r="308">
          <cell r="A308" t="str">
            <v>מייש קוצני</v>
          </cell>
          <cell r="B308" t="str">
            <v>Celtis spinosa</v>
          </cell>
          <cell r="C308">
            <v>4</v>
          </cell>
          <cell r="D308">
            <v>436</v>
          </cell>
          <cell r="E308" t="str">
            <v>מייש קוצני, Celtis spinosa</v>
          </cell>
        </row>
        <row r="309">
          <cell r="A309" t="str">
            <v>מילה אמריקנית</v>
          </cell>
          <cell r="B309" t="str">
            <v>Fraxinus Americana</v>
          </cell>
          <cell r="C309">
            <v>3</v>
          </cell>
          <cell r="D309">
            <v>162</v>
          </cell>
          <cell r="E309" t="str">
            <v>מילה אמריקנית, Fraxinus Americana</v>
          </cell>
        </row>
        <row r="310">
          <cell r="A310" t="str">
            <v>מילה ירוקת-עד</v>
          </cell>
          <cell r="B310" t="str">
            <v>Fraxinus uhde</v>
          </cell>
          <cell r="C310">
            <v>4</v>
          </cell>
          <cell r="D310">
            <v>163</v>
          </cell>
          <cell r="E310" t="str">
            <v>מילה ירוקת-עד, Fraxinus uhde</v>
          </cell>
        </row>
        <row r="311">
          <cell r="A311" t="str">
            <v>מילה לבנת-פרחים</v>
          </cell>
          <cell r="B311" t="str">
            <v>Fraxinus ornus</v>
          </cell>
          <cell r="C311">
            <v>3</v>
          </cell>
          <cell r="D311">
            <v>164</v>
          </cell>
          <cell r="E311" t="str">
            <v>מילה לבנת-פרחים, Fraxinus ornus</v>
          </cell>
        </row>
        <row r="312">
          <cell r="A312" t="str">
            <v>מילה סורית</v>
          </cell>
          <cell r="B312" t="str">
            <v>Fraxinus syriaca</v>
          </cell>
          <cell r="C312">
            <v>4</v>
          </cell>
          <cell r="D312">
            <v>165</v>
          </cell>
          <cell r="E312" t="str">
            <v>מילה סורית, Fraxinus syriaca</v>
          </cell>
        </row>
        <row r="313">
          <cell r="A313" t="str">
            <v>מילה פנסילוונית</v>
          </cell>
          <cell r="B313" t="str">
            <v>Fraxinus pennsylvanica</v>
          </cell>
          <cell r="C313">
            <v>4</v>
          </cell>
          <cell r="D313">
            <v>166</v>
          </cell>
          <cell r="E313" t="str">
            <v>מילה פנסילוונית, Fraxinus pennsylvanica</v>
          </cell>
        </row>
        <row r="314">
          <cell r="A314" t="str">
            <v>מירסיאנתוס ריחני</v>
          </cell>
          <cell r="B314" t="str">
            <v>Myrcianthes fragrans</v>
          </cell>
          <cell r="C314">
            <v>2</v>
          </cell>
          <cell r="D314">
            <v>437</v>
          </cell>
          <cell r="E314" t="str">
            <v>מירסיאנתוס ריחני, Myrcianthes fragrans</v>
          </cell>
        </row>
        <row r="315">
          <cell r="A315" t="str">
            <v>מכנף נאה</v>
          </cell>
          <cell r="B315" t="str">
            <v>Tipuana tipu</v>
          </cell>
          <cell r="C315">
            <v>3</v>
          </cell>
          <cell r="D315">
            <v>171</v>
          </cell>
          <cell r="E315" t="str">
            <v>מכנף נאה, Tipuana tipu</v>
          </cell>
        </row>
        <row r="316">
          <cell r="A316" t="str">
            <v>מללויקה דקת-קליפה</v>
          </cell>
          <cell r="B316" t="str">
            <v>Melaleuca halmaturorum</v>
          </cell>
          <cell r="C316">
            <v>3</v>
          </cell>
          <cell r="D316">
            <v>438</v>
          </cell>
          <cell r="E316" t="str">
            <v>מללויקה דקת-קליפה, Melaleuca halmaturorum</v>
          </cell>
        </row>
        <row r="317">
          <cell r="A317" t="str">
            <v>מללויקה ירוקת-פרחים</v>
          </cell>
          <cell r="B317" t="str">
            <v>Melaleuca viridiflora</v>
          </cell>
          <cell r="C317">
            <v>3</v>
          </cell>
          <cell r="D317">
            <v>439</v>
          </cell>
          <cell r="E317" t="str">
            <v>מללויקה ירוקת-פרחים, Melaleuca viridiflora</v>
          </cell>
        </row>
        <row r="318">
          <cell r="A318" t="str">
            <v>מללויקה לבנת-קליפה</v>
          </cell>
          <cell r="B318" t="str">
            <v>Melaleuca styphelioides</v>
          </cell>
          <cell r="C318">
            <v>3</v>
          </cell>
          <cell r="D318">
            <v>440</v>
          </cell>
          <cell r="E318" t="str">
            <v>מללויקה לבנת-קליפה, Melaleuca styphelioides</v>
          </cell>
        </row>
        <row r="319">
          <cell r="A319" t="str">
            <v>מללויקה מאפירה</v>
          </cell>
          <cell r="B319" t="str">
            <v>Melaleuca incana</v>
          </cell>
          <cell r="C319">
            <v>3</v>
          </cell>
          <cell r="D319">
            <v>441</v>
          </cell>
          <cell r="E319" t="str">
            <v>מללויקה מאפירה, Melaleuca incana</v>
          </cell>
        </row>
        <row r="320">
          <cell r="A320" t="str">
            <v>מללויקה מחפה</v>
          </cell>
          <cell r="B320" t="str">
            <v>Melaleuca bracteata</v>
          </cell>
          <cell r="C320">
            <v>3</v>
          </cell>
          <cell r="D320">
            <v>442</v>
          </cell>
          <cell r="E320" t="str">
            <v>מללויקה מחפה, Melaleuca bracteata</v>
          </cell>
        </row>
        <row r="321">
          <cell r="A321" t="str">
            <v>מללויקה מכסיפה</v>
          </cell>
          <cell r="B321" t="str">
            <v>Melaleuca argentea</v>
          </cell>
          <cell r="C321">
            <v>3</v>
          </cell>
          <cell r="D321">
            <v>443</v>
          </cell>
          <cell r="E321" t="str">
            <v>מללויקה מכסיפה, Melaleuca argentea</v>
          </cell>
        </row>
        <row r="322">
          <cell r="A322" t="str">
            <v>מללויקה מצומדת</v>
          </cell>
          <cell r="B322" t="str">
            <v>Melaleuca armillaris</v>
          </cell>
          <cell r="C322">
            <v>3</v>
          </cell>
          <cell r="D322">
            <v>444</v>
          </cell>
          <cell r="E322" t="str">
            <v>מללויקה מצומדת, Melaleuca armillaris</v>
          </cell>
        </row>
        <row r="323">
          <cell r="A323" t="str">
            <v>מללויקה מתקלפת</v>
          </cell>
          <cell r="B323" t="str">
            <v>Melaleuca nesophylla</v>
          </cell>
          <cell r="C323">
            <v>3</v>
          </cell>
          <cell r="D323">
            <v>445</v>
          </cell>
          <cell r="E323" t="str">
            <v>מללויקה מתקלפת, Melaleuca nesophylla</v>
          </cell>
        </row>
        <row r="324">
          <cell r="A324" t="str">
            <v>מללויקה קטנת-פרחים</v>
          </cell>
          <cell r="B324" t="str">
            <v>Melaleuca parviflora</v>
          </cell>
          <cell r="C324">
            <v>3</v>
          </cell>
          <cell r="D324">
            <v>446</v>
          </cell>
          <cell r="E324" t="str">
            <v>מללויקה קטנת-פרחים, Melaleuca parviflora</v>
          </cell>
        </row>
        <row r="325">
          <cell r="A325" t="str">
            <v>מללויקה רותמית</v>
          </cell>
          <cell r="B325" t="str">
            <v>Melaleuca genistifolia</v>
          </cell>
          <cell r="C325">
            <v>3</v>
          </cell>
          <cell r="D325">
            <v>447</v>
          </cell>
          <cell r="E325" t="str">
            <v>מללויקה רותמית, Melaleuca genistifolia</v>
          </cell>
        </row>
        <row r="326">
          <cell r="A326" t="str">
            <v>מללויקה רחבת-עלים</v>
          </cell>
          <cell r="B326" t="str">
            <v>Melaleuca leucadendra</v>
          </cell>
          <cell r="C326">
            <v>3</v>
          </cell>
          <cell r="D326">
            <v>448</v>
          </cell>
          <cell r="E326" t="str">
            <v>מללויקה רחבת-עלים, Melaleuca leucadendra</v>
          </cell>
        </row>
        <row r="327">
          <cell r="A327" t="str">
            <v>מללויקת כלאיים</v>
          </cell>
          <cell r="B327" t="str">
            <v>Melaleuca 'hybrid'</v>
          </cell>
          <cell r="C327">
            <v>3</v>
          </cell>
          <cell r="D327">
            <v>449</v>
          </cell>
          <cell r="E327" t="str">
            <v>מללויקת כלאיים, Melaleuca 'hybrid'</v>
          </cell>
        </row>
        <row r="328">
          <cell r="A328" t="str">
            <v>מנגו הודי</v>
          </cell>
          <cell r="B328" t="str">
            <v>Mangifera indica</v>
          </cell>
          <cell r="C328">
            <v>3</v>
          </cell>
          <cell r="D328">
            <v>173</v>
          </cell>
          <cell r="E328" t="str">
            <v>מנגו הודי, Mangifera indica</v>
          </cell>
        </row>
        <row r="329">
          <cell r="A329" t="str">
            <v>מקדמיה רבועה</v>
          </cell>
          <cell r="B329" t="str">
            <v>Macadamia tetraphylla</v>
          </cell>
          <cell r="C329">
            <v>3</v>
          </cell>
          <cell r="D329">
            <v>174</v>
          </cell>
          <cell r="E329" t="str">
            <v>מקדמיה רבועה, Macadamia tetraphylla</v>
          </cell>
        </row>
        <row r="330">
          <cell r="A330" t="str">
            <v>מקלורה זהובה</v>
          </cell>
          <cell r="B330" t="str">
            <v>Maclura pomifera</v>
          </cell>
          <cell r="C330">
            <v>3.5</v>
          </cell>
          <cell r="D330">
            <v>450</v>
          </cell>
          <cell r="E330" t="str">
            <v>מקלורה זהובה, Maclura pomifera</v>
          </cell>
        </row>
        <row r="331">
          <cell r="A331" t="str">
            <v>מרואה עבת-עלים</v>
          </cell>
          <cell r="B331" t="str">
            <v>Maerua crassifolia</v>
          </cell>
          <cell r="C331">
            <v>4</v>
          </cell>
          <cell r="D331">
            <v>175</v>
          </cell>
          <cell r="E331" t="str">
            <v>מרואה עבת-עלים, Maerua crassifolia</v>
          </cell>
        </row>
        <row r="332">
          <cell r="A332" t="str">
            <v>מרקמיה צהובה</v>
          </cell>
          <cell r="B332" t="str">
            <v>Markhamia lutea</v>
          </cell>
          <cell r="C332">
            <v>2</v>
          </cell>
          <cell r="D332">
            <v>176</v>
          </cell>
          <cell r="E332" t="str">
            <v>מרקמיה צהובה, Markhamia lutea</v>
          </cell>
        </row>
        <row r="333">
          <cell r="A333" t="str">
            <v>משמש</v>
          </cell>
          <cell r="B333" t="str">
            <v>Prunus armeniaca</v>
          </cell>
          <cell r="C333">
            <v>3</v>
          </cell>
          <cell r="D333">
            <v>569</v>
          </cell>
          <cell r="E333" t="str">
            <v>משמש, Prunus armeniaca</v>
          </cell>
        </row>
        <row r="334">
          <cell r="A334" t="str">
            <v>מתחלית פעמונית</v>
          </cell>
          <cell r="B334" t="str">
            <v>Spathodea campanulata</v>
          </cell>
          <cell r="C334">
            <v>3</v>
          </cell>
          <cell r="D334">
            <v>177</v>
          </cell>
          <cell r="E334" t="str">
            <v>מתחלית פעמונית, Spathodea campanulata</v>
          </cell>
        </row>
        <row r="335">
          <cell r="A335" t="str">
            <v>נקטרינה</v>
          </cell>
          <cell r="B335" t="str">
            <v>Prunus persica nectarina</v>
          </cell>
          <cell r="C335">
            <v>3</v>
          </cell>
          <cell r="D335">
            <v>568</v>
          </cell>
          <cell r="E335" t="str">
            <v>נקטרינה, Prunus persica nectarina</v>
          </cell>
        </row>
        <row r="336">
          <cell r="A336" t="str">
            <v>סבל פלמטו</v>
          </cell>
          <cell r="B336" t="str">
            <v>Sabal palmetto</v>
          </cell>
          <cell r="C336">
            <v>3</v>
          </cell>
          <cell r="D336">
            <v>178</v>
          </cell>
          <cell r="E336" t="str">
            <v>סבל פלמטו, Sabal palmetto</v>
          </cell>
        </row>
        <row r="337">
          <cell r="A337" t="str">
            <v>סהרון קשה עלים</v>
          </cell>
          <cell r="B337" t="str">
            <v>laurifolia Cocculus</v>
          </cell>
          <cell r="C337">
            <v>3</v>
          </cell>
          <cell r="D337">
            <v>451</v>
          </cell>
          <cell r="E337" t="str">
            <v>סהרון קשה עלים, laurifolia Cocculus</v>
          </cell>
        </row>
        <row r="338">
          <cell r="A338" t="str">
            <v>סולנום גדול</v>
          </cell>
          <cell r="B338" t="str">
            <v>Solanum macranthum</v>
          </cell>
          <cell r="C338">
            <v>2</v>
          </cell>
          <cell r="D338">
            <v>179</v>
          </cell>
          <cell r="E338" t="str">
            <v>סולנום גדול, Solanum macranthum</v>
          </cell>
        </row>
        <row r="339">
          <cell r="A339" t="str">
            <v>סופורה אמריקנית</v>
          </cell>
          <cell r="B339" t="str">
            <v>Sophora secundiflora</v>
          </cell>
          <cell r="C339">
            <v>3</v>
          </cell>
          <cell r="D339">
            <v>180</v>
          </cell>
          <cell r="E339" t="str">
            <v>סופורה אמריקנית, Sophora secundiflora</v>
          </cell>
        </row>
        <row r="340">
          <cell r="A340" t="str">
            <v>סופורה יפנית</v>
          </cell>
          <cell r="B340" t="str">
            <v>Sophora japonica</v>
          </cell>
          <cell r="C340">
            <v>4</v>
          </cell>
          <cell r="D340">
            <v>181</v>
          </cell>
          <cell r="E340" t="str">
            <v>סופורה יפנית, Sophora japonica</v>
          </cell>
        </row>
        <row r="341">
          <cell r="A341" t="str">
            <v>סטיפנולוביום יפני</v>
          </cell>
          <cell r="B341" t="str">
            <v>Styphnolobium japonicum</v>
          </cell>
          <cell r="C341">
            <v>4</v>
          </cell>
          <cell r="D341">
            <v>452</v>
          </cell>
          <cell r="E341" t="str">
            <v>סטיפנולוביום יפני, Styphnolobium japonicum</v>
          </cell>
        </row>
        <row r="342">
          <cell r="A342" t="str">
            <v>סטנוקרפוס הגלגלים</v>
          </cell>
          <cell r="B342" t="str">
            <v>Stenocarpus sinuatus</v>
          </cell>
          <cell r="C342">
            <v>2</v>
          </cell>
          <cell r="D342">
            <v>542</v>
          </cell>
          <cell r="E342" t="str">
            <v>סטנוקרפוס הגלגלים, Stenocarpus sinuatus</v>
          </cell>
        </row>
        <row r="343">
          <cell r="A343" t="str">
            <v>סיגלון עלי-מימוסה</v>
          </cell>
          <cell r="B343" t="str">
            <v>Jacaranda mimosifolia</v>
          </cell>
          <cell r="C343">
            <v>4</v>
          </cell>
          <cell r="D343">
            <v>182</v>
          </cell>
          <cell r="E343" t="str">
            <v>סיגלון עלי-מימוסה, Jacaranda mimosifolia</v>
          </cell>
        </row>
        <row r="344">
          <cell r="A344" t="str">
            <v>סיזיגיון אוסטרלי</v>
          </cell>
          <cell r="B344" t="str">
            <v>Syzygium austral</v>
          </cell>
          <cell r="C344">
            <v>3</v>
          </cell>
          <cell r="D344">
            <v>183</v>
          </cell>
          <cell r="E344" t="str">
            <v>סיזיגיון אוסטרלי, Syzygium austral</v>
          </cell>
        </row>
        <row r="345">
          <cell r="A345" t="str">
            <v>סיזיגיון ימבולן</v>
          </cell>
          <cell r="B345" t="str">
            <v>Syzygium jambolan</v>
          </cell>
          <cell r="C345">
            <v>3</v>
          </cell>
          <cell r="D345">
            <v>184</v>
          </cell>
          <cell r="E345" t="str">
            <v>סיזיגיון ימבולן, Syzygium jambolan</v>
          </cell>
        </row>
        <row r="346">
          <cell r="A346" t="str">
            <v>סיזיגיון מכבדי</v>
          </cell>
          <cell r="B346" t="str">
            <v>Syzygium paniculatum</v>
          </cell>
          <cell r="C346">
            <v>3</v>
          </cell>
          <cell r="D346">
            <v>185</v>
          </cell>
          <cell r="E346" t="str">
            <v>סיזיגיון מכבדי, Syzygium paniculatum</v>
          </cell>
        </row>
        <row r="347">
          <cell r="A347" t="str">
            <v>סייגרוס רומנזוף</v>
          </cell>
          <cell r="B347" t="str">
            <v>Syagrus romanzoffianum</v>
          </cell>
          <cell r="C347">
            <v>2</v>
          </cell>
          <cell r="D347">
            <v>186</v>
          </cell>
          <cell r="E347" t="str">
            <v>סייגרוס רומנזוף, Syagrus romanzoffianum</v>
          </cell>
        </row>
        <row r="348">
          <cell r="A348" t="str">
            <v>סיסם הודי</v>
          </cell>
          <cell r="B348" t="str">
            <v>Dalbergia sissoo</v>
          </cell>
          <cell r="C348">
            <v>4</v>
          </cell>
          <cell r="D348">
            <v>187</v>
          </cell>
          <cell r="E348" t="str">
            <v>סיסם הודי, Dalbergia sissoo</v>
          </cell>
        </row>
        <row r="349">
          <cell r="A349" t="str">
            <v>ספיון השעוה</v>
          </cell>
          <cell r="B349" t="str">
            <v>Sapium sebiferum</v>
          </cell>
          <cell r="C349">
            <v>4</v>
          </cell>
          <cell r="D349">
            <v>188</v>
          </cell>
          <cell r="E349" t="str">
            <v>ספיון השעוה, Sapium sebiferum</v>
          </cell>
        </row>
        <row r="350">
          <cell r="A350" t="str">
            <v>סקויה נאה</v>
          </cell>
          <cell r="B350" t="str">
            <v>Sequoia sempervirens</v>
          </cell>
          <cell r="C350">
            <v>4</v>
          </cell>
          <cell r="D350">
            <v>543</v>
          </cell>
          <cell r="E350" t="str">
            <v>סקויה נאה, Sequoia sempervirens</v>
          </cell>
        </row>
        <row r="351">
          <cell r="A351" t="str">
            <v>עוזרר אדום</v>
          </cell>
          <cell r="B351" t="str">
            <v>Crataegus azarolus</v>
          </cell>
          <cell r="C351">
            <v>4</v>
          </cell>
          <cell r="D351">
            <v>190</v>
          </cell>
          <cell r="E351" t="str">
            <v>עוזרר אדום, Crataegus azarolus</v>
          </cell>
        </row>
        <row r="352">
          <cell r="A352" t="str">
            <v>עוזרר קוצני</v>
          </cell>
          <cell r="B352" t="str">
            <v>Crataegus aronia</v>
          </cell>
          <cell r="C352">
            <v>4</v>
          </cell>
          <cell r="D352">
            <v>191</v>
          </cell>
          <cell r="E352" t="str">
            <v>עוזרר קוצני, Crataegus aronia</v>
          </cell>
        </row>
        <row r="353">
          <cell r="A353" t="str">
            <v>ער אציל</v>
          </cell>
          <cell r="B353" t="str">
            <v>Laurus nobilis</v>
          </cell>
          <cell r="C353">
            <v>4</v>
          </cell>
          <cell r="D353">
            <v>192</v>
          </cell>
          <cell r="E353" t="str">
            <v>ער אציל, Laurus nobilis</v>
          </cell>
        </row>
        <row r="354">
          <cell r="A354" t="str">
            <v>ער קנרי</v>
          </cell>
          <cell r="B354" t="str">
            <v>Laurus canariensis</v>
          </cell>
          <cell r="C354">
            <v>4</v>
          </cell>
          <cell r="D354">
            <v>453</v>
          </cell>
          <cell r="E354" t="str">
            <v>ער קנרי, Laurus canariensis</v>
          </cell>
        </row>
        <row r="355">
          <cell r="A355" t="str">
            <v>ערבה מחודדת</v>
          </cell>
          <cell r="B355" t="str">
            <v>Salix acmophylla</v>
          </cell>
          <cell r="C355">
            <v>3</v>
          </cell>
          <cell r="D355">
            <v>193</v>
          </cell>
          <cell r="E355" t="str">
            <v>ערבה מחודדת, Salix acmophylla</v>
          </cell>
        </row>
        <row r="356">
          <cell r="A356" t="str">
            <v>ערבה מצודנה</v>
          </cell>
          <cell r="B356" t="str">
            <v>Salix matsudana</v>
          </cell>
          <cell r="C356">
            <v>3</v>
          </cell>
          <cell r="D356">
            <v>454</v>
          </cell>
          <cell r="E356" t="str">
            <v>ערבה מצודנה, Salix matsudana</v>
          </cell>
        </row>
        <row r="357">
          <cell r="A357" t="str">
            <v xml:space="preserve">ערבה צריפית </v>
          </cell>
          <cell r="B357" t="str">
            <v>Salix humboldtiana</v>
          </cell>
          <cell r="C357">
            <v>2</v>
          </cell>
          <cell r="D357">
            <v>194</v>
          </cell>
          <cell r="E357" t="str">
            <v>ערבה צריפית , Salix humboldtiana</v>
          </cell>
        </row>
        <row r="358">
          <cell r="A358" t="str">
            <v>ערבה רותמית</v>
          </cell>
          <cell r="B358" t="str">
            <v>Salix viminalis</v>
          </cell>
          <cell r="C358">
            <v>3</v>
          </cell>
          <cell r="D358">
            <v>455</v>
          </cell>
          <cell r="E358" t="str">
            <v>ערבה רותמית, Salix viminalis</v>
          </cell>
        </row>
        <row r="359">
          <cell r="A359" t="str">
            <v>ערבה שבירה</v>
          </cell>
          <cell r="B359" t="str">
            <v>Salix fragilis</v>
          </cell>
          <cell r="C359">
            <v>3</v>
          </cell>
          <cell r="D359">
            <v>456</v>
          </cell>
          <cell r="E359" t="str">
            <v>ערבה שבירה, Salix fragilis</v>
          </cell>
        </row>
        <row r="360">
          <cell r="A360" t="str">
            <v>ערבת בבל</v>
          </cell>
          <cell r="B360" t="str">
            <v>Salix babylonica</v>
          </cell>
          <cell r="C360">
            <v>3</v>
          </cell>
          <cell r="D360">
            <v>195</v>
          </cell>
          <cell r="E360" t="str">
            <v>ערבת בבל, Salix babylonica</v>
          </cell>
        </row>
        <row r="361">
          <cell r="A361" t="str">
            <v>ערמונית הסוסים</v>
          </cell>
          <cell r="B361" t="str">
            <v>Aesculus hippocastanum</v>
          </cell>
          <cell r="C361">
            <v>4</v>
          </cell>
          <cell r="D361">
            <v>457</v>
          </cell>
          <cell r="E361" t="str">
            <v>ערמונית הסוסים, Aesculus hippocastanum</v>
          </cell>
        </row>
        <row r="362">
          <cell r="A362" t="str">
            <v>ערער אדום</v>
          </cell>
          <cell r="B362" t="str">
            <v>Juniperus phoenicea</v>
          </cell>
          <cell r="C362">
            <v>4</v>
          </cell>
          <cell r="D362">
            <v>459</v>
          </cell>
          <cell r="E362" t="str">
            <v>ערער אדום, Juniperus phoenicea</v>
          </cell>
        </row>
        <row r="363">
          <cell r="A363" t="str">
            <v>ערער ארזני</v>
          </cell>
          <cell r="B363" t="str">
            <v>Juniperus oxycedrus</v>
          </cell>
          <cell r="C363">
            <v>4</v>
          </cell>
          <cell r="D363">
            <v>460</v>
          </cell>
          <cell r="E363" t="str">
            <v>ערער ארזני, Juniperus oxycedrus</v>
          </cell>
        </row>
        <row r="364">
          <cell r="A364" t="str">
            <v>ערער ברמודי</v>
          </cell>
          <cell r="B364" t="str">
            <v>Juniperus bermudiana</v>
          </cell>
          <cell r="C364">
            <v>4</v>
          </cell>
          <cell r="D364">
            <v>461</v>
          </cell>
          <cell r="E364" t="str">
            <v>ערער ברמודי, Juniperus bermudiana</v>
          </cell>
        </row>
        <row r="365">
          <cell r="A365" t="str">
            <v>ערער הגלעין</v>
          </cell>
          <cell r="B365" t="str">
            <v>Juniperus drupacea</v>
          </cell>
          <cell r="C365">
            <v>4</v>
          </cell>
          <cell r="D365">
            <v>462</v>
          </cell>
          <cell r="E365" t="str">
            <v>ערער הגלעין, Juniperus drupacea</v>
          </cell>
        </row>
        <row r="366">
          <cell r="A366" t="str">
            <v>ערער המצוקים</v>
          </cell>
          <cell r="B366" t="str">
            <v>Juniperus scopulorum</v>
          </cell>
          <cell r="C366">
            <v>4</v>
          </cell>
          <cell r="D366">
            <v>463</v>
          </cell>
          <cell r="E366" t="str">
            <v>ערער המצוקים, Juniperus scopulorum</v>
          </cell>
        </row>
        <row r="367">
          <cell r="A367" t="str">
            <v>ערער וירגיני</v>
          </cell>
          <cell r="B367" t="str">
            <v>Juniperus virginiana</v>
          </cell>
          <cell r="C367">
            <v>4</v>
          </cell>
          <cell r="D367">
            <v>464</v>
          </cell>
          <cell r="E367" t="str">
            <v>ערער וירגיני, Juniperus virginiana</v>
          </cell>
        </row>
        <row r="368">
          <cell r="A368" t="str">
            <v>ערער חד-זרעי</v>
          </cell>
          <cell r="B368" t="str">
            <v>Juniperus monosperma</v>
          </cell>
          <cell r="C368">
            <v>4</v>
          </cell>
          <cell r="D368">
            <v>465</v>
          </cell>
          <cell r="E368" t="str">
            <v>ערער חד-זרעי, Juniperus monosperma</v>
          </cell>
        </row>
        <row r="369">
          <cell r="A369" t="str">
            <v>ערער לוקייני</v>
          </cell>
          <cell r="B369" t="str">
            <v>Juniperus lucayana</v>
          </cell>
          <cell r="C369">
            <v>4</v>
          </cell>
          <cell r="D369">
            <v>466</v>
          </cell>
          <cell r="E369" t="str">
            <v>ערער לוקייני, Juniperus lucayana</v>
          </cell>
        </row>
        <row r="370">
          <cell r="A370" t="str">
            <v>ערער מצוי</v>
          </cell>
          <cell r="B370" t="str">
            <v>Juniperus communis</v>
          </cell>
          <cell r="C370">
            <v>4</v>
          </cell>
          <cell r="D370">
            <v>467</v>
          </cell>
          <cell r="E370" t="str">
            <v>ערער מצוי, Juniperus communis</v>
          </cell>
        </row>
        <row r="371">
          <cell r="A371" t="str">
            <v>ערער סיני</v>
          </cell>
          <cell r="B371" t="str">
            <v>Juniperus chinensis</v>
          </cell>
          <cell r="C371">
            <v>3.5</v>
          </cell>
          <cell r="D371">
            <v>468</v>
          </cell>
          <cell r="E371" t="str">
            <v>ערער סיני, Juniperus chinensis</v>
          </cell>
        </row>
        <row r="372">
          <cell r="A372" t="str">
            <v>ערער ספרדי</v>
          </cell>
          <cell r="B372" t="str">
            <v>Juniperus thurifera</v>
          </cell>
          <cell r="C372">
            <v>4</v>
          </cell>
          <cell r="D372">
            <v>469</v>
          </cell>
          <cell r="E372" t="str">
            <v>ערער ספרדי, Juniperus thurifera</v>
          </cell>
        </row>
        <row r="373">
          <cell r="A373" t="str">
            <v>ערער רד-פנסיל</v>
          </cell>
          <cell r="B373" t="str">
            <v>Juniperus 'Red Pencil'</v>
          </cell>
          <cell r="C373">
            <v>4</v>
          </cell>
          <cell r="D373">
            <v>458</v>
          </cell>
          <cell r="E373" t="str">
            <v>ערער רד-פנסיל, Juniperus 'Red Pencil'</v>
          </cell>
        </row>
        <row r="374">
          <cell r="A374" t="str">
            <v>ערער רם</v>
          </cell>
          <cell r="B374" t="str">
            <v>Juniperus excels</v>
          </cell>
          <cell r="C374">
            <v>4</v>
          </cell>
          <cell r="D374">
            <v>196</v>
          </cell>
          <cell r="E374" t="str">
            <v>ערער רם, Juniperus excels</v>
          </cell>
        </row>
        <row r="375">
          <cell r="A375" t="str">
            <v>פארון הכף</v>
          </cell>
          <cell r="B375" t="str">
            <v>Calodendrum capensis</v>
          </cell>
          <cell r="C375">
            <v>4</v>
          </cell>
          <cell r="D375">
            <v>198</v>
          </cell>
          <cell r="E375" t="str">
            <v>פארון הכף, Calodendrum capensis</v>
          </cell>
        </row>
        <row r="376">
          <cell r="A376" t="str">
            <v>פודוקרפוס גדול-עלים</v>
          </cell>
          <cell r="B376" t="str">
            <v>Podocarpus macrophyllus</v>
          </cell>
          <cell r="C376">
            <v>4</v>
          </cell>
          <cell r="D376">
            <v>199</v>
          </cell>
          <cell r="E376" t="str">
            <v>פודוקרפוס גדול-עלים, Podocarpus macrophyllus</v>
          </cell>
        </row>
        <row r="377">
          <cell r="A377" t="str">
            <v>פודוקרפוס מגלי</v>
          </cell>
          <cell r="B377" t="str">
            <v>Podocarpus falcatus</v>
          </cell>
          <cell r="C377">
            <v>4</v>
          </cell>
          <cell r="D377">
            <v>200</v>
          </cell>
          <cell r="E377" t="str">
            <v>פודוקרפוס מגלי, Podocarpus falcatus</v>
          </cell>
        </row>
        <row r="378">
          <cell r="A378" t="str">
            <v>פולובניית פרוטון</v>
          </cell>
          <cell r="B378" t="str">
            <v>Paulownia fortune</v>
          </cell>
          <cell r="C378">
            <v>2</v>
          </cell>
          <cell r="D378">
            <v>545</v>
          </cell>
          <cell r="E378" t="str">
            <v>פולובניית פרוטון, Paulownia fortune</v>
          </cell>
        </row>
        <row r="379">
          <cell r="A379" t="str">
            <v>פונגמיה מנוצה</v>
          </cell>
          <cell r="B379" t="str">
            <v>Pongamia pinnata</v>
          </cell>
          <cell r="C379">
            <v>3</v>
          </cell>
          <cell r="D379">
            <v>202</v>
          </cell>
          <cell r="E379" t="str">
            <v>פונגמיה מנוצה, Pongamia pinnata</v>
          </cell>
        </row>
        <row r="380">
          <cell r="A380" t="str">
            <v>פטרוקריה מיילנית</v>
          </cell>
          <cell r="B380" t="str">
            <v>Pterocarya fraxinifolia</v>
          </cell>
          <cell r="C380">
            <v>3</v>
          </cell>
          <cell r="D380">
            <v>203</v>
          </cell>
          <cell r="E380" t="str">
            <v>פטרוקריה מיילנית, Pterocarya fraxinifolia</v>
          </cell>
        </row>
        <row r="381">
          <cell r="A381" t="str">
            <v>פיג'ואה תרבותית</v>
          </cell>
          <cell r="B381" t="str">
            <v>Feijoa sellowiana</v>
          </cell>
          <cell r="C381">
            <v>3</v>
          </cell>
          <cell r="D381">
            <v>204</v>
          </cell>
          <cell r="E381" t="str">
            <v>פיג'ואה תרבותית, Feijoa sellowiana</v>
          </cell>
        </row>
        <row r="382">
          <cell r="A382" t="str">
            <v>פיטולקה דו-ביתית</v>
          </cell>
          <cell r="B382" t="str">
            <v>Phytolacca dioica</v>
          </cell>
          <cell r="C382">
            <v>4</v>
          </cell>
          <cell r="D382">
            <v>205</v>
          </cell>
          <cell r="E382" t="str">
            <v>פיטולקה דו-ביתית, Phytolacca dioica</v>
          </cell>
        </row>
        <row r="383">
          <cell r="A383" t="str">
            <v>פיטוספורום גלוני</v>
          </cell>
          <cell r="B383" t="str">
            <v>Pittosporum undulatum</v>
          </cell>
          <cell r="C383">
            <v>4</v>
          </cell>
          <cell r="D383">
            <v>206</v>
          </cell>
          <cell r="E383" t="str">
            <v>פיטוספורום גלוני, Pittosporum undulatum</v>
          </cell>
        </row>
        <row r="384">
          <cell r="A384" t="str">
            <v>פיטוספורום יפני</v>
          </cell>
          <cell r="B384" t="str">
            <v>Pittosporum tobira</v>
          </cell>
          <cell r="C384">
            <v>4</v>
          </cell>
          <cell r="D384">
            <v>546</v>
          </cell>
          <cell r="E384" t="str">
            <v>פיטוספורום יפני, Pittosporum tobira</v>
          </cell>
        </row>
        <row r="385">
          <cell r="A385" t="str">
            <v>פיקוס אוזני</v>
          </cell>
          <cell r="B385" t="str">
            <v>Ficus auriculata</v>
          </cell>
          <cell r="C385">
            <v>3</v>
          </cell>
          <cell r="D385">
            <v>208</v>
          </cell>
          <cell r="E385" t="str">
            <v>פיקוס אוזני, Ficus auriculata</v>
          </cell>
        </row>
        <row r="386">
          <cell r="A386" t="str">
            <v>פיקוס בנגלי</v>
          </cell>
          <cell r="B386" t="str">
            <v>Ficus bengalensis</v>
          </cell>
          <cell r="C386">
            <v>4</v>
          </cell>
          <cell r="D386">
            <v>209</v>
          </cell>
          <cell r="E386" t="str">
            <v>פיקוס בנגלי, Ficus bengalensis</v>
          </cell>
        </row>
        <row r="387">
          <cell r="A387" t="str">
            <v>פיקוס בנימינה</v>
          </cell>
          <cell r="B387" t="str">
            <v>Ficus benjamina</v>
          </cell>
          <cell r="C387">
            <v>3</v>
          </cell>
          <cell r="D387">
            <v>210</v>
          </cell>
          <cell r="E387" t="str">
            <v>פיקוס בנימינה, Ficus benjamina</v>
          </cell>
        </row>
        <row r="388">
          <cell r="A388" t="str">
            <v>פיקוס בת-שקמה</v>
          </cell>
          <cell r="B388" t="str">
            <v>Ficus pseudo-sycomorus</v>
          </cell>
          <cell r="C388">
            <v>4</v>
          </cell>
          <cell r="D388">
            <v>470</v>
          </cell>
          <cell r="E388" t="str">
            <v>פיקוס בת-שקמה, Ficus pseudo-sycomorus</v>
          </cell>
        </row>
        <row r="389">
          <cell r="A389" t="str">
            <v>פיקוס הגומי</v>
          </cell>
          <cell r="B389" t="str">
            <v>Ficus elastic</v>
          </cell>
          <cell r="C389">
            <v>3</v>
          </cell>
          <cell r="D389">
            <v>211</v>
          </cell>
          <cell r="E389" t="str">
            <v>פיקוס הגומי, Ficus elastic</v>
          </cell>
        </row>
        <row r="390">
          <cell r="A390" t="str">
            <v>פיקוס השדרות</v>
          </cell>
          <cell r="B390" t="str">
            <v>Ficus microcarpa</v>
          </cell>
          <cell r="C390">
            <v>4</v>
          </cell>
          <cell r="D390">
            <v>212</v>
          </cell>
          <cell r="E390" t="str">
            <v>פיקוס השדרות, Ficus microcarpa</v>
          </cell>
        </row>
        <row r="391">
          <cell r="A391" t="str">
            <v xml:space="preserve">פיקוס השקמה </v>
          </cell>
          <cell r="B391" t="str">
            <v>Ficus sycomorus</v>
          </cell>
          <cell r="C391">
            <v>4</v>
          </cell>
          <cell r="D391">
            <v>213</v>
          </cell>
          <cell r="E391" t="str">
            <v>פיקוס השקמה , Ficus sycomorus</v>
          </cell>
        </row>
        <row r="392">
          <cell r="A392" t="str">
            <v>פיקוס התאנה</v>
          </cell>
          <cell r="B392" t="str">
            <v>Ficus carica</v>
          </cell>
          <cell r="C392">
            <v>3</v>
          </cell>
          <cell r="D392">
            <v>214</v>
          </cell>
          <cell r="E392" t="str">
            <v>פיקוס התאנה, Ficus carica</v>
          </cell>
        </row>
        <row r="393">
          <cell r="A393" t="str">
            <v>פיקוס חלוד</v>
          </cell>
          <cell r="B393" t="str">
            <v>Ficus rubiginosa</v>
          </cell>
          <cell r="C393">
            <v>3</v>
          </cell>
          <cell r="D393">
            <v>215</v>
          </cell>
          <cell r="E393" t="str">
            <v>פיקוס חלוד, Ficus rubiginosa</v>
          </cell>
        </row>
        <row r="394">
          <cell r="A394" t="str">
            <v>פיקוס כינורי</v>
          </cell>
          <cell r="B394" t="str">
            <v>Ficus lyrata</v>
          </cell>
          <cell r="C394">
            <v>3</v>
          </cell>
          <cell r="D394">
            <v>216</v>
          </cell>
          <cell r="E394" t="str">
            <v>פיקוס כינורי, Ficus lyrata</v>
          </cell>
        </row>
        <row r="395">
          <cell r="A395" t="str">
            <v>פיקוס מעוקם</v>
          </cell>
          <cell r="B395" t="str">
            <v>Ficus oblique</v>
          </cell>
          <cell r="C395">
            <v>4</v>
          </cell>
          <cell r="D395">
            <v>217</v>
          </cell>
          <cell r="E395" t="str">
            <v>פיקוס מעוקם, Ficus oblique</v>
          </cell>
        </row>
        <row r="396">
          <cell r="A396" t="str">
            <v>פיקוס צר-עלים</v>
          </cell>
          <cell r="B396" t="str">
            <v>Ficus binnendijkii</v>
          </cell>
          <cell r="C396">
            <v>3</v>
          </cell>
          <cell r="D396">
            <v>218</v>
          </cell>
          <cell r="E396" t="str">
            <v>פיקוס צר-עלים, Ficus binnendijkii</v>
          </cell>
        </row>
        <row r="397">
          <cell r="A397" t="str">
            <v>פיקוס קדוש</v>
          </cell>
          <cell r="B397" t="str">
            <v>Ficus religiosa</v>
          </cell>
          <cell r="C397">
            <v>3</v>
          </cell>
          <cell r="D397">
            <v>219</v>
          </cell>
          <cell r="E397" t="str">
            <v>פיקוס קדוש, Ficus religiosa</v>
          </cell>
        </row>
        <row r="398">
          <cell r="A398" t="str">
            <v>פירמיאנה פשוטה</v>
          </cell>
          <cell r="B398" t="str">
            <v>Firmiana simplex</v>
          </cell>
          <cell r="C398">
            <v>4</v>
          </cell>
          <cell r="D398">
            <v>547</v>
          </cell>
          <cell r="E398" t="str">
            <v>פירמיאנה פשוטה, Firmiana simplex</v>
          </cell>
        </row>
        <row r="399">
          <cell r="A399" t="str">
            <v>פלומריה ריחנית</v>
          </cell>
          <cell r="B399" t="str">
            <v>Plumeria rubra</v>
          </cell>
          <cell r="C399">
            <v>3</v>
          </cell>
          <cell r="D399">
            <v>221</v>
          </cell>
          <cell r="E399" t="str">
            <v>פלומריה ריחנית, Plumeria rubra</v>
          </cell>
        </row>
        <row r="400">
          <cell r="A400" t="str">
            <v>פלפלון בכות</v>
          </cell>
          <cell r="B400" t="str">
            <v>Schinus molle</v>
          </cell>
          <cell r="C400">
            <v>3</v>
          </cell>
          <cell r="D400">
            <v>222</v>
          </cell>
          <cell r="E400" t="str">
            <v>פלפלון בכות, Schinus molle</v>
          </cell>
        </row>
        <row r="401">
          <cell r="A401" t="str">
            <v>פלפלון דמוי-אלה</v>
          </cell>
          <cell r="B401" t="str">
            <v>Schinus terebinthifolius</v>
          </cell>
          <cell r="C401">
            <v>2</v>
          </cell>
          <cell r="D401">
            <v>223</v>
          </cell>
          <cell r="E401" t="str">
            <v>פלפלון דמוי-אלה, Schinus terebinthifolius</v>
          </cell>
        </row>
        <row r="402">
          <cell r="A402" t="str">
            <v>פנסית דו-נוצתית</v>
          </cell>
          <cell r="B402" t="str">
            <v>Koelreuteria bipinnata</v>
          </cell>
          <cell r="C402">
            <v>3</v>
          </cell>
          <cell r="D402">
            <v>224</v>
          </cell>
          <cell r="E402" t="str">
            <v>פנסית דו-נוצתית, Koelreuteria bipinnata</v>
          </cell>
        </row>
        <row r="403">
          <cell r="A403" t="str">
            <v>פנסית מכבדית</v>
          </cell>
          <cell r="B403" t="str">
            <v>Koelreuteria paniculata</v>
          </cell>
          <cell r="C403">
            <v>3</v>
          </cell>
          <cell r="D403">
            <v>225</v>
          </cell>
          <cell r="E403" t="str">
            <v>פנסית מכבדית, Koelreuteria paniculata</v>
          </cell>
        </row>
        <row r="404">
          <cell r="A404" t="str">
            <v>פפיה מצויה</v>
          </cell>
          <cell r="B404" t="str">
            <v>Carica papaya</v>
          </cell>
          <cell r="C404">
            <v>2</v>
          </cell>
          <cell r="D404">
            <v>548</v>
          </cell>
          <cell r="E404" t="str">
            <v>פפיה מצויה, Carica papaya</v>
          </cell>
        </row>
        <row r="405">
          <cell r="A405" t="str">
            <v>פרקינסוניה שיכנית</v>
          </cell>
          <cell r="B405" t="str">
            <v>Parkinsonia aculeata</v>
          </cell>
          <cell r="C405">
            <v>0</v>
          </cell>
          <cell r="D405">
            <v>227</v>
          </cell>
          <cell r="E405" t="str">
            <v>פרקינסוניה שיכנית, Parkinsonia aculeata</v>
          </cell>
        </row>
        <row r="406">
          <cell r="A406" t="str">
            <v>צאלון נאה</v>
          </cell>
          <cell r="B406" t="str">
            <v>Delonix regia</v>
          </cell>
          <cell r="C406">
            <v>4</v>
          </cell>
          <cell r="D406">
            <v>228</v>
          </cell>
          <cell r="E406" t="str">
            <v>צאלון נאה, Delonix regia</v>
          </cell>
        </row>
        <row r="407">
          <cell r="A407" t="str">
            <v>צחר כחלחל</v>
          </cell>
          <cell r="B407" t="str">
            <v>Leucaena leucocephala</v>
          </cell>
          <cell r="C407">
            <v>0</v>
          </cell>
          <cell r="D407">
            <v>229</v>
          </cell>
          <cell r="E407" t="str">
            <v>צחר כחלחל, Leucaena leucocephala</v>
          </cell>
        </row>
        <row r="408">
          <cell r="A408" t="str">
            <v>צייבה מחומשת</v>
          </cell>
          <cell r="B408" t="str">
            <v>Ceiba Pantandra</v>
          </cell>
          <cell r="C408">
            <v>4</v>
          </cell>
          <cell r="D408">
            <v>230</v>
          </cell>
          <cell r="E408" t="str">
            <v>צייבה מחומשת, Ceiba Pantandra</v>
          </cell>
        </row>
        <row r="409">
          <cell r="A409" t="str">
            <v>צינית מקרינה</v>
          </cell>
          <cell r="B409" t="str">
            <v>Ilex cornuta</v>
          </cell>
          <cell r="C409">
            <v>3</v>
          </cell>
          <cell r="D409">
            <v>549</v>
          </cell>
          <cell r="E409" t="str">
            <v>צינית מקרינה, Ilex cornuta</v>
          </cell>
        </row>
        <row r="410">
          <cell r="A410" t="str">
            <v>צינית קרולינית וויל פלמינג</v>
          </cell>
          <cell r="B410" t="str">
            <v>Ilex vomitoria</v>
          </cell>
          <cell r="C410">
            <v>2</v>
          </cell>
          <cell r="D410">
            <v>471</v>
          </cell>
          <cell r="E410" t="str">
            <v>צינית קרולינית וויל פלמינג, Ilex vomitoria</v>
          </cell>
        </row>
        <row r="411">
          <cell r="A411" t="str">
            <v>צינית קרולינית פריד אוף יוסטון</v>
          </cell>
          <cell r="B411" t="str">
            <v>Ilex vomitoria Pride of Houston</v>
          </cell>
          <cell r="C411">
            <v>2</v>
          </cell>
          <cell r="D411">
            <v>472</v>
          </cell>
          <cell r="E411" t="str">
            <v>צינית קרולינית פריד אוף יוסטון, Ilex vomitoria Pride of Houston</v>
          </cell>
        </row>
        <row r="412">
          <cell r="A412" t="str">
            <v>ציקס מופשל</v>
          </cell>
          <cell r="B412" t="str">
            <v xml:space="preserve">Cycas revoluta </v>
          </cell>
          <cell r="C412">
            <v>5</v>
          </cell>
          <cell r="D412">
            <v>473</v>
          </cell>
          <cell r="E412" t="str">
            <v xml:space="preserve">ציקס מופשל, Cycas revoluta </v>
          </cell>
        </row>
        <row r="413">
          <cell r="A413" t="str">
            <v>צפצפה מכסיפה</v>
          </cell>
          <cell r="B413" t="str">
            <v>Populus alba</v>
          </cell>
          <cell r="C413">
            <v>3</v>
          </cell>
          <cell r="D413">
            <v>232</v>
          </cell>
          <cell r="E413" t="str">
            <v>צפצפה מכסיפה, Populus alba</v>
          </cell>
        </row>
        <row r="414">
          <cell r="A414" t="str">
            <v>צפצפה מקוצעת</v>
          </cell>
          <cell r="B414" t="str">
            <v>Populus angulate</v>
          </cell>
          <cell r="C414">
            <v>3</v>
          </cell>
          <cell r="D414">
            <v>233</v>
          </cell>
          <cell r="E414" t="str">
            <v>צפצפה מקוצעת, Populus angulate</v>
          </cell>
        </row>
        <row r="415">
          <cell r="A415" t="str">
            <v>צפצפה שחורה</v>
          </cell>
          <cell r="B415" t="str">
            <v>Populus nigra</v>
          </cell>
          <cell r="C415">
            <v>3</v>
          </cell>
          <cell r="D415">
            <v>234</v>
          </cell>
          <cell r="E415" t="str">
            <v>צפצפה שחורה, Populus nigra</v>
          </cell>
        </row>
        <row r="416">
          <cell r="A416" t="str">
            <v>צפצפת הפרת</v>
          </cell>
          <cell r="B416" t="str">
            <v>Populus euphratica</v>
          </cell>
          <cell r="C416">
            <v>4</v>
          </cell>
          <cell r="D416">
            <v>235</v>
          </cell>
          <cell r="E416" t="str">
            <v>צפצפת הפרת, Populus euphratica</v>
          </cell>
        </row>
        <row r="417">
          <cell r="A417" t="str">
            <v>קוטינוס מזרחי</v>
          </cell>
          <cell r="B417" t="str">
            <v>Cotinus coggygria</v>
          </cell>
          <cell r="C417">
            <v>3</v>
          </cell>
          <cell r="D417">
            <v>550</v>
          </cell>
          <cell r="E417" t="str">
            <v>קוטינוס מזרחי, Cotinus coggygria</v>
          </cell>
        </row>
        <row r="418">
          <cell r="A418" t="str">
            <v>קולווילאה אשכולית</v>
          </cell>
          <cell r="B418" t="str">
            <v>Colvillea racemosa</v>
          </cell>
          <cell r="C418">
            <v>3</v>
          </cell>
          <cell r="D418">
            <v>237</v>
          </cell>
          <cell r="E418" t="str">
            <v>קולווילאה אשכולית, Colvillea racemosa</v>
          </cell>
        </row>
        <row r="419">
          <cell r="A419" t="str">
            <v>קוסוניה משובלת</v>
          </cell>
          <cell r="B419" t="str">
            <v>Cussonia spicata</v>
          </cell>
          <cell r="C419">
            <v>3</v>
          </cell>
          <cell r="D419">
            <v>238</v>
          </cell>
          <cell r="E419" t="str">
            <v>קוסוניה משובלת, Cussonia spicata</v>
          </cell>
        </row>
        <row r="420">
          <cell r="A420" t="str">
            <v>קופניון אנקרדי</v>
          </cell>
          <cell r="B420" t="str">
            <v>Cupaniopsis anacardioides</v>
          </cell>
          <cell r="C420">
            <v>3</v>
          </cell>
          <cell r="D420">
            <v>551</v>
          </cell>
          <cell r="E420" t="str">
            <v>קופניון אנקרדי, Cupaniopsis anacardioides</v>
          </cell>
        </row>
        <row r="421">
          <cell r="A421" t="str">
            <v>קזוארינה אשונה</v>
          </cell>
          <cell r="B421" t="str">
            <v>Allocasuarina verticillata</v>
          </cell>
          <cell r="C421">
            <v>3</v>
          </cell>
          <cell r="D421">
            <v>388</v>
          </cell>
          <cell r="E421" t="str">
            <v>קזוארינה אשונה, Allocasuarina verticillata</v>
          </cell>
        </row>
        <row r="422">
          <cell r="A422" t="str">
            <v>קזוארינה סיבית</v>
          </cell>
          <cell r="B422" t="str">
            <v xml:space="preserve">inophloia Casuarina </v>
          </cell>
          <cell r="C422">
            <v>3</v>
          </cell>
          <cell r="D422">
            <v>474</v>
          </cell>
          <cell r="E422" t="str">
            <v xml:space="preserve">קזוארינה סיבית, inophloia Casuarina </v>
          </cell>
        </row>
        <row r="423">
          <cell r="A423" t="str">
            <v>קזוארינה שבטבטית</v>
          </cell>
          <cell r="B423" t="str">
            <v>Casuarina equisetifolia</v>
          </cell>
          <cell r="C423">
            <v>3</v>
          </cell>
          <cell r="D423">
            <v>244</v>
          </cell>
          <cell r="E423" t="str">
            <v>קזוארינה שבטבטית, Casuarina equisetifolia</v>
          </cell>
        </row>
        <row r="424">
          <cell r="A424" t="str">
            <v>קטלב מצוי</v>
          </cell>
          <cell r="B424" t="str">
            <v>Arbutus andrachne</v>
          </cell>
          <cell r="C424">
            <v>5</v>
          </cell>
          <cell r="D424">
            <v>245</v>
          </cell>
          <cell r="E424" t="str">
            <v>קטלב מצוי, Arbutus andrachne</v>
          </cell>
        </row>
        <row r="425">
          <cell r="A425" t="str">
            <v>קטלב משונן</v>
          </cell>
          <cell r="B425" t="str">
            <v>Arbutus unedo</v>
          </cell>
          <cell r="C425">
            <v>4</v>
          </cell>
          <cell r="D425">
            <v>246</v>
          </cell>
          <cell r="E425" t="str">
            <v>קטלב משונן, Arbutus unedo</v>
          </cell>
        </row>
        <row r="426">
          <cell r="A426" t="str">
            <v>קטלפה ביגנונית</v>
          </cell>
          <cell r="B426" t="str">
            <v>Catalpa bignonioides</v>
          </cell>
          <cell r="C426">
            <v>3</v>
          </cell>
          <cell r="D426">
            <v>247</v>
          </cell>
          <cell r="E426" t="str">
            <v>קטלפה ביגנונית, Catalpa bignonioides</v>
          </cell>
        </row>
        <row r="427">
          <cell r="A427" t="str">
            <v>קיגליה מנוצה</v>
          </cell>
          <cell r="B427" t="str">
            <v>Kigelia pinnata</v>
          </cell>
          <cell r="C427">
            <v>4</v>
          </cell>
          <cell r="D427">
            <v>552</v>
          </cell>
          <cell r="E427" t="str">
            <v>קיגליה מנוצה, Kigelia pinnata</v>
          </cell>
        </row>
        <row r="428">
          <cell r="A428" t="str">
            <v>קינמון קמפורי</v>
          </cell>
          <cell r="B428" t="str">
            <v>Cinnamomum camphora</v>
          </cell>
          <cell r="C428">
            <v>4</v>
          </cell>
          <cell r="D428">
            <v>249</v>
          </cell>
          <cell r="E428" t="str">
            <v>קינמון קמפורי, Cinnamomum camphora</v>
          </cell>
        </row>
        <row r="429">
          <cell r="A429" t="str">
            <v>קליאנדרה אדומת-פרי</v>
          </cell>
          <cell r="B429" t="str">
            <v>Calliandra haematocarpa</v>
          </cell>
          <cell r="C429">
            <v>3</v>
          </cell>
          <cell r="D429">
            <v>478</v>
          </cell>
          <cell r="E429" t="str">
            <v>קליאנדרה אדומת-פרי, Calliandra haematocarpa</v>
          </cell>
        </row>
        <row r="430">
          <cell r="A430" t="str">
            <v>קליאנדרה ורודת-קרקפות</v>
          </cell>
          <cell r="B430" t="str">
            <v>Calliandra heamatocephala</v>
          </cell>
          <cell r="C430">
            <v>3</v>
          </cell>
          <cell r="D430">
            <v>475</v>
          </cell>
          <cell r="E430" t="str">
            <v>קליאנדרה ורודת-קרקפות, Calliandra heamatocephala</v>
          </cell>
        </row>
        <row r="431">
          <cell r="A431" t="str">
            <v>קליאנדרה לבנת-קרקפת (ALBA)</v>
          </cell>
          <cell r="B431" t="str">
            <v>Calliandra heamatocephala alba</v>
          </cell>
          <cell r="C431">
            <v>3</v>
          </cell>
          <cell r="D431">
            <v>477</v>
          </cell>
          <cell r="E431" t="str">
            <v>קליאנדרה לבנת-קרקפת (ALBA), Calliandra heamatocephala alba</v>
          </cell>
        </row>
        <row r="432">
          <cell r="A432" t="str">
            <v>קליאנדרה קליפורנית</v>
          </cell>
          <cell r="B432" t="str">
            <v>Calliandra californica</v>
          </cell>
          <cell r="C432">
            <v>3</v>
          </cell>
          <cell r="D432">
            <v>476</v>
          </cell>
          <cell r="E432" t="str">
            <v>קליאנדרה קליפורנית, Calliandra californica</v>
          </cell>
        </row>
        <row r="433">
          <cell r="A433" t="str">
            <v>קליאנדרת שולץ</v>
          </cell>
          <cell r="B433" t="str">
            <v>Calliandra schultzei</v>
          </cell>
          <cell r="C433">
            <v>3</v>
          </cell>
          <cell r="D433">
            <v>479</v>
          </cell>
          <cell r="E433" t="str">
            <v>קליאנדרת שולץ, Calliandra schultzei</v>
          </cell>
        </row>
        <row r="434">
          <cell r="A434" t="str">
            <v>קליטריס כחלחל</v>
          </cell>
          <cell r="B434" t="str">
            <v>Callitris glaucophylla</v>
          </cell>
          <cell r="C434">
            <v>3</v>
          </cell>
          <cell r="D434">
            <v>250</v>
          </cell>
          <cell r="E434" t="str">
            <v>קליטריס כחלחל, Callitris glaucophylla</v>
          </cell>
        </row>
        <row r="435">
          <cell r="A435" t="str">
            <v>קליטריס מיובל</v>
          </cell>
          <cell r="B435" t="str">
            <v>Callitris verrucosa</v>
          </cell>
          <cell r="C435">
            <v>3.3</v>
          </cell>
          <cell r="D435">
            <v>480</v>
          </cell>
          <cell r="E435" t="str">
            <v>קליטריס מיובל, Callitris verrucosa</v>
          </cell>
        </row>
        <row r="436">
          <cell r="A436" t="str">
            <v>קליסטמון אדום</v>
          </cell>
          <cell r="B436" t="str">
            <v>Callistemon phoeniceus</v>
          </cell>
          <cell r="C436">
            <v>3</v>
          </cell>
          <cell r="D436">
            <v>553</v>
          </cell>
          <cell r="E436" t="str">
            <v>קליסטמון אדום, Callistemon phoeniceus</v>
          </cell>
        </row>
        <row r="437">
          <cell r="A437" t="str">
            <v>קליסטמון הנצרים</v>
          </cell>
          <cell r="B437" t="str">
            <v>Callistemon viminalis</v>
          </cell>
          <cell r="C437">
            <v>3</v>
          </cell>
          <cell r="D437">
            <v>252</v>
          </cell>
          <cell r="E437" t="str">
            <v>קליסטמון הנצרים, Callistemon viminalis</v>
          </cell>
        </row>
        <row r="438">
          <cell r="A438" t="str">
            <v>קליסטמון תרוג</v>
          </cell>
          <cell r="B438" t="str">
            <v>Callistemon citrinus</v>
          </cell>
          <cell r="C438">
            <v>3</v>
          </cell>
          <cell r="D438">
            <v>254</v>
          </cell>
          <cell r="E438" t="str">
            <v>קליסטמון תרוג, Callistemon citrinus</v>
          </cell>
        </row>
        <row r="439">
          <cell r="A439" t="str">
            <v>קנטיה פורסטר</v>
          </cell>
          <cell r="B439" t="str">
            <v>Howea (Kentia) forsteriana</v>
          </cell>
          <cell r="C439">
            <v>3</v>
          </cell>
          <cell r="D439">
            <v>554</v>
          </cell>
          <cell r="E439" t="str">
            <v>קנטיה פורסטר, Howea (Kentia) forsteriana</v>
          </cell>
        </row>
        <row r="440">
          <cell r="A440" t="str">
            <v xml:space="preserve">קסאלפיניה יפהפייה </v>
          </cell>
          <cell r="B440" t="str">
            <v>Caesalpinia pulcherrima</v>
          </cell>
          <cell r="C440">
            <v>3</v>
          </cell>
          <cell r="D440">
            <v>481</v>
          </cell>
          <cell r="E440" t="str">
            <v>קסאלפיניה יפהפייה , Caesalpinia pulcherrima</v>
          </cell>
        </row>
        <row r="441">
          <cell r="A441" t="str">
            <v>קסילוסמת זלצמן</v>
          </cell>
          <cell r="B441" t="str">
            <v>Xylosma salzmannii</v>
          </cell>
          <cell r="C441">
            <v>4</v>
          </cell>
          <cell r="D441">
            <v>256</v>
          </cell>
          <cell r="E441" t="str">
            <v>קסילוסמת זלצמן, Xylosma salzmannii</v>
          </cell>
        </row>
        <row r="442">
          <cell r="A442" t="str">
            <v>קריוטה נאה</v>
          </cell>
          <cell r="B442" t="str">
            <v>Caryota mitis</v>
          </cell>
          <cell r="C442">
            <v>3</v>
          </cell>
          <cell r="D442">
            <v>257</v>
          </cell>
          <cell r="E442" t="str">
            <v>קריוטה נאה, Caryota mitis</v>
          </cell>
        </row>
        <row r="443">
          <cell r="A443" t="str">
            <v>קריית הפקן</v>
          </cell>
          <cell r="B443" t="str">
            <v>Carya illinoinensis</v>
          </cell>
          <cell r="C443">
            <v>3</v>
          </cell>
          <cell r="D443">
            <v>258</v>
          </cell>
          <cell r="E443" t="str">
            <v>קריית הפקן, Carya illinoinensis</v>
          </cell>
        </row>
        <row r="444">
          <cell r="A444" t="str">
            <v>קתרוסית מרובעת</v>
          </cell>
          <cell r="B444" t="str">
            <v>Citharexylum spinosum</v>
          </cell>
          <cell r="C444">
            <v>3</v>
          </cell>
          <cell r="D444">
            <v>259</v>
          </cell>
          <cell r="E444" t="str">
            <v>קתרוסית מרובעת, Citharexylum spinosum</v>
          </cell>
        </row>
        <row r="445">
          <cell r="A445" t="str">
            <v>רואיסטוניה רג'ה- דקל המלך (דקל קוקוס)</v>
          </cell>
          <cell r="B445" t="str">
            <v>Roestonia regia</v>
          </cell>
          <cell r="C445">
            <v>2</v>
          </cell>
          <cell r="D445">
            <v>516</v>
          </cell>
          <cell r="E445" t="str">
            <v>רואיסטוניה רג'ה- דקל המלך (דקל קוקוס), Roestonia regia</v>
          </cell>
        </row>
        <row r="446">
          <cell r="A446" t="str">
            <v>רוביניה בת-שיטה</v>
          </cell>
          <cell r="B446" t="str">
            <v>Robinia pseudo-acacia</v>
          </cell>
          <cell r="C446">
            <v>2</v>
          </cell>
          <cell r="D446">
            <v>260</v>
          </cell>
          <cell r="E446" t="str">
            <v>רוביניה בת-שיטה, Robinia pseudo-acacia</v>
          </cell>
        </row>
        <row r="447">
          <cell r="A447" t="str">
            <v>רוולנה מדגסקרית</v>
          </cell>
          <cell r="B447" t="str">
            <v>Ravenala madagascariensis</v>
          </cell>
          <cell r="C447">
            <v>3</v>
          </cell>
          <cell r="D447">
            <v>555</v>
          </cell>
          <cell r="E447" t="str">
            <v>רוולנה מדגסקרית, Ravenala madagascariensis</v>
          </cell>
        </row>
        <row r="448">
          <cell r="A448" t="str">
            <v>רומם מלכותי</v>
          </cell>
          <cell r="B448" t="str">
            <v>Roysotnea regia</v>
          </cell>
          <cell r="C448">
            <v>3</v>
          </cell>
          <cell r="D448">
            <v>263</v>
          </cell>
          <cell r="E448" t="str">
            <v>רומם מלכותי, Roysotnea regia</v>
          </cell>
        </row>
        <row r="449">
          <cell r="A449" t="str">
            <v>רימון מצוי</v>
          </cell>
          <cell r="B449" t="str">
            <v>Punica granatum</v>
          </cell>
          <cell r="C449">
            <v>3</v>
          </cell>
          <cell r="D449">
            <v>264</v>
          </cell>
          <cell r="E449" t="str">
            <v>רימון מצוי, Punica granatum</v>
          </cell>
        </row>
        <row r="450">
          <cell r="A450" t="str">
            <v>רפיס רם</v>
          </cell>
          <cell r="B450" t="str">
            <v>Rhapis excalsa</v>
          </cell>
          <cell r="C450">
            <v>2</v>
          </cell>
          <cell r="D450">
            <v>265</v>
          </cell>
          <cell r="E450" t="str">
            <v>רפיס רם, Rhapis excalsa</v>
          </cell>
        </row>
        <row r="451">
          <cell r="A451" t="str">
            <v>שדר משתלשל</v>
          </cell>
          <cell r="B451" t="str">
            <v>Betula pendula</v>
          </cell>
          <cell r="C451">
            <v>3</v>
          </cell>
          <cell r="D451">
            <v>266</v>
          </cell>
          <cell r="E451" t="str">
            <v>שדר משתלשל, Betula pendula</v>
          </cell>
        </row>
        <row r="452">
          <cell r="A452" t="str">
            <v>שוטיה רחבת-עלים</v>
          </cell>
          <cell r="B452" t="str">
            <v>Schotia latifolia</v>
          </cell>
          <cell r="C452">
            <v>3</v>
          </cell>
          <cell r="D452">
            <v>267</v>
          </cell>
          <cell r="E452" t="str">
            <v>שוטיה רחבת-עלים, Schotia latifolia</v>
          </cell>
        </row>
        <row r="453">
          <cell r="A453" t="str">
            <v>שזיף דובדבני 'אדום'/'שחור'</v>
          </cell>
          <cell r="B453" t="str">
            <v>Prunus cerasifera 'Atropurpurea'/'Nigra'</v>
          </cell>
          <cell r="C453">
            <v>3</v>
          </cell>
          <cell r="D453">
            <v>556</v>
          </cell>
          <cell r="E453" t="str">
            <v>שזיף דובדבני 'אדום'/'שחור', Prunus cerasifera 'Atropurpurea'/'Nigra'</v>
          </cell>
        </row>
        <row r="454">
          <cell r="A454" t="str">
            <v>שזיף מינים שונים</v>
          </cell>
          <cell r="B454" t="str">
            <v>Prunus spp</v>
          </cell>
          <cell r="C454">
            <v>2</v>
          </cell>
          <cell r="D454">
            <v>557</v>
          </cell>
          <cell r="E454" t="str">
            <v>שזיף מינים שונים, Prunus spp</v>
          </cell>
        </row>
        <row r="455">
          <cell r="A455" t="str">
            <v>שזיף פעמוני</v>
          </cell>
          <cell r="B455" t="str">
            <v>Prunus campanulata</v>
          </cell>
          <cell r="C455">
            <v>3</v>
          </cell>
          <cell r="D455">
            <v>270</v>
          </cell>
          <cell r="E455" t="str">
            <v>שזיף פעמוני, Prunus campanulata</v>
          </cell>
        </row>
        <row r="456">
          <cell r="A456" t="str">
            <v>שיזף מצוי</v>
          </cell>
          <cell r="B456" t="str">
            <v>Zizphus spina-christi</v>
          </cell>
          <cell r="C456">
            <v>4</v>
          </cell>
          <cell r="D456">
            <v>271</v>
          </cell>
          <cell r="E456" t="str">
            <v>שיזף מצוי, Zizphus spina-christi</v>
          </cell>
        </row>
        <row r="457">
          <cell r="A457" t="str">
            <v>שיטה גלדנית</v>
          </cell>
          <cell r="B457" t="str">
            <v>Acacia coriacea</v>
          </cell>
          <cell r="C457">
            <v>2</v>
          </cell>
          <cell r="D457">
            <v>484</v>
          </cell>
          <cell r="E457" t="str">
            <v>שיטה גלדנית, Acacia coriacea</v>
          </cell>
        </row>
        <row r="458">
          <cell r="A458" t="str">
            <v>שיטה דוקרנית</v>
          </cell>
          <cell r="B458" t="str">
            <v>Acacia paradoxa</v>
          </cell>
          <cell r="C458">
            <v>0</v>
          </cell>
          <cell r="D458">
            <v>558</v>
          </cell>
          <cell r="E458" t="str">
            <v>שיטה דוקרנית, Acacia paradoxa</v>
          </cell>
        </row>
        <row r="459">
          <cell r="A459" t="str">
            <v>שיטה דורית</v>
          </cell>
          <cell r="B459" t="str">
            <v>Acacia verticillata</v>
          </cell>
          <cell r="C459">
            <v>2</v>
          </cell>
          <cell r="D459">
            <v>485</v>
          </cell>
          <cell r="E459" t="str">
            <v>שיטה דורית, Acacia verticillata</v>
          </cell>
        </row>
        <row r="460">
          <cell r="A460" t="str">
            <v>שיטה דמוית-פלפלון</v>
          </cell>
          <cell r="B460" t="str">
            <v>Acacia schinoides</v>
          </cell>
          <cell r="C460">
            <v>2</v>
          </cell>
          <cell r="D460">
            <v>486</v>
          </cell>
          <cell r="E460" t="str">
            <v>שיטה דמוית-פלפלון, Acacia schinoides</v>
          </cell>
        </row>
        <row r="461">
          <cell r="A461" t="str">
            <v>שיטה הקיאית</v>
          </cell>
          <cell r="B461" t="str">
            <v>Acacia hakeoides</v>
          </cell>
          <cell r="C461">
            <v>2</v>
          </cell>
          <cell r="D461">
            <v>487</v>
          </cell>
          <cell r="E461" t="str">
            <v>שיטה הקיאית, Acacia hakeoides</v>
          </cell>
        </row>
        <row r="462">
          <cell r="A462" t="str">
            <v>שיטה הרדופית</v>
          </cell>
          <cell r="B462" t="str">
            <v>Acacia neriifolia</v>
          </cell>
          <cell r="C462">
            <v>2</v>
          </cell>
          <cell r="D462">
            <v>488</v>
          </cell>
          <cell r="E462" t="str">
            <v>שיטה הרדופית, Acacia neriifolia</v>
          </cell>
        </row>
        <row r="463">
          <cell r="A463" t="str">
            <v>שיטה חד-קרנית</v>
          </cell>
          <cell r="B463" t="str">
            <v>Acacia horrida</v>
          </cell>
          <cell r="C463">
            <v>2</v>
          </cell>
          <cell r="D463">
            <v>489</v>
          </cell>
          <cell r="E463" t="str">
            <v>שיטה חד-קרנית, Acacia horrida</v>
          </cell>
        </row>
        <row r="464">
          <cell r="A464" t="str">
            <v>שיטה כחלחלה</v>
          </cell>
          <cell r="B464" t="str">
            <v>Acacia saligna</v>
          </cell>
          <cell r="C464">
            <v>0</v>
          </cell>
          <cell r="D464">
            <v>272</v>
          </cell>
          <cell r="E464" t="str">
            <v>שיטה כחלחלה, Acacia saligna</v>
          </cell>
        </row>
        <row r="465">
          <cell r="A465" t="str">
            <v>שיטה לשונית</v>
          </cell>
          <cell r="B465" t="str">
            <v>Acacia ligulata</v>
          </cell>
          <cell r="C465">
            <v>2</v>
          </cell>
          <cell r="D465">
            <v>490</v>
          </cell>
          <cell r="E465" t="str">
            <v>שיטה לשונית, Acacia ligulata</v>
          </cell>
        </row>
        <row r="466">
          <cell r="A466" t="str">
            <v>שיטה מחוספסת-גביע</v>
          </cell>
          <cell r="B466" t="str">
            <v>Acacia lasiocalyx</v>
          </cell>
          <cell r="C466">
            <v>2</v>
          </cell>
          <cell r="D466">
            <v>491</v>
          </cell>
          <cell r="E466" t="str">
            <v>שיטה מחוספסת-גביע, Acacia lasiocalyx</v>
          </cell>
        </row>
        <row r="467">
          <cell r="A467" t="str">
            <v>שיטה מחורצת</v>
          </cell>
          <cell r="B467" t="str">
            <v>Acacia aulacocarpa</v>
          </cell>
          <cell r="C467">
            <v>2</v>
          </cell>
          <cell r="D467">
            <v>492</v>
          </cell>
          <cell r="E467" t="str">
            <v>שיטה מחורצת, Acacia aulacocarpa</v>
          </cell>
        </row>
        <row r="468">
          <cell r="A468" t="str">
            <v>שיטה מלבינה</v>
          </cell>
          <cell r="B468" t="str">
            <v>Faidherbia albida</v>
          </cell>
          <cell r="C468">
            <v>4</v>
          </cell>
          <cell r="D468">
            <v>273</v>
          </cell>
          <cell r="E468" t="str">
            <v>שיטה מלבינה, Faidherbia albida</v>
          </cell>
        </row>
        <row r="469">
          <cell r="A469" t="str">
            <v>שיטה משתלשלת</v>
          </cell>
          <cell r="B469" t="str">
            <v>Acacia pendula</v>
          </cell>
          <cell r="C469">
            <v>3</v>
          </cell>
          <cell r="D469">
            <v>274</v>
          </cell>
          <cell r="E469" t="str">
            <v>שיטה משתלשלת, Acacia pendula</v>
          </cell>
        </row>
        <row r="470">
          <cell r="A470" t="str">
            <v>שיטה נאה</v>
          </cell>
          <cell r="B470" t="str">
            <v>Acacia decora</v>
          </cell>
          <cell r="C470">
            <v>2</v>
          </cell>
          <cell r="D470">
            <v>493</v>
          </cell>
          <cell r="E470" t="str">
            <v>שיטה נאה, Acacia decora</v>
          </cell>
        </row>
        <row r="471">
          <cell r="A471" t="str">
            <v>שיטה נודעת</v>
          </cell>
          <cell r="B471" t="str">
            <v>Acacia notabilis</v>
          </cell>
          <cell r="C471">
            <v>2</v>
          </cell>
          <cell r="D471">
            <v>494</v>
          </cell>
          <cell r="E471" t="str">
            <v>שיטה נודעת, Acacia notabilis</v>
          </cell>
        </row>
        <row r="472">
          <cell r="A472" t="str">
            <v>שיטה נפוצה</v>
          </cell>
          <cell r="B472" t="str">
            <v>Acacia congnata</v>
          </cell>
          <cell r="C472">
            <v>2</v>
          </cell>
          <cell r="D472">
            <v>495</v>
          </cell>
          <cell r="E472" t="str">
            <v>שיטה נפוצה, Acacia congnata</v>
          </cell>
        </row>
        <row r="473">
          <cell r="A473" t="str">
            <v>שיטה סוככנית</v>
          </cell>
          <cell r="B473" t="str">
            <v>Acacia tortilis</v>
          </cell>
          <cell r="C473">
            <v>4</v>
          </cell>
          <cell r="D473">
            <v>511</v>
          </cell>
          <cell r="E473" t="str">
            <v>שיטה סוככנית, Acacia tortilis</v>
          </cell>
        </row>
        <row r="474">
          <cell r="A474" t="str">
            <v>שיטה סיבית</v>
          </cell>
          <cell r="B474" t="str">
            <v>Acacia fimbriata</v>
          </cell>
          <cell r="C474">
            <v>2</v>
          </cell>
          <cell r="D474">
            <v>496</v>
          </cell>
          <cell r="E474" t="str">
            <v>שיטה סיבית, Acacia fimbriata</v>
          </cell>
        </row>
        <row r="475">
          <cell r="A475" t="str">
            <v>שיטה סלילנית</v>
          </cell>
          <cell r="B475" t="str">
            <v>Acacia raddiana</v>
          </cell>
          <cell r="C475">
            <v>4</v>
          </cell>
          <cell r="D475">
            <v>276</v>
          </cell>
          <cell r="E475" t="str">
            <v>שיטה סלילנית, Acacia raddiana</v>
          </cell>
        </row>
        <row r="476">
          <cell r="A476" t="str">
            <v>שיטה סנגלית</v>
          </cell>
          <cell r="B476" t="str">
            <v>Acacia senegal</v>
          </cell>
          <cell r="C476">
            <v>2</v>
          </cell>
          <cell r="D476">
            <v>497</v>
          </cell>
          <cell r="E476" t="str">
            <v>שיטה סנגלית, Acacia senegal</v>
          </cell>
        </row>
        <row r="477">
          <cell r="A477" t="str">
            <v>שיטה עגולת הזרעים</v>
          </cell>
          <cell r="B477" t="str">
            <v>Acacia cyclops</v>
          </cell>
          <cell r="C477">
            <v>0</v>
          </cell>
          <cell r="D477">
            <v>559</v>
          </cell>
          <cell r="E477" t="str">
            <v>שיטה עגולת הזרעים, Acacia cyclops</v>
          </cell>
        </row>
        <row r="478">
          <cell r="A478" t="str">
            <v>שיטה צרת-עלים</v>
          </cell>
          <cell r="B478" t="str">
            <v>Acacia stenophylla</v>
          </cell>
          <cell r="C478">
            <v>2</v>
          </cell>
          <cell r="D478">
            <v>498</v>
          </cell>
          <cell r="E478" t="str">
            <v>שיטה צרת-עלים, Acacia stenophylla</v>
          </cell>
        </row>
        <row r="479">
          <cell r="A479" t="str">
            <v>שיטה קוון</v>
          </cell>
          <cell r="B479" t="str">
            <v>Acacia caven</v>
          </cell>
          <cell r="C479">
            <v>2</v>
          </cell>
          <cell r="D479">
            <v>499</v>
          </cell>
          <cell r="E479" t="str">
            <v>שיטה קוון, Acacia caven</v>
          </cell>
        </row>
        <row r="480">
          <cell r="A480" t="str">
            <v>שיטה קטכו</v>
          </cell>
          <cell r="B480" t="str">
            <v>Acacia catechu</v>
          </cell>
          <cell r="C480">
            <v>2</v>
          </cell>
          <cell r="D480">
            <v>500</v>
          </cell>
          <cell r="E480" t="str">
            <v>שיטה קטכו, Acacia catechu</v>
          </cell>
        </row>
        <row r="481">
          <cell r="A481" t="str">
            <v>שיטה קטנת-עלים</v>
          </cell>
          <cell r="B481" t="str">
            <v>Acacia pravissima</v>
          </cell>
          <cell r="C481">
            <v>2</v>
          </cell>
          <cell r="D481">
            <v>501</v>
          </cell>
          <cell r="E481" t="str">
            <v>שיטה קטנת-עלים, Acacia pravissima</v>
          </cell>
        </row>
        <row r="482">
          <cell r="A482" t="str">
            <v>שיטה קטנת-שינון</v>
          </cell>
          <cell r="B482" t="str">
            <v>Acacia denticulosa</v>
          </cell>
          <cell r="C482">
            <v>2</v>
          </cell>
          <cell r="D482">
            <v>502</v>
          </cell>
          <cell r="E482" t="str">
            <v>שיטה קטנת-שינון, Acacia denticulosa</v>
          </cell>
        </row>
        <row r="483">
          <cell r="A483" t="str">
            <v>שיטה רבת-פרחים</v>
          </cell>
          <cell r="B483" t="str">
            <v>Acacia pycnantha</v>
          </cell>
          <cell r="C483">
            <v>0</v>
          </cell>
          <cell r="D483">
            <v>503</v>
          </cell>
          <cell r="E483" t="str">
            <v>שיטה רבת-פרחים, Acacia pycnantha</v>
          </cell>
        </row>
        <row r="484">
          <cell r="A484" t="str">
            <v>שיטה ריסנית</v>
          </cell>
          <cell r="B484" t="str">
            <v>Acacia salicina</v>
          </cell>
          <cell r="C484">
            <v>2</v>
          </cell>
          <cell r="D484">
            <v>504</v>
          </cell>
          <cell r="E484" t="str">
            <v>שיטה ריסנית, Acacia salicina</v>
          </cell>
        </row>
        <row r="485">
          <cell r="A485" t="str">
            <v>שיטה רכה</v>
          </cell>
          <cell r="B485" t="str">
            <v>Acacia decurrens</v>
          </cell>
          <cell r="C485">
            <v>2</v>
          </cell>
          <cell r="D485">
            <v>505</v>
          </cell>
          <cell r="E485" t="str">
            <v>שיטה רכה, Acacia decurrens</v>
          </cell>
        </row>
        <row r="486">
          <cell r="A486" t="str">
            <v>שיטה שחורת-עצה</v>
          </cell>
          <cell r="B486" t="str">
            <v>Acacia melanoxylon</v>
          </cell>
          <cell r="C486">
            <v>2</v>
          </cell>
          <cell r="D486">
            <v>506</v>
          </cell>
          <cell r="E486" t="str">
            <v>שיטה שחורת-עצה, Acacia melanoxylon</v>
          </cell>
        </row>
        <row r="487">
          <cell r="A487" t="str">
            <v>שיטת ביילי</v>
          </cell>
          <cell r="B487" t="str">
            <v>Acacia baileyana</v>
          </cell>
          <cell r="C487">
            <v>2</v>
          </cell>
          <cell r="D487">
            <v>507</v>
          </cell>
          <cell r="E487" t="str">
            <v>שיטת ביילי, Acacia baileyana</v>
          </cell>
        </row>
        <row r="488">
          <cell r="A488" t="str">
            <v>שיטת הוויט</v>
          </cell>
          <cell r="B488" t="str">
            <v>Acacia howittii</v>
          </cell>
          <cell r="C488">
            <v>2</v>
          </cell>
          <cell r="D488">
            <v>508</v>
          </cell>
          <cell r="E488" t="str">
            <v>שיטת הוויט, Acacia howittii</v>
          </cell>
        </row>
        <row r="489">
          <cell r="A489" t="str">
            <v>שיטת המולגה</v>
          </cell>
          <cell r="B489" t="str">
            <v>Acacia aneura</v>
          </cell>
          <cell r="C489">
            <v>2</v>
          </cell>
          <cell r="D489">
            <v>509</v>
          </cell>
          <cell r="E489" t="str">
            <v>שיטת המולגה, Acacia aneura</v>
          </cell>
        </row>
        <row r="490">
          <cell r="A490" t="str">
            <v>שיטת המקור</v>
          </cell>
          <cell r="B490" t="str">
            <v>Acacia rostellifera</v>
          </cell>
          <cell r="C490">
            <v>2</v>
          </cell>
          <cell r="D490">
            <v>510</v>
          </cell>
          <cell r="E490" t="str">
            <v>שיטת המקור, Acacia rostellifera</v>
          </cell>
        </row>
        <row r="491">
          <cell r="A491" t="str">
            <v>שיטת המשוכות</v>
          </cell>
          <cell r="B491" t="str">
            <v>Vachellia farnesiana</v>
          </cell>
          <cell r="C491">
            <v>1</v>
          </cell>
          <cell r="D491">
            <v>277</v>
          </cell>
          <cell r="E491" t="str">
            <v>שיטת המשוכות, Vachellia farnesiana</v>
          </cell>
        </row>
        <row r="492">
          <cell r="A492" t="str">
            <v>שיטת הנגב</v>
          </cell>
          <cell r="B492" t="str">
            <v>Vachellia gerrardii</v>
          </cell>
          <cell r="C492">
            <v>5</v>
          </cell>
          <cell r="D492">
            <v>278</v>
          </cell>
          <cell r="E492" t="str">
            <v>שיטת הנגב, Vachellia gerrardii</v>
          </cell>
        </row>
        <row r="493">
          <cell r="A493" t="str">
            <v>שיטת ויקטוריה</v>
          </cell>
          <cell r="B493" t="str">
            <v>Acacia</v>
          </cell>
          <cell r="C493">
            <v>0</v>
          </cell>
          <cell r="D493">
            <v>512</v>
          </cell>
          <cell r="E493" t="str">
            <v>שיטת ויקטוריה, Acacia</v>
          </cell>
        </row>
        <row r="494">
          <cell r="A494" t="str">
            <v>שיטת עלי ערבה</v>
          </cell>
          <cell r="B494" t="str">
            <v>Acacia salicina</v>
          </cell>
          <cell r="C494">
            <v>0</v>
          </cell>
          <cell r="D494">
            <v>482</v>
          </cell>
          <cell r="E494" t="str">
            <v>שיטת עלי ערבה, Acacia salicina</v>
          </cell>
        </row>
        <row r="495">
          <cell r="A495" t="str">
            <v>שלטית אפריקנית</v>
          </cell>
          <cell r="B495" t="str">
            <v>Peltophorum africanum</v>
          </cell>
          <cell r="C495">
            <v>3</v>
          </cell>
          <cell r="D495">
            <v>280</v>
          </cell>
          <cell r="E495" t="str">
            <v>שלטית אפריקנית, Peltophorum africanum</v>
          </cell>
        </row>
        <row r="496">
          <cell r="A496" t="str">
            <v>שלטית מקומטת</v>
          </cell>
          <cell r="B496" t="str">
            <v>Peltophorum dubium</v>
          </cell>
          <cell r="C496">
            <v>3</v>
          </cell>
          <cell r="D496">
            <v>281</v>
          </cell>
          <cell r="E496" t="str">
            <v>שלטית מקומטת, Peltophorum dubium</v>
          </cell>
        </row>
        <row r="497">
          <cell r="A497" t="str">
            <v>שסע פרהיבי</v>
          </cell>
          <cell r="B497" t="str">
            <v>Schizolobium parahybum</v>
          </cell>
          <cell r="C497">
            <v>3</v>
          </cell>
          <cell r="D497">
            <v>561</v>
          </cell>
          <cell r="E497" t="str">
            <v>שסע פרהיבי, Schizolobium parahybum</v>
          </cell>
        </row>
        <row r="498">
          <cell r="A498" t="str">
            <v>שסק יפני</v>
          </cell>
          <cell r="B498" t="str">
            <v>Eriobotrya japonica</v>
          </cell>
          <cell r="C498">
            <v>3</v>
          </cell>
          <cell r="D498">
            <v>283</v>
          </cell>
          <cell r="E498" t="str">
            <v>שסק יפני, Eriobotrya japonica</v>
          </cell>
        </row>
        <row r="499">
          <cell r="A499" t="str">
            <v>שקד מצוי</v>
          </cell>
          <cell r="B499" t="str">
            <v>Amygdalus communis</v>
          </cell>
          <cell r="C499">
            <v>3</v>
          </cell>
          <cell r="D499">
            <v>284</v>
          </cell>
          <cell r="E499" t="str">
            <v>שקד מצוי, Amygdalus communis</v>
          </cell>
        </row>
        <row r="500">
          <cell r="A500" t="str">
            <v>תויה מינים שונים</v>
          </cell>
          <cell r="B500" t="str">
            <v>Thuja spp</v>
          </cell>
          <cell r="C500">
            <v>3</v>
          </cell>
          <cell r="D500">
            <v>562</v>
          </cell>
          <cell r="E500" t="str">
            <v>תויה מינים שונים, Thuja spp</v>
          </cell>
        </row>
        <row r="501">
          <cell r="A501" t="str">
            <v>תות לבן</v>
          </cell>
          <cell r="B501" t="str">
            <v>Morus alba</v>
          </cell>
          <cell r="C501">
            <v>3</v>
          </cell>
          <cell r="D501">
            <v>286</v>
          </cell>
          <cell r="E501" t="str">
            <v>תות לבן, Morus alba</v>
          </cell>
        </row>
        <row r="502">
          <cell r="A502" t="str">
            <v>תות שחור</v>
          </cell>
          <cell r="B502" t="str">
            <v>Morus nigra</v>
          </cell>
          <cell r="C502">
            <v>4</v>
          </cell>
          <cell r="D502">
            <v>287</v>
          </cell>
          <cell r="E502" t="str">
            <v>תות שחור, Morus nigra</v>
          </cell>
        </row>
        <row r="503">
          <cell r="A503" t="str">
            <v>תמר מצוי</v>
          </cell>
          <cell r="B503" t="str">
            <v>Phoenix dactylifera</v>
          </cell>
          <cell r="C503">
            <v>2</v>
          </cell>
          <cell r="D503">
            <v>517</v>
          </cell>
          <cell r="E503" t="str">
            <v>תמר מצוי, Phoenix dactylifera</v>
          </cell>
        </row>
        <row r="504">
          <cell r="A504" t="str">
            <v>תמר נטוי</v>
          </cell>
          <cell r="B504" t="str">
            <v>Phoenix reclinata</v>
          </cell>
          <cell r="C504">
            <v>3</v>
          </cell>
          <cell r="D504">
            <v>289</v>
          </cell>
          <cell r="E504" t="str">
            <v>תמר נטוי, Phoenix reclinata</v>
          </cell>
        </row>
        <row r="505">
          <cell r="A505" t="str">
            <v>תמר קנרי</v>
          </cell>
          <cell r="B505" t="str">
            <v>Phoenix canariensis</v>
          </cell>
          <cell r="C505">
            <v>2</v>
          </cell>
          <cell r="D505">
            <v>290</v>
          </cell>
          <cell r="E505" t="str">
            <v>תמר קנרי, Phoenix canariensis</v>
          </cell>
        </row>
        <row r="506">
          <cell r="A506" t="str">
            <v>תמרינד הודי</v>
          </cell>
          <cell r="B506" t="str">
            <v>Tamarindus indica</v>
          </cell>
          <cell r="C506">
            <v>4</v>
          </cell>
          <cell r="D506">
            <v>291</v>
          </cell>
          <cell r="E506" t="str">
            <v>תמרינד הודי, Tamarindus indica</v>
          </cell>
        </row>
        <row r="507">
          <cell r="A507" t="str">
            <v>תספזיה צפצפתית</v>
          </cell>
          <cell r="B507" t="str">
            <v>Thespesia populnea</v>
          </cell>
          <cell r="C507">
            <v>3</v>
          </cell>
          <cell r="D507">
            <v>292</v>
          </cell>
          <cell r="E507" t="str">
            <v>תספזיה צפצפתית, Thespesia populnea</v>
          </cell>
        </row>
        <row r="508">
          <cell r="A508" t="str">
            <v>תפוח עץ</v>
          </cell>
          <cell r="B508" t="str">
            <v>Malus domestica spp</v>
          </cell>
          <cell r="C508">
            <v>3</v>
          </cell>
          <cell r="D508">
            <v>566</v>
          </cell>
          <cell r="E508" t="str">
            <v>תפוח עץ, Malus domestica spp</v>
          </cell>
        </row>
      </sheetData>
      <sheetData sheetId="4"/>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B0A41-7D6C-4C60-9957-C66DFF1E8375}">
  <sheetPr codeName="גיליון1"/>
  <dimension ref="A1:BU921"/>
  <sheetViews>
    <sheetView rightToLeft="1" tabSelected="1" zoomScaleNormal="100" workbookViewId="0">
      <selection activeCell="A882" sqref="A44:XFD882"/>
    </sheetView>
  </sheetViews>
  <sheetFormatPr defaultRowHeight="12.75"/>
  <cols>
    <col min="1" max="1" width="10.7109375" customWidth="1"/>
    <col min="2" max="2" width="5.7109375" customWidth="1"/>
    <col min="3" max="3" width="17.7109375" customWidth="1"/>
    <col min="4" max="4" width="5" customWidth="1"/>
    <col min="5" max="8" width="4.5703125" customWidth="1"/>
    <col min="9" max="9" width="5.5703125" customWidth="1"/>
    <col min="10" max="10" width="6.85546875" customWidth="1"/>
    <col min="11" max="11" width="5.5703125" customWidth="1"/>
    <col min="12" max="12" width="5.140625" bestFit="1" customWidth="1"/>
    <col min="13" max="13" width="5.140625" customWidth="1"/>
    <col min="14" max="14" width="6.42578125" customWidth="1"/>
    <col min="15" max="15" width="7.140625" customWidth="1"/>
    <col min="16" max="16" width="10.5703125" customWidth="1"/>
    <col min="17" max="17" width="10.5703125" bestFit="1" customWidth="1"/>
    <col min="18" max="18" width="27" customWidth="1"/>
    <col min="19" max="19" width="16.42578125" hidden="1" customWidth="1"/>
    <col min="20" max="20" width="14" hidden="1" customWidth="1"/>
    <col min="21" max="37" width="9.140625" hidden="1" customWidth="1"/>
    <col min="38" max="41" width="10" hidden="1" customWidth="1"/>
    <col min="42" max="42" width="9.140625" customWidth="1"/>
    <col min="45" max="45" width="5.140625" bestFit="1" customWidth="1"/>
    <col min="46" max="46" width="24.42578125" customWidth="1"/>
    <col min="47" max="47" width="4.5703125" customWidth="1"/>
    <col min="48" max="48" width="6.85546875" customWidth="1"/>
    <col min="49" max="49" width="5.140625" customWidth="1"/>
    <col min="50" max="51" width="4.5703125" customWidth="1"/>
    <col min="52" max="52" width="5.85546875" customWidth="1"/>
    <col min="53" max="53" width="11.140625" customWidth="1"/>
    <col min="54" max="54" width="10.7109375" customWidth="1"/>
    <col min="55" max="55" width="13.140625" bestFit="1" customWidth="1"/>
    <col min="57" max="57" width="9.140625" hidden="1" customWidth="1"/>
    <col min="58" max="69" width="22.7109375" customWidth="1"/>
  </cols>
  <sheetData>
    <row r="1" spans="1:73" ht="14.25">
      <c r="A1" s="139"/>
      <c r="B1" s="138"/>
      <c r="C1" s="137"/>
      <c r="G1" s="139"/>
      <c r="L1" s="139"/>
      <c r="N1" s="69"/>
      <c r="O1" s="139"/>
      <c r="P1" s="140" t="s">
        <v>803</v>
      </c>
      <c r="Q1" s="141" t="str">
        <f ca="1">IF(B11&lt;&gt;"",IF(Q1="",NOW(),Q1),"")</f>
        <v/>
      </c>
      <c r="R1" s="139"/>
      <c r="AD1" s="69"/>
    </row>
    <row r="2" spans="1:73" ht="23.25">
      <c r="B2" s="206" t="s">
        <v>753</v>
      </c>
      <c r="C2" s="206"/>
      <c r="D2" s="206"/>
      <c r="E2" s="206"/>
      <c r="F2" s="206"/>
      <c r="G2" s="206"/>
      <c r="H2" s="206"/>
      <c r="I2" s="206"/>
      <c r="J2" s="206"/>
      <c r="K2" s="206"/>
      <c r="L2" s="206"/>
      <c r="M2" s="206"/>
      <c r="N2" s="206"/>
      <c r="O2" s="206"/>
      <c r="P2" s="206"/>
      <c r="Q2" s="206"/>
      <c r="R2" s="206"/>
      <c r="W2" s="182" t="s">
        <v>1342</v>
      </c>
      <c r="X2" s="183" t="s">
        <v>1341</v>
      </c>
      <c r="AB2" s="208" t="s">
        <v>842</v>
      </c>
      <c r="AC2" s="208"/>
      <c r="AD2" s="208"/>
      <c r="AE2" s="208"/>
      <c r="AF2" s="208"/>
      <c r="AG2" s="69"/>
      <c r="AK2" t="s">
        <v>847</v>
      </c>
      <c r="AM2" t="e">
        <f>VLOOKUP(C11,'חד גזעי'!$AH$8:$AI$33,2,FALSE)</f>
        <v>#N/A</v>
      </c>
      <c r="BF2" s="214"/>
      <c r="BG2" s="214"/>
      <c r="BH2" s="214"/>
      <c r="BI2" s="214"/>
      <c r="BJ2" s="214"/>
      <c r="BK2" s="214"/>
    </row>
    <row r="3" spans="1:73" ht="12.75" customHeight="1">
      <c r="B3" s="206" t="s">
        <v>820</v>
      </c>
      <c r="C3" s="206"/>
      <c r="D3" s="206"/>
      <c r="E3" s="206"/>
      <c r="F3" s="206"/>
      <c r="G3" s="206"/>
      <c r="H3" s="206"/>
      <c r="I3" s="206"/>
      <c r="J3" s="206"/>
      <c r="K3" s="206"/>
      <c r="L3" s="206"/>
      <c r="M3" s="206"/>
      <c r="N3" s="206"/>
      <c r="O3" s="206"/>
      <c r="P3" s="206"/>
      <c r="Q3" s="206"/>
      <c r="R3" s="206"/>
      <c r="U3" s="72"/>
      <c r="W3" s="182"/>
      <c r="X3" s="183"/>
      <c r="AB3" t="e">
        <f>IF('חד גזעי'!$AM$5="כן",IF(_xlfn.IFNA(VLOOKUP(C11,'חד גזעי'!$AH$2:$AH$28,1,FALSE),SUM(J11:M11))&lt;21,_xlfn.IFNA(VLOOKUP(C11,'חד גזעי'!$AH$2:$AH$28,1,FALSE),SUM(J11:M11)),0),SUM(J11:M11))</f>
        <v>#N/A</v>
      </c>
      <c r="AC3" t="e">
        <f>IF(_xlfn.IFNA(VLOOKUP(C11,'חד גזעי'!$AH$2:$AH$28,1,FALSE),SUM(J11:M11))&lt;21,_xlfn.IFNA(VLOOKUP(C11,'חד גזעי'!$AH$2:$AH$28,1,FALSE),SUM(J11:M11)),0)</f>
        <v>#N/A</v>
      </c>
      <c r="AD3" t="e">
        <f>_xlfn.IFNA(VLOOKUP(C11,'חד גזעי'!$AH$2:$AH$28,1,FALSE),SUM(J11:M11))</f>
        <v>#N/A</v>
      </c>
      <c r="AF3" t="e">
        <f>VLOOKUP(C11,'חד גזעי'!$AH$2:$AH$28,1,FALSE)</f>
        <v>#N/A</v>
      </c>
      <c r="AH3" t="e">
        <f>VLOOKUP(C11,'חד גזעי'!$AH$2:$AH$7,1,FALSE)</f>
        <v>#N/A</v>
      </c>
      <c r="AI3" t="e">
        <f>IF(VLOOKUP(C11,'חד גזעי'!$AH$2:$AH$7,1,FALSE)&gt;0,0,AB3)</f>
        <v>#N/A</v>
      </c>
      <c r="AJ3" t="e">
        <f>_xlfn.IFNA(IF(VLOOKUP(C11,'חד גזעי'!$AH$2:$AH$7,1,FALSE)&gt;0,0,IF('חד גזעי'!$AM$5="כן",IF(_xlfn.IFNA(VLOOKUP(C11,'חד גזעי'!$AH$2:$AH$28,1,FALSE),SUM(J11:M11))&lt;21,_xlfn.IFNA(VLOOKUP(C11,'חד גזעי'!$AH$2:$AH$28,1,FALSE),SUM(J11:M11)),0),SUM(J11:M11))),IF('חד גזעי'!$AM$5="כן",IF(_xlfn.IFNA(VLOOKUP(C11,'חד גזעי'!$AH$2:$AH$28,1,FALSE),SUM(J11:M11))&lt;21,_xlfn.IFNA(VLOOKUP(C11,'חד גזעי'!$AH$2:$AH$28,1,FALSE),SUM(J11:M11)),0),SUM(J11:M11)))</f>
        <v>#N/A</v>
      </c>
      <c r="BF3" s="104"/>
      <c r="BG3" s="104"/>
      <c r="BH3" s="104"/>
      <c r="BI3" s="104"/>
      <c r="BJ3" s="104"/>
      <c r="BK3" s="104"/>
    </row>
    <row r="4" spans="1:73" ht="12.75" customHeight="1">
      <c r="B4" s="206"/>
      <c r="C4" s="206"/>
      <c r="D4" s="206"/>
      <c r="E4" s="206"/>
      <c r="F4" s="206"/>
      <c r="G4" s="206"/>
      <c r="H4" s="206"/>
      <c r="I4" s="206"/>
      <c r="J4" s="206"/>
      <c r="K4" s="206"/>
      <c r="L4" s="206"/>
      <c r="M4" s="206"/>
      <c r="N4" s="206"/>
      <c r="O4" s="206"/>
      <c r="P4" s="206"/>
      <c r="Q4" s="206"/>
      <c r="R4" s="206"/>
      <c r="BF4" s="72"/>
      <c r="BG4" s="72"/>
      <c r="BH4" s="72"/>
      <c r="BI4" s="72"/>
      <c r="BJ4" s="72"/>
      <c r="BK4" s="72"/>
    </row>
    <row r="5" spans="1:73" ht="12.75" hidden="1" customHeight="1">
      <c r="A5" s="129"/>
      <c r="B5" s="129"/>
      <c r="C5" s="136"/>
      <c r="D5" s="129"/>
      <c r="E5" s="129"/>
      <c r="F5" s="129"/>
      <c r="G5" s="129"/>
      <c r="H5" s="129"/>
      <c r="I5" s="129"/>
      <c r="J5" s="129"/>
      <c r="K5" s="129"/>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c r="BE5" s="129"/>
      <c r="BF5" s="129">
        <f>_xlfn.IFNA(_xlfn.IFNA(_xlfn.TEXTBEFORE(BF4,"--"),_xlfn.TEXTBEFORE(BF4,",")),BF4)</f>
        <v>0</v>
      </c>
      <c r="BG5" s="129">
        <f t="shared" ref="BG5:BJ5" si="0">_xlfn.IFNA(_xlfn.IFNA(_xlfn.TEXTBEFORE(BG4,"--"),_xlfn.TEXTBEFORE(BG4,",")),BG4)</f>
        <v>0</v>
      </c>
      <c r="BH5" s="129">
        <f t="shared" si="0"/>
        <v>0</v>
      </c>
      <c r="BI5" s="129">
        <f t="shared" si="0"/>
        <v>0</v>
      </c>
      <c r="BJ5" s="129">
        <f t="shared" si="0"/>
        <v>0</v>
      </c>
      <c r="BK5" s="129">
        <f>_xlfn.IFNA(_xlfn.IFNA(_xlfn.TEXTBEFORE(BK4,"--"),_xlfn.TEXTBEFORE(BK4,",")),BK4)</f>
        <v>0</v>
      </c>
    </row>
    <row r="6" spans="1:73" ht="12.75" hidden="1" customHeight="1">
      <c r="A6" s="129"/>
      <c r="B6" s="129"/>
      <c r="C6" s="136"/>
      <c r="D6" s="129"/>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c r="BE6" s="129"/>
      <c r="BF6" s="129" t="str">
        <f>"C:\Users\origr\Pictures\"&amp;BF5&amp;".jpg"</f>
        <v>C:\Users\origr\Pictures\0.jpg</v>
      </c>
      <c r="BG6" s="129" t="str">
        <f t="shared" ref="BG6:BK6" si="1">"C:\Users\origr\Pictures\"&amp;BG5&amp;".jpg"</f>
        <v>C:\Users\origr\Pictures\0.jpg</v>
      </c>
      <c r="BH6" s="129" t="str">
        <f t="shared" si="1"/>
        <v>C:\Users\origr\Pictures\0.jpg</v>
      </c>
      <c r="BI6" s="129" t="str">
        <f t="shared" si="1"/>
        <v>C:\Users\origr\Pictures\0.jpg</v>
      </c>
      <c r="BJ6" s="129" t="str">
        <f t="shared" si="1"/>
        <v>C:\Users\origr\Pictures\0.jpg</v>
      </c>
      <c r="BK6" s="129" t="str">
        <f t="shared" si="1"/>
        <v>C:\Users\origr\Pictures\0.jpg</v>
      </c>
    </row>
    <row r="7" spans="1:73" ht="12.75" customHeight="1">
      <c r="A7" s="129"/>
      <c r="B7" s="206" t="s">
        <v>1343</v>
      </c>
      <c r="C7" s="206"/>
      <c r="D7" s="206"/>
      <c r="E7" s="206"/>
      <c r="F7" s="206"/>
      <c r="G7" s="206"/>
      <c r="H7" s="206"/>
      <c r="I7" s="206"/>
      <c r="J7" s="206"/>
      <c r="K7" s="206"/>
      <c r="L7" s="206"/>
      <c r="M7" s="206"/>
      <c r="N7" s="206"/>
      <c r="O7" s="206"/>
      <c r="P7" s="206"/>
      <c r="Q7" s="206"/>
      <c r="R7" s="206"/>
      <c r="V7" s="106"/>
      <c r="W7" s="213" t="s">
        <v>1337</v>
      </c>
      <c r="X7" s="213" t="s">
        <v>1338</v>
      </c>
      <c r="Y7" s="213" t="s">
        <v>1339</v>
      </c>
      <c r="Z7" s="213" t="s">
        <v>1340</v>
      </c>
      <c r="AP7" s="214" t="s">
        <v>804</v>
      </c>
      <c r="AQ7" s="214"/>
      <c r="AR7" s="214"/>
      <c r="AS7" s="214"/>
      <c r="AT7" s="214"/>
      <c r="AU7" s="214"/>
      <c r="AV7" s="214"/>
      <c r="AW7" s="214"/>
      <c r="AX7" s="214"/>
      <c r="AY7" s="214"/>
      <c r="AZ7" s="214"/>
      <c r="BA7" s="214"/>
      <c r="BB7" s="214"/>
      <c r="BC7" s="214"/>
      <c r="BD7" s="214"/>
      <c r="BE7" s="104"/>
      <c r="BF7" s="129" t="str">
        <f t="shared" ref="BF7:BF8" si="2">BF6</f>
        <v>C:\Users\origr\Pictures\0.jpg</v>
      </c>
      <c r="BG7" s="129" t="str">
        <f t="shared" ref="BG7:BG8" si="3">BG6</f>
        <v>C:\Users\origr\Pictures\0.jpg</v>
      </c>
      <c r="BH7" s="129" t="str">
        <f t="shared" ref="BH7:BH8" si="4">BH6</f>
        <v>C:\Users\origr\Pictures\0.jpg</v>
      </c>
      <c r="BI7" s="129" t="str">
        <f t="shared" ref="BI7:BI8" si="5">BI6</f>
        <v>C:\Users\origr\Pictures\0.jpg</v>
      </c>
      <c r="BJ7" s="129" t="str">
        <f t="shared" ref="BJ7:BK8" si="6">BJ6</f>
        <v>C:\Users\origr\Pictures\0.jpg</v>
      </c>
      <c r="BK7" s="129" t="str">
        <f t="shared" si="6"/>
        <v>C:\Users\origr\Pictures\0.jpg</v>
      </c>
    </row>
    <row r="8" spans="1:73" ht="12.75" customHeight="1">
      <c r="B8" s="206"/>
      <c r="C8" s="206"/>
      <c r="D8" s="206"/>
      <c r="E8" s="206"/>
      <c r="F8" s="206"/>
      <c r="G8" s="206"/>
      <c r="H8" s="206"/>
      <c r="I8" s="206"/>
      <c r="J8" s="206"/>
      <c r="K8" s="206"/>
      <c r="L8" s="206"/>
      <c r="M8" s="206"/>
      <c r="N8" s="206"/>
      <c r="O8" s="206"/>
      <c r="P8" s="206"/>
      <c r="Q8" s="206"/>
      <c r="R8" s="206"/>
      <c r="V8" s="106"/>
      <c r="W8" s="213"/>
      <c r="X8" s="213"/>
      <c r="Y8" s="213"/>
      <c r="Z8" s="213"/>
      <c r="AP8" s="214"/>
      <c r="AQ8" s="214"/>
      <c r="AR8" s="214"/>
      <c r="AS8" s="214"/>
      <c r="AT8" s="214"/>
      <c r="AU8" s="214"/>
      <c r="AV8" s="214"/>
      <c r="AW8" s="214"/>
      <c r="AX8" s="214"/>
      <c r="AY8" s="214"/>
      <c r="AZ8" s="214"/>
      <c r="BA8" s="214"/>
      <c r="BB8" s="214"/>
      <c r="BC8" s="214"/>
      <c r="BD8" s="214"/>
      <c r="BE8" s="104"/>
      <c r="BF8" s="210" t="str">
        <f t="shared" si="2"/>
        <v>C:\Users\origr\Pictures\0.jpg</v>
      </c>
      <c r="BG8" s="210" t="str">
        <f t="shared" si="3"/>
        <v>C:\Users\origr\Pictures\0.jpg</v>
      </c>
      <c r="BH8" s="210" t="str">
        <f t="shared" si="4"/>
        <v>C:\Users\origr\Pictures\0.jpg</v>
      </c>
      <c r="BI8" s="210" t="str">
        <f t="shared" si="5"/>
        <v>C:\Users\origr\Pictures\0.jpg</v>
      </c>
      <c r="BJ8" s="210" t="str">
        <f t="shared" si="6"/>
        <v>C:\Users\origr\Pictures\0.jpg</v>
      </c>
      <c r="BK8" s="210" t="str">
        <f t="shared" si="6"/>
        <v>C:\Users\origr\Pictures\0.jpg</v>
      </c>
    </row>
    <row r="9" spans="1:73" ht="12.75" customHeight="1">
      <c r="B9" s="215"/>
      <c r="C9" s="215"/>
      <c r="D9" s="215"/>
      <c r="E9" s="215"/>
      <c r="F9" s="215"/>
      <c r="G9" s="215"/>
      <c r="H9" s="215"/>
      <c r="I9" s="215"/>
      <c r="J9" s="215"/>
      <c r="K9" s="215"/>
      <c r="L9" s="215"/>
      <c r="M9" s="215"/>
      <c r="N9" s="215"/>
      <c r="O9" s="215"/>
      <c r="P9" s="215"/>
      <c r="Q9" s="215"/>
      <c r="R9" s="215"/>
      <c r="U9" s="142" t="s">
        <v>849</v>
      </c>
      <c r="V9" s="96" t="s">
        <v>849</v>
      </c>
      <c r="W9" s="213"/>
      <c r="X9" s="213"/>
      <c r="Y9" s="213"/>
      <c r="Z9" s="213"/>
      <c r="AA9" s="142"/>
      <c r="AC9" s="216" t="s">
        <v>769</v>
      </c>
      <c r="AD9" s="183"/>
      <c r="AE9" s="183"/>
      <c r="AF9" s="183"/>
      <c r="AG9" s="183"/>
      <c r="AH9" s="183"/>
      <c r="AI9" s="183"/>
      <c r="AJ9" s="183"/>
      <c r="AK9" s="83" t="s">
        <v>802</v>
      </c>
      <c r="AM9" s="218" t="s">
        <v>814</v>
      </c>
      <c r="AN9" s="218"/>
      <c r="AO9" s="218"/>
      <c r="AP9" s="214"/>
      <c r="AQ9" s="214"/>
      <c r="AR9" s="214"/>
      <c r="AS9" s="214"/>
      <c r="AT9" s="214"/>
      <c r="AU9" s="214"/>
      <c r="AV9" s="214"/>
      <c r="AW9" s="214"/>
      <c r="AX9" s="214"/>
      <c r="AY9" s="214"/>
      <c r="AZ9" s="214"/>
      <c r="BA9" s="214"/>
      <c r="BB9" s="214"/>
      <c r="BC9" s="214"/>
      <c r="BD9" s="214"/>
      <c r="BE9" s="104"/>
      <c r="BF9" s="211"/>
      <c r="BG9" s="211"/>
      <c r="BH9" s="211"/>
      <c r="BI9" s="211"/>
      <c r="BJ9" s="211"/>
      <c r="BK9" s="211"/>
      <c r="BS9" s="87"/>
      <c r="BT9" s="87"/>
      <c r="BU9" s="87"/>
    </row>
    <row r="10" spans="1:73" ht="39" customHeight="1">
      <c r="B10" s="84" t="s">
        <v>738</v>
      </c>
      <c r="C10" s="84" t="s">
        <v>739</v>
      </c>
      <c r="D10" s="84" t="s">
        <v>740</v>
      </c>
      <c r="E10" s="84" t="s">
        <v>741</v>
      </c>
      <c r="F10" s="95" t="s">
        <v>759</v>
      </c>
      <c r="G10" s="96" t="s">
        <v>760</v>
      </c>
      <c r="H10" s="96" t="s">
        <v>761</v>
      </c>
      <c r="I10" s="84" t="s">
        <v>742</v>
      </c>
      <c r="J10" s="84" t="s">
        <v>743</v>
      </c>
      <c r="K10" s="84" t="s">
        <v>744</v>
      </c>
      <c r="L10" s="84" t="s">
        <v>745</v>
      </c>
      <c r="M10" s="84" t="s">
        <v>746</v>
      </c>
      <c r="N10" s="84" t="s">
        <v>747</v>
      </c>
      <c r="O10" s="84" t="s">
        <v>748</v>
      </c>
      <c r="P10" s="84" t="s">
        <v>749</v>
      </c>
      <c r="Q10" s="84" t="s">
        <v>750</v>
      </c>
      <c r="R10" s="84" t="s">
        <v>751</v>
      </c>
      <c r="S10" t="s">
        <v>857</v>
      </c>
      <c r="T10" t="s">
        <v>856</v>
      </c>
      <c r="V10" s="106"/>
      <c r="W10" s="129"/>
      <c r="X10" s="129"/>
      <c r="Y10" s="129"/>
      <c r="Z10" s="129"/>
      <c r="AC10" s="94"/>
      <c r="AD10" s="94"/>
      <c r="AE10" s="72"/>
      <c r="AF10" s="77" t="s">
        <v>767</v>
      </c>
      <c r="AG10" s="77" t="s">
        <v>768</v>
      </c>
      <c r="AH10" s="72" t="s">
        <v>762</v>
      </c>
      <c r="AI10" s="72" t="s">
        <v>763</v>
      </c>
      <c r="AJ10" s="72" t="s">
        <v>764</v>
      </c>
      <c r="AK10" s="77" t="s">
        <v>770</v>
      </c>
      <c r="AL10" s="69" t="s">
        <v>771</v>
      </c>
      <c r="AM10" s="77" t="s">
        <v>809</v>
      </c>
      <c r="AN10" s="77" t="s">
        <v>810</v>
      </c>
      <c r="AO10" s="77" t="s">
        <v>811</v>
      </c>
      <c r="AS10" s="84" t="s">
        <v>738</v>
      </c>
      <c r="AT10" s="84" t="s">
        <v>739</v>
      </c>
      <c r="AU10" s="84" t="s">
        <v>740</v>
      </c>
      <c r="AV10" s="84" t="s">
        <v>741</v>
      </c>
      <c r="AW10" s="96" t="s">
        <v>759</v>
      </c>
      <c r="AX10" s="96" t="s">
        <v>760</v>
      </c>
      <c r="AY10" s="96" t="s">
        <v>761</v>
      </c>
      <c r="AZ10" s="100" t="s">
        <v>812</v>
      </c>
      <c r="BA10" s="100" t="s">
        <v>817</v>
      </c>
      <c r="BB10" s="84" t="s">
        <v>805</v>
      </c>
      <c r="BC10" s="84" t="s">
        <v>806</v>
      </c>
      <c r="BF10" s="211"/>
      <c r="BG10" s="211"/>
      <c r="BH10" s="211"/>
      <c r="BI10" s="211"/>
      <c r="BJ10" s="211"/>
      <c r="BK10" s="211"/>
    </row>
    <row r="11" spans="1:73">
      <c r="B11" s="77"/>
      <c r="C11" s="135"/>
      <c r="D11" s="109"/>
      <c r="E11" s="73"/>
      <c r="F11" s="72"/>
      <c r="G11" s="72"/>
      <c r="H11" s="72"/>
      <c r="I11" s="73">
        <f t="shared" ref="I11:I24" si="7">F11+(G11/2)+(H11/2)</f>
        <v>0</v>
      </c>
      <c r="J11" s="109"/>
      <c r="K11" s="73"/>
      <c r="L11" s="74" t="e">
        <f>_xlfn.IFNA(VLOOKUP(C11,'חד גזעי'!$U$3:$V$509,2,0),VLOOKUP(C11,'חד גזעי'!$U$3:$V$509,2))</f>
        <v>#N/A</v>
      </c>
      <c r="M11" s="73"/>
      <c r="N11" s="72" t="e">
        <f>_xlfn.IFNA(IF(VLOOKUP(C11,'חד גזעי'!$AH$2:$AH$7,1,FALSE)&gt;0,0,IF('חד גזעי'!$AM$5="כן",IF(_xlfn.IFNA(VLOOKUP(C11,'חד גזעי'!$AH$2:$AH$33,1,FALSE),SUM(J11:M11))&lt;21,_xlfn.IFNA(VLOOKUP(C11,'חד גזעי'!$AH$2:$AH$33,1,FALSE),SUM(J11:M11)),0),SUM(J11:M11))),IF('חד גזעי'!$AM$5="כן",IF(_xlfn.IFNA(VLOOKUP(C11,'חד גזעי'!$AH$2:$AH$33,1,FALSE),SUM(J11:M11))&lt;21,_xlfn.IFNA(VLOOKUP(C11,'חד גזעי'!$AH$2:$AH$33,1,FALSE),SUM(J11:M11)),0),SUM(J11:M11)))</f>
        <v>#N/A</v>
      </c>
      <c r="O11" s="72">
        <f>IF('חד גזעי'!$AM$3 = "כן",IF(T11&gt;4,4,T11),T11)</f>
        <v>0</v>
      </c>
      <c r="P11" s="80">
        <f>IF(E11&lt;2,0,IF(Z11&gt;0,Z11,IF(N11 = 0,0,IF('חד גזעי'!$AM$2 = "לא",IF(F11&gt;19,W11,0),IF(F11&gt;9,Y11,0)))))</f>
        <v>0</v>
      </c>
      <c r="Q11" s="77"/>
      <c r="R11" s="75"/>
      <c r="S11" t="e">
        <f>VLOOKUP(C11,'חד גזעי'!$Y$4:$Y$18,1,0)</f>
        <v>#N/A</v>
      </c>
      <c r="T11" s="72">
        <f>IF('חד גזעי'!$AM$6="לא",IF(P11=0,IF(BC11="שימור",IF('חד גזעי'!$AM$4="לא",IF(BC11="לא בוגר",0,IF(BC11="לא קיים",0,IF(J11=0,0,I11*0.1))),IF(BC11="לא בוגר",0,IF(BC11="לא קיים",0,IF(AB11=1,I11*0.1,E11*0.5)))),0),IF('חד גזעי'!$AM$4="לא",IF(BC11="לא בוגר",0,IF(BC11="לא קיים",0,IF(J11=0,0,I11*0.1))),IF(BC11="לא בוגר",0,IF(BC11="לא קיים",0,IF(AB11=1,I11*0.1,E11*0.5))))),IF(P11=0,IF(BC11="שימור",IF('חד גזעי'!$AM$4="לא",IF(BC11="לא בוגר",0,IF(BC11="לא קיים",0,IF(J11=0,0,I11*0.15))),IF(BC11="לא בוגר",0,IF(BC11="לא קיים",0,IF(AB11=1,I11*0.15,E11*0.5)))),0),IF('חד גזעי'!$AM$4="לא",IF(BC11="לא בוגר",0,IF(BC11="לא קיים",0,IF(J11=0,0,I11*0.15))),IF(BC11="לא בוגר",0,IF(BC11="לא קיים",0,IF(AB11=1,I11*0.15,E11*0.5))))))</f>
        <v>0</v>
      </c>
      <c r="V11" t="e">
        <f>_xlfn.IFNA(AK11,AF11)</f>
        <v>#N/A</v>
      </c>
      <c r="W11" t="e">
        <f>IF(D11=0,V11,D11*V11)</f>
        <v>#N/A</v>
      </c>
      <c r="X11" t="e">
        <f>IF(N11 = 0,0,Y11)</f>
        <v>#N/A</v>
      </c>
      <c r="Y11">
        <f>IF('חד גזעי'!$AM$2 = "לא",0,IF(F11&gt;9,W11,0))</f>
        <v>0</v>
      </c>
      <c r="Z11">
        <f>IF('חד גזעי'!$AM$7 = "לא",0,IF(C11 = "זית אירופי",IF('חד גזעי'!$AN$7 &lt;=סקר!F11,W11,0),IF(C11 = "חרוב מצוי",IF('חד גזעי'!$AN$7 &lt;=סקר!F11,W11,0),0)))</f>
        <v>0</v>
      </c>
      <c r="AB11">
        <f t="shared" ref="AB11:AB35" si="8">_xlfn.IFNA(S11,1)</f>
        <v>1</v>
      </c>
      <c r="AC11" s="72"/>
      <c r="AD11" t="e">
        <f>IF(AK11&gt;0,AK11,AF11)</f>
        <v>#N/A</v>
      </c>
      <c r="AE11" s="72"/>
      <c r="AF11" s="72" t="e">
        <f t="shared" ref="AF11:AF35" si="9">((AJ11+AI11+AH11)*(AG11))*(J11*0.2)*(K11*0.2)*20</f>
        <v>#N/A</v>
      </c>
      <c r="AG11" s="72" t="e">
        <f>IF('חד גזעי'!$AM$5="לא",(VLOOKUP(C11,'חד גזעי'!$P$1:$S$589,3,FALSE)),(VLOOKUP(C11,'חד גזעי'!$P$1:$S$589,4,FALSE)))</f>
        <v>#N/A</v>
      </c>
      <c r="AH11" s="72">
        <f t="shared" ref="AH11:AH35" si="10">(3.14*((F11/2)^2))</f>
        <v>0</v>
      </c>
      <c r="AI11" s="72">
        <f t="shared" ref="AI11:AI35" si="11">3.14*(G11*G11/4)</f>
        <v>0</v>
      </c>
      <c r="AJ11" s="72">
        <f t="shared" ref="AJ11:AJ35" si="12">3.14*(H11*H11/4)</f>
        <v>0</v>
      </c>
      <c r="AK11" s="72" t="e">
        <f t="shared" ref="AK11:AK35" si="13">AL11*E11*(J11*0.2)*(0.2*K11)*1500</f>
        <v>#N/A</v>
      </c>
      <c r="AL11" t="e">
        <f>VLOOKUP(C11,'חד גזעי'!$AH$8:$AI$33,2,FALSE)</f>
        <v>#N/A</v>
      </c>
      <c r="AM11" s="72" t="b">
        <f t="shared" ref="AM11:AM35" si="14">IF(BC11="שימור",P11)</f>
        <v>0</v>
      </c>
      <c r="AN11" s="72" t="b">
        <f t="shared" ref="AN11:AN35" si="15">IF(BC11="כריתה",P11)</f>
        <v>0</v>
      </c>
      <c r="AO11" s="72" t="b">
        <f t="shared" ref="AO11:AO35" si="16">IF(BC11="העתקה",P11)</f>
        <v>0</v>
      </c>
      <c r="AS11" s="72">
        <f t="shared" ref="AS11:AS35" si="17">B11</f>
        <v>0</v>
      </c>
      <c r="AT11" s="72">
        <f t="shared" ref="AT11:AT35" si="18">C11</f>
        <v>0</v>
      </c>
      <c r="AU11" s="72">
        <f>IF(C11&gt;0,IF(D11&lt;2,1,D11),0)</f>
        <v>0</v>
      </c>
      <c r="AV11" s="72">
        <f t="shared" ref="AV11:AV35" si="19">E11</f>
        <v>0</v>
      </c>
      <c r="AW11" s="72">
        <f t="shared" ref="AW11:AW35" si="20">F11</f>
        <v>0</v>
      </c>
      <c r="AX11" s="72">
        <f t="shared" ref="AX11:AX35" si="21">G11</f>
        <v>0</v>
      </c>
      <c r="AY11" s="72">
        <f t="shared" ref="AY11:AY35" si="22">H11</f>
        <v>0</v>
      </c>
      <c r="AZ11" s="72">
        <f t="shared" ref="AZ11:AZ35" si="23">I11</f>
        <v>0</v>
      </c>
      <c r="BA11" s="72" t="e">
        <f t="shared" ref="BA11:BA35" si="24">N11</f>
        <v>#N/A</v>
      </c>
      <c r="BB11" s="72" t="e">
        <f>IF(BA11&gt;6,IF(BA11&gt;13,IF(BA11&gt;16,"גבוה מאוד","גבוה"),"בינונית"),"נמוכה")</f>
        <v>#N/A</v>
      </c>
      <c r="BC11" s="77"/>
      <c r="BD11" s="161"/>
      <c r="BE11">
        <f>IF(BC11="לא נדרש ברישיון",1,0)</f>
        <v>0</v>
      </c>
      <c r="BF11" s="211"/>
      <c r="BG11" s="211"/>
      <c r="BH11" s="211"/>
      <c r="BI11" s="211"/>
      <c r="BJ11" s="211"/>
      <c r="BK11" s="211"/>
    </row>
    <row r="12" spans="1:73" ht="12.75" customHeight="1">
      <c r="B12" s="77"/>
      <c r="C12" s="135"/>
      <c r="D12" s="78"/>
      <c r="E12" s="73"/>
      <c r="F12" s="72"/>
      <c r="G12" s="72"/>
      <c r="H12" s="72"/>
      <c r="I12" s="73">
        <f t="shared" si="7"/>
        <v>0</v>
      </c>
      <c r="J12" s="78"/>
      <c r="K12" s="73"/>
      <c r="L12" s="74" t="e">
        <f>_xlfn.IFNA(VLOOKUP(C12,'חד גזעי'!$U$3:$V$509,2,0),VLOOKUP(C12,'חד גזעי'!$U$3:$V$509,2))</f>
        <v>#N/A</v>
      </c>
      <c r="M12" s="73"/>
      <c r="N12" s="72" t="e">
        <f>_xlfn.IFNA(IF(VLOOKUP(C12,'חד גזעי'!$AH$2:$AH$7,1,FALSE)&gt;0,0,IF('חד גזעי'!$AM$5="כן",IF(_xlfn.IFNA(VLOOKUP(C12,'חד גזעי'!$AH$2:$AH$33,1,FALSE),SUM(J12:M12))&lt;21,_xlfn.IFNA(VLOOKUP(C12,'חד גזעי'!$AH$2:$AH$33,1,FALSE),SUM(J12:M12)),0),SUM(J12:M12))),IF('חד גזעי'!$AM$5="כן",IF(_xlfn.IFNA(VLOOKUP(C12,'חד גזעי'!$AH$2:$AH$33,1,FALSE),SUM(J12:M12))&lt;21,_xlfn.IFNA(VLOOKUP(C12,'חד גזעי'!$AH$2:$AH$33,1,FALSE),SUM(J12:M12)),0),SUM(J12:M12)))</f>
        <v>#N/A</v>
      </c>
      <c r="O12" s="72">
        <f>IF('חד גזעי'!$AM$3 = "כן",IF(T12&gt;4,4,T12),T12)</f>
        <v>0</v>
      </c>
      <c r="P12" s="80">
        <f>IF(E12&lt;2,0,IF(Z12&gt;0,Z12,IF(N12 = 0,0,IF('חד גזעי'!$AM$2 = "לא",IF(F12&gt;19,W12,0),IF(F12&gt;9,Y12,0)))))</f>
        <v>0</v>
      </c>
      <c r="Q12" s="77"/>
      <c r="R12" s="75"/>
      <c r="S12" t="e">
        <f>VLOOKUP(C12,'חד גזעי'!$Y$4:$Y$18,1,0)</f>
        <v>#N/A</v>
      </c>
      <c r="T12" s="72">
        <f>IF('חד גזעי'!$AM$6="לא",IF(P12=0,IF(BC12="שימור",IF('חד גזעי'!$AM$4="לא",IF(BC12="לא בוגר",0,IF(BC12="לא קיים",0,IF(J12=0,0,I12*0.1))),IF(BC12="לא בוגר",0,IF(BC12="לא קיים",0,IF(AB12=1,I12*0.1,E12*0.5)))),0),IF('חד גזעי'!$AM$4="לא",IF(BC12="לא בוגר",0,IF(BC12="לא קיים",0,IF(J12=0,0,I12*0.1))),IF(BC12="לא בוגר",0,IF(BC12="לא קיים",0,IF(AB12=1,I12*0.1,E12*0.5))))),IF(P12=0,IF(BC12="שימור",IF('חד גזעי'!$AM$4="לא",IF(BC12="לא בוגר",0,IF(BC12="לא קיים",0,IF(J12=0,0,I12*0.15))),IF(BC12="לא בוגר",0,IF(BC12="לא קיים",0,IF(AB12=1,I12*0.15,E12*0.5)))),0),IF('חד גזעי'!$AM$4="לא",IF(BC12="לא בוגר",0,IF(BC12="לא קיים",0,IF(J12=0,0,I12*0.15))),IF(BC12="לא בוגר",0,IF(BC12="לא קיים",0,IF(AB12=1,I12*0.15,E12*0.5))))))</f>
        <v>0</v>
      </c>
      <c r="V12" t="e">
        <f t="shared" ref="V12:V75" si="25">_xlfn.IFNA(AK12,AF12)</f>
        <v>#N/A</v>
      </c>
      <c r="W12" t="e">
        <f t="shared" ref="W12:W75" si="26">IF(D12=0,V12,D12*V12)</f>
        <v>#N/A</v>
      </c>
      <c r="X12" t="e">
        <f t="shared" ref="X12:X75" si="27">IF(N12 = 0,0,Y12)</f>
        <v>#N/A</v>
      </c>
      <c r="Y12">
        <f>IF('חד גזעי'!$AM$2 = "לא",0,IF(F12&gt;9,W12,0))</f>
        <v>0</v>
      </c>
      <c r="Z12">
        <f>IF('חד גזעי'!$AM$7 = "לא",0,IF(C12 = "זית אירופי",IF('חד גזעי'!$AN$7 &lt;=סקר!F12,W12,0),IF(C12 = "חרוב מצוי",IF('חד גזעי'!$AN$7 &lt;=סקר!F12,W12,0),0)))</f>
        <v>0</v>
      </c>
      <c r="AB12">
        <f t="shared" si="8"/>
        <v>1</v>
      </c>
      <c r="AC12" s="72"/>
      <c r="AD12" t="e">
        <f t="shared" ref="AD12:AD35" si="28">IF(AK12&gt;0,AK12,AF12)</f>
        <v>#N/A</v>
      </c>
      <c r="AE12" s="72"/>
      <c r="AF12" s="72" t="e">
        <f t="shared" si="9"/>
        <v>#N/A</v>
      </c>
      <c r="AG12" s="72" t="e">
        <f>IF('חד גזעי'!$AM$5="לא",(VLOOKUP(C12,'חד גזעי'!$P$1:$S$589,3,FALSE)),(VLOOKUP(C12,'חד גזעי'!$P$1:$S$589,4,FALSE)))</f>
        <v>#N/A</v>
      </c>
      <c r="AH12" s="72">
        <f t="shared" si="10"/>
        <v>0</v>
      </c>
      <c r="AI12" s="72">
        <f t="shared" si="11"/>
        <v>0</v>
      </c>
      <c r="AJ12" s="72">
        <f t="shared" si="12"/>
        <v>0</v>
      </c>
      <c r="AK12" s="72" t="e">
        <f t="shared" si="13"/>
        <v>#N/A</v>
      </c>
      <c r="AL12" t="e">
        <f>VLOOKUP(C12,'חד גזעי'!$AH$8:$AI$33,2,FALSE)</f>
        <v>#N/A</v>
      </c>
      <c r="AM12" s="72" t="b">
        <f t="shared" si="14"/>
        <v>0</v>
      </c>
      <c r="AN12" s="72" t="b">
        <f t="shared" si="15"/>
        <v>0</v>
      </c>
      <c r="AO12" s="72" t="b">
        <f t="shared" si="16"/>
        <v>0</v>
      </c>
      <c r="AS12" s="72">
        <f t="shared" si="17"/>
        <v>0</v>
      </c>
      <c r="AT12" s="72">
        <f t="shared" si="18"/>
        <v>0</v>
      </c>
      <c r="AU12" s="72">
        <f t="shared" ref="AU12:AU35" si="29">IF(C12&gt;0,IF(D12&lt;2,1,D12),0)</f>
        <v>0</v>
      </c>
      <c r="AV12" s="72">
        <f t="shared" si="19"/>
        <v>0</v>
      </c>
      <c r="AW12" s="72">
        <f t="shared" si="20"/>
        <v>0</v>
      </c>
      <c r="AX12" s="72">
        <f t="shared" si="21"/>
        <v>0</v>
      </c>
      <c r="AY12" s="72">
        <f t="shared" si="22"/>
        <v>0</v>
      </c>
      <c r="AZ12" s="72">
        <f t="shared" si="23"/>
        <v>0</v>
      </c>
      <c r="BA12" s="72" t="e">
        <f t="shared" si="24"/>
        <v>#N/A</v>
      </c>
      <c r="BB12" s="72" t="e">
        <f t="shared" ref="BB12:BB35" si="30">IF(BA12&gt;6,IF(BA12&gt;13,IF(BA12&gt;16,"גבוה מאוד","גבוה"),"בינונית"),"נמוכה")</f>
        <v>#N/A</v>
      </c>
      <c r="BC12" s="77"/>
      <c r="BE12">
        <f t="shared" ref="BE12:BE40" si="31">IF(BC12="לא נדרש ברישיון",1,0)</f>
        <v>0</v>
      </c>
      <c r="BF12" s="211"/>
      <c r="BG12" s="211"/>
      <c r="BH12" s="211"/>
      <c r="BI12" s="211"/>
      <c r="BJ12" s="211"/>
      <c r="BK12" s="211"/>
    </row>
    <row r="13" spans="1:73">
      <c r="B13" s="77"/>
      <c r="C13" s="135"/>
      <c r="D13" s="78"/>
      <c r="E13" s="73"/>
      <c r="F13" s="72"/>
      <c r="G13" s="72"/>
      <c r="H13" s="72"/>
      <c r="I13" s="73">
        <f t="shared" si="7"/>
        <v>0</v>
      </c>
      <c r="J13" s="78"/>
      <c r="K13" s="73"/>
      <c r="L13" s="74" t="e">
        <f>_xlfn.IFNA(VLOOKUP(C13,'חד גזעי'!$U$3:$V$509,2,0),VLOOKUP(C13,'חד גזעי'!$U$3:$V$509,2))</f>
        <v>#N/A</v>
      </c>
      <c r="M13" s="73"/>
      <c r="N13" s="72" t="e">
        <f>_xlfn.IFNA(IF(VLOOKUP(C13,'חד גזעי'!$AH$2:$AH$7,1,FALSE)&gt;0,0,IF('חד גזעי'!$AM$5="כן",IF(_xlfn.IFNA(VLOOKUP(C13,'חד גזעי'!$AH$2:$AH$33,1,FALSE),SUM(J13:M13))&lt;21,_xlfn.IFNA(VLOOKUP(C13,'חד גזעי'!$AH$2:$AH$33,1,FALSE),SUM(J13:M13)),0),SUM(J13:M13))),IF('חד גזעי'!$AM$5="כן",IF(_xlfn.IFNA(VLOOKUP(C13,'חד גזעי'!$AH$2:$AH$33,1,FALSE),SUM(J13:M13))&lt;21,_xlfn.IFNA(VLOOKUP(C13,'חד גזעי'!$AH$2:$AH$33,1,FALSE),SUM(J13:M13)),0),SUM(J13:M13)))</f>
        <v>#N/A</v>
      </c>
      <c r="O13" s="72">
        <f>IF('חד גזעי'!$AM$3 = "כן",IF(T13&gt;4,4,T13),T13)</f>
        <v>0</v>
      </c>
      <c r="P13" s="80">
        <f>IF(E13&lt;2,0,IF(Z13&gt;0,Z13,IF(N13 = 0,0,IF('חד גזעי'!$AM$2 = "לא",IF(F13&gt;19,W13,0),IF(F13&gt;9,Y13,0)))))</f>
        <v>0</v>
      </c>
      <c r="Q13" s="77"/>
      <c r="R13" s="75"/>
      <c r="S13" t="e">
        <f>VLOOKUP(C13,'חד גזעי'!$Y$4:$Y$18,1,0)</f>
        <v>#N/A</v>
      </c>
      <c r="T13" s="72">
        <f>IF('חד גזעי'!$AM$6="לא",IF(P13=0,IF(BC13="שימור",IF('חד גזעי'!$AM$4="לא",IF(BC13="לא בוגר",0,IF(BC13="לא קיים",0,IF(J13=0,0,I13*0.1))),IF(BC13="לא בוגר",0,IF(BC13="לא קיים",0,IF(AB13=1,I13*0.1,E13*0.5)))),0),IF('חד גזעי'!$AM$4="לא",IF(BC13="לא בוגר",0,IF(BC13="לא קיים",0,IF(J13=0,0,I13*0.1))),IF(BC13="לא בוגר",0,IF(BC13="לא קיים",0,IF(AB13=1,I13*0.1,E13*0.5))))),IF(P13=0,IF(BC13="שימור",IF('חד גזעי'!$AM$4="לא",IF(BC13="לא בוגר",0,IF(BC13="לא קיים",0,IF(J13=0,0,I13*0.15))),IF(BC13="לא בוגר",0,IF(BC13="לא קיים",0,IF(AB13=1,I13*0.15,E13*0.5)))),0),IF('חד גזעי'!$AM$4="לא",IF(BC13="לא בוגר",0,IF(BC13="לא קיים",0,IF(J13=0,0,I13*0.15))),IF(BC13="לא בוגר",0,IF(BC13="לא קיים",0,IF(AB13=1,I13*0.15,E13*0.5))))))</f>
        <v>0</v>
      </c>
      <c r="V13" t="e">
        <f t="shared" si="25"/>
        <v>#N/A</v>
      </c>
      <c r="W13" t="e">
        <f t="shared" si="26"/>
        <v>#N/A</v>
      </c>
      <c r="X13" t="e">
        <f t="shared" si="27"/>
        <v>#N/A</v>
      </c>
      <c r="Y13">
        <f>IF('חד גזעי'!$AM$2 = "לא",0,IF(F13&gt;9,W13,0))</f>
        <v>0</v>
      </c>
      <c r="Z13">
        <f>IF('חד גזעי'!$AM$7 = "לא",0,IF(C13 = "זית אירופי",IF('חד גזעי'!$AN$7 &lt;=סקר!F13,W13,0),IF(C13 = "חרוב מצוי",IF('חד גזעי'!$AN$7 &lt;=סקר!F13,W13,0),0)))</f>
        <v>0</v>
      </c>
      <c r="AB13">
        <f t="shared" si="8"/>
        <v>1</v>
      </c>
      <c r="AC13" s="72"/>
      <c r="AD13" t="e">
        <f t="shared" si="28"/>
        <v>#N/A</v>
      </c>
      <c r="AE13" s="72"/>
      <c r="AF13" s="72" t="e">
        <f t="shared" si="9"/>
        <v>#N/A</v>
      </c>
      <c r="AG13" s="72" t="e">
        <f>IF('חד גזעי'!$AM$5="לא",(VLOOKUP(C13,'חד גזעי'!$P$1:$S$589,3,FALSE)),(VLOOKUP(C13,'חד גזעי'!$P$1:$S$589,4,FALSE)))</f>
        <v>#N/A</v>
      </c>
      <c r="AH13" s="72">
        <f t="shared" si="10"/>
        <v>0</v>
      </c>
      <c r="AI13" s="72">
        <f t="shared" si="11"/>
        <v>0</v>
      </c>
      <c r="AJ13" s="72">
        <f t="shared" si="12"/>
        <v>0</v>
      </c>
      <c r="AK13" s="72" t="e">
        <f t="shared" si="13"/>
        <v>#N/A</v>
      </c>
      <c r="AL13" t="e">
        <f>VLOOKUP(C13,'חד גזעי'!$AH$8:$AI$33,2,FALSE)</f>
        <v>#N/A</v>
      </c>
      <c r="AM13" s="72" t="b">
        <f t="shared" si="14"/>
        <v>0</v>
      </c>
      <c r="AN13" s="72" t="b">
        <f t="shared" si="15"/>
        <v>0</v>
      </c>
      <c r="AO13" s="72" t="b">
        <f t="shared" si="16"/>
        <v>0</v>
      </c>
      <c r="AS13" s="72">
        <f t="shared" si="17"/>
        <v>0</v>
      </c>
      <c r="AT13" s="72">
        <f t="shared" si="18"/>
        <v>0</v>
      </c>
      <c r="AU13" s="72">
        <f t="shared" si="29"/>
        <v>0</v>
      </c>
      <c r="AV13" s="72">
        <f t="shared" si="19"/>
        <v>0</v>
      </c>
      <c r="AW13" s="72">
        <f t="shared" si="20"/>
        <v>0</v>
      </c>
      <c r="AX13" s="72">
        <f t="shared" si="21"/>
        <v>0</v>
      </c>
      <c r="AY13" s="72">
        <f t="shared" si="22"/>
        <v>0</v>
      </c>
      <c r="AZ13" s="72">
        <f t="shared" si="23"/>
        <v>0</v>
      </c>
      <c r="BA13" s="72" t="e">
        <f t="shared" si="24"/>
        <v>#N/A</v>
      </c>
      <c r="BB13" s="72" t="e">
        <f t="shared" si="30"/>
        <v>#N/A</v>
      </c>
      <c r="BC13" s="77"/>
      <c r="BE13">
        <f t="shared" si="31"/>
        <v>0</v>
      </c>
      <c r="BF13" s="211"/>
      <c r="BG13" s="211"/>
      <c r="BH13" s="211"/>
      <c r="BI13" s="211"/>
      <c r="BJ13" s="211"/>
      <c r="BK13" s="211"/>
    </row>
    <row r="14" spans="1:73" ht="13.5" customHeight="1">
      <c r="B14" s="77"/>
      <c r="C14" s="135"/>
      <c r="D14" s="78"/>
      <c r="E14" s="78"/>
      <c r="F14" s="72"/>
      <c r="G14" s="72"/>
      <c r="H14" s="72"/>
      <c r="I14" s="73">
        <f t="shared" si="7"/>
        <v>0</v>
      </c>
      <c r="J14" s="78"/>
      <c r="K14" s="73"/>
      <c r="L14" s="74" t="e">
        <f>_xlfn.IFNA(VLOOKUP(C14,'חד גזעי'!$U$3:$V$509,2,0),VLOOKUP(C14,'חד גזעי'!$U$3:$V$509,2))</f>
        <v>#N/A</v>
      </c>
      <c r="M14" s="73"/>
      <c r="N14" s="72" t="e">
        <f>_xlfn.IFNA(IF(VLOOKUP(C14,'חד גזעי'!$AH$2:$AH$7,1,FALSE)&gt;0,0,IF('חד גזעי'!$AM$5="כן",IF(_xlfn.IFNA(VLOOKUP(C14,'חד גזעי'!$AH$2:$AH$33,1,FALSE),SUM(J14:M14))&lt;21,_xlfn.IFNA(VLOOKUP(C14,'חד גזעי'!$AH$2:$AH$33,1,FALSE),SUM(J14:M14)),0),SUM(J14:M14))),IF('חד גזעי'!$AM$5="כן",IF(_xlfn.IFNA(VLOOKUP(C14,'חד גזעי'!$AH$2:$AH$33,1,FALSE),SUM(J14:M14))&lt;21,_xlfn.IFNA(VLOOKUP(C14,'חד גזעי'!$AH$2:$AH$33,1,FALSE),SUM(J14:M14)),0),SUM(J14:M14)))</f>
        <v>#N/A</v>
      </c>
      <c r="O14" s="72">
        <f>IF('חד גזעי'!$AM$3 = "כן",IF(T14&gt;4,4,T14),T14)</f>
        <v>0</v>
      </c>
      <c r="P14" s="80">
        <f>IF(E14&lt;2,0,IF(Z14&gt;0,Z14,IF(N14 = 0,0,IF('חד גזעי'!$AM$2 = "לא",IF(F14&gt;19,W14,0),IF(F14&gt;9,Y14,0)))))</f>
        <v>0</v>
      </c>
      <c r="Q14" s="77"/>
      <c r="R14" s="75"/>
      <c r="S14" t="e">
        <f>VLOOKUP(C14,'חד גזעי'!$Y$4:$Y$18,1,0)</f>
        <v>#N/A</v>
      </c>
      <c r="T14" s="72">
        <f>IF('חד גזעי'!$AM$6="לא",IF(P14=0,IF(BC14="שימור",IF('חד גזעי'!$AM$4="לא",IF(BC14="לא בוגר",0,IF(BC14="לא קיים",0,IF(J14=0,0,I14*0.1))),IF(BC14="לא בוגר",0,IF(BC14="לא קיים",0,IF(AB14=1,I14*0.1,E14*0.5)))),0),IF('חד גזעי'!$AM$4="לא",IF(BC14="לא בוגר",0,IF(BC14="לא קיים",0,IF(J14=0,0,I14*0.1))),IF(BC14="לא בוגר",0,IF(BC14="לא קיים",0,IF(AB14=1,I14*0.1,E14*0.5))))),IF(P14=0,IF(BC14="שימור",IF('חד גזעי'!$AM$4="לא",IF(BC14="לא בוגר",0,IF(BC14="לא קיים",0,IF(J14=0,0,I14*0.15))),IF(BC14="לא בוגר",0,IF(BC14="לא קיים",0,IF(AB14=1,I14*0.15,E14*0.5)))),0),IF('חד גזעי'!$AM$4="לא",IF(BC14="לא בוגר",0,IF(BC14="לא קיים",0,IF(J14=0,0,I14*0.15))),IF(BC14="לא בוגר",0,IF(BC14="לא קיים",0,IF(AB14=1,I14*0.15,E14*0.5))))))</f>
        <v>0</v>
      </c>
      <c r="V14" t="e">
        <f t="shared" si="25"/>
        <v>#N/A</v>
      </c>
      <c r="W14" t="e">
        <f t="shared" si="26"/>
        <v>#N/A</v>
      </c>
      <c r="X14" t="e">
        <f t="shared" si="27"/>
        <v>#N/A</v>
      </c>
      <c r="Y14">
        <f>IF('חד גזעי'!$AM$2 = "לא",0,IF(F14&gt;9,W14,0))</f>
        <v>0</v>
      </c>
      <c r="Z14">
        <f>IF('חד גזעי'!$AM$7 = "לא",0,IF(C14 = "זית אירופי",IF('חד גזעי'!$AN$7 &lt;=סקר!F14,W14,0),IF(C14 = "חרוב מצוי",IF('חד גזעי'!$AN$7 &lt;=סקר!F14,W14,0),0)))</f>
        <v>0</v>
      </c>
      <c r="AB14">
        <f t="shared" si="8"/>
        <v>1</v>
      </c>
      <c r="AC14" s="72"/>
      <c r="AD14" t="e">
        <f t="shared" si="28"/>
        <v>#N/A</v>
      </c>
      <c r="AE14" s="72"/>
      <c r="AF14" s="72" t="e">
        <f t="shared" si="9"/>
        <v>#N/A</v>
      </c>
      <c r="AG14" s="72" t="e">
        <f>IF('חד גזעי'!$AM$5="לא",(VLOOKUP(C14,'חד גזעי'!$P$1:$S$589,3,FALSE)),(VLOOKUP(C14,'חד גזעי'!$P$1:$S$589,4,FALSE)))</f>
        <v>#N/A</v>
      </c>
      <c r="AH14" s="72">
        <f t="shared" si="10"/>
        <v>0</v>
      </c>
      <c r="AI14" s="72">
        <f t="shared" si="11"/>
        <v>0</v>
      </c>
      <c r="AJ14" s="72">
        <f t="shared" si="12"/>
        <v>0</v>
      </c>
      <c r="AK14" s="72" t="e">
        <f t="shared" si="13"/>
        <v>#N/A</v>
      </c>
      <c r="AL14" t="e">
        <f>VLOOKUP(C14,'חד גזעי'!$AH$8:$AI$33,2,FALSE)</f>
        <v>#N/A</v>
      </c>
      <c r="AM14" s="72" t="b">
        <f t="shared" si="14"/>
        <v>0</v>
      </c>
      <c r="AN14" s="72" t="b">
        <f t="shared" si="15"/>
        <v>0</v>
      </c>
      <c r="AO14" s="72" t="b">
        <f t="shared" si="16"/>
        <v>0</v>
      </c>
      <c r="AS14" s="72">
        <f t="shared" si="17"/>
        <v>0</v>
      </c>
      <c r="AT14" s="72">
        <f t="shared" si="18"/>
        <v>0</v>
      </c>
      <c r="AU14" s="72">
        <f t="shared" si="29"/>
        <v>0</v>
      </c>
      <c r="AV14" s="72">
        <f t="shared" si="19"/>
        <v>0</v>
      </c>
      <c r="AW14" s="72">
        <f t="shared" si="20"/>
        <v>0</v>
      </c>
      <c r="AX14" s="72">
        <f t="shared" si="21"/>
        <v>0</v>
      </c>
      <c r="AY14" s="72">
        <f t="shared" si="22"/>
        <v>0</v>
      </c>
      <c r="AZ14" s="72">
        <f t="shared" si="23"/>
        <v>0</v>
      </c>
      <c r="BA14" s="72" t="e">
        <f t="shared" si="24"/>
        <v>#N/A</v>
      </c>
      <c r="BB14" s="72" t="e">
        <f t="shared" si="30"/>
        <v>#N/A</v>
      </c>
      <c r="BC14" s="77"/>
      <c r="BE14">
        <f t="shared" si="31"/>
        <v>0</v>
      </c>
      <c r="BF14" s="211"/>
      <c r="BG14" s="211"/>
      <c r="BH14" s="211"/>
      <c r="BI14" s="211"/>
      <c r="BJ14" s="211"/>
      <c r="BK14" s="211"/>
    </row>
    <row r="15" spans="1:73">
      <c r="B15" s="77"/>
      <c r="C15" s="135"/>
      <c r="D15" s="78"/>
      <c r="E15" s="78"/>
      <c r="F15" s="72"/>
      <c r="G15" s="72"/>
      <c r="H15" s="72"/>
      <c r="I15" s="73">
        <f t="shared" si="7"/>
        <v>0</v>
      </c>
      <c r="J15" s="78"/>
      <c r="K15" s="73"/>
      <c r="L15" s="74" t="e">
        <f>_xlfn.IFNA(VLOOKUP(C15,'חד גזעי'!$U$3:$V$509,2,0),VLOOKUP(C15,'חד גזעי'!$U$3:$V$509,2))</f>
        <v>#N/A</v>
      </c>
      <c r="M15" s="73"/>
      <c r="N15" s="72" t="e">
        <f>_xlfn.IFNA(IF(VLOOKUP(C15,'חד גזעי'!$AH$2:$AH$7,1,FALSE)&gt;0,0,IF('חד גזעי'!$AM$5="כן",IF(_xlfn.IFNA(VLOOKUP(C15,'חד גזעי'!$AH$2:$AH$33,1,FALSE),SUM(J15:M15))&lt;21,_xlfn.IFNA(VLOOKUP(C15,'חד גזעי'!$AH$2:$AH$33,1,FALSE),SUM(J15:M15)),0),SUM(J15:M15))),IF('חד גזעי'!$AM$5="כן",IF(_xlfn.IFNA(VLOOKUP(C15,'חד גזעי'!$AH$2:$AH$33,1,FALSE),SUM(J15:M15))&lt;21,_xlfn.IFNA(VLOOKUP(C15,'חד גזעי'!$AH$2:$AH$33,1,FALSE),SUM(J15:M15)),0),SUM(J15:M15)))</f>
        <v>#N/A</v>
      </c>
      <c r="O15" s="72">
        <f>IF('חד גזעי'!$AM$3 = "כן",IF(T15&gt;4,4,T15),T15)</f>
        <v>0</v>
      </c>
      <c r="P15" s="80">
        <f>IF(E15&lt;2,0,IF(Z15&gt;0,Z15,IF(N15 = 0,0,IF('חד גזעי'!$AM$2 = "לא",IF(F15&gt;19,W15,0),IF(F15&gt;9,Y15,0)))))</f>
        <v>0</v>
      </c>
      <c r="Q15" s="77"/>
      <c r="R15" s="75"/>
      <c r="S15" t="e">
        <f>VLOOKUP(C15,'חד גזעי'!$Y$4:$Y$18,1,0)</f>
        <v>#N/A</v>
      </c>
      <c r="T15" s="72">
        <f>IF('חד גזעי'!$AM$6="לא",IF(P15=0,IF(BC15="שימור",IF('חד גזעי'!$AM$4="לא",IF(BC15="לא בוגר",0,IF(BC15="לא קיים",0,IF(J15=0,0,I15*0.1))),IF(BC15="לא בוגר",0,IF(BC15="לא קיים",0,IF(AB15=1,I15*0.1,E15*0.5)))),0),IF('חד גזעי'!$AM$4="לא",IF(BC15="לא בוגר",0,IF(BC15="לא קיים",0,IF(J15=0,0,I15*0.1))),IF(BC15="לא בוגר",0,IF(BC15="לא קיים",0,IF(AB15=1,I15*0.1,E15*0.5))))),IF(P15=0,IF(BC15="שימור",IF('חד גזעי'!$AM$4="לא",IF(BC15="לא בוגר",0,IF(BC15="לא קיים",0,IF(J15=0,0,I15*0.15))),IF(BC15="לא בוגר",0,IF(BC15="לא קיים",0,IF(AB15=1,I15*0.15,E15*0.5)))),0),IF('חד גזעי'!$AM$4="לא",IF(BC15="לא בוגר",0,IF(BC15="לא קיים",0,IF(J15=0,0,I15*0.15))),IF(BC15="לא בוגר",0,IF(BC15="לא קיים",0,IF(AB15=1,I15*0.15,E15*0.5))))))</f>
        <v>0</v>
      </c>
      <c r="V15" t="e">
        <f t="shared" si="25"/>
        <v>#N/A</v>
      </c>
      <c r="W15" t="e">
        <f t="shared" si="26"/>
        <v>#N/A</v>
      </c>
      <c r="X15" t="e">
        <f t="shared" si="27"/>
        <v>#N/A</v>
      </c>
      <c r="Y15">
        <f>IF('חד גזעי'!$AM$2 = "לא",0,IF(F15&gt;9,W15,0))</f>
        <v>0</v>
      </c>
      <c r="Z15">
        <f>IF('חד גזעי'!$AM$7 = "לא",0,IF(C15 = "זית אירופי",IF('חד גזעי'!$AN$7 &lt;=סקר!F15,W15,0),IF(C15 = "חרוב מצוי",IF('חד גזעי'!$AN$7 &lt;=סקר!F15,W15,0),0)))</f>
        <v>0</v>
      </c>
      <c r="AB15">
        <f t="shared" si="8"/>
        <v>1</v>
      </c>
      <c r="AC15" s="72"/>
      <c r="AD15" t="e">
        <f t="shared" si="28"/>
        <v>#N/A</v>
      </c>
      <c r="AE15" s="72"/>
      <c r="AF15" s="72" t="e">
        <f t="shared" si="9"/>
        <v>#N/A</v>
      </c>
      <c r="AG15" s="72" t="e">
        <f>IF('חד גזעי'!$AM$5="לא",(VLOOKUP(C15,'חד גזעי'!$P$1:$S$589,3,FALSE)),(VLOOKUP(C15,'חד גזעי'!$P$1:$S$589,4,FALSE)))</f>
        <v>#N/A</v>
      </c>
      <c r="AH15" s="72">
        <f t="shared" si="10"/>
        <v>0</v>
      </c>
      <c r="AI15" s="72">
        <f t="shared" si="11"/>
        <v>0</v>
      </c>
      <c r="AJ15" s="72">
        <f t="shared" si="12"/>
        <v>0</v>
      </c>
      <c r="AK15" s="72" t="e">
        <f t="shared" si="13"/>
        <v>#N/A</v>
      </c>
      <c r="AL15" t="e">
        <f>VLOOKUP(C15,'חד גזעי'!$AH$8:$AI$33,2,FALSE)</f>
        <v>#N/A</v>
      </c>
      <c r="AM15" s="72" t="b">
        <f t="shared" si="14"/>
        <v>0</v>
      </c>
      <c r="AN15" s="72" t="b">
        <f t="shared" si="15"/>
        <v>0</v>
      </c>
      <c r="AO15" s="72" t="b">
        <f t="shared" si="16"/>
        <v>0</v>
      </c>
      <c r="AS15" s="72">
        <f t="shared" si="17"/>
        <v>0</v>
      </c>
      <c r="AT15" s="72">
        <f t="shared" si="18"/>
        <v>0</v>
      </c>
      <c r="AU15" s="72">
        <f t="shared" si="29"/>
        <v>0</v>
      </c>
      <c r="AV15" s="72">
        <f t="shared" si="19"/>
        <v>0</v>
      </c>
      <c r="AW15" s="72">
        <f t="shared" si="20"/>
        <v>0</v>
      </c>
      <c r="AX15" s="72">
        <f t="shared" si="21"/>
        <v>0</v>
      </c>
      <c r="AY15" s="72">
        <f t="shared" si="22"/>
        <v>0</v>
      </c>
      <c r="AZ15" s="72">
        <f t="shared" si="23"/>
        <v>0</v>
      </c>
      <c r="BA15" s="72" t="e">
        <f t="shared" si="24"/>
        <v>#N/A</v>
      </c>
      <c r="BB15" s="72" t="e">
        <f t="shared" si="30"/>
        <v>#N/A</v>
      </c>
      <c r="BC15" s="77"/>
      <c r="BE15">
        <f t="shared" si="31"/>
        <v>0</v>
      </c>
      <c r="BF15" s="211"/>
      <c r="BG15" s="211"/>
      <c r="BH15" s="211"/>
      <c r="BI15" s="211"/>
      <c r="BJ15" s="211"/>
      <c r="BK15" s="211"/>
    </row>
    <row r="16" spans="1:73">
      <c r="B16" s="77"/>
      <c r="C16" s="135"/>
      <c r="D16" s="78"/>
      <c r="E16" s="78"/>
      <c r="F16" s="72"/>
      <c r="G16" s="72"/>
      <c r="H16" s="72"/>
      <c r="I16" s="73">
        <f t="shared" si="7"/>
        <v>0</v>
      </c>
      <c r="J16" s="78"/>
      <c r="K16" s="73"/>
      <c r="L16" s="74" t="e">
        <f>_xlfn.IFNA(VLOOKUP(C16,'חד גזעי'!$U$3:$V$509,2,0),VLOOKUP(C16,'חד גזעי'!$U$3:$V$509,2))</f>
        <v>#N/A</v>
      </c>
      <c r="M16" s="73"/>
      <c r="N16" s="72" t="e">
        <f>_xlfn.IFNA(IF(VLOOKUP(C16,'חד גזעי'!$AH$2:$AH$7,1,FALSE)&gt;0,0,IF('חד גזעי'!$AM$5="כן",IF(_xlfn.IFNA(VLOOKUP(C16,'חד גזעי'!$AH$2:$AH$33,1,FALSE),SUM(J16:M16))&lt;21,_xlfn.IFNA(VLOOKUP(C16,'חד גזעי'!$AH$2:$AH$33,1,FALSE),SUM(J16:M16)),0),SUM(J16:M16))),IF('חד גזעי'!$AM$5="כן",IF(_xlfn.IFNA(VLOOKUP(C16,'חד גזעי'!$AH$2:$AH$33,1,FALSE),SUM(J16:M16))&lt;21,_xlfn.IFNA(VLOOKUP(C16,'חד גזעי'!$AH$2:$AH$33,1,FALSE),SUM(J16:M16)),0),SUM(J16:M16)))</f>
        <v>#N/A</v>
      </c>
      <c r="O16" s="72">
        <f>IF('חד גזעי'!$AM$3 = "כן",IF(T16&gt;4,4,T16),T16)</f>
        <v>0</v>
      </c>
      <c r="P16" s="80">
        <f>IF(E16&lt;2,0,IF(Z16&gt;0,Z16,IF(N16 = 0,0,IF('חד גזעי'!$AM$2 = "לא",IF(F16&gt;19,W16,0),IF(F16&gt;9,Y16,0)))))</f>
        <v>0</v>
      </c>
      <c r="Q16" s="77"/>
      <c r="R16" s="75"/>
      <c r="S16" t="e">
        <f>VLOOKUP(C16,'חד גזעי'!$Y$4:$Y$18,1,0)</f>
        <v>#N/A</v>
      </c>
      <c r="T16" s="72">
        <f>IF('חד גזעי'!$AM$6="לא",IF(P16=0,IF(BC16="שימור",IF('חד גזעי'!$AM$4="לא",IF(BC16="לא בוגר",0,IF(BC16="לא קיים",0,IF(J16=0,0,I16*0.1))),IF(BC16="לא בוגר",0,IF(BC16="לא קיים",0,IF(AB16=1,I16*0.1,E16*0.5)))),0),IF('חד גזעי'!$AM$4="לא",IF(BC16="לא בוגר",0,IF(BC16="לא קיים",0,IF(J16=0,0,I16*0.1))),IF(BC16="לא בוגר",0,IF(BC16="לא קיים",0,IF(AB16=1,I16*0.1,E16*0.5))))),IF(P16=0,IF(BC16="שימור",IF('חד גזעי'!$AM$4="לא",IF(BC16="לא בוגר",0,IF(BC16="לא קיים",0,IF(J16=0,0,I16*0.15))),IF(BC16="לא בוגר",0,IF(BC16="לא קיים",0,IF(AB16=1,I16*0.15,E16*0.5)))),0),IF('חד גזעי'!$AM$4="לא",IF(BC16="לא בוגר",0,IF(BC16="לא קיים",0,IF(J16=0,0,I16*0.15))),IF(BC16="לא בוגר",0,IF(BC16="לא קיים",0,IF(AB16=1,I16*0.15,E16*0.5))))))</f>
        <v>0</v>
      </c>
      <c r="V16" t="e">
        <f t="shared" si="25"/>
        <v>#N/A</v>
      </c>
      <c r="W16" t="e">
        <f t="shared" si="26"/>
        <v>#N/A</v>
      </c>
      <c r="X16" t="e">
        <f t="shared" si="27"/>
        <v>#N/A</v>
      </c>
      <c r="Y16">
        <f>IF('חד גזעי'!$AM$2 = "לא",0,IF(F16&gt;9,W16,0))</f>
        <v>0</v>
      </c>
      <c r="Z16">
        <f>IF('חד גזעי'!$AM$7 = "לא",0,IF(C16 = "זית אירופי",IF('חד גזעי'!$AN$7 &lt;=סקר!F16,W16,0),IF(C16 = "חרוב מצוי",IF('חד גזעי'!$AN$7 &lt;=סקר!F16,W16,0),0)))</f>
        <v>0</v>
      </c>
      <c r="AB16">
        <f t="shared" si="8"/>
        <v>1</v>
      </c>
      <c r="AC16" s="72"/>
      <c r="AD16" t="e">
        <f t="shared" si="28"/>
        <v>#N/A</v>
      </c>
      <c r="AE16" s="72"/>
      <c r="AF16" s="72" t="e">
        <f t="shared" si="9"/>
        <v>#N/A</v>
      </c>
      <c r="AG16" s="72" t="e">
        <f>IF('חד גזעי'!$AM$5="לא",(VLOOKUP(C16,'חד גזעי'!$P$1:$S$589,3,FALSE)),(VLOOKUP(C16,'חד גזעי'!$P$1:$S$589,4,FALSE)))</f>
        <v>#N/A</v>
      </c>
      <c r="AH16" s="72">
        <f t="shared" si="10"/>
        <v>0</v>
      </c>
      <c r="AI16" s="72">
        <f t="shared" si="11"/>
        <v>0</v>
      </c>
      <c r="AJ16" s="72">
        <f t="shared" si="12"/>
        <v>0</v>
      </c>
      <c r="AK16" s="72" t="e">
        <f t="shared" si="13"/>
        <v>#N/A</v>
      </c>
      <c r="AL16" t="e">
        <f>VLOOKUP(C16,'חד גזעי'!$AH$8:$AI$33,2,FALSE)</f>
        <v>#N/A</v>
      </c>
      <c r="AM16" s="72" t="b">
        <f t="shared" si="14"/>
        <v>0</v>
      </c>
      <c r="AN16" s="72" t="b">
        <f t="shared" si="15"/>
        <v>0</v>
      </c>
      <c r="AO16" s="72" t="b">
        <f t="shared" si="16"/>
        <v>0</v>
      </c>
      <c r="AS16" s="72">
        <f t="shared" si="17"/>
        <v>0</v>
      </c>
      <c r="AT16" s="72">
        <f t="shared" si="18"/>
        <v>0</v>
      </c>
      <c r="AU16" s="72">
        <f t="shared" si="29"/>
        <v>0</v>
      </c>
      <c r="AV16" s="72">
        <f t="shared" si="19"/>
        <v>0</v>
      </c>
      <c r="AW16" s="72">
        <f t="shared" si="20"/>
        <v>0</v>
      </c>
      <c r="AX16" s="72">
        <f t="shared" si="21"/>
        <v>0</v>
      </c>
      <c r="AY16" s="72">
        <f t="shared" si="22"/>
        <v>0</v>
      </c>
      <c r="AZ16" s="72">
        <f t="shared" si="23"/>
        <v>0</v>
      </c>
      <c r="BA16" s="72" t="e">
        <f t="shared" si="24"/>
        <v>#N/A</v>
      </c>
      <c r="BB16" s="72" t="e">
        <f t="shared" si="30"/>
        <v>#N/A</v>
      </c>
      <c r="BC16" s="77"/>
      <c r="BE16">
        <f t="shared" si="31"/>
        <v>0</v>
      </c>
      <c r="BF16" s="211"/>
      <c r="BG16" s="211"/>
      <c r="BH16" s="211"/>
      <c r="BI16" s="211"/>
      <c r="BJ16" s="211"/>
      <c r="BK16" s="211"/>
    </row>
    <row r="17" spans="2:63" ht="12.75" customHeight="1">
      <c r="B17" s="77"/>
      <c r="C17" s="135"/>
      <c r="D17" s="78"/>
      <c r="E17" s="78"/>
      <c r="F17" s="72"/>
      <c r="G17" s="72"/>
      <c r="H17" s="72"/>
      <c r="I17" s="73">
        <f t="shared" si="7"/>
        <v>0</v>
      </c>
      <c r="J17" s="78"/>
      <c r="K17" s="73"/>
      <c r="L17" s="74" t="e">
        <f>_xlfn.IFNA(VLOOKUP(C17,'חד גזעי'!$U$3:$V$509,2,0),VLOOKUP(C17,'חד גזעי'!$U$3:$V$509,2))</f>
        <v>#N/A</v>
      </c>
      <c r="M17" s="73"/>
      <c r="N17" s="72" t="e">
        <f>_xlfn.IFNA(IF(VLOOKUP(C17,'חד גזעי'!$AH$2:$AH$7,1,FALSE)&gt;0,0,IF('חד גזעי'!$AM$5="כן",IF(_xlfn.IFNA(VLOOKUP(C17,'חד גזעי'!$AH$2:$AH$33,1,FALSE),SUM(J17:M17))&lt;21,_xlfn.IFNA(VLOOKUP(C17,'חד גזעי'!$AH$2:$AH$33,1,FALSE),SUM(J17:M17)),0),SUM(J17:M17))),IF('חד גזעי'!$AM$5="כן",IF(_xlfn.IFNA(VLOOKUP(C17,'חד גזעי'!$AH$2:$AH$33,1,FALSE),SUM(J17:M17))&lt;21,_xlfn.IFNA(VLOOKUP(C17,'חד גזעי'!$AH$2:$AH$33,1,FALSE),SUM(J17:M17)),0),SUM(J17:M17)))</f>
        <v>#N/A</v>
      </c>
      <c r="O17" s="72">
        <f>IF('חד גזעי'!$AM$3 = "כן",IF(T17&gt;4,4,T17),T17)</f>
        <v>0</v>
      </c>
      <c r="P17" s="80">
        <f>IF(E17&lt;2,0,IF(Z17&gt;0,Z17,IF(N17 = 0,0,IF('חד גזעי'!$AM$2 = "לא",IF(F17&gt;19,W17,0),IF(F17&gt;9,Y17,0)))))</f>
        <v>0</v>
      </c>
      <c r="Q17" s="77"/>
      <c r="R17" s="75"/>
      <c r="S17" t="e">
        <f>VLOOKUP(C17,'חד גזעי'!$Y$4:$Y$18,1,0)</f>
        <v>#N/A</v>
      </c>
      <c r="T17" s="72">
        <f>IF('חד גזעי'!$AM$6="לא",IF(P17=0,IF(BC17="שימור",IF('חד גזעי'!$AM$4="לא",IF(BC17="לא בוגר",0,IF(BC17="לא קיים",0,IF(J17=0,0,I17*0.1))),IF(BC17="לא בוגר",0,IF(BC17="לא קיים",0,IF(AB17=1,I17*0.1,E17*0.5)))),0),IF('חד גזעי'!$AM$4="לא",IF(BC17="לא בוגר",0,IF(BC17="לא קיים",0,IF(J17=0,0,I17*0.1))),IF(BC17="לא בוגר",0,IF(BC17="לא קיים",0,IF(AB17=1,I17*0.1,E17*0.5))))),IF(P17=0,IF(BC17="שימור",IF('חד גזעי'!$AM$4="לא",IF(BC17="לא בוגר",0,IF(BC17="לא קיים",0,IF(J17=0,0,I17*0.15))),IF(BC17="לא בוגר",0,IF(BC17="לא קיים",0,IF(AB17=1,I17*0.15,E17*0.5)))),0),IF('חד גזעי'!$AM$4="לא",IF(BC17="לא בוגר",0,IF(BC17="לא קיים",0,IF(J17=0,0,I17*0.15))),IF(BC17="לא בוגר",0,IF(BC17="לא קיים",0,IF(AB17=1,I17*0.15,E17*0.5))))))</f>
        <v>0</v>
      </c>
      <c r="V17" t="e">
        <f t="shared" si="25"/>
        <v>#N/A</v>
      </c>
      <c r="W17" t="e">
        <f t="shared" si="26"/>
        <v>#N/A</v>
      </c>
      <c r="X17" t="e">
        <f t="shared" si="27"/>
        <v>#N/A</v>
      </c>
      <c r="Y17">
        <f>IF('חד גזעי'!$AM$2 = "לא",0,IF(F17&gt;9,W17,0))</f>
        <v>0</v>
      </c>
      <c r="Z17">
        <f>IF('חד גזעי'!$AM$7 = "לא",0,IF(C17 = "זית אירופי",IF('חד גזעי'!$AN$7 &lt;=סקר!F17,W17,0),IF(C17 = "חרוב מצוי",IF('חד גזעי'!$AN$7 &lt;=סקר!F17,W17,0),0)))</f>
        <v>0</v>
      </c>
      <c r="AB17">
        <f t="shared" si="8"/>
        <v>1</v>
      </c>
      <c r="AC17" s="72"/>
      <c r="AD17" t="e">
        <f t="shared" si="28"/>
        <v>#N/A</v>
      </c>
      <c r="AE17" s="72"/>
      <c r="AF17" s="72" t="e">
        <f t="shared" si="9"/>
        <v>#N/A</v>
      </c>
      <c r="AG17" s="72" t="e">
        <f>IF('חד גזעי'!$AM$5="לא",(VLOOKUP(C17,'חד גזעי'!$P$1:$S$589,3,FALSE)),(VLOOKUP(C17,'חד גזעי'!$P$1:$S$589,4,FALSE)))</f>
        <v>#N/A</v>
      </c>
      <c r="AH17" s="72">
        <f t="shared" si="10"/>
        <v>0</v>
      </c>
      <c r="AI17" s="72">
        <f t="shared" si="11"/>
        <v>0</v>
      </c>
      <c r="AJ17" s="72">
        <f t="shared" si="12"/>
        <v>0</v>
      </c>
      <c r="AK17" s="72" t="e">
        <f t="shared" si="13"/>
        <v>#N/A</v>
      </c>
      <c r="AL17" t="e">
        <f>VLOOKUP(C17,'חד גזעי'!$AH$8:$AI$33,2,FALSE)</f>
        <v>#N/A</v>
      </c>
      <c r="AM17" s="72" t="b">
        <f t="shared" si="14"/>
        <v>0</v>
      </c>
      <c r="AN17" s="72" t="b">
        <f t="shared" si="15"/>
        <v>0</v>
      </c>
      <c r="AO17" s="72" t="b">
        <f t="shared" si="16"/>
        <v>0</v>
      </c>
      <c r="AS17" s="72">
        <f t="shared" si="17"/>
        <v>0</v>
      </c>
      <c r="AT17" s="72">
        <f t="shared" si="18"/>
        <v>0</v>
      </c>
      <c r="AU17" s="72">
        <f t="shared" si="29"/>
        <v>0</v>
      </c>
      <c r="AV17" s="72">
        <f t="shared" si="19"/>
        <v>0</v>
      </c>
      <c r="AW17" s="72">
        <f t="shared" si="20"/>
        <v>0</v>
      </c>
      <c r="AX17" s="72">
        <f t="shared" si="21"/>
        <v>0</v>
      </c>
      <c r="AY17" s="72">
        <f t="shared" si="22"/>
        <v>0</v>
      </c>
      <c r="AZ17" s="72">
        <f t="shared" si="23"/>
        <v>0</v>
      </c>
      <c r="BA17" s="72" t="e">
        <f t="shared" si="24"/>
        <v>#N/A</v>
      </c>
      <c r="BB17" s="72" t="e">
        <f t="shared" si="30"/>
        <v>#N/A</v>
      </c>
      <c r="BC17" s="77"/>
      <c r="BE17">
        <f t="shared" si="31"/>
        <v>0</v>
      </c>
      <c r="BF17" s="211"/>
      <c r="BG17" s="211"/>
      <c r="BH17" s="211"/>
      <c r="BI17" s="211"/>
      <c r="BJ17" s="211"/>
      <c r="BK17" s="211"/>
    </row>
    <row r="18" spans="2:63" ht="12.75" customHeight="1">
      <c r="B18" s="77"/>
      <c r="C18" s="135"/>
      <c r="D18" s="78"/>
      <c r="E18" s="73"/>
      <c r="F18" s="72"/>
      <c r="G18" s="72"/>
      <c r="H18" s="72"/>
      <c r="I18" s="73">
        <f t="shared" si="7"/>
        <v>0</v>
      </c>
      <c r="J18" s="109"/>
      <c r="K18" s="73"/>
      <c r="L18" s="74" t="e">
        <f>_xlfn.IFNA(VLOOKUP(C18,'חד גזעי'!$U$3:$V$509,2,0),VLOOKUP(C18,'חד גזעי'!$U$3:$V$509,2))</f>
        <v>#N/A</v>
      </c>
      <c r="M18" s="74"/>
      <c r="N18" s="72" t="e">
        <f>_xlfn.IFNA(IF(VLOOKUP(C18,'חד גזעי'!$AH$2:$AH$7,1,FALSE)&gt;0,0,IF('חד גזעי'!$AM$5="כן",IF(_xlfn.IFNA(VLOOKUP(C18,'חד גזעי'!$AH$2:$AH$33,1,FALSE),SUM(J18:M18))&lt;21,_xlfn.IFNA(VLOOKUP(C18,'חד גזעי'!$AH$2:$AH$33,1,FALSE),SUM(J18:M18)),0),SUM(J18:M18))),IF('חד גזעי'!$AM$5="כן",IF(_xlfn.IFNA(VLOOKUP(C18,'חד גזעי'!$AH$2:$AH$33,1,FALSE),SUM(J18:M18))&lt;21,_xlfn.IFNA(VLOOKUP(C18,'חד גזעי'!$AH$2:$AH$33,1,FALSE),SUM(J18:M18)),0),SUM(J18:M18)))</f>
        <v>#N/A</v>
      </c>
      <c r="O18" s="72">
        <f>IF('חד גזעי'!$AM$3 = "כן",IF(T18&gt;4,4,T18),T18)</f>
        <v>0</v>
      </c>
      <c r="P18" s="80">
        <f>IF(E18&lt;2,0,IF(Z18&gt;0,Z18,IF(N18 = 0,0,IF('חד גזעי'!$AM$2 = "לא",IF(F18&gt;19,W18,0),IF(F18&gt;9,Y18,0)))))</f>
        <v>0</v>
      </c>
      <c r="Q18" s="77"/>
      <c r="R18" s="75"/>
      <c r="S18" t="e">
        <f>VLOOKUP(C18,'חד גזעי'!$Y$4:$Y$18,1,0)</f>
        <v>#N/A</v>
      </c>
      <c r="T18" s="72">
        <f>IF('חד גזעי'!$AM$6="לא",IF(P18=0,IF(BC18="שימור",IF('חד גזעי'!$AM$4="לא",IF(BC18="לא בוגר",0,IF(BC18="לא קיים",0,IF(J18=0,0,I18*0.1))),IF(BC18="לא בוגר",0,IF(BC18="לא קיים",0,IF(AB18=1,I18*0.1,E18*0.5)))),0),IF('חד גזעי'!$AM$4="לא",IF(BC18="לא בוגר",0,IF(BC18="לא קיים",0,IF(J18=0,0,I18*0.1))),IF(BC18="לא בוגר",0,IF(BC18="לא קיים",0,IF(AB18=1,I18*0.1,E18*0.5))))),IF(P18=0,IF(BC18="שימור",IF('חד גזעי'!$AM$4="לא",IF(BC18="לא בוגר",0,IF(BC18="לא קיים",0,IF(J18=0,0,I18*0.15))),IF(BC18="לא בוגר",0,IF(BC18="לא קיים",0,IF(AB18=1,I18*0.15,E18*0.5)))),0),IF('חד גזעי'!$AM$4="לא",IF(BC18="לא בוגר",0,IF(BC18="לא קיים",0,IF(J18=0,0,I18*0.15))),IF(BC18="לא בוגר",0,IF(BC18="לא קיים",0,IF(AB18=1,I18*0.15,E18*0.5))))))</f>
        <v>0</v>
      </c>
      <c r="V18" t="e">
        <f t="shared" si="25"/>
        <v>#N/A</v>
      </c>
      <c r="W18" t="e">
        <f t="shared" si="26"/>
        <v>#N/A</v>
      </c>
      <c r="X18" t="e">
        <f t="shared" si="27"/>
        <v>#N/A</v>
      </c>
      <c r="Y18">
        <f>IF('חד גזעי'!$AM$2 = "לא",0,IF(F18&gt;9,W18,0))</f>
        <v>0</v>
      </c>
      <c r="Z18">
        <f>IF('חד גזעי'!$AM$7 = "לא",0,IF(C18 = "זית אירופי",IF('חד גזעי'!$AN$7 &lt;=סקר!F18,W18,0),IF(C18 = "חרוב מצוי",IF('חד גזעי'!$AN$7 &lt;=סקר!F18,W18,0),0)))</f>
        <v>0</v>
      </c>
      <c r="AB18">
        <f t="shared" si="8"/>
        <v>1</v>
      </c>
      <c r="AC18" s="72"/>
      <c r="AD18" t="e">
        <f t="shared" si="28"/>
        <v>#N/A</v>
      </c>
      <c r="AE18" s="72"/>
      <c r="AF18" s="72" t="e">
        <f t="shared" si="9"/>
        <v>#N/A</v>
      </c>
      <c r="AG18" s="72" t="e">
        <f>IF('חד גזעי'!$AM$5="לא",(VLOOKUP(C18,'חד גזעי'!$P$1:$S$589,3,FALSE)),(VLOOKUP(C18,'חד גזעי'!$P$1:$S$589,4,FALSE)))</f>
        <v>#N/A</v>
      </c>
      <c r="AH18" s="72">
        <f t="shared" si="10"/>
        <v>0</v>
      </c>
      <c r="AI18" s="72">
        <f t="shared" si="11"/>
        <v>0</v>
      </c>
      <c r="AJ18" s="72">
        <f t="shared" si="12"/>
        <v>0</v>
      </c>
      <c r="AK18" s="72" t="e">
        <f t="shared" si="13"/>
        <v>#N/A</v>
      </c>
      <c r="AL18" t="e">
        <f>VLOOKUP(C18,'חד גזעי'!$AH$8:$AI$33,2,FALSE)</f>
        <v>#N/A</v>
      </c>
      <c r="AM18" s="72" t="b">
        <f t="shared" si="14"/>
        <v>0</v>
      </c>
      <c r="AN18" s="72" t="b">
        <f t="shared" si="15"/>
        <v>0</v>
      </c>
      <c r="AO18" s="72" t="b">
        <f t="shared" si="16"/>
        <v>0</v>
      </c>
      <c r="AS18" s="72">
        <f t="shared" si="17"/>
        <v>0</v>
      </c>
      <c r="AT18" s="72">
        <f t="shared" si="18"/>
        <v>0</v>
      </c>
      <c r="AU18" s="72">
        <f t="shared" si="29"/>
        <v>0</v>
      </c>
      <c r="AV18" s="72">
        <f t="shared" si="19"/>
        <v>0</v>
      </c>
      <c r="AW18" s="72">
        <f t="shared" si="20"/>
        <v>0</v>
      </c>
      <c r="AX18" s="72">
        <f t="shared" si="21"/>
        <v>0</v>
      </c>
      <c r="AY18" s="72">
        <f t="shared" si="22"/>
        <v>0</v>
      </c>
      <c r="AZ18" s="72">
        <f t="shared" si="23"/>
        <v>0</v>
      </c>
      <c r="BA18" s="72" t="e">
        <f t="shared" si="24"/>
        <v>#N/A</v>
      </c>
      <c r="BB18" s="72" t="e">
        <f t="shared" si="30"/>
        <v>#N/A</v>
      </c>
      <c r="BC18" s="77"/>
      <c r="BE18">
        <f t="shared" si="31"/>
        <v>0</v>
      </c>
      <c r="BF18" s="211"/>
      <c r="BG18" s="211"/>
      <c r="BH18" s="211"/>
      <c r="BI18" s="211"/>
      <c r="BJ18" s="211"/>
      <c r="BK18" s="211"/>
    </row>
    <row r="19" spans="2:63" ht="12.75" customHeight="1">
      <c r="B19" s="77"/>
      <c r="C19" s="135"/>
      <c r="D19" s="78"/>
      <c r="E19" s="73"/>
      <c r="F19" s="72"/>
      <c r="G19" s="72"/>
      <c r="H19" s="72"/>
      <c r="I19" s="73">
        <f t="shared" si="7"/>
        <v>0</v>
      </c>
      <c r="J19" s="78"/>
      <c r="K19" s="73"/>
      <c r="L19" s="74" t="e">
        <f>_xlfn.IFNA(VLOOKUP(C19,'חד גזעי'!$U$3:$V$509,2,0),VLOOKUP(C19,'חד גזעי'!$U$3:$V$509,2))</f>
        <v>#N/A</v>
      </c>
      <c r="M19" s="73"/>
      <c r="N19" s="72" t="e">
        <f>_xlfn.IFNA(IF(VLOOKUP(C19,'חד גזעי'!$AH$2:$AH$7,1,FALSE)&gt;0,0,IF('חד גזעי'!$AM$5="כן",IF(_xlfn.IFNA(VLOOKUP(C19,'חד גזעי'!$AH$2:$AH$33,1,FALSE),SUM(J19:M19))&lt;21,_xlfn.IFNA(VLOOKUP(C19,'חד גזעי'!$AH$2:$AH$33,1,FALSE),SUM(J19:M19)),0),SUM(J19:M19))),IF('חד גזעי'!$AM$5="כן",IF(_xlfn.IFNA(VLOOKUP(C19,'חד גזעי'!$AH$2:$AH$33,1,FALSE),SUM(J19:M19))&lt;21,_xlfn.IFNA(VLOOKUP(C19,'חד גזעי'!$AH$2:$AH$33,1,FALSE),SUM(J19:M19)),0),SUM(J19:M19)))</f>
        <v>#N/A</v>
      </c>
      <c r="O19" s="72">
        <f>IF('חד גזעי'!$AM$3 = "כן",IF(T19&gt;4,4,T19),T19)</f>
        <v>0</v>
      </c>
      <c r="P19" s="80">
        <f>IF(E19&lt;2,0,IF(Z19&gt;0,Z19,IF(N19 = 0,0,IF('חד גזעי'!$AM$2 = "לא",IF(F19&gt;19,W19,0),IF(F19&gt;9,Y19,0)))))</f>
        <v>0</v>
      </c>
      <c r="Q19" s="77"/>
      <c r="R19" s="75"/>
      <c r="S19" t="e">
        <f>VLOOKUP(C19,'חד גזעי'!$Y$4:$Y$18,1,0)</f>
        <v>#N/A</v>
      </c>
      <c r="T19" s="72">
        <f>IF('חד גזעי'!$AM$6="לא",IF(P19=0,IF(BC19="שימור",IF('חד גזעי'!$AM$4="לא",IF(BC19="לא בוגר",0,IF(BC19="לא קיים",0,IF(J19=0,0,I19*0.1))),IF(BC19="לא בוגר",0,IF(BC19="לא קיים",0,IF(AB19=1,I19*0.1,E19*0.5)))),0),IF('חד גזעי'!$AM$4="לא",IF(BC19="לא בוגר",0,IF(BC19="לא קיים",0,IF(J19=0,0,I19*0.1))),IF(BC19="לא בוגר",0,IF(BC19="לא קיים",0,IF(AB19=1,I19*0.1,E19*0.5))))),IF(P19=0,IF(BC19="שימור",IF('חד גזעי'!$AM$4="לא",IF(BC19="לא בוגר",0,IF(BC19="לא קיים",0,IF(J19=0,0,I19*0.15))),IF(BC19="לא בוגר",0,IF(BC19="לא קיים",0,IF(AB19=1,I19*0.15,E19*0.5)))),0),IF('חד גזעי'!$AM$4="לא",IF(BC19="לא בוגר",0,IF(BC19="לא קיים",0,IF(J19=0,0,I19*0.15))),IF(BC19="לא בוגר",0,IF(BC19="לא קיים",0,IF(AB19=1,I19*0.15,E19*0.5))))))</f>
        <v>0</v>
      </c>
      <c r="V19" t="e">
        <f t="shared" si="25"/>
        <v>#N/A</v>
      </c>
      <c r="W19" t="e">
        <f t="shared" si="26"/>
        <v>#N/A</v>
      </c>
      <c r="X19" t="e">
        <f t="shared" si="27"/>
        <v>#N/A</v>
      </c>
      <c r="Y19">
        <f>IF('חד גזעי'!$AM$2 = "לא",0,IF(F19&gt;9,W19,0))</f>
        <v>0</v>
      </c>
      <c r="Z19">
        <f>IF('חד גזעי'!$AM$7 = "לא",0,IF(C19 = "זית אירופי",IF('חד גזעי'!$AN$7 &lt;=סקר!F19,W19,0),IF(C19 = "חרוב מצוי",IF('חד גזעי'!$AN$7 &lt;=סקר!F19,W19,0),0)))</f>
        <v>0</v>
      </c>
      <c r="AB19">
        <f t="shared" si="8"/>
        <v>1</v>
      </c>
      <c r="AC19" s="72"/>
      <c r="AD19" t="e">
        <f t="shared" si="28"/>
        <v>#N/A</v>
      </c>
      <c r="AE19" s="72"/>
      <c r="AF19" s="72" t="e">
        <f t="shared" si="9"/>
        <v>#N/A</v>
      </c>
      <c r="AG19" s="72" t="e">
        <f>IF('חד גזעי'!$AM$5="לא",(VLOOKUP(C19,'חד גזעי'!$P$1:$S$589,3,FALSE)),(VLOOKUP(C19,'חד גזעי'!$P$1:$S$589,4,FALSE)))</f>
        <v>#N/A</v>
      </c>
      <c r="AH19" s="72">
        <f t="shared" si="10"/>
        <v>0</v>
      </c>
      <c r="AI19" s="72">
        <f t="shared" si="11"/>
        <v>0</v>
      </c>
      <c r="AJ19" s="72">
        <f t="shared" si="12"/>
        <v>0</v>
      </c>
      <c r="AK19" s="72" t="e">
        <f t="shared" si="13"/>
        <v>#N/A</v>
      </c>
      <c r="AL19" t="e">
        <f>VLOOKUP(C19,'חד גזעי'!$AH$8:$AI$33,2,FALSE)</f>
        <v>#N/A</v>
      </c>
      <c r="AM19" s="72" t="b">
        <f t="shared" si="14"/>
        <v>0</v>
      </c>
      <c r="AN19" s="72" t="b">
        <f t="shared" si="15"/>
        <v>0</v>
      </c>
      <c r="AO19" s="72" t="b">
        <f t="shared" si="16"/>
        <v>0</v>
      </c>
      <c r="AS19" s="72">
        <f t="shared" si="17"/>
        <v>0</v>
      </c>
      <c r="AT19" s="72">
        <f t="shared" si="18"/>
        <v>0</v>
      </c>
      <c r="AU19" s="72">
        <f t="shared" si="29"/>
        <v>0</v>
      </c>
      <c r="AV19" s="72">
        <f t="shared" si="19"/>
        <v>0</v>
      </c>
      <c r="AW19" s="72">
        <f t="shared" si="20"/>
        <v>0</v>
      </c>
      <c r="AX19" s="72">
        <f t="shared" si="21"/>
        <v>0</v>
      </c>
      <c r="AY19" s="72">
        <f t="shared" si="22"/>
        <v>0</v>
      </c>
      <c r="AZ19" s="72">
        <f t="shared" si="23"/>
        <v>0</v>
      </c>
      <c r="BA19" s="72" t="e">
        <f t="shared" si="24"/>
        <v>#N/A</v>
      </c>
      <c r="BB19" s="72" t="e">
        <f t="shared" si="30"/>
        <v>#N/A</v>
      </c>
      <c r="BC19" s="77"/>
      <c r="BE19">
        <f t="shared" si="31"/>
        <v>0</v>
      </c>
      <c r="BF19" s="211"/>
      <c r="BG19" s="211"/>
      <c r="BH19" s="211"/>
      <c r="BI19" s="211"/>
      <c r="BJ19" s="211"/>
      <c r="BK19" s="211"/>
    </row>
    <row r="20" spans="2:63" ht="12.75" customHeight="1">
      <c r="B20" s="77"/>
      <c r="C20" s="135"/>
      <c r="D20" s="78"/>
      <c r="E20" s="73"/>
      <c r="F20" s="72"/>
      <c r="G20" s="72"/>
      <c r="H20" s="72"/>
      <c r="I20" s="73">
        <f t="shared" si="7"/>
        <v>0</v>
      </c>
      <c r="J20" s="78"/>
      <c r="K20" s="73"/>
      <c r="L20" s="74" t="e">
        <f>_xlfn.IFNA(VLOOKUP(C20,'חד גזעי'!$U$3:$V$509,2,0),VLOOKUP(C20,'חד גזעי'!$U$3:$V$509,2))</f>
        <v>#N/A</v>
      </c>
      <c r="M20" s="73"/>
      <c r="N20" s="72" t="e">
        <f>_xlfn.IFNA(IF(VLOOKUP(C20,'חד גזעי'!$AH$2:$AH$7,1,FALSE)&gt;0,0,IF('חד גזעי'!$AM$5="כן",IF(_xlfn.IFNA(VLOOKUP(C20,'חד גזעי'!$AH$2:$AH$33,1,FALSE),SUM(J20:M20))&lt;21,_xlfn.IFNA(VLOOKUP(C20,'חד גזעי'!$AH$2:$AH$33,1,FALSE),SUM(J20:M20)),0),SUM(J20:M20))),IF('חד גזעי'!$AM$5="כן",IF(_xlfn.IFNA(VLOOKUP(C20,'חד גזעי'!$AH$2:$AH$33,1,FALSE),SUM(J20:M20))&lt;21,_xlfn.IFNA(VLOOKUP(C20,'חד גזעי'!$AH$2:$AH$33,1,FALSE),SUM(J20:M20)),0),SUM(J20:M20)))</f>
        <v>#N/A</v>
      </c>
      <c r="O20" s="72">
        <f>IF('חד גזעי'!$AM$3 = "כן",IF(T20&gt;4,4,T20),T20)</f>
        <v>0</v>
      </c>
      <c r="P20" s="80">
        <f>IF(E20&lt;2,0,IF(Z20&gt;0,Z20,IF(N20 = 0,0,IF('חד גזעי'!$AM$2 = "לא",IF(F20&gt;19,W20,0),IF(F20&gt;9,Y20,0)))))</f>
        <v>0</v>
      </c>
      <c r="Q20" s="77"/>
      <c r="R20" s="75"/>
      <c r="S20" t="e">
        <f>VLOOKUP(C20,'חד גזעי'!$Y$4:$Y$18,1,0)</f>
        <v>#N/A</v>
      </c>
      <c r="T20" s="72">
        <f>IF('חד גזעי'!$AM$6="לא",IF(P20=0,IF(BC20="שימור",IF('חד גזעי'!$AM$4="לא",IF(BC20="לא בוגר",0,IF(BC20="לא קיים",0,IF(J20=0,0,I20*0.1))),IF(BC20="לא בוגר",0,IF(BC20="לא קיים",0,IF(AB20=1,I20*0.1,E20*0.5)))),0),IF('חד גזעי'!$AM$4="לא",IF(BC20="לא בוגר",0,IF(BC20="לא קיים",0,IF(J20=0,0,I20*0.1))),IF(BC20="לא בוגר",0,IF(BC20="לא קיים",0,IF(AB20=1,I20*0.1,E20*0.5))))),IF(P20=0,IF(BC20="שימור",IF('חד גזעי'!$AM$4="לא",IF(BC20="לא בוגר",0,IF(BC20="לא קיים",0,IF(J20=0,0,I20*0.15))),IF(BC20="לא בוגר",0,IF(BC20="לא קיים",0,IF(AB20=1,I20*0.15,E20*0.5)))),0),IF('חד גזעי'!$AM$4="לא",IF(BC20="לא בוגר",0,IF(BC20="לא קיים",0,IF(J20=0,0,I20*0.15))),IF(BC20="לא בוגר",0,IF(BC20="לא קיים",0,IF(AB20=1,I20*0.15,E20*0.5))))))</f>
        <v>0</v>
      </c>
      <c r="V20" t="e">
        <f t="shared" si="25"/>
        <v>#N/A</v>
      </c>
      <c r="W20" t="e">
        <f t="shared" si="26"/>
        <v>#N/A</v>
      </c>
      <c r="X20" t="e">
        <f t="shared" si="27"/>
        <v>#N/A</v>
      </c>
      <c r="Y20">
        <f>IF('חד גזעי'!$AM$2 = "לא",0,IF(F20&gt;9,W20,0))</f>
        <v>0</v>
      </c>
      <c r="Z20">
        <f>IF('חד גזעי'!$AM$7 = "לא",0,IF(C20 = "זית אירופי",IF('חד גזעי'!$AN$7 &lt;=סקר!F20,W20,0),IF(C20 = "חרוב מצוי",IF('חד גזעי'!$AN$7 &lt;=סקר!F20,W20,0),0)))</f>
        <v>0</v>
      </c>
      <c r="AB20">
        <f t="shared" si="8"/>
        <v>1</v>
      </c>
      <c r="AC20" s="72"/>
      <c r="AD20" t="e">
        <f t="shared" si="28"/>
        <v>#N/A</v>
      </c>
      <c r="AE20" s="72"/>
      <c r="AF20" s="72" t="e">
        <f t="shared" si="9"/>
        <v>#N/A</v>
      </c>
      <c r="AG20" s="72" t="e">
        <f>IF('חד גזעי'!$AM$5="לא",(VLOOKUP(C20,'חד גזעי'!$P$1:$S$589,3,FALSE)),(VLOOKUP(C20,'חד גזעי'!$P$1:$S$589,4,FALSE)))</f>
        <v>#N/A</v>
      </c>
      <c r="AH20" s="72">
        <f t="shared" si="10"/>
        <v>0</v>
      </c>
      <c r="AI20" s="72">
        <f t="shared" si="11"/>
        <v>0</v>
      </c>
      <c r="AJ20" s="72">
        <f t="shared" si="12"/>
        <v>0</v>
      </c>
      <c r="AK20" s="72" t="e">
        <f t="shared" si="13"/>
        <v>#N/A</v>
      </c>
      <c r="AL20" t="e">
        <f>VLOOKUP(C20,'חד גזעי'!$AH$8:$AI$33,2,FALSE)</f>
        <v>#N/A</v>
      </c>
      <c r="AM20" s="72" t="b">
        <f t="shared" si="14"/>
        <v>0</v>
      </c>
      <c r="AN20" s="72" t="b">
        <f t="shared" si="15"/>
        <v>0</v>
      </c>
      <c r="AO20" s="72" t="b">
        <f t="shared" si="16"/>
        <v>0</v>
      </c>
      <c r="AS20" s="72">
        <f t="shared" si="17"/>
        <v>0</v>
      </c>
      <c r="AT20" s="72">
        <f t="shared" si="18"/>
        <v>0</v>
      </c>
      <c r="AU20" s="72">
        <f t="shared" si="29"/>
        <v>0</v>
      </c>
      <c r="AV20" s="72">
        <f t="shared" si="19"/>
        <v>0</v>
      </c>
      <c r="AW20" s="72">
        <f t="shared" si="20"/>
        <v>0</v>
      </c>
      <c r="AX20" s="72">
        <f t="shared" si="21"/>
        <v>0</v>
      </c>
      <c r="AY20" s="72">
        <f t="shared" si="22"/>
        <v>0</v>
      </c>
      <c r="AZ20" s="72">
        <f t="shared" si="23"/>
        <v>0</v>
      </c>
      <c r="BA20" s="72" t="e">
        <f t="shared" si="24"/>
        <v>#N/A</v>
      </c>
      <c r="BB20" s="72" t="e">
        <f t="shared" si="30"/>
        <v>#N/A</v>
      </c>
      <c r="BC20" s="77"/>
      <c r="BE20">
        <f t="shared" si="31"/>
        <v>0</v>
      </c>
      <c r="BF20" s="211"/>
      <c r="BG20" s="211"/>
      <c r="BH20" s="211"/>
      <c r="BI20" s="211"/>
      <c r="BJ20" s="211"/>
      <c r="BK20" s="211"/>
    </row>
    <row r="21" spans="2:63" ht="12.75" customHeight="1">
      <c r="B21" s="77"/>
      <c r="C21" s="135"/>
      <c r="D21" s="78"/>
      <c r="E21" s="73"/>
      <c r="F21" s="72"/>
      <c r="G21" s="72"/>
      <c r="H21" s="72"/>
      <c r="I21" s="73">
        <f t="shared" si="7"/>
        <v>0</v>
      </c>
      <c r="J21" s="78"/>
      <c r="K21" s="73"/>
      <c r="L21" s="74" t="e">
        <f>_xlfn.IFNA(VLOOKUP(C21,'חד גזעי'!$U$3:$V$509,2,0),VLOOKUP(C21,'חד גזעי'!$U$3:$V$509,2))</f>
        <v>#N/A</v>
      </c>
      <c r="M21" s="73"/>
      <c r="N21" s="72" t="e">
        <f>_xlfn.IFNA(IF(VLOOKUP(C21,'חד גזעי'!$AH$2:$AH$7,1,FALSE)&gt;0,0,IF('חד גזעי'!$AM$5="כן",IF(_xlfn.IFNA(VLOOKUP(C21,'חד גזעי'!$AH$2:$AH$33,1,FALSE),SUM(J21:M21))&lt;21,_xlfn.IFNA(VLOOKUP(C21,'חד גזעי'!$AH$2:$AH$33,1,FALSE),SUM(J21:M21)),0),SUM(J21:M21))),IF('חד גזעי'!$AM$5="כן",IF(_xlfn.IFNA(VLOOKUP(C21,'חד גזעי'!$AH$2:$AH$33,1,FALSE),SUM(J21:M21))&lt;21,_xlfn.IFNA(VLOOKUP(C21,'חד גזעי'!$AH$2:$AH$33,1,FALSE),SUM(J21:M21)),0),SUM(J21:M21)))</f>
        <v>#N/A</v>
      </c>
      <c r="O21" s="72">
        <f>IF('חד גזעי'!$AM$3 = "כן",IF(T21&gt;4,4,T21),T21)</f>
        <v>0</v>
      </c>
      <c r="P21" s="80">
        <f>IF(E21&lt;2,0,IF(Z21&gt;0,Z21,IF(N21 = 0,0,IF('חד גזעי'!$AM$2 = "לא",IF(F21&gt;19,W21,0),IF(F21&gt;9,Y21,0)))))</f>
        <v>0</v>
      </c>
      <c r="Q21" s="77"/>
      <c r="R21" s="75"/>
      <c r="S21" t="e">
        <f>VLOOKUP(C21,'חד גזעי'!$Y$4:$Y$18,1,0)</f>
        <v>#N/A</v>
      </c>
      <c r="T21" s="72">
        <f>IF('חד גזעי'!$AM$6="לא",IF(P21=0,IF(BC21="שימור",IF('חד גזעי'!$AM$4="לא",IF(BC21="לא בוגר",0,IF(BC21="לא קיים",0,IF(J21=0,0,I21*0.1))),IF(BC21="לא בוגר",0,IF(BC21="לא קיים",0,IF(AB21=1,I21*0.1,E21*0.5)))),0),IF('חד גזעי'!$AM$4="לא",IF(BC21="לא בוגר",0,IF(BC21="לא קיים",0,IF(J21=0,0,I21*0.1))),IF(BC21="לא בוגר",0,IF(BC21="לא קיים",0,IF(AB21=1,I21*0.1,E21*0.5))))),IF(P21=0,IF(BC21="שימור",IF('חד גזעי'!$AM$4="לא",IF(BC21="לא בוגר",0,IF(BC21="לא קיים",0,IF(J21=0,0,I21*0.15))),IF(BC21="לא בוגר",0,IF(BC21="לא קיים",0,IF(AB21=1,I21*0.15,E21*0.5)))),0),IF('חד גזעי'!$AM$4="לא",IF(BC21="לא בוגר",0,IF(BC21="לא קיים",0,IF(J21=0,0,I21*0.15))),IF(BC21="לא בוגר",0,IF(BC21="לא קיים",0,IF(AB21=1,I21*0.15,E21*0.5))))))</f>
        <v>0</v>
      </c>
      <c r="V21" t="e">
        <f t="shared" si="25"/>
        <v>#N/A</v>
      </c>
      <c r="W21" t="e">
        <f t="shared" si="26"/>
        <v>#N/A</v>
      </c>
      <c r="X21" t="e">
        <f t="shared" si="27"/>
        <v>#N/A</v>
      </c>
      <c r="Y21">
        <f>IF('חד גזעי'!$AM$2 = "לא",0,IF(F21&gt;9,W21,0))</f>
        <v>0</v>
      </c>
      <c r="Z21">
        <f>IF('חד גזעי'!$AM$7 = "לא",0,IF(C21 = "זית אירופי",IF('חד גזעי'!$AN$7 &lt;=סקר!F21,W21,0),IF(C21 = "חרוב מצוי",IF('חד גזעי'!$AN$7 &lt;=סקר!F21,W21,0),0)))</f>
        <v>0</v>
      </c>
      <c r="AB21">
        <f t="shared" si="8"/>
        <v>1</v>
      </c>
      <c r="AC21" s="72"/>
      <c r="AD21" t="e">
        <f t="shared" si="28"/>
        <v>#N/A</v>
      </c>
      <c r="AE21" s="72"/>
      <c r="AF21" s="72" t="e">
        <f t="shared" si="9"/>
        <v>#N/A</v>
      </c>
      <c r="AG21" s="72" t="e">
        <f>IF('חד גזעי'!$AM$5="לא",(VLOOKUP(C21,'חד גזעי'!$P$1:$S$589,3,FALSE)),(VLOOKUP(C21,'חד גזעי'!$P$1:$S$589,4,FALSE)))</f>
        <v>#N/A</v>
      </c>
      <c r="AH21" s="72">
        <f t="shared" si="10"/>
        <v>0</v>
      </c>
      <c r="AI21" s="72">
        <f t="shared" si="11"/>
        <v>0</v>
      </c>
      <c r="AJ21" s="72">
        <f t="shared" si="12"/>
        <v>0</v>
      </c>
      <c r="AK21" s="72" t="e">
        <f t="shared" si="13"/>
        <v>#N/A</v>
      </c>
      <c r="AL21" t="e">
        <f>VLOOKUP(C21,'חד גזעי'!$AH$8:$AI$33,2,FALSE)</f>
        <v>#N/A</v>
      </c>
      <c r="AM21" s="72" t="b">
        <f t="shared" si="14"/>
        <v>0</v>
      </c>
      <c r="AN21" s="72" t="b">
        <f t="shared" si="15"/>
        <v>0</v>
      </c>
      <c r="AO21" s="72" t="b">
        <f t="shared" si="16"/>
        <v>0</v>
      </c>
      <c r="AS21" s="72">
        <f t="shared" si="17"/>
        <v>0</v>
      </c>
      <c r="AT21" s="72">
        <f t="shared" si="18"/>
        <v>0</v>
      </c>
      <c r="AU21" s="72">
        <f t="shared" si="29"/>
        <v>0</v>
      </c>
      <c r="AV21" s="72">
        <f t="shared" si="19"/>
        <v>0</v>
      </c>
      <c r="AW21" s="72">
        <f t="shared" si="20"/>
        <v>0</v>
      </c>
      <c r="AX21" s="72">
        <f t="shared" si="21"/>
        <v>0</v>
      </c>
      <c r="AY21" s="72">
        <f t="shared" si="22"/>
        <v>0</v>
      </c>
      <c r="AZ21" s="72">
        <f t="shared" si="23"/>
        <v>0</v>
      </c>
      <c r="BA21" s="72" t="e">
        <f t="shared" si="24"/>
        <v>#N/A</v>
      </c>
      <c r="BB21" s="72" t="e">
        <f t="shared" si="30"/>
        <v>#N/A</v>
      </c>
      <c r="BC21" s="77"/>
      <c r="BE21">
        <f t="shared" si="31"/>
        <v>0</v>
      </c>
      <c r="BF21" s="211"/>
      <c r="BG21" s="211"/>
      <c r="BH21" s="211"/>
      <c r="BI21" s="211"/>
      <c r="BJ21" s="211"/>
      <c r="BK21" s="211"/>
    </row>
    <row r="22" spans="2:63" ht="12.75" customHeight="1">
      <c r="B22" s="77"/>
      <c r="C22" s="135"/>
      <c r="D22" s="78"/>
      <c r="E22" s="73"/>
      <c r="F22" s="72"/>
      <c r="G22" s="72"/>
      <c r="H22" s="72"/>
      <c r="I22" s="73">
        <f t="shared" si="7"/>
        <v>0</v>
      </c>
      <c r="J22" s="73"/>
      <c r="K22" s="73"/>
      <c r="L22" s="74" t="e">
        <f>_xlfn.IFNA(VLOOKUP(C22,'חד גזעי'!$U$3:$V$509,2,0),VLOOKUP(C22,'חד גזעי'!$U$3:$V$509,2))</f>
        <v>#N/A</v>
      </c>
      <c r="M22" s="73"/>
      <c r="N22" s="72" t="e">
        <f>_xlfn.IFNA(IF(VLOOKUP(C22,'חד גזעי'!$AH$2:$AH$7,1,FALSE)&gt;0,0,IF('חד גזעי'!$AM$5="כן",IF(_xlfn.IFNA(VLOOKUP(C22,'חד גזעי'!$AH$2:$AH$33,1,FALSE),SUM(J22:M22))&lt;21,_xlfn.IFNA(VLOOKUP(C22,'חד גזעי'!$AH$2:$AH$33,1,FALSE),SUM(J22:M22)),0),SUM(J22:M22))),IF('חד גזעי'!$AM$5="כן",IF(_xlfn.IFNA(VLOOKUP(C22,'חד גזעי'!$AH$2:$AH$33,1,FALSE),SUM(J22:M22))&lt;21,_xlfn.IFNA(VLOOKUP(C22,'חד גזעי'!$AH$2:$AH$33,1,FALSE),SUM(J22:M22)),0),SUM(J22:M22)))</f>
        <v>#N/A</v>
      </c>
      <c r="O22" s="72">
        <f>IF('חד גזעי'!$AM$3 = "כן",IF(T22&gt;4,4,T22),T22)</f>
        <v>0</v>
      </c>
      <c r="P22" s="80">
        <f>IF(E22&lt;2,0,IF(Z22&gt;0,Z22,IF(N22 = 0,0,IF('חד גזעי'!$AM$2 = "לא",IF(F22&gt;19,W22,0),IF(F22&gt;9,Y22,0)))))</f>
        <v>0</v>
      </c>
      <c r="Q22" s="77"/>
      <c r="R22" s="75"/>
      <c r="S22" t="e">
        <f>VLOOKUP(C22,'חד גזעי'!$Y$4:$Y$18,1,0)</f>
        <v>#N/A</v>
      </c>
      <c r="T22" s="72">
        <f>IF('חד גזעי'!$AM$6="לא",IF(P22=0,IF(BC22="שימור",IF('חד גזעי'!$AM$4="לא",IF(BC22="לא בוגר",0,IF(BC22="לא קיים",0,IF(J22=0,0,I22*0.1))),IF(BC22="לא בוגר",0,IF(BC22="לא קיים",0,IF(AB22=1,I22*0.1,E22*0.5)))),0),IF('חד גזעי'!$AM$4="לא",IF(BC22="לא בוגר",0,IF(BC22="לא קיים",0,IF(J22=0,0,I22*0.1))),IF(BC22="לא בוגר",0,IF(BC22="לא קיים",0,IF(AB22=1,I22*0.1,E22*0.5))))),IF(P22=0,IF(BC22="שימור",IF('חד גזעי'!$AM$4="לא",IF(BC22="לא בוגר",0,IF(BC22="לא קיים",0,IF(J22=0,0,I22*0.15))),IF(BC22="לא בוגר",0,IF(BC22="לא קיים",0,IF(AB22=1,I22*0.15,E22*0.5)))),0),IF('חד גזעי'!$AM$4="לא",IF(BC22="לא בוגר",0,IF(BC22="לא קיים",0,IF(J22=0,0,I22*0.15))),IF(BC22="לא בוגר",0,IF(BC22="לא קיים",0,IF(AB22=1,I22*0.15,E22*0.5))))))</f>
        <v>0</v>
      </c>
      <c r="V22" t="e">
        <f t="shared" si="25"/>
        <v>#N/A</v>
      </c>
      <c r="W22" t="e">
        <f t="shared" si="26"/>
        <v>#N/A</v>
      </c>
      <c r="X22" t="e">
        <f t="shared" si="27"/>
        <v>#N/A</v>
      </c>
      <c r="Y22">
        <f>IF('חד גזעי'!$AM$2 = "לא",0,IF(F22&gt;9,W22,0))</f>
        <v>0</v>
      </c>
      <c r="Z22">
        <f>IF('חד גזעי'!$AM$7 = "לא",0,IF(C22 = "זית אירופי",IF('חד גזעי'!$AN$7 &lt;=סקר!F22,W22,0),IF(C22 = "חרוב מצוי",IF('חד גזעי'!$AN$7 &lt;=סקר!F22,W22,0),0)))</f>
        <v>0</v>
      </c>
      <c r="AB22">
        <f t="shared" si="8"/>
        <v>1</v>
      </c>
      <c r="AC22" s="72"/>
      <c r="AD22" t="e">
        <f t="shared" si="28"/>
        <v>#N/A</v>
      </c>
      <c r="AE22" s="72"/>
      <c r="AF22" s="72" t="e">
        <f t="shared" si="9"/>
        <v>#N/A</v>
      </c>
      <c r="AG22" s="72" t="e">
        <f>IF('חד גזעי'!$AM$5="לא",(VLOOKUP(C22,'חד גזעי'!$P$1:$S$589,3,FALSE)),(VLOOKUP(C22,'חד גזעי'!$P$1:$S$589,4,FALSE)))</f>
        <v>#N/A</v>
      </c>
      <c r="AH22" s="72">
        <f t="shared" si="10"/>
        <v>0</v>
      </c>
      <c r="AI22" s="72">
        <f t="shared" si="11"/>
        <v>0</v>
      </c>
      <c r="AJ22" s="72">
        <f t="shared" si="12"/>
        <v>0</v>
      </c>
      <c r="AK22" s="72" t="e">
        <f t="shared" si="13"/>
        <v>#N/A</v>
      </c>
      <c r="AL22" t="e">
        <f>VLOOKUP(C22,'חד גזעי'!$AH$8:$AI$33,2,FALSE)</f>
        <v>#N/A</v>
      </c>
      <c r="AM22" s="72" t="b">
        <f t="shared" si="14"/>
        <v>0</v>
      </c>
      <c r="AN22" s="72" t="b">
        <f t="shared" si="15"/>
        <v>0</v>
      </c>
      <c r="AO22" s="72" t="b">
        <f t="shared" si="16"/>
        <v>0</v>
      </c>
      <c r="AS22" s="72">
        <f t="shared" si="17"/>
        <v>0</v>
      </c>
      <c r="AT22" s="72">
        <f t="shared" si="18"/>
        <v>0</v>
      </c>
      <c r="AU22" s="72">
        <f t="shared" si="29"/>
        <v>0</v>
      </c>
      <c r="AV22" s="72">
        <f t="shared" si="19"/>
        <v>0</v>
      </c>
      <c r="AW22" s="72">
        <f t="shared" si="20"/>
        <v>0</v>
      </c>
      <c r="AX22" s="72">
        <f t="shared" si="21"/>
        <v>0</v>
      </c>
      <c r="AY22" s="72">
        <f t="shared" si="22"/>
        <v>0</v>
      </c>
      <c r="AZ22" s="72">
        <f t="shared" si="23"/>
        <v>0</v>
      </c>
      <c r="BA22" s="72" t="e">
        <f t="shared" si="24"/>
        <v>#N/A</v>
      </c>
      <c r="BB22" s="72" t="e">
        <f t="shared" si="30"/>
        <v>#N/A</v>
      </c>
      <c r="BC22" s="77"/>
      <c r="BE22">
        <f t="shared" si="31"/>
        <v>0</v>
      </c>
      <c r="BF22" s="212"/>
      <c r="BG22" s="212"/>
      <c r="BH22" s="212"/>
      <c r="BI22" s="212"/>
      <c r="BJ22" s="212"/>
      <c r="BK22" s="212"/>
    </row>
    <row r="23" spans="2:63" ht="12.75" customHeight="1">
      <c r="B23" s="77"/>
      <c r="C23" s="135"/>
      <c r="D23" s="78"/>
      <c r="E23" s="73"/>
      <c r="F23" s="72"/>
      <c r="G23" s="72"/>
      <c r="H23" s="72"/>
      <c r="I23" s="73">
        <f t="shared" si="7"/>
        <v>0</v>
      </c>
      <c r="J23" s="73"/>
      <c r="K23" s="73"/>
      <c r="L23" s="74" t="e">
        <f>_xlfn.IFNA(VLOOKUP(C23,'חד גזעי'!$U$3:$V$509,2,0),VLOOKUP(C23,'חד גזעי'!$U$3:$V$509,2))</f>
        <v>#N/A</v>
      </c>
      <c r="M23" s="73"/>
      <c r="N23" s="72" t="e">
        <f>_xlfn.IFNA(IF(VLOOKUP(C23,'חד גזעי'!$AH$2:$AH$7,1,FALSE)&gt;0,0,IF('חד גזעי'!$AM$5="כן",IF(_xlfn.IFNA(VLOOKUP(C23,'חד גזעי'!$AH$2:$AH$33,1,FALSE),SUM(J23:M23))&lt;21,_xlfn.IFNA(VLOOKUP(C23,'חד גזעי'!$AH$2:$AH$33,1,FALSE),SUM(J23:M23)),0),SUM(J23:M23))),IF('חד גזעי'!$AM$5="כן",IF(_xlfn.IFNA(VLOOKUP(C23,'חד גזעי'!$AH$2:$AH$33,1,FALSE),SUM(J23:M23))&lt;21,_xlfn.IFNA(VLOOKUP(C23,'חד גזעי'!$AH$2:$AH$33,1,FALSE),SUM(J23:M23)),0),SUM(J23:M23)))</f>
        <v>#N/A</v>
      </c>
      <c r="O23" s="72">
        <f>IF('חד גזעי'!$AM$3 = "כן",IF(T23&gt;4,4,T23),T23)</f>
        <v>0</v>
      </c>
      <c r="P23" s="80">
        <f>IF(E23&lt;2,0,IF(Z23&gt;0,Z23,IF(N23 = 0,0,IF('חד גזעי'!$AM$2 = "לא",IF(F23&gt;19,W23,0),IF(F23&gt;9,Y23,0)))))</f>
        <v>0</v>
      </c>
      <c r="Q23" s="77"/>
      <c r="R23" s="75"/>
      <c r="S23" t="e">
        <f>VLOOKUP(C23,'חד גזעי'!$Y$4:$Y$18,1,0)</f>
        <v>#N/A</v>
      </c>
      <c r="T23" s="72">
        <f>IF('חד גזעי'!$AM$6="לא",IF(P23=0,IF(BC23="שימור",IF('חד גזעי'!$AM$4="לא",IF(BC23="לא בוגר",0,IF(BC23="לא קיים",0,IF(J23=0,0,I23*0.1))),IF(BC23="לא בוגר",0,IF(BC23="לא קיים",0,IF(AB23=1,I23*0.1,E23*0.5)))),0),IF('חד גזעי'!$AM$4="לא",IF(BC23="לא בוגר",0,IF(BC23="לא קיים",0,IF(J23=0,0,I23*0.1))),IF(BC23="לא בוגר",0,IF(BC23="לא קיים",0,IF(AB23=1,I23*0.1,E23*0.5))))),IF(P23=0,IF(BC23="שימור",IF('חד גזעי'!$AM$4="לא",IF(BC23="לא בוגר",0,IF(BC23="לא קיים",0,IF(J23=0,0,I23*0.15))),IF(BC23="לא בוגר",0,IF(BC23="לא קיים",0,IF(AB23=1,I23*0.15,E23*0.5)))),0),IF('חד גזעי'!$AM$4="לא",IF(BC23="לא בוגר",0,IF(BC23="לא קיים",0,IF(J23=0,0,I23*0.15))),IF(BC23="לא בוגר",0,IF(BC23="לא קיים",0,IF(AB23=1,I23*0.15,E23*0.5))))))</f>
        <v>0</v>
      </c>
      <c r="V23" t="e">
        <f t="shared" si="25"/>
        <v>#N/A</v>
      </c>
      <c r="W23" t="e">
        <f t="shared" si="26"/>
        <v>#N/A</v>
      </c>
      <c r="X23" t="e">
        <f t="shared" si="27"/>
        <v>#N/A</v>
      </c>
      <c r="Y23">
        <f>IF('חד גזעי'!$AM$2 = "לא",0,IF(F23&gt;9,W23,0))</f>
        <v>0</v>
      </c>
      <c r="Z23">
        <f>IF('חד גזעי'!$AM$7 = "לא",0,IF(C23 = "זית אירופי",IF('חד גזעי'!$AN$7 &lt;=סקר!F23,W23,0),IF(C23 = "חרוב מצוי",IF('חד גזעי'!$AN$7 &lt;=סקר!F23,W23,0),0)))</f>
        <v>0</v>
      </c>
      <c r="AB23">
        <f t="shared" si="8"/>
        <v>1</v>
      </c>
      <c r="AC23" s="72"/>
      <c r="AD23" t="e">
        <f t="shared" si="28"/>
        <v>#N/A</v>
      </c>
      <c r="AE23" s="72"/>
      <c r="AF23" s="72" t="e">
        <f t="shared" si="9"/>
        <v>#N/A</v>
      </c>
      <c r="AG23" s="72" t="e">
        <f>IF('חד גזעי'!$AM$5="לא",(VLOOKUP(C23,'חד גזעי'!$P$1:$S$589,3,FALSE)),(VLOOKUP(C23,'חד גזעי'!$P$1:$S$589,4,FALSE)))</f>
        <v>#N/A</v>
      </c>
      <c r="AH23" s="72">
        <f t="shared" si="10"/>
        <v>0</v>
      </c>
      <c r="AI23" s="72">
        <f t="shared" si="11"/>
        <v>0</v>
      </c>
      <c r="AJ23" s="72">
        <f t="shared" si="12"/>
        <v>0</v>
      </c>
      <c r="AK23" s="72" t="e">
        <f t="shared" si="13"/>
        <v>#N/A</v>
      </c>
      <c r="AL23" t="e">
        <f>VLOOKUP(C23,'חד גזעי'!$AH$8:$AI$33,2,FALSE)</f>
        <v>#N/A</v>
      </c>
      <c r="AM23" s="72" t="b">
        <f t="shared" si="14"/>
        <v>0</v>
      </c>
      <c r="AN23" s="72" t="b">
        <f t="shared" si="15"/>
        <v>0</v>
      </c>
      <c r="AO23" s="72" t="b">
        <f t="shared" si="16"/>
        <v>0</v>
      </c>
      <c r="AS23" s="72">
        <f t="shared" si="17"/>
        <v>0</v>
      </c>
      <c r="AT23" s="72">
        <f t="shared" si="18"/>
        <v>0</v>
      </c>
      <c r="AU23" s="72">
        <f t="shared" si="29"/>
        <v>0</v>
      </c>
      <c r="AV23" s="72">
        <f t="shared" si="19"/>
        <v>0</v>
      </c>
      <c r="AW23" s="72">
        <f t="shared" si="20"/>
        <v>0</v>
      </c>
      <c r="AX23" s="72">
        <f t="shared" si="21"/>
        <v>0</v>
      </c>
      <c r="AY23" s="72">
        <f t="shared" si="22"/>
        <v>0</v>
      </c>
      <c r="AZ23" s="72">
        <f t="shared" si="23"/>
        <v>0</v>
      </c>
      <c r="BA23" s="72" t="e">
        <f t="shared" si="24"/>
        <v>#N/A</v>
      </c>
      <c r="BB23" s="72" t="e">
        <f t="shared" si="30"/>
        <v>#N/A</v>
      </c>
      <c r="BC23" s="77"/>
      <c r="BE23">
        <f t="shared" si="31"/>
        <v>0</v>
      </c>
      <c r="BF23" s="131"/>
      <c r="BG23" s="131"/>
      <c r="BH23" s="72"/>
      <c r="BI23" s="72"/>
      <c r="BJ23" s="72"/>
      <c r="BK23" s="72"/>
    </row>
    <row r="24" spans="2:63" ht="12.75" customHeight="1">
      <c r="B24" s="77"/>
      <c r="C24" s="135"/>
      <c r="D24" s="78"/>
      <c r="E24" s="73"/>
      <c r="F24" s="72"/>
      <c r="G24" s="72"/>
      <c r="H24" s="72"/>
      <c r="I24" s="73">
        <f t="shared" si="7"/>
        <v>0</v>
      </c>
      <c r="J24" s="73"/>
      <c r="K24" s="73"/>
      <c r="L24" s="74" t="e">
        <f>_xlfn.IFNA(VLOOKUP(C24,'חד גזעי'!$U$3:$V$509,2,0),VLOOKUP(C24,'חד גזעי'!$U$3:$V$509,2))</f>
        <v>#N/A</v>
      </c>
      <c r="M24" s="73"/>
      <c r="N24" s="72" t="e">
        <f>_xlfn.IFNA(IF(VLOOKUP(C24,'חד גזעי'!$AH$2:$AH$7,1,FALSE)&gt;0,0,IF('חד גזעי'!$AM$5="כן",IF(_xlfn.IFNA(VLOOKUP(C24,'חד גזעי'!$AH$2:$AH$33,1,FALSE),SUM(J24:M24))&lt;21,_xlfn.IFNA(VLOOKUP(C24,'חד גזעי'!$AH$2:$AH$33,1,FALSE),SUM(J24:M24)),0),SUM(J24:M24))),IF('חד גזעי'!$AM$5="כן",IF(_xlfn.IFNA(VLOOKUP(C24,'חד גזעי'!$AH$2:$AH$33,1,FALSE),SUM(J24:M24))&lt;21,_xlfn.IFNA(VLOOKUP(C24,'חד גזעי'!$AH$2:$AH$33,1,FALSE),SUM(J24:M24)),0),SUM(J24:M24)))</f>
        <v>#N/A</v>
      </c>
      <c r="O24" s="72">
        <f>IF('חד גזעי'!$AM$3 = "כן",IF(T24&gt;4,4,T24),T24)</f>
        <v>0</v>
      </c>
      <c r="P24" s="80">
        <f>IF(E24&lt;2,0,IF(Z24&gt;0,Z24,IF(N24 = 0,0,IF('חד גזעי'!$AM$2 = "לא",IF(F24&gt;19,W24,0),IF(F24&gt;9,Y24,0)))))</f>
        <v>0</v>
      </c>
      <c r="Q24" s="77"/>
      <c r="R24" s="76"/>
      <c r="S24" t="e">
        <f>VLOOKUP(C24,'חד גזעי'!$Y$4:$Y$18,1,0)</f>
        <v>#N/A</v>
      </c>
      <c r="T24" s="72">
        <f>IF('חד גזעי'!$AM$6="לא",IF(P24=0,IF(BC24="שימור",IF('חד גזעי'!$AM$4="לא",IF(BC24="לא בוגר",0,IF(BC24="לא קיים",0,IF(J24=0,0,I24*0.1))),IF(BC24="לא בוגר",0,IF(BC24="לא קיים",0,IF(AB24=1,I24*0.1,E24*0.5)))),0),IF('חד גזעי'!$AM$4="לא",IF(BC24="לא בוגר",0,IF(BC24="לא קיים",0,IF(J24=0,0,I24*0.1))),IF(BC24="לא בוגר",0,IF(BC24="לא קיים",0,IF(AB24=1,I24*0.1,E24*0.5))))),IF(P24=0,IF(BC24="שימור",IF('חד גזעי'!$AM$4="לא",IF(BC24="לא בוגר",0,IF(BC24="לא קיים",0,IF(J24=0,0,I24*0.15))),IF(BC24="לא בוגר",0,IF(BC24="לא קיים",0,IF(AB24=1,I24*0.15,E24*0.5)))),0),IF('חד גזעי'!$AM$4="לא",IF(BC24="לא בוגר",0,IF(BC24="לא קיים",0,IF(J24=0,0,I24*0.15))),IF(BC24="לא בוגר",0,IF(BC24="לא קיים",0,IF(AB24=1,I24*0.15,E24*0.5))))))</f>
        <v>0</v>
      </c>
      <c r="V24" t="e">
        <f t="shared" si="25"/>
        <v>#N/A</v>
      </c>
      <c r="W24" t="e">
        <f t="shared" si="26"/>
        <v>#N/A</v>
      </c>
      <c r="X24" t="e">
        <f t="shared" si="27"/>
        <v>#N/A</v>
      </c>
      <c r="Y24">
        <f>IF('חד גזעי'!$AM$2 = "לא",0,IF(F24&gt;9,W24,0))</f>
        <v>0</v>
      </c>
      <c r="Z24">
        <f>IF('חד גזעי'!$AM$7 = "לא",0,IF(C24 = "זית אירופי",IF('חד גזעי'!$AN$7 &lt;=סקר!F24,W24,0),IF(C24 = "חרוב מצוי",IF('חד גזעי'!$AN$7 &lt;=סקר!F24,W24,0),0)))</f>
        <v>0</v>
      </c>
      <c r="AB24">
        <f t="shared" si="8"/>
        <v>1</v>
      </c>
      <c r="AC24" s="72"/>
      <c r="AD24" t="e">
        <f t="shared" si="28"/>
        <v>#N/A</v>
      </c>
      <c r="AE24" s="72"/>
      <c r="AF24" s="72" t="e">
        <f t="shared" si="9"/>
        <v>#N/A</v>
      </c>
      <c r="AG24" s="72" t="e">
        <f>IF('חד גזעי'!$AM$5="לא",(VLOOKUP(C24,'חד גזעי'!$P$1:$S$589,3,FALSE)),(VLOOKUP(C24,'חד גזעי'!$P$1:$S$589,4,FALSE)))</f>
        <v>#N/A</v>
      </c>
      <c r="AH24" s="72">
        <f t="shared" si="10"/>
        <v>0</v>
      </c>
      <c r="AI24" s="72">
        <f t="shared" si="11"/>
        <v>0</v>
      </c>
      <c r="AJ24" s="72">
        <f t="shared" si="12"/>
        <v>0</v>
      </c>
      <c r="AK24" s="72" t="e">
        <f t="shared" si="13"/>
        <v>#N/A</v>
      </c>
      <c r="AL24" t="e">
        <f>VLOOKUP(C24,'חד גזעי'!$AH$8:$AI$33,2,FALSE)</f>
        <v>#N/A</v>
      </c>
      <c r="AM24" s="72" t="b">
        <f t="shared" si="14"/>
        <v>0</v>
      </c>
      <c r="AN24" s="72" t="b">
        <f t="shared" si="15"/>
        <v>0</v>
      </c>
      <c r="AO24" s="72" t="b">
        <f t="shared" si="16"/>
        <v>0</v>
      </c>
      <c r="AS24" s="72">
        <f t="shared" si="17"/>
        <v>0</v>
      </c>
      <c r="AT24" s="72">
        <f t="shared" si="18"/>
        <v>0</v>
      </c>
      <c r="AU24" s="72">
        <f t="shared" si="29"/>
        <v>0</v>
      </c>
      <c r="AV24" s="72">
        <f t="shared" si="19"/>
        <v>0</v>
      </c>
      <c r="AW24" s="72">
        <f t="shared" si="20"/>
        <v>0</v>
      </c>
      <c r="AX24" s="72">
        <f t="shared" si="21"/>
        <v>0</v>
      </c>
      <c r="AY24" s="72">
        <f t="shared" si="22"/>
        <v>0</v>
      </c>
      <c r="AZ24" s="72">
        <f t="shared" si="23"/>
        <v>0</v>
      </c>
      <c r="BA24" s="72" t="e">
        <f t="shared" si="24"/>
        <v>#N/A</v>
      </c>
      <c r="BB24" s="72" t="e">
        <f t="shared" si="30"/>
        <v>#N/A</v>
      </c>
      <c r="BC24" s="77"/>
      <c r="BE24">
        <f t="shared" si="31"/>
        <v>0</v>
      </c>
      <c r="BF24" s="210" t="str">
        <f>BF43</f>
        <v>C:\Users\origr\Pictures\0.jpg</v>
      </c>
      <c r="BG24" s="210" t="str">
        <f t="shared" ref="BG24:BK24" si="32">BG43</f>
        <v>C:\Users\origr\Pictures\0.jpg</v>
      </c>
      <c r="BH24" s="210" t="str">
        <f t="shared" si="32"/>
        <v>C:\Users\origr\Pictures\0.jpg</v>
      </c>
      <c r="BI24" s="210" t="str">
        <f t="shared" si="32"/>
        <v>C:\Users\origr\Pictures\0.jpg</v>
      </c>
      <c r="BJ24" s="210" t="str">
        <f t="shared" si="32"/>
        <v>C:\Users\origr\Pictures\0.jpg</v>
      </c>
      <c r="BK24" s="210" t="str">
        <f t="shared" si="32"/>
        <v>C:\Users\origr\Pictures\0.jpg</v>
      </c>
    </row>
    <row r="25" spans="2:63" ht="12.75" customHeight="1">
      <c r="B25" s="77"/>
      <c r="C25" s="135"/>
      <c r="D25" s="78"/>
      <c r="E25" s="73"/>
      <c r="F25" s="72"/>
      <c r="G25" s="72"/>
      <c r="H25" s="72"/>
      <c r="I25" s="73">
        <f t="shared" ref="I25:I35" si="33">F25+(G25/2)+(H25/2)</f>
        <v>0</v>
      </c>
      <c r="J25" s="73"/>
      <c r="K25" s="73"/>
      <c r="L25" s="74" t="e">
        <f>_xlfn.IFNA(VLOOKUP(C25,'חד גזעי'!$U$3:$V$509,2,0),VLOOKUP(C25,'חד גזעי'!$U$3:$V$509,2))</f>
        <v>#N/A</v>
      </c>
      <c r="M25" s="73"/>
      <c r="N25" s="72" t="e">
        <f>_xlfn.IFNA(IF(VLOOKUP(C25,'חד גזעי'!$AH$2:$AH$7,1,FALSE)&gt;0,0,IF('חד גזעי'!$AM$5="כן",IF(_xlfn.IFNA(VLOOKUP(C25,'חד גזעי'!$AH$2:$AH$33,1,FALSE),SUM(J25:M25))&lt;21,_xlfn.IFNA(VLOOKUP(C25,'חד גזעי'!$AH$2:$AH$33,1,FALSE),SUM(J25:M25)),0),SUM(J25:M25))),IF('חד גזעי'!$AM$5="כן",IF(_xlfn.IFNA(VLOOKUP(C25,'חד גזעי'!$AH$2:$AH$33,1,FALSE),SUM(J25:M25))&lt;21,_xlfn.IFNA(VLOOKUP(C25,'חד גזעי'!$AH$2:$AH$33,1,FALSE),SUM(J25:M25)),0),SUM(J25:M25)))</f>
        <v>#N/A</v>
      </c>
      <c r="O25" s="72">
        <f>IF('חד גזעי'!$AM$3 = "כן",IF(T25&gt;4,4,T25),T25)</f>
        <v>0</v>
      </c>
      <c r="P25" s="80">
        <f>IF(E25&lt;2,0,IF(Z25&gt;0,Z25,IF(N25 = 0,0,IF('חד גזעי'!$AM$2 = "לא",IF(F25&gt;19,W25,0),IF(F25&gt;9,Y25,0)))))</f>
        <v>0</v>
      </c>
      <c r="Q25" s="77"/>
      <c r="R25" s="76"/>
      <c r="S25" t="e">
        <f>VLOOKUP(C25,'חד גזעי'!$Y$4:$Y$18,1,0)</f>
        <v>#N/A</v>
      </c>
      <c r="T25" s="72">
        <f>IF('חד גזעי'!$AM$6="לא",IF(P25=0,IF(BC25="שימור",IF('חד גזעי'!$AM$4="לא",IF(BC25="לא בוגר",0,IF(BC25="לא קיים",0,IF(J25=0,0,I25*0.1))),IF(BC25="לא בוגר",0,IF(BC25="לא קיים",0,IF(AB25=1,I25*0.1,E25*0.5)))),0),IF('חד גזעי'!$AM$4="לא",IF(BC25="לא בוגר",0,IF(BC25="לא קיים",0,IF(J25=0,0,I25*0.1))),IF(BC25="לא בוגר",0,IF(BC25="לא קיים",0,IF(AB25=1,I25*0.1,E25*0.5))))),IF(P25=0,IF(BC25="שימור",IF('חד גזעי'!$AM$4="לא",IF(BC25="לא בוגר",0,IF(BC25="לא קיים",0,IF(J25=0,0,I25*0.15))),IF(BC25="לא בוגר",0,IF(BC25="לא קיים",0,IF(AB25=1,I25*0.15,E25*0.5)))),0),IF('חד גזעי'!$AM$4="לא",IF(BC25="לא בוגר",0,IF(BC25="לא קיים",0,IF(J25=0,0,I25*0.15))),IF(BC25="לא בוגר",0,IF(BC25="לא קיים",0,IF(AB25=1,I25*0.15,E25*0.5))))))</f>
        <v>0</v>
      </c>
      <c r="V25" t="e">
        <f t="shared" si="25"/>
        <v>#N/A</v>
      </c>
      <c r="W25" t="e">
        <f t="shared" si="26"/>
        <v>#N/A</v>
      </c>
      <c r="X25" t="e">
        <f t="shared" si="27"/>
        <v>#N/A</v>
      </c>
      <c r="Y25">
        <f>IF('חד גזעי'!$AM$2 = "לא",0,IF(F25&gt;9,W25,0))</f>
        <v>0</v>
      </c>
      <c r="Z25">
        <f>IF('חד גזעי'!$AM$7 = "לא",0,IF(C25 = "זית אירופי",IF('חד גזעי'!$AN$7 &lt;=סקר!F25,W25,0),IF(C25 = "חרוב מצוי",IF('חד גזעי'!$AN$7 &lt;=סקר!F25,W25,0),0)))</f>
        <v>0</v>
      </c>
      <c r="AB25">
        <f t="shared" si="8"/>
        <v>1</v>
      </c>
      <c r="AC25" s="72"/>
      <c r="AD25" t="e">
        <f t="shared" si="28"/>
        <v>#N/A</v>
      </c>
      <c r="AE25" s="72"/>
      <c r="AF25" s="72" t="e">
        <f t="shared" si="9"/>
        <v>#N/A</v>
      </c>
      <c r="AG25" s="72" t="e">
        <f>IF('חד גזעי'!$AM$5="לא",(VLOOKUP(C25,'חד גזעי'!$P$1:$S$589,3,FALSE)),(VLOOKUP(C25,'חד גזעי'!$P$1:$S$589,4,FALSE)))</f>
        <v>#N/A</v>
      </c>
      <c r="AH25" s="72">
        <f t="shared" si="10"/>
        <v>0</v>
      </c>
      <c r="AI25" s="72">
        <f t="shared" si="11"/>
        <v>0</v>
      </c>
      <c r="AJ25" s="72">
        <f t="shared" si="12"/>
        <v>0</v>
      </c>
      <c r="AK25" s="72" t="e">
        <f t="shared" si="13"/>
        <v>#N/A</v>
      </c>
      <c r="AL25" t="e">
        <f>VLOOKUP(C25,'חד גזעי'!$AH$8:$AI$33,2,FALSE)</f>
        <v>#N/A</v>
      </c>
      <c r="AM25" s="72" t="b">
        <f t="shared" si="14"/>
        <v>0</v>
      </c>
      <c r="AN25" s="72" t="b">
        <f t="shared" si="15"/>
        <v>0</v>
      </c>
      <c r="AO25" s="72" t="b">
        <f t="shared" si="16"/>
        <v>0</v>
      </c>
      <c r="AS25" s="72">
        <f t="shared" si="17"/>
        <v>0</v>
      </c>
      <c r="AT25" s="72">
        <f t="shared" si="18"/>
        <v>0</v>
      </c>
      <c r="AU25" s="72">
        <f t="shared" si="29"/>
        <v>0</v>
      </c>
      <c r="AV25" s="72">
        <f t="shared" si="19"/>
        <v>0</v>
      </c>
      <c r="AW25" s="72">
        <f t="shared" si="20"/>
        <v>0</v>
      </c>
      <c r="AX25" s="72">
        <f t="shared" si="21"/>
        <v>0</v>
      </c>
      <c r="AY25" s="72">
        <f t="shared" si="22"/>
        <v>0</v>
      </c>
      <c r="AZ25" s="72">
        <f t="shared" si="23"/>
        <v>0</v>
      </c>
      <c r="BA25" s="72" t="e">
        <f t="shared" si="24"/>
        <v>#N/A</v>
      </c>
      <c r="BB25" s="72" t="e">
        <f t="shared" si="30"/>
        <v>#N/A</v>
      </c>
      <c r="BC25" s="77"/>
      <c r="BE25">
        <f t="shared" si="31"/>
        <v>0</v>
      </c>
      <c r="BF25" s="211"/>
      <c r="BG25" s="211"/>
      <c r="BH25" s="211"/>
      <c r="BI25" s="211"/>
      <c r="BJ25" s="211"/>
      <c r="BK25" s="211"/>
    </row>
    <row r="26" spans="2:63" ht="12.75" customHeight="1">
      <c r="B26" s="77"/>
      <c r="C26" s="135"/>
      <c r="D26" s="78"/>
      <c r="E26" s="73"/>
      <c r="F26" s="72"/>
      <c r="G26" s="72"/>
      <c r="H26" s="72"/>
      <c r="I26" s="73">
        <f t="shared" si="33"/>
        <v>0</v>
      </c>
      <c r="J26" s="73"/>
      <c r="K26" s="73"/>
      <c r="L26" s="74" t="e">
        <f>_xlfn.IFNA(VLOOKUP(C26,'חד גזעי'!$U$3:$V$509,2,0),VLOOKUP(C26,'חד גזעי'!$U$3:$V$509,2))</f>
        <v>#N/A</v>
      </c>
      <c r="M26" s="73"/>
      <c r="N26" s="72" t="e">
        <f>_xlfn.IFNA(IF(VLOOKUP(C26,'חד גזעי'!$AH$2:$AH$7,1,FALSE)&gt;0,0,IF('חד גזעי'!$AM$5="כן",IF(_xlfn.IFNA(VLOOKUP(C26,'חד גזעי'!$AH$2:$AH$33,1,FALSE),SUM(J26:M26))&lt;21,_xlfn.IFNA(VLOOKUP(C26,'חד גזעי'!$AH$2:$AH$33,1,FALSE),SUM(J26:M26)),0),SUM(J26:M26))),IF('חד גזעי'!$AM$5="כן",IF(_xlfn.IFNA(VLOOKUP(C26,'חד גזעי'!$AH$2:$AH$33,1,FALSE),SUM(J26:M26))&lt;21,_xlfn.IFNA(VLOOKUP(C26,'חד גזעי'!$AH$2:$AH$33,1,FALSE),SUM(J26:M26)),0),SUM(J26:M26)))</f>
        <v>#N/A</v>
      </c>
      <c r="O26" s="72">
        <f>IF('חד גזעי'!$AM$3 = "כן",IF(T26&gt;4,4,T26),T26)</f>
        <v>0</v>
      </c>
      <c r="P26" s="80">
        <f>IF(E26&lt;2,0,IF(Z26&gt;0,Z26,IF(N26 = 0,0,IF('חד גזעי'!$AM$2 = "לא",IF(F26&gt;19,W26,0),IF(F26&gt;9,Y26,0)))))</f>
        <v>0</v>
      </c>
      <c r="Q26" s="77"/>
      <c r="R26" s="76"/>
      <c r="S26" t="e">
        <f>VLOOKUP(C26,'חד גזעי'!$Y$4:$Y$18,1,0)</f>
        <v>#N/A</v>
      </c>
      <c r="T26" s="72">
        <f>IF('חד גזעי'!$AM$6="לא",IF(P26=0,IF(BC26="שימור",IF('חד גזעי'!$AM$4="לא",IF(BC26="לא בוגר",0,IF(BC26="לא קיים",0,IF(J26=0,0,I26*0.1))),IF(BC26="לא בוגר",0,IF(BC26="לא קיים",0,IF(AB26=1,I26*0.1,E26*0.5)))),0),IF('חד גזעי'!$AM$4="לא",IF(BC26="לא בוגר",0,IF(BC26="לא קיים",0,IF(J26=0,0,I26*0.1))),IF(BC26="לא בוגר",0,IF(BC26="לא קיים",0,IF(AB26=1,I26*0.1,E26*0.5))))),IF(P26=0,IF(BC26="שימור",IF('חד גזעי'!$AM$4="לא",IF(BC26="לא בוגר",0,IF(BC26="לא קיים",0,IF(J26=0,0,I26*0.15))),IF(BC26="לא בוגר",0,IF(BC26="לא קיים",0,IF(AB26=1,I26*0.15,E26*0.5)))),0),IF('חד גזעי'!$AM$4="לא",IF(BC26="לא בוגר",0,IF(BC26="לא קיים",0,IF(J26=0,0,I26*0.15))),IF(BC26="לא בוגר",0,IF(BC26="לא קיים",0,IF(AB26=1,I26*0.15,E26*0.5))))))</f>
        <v>0</v>
      </c>
      <c r="V26" t="e">
        <f t="shared" si="25"/>
        <v>#N/A</v>
      </c>
      <c r="W26" t="e">
        <f t="shared" si="26"/>
        <v>#N/A</v>
      </c>
      <c r="X26" t="e">
        <f t="shared" si="27"/>
        <v>#N/A</v>
      </c>
      <c r="Y26">
        <f>IF('חד גזעי'!$AM$2 = "לא",0,IF(F26&gt;9,W26,0))</f>
        <v>0</v>
      </c>
      <c r="Z26">
        <f>IF('חד גזעי'!$AM$7 = "לא",0,IF(C26 = "זית אירופי",IF('חד גזעי'!$AN$7 &lt;=סקר!F26,W26,0),IF(C26 = "חרוב מצוי",IF('חד גזעי'!$AN$7 &lt;=סקר!F26,W26,0),0)))</f>
        <v>0</v>
      </c>
      <c r="AB26">
        <f t="shared" si="8"/>
        <v>1</v>
      </c>
      <c r="AC26" s="72"/>
      <c r="AD26" t="e">
        <f t="shared" si="28"/>
        <v>#N/A</v>
      </c>
      <c r="AE26" s="72"/>
      <c r="AF26" s="72" t="e">
        <f t="shared" si="9"/>
        <v>#N/A</v>
      </c>
      <c r="AG26" s="72" t="e">
        <f>IF('חד גזעי'!$AM$5="לא",(VLOOKUP(C26,'חד גזעי'!$P$1:$S$589,3,FALSE)),(VLOOKUP(C26,'חד גזעי'!$P$1:$S$589,4,FALSE)))</f>
        <v>#N/A</v>
      </c>
      <c r="AH26" s="72">
        <f t="shared" si="10"/>
        <v>0</v>
      </c>
      <c r="AI26" s="72">
        <f t="shared" si="11"/>
        <v>0</v>
      </c>
      <c r="AJ26" s="72">
        <f t="shared" si="12"/>
        <v>0</v>
      </c>
      <c r="AK26" s="72" t="e">
        <f t="shared" si="13"/>
        <v>#N/A</v>
      </c>
      <c r="AL26" t="e">
        <f>VLOOKUP(C26,'חד גזעי'!$AH$8:$AI$33,2,FALSE)</f>
        <v>#N/A</v>
      </c>
      <c r="AM26" s="72" t="b">
        <f t="shared" si="14"/>
        <v>0</v>
      </c>
      <c r="AN26" s="72" t="b">
        <f t="shared" si="15"/>
        <v>0</v>
      </c>
      <c r="AO26" s="72" t="b">
        <f t="shared" si="16"/>
        <v>0</v>
      </c>
      <c r="AS26" s="72">
        <f t="shared" si="17"/>
        <v>0</v>
      </c>
      <c r="AT26" s="72">
        <f t="shared" si="18"/>
        <v>0</v>
      </c>
      <c r="AU26" s="72">
        <f t="shared" si="29"/>
        <v>0</v>
      </c>
      <c r="AV26" s="72">
        <f t="shared" si="19"/>
        <v>0</v>
      </c>
      <c r="AW26" s="72">
        <f t="shared" si="20"/>
        <v>0</v>
      </c>
      <c r="AX26" s="72">
        <f t="shared" si="21"/>
        <v>0</v>
      </c>
      <c r="AY26" s="72">
        <f t="shared" si="22"/>
        <v>0</v>
      </c>
      <c r="AZ26" s="72">
        <f t="shared" si="23"/>
        <v>0</v>
      </c>
      <c r="BA26" s="72" t="e">
        <f t="shared" si="24"/>
        <v>#N/A</v>
      </c>
      <c r="BB26" s="72" t="e">
        <f t="shared" si="30"/>
        <v>#N/A</v>
      </c>
      <c r="BC26" s="77"/>
      <c r="BE26">
        <f t="shared" si="31"/>
        <v>0</v>
      </c>
      <c r="BF26" s="211"/>
      <c r="BG26" s="211"/>
      <c r="BH26" s="211"/>
      <c r="BI26" s="211"/>
      <c r="BJ26" s="211"/>
      <c r="BK26" s="211"/>
    </row>
    <row r="27" spans="2:63" ht="12.75" customHeight="1">
      <c r="B27" s="77"/>
      <c r="C27" s="135"/>
      <c r="D27" s="78"/>
      <c r="E27" s="78"/>
      <c r="F27" s="72"/>
      <c r="G27" s="72"/>
      <c r="H27" s="72"/>
      <c r="I27" s="73">
        <f t="shared" si="33"/>
        <v>0</v>
      </c>
      <c r="J27" s="78"/>
      <c r="K27" s="73"/>
      <c r="L27" s="74" t="e">
        <f>_xlfn.IFNA(VLOOKUP(C27,'חד גזעי'!$U$3:$V$509,2,0),VLOOKUP(C27,'חד גזעי'!$U$3:$V$509,2))</f>
        <v>#N/A</v>
      </c>
      <c r="M27" s="73"/>
      <c r="N27" s="72" t="e">
        <f>_xlfn.IFNA(IF(VLOOKUP(C27,'חד גזעי'!$AH$2:$AH$7,1,FALSE)&gt;0,0,IF('חד גזעי'!$AM$5="כן",IF(_xlfn.IFNA(VLOOKUP(C27,'חד גזעי'!$AH$2:$AH$33,1,FALSE),SUM(J27:M27))&lt;21,_xlfn.IFNA(VLOOKUP(C27,'חד גזעי'!$AH$2:$AH$33,1,FALSE),SUM(J27:M27)),0),SUM(J27:M27))),IF('חד גזעי'!$AM$5="כן",IF(_xlfn.IFNA(VLOOKUP(C27,'חד גזעי'!$AH$2:$AH$33,1,FALSE),SUM(J27:M27))&lt;21,_xlfn.IFNA(VLOOKUP(C27,'חד גזעי'!$AH$2:$AH$33,1,FALSE),SUM(J27:M27)),0),SUM(J27:M27)))</f>
        <v>#N/A</v>
      </c>
      <c r="O27" s="72">
        <f>IF('חד גזעי'!$AM$3 = "כן",IF(T27&gt;4,4,T27),T27)</f>
        <v>0</v>
      </c>
      <c r="P27" s="80">
        <f>IF(E27&lt;2,0,IF(Z27&gt;0,Z27,IF(N27 = 0,0,IF('חד גזעי'!$AM$2 = "לא",IF(F27&gt;19,W27,0),IF(F27&gt;9,Y27,0)))))</f>
        <v>0</v>
      </c>
      <c r="Q27" s="77"/>
      <c r="R27" s="75"/>
      <c r="S27" t="e">
        <f>VLOOKUP(C27,'חד גזעי'!$Y$4:$Y$18,1,0)</f>
        <v>#N/A</v>
      </c>
      <c r="T27" s="72">
        <f>IF('חד גזעי'!$AM$6="לא",IF(P27=0,IF(BC27="שימור",IF('חד גזעי'!$AM$4="לא",IF(BC27="לא בוגר",0,IF(BC27="לא קיים",0,IF(J27=0,0,I27*0.1))),IF(BC27="לא בוגר",0,IF(BC27="לא קיים",0,IF(AB27=1,I27*0.1,E27*0.5)))),0),IF('חד גזעי'!$AM$4="לא",IF(BC27="לא בוגר",0,IF(BC27="לא קיים",0,IF(J27=0,0,I27*0.1))),IF(BC27="לא בוגר",0,IF(BC27="לא קיים",0,IF(AB27=1,I27*0.1,E27*0.5))))),IF(P27=0,IF(BC27="שימור",IF('חד גזעי'!$AM$4="לא",IF(BC27="לא בוגר",0,IF(BC27="לא קיים",0,IF(J27=0,0,I27*0.15))),IF(BC27="לא בוגר",0,IF(BC27="לא קיים",0,IF(AB27=1,I27*0.15,E27*0.5)))),0),IF('חד גזעי'!$AM$4="לא",IF(BC27="לא בוגר",0,IF(BC27="לא קיים",0,IF(J27=0,0,I27*0.15))),IF(BC27="לא בוגר",0,IF(BC27="לא קיים",0,IF(AB27=1,I27*0.15,E27*0.5))))))</f>
        <v>0</v>
      </c>
      <c r="V27" t="e">
        <f t="shared" si="25"/>
        <v>#N/A</v>
      </c>
      <c r="W27" t="e">
        <f t="shared" si="26"/>
        <v>#N/A</v>
      </c>
      <c r="X27" t="e">
        <f t="shared" si="27"/>
        <v>#N/A</v>
      </c>
      <c r="Y27">
        <f>IF('חד גזעי'!$AM$2 = "לא",0,IF(F27&gt;9,W27,0))</f>
        <v>0</v>
      </c>
      <c r="Z27">
        <f>IF('חד גזעי'!$AM$7 = "לא",0,IF(C27 = "זית אירופי",IF('חד גזעי'!$AN$7 &lt;=סקר!F27,W27,0),IF(C27 = "חרוב מצוי",IF('חד גזעי'!$AN$7 &lt;=סקר!F27,W27,0),0)))</f>
        <v>0</v>
      </c>
      <c r="AB27">
        <f t="shared" si="8"/>
        <v>1</v>
      </c>
      <c r="AC27" s="72"/>
      <c r="AD27" t="e">
        <f t="shared" si="28"/>
        <v>#N/A</v>
      </c>
      <c r="AE27" s="72"/>
      <c r="AF27" s="72" t="e">
        <f t="shared" si="9"/>
        <v>#N/A</v>
      </c>
      <c r="AG27" s="72" t="e">
        <f>IF('חד גזעי'!$AM$5="לא",(VLOOKUP(C27,'חד גזעי'!$P$1:$S$589,3,FALSE)),(VLOOKUP(C27,'חד גזעי'!$P$1:$S$589,4,FALSE)))</f>
        <v>#N/A</v>
      </c>
      <c r="AH27" s="72">
        <f t="shared" si="10"/>
        <v>0</v>
      </c>
      <c r="AI27" s="72">
        <f t="shared" si="11"/>
        <v>0</v>
      </c>
      <c r="AJ27" s="72">
        <f t="shared" si="12"/>
        <v>0</v>
      </c>
      <c r="AK27" s="72" t="e">
        <f t="shared" si="13"/>
        <v>#N/A</v>
      </c>
      <c r="AL27" t="e">
        <f>VLOOKUP(C27,'חד גזעי'!$AH$8:$AI$33,2,FALSE)</f>
        <v>#N/A</v>
      </c>
      <c r="AM27" s="72" t="b">
        <f t="shared" si="14"/>
        <v>0</v>
      </c>
      <c r="AN27" s="72" t="b">
        <f t="shared" si="15"/>
        <v>0</v>
      </c>
      <c r="AO27" s="72" t="b">
        <f t="shared" si="16"/>
        <v>0</v>
      </c>
      <c r="AS27" s="72">
        <f t="shared" si="17"/>
        <v>0</v>
      </c>
      <c r="AT27" s="72">
        <f t="shared" si="18"/>
        <v>0</v>
      </c>
      <c r="AU27" s="72">
        <f t="shared" si="29"/>
        <v>0</v>
      </c>
      <c r="AV27" s="72">
        <f t="shared" si="19"/>
        <v>0</v>
      </c>
      <c r="AW27" s="72">
        <f t="shared" si="20"/>
        <v>0</v>
      </c>
      <c r="AX27" s="72">
        <f t="shared" si="21"/>
        <v>0</v>
      </c>
      <c r="AY27" s="72">
        <f t="shared" si="22"/>
        <v>0</v>
      </c>
      <c r="AZ27" s="72">
        <f t="shared" si="23"/>
        <v>0</v>
      </c>
      <c r="BA27" s="72" t="e">
        <f t="shared" si="24"/>
        <v>#N/A</v>
      </c>
      <c r="BB27" s="72" t="e">
        <f t="shared" si="30"/>
        <v>#N/A</v>
      </c>
      <c r="BC27" s="77"/>
      <c r="BE27">
        <f t="shared" si="31"/>
        <v>0</v>
      </c>
      <c r="BF27" s="211"/>
      <c r="BG27" s="211"/>
      <c r="BH27" s="211"/>
      <c r="BI27" s="211"/>
      <c r="BJ27" s="211"/>
      <c r="BK27" s="211"/>
    </row>
    <row r="28" spans="2:63" ht="12.75" customHeight="1">
      <c r="B28" s="77"/>
      <c r="C28" s="135"/>
      <c r="D28" s="109"/>
      <c r="E28" s="73"/>
      <c r="F28" s="72"/>
      <c r="G28" s="72"/>
      <c r="H28" s="72"/>
      <c r="I28" s="73">
        <f t="shared" si="33"/>
        <v>0</v>
      </c>
      <c r="J28" s="78"/>
      <c r="K28" s="73"/>
      <c r="L28" s="74" t="e">
        <f>_xlfn.IFNA(VLOOKUP(C28,'חד גזעי'!$U$3:$V$509,2,0),VLOOKUP(C28,'חד גזעי'!$U$3:$V$509,2))</f>
        <v>#N/A</v>
      </c>
      <c r="M28" s="73"/>
      <c r="N28" s="72" t="e">
        <f>_xlfn.IFNA(IF(VLOOKUP(C28,'חד גזעי'!$AH$2:$AH$7,1,FALSE)&gt;0,0,IF('חד גזעי'!$AM$5="כן",IF(_xlfn.IFNA(VLOOKUP(C28,'חד גזעי'!$AH$2:$AH$33,1,FALSE),SUM(J28:M28))&lt;21,_xlfn.IFNA(VLOOKUP(C28,'חד גזעי'!$AH$2:$AH$33,1,FALSE),SUM(J28:M28)),0),SUM(J28:M28))),IF('חד גזעי'!$AM$5="כן",IF(_xlfn.IFNA(VLOOKUP(C28,'חד גזעי'!$AH$2:$AH$33,1,FALSE),SUM(J28:M28))&lt;21,_xlfn.IFNA(VLOOKUP(C28,'חד גזעי'!$AH$2:$AH$33,1,FALSE),SUM(J28:M28)),0),SUM(J28:M28)))</f>
        <v>#N/A</v>
      </c>
      <c r="O28" s="72">
        <f>IF('חד גזעי'!$AM$3 = "כן",IF(T28&gt;4,4,T28),T28)</f>
        <v>0</v>
      </c>
      <c r="P28" s="80">
        <f>IF(E28&lt;2,0,IF(Z28&gt;0,Z28,IF(N28 = 0,0,IF('חד גזעי'!$AM$2 = "לא",IF(F28&gt;19,W28,0),IF(F28&gt;9,Y28,0)))))</f>
        <v>0</v>
      </c>
      <c r="Q28" s="77"/>
      <c r="R28" s="76"/>
      <c r="S28" t="e">
        <f>VLOOKUP(C28,'חד גזעי'!$Y$4:$Y$18,1,0)</f>
        <v>#N/A</v>
      </c>
      <c r="T28" s="72">
        <f>IF('חד גזעי'!$AM$6="לא",IF(P28=0,IF(BC28="שימור",IF('חד גזעי'!$AM$4="לא",IF(BC28="לא בוגר",0,IF(BC28="לא קיים",0,IF(J28=0,0,I28*0.1))),IF(BC28="לא בוגר",0,IF(BC28="לא קיים",0,IF(AB28=1,I28*0.1,E28*0.5)))),0),IF('חד גזעי'!$AM$4="לא",IF(BC28="לא בוגר",0,IF(BC28="לא קיים",0,IF(J28=0,0,I28*0.1))),IF(BC28="לא בוגר",0,IF(BC28="לא קיים",0,IF(AB28=1,I28*0.1,E28*0.5))))),IF(P28=0,IF(BC28="שימור",IF('חד גזעי'!$AM$4="לא",IF(BC28="לא בוגר",0,IF(BC28="לא קיים",0,IF(J28=0,0,I28*0.15))),IF(BC28="לא בוגר",0,IF(BC28="לא קיים",0,IF(AB28=1,I28*0.15,E28*0.5)))),0),IF('חד גזעי'!$AM$4="לא",IF(BC28="לא בוגר",0,IF(BC28="לא קיים",0,IF(J28=0,0,I28*0.15))),IF(BC28="לא בוגר",0,IF(BC28="לא קיים",0,IF(AB28=1,I28*0.15,E28*0.5))))))</f>
        <v>0</v>
      </c>
      <c r="V28" t="e">
        <f t="shared" si="25"/>
        <v>#N/A</v>
      </c>
      <c r="W28" t="e">
        <f t="shared" si="26"/>
        <v>#N/A</v>
      </c>
      <c r="X28" t="e">
        <f t="shared" si="27"/>
        <v>#N/A</v>
      </c>
      <c r="Y28">
        <f>IF('חד גזעי'!$AM$2 = "לא",0,IF(F28&gt;9,W28,0))</f>
        <v>0</v>
      </c>
      <c r="Z28">
        <f>IF('חד גזעי'!$AM$7 = "לא",0,IF(C28 = "זית אירופי",IF('חד גזעי'!$AN$7 &lt;=סקר!F28,W28,0),IF(C28 = "חרוב מצוי",IF('חד גזעי'!$AN$7 &lt;=סקר!F28,W28,0),0)))</f>
        <v>0</v>
      </c>
      <c r="AB28">
        <f t="shared" si="8"/>
        <v>1</v>
      </c>
      <c r="AC28" s="72"/>
      <c r="AD28" t="e">
        <f t="shared" si="28"/>
        <v>#N/A</v>
      </c>
      <c r="AE28" s="72"/>
      <c r="AF28" s="72" t="e">
        <f t="shared" si="9"/>
        <v>#N/A</v>
      </c>
      <c r="AG28" s="72" t="e">
        <f>IF('חד גזעי'!$AM$5="לא",(VLOOKUP(C28,'חד גזעי'!$P$1:$S$589,3,FALSE)),(VLOOKUP(C28,'חד גזעי'!$P$1:$S$589,4,FALSE)))</f>
        <v>#N/A</v>
      </c>
      <c r="AH28" s="72">
        <f t="shared" si="10"/>
        <v>0</v>
      </c>
      <c r="AI28" s="72">
        <f t="shared" si="11"/>
        <v>0</v>
      </c>
      <c r="AJ28" s="72">
        <f t="shared" si="12"/>
        <v>0</v>
      </c>
      <c r="AK28" s="72" t="e">
        <f t="shared" si="13"/>
        <v>#N/A</v>
      </c>
      <c r="AL28" t="e">
        <f>VLOOKUP(C28,'חד גזעי'!$AH$8:$AI$33,2,FALSE)</f>
        <v>#N/A</v>
      </c>
      <c r="AM28" s="72" t="b">
        <f t="shared" si="14"/>
        <v>0</v>
      </c>
      <c r="AN28" s="72" t="b">
        <f t="shared" si="15"/>
        <v>0</v>
      </c>
      <c r="AO28" s="72" t="b">
        <f t="shared" si="16"/>
        <v>0</v>
      </c>
      <c r="AS28" s="72">
        <f t="shared" si="17"/>
        <v>0</v>
      </c>
      <c r="AT28" s="72">
        <f t="shared" si="18"/>
        <v>0</v>
      </c>
      <c r="AU28" s="72">
        <f t="shared" si="29"/>
        <v>0</v>
      </c>
      <c r="AV28" s="72">
        <f t="shared" si="19"/>
        <v>0</v>
      </c>
      <c r="AW28" s="72">
        <f t="shared" si="20"/>
        <v>0</v>
      </c>
      <c r="AX28" s="72">
        <f t="shared" si="21"/>
        <v>0</v>
      </c>
      <c r="AY28" s="72">
        <f t="shared" si="22"/>
        <v>0</v>
      </c>
      <c r="AZ28" s="72">
        <f t="shared" si="23"/>
        <v>0</v>
      </c>
      <c r="BA28" s="72" t="e">
        <f t="shared" si="24"/>
        <v>#N/A</v>
      </c>
      <c r="BB28" s="72" t="e">
        <f t="shared" si="30"/>
        <v>#N/A</v>
      </c>
      <c r="BC28" s="77"/>
      <c r="BE28">
        <f t="shared" si="31"/>
        <v>0</v>
      </c>
      <c r="BF28" s="211"/>
      <c r="BG28" s="211"/>
      <c r="BH28" s="211"/>
      <c r="BI28" s="211"/>
      <c r="BJ28" s="211"/>
      <c r="BK28" s="211"/>
    </row>
    <row r="29" spans="2:63" ht="12.75" customHeight="1">
      <c r="B29" s="77"/>
      <c r="C29" s="135"/>
      <c r="D29" s="78"/>
      <c r="E29" s="78"/>
      <c r="F29" s="72"/>
      <c r="G29" s="72"/>
      <c r="H29" s="72"/>
      <c r="I29" s="73">
        <f t="shared" si="33"/>
        <v>0</v>
      </c>
      <c r="J29" s="78"/>
      <c r="K29" s="73"/>
      <c r="L29" s="74" t="e">
        <f>_xlfn.IFNA(VLOOKUP(C29,'חד גזעי'!$U$3:$V$509,2,0),VLOOKUP(C29,'חד גזעי'!$U$3:$V$509,2))</f>
        <v>#N/A</v>
      </c>
      <c r="M29" s="73"/>
      <c r="N29" s="72" t="e">
        <f>_xlfn.IFNA(IF(VLOOKUP(C29,'חד גזעי'!$AH$2:$AH$7,1,FALSE)&gt;0,0,IF('חד גזעי'!$AM$5="כן",IF(_xlfn.IFNA(VLOOKUP(C29,'חד גזעי'!$AH$2:$AH$33,1,FALSE),SUM(J29:M29))&lt;21,_xlfn.IFNA(VLOOKUP(C29,'חד גזעי'!$AH$2:$AH$33,1,FALSE),SUM(J29:M29)),0),SUM(J29:M29))),IF('חד גזעי'!$AM$5="כן",IF(_xlfn.IFNA(VLOOKUP(C29,'חד גזעי'!$AH$2:$AH$33,1,FALSE),SUM(J29:M29))&lt;21,_xlfn.IFNA(VLOOKUP(C29,'חד גזעי'!$AH$2:$AH$33,1,FALSE),SUM(J29:M29)),0),SUM(J29:M29)))</f>
        <v>#N/A</v>
      </c>
      <c r="O29" s="72">
        <f>IF('חד גזעי'!$AM$3 = "כן",IF(T29&gt;4,4,T29),T29)</f>
        <v>0</v>
      </c>
      <c r="P29" s="80">
        <f>IF(E29&lt;2,0,IF(Z29&gt;0,Z29,IF(N29 = 0,0,IF('חד גזעי'!$AM$2 = "לא",IF(F29&gt;19,W29,0),IF(F29&gt;9,Y29,0)))))</f>
        <v>0</v>
      </c>
      <c r="Q29" s="77"/>
      <c r="R29" s="76"/>
      <c r="S29" t="e">
        <f>VLOOKUP(C29,'חד גזעי'!$Y$4:$Y$18,1,0)</f>
        <v>#N/A</v>
      </c>
      <c r="T29" s="72">
        <f>IF('חד גזעי'!$AM$6="לא",IF(P29=0,IF(BC29="שימור",IF('חד גזעי'!$AM$4="לא",IF(BC29="לא בוגר",0,IF(BC29="לא קיים",0,IF(J29=0,0,I29*0.1))),IF(BC29="לא בוגר",0,IF(BC29="לא קיים",0,IF(AB29=1,I29*0.1,E29*0.5)))),0),IF('חד גזעי'!$AM$4="לא",IF(BC29="לא בוגר",0,IF(BC29="לא קיים",0,IF(J29=0,0,I29*0.1))),IF(BC29="לא בוגר",0,IF(BC29="לא קיים",0,IF(AB29=1,I29*0.1,E29*0.5))))),IF(P29=0,IF(BC29="שימור",IF('חד גזעי'!$AM$4="לא",IF(BC29="לא בוגר",0,IF(BC29="לא קיים",0,IF(J29=0,0,I29*0.15))),IF(BC29="לא בוגר",0,IF(BC29="לא קיים",0,IF(AB29=1,I29*0.15,E29*0.5)))),0),IF('חד גזעי'!$AM$4="לא",IF(BC29="לא בוגר",0,IF(BC29="לא קיים",0,IF(J29=0,0,I29*0.15))),IF(BC29="לא בוגר",0,IF(BC29="לא קיים",0,IF(AB29=1,I29*0.15,E29*0.5))))))</f>
        <v>0</v>
      </c>
      <c r="V29" t="e">
        <f t="shared" si="25"/>
        <v>#N/A</v>
      </c>
      <c r="W29" t="e">
        <f t="shared" si="26"/>
        <v>#N/A</v>
      </c>
      <c r="X29" t="e">
        <f t="shared" si="27"/>
        <v>#N/A</v>
      </c>
      <c r="Y29">
        <f>IF('חד גזעי'!$AM$2 = "לא",0,IF(F29&gt;9,W29,0))</f>
        <v>0</v>
      </c>
      <c r="Z29">
        <f>IF('חד גזעי'!$AM$7 = "לא",0,IF(C29 = "זית אירופי",IF('חד גזעי'!$AN$7 &lt;=סקר!F29,W29,0),IF(C29 = "חרוב מצוי",IF('חד גזעי'!$AN$7 &lt;=סקר!F29,W29,0),0)))</f>
        <v>0</v>
      </c>
      <c r="AB29">
        <f t="shared" si="8"/>
        <v>1</v>
      </c>
      <c r="AC29" s="72"/>
      <c r="AD29" t="e">
        <f t="shared" si="28"/>
        <v>#N/A</v>
      </c>
      <c r="AE29" s="72"/>
      <c r="AF29" s="72" t="e">
        <f t="shared" si="9"/>
        <v>#N/A</v>
      </c>
      <c r="AG29" s="72" t="e">
        <f>IF('חד גזעי'!$AM$5="לא",(VLOOKUP(C29,'חד גזעי'!$P$1:$S$589,3,FALSE)),(VLOOKUP(C29,'חד גזעי'!$P$1:$S$589,4,FALSE)))</f>
        <v>#N/A</v>
      </c>
      <c r="AH29" s="72">
        <f t="shared" si="10"/>
        <v>0</v>
      </c>
      <c r="AI29" s="72">
        <f t="shared" si="11"/>
        <v>0</v>
      </c>
      <c r="AJ29" s="72">
        <f t="shared" si="12"/>
        <v>0</v>
      </c>
      <c r="AK29" s="72" t="e">
        <f t="shared" si="13"/>
        <v>#N/A</v>
      </c>
      <c r="AL29" t="e">
        <f>VLOOKUP(C29,'חד גזעי'!$AH$8:$AI$33,2,FALSE)</f>
        <v>#N/A</v>
      </c>
      <c r="AM29" s="72" t="b">
        <f t="shared" si="14"/>
        <v>0</v>
      </c>
      <c r="AN29" s="72" t="b">
        <f t="shared" si="15"/>
        <v>0</v>
      </c>
      <c r="AO29" s="72" t="b">
        <f t="shared" si="16"/>
        <v>0</v>
      </c>
      <c r="AS29" s="72">
        <f t="shared" si="17"/>
        <v>0</v>
      </c>
      <c r="AT29" s="72">
        <f t="shared" si="18"/>
        <v>0</v>
      </c>
      <c r="AU29" s="72">
        <f t="shared" si="29"/>
        <v>0</v>
      </c>
      <c r="AV29" s="72">
        <f t="shared" si="19"/>
        <v>0</v>
      </c>
      <c r="AW29" s="72">
        <f t="shared" si="20"/>
        <v>0</v>
      </c>
      <c r="AX29" s="72">
        <f t="shared" si="21"/>
        <v>0</v>
      </c>
      <c r="AY29" s="72">
        <f t="shared" si="22"/>
        <v>0</v>
      </c>
      <c r="AZ29" s="72">
        <f t="shared" si="23"/>
        <v>0</v>
      </c>
      <c r="BA29" s="72" t="e">
        <f t="shared" si="24"/>
        <v>#N/A</v>
      </c>
      <c r="BB29" s="72" t="e">
        <f t="shared" si="30"/>
        <v>#N/A</v>
      </c>
      <c r="BC29" s="77"/>
      <c r="BE29">
        <f t="shared" si="31"/>
        <v>0</v>
      </c>
      <c r="BF29" s="211"/>
      <c r="BG29" s="211"/>
      <c r="BH29" s="211"/>
      <c r="BI29" s="211"/>
      <c r="BJ29" s="211"/>
      <c r="BK29" s="211"/>
    </row>
    <row r="30" spans="2:63" ht="12.75" customHeight="1">
      <c r="B30" s="77"/>
      <c r="C30" s="135"/>
      <c r="D30" s="78"/>
      <c r="E30" s="78"/>
      <c r="F30" s="72"/>
      <c r="G30" s="72"/>
      <c r="H30" s="72"/>
      <c r="I30" s="73">
        <f t="shared" si="33"/>
        <v>0</v>
      </c>
      <c r="J30" s="78"/>
      <c r="K30" s="73"/>
      <c r="L30" s="74" t="e">
        <f>_xlfn.IFNA(VLOOKUP(C30,'חד גזעי'!$U$3:$V$509,2,0),VLOOKUP(C30,'חד גזעי'!$U$3:$V$509,2))</f>
        <v>#N/A</v>
      </c>
      <c r="M30" s="73"/>
      <c r="N30" s="72" t="e">
        <f>_xlfn.IFNA(IF(VLOOKUP(C30,'חד גזעי'!$AH$2:$AH$7,1,FALSE)&gt;0,0,IF('חד גזעי'!$AM$5="כן",IF(_xlfn.IFNA(VLOOKUP(C30,'חד גזעי'!$AH$2:$AH$33,1,FALSE),SUM(J30:M30))&lt;21,_xlfn.IFNA(VLOOKUP(C30,'חד גזעי'!$AH$2:$AH$33,1,FALSE),SUM(J30:M30)),0),SUM(J30:M30))),IF('חד גזעי'!$AM$5="כן",IF(_xlfn.IFNA(VLOOKUP(C30,'חד גזעי'!$AH$2:$AH$33,1,FALSE),SUM(J30:M30))&lt;21,_xlfn.IFNA(VLOOKUP(C30,'חד גזעי'!$AH$2:$AH$33,1,FALSE),SUM(J30:M30)),0),SUM(J30:M30)))</f>
        <v>#N/A</v>
      </c>
      <c r="O30" s="72">
        <f>IF('חד גזעי'!$AM$3 = "כן",IF(T30&gt;4,4,T30),T30)</f>
        <v>0</v>
      </c>
      <c r="P30" s="80">
        <f>IF(E30&lt;2,0,IF(Z30&gt;0,Z30,IF(N30 = 0,0,IF('חד גזעי'!$AM$2 = "לא",IF(F30&gt;19,W30,0),IF(F30&gt;9,Y30,0)))))</f>
        <v>0</v>
      </c>
      <c r="Q30" s="77"/>
      <c r="R30" s="75"/>
      <c r="S30" t="e">
        <f>VLOOKUP(C30,'חד גזעי'!$Y$4:$Y$18,1,0)</f>
        <v>#N/A</v>
      </c>
      <c r="T30" s="72">
        <f>IF('חד גזעי'!$AM$6="לא",IF(P30=0,IF(BC30="שימור",IF('חד גזעי'!$AM$4="לא",IF(BC30="לא בוגר",0,IF(BC30="לא קיים",0,IF(J30=0,0,I30*0.1))),IF(BC30="לא בוגר",0,IF(BC30="לא קיים",0,IF(AB30=1,I30*0.1,E30*0.5)))),0),IF('חד גזעי'!$AM$4="לא",IF(BC30="לא בוגר",0,IF(BC30="לא קיים",0,IF(J30=0,0,I30*0.1))),IF(BC30="לא בוגר",0,IF(BC30="לא קיים",0,IF(AB30=1,I30*0.1,E30*0.5))))),IF(P30=0,IF(BC30="שימור",IF('חד גזעי'!$AM$4="לא",IF(BC30="לא בוגר",0,IF(BC30="לא קיים",0,IF(J30=0,0,I30*0.15))),IF(BC30="לא בוגר",0,IF(BC30="לא קיים",0,IF(AB30=1,I30*0.15,E30*0.5)))),0),IF('חד גזעי'!$AM$4="לא",IF(BC30="לא בוגר",0,IF(BC30="לא קיים",0,IF(J30=0,0,I30*0.15))),IF(BC30="לא בוגר",0,IF(BC30="לא קיים",0,IF(AB30=1,I30*0.15,E30*0.5))))))</f>
        <v>0</v>
      </c>
      <c r="V30" t="e">
        <f t="shared" si="25"/>
        <v>#N/A</v>
      </c>
      <c r="W30" t="e">
        <f t="shared" si="26"/>
        <v>#N/A</v>
      </c>
      <c r="X30" t="e">
        <f t="shared" si="27"/>
        <v>#N/A</v>
      </c>
      <c r="Y30">
        <f>IF('חד גזעי'!$AM$2 = "לא",0,IF(F30&gt;9,W30,0))</f>
        <v>0</v>
      </c>
      <c r="Z30">
        <f>IF('חד גזעי'!$AM$7 = "לא",0,IF(C30 = "זית אירופי",IF('חד גזעי'!$AN$7 &lt;=סקר!F30,W30,0),IF(C30 = "חרוב מצוי",IF('חד גזעי'!$AN$7 &lt;=סקר!F30,W30,0),0)))</f>
        <v>0</v>
      </c>
      <c r="AB30">
        <f t="shared" si="8"/>
        <v>1</v>
      </c>
      <c r="AC30" s="72"/>
      <c r="AD30" t="e">
        <f t="shared" si="28"/>
        <v>#N/A</v>
      </c>
      <c r="AE30" s="72"/>
      <c r="AF30" s="72" t="e">
        <f t="shared" si="9"/>
        <v>#N/A</v>
      </c>
      <c r="AG30" s="72" t="e">
        <f>IF('חד גזעי'!$AM$5="לא",(VLOOKUP(C30,'חד גזעי'!$P$1:$S$589,3,FALSE)),(VLOOKUP(C30,'חד גזעי'!$P$1:$S$589,4,FALSE)))</f>
        <v>#N/A</v>
      </c>
      <c r="AH30" s="72">
        <f t="shared" si="10"/>
        <v>0</v>
      </c>
      <c r="AI30" s="72">
        <f t="shared" si="11"/>
        <v>0</v>
      </c>
      <c r="AJ30" s="72">
        <f t="shared" si="12"/>
        <v>0</v>
      </c>
      <c r="AK30" s="72" t="e">
        <f t="shared" si="13"/>
        <v>#N/A</v>
      </c>
      <c r="AL30" t="e">
        <f>VLOOKUP(C30,'חד גזעי'!$AH$8:$AI$33,2,FALSE)</f>
        <v>#N/A</v>
      </c>
      <c r="AM30" s="72" t="b">
        <f t="shared" si="14"/>
        <v>0</v>
      </c>
      <c r="AN30" s="72" t="b">
        <f t="shared" si="15"/>
        <v>0</v>
      </c>
      <c r="AO30" s="72" t="b">
        <f t="shared" si="16"/>
        <v>0</v>
      </c>
      <c r="AS30" s="72">
        <f t="shared" si="17"/>
        <v>0</v>
      </c>
      <c r="AT30" s="72">
        <f t="shared" si="18"/>
        <v>0</v>
      </c>
      <c r="AU30" s="72">
        <f t="shared" si="29"/>
        <v>0</v>
      </c>
      <c r="AV30" s="72">
        <f t="shared" si="19"/>
        <v>0</v>
      </c>
      <c r="AW30" s="72">
        <f t="shared" si="20"/>
        <v>0</v>
      </c>
      <c r="AX30" s="72">
        <f t="shared" si="21"/>
        <v>0</v>
      </c>
      <c r="AY30" s="72">
        <f t="shared" si="22"/>
        <v>0</v>
      </c>
      <c r="AZ30" s="72">
        <f t="shared" si="23"/>
        <v>0</v>
      </c>
      <c r="BA30" s="72" t="e">
        <f t="shared" si="24"/>
        <v>#N/A</v>
      </c>
      <c r="BB30" s="72" t="e">
        <f t="shared" si="30"/>
        <v>#N/A</v>
      </c>
      <c r="BC30" s="77"/>
      <c r="BE30">
        <f t="shared" si="31"/>
        <v>0</v>
      </c>
      <c r="BF30" s="211"/>
      <c r="BG30" s="211"/>
      <c r="BH30" s="211"/>
      <c r="BI30" s="211"/>
      <c r="BJ30" s="211"/>
      <c r="BK30" s="211"/>
    </row>
    <row r="31" spans="2:63" ht="12.75" customHeight="1">
      <c r="B31" s="77"/>
      <c r="C31" s="135"/>
      <c r="D31" s="78"/>
      <c r="E31" s="78"/>
      <c r="F31" s="72"/>
      <c r="G31" s="72"/>
      <c r="H31" s="72"/>
      <c r="I31" s="73">
        <f t="shared" si="33"/>
        <v>0</v>
      </c>
      <c r="J31" s="78"/>
      <c r="K31" s="73"/>
      <c r="L31" s="74" t="e">
        <f>_xlfn.IFNA(VLOOKUP(C31,'חד גזעי'!$U$3:$V$509,2,0),VLOOKUP(C31,'חד גזעי'!$U$3:$V$509,2))</f>
        <v>#N/A</v>
      </c>
      <c r="M31" s="73"/>
      <c r="N31" s="72" t="e">
        <f>_xlfn.IFNA(IF(VLOOKUP(C31,'חד גזעי'!$AH$2:$AH$7,1,FALSE)&gt;0,0,IF('חד גזעי'!$AM$5="כן",IF(_xlfn.IFNA(VLOOKUP(C31,'חד גזעי'!$AH$2:$AH$33,1,FALSE),SUM(J31:M31))&lt;21,_xlfn.IFNA(VLOOKUP(C31,'חד גזעי'!$AH$2:$AH$33,1,FALSE),SUM(J31:M31)),0),SUM(J31:M31))),IF('חד גזעי'!$AM$5="כן",IF(_xlfn.IFNA(VLOOKUP(C31,'חד גזעי'!$AH$2:$AH$33,1,FALSE),SUM(J31:M31))&lt;21,_xlfn.IFNA(VLOOKUP(C31,'חד גזעי'!$AH$2:$AH$33,1,FALSE),SUM(J31:M31)),0),SUM(J31:M31)))</f>
        <v>#N/A</v>
      </c>
      <c r="O31" s="72">
        <f>IF('חד גזעי'!$AM$3 = "כן",IF(T31&gt;4,4,T31),T31)</f>
        <v>0</v>
      </c>
      <c r="P31" s="80">
        <f>IF(E31&lt;2,0,IF(Z31&gt;0,Z31,IF(N31 = 0,0,IF('חד גזעי'!$AM$2 = "לא",IF(F31&gt;19,W31,0),IF(F31&gt;9,Y31,0)))))</f>
        <v>0</v>
      </c>
      <c r="Q31" s="77"/>
      <c r="R31" s="76"/>
      <c r="S31" t="e">
        <f>VLOOKUP(C31,'חד גזעי'!$Y$4:$Y$18,1,0)</f>
        <v>#N/A</v>
      </c>
      <c r="T31" s="72">
        <f>IF('חד גזעי'!$AM$6="לא",IF(P31=0,IF(BC31="שימור",IF('חד גזעי'!$AM$4="לא",IF(BC31="לא בוגר",0,IF(BC31="לא קיים",0,IF(J31=0,0,I31*0.1))),IF(BC31="לא בוגר",0,IF(BC31="לא קיים",0,IF(AB31=1,I31*0.1,E31*0.5)))),0),IF('חד גזעי'!$AM$4="לא",IF(BC31="לא בוגר",0,IF(BC31="לא קיים",0,IF(J31=0,0,I31*0.1))),IF(BC31="לא בוגר",0,IF(BC31="לא קיים",0,IF(AB31=1,I31*0.1,E31*0.5))))),IF(P31=0,IF(BC31="שימור",IF('חד גזעי'!$AM$4="לא",IF(BC31="לא בוגר",0,IF(BC31="לא קיים",0,IF(J31=0,0,I31*0.15))),IF(BC31="לא בוגר",0,IF(BC31="לא קיים",0,IF(AB31=1,I31*0.15,E31*0.5)))),0),IF('חד גזעי'!$AM$4="לא",IF(BC31="לא בוגר",0,IF(BC31="לא קיים",0,IF(J31=0,0,I31*0.15))),IF(BC31="לא בוגר",0,IF(BC31="לא קיים",0,IF(AB31=1,I31*0.15,E31*0.5))))))</f>
        <v>0</v>
      </c>
      <c r="V31" t="e">
        <f t="shared" si="25"/>
        <v>#N/A</v>
      </c>
      <c r="W31" t="e">
        <f t="shared" si="26"/>
        <v>#N/A</v>
      </c>
      <c r="X31" t="e">
        <f t="shared" si="27"/>
        <v>#N/A</v>
      </c>
      <c r="Y31">
        <f>IF('חד גזעי'!$AM$2 = "לא",0,IF(F31&gt;9,W31,0))</f>
        <v>0</v>
      </c>
      <c r="Z31">
        <f>IF('חד גזעי'!$AM$7 = "לא",0,IF(C31 = "זית אירופי",IF('חד גזעי'!$AN$7 &lt;=סקר!F31,W31,0),IF(C31 = "חרוב מצוי",IF('חד גזעי'!$AN$7 &lt;=סקר!F31,W31,0),0)))</f>
        <v>0</v>
      </c>
      <c r="AB31">
        <f t="shared" si="8"/>
        <v>1</v>
      </c>
      <c r="AC31" s="72"/>
      <c r="AD31" t="e">
        <f t="shared" si="28"/>
        <v>#N/A</v>
      </c>
      <c r="AE31" s="72"/>
      <c r="AF31" s="72" t="e">
        <f t="shared" si="9"/>
        <v>#N/A</v>
      </c>
      <c r="AG31" s="72" t="e">
        <f>IF('חד גזעי'!$AM$5="לא",(VLOOKUP(C31,'חד גזעי'!$P$1:$S$589,3,FALSE)),(VLOOKUP(C31,'חד גזעי'!$P$1:$S$589,4,FALSE)))</f>
        <v>#N/A</v>
      </c>
      <c r="AH31" s="72">
        <f t="shared" si="10"/>
        <v>0</v>
      </c>
      <c r="AI31" s="72">
        <f t="shared" si="11"/>
        <v>0</v>
      </c>
      <c r="AJ31" s="72">
        <f t="shared" si="12"/>
        <v>0</v>
      </c>
      <c r="AK31" s="72" t="e">
        <f t="shared" si="13"/>
        <v>#N/A</v>
      </c>
      <c r="AL31" t="e">
        <f>VLOOKUP(C31,'חד גזעי'!$AH$8:$AI$33,2,FALSE)</f>
        <v>#N/A</v>
      </c>
      <c r="AM31" s="72" t="b">
        <f t="shared" si="14"/>
        <v>0</v>
      </c>
      <c r="AN31" s="72" t="b">
        <f t="shared" si="15"/>
        <v>0</v>
      </c>
      <c r="AO31" s="72" t="b">
        <f t="shared" si="16"/>
        <v>0</v>
      </c>
      <c r="AS31" s="72">
        <f t="shared" si="17"/>
        <v>0</v>
      </c>
      <c r="AT31" s="72">
        <f t="shared" si="18"/>
        <v>0</v>
      </c>
      <c r="AU31" s="72">
        <f t="shared" si="29"/>
        <v>0</v>
      </c>
      <c r="AV31" s="72">
        <f t="shared" si="19"/>
        <v>0</v>
      </c>
      <c r="AW31" s="72">
        <f t="shared" si="20"/>
        <v>0</v>
      </c>
      <c r="AX31" s="72">
        <f t="shared" si="21"/>
        <v>0</v>
      </c>
      <c r="AY31" s="72">
        <f t="shared" si="22"/>
        <v>0</v>
      </c>
      <c r="AZ31" s="72">
        <f t="shared" si="23"/>
        <v>0</v>
      </c>
      <c r="BA31" s="72" t="e">
        <f t="shared" si="24"/>
        <v>#N/A</v>
      </c>
      <c r="BB31" s="72" t="e">
        <f t="shared" si="30"/>
        <v>#N/A</v>
      </c>
      <c r="BC31" s="77"/>
      <c r="BE31">
        <f t="shared" si="31"/>
        <v>0</v>
      </c>
      <c r="BF31" s="211"/>
      <c r="BG31" s="211"/>
      <c r="BH31" s="211"/>
      <c r="BI31" s="211"/>
      <c r="BJ31" s="211"/>
      <c r="BK31" s="211"/>
    </row>
    <row r="32" spans="2:63" ht="12.75" customHeight="1">
      <c r="B32" s="77"/>
      <c r="C32" s="135"/>
      <c r="D32" s="78"/>
      <c r="E32" s="73"/>
      <c r="F32" s="72"/>
      <c r="G32" s="72"/>
      <c r="H32" s="72"/>
      <c r="I32" s="73">
        <f t="shared" si="33"/>
        <v>0</v>
      </c>
      <c r="J32" s="73"/>
      <c r="K32" s="73"/>
      <c r="L32" s="74" t="e">
        <f>_xlfn.IFNA(VLOOKUP(C32,'חד גזעי'!$U$3:$V$509,2,0),VLOOKUP(C32,'חד גזעי'!$U$3:$V$509,2))</f>
        <v>#N/A</v>
      </c>
      <c r="M32" s="73"/>
      <c r="N32" s="72" t="e">
        <f>_xlfn.IFNA(IF(VLOOKUP(C32,'חד גזעי'!$AH$2:$AH$7,1,FALSE)&gt;0,0,IF('חד גזעי'!$AM$5="כן",IF(_xlfn.IFNA(VLOOKUP(C32,'חד גזעי'!$AH$2:$AH$33,1,FALSE),SUM(J32:M32))&lt;21,_xlfn.IFNA(VLOOKUP(C32,'חד גזעי'!$AH$2:$AH$33,1,FALSE),SUM(J32:M32)),0),SUM(J32:M32))),IF('חד גזעי'!$AM$5="כן",IF(_xlfn.IFNA(VLOOKUP(C32,'חד גזעי'!$AH$2:$AH$33,1,FALSE),SUM(J32:M32))&lt;21,_xlfn.IFNA(VLOOKUP(C32,'חד גזעי'!$AH$2:$AH$33,1,FALSE),SUM(J32:M32)),0),SUM(J32:M32)))</f>
        <v>#N/A</v>
      </c>
      <c r="O32" s="72">
        <f>IF('חד גזעי'!$AM$3 = "כן",IF(T32&gt;4,4,T32),T32)</f>
        <v>0</v>
      </c>
      <c r="P32" s="80">
        <f>IF(E32&lt;2,0,IF(Z32&gt;0,Z32,IF(N32 = 0,0,IF('חד גזעי'!$AM$2 = "לא",IF(F32&gt;19,W32,0),IF(F32&gt;9,Y32,0)))))</f>
        <v>0</v>
      </c>
      <c r="Q32" s="77"/>
      <c r="R32" s="76"/>
      <c r="S32" t="e">
        <f>VLOOKUP(C32,'חד גזעי'!$Y$4:$Y$18,1,0)</f>
        <v>#N/A</v>
      </c>
      <c r="T32" s="72">
        <f>IF('חד גזעי'!$AM$6="לא",IF(P32=0,IF(BC32="שימור",IF('חד גזעי'!$AM$4="לא",IF(BC32="לא בוגר",0,IF(BC32="לא קיים",0,IF(J32=0,0,I32*0.1))),IF(BC32="לא בוגר",0,IF(BC32="לא קיים",0,IF(AB32=1,I32*0.1,E32*0.5)))),0),IF('חד גזעי'!$AM$4="לא",IF(BC32="לא בוגר",0,IF(BC32="לא קיים",0,IF(J32=0,0,I32*0.1))),IF(BC32="לא בוגר",0,IF(BC32="לא קיים",0,IF(AB32=1,I32*0.1,E32*0.5))))),IF(P32=0,IF(BC32="שימור",IF('חד גזעי'!$AM$4="לא",IF(BC32="לא בוגר",0,IF(BC32="לא קיים",0,IF(J32=0,0,I32*0.15))),IF(BC32="לא בוגר",0,IF(BC32="לא קיים",0,IF(AB32=1,I32*0.15,E32*0.5)))),0),IF('חד גזעי'!$AM$4="לא",IF(BC32="לא בוגר",0,IF(BC32="לא קיים",0,IF(J32=0,0,I32*0.15))),IF(BC32="לא בוגר",0,IF(BC32="לא קיים",0,IF(AB32=1,I32*0.15,E32*0.5))))))</f>
        <v>0</v>
      </c>
      <c r="V32" t="e">
        <f t="shared" si="25"/>
        <v>#N/A</v>
      </c>
      <c r="W32" t="e">
        <f t="shared" si="26"/>
        <v>#N/A</v>
      </c>
      <c r="X32" t="e">
        <f t="shared" si="27"/>
        <v>#N/A</v>
      </c>
      <c r="Y32">
        <f>IF('חד גזעי'!$AM$2 = "לא",0,IF(F32&gt;9,W32,0))</f>
        <v>0</v>
      </c>
      <c r="Z32">
        <f>IF('חד גזעי'!$AM$7 = "לא",0,IF(C32 = "זית אירופי",IF('חד גזעי'!$AN$7 &lt;=סקר!F32,W32,0),IF(C32 = "חרוב מצוי",IF('חד גזעי'!$AN$7 &lt;=סקר!F32,W32,0),0)))</f>
        <v>0</v>
      </c>
      <c r="AB32">
        <f t="shared" si="8"/>
        <v>1</v>
      </c>
      <c r="AC32" s="72"/>
      <c r="AD32" t="e">
        <f t="shared" si="28"/>
        <v>#N/A</v>
      </c>
      <c r="AE32" s="72"/>
      <c r="AF32" s="72" t="e">
        <f t="shared" si="9"/>
        <v>#N/A</v>
      </c>
      <c r="AG32" s="72" t="e">
        <f>IF('חד גזעי'!$AM$5="לא",(VLOOKUP(C32,'חד גזעי'!$P$1:$S$589,3,FALSE)),(VLOOKUP(C32,'חד גזעי'!$P$1:$S$589,4,FALSE)))</f>
        <v>#N/A</v>
      </c>
      <c r="AH32" s="72">
        <f t="shared" si="10"/>
        <v>0</v>
      </c>
      <c r="AI32" s="72">
        <f t="shared" si="11"/>
        <v>0</v>
      </c>
      <c r="AJ32" s="72">
        <f t="shared" si="12"/>
        <v>0</v>
      </c>
      <c r="AK32" s="72" t="e">
        <f t="shared" si="13"/>
        <v>#N/A</v>
      </c>
      <c r="AL32" t="e">
        <f>VLOOKUP(C32,'חד גזעי'!$AH$8:$AI$33,2,FALSE)</f>
        <v>#N/A</v>
      </c>
      <c r="AM32" s="72" t="b">
        <f t="shared" si="14"/>
        <v>0</v>
      </c>
      <c r="AN32" s="72" t="b">
        <f t="shared" si="15"/>
        <v>0</v>
      </c>
      <c r="AO32" s="72" t="b">
        <f t="shared" si="16"/>
        <v>0</v>
      </c>
      <c r="AS32" s="72">
        <f t="shared" si="17"/>
        <v>0</v>
      </c>
      <c r="AT32" s="72">
        <f t="shared" si="18"/>
        <v>0</v>
      </c>
      <c r="AU32" s="72">
        <f t="shared" si="29"/>
        <v>0</v>
      </c>
      <c r="AV32" s="72">
        <f t="shared" si="19"/>
        <v>0</v>
      </c>
      <c r="AW32" s="72">
        <f t="shared" si="20"/>
        <v>0</v>
      </c>
      <c r="AX32" s="72">
        <f t="shared" si="21"/>
        <v>0</v>
      </c>
      <c r="AY32" s="72">
        <f t="shared" si="22"/>
        <v>0</v>
      </c>
      <c r="AZ32" s="72">
        <f t="shared" si="23"/>
        <v>0</v>
      </c>
      <c r="BA32" s="72" t="e">
        <f t="shared" si="24"/>
        <v>#N/A</v>
      </c>
      <c r="BB32" s="72" t="e">
        <f t="shared" si="30"/>
        <v>#N/A</v>
      </c>
      <c r="BC32" s="77"/>
      <c r="BE32">
        <f t="shared" si="31"/>
        <v>0</v>
      </c>
      <c r="BF32" s="211"/>
      <c r="BG32" s="211"/>
      <c r="BH32" s="211"/>
      <c r="BI32" s="211"/>
      <c r="BJ32" s="211"/>
      <c r="BK32" s="211"/>
    </row>
    <row r="33" spans="1:63" ht="12.75" customHeight="1">
      <c r="B33" s="77"/>
      <c r="C33" s="135"/>
      <c r="D33" s="78"/>
      <c r="E33" s="73"/>
      <c r="F33" s="72"/>
      <c r="G33" s="72"/>
      <c r="H33" s="72"/>
      <c r="I33" s="73">
        <f t="shared" si="33"/>
        <v>0</v>
      </c>
      <c r="J33" s="73"/>
      <c r="K33" s="73"/>
      <c r="L33" s="74" t="e">
        <f>_xlfn.IFNA(VLOOKUP(C33,'חד גזעי'!$U$3:$V$509,2,0),VLOOKUP(C33,'חד גזעי'!$U$3:$V$509,2))</f>
        <v>#N/A</v>
      </c>
      <c r="M33" s="73"/>
      <c r="N33" s="72" t="e">
        <f>_xlfn.IFNA(IF(VLOOKUP(C33,'חד גזעי'!$AH$2:$AH$7,1,FALSE)&gt;0,0,IF('חד גזעי'!$AM$5="כן",IF(_xlfn.IFNA(VLOOKUP(C33,'חד גזעי'!$AH$2:$AH$33,1,FALSE),SUM(J33:M33))&lt;21,_xlfn.IFNA(VLOOKUP(C33,'חד גזעי'!$AH$2:$AH$33,1,FALSE),SUM(J33:M33)),0),SUM(J33:M33))),IF('חד גזעי'!$AM$5="כן",IF(_xlfn.IFNA(VLOOKUP(C33,'חד גזעי'!$AH$2:$AH$33,1,FALSE),SUM(J33:M33))&lt;21,_xlfn.IFNA(VLOOKUP(C33,'חד גזעי'!$AH$2:$AH$33,1,FALSE),SUM(J33:M33)),0),SUM(J33:M33)))</f>
        <v>#N/A</v>
      </c>
      <c r="O33" s="72">
        <f>IF('חד גזעי'!$AM$3 = "כן",IF(T33&gt;4,4,T33),T33)</f>
        <v>0</v>
      </c>
      <c r="P33" s="80">
        <f>IF(E33&lt;2,0,IF(Z33&gt;0,Z33,IF(N33 = 0,0,IF('חד גזעי'!$AM$2 = "לא",IF(F33&gt;19,W33,0),IF(F33&gt;9,Y33,0)))))</f>
        <v>0</v>
      </c>
      <c r="Q33" s="77"/>
      <c r="R33" s="76"/>
      <c r="S33" t="e">
        <f>VLOOKUP(C33,'חד גזעי'!$Y$4:$Y$18,1,0)</f>
        <v>#N/A</v>
      </c>
      <c r="T33" s="72">
        <f>IF('חד גזעי'!$AM$6="לא",IF(P33=0,IF(BC33="שימור",IF('חד גזעי'!$AM$4="לא",IF(BC33="לא בוגר",0,IF(BC33="לא קיים",0,IF(J33=0,0,I33*0.1))),IF(BC33="לא בוגר",0,IF(BC33="לא קיים",0,IF(AB33=1,I33*0.1,E33*0.5)))),0),IF('חד גזעי'!$AM$4="לא",IF(BC33="לא בוגר",0,IF(BC33="לא קיים",0,IF(J33=0,0,I33*0.1))),IF(BC33="לא בוגר",0,IF(BC33="לא קיים",0,IF(AB33=1,I33*0.1,E33*0.5))))),IF(P33=0,IF(BC33="שימור",IF('חד גזעי'!$AM$4="לא",IF(BC33="לא בוגר",0,IF(BC33="לא קיים",0,IF(J33=0,0,I33*0.15))),IF(BC33="לא בוגר",0,IF(BC33="לא קיים",0,IF(AB33=1,I33*0.15,E33*0.5)))),0),IF('חד גזעי'!$AM$4="לא",IF(BC33="לא בוגר",0,IF(BC33="לא קיים",0,IF(J33=0,0,I33*0.15))),IF(BC33="לא בוגר",0,IF(BC33="לא קיים",0,IF(AB33=1,I33*0.15,E33*0.5))))))</f>
        <v>0</v>
      </c>
      <c r="V33" t="e">
        <f t="shared" si="25"/>
        <v>#N/A</v>
      </c>
      <c r="W33" t="e">
        <f t="shared" si="26"/>
        <v>#N/A</v>
      </c>
      <c r="X33" t="e">
        <f t="shared" si="27"/>
        <v>#N/A</v>
      </c>
      <c r="Y33">
        <f>IF('חד גזעי'!$AM$2 = "לא",0,IF(F33&gt;9,W33,0))</f>
        <v>0</v>
      </c>
      <c r="Z33">
        <f>IF('חד גזעי'!$AM$7 = "לא",0,IF(C33 = "זית אירופי",IF('חד גזעי'!$AN$7 &lt;=סקר!F33,W33,0),IF(C33 = "חרוב מצוי",IF('חד גזעי'!$AN$7 &lt;=סקר!F33,W33,0),0)))</f>
        <v>0</v>
      </c>
      <c r="AB33">
        <f t="shared" si="8"/>
        <v>1</v>
      </c>
      <c r="AC33" s="72"/>
      <c r="AD33" t="e">
        <f t="shared" si="28"/>
        <v>#N/A</v>
      </c>
      <c r="AE33" s="72"/>
      <c r="AF33" s="72" t="e">
        <f t="shared" si="9"/>
        <v>#N/A</v>
      </c>
      <c r="AG33" s="72" t="e">
        <f>IF('חד גזעי'!$AM$5="לא",(VLOOKUP(C33,'חד גזעי'!$P$1:$S$589,3,FALSE)),(VLOOKUP(C33,'חד גזעי'!$P$1:$S$589,4,FALSE)))</f>
        <v>#N/A</v>
      </c>
      <c r="AH33" s="72">
        <f t="shared" si="10"/>
        <v>0</v>
      </c>
      <c r="AI33" s="72">
        <f t="shared" si="11"/>
        <v>0</v>
      </c>
      <c r="AJ33" s="72">
        <f t="shared" si="12"/>
        <v>0</v>
      </c>
      <c r="AK33" s="72" t="e">
        <f t="shared" si="13"/>
        <v>#N/A</v>
      </c>
      <c r="AL33" t="e">
        <f>VLOOKUP(C33,'חד גזעי'!$AH$8:$AI$33,2,FALSE)</f>
        <v>#N/A</v>
      </c>
      <c r="AM33" s="72" t="b">
        <f t="shared" si="14"/>
        <v>0</v>
      </c>
      <c r="AN33" s="72" t="b">
        <f t="shared" si="15"/>
        <v>0</v>
      </c>
      <c r="AO33" s="72" t="b">
        <f t="shared" si="16"/>
        <v>0</v>
      </c>
      <c r="AS33" s="72">
        <f t="shared" si="17"/>
        <v>0</v>
      </c>
      <c r="AT33" s="72">
        <f t="shared" si="18"/>
        <v>0</v>
      </c>
      <c r="AU33" s="72">
        <f t="shared" si="29"/>
        <v>0</v>
      </c>
      <c r="AV33" s="72">
        <f t="shared" si="19"/>
        <v>0</v>
      </c>
      <c r="AW33" s="72">
        <f t="shared" si="20"/>
        <v>0</v>
      </c>
      <c r="AX33" s="72">
        <f t="shared" si="21"/>
        <v>0</v>
      </c>
      <c r="AY33" s="72">
        <f t="shared" si="22"/>
        <v>0</v>
      </c>
      <c r="AZ33" s="72">
        <f t="shared" si="23"/>
        <v>0</v>
      </c>
      <c r="BA33" s="72" t="e">
        <f t="shared" si="24"/>
        <v>#N/A</v>
      </c>
      <c r="BB33" s="72" t="e">
        <f t="shared" si="30"/>
        <v>#N/A</v>
      </c>
      <c r="BC33" s="77"/>
      <c r="BE33">
        <f t="shared" si="31"/>
        <v>0</v>
      </c>
      <c r="BF33" s="211"/>
      <c r="BG33" s="211"/>
      <c r="BH33" s="211"/>
      <c r="BI33" s="211"/>
      <c r="BJ33" s="211"/>
      <c r="BK33" s="211"/>
    </row>
    <row r="34" spans="1:63" ht="12.75" customHeight="1">
      <c r="B34" s="77"/>
      <c r="C34" s="135"/>
      <c r="D34" s="78"/>
      <c r="E34" s="73"/>
      <c r="F34" s="72"/>
      <c r="G34" s="72"/>
      <c r="H34" s="72"/>
      <c r="I34" s="73">
        <f t="shared" si="33"/>
        <v>0</v>
      </c>
      <c r="J34" s="73"/>
      <c r="K34" s="73"/>
      <c r="L34" s="74" t="e">
        <f>_xlfn.IFNA(VLOOKUP(C34,'חד גזעי'!$U$3:$V$509,2,0),VLOOKUP(C34,'חד גזעי'!$U$3:$V$509,2))</f>
        <v>#N/A</v>
      </c>
      <c r="M34" s="73"/>
      <c r="N34" s="72" t="e">
        <f>_xlfn.IFNA(IF(VLOOKUP(C34,'חד גזעי'!$AH$2:$AH$7,1,FALSE)&gt;0,0,IF('חד גזעי'!$AM$5="כן",IF(_xlfn.IFNA(VLOOKUP(C34,'חד גזעי'!$AH$2:$AH$33,1,FALSE),SUM(J34:M34))&lt;21,_xlfn.IFNA(VLOOKUP(C34,'חד גזעי'!$AH$2:$AH$33,1,FALSE),SUM(J34:M34)),0),SUM(J34:M34))),IF('חד גזעי'!$AM$5="כן",IF(_xlfn.IFNA(VLOOKUP(C34,'חד גזעי'!$AH$2:$AH$33,1,FALSE),SUM(J34:M34))&lt;21,_xlfn.IFNA(VLOOKUP(C34,'חד גזעי'!$AH$2:$AH$33,1,FALSE),SUM(J34:M34)),0),SUM(J34:M34)))</f>
        <v>#N/A</v>
      </c>
      <c r="O34" s="72">
        <f>IF('חד גזעי'!$AM$3 = "כן",IF(T34&gt;4,4,T34),T34)</f>
        <v>0</v>
      </c>
      <c r="P34" s="80">
        <f>IF(E34&lt;2,0,IF(Z34&gt;0,Z34,IF(N34 = 0,0,IF('חד גזעי'!$AM$2 = "לא",IF(F34&gt;19,W34,0),IF(F34&gt;9,Y34,0)))))</f>
        <v>0</v>
      </c>
      <c r="Q34" s="77"/>
      <c r="R34" s="76"/>
      <c r="S34" t="e">
        <f>VLOOKUP(C34,'חד גזעי'!$Y$4:$Y$18,1,0)</f>
        <v>#N/A</v>
      </c>
      <c r="T34" s="72">
        <f>IF('חד גזעי'!$AM$6="לא",IF(P34=0,IF(BC34="שימור",IF('חד גזעי'!$AM$4="לא",IF(BC34="לא בוגר",0,IF(BC34="לא קיים",0,IF(J34=0,0,I34*0.1))),IF(BC34="לא בוגר",0,IF(BC34="לא קיים",0,IF(AB34=1,I34*0.1,E34*0.5)))),0),IF('חד גזעי'!$AM$4="לא",IF(BC34="לא בוגר",0,IF(BC34="לא קיים",0,IF(J34=0,0,I34*0.1))),IF(BC34="לא בוגר",0,IF(BC34="לא קיים",0,IF(AB34=1,I34*0.1,E34*0.5))))),IF(P34=0,IF(BC34="שימור",IF('חד גזעי'!$AM$4="לא",IF(BC34="לא בוגר",0,IF(BC34="לא קיים",0,IF(J34=0,0,I34*0.15))),IF(BC34="לא בוגר",0,IF(BC34="לא קיים",0,IF(AB34=1,I34*0.15,E34*0.5)))),0),IF('חד גזעי'!$AM$4="לא",IF(BC34="לא בוגר",0,IF(BC34="לא קיים",0,IF(J34=0,0,I34*0.15))),IF(BC34="לא בוגר",0,IF(BC34="לא קיים",0,IF(AB34=1,I34*0.15,E34*0.5))))))</f>
        <v>0</v>
      </c>
      <c r="V34" t="e">
        <f t="shared" si="25"/>
        <v>#N/A</v>
      </c>
      <c r="W34" t="e">
        <f t="shared" si="26"/>
        <v>#N/A</v>
      </c>
      <c r="X34" t="e">
        <f t="shared" si="27"/>
        <v>#N/A</v>
      </c>
      <c r="Y34">
        <f>IF('חד גזעי'!$AM$2 = "לא",0,IF(F34&gt;9,W34,0))</f>
        <v>0</v>
      </c>
      <c r="Z34">
        <f>IF('חד גזעי'!$AM$7 = "לא",0,IF(C34 = "זית אירופי",IF('חד גזעי'!$AN$7 &lt;=סקר!F34,W34,0),IF(C34 = "חרוב מצוי",IF('חד גזעי'!$AN$7 &lt;=סקר!F34,W34,0),0)))</f>
        <v>0</v>
      </c>
      <c r="AB34">
        <f t="shared" si="8"/>
        <v>1</v>
      </c>
      <c r="AC34" s="72"/>
      <c r="AD34" t="e">
        <f t="shared" si="28"/>
        <v>#N/A</v>
      </c>
      <c r="AE34" s="72"/>
      <c r="AF34" s="72" t="e">
        <f t="shared" si="9"/>
        <v>#N/A</v>
      </c>
      <c r="AG34" s="72" t="e">
        <f>IF('חד גזעי'!$AM$5="לא",(VLOOKUP(C34,'חד גזעי'!$P$1:$S$589,3,FALSE)),(VLOOKUP(C34,'חד גזעי'!$P$1:$S$589,4,FALSE)))</f>
        <v>#N/A</v>
      </c>
      <c r="AH34" s="72">
        <f t="shared" si="10"/>
        <v>0</v>
      </c>
      <c r="AI34" s="72">
        <f t="shared" si="11"/>
        <v>0</v>
      </c>
      <c r="AJ34" s="72">
        <f t="shared" si="12"/>
        <v>0</v>
      </c>
      <c r="AK34" s="72" t="e">
        <f t="shared" si="13"/>
        <v>#N/A</v>
      </c>
      <c r="AL34" t="e">
        <f>VLOOKUP(C34,'חד גזעי'!$AH$8:$AI$33,2,FALSE)</f>
        <v>#N/A</v>
      </c>
      <c r="AM34" s="72" t="b">
        <f t="shared" si="14"/>
        <v>0</v>
      </c>
      <c r="AN34" s="72" t="b">
        <f t="shared" si="15"/>
        <v>0</v>
      </c>
      <c r="AO34" s="72" t="b">
        <f t="shared" si="16"/>
        <v>0</v>
      </c>
      <c r="AS34" s="72">
        <f t="shared" si="17"/>
        <v>0</v>
      </c>
      <c r="AT34" s="72">
        <f t="shared" si="18"/>
        <v>0</v>
      </c>
      <c r="AU34" s="72">
        <f t="shared" si="29"/>
        <v>0</v>
      </c>
      <c r="AV34" s="72">
        <f t="shared" si="19"/>
        <v>0</v>
      </c>
      <c r="AW34" s="72">
        <f t="shared" si="20"/>
        <v>0</v>
      </c>
      <c r="AX34" s="72">
        <f t="shared" si="21"/>
        <v>0</v>
      </c>
      <c r="AY34" s="72">
        <f t="shared" si="22"/>
        <v>0</v>
      </c>
      <c r="AZ34" s="72">
        <f t="shared" si="23"/>
        <v>0</v>
      </c>
      <c r="BA34" s="72" t="e">
        <f t="shared" si="24"/>
        <v>#N/A</v>
      </c>
      <c r="BB34" s="72" t="e">
        <f t="shared" si="30"/>
        <v>#N/A</v>
      </c>
      <c r="BC34" s="77"/>
      <c r="BE34">
        <f t="shared" si="31"/>
        <v>0</v>
      </c>
      <c r="BF34" s="211"/>
      <c r="BG34" s="211"/>
      <c r="BH34" s="211"/>
      <c r="BI34" s="211"/>
      <c r="BJ34" s="211"/>
      <c r="BK34" s="211"/>
    </row>
    <row r="35" spans="1:63" ht="12.75" customHeight="1">
      <c r="B35" s="77"/>
      <c r="C35" s="135"/>
      <c r="D35" s="78"/>
      <c r="E35" s="73"/>
      <c r="F35" s="72"/>
      <c r="G35" s="72"/>
      <c r="H35" s="72"/>
      <c r="I35" s="73">
        <f t="shared" si="33"/>
        <v>0</v>
      </c>
      <c r="J35" s="73"/>
      <c r="K35" s="73"/>
      <c r="L35" s="74" t="e">
        <f>_xlfn.IFNA(VLOOKUP(C35,'חד גזעי'!$U$3:$V$509,2,0),VLOOKUP(C35,'חד גזעי'!$U$3:$V$509,2))</f>
        <v>#N/A</v>
      </c>
      <c r="M35" s="73"/>
      <c r="N35" s="72" t="e">
        <f>_xlfn.IFNA(IF(VLOOKUP(C35,'חד גזעי'!$AH$2:$AH$7,1,FALSE)&gt;0,0,IF('חד גזעי'!$AM$5="כן",IF(_xlfn.IFNA(VLOOKUP(C35,'חד גזעי'!$AH$2:$AH$33,1,FALSE),SUM(J35:M35))&lt;21,_xlfn.IFNA(VLOOKUP(C35,'חד גזעי'!$AH$2:$AH$33,1,FALSE),SUM(J35:M35)),0),SUM(J35:M35))),IF('חד גזעי'!$AM$5="כן",IF(_xlfn.IFNA(VLOOKUP(C35,'חד גזעי'!$AH$2:$AH$33,1,FALSE),SUM(J35:M35))&lt;21,_xlfn.IFNA(VLOOKUP(C35,'חד גזעי'!$AH$2:$AH$33,1,FALSE),SUM(J35:M35)),0),SUM(J35:M35)))</f>
        <v>#N/A</v>
      </c>
      <c r="O35" s="72">
        <f>IF('חד גזעי'!$AM$3 = "כן",IF(T35&gt;4,4,T35),T35)</f>
        <v>0</v>
      </c>
      <c r="P35" s="80">
        <f>IF(E35&lt;2,0,IF(Z35&gt;0,Z35,IF(N35 = 0,0,IF('חד גזעי'!$AM$2 = "לא",IF(F35&gt;19,W35,0),IF(F35&gt;9,Y35,0)))))</f>
        <v>0</v>
      </c>
      <c r="Q35" s="77"/>
      <c r="R35" s="76"/>
      <c r="S35" t="e">
        <f>VLOOKUP(C35,'חד גזעי'!$Y$4:$Y$18,1,0)</f>
        <v>#N/A</v>
      </c>
      <c r="T35" s="72">
        <f>IF('חד גזעי'!$AM$6="לא",IF(P35=0,IF(BC35="שימור",IF('חד גזעי'!$AM$4="לא",IF(BC35="לא בוגר",0,IF(BC35="לא קיים",0,IF(J35=0,0,I35*0.1))),IF(BC35="לא בוגר",0,IF(BC35="לא קיים",0,IF(AB35=1,I35*0.1,E35*0.5)))),0),IF('חד גזעי'!$AM$4="לא",IF(BC35="לא בוגר",0,IF(BC35="לא קיים",0,IF(J35=0,0,I35*0.1))),IF(BC35="לא בוגר",0,IF(BC35="לא קיים",0,IF(AB35=1,I35*0.1,E35*0.5))))),IF(P35=0,IF(BC35="שימור",IF('חד גזעי'!$AM$4="לא",IF(BC35="לא בוגר",0,IF(BC35="לא קיים",0,IF(J35=0,0,I35*0.15))),IF(BC35="לא בוגר",0,IF(BC35="לא קיים",0,IF(AB35=1,I35*0.15,E35*0.5)))),0),IF('חד גזעי'!$AM$4="לא",IF(BC35="לא בוגר",0,IF(BC35="לא קיים",0,IF(J35=0,0,I35*0.15))),IF(BC35="לא בוגר",0,IF(BC35="לא קיים",0,IF(AB35=1,I35*0.15,E35*0.5))))))</f>
        <v>0</v>
      </c>
      <c r="V35" t="e">
        <f t="shared" si="25"/>
        <v>#N/A</v>
      </c>
      <c r="W35" t="e">
        <f t="shared" si="26"/>
        <v>#N/A</v>
      </c>
      <c r="X35" t="e">
        <f t="shared" si="27"/>
        <v>#N/A</v>
      </c>
      <c r="Y35">
        <f>IF('חד גזעי'!$AM$2 = "לא",0,IF(F35&gt;9,W35,0))</f>
        <v>0</v>
      </c>
      <c r="Z35">
        <f>IF('חד גזעי'!$AM$7 = "לא",0,IF(C35 = "זית אירופי",IF('חד גזעי'!$AN$7 &lt;=סקר!F35,W35,0),IF(C35 = "חרוב מצוי",IF('חד גזעי'!$AN$7 &lt;=סקר!F35,W35,0),0)))</f>
        <v>0</v>
      </c>
      <c r="AB35">
        <f t="shared" si="8"/>
        <v>1</v>
      </c>
      <c r="AC35" s="72"/>
      <c r="AD35" t="e">
        <f t="shared" si="28"/>
        <v>#N/A</v>
      </c>
      <c r="AE35" s="72"/>
      <c r="AF35" s="72" t="e">
        <f t="shared" si="9"/>
        <v>#N/A</v>
      </c>
      <c r="AG35" s="72" t="e">
        <f>IF('חד גזעי'!$AM$5="לא",(VLOOKUP(C35,'חד גזעי'!$P$1:$S$589,3,FALSE)),(VLOOKUP(C35,'חד גזעי'!$P$1:$S$589,4,FALSE)))</f>
        <v>#N/A</v>
      </c>
      <c r="AH35" s="72">
        <f t="shared" si="10"/>
        <v>0</v>
      </c>
      <c r="AI35" s="72">
        <f t="shared" si="11"/>
        <v>0</v>
      </c>
      <c r="AJ35" s="72">
        <f t="shared" si="12"/>
        <v>0</v>
      </c>
      <c r="AK35" s="72" t="e">
        <f t="shared" si="13"/>
        <v>#N/A</v>
      </c>
      <c r="AL35" t="e">
        <f>VLOOKUP(C35,'חד גזעי'!$AH$8:$AI$33,2,FALSE)</f>
        <v>#N/A</v>
      </c>
      <c r="AM35" s="72" t="b">
        <f t="shared" si="14"/>
        <v>0</v>
      </c>
      <c r="AN35" s="72" t="b">
        <f t="shared" si="15"/>
        <v>0</v>
      </c>
      <c r="AO35" s="72" t="b">
        <f t="shared" si="16"/>
        <v>0</v>
      </c>
      <c r="AS35" s="72">
        <f t="shared" si="17"/>
        <v>0</v>
      </c>
      <c r="AT35" s="72">
        <f t="shared" si="18"/>
        <v>0</v>
      </c>
      <c r="AU35" s="72">
        <f t="shared" si="29"/>
        <v>0</v>
      </c>
      <c r="AV35" s="72">
        <f t="shared" si="19"/>
        <v>0</v>
      </c>
      <c r="AW35" s="72">
        <f t="shared" si="20"/>
        <v>0</v>
      </c>
      <c r="AX35" s="72">
        <f t="shared" si="21"/>
        <v>0</v>
      </c>
      <c r="AY35" s="72">
        <f t="shared" si="22"/>
        <v>0</v>
      </c>
      <c r="AZ35" s="72">
        <f t="shared" si="23"/>
        <v>0</v>
      </c>
      <c r="BA35" s="72" t="e">
        <f t="shared" si="24"/>
        <v>#N/A</v>
      </c>
      <c r="BB35" s="72" t="e">
        <f t="shared" si="30"/>
        <v>#N/A</v>
      </c>
      <c r="BC35" s="77"/>
      <c r="BE35">
        <f t="shared" si="31"/>
        <v>0</v>
      </c>
      <c r="BF35" s="211"/>
      <c r="BG35" s="211"/>
      <c r="BH35" s="211"/>
      <c r="BI35" s="211"/>
      <c r="BJ35" s="211"/>
      <c r="BK35" s="211"/>
    </row>
    <row r="36" spans="1:63" ht="12.75" customHeight="1">
      <c r="B36" s="209" t="s">
        <v>854</v>
      </c>
      <c r="C36" s="209"/>
      <c r="D36" s="209"/>
      <c r="E36" s="209"/>
      <c r="F36" s="209"/>
      <c r="G36" s="209"/>
      <c r="H36" s="209"/>
      <c r="I36" s="209"/>
      <c r="J36" s="209"/>
      <c r="K36" s="209"/>
      <c r="L36" s="209"/>
      <c r="M36" s="209"/>
      <c r="N36" s="209"/>
      <c r="O36" s="209"/>
      <c r="P36" s="209"/>
      <c r="Q36" s="209"/>
      <c r="R36" s="209"/>
      <c r="T36" s="72">
        <f>IF('חד גזעי'!$AM$6="לא",IF(P36=0,IF(BC36="שימור",IF('חד גזעי'!$AM$4="לא",IF(BC36="לא בוגר",0,IF(BC36="לא קיים",0,IF(J36=0,0,I36*0.1))),IF(BC36="לא בוגר",0,IF(BC36="לא קיים",0,IF(AB36=1,I36*0.1,E36*0.5)))),0),IF('חד גזעי'!$AM$4="לא",IF(BC36="לא בוגר",0,IF(BC36="לא קיים",0,IF(J36=0,0,I36*0.1))),IF(BC36="לא בוגר",0,IF(BC36="לא קיים",0,IF(AB36=1,I36*0.1,E36*0.5))))),IF(P36=0,IF(BC36="שימור",IF('חד גזעי'!$AM$4="לא",IF(BC36="לא בוגר",0,IF(BC36="לא קיים",0,IF(J36=0,0,I36*0.15))),IF(BC36="לא בוגר",0,IF(BC36="לא קיים",0,IF(AB36=1,I36*0.15,E36*0.5)))),0),IF('חד גזעי'!$AM$4="לא",IF(BC36="לא בוגר",0,IF(BC36="לא קיים",0,IF(J36=0,0,I36*0.15))),IF(BC36="לא בוגר",0,IF(BC36="לא קיים",0,IF(AB36=1,I36*0.15,E36*0.5))))))</f>
        <v>0</v>
      </c>
      <c r="V36">
        <f t="shared" si="25"/>
        <v>0</v>
      </c>
      <c r="W36">
        <f t="shared" si="26"/>
        <v>0</v>
      </c>
      <c r="X36">
        <f t="shared" si="27"/>
        <v>0</v>
      </c>
      <c r="Y36">
        <f>IF('חד גזעי'!$AM$2 = "לא",0,IF(F36&gt;9,W36,0))</f>
        <v>0</v>
      </c>
      <c r="Z36">
        <f>IF('חד גזעי'!$AM$7 = "לא",0,IF(C36 = "זית אירופי",IF('חד גזעי'!$AN$7 &lt;=סקר!F36,W36,0),IF(C36 = "חרוב מצוי",IF('חד גזעי'!$AN$7 &lt;=סקר!F36,W36,0),0)))</f>
        <v>0</v>
      </c>
      <c r="BE36">
        <f t="shared" si="31"/>
        <v>0</v>
      </c>
      <c r="BF36" s="211"/>
      <c r="BG36" s="211"/>
      <c r="BH36" s="211"/>
      <c r="BI36" s="211"/>
      <c r="BJ36" s="211"/>
      <c r="BK36" s="211"/>
    </row>
    <row r="37" spans="1:63" ht="12.75" customHeight="1">
      <c r="E37" t="s">
        <v>819</v>
      </c>
      <c r="T37" s="72">
        <f>IF('חד גזעי'!$AM$6="לא",IF(P37=0,IF(BC37="שימור",IF('חד גזעי'!$AM$4="לא",IF(BC37="לא בוגר",0,IF(BC37="לא קיים",0,IF(J37=0,0,I37*0.1))),IF(BC37="לא בוגר",0,IF(BC37="לא קיים",0,IF(AB37=1,I37*0.1,E37*0.5)))),0),IF('חד גזעי'!$AM$4="לא",IF(BC37="לא בוגר",0,IF(BC37="לא קיים",0,IF(J37=0,0,I37*0.1))),IF(BC37="לא בוגר",0,IF(BC37="לא קיים",0,IF(AB37=1,I37*0.1,E37*0.5))))),IF(P37=0,IF(BC37="שימור",IF('חד גזעי'!$AM$4="לא",IF(BC37="לא בוגר",0,IF(BC37="לא קיים",0,IF(J37=0,0,I37*0.15))),IF(BC37="לא בוגר",0,IF(BC37="לא קיים",0,IF(AB37=1,I37*0.15,E37*0.5)))),0),IF('חד גזעי'!$AM$4="לא",IF(BC37="לא בוגר",0,IF(BC37="לא קיים",0,IF(J37=0,0,I37*0.15))),IF(BC37="לא בוגר",0,IF(BC37="לא קיים",0,IF(AB37=1,I37*0.15,E37*0.5))))))</f>
        <v>0</v>
      </c>
      <c r="V37">
        <f t="shared" si="25"/>
        <v>0</v>
      </c>
      <c r="W37">
        <f t="shared" si="26"/>
        <v>0</v>
      </c>
      <c r="X37">
        <f t="shared" si="27"/>
        <v>0</v>
      </c>
      <c r="Y37">
        <f>IF('חד גזעי'!$AM$2 = "לא",0,IF(F37&gt;9,W37,0))</f>
        <v>0</v>
      </c>
      <c r="Z37">
        <f>IF('חד גזעי'!$AM$7 = "לא",0,IF(C37 = "זית אירופי",IF('חד גזעי'!$AN$7 &lt;=סקר!F37,W37,0),IF(C37 = "חרוב מצוי",IF('חד גזעי'!$AN$7 &lt;=סקר!F37,W37,0),0)))</f>
        <v>0</v>
      </c>
      <c r="BE37">
        <f t="shared" si="31"/>
        <v>0</v>
      </c>
      <c r="BF37" s="211"/>
      <c r="BG37" s="211"/>
      <c r="BH37" s="211"/>
      <c r="BI37" s="211"/>
      <c r="BJ37" s="211"/>
      <c r="BK37" s="211"/>
    </row>
    <row r="38" spans="1:63" ht="12.75" customHeight="1">
      <c r="B38" s="217" t="s">
        <v>853</v>
      </c>
      <c r="C38" s="217"/>
      <c r="D38" s="217"/>
      <c r="E38" s="217"/>
      <c r="F38" s="217"/>
      <c r="G38" s="217"/>
      <c r="H38" s="217"/>
      <c r="I38" s="217"/>
      <c r="J38" s="217"/>
      <c r="K38" s="217"/>
      <c r="L38" s="217"/>
      <c r="M38" s="217"/>
      <c r="N38" s="217"/>
      <c r="O38" s="217"/>
      <c r="P38" s="217"/>
      <c r="Q38" s="217"/>
      <c r="R38" s="217"/>
      <c r="T38" s="72">
        <f>IF('חד גזעי'!$AM$6="לא",IF(P38=0,IF(BC38="שימור",IF('חד גזעי'!$AM$4="לא",IF(BC38="לא בוגר",0,IF(BC38="לא קיים",0,IF(J38=0,0,I38*0.1))),IF(BC38="לא בוגר",0,IF(BC38="לא קיים",0,IF(AB38=1,I38*0.1,E38*0.5)))),0),IF('חד גזעי'!$AM$4="לא",IF(BC38="לא בוגר",0,IF(BC38="לא קיים",0,IF(J38=0,0,I38*0.1))),IF(BC38="לא בוגר",0,IF(BC38="לא קיים",0,IF(AB38=1,I38*0.1,E38*0.5))))),IF(P38=0,IF(BC38="שימור",IF('חד גזעי'!$AM$4="לא",IF(BC38="לא בוגר",0,IF(BC38="לא קיים",0,IF(J38=0,0,I38*0.15))),IF(BC38="לא בוגר",0,IF(BC38="לא קיים",0,IF(AB38=1,I38*0.15,E38*0.5)))),0),IF('חד גזעי'!$AM$4="לא",IF(BC38="לא בוגר",0,IF(BC38="לא קיים",0,IF(J38=0,0,I38*0.15))),IF(BC38="לא בוגר",0,IF(BC38="לא קיים",0,IF(AB38=1,I38*0.15,E38*0.5))))))</f>
        <v>0</v>
      </c>
      <c r="V38">
        <f t="shared" si="25"/>
        <v>0</v>
      </c>
      <c r="W38">
        <f t="shared" si="26"/>
        <v>0</v>
      </c>
      <c r="X38">
        <f t="shared" si="27"/>
        <v>0</v>
      </c>
      <c r="Y38">
        <f>IF('חד גזעי'!$AM$2 = "לא",0,IF(F38&gt;9,W38,0))</f>
        <v>0</v>
      </c>
      <c r="Z38">
        <f>IF('חד גזעי'!$AM$7 = "לא",0,IF(C38 = "זית אירופי",IF('חד גזעי'!$AN$7 &lt;=סקר!F38,W38,0),IF(C38 = "חרוב מצוי",IF('חד גזעי'!$AN$7 &lt;=סקר!F38,W38,0),0)))</f>
        <v>0</v>
      </c>
      <c r="BE38">
        <f t="shared" si="31"/>
        <v>0</v>
      </c>
      <c r="BF38" s="211"/>
      <c r="BG38" s="211"/>
      <c r="BH38" s="211"/>
      <c r="BI38" s="211"/>
      <c r="BJ38" s="211"/>
      <c r="BK38" s="211"/>
    </row>
    <row r="39" spans="1:63" ht="12.75" customHeight="1">
      <c r="B39" s="207" t="s">
        <v>752</v>
      </c>
      <c r="C39" s="207"/>
      <c r="D39" s="207"/>
      <c r="E39" s="207"/>
      <c r="F39" s="207"/>
      <c r="G39" s="207"/>
      <c r="H39" s="207"/>
      <c r="I39" s="207"/>
      <c r="J39" s="207"/>
      <c r="K39" s="207"/>
      <c r="L39" s="207"/>
      <c r="M39" s="207"/>
      <c r="N39" s="207"/>
      <c r="O39" s="207"/>
      <c r="P39" s="207"/>
      <c r="Q39" s="207"/>
      <c r="R39" s="207"/>
      <c r="T39" s="72">
        <f>IF('חד גזעי'!$AM$6="לא",IF(P39=0,IF(BC39="שימור",IF('חד גזעי'!$AM$4="לא",IF(BC39="לא בוגר",0,IF(BC39="לא קיים",0,IF(J39=0,0,I39*0.1))),IF(BC39="לא בוגר",0,IF(BC39="לא קיים",0,IF(AB39=1,I39*0.1,E39*0.5)))),0),IF('חד גזעי'!$AM$4="לא",IF(BC39="לא בוגר",0,IF(BC39="לא קיים",0,IF(J39=0,0,I39*0.1))),IF(BC39="לא בוגר",0,IF(BC39="לא קיים",0,IF(AB39=1,I39*0.1,E39*0.5))))),IF(P39=0,IF(BC39="שימור",IF('חד גזעי'!$AM$4="לא",IF(BC39="לא בוגר",0,IF(BC39="לא קיים",0,IF(J39=0,0,I39*0.15))),IF(BC39="לא בוגר",0,IF(BC39="לא קיים",0,IF(AB39=1,I39*0.15,E39*0.5)))),0),IF('חד גזעי'!$AM$4="לא",IF(BC39="לא בוגר",0,IF(BC39="לא קיים",0,IF(J39=0,0,I39*0.15))),IF(BC39="לא בוגר",0,IF(BC39="לא קיים",0,IF(AB39=1,I39*0.15,E39*0.5))))))</f>
        <v>0</v>
      </c>
      <c r="V39">
        <f t="shared" si="25"/>
        <v>0</v>
      </c>
      <c r="W39">
        <f t="shared" si="26"/>
        <v>0</v>
      </c>
      <c r="X39">
        <f t="shared" si="27"/>
        <v>0</v>
      </c>
      <c r="Y39">
        <f>IF('חד גזעי'!$AM$2 = "לא",0,IF(F39&gt;9,W39,0))</f>
        <v>0</v>
      </c>
      <c r="Z39">
        <f>IF('חד גזעי'!$AM$7 = "לא",0,IF(C39 = "זית אירופי",IF('חד גזעי'!$AN$7 &lt;=סקר!F39,W39,0),IF(C39 = "חרוב מצוי",IF('חד גזעי'!$AN$7 &lt;=סקר!F39,W39,0),0)))</f>
        <v>0</v>
      </c>
      <c r="BE39">
        <f t="shared" si="31"/>
        <v>0</v>
      </c>
      <c r="BF39" s="211"/>
      <c r="BG39" s="211"/>
      <c r="BH39" s="211"/>
      <c r="BI39" s="211"/>
      <c r="BJ39" s="211"/>
      <c r="BK39" s="211"/>
    </row>
    <row r="40" spans="1:63" ht="12.75" customHeight="1">
      <c r="B40" s="208" t="s">
        <v>852</v>
      </c>
      <c r="C40" s="208"/>
      <c r="D40" s="208"/>
      <c r="E40" s="208"/>
      <c r="F40" s="208"/>
      <c r="G40" s="208"/>
      <c r="H40" s="208"/>
      <c r="I40" s="208"/>
      <c r="J40" s="208"/>
      <c r="K40" s="208"/>
      <c r="L40" s="208"/>
      <c r="M40" s="208"/>
      <c r="N40" s="208"/>
      <c r="O40" s="208"/>
      <c r="P40" s="208"/>
      <c r="Q40" s="208"/>
      <c r="R40" s="208"/>
      <c r="T40" s="72">
        <f>IF('חד גזעי'!$AM$6="לא",IF(P40=0,IF(BC40="שימור",IF('חד גזעי'!$AM$4="לא",IF(BC40="לא בוגר",0,IF(BC40="לא קיים",0,IF(J40=0,0,I40*0.1))),IF(BC40="לא בוגר",0,IF(BC40="לא קיים",0,IF(AB40=1,I40*0.1,E40*0.5)))),0),IF('חד גזעי'!$AM$4="לא",IF(BC40="לא בוגר",0,IF(BC40="לא קיים",0,IF(J40=0,0,I40*0.1))),IF(BC40="לא בוגר",0,IF(BC40="לא קיים",0,IF(AB40=1,I40*0.1,E40*0.5))))),IF(P40=0,IF(BC40="שימור",IF('חד גזעי'!$AM$4="לא",IF(BC40="לא בוגר",0,IF(BC40="לא קיים",0,IF(J40=0,0,I40*0.15))),IF(BC40="לא בוגר",0,IF(BC40="לא קיים",0,IF(AB40=1,I40*0.15,E40*0.5)))),0),IF('חד גזעי'!$AM$4="לא",IF(BC40="לא בוגר",0,IF(BC40="לא קיים",0,IF(J40=0,0,I40*0.15))),IF(BC40="לא בוגר",0,IF(BC40="לא קיים",0,IF(AB40=1,I40*0.15,E40*0.5))))))</f>
        <v>0</v>
      </c>
      <c r="V40">
        <f t="shared" si="25"/>
        <v>0</v>
      </c>
      <c r="W40">
        <f t="shared" si="26"/>
        <v>0</v>
      </c>
      <c r="X40">
        <f t="shared" si="27"/>
        <v>0</v>
      </c>
      <c r="Y40">
        <f>IF('חד גזעי'!$AM$2 = "לא",0,IF(F40&gt;9,W40,0))</f>
        <v>0</v>
      </c>
      <c r="Z40">
        <f>IF('חד גזעי'!$AM$7 = "לא",0,IF(C40 = "זית אירופי",IF('חד גזעי'!$AN$7 &lt;=סקר!F40,W40,0),IF(C40 = "חרוב מצוי",IF('חד גזעי'!$AN$7 &lt;=סקר!F40,W40,0),0)))</f>
        <v>0</v>
      </c>
      <c r="BE40">
        <f t="shared" si="31"/>
        <v>0</v>
      </c>
      <c r="BF40" s="212"/>
      <c r="BG40" s="212"/>
      <c r="BH40" s="212"/>
      <c r="BI40" s="212"/>
      <c r="BJ40" s="212"/>
      <c r="BK40" s="212"/>
    </row>
    <row r="41" spans="1:63" ht="12.75" hidden="1" customHeight="1">
      <c r="A41" s="129"/>
      <c r="B41" s="130"/>
      <c r="C41" s="130"/>
      <c r="D41" s="130"/>
      <c r="E41" s="130"/>
      <c r="F41" s="130"/>
      <c r="G41" s="130"/>
      <c r="H41" s="130"/>
      <c r="I41" s="130"/>
      <c r="J41" s="130"/>
      <c r="K41" s="130"/>
      <c r="L41" s="130"/>
      <c r="M41" s="130"/>
      <c r="N41" s="130"/>
      <c r="O41" s="130"/>
      <c r="P41" s="130"/>
      <c r="Q41" s="130"/>
      <c r="R41" s="130"/>
      <c r="S41" s="129"/>
      <c r="T41" s="72">
        <f>IF('חד גזעי'!$AM$6="לא",IF(P41=0,IF(BC41="שימור",IF('חד גזעי'!$AM$4="לא",IF(BC41="לא בוגר",0,IF(BC41="לא קיים",0,IF(J41=0,0,I41*0.1))),IF(BC41="לא בוגר",0,IF(BC41="לא קיים",0,IF(AB41=1,I41*0.1,E41*0.5)))),0),IF('חד גזעי'!$AM$4="לא",IF(BC41="לא בוגר",0,IF(BC41="לא קיים",0,IF(J41=0,0,I41*0.1))),IF(BC41="לא בוגר",0,IF(BC41="לא קיים",0,IF(AB41=1,I41*0.1,E41*0.5))))),IF(P41=0,IF(BC41="שימור",IF('חד גזעי'!$AM$4="לא",IF(BC41="לא בוגר",0,IF(BC41="לא קיים",0,IF(J41=0,0,I41*0.15))),IF(BC41="לא בוגר",0,IF(BC41="לא קיים",0,IF(AB41=1,I41*0.15,E41*0.5)))),0),IF('חד גזעי'!$AM$4="לא",IF(BC41="לא בוגר",0,IF(BC41="לא קיים",0,IF(J41=0,0,I41*0.15))),IF(BC41="לא בוגר",0,IF(BC41="לא קיים",0,IF(AB41=1,I41*0.15,E41*0.5))))))</f>
        <v>0</v>
      </c>
      <c r="U41" s="129"/>
      <c r="V41">
        <f t="shared" si="25"/>
        <v>0</v>
      </c>
      <c r="W41">
        <f t="shared" si="26"/>
        <v>0</v>
      </c>
      <c r="X41">
        <f t="shared" si="27"/>
        <v>0</v>
      </c>
      <c r="Y41">
        <f>IF('חד גזעי'!$AM$2 = "לא",0,IF(F41&gt;9,W41,0))</f>
        <v>0</v>
      </c>
      <c r="Z41">
        <f>IF('חד גזעי'!$AM$7 = "לא",0,IF(C41 = "זית אירופי",IF('חד גזעי'!$AN$7 &lt;=סקר!F41,W41,0),IF(C41 = "חרוב מצוי",IF('חד גזעי'!$AN$7 &lt;=סקר!F41,W41,0),0)))</f>
        <v>0</v>
      </c>
      <c r="AA41" s="129"/>
      <c r="AB41" s="129"/>
      <c r="AC41" s="129"/>
      <c r="AD41" s="129"/>
      <c r="AE41" s="129"/>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c r="BE41" s="129"/>
      <c r="BF41" s="129">
        <f>_xlfn.IFNA(_xlfn.IFNA(_xlfn.TEXTBEFORE(BF23,"--"),_xlfn.TEXTBEFORE(BF23,",")),BF23)</f>
        <v>0</v>
      </c>
      <c r="BG41" s="129">
        <f t="shared" ref="BG41:BK41" si="34">_xlfn.IFNA(_xlfn.IFNA(_xlfn.TEXTBEFORE(BG23,"--"),_xlfn.TEXTBEFORE(BG23,",")),BG23)</f>
        <v>0</v>
      </c>
      <c r="BH41" s="129">
        <f t="shared" si="34"/>
        <v>0</v>
      </c>
      <c r="BI41" s="129">
        <f t="shared" si="34"/>
        <v>0</v>
      </c>
      <c r="BJ41" s="129">
        <f t="shared" si="34"/>
        <v>0</v>
      </c>
      <c r="BK41" s="129">
        <f t="shared" si="34"/>
        <v>0</v>
      </c>
    </row>
    <row r="42" spans="1:63" ht="12.75" hidden="1" customHeight="1">
      <c r="A42" s="129"/>
      <c r="B42" s="130"/>
      <c r="C42" s="130"/>
      <c r="D42" s="130"/>
      <c r="E42" s="130"/>
      <c r="F42" s="130"/>
      <c r="G42" s="130"/>
      <c r="H42" s="130"/>
      <c r="I42" s="130"/>
      <c r="J42" s="130"/>
      <c r="K42" s="130"/>
      <c r="L42" s="130"/>
      <c r="M42" s="130"/>
      <c r="N42" s="130"/>
      <c r="O42" s="130"/>
      <c r="P42" s="130"/>
      <c r="Q42" s="130"/>
      <c r="R42" s="130"/>
      <c r="S42" s="129"/>
      <c r="T42" s="72">
        <f>IF('חד גזעי'!$AM$6="לא",IF(P42=0,IF(BC42="שימור",IF('חד גזעי'!$AM$4="לא",IF(BC42="לא בוגר",0,IF(BC42="לא קיים",0,IF(J42=0,0,I42*0.1))),IF(BC42="לא בוגר",0,IF(BC42="לא קיים",0,IF(AB42=1,I42*0.1,E42*0.5)))),0),IF('חד גזעי'!$AM$4="לא",IF(BC42="לא בוגר",0,IF(BC42="לא קיים",0,IF(J42=0,0,I42*0.1))),IF(BC42="לא בוגר",0,IF(BC42="לא קיים",0,IF(AB42=1,I42*0.1,E42*0.5))))),IF(P42=0,IF(BC42="שימור",IF('חד גזעי'!$AM$4="לא",IF(BC42="לא בוגר",0,IF(BC42="לא קיים",0,IF(J42=0,0,I42*0.15))),IF(BC42="לא בוגר",0,IF(BC42="לא קיים",0,IF(AB42=1,I42*0.15,E42*0.5)))),0),IF('חד גזעי'!$AM$4="לא",IF(BC42="לא בוגר",0,IF(BC42="לא קיים",0,IF(J42=0,0,I42*0.15))),IF(BC42="לא בוגר",0,IF(BC42="לא קיים",0,IF(AB42=1,I42*0.15,E42*0.5))))))</f>
        <v>0</v>
      </c>
      <c r="U42" s="129"/>
      <c r="V42">
        <f t="shared" si="25"/>
        <v>0</v>
      </c>
      <c r="W42">
        <f t="shared" si="26"/>
        <v>0</v>
      </c>
      <c r="X42">
        <f t="shared" si="27"/>
        <v>0</v>
      </c>
      <c r="Y42">
        <f>IF('חד גזעי'!$AM$2 = "לא",0,IF(F42&gt;9,W42,0))</f>
        <v>0</v>
      </c>
      <c r="Z42">
        <f>IF('חד גזעי'!$AM$7 = "לא",0,IF(C42 = "זית אירופי",IF('חד גזעי'!$AN$7 &lt;=סקר!F42,W42,0),IF(C42 = "חרוב מצוי",IF('חד גזעי'!$AN$7 &lt;=סקר!F42,W42,0),0)))</f>
        <v>0</v>
      </c>
      <c r="AA42" s="129"/>
      <c r="AB42" s="129"/>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c r="BE42" s="129"/>
      <c r="BF42" s="129" t="str">
        <f>"C:\Users\origr\Pictures\"&amp;BF41&amp;".jpg"</f>
        <v>C:\Users\origr\Pictures\0.jpg</v>
      </c>
      <c r="BG42" s="129" t="str">
        <f t="shared" ref="BG42:BK42" si="35">"C:\Users\origr\Pictures\"&amp;BG41&amp;".jpg"</f>
        <v>C:\Users\origr\Pictures\0.jpg</v>
      </c>
      <c r="BH42" s="129" t="str">
        <f t="shared" si="35"/>
        <v>C:\Users\origr\Pictures\0.jpg</v>
      </c>
      <c r="BI42" s="129" t="str">
        <f t="shared" si="35"/>
        <v>C:\Users\origr\Pictures\0.jpg</v>
      </c>
      <c r="BJ42" s="129" t="str">
        <f t="shared" si="35"/>
        <v>C:\Users\origr\Pictures\0.jpg</v>
      </c>
      <c r="BK42" s="129" t="str">
        <f t="shared" si="35"/>
        <v>C:\Users\origr\Pictures\0.jpg</v>
      </c>
    </row>
    <row r="43" spans="1:63" ht="12.75" customHeight="1">
      <c r="A43" s="129"/>
      <c r="B43" s="130"/>
      <c r="C43" s="130"/>
      <c r="D43" s="130"/>
      <c r="E43" s="130"/>
      <c r="F43" s="130"/>
      <c r="G43" s="130"/>
      <c r="H43" s="130"/>
      <c r="I43" s="130"/>
      <c r="J43" s="130"/>
      <c r="K43" s="130"/>
      <c r="L43" s="130"/>
      <c r="M43" s="130"/>
      <c r="N43" s="130"/>
      <c r="O43" s="130"/>
      <c r="P43" s="130"/>
      <c r="Q43" s="130"/>
      <c r="R43" s="130"/>
      <c r="S43" s="129"/>
      <c r="T43" s="72">
        <f>IF('חד גזעי'!$AM$6="לא",IF(P43=0,IF(BC43="שימור",IF('חד גזעי'!$AM$4="לא",IF(BC43="לא בוגר",0,IF(BC43="לא קיים",0,IF(J43=0,0,I43*0.1))),IF(BC43="לא בוגר",0,IF(BC43="לא קיים",0,IF(AB43=1,I43*0.1,E43*0.5)))),0),IF('חד גזעי'!$AM$4="לא",IF(BC43="לא בוגר",0,IF(BC43="לא קיים",0,IF(J43=0,0,I43*0.1))),IF(BC43="לא בוגר",0,IF(BC43="לא קיים",0,IF(AB43=1,I43*0.1,E43*0.5))))),IF(P43=0,IF(BC43="שימור",IF('חד גזעי'!$AM$4="לא",IF(BC43="לא בוגר",0,IF(BC43="לא קיים",0,IF(J43=0,0,I43*0.15))),IF(BC43="לא בוגר",0,IF(BC43="לא קיים",0,IF(AB43=1,I43*0.15,E43*0.5)))),0),IF('חד גזעי'!$AM$4="לא",IF(BC43="לא בוגר",0,IF(BC43="לא קיים",0,IF(J43=0,0,I43*0.15))),IF(BC43="לא בוגר",0,IF(BC43="לא קיים",0,IF(AB43=1,I43*0.15,E43*0.5))))))</f>
        <v>0</v>
      </c>
      <c r="U43" s="129"/>
      <c r="V43">
        <f t="shared" si="25"/>
        <v>0</v>
      </c>
      <c r="W43">
        <f t="shared" si="26"/>
        <v>0</v>
      </c>
      <c r="X43">
        <f t="shared" si="27"/>
        <v>0</v>
      </c>
      <c r="Y43">
        <f>IF('חד גזעי'!$AM$2 = "לא",0,IF(F43&gt;9,W43,0))</f>
        <v>0</v>
      </c>
      <c r="Z43">
        <f>IF('חד גזעי'!$AM$7 = "לא",0,IF(C43 = "זית אירופי",IF('חד גזעי'!$AN$7 &lt;=סקר!F43,W43,0),IF(C43 = "חרוב מצוי",IF('חד גזעי'!$AN$7 &lt;=סקר!F43,W43,0),0)))</f>
        <v>0</v>
      </c>
      <c r="AA43" s="129"/>
      <c r="AB43" s="129"/>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c r="BE43" s="129"/>
      <c r="BF43" s="129" t="str">
        <f>BF42</f>
        <v>C:\Users\origr\Pictures\0.jpg</v>
      </c>
      <c r="BG43" s="129" t="str">
        <f t="shared" ref="BG43:BK43" si="36">BG42</f>
        <v>C:\Users\origr\Pictures\0.jpg</v>
      </c>
      <c r="BH43" s="129" t="str">
        <f t="shared" si="36"/>
        <v>C:\Users\origr\Pictures\0.jpg</v>
      </c>
      <c r="BI43" s="129" t="str">
        <f t="shared" si="36"/>
        <v>C:\Users\origr\Pictures\0.jpg</v>
      </c>
      <c r="BJ43" s="129" t="str">
        <f t="shared" si="36"/>
        <v>C:\Users\origr\Pictures\0.jpg</v>
      </c>
      <c r="BK43" s="129" t="str">
        <f t="shared" si="36"/>
        <v>C:\Users\origr\Pictures\0.jpg</v>
      </c>
    </row>
    <row r="44" spans="1:63" hidden="1">
      <c r="T44" s="72">
        <f>IF('חד גזעי'!$AM$6="לא",IF(P44=0,IF(BC44="שימור",IF('חד גזעי'!$AM$4="לא",IF(BC44="לא בוגר",0,IF(BC44="לא קיים",0,IF(J44=0,0,I44*0.1))),IF(BC44="לא בוגר",0,IF(BC44="לא קיים",0,IF(AB44=1,I44*0.1,E44*0.5)))),0),IF('חד גזעי'!$AM$4="לא",IF(BC44="לא בוגר",0,IF(BC44="לא קיים",0,IF(J44=0,0,I44*0.1))),IF(BC44="לא בוגר",0,IF(BC44="לא קיים",0,IF(AB44=1,I44*0.1,E44*0.5))))),IF(P44=0,IF(BC44="שימור",IF('חד גזעי'!$AM$4="לא",IF(BC44="לא בוגר",0,IF(BC44="לא קיים",0,IF(J44=0,0,I44*0.15))),IF(BC44="לא בוגר",0,IF(BC44="לא קיים",0,IF(AB44=1,I44*0.15,E44*0.5)))),0),IF('חד גזעי'!$AM$4="לא",IF(BC44="לא בוגר",0,IF(BC44="לא קיים",0,IF(J44=0,0,I44*0.15))),IF(BC44="לא בוגר",0,IF(BC44="לא קיים",0,IF(AB44=1,I44*0.15,E44*0.5))))))</f>
        <v>0</v>
      </c>
      <c r="V44">
        <f t="shared" si="25"/>
        <v>0</v>
      </c>
      <c r="W44">
        <f t="shared" si="26"/>
        <v>0</v>
      </c>
      <c r="X44">
        <f t="shared" si="27"/>
        <v>0</v>
      </c>
      <c r="Y44">
        <f>IF('חד גזעי'!$AM$2 = "לא",0,IF(F44&gt;9,W44,0))</f>
        <v>0</v>
      </c>
      <c r="Z44">
        <f>IF('חד גזעי'!$AM$7 = "לא",0,IF(C44 = "זית אירופי",IF('חד גזעי'!$AN$7 &lt;=סקר!F44,W44,0),IF(C44 = "חרוב מצוי",IF('חד גזעי'!$AN$7 &lt;=סקר!F44,W44,0),0)))</f>
        <v>0</v>
      </c>
    </row>
    <row r="45" spans="1:63" ht="14.25" hidden="1">
      <c r="B45" s="71"/>
      <c r="C45" s="69"/>
      <c r="Q45" s="86"/>
      <c r="T45" s="72">
        <f>IF('חד גזעי'!$AM$6="לא",IF(P45=0,IF(BC45="שימור",IF('חד גזעי'!$AM$4="לא",IF(BC45="לא בוגר",0,IF(BC45="לא קיים",0,IF(J45=0,0,I45*0.1))),IF(BC45="לא בוגר",0,IF(BC45="לא קיים",0,IF(AB45=1,I45*0.1,E45*0.5)))),0),IF('חד גזעי'!$AM$4="לא",IF(BC45="לא בוגר",0,IF(BC45="לא קיים",0,IF(J45=0,0,I45*0.1))),IF(BC45="לא בוגר",0,IF(BC45="לא קיים",0,IF(AB45=1,I45*0.1,E45*0.5))))),IF(P45=0,IF(BC45="שימור",IF('חד גזעי'!$AM$4="לא",IF(BC45="לא בוגר",0,IF(BC45="לא קיים",0,IF(J45=0,0,I45*0.15))),IF(BC45="לא בוגר",0,IF(BC45="לא קיים",0,IF(AB45=1,I45*0.15,E45*0.5)))),0),IF('חד גזעי'!$AM$4="לא",IF(BC45="לא בוגר",0,IF(BC45="לא קיים",0,IF(J45=0,0,I45*0.15))),IF(BC45="לא בוגר",0,IF(BC45="לא קיים",0,IF(AB45=1,I45*0.15,E45*0.5))))))</f>
        <v>0</v>
      </c>
      <c r="V45">
        <f t="shared" si="25"/>
        <v>0</v>
      </c>
      <c r="W45">
        <f t="shared" si="26"/>
        <v>0</v>
      </c>
      <c r="X45">
        <f t="shared" si="27"/>
        <v>0</v>
      </c>
      <c r="Y45">
        <f>IF('חד גזעי'!$AM$2 = "לא",0,IF(F45&gt;9,W45,0))</f>
        <v>0</v>
      </c>
      <c r="Z45">
        <f>IF('חד גזעי'!$AM$7 = "לא",0,IF(C45 = "זית אירופי",IF('חד גזעי'!$AN$7 &lt;=סקר!F45,W45,0),IF(C45 = "חרוב מצוי",IF('חד גזעי'!$AN$7 &lt;=סקר!F45,W45,0),0)))</f>
        <v>0</v>
      </c>
      <c r="AD45" s="69" t="s">
        <v>807</v>
      </c>
    </row>
    <row r="46" spans="1:63" ht="14.25" hidden="1">
      <c r="A46" s="129"/>
      <c r="B46" s="132"/>
      <c r="C46" s="133"/>
      <c r="D46" s="129"/>
      <c r="E46" s="129"/>
      <c r="F46" s="129"/>
      <c r="G46" s="129"/>
      <c r="H46" s="129"/>
      <c r="I46" s="129"/>
      <c r="J46" s="129"/>
      <c r="K46" s="129"/>
      <c r="L46" s="129"/>
      <c r="M46" s="129"/>
      <c r="N46" s="129"/>
      <c r="O46" s="129"/>
      <c r="P46" s="129"/>
      <c r="Q46" s="134"/>
      <c r="R46" s="129"/>
      <c r="S46" s="129"/>
      <c r="T46" s="72">
        <f>IF('חד גזעי'!$AM$6="לא",IF(P46=0,IF(BC46="שימור",IF('חד גזעי'!$AM$4="לא",IF(BC46="לא בוגר",0,IF(BC46="לא קיים",0,IF(J46=0,0,I46*0.1))),IF(BC46="לא בוגר",0,IF(BC46="לא קיים",0,IF(AB46=1,I46*0.1,E46*0.5)))),0),IF('חד גזעי'!$AM$4="לא",IF(BC46="לא בוגר",0,IF(BC46="לא קיים",0,IF(J46=0,0,I46*0.1))),IF(BC46="לא בוגר",0,IF(BC46="לא קיים",0,IF(AB46=1,I46*0.1,E46*0.5))))),IF(P46=0,IF(BC46="שימור",IF('חד גזעי'!$AM$4="לא",IF(BC46="לא בוגר",0,IF(BC46="לא קיים",0,IF(J46=0,0,I46*0.15))),IF(BC46="לא בוגר",0,IF(BC46="לא קיים",0,IF(AB46=1,I46*0.15,E46*0.5)))),0),IF('חד גזעי'!$AM$4="לא",IF(BC46="לא בוגר",0,IF(BC46="לא קיים",0,IF(J46=0,0,I46*0.15))),IF(BC46="לא בוגר",0,IF(BC46="לא קיים",0,IF(AB46=1,I46*0.15,E46*0.5))))))</f>
        <v>0</v>
      </c>
      <c r="U46" s="129"/>
      <c r="V46">
        <f t="shared" si="25"/>
        <v>0</v>
      </c>
      <c r="W46">
        <f t="shared" si="26"/>
        <v>0</v>
      </c>
      <c r="X46">
        <f t="shared" si="27"/>
        <v>0</v>
      </c>
      <c r="Y46">
        <f>IF('חד גזעי'!$AM$2 = "לא",0,IF(F46&gt;9,W46,0))</f>
        <v>0</v>
      </c>
      <c r="Z46">
        <f>IF('חד גזעי'!$AM$7 = "לא",0,IF(C46 = "זית אירופי",IF('חד גזעי'!$AN$7 &lt;=סקר!F46,W46,0),IF(C46 = "חרוב מצוי",IF('חד גזעי'!$AN$7 &lt;=סקר!F46,W46,0),0)))</f>
        <v>0</v>
      </c>
      <c r="AA46" s="129"/>
      <c r="AB46" s="129"/>
      <c r="AC46" s="129"/>
      <c r="AD46" s="133"/>
      <c r="AE46" s="129"/>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c r="BE46" s="129"/>
      <c r="BF46" s="129">
        <f>_xlfn.IFNA(_xlfn.IFNA(_xlfn.TEXTBEFORE(BF50,"--"),_xlfn.TEXTBEFORE(BF50,",")),BF50)</f>
        <v>0</v>
      </c>
      <c r="BG46" s="129">
        <f t="shared" ref="BG46:BK46" si="37">_xlfn.IFNA(_xlfn.IFNA(_xlfn.TEXTBEFORE(BG50,"--"),_xlfn.TEXTBEFORE(BG50,",")),BG50)</f>
        <v>0</v>
      </c>
      <c r="BH46" s="129">
        <f t="shared" si="37"/>
        <v>0</v>
      </c>
      <c r="BI46" s="129">
        <f t="shared" si="37"/>
        <v>0</v>
      </c>
      <c r="BJ46" s="129">
        <f t="shared" si="37"/>
        <v>0</v>
      </c>
      <c r="BK46" s="129">
        <f t="shared" si="37"/>
        <v>0</v>
      </c>
    </row>
    <row r="47" spans="1:63" ht="14.25" hidden="1">
      <c r="A47" s="129"/>
      <c r="B47" s="132"/>
      <c r="C47" s="133"/>
      <c r="D47" s="129"/>
      <c r="E47" s="129"/>
      <c r="F47" s="129"/>
      <c r="G47" s="129"/>
      <c r="H47" s="129"/>
      <c r="I47" s="129"/>
      <c r="J47" s="129"/>
      <c r="K47" s="129"/>
      <c r="L47" s="129"/>
      <c r="M47" s="129"/>
      <c r="N47" s="129"/>
      <c r="O47" s="129"/>
      <c r="P47" s="129"/>
      <c r="Q47" s="134"/>
      <c r="R47" s="129"/>
      <c r="S47" s="129"/>
      <c r="T47" s="72">
        <f>IF('חד גזעי'!$AM$6="לא",IF(P47=0,IF(BC47="שימור",IF('חד גזעי'!$AM$4="לא",IF(BC47="לא בוגר",0,IF(BC47="לא קיים",0,IF(J47=0,0,I47*0.1))),IF(BC47="לא בוגר",0,IF(BC47="לא קיים",0,IF(AB47=1,I47*0.1,E47*0.5)))),0),IF('חד גזעי'!$AM$4="לא",IF(BC47="לא בוגר",0,IF(BC47="לא קיים",0,IF(J47=0,0,I47*0.1))),IF(BC47="לא בוגר",0,IF(BC47="לא קיים",0,IF(AB47=1,I47*0.1,E47*0.5))))),IF(P47=0,IF(BC47="שימור",IF('חד גזעי'!$AM$4="לא",IF(BC47="לא בוגר",0,IF(BC47="לא קיים",0,IF(J47=0,0,I47*0.15))),IF(BC47="לא בוגר",0,IF(BC47="לא קיים",0,IF(AB47=1,I47*0.15,E47*0.5)))),0),IF('חד גזעי'!$AM$4="לא",IF(BC47="לא בוגר",0,IF(BC47="לא קיים",0,IF(J47=0,0,I47*0.15))),IF(BC47="לא בוגר",0,IF(BC47="לא קיים",0,IF(AB47=1,I47*0.15,E47*0.5))))))</f>
        <v>0</v>
      </c>
      <c r="U47" s="129"/>
      <c r="V47">
        <f t="shared" si="25"/>
        <v>0</v>
      </c>
      <c r="W47">
        <f t="shared" si="26"/>
        <v>0</v>
      </c>
      <c r="X47">
        <f t="shared" si="27"/>
        <v>0</v>
      </c>
      <c r="Y47">
        <f>IF('חד גזעי'!$AM$2 = "לא",0,IF(F47&gt;9,W47,0))</f>
        <v>0</v>
      </c>
      <c r="Z47">
        <f>IF('חד גזעי'!$AM$7 = "לא",0,IF(C47 = "זית אירופי",IF('חד גזעי'!$AN$7 &lt;=סקר!F47,W47,0),IF(C47 = "חרוב מצוי",IF('חד גזעי'!$AN$7 &lt;=סקר!F47,W47,0),0)))</f>
        <v>0</v>
      </c>
      <c r="AA47" s="129"/>
      <c r="AB47" s="129"/>
      <c r="AC47" s="129"/>
      <c r="AD47" s="133"/>
      <c r="AE47" s="129"/>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c r="BE47" s="129"/>
      <c r="BF47" s="129" t="str">
        <f>"C:\Users\origr\Pictures\"&amp;BF46&amp;".jpg"</f>
        <v>C:\Users\origr\Pictures\0.jpg</v>
      </c>
      <c r="BG47" s="129" t="str">
        <f t="shared" ref="BG47" si="38">"C:\Users\origr\Pictures\"&amp;BG46&amp;".jpg"</f>
        <v>C:\Users\origr\Pictures\0.jpg</v>
      </c>
      <c r="BH47" s="129" t="str">
        <f t="shared" ref="BH47" si="39">"C:\Users\origr\Pictures\"&amp;BH46&amp;".jpg"</f>
        <v>C:\Users\origr\Pictures\0.jpg</v>
      </c>
      <c r="BI47" s="129" t="str">
        <f t="shared" ref="BI47" si="40">"C:\Users\origr\Pictures\"&amp;BI46&amp;".jpg"</f>
        <v>C:\Users\origr\Pictures\0.jpg</v>
      </c>
      <c r="BJ47" s="129" t="str">
        <f t="shared" ref="BJ47" si="41">"C:\Users\origr\Pictures\"&amp;BJ46&amp;".jpg"</f>
        <v>C:\Users\origr\Pictures\0.jpg</v>
      </c>
      <c r="BK47" s="129" t="str">
        <f t="shared" ref="BK47" si="42">"C:\Users\origr\Pictures\"&amp;BK46&amp;".jpg"</f>
        <v>C:\Users\origr\Pictures\0.jpg</v>
      </c>
    </row>
    <row r="48" spans="1:63" ht="14.25" hidden="1">
      <c r="A48" s="129"/>
      <c r="B48" s="132"/>
      <c r="C48" s="133"/>
      <c r="D48" s="129"/>
      <c r="E48" s="129"/>
      <c r="F48" s="129"/>
      <c r="G48" s="129"/>
      <c r="H48" s="129"/>
      <c r="I48" s="129"/>
      <c r="J48" s="129"/>
      <c r="K48" s="129"/>
      <c r="L48" s="129"/>
      <c r="M48" s="129"/>
      <c r="N48" s="129"/>
      <c r="O48" s="129"/>
      <c r="P48" s="129"/>
      <c r="Q48" s="134"/>
      <c r="R48" s="129"/>
      <c r="S48" s="129"/>
      <c r="T48" s="72">
        <f>IF('חד גזעי'!$AM$6="לא",IF(P48=0,IF(BC48="שימור",IF('חד גזעי'!$AM$4="לא",IF(BC48="לא בוגר",0,IF(BC48="לא קיים",0,IF(J48=0,0,I48*0.1))),IF(BC48="לא בוגר",0,IF(BC48="לא קיים",0,IF(AB48=1,I48*0.1,E48*0.5)))),0),IF('חד גזעי'!$AM$4="לא",IF(BC48="לא בוגר",0,IF(BC48="לא קיים",0,IF(J48=0,0,I48*0.1))),IF(BC48="לא בוגר",0,IF(BC48="לא קיים",0,IF(AB48=1,I48*0.1,E48*0.5))))),IF(P48=0,IF(BC48="שימור",IF('חד גזעי'!$AM$4="לא",IF(BC48="לא בוגר",0,IF(BC48="לא קיים",0,IF(J48=0,0,I48*0.15))),IF(BC48="לא בוגר",0,IF(BC48="לא קיים",0,IF(AB48=1,I48*0.15,E48*0.5)))),0),IF('חד גזעי'!$AM$4="לא",IF(BC48="לא בוגר",0,IF(BC48="לא קיים",0,IF(J48=0,0,I48*0.15))),IF(BC48="לא בוגר",0,IF(BC48="לא קיים",0,IF(AB48=1,I48*0.15,E48*0.5))))))</f>
        <v>0</v>
      </c>
      <c r="U48" s="129"/>
      <c r="V48">
        <f t="shared" si="25"/>
        <v>0</v>
      </c>
      <c r="W48">
        <f t="shared" si="26"/>
        <v>0</v>
      </c>
      <c r="X48">
        <f t="shared" si="27"/>
        <v>0</v>
      </c>
      <c r="Y48">
        <f>IF('חד גזעי'!$AM$2 = "לא",0,IF(F48&gt;9,W48,0))</f>
        <v>0</v>
      </c>
      <c r="Z48">
        <f>IF('חד גזעי'!$AM$7 = "לא",0,IF(C48 = "זית אירופי",IF('חד גזעי'!$AN$7 &lt;=סקר!F48,W48,0),IF(C48 = "חרוב מצוי",IF('חד גזעי'!$AN$7 &lt;=סקר!F48,W48,0),0)))</f>
        <v>0</v>
      </c>
      <c r="AA48" s="129"/>
      <c r="AB48" s="129"/>
      <c r="AC48" s="129"/>
      <c r="AD48" s="133"/>
      <c r="AE48" s="129"/>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c r="BE48" s="129"/>
      <c r="BF48" s="129" t="str">
        <f>BF47</f>
        <v>C:\Users\origr\Pictures\0.jpg</v>
      </c>
      <c r="BG48" s="129" t="str">
        <f t="shared" ref="BG48" si="43">BG47</f>
        <v>C:\Users\origr\Pictures\0.jpg</v>
      </c>
      <c r="BH48" s="129" t="str">
        <f t="shared" ref="BH48" si="44">BH47</f>
        <v>C:\Users\origr\Pictures\0.jpg</v>
      </c>
      <c r="BI48" s="129" t="str">
        <f t="shared" ref="BI48" si="45">BI47</f>
        <v>C:\Users\origr\Pictures\0.jpg</v>
      </c>
      <c r="BJ48" s="129" t="str">
        <f t="shared" ref="BJ48" si="46">BJ47</f>
        <v>C:\Users\origr\Pictures\0.jpg</v>
      </c>
      <c r="BK48" s="129" t="str">
        <f t="shared" ref="BK48" si="47">BK47</f>
        <v>C:\Users\origr\Pictures\0.jpg</v>
      </c>
    </row>
    <row r="49" spans="2:63" ht="23.25" hidden="1">
      <c r="B49" s="206"/>
      <c r="C49" s="206"/>
      <c r="D49" s="206"/>
      <c r="E49" s="206"/>
      <c r="F49" s="206"/>
      <c r="G49" s="206"/>
      <c r="H49" s="206"/>
      <c r="I49" s="206"/>
      <c r="J49" s="206"/>
      <c r="K49" s="206"/>
      <c r="L49" s="206"/>
      <c r="M49" s="206"/>
      <c r="N49" s="206"/>
      <c r="O49" s="206"/>
      <c r="P49" s="206"/>
      <c r="Q49" s="206"/>
      <c r="R49" s="206"/>
      <c r="T49" s="72">
        <f>IF('חד גזעי'!$AM$6="לא",IF(P49=0,IF(BC49="שימור",IF('חד גזעי'!$AM$4="לא",IF(BC49="לא בוגר",0,IF(BC49="לא קיים",0,IF(J49=0,0,I49*0.1))),IF(BC49="לא בוגר",0,IF(BC49="לא קיים",0,IF(AB49=1,I49*0.1,E49*0.5)))),0),IF('חד גזעי'!$AM$4="לא",IF(BC49="לא בוגר",0,IF(BC49="לא קיים",0,IF(J49=0,0,I49*0.1))),IF(BC49="לא בוגר",0,IF(BC49="לא קיים",0,IF(AB49=1,I49*0.1,E49*0.5))))),IF(P49=0,IF(BC49="שימור",IF('חד גזעי'!$AM$4="לא",IF(BC49="לא בוגר",0,IF(BC49="לא קיים",0,IF(J49=0,0,I49*0.15))),IF(BC49="לא בוגר",0,IF(BC49="לא קיים",0,IF(AB49=1,I49*0.15,E49*0.5)))),0),IF('חד גזעי'!$AM$4="לא",IF(BC49="לא בוגר",0,IF(BC49="לא קיים",0,IF(J49=0,0,I49*0.15))),IF(BC49="לא בוגר",0,IF(BC49="לא קיים",0,IF(AB49=1,I49*0.15,E49*0.5))))))</f>
        <v>0</v>
      </c>
      <c r="V49">
        <f t="shared" si="25"/>
        <v>0</v>
      </c>
      <c r="W49">
        <f t="shared" si="26"/>
        <v>0</v>
      </c>
      <c r="X49">
        <f t="shared" si="27"/>
        <v>0</v>
      </c>
      <c r="Y49">
        <f>IF('חד גזעי'!$AM$2 = "לא",0,IF(F49&gt;9,W49,0))</f>
        <v>0</v>
      </c>
      <c r="Z49">
        <f>IF('חד גזעי'!$AM$7 = "לא",0,IF(C49 = "זית אירופי",IF('חד גזעי'!$AN$7 &lt;=סקר!F49,W49,0),IF(C49 = "חרוב מצוי",IF('חד גזעי'!$AN$7 &lt;=סקר!F49,W49,0),0)))</f>
        <v>0</v>
      </c>
    </row>
    <row r="50" spans="2:63" ht="12.75" hidden="1" customHeight="1">
      <c r="B50" s="197" t="s">
        <v>738</v>
      </c>
      <c r="C50" s="197" t="s">
        <v>739</v>
      </c>
      <c r="D50" s="197" t="s">
        <v>740</v>
      </c>
      <c r="E50" s="197" t="s">
        <v>741</v>
      </c>
      <c r="F50" s="200" t="s">
        <v>759</v>
      </c>
      <c r="G50" s="203" t="s">
        <v>760</v>
      </c>
      <c r="H50" s="203" t="s">
        <v>761</v>
      </c>
      <c r="I50" s="197" t="s">
        <v>742</v>
      </c>
      <c r="J50" s="197" t="s">
        <v>743</v>
      </c>
      <c r="K50" s="197" t="s">
        <v>744</v>
      </c>
      <c r="L50" s="197" t="s">
        <v>745</v>
      </c>
      <c r="M50" s="197" t="s">
        <v>746</v>
      </c>
      <c r="N50" s="197" t="s">
        <v>747</v>
      </c>
      <c r="O50" s="197" t="s">
        <v>748</v>
      </c>
      <c r="P50" s="197" t="s">
        <v>749</v>
      </c>
      <c r="Q50" s="197" t="s">
        <v>750</v>
      </c>
      <c r="R50" s="197" t="s">
        <v>751</v>
      </c>
      <c r="T50" s="72" t="e">
        <f>IF('חד גזעי'!$AM$6="לא",IF(P50=0,IF(BC50="שימור",IF('חד גזעי'!$AM$4="לא",IF(BC50="לא בוגר",0,IF(BC50="לא קיים",0,IF(J50=0,0,I50*0.1))),IF(BC50="לא בוגר",0,IF(BC50="לא קיים",0,IF(AB50=1,I50*0.1,E50*0.5)))),0),IF('חד גזעי'!$AM$4="לא",IF(BC50="לא בוגר",0,IF(BC50="לא קיים",0,IF(J50=0,0,I50*0.1))),IF(BC50="לא בוגר",0,IF(BC50="לא קיים",0,IF(AB50=1,I50*0.1,E50*0.5))))),IF(P50=0,IF(BC50="שימור",IF('חד גזעי'!$AM$4="לא",IF(BC50="לא בוגר",0,IF(BC50="לא קיים",0,IF(J50=0,0,I50*0.15))),IF(BC50="לא בוגר",0,IF(BC50="לא קיים",0,IF(AB50=1,I50*0.15,E50*0.5)))),0),IF('חד גזעי'!$AM$4="לא",IF(BC50="לא בוגר",0,IF(BC50="לא קיים",0,IF(J50=0,0,I50*0.15))),IF(BC50="לא בוגר",0,IF(BC50="לא קיים",0,IF(AB50=1,I50*0.15,E50*0.5))))))</f>
        <v>#VALUE!</v>
      </c>
      <c r="V50">
        <f t="shared" si="25"/>
        <v>0</v>
      </c>
      <c r="W50" t="e">
        <f t="shared" si="26"/>
        <v>#VALUE!</v>
      </c>
      <c r="X50">
        <f t="shared" si="27"/>
        <v>0</v>
      </c>
      <c r="Y50">
        <f>IF('חד גזעי'!$AM$2 = "לא",0,IF(F50&gt;9,W50,0))</f>
        <v>0</v>
      </c>
      <c r="Z50">
        <f>IF('חד גזעי'!$AM$7 = "לא",0,IF(C50 = "זית אירופי",IF('חד גזעי'!$AN$7 &lt;=סקר!F50,W50,0),IF(C50 = "חרוב מצוי",IF('חד גזעי'!$AN$7 &lt;=סקר!F50,W50,0),0)))</f>
        <v>0</v>
      </c>
      <c r="AC50" s="101"/>
      <c r="AD50" s="103"/>
      <c r="AE50" s="103"/>
      <c r="AF50" s="103"/>
      <c r="AG50" s="103"/>
      <c r="AH50" s="103"/>
      <c r="AI50" s="103"/>
      <c r="AJ50" s="103"/>
      <c r="AK50" s="83"/>
      <c r="AM50" s="73"/>
      <c r="AN50" s="73"/>
      <c r="AO50" s="73"/>
      <c r="AS50" s="197" t="s">
        <v>738</v>
      </c>
      <c r="AT50" s="197" t="s">
        <v>739</v>
      </c>
      <c r="AU50" s="197" t="s">
        <v>740</v>
      </c>
      <c r="AV50" s="197" t="s">
        <v>741</v>
      </c>
      <c r="AW50" s="203" t="s">
        <v>759</v>
      </c>
      <c r="AX50" s="203" t="s">
        <v>760</v>
      </c>
      <c r="AY50" s="203" t="s">
        <v>761</v>
      </c>
      <c r="AZ50" s="197" t="s">
        <v>812</v>
      </c>
      <c r="BA50" s="197" t="s">
        <v>817</v>
      </c>
      <c r="BB50" s="197" t="s">
        <v>805</v>
      </c>
      <c r="BC50" s="197" t="s">
        <v>806</v>
      </c>
      <c r="BE50">
        <f>IF(BC50="לא נדרש ברישיון",1,0)</f>
        <v>0</v>
      </c>
      <c r="BF50" s="72"/>
      <c r="BG50" s="72"/>
      <c r="BH50" s="72"/>
      <c r="BI50" s="72"/>
      <c r="BJ50" s="72"/>
      <c r="BK50" s="72"/>
    </row>
    <row r="51" spans="2:63" ht="12.75" hidden="1" customHeight="1">
      <c r="B51" s="198"/>
      <c r="C51" s="198"/>
      <c r="D51" s="198"/>
      <c r="E51" s="198"/>
      <c r="F51" s="201"/>
      <c r="G51" s="204"/>
      <c r="H51" s="204"/>
      <c r="I51" s="198"/>
      <c r="J51" s="198"/>
      <c r="K51" s="198"/>
      <c r="L51" s="198"/>
      <c r="M51" s="198"/>
      <c r="N51" s="198"/>
      <c r="O51" s="198"/>
      <c r="P51" s="198"/>
      <c r="Q51" s="198"/>
      <c r="R51" s="198"/>
      <c r="T51" s="72">
        <f>IF('חד גזעי'!$AM$6="לא",IF(P51=0,IF(BC51="שימור",IF('חד גזעי'!$AM$4="לא",IF(BC51="לא בוגר",0,IF(BC51="לא קיים",0,IF(J51=0,0,I51*0.1))),IF(BC51="לא בוגר",0,IF(BC51="לא קיים",0,IF(AB51=1,I51*0.1,E51*0.5)))),0),IF('חד גזעי'!$AM$4="לא",IF(BC51="לא בוגר",0,IF(BC51="לא קיים",0,IF(J51=0,0,I51*0.1))),IF(BC51="לא בוגר",0,IF(BC51="לא קיים",0,IF(AB51=1,I51*0.1,E51*0.5))))),IF(P51=0,IF(BC51="שימור",IF('חד גזעי'!$AM$4="לא",IF(BC51="לא בוגר",0,IF(BC51="לא קיים",0,IF(J51=0,0,I51*0.15))),IF(BC51="לא בוגר",0,IF(BC51="לא קיים",0,IF(AB51=1,I51*0.15,E51*0.5)))),0),IF('חד גזעי'!$AM$4="לא",IF(BC51="לא בוגר",0,IF(BC51="לא קיים",0,IF(J51=0,0,I51*0.15))),IF(BC51="לא בוגר",0,IF(BC51="לא קיים",0,IF(AB51=1,I51*0.15,E51*0.5))))))</f>
        <v>0</v>
      </c>
      <c r="V51">
        <f t="shared" si="25"/>
        <v>0</v>
      </c>
      <c r="W51">
        <f t="shared" si="26"/>
        <v>0</v>
      </c>
      <c r="X51">
        <f t="shared" si="27"/>
        <v>0</v>
      </c>
      <c r="Y51">
        <f>IF('חד גזעי'!$AM$2 = "לא",0,IF(F51&gt;9,W51,0))</f>
        <v>0</v>
      </c>
      <c r="Z51">
        <f>IF('חד גזעי'!$AM$7 = "לא",0,IF(C51 = "זית אירופי",IF('חד גזעי'!$AN$7 &lt;=סקר!F51,W51,0),IF(C51 = "חרוב מצוי",IF('חד גזעי'!$AN$7 &lt;=סקר!F51,W51,0),0)))</f>
        <v>0</v>
      </c>
      <c r="AC51" s="101"/>
      <c r="AD51" s="103"/>
      <c r="AE51" s="103"/>
      <c r="AF51" s="103"/>
      <c r="AG51" s="103"/>
      <c r="AH51" s="103"/>
      <c r="AI51" s="103"/>
      <c r="AJ51" s="103"/>
      <c r="AK51" s="83"/>
      <c r="AM51" s="73"/>
      <c r="AN51" s="73"/>
      <c r="AO51" s="73"/>
      <c r="AS51" s="198"/>
      <c r="AT51" s="198"/>
      <c r="AU51" s="198"/>
      <c r="AV51" s="198"/>
      <c r="AW51" s="204"/>
      <c r="AX51" s="204"/>
      <c r="AY51" s="204"/>
      <c r="AZ51" s="198"/>
      <c r="BA51" s="198"/>
      <c r="BB51" s="198"/>
      <c r="BC51" s="198"/>
      <c r="BD51" s="87"/>
      <c r="BE51">
        <f t="shared" ref="BE51:BE85" si="48">IF(BC51="לא נדרש ברישיון",1,0)</f>
        <v>0</v>
      </c>
      <c r="BF51" s="196" t="str">
        <f>BF48</f>
        <v>C:\Users\origr\Pictures\0.jpg</v>
      </c>
      <c r="BG51" s="196" t="str">
        <f t="shared" ref="BG51:BK51" si="49">BG48</f>
        <v>C:\Users\origr\Pictures\0.jpg</v>
      </c>
      <c r="BH51" s="196" t="str">
        <f t="shared" si="49"/>
        <v>C:\Users\origr\Pictures\0.jpg</v>
      </c>
      <c r="BI51" s="196" t="str">
        <f t="shared" si="49"/>
        <v>C:\Users\origr\Pictures\0.jpg</v>
      </c>
      <c r="BJ51" s="196" t="str">
        <f t="shared" si="49"/>
        <v>C:\Users\origr\Pictures\0.jpg</v>
      </c>
      <c r="BK51" s="196" t="str">
        <f t="shared" si="49"/>
        <v>C:\Users\origr\Pictures\0.jpg</v>
      </c>
    </row>
    <row r="52" spans="2:63" ht="12.75" hidden="1" customHeight="1">
      <c r="B52" s="199"/>
      <c r="C52" s="199"/>
      <c r="D52" s="199"/>
      <c r="E52" s="199"/>
      <c r="F52" s="202"/>
      <c r="G52" s="205"/>
      <c r="H52" s="205"/>
      <c r="I52" s="199"/>
      <c r="J52" s="199"/>
      <c r="K52" s="199"/>
      <c r="L52" s="199"/>
      <c r="M52" s="199"/>
      <c r="N52" s="199"/>
      <c r="O52" s="199"/>
      <c r="P52" s="199"/>
      <c r="Q52" s="199"/>
      <c r="R52" s="199"/>
      <c r="T52" s="72">
        <f>IF('חד גזעי'!$AM$6="לא",IF(P52=0,IF(BC52="שימור",IF('חד גזעי'!$AM$4="לא",IF(BC52="לא בוגר",0,IF(BC52="לא קיים",0,IF(J52=0,0,I52*0.1))),IF(BC52="לא בוגר",0,IF(BC52="לא קיים",0,IF(AB52=1,I52*0.1,E52*0.5)))),0),IF('חד גזעי'!$AM$4="לא",IF(BC52="לא בוגר",0,IF(BC52="לא קיים",0,IF(J52=0,0,I52*0.1))),IF(BC52="לא בוגר",0,IF(BC52="לא קיים",0,IF(AB52=1,I52*0.1,E52*0.5))))),IF(P52=0,IF(BC52="שימור",IF('חד גזעי'!$AM$4="לא",IF(BC52="לא בוגר",0,IF(BC52="לא קיים",0,IF(J52=0,0,I52*0.15))),IF(BC52="לא בוגר",0,IF(BC52="לא קיים",0,IF(AB52=1,I52*0.15,E52*0.5)))),0),IF('חד גזעי'!$AM$4="לא",IF(BC52="לא בוגר",0,IF(BC52="לא קיים",0,IF(J52=0,0,I52*0.15))),IF(BC52="לא בוגר",0,IF(BC52="לא קיים",0,IF(AB52=1,I52*0.15,E52*0.5))))))</f>
        <v>0</v>
      </c>
      <c r="V52" t="str">
        <f t="shared" si="25"/>
        <v>שווי דקל</v>
      </c>
      <c r="W52" t="str">
        <f t="shared" si="26"/>
        <v>שווי דקל</v>
      </c>
      <c r="X52">
        <f t="shared" si="27"/>
        <v>0</v>
      </c>
      <c r="Y52">
        <f>IF('חד גזעי'!$AM$2 = "לא",0,IF(F52&gt;9,W52,0))</f>
        <v>0</v>
      </c>
      <c r="Z52">
        <f>IF('חד גזעי'!$AM$7 = "לא",0,IF(C52 = "זית אירופי",IF('חד גזעי'!$AN$7 &lt;=סקר!F52,W52,0),IF(C52 = "חרוב מצוי",IF('חד גזעי'!$AN$7 &lt;=סקר!F52,W52,0),0)))</f>
        <v>0</v>
      </c>
      <c r="AC52" s="94"/>
      <c r="AD52" s="94"/>
      <c r="AE52" s="72"/>
      <c r="AF52" s="77" t="s">
        <v>767</v>
      </c>
      <c r="AG52" s="77" t="s">
        <v>768</v>
      </c>
      <c r="AH52" s="72" t="s">
        <v>762</v>
      </c>
      <c r="AI52" s="72" t="s">
        <v>763</v>
      </c>
      <c r="AJ52" s="72" t="s">
        <v>764</v>
      </c>
      <c r="AK52" s="77" t="s">
        <v>770</v>
      </c>
      <c r="AL52" t="s">
        <v>771</v>
      </c>
      <c r="AM52" s="77" t="s">
        <v>809</v>
      </c>
      <c r="AN52" s="77" t="s">
        <v>810</v>
      </c>
      <c r="AO52" s="77" t="s">
        <v>811</v>
      </c>
      <c r="AS52" s="199"/>
      <c r="AT52" s="199"/>
      <c r="AU52" s="199"/>
      <c r="AV52" s="199"/>
      <c r="AW52" s="205"/>
      <c r="AX52" s="205"/>
      <c r="AY52" s="205"/>
      <c r="AZ52" s="199"/>
      <c r="BA52" s="199"/>
      <c r="BB52" s="199"/>
      <c r="BC52" s="199"/>
      <c r="BD52" s="87"/>
      <c r="BE52">
        <f t="shared" si="48"/>
        <v>0</v>
      </c>
      <c r="BF52" s="196"/>
      <c r="BG52" s="196"/>
      <c r="BH52" s="196"/>
      <c r="BI52" s="196"/>
      <c r="BJ52" s="196"/>
      <c r="BK52" s="196"/>
    </row>
    <row r="53" spans="2:63" ht="12.75" hidden="1" customHeight="1">
      <c r="B53" s="72"/>
      <c r="C53" s="135"/>
      <c r="D53" s="109"/>
      <c r="E53" s="73"/>
      <c r="F53" s="72"/>
      <c r="G53" s="72"/>
      <c r="H53" s="72"/>
      <c r="I53" s="73">
        <f t="shared" ref="I53:I55" si="50">F53+(G53/2)+(H53/2)</f>
        <v>0</v>
      </c>
      <c r="J53" s="73"/>
      <c r="K53" s="73"/>
      <c r="L53" s="74" t="e">
        <f>_xlfn.IFNA(VLOOKUP(C53,'חד גזעי'!$U$3:$V$509,2,0),VLOOKUP(C53,'חד גזעי'!$U$3:$V$509,2))</f>
        <v>#N/A</v>
      </c>
      <c r="M53" s="73"/>
      <c r="N53" s="72" t="e">
        <f>_xlfn.IFNA(IF(VLOOKUP(C53,'חד גזעי'!$AH$2:$AH$7,1,FALSE)&gt;0,0,IF('חד גזעי'!$AM$5="כן",IF(_xlfn.IFNA(VLOOKUP(C53,'חד גזעי'!$AH$2:$AH$33,1,FALSE),SUM(J53:M53))&lt;21,_xlfn.IFNA(VLOOKUP(C53,'חד גזעי'!$AH$2:$AH$33,1,FALSE),SUM(J53:M53)),0),SUM(J53:M53))),IF('חד גזעי'!$AM$5="כן",IF(_xlfn.IFNA(VLOOKUP(C53,'חד גזעי'!$AH$2:$AH$33,1,FALSE),SUM(J53:M53))&lt;21,_xlfn.IFNA(VLOOKUP(C53,'חד גזעי'!$AH$2:$AH$33,1,FALSE),SUM(J53:M53)),0),SUM(J53:M53)))</f>
        <v>#N/A</v>
      </c>
      <c r="O53" s="72">
        <f>IF('חד גזעי'!$AM$3 = "כן",IF(T53&gt;4,4,T53),T53)</f>
        <v>0</v>
      </c>
      <c r="P53" s="80">
        <f>IF(E53&lt;2,0,IF(Z53&gt;0,Z53,IF(N53 = 0,0,IF('חד גזעי'!$AM$2 = "לא",IF(F53&gt;19,W53,0),IF(F53&gt;9,Y53,0)))))</f>
        <v>0</v>
      </c>
      <c r="Q53" s="77"/>
      <c r="R53" s="75"/>
      <c r="S53" t="e">
        <f>VLOOKUP(C53,'חד גזעי'!$Y$4:$Y$18,1,0)</f>
        <v>#N/A</v>
      </c>
      <c r="T53" s="72">
        <f>IF('חד גזעי'!$AM$6="לא",IF(P53=0,IF(BC53="שימור",IF('חד גזעי'!$AM$4="לא",IF(BC53="לא בוגר",0,IF(BC53="לא קיים",0,IF(J53=0,0,I53*0.1))),IF(BC53="לא בוגר",0,IF(BC53="לא קיים",0,IF(AB53=1,I53*0.1,E53*0.5)))),0),IF('חד גזעי'!$AM$4="לא",IF(BC53="לא בוגר",0,IF(BC53="לא קיים",0,IF(J53=0,0,I53*0.1))),IF(BC53="לא בוגר",0,IF(BC53="לא קיים",0,IF(AB53=1,I53*0.1,E53*0.5))))),IF(P53=0,IF(BC53="שימור",IF('חד גזעי'!$AM$4="לא",IF(BC53="לא בוגר",0,IF(BC53="לא קיים",0,IF(J53=0,0,I53*0.15))),IF(BC53="לא בוגר",0,IF(BC53="לא קיים",0,IF(AB53=1,I53*0.15,E53*0.5)))),0),IF('חד גזעי'!$AM$4="לא",IF(BC53="לא בוגר",0,IF(BC53="לא קיים",0,IF(J53=0,0,I53*0.15))),IF(BC53="לא בוגר",0,IF(BC53="לא קיים",0,IF(AB53=1,I53*0.15,E53*0.5))))))</f>
        <v>0</v>
      </c>
      <c r="V53" t="e">
        <f t="shared" si="25"/>
        <v>#N/A</v>
      </c>
      <c r="W53" t="e">
        <f t="shared" si="26"/>
        <v>#N/A</v>
      </c>
      <c r="X53" t="e">
        <f t="shared" si="27"/>
        <v>#N/A</v>
      </c>
      <c r="Y53">
        <f>IF('חד גזעי'!$AM$2 = "לא",0,IF(F53&gt;9,W53,0))</f>
        <v>0</v>
      </c>
      <c r="Z53">
        <f>IF('חד גזעי'!$AM$7 = "לא",0,IF(C53 = "זית אירופי",IF('חד גזעי'!$AN$7 &lt;=סקר!F53,W53,0),IF(C53 = "חרוב מצוי",IF('חד גזעי'!$AN$7 &lt;=סקר!F53,W53,0),0)))</f>
        <v>0</v>
      </c>
      <c r="AB53">
        <f t="shared" ref="AB53:AB55" si="51">_xlfn.IFNA(S53,1)</f>
        <v>1</v>
      </c>
      <c r="AC53" s="72"/>
      <c r="AD53" t="e">
        <f>IF(AK53&gt;0,AK53,AF53)</f>
        <v>#N/A</v>
      </c>
      <c r="AE53" s="72"/>
      <c r="AF53" s="72" t="e">
        <f t="shared" ref="AF53:AF84" si="52">((AJ53+AI53+AH53)*(AG53))*(J53*0.2)*(K53*0.2)*20</f>
        <v>#N/A</v>
      </c>
      <c r="AG53" s="72" t="e">
        <f>IF('חד גזעי'!$AM$5="לא",(VLOOKUP(C53,'חד גזעי'!$P$1:$S$589,3,FALSE)),(VLOOKUP(C53,'חד גזעי'!$P$1:$S$589,4,FALSE)))</f>
        <v>#N/A</v>
      </c>
      <c r="AH53" s="72">
        <f t="shared" ref="AH53:AH84" si="53">(3.14*((F53/2)^2))</f>
        <v>0</v>
      </c>
      <c r="AI53" s="72">
        <f t="shared" ref="AI53:AI84" si="54">3.14*(G53*G53/4)</f>
        <v>0</v>
      </c>
      <c r="AJ53" s="72">
        <f t="shared" ref="AJ53:AJ84" si="55">3.14*(H53*H53/4)</f>
        <v>0</v>
      </c>
      <c r="AK53" s="72" t="e">
        <f t="shared" ref="AK53:AK84" si="56">AL53*E53*(J53*0.2)*(0.2*K53)*1500</f>
        <v>#N/A</v>
      </c>
      <c r="AL53" t="e">
        <f>VLOOKUP(C53,'חד גזעי'!$AH$8:$AI$33,2,FALSE)</f>
        <v>#N/A</v>
      </c>
      <c r="AM53" s="72" t="b">
        <f t="shared" ref="AM53:AM84" si="57">IF(BC53="שימור",P53)</f>
        <v>0</v>
      </c>
      <c r="AN53" s="72" t="b">
        <f t="shared" ref="AN53:AN84" si="58">IF(BC53="כריתה",P53)</f>
        <v>0</v>
      </c>
      <c r="AO53" s="72" t="b">
        <f t="shared" ref="AO53:AO84" si="59">IF(BC53="העתקה",P53)</f>
        <v>0</v>
      </c>
      <c r="AS53" s="72">
        <f t="shared" ref="AS53:AS84" si="60">B53</f>
        <v>0</v>
      </c>
      <c r="AT53" s="72">
        <f t="shared" ref="AT53:AT84" si="61">C53</f>
        <v>0</v>
      </c>
      <c r="AU53" s="72">
        <f>IF(C53&gt;0,IF(D53&lt;2,1,D53),0)</f>
        <v>0</v>
      </c>
      <c r="AV53" s="72">
        <f t="shared" ref="AV53:AV84" si="62">E53</f>
        <v>0</v>
      </c>
      <c r="AW53" s="72">
        <f t="shared" ref="AW53:AW84" si="63">F53</f>
        <v>0</v>
      </c>
      <c r="AX53" s="72">
        <f t="shared" ref="AX53:AX84" si="64">G53</f>
        <v>0</v>
      </c>
      <c r="AY53" s="72">
        <f t="shared" ref="AY53:AY84" si="65">H53</f>
        <v>0</v>
      </c>
      <c r="AZ53" s="72">
        <f t="shared" ref="AZ53:AZ84" si="66">I53</f>
        <v>0</v>
      </c>
      <c r="BA53" s="72" t="e">
        <f t="shared" ref="BA53:BA84" si="67">N53</f>
        <v>#N/A</v>
      </c>
      <c r="BB53" s="72" t="e">
        <f t="shared" ref="BB53:BB55" si="68">IF(BA53&gt;6,IF(BA53&gt;13,IF(BA53&gt;16,"גבוה מאוד","גבוה"),"בינונית"),"נמוכה")</f>
        <v>#N/A</v>
      </c>
      <c r="BC53" s="77"/>
      <c r="BD53" s="87"/>
      <c r="BE53">
        <f t="shared" si="48"/>
        <v>0</v>
      </c>
      <c r="BF53" s="196"/>
      <c r="BG53" s="196"/>
      <c r="BH53" s="196"/>
      <c r="BI53" s="196"/>
      <c r="BJ53" s="196"/>
      <c r="BK53" s="196"/>
    </row>
    <row r="54" spans="2:63" ht="12.75" hidden="1" customHeight="1">
      <c r="B54" s="72"/>
      <c r="C54" s="135"/>
      <c r="D54" s="109"/>
      <c r="E54" s="73"/>
      <c r="F54" s="72"/>
      <c r="G54" s="72"/>
      <c r="H54" s="72"/>
      <c r="I54" s="73">
        <f t="shared" si="50"/>
        <v>0</v>
      </c>
      <c r="J54" s="73"/>
      <c r="K54" s="73"/>
      <c r="L54" s="74" t="e">
        <f>_xlfn.IFNA(VLOOKUP(C54,'חד גזעי'!$U$3:$V$509,2,0),VLOOKUP(C54,'חד גזעי'!$U$3:$V$509,2))</f>
        <v>#N/A</v>
      </c>
      <c r="M54" s="73"/>
      <c r="N54" s="72" t="e">
        <f>_xlfn.IFNA(IF(VLOOKUP(C54,'חד גזעי'!$AH$2:$AH$7,1,FALSE)&gt;0,0,IF('חד גזעי'!$AM$5="כן",IF(_xlfn.IFNA(VLOOKUP(C54,'חד גזעי'!$AH$2:$AH$33,1,FALSE),SUM(J54:M54))&lt;21,_xlfn.IFNA(VLOOKUP(C54,'חד גזעי'!$AH$2:$AH$33,1,FALSE),SUM(J54:M54)),0),SUM(J54:M54))),IF('חד גזעי'!$AM$5="כן",IF(_xlfn.IFNA(VLOOKUP(C54,'חד גזעי'!$AH$2:$AH$33,1,FALSE),SUM(J54:M54))&lt;21,_xlfn.IFNA(VLOOKUP(C54,'חד גזעי'!$AH$2:$AH$33,1,FALSE),SUM(J54:M54)),0),SUM(J54:M54)))</f>
        <v>#N/A</v>
      </c>
      <c r="O54" s="72">
        <f>IF('חד גזעי'!$AM$3 = "כן",IF(T54&gt;4,4,T54),T54)</f>
        <v>0</v>
      </c>
      <c r="P54" s="80">
        <f>IF(E54&lt;2,0,IF(Z54&gt;0,Z54,IF(N54 = 0,0,IF('חד גזעי'!$AM$2 = "לא",IF(F54&gt;19,W54,0),IF(F54&gt;9,Y54,0)))))</f>
        <v>0</v>
      </c>
      <c r="Q54" s="77"/>
      <c r="R54" s="75"/>
      <c r="S54" t="e">
        <f>VLOOKUP(C54,'חד גזעי'!$Y$4:$Y$18,1,0)</f>
        <v>#N/A</v>
      </c>
      <c r="T54" s="72">
        <f>IF('חד גזעי'!$AM$6="לא",IF(P54=0,IF(BC54="שימור",IF('חד גזעי'!$AM$4="לא",IF(BC54="לא בוגר",0,IF(BC54="לא קיים",0,IF(J54=0,0,I54*0.1))),IF(BC54="לא בוגר",0,IF(BC54="לא קיים",0,IF(AB54=1,I54*0.1,E54*0.5)))),0),IF('חד גזעי'!$AM$4="לא",IF(BC54="לא בוגר",0,IF(BC54="לא קיים",0,IF(J54=0,0,I54*0.1))),IF(BC54="לא בוגר",0,IF(BC54="לא קיים",0,IF(AB54=1,I54*0.1,E54*0.5))))),IF(P54=0,IF(BC54="שימור",IF('חד גזעי'!$AM$4="לא",IF(BC54="לא בוגר",0,IF(BC54="לא קיים",0,IF(J54=0,0,I54*0.15))),IF(BC54="לא בוגר",0,IF(BC54="לא קיים",0,IF(AB54=1,I54*0.15,E54*0.5)))),0),IF('חד גזעי'!$AM$4="לא",IF(BC54="לא בוגר",0,IF(BC54="לא קיים",0,IF(J54=0,0,I54*0.15))),IF(BC54="לא בוגר",0,IF(BC54="לא קיים",0,IF(AB54=1,I54*0.15,E54*0.5))))))</f>
        <v>0</v>
      </c>
      <c r="V54" t="e">
        <f t="shared" si="25"/>
        <v>#N/A</v>
      </c>
      <c r="W54" t="e">
        <f t="shared" si="26"/>
        <v>#N/A</v>
      </c>
      <c r="X54" t="e">
        <f t="shared" si="27"/>
        <v>#N/A</v>
      </c>
      <c r="Y54">
        <f>IF('חד גזעי'!$AM$2 = "לא",0,IF(F54&gt;9,W54,0))</f>
        <v>0</v>
      </c>
      <c r="Z54">
        <f>IF('חד גזעי'!$AM$7 = "לא",0,IF(C54 = "זית אירופי",IF('חד גזעי'!$AN$7 &lt;=סקר!F54,W54,0),IF(C54 = "חרוב מצוי",IF('חד גזעי'!$AN$7 &lt;=סקר!F54,W54,0),0)))</f>
        <v>0</v>
      </c>
      <c r="AB54">
        <f t="shared" si="51"/>
        <v>1</v>
      </c>
      <c r="AC54" s="72"/>
      <c r="AD54" t="e">
        <f t="shared" ref="AD54:AD84" si="69">IF(AK54&gt;0,AK54,AF54)</f>
        <v>#N/A</v>
      </c>
      <c r="AE54" s="72"/>
      <c r="AF54" s="72" t="e">
        <f t="shared" si="52"/>
        <v>#N/A</v>
      </c>
      <c r="AG54" s="72" t="e">
        <f>IF('חד גזעי'!$AM$5="לא",(VLOOKUP(C54,'חד גזעי'!$P$1:$S$589,3,FALSE)),(VLOOKUP(C54,'חד גזעי'!$P$1:$S$589,4,FALSE)))</f>
        <v>#N/A</v>
      </c>
      <c r="AH54" s="72">
        <f t="shared" si="53"/>
        <v>0</v>
      </c>
      <c r="AI54" s="72">
        <f t="shared" si="54"/>
        <v>0</v>
      </c>
      <c r="AJ54" s="72">
        <f t="shared" si="55"/>
        <v>0</v>
      </c>
      <c r="AK54" s="72" t="e">
        <f t="shared" si="56"/>
        <v>#N/A</v>
      </c>
      <c r="AL54" t="e">
        <f>VLOOKUP(C54,'חד גזעי'!$AH$8:$AI$33,2,FALSE)</f>
        <v>#N/A</v>
      </c>
      <c r="AM54" s="72" t="b">
        <f t="shared" si="57"/>
        <v>0</v>
      </c>
      <c r="AN54" s="72" t="b">
        <f t="shared" si="58"/>
        <v>0</v>
      </c>
      <c r="AO54" s="72" t="b">
        <f t="shared" si="59"/>
        <v>0</v>
      </c>
      <c r="AS54" s="72">
        <f t="shared" si="60"/>
        <v>0</v>
      </c>
      <c r="AT54" s="72">
        <f t="shared" si="61"/>
        <v>0</v>
      </c>
      <c r="AU54" s="72">
        <f t="shared" ref="AU54:AU84" si="70">IF(C54&gt;0,IF(D54&lt;2,1,D54),0)</f>
        <v>0</v>
      </c>
      <c r="AV54" s="72">
        <f t="shared" si="62"/>
        <v>0</v>
      </c>
      <c r="AW54" s="72">
        <f t="shared" si="63"/>
        <v>0</v>
      </c>
      <c r="AX54" s="72">
        <f t="shared" si="64"/>
        <v>0</v>
      </c>
      <c r="AY54" s="72">
        <f t="shared" si="65"/>
        <v>0</v>
      </c>
      <c r="AZ54" s="72">
        <f t="shared" si="66"/>
        <v>0</v>
      </c>
      <c r="BA54" s="72" t="e">
        <f t="shared" si="67"/>
        <v>#N/A</v>
      </c>
      <c r="BB54" s="72" t="e">
        <f t="shared" si="68"/>
        <v>#N/A</v>
      </c>
      <c r="BC54" s="77"/>
      <c r="BE54">
        <f t="shared" si="48"/>
        <v>0</v>
      </c>
      <c r="BF54" s="196"/>
      <c r="BG54" s="196"/>
      <c r="BH54" s="196"/>
      <c r="BI54" s="196"/>
      <c r="BJ54" s="196"/>
      <c r="BK54" s="196"/>
    </row>
    <row r="55" spans="2:63" hidden="1">
      <c r="B55" s="72"/>
      <c r="C55" s="135"/>
      <c r="D55" s="109"/>
      <c r="E55" s="73"/>
      <c r="F55" s="72"/>
      <c r="G55" s="72"/>
      <c r="H55" s="72"/>
      <c r="I55" s="73">
        <f t="shared" si="50"/>
        <v>0</v>
      </c>
      <c r="J55" s="73"/>
      <c r="K55" s="73"/>
      <c r="L55" s="74" t="e">
        <f>_xlfn.IFNA(VLOOKUP(C55,'חד גזעי'!$U$3:$V$509,2,0),VLOOKUP(C55,'חד גזעי'!$U$3:$V$509,2))</f>
        <v>#N/A</v>
      </c>
      <c r="M55" s="73"/>
      <c r="N55" s="72" t="e">
        <f>_xlfn.IFNA(IF(VLOOKUP(C55,'חד גזעי'!$AH$2:$AH$7,1,FALSE)&gt;0,0,IF('חד גזעי'!$AM$5="כן",IF(_xlfn.IFNA(VLOOKUP(C55,'חד גזעי'!$AH$2:$AH$33,1,FALSE),SUM(J55:M55))&lt;21,_xlfn.IFNA(VLOOKUP(C55,'חד גזעי'!$AH$2:$AH$33,1,FALSE),SUM(J55:M55)),0),SUM(J55:M55))),IF('חד גזעי'!$AM$5="כן",IF(_xlfn.IFNA(VLOOKUP(C55,'חד גזעי'!$AH$2:$AH$33,1,FALSE),SUM(J55:M55))&lt;21,_xlfn.IFNA(VLOOKUP(C55,'חד גזעי'!$AH$2:$AH$33,1,FALSE),SUM(J55:M55)),0),SUM(J55:M55)))</f>
        <v>#N/A</v>
      </c>
      <c r="O55" s="72">
        <f>IF('חד גזעי'!$AM$3 = "כן",IF(T55&gt;4,4,T55),T55)</f>
        <v>0</v>
      </c>
      <c r="P55" s="80">
        <f>IF(E55&lt;2,0,IF(Z55&gt;0,Z55,IF(N55 = 0,0,IF('חד גזעי'!$AM$2 = "לא",IF(F55&gt;19,W55,0),IF(F55&gt;9,Y55,0)))))</f>
        <v>0</v>
      </c>
      <c r="Q55" s="77"/>
      <c r="R55" s="75"/>
      <c r="S55" t="e">
        <f>VLOOKUP(C55,'חד גזעי'!$Y$4:$Y$18,1,0)</f>
        <v>#N/A</v>
      </c>
      <c r="T55" s="72">
        <f>IF('חד גזעי'!$AM$6="לא",IF(P55=0,IF(BC55="שימור",IF('חד גזעי'!$AM$4="לא",IF(BC55="לא בוגר",0,IF(BC55="לא קיים",0,IF(J55=0,0,I55*0.1))),IF(BC55="לא בוגר",0,IF(BC55="לא קיים",0,IF(AB55=1,I55*0.1,E55*0.5)))),0),IF('חד גזעי'!$AM$4="לא",IF(BC55="לא בוגר",0,IF(BC55="לא קיים",0,IF(J55=0,0,I55*0.1))),IF(BC55="לא בוגר",0,IF(BC55="לא קיים",0,IF(AB55=1,I55*0.1,E55*0.5))))),IF(P55=0,IF(BC55="שימור",IF('חד גזעי'!$AM$4="לא",IF(BC55="לא בוגר",0,IF(BC55="לא קיים",0,IF(J55=0,0,I55*0.15))),IF(BC55="לא בוגר",0,IF(BC55="לא קיים",0,IF(AB55=1,I55*0.15,E55*0.5)))),0),IF('חד גזעי'!$AM$4="לא",IF(BC55="לא בוגר",0,IF(BC55="לא קיים",0,IF(J55=0,0,I55*0.15))),IF(BC55="לא בוגר",0,IF(BC55="לא קיים",0,IF(AB55=1,I55*0.15,E55*0.5))))))</f>
        <v>0</v>
      </c>
      <c r="V55" t="e">
        <f t="shared" si="25"/>
        <v>#N/A</v>
      </c>
      <c r="W55" t="e">
        <f t="shared" si="26"/>
        <v>#N/A</v>
      </c>
      <c r="X55" t="e">
        <f t="shared" si="27"/>
        <v>#N/A</v>
      </c>
      <c r="Y55">
        <f>IF('חד גזעי'!$AM$2 = "לא",0,IF(F55&gt;9,W55,0))</f>
        <v>0</v>
      </c>
      <c r="Z55">
        <f>IF('חד גזעי'!$AM$7 = "לא",0,IF(C55 = "זית אירופי",IF('חד גזעי'!$AN$7 &lt;=סקר!F55,W55,0),IF(C55 = "חרוב מצוי",IF('חד גזעי'!$AN$7 &lt;=סקר!F55,W55,0),0)))</f>
        <v>0</v>
      </c>
      <c r="AB55">
        <f t="shared" si="51"/>
        <v>1</v>
      </c>
      <c r="AC55" s="72"/>
      <c r="AD55" t="e">
        <f t="shared" si="69"/>
        <v>#N/A</v>
      </c>
      <c r="AE55" s="72"/>
      <c r="AF55" s="72" t="e">
        <f t="shared" si="52"/>
        <v>#N/A</v>
      </c>
      <c r="AG55" s="72" t="e">
        <f>IF('חד גזעי'!$AM$5="לא",(VLOOKUP(C55,'חד גזעי'!$P$1:$S$589,3,FALSE)),(VLOOKUP(C55,'חד גזעי'!$P$1:$S$589,4,FALSE)))</f>
        <v>#N/A</v>
      </c>
      <c r="AH55" s="72">
        <f t="shared" si="53"/>
        <v>0</v>
      </c>
      <c r="AI55" s="72">
        <f t="shared" si="54"/>
        <v>0</v>
      </c>
      <c r="AJ55" s="72">
        <f t="shared" si="55"/>
        <v>0</v>
      </c>
      <c r="AK55" s="72" t="e">
        <f t="shared" si="56"/>
        <v>#N/A</v>
      </c>
      <c r="AL55" t="e">
        <f>VLOOKUP(C55,'חד גזעי'!$AH$8:$AI$33,2,FALSE)</f>
        <v>#N/A</v>
      </c>
      <c r="AM55" s="72" t="b">
        <f t="shared" si="57"/>
        <v>0</v>
      </c>
      <c r="AN55" s="72" t="b">
        <f t="shared" si="58"/>
        <v>0</v>
      </c>
      <c r="AO55" s="72" t="b">
        <f t="shared" si="59"/>
        <v>0</v>
      </c>
      <c r="AS55" s="72">
        <f t="shared" si="60"/>
        <v>0</v>
      </c>
      <c r="AT55" s="72">
        <f t="shared" si="61"/>
        <v>0</v>
      </c>
      <c r="AU55" s="72">
        <f t="shared" si="70"/>
        <v>0</v>
      </c>
      <c r="AV55" s="72">
        <f t="shared" si="62"/>
        <v>0</v>
      </c>
      <c r="AW55" s="72">
        <f t="shared" si="63"/>
        <v>0</v>
      </c>
      <c r="AX55" s="72">
        <f t="shared" si="64"/>
        <v>0</v>
      </c>
      <c r="AY55" s="72">
        <f t="shared" si="65"/>
        <v>0</v>
      </c>
      <c r="AZ55" s="72">
        <f t="shared" si="66"/>
        <v>0</v>
      </c>
      <c r="BA55" s="72" t="e">
        <f t="shared" si="67"/>
        <v>#N/A</v>
      </c>
      <c r="BB55" s="72" t="e">
        <f t="shared" si="68"/>
        <v>#N/A</v>
      </c>
      <c r="BC55" s="77"/>
      <c r="BE55">
        <f t="shared" si="48"/>
        <v>0</v>
      </c>
      <c r="BF55" s="196"/>
      <c r="BG55" s="196"/>
      <c r="BH55" s="196"/>
      <c r="BI55" s="196"/>
      <c r="BJ55" s="196"/>
      <c r="BK55" s="196"/>
    </row>
    <row r="56" spans="2:63" hidden="1">
      <c r="B56" s="72"/>
      <c r="C56" s="135"/>
      <c r="D56" s="109"/>
      <c r="E56" s="73"/>
      <c r="F56" s="72"/>
      <c r="G56" s="72"/>
      <c r="H56" s="72"/>
      <c r="I56" s="73">
        <f t="shared" ref="I56:I66" si="71">F56+(G56/2)+(H56/2)</f>
        <v>0</v>
      </c>
      <c r="J56" s="73"/>
      <c r="K56" s="73"/>
      <c r="L56" s="74" t="e">
        <f>_xlfn.IFNA(VLOOKUP(C56,'חד גזעי'!$U$3:$V$509,2,0),VLOOKUP(C56,'חד גזעי'!$U$3:$V$509,2))</f>
        <v>#N/A</v>
      </c>
      <c r="M56" s="73"/>
      <c r="N56" s="72" t="e">
        <f>_xlfn.IFNA(IF(VLOOKUP(C56,'חד גזעי'!$AH$2:$AH$7,1,FALSE)&gt;0,0,IF('חד גזעי'!$AM$5="כן",IF(_xlfn.IFNA(VLOOKUP(C56,'חד גזעי'!$AH$2:$AH$33,1,FALSE),SUM(J56:M56))&lt;21,_xlfn.IFNA(VLOOKUP(C56,'חד גזעי'!$AH$2:$AH$33,1,FALSE),SUM(J56:M56)),0),SUM(J56:M56))),IF('חד גזעי'!$AM$5="כן",IF(_xlfn.IFNA(VLOOKUP(C56,'חד גזעי'!$AH$2:$AH$33,1,FALSE),SUM(J56:M56))&lt;21,_xlfn.IFNA(VLOOKUP(C56,'חד גזעי'!$AH$2:$AH$33,1,FALSE),SUM(J56:M56)),0),SUM(J56:M56)))</f>
        <v>#N/A</v>
      </c>
      <c r="O56" s="72">
        <f>IF('חד גזעי'!$AM$3 = "כן",IF(T56&gt;4,4,T56),T56)</f>
        <v>0</v>
      </c>
      <c r="P56" s="80">
        <f>IF(E56&lt;2,0,IF(Z56&gt;0,Z56,IF(N56 = 0,0,IF('חד גזעי'!$AM$2 = "לא",IF(F56&gt;19,W56,0),IF(F56&gt;9,Y56,0)))))</f>
        <v>0</v>
      </c>
      <c r="Q56" s="77"/>
      <c r="R56" s="75"/>
      <c r="S56" t="e">
        <f>VLOOKUP(C56,'חד גזעי'!$Y$4:$Y$18,1,0)</f>
        <v>#N/A</v>
      </c>
      <c r="T56" s="72">
        <f>IF('חד גזעי'!$AM$6="לא",IF(P56=0,IF(BC56="שימור",IF('חד גזעי'!$AM$4="לא",IF(BC56="לא בוגר",0,IF(BC56="לא קיים",0,IF(J56=0,0,I56*0.1))),IF(BC56="לא בוגר",0,IF(BC56="לא קיים",0,IF(AB56=1,I56*0.1,E56*0.5)))),0),IF('חד גזעי'!$AM$4="לא",IF(BC56="לא בוגר",0,IF(BC56="לא קיים",0,IF(J56=0,0,I56*0.1))),IF(BC56="לא בוגר",0,IF(BC56="לא קיים",0,IF(AB56=1,I56*0.1,E56*0.5))))),IF(P56=0,IF(BC56="שימור",IF('חד גזעי'!$AM$4="לא",IF(BC56="לא בוגר",0,IF(BC56="לא קיים",0,IF(J56=0,0,I56*0.15))),IF(BC56="לא בוגר",0,IF(BC56="לא קיים",0,IF(AB56=1,I56*0.15,E56*0.5)))),0),IF('חד גזעי'!$AM$4="לא",IF(BC56="לא בוגר",0,IF(BC56="לא קיים",0,IF(J56=0,0,I56*0.15))),IF(BC56="לא בוגר",0,IF(BC56="לא קיים",0,IF(AB56=1,I56*0.15,E56*0.5))))))</f>
        <v>0</v>
      </c>
      <c r="V56" t="e">
        <f t="shared" si="25"/>
        <v>#N/A</v>
      </c>
      <c r="W56" t="e">
        <f t="shared" si="26"/>
        <v>#N/A</v>
      </c>
      <c r="X56" t="e">
        <f t="shared" si="27"/>
        <v>#N/A</v>
      </c>
      <c r="Y56">
        <f>IF('חד גזעי'!$AM$2 = "לא",0,IF(F56&gt;9,W56,0))</f>
        <v>0</v>
      </c>
      <c r="Z56">
        <f>IF('חד גזעי'!$AM$7 = "לא",0,IF(C56 = "זית אירופי",IF('חד גזעי'!$AN$7 &lt;=סקר!F56,W56,0),IF(C56 = "חרוב מצוי",IF('חד גזעי'!$AN$7 &lt;=סקר!F56,W56,0),0)))</f>
        <v>0</v>
      </c>
      <c r="AB56">
        <f t="shared" ref="AB56:AB66" si="72">_xlfn.IFNA(S56,1)</f>
        <v>1</v>
      </c>
      <c r="AC56" s="72"/>
      <c r="AD56" t="e">
        <f t="shared" si="69"/>
        <v>#N/A</v>
      </c>
      <c r="AE56" s="72"/>
      <c r="AF56" s="72" t="e">
        <f t="shared" si="52"/>
        <v>#N/A</v>
      </c>
      <c r="AG56" s="72" t="e">
        <f>IF('חד גזעי'!$AM$5="לא",(VLOOKUP(C56,'חד גזעי'!$P$1:$S$589,3,FALSE)),(VLOOKUP(C56,'חד גזעי'!$P$1:$S$589,4,FALSE)))</f>
        <v>#N/A</v>
      </c>
      <c r="AH56" s="72">
        <f t="shared" si="53"/>
        <v>0</v>
      </c>
      <c r="AI56" s="72">
        <f t="shared" si="54"/>
        <v>0</v>
      </c>
      <c r="AJ56" s="72">
        <f t="shared" si="55"/>
        <v>0</v>
      </c>
      <c r="AK56" s="72" t="e">
        <f t="shared" si="56"/>
        <v>#N/A</v>
      </c>
      <c r="AL56" t="e">
        <f>VLOOKUP(C56,'חד גזעי'!$AH$8:$AI$33,2,FALSE)</f>
        <v>#N/A</v>
      </c>
      <c r="AM56" s="72" t="b">
        <f t="shared" si="57"/>
        <v>0</v>
      </c>
      <c r="AN56" s="72" t="b">
        <f t="shared" si="58"/>
        <v>0</v>
      </c>
      <c r="AO56" s="72" t="b">
        <f t="shared" si="59"/>
        <v>0</v>
      </c>
      <c r="AS56" s="72">
        <f t="shared" si="60"/>
        <v>0</v>
      </c>
      <c r="AT56" s="72">
        <f t="shared" si="61"/>
        <v>0</v>
      </c>
      <c r="AU56" s="72">
        <f t="shared" si="70"/>
        <v>0</v>
      </c>
      <c r="AV56" s="72">
        <f t="shared" si="62"/>
        <v>0</v>
      </c>
      <c r="AW56" s="72">
        <f t="shared" si="63"/>
        <v>0</v>
      </c>
      <c r="AX56" s="72">
        <f t="shared" si="64"/>
        <v>0</v>
      </c>
      <c r="AY56" s="72">
        <f t="shared" si="65"/>
        <v>0</v>
      </c>
      <c r="AZ56" s="72">
        <f t="shared" si="66"/>
        <v>0</v>
      </c>
      <c r="BA56" s="72" t="e">
        <f t="shared" si="67"/>
        <v>#N/A</v>
      </c>
      <c r="BB56" s="72" t="e">
        <f t="shared" ref="BB56:BB66" si="73">IF(BA56&gt;6,IF(BA56&gt;13,IF(BA56&gt;16,"גבוה מאוד","גבוה"),"בינונית"),"נמוכה")</f>
        <v>#N/A</v>
      </c>
      <c r="BC56" s="77"/>
      <c r="BE56">
        <f t="shared" si="48"/>
        <v>0</v>
      </c>
      <c r="BF56" s="196"/>
      <c r="BG56" s="196"/>
      <c r="BH56" s="196"/>
      <c r="BI56" s="196"/>
      <c r="BJ56" s="196"/>
      <c r="BK56" s="196"/>
    </row>
    <row r="57" spans="2:63" hidden="1">
      <c r="B57" s="72"/>
      <c r="C57" s="135"/>
      <c r="D57" s="109"/>
      <c r="E57" s="73"/>
      <c r="F57" s="72"/>
      <c r="G57" s="72"/>
      <c r="H57" s="72"/>
      <c r="I57" s="73">
        <f t="shared" si="71"/>
        <v>0</v>
      </c>
      <c r="J57" s="73"/>
      <c r="K57" s="73"/>
      <c r="L57" s="74" t="e">
        <f>_xlfn.IFNA(VLOOKUP(C57,'חד גזעי'!$U$3:$V$509,2,0),VLOOKUP(C57,'חד גזעי'!$U$3:$V$509,2))</f>
        <v>#N/A</v>
      </c>
      <c r="M57" s="73"/>
      <c r="N57" s="72" t="e">
        <f>_xlfn.IFNA(IF(VLOOKUP(C57,'חד גזעי'!$AH$2:$AH$7,1,FALSE)&gt;0,0,IF('חד גזעי'!$AM$5="כן",IF(_xlfn.IFNA(VLOOKUP(C57,'חד גזעי'!$AH$2:$AH$33,1,FALSE),SUM(J57:M57))&lt;21,_xlfn.IFNA(VLOOKUP(C57,'חד גזעי'!$AH$2:$AH$33,1,FALSE),SUM(J57:M57)),0),SUM(J57:M57))),IF('חד גזעי'!$AM$5="כן",IF(_xlfn.IFNA(VLOOKUP(C57,'חד גזעי'!$AH$2:$AH$33,1,FALSE),SUM(J57:M57))&lt;21,_xlfn.IFNA(VLOOKUP(C57,'חד גזעי'!$AH$2:$AH$33,1,FALSE),SUM(J57:M57)),0),SUM(J57:M57)))</f>
        <v>#N/A</v>
      </c>
      <c r="O57" s="72">
        <f>IF('חד גזעי'!$AM$3 = "כן",IF(T57&gt;4,4,T57),T57)</f>
        <v>0</v>
      </c>
      <c r="P57" s="80">
        <f>IF(E57&lt;2,0,IF(Z57&gt;0,Z57,IF(N57 = 0,0,IF('חד גזעי'!$AM$2 = "לא",IF(F57&gt;19,W57,0),IF(F57&gt;9,Y57,0)))))</f>
        <v>0</v>
      </c>
      <c r="Q57" s="77"/>
      <c r="R57" s="75"/>
      <c r="S57" t="e">
        <f>VLOOKUP(C57,'חד גזעי'!$Y$4:$Y$18,1,0)</f>
        <v>#N/A</v>
      </c>
      <c r="T57" s="72">
        <f>IF('חד גזעי'!$AM$6="לא",IF(P57=0,IF(BC57="שימור",IF('חד גזעי'!$AM$4="לא",IF(BC57="לא בוגר",0,IF(BC57="לא קיים",0,IF(J57=0,0,I57*0.1))),IF(BC57="לא בוגר",0,IF(BC57="לא קיים",0,IF(AB57=1,I57*0.1,E57*0.5)))),0),IF('חד גזעי'!$AM$4="לא",IF(BC57="לא בוגר",0,IF(BC57="לא קיים",0,IF(J57=0,0,I57*0.1))),IF(BC57="לא בוגר",0,IF(BC57="לא קיים",0,IF(AB57=1,I57*0.1,E57*0.5))))),IF(P57=0,IF(BC57="שימור",IF('חד גזעי'!$AM$4="לא",IF(BC57="לא בוגר",0,IF(BC57="לא קיים",0,IF(J57=0,0,I57*0.15))),IF(BC57="לא בוגר",0,IF(BC57="לא קיים",0,IF(AB57=1,I57*0.15,E57*0.5)))),0),IF('חד גזעי'!$AM$4="לא",IF(BC57="לא בוגר",0,IF(BC57="לא קיים",0,IF(J57=0,0,I57*0.15))),IF(BC57="לא בוגר",0,IF(BC57="לא קיים",0,IF(AB57=1,I57*0.15,E57*0.5))))))</f>
        <v>0</v>
      </c>
      <c r="V57" t="e">
        <f t="shared" si="25"/>
        <v>#N/A</v>
      </c>
      <c r="W57" t="e">
        <f t="shared" si="26"/>
        <v>#N/A</v>
      </c>
      <c r="X57" t="e">
        <f t="shared" si="27"/>
        <v>#N/A</v>
      </c>
      <c r="Y57">
        <f>IF('חד גזעי'!$AM$2 = "לא",0,IF(F57&gt;9,W57,0))</f>
        <v>0</v>
      </c>
      <c r="Z57">
        <f>IF('חד גזעי'!$AM$7 = "לא",0,IF(C57 = "זית אירופי",IF('חד גזעי'!$AN$7 &lt;=סקר!F57,W57,0),IF(C57 = "חרוב מצוי",IF('חד גזעי'!$AN$7 &lt;=סקר!F57,W57,0),0)))</f>
        <v>0</v>
      </c>
      <c r="AB57">
        <f t="shared" si="72"/>
        <v>1</v>
      </c>
      <c r="AC57" s="72"/>
      <c r="AD57" t="e">
        <f t="shared" si="69"/>
        <v>#N/A</v>
      </c>
      <c r="AE57" s="72"/>
      <c r="AF57" s="72" t="e">
        <f t="shared" si="52"/>
        <v>#N/A</v>
      </c>
      <c r="AG57" s="72" t="e">
        <f>IF('חד גזעי'!$AM$5="לא",(VLOOKUP(C57,'חד גזעי'!$P$1:$S$589,3,FALSE)),(VLOOKUP(C57,'חד גזעי'!$P$1:$S$589,4,FALSE)))</f>
        <v>#N/A</v>
      </c>
      <c r="AH57" s="72">
        <f t="shared" si="53"/>
        <v>0</v>
      </c>
      <c r="AI57" s="72">
        <f t="shared" si="54"/>
        <v>0</v>
      </c>
      <c r="AJ57" s="72">
        <f t="shared" si="55"/>
        <v>0</v>
      </c>
      <c r="AK57" s="72" t="e">
        <f t="shared" si="56"/>
        <v>#N/A</v>
      </c>
      <c r="AL57" t="e">
        <f>VLOOKUP(C57,'חד גזעי'!$AH$8:$AI$33,2,FALSE)</f>
        <v>#N/A</v>
      </c>
      <c r="AM57" s="72" t="b">
        <f t="shared" si="57"/>
        <v>0</v>
      </c>
      <c r="AN57" s="72" t="b">
        <f t="shared" si="58"/>
        <v>0</v>
      </c>
      <c r="AO57" s="72" t="b">
        <f t="shared" si="59"/>
        <v>0</v>
      </c>
      <c r="AS57" s="72">
        <f t="shared" si="60"/>
        <v>0</v>
      </c>
      <c r="AT57" s="72">
        <f t="shared" si="61"/>
        <v>0</v>
      </c>
      <c r="AU57" s="72">
        <f t="shared" si="70"/>
        <v>0</v>
      </c>
      <c r="AV57" s="72">
        <f t="shared" si="62"/>
        <v>0</v>
      </c>
      <c r="AW57" s="72">
        <f t="shared" si="63"/>
        <v>0</v>
      </c>
      <c r="AX57" s="72">
        <f t="shared" si="64"/>
        <v>0</v>
      </c>
      <c r="AY57" s="72">
        <f t="shared" si="65"/>
        <v>0</v>
      </c>
      <c r="AZ57" s="72">
        <f t="shared" si="66"/>
        <v>0</v>
      </c>
      <c r="BA57" s="72" t="e">
        <f t="shared" si="67"/>
        <v>#N/A</v>
      </c>
      <c r="BB57" s="72" t="e">
        <f t="shared" si="73"/>
        <v>#N/A</v>
      </c>
      <c r="BC57" s="77"/>
      <c r="BE57">
        <f t="shared" si="48"/>
        <v>0</v>
      </c>
      <c r="BF57" s="196"/>
      <c r="BG57" s="196"/>
      <c r="BH57" s="196"/>
      <c r="BI57" s="196"/>
      <c r="BJ57" s="196"/>
      <c r="BK57" s="196"/>
    </row>
    <row r="58" spans="2:63" hidden="1">
      <c r="B58" s="72"/>
      <c r="C58" s="135"/>
      <c r="D58" s="109"/>
      <c r="E58" s="73"/>
      <c r="F58" s="72"/>
      <c r="G58" s="72"/>
      <c r="H58" s="72"/>
      <c r="I58" s="73">
        <f t="shared" si="71"/>
        <v>0</v>
      </c>
      <c r="J58" s="73"/>
      <c r="K58" s="73"/>
      <c r="L58" s="74" t="e">
        <f>_xlfn.IFNA(VLOOKUP(C58,'חד גזעי'!$U$3:$V$509,2,0),VLOOKUP(C58,'חד גזעי'!$U$3:$V$509,2))</f>
        <v>#N/A</v>
      </c>
      <c r="M58" s="73"/>
      <c r="N58" s="72" t="e">
        <f>_xlfn.IFNA(IF(VLOOKUP(C58,'חד גזעי'!$AH$2:$AH$7,1,FALSE)&gt;0,0,IF('חד גזעי'!$AM$5="כן",IF(_xlfn.IFNA(VLOOKUP(C58,'חד גזעי'!$AH$2:$AH$33,1,FALSE),SUM(J58:M58))&lt;21,_xlfn.IFNA(VLOOKUP(C58,'חד גזעי'!$AH$2:$AH$33,1,FALSE),SUM(J58:M58)),0),SUM(J58:M58))),IF('חד גזעי'!$AM$5="כן",IF(_xlfn.IFNA(VLOOKUP(C58,'חד גזעי'!$AH$2:$AH$33,1,FALSE),SUM(J58:M58))&lt;21,_xlfn.IFNA(VLOOKUP(C58,'חד גזעי'!$AH$2:$AH$33,1,FALSE),SUM(J58:M58)),0),SUM(J58:M58)))</f>
        <v>#N/A</v>
      </c>
      <c r="O58" s="72">
        <f>IF('חד גזעי'!$AM$3 = "כן",IF(T58&gt;4,4,T58),T58)</f>
        <v>0</v>
      </c>
      <c r="P58" s="80">
        <f>IF(E58&lt;2,0,IF(Z58&gt;0,Z58,IF(N58 = 0,0,IF('חד גזעי'!$AM$2 = "לא",IF(F58&gt;19,W58,0),IF(F58&gt;9,Y58,0)))))</f>
        <v>0</v>
      </c>
      <c r="Q58" s="77"/>
      <c r="R58" s="75"/>
      <c r="S58" t="e">
        <f>VLOOKUP(C58,'חד גזעי'!$Y$4:$Y$18,1,0)</f>
        <v>#N/A</v>
      </c>
      <c r="T58" s="72">
        <f>IF('חד גזעי'!$AM$6="לא",IF(P58=0,IF(BC58="שימור",IF('חד גזעי'!$AM$4="לא",IF(BC58="לא בוגר",0,IF(BC58="לא קיים",0,IF(J58=0,0,I58*0.1))),IF(BC58="לא בוגר",0,IF(BC58="לא קיים",0,IF(AB58=1,I58*0.1,E58*0.5)))),0),IF('חד גזעי'!$AM$4="לא",IF(BC58="לא בוגר",0,IF(BC58="לא קיים",0,IF(J58=0,0,I58*0.1))),IF(BC58="לא בוגר",0,IF(BC58="לא קיים",0,IF(AB58=1,I58*0.1,E58*0.5))))),IF(P58=0,IF(BC58="שימור",IF('חד גזעי'!$AM$4="לא",IF(BC58="לא בוגר",0,IF(BC58="לא קיים",0,IF(J58=0,0,I58*0.15))),IF(BC58="לא בוגר",0,IF(BC58="לא קיים",0,IF(AB58=1,I58*0.15,E58*0.5)))),0),IF('חד גזעי'!$AM$4="לא",IF(BC58="לא בוגר",0,IF(BC58="לא קיים",0,IF(J58=0,0,I58*0.15))),IF(BC58="לא בוגר",0,IF(BC58="לא קיים",0,IF(AB58=1,I58*0.15,E58*0.5))))))</f>
        <v>0</v>
      </c>
      <c r="V58" t="e">
        <f t="shared" si="25"/>
        <v>#N/A</v>
      </c>
      <c r="W58" t="e">
        <f t="shared" si="26"/>
        <v>#N/A</v>
      </c>
      <c r="X58" t="e">
        <f t="shared" si="27"/>
        <v>#N/A</v>
      </c>
      <c r="Y58">
        <f>IF('חד גזעי'!$AM$2 = "לא",0,IF(F58&gt;9,W58,0))</f>
        <v>0</v>
      </c>
      <c r="Z58">
        <f>IF('חד גזעי'!$AM$7 = "לא",0,IF(C58 = "זית אירופי",IF('חד גזעי'!$AN$7 &lt;=סקר!F58,W58,0),IF(C58 = "חרוב מצוי",IF('חד גזעי'!$AN$7 &lt;=סקר!F58,W58,0),0)))</f>
        <v>0</v>
      </c>
      <c r="AB58">
        <f t="shared" si="72"/>
        <v>1</v>
      </c>
      <c r="AC58" s="72"/>
      <c r="AD58" t="e">
        <f t="shared" si="69"/>
        <v>#N/A</v>
      </c>
      <c r="AE58" s="72"/>
      <c r="AF58" s="72" t="e">
        <f t="shared" si="52"/>
        <v>#N/A</v>
      </c>
      <c r="AG58" s="72" t="e">
        <f>IF('חד גזעי'!$AM$5="לא",(VLOOKUP(C58,'חד גזעי'!$P$1:$S$589,3,FALSE)),(VLOOKUP(C58,'חד גזעי'!$P$1:$S$589,4,FALSE)))</f>
        <v>#N/A</v>
      </c>
      <c r="AH58" s="72">
        <f t="shared" si="53"/>
        <v>0</v>
      </c>
      <c r="AI58" s="72">
        <f t="shared" si="54"/>
        <v>0</v>
      </c>
      <c r="AJ58" s="72">
        <f t="shared" si="55"/>
        <v>0</v>
      </c>
      <c r="AK58" s="72" t="e">
        <f t="shared" si="56"/>
        <v>#N/A</v>
      </c>
      <c r="AL58" t="e">
        <f>VLOOKUP(C58,'חד גזעי'!$AH$8:$AI$33,2,FALSE)</f>
        <v>#N/A</v>
      </c>
      <c r="AM58" s="72" t="b">
        <f t="shared" si="57"/>
        <v>0</v>
      </c>
      <c r="AN58" s="72" t="b">
        <f t="shared" si="58"/>
        <v>0</v>
      </c>
      <c r="AO58" s="72" t="b">
        <f t="shared" si="59"/>
        <v>0</v>
      </c>
      <c r="AS58" s="72">
        <f t="shared" si="60"/>
        <v>0</v>
      </c>
      <c r="AT58" s="72">
        <f t="shared" si="61"/>
        <v>0</v>
      </c>
      <c r="AU58" s="72">
        <f t="shared" si="70"/>
        <v>0</v>
      </c>
      <c r="AV58" s="72">
        <f t="shared" si="62"/>
        <v>0</v>
      </c>
      <c r="AW58" s="72">
        <f t="shared" si="63"/>
        <v>0</v>
      </c>
      <c r="AX58" s="72">
        <f t="shared" si="64"/>
        <v>0</v>
      </c>
      <c r="AY58" s="72">
        <f t="shared" si="65"/>
        <v>0</v>
      </c>
      <c r="AZ58" s="72">
        <f t="shared" si="66"/>
        <v>0</v>
      </c>
      <c r="BA58" s="72" t="e">
        <f t="shared" si="67"/>
        <v>#N/A</v>
      </c>
      <c r="BB58" s="72" t="e">
        <f t="shared" si="73"/>
        <v>#N/A</v>
      </c>
      <c r="BC58" s="77"/>
      <c r="BE58">
        <f t="shared" si="48"/>
        <v>0</v>
      </c>
      <c r="BF58" s="196"/>
      <c r="BG58" s="196"/>
      <c r="BH58" s="196"/>
      <c r="BI58" s="196"/>
      <c r="BJ58" s="196"/>
      <c r="BK58" s="196"/>
    </row>
    <row r="59" spans="2:63" hidden="1">
      <c r="B59" s="72"/>
      <c r="C59" s="135"/>
      <c r="D59" s="109"/>
      <c r="E59" s="73"/>
      <c r="F59" s="72"/>
      <c r="G59" s="72"/>
      <c r="H59" s="72"/>
      <c r="I59" s="73">
        <f t="shared" si="71"/>
        <v>0</v>
      </c>
      <c r="J59" s="78"/>
      <c r="K59" s="73"/>
      <c r="L59" s="74" t="e">
        <f>_xlfn.IFNA(VLOOKUP(C59,'חד גזעי'!$U$3:$V$509,2,0),VLOOKUP(C59,'חד גזעי'!$U$3:$V$509,2))</f>
        <v>#N/A</v>
      </c>
      <c r="M59" s="73"/>
      <c r="N59" s="72" t="e">
        <f>_xlfn.IFNA(IF(VLOOKUP(C59,'חד גזעי'!$AH$2:$AH$7,1,FALSE)&gt;0,0,IF('חד גזעי'!$AM$5="כן",IF(_xlfn.IFNA(VLOOKUP(C59,'חד גזעי'!$AH$2:$AH$33,1,FALSE),SUM(J59:M59))&lt;21,_xlfn.IFNA(VLOOKUP(C59,'חד גזעי'!$AH$2:$AH$33,1,FALSE),SUM(J59:M59)),0),SUM(J59:M59))),IF('חד גזעי'!$AM$5="כן",IF(_xlfn.IFNA(VLOOKUP(C59,'חד גזעי'!$AH$2:$AH$33,1,FALSE),SUM(J59:M59))&lt;21,_xlfn.IFNA(VLOOKUP(C59,'חד גזעי'!$AH$2:$AH$33,1,FALSE),SUM(J59:M59)),0),SUM(J59:M59)))</f>
        <v>#N/A</v>
      </c>
      <c r="O59" s="72">
        <f>IF('חד גזעי'!$AM$3 = "כן",IF(T59&gt;4,4,T59),T59)</f>
        <v>0</v>
      </c>
      <c r="P59" s="80">
        <f>IF(E59&lt;2,0,IF(Z59&gt;0,Z59,IF(N59 = 0,0,IF('חד גזעי'!$AM$2 = "לא",IF(F59&gt;19,W59,0),IF(F59&gt;9,Y59,0)))))</f>
        <v>0</v>
      </c>
      <c r="Q59" s="77"/>
      <c r="R59" s="75"/>
      <c r="S59" t="e">
        <f>VLOOKUP(C59,'חד גזעי'!$Y$4:$Y$18,1,0)</f>
        <v>#N/A</v>
      </c>
      <c r="T59" s="72">
        <f>IF('חד גזעי'!$AM$6="לא",IF(P59=0,IF(BC59="שימור",IF('חד גזעי'!$AM$4="לא",IF(BC59="לא בוגר",0,IF(BC59="לא קיים",0,IF(J59=0,0,I59*0.1))),IF(BC59="לא בוגר",0,IF(BC59="לא קיים",0,IF(AB59=1,I59*0.1,E59*0.5)))),0),IF('חד גזעי'!$AM$4="לא",IF(BC59="לא בוגר",0,IF(BC59="לא קיים",0,IF(J59=0,0,I59*0.1))),IF(BC59="לא בוגר",0,IF(BC59="לא קיים",0,IF(AB59=1,I59*0.1,E59*0.5))))),IF(P59=0,IF(BC59="שימור",IF('חד גזעי'!$AM$4="לא",IF(BC59="לא בוגר",0,IF(BC59="לא קיים",0,IF(J59=0,0,I59*0.15))),IF(BC59="לא בוגר",0,IF(BC59="לא קיים",0,IF(AB59=1,I59*0.15,E59*0.5)))),0),IF('חד גזעי'!$AM$4="לא",IF(BC59="לא בוגר",0,IF(BC59="לא קיים",0,IF(J59=0,0,I59*0.15))),IF(BC59="לא בוגר",0,IF(BC59="לא קיים",0,IF(AB59=1,I59*0.15,E59*0.5))))))</f>
        <v>0</v>
      </c>
      <c r="V59" t="e">
        <f t="shared" si="25"/>
        <v>#N/A</v>
      </c>
      <c r="W59" t="e">
        <f t="shared" si="26"/>
        <v>#N/A</v>
      </c>
      <c r="X59" t="e">
        <f t="shared" si="27"/>
        <v>#N/A</v>
      </c>
      <c r="Y59">
        <f>IF('חד גזעי'!$AM$2 = "לא",0,IF(F59&gt;9,W59,0))</f>
        <v>0</v>
      </c>
      <c r="Z59">
        <f>IF('חד גזעי'!$AM$7 = "לא",0,IF(C59 = "זית אירופי",IF('חד גזעי'!$AN$7 &lt;=סקר!F59,W59,0),IF(C59 = "חרוב מצוי",IF('חד גזעי'!$AN$7 &lt;=סקר!F59,W59,0),0)))</f>
        <v>0</v>
      </c>
      <c r="AB59">
        <f t="shared" si="72"/>
        <v>1</v>
      </c>
      <c r="AC59" s="72"/>
      <c r="AD59" t="e">
        <f t="shared" si="69"/>
        <v>#N/A</v>
      </c>
      <c r="AE59" s="72"/>
      <c r="AF59" s="72" t="e">
        <f t="shared" si="52"/>
        <v>#N/A</v>
      </c>
      <c r="AG59" s="72" t="e">
        <f>IF('חד גזעי'!$AM$5="לא",(VLOOKUP(C59,'חד גזעי'!$P$1:$S$589,3,FALSE)),(VLOOKUP(C59,'חד גזעי'!$P$1:$S$589,4,FALSE)))</f>
        <v>#N/A</v>
      </c>
      <c r="AH59" s="72">
        <f t="shared" si="53"/>
        <v>0</v>
      </c>
      <c r="AI59" s="72">
        <f t="shared" si="54"/>
        <v>0</v>
      </c>
      <c r="AJ59" s="72">
        <f t="shared" si="55"/>
        <v>0</v>
      </c>
      <c r="AK59" s="72" t="e">
        <f t="shared" si="56"/>
        <v>#N/A</v>
      </c>
      <c r="AL59" t="e">
        <f>VLOOKUP(C59,'חד גזעי'!$AH$8:$AI$33,2,FALSE)</f>
        <v>#N/A</v>
      </c>
      <c r="AM59" s="72" t="b">
        <f t="shared" si="57"/>
        <v>0</v>
      </c>
      <c r="AN59" s="72" t="b">
        <f t="shared" si="58"/>
        <v>0</v>
      </c>
      <c r="AO59" s="72" t="b">
        <f t="shared" si="59"/>
        <v>0</v>
      </c>
      <c r="AS59" s="72">
        <f t="shared" si="60"/>
        <v>0</v>
      </c>
      <c r="AT59" s="72">
        <f t="shared" si="61"/>
        <v>0</v>
      </c>
      <c r="AU59" s="72">
        <f t="shared" si="70"/>
        <v>0</v>
      </c>
      <c r="AV59" s="72">
        <f t="shared" si="62"/>
        <v>0</v>
      </c>
      <c r="AW59" s="72">
        <f t="shared" si="63"/>
        <v>0</v>
      </c>
      <c r="AX59" s="72">
        <f t="shared" si="64"/>
        <v>0</v>
      </c>
      <c r="AY59" s="72">
        <f t="shared" si="65"/>
        <v>0</v>
      </c>
      <c r="AZ59" s="72">
        <f t="shared" si="66"/>
        <v>0</v>
      </c>
      <c r="BA59" s="72" t="e">
        <f t="shared" si="67"/>
        <v>#N/A</v>
      </c>
      <c r="BB59" s="72" t="e">
        <f t="shared" si="73"/>
        <v>#N/A</v>
      </c>
      <c r="BC59" s="77"/>
      <c r="BE59">
        <f t="shared" si="48"/>
        <v>0</v>
      </c>
      <c r="BF59" s="196"/>
      <c r="BG59" s="196"/>
      <c r="BH59" s="196"/>
      <c r="BI59" s="196"/>
      <c r="BJ59" s="196"/>
      <c r="BK59" s="196"/>
    </row>
    <row r="60" spans="2:63" hidden="1">
      <c r="B60" s="72"/>
      <c r="C60" s="135"/>
      <c r="D60" s="109"/>
      <c r="E60" s="73"/>
      <c r="F60" s="72"/>
      <c r="G60" s="72"/>
      <c r="H60" s="72"/>
      <c r="I60" s="73">
        <f t="shared" si="71"/>
        <v>0</v>
      </c>
      <c r="J60" s="73"/>
      <c r="K60" s="73"/>
      <c r="L60" s="74" t="e">
        <f>_xlfn.IFNA(VLOOKUP(C60,'חד גזעי'!$U$3:$V$509,2,0),VLOOKUP(C60,'חד גזעי'!$U$3:$V$509,2))</f>
        <v>#N/A</v>
      </c>
      <c r="M60" s="73"/>
      <c r="N60" s="72" t="e">
        <f>_xlfn.IFNA(IF(VLOOKUP(C60,'חד גזעי'!$AH$2:$AH$7,1,FALSE)&gt;0,0,IF('חד גזעי'!$AM$5="כן",IF(_xlfn.IFNA(VLOOKUP(C60,'חד גזעי'!$AH$2:$AH$33,1,FALSE),SUM(J60:M60))&lt;21,_xlfn.IFNA(VLOOKUP(C60,'חד גזעי'!$AH$2:$AH$33,1,FALSE),SUM(J60:M60)),0),SUM(J60:M60))),IF('חד גזעי'!$AM$5="כן",IF(_xlfn.IFNA(VLOOKUP(C60,'חד גזעי'!$AH$2:$AH$33,1,FALSE),SUM(J60:M60))&lt;21,_xlfn.IFNA(VLOOKUP(C60,'חד גזעי'!$AH$2:$AH$33,1,FALSE),SUM(J60:M60)),0),SUM(J60:M60)))</f>
        <v>#N/A</v>
      </c>
      <c r="O60" s="72">
        <f>IF('חד גזעי'!$AM$3 = "כן",IF(T60&gt;4,4,T60),T60)</f>
        <v>0</v>
      </c>
      <c r="P60" s="80">
        <f>IF(E60&lt;2,0,IF(Z60&gt;0,Z60,IF(N60 = 0,0,IF('חד גזעי'!$AM$2 = "לא",IF(F60&gt;19,W60,0),IF(F60&gt;9,Y60,0)))))</f>
        <v>0</v>
      </c>
      <c r="Q60" s="77"/>
      <c r="R60" s="75"/>
      <c r="S60" t="e">
        <f>VLOOKUP(C60,'חד גזעי'!$Y$4:$Y$18,1,0)</f>
        <v>#N/A</v>
      </c>
      <c r="T60" s="72">
        <f>IF('חד גזעי'!$AM$6="לא",IF(P60=0,IF(BC60="שימור",IF('חד גזעי'!$AM$4="לא",IF(BC60="לא בוגר",0,IF(BC60="לא קיים",0,IF(J60=0,0,I60*0.1))),IF(BC60="לא בוגר",0,IF(BC60="לא קיים",0,IF(AB60=1,I60*0.1,E60*0.5)))),0),IF('חד גזעי'!$AM$4="לא",IF(BC60="לא בוגר",0,IF(BC60="לא קיים",0,IF(J60=0,0,I60*0.1))),IF(BC60="לא בוגר",0,IF(BC60="לא קיים",0,IF(AB60=1,I60*0.1,E60*0.5))))),IF(P60=0,IF(BC60="שימור",IF('חד גזעי'!$AM$4="לא",IF(BC60="לא בוגר",0,IF(BC60="לא קיים",0,IF(J60=0,0,I60*0.15))),IF(BC60="לא בוגר",0,IF(BC60="לא קיים",0,IF(AB60=1,I60*0.15,E60*0.5)))),0),IF('חד גזעי'!$AM$4="לא",IF(BC60="לא בוגר",0,IF(BC60="לא קיים",0,IF(J60=0,0,I60*0.15))),IF(BC60="לא בוגר",0,IF(BC60="לא קיים",0,IF(AB60=1,I60*0.15,E60*0.5))))))</f>
        <v>0</v>
      </c>
      <c r="V60" t="e">
        <f t="shared" si="25"/>
        <v>#N/A</v>
      </c>
      <c r="W60" t="e">
        <f t="shared" si="26"/>
        <v>#N/A</v>
      </c>
      <c r="X60" t="e">
        <f t="shared" si="27"/>
        <v>#N/A</v>
      </c>
      <c r="Y60">
        <f>IF('חד גזעי'!$AM$2 = "לא",0,IF(F60&gt;9,W60,0))</f>
        <v>0</v>
      </c>
      <c r="Z60">
        <f>IF('חד גזעי'!$AM$7 = "לא",0,IF(C60 = "זית אירופי",IF('חד גזעי'!$AN$7 &lt;=סקר!F60,W60,0),IF(C60 = "חרוב מצוי",IF('חד גזעי'!$AN$7 &lt;=סקר!F60,W60,0),0)))</f>
        <v>0</v>
      </c>
      <c r="AB60">
        <f t="shared" si="72"/>
        <v>1</v>
      </c>
      <c r="AC60" s="72"/>
      <c r="AD60" t="e">
        <f t="shared" si="69"/>
        <v>#N/A</v>
      </c>
      <c r="AE60" s="72"/>
      <c r="AF60" s="72" t="e">
        <f t="shared" si="52"/>
        <v>#N/A</v>
      </c>
      <c r="AG60" s="72" t="e">
        <f>IF('חד גזעי'!$AM$5="לא",(VLOOKUP(C60,'חד גזעי'!$P$1:$S$589,3,FALSE)),(VLOOKUP(C60,'חד גזעי'!$P$1:$S$589,4,FALSE)))</f>
        <v>#N/A</v>
      </c>
      <c r="AH60" s="72">
        <f t="shared" si="53"/>
        <v>0</v>
      </c>
      <c r="AI60" s="72">
        <f t="shared" si="54"/>
        <v>0</v>
      </c>
      <c r="AJ60" s="72">
        <f t="shared" si="55"/>
        <v>0</v>
      </c>
      <c r="AK60" s="72" t="e">
        <f t="shared" si="56"/>
        <v>#N/A</v>
      </c>
      <c r="AL60" t="e">
        <f>VLOOKUP(C60,'חד גזעי'!$AH$8:$AI$33,2,FALSE)</f>
        <v>#N/A</v>
      </c>
      <c r="AM60" s="72" t="b">
        <f t="shared" si="57"/>
        <v>0</v>
      </c>
      <c r="AN60" s="72" t="b">
        <f t="shared" si="58"/>
        <v>0</v>
      </c>
      <c r="AO60" s="72" t="b">
        <f t="shared" si="59"/>
        <v>0</v>
      </c>
      <c r="AS60" s="72">
        <f t="shared" si="60"/>
        <v>0</v>
      </c>
      <c r="AT60" s="72">
        <f t="shared" si="61"/>
        <v>0</v>
      </c>
      <c r="AU60" s="72">
        <f t="shared" si="70"/>
        <v>0</v>
      </c>
      <c r="AV60" s="72">
        <f t="shared" si="62"/>
        <v>0</v>
      </c>
      <c r="AW60" s="72">
        <f t="shared" si="63"/>
        <v>0</v>
      </c>
      <c r="AX60" s="72">
        <f t="shared" si="64"/>
        <v>0</v>
      </c>
      <c r="AY60" s="72">
        <f t="shared" si="65"/>
        <v>0</v>
      </c>
      <c r="AZ60" s="72">
        <f t="shared" si="66"/>
        <v>0</v>
      </c>
      <c r="BA60" s="72" t="e">
        <f t="shared" si="67"/>
        <v>#N/A</v>
      </c>
      <c r="BB60" s="72" t="e">
        <f t="shared" si="73"/>
        <v>#N/A</v>
      </c>
      <c r="BC60" s="77"/>
      <c r="BE60">
        <f t="shared" si="48"/>
        <v>0</v>
      </c>
      <c r="BF60" s="196"/>
      <c r="BG60" s="196"/>
      <c r="BH60" s="196"/>
      <c r="BI60" s="196"/>
      <c r="BJ60" s="196"/>
      <c r="BK60" s="196"/>
    </row>
    <row r="61" spans="2:63" hidden="1">
      <c r="B61" s="72"/>
      <c r="C61" s="135"/>
      <c r="D61" s="109"/>
      <c r="E61" s="73"/>
      <c r="F61" s="72"/>
      <c r="G61" s="72"/>
      <c r="H61" s="72"/>
      <c r="I61" s="73">
        <f t="shared" si="71"/>
        <v>0</v>
      </c>
      <c r="J61" s="73"/>
      <c r="K61" s="73"/>
      <c r="L61" s="74" t="e">
        <f>_xlfn.IFNA(VLOOKUP(C61,'חד גזעי'!$U$3:$V$509,2,0),VLOOKUP(C61,'חד גזעי'!$U$3:$V$509,2))</f>
        <v>#N/A</v>
      </c>
      <c r="M61" s="73"/>
      <c r="N61" s="72" t="e">
        <f>_xlfn.IFNA(IF(VLOOKUP(C61,'חד גזעי'!$AH$2:$AH$7,1,FALSE)&gt;0,0,IF('חד גזעי'!$AM$5="כן",IF(_xlfn.IFNA(VLOOKUP(C61,'חד גזעי'!$AH$2:$AH$33,1,FALSE),SUM(J61:M61))&lt;21,_xlfn.IFNA(VLOOKUP(C61,'חד גזעי'!$AH$2:$AH$33,1,FALSE),SUM(J61:M61)),0),SUM(J61:M61))),IF('חד גזעי'!$AM$5="כן",IF(_xlfn.IFNA(VLOOKUP(C61,'חד גזעי'!$AH$2:$AH$33,1,FALSE),SUM(J61:M61))&lt;21,_xlfn.IFNA(VLOOKUP(C61,'חד גזעי'!$AH$2:$AH$33,1,FALSE),SUM(J61:M61)),0),SUM(J61:M61)))</f>
        <v>#N/A</v>
      </c>
      <c r="O61" s="72">
        <f>IF('חד גזעי'!$AM$3 = "כן",IF(T61&gt;4,4,T61),T61)</f>
        <v>0</v>
      </c>
      <c r="P61" s="80">
        <f>IF(E61&lt;2,0,IF(Z61&gt;0,Z61,IF(N61 = 0,0,IF('חד גזעי'!$AM$2 = "לא",IF(F61&gt;19,W61,0),IF(F61&gt;9,Y61,0)))))</f>
        <v>0</v>
      </c>
      <c r="Q61" s="77"/>
      <c r="R61" s="75"/>
      <c r="S61" t="e">
        <f>VLOOKUP(C61,'חד גזעי'!$Y$4:$Y$18,1,0)</f>
        <v>#N/A</v>
      </c>
      <c r="T61" s="72">
        <f>IF('חד גזעי'!$AM$6="לא",IF(P61=0,IF(BC61="שימור",IF('חד גזעי'!$AM$4="לא",IF(BC61="לא בוגר",0,IF(BC61="לא קיים",0,IF(J61=0,0,I61*0.1))),IF(BC61="לא בוגר",0,IF(BC61="לא קיים",0,IF(AB61=1,I61*0.1,E61*0.5)))),0),IF('חד גזעי'!$AM$4="לא",IF(BC61="לא בוגר",0,IF(BC61="לא קיים",0,IF(J61=0,0,I61*0.1))),IF(BC61="לא בוגר",0,IF(BC61="לא קיים",0,IF(AB61=1,I61*0.1,E61*0.5))))),IF(P61=0,IF(BC61="שימור",IF('חד גזעי'!$AM$4="לא",IF(BC61="לא בוגר",0,IF(BC61="לא קיים",0,IF(J61=0,0,I61*0.15))),IF(BC61="לא בוגר",0,IF(BC61="לא קיים",0,IF(AB61=1,I61*0.15,E61*0.5)))),0),IF('חד גזעי'!$AM$4="לא",IF(BC61="לא בוגר",0,IF(BC61="לא קיים",0,IF(J61=0,0,I61*0.15))),IF(BC61="לא בוגר",0,IF(BC61="לא קיים",0,IF(AB61=1,I61*0.15,E61*0.5))))))</f>
        <v>0</v>
      </c>
      <c r="V61" t="e">
        <f t="shared" si="25"/>
        <v>#N/A</v>
      </c>
      <c r="W61" t="e">
        <f t="shared" si="26"/>
        <v>#N/A</v>
      </c>
      <c r="X61" t="e">
        <f t="shared" si="27"/>
        <v>#N/A</v>
      </c>
      <c r="Y61">
        <f>IF('חד גזעי'!$AM$2 = "לא",0,IF(F61&gt;9,W61,0))</f>
        <v>0</v>
      </c>
      <c r="Z61">
        <f>IF('חד גזעי'!$AM$7 = "לא",0,IF(C61 = "זית אירופי",IF('חד גזעי'!$AN$7 &lt;=סקר!F61,W61,0),IF(C61 = "חרוב מצוי",IF('חד גזעי'!$AN$7 &lt;=סקר!F61,W61,0),0)))</f>
        <v>0</v>
      </c>
      <c r="AB61">
        <f t="shared" si="72"/>
        <v>1</v>
      </c>
      <c r="AC61" s="72"/>
      <c r="AD61" t="e">
        <f t="shared" si="69"/>
        <v>#N/A</v>
      </c>
      <c r="AE61" s="72"/>
      <c r="AF61" s="72" t="e">
        <f t="shared" si="52"/>
        <v>#N/A</v>
      </c>
      <c r="AG61" s="72" t="e">
        <f>IF('חד גזעי'!$AM$5="לא",(VLOOKUP(C61,'חד גזעי'!$P$1:$S$589,3,FALSE)),(VLOOKUP(C61,'חד גזעי'!$P$1:$S$589,4,FALSE)))</f>
        <v>#N/A</v>
      </c>
      <c r="AH61" s="72">
        <f t="shared" si="53"/>
        <v>0</v>
      </c>
      <c r="AI61" s="72">
        <f t="shared" si="54"/>
        <v>0</v>
      </c>
      <c r="AJ61" s="72">
        <f t="shared" si="55"/>
        <v>0</v>
      </c>
      <c r="AK61" s="72" t="e">
        <f t="shared" si="56"/>
        <v>#N/A</v>
      </c>
      <c r="AL61" t="e">
        <f>VLOOKUP(C61,'חד גזעי'!$AH$8:$AI$33,2,FALSE)</f>
        <v>#N/A</v>
      </c>
      <c r="AM61" s="72" t="b">
        <f t="shared" si="57"/>
        <v>0</v>
      </c>
      <c r="AN61" s="72" t="b">
        <f t="shared" si="58"/>
        <v>0</v>
      </c>
      <c r="AO61" s="72" t="b">
        <f t="shared" si="59"/>
        <v>0</v>
      </c>
      <c r="AS61" s="72">
        <f t="shared" si="60"/>
        <v>0</v>
      </c>
      <c r="AT61" s="72">
        <f t="shared" si="61"/>
        <v>0</v>
      </c>
      <c r="AU61" s="72">
        <f t="shared" si="70"/>
        <v>0</v>
      </c>
      <c r="AV61" s="72">
        <f t="shared" si="62"/>
        <v>0</v>
      </c>
      <c r="AW61" s="72">
        <f t="shared" si="63"/>
        <v>0</v>
      </c>
      <c r="AX61" s="72">
        <f t="shared" si="64"/>
        <v>0</v>
      </c>
      <c r="AY61" s="72">
        <f t="shared" si="65"/>
        <v>0</v>
      </c>
      <c r="AZ61" s="72">
        <f t="shared" si="66"/>
        <v>0</v>
      </c>
      <c r="BA61" s="72" t="e">
        <f t="shared" si="67"/>
        <v>#N/A</v>
      </c>
      <c r="BB61" s="72" t="e">
        <f t="shared" si="73"/>
        <v>#N/A</v>
      </c>
      <c r="BC61" s="77"/>
      <c r="BE61">
        <f t="shared" si="48"/>
        <v>0</v>
      </c>
      <c r="BF61" s="196"/>
      <c r="BG61" s="196"/>
      <c r="BH61" s="196"/>
      <c r="BI61" s="196"/>
      <c r="BJ61" s="196"/>
      <c r="BK61" s="196"/>
    </row>
    <row r="62" spans="2:63" hidden="1">
      <c r="B62" s="72"/>
      <c r="C62" s="135"/>
      <c r="D62" s="109"/>
      <c r="E62" s="73"/>
      <c r="F62" s="72"/>
      <c r="G62" s="72"/>
      <c r="H62" s="72"/>
      <c r="I62" s="73">
        <f t="shared" si="71"/>
        <v>0</v>
      </c>
      <c r="J62" s="78"/>
      <c r="K62" s="73"/>
      <c r="L62" s="74" t="e">
        <f>_xlfn.IFNA(VLOOKUP(C62,'חד גזעי'!$U$3:$V$509,2,0),VLOOKUP(C62,'חד גזעי'!$U$3:$V$509,2))</f>
        <v>#N/A</v>
      </c>
      <c r="M62" s="73"/>
      <c r="N62" s="72" t="e">
        <f>_xlfn.IFNA(IF(VLOOKUP(C62,'חד גזעי'!$AH$2:$AH$7,1,FALSE)&gt;0,0,IF('חד גזעי'!$AM$5="כן",IF(_xlfn.IFNA(VLOOKUP(C62,'חד גזעי'!$AH$2:$AH$33,1,FALSE),SUM(J62:M62))&lt;21,_xlfn.IFNA(VLOOKUP(C62,'חד גזעי'!$AH$2:$AH$33,1,FALSE),SUM(J62:M62)),0),SUM(J62:M62))),IF('חד גזעי'!$AM$5="כן",IF(_xlfn.IFNA(VLOOKUP(C62,'חד גזעי'!$AH$2:$AH$33,1,FALSE),SUM(J62:M62))&lt;21,_xlfn.IFNA(VLOOKUP(C62,'חד גזעי'!$AH$2:$AH$33,1,FALSE),SUM(J62:M62)),0),SUM(J62:M62)))</f>
        <v>#N/A</v>
      </c>
      <c r="O62" s="72">
        <f>IF('חד גזעי'!$AM$3 = "כן",IF(T62&gt;4,4,T62),T62)</f>
        <v>0</v>
      </c>
      <c r="P62" s="80">
        <f>IF(E62&lt;2,0,IF(Z62&gt;0,Z62,IF(N62 = 0,0,IF('חד גזעי'!$AM$2 = "לא",IF(F62&gt;19,W62,0),IF(F62&gt;9,Y62,0)))))</f>
        <v>0</v>
      </c>
      <c r="Q62" s="77"/>
      <c r="R62" s="75"/>
      <c r="S62" t="e">
        <f>VLOOKUP(C62,'חד גזעי'!$Y$4:$Y$18,1,0)</f>
        <v>#N/A</v>
      </c>
      <c r="T62" s="72">
        <f>IF('חד גזעי'!$AM$6="לא",IF(P62=0,IF(BC62="שימור",IF('חד גזעי'!$AM$4="לא",IF(BC62="לא בוגר",0,IF(BC62="לא קיים",0,IF(J62=0,0,I62*0.1))),IF(BC62="לא בוגר",0,IF(BC62="לא קיים",0,IF(AB62=1,I62*0.1,E62*0.5)))),0),IF('חד גזעי'!$AM$4="לא",IF(BC62="לא בוגר",0,IF(BC62="לא קיים",0,IF(J62=0,0,I62*0.1))),IF(BC62="לא בוגר",0,IF(BC62="לא קיים",0,IF(AB62=1,I62*0.1,E62*0.5))))),IF(P62=0,IF(BC62="שימור",IF('חד גזעי'!$AM$4="לא",IF(BC62="לא בוגר",0,IF(BC62="לא קיים",0,IF(J62=0,0,I62*0.15))),IF(BC62="לא בוגר",0,IF(BC62="לא קיים",0,IF(AB62=1,I62*0.15,E62*0.5)))),0),IF('חד גזעי'!$AM$4="לא",IF(BC62="לא בוגר",0,IF(BC62="לא קיים",0,IF(J62=0,0,I62*0.15))),IF(BC62="לא בוגר",0,IF(BC62="לא קיים",0,IF(AB62=1,I62*0.15,E62*0.5))))))</f>
        <v>0</v>
      </c>
      <c r="V62" t="e">
        <f t="shared" si="25"/>
        <v>#N/A</v>
      </c>
      <c r="W62" t="e">
        <f t="shared" si="26"/>
        <v>#N/A</v>
      </c>
      <c r="X62" t="e">
        <f t="shared" si="27"/>
        <v>#N/A</v>
      </c>
      <c r="Y62">
        <f>IF('חד גזעי'!$AM$2 = "לא",0,IF(F62&gt;9,W62,0))</f>
        <v>0</v>
      </c>
      <c r="Z62">
        <f>IF('חד גזעי'!$AM$7 = "לא",0,IF(C62 = "זית אירופי",IF('חד גזעי'!$AN$7 &lt;=סקר!F62,W62,0),IF(C62 = "חרוב מצוי",IF('חד גזעי'!$AN$7 &lt;=סקר!F62,W62,0),0)))</f>
        <v>0</v>
      </c>
      <c r="AB62">
        <f t="shared" si="72"/>
        <v>1</v>
      </c>
      <c r="AC62" s="72"/>
      <c r="AD62" t="e">
        <f t="shared" si="69"/>
        <v>#N/A</v>
      </c>
      <c r="AE62" s="72"/>
      <c r="AF62" s="72" t="e">
        <f t="shared" si="52"/>
        <v>#N/A</v>
      </c>
      <c r="AG62" s="72" t="e">
        <f>IF('חד גזעי'!$AM$5="לא",(VLOOKUP(C62,'חד גזעי'!$P$1:$S$589,3,FALSE)),(VLOOKUP(C62,'חד גזעי'!$P$1:$S$589,4,FALSE)))</f>
        <v>#N/A</v>
      </c>
      <c r="AH62" s="72">
        <f t="shared" si="53"/>
        <v>0</v>
      </c>
      <c r="AI62" s="72">
        <f t="shared" si="54"/>
        <v>0</v>
      </c>
      <c r="AJ62" s="72">
        <f t="shared" si="55"/>
        <v>0</v>
      </c>
      <c r="AK62" s="72" t="e">
        <f t="shared" si="56"/>
        <v>#N/A</v>
      </c>
      <c r="AL62" t="e">
        <f>VLOOKUP(C62,'חד גזעי'!$AH$8:$AI$33,2,FALSE)</f>
        <v>#N/A</v>
      </c>
      <c r="AM62" s="72" t="b">
        <f t="shared" si="57"/>
        <v>0</v>
      </c>
      <c r="AN62" s="72" t="b">
        <f t="shared" si="58"/>
        <v>0</v>
      </c>
      <c r="AO62" s="72" t="b">
        <f t="shared" si="59"/>
        <v>0</v>
      </c>
      <c r="AS62" s="72">
        <f t="shared" si="60"/>
        <v>0</v>
      </c>
      <c r="AT62" s="72">
        <f t="shared" si="61"/>
        <v>0</v>
      </c>
      <c r="AU62" s="72">
        <f t="shared" si="70"/>
        <v>0</v>
      </c>
      <c r="AV62" s="72">
        <f t="shared" si="62"/>
        <v>0</v>
      </c>
      <c r="AW62" s="72">
        <f t="shared" si="63"/>
        <v>0</v>
      </c>
      <c r="AX62" s="72">
        <f t="shared" si="64"/>
        <v>0</v>
      </c>
      <c r="AY62" s="72">
        <f t="shared" si="65"/>
        <v>0</v>
      </c>
      <c r="AZ62" s="72">
        <f t="shared" si="66"/>
        <v>0</v>
      </c>
      <c r="BA62" s="72" t="e">
        <f t="shared" si="67"/>
        <v>#N/A</v>
      </c>
      <c r="BB62" s="72" t="e">
        <f t="shared" si="73"/>
        <v>#N/A</v>
      </c>
      <c r="BC62" s="77"/>
      <c r="BE62">
        <f t="shared" si="48"/>
        <v>0</v>
      </c>
      <c r="BF62" s="196"/>
      <c r="BG62" s="196"/>
      <c r="BH62" s="196"/>
      <c r="BI62" s="196"/>
      <c r="BJ62" s="196"/>
      <c r="BK62" s="196"/>
    </row>
    <row r="63" spans="2:63" hidden="1">
      <c r="B63" s="72"/>
      <c r="C63" s="135"/>
      <c r="D63" s="109"/>
      <c r="E63" s="73"/>
      <c r="F63" s="72"/>
      <c r="G63" s="72"/>
      <c r="H63" s="72"/>
      <c r="I63" s="73">
        <f t="shared" si="71"/>
        <v>0</v>
      </c>
      <c r="J63" s="78"/>
      <c r="K63" s="73"/>
      <c r="L63" s="74" t="e">
        <f>_xlfn.IFNA(VLOOKUP(C63,'חד גזעי'!$U$3:$V$509,2,0),VLOOKUP(C63,'חד גזעי'!$U$3:$V$509,2))</f>
        <v>#N/A</v>
      </c>
      <c r="M63" s="73"/>
      <c r="N63" s="72" t="e">
        <f>_xlfn.IFNA(IF(VLOOKUP(C63,'חד גזעי'!$AH$2:$AH$7,1,FALSE)&gt;0,0,IF('חד גזעי'!$AM$5="כן",IF(_xlfn.IFNA(VLOOKUP(C63,'חד גזעי'!$AH$2:$AH$33,1,FALSE),SUM(J63:M63))&lt;21,_xlfn.IFNA(VLOOKUP(C63,'חד גזעי'!$AH$2:$AH$33,1,FALSE),SUM(J63:M63)),0),SUM(J63:M63))),IF('חד גזעי'!$AM$5="כן",IF(_xlfn.IFNA(VLOOKUP(C63,'חד גזעי'!$AH$2:$AH$33,1,FALSE),SUM(J63:M63))&lt;21,_xlfn.IFNA(VLOOKUP(C63,'חד גזעי'!$AH$2:$AH$33,1,FALSE),SUM(J63:M63)),0),SUM(J63:M63)))</f>
        <v>#N/A</v>
      </c>
      <c r="O63" s="72">
        <f>IF('חד גזעי'!$AM$3 = "כן",IF(T63&gt;4,4,T63),T63)</f>
        <v>0</v>
      </c>
      <c r="P63" s="80">
        <f>IF(E63&lt;2,0,IF(Z63&gt;0,Z63,IF(N63 = 0,0,IF('חד גזעי'!$AM$2 = "לא",IF(F63&gt;19,W63,0),IF(F63&gt;9,Y63,0)))))</f>
        <v>0</v>
      </c>
      <c r="Q63" s="77"/>
      <c r="R63" s="75"/>
      <c r="S63" t="e">
        <f>VLOOKUP(C63,'חד גזעי'!$Y$4:$Y$18,1,0)</f>
        <v>#N/A</v>
      </c>
      <c r="T63" s="72">
        <f>IF('חד גזעי'!$AM$6="לא",IF(P63=0,IF(BC63="שימור",IF('חד גזעי'!$AM$4="לא",IF(BC63="לא בוגר",0,IF(BC63="לא קיים",0,IF(J63=0,0,I63*0.1))),IF(BC63="לא בוגר",0,IF(BC63="לא קיים",0,IF(AB63=1,I63*0.1,E63*0.5)))),0),IF('חד גזעי'!$AM$4="לא",IF(BC63="לא בוגר",0,IF(BC63="לא קיים",0,IF(J63=0,0,I63*0.1))),IF(BC63="לא בוגר",0,IF(BC63="לא קיים",0,IF(AB63=1,I63*0.1,E63*0.5))))),IF(P63=0,IF(BC63="שימור",IF('חד גזעי'!$AM$4="לא",IF(BC63="לא בוגר",0,IF(BC63="לא קיים",0,IF(J63=0,0,I63*0.15))),IF(BC63="לא בוגר",0,IF(BC63="לא קיים",0,IF(AB63=1,I63*0.15,E63*0.5)))),0),IF('חד גזעי'!$AM$4="לא",IF(BC63="לא בוגר",0,IF(BC63="לא קיים",0,IF(J63=0,0,I63*0.15))),IF(BC63="לא בוגר",0,IF(BC63="לא קיים",0,IF(AB63=1,I63*0.15,E63*0.5))))))</f>
        <v>0</v>
      </c>
      <c r="V63" t="e">
        <f t="shared" si="25"/>
        <v>#N/A</v>
      </c>
      <c r="W63" t="e">
        <f t="shared" si="26"/>
        <v>#N/A</v>
      </c>
      <c r="X63" t="e">
        <f t="shared" si="27"/>
        <v>#N/A</v>
      </c>
      <c r="Y63">
        <f>IF('חד גזעי'!$AM$2 = "לא",0,IF(F63&gt;9,W63,0))</f>
        <v>0</v>
      </c>
      <c r="Z63">
        <f>IF('חד גזעי'!$AM$7 = "לא",0,IF(C63 = "זית אירופי",IF('חד גזעי'!$AN$7 &lt;=סקר!F63,W63,0),IF(C63 = "חרוב מצוי",IF('חד גזעי'!$AN$7 &lt;=סקר!F63,W63,0),0)))</f>
        <v>0</v>
      </c>
      <c r="AB63">
        <f t="shared" si="72"/>
        <v>1</v>
      </c>
      <c r="AC63" s="72"/>
      <c r="AD63" t="e">
        <f t="shared" si="69"/>
        <v>#N/A</v>
      </c>
      <c r="AE63" s="72"/>
      <c r="AF63" s="72" t="e">
        <f t="shared" si="52"/>
        <v>#N/A</v>
      </c>
      <c r="AG63" s="72" t="e">
        <f>IF('חד גזעי'!$AM$5="לא",(VLOOKUP(C63,'חד גזעי'!$P$1:$S$589,3,FALSE)),(VLOOKUP(C63,'חד גזעי'!$P$1:$S$589,4,FALSE)))</f>
        <v>#N/A</v>
      </c>
      <c r="AH63" s="72">
        <f t="shared" si="53"/>
        <v>0</v>
      </c>
      <c r="AI63" s="72">
        <f t="shared" si="54"/>
        <v>0</v>
      </c>
      <c r="AJ63" s="72">
        <f t="shared" si="55"/>
        <v>0</v>
      </c>
      <c r="AK63" s="72" t="e">
        <f t="shared" si="56"/>
        <v>#N/A</v>
      </c>
      <c r="AL63" t="e">
        <f>VLOOKUP(C63,'חד גזעי'!$AH$8:$AI$33,2,FALSE)</f>
        <v>#N/A</v>
      </c>
      <c r="AM63" s="72" t="b">
        <f t="shared" si="57"/>
        <v>0</v>
      </c>
      <c r="AN63" s="72" t="b">
        <f t="shared" si="58"/>
        <v>0</v>
      </c>
      <c r="AO63" s="72" t="b">
        <f t="shared" si="59"/>
        <v>0</v>
      </c>
      <c r="AS63" s="72">
        <f t="shared" si="60"/>
        <v>0</v>
      </c>
      <c r="AT63" s="72">
        <f t="shared" si="61"/>
        <v>0</v>
      </c>
      <c r="AU63" s="72">
        <f t="shared" si="70"/>
        <v>0</v>
      </c>
      <c r="AV63" s="72">
        <f t="shared" si="62"/>
        <v>0</v>
      </c>
      <c r="AW63" s="72">
        <f t="shared" si="63"/>
        <v>0</v>
      </c>
      <c r="AX63" s="72">
        <f t="shared" si="64"/>
        <v>0</v>
      </c>
      <c r="AY63" s="72">
        <f t="shared" si="65"/>
        <v>0</v>
      </c>
      <c r="AZ63" s="72">
        <f t="shared" si="66"/>
        <v>0</v>
      </c>
      <c r="BA63" s="72" t="e">
        <f t="shared" si="67"/>
        <v>#N/A</v>
      </c>
      <c r="BB63" s="72" t="e">
        <f t="shared" si="73"/>
        <v>#N/A</v>
      </c>
      <c r="BC63" s="77"/>
      <c r="BE63">
        <f t="shared" si="48"/>
        <v>0</v>
      </c>
      <c r="BF63" s="196"/>
      <c r="BG63" s="196"/>
      <c r="BH63" s="196"/>
      <c r="BI63" s="196"/>
      <c r="BJ63" s="196"/>
      <c r="BK63" s="196"/>
    </row>
    <row r="64" spans="2:63" hidden="1">
      <c r="B64" s="72"/>
      <c r="C64" s="135"/>
      <c r="D64" s="109"/>
      <c r="E64" s="73"/>
      <c r="F64" s="72"/>
      <c r="G64" s="72"/>
      <c r="H64" s="72"/>
      <c r="I64" s="73">
        <f t="shared" si="71"/>
        <v>0</v>
      </c>
      <c r="J64" s="78"/>
      <c r="K64" s="73"/>
      <c r="L64" s="74" t="e">
        <f>_xlfn.IFNA(VLOOKUP(C64,'חד גזעי'!$U$3:$V$509,2,0),VLOOKUP(C64,'חד גזעי'!$U$3:$V$509,2))</f>
        <v>#N/A</v>
      </c>
      <c r="M64" s="73"/>
      <c r="N64" s="72" t="e">
        <f>_xlfn.IFNA(IF(VLOOKUP(C64,'חד גזעי'!$AH$2:$AH$7,1,FALSE)&gt;0,0,IF('חד גזעי'!$AM$5="כן",IF(_xlfn.IFNA(VLOOKUP(C64,'חד גזעי'!$AH$2:$AH$33,1,FALSE),SUM(J64:M64))&lt;21,_xlfn.IFNA(VLOOKUP(C64,'חד גזעי'!$AH$2:$AH$33,1,FALSE),SUM(J64:M64)),0),SUM(J64:M64))),IF('חד גזעי'!$AM$5="כן",IF(_xlfn.IFNA(VLOOKUP(C64,'חד גזעי'!$AH$2:$AH$33,1,FALSE),SUM(J64:M64))&lt;21,_xlfn.IFNA(VLOOKUP(C64,'חד גזעי'!$AH$2:$AH$33,1,FALSE),SUM(J64:M64)),0),SUM(J64:M64)))</f>
        <v>#N/A</v>
      </c>
      <c r="O64" s="72">
        <f>IF('חד גזעי'!$AM$3 = "כן",IF(T64&gt;4,4,T64),T64)</f>
        <v>0</v>
      </c>
      <c r="P64" s="80">
        <f>IF(E64&lt;2,0,IF(Z64&gt;0,Z64,IF(N64 = 0,0,IF('חד גזעי'!$AM$2 = "לא",IF(F64&gt;19,W64,0),IF(F64&gt;9,Y64,0)))))</f>
        <v>0</v>
      </c>
      <c r="Q64" s="77"/>
      <c r="R64" s="75"/>
      <c r="S64" t="e">
        <f>VLOOKUP(C64,'חד גזעי'!$Y$4:$Y$18,1,0)</f>
        <v>#N/A</v>
      </c>
      <c r="T64" s="72">
        <f>IF('חד גזעי'!$AM$6="לא",IF(P64=0,IF(BC64="שימור",IF('חד גזעי'!$AM$4="לא",IF(BC64="לא בוגר",0,IF(BC64="לא קיים",0,IF(J64=0,0,I64*0.1))),IF(BC64="לא בוגר",0,IF(BC64="לא קיים",0,IF(AB64=1,I64*0.1,E64*0.5)))),0),IF('חד גזעי'!$AM$4="לא",IF(BC64="לא בוגר",0,IF(BC64="לא קיים",0,IF(J64=0,0,I64*0.1))),IF(BC64="לא בוגר",0,IF(BC64="לא קיים",0,IF(AB64=1,I64*0.1,E64*0.5))))),IF(P64=0,IF(BC64="שימור",IF('חד גזעי'!$AM$4="לא",IF(BC64="לא בוגר",0,IF(BC64="לא קיים",0,IF(J64=0,0,I64*0.15))),IF(BC64="לא בוגר",0,IF(BC64="לא קיים",0,IF(AB64=1,I64*0.15,E64*0.5)))),0),IF('חד גזעי'!$AM$4="לא",IF(BC64="לא בוגר",0,IF(BC64="לא קיים",0,IF(J64=0,0,I64*0.15))),IF(BC64="לא בוגר",0,IF(BC64="לא קיים",0,IF(AB64=1,I64*0.15,E64*0.5))))))</f>
        <v>0</v>
      </c>
      <c r="V64" t="e">
        <f t="shared" si="25"/>
        <v>#N/A</v>
      </c>
      <c r="W64" t="e">
        <f t="shared" si="26"/>
        <v>#N/A</v>
      </c>
      <c r="X64" t="e">
        <f t="shared" si="27"/>
        <v>#N/A</v>
      </c>
      <c r="Y64">
        <f>IF('חד גזעי'!$AM$2 = "לא",0,IF(F64&gt;9,W64,0))</f>
        <v>0</v>
      </c>
      <c r="Z64">
        <f>IF('חד גזעי'!$AM$7 = "לא",0,IF(C64 = "זית אירופי",IF('חד גזעי'!$AN$7 &lt;=סקר!F64,W64,0),IF(C64 = "חרוב מצוי",IF('חד גזעי'!$AN$7 &lt;=סקר!F64,W64,0),0)))</f>
        <v>0</v>
      </c>
      <c r="AB64">
        <f t="shared" si="72"/>
        <v>1</v>
      </c>
      <c r="AC64" s="72"/>
      <c r="AD64" t="e">
        <f t="shared" si="69"/>
        <v>#N/A</v>
      </c>
      <c r="AE64" s="72"/>
      <c r="AF64" s="72" t="e">
        <f t="shared" si="52"/>
        <v>#N/A</v>
      </c>
      <c r="AG64" s="72" t="e">
        <f>IF('חד גזעי'!$AM$5="לא",(VLOOKUP(C64,'חד גזעי'!$P$1:$S$589,3,FALSE)),(VLOOKUP(C64,'חד גזעי'!$P$1:$S$589,4,FALSE)))</f>
        <v>#N/A</v>
      </c>
      <c r="AH64" s="72">
        <f t="shared" si="53"/>
        <v>0</v>
      </c>
      <c r="AI64" s="72">
        <f t="shared" si="54"/>
        <v>0</v>
      </c>
      <c r="AJ64" s="72">
        <f t="shared" si="55"/>
        <v>0</v>
      </c>
      <c r="AK64" s="72" t="e">
        <f t="shared" si="56"/>
        <v>#N/A</v>
      </c>
      <c r="AL64" t="e">
        <f>VLOOKUP(C64,'חד גזעי'!$AH$8:$AI$33,2,FALSE)</f>
        <v>#N/A</v>
      </c>
      <c r="AM64" s="72" t="b">
        <f t="shared" si="57"/>
        <v>0</v>
      </c>
      <c r="AN64" s="72" t="b">
        <f t="shared" si="58"/>
        <v>0</v>
      </c>
      <c r="AO64" s="72" t="b">
        <f t="shared" si="59"/>
        <v>0</v>
      </c>
      <c r="AS64" s="72">
        <f t="shared" si="60"/>
        <v>0</v>
      </c>
      <c r="AT64" s="72">
        <f t="shared" si="61"/>
        <v>0</v>
      </c>
      <c r="AU64" s="72">
        <f t="shared" si="70"/>
        <v>0</v>
      </c>
      <c r="AV64" s="72">
        <f t="shared" si="62"/>
        <v>0</v>
      </c>
      <c r="AW64" s="72">
        <f t="shared" si="63"/>
        <v>0</v>
      </c>
      <c r="AX64" s="72">
        <f t="shared" si="64"/>
        <v>0</v>
      </c>
      <c r="AY64" s="72">
        <f t="shared" si="65"/>
        <v>0</v>
      </c>
      <c r="AZ64" s="72">
        <f t="shared" si="66"/>
        <v>0</v>
      </c>
      <c r="BA64" s="72" t="e">
        <f t="shared" si="67"/>
        <v>#N/A</v>
      </c>
      <c r="BB64" s="72" t="e">
        <f t="shared" si="73"/>
        <v>#N/A</v>
      </c>
      <c r="BC64" s="77"/>
      <c r="BE64">
        <f t="shared" si="48"/>
        <v>0</v>
      </c>
      <c r="BF64" s="196"/>
      <c r="BG64" s="196"/>
      <c r="BH64" s="196"/>
      <c r="BI64" s="196"/>
      <c r="BJ64" s="196"/>
      <c r="BK64" s="196"/>
    </row>
    <row r="65" spans="2:63" hidden="1">
      <c r="B65" s="72"/>
      <c r="C65" s="135"/>
      <c r="D65" s="109"/>
      <c r="E65" s="73"/>
      <c r="F65" s="72"/>
      <c r="G65" s="72"/>
      <c r="H65" s="72"/>
      <c r="I65" s="73">
        <f t="shared" si="71"/>
        <v>0</v>
      </c>
      <c r="J65" s="78"/>
      <c r="K65" s="73"/>
      <c r="L65" s="74" t="e">
        <f>_xlfn.IFNA(VLOOKUP(C65,'חד גזעי'!$U$3:$V$509,2,0),VLOOKUP(C65,'חד גזעי'!$U$3:$V$509,2))</f>
        <v>#N/A</v>
      </c>
      <c r="M65" s="73"/>
      <c r="N65" s="72" t="e">
        <f>_xlfn.IFNA(IF(VLOOKUP(C65,'חד גזעי'!$AH$2:$AH$7,1,FALSE)&gt;0,0,IF('חד גזעי'!$AM$5="כן",IF(_xlfn.IFNA(VLOOKUP(C65,'חד גזעי'!$AH$2:$AH$33,1,FALSE),SUM(J65:M65))&lt;21,_xlfn.IFNA(VLOOKUP(C65,'חד גזעי'!$AH$2:$AH$33,1,FALSE),SUM(J65:M65)),0),SUM(J65:M65))),IF('חד גזעי'!$AM$5="כן",IF(_xlfn.IFNA(VLOOKUP(C65,'חד גזעי'!$AH$2:$AH$33,1,FALSE),SUM(J65:M65))&lt;21,_xlfn.IFNA(VLOOKUP(C65,'חד גזעי'!$AH$2:$AH$33,1,FALSE),SUM(J65:M65)),0),SUM(J65:M65)))</f>
        <v>#N/A</v>
      </c>
      <c r="O65" s="72">
        <f>IF('חד גזעי'!$AM$3 = "כן",IF(T65&gt;4,4,T65),T65)</f>
        <v>0</v>
      </c>
      <c r="P65" s="80">
        <f>IF(E65&lt;2,0,IF(Z65&gt;0,Z65,IF(N65 = 0,0,IF('חד גזעי'!$AM$2 = "לא",IF(F65&gt;19,W65,0),IF(F65&gt;9,Y65,0)))))</f>
        <v>0</v>
      </c>
      <c r="Q65" s="77"/>
      <c r="R65" s="75"/>
      <c r="S65" t="e">
        <f>VLOOKUP(C65,'חד גזעי'!$Y$4:$Y$18,1,0)</f>
        <v>#N/A</v>
      </c>
      <c r="T65" s="72">
        <f>IF('חד גזעי'!$AM$6="לא",IF(P65=0,IF(BC65="שימור",IF('חד גזעי'!$AM$4="לא",IF(BC65="לא בוגר",0,IF(BC65="לא קיים",0,IF(J65=0,0,I65*0.1))),IF(BC65="לא בוגר",0,IF(BC65="לא קיים",0,IF(AB65=1,I65*0.1,E65*0.5)))),0),IF('חד גזעי'!$AM$4="לא",IF(BC65="לא בוגר",0,IF(BC65="לא קיים",0,IF(J65=0,0,I65*0.1))),IF(BC65="לא בוגר",0,IF(BC65="לא קיים",0,IF(AB65=1,I65*0.1,E65*0.5))))),IF(P65=0,IF(BC65="שימור",IF('חד גזעי'!$AM$4="לא",IF(BC65="לא בוגר",0,IF(BC65="לא קיים",0,IF(J65=0,0,I65*0.15))),IF(BC65="לא בוגר",0,IF(BC65="לא קיים",0,IF(AB65=1,I65*0.15,E65*0.5)))),0),IF('חד גזעי'!$AM$4="לא",IF(BC65="לא בוגר",0,IF(BC65="לא קיים",0,IF(J65=0,0,I65*0.15))),IF(BC65="לא בוגר",0,IF(BC65="לא קיים",0,IF(AB65=1,I65*0.15,E65*0.5))))))</f>
        <v>0</v>
      </c>
      <c r="V65" t="e">
        <f t="shared" si="25"/>
        <v>#N/A</v>
      </c>
      <c r="W65" t="e">
        <f t="shared" si="26"/>
        <v>#N/A</v>
      </c>
      <c r="X65" t="e">
        <f t="shared" si="27"/>
        <v>#N/A</v>
      </c>
      <c r="Y65">
        <f>IF('חד גזעי'!$AM$2 = "לא",0,IF(F65&gt;9,W65,0))</f>
        <v>0</v>
      </c>
      <c r="Z65">
        <f>IF('חד גזעי'!$AM$7 = "לא",0,IF(C65 = "זית אירופי",IF('חד גזעי'!$AN$7 &lt;=סקר!F65,W65,0),IF(C65 = "חרוב מצוי",IF('חד גזעי'!$AN$7 &lt;=סקר!F65,W65,0),0)))</f>
        <v>0</v>
      </c>
      <c r="AB65">
        <f t="shared" si="72"/>
        <v>1</v>
      </c>
      <c r="AC65" s="72"/>
      <c r="AD65" t="e">
        <f t="shared" si="69"/>
        <v>#N/A</v>
      </c>
      <c r="AE65" s="72"/>
      <c r="AF65" s="72" t="e">
        <f t="shared" si="52"/>
        <v>#N/A</v>
      </c>
      <c r="AG65" s="72" t="e">
        <f>IF('חד גזעי'!$AM$5="לא",(VLOOKUP(C65,'חד גזעי'!$P$1:$S$589,3,FALSE)),(VLOOKUP(C65,'חד גזעי'!$P$1:$S$589,4,FALSE)))</f>
        <v>#N/A</v>
      </c>
      <c r="AH65" s="72">
        <f t="shared" si="53"/>
        <v>0</v>
      </c>
      <c r="AI65" s="72">
        <f t="shared" si="54"/>
        <v>0</v>
      </c>
      <c r="AJ65" s="72">
        <f t="shared" si="55"/>
        <v>0</v>
      </c>
      <c r="AK65" s="72" t="e">
        <f t="shared" si="56"/>
        <v>#N/A</v>
      </c>
      <c r="AL65" t="e">
        <f>VLOOKUP(C65,'חד גזעי'!$AH$8:$AI$33,2,FALSE)</f>
        <v>#N/A</v>
      </c>
      <c r="AM65" s="72" t="b">
        <f t="shared" si="57"/>
        <v>0</v>
      </c>
      <c r="AN65" s="72" t="b">
        <f t="shared" si="58"/>
        <v>0</v>
      </c>
      <c r="AO65" s="72" t="b">
        <f t="shared" si="59"/>
        <v>0</v>
      </c>
      <c r="AS65" s="72">
        <f t="shared" si="60"/>
        <v>0</v>
      </c>
      <c r="AT65" s="72">
        <f t="shared" si="61"/>
        <v>0</v>
      </c>
      <c r="AU65" s="72">
        <f t="shared" si="70"/>
        <v>0</v>
      </c>
      <c r="AV65" s="72">
        <f t="shared" si="62"/>
        <v>0</v>
      </c>
      <c r="AW65" s="72">
        <f t="shared" si="63"/>
        <v>0</v>
      </c>
      <c r="AX65" s="72">
        <f t="shared" si="64"/>
        <v>0</v>
      </c>
      <c r="AY65" s="72">
        <f t="shared" si="65"/>
        <v>0</v>
      </c>
      <c r="AZ65" s="72">
        <f t="shared" si="66"/>
        <v>0</v>
      </c>
      <c r="BA65" s="72" t="e">
        <f t="shared" si="67"/>
        <v>#N/A</v>
      </c>
      <c r="BB65" s="72" t="e">
        <f t="shared" si="73"/>
        <v>#N/A</v>
      </c>
      <c r="BC65" s="77"/>
      <c r="BE65">
        <f t="shared" si="48"/>
        <v>0</v>
      </c>
      <c r="BF65" s="196"/>
      <c r="BG65" s="196"/>
      <c r="BH65" s="196"/>
      <c r="BI65" s="196"/>
      <c r="BJ65" s="196"/>
      <c r="BK65" s="196"/>
    </row>
    <row r="66" spans="2:63" hidden="1">
      <c r="B66" s="72"/>
      <c r="C66" s="135"/>
      <c r="D66" s="109"/>
      <c r="E66" s="78"/>
      <c r="F66" s="72"/>
      <c r="G66" s="72"/>
      <c r="H66" s="72"/>
      <c r="I66" s="73">
        <f t="shared" si="71"/>
        <v>0</v>
      </c>
      <c r="J66" s="78"/>
      <c r="K66" s="73"/>
      <c r="L66" s="74" t="e">
        <f>_xlfn.IFNA(VLOOKUP(C66,'חד גזעי'!$U$3:$V$509,2,0),VLOOKUP(C66,'חד גזעי'!$U$3:$V$509,2))</f>
        <v>#N/A</v>
      </c>
      <c r="M66" s="73"/>
      <c r="N66" s="72" t="e">
        <f>_xlfn.IFNA(IF(VLOOKUP(C66,'חד גזעי'!$AH$2:$AH$7,1,FALSE)&gt;0,0,IF('חד גזעי'!$AM$5="כן",IF(_xlfn.IFNA(VLOOKUP(C66,'חד גזעי'!$AH$2:$AH$33,1,FALSE),SUM(J66:M66))&lt;21,_xlfn.IFNA(VLOOKUP(C66,'חד גזעי'!$AH$2:$AH$33,1,FALSE),SUM(J66:M66)),0),SUM(J66:M66))),IF('חד גזעי'!$AM$5="כן",IF(_xlfn.IFNA(VLOOKUP(C66,'חד גזעי'!$AH$2:$AH$33,1,FALSE),SUM(J66:M66))&lt;21,_xlfn.IFNA(VLOOKUP(C66,'חד גזעי'!$AH$2:$AH$33,1,FALSE),SUM(J66:M66)),0),SUM(J66:M66)))</f>
        <v>#N/A</v>
      </c>
      <c r="O66" s="72">
        <f>IF('חד גזעי'!$AM$3 = "כן",IF(T66&gt;4,4,T66),T66)</f>
        <v>0</v>
      </c>
      <c r="P66" s="80">
        <f>IF(E66&lt;2,0,IF(Z66&gt;0,Z66,IF(N66 = 0,0,IF('חד גזעי'!$AM$2 = "לא",IF(F66&gt;19,W66,0),IF(F66&gt;9,Y66,0)))))</f>
        <v>0</v>
      </c>
      <c r="Q66" s="77"/>
      <c r="R66" s="75"/>
      <c r="S66" t="e">
        <f>VLOOKUP(C66,'חד גזעי'!$Y$4:$Y$18,1,0)</f>
        <v>#N/A</v>
      </c>
      <c r="T66" s="72">
        <f>IF('חד גזעי'!$AM$6="לא",IF(P66=0,IF(BC66="שימור",IF('חד גזעי'!$AM$4="לא",IF(BC66="לא בוגר",0,IF(BC66="לא קיים",0,IF(J66=0,0,I66*0.1))),IF(BC66="לא בוגר",0,IF(BC66="לא קיים",0,IF(AB66=1,I66*0.1,E66*0.5)))),0),IF('חד גזעי'!$AM$4="לא",IF(BC66="לא בוגר",0,IF(BC66="לא קיים",0,IF(J66=0,0,I66*0.1))),IF(BC66="לא בוגר",0,IF(BC66="לא קיים",0,IF(AB66=1,I66*0.1,E66*0.5))))),IF(P66=0,IF(BC66="שימור",IF('חד גזעי'!$AM$4="לא",IF(BC66="לא בוגר",0,IF(BC66="לא קיים",0,IF(J66=0,0,I66*0.15))),IF(BC66="לא בוגר",0,IF(BC66="לא קיים",0,IF(AB66=1,I66*0.15,E66*0.5)))),0),IF('חד גזעי'!$AM$4="לא",IF(BC66="לא בוגר",0,IF(BC66="לא קיים",0,IF(J66=0,0,I66*0.15))),IF(BC66="לא בוגר",0,IF(BC66="לא קיים",0,IF(AB66=1,I66*0.15,E66*0.5))))))</f>
        <v>0</v>
      </c>
      <c r="V66" t="e">
        <f t="shared" si="25"/>
        <v>#N/A</v>
      </c>
      <c r="W66" t="e">
        <f t="shared" si="26"/>
        <v>#N/A</v>
      </c>
      <c r="X66" t="e">
        <f t="shared" si="27"/>
        <v>#N/A</v>
      </c>
      <c r="Y66">
        <f>IF('חד גזעי'!$AM$2 = "לא",0,IF(F66&gt;9,W66,0))</f>
        <v>0</v>
      </c>
      <c r="Z66">
        <f>IF('חד גזעי'!$AM$7 = "לא",0,IF(C66 = "זית אירופי",IF('חד גזעי'!$AN$7 &lt;=סקר!F66,W66,0),IF(C66 = "חרוב מצוי",IF('חד גזעי'!$AN$7 &lt;=סקר!F66,W66,0),0)))</f>
        <v>0</v>
      </c>
      <c r="AB66">
        <f t="shared" si="72"/>
        <v>1</v>
      </c>
      <c r="AC66" s="72"/>
      <c r="AD66" t="e">
        <f t="shared" si="69"/>
        <v>#N/A</v>
      </c>
      <c r="AE66" s="72"/>
      <c r="AF66" s="72" t="e">
        <f t="shared" si="52"/>
        <v>#N/A</v>
      </c>
      <c r="AG66" s="72" t="e">
        <f>IF('חד גזעי'!$AM$5="לא",(VLOOKUP(C66,'חד גזעי'!$P$1:$S$589,3,FALSE)),(VLOOKUP(C66,'חד גזעי'!$P$1:$S$589,4,FALSE)))</f>
        <v>#N/A</v>
      </c>
      <c r="AH66" s="72">
        <f t="shared" si="53"/>
        <v>0</v>
      </c>
      <c r="AI66" s="72">
        <f t="shared" si="54"/>
        <v>0</v>
      </c>
      <c r="AJ66" s="72">
        <f t="shared" si="55"/>
        <v>0</v>
      </c>
      <c r="AK66" s="72" t="e">
        <f t="shared" si="56"/>
        <v>#N/A</v>
      </c>
      <c r="AL66" t="e">
        <f>VLOOKUP(C66,'חד גזעי'!$AH$8:$AI$33,2,FALSE)</f>
        <v>#N/A</v>
      </c>
      <c r="AM66" s="72" t="b">
        <f t="shared" si="57"/>
        <v>0</v>
      </c>
      <c r="AN66" s="72" t="b">
        <f t="shared" si="58"/>
        <v>0</v>
      </c>
      <c r="AO66" s="72" t="b">
        <f t="shared" si="59"/>
        <v>0</v>
      </c>
      <c r="AS66" s="72">
        <f t="shared" si="60"/>
        <v>0</v>
      </c>
      <c r="AT66" s="72">
        <f t="shared" si="61"/>
        <v>0</v>
      </c>
      <c r="AU66" s="72">
        <f t="shared" si="70"/>
        <v>0</v>
      </c>
      <c r="AV66" s="72">
        <f t="shared" si="62"/>
        <v>0</v>
      </c>
      <c r="AW66" s="72">
        <f t="shared" si="63"/>
        <v>0</v>
      </c>
      <c r="AX66" s="72">
        <f t="shared" si="64"/>
        <v>0</v>
      </c>
      <c r="AY66" s="72">
        <f t="shared" si="65"/>
        <v>0</v>
      </c>
      <c r="AZ66" s="72">
        <f t="shared" si="66"/>
        <v>0</v>
      </c>
      <c r="BA66" s="72" t="e">
        <f t="shared" si="67"/>
        <v>#N/A</v>
      </c>
      <c r="BB66" s="72" t="e">
        <f t="shared" si="73"/>
        <v>#N/A</v>
      </c>
      <c r="BC66" s="77"/>
      <c r="BE66">
        <f t="shared" si="48"/>
        <v>0</v>
      </c>
      <c r="BF66" s="196"/>
      <c r="BG66" s="196"/>
      <c r="BH66" s="196"/>
      <c r="BI66" s="196"/>
      <c r="BJ66" s="196"/>
      <c r="BK66" s="196"/>
    </row>
    <row r="67" spans="2:63" hidden="1">
      <c r="B67" s="72"/>
      <c r="C67" s="135"/>
      <c r="D67" s="109"/>
      <c r="E67" s="78"/>
      <c r="F67" s="72"/>
      <c r="G67" s="72"/>
      <c r="H67" s="72"/>
      <c r="I67" s="73">
        <f t="shared" ref="I67:I84" si="74">F67+(G67/2)+(H67/2)</f>
        <v>0</v>
      </c>
      <c r="J67" s="78"/>
      <c r="K67" s="73"/>
      <c r="L67" s="74" t="e">
        <f>_xlfn.IFNA(VLOOKUP(C67,'חד גזעי'!$U$3:$V$509,2,0),VLOOKUP(C67,'חד גזעי'!$U$3:$V$509,2))</f>
        <v>#N/A</v>
      </c>
      <c r="M67" s="73"/>
      <c r="N67" s="72" t="e">
        <f>_xlfn.IFNA(IF(VLOOKUP(C67,'חד גזעי'!$AH$2:$AH$7,1,FALSE)&gt;0,0,IF('חד גזעי'!$AM$5="כן",IF(_xlfn.IFNA(VLOOKUP(C67,'חד גזעי'!$AH$2:$AH$33,1,FALSE),SUM(J67:M67))&lt;21,_xlfn.IFNA(VLOOKUP(C67,'חד גזעי'!$AH$2:$AH$33,1,FALSE),SUM(J67:M67)),0),SUM(J67:M67))),IF('חד גזעי'!$AM$5="כן",IF(_xlfn.IFNA(VLOOKUP(C67,'חד גזעי'!$AH$2:$AH$33,1,FALSE),SUM(J67:M67))&lt;21,_xlfn.IFNA(VLOOKUP(C67,'חד גזעי'!$AH$2:$AH$33,1,FALSE),SUM(J67:M67)),0),SUM(J67:M67)))</f>
        <v>#N/A</v>
      </c>
      <c r="O67" s="72">
        <f>IF('חד גזעי'!$AM$3 = "כן",IF(T67&gt;4,4,T67),T67)</f>
        <v>0</v>
      </c>
      <c r="P67" s="80">
        <f>IF(E67&lt;2,0,IF(Z67&gt;0,Z67,IF(N67 = 0,0,IF('חד גזעי'!$AM$2 = "לא",IF(F67&gt;19,W67,0),IF(F67&gt;9,Y67,0)))))</f>
        <v>0</v>
      </c>
      <c r="Q67" s="77"/>
      <c r="R67" s="75"/>
      <c r="S67" t="e">
        <f>VLOOKUP(C67,'חד גזעי'!$Y$4:$Y$18,1,0)</f>
        <v>#N/A</v>
      </c>
      <c r="T67" s="72">
        <f>IF('חד גזעי'!$AM$6="לא",IF(P67=0,IF(BC67="שימור",IF('חד גזעי'!$AM$4="לא",IF(BC67="לא בוגר",0,IF(BC67="לא קיים",0,IF(J67=0,0,I67*0.1))),IF(BC67="לא בוגר",0,IF(BC67="לא קיים",0,IF(AB67=1,I67*0.1,E67*0.5)))),0),IF('חד גזעי'!$AM$4="לא",IF(BC67="לא בוגר",0,IF(BC67="לא קיים",0,IF(J67=0,0,I67*0.1))),IF(BC67="לא בוגר",0,IF(BC67="לא קיים",0,IF(AB67=1,I67*0.1,E67*0.5))))),IF(P67=0,IF(BC67="שימור",IF('חד גזעי'!$AM$4="לא",IF(BC67="לא בוגר",0,IF(BC67="לא קיים",0,IF(J67=0,0,I67*0.15))),IF(BC67="לא בוגר",0,IF(BC67="לא קיים",0,IF(AB67=1,I67*0.15,E67*0.5)))),0),IF('חד גזעי'!$AM$4="לא",IF(BC67="לא בוגר",0,IF(BC67="לא קיים",0,IF(J67=0,0,I67*0.15))),IF(BC67="לא בוגר",0,IF(BC67="לא קיים",0,IF(AB67=1,I67*0.15,E67*0.5))))))</f>
        <v>0</v>
      </c>
      <c r="V67" t="e">
        <f t="shared" si="25"/>
        <v>#N/A</v>
      </c>
      <c r="W67" t="e">
        <f t="shared" si="26"/>
        <v>#N/A</v>
      </c>
      <c r="X67" t="e">
        <f t="shared" si="27"/>
        <v>#N/A</v>
      </c>
      <c r="Y67">
        <f>IF('חד גזעי'!$AM$2 = "לא",0,IF(F67&gt;9,W67,0))</f>
        <v>0</v>
      </c>
      <c r="Z67">
        <f>IF('חד גזעי'!$AM$7 = "לא",0,IF(C67 = "זית אירופי",IF('חד גזעי'!$AN$7 &lt;=סקר!F67,W67,0),IF(C67 = "חרוב מצוי",IF('חד גזעי'!$AN$7 &lt;=סקר!F67,W67,0),0)))</f>
        <v>0</v>
      </c>
      <c r="AB67">
        <f t="shared" ref="AB67:AB84" si="75">_xlfn.IFNA(S67,1)</f>
        <v>1</v>
      </c>
      <c r="AC67" s="72"/>
      <c r="AD67" t="e">
        <f t="shared" si="69"/>
        <v>#N/A</v>
      </c>
      <c r="AE67" s="72"/>
      <c r="AF67" s="72" t="e">
        <f t="shared" si="52"/>
        <v>#N/A</v>
      </c>
      <c r="AG67" s="72" t="e">
        <f>IF('חד גזעי'!$AM$5="לא",(VLOOKUP(C67,'חד גזעי'!$P$1:$S$589,3,FALSE)),(VLOOKUP(C67,'חד גזעי'!$P$1:$S$589,4,FALSE)))</f>
        <v>#N/A</v>
      </c>
      <c r="AH67" s="72">
        <f t="shared" si="53"/>
        <v>0</v>
      </c>
      <c r="AI67" s="72">
        <f t="shared" si="54"/>
        <v>0</v>
      </c>
      <c r="AJ67" s="72">
        <f t="shared" si="55"/>
        <v>0</v>
      </c>
      <c r="AK67" s="72" t="e">
        <f t="shared" si="56"/>
        <v>#N/A</v>
      </c>
      <c r="AL67" t="e">
        <f>VLOOKUP(C67,'חד גזעי'!$AH$8:$AI$33,2,FALSE)</f>
        <v>#N/A</v>
      </c>
      <c r="AM67" s="72" t="b">
        <f t="shared" si="57"/>
        <v>0</v>
      </c>
      <c r="AN67" s="72" t="b">
        <f t="shared" si="58"/>
        <v>0</v>
      </c>
      <c r="AO67" s="72" t="b">
        <f t="shared" si="59"/>
        <v>0</v>
      </c>
      <c r="AS67" s="72">
        <f t="shared" si="60"/>
        <v>0</v>
      </c>
      <c r="AT67" s="72">
        <f t="shared" si="61"/>
        <v>0</v>
      </c>
      <c r="AU67" s="72">
        <f t="shared" si="70"/>
        <v>0</v>
      </c>
      <c r="AV67" s="72">
        <f t="shared" si="62"/>
        <v>0</v>
      </c>
      <c r="AW67" s="72">
        <f t="shared" si="63"/>
        <v>0</v>
      </c>
      <c r="AX67" s="72">
        <f t="shared" si="64"/>
        <v>0</v>
      </c>
      <c r="AY67" s="72">
        <f t="shared" si="65"/>
        <v>0</v>
      </c>
      <c r="AZ67" s="72">
        <f t="shared" si="66"/>
        <v>0</v>
      </c>
      <c r="BA67" s="72" t="e">
        <f t="shared" si="67"/>
        <v>#N/A</v>
      </c>
      <c r="BB67" s="72" t="e">
        <f t="shared" ref="BB67:BB84" si="76">IF(BA67&gt;6,IF(BA67&gt;13,IF(BA67&gt;16,"גבוה מאוד","גבוה"),"בינונית"),"נמוכה")</f>
        <v>#N/A</v>
      </c>
      <c r="BC67" s="77"/>
      <c r="BE67">
        <f t="shared" si="48"/>
        <v>0</v>
      </c>
      <c r="BF67" s="196"/>
      <c r="BG67" s="196"/>
      <c r="BH67" s="196"/>
      <c r="BI67" s="196"/>
      <c r="BJ67" s="196"/>
      <c r="BK67" s="196"/>
    </row>
    <row r="68" spans="2:63" hidden="1">
      <c r="B68" s="72"/>
      <c r="C68" s="135"/>
      <c r="D68" s="109"/>
      <c r="E68" s="78"/>
      <c r="F68" s="72"/>
      <c r="G68" s="72"/>
      <c r="H68" s="72"/>
      <c r="I68" s="73">
        <f t="shared" si="74"/>
        <v>0</v>
      </c>
      <c r="J68" s="78"/>
      <c r="K68" s="73"/>
      <c r="L68" s="74" t="e">
        <f>_xlfn.IFNA(VLOOKUP(C68,'חד גזעי'!$U$3:$V$509,2,0),VLOOKUP(C68,'חד גזעי'!$U$3:$V$509,2))</f>
        <v>#N/A</v>
      </c>
      <c r="M68" s="73"/>
      <c r="N68" s="72" t="e">
        <f>_xlfn.IFNA(IF(VLOOKUP(C68,'חד גזעי'!$AH$2:$AH$7,1,FALSE)&gt;0,0,IF('חד גזעי'!$AM$5="כן",IF(_xlfn.IFNA(VLOOKUP(C68,'חד גזעי'!$AH$2:$AH$33,1,FALSE),SUM(J68:M68))&lt;21,_xlfn.IFNA(VLOOKUP(C68,'חד גזעי'!$AH$2:$AH$33,1,FALSE),SUM(J68:M68)),0),SUM(J68:M68))),IF('חד גזעי'!$AM$5="כן",IF(_xlfn.IFNA(VLOOKUP(C68,'חד גזעי'!$AH$2:$AH$33,1,FALSE),SUM(J68:M68))&lt;21,_xlfn.IFNA(VLOOKUP(C68,'חד גזעי'!$AH$2:$AH$33,1,FALSE),SUM(J68:M68)),0),SUM(J68:M68)))</f>
        <v>#N/A</v>
      </c>
      <c r="O68" s="72">
        <f>IF('חד גזעי'!$AM$3 = "כן",IF(T68&gt;4,4,T68),T68)</f>
        <v>0</v>
      </c>
      <c r="P68" s="80">
        <f>IF(E68&lt;2,0,IF(Z68&gt;0,Z68,IF(N68 = 0,0,IF('חד גזעי'!$AM$2 = "לא",IF(F68&gt;19,W68,0),IF(F68&gt;9,Y68,0)))))</f>
        <v>0</v>
      </c>
      <c r="Q68" s="77"/>
      <c r="R68" s="75"/>
      <c r="S68" t="e">
        <f>VLOOKUP(C68,'חד גזעי'!$Y$4:$Y$18,1,0)</f>
        <v>#N/A</v>
      </c>
      <c r="T68" s="72">
        <f>IF('חד גזעי'!$AM$6="לא",IF(P68=0,IF(BC68="שימור",IF('חד גזעי'!$AM$4="לא",IF(BC68="לא בוגר",0,IF(BC68="לא קיים",0,IF(J68=0,0,I68*0.1))),IF(BC68="לא בוגר",0,IF(BC68="לא קיים",0,IF(AB68=1,I68*0.1,E68*0.5)))),0),IF('חד גזעי'!$AM$4="לא",IF(BC68="לא בוגר",0,IF(BC68="לא קיים",0,IF(J68=0,0,I68*0.1))),IF(BC68="לא בוגר",0,IF(BC68="לא קיים",0,IF(AB68=1,I68*0.1,E68*0.5))))),IF(P68=0,IF(BC68="שימור",IF('חד גזעי'!$AM$4="לא",IF(BC68="לא בוגר",0,IF(BC68="לא קיים",0,IF(J68=0,0,I68*0.15))),IF(BC68="לא בוגר",0,IF(BC68="לא קיים",0,IF(AB68=1,I68*0.15,E68*0.5)))),0),IF('חד גזעי'!$AM$4="לא",IF(BC68="לא בוגר",0,IF(BC68="לא קיים",0,IF(J68=0,0,I68*0.15))),IF(BC68="לא בוגר",0,IF(BC68="לא קיים",0,IF(AB68=1,I68*0.15,E68*0.5))))))</f>
        <v>0</v>
      </c>
      <c r="V68" t="e">
        <f t="shared" si="25"/>
        <v>#N/A</v>
      </c>
      <c r="W68" t="e">
        <f t="shared" si="26"/>
        <v>#N/A</v>
      </c>
      <c r="X68" t="e">
        <f t="shared" si="27"/>
        <v>#N/A</v>
      </c>
      <c r="Y68">
        <f>IF('חד גזעי'!$AM$2 = "לא",0,IF(F68&gt;9,W68,0))</f>
        <v>0</v>
      </c>
      <c r="Z68">
        <f>IF('חד גזעי'!$AM$7 = "לא",0,IF(C68 = "זית אירופי",IF('חד גזעי'!$AN$7 &lt;=סקר!F68,W68,0),IF(C68 = "חרוב מצוי",IF('חד גזעי'!$AN$7 &lt;=סקר!F68,W68,0),0)))</f>
        <v>0</v>
      </c>
      <c r="AB68">
        <f t="shared" si="75"/>
        <v>1</v>
      </c>
      <c r="AC68" s="72"/>
      <c r="AD68" t="e">
        <f t="shared" si="69"/>
        <v>#N/A</v>
      </c>
      <c r="AE68" s="72"/>
      <c r="AF68" s="72" t="e">
        <f t="shared" si="52"/>
        <v>#N/A</v>
      </c>
      <c r="AG68" s="72" t="e">
        <f>IF('חד גזעי'!$AM$5="לא",(VLOOKUP(C68,'חד גזעי'!$P$1:$S$589,3,FALSE)),(VLOOKUP(C68,'חד גזעי'!$P$1:$S$589,4,FALSE)))</f>
        <v>#N/A</v>
      </c>
      <c r="AH68" s="72">
        <f t="shared" si="53"/>
        <v>0</v>
      </c>
      <c r="AI68" s="72">
        <f t="shared" si="54"/>
        <v>0</v>
      </c>
      <c r="AJ68" s="72">
        <f t="shared" si="55"/>
        <v>0</v>
      </c>
      <c r="AK68" s="72" t="e">
        <f t="shared" si="56"/>
        <v>#N/A</v>
      </c>
      <c r="AL68" t="e">
        <f>VLOOKUP(C68,'חד גזעי'!$AH$8:$AI$33,2,FALSE)</f>
        <v>#N/A</v>
      </c>
      <c r="AM68" s="72" t="b">
        <f t="shared" si="57"/>
        <v>0</v>
      </c>
      <c r="AN68" s="72" t="b">
        <f t="shared" si="58"/>
        <v>0</v>
      </c>
      <c r="AO68" s="72" t="b">
        <f t="shared" si="59"/>
        <v>0</v>
      </c>
      <c r="AS68" s="72">
        <f t="shared" si="60"/>
        <v>0</v>
      </c>
      <c r="AT68" s="72">
        <f t="shared" si="61"/>
        <v>0</v>
      </c>
      <c r="AU68" s="72">
        <f t="shared" si="70"/>
        <v>0</v>
      </c>
      <c r="AV68" s="72">
        <f t="shared" si="62"/>
        <v>0</v>
      </c>
      <c r="AW68" s="72">
        <f t="shared" si="63"/>
        <v>0</v>
      </c>
      <c r="AX68" s="72">
        <f t="shared" si="64"/>
        <v>0</v>
      </c>
      <c r="AY68" s="72">
        <f t="shared" si="65"/>
        <v>0</v>
      </c>
      <c r="AZ68" s="72">
        <f t="shared" si="66"/>
        <v>0</v>
      </c>
      <c r="BA68" s="72" t="e">
        <f t="shared" si="67"/>
        <v>#N/A</v>
      </c>
      <c r="BB68" s="72" t="e">
        <f t="shared" si="76"/>
        <v>#N/A</v>
      </c>
      <c r="BC68" s="77"/>
      <c r="BE68">
        <f t="shared" si="48"/>
        <v>0</v>
      </c>
      <c r="BF68" s="72"/>
      <c r="BG68" s="72"/>
      <c r="BH68" s="72"/>
      <c r="BI68" s="72"/>
      <c r="BJ68" s="72"/>
      <c r="BK68" s="72"/>
    </row>
    <row r="69" spans="2:63" hidden="1">
      <c r="B69" s="72"/>
      <c r="C69" s="135"/>
      <c r="D69" s="109"/>
      <c r="E69" s="78"/>
      <c r="F69" s="72"/>
      <c r="G69" s="72"/>
      <c r="H69" s="72"/>
      <c r="I69" s="73">
        <f t="shared" si="74"/>
        <v>0</v>
      </c>
      <c r="J69" s="78"/>
      <c r="K69" s="73"/>
      <c r="L69" s="74" t="e">
        <f>_xlfn.IFNA(VLOOKUP(C69,'חד גזעי'!$U$3:$V$509,2,0),VLOOKUP(C69,'חד גזעי'!$U$3:$V$509,2))</f>
        <v>#N/A</v>
      </c>
      <c r="M69" s="73"/>
      <c r="N69" s="72" t="e">
        <f>_xlfn.IFNA(IF(VLOOKUP(C69,'חד גזעי'!$AH$2:$AH$7,1,FALSE)&gt;0,0,IF('חד גזעי'!$AM$5="כן",IF(_xlfn.IFNA(VLOOKUP(C69,'חד גזעי'!$AH$2:$AH$33,1,FALSE),SUM(J69:M69))&lt;21,_xlfn.IFNA(VLOOKUP(C69,'חד גזעי'!$AH$2:$AH$33,1,FALSE),SUM(J69:M69)),0),SUM(J69:M69))),IF('חד גזעי'!$AM$5="כן",IF(_xlfn.IFNA(VLOOKUP(C69,'חד גזעי'!$AH$2:$AH$33,1,FALSE),SUM(J69:M69))&lt;21,_xlfn.IFNA(VLOOKUP(C69,'חד גזעי'!$AH$2:$AH$33,1,FALSE),SUM(J69:M69)),0),SUM(J69:M69)))</f>
        <v>#N/A</v>
      </c>
      <c r="O69" s="72">
        <f>IF('חד גזעי'!$AM$3 = "כן",IF(T69&gt;4,4,T69),T69)</f>
        <v>0</v>
      </c>
      <c r="P69" s="80">
        <f>IF(E69&lt;2,0,IF(Z69&gt;0,Z69,IF(N69 = 0,0,IF('חד גזעי'!$AM$2 = "לא",IF(F69&gt;19,W69,0),IF(F69&gt;9,Y69,0)))))</f>
        <v>0</v>
      </c>
      <c r="Q69" s="77"/>
      <c r="R69" s="75"/>
      <c r="S69" t="e">
        <f>VLOOKUP(C69,'חד גזעי'!$Y$4:$Y$18,1,0)</f>
        <v>#N/A</v>
      </c>
      <c r="T69" s="72">
        <f>IF('חד גזעי'!$AM$6="לא",IF(P69=0,IF(BC69="שימור",IF('חד גזעי'!$AM$4="לא",IF(BC69="לא בוגר",0,IF(BC69="לא קיים",0,IF(J69=0,0,I69*0.1))),IF(BC69="לא בוגר",0,IF(BC69="לא קיים",0,IF(AB69=1,I69*0.1,E69*0.5)))),0),IF('חד גזעי'!$AM$4="לא",IF(BC69="לא בוגר",0,IF(BC69="לא קיים",0,IF(J69=0,0,I69*0.1))),IF(BC69="לא בוגר",0,IF(BC69="לא קיים",0,IF(AB69=1,I69*0.1,E69*0.5))))),IF(P69=0,IF(BC69="שימור",IF('חד גזעי'!$AM$4="לא",IF(BC69="לא בוגר",0,IF(BC69="לא קיים",0,IF(J69=0,0,I69*0.15))),IF(BC69="לא בוגר",0,IF(BC69="לא קיים",0,IF(AB69=1,I69*0.15,E69*0.5)))),0),IF('חד גזעי'!$AM$4="לא",IF(BC69="לא בוגר",0,IF(BC69="לא קיים",0,IF(J69=0,0,I69*0.15))),IF(BC69="לא בוגר",0,IF(BC69="לא קיים",0,IF(AB69=1,I69*0.15,E69*0.5))))))</f>
        <v>0</v>
      </c>
      <c r="V69" t="e">
        <f t="shared" si="25"/>
        <v>#N/A</v>
      </c>
      <c r="W69" t="e">
        <f t="shared" si="26"/>
        <v>#N/A</v>
      </c>
      <c r="X69" t="e">
        <f t="shared" si="27"/>
        <v>#N/A</v>
      </c>
      <c r="Y69">
        <f>IF('חד גזעי'!$AM$2 = "לא",0,IF(F69&gt;9,W69,0))</f>
        <v>0</v>
      </c>
      <c r="Z69">
        <f>IF('חד גזעי'!$AM$7 = "לא",0,IF(C69 = "זית אירופי",IF('חד גזעי'!$AN$7 &lt;=סקר!F69,W69,0),IF(C69 = "חרוב מצוי",IF('חד גזעי'!$AN$7 &lt;=סקר!F69,W69,0),0)))</f>
        <v>0</v>
      </c>
      <c r="AB69">
        <f t="shared" si="75"/>
        <v>1</v>
      </c>
      <c r="AC69" s="72"/>
      <c r="AD69" t="e">
        <f t="shared" si="69"/>
        <v>#N/A</v>
      </c>
      <c r="AE69" s="72"/>
      <c r="AF69" s="72" t="e">
        <f t="shared" si="52"/>
        <v>#N/A</v>
      </c>
      <c r="AG69" s="72" t="e">
        <f>IF('חד גזעי'!$AM$5="לא",(VLOOKUP(C69,'חד גזעי'!$P$1:$S$589,3,FALSE)),(VLOOKUP(C69,'חד גזעי'!$P$1:$S$589,4,FALSE)))</f>
        <v>#N/A</v>
      </c>
      <c r="AH69" s="72">
        <f t="shared" si="53"/>
        <v>0</v>
      </c>
      <c r="AI69" s="72">
        <f t="shared" si="54"/>
        <v>0</v>
      </c>
      <c r="AJ69" s="72">
        <f t="shared" si="55"/>
        <v>0</v>
      </c>
      <c r="AK69" s="72" t="e">
        <f t="shared" si="56"/>
        <v>#N/A</v>
      </c>
      <c r="AL69" t="e">
        <f>VLOOKUP(C69,'חד גזעי'!$AH$8:$AI$33,2,FALSE)</f>
        <v>#N/A</v>
      </c>
      <c r="AM69" s="72" t="b">
        <f t="shared" si="57"/>
        <v>0</v>
      </c>
      <c r="AN69" s="72" t="b">
        <f t="shared" si="58"/>
        <v>0</v>
      </c>
      <c r="AO69" s="72" t="b">
        <f t="shared" si="59"/>
        <v>0</v>
      </c>
      <c r="AS69" s="72">
        <f t="shared" si="60"/>
        <v>0</v>
      </c>
      <c r="AT69" s="72">
        <f t="shared" si="61"/>
        <v>0</v>
      </c>
      <c r="AU69" s="72">
        <f t="shared" si="70"/>
        <v>0</v>
      </c>
      <c r="AV69" s="72">
        <f t="shared" si="62"/>
        <v>0</v>
      </c>
      <c r="AW69" s="72">
        <f t="shared" si="63"/>
        <v>0</v>
      </c>
      <c r="AX69" s="72">
        <f t="shared" si="64"/>
        <v>0</v>
      </c>
      <c r="AY69" s="72">
        <f t="shared" si="65"/>
        <v>0</v>
      </c>
      <c r="AZ69" s="72">
        <f t="shared" si="66"/>
        <v>0</v>
      </c>
      <c r="BA69" s="72" t="e">
        <f t="shared" si="67"/>
        <v>#N/A</v>
      </c>
      <c r="BB69" s="72" t="e">
        <f t="shared" si="76"/>
        <v>#N/A</v>
      </c>
      <c r="BC69" s="77"/>
      <c r="BE69">
        <f t="shared" si="48"/>
        <v>0</v>
      </c>
      <c r="BF69" s="196" t="str">
        <f>BF88</f>
        <v>C:\Users\origr\Pictures\0.jpg</v>
      </c>
      <c r="BG69" s="196" t="str">
        <f t="shared" ref="BG69:BK69" si="77">BG88</f>
        <v>C:\Users\origr\Pictures\0.jpg</v>
      </c>
      <c r="BH69" s="196" t="str">
        <f t="shared" si="77"/>
        <v>C:\Users\origr\Pictures\0.jpg</v>
      </c>
      <c r="BI69" s="196" t="str">
        <f t="shared" si="77"/>
        <v>C:\Users\origr\Pictures\0.jpg</v>
      </c>
      <c r="BJ69" s="196" t="str">
        <f t="shared" si="77"/>
        <v>C:\Users\origr\Pictures\0.jpg</v>
      </c>
      <c r="BK69" s="196" t="str">
        <f t="shared" si="77"/>
        <v>C:\Users\origr\Pictures\0.jpg</v>
      </c>
    </row>
    <row r="70" spans="2:63" hidden="1">
      <c r="B70" s="72"/>
      <c r="C70" s="135"/>
      <c r="D70" s="109"/>
      <c r="E70" s="78"/>
      <c r="F70" s="72"/>
      <c r="G70" s="72"/>
      <c r="H70" s="72"/>
      <c r="I70" s="73">
        <f t="shared" si="74"/>
        <v>0</v>
      </c>
      <c r="J70" s="78"/>
      <c r="K70" s="73"/>
      <c r="L70" s="74" t="e">
        <f>_xlfn.IFNA(VLOOKUP(C70,'חד גזעי'!$U$3:$V$509,2,0),VLOOKUP(C70,'חד גזעי'!$U$3:$V$509,2))</f>
        <v>#N/A</v>
      </c>
      <c r="M70" s="73"/>
      <c r="N70" s="72" t="e">
        <f>_xlfn.IFNA(IF(VLOOKUP(C70,'חד גזעי'!$AH$2:$AH$7,1,FALSE)&gt;0,0,IF('חד גזעי'!$AM$5="כן",IF(_xlfn.IFNA(VLOOKUP(C70,'חד גזעי'!$AH$2:$AH$33,1,FALSE),SUM(J70:M70))&lt;21,_xlfn.IFNA(VLOOKUP(C70,'חד גזעי'!$AH$2:$AH$33,1,FALSE),SUM(J70:M70)),0),SUM(J70:M70))),IF('חד גזעי'!$AM$5="כן",IF(_xlfn.IFNA(VLOOKUP(C70,'חד גזעי'!$AH$2:$AH$33,1,FALSE),SUM(J70:M70))&lt;21,_xlfn.IFNA(VLOOKUP(C70,'חד גזעי'!$AH$2:$AH$33,1,FALSE),SUM(J70:M70)),0),SUM(J70:M70)))</f>
        <v>#N/A</v>
      </c>
      <c r="O70" s="72">
        <f>IF('חד גזעי'!$AM$3 = "כן",IF(T70&gt;4,4,T70),T70)</f>
        <v>0</v>
      </c>
      <c r="P70" s="80">
        <f>IF(E70&lt;2,0,IF(Z70&gt;0,Z70,IF(N70 = 0,0,IF('חד גזעי'!$AM$2 = "לא",IF(F70&gt;19,W70,0),IF(F70&gt;9,Y70,0)))))</f>
        <v>0</v>
      </c>
      <c r="Q70" s="77"/>
      <c r="R70" s="75"/>
      <c r="S70" t="e">
        <f>VLOOKUP(C70,'חד גזעי'!$Y$4:$Y$18,1,0)</f>
        <v>#N/A</v>
      </c>
      <c r="T70" s="72">
        <f>IF('חד גזעי'!$AM$6="לא",IF(P70=0,IF(BC70="שימור",IF('חד גזעי'!$AM$4="לא",IF(BC70="לא בוגר",0,IF(BC70="לא קיים",0,IF(J70=0,0,I70*0.1))),IF(BC70="לא בוגר",0,IF(BC70="לא קיים",0,IF(AB70=1,I70*0.1,E70*0.5)))),0),IF('חד גזעי'!$AM$4="לא",IF(BC70="לא בוגר",0,IF(BC70="לא קיים",0,IF(J70=0,0,I70*0.1))),IF(BC70="לא בוגר",0,IF(BC70="לא קיים",0,IF(AB70=1,I70*0.1,E70*0.5))))),IF(P70=0,IF(BC70="שימור",IF('חד גזעי'!$AM$4="לא",IF(BC70="לא בוגר",0,IF(BC70="לא קיים",0,IF(J70=0,0,I70*0.15))),IF(BC70="לא בוגר",0,IF(BC70="לא קיים",0,IF(AB70=1,I70*0.15,E70*0.5)))),0),IF('חד גזעי'!$AM$4="לא",IF(BC70="לא בוגר",0,IF(BC70="לא קיים",0,IF(J70=0,0,I70*0.15))),IF(BC70="לא בוגר",0,IF(BC70="לא קיים",0,IF(AB70=1,I70*0.15,E70*0.5))))))</f>
        <v>0</v>
      </c>
      <c r="V70" t="e">
        <f t="shared" si="25"/>
        <v>#N/A</v>
      </c>
      <c r="W70" t="e">
        <f t="shared" si="26"/>
        <v>#N/A</v>
      </c>
      <c r="X70" t="e">
        <f t="shared" si="27"/>
        <v>#N/A</v>
      </c>
      <c r="Y70">
        <f>IF('חד גזעי'!$AM$2 = "לא",0,IF(F70&gt;9,W70,0))</f>
        <v>0</v>
      </c>
      <c r="Z70">
        <f>IF('חד גזעי'!$AM$7 = "לא",0,IF(C70 = "זית אירופי",IF('חד גזעי'!$AN$7 &lt;=סקר!F70,W70,0),IF(C70 = "חרוב מצוי",IF('חד גזעי'!$AN$7 &lt;=סקר!F70,W70,0),0)))</f>
        <v>0</v>
      </c>
      <c r="AB70">
        <f t="shared" si="75"/>
        <v>1</v>
      </c>
      <c r="AC70" s="72"/>
      <c r="AD70" t="e">
        <f t="shared" si="69"/>
        <v>#N/A</v>
      </c>
      <c r="AE70" s="72"/>
      <c r="AF70" s="72" t="e">
        <f t="shared" si="52"/>
        <v>#N/A</v>
      </c>
      <c r="AG70" s="72" t="e">
        <f>IF('חד גזעי'!$AM$5="לא",(VLOOKUP(C70,'חד גזעי'!$P$1:$S$589,3,FALSE)),(VLOOKUP(C70,'חד גזעי'!$P$1:$S$589,4,FALSE)))</f>
        <v>#N/A</v>
      </c>
      <c r="AH70" s="72">
        <f t="shared" si="53"/>
        <v>0</v>
      </c>
      <c r="AI70" s="72">
        <f t="shared" si="54"/>
        <v>0</v>
      </c>
      <c r="AJ70" s="72">
        <f t="shared" si="55"/>
        <v>0</v>
      </c>
      <c r="AK70" s="72" t="e">
        <f t="shared" si="56"/>
        <v>#N/A</v>
      </c>
      <c r="AL70" t="e">
        <f>VLOOKUP(C70,'חד גזעי'!$AH$8:$AI$33,2,FALSE)</f>
        <v>#N/A</v>
      </c>
      <c r="AM70" s="72" t="b">
        <f t="shared" si="57"/>
        <v>0</v>
      </c>
      <c r="AN70" s="72" t="b">
        <f t="shared" si="58"/>
        <v>0</v>
      </c>
      <c r="AO70" s="72" t="b">
        <f t="shared" si="59"/>
        <v>0</v>
      </c>
      <c r="AS70" s="72">
        <f t="shared" si="60"/>
        <v>0</v>
      </c>
      <c r="AT70" s="72">
        <f t="shared" si="61"/>
        <v>0</v>
      </c>
      <c r="AU70" s="72">
        <f t="shared" si="70"/>
        <v>0</v>
      </c>
      <c r="AV70" s="72">
        <f t="shared" si="62"/>
        <v>0</v>
      </c>
      <c r="AW70" s="72">
        <f t="shared" si="63"/>
        <v>0</v>
      </c>
      <c r="AX70" s="72">
        <f t="shared" si="64"/>
        <v>0</v>
      </c>
      <c r="AY70" s="72">
        <f t="shared" si="65"/>
        <v>0</v>
      </c>
      <c r="AZ70" s="72">
        <f t="shared" si="66"/>
        <v>0</v>
      </c>
      <c r="BA70" s="72" t="e">
        <f t="shared" si="67"/>
        <v>#N/A</v>
      </c>
      <c r="BB70" s="72" t="e">
        <f t="shared" si="76"/>
        <v>#N/A</v>
      </c>
      <c r="BC70" s="77"/>
      <c r="BE70">
        <f t="shared" si="48"/>
        <v>0</v>
      </c>
      <c r="BF70" s="196"/>
      <c r="BG70" s="196"/>
      <c r="BH70" s="196"/>
      <c r="BI70" s="196"/>
      <c r="BJ70" s="196"/>
      <c r="BK70" s="196"/>
    </row>
    <row r="71" spans="2:63" hidden="1">
      <c r="B71" s="72"/>
      <c r="C71" s="135"/>
      <c r="D71" s="109"/>
      <c r="E71" s="78"/>
      <c r="F71" s="72"/>
      <c r="G71" s="72"/>
      <c r="H71" s="72"/>
      <c r="I71" s="73">
        <f t="shared" si="74"/>
        <v>0</v>
      </c>
      <c r="J71" s="78"/>
      <c r="K71" s="73"/>
      <c r="L71" s="74" t="e">
        <f>_xlfn.IFNA(VLOOKUP(C71,'חד גזעי'!$U$3:$V$509,2,0),VLOOKUP(C71,'חד גזעי'!$U$3:$V$509,2))</f>
        <v>#N/A</v>
      </c>
      <c r="M71" s="73"/>
      <c r="N71" s="72" t="e">
        <f>_xlfn.IFNA(IF(VLOOKUP(C71,'חד גזעי'!$AH$2:$AH$7,1,FALSE)&gt;0,0,IF('חד גזעי'!$AM$5="כן",IF(_xlfn.IFNA(VLOOKUP(C71,'חד גזעי'!$AH$2:$AH$33,1,FALSE),SUM(J71:M71))&lt;21,_xlfn.IFNA(VLOOKUP(C71,'חד גזעי'!$AH$2:$AH$33,1,FALSE),SUM(J71:M71)),0),SUM(J71:M71))),IF('חד גזעי'!$AM$5="כן",IF(_xlfn.IFNA(VLOOKUP(C71,'חד גזעי'!$AH$2:$AH$33,1,FALSE),SUM(J71:M71))&lt;21,_xlfn.IFNA(VLOOKUP(C71,'חד גזעי'!$AH$2:$AH$33,1,FALSE),SUM(J71:M71)),0),SUM(J71:M71)))</f>
        <v>#N/A</v>
      </c>
      <c r="O71" s="72">
        <f>IF('חד גזעי'!$AM$3 = "כן",IF(T71&gt;4,4,T71),T71)</f>
        <v>0</v>
      </c>
      <c r="P71" s="80">
        <f>IF(E71&lt;2,0,IF(Z71&gt;0,Z71,IF(N71 = 0,0,IF('חד גזעי'!$AM$2 = "לא",IF(F71&gt;19,W71,0),IF(F71&gt;9,Y71,0)))))</f>
        <v>0</v>
      </c>
      <c r="Q71" s="77"/>
      <c r="R71" s="75"/>
      <c r="S71" t="e">
        <f>VLOOKUP(C71,'חד גזעי'!$Y$4:$Y$18,1,0)</f>
        <v>#N/A</v>
      </c>
      <c r="T71" s="72">
        <f>IF('חד גזעי'!$AM$6="לא",IF(P71=0,IF(BC71="שימור",IF('חד גזעי'!$AM$4="לא",IF(BC71="לא בוגר",0,IF(BC71="לא קיים",0,IF(J71=0,0,I71*0.1))),IF(BC71="לא בוגר",0,IF(BC71="לא קיים",0,IF(AB71=1,I71*0.1,E71*0.5)))),0),IF('חד גזעי'!$AM$4="לא",IF(BC71="לא בוגר",0,IF(BC71="לא קיים",0,IF(J71=0,0,I71*0.1))),IF(BC71="לא בוגר",0,IF(BC71="לא קיים",0,IF(AB71=1,I71*0.1,E71*0.5))))),IF(P71=0,IF(BC71="שימור",IF('חד גזעי'!$AM$4="לא",IF(BC71="לא בוגר",0,IF(BC71="לא קיים",0,IF(J71=0,0,I71*0.15))),IF(BC71="לא בוגר",0,IF(BC71="לא קיים",0,IF(AB71=1,I71*0.15,E71*0.5)))),0),IF('חד גזעי'!$AM$4="לא",IF(BC71="לא בוגר",0,IF(BC71="לא קיים",0,IF(J71=0,0,I71*0.15))),IF(BC71="לא בוגר",0,IF(BC71="לא קיים",0,IF(AB71=1,I71*0.15,E71*0.5))))))</f>
        <v>0</v>
      </c>
      <c r="V71" t="e">
        <f t="shared" si="25"/>
        <v>#N/A</v>
      </c>
      <c r="W71" t="e">
        <f t="shared" si="26"/>
        <v>#N/A</v>
      </c>
      <c r="X71" t="e">
        <f t="shared" si="27"/>
        <v>#N/A</v>
      </c>
      <c r="Y71">
        <f>IF('חד גזעי'!$AM$2 = "לא",0,IF(F71&gt;9,W71,0))</f>
        <v>0</v>
      </c>
      <c r="Z71">
        <f>IF('חד גזעי'!$AM$7 = "לא",0,IF(C71 = "זית אירופי",IF('חד גזעי'!$AN$7 &lt;=סקר!F71,W71,0),IF(C71 = "חרוב מצוי",IF('חד גזעי'!$AN$7 &lt;=סקר!F71,W71,0),0)))</f>
        <v>0</v>
      </c>
      <c r="AB71">
        <f t="shared" si="75"/>
        <v>1</v>
      </c>
      <c r="AC71" s="72"/>
      <c r="AD71" t="e">
        <f t="shared" si="69"/>
        <v>#N/A</v>
      </c>
      <c r="AE71" s="72"/>
      <c r="AF71" s="72" t="e">
        <f t="shared" si="52"/>
        <v>#N/A</v>
      </c>
      <c r="AG71" s="72" t="e">
        <f>IF('חד גזעי'!$AM$5="לא",(VLOOKUP(C71,'חד גזעי'!$P$1:$S$589,3,FALSE)),(VLOOKUP(C71,'חד גזעי'!$P$1:$S$589,4,FALSE)))</f>
        <v>#N/A</v>
      </c>
      <c r="AH71" s="72">
        <f t="shared" si="53"/>
        <v>0</v>
      </c>
      <c r="AI71" s="72">
        <f t="shared" si="54"/>
        <v>0</v>
      </c>
      <c r="AJ71" s="72">
        <f t="shared" si="55"/>
        <v>0</v>
      </c>
      <c r="AK71" s="72" t="e">
        <f t="shared" si="56"/>
        <v>#N/A</v>
      </c>
      <c r="AL71" t="e">
        <f>VLOOKUP(C71,'חד גזעי'!$AH$8:$AI$33,2,FALSE)</f>
        <v>#N/A</v>
      </c>
      <c r="AM71" s="72" t="b">
        <f t="shared" si="57"/>
        <v>0</v>
      </c>
      <c r="AN71" s="72" t="b">
        <f t="shared" si="58"/>
        <v>0</v>
      </c>
      <c r="AO71" s="72" t="b">
        <f t="shared" si="59"/>
        <v>0</v>
      </c>
      <c r="AS71" s="72">
        <f t="shared" si="60"/>
        <v>0</v>
      </c>
      <c r="AT71" s="72">
        <f t="shared" si="61"/>
        <v>0</v>
      </c>
      <c r="AU71" s="72">
        <f t="shared" si="70"/>
        <v>0</v>
      </c>
      <c r="AV71" s="72">
        <f t="shared" si="62"/>
        <v>0</v>
      </c>
      <c r="AW71" s="72">
        <f t="shared" si="63"/>
        <v>0</v>
      </c>
      <c r="AX71" s="72">
        <f t="shared" si="64"/>
        <v>0</v>
      </c>
      <c r="AY71" s="72">
        <f t="shared" si="65"/>
        <v>0</v>
      </c>
      <c r="AZ71" s="72">
        <f t="shared" si="66"/>
        <v>0</v>
      </c>
      <c r="BA71" s="72" t="e">
        <f t="shared" si="67"/>
        <v>#N/A</v>
      </c>
      <c r="BB71" s="72" t="e">
        <f t="shared" si="76"/>
        <v>#N/A</v>
      </c>
      <c r="BC71" s="77"/>
      <c r="BE71">
        <f t="shared" si="48"/>
        <v>0</v>
      </c>
      <c r="BF71" s="196"/>
      <c r="BG71" s="196"/>
      <c r="BH71" s="196"/>
      <c r="BI71" s="196"/>
      <c r="BJ71" s="196"/>
      <c r="BK71" s="196"/>
    </row>
    <row r="72" spans="2:63" hidden="1">
      <c r="B72" s="72"/>
      <c r="C72" s="135"/>
      <c r="D72" s="109"/>
      <c r="E72" s="78"/>
      <c r="F72" s="72"/>
      <c r="G72" s="72"/>
      <c r="H72" s="72"/>
      <c r="I72" s="73">
        <f t="shared" si="74"/>
        <v>0</v>
      </c>
      <c r="J72" s="78"/>
      <c r="K72" s="73"/>
      <c r="L72" s="74" t="e">
        <f>_xlfn.IFNA(VLOOKUP(C72,'חד גזעי'!$U$3:$V$509,2,0),VLOOKUP(C72,'חד גזעי'!$U$3:$V$509,2))</f>
        <v>#N/A</v>
      </c>
      <c r="M72" s="73"/>
      <c r="N72" s="72" t="e">
        <f>_xlfn.IFNA(IF(VLOOKUP(C72,'חד גזעי'!$AH$2:$AH$7,1,FALSE)&gt;0,0,IF('חד גזעי'!$AM$5="כן",IF(_xlfn.IFNA(VLOOKUP(C72,'חד גזעי'!$AH$2:$AH$33,1,FALSE),SUM(J72:M72))&lt;21,_xlfn.IFNA(VLOOKUP(C72,'חד גזעי'!$AH$2:$AH$33,1,FALSE),SUM(J72:M72)),0),SUM(J72:M72))),IF('חד גזעי'!$AM$5="כן",IF(_xlfn.IFNA(VLOOKUP(C72,'חד גזעי'!$AH$2:$AH$33,1,FALSE),SUM(J72:M72))&lt;21,_xlfn.IFNA(VLOOKUP(C72,'חד גזעי'!$AH$2:$AH$33,1,FALSE),SUM(J72:M72)),0),SUM(J72:M72)))</f>
        <v>#N/A</v>
      </c>
      <c r="O72" s="72">
        <f>IF('חד גזעי'!$AM$3 = "כן",IF(T72&gt;4,4,T72),T72)</f>
        <v>0</v>
      </c>
      <c r="P72" s="80">
        <f>IF(E72&lt;2,0,IF(Z72&gt;0,Z72,IF(N72 = 0,0,IF('חד גזעי'!$AM$2 = "לא",IF(F72&gt;19,W72,0),IF(F72&gt;9,Y72,0)))))</f>
        <v>0</v>
      </c>
      <c r="Q72" s="77"/>
      <c r="R72" s="75"/>
      <c r="S72" t="e">
        <f>VLOOKUP(C72,'חד גזעי'!$Y$4:$Y$18,1,0)</f>
        <v>#N/A</v>
      </c>
      <c r="T72" s="72">
        <f>IF('חד גזעי'!$AM$6="לא",IF(P72=0,IF(BC72="שימור",IF('חד גזעי'!$AM$4="לא",IF(BC72="לא בוגר",0,IF(BC72="לא קיים",0,IF(J72=0,0,I72*0.1))),IF(BC72="לא בוגר",0,IF(BC72="לא קיים",0,IF(AB72=1,I72*0.1,E72*0.5)))),0),IF('חד גזעי'!$AM$4="לא",IF(BC72="לא בוגר",0,IF(BC72="לא קיים",0,IF(J72=0,0,I72*0.1))),IF(BC72="לא בוגר",0,IF(BC72="לא קיים",0,IF(AB72=1,I72*0.1,E72*0.5))))),IF(P72=0,IF(BC72="שימור",IF('חד גזעי'!$AM$4="לא",IF(BC72="לא בוגר",0,IF(BC72="לא קיים",0,IF(J72=0,0,I72*0.15))),IF(BC72="לא בוגר",0,IF(BC72="לא קיים",0,IF(AB72=1,I72*0.15,E72*0.5)))),0),IF('חד גזעי'!$AM$4="לא",IF(BC72="לא בוגר",0,IF(BC72="לא קיים",0,IF(J72=0,0,I72*0.15))),IF(BC72="לא בוגר",0,IF(BC72="לא קיים",0,IF(AB72=1,I72*0.15,E72*0.5))))))</f>
        <v>0</v>
      </c>
      <c r="V72" t="e">
        <f t="shared" si="25"/>
        <v>#N/A</v>
      </c>
      <c r="W72" t="e">
        <f t="shared" si="26"/>
        <v>#N/A</v>
      </c>
      <c r="X72" t="e">
        <f t="shared" si="27"/>
        <v>#N/A</v>
      </c>
      <c r="Y72">
        <f>IF('חד גזעי'!$AM$2 = "לא",0,IF(F72&gt;9,W72,0))</f>
        <v>0</v>
      </c>
      <c r="Z72">
        <f>IF('חד גזעי'!$AM$7 = "לא",0,IF(C72 = "זית אירופי",IF('חד גזעי'!$AN$7 &lt;=סקר!F72,W72,0),IF(C72 = "חרוב מצוי",IF('חד גזעי'!$AN$7 &lt;=סקר!F72,W72,0),0)))</f>
        <v>0</v>
      </c>
      <c r="AB72">
        <f t="shared" si="75"/>
        <v>1</v>
      </c>
      <c r="AC72" s="72"/>
      <c r="AD72" t="e">
        <f t="shared" si="69"/>
        <v>#N/A</v>
      </c>
      <c r="AE72" s="72"/>
      <c r="AF72" s="72" t="e">
        <f t="shared" si="52"/>
        <v>#N/A</v>
      </c>
      <c r="AG72" s="72" t="e">
        <f>IF('חד גזעי'!$AM$5="לא",(VLOOKUP(C72,'חד גזעי'!$P$1:$S$589,3,FALSE)),(VLOOKUP(C72,'חד גזעי'!$P$1:$S$589,4,FALSE)))</f>
        <v>#N/A</v>
      </c>
      <c r="AH72" s="72">
        <f t="shared" si="53"/>
        <v>0</v>
      </c>
      <c r="AI72" s="72">
        <f t="shared" si="54"/>
        <v>0</v>
      </c>
      <c r="AJ72" s="72">
        <f t="shared" si="55"/>
        <v>0</v>
      </c>
      <c r="AK72" s="72" t="e">
        <f t="shared" si="56"/>
        <v>#N/A</v>
      </c>
      <c r="AL72" t="e">
        <f>VLOOKUP(C72,'חד גזעי'!$AH$8:$AI$33,2,FALSE)</f>
        <v>#N/A</v>
      </c>
      <c r="AM72" s="72" t="b">
        <f t="shared" si="57"/>
        <v>0</v>
      </c>
      <c r="AN72" s="72" t="b">
        <f t="shared" si="58"/>
        <v>0</v>
      </c>
      <c r="AO72" s="72" t="b">
        <f t="shared" si="59"/>
        <v>0</v>
      </c>
      <c r="AS72" s="72">
        <f t="shared" si="60"/>
        <v>0</v>
      </c>
      <c r="AT72" s="72">
        <f t="shared" si="61"/>
        <v>0</v>
      </c>
      <c r="AU72" s="72">
        <f t="shared" si="70"/>
        <v>0</v>
      </c>
      <c r="AV72" s="72">
        <f t="shared" si="62"/>
        <v>0</v>
      </c>
      <c r="AW72" s="72">
        <f t="shared" si="63"/>
        <v>0</v>
      </c>
      <c r="AX72" s="72">
        <f t="shared" si="64"/>
        <v>0</v>
      </c>
      <c r="AY72" s="72">
        <f t="shared" si="65"/>
        <v>0</v>
      </c>
      <c r="AZ72" s="72">
        <f t="shared" si="66"/>
        <v>0</v>
      </c>
      <c r="BA72" s="72" t="e">
        <f t="shared" si="67"/>
        <v>#N/A</v>
      </c>
      <c r="BB72" s="72" t="e">
        <f t="shared" si="76"/>
        <v>#N/A</v>
      </c>
      <c r="BC72" s="77"/>
      <c r="BE72">
        <f t="shared" si="48"/>
        <v>0</v>
      </c>
      <c r="BF72" s="196"/>
      <c r="BG72" s="196"/>
      <c r="BH72" s="196"/>
      <c r="BI72" s="196"/>
      <c r="BJ72" s="196"/>
      <c r="BK72" s="196"/>
    </row>
    <row r="73" spans="2:63" hidden="1">
      <c r="B73" s="72"/>
      <c r="C73" s="135"/>
      <c r="D73" s="109"/>
      <c r="E73" s="78"/>
      <c r="F73" s="72"/>
      <c r="G73" s="72"/>
      <c r="H73" s="72"/>
      <c r="I73" s="73">
        <f t="shared" si="74"/>
        <v>0</v>
      </c>
      <c r="J73" s="78"/>
      <c r="K73" s="73"/>
      <c r="L73" s="74" t="e">
        <f>_xlfn.IFNA(VLOOKUP(C73,'חד גזעי'!$U$3:$V$509,2,0),VLOOKUP(C73,'חד גזעי'!$U$3:$V$509,2))</f>
        <v>#N/A</v>
      </c>
      <c r="M73" s="73"/>
      <c r="N73" s="72" t="e">
        <f>_xlfn.IFNA(IF(VLOOKUP(C73,'חד גזעי'!$AH$2:$AH$7,1,FALSE)&gt;0,0,IF('חד גזעי'!$AM$5="כן",IF(_xlfn.IFNA(VLOOKUP(C73,'חד גזעי'!$AH$2:$AH$33,1,FALSE),SUM(J73:M73))&lt;21,_xlfn.IFNA(VLOOKUP(C73,'חד גזעי'!$AH$2:$AH$33,1,FALSE),SUM(J73:M73)),0),SUM(J73:M73))),IF('חד גזעי'!$AM$5="כן",IF(_xlfn.IFNA(VLOOKUP(C73,'חד גזעי'!$AH$2:$AH$33,1,FALSE),SUM(J73:M73))&lt;21,_xlfn.IFNA(VLOOKUP(C73,'חד גזעי'!$AH$2:$AH$33,1,FALSE),SUM(J73:M73)),0),SUM(J73:M73)))</f>
        <v>#N/A</v>
      </c>
      <c r="O73" s="72">
        <f>IF('חד גזעי'!$AM$3 = "כן",IF(T73&gt;4,4,T73),T73)</f>
        <v>0</v>
      </c>
      <c r="P73" s="80">
        <f>IF(E73&lt;2,0,IF(Z73&gt;0,Z73,IF(N73 = 0,0,IF('חד גזעי'!$AM$2 = "לא",IF(F73&gt;19,W73,0),IF(F73&gt;9,Y73,0)))))</f>
        <v>0</v>
      </c>
      <c r="Q73" s="77"/>
      <c r="R73" s="75"/>
      <c r="S73" t="e">
        <f>VLOOKUP(C73,'חד גזעי'!$Y$4:$Y$18,1,0)</f>
        <v>#N/A</v>
      </c>
      <c r="T73" s="72">
        <f>IF('חד גזעי'!$AM$6="לא",IF(P73=0,IF(BC73="שימור",IF('חד גזעי'!$AM$4="לא",IF(BC73="לא בוגר",0,IF(BC73="לא קיים",0,IF(J73=0,0,I73*0.1))),IF(BC73="לא בוגר",0,IF(BC73="לא קיים",0,IF(AB73=1,I73*0.1,E73*0.5)))),0),IF('חד גזעי'!$AM$4="לא",IF(BC73="לא בוגר",0,IF(BC73="לא קיים",0,IF(J73=0,0,I73*0.1))),IF(BC73="לא בוגר",0,IF(BC73="לא קיים",0,IF(AB73=1,I73*0.1,E73*0.5))))),IF(P73=0,IF(BC73="שימור",IF('חד גזעי'!$AM$4="לא",IF(BC73="לא בוגר",0,IF(BC73="לא קיים",0,IF(J73=0,0,I73*0.15))),IF(BC73="לא בוגר",0,IF(BC73="לא קיים",0,IF(AB73=1,I73*0.15,E73*0.5)))),0),IF('חד גזעי'!$AM$4="לא",IF(BC73="לא בוגר",0,IF(BC73="לא קיים",0,IF(J73=0,0,I73*0.15))),IF(BC73="לא בוגר",0,IF(BC73="לא קיים",0,IF(AB73=1,I73*0.15,E73*0.5))))))</f>
        <v>0</v>
      </c>
      <c r="V73" t="e">
        <f t="shared" si="25"/>
        <v>#N/A</v>
      </c>
      <c r="W73" t="e">
        <f t="shared" si="26"/>
        <v>#N/A</v>
      </c>
      <c r="X73" t="e">
        <f t="shared" si="27"/>
        <v>#N/A</v>
      </c>
      <c r="Y73">
        <f>IF('חד גזעי'!$AM$2 = "לא",0,IF(F73&gt;9,W73,0))</f>
        <v>0</v>
      </c>
      <c r="Z73">
        <f>IF('חד גזעי'!$AM$7 = "לא",0,IF(C73 = "זית אירופי",IF('חד גזעי'!$AN$7 &lt;=סקר!F73,W73,0),IF(C73 = "חרוב מצוי",IF('חד גזעי'!$AN$7 &lt;=סקר!F73,W73,0),0)))</f>
        <v>0</v>
      </c>
      <c r="AB73">
        <f t="shared" si="75"/>
        <v>1</v>
      </c>
      <c r="AC73" s="72"/>
      <c r="AD73" t="e">
        <f t="shared" si="69"/>
        <v>#N/A</v>
      </c>
      <c r="AE73" s="72"/>
      <c r="AF73" s="72" t="e">
        <f t="shared" si="52"/>
        <v>#N/A</v>
      </c>
      <c r="AG73" s="72" t="e">
        <f>IF('חד גזעי'!$AM$5="לא",(VLOOKUP(C73,'חד גזעי'!$P$1:$S$589,3,FALSE)),(VLOOKUP(C73,'חד גזעי'!$P$1:$S$589,4,FALSE)))</f>
        <v>#N/A</v>
      </c>
      <c r="AH73" s="72">
        <f t="shared" si="53"/>
        <v>0</v>
      </c>
      <c r="AI73" s="72">
        <f t="shared" si="54"/>
        <v>0</v>
      </c>
      <c r="AJ73" s="72">
        <f t="shared" si="55"/>
        <v>0</v>
      </c>
      <c r="AK73" s="72" t="e">
        <f t="shared" si="56"/>
        <v>#N/A</v>
      </c>
      <c r="AL73" t="e">
        <f>VLOOKUP(C73,'חד גזעי'!$AH$8:$AI$33,2,FALSE)</f>
        <v>#N/A</v>
      </c>
      <c r="AM73" s="72" t="b">
        <f t="shared" si="57"/>
        <v>0</v>
      </c>
      <c r="AN73" s="72" t="b">
        <f t="shared" si="58"/>
        <v>0</v>
      </c>
      <c r="AO73" s="72" t="b">
        <f t="shared" si="59"/>
        <v>0</v>
      </c>
      <c r="AS73" s="72">
        <f t="shared" si="60"/>
        <v>0</v>
      </c>
      <c r="AT73" s="72">
        <f t="shared" si="61"/>
        <v>0</v>
      </c>
      <c r="AU73" s="72">
        <f t="shared" si="70"/>
        <v>0</v>
      </c>
      <c r="AV73" s="72">
        <f t="shared" si="62"/>
        <v>0</v>
      </c>
      <c r="AW73" s="72">
        <f t="shared" si="63"/>
        <v>0</v>
      </c>
      <c r="AX73" s="72">
        <f t="shared" si="64"/>
        <v>0</v>
      </c>
      <c r="AY73" s="72">
        <f t="shared" si="65"/>
        <v>0</v>
      </c>
      <c r="AZ73" s="72">
        <f t="shared" si="66"/>
        <v>0</v>
      </c>
      <c r="BA73" s="72" t="e">
        <f t="shared" si="67"/>
        <v>#N/A</v>
      </c>
      <c r="BB73" s="72" t="e">
        <f t="shared" si="76"/>
        <v>#N/A</v>
      </c>
      <c r="BC73" s="77"/>
      <c r="BE73">
        <f t="shared" si="48"/>
        <v>0</v>
      </c>
      <c r="BF73" s="196"/>
      <c r="BG73" s="196"/>
      <c r="BH73" s="196"/>
      <c r="BI73" s="196"/>
      <c r="BJ73" s="196"/>
      <c r="BK73" s="196"/>
    </row>
    <row r="74" spans="2:63" hidden="1">
      <c r="B74" s="72"/>
      <c r="C74" s="135"/>
      <c r="D74" s="109"/>
      <c r="E74" s="73"/>
      <c r="F74" s="72"/>
      <c r="G74" s="72"/>
      <c r="H74" s="72"/>
      <c r="I74" s="73">
        <f t="shared" si="74"/>
        <v>0</v>
      </c>
      <c r="J74" s="78"/>
      <c r="K74" s="73"/>
      <c r="L74" s="74" t="e">
        <f>_xlfn.IFNA(VLOOKUP(C74,'חד גזעי'!$U$3:$V$509,2,0),VLOOKUP(C74,'חד גזעי'!$U$3:$V$509,2))</f>
        <v>#N/A</v>
      </c>
      <c r="M74" s="73"/>
      <c r="N74" s="72" t="e">
        <f>_xlfn.IFNA(IF(VLOOKUP(C74,'חד גזעי'!$AH$2:$AH$7,1,FALSE)&gt;0,0,IF('חד גזעי'!$AM$5="כן",IF(_xlfn.IFNA(VLOOKUP(C74,'חד גזעי'!$AH$2:$AH$33,1,FALSE),SUM(J74:M74))&lt;21,_xlfn.IFNA(VLOOKUP(C74,'חד גזעי'!$AH$2:$AH$33,1,FALSE),SUM(J74:M74)),0),SUM(J74:M74))),IF('חד גזעי'!$AM$5="כן",IF(_xlfn.IFNA(VLOOKUP(C74,'חד גזעי'!$AH$2:$AH$33,1,FALSE),SUM(J74:M74))&lt;21,_xlfn.IFNA(VLOOKUP(C74,'חד גזעי'!$AH$2:$AH$33,1,FALSE),SUM(J74:M74)),0),SUM(J74:M74)))</f>
        <v>#N/A</v>
      </c>
      <c r="O74" s="72">
        <f>IF('חד גזעי'!$AM$3 = "כן",IF(T74&gt;4,4,T74),T74)</f>
        <v>0</v>
      </c>
      <c r="P74" s="80">
        <f>IF(E74&lt;2,0,IF(Z74&gt;0,Z74,IF(N74 = 0,0,IF('חד גזעי'!$AM$2 = "לא",IF(F74&gt;19,W74,0),IF(F74&gt;9,Y74,0)))))</f>
        <v>0</v>
      </c>
      <c r="Q74" s="77"/>
      <c r="R74" s="75"/>
      <c r="S74" t="e">
        <f>VLOOKUP(C74,'חד גזעי'!$Y$4:$Y$18,1,0)</f>
        <v>#N/A</v>
      </c>
      <c r="T74" s="72">
        <f>IF('חד גזעי'!$AM$6="לא",IF(P74=0,IF(BC74="שימור",IF('חד גזעי'!$AM$4="לא",IF(BC74="לא בוגר",0,IF(BC74="לא קיים",0,IF(J74=0,0,I74*0.1))),IF(BC74="לא בוגר",0,IF(BC74="לא קיים",0,IF(AB74=1,I74*0.1,E74*0.5)))),0),IF('חד גזעי'!$AM$4="לא",IF(BC74="לא בוגר",0,IF(BC74="לא קיים",0,IF(J74=0,0,I74*0.1))),IF(BC74="לא בוגר",0,IF(BC74="לא קיים",0,IF(AB74=1,I74*0.1,E74*0.5))))),IF(P74=0,IF(BC74="שימור",IF('חד גזעי'!$AM$4="לא",IF(BC74="לא בוגר",0,IF(BC74="לא קיים",0,IF(J74=0,0,I74*0.15))),IF(BC74="לא בוגר",0,IF(BC74="לא קיים",0,IF(AB74=1,I74*0.15,E74*0.5)))),0),IF('חד גזעי'!$AM$4="לא",IF(BC74="לא בוגר",0,IF(BC74="לא קיים",0,IF(J74=0,0,I74*0.15))),IF(BC74="לא בוגר",0,IF(BC74="לא קיים",0,IF(AB74=1,I74*0.15,E74*0.5))))))</f>
        <v>0</v>
      </c>
      <c r="V74" t="e">
        <f t="shared" si="25"/>
        <v>#N/A</v>
      </c>
      <c r="W74" t="e">
        <f t="shared" si="26"/>
        <v>#N/A</v>
      </c>
      <c r="X74" t="e">
        <f t="shared" si="27"/>
        <v>#N/A</v>
      </c>
      <c r="Y74">
        <f>IF('חד גזעי'!$AM$2 = "לא",0,IF(F74&gt;9,W74,0))</f>
        <v>0</v>
      </c>
      <c r="Z74">
        <f>IF('חד גזעי'!$AM$7 = "לא",0,IF(C74 = "זית אירופי",IF('חד גזעי'!$AN$7 &lt;=סקר!F74,W74,0),IF(C74 = "חרוב מצוי",IF('חד גזעי'!$AN$7 &lt;=סקר!F74,W74,0),0)))</f>
        <v>0</v>
      </c>
      <c r="AB74">
        <f t="shared" si="75"/>
        <v>1</v>
      </c>
      <c r="AC74" s="72"/>
      <c r="AD74" t="e">
        <f t="shared" si="69"/>
        <v>#N/A</v>
      </c>
      <c r="AE74" s="72"/>
      <c r="AF74" s="72" t="e">
        <f t="shared" si="52"/>
        <v>#N/A</v>
      </c>
      <c r="AG74" s="72" t="e">
        <f>IF('חד גזעי'!$AM$5="לא",(VLOOKUP(C74,'חד גזעי'!$P$1:$S$589,3,FALSE)),(VLOOKUP(C74,'חד גזעי'!$P$1:$S$589,4,FALSE)))</f>
        <v>#N/A</v>
      </c>
      <c r="AH74" s="72">
        <f t="shared" si="53"/>
        <v>0</v>
      </c>
      <c r="AI74" s="72">
        <f t="shared" si="54"/>
        <v>0</v>
      </c>
      <c r="AJ74" s="72">
        <f t="shared" si="55"/>
        <v>0</v>
      </c>
      <c r="AK74" s="72" t="e">
        <f t="shared" si="56"/>
        <v>#N/A</v>
      </c>
      <c r="AL74" t="e">
        <f>VLOOKUP(C74,'חד גזעי'!$AH$8:$AI$33,2,FALSE)</f>
        <v>#N/A</v>
      </c>
      <c r="AM74" s="72" t="b">
        <f t="shared" si="57"/>
        <v>0</v>
      </c>
      <c r="AN74" s="72" t="b">
        <f t="shared" si="58"/>
        <v>0</v>
      </c>
      <c r="AO74" s="72" t="b">
        <f t="shared" si="59"/>
        <v>0</v>
      </c>
      <c r="AS74" s="72">
        <f t="shared" si="60"/>
        <v>0</v>
      </c>
      <c r="AT74" s="72">
        <f t="shared" si="61"/>
        <v>0</v>
      </c>
      <c r="AU74" s="72">
        <f t="shared" si="70"/>
        <v>0</v>
      </c>
      <c r="AV74" s="72">
        <f t="shared" si="62"/>
        <v>0</v>
      </c>
      <c r="AW74" s="72">
        <f t="shared" si="63"/>
        <v>0</v>
      </c>
      <c r="AX74" s="72">
        <f t="shared" si="64"/>
        <v>0</v>
      </c>
      <c r="AY74" s="72">
        <f t="shared" si="65"/>
        <v>0</v>
      </c>
      <c r="AZ74" s="72">
        <f t="shared" si="66"/>
        <v>0</v>
      </c>
      <c r="BA74" s="72" t="e">
        <f t="shared" si="67"/>
        <v>#N/A</v>
      </c>
      <c r="BB74" s="72" t="e">
        <f t="shared" si="76"/>
        <v>#N/A</v>
      </c>
      <c r="BC74" s="77"/>
      <c r="BE74">
        <f t="shared" si="48"/>
        <v>0</v>
      </c>
      <c r="BF74" s="196"/>
      <c r="BG74" s="196"/>
      <c r="BH74" s="196"/>
      <c r="BI74" s="196"/>
      <c r="BJ74" s="196"/>
      <c r="BK74" s="196"/>
    </row>
    <row r="75" spans="2:63" hidden="1">
      <c r="B75" s="72"/>
      <c r="C75" s="135"/>
      <c r="D75" s="109"/>
      <c r="E75" s="78"/>
      <c r="F75" s="72"/>
      <c r="G75" s="72"/>
      <c r="H75" s="72"/>
      <c r="I75" s="73">
        <f t="shared" si="74"/>
        <v>0</v>
      </c>
      <c r="J75" s="78"/>
      <c r="K75" s="73"/>
      <c r="L75" s="74" t="e">
        <f>_xlfn.IFNA(VLOOKUP(C75,'חד גזעי'!$U$3:$V$509,2,0),VLOOKUP(C75,'חד גזעי'!$U$3:$V$509,2))</f>
        <v>#N/A</v>
      </c>
      <c r="M75" s="73"/>
      <c r="N75" s="72" t="e">
        <f>_xlfn.IFNA(IF(VLOOKUP(C75,'חד גזעי'!$AH$2:$AH$7,1,FALSE)&gt;0,0,IF('חד גזעי'!$AM$5="כן",IF(_xlfn.IFNA(VLOOKUP(C75,'חד גזעי'!$AH$2:$AH$33,1,FALSE),SUM(J75:M75))&lt;21,_xlfn.IFNA(VLOOKUP(C75,'חד גזעי'!$AH$2:$AH$33,1,FALSE),SUM(J75:M75)),0),SUM(J75:M75))),IF('חד גזעי'!$AM$5="כן",IF(_xlfn.IFNA(VLOOKUP(C75,'חד גזעי'!$AH$2:$AH$33,1,FALSE),SUM(J75:M75))&lt;21,_xlfn.IFNA(VLOOKUP(C75,'חד גזעי'!$AH$2:$AH$33,1,FALSE),SUM(J75:M75)),0),SUM(J75:M75)))</f>
        <v>#N/A</v>
      </c>
      <c r="O75" s="72">
        <f>IF('חד גזעי'!$AM$3 = "כן",IF(T75&gt;4,4,T75),T75)</f>
        <v>0</v>
      </c>
      <c r="P75" s="80">
        <f>IF(E75&lt;2,0,IF(Z75&gt;0,Z75,IF(N75 = 0,0,IF('חד גזעי'!$AM$2 = "לא",IF(F75&gt;19,W75,0),IF(F75&gt;9,Y75,0)))))</f>
        <v>0</v>
      </c>
      <c r="Q75" s="77"/>
      <c r="R75" s="75"/>
      <c r="S75" t="e">
        <f>VLOOKUP(C75,'חד גזעי'!$Y$4:$Y$18,1,0)</f>
        <v>#N/A</v>
      </c>
      <c r="T75" s="72">
        <f>IF('חד גזעי'!$AM$6="לא",IF(P75=0,IF(BC75="שימור",IF('חד גזעי'!$AM$4="לא",IF(BC75="לא בוגר",0,IF(BC75="לא קיים",0,IF(J75=0,0,I75*0.1))),IF(BC75="לא בוגר",0,IF(BC75="לא קיים",0,IF(AB75=1,I75*0.1,E75*0.5)))),0),IF('חד גזעי'!$AM$4="לא",IF(BC75="לא בוגר",0,IF(BC75="לא קיים",0,IF(J75=0,0,I75*0.1))),IF(BC75="לא בוגר",0,IF(BC75="לא קיים",0,IF(AB75=1,I75*0.1,E75*0.5))))),IF(P75=0,IF(BC75="שימור",IF('חד גזעי'!$AM$4="לא",IF(BC75="לא בוגר",0,IF(BC75="לא קיים",0,IF(J75=0,0,I75*0.15))),IF(BC75="לא בוגר",0,IF(BC75="לא קיים",0,IF(AB75=1,I75*0.15,E75*0.5)))),0),IF('חד גזעי'!$AM$4="לא",IF(BC75="לא בוגר",0,IF(BC75="לא קיים",0,IF(J75=0,0,I75*0.15))),IF(BC75="לא בוגר",0,IF(BC75="לא קיים",0,IF(AB75=1,I75*0.15,E75*0.5))))))</f>
        <v>0</v>
      </c>
      <c r="V75" t="e">
        <f t="shared" si="25"/>
        <v>#N/A</v>
      </c>
      <c r="W75" t="e">
        <f t="shared" si="26"/>
        <v>#N/A</v>
      </c>
      <c r="X75" t="e">
        <f t="shared" si="27"/>
        <v>#N/A</v>
      </c>
      <c r="Y75">
        <f>IF('חד גזעי'!$AM$2 = "לא",0,IF(F75&gt;9,W75,0))</f>
        <v>0</v>
      </c>
      <c r="Z75">
        <f>IF('חד גזעי'!$AM$7 = "לא",0,IF(C75 = "זית אירופי",IF('חד גזעי'!$AN$7 &lt;=סקר!F75,W75,0),IF(C75 = "חרוב מצוי",IF('חד גזעי'!$AN$7 &lt;=סקר!F75,W75,0),0)))</f>
        <v>0</v>
      </c>
      <c r="AB75">
        <f t="shared" si="75"/>
        <v>1</v>
      </c>
      <c r="AC75" s="72"/>
      <c r="AD75" t="e">
        <f t="shared" si="69"/>
        <v>#N/A</v>
      </c>
      <c r="AE75" s="72"/>
      <c r="AF75" s="72" t="e">
        <f t="shared" si="52"/>
        <v>#N/A</v>
      </c>
      <c r="AG75" s="72" t="e">
        <f>IF('חד גזעי'!$AM$5="לא",(VLOOKUP(C75,'חד גזעי'!$P$1:$S$589,3,FALSE)),(VLOOKUP(C75,'חד גזעי'!$P$1:$S$589,4,FALSE)))</f>
        <v>#N/A</v>
      </c>
      <c r="AH75" s="72">
        <f t="shared" si="53"/>
        <v>0</v>
      </c>
      <c r="AI75" s="72">
        <f t="shared" si="54"/>
        <v>0</v>
      </c>
      <c r="AJ75" s="72">
        <f t="shared" si="55"/>
        <v>0</v>
      </c>
      <c r="AK75" s="72" t="e">
        <f t="shared" si="56"/>
        <v>#N/A</v>
      </c>
      <c r="AL75" t="e">
        <f>VLOOKUP(C75,'חד גזעי'!$AH$8:$AI$33,2,FALSE)</f>
        <v>#N/A</v>
      </c>
      <c r="AM75" s="72" t="b">
        <f t="shared" si="57"/>
        <v>0</v>
      </c>
      <c r="AN75" s="72" t="b">
        <f t="shared" si="58"/>
        <v>0</v>
      </c>
      <c r="AO75" s="72" t="b">
        <f t="shared" si="59"/>
        <v>0</v>
      </c>
      <c r="AS75" s="72">
        <f t="shared" si="60"/>
        <v>0</v>
      </c>
      <c r="AT75" s="72">
        <f t="shared" si="61"/>
        <v>0</v>
      </c>
      <c r="AU75" s="72">
        <f t="shared" si="70"/>
        <v>0</v>
      </c>
      <c r="AV75" s="72">
        <f t="shared" si="62"/>
        <v>0</v>
      </c>
      <c r="AW75" s="72">
        <f t="shared" si="63"/>
        <v>0</v>
      </c>
      <c r="AX75" s="72">
        <f t="shared" si="64"/>
        <v>0</v>
      </c>
      <c r="AY75" s="72">
        <f t="shared" si="65"/>
        <v>0</v>
      </c>
      <c r="AZ75" s="72">
        <f t="shared" si="66"/>
        <v>0</v>
      </c>
      <c r="BA75" s="72" t="e">
        <f t="shared" si="67"/>
        <v>#N/A</v>
      </c>
      <c r="BB75" s="72" t="e">
        <f t="shared" si="76"/>
        <v>#N/A</v>
      </c>
      <c r="BC75" s="77"/>
      <c r="BE75">
        <f t="shared" si="48"/>
        <v>0</v>
      </c>
      <c r="BF75" s="196"/>
      <c r="BG75" s="196"/>
      <c r="BH75" s="196"/>
      <c r="BI75" s="196"/>
      <c r="BJ75" s="196"/>
      <c r="BK75" s="196"/>
    </row>
    <row r="76" spans="2:63" hidden="1">
      <c r="B76" s="72"/>
      <c r="C76" s="135"/>
      <c r="D76" s="109"/>
      <c r="E76" s="78"/>
      <c r="F76" s="72"/>
      <c r="G76" s="72"/>
      <c r="H76" s="72"/>
      <c r="I76" s="73">
        <f t="shared" si="74"/>
        <v>0</v>
      </c>
      <c r="J76" s="78"/>
      <c r="K76" s="73"/>
      <c r="L76" s="74" t="e">
        <f>_xlfn.IFNA(VLOOKUP(C76,'חד גזעי'!$U$3:$V$509,2,0),VLOOKUP(C76,'חד גזעי'!$U$3:$V$509,2))</f>
        <v>#N/A</v>
      </c>
      <c r="M76" s="73"/>
      <c r="N76" s="72" t="e">
        <f>_xlfn.IFNA(IF(VLOOKUP(C76,'חד גזעי'!$AH$2:$AH$7,1,FALSE)&gt;0,0,IF('חד גזעי'!$AM$5="כן",IF(_xlfn.IFNA(VLOOKUP(C76,'חד גזעי'!$AH$2:$AH$33,1,FALSE),SUM(J76:M76))&lt;21,_xlfn.IFNA(VLOOKUP(C76,'חד גזעי'!$AH$2:$AH$33,1,FALSE),SUM(J76:M76)),0),SUM(J76:M76))),IF('חד גזעי'!$AM$5="כן",IF(_xlfn.IFNA(VLOOKUP(C76,'חד גזעי'!$AH$2:$AH$33,1,FALSE),SUM(J76:M76))&lt;21,_xlfn.IFNA(VLOOKUP(C76,'חד גזעי'!$AH$2:$AH$33,1,FALSE),SUM(J76:M76)),0),SUM(J76:M76)))</f>
        <v>#N/A</v>
      </c>
      <c r="O76" s="72">
        <f>IF('חד גזעי'!$AM$3 = "כן",IF(T76&gt;4,4,T76),T76)</f>
        <v>0</v>
      </c>
      <c r="P76" s="80">
        <f>IF(E76&lt;2,0,IF(Z76&gt;0,Z76,IF(N76 = 0,0,IF('חד גזעי'!$AM$2 = "לא",IF(F76&gt;19,W76,0),IF(F76&gt;9,Y76,0)))))</f>
        <v>0</v>
      </c>
      <c r="Q76" s="77"/>
      <c r="R76" s="75"/>
      <c r="S76" t="e">
        <f>VLOOKUP(C76,'חד גזעי'!$Y$4:$Y$18,1,0)</f>
        <v>#N/A</v>
      </c>
      <c r="T76" s="72">
        <f>IF('חד גזעי'!$AM$6="לא",IF(P76=0,IF(BC76="שימור",IF('חד גזעי'!$AM$4="לא",IF(BC76="לא בוגר",0,IF(BC76="לא קיים",0,IF(J76=0,0,I76*0.1))),IF(BC76="לא בוגר",0,IF(BC76="לא קיים",0,IF(AB76=1,I76*0.1,E76*0.5)))),0),IF('חד גזעי'!$AM$4="לא",IF(BC76="לא בוגר",0,IF(BC76="לא קיים",0,IF(J76=0,0,I76*0.1))),IF(BC76="לא בוגר",0,IF(BC76="לא קיים",0,IF(AB76=1,I76*0.1,E76*0.5))))),IF(P76=0,IF(BC76="שימור",IF('חד גזעי'!$AM$4="לא",IF(BC76="לא בוגר",0,IF(BC76="לא קיים",0,IF(J76=0,0,I76*0.15))),IF(BC76="לא בוגר",0,IF(BC76="לא קיים",0,IF(AB76=1,I76*0.15,E76*0.5)))),0),IF('חד גזעי'!$AM$4="לא",IF(BC76="לא בוגר",0,IF(BC76="לא קיים",0,IF(J76=0,0,I76*0.15))),IF(BC76="לא בוגר",0,IF(BC76="לא קיים",0,IF(AB76=1,I76*0.15,E76*0.5))))))</f>
        <v>0</v>
      </c>
      <c r="V76" t="e">
        <f t="shared" ref="V76:V139" si="78">_xlfn.IFNA(AK76,AF76)</f>
        <v>#N/A</v>
      </c>
      <c r="W76" t="e">
        <f t="shared" ref="W76:W139" si="79">IF(D76=0,V76,D76*V76)</f>
        <v>#N/A</v>
      </c>
      <c r="X76" t="e">
        <f t="shared" ref="X76:X139" si="80">IF(N76 = 0,0,Y76)</f>
        <v>#N/A</v>
      </c>
      <c r="Y76">
        <f>IF('חד גזעי'!$AM$2 = "לא",0,IF(F76&gt;9,W76,0))</f>
        <v>0</v>
      </c>
      <c r="Z76">
        <f>IF('חד גזעי'!$AM$7 = "לא",0,IF(C76 = "זית אירופי",IF('חד גזעי'!$AN$7 &lt;=סקר!F76,W76,0),IF(C76 = "חרוב מצוי",IF('חד גזעי'!$AN$7 &lt;=סקר!F76,W76,0),0)))</f>
        <v>0</v>
      </c>
      <c r="AB76">
        <f t="shared" si="75"/>
        <v>1</v>
      </c>
      <c r="AC76" s="72"/>
      <c r="AD76" t="e">
        <f t="shared" si="69"/>
        <v>#N/A</v>
      </c>
      <c r="AE76" s="72"/>
      <c r="AF76" s="72" t="e">
        <f t="shared" si="52"/>
        <v>#N/A</v>
      </c>
      <c r="AG76" s="72" t="e">
        <f>IF('חד גזעי'!$AM$5="לא",(VLOOKUP(C76,'חד גזעי'!$P$1:$S$589,3,FALSE)),(VLOOKUP(C76,'חד גזעי'!$P$1:$S$589,4,FALSE)))</f>
        <v>#N/A</v>
      </c>
      <c r="AH76" s="72">
        <f t="shared" si="53"/>
        <v>0</v>
      </c>
      <c r="AI76" s="72">
        <f t="shared" si="54"/>
        <v>0</v>
      </c>
      <c r="AJ76" s="72">
        <f t="shared" si="55"/>
        <v>0</v>
      </c>
      <c r="AK76" s="72" t="e">
        <f t="shared" si="56"/>
        <v>#N/A</v>
      </c>
      <c r="AL76" t="e">
        <f>VLOOKUP(C76,'חד גזעי'!$AH$8:$AI$33,2,FALSE)</f>
        <v>#N/A</v>
      </c>
      <c r="AM76" s="72" t="b">
        <f t="shared" si="57"/>
        <v>0</v>
      </c>
      <c r="AN76" s="72" t="b">
        <f t="shared" si="58"/>
        <v>0</v>
      </c>
      <c r="AO76" s="72" t="b">
        <f t="shared" si="59"/>
        <v>0</v>
      </c>
      <c r="AS76" s="72">
        <f t="shared" si="60"/>
        <v>0</v>
      </c>
      <c r="AT76" s="72">
        <f t="shared" si="61"/>
        <v>0</v>
      </c>
      <c r="AU76" s="72">
        <f t="shared" si="70"/>
        <v>0</v>
      </c>
      <c r="AV76" s="72">
        <f t="shared" si="62"/>
        <v>0</v>
      </c>
      <c r="AW76" s="72">
        <f t="shared" si="63"/>
        <v>0</v>
      </c>
      <c r="AX76" s="72">
        <f t="shared" si="64"/>
        <v>0</v>
      </c>
      <c r="AY76" s="72">
        <f t="shared" si="65"/>
        <v>0</v>
      </c>
      <c r="AZ76" s="72">
        <f t="shared" si="66"/>
        <v>0</v>
      </c>
      <c r="BA76" s="72" t="e">
        <f t="shared" si="67"/>
        <v>#N/A</v>
      </c>
      <c r="BB76" s="72" t="e">
        <f t="shared" si="76"/>
        <v>#N/A</v>
      </c>
      <c r="BC76" s="77"/>
      <c r="BE76">
        <f t="shared" si="48"/>
        <v>0</v>
      </c>
      <c r="BF76" s="196"/>
      <c r="BG76" s="196"/>
      <c r="BH76" s="196"/>
      <c r="BI76" s="196"/>
      <c r="BJ76" s="196"/>
      <c r="BK76" s="196"/>
    </row>
    <row r="77" spans="2:63" hidden="1">
      <c r="B77" s="72"/>
      <c r="C77" s="135"/>
      <c r="D77" s="109"/>
      <c r="E77" s="78"/>
      <c r="F77" s="72"/>
      <c r="G77" s="72"/>
      <c r="H77" s="72"/>
      <c r="I77" s="73">
        <f t="shared" si="74"/>
        <v>0</v>
      </c>
      <c r="J77" s="78"/>
      <c r="K77" s="73"/>
      <c r="L77" s="74" t="e">
        <f>_xlfn.IFNA(VLOOKUP(C77,'חד גזעי'!$U$3:$V$509,2,0),VLOOKUP(C77,'חד גזעי'!$U$3:$V$509,2))</f>
        <v>#N/A</v>
      </c>
      <c r="M77" s="73"/>
      <c r="N77" s="72" t="e">
        <f>_xlfn.IFNA(IF(VLOOKUP(C77,'חד גזעי'!$AH$2:$AH$7,1,FALSE)&gt;0,0,IF('חד גזעי'!$AM$5="כן",IF(_xlfn.IFNA(VLOOKUP(C77,'חד גזעי'!$AH$2:$AH$33,1,FALSE),SUM(J77:M77))&lt;21,_xlfn.IFNA(VLOOKUP(C77,'חד גזעי'!$AH$2:$AH$33,1,FALSE),SUM(J77:M77)),0),SUM(J77:M77))),IF('חד גזעי'!$AM$5="כן",IF(_xlfn.IFNA(VLOOKUP(C77,'חד גזעי'!$AH$2:$AH$33,1,FALSE),SUM(J77:M77))&lt;21,_xlfn.IFNA(VLOOKUP(C77,'חד גזעי'!$AH$2:$AH$33,1,FALSE),SUM(J77:M77)),0),SUM(J77:M77)))</f>
        <v>#N/A</v>
      </c>
      <c r="O77" s="72">
        <f>IF('חד גזעי'!$AM$3 = "כן",IF(T77&gt;4,4,T77),T77)</f>
        <v>0</v>
      </c>
      <c r="P77" s="80">
        <f>IF(E77&lt;2,0,IF(Z77&gt;0,Z77,IF(N77 = 0,0,IF('חד גזעי'!$AM$2 = "לא",IF(F77&gt;19,W77,0),IF(F77&gt;9,Y77,0)))))</f>
        <v>0</v>
      </c>
      <c r="Q77" s="77"/>
      <c r="R77" s="75"/>
      <c r="S77" t="e">
        <f>VLOOKUP(C77,'חד גזעי'!$Y$4:$Y$18,1,0)</f>
        <v>#N/A</v>
      </c>
      <c r="T77" s="72">
        <f>IF('חד גזעי'!$AM$6="לא",IF(P77=0,IF(BC77="שימור",IF('חד גזעי'!$AM$4="לא",IF(BC77="לא בוגר",0,IF(BC77="לא קיים",0,IF(J77=0,0,I77*0.1))),IF(BC77="לא בוגר",0,IF(BC77="לא קיים",0,IF(AB77=1,I77*0.1,E77*0.5)))),0),IF('חד גזעי'!$AM$4="לא",IF(BC77="לא בוגר",0,IF(BC77="לא קיים",0,IF(J77=0,0,I77*0.1))),IF(BC77="לא בוגר",0,IF(BC77="לא קיים",0,IF(AB77=1,I77*0.1,E77*0.5))))),IF(P77=0,IF(BC77="שימור",IF('חד גזעי'!$AM$4="לא",IF(BC77="לא בוגר",0,IF(BC77="לא קיים",0,IF(J77=0,0,I77*0.15))),IF(BC77="לא בוגר",0,IF(BC77="לא קיים",0,IF(AB77=1,I77*0.15,E77*0.5)))),0),IF('חד גזעי'!$AM$4="לא",IF(BC77="לא בוגר",0,IF(BC77="לא קיים",0,IF(J77=0,0,I77*0.15))),IF(BC77="לא בוגר",0,IF(BC77="לא קיים",0,IF(AB77=1,I77*0.15,E77*0.5))))))</f>
        <v>0</v>
      </c>
      <c r="V77" t="e">
        <f t="shared" si="78"/>
        <v>#N/A</v>
      </c>
      <c r="W77" t="e">
        <f t="shared" si="79"/>
        <v>#N/A</v>
      </c>
      <c r="X77" t="e">
        <f t="shared" si="80"/>
        <v>#N/A</v>
      </c>
      <c r="Y77">
        <f>IF('חד גזעי'!$AM$2 = "לא",0,IF(F77&gt;9,W77,0))</f>
        <v>0</v>
      </c>
      <c r="Z77">
        <f>IF('חד גזעי'!$AM$7 = "לא",0,IF(C77 = "זית אירופי",IF('חד גזעי'!$AN$7 &lt;=סקר!F77,W77,0),IF(C77 = "חרוב מצוי",IF('חד גזעי'!$AN$7 &lt;=סקר!F77,W77,0),0)))</f>
        <v>0</v>
      </c>
      <c r="AB77">
        <f t="shared" si="75"/>
        <v>1</v>
      </c>
      <c r="AC77" s="72"/>
      <c r="AD77" t="e">
        <f t="shared" si="69"/>
        <v>#N/A</v>
      </c>
      <c r="AE77" s="72"/>
      <c r="AF77" s="72" t="e">
        <f t="shared" si="52"/>
        <v>#N/A</v>
      </c>
      <c r="AG77" s="72" t="e">
        <f>IF('חד גזעי'!$AM$5="לא",(VLOOKUP(C77,'חד גזעי'!$P$1:$S$589,3,FALSE)),(VLOOKUP(C77,'חד גזעי'!$P$1:$S$589,4,FALSE)))</f>
        <v>#N/A</v>
      </c>
      <c r="AH77" s="72">
        <f t="shared" si="53"/>
        <v>0</v>
      </c>
      <c r="AI77" s="72">
        <f t="shared" si="54"/>
        <v>0</v>
      </c>
      <c r="AJ77" s="72">
        <f t="shared" si="55"/>
        <v>0</v>
      </c>
      <c r="AK77" s="72" t="e">
        <f t="shared" si="56"/>
        <v>#N/A</v>
      </c>
      <c r="AL77" t="e">
        <f>VLOOKUP(C77,'חד גזעי'!$AH$8:$AI$33,2,FALSE)</f>
        <v>#N/A</v>
      </c>
      <c r="AM77" s="72" t="b">
        <f t="shared" si="57"/>
        <v>0</v>
      </c>
      <c r="AN77" s="72" t="b">
        <f t="shared" si="58"/>
        <v>0</v>
      </c>
      <c r="AO77" s="72" t="b">
        <f t="shared" si="59"/>
        <v>0</v>
      </c>
      <c r="AS77" s="72">
        <f t="shared" si="60"/>
        <v>0</v>
      </c>
      <c r="AT77" s="72">
        <f t="shared" si="61"/>
        <v>0</v>
      </c>
      <c r="AU77" s="72">
        <f t="shared" si="70"/>
        <v>0</v>
      </c>
      <c r="AV77" s="72">
        <f t="shared" si="62"/>
        <v>0</v>
      </c>
      <c r="AW77" s="72">
        <f t="shared" si="63"/>
        <v>0</v>
      </c>
      <c r="AX77" s="72">
        <f t="shared" si="64"/>
        <v>0</v>
      </c>
      <c r="AY77" s="72">
        <f t="shared" si="65"/>
        <v>0</v>
      </c>
      <c r="AZ77" s="72">
        <f t="shared" si="66"/>
        <v>0</v>
      </c>
      <c r="BA77" s="72" t="e">
        <f t="shared" si="67"/>
        <v>#N/A</v>
      </c>
      <c r="BB77" s="72" t="e">
        <f t="shared" si="76"/>
        <v>#N/A</v>
      </c>
      <c r="BC77" s="77"/>
      <c r="BE77">
        <f t="shared" si="48"/>
        <v>0</v>
      </c>
      <c r="BF77" s="196"/>
      <c r="BG77" s="196"/>
      <c r="BH77" s="196"/>
      <c r="BI77" s="196"/>
      <c r="BJ77" s="196"/>
      <c r="BK77" s="196"/>
    </row>
    <row r="78" spans="2:63" hidden="1">
      <c r="B78" s="72"/>
      <c r="C78" s="135"/>
      <c r="D78" s="109"/>
      <c r="E78" s="78"/>
      <c r="F78" s="72"/>
      <c r="G78" s="72"/>
      <c r="H78" s="72"/>
      <c r="I78" s="73">
        <f t="shared" si="74"/>
        <v>0</v>
      </c>
      <c r="J78" s="78"/>
      <c r="K78" s="73"/>
      <c r="L78" s="74" t="e">
        <f>_xlfn.IFNA(VLOOKUP(C78,'חד גזעי'!$U$3:$V$509,2,0),VLOOKUP(C78,'חד גזעי'!$U$3:$V$509,2))</f>
        <v>#N/A</v>
      </c>
      <c r="M78" s="73"/>
      <c r="N78" s="72" t="e">
        <f>_xlfn.IFNA(IF(VLOOKUP(C78,'חד גזעי'!$AH$2:$AH$7,1,FALSE)&gt;0,0,IF('חד גזעי'!$AM$5="כן",IF(_xlfn.IFNA(VLOOKUP(C78,'חד גזעי'!$AH$2:$AH$33,1,FALSE),SUM(J78:M78))&lt;21,_xlfn.IFNA(VLOOKUP(C78,'חד גזעי'!$AH$2:$AH$33,1,FALSE),SUM(J78:M78)),0),SUM(J78:M78))),IF('חד גזעי'!$AM$5="כן",IF(_xlfn.IFNA(VLOOKUP(C78,'חד גזעי'!$AH$2:$AH$33,1,FALSE),SUM(J78:M78))&lt;21,_xlfn.IFNA(VLOOKUP(C78,'חד גזעי'!$AH$2:$AH$33,1,FALSE),SUM(J78:M78)),0),SUM(J78:M78)))</f>
        <v>#N/A</v>
      </c>
      <c r="O78" s="72">
        <f>IF('חד גזעי'!$AM$3 = "כן",IF(T78&gt;4,4,T78),T78)</f>
        <v>0</v>
      </c>
      <c r="P78" s="80">
        <f>IF(E78&lt;2,0,IF(Z78&gt;0,Z78,IF(N78 = 0,0,IF('חד גזעי'!$AM$2 = "לא",IF(F78&gt;19,W78,0),IF(F78&gt;9,Y78,0)))))</f>
        <v>0</v>
      </c>
      <c r="Q78" s="77"/>
      <c r="R78" s="75"/>
      <c r="S78" t="e">
        <f>VLOOKUP(C78,'חד גזעי'!$Y$4:$Y$18,1,0)</f>
        <v>#N/A</v>
      </c>
      <c r="T78" s="72">
        <f>IF('חד גזעי'!$AM$6="לא",IF(P78=0,IF(BC78="שימור",IF('חד גזעי'!$AM$4="לא",IF(BC78="לא בוגר",0,IF(BC78="לא קיים",0,IF(J78=0,0,I78*0.1))),IF(BC78="לא בוגר",0,IF(BC78="לא קיים",0,IF(AB78=1,I78*0.1,E78*0.5)))),0),IF('חד גזעי'!$AM$4="לא",IF(BC78="לא בוגר",0,IF(BC78="לא קיים",0,IF(J78=0,0,I78*0.1))),IF(BC78="לא בוגר",0,IF(BC78="לא קיים",0,IF(AB78=1,I78*0.1,E78*0.5))))),IF(P78=0,IF(BC78="שימור",IF('חד גזעי'!$AM$4="לא",IF(BC78="לא בוגר",0,IF(BC78="לא קיים",0,IF(J78=0,0,I78*0.15))),IF(BC78="לא בוגר",0,IF(BC78="לא קיים",0,IF(AB78=1,I78*0.15,E78*0.5)))),0),IF('חד גזעי'!$AM$4="לא",IF(BC78="לא בוגר",0,IF(BC78="לא קיים",0,IF(J78=0,0,I78*0.15))),IF(BC78="לא בוגר",0,IF(BC78="לא קיים",0,IF(AB78=1,I78*0.15,E78*0.5))))))</f>
        <v>0</v>
      </c>
      <c r="V78" t="e">
        <f t="shared" si="78"/>
        <v>#N/A</v>
      </c>
      <c r="W78" t="e">
        <f t="shared" si="79"/>
        <v>#N/A</v>
      </c>
      <c r="X78" t="e">
        <f t="shared" si="80"/>
        <v>#N/A</v>
      </c>
      <c r="Y78">
        <f>IF('חד גזעי'!$AM$2 = "לא",0,IF(F78&gt;9,W78,0))</f>
        <v>0</v>
      </c>
      <c r="Z78">
        <f>IF('חד גזעי'!$AM$7 = "לא",0,IF(C78 = "זית אירופי",IF('חד גזעי'!$AN$7 &lt;=סקר!F78,W78,0),IF(C78 = "חרוב מצוי",IF('חד גזעי'!$AN$7 &lt;=סקר!F78,W78,0),0)))</f>
        <v>0</v>
      </c>
      <c r="AB78">
        <f t="shared" si="75"/>
        <v>1</v>
      </c>
      <c r="AC78" s="72"/>
      <c r="AD78" t="e">
        <f>IF(AK78&gt;0,AK78,AF78)</f>
        <v>#N/A</v>
      </c>
      <c r="AE78" s="72"/>
      <c r="AF78" s="72" t="e">
        <f t="shared" si="52"/>
        <v>#N/A</v>
      </c>
      <c r="AG78" s="72" t="e">
        <f>IF('חד גזעי'!$AM$5="לא",(VLOOKUP(C78,'חד גזעי'!$P$1:$S$589,3,FALSE)),(VLOOKUP(C78,'חד גזעי'!$P$1:$S$589,4,FALSE)))</f>
        <v>#N/A</v>
      </c>
      <c r="AH78" s="72">
        <f t="shared" si="53"/>
        <v>0</v>
      </c>
      <c r="AI78" s="72">
        <f t="shared" si="54"/>
        <v>0</v>
      </c>
      <c r="AJ78" s="72">
        <f t="shared" si="55"/>
        <v>0</v>
      </c>
      <c r="AK78" s="72" t="e">
        <f t="shared" si="56"/>
        <v>#N/A</v>
      </c>
      <c r="AL78" t="e">
        <f>VLOOKUP(C78,'חד גזעי'!$AH$8:$AI$33,2,FALSE)</f>
        <v>#N/A</v>
      </c>
      <c r="AM78" s="72" t="b">
        <f t="shared" si="57"/>
        <v>0</v>
      </c>
      <c r="AN78" s="72" t="b">
        <f t="shared" si="58"/>
        <v>0</v>
      </c>
      <c r="AO78" s="72" t="b">
        <f t="shared" si="59"/>
        <v>0</v>
      </c>
      <c r="AS78" s="72">
        <f t="shared" si="60"/>
        <v>0</v>
      </c>
      <c r="AT78" s="72">
        <f t="shared" si="61"/>
        <v>0</v>
      </c>
      <c r="AU78" s="72">
        <f>IF(C78&gt;0,IF(D78&lt;2,1,D78),0)</f>
        <v>0</v>
      </c>
      <c r="AV78" s="72">
        <f t="shared" si="62"/>
        <v>0</v>
      </c>
      <c r="AW78" s="72">
        <f t="shared" si="63"/>
        <v>0</v>
      </c>
      <c r="AX78" s="72">
        <f t="shared" si="64"/>
        <v>0</v>
      </c>
      <c r="AY78" s="72">
        <f t="shared" si="65"/>
        <v>0</v>
      </c>
      <c r="AZ78" s="72">
        <f t="shared" si="66"/>
        <v>0</v>
      </c>
      <c r="BA78" s="72" t="e">
        <f t="shared" si="67"/>
        <v>#N/A</v>
      </c>
      <c r="BB78" s="72" t="e">
        <f t="shared" si="76"/>
        <v>#N/A</v>
      </c>
      <c r="BC78" s="77"/>
      <c r="BE78">
        <f t="shared" si="48"/>
        <v>0</v>
      </c>
      <c r="BF78" s="196"/>
      <c r="BG78" s="196"/>
      <c r="BH78" s="196"/>
      <c r="BI78" s="196"/>
      <c r="BJ78" s="196"/>
      <c r="BK78" s="196"/>
    </row>
    <row r="79" spans="2:63" hidden="1">
      <c r="B79" s="72"/>
      <c r="C79" s="135"/>
      <c r="D79" s="109"/>
      <c r="E79" s="78"/>
      <c r="F79" s="72"/>
      <c r="G79" s="72"/>
      <c r="H79" s="72"/>
      <c r="I79" s="73">
        <f t="shared" si="74"/>
        <v>0</v>
      </c>
      <c r="J79" s="78"/>
      <c r="K79" s="73"/>
      <c r="L79" s="74" t="e">
        <f>_xlfn.IFNA(VLOOKUP(C79,'חד גזעי'!$U$3:$V$509,2,0),VLOOKUP(C79,'חד גזעי'!$U$3:$V$509,2))</f>
        <v>#N/A</v>
      </c>
      <c r="M79" s="73"/>
      <c r="N79" s="72" t="e">
        <f>_xlfn.IFNA(IF(VLOOKUP(C79,'חד גזעי'!$AH$2:$AH$7,1,FALSE)&gt;0,0,IF('חד גזעי'!$AM$5="כן",IF(_xlfn.IFNA(VLOOKUP(C79,'חד גזעי'!$AH$2:$AH$33,1,FALSE),SUM(J79:M79))&lt;21,_xlfn.IFNA(VLOOKUP(C79,'חד גזעי'!$AH$2:$AH$33,1,FALSE),SUM(J79:M79)),0),SUM(J79:M79))),IF('חד גזעי'!$AM$5="כן",IF(_xlfn.IFNA(VLOOKUP(C79,'חד גזעי'!$AH$2:$AH$33,1,FALSE),SUM(J79:M79))&lt;21,_xlfn.IFNA(VLOOKUP(C79,'חד גזעי'!$AH$2:$AH$33,1,FALSE),SUM(J79:M79)),0),SUM(J79:M79)))</f>
        <v>#N/A</v>
      </c>
      <c r="O79" s="72">
        <f>IF('חד גזעי'!$AM$3 = "כן",IF(T79&gt;4,4,T79),T79)</f>
        <v>0</v>
      </c>
      <c r="P79" s="80">
        <f>IF(E79&lt;2,0,IF(Z79&gt;0,Z79,IF(N79 = 0,0,IF('חד גזעי'!$AM$2 = "לא",IF(F79&gt;19,W79,0),IF(F79&gt;9,Y79,0)))))</f>
        <v>0</v>
      </c>
      <c r="Q79" s="77"/>
      <c r="R79" s="75"/>
      <c r="S79" t="e">
        <f>VLOOKUP(C79,'חד גזעי'!$Y$4:$Y$18,1,0)</f>
        <v>#N/A</v>
      </c>
      <c r="T79" s="72">
        <f>IF('חד גזעי'!$AM$6="לא",IF(P79=0,IF(BC79="שימור",IF('חד גזעי'!$AM$4="לא",IF(BC79="לא בוגר",0,IF(BC79="לא קיים",0,IF(J79=0,0,I79*0.1))),IF(BC79="לא בוגר",0,IF(BC79="לא קיים",0,IF(AB79=1,I79*0.1,E79*0.5)))),0),IF('חד גזעי'!$AM$4="לא",IF(BC79="לא בוגר",0,IF(BC79="לא קיים",0,IF(J79=0,0,I79*0.1))),IF(BC79="לא בוגר",0,IF(BC79="לא קיים",0,IF(AB79=1,I79*0.1,E79*0.5))))),IF(P79=0,IF(BC79="שימור",IF('חד גזעי'!$AM$4="לא",IF(BC79="לא בוגר",0,IF(BC79="לא קיים",0,IF(J79=0,0,I79*0.15))),IF(BC79="לא בוגר",0,IF(BC79="לא קיים",0,IF(AB79=1,I79*0.15,E79*0.5)))),0),IF('חד גזעי'!$AM$4="לא",IF(BC79="לא בוגר",0,IF(BC79="לא קיים",0,IF(J79=0,0,I79*0.15))),IF(BC79="לא בוגר",0,IF(BC79="לא קיים",0,IF(AB79=1,I79*0.15,E79*0.5))))))</f>
        <v>0</v>
      </c>
      <c r="V79" t="e">
        <f t="shared" si="78"/>
        <v>#N/A</v>
      </c>
      <c r="W79" t="e">
        <f t="shared" si="79"/>
        <v>#N/A</v>
      </c>
      <c r="X79" t="e">
        <f t="shared" si="80"/>
        <v>#N/A</v>
      </c>
      <c r="Y79">
        <f>IF('חד גזעי'!$AM$2 = "לא",0,IF(F79&gt;9,W79,0))</f>
        <v>0</v>
      </c>
      <c r="Z79">
        <f>IF('חד גזעי'!$AM$7 = "לא",0,IF(C79 = "זית אירופי",IF('חד גזעי'!$AN$7 &lt;=סקר!F79,W79,0),IF(C79 = "חרוב מצוי",IF('חד גזעי'!$AN$7 &lt;=סקר!F79,W79,0),0)))</f>
        <v>0</v>
      </c>
      <c r="AB79">
        <f t="shared" si="75"/>
        <v>1</v>
      </c>
      <c r="AC79" s="72"/>
      <c r="AD79" t="e">
        <f t="shared" si="69"/>
        <v>#N/A</v>
      </c>
      <c r="AE79" s="72"/>
      <c r="AF79" s="72" t="e">
        <f t="shared" si="52"/>
        <v>#N/A</v>
      </c>
      <c r="AG79" s="72" t="e">
        <f>IF('חד גזעי'!$AM$5="לא",(VLOOKUP(C79,'חד גזעי'!$P$1:$S$589,3,FALSE)),(VLOOKUP(C79,'חד גזעי'!$P$1:$S$589,4,FALSE)))</f>
        <v>#N/A</v>
      </c>
      <c r="AH79" s="72">
        <f t="shared" si="53"/>
        <v>0</v>
      </c>
      <c r="AI79" s="72">
        <f t="shared" si="54"/>
        <v>0</v>
      </c>
      <c r="AJ79" s="72">
        <f t="shared" si="55"/>
        <v>0</v>
      </c>
      <c r="AK79" s="72" t="e">
        <f t="shared" si="56"/>
        <v>#N/A</v>
      </c>
      <c r="AL79" t="e">
        <f>VLOOKUP(C79,'חד גזעי'!$AH$8:$AI$33,2,FALSE)</f>
        <v>#N/A</v>
      </c>
      <c r="AM79" s="72" t="b">
        <f t="shared" si="57"/>
        <v>0</v>
      </c>
      <c r="AN79" s="72" t="b">
        <f t="shared" si="58"/>
        <v>0</v>
      </c>
      <c r="AO79" s="72" t="b">
        <f t="shared" si="59"/>
        <v>0</v>
      </c>
      <c r="AS79" s="72">
        <f t="shared" si="60"/>
        <v>0</v>
      </c>
      <c r="AT79" s="72">
        <f t="shared" si="61"/>
        <v>0</v>
      </c>
      <c r="AU79" s="72">
        <f t="shared" si="70"/>
        <v>0</v>
      </c>
      <c r="AV79" s="72">
        <f t="shared" si="62"/>
        <v>0</v>
      </c>
      <c r="AW79" s="72">
        <f t="shared" si="63"/>
        <v>0</v>
      </c>
      <c r="AX79" s="72">
        <f t="shared" si="64"/>
        <v>0</v>
      </c>
      <c r="AY79" s="72">
        <f t="shared" si="65"/>
        <v>0</v>
      </c>
      <c r="AZ79" s="72">
        <f t="shared" si="66"/>
        <v>0</v>
      </c>
      <c r="BA79" s="72" t="e">
        <f t="shared" si="67"/>
        <v>#N/A</v>
      </c>
      <c r="BB79" s="72" t="e">
        <f t="shared" si="76"/>
        <v>#N/A</v>
      </c>
      <c r="BC79" s="77"/>
      <c r="BE79">
        <f t="shared" si="48"/>
        <v>0</v>
      </c>
      <c r="BF79" s="196"/>
      <c r="BG79" s="196"/>
      <c r="BH79" s="196"/>
      <c r="BI79" s="196"/>
      <c r="BJ79" s="196"/>
      <c r="BK79" s="196"/>
    </row>
    <row r="80" spans="2:63" hidden="1">
      <c r="B80" s="72"/>
      <c r="C80" s="135"/>
      <c r="D80" s="109"/>
      <c r="E80" s="78"/>
      <c r="F80" s="72"/>
      <c r="G80" s="72"/>
      <c r="H80" s="72"/>
      <c r="I80" s="73">
        <f t="shared" si="74"/>
        <v>0</v>
      </c>
      <c r="J80" s="78"/>
      <c r="K80" s="73"/>
      <c r="L80" s="74" t="e">
        <f>_xlfn.IFNA(VLOOKUP(C80,'חד גזעי'!$U$3:$V$509,2,0),VLOOKUP(C80,'חד גזעי'!$U$3:$V$509,2))</f>
        <v>#N/A</v>
      </c>
      <c r="M80" s="73"/>
      <c r="N80" s="72" t="e">
        <f>_xlfn.IFNA(IF(VLOOKUP(C80,'חד גזעי'!$AH$2:$AH$7,1,FALSE)&gt;0,0,IF('חד גזעי'!$AM$5="כן",IF(_xlfn.IFNA(VLOOKUP(C80,'חד גזעי'!$AH$2:$AH$33,1,FALSE),SUM(J80:M80))&lt;21,_xlfn.IFNA(VLOOKUP(C80,'חד גזעי'!$AH$2:$AH$33,1,FALSE),SUM(J80:M80)),0),SUM(J80:M80))),IF('חד גזעי'!$AM$5="כן",IF(_xlfn.IFNA(VLOOKUP(C80,'חד גזעי'!$AH$2:$AH$33,1,FALSE),SUM(J80:M80))&lt;21,_xlfn.IFNA(VLOOKUP(C80,'חד גזעי'!$AH$2:$AH$33,1,FALSE),SUM(J80:M80)),0),SUM(J80:M80)))</f>
        <v>#N/A</v>
      </c>
      <c r="O80" s="72">
        <f>IF('חד גזעי'!$AM$3 = "כן",IF(T80&gt;4,4,T80),T80)</f>
        <v>0</v>
      </c>
      <c r="P80" s="80">
        <f>IF(E80&lt;2,0,IF(Z80&gt;0,Z80,IF(N80 = 0,0,IF('חד גזעי'!$AM$2 = "לא",IF(F80&gt;19,W80,0),IF(F80&gt;9,Y80,0)))))</f>
        <v>0</v>
      </c>
      <c r="Q80" s="77"/>
      <c r="R80" s="75"/>
      <c r="S80" t="e">
        <f>VLOOKUP(C80,'חד גזעי'!$Y$4:$Y$18,1,0)</f>
        <v>#N/A</v>
      </c>
      <c r="T80" s="72">
        <f>IF('חד גזעי'!$AM$6="לא",IF(P80=0,IF(BC80="שימור",IF('חד גזעי'!$AM$4="לא",IF(BC80="לא בוגר",0,IF(BC80="לא קיים",0,IF(J80=0,0,I80*0.1))),IF(BC80="לא בוגר",0,IF(BC80="לא קיים",0,IF(AB80=1,I80*0.1,E80*0.5)))),0),IF('חד גזעי'!$AM$4="לא",IF(BC80="לא בוגר",0,IF(BC80="לא קיים",0,IF(J80=0,0,I80*0.1))),IF(BC80="לא בוגר",0,IF(BC80="לא קיים",0,IF(AB80=1,I80*0.1,E80*0.5))))),IF(P80=0,IF(BC80="שימור",IF('חד גזעי'!$AM$4="לא",IF(BC80="לא בוגר",0,IF(BC80="לא קיים",0,IF(J80=0,0,I80*0.15))),IF(BC80="לא בוגר",0,IF(BC80="לא קיים",0,IF(AB80=1,I80*0.15,E80*0.5)))),0),IF('חד גזעי'!$AM$4="לא",IF(BC80="לא בוגר",0,IF(BC80="לא קיים",0,IF(J80=0,0,I80*0.15))),IF(BC80="לא בוגר",0,IF(BC80="לא קיים",0,IF(AB80=1,I80*0.15,E80*0.5))))))</f>
        <v>0</v>
      </c>
      <c r="V80" t="e">
        <f t="shared" si="78"/>
        <v>#N/A</v>
      </c>
      <c r="W80" t="e">
        <f t="shared" si="79"/>
        <v>#N/A</v>
      </c>
      <c r="X80" t="e">
        <f t="shared" si="80"/>
        <v>#N/A</v>
      </c>
      <c r="Y80">
        <f>IF('חד גזעי'!$AM$2 = "לא",0,IF(F80&gt;9,W80,0))</f>
        <v>0</v>
      </c>
      <c r="Z80">
        <f>IF('חד גזעי'!$AM$7 = "לא",0,IF(C80 = "זית אירופי",IF('חד גזעי'!$AN$7 &lt;=סקר!F80,W80,0),IF(C80 = "חרוב מצוי",IF('חד גזעי'!$AN$7 &lt;=סקר!F80,W80,0),0)))</f>
        <v>0</v>
      </c>
      <c r="AB80">
        <f t="shared" si="75"/>
        <v>1</v>
      </c>
      <c r="AC80" s="72"/>
      <c r="AD80" t="e">
        <f t="shared" si="69"/>
        <v>#N/A</v>
      </c>
      <c r="AE80" s="72"/>
      <c r="AF80" s="72" t="e">
        <f t="shared" si="52"/>
        <v>#N/A</v>
      </c>
      <c r="AG80" s="72" t="e">
        <f>IF('חד גזעי'!$AM$5="לא",(VLOOKUP(C80,'חד גזעי'!$P$1:$S$589,3,FALSE)),(VLOOKUP(C80,'חד גזעי'!$P$1:$S$589,4,FALSE)))</f>
        <v>#N/A</v>
      </c>
      <c r="AH80" s="72">
        <f t="shared" si="53"/>
        <v>0</v>
      </c>
      <c r="AI80" s="72">
        <f t="shared" si="54"/>
        <v>0</v>
      </c>
      <c r="AJ80" s="72">
        <f t="shared" si="55"/>
        <v>0</v>
      </c>
      <c r="AK80" s="72" t="e">
        <f t="shared" si="56"/>
        <v>#N/A</v>
      </c>
      <c r="AL80" t="e">
        <f>VLOOKUP(C80,'חד גזעי'!$AH$8:$AI$33,2,FALSE)</f>
        <v>#N/A</v>
      </c>
      <c r="AM80" s="72" t="b">
        <f t="shared" si="57"/>
        <v>0</v>
      </c>
      <c r="AN80" s="72" t="b">
        <f t="shared" si="58"/>
        <v>0</v>
      </c>
      <c r="AO80" s="72" t="b">
        <f t="shared" si="59"/>
        <v>0</v>
      </c>
      <c r="AS80" s="72">
        <f t="shared" si="60"/>
        <v>0</v>
      </c>
      <c r="AT80" s="72">
        <f t="shared" si="61"/>
        <v>0</v>
      </c>
      <c r="AU80" s="72">
        <f t="shared" si="70"/>
        <v>0</v>
      </c>
      <c r="AV80" s="72">
        <f t="shared" si="62"/>
        <v>0</v>
      </c>
      <c r="AW80" s="72">
        <f t="shared" si="63"/>
        <v>0</v>
      </c>
      <c r="AX80" s="72">
        <f t="shared" si="64"/>
        <v>0</v>
      </c>
      <c r="AY80" s="72">
        <f t="shared" si="65"/>
        <v>0</v>
      </c>
      <c r="AZ80" s="72">
        <f t="shared" si="66"/>
        <v>0</v>
      </c>
      <c r="BA80" s="72" t="e">
        <f t="shared" si="67"/>
        <v>#N/A</v>
      </c>
      <c r="BB80" s="72" t="e">
        <f t="shared" si="76"/>
        <v>#N/A</v>
      </c>
      <c r="BC80" s="77"/>
      <c r="BE80">
        <f t="shared" si="48"/>
        <v>0</v>
      </c>
      <c r="BF80" s="196"/>
      <c r="BG80" s="196"/>
      <c r="BH80" s="196"/>
      <c r="BI80" s="196"/>
      <c r="BJ80" s="196"/>
      <c r="BK80" s="196"/>
    </row>
    <row r="81" spans="1:63" hidden="1">
      <c r="B81" s="72"/>
      <c r="C81" s="135"/>
      <c r="D81" s="109"/>
      <c r="E81" s="78"/>
      <c r="F81" s="72"/>
      <c r="G81" s="72"/>
      <c r="H81" s="72"/>
      <c r="I81" s="73">
        <f t="shared" si="74"/>
        <v>0</v>
      </c>
      <c r="J81" s="78"/>
      <c r="K81" s="73"/>
      <c r="L81" s="74" t="e">
        <f>_xlfn.IFNA(VLOOKUP(C81,'חד גזעי'!$U$3:$V$509,2,0),VLOOKUP(C81,'חד גזעי'!$U$3:$V$509,2))</f>
        <v>#N/A</v>
      </c>
      <c r="M81" s="73"/>
      <c r="N81" s="72" t="e">
        <f>_xlfn.IFNA(IF(VLOOKUP(C81,'חד גזעי'!$AH$2:$AH$7,1,FALSE)&gt;0,0,IF('חד גזעי'!$AM$5="כן",IF(_xlfn.IFNA(VLOOKUP(C81,'חד גזעי'!$AH$2:$AH$33,1,FALSE),SUM(J81:M81))&lt;21,_xlfn.IFNA(VLOOKUP(C81,'חד גזעי'!$AH$2:$AH$33,1,FALSE),SUM(J81:M81)),0),SUM(J81:M81))),IF('חד גזעי'!$AM$5="כן",IF(_xlfn.IFNA(VLOOKUP(C81,'חד גזעי'!$AH$2:$AH$33,1,FALSE),SUM(J81:M81))&lt;21,_xlfn.IFNA(VLOOKUP(C81,'חד גזעי'!$AH$2:$AH$33,1,FALSE),SUM(J81:M81)),0),SUM(J81:M81)))</f>
        <v>#N/A</v>
      </c>
      <c r="O81" s="72">
        <f>IF('חד גזעי'!$AM$3 = "כן",IF(T81&gt;4,4,T81),T81)</f>
        <v>0</v>
      </c>
      <c r="P81" s="80">
        <f>IF(E81&lt;2,0,IF(Z81&gt;0,Z81,IF(N81 = 0,0,IF('חד גזעי'!$AM$2 = "לא",IF(F81&gt;19,W81,0),IF(F81&gt;9,Y81,0)))))</f>
        <v>0</v>
      </c>
      <c r="Q81" s="77"/>
      <c r="R81" s="75"/>
      <c r="S81" t="e">
        <f>VLOOKUP(C81,'חד גזעי'!$Y$4:$Y$18,1,0)</f>
        <v>#N/A</v>
      </c>
      <c r="T81" s="72">
        <f>IF('חד גזעי'!$AM$6="לא",IF(P81=0,IF(BC81="שימור",IF('חד גזעי'!$AM$4="לא",IF(BC81="לא בוגר",0,IF(BC81="לא קיים",0,IF(J81=0,0,I81*0.1))),IF(BC81="לא בוגר",0,IF(BC81="לא קיים",0,IF(AB81=1,I81*0.1,E81*0.5)))),0),IF('חד גזעי'!$AM$4="לא",IF(BC81="לא בוגר",0,IF(BC81="לא קיים",0,IF(J81=0,0,I81*0.1))),IF(BC81="לא בוגר",0,IF(BC81="לא קיים",0,IF(AB81=1,I81*0.1,E81*0.5))))),IF(P81=0,IF(BC81="שימור",IF('חד גזעי'!$AM$4="לא",IF(BC81="לא בוגר",0,IF(BC81="לא קיים",0,IF(J81=0,0,I81*0.15))),IF(BC81="לא בוגר",0,IF(BC81="לא קיים",0,IF(AB81=1,I81*0.15,E81*0.5)))),0),IF('חד גזעי'!$AM$4="לא",IF(BC81="לא בוגר",0,IF(BC81="לא קיים",0,IF(J81=0,0,I81*0.15))),IF(BC81="לא בוגר",0,IF(BC81="לא קיים",0,IF(AB81=1,I81*0.15,E81*0.5))))))</f>
        <v>0</v>
      </c>
      <c r="V81" t="e">
        <f t="shared" si="78"/>
        <v>#N/A</v>
      </c>
      <c r="W81" t="e">
        <f t="shared" si="79"/>
        <v>#N/A</v>
      </c>
      <c r="X81" t="e">
        <f t="shared" si="80"/>
        <v>#N/A</v>
      </c>
      <c r="Y81">
        <f>IF('חד גזעי'!$AM$2 = "לא",0,IF(F81&gt;9,W81,0))</f>
        <v>0</v>
      </c>
      <c r="Z81">
        <f>IF('חד גזעי'!$AM$7 = "לא",0,IF(C81 = "זית אירופי",IF('חד גזעי'!$AN$7 &lt;=סקר!F81,W81,0),IF(C81 = "חרוב מצוי",IF('חד גזעי'!$AN$7 &lt;=סקר!F81,W81,0),0)))</f>
        <v>0</v>
      </c>
      <c r="AB81">
        <f t="shared" si="75"/>
        <v>1</v>
      </c>
      <c r="AC81" s="72"/>
      <c r="AD81" t="e">
        <f t="shared" si="69"/>
        <v>#N/A</v>
      </c>
      <c r="AE81" s="72"/>
      <c r="AF81" s="72" t="e">
        <f t="shared" si="52"/>
        <v>#N/A</v>
      </c>
      <c r="AG81" s="72" t="e">
        <f>IF('חד גזעי'!$AM$5="לא",(VLOOKUP(C81,'חד גזעי'!$P$1:$S$589,3,FALSE)),(VLOOKUP(C81,'חד גזעי'!$P$1:$S$589,4,FALSE)))</f>
        <v>#N/A</v>
      </c>
      <c r="AH81" s="72">
        <f t="shared" si="53"/>
        <v>0</v>
      </c>
      <c r="AI81" s="72">
        <f t="shared" si="54"/>
        <v>0</v>
      </c>
      <c r="AJ81" s="72">
        <f t="shared" si="55"/>
        <v>0</v>
      </c>
      <c r="AK81" s="72" t="e">
        <f t="shared" si="56"/>
        <v>#N/A</v>
      </c>
      <c r="AL81" t="e">
        <f>VLOOKUP(C81,'חד גזעי'!$AH$8:$AI$33,2,FALSE)</f>
        <v>#N/A</v>
      </c>
      <c r="AM81" s="72" t="b">
        <f t="shared" si="57"/>
        <v>0</v>
      </c>
      <c r="AN81" s="72" t="b">
        <f t="shared" si="58"/>
        <v>0</v>
      </c>
      <c r="AO81" s="72" t="b">
        <f t="shared" si="59"/>
        <v>0</v>
      </c>
      <c r="AS81" s="72">
        <f t="shared" si="60"/>
        <v>0</v>
      </c>
      <c r="AT81" s="72">
        <f t="shared" si="61"/>
        <v>0</v>
      </c>
      <c r="AU81" s="72">
        <f t="shared" si="70"/>
        <v>0</v>
      </c>
      <c r="AV81" s="72">
        <f t="shared" si="62"/>
        <v>0</v>
      </c>
      <c r="AW81" s="72">
        <f t="shared" si="63"/>
        <v>0</v>
      </c>
      <c r="AX81" s="72">
        <f t="shared" si="64"/>
        <v>0</v>
      </c>
      <c r="AY81" s="72">
        <f t="shared" si="65"/>
        <v>0</v>
      </c>
      <c r="AZ81" s="72">
        <f t="shared" si="66"/>
        <v>0</v>
      </c>
      <c r="BA81" s="72" t="e">
        <f t="shared" si="67"/>
        <v>#N/A</v>
      </c>
      <c r="BB81" s="72" t="e">
        <f t="shared" si="76"/>
        <v>#N/A</v>
      </c>
      <c r="BC81" s="77"/>
      <c r="BE81">
        <f t="shared" si="48"/>
        <v>0</v>
      </c>
      <c r="BF81" s="196"/>
      <c r="BG81" s="196"/>
      <c r="BH81" s="196"/>
      <c r="BI81" s="196"/>
      <c r="BJ81" s="196"/>
      <c r="BK81" s="196"/>
    </row>
    <row r="82" spans="1:63" hidden="1">
      <c r="B82" s="72"/>
      <c r="C82" s="135"/>
      <c r="D82" s="109"/>
      <c r="E82" s="78"/>
      <c r="F82" s="72"/>
      <c r="G82" s="72"/>
      <c r="H82" s="72"/>
      <c r="I82" s="73">
        <f t="shared" si="74"/>
        <v>0</v>
      </c>
      <c r="J82" s="78"/>
      <c r="K82" s="73"/>
      <c r="L82" s="74" t="e">
        <f>_xlfn.IFNA(VLOOKUP(C82,'חד גזעי'!$U$3:$V$509,2,0),VLOOKUP(C82,'חד גזעי'!$U$3:$V$509,2))</f>
        <v>#N/A</v>
      </c>
      <c r="M82" s="73"/>
      <c r="N82" s="72" t="e">
        <f>_xlfn.IFNA(IF(VLOOKUP(C82,'חד גזעי'!$AH$2:$AH$7,1,FALSE)&gt;0,0,IF('חד גזעי'!$AM$5="כן",IF(_xlfn.IFNA(VLOOKUP(C82,'חד גזעי'!$AH$2:$AH$33,1,FALSE),SUM(J82:M82))&lt;21,_xlfn.IFNA(VLOOKUP(C82,'חד גזעי'!$AH$2:$AH$33,1,FALSE),SUM(J82:M82)),0),SUM(J82:M82))),IF('חד גזעי'!$AM$5="כן",IF(_xlfn.IFNA(VLOOKUP(C82,'חד גזעי'!$AH$2:$AH$33,1,FALSE),SUM(J82:M82))&lt;21,_xlfn.IFNA(VLOOKUP(C82,'חד גזעי'!$AH$2:$AH$33,1,FALSE),SUM(J82:M82)),0),SUM(J82:M82)))</f>
        <v>#N/A</v>
      </c>
      <c r="O82" s="72">
        <f>IF('חד גזעי'!$AM$3 = "כן",IF(T82&gt;4,4,T82),T82)</f>
        <v>0</v>
      </c>
      <c r="P82" s="80">
        <f>IF(E82&lt;2,0,IF(Z82&gt;0,Z82,IF(N82 = 0,0,IF('חד גזעי'!$AM$2 = "לא",IF(F82&gt;19,W82,0),IF(F82&gt;9,Y82,0)))))</f>
        <v>0</v>
      </c>
      <c r="Q82" s="77"/>
      <c r="R82" s="75"/>
      <c r="S82" t="e">
        <f>VLOOKUP(C82,'חד גזעי'!$Y$4:$Y$18,1,0)</f>
        <v>#N/A</v>
      </c>
      <c r="T82" s="72">
        <f>IF('חד גזעי'!$AM$6="לא",IF(P82=0,IF(BC82="שימור",IF('חד גזעי'!$AM$4="לא",IF(BC82="לא בוגר",0,IF(BC82="לא קיים",0,IF(J82=0,0,I82*0.1))),IF(BC82="לא בוגר",0,IF(BC82="לא קיים",0,IF(AB82=1,I82*0.1,E82*0.5)))),0),IF('חד גזעי'!$AM$4="לא",IF(BC82="לא בוגר",0,IF(BC82="לא קיים",0,IF(J82=0,0,I82*0.1))),IF(BC82="לא בוגר",0,IF(BC82="לא קיים",0,IF(AB82=1,I82*0.1,E82*0.5))))),IF(P82=0,IF(BC82="שימור",IF('חד גזעי'!$AM$4="לא",IF(BC82="לא בוגר",0,IF(BC82="לא קיים",0,IF(J82=0,0,I82*0.15))),IF(BC82="לא בוגר",0,IF(BC82="לא קיים",0,IF(AB82=1,I82*0.15,E82*0.5)))),0),IF('חד גזעי'!$AM$4="לא",IF(BC82="לא בוגר",0,IF(BC82="לא קיים",0,IF(J82=0,0,I82*0.15))),IF(BC82="לא בוגר",0,IF(BC82="לא קיים",0,IF(AB82=1,I82*0.15,E82*0.5))))))</f>
        <v>0</v>
      </c>
      <c r="V82" t="e">
        <f t="shared" si="78"/>
        <v>#N/A</v>
      </c>
      <c r="W82" t="e">
        <f t="shared" si="79"/>
        <v>#N/A</v>
      </c>
      <c r="X82" t="e">
        <f t="shared" si="80"/>
        <v>#N/A</v>
      </c>
      <c r="Y82">
        <f>IF('חד גזעי'!$AM$2 = "לא",0,IF(F82&gt;9,W82,0))</f>
        <v>0</v>
      </c>
      <c r="Z82">
        <f>IF('חד גזעי'!$AM$7 = "לא",0,IF(C82 = "זית אירופי",IF('חד גזעי'!$AN$7 &lt;=סקר!F82,W82,0),IF(C82 = "חרוב מצוי",IF('חד גזעי'!$AN$7 &lt;=סקר!F82,W82,0),0)))</f>
        <v>0</v>
      </c>
      <c r="AB82">
        <f t="shared" si="75"/>
        <v>1</v>
      </c>
      <c r="AC82" s="72"/>
      <c r="AD82" t="e">
        <f t="shared" si="69"/>
        <v>#N/A</v>
      </c>
      <c r="AE82" s="72"/>
      <c r="AF82" s="72" t="e">
        <f t="shared" si="52"/>
        <v>#N/A</v>
      </c>
      <c r="AG82" s="72" t="e">
        <f>IF('חד גזעי'!$AM$5="לא",(VLOOKUP(C82,'חד גזעי'!$P$1:$S$589,3,FALSE)),(VLOOKUP(C82,'חד גזעי'!$P$1:$S$589,4,FALSE)))</f>
        <v>#N/A</v>
      </c>
      <c r="AH82" s="72">
        <f t="shared" si="53"/>
        <v>0</v>
      </c>
      <c r="AI82" s="72">
        <f t="shared" si="54"/>
        <v>0</v>
      </c>
      <c r="AJ82" s="72">
        <f t="shared" si="55"/>
        <v>0</v>
      </c>
      <c r="AK82" s="72" t="e">
        <f t="shared" si="56"/>
        <v>#N/A</v>
      </c>
      <c r="AL82" t="e">
        <f>VLOOKUP(C82,'חד גזעי'!$AH$8:$AI$33,2,FALSE)</f>
        <v>#N/A</v>
      </c>
      <c r="AM82" s="72" t="b">
        <f t="shared" si="57"/>
        <v>0</v>
      </c>
      <c r="AN82" s="72" t="b">
        <f t="shared" si="58"/>
        <v>0</v>
      </c>
      <c r="AO82" s="72" t="b">
        <f t="shared" si="59"/>
        <v>0</v>
      </c>
      <c r="AS82" s="72">
        <f t="shared" si="60"/>
        <v>0</v>
      </c>
      <c r="AT82" s="72">
        <f t="shared" si="61"/>
        <v>0</v>
      </c>
      <c r="AU82" s="72">
        <f t="shared" si="70"/>
        <v>0</v>
      </c>
      <c r="AV82" s="72">
        <f t="shared" si="62"/>
        <v>0</v>
      </c>
      <c r="AW82" s="72">
        <f t="shared" si="63"/>
        <v>0</v>
      </c>
      <c r="AX82" s="72">
        <f t="shared" si="64"/>
        <v>0</v>
      </c>
      <c r="AY82" s="72">
        <f t="shared" si="65"/>
        <v>0</v>
      </c>
      <c r="AZ82" s="72">
        <f t="shared" si="66"/>
        <v>0</v>
      </c>
      <c r="BA82" s="72" t="e">
        <f t="shared" si="67"/>
        <v>#N/A</v>
      </c>
      <c r="BB82" s="72" t="e">
        <f t="shared" si="76"/>
        <v>#N/A</v>
      </c>
      <c r="BC82" s="77"/>
      <c r="BE82">
        <f t="shared" si="48"/>
        <v>0</v>
      </c>
      <c r="BF82" s="196"/>
      <c r="BG82" s="196"/>
      <c r="BH82" s="196"/>
      <c r="BI82" s="196"/>
      <c r="BJ82" s="196"/>
      <c r="BK82" s="196"/>
    </row>
    <row r="83" spans="1:63" hidden="1">
      <c r="B83" s="72"/>
      <c r="C83" s="135"/>
      <c r="D83" s="78"/>
      <c r="E83" s="78"/>
      <c r="F83" s="72"/>
      <c r="G83" s="72"/>
      <c r="H83" s="72"/>
      <c r="I83" s="73">
        <f t="shared" si="74"/>
        <v>0</v>
      </c>
      <c r="J83" s="78"/>
      <c r="K83" s="73"/>
      <c r="L83" s="74" t="e">
        <f>_xlfn.IFNA(VLOOKUP(C83,'חד גזעי'!$U$3:$V$509,2,0),VLOOKUP(C83,'חד גזעי'!$U$3:$V$509,2))</f>
        <v>#N/A</v>
      </c>
      <c r="M83" s="73"/>
      <c r="N83" s="72" t="e">
        <f>_xlfn.IFNA(IF(VLOOKUP(C83,'חד גזעי'!$AH$2:$AH$7,1,FALSE)&gt;0,0,IF('חד גזעי'!$AM$5="כן",IF(_xlfn.IFNA(VLOOKUP(C83,'חד גזעי'!$AH$2:$AH$33,1,FALSE),SUM(J83:M83))&lt;21,_xlfn.IFNA(VLOOKUP(C83,'חד גזעי'!$AH$2:$AH$33,1,FALSE),SUM(J83:M83)),0),SUM(J83:M83))),IF('חד גזעי'!$AM$5="כן",IF(_xlfn.IFNA(VLOOKUP(C83,'חד גזעי'!$AH$2:$AH$33,1,FALSE),SUM(J83:M83))&lt;21,_xlfn.IFNA(VLOOKUP(C83,'חד גזעי'!$AH$2:$AH$33,1,FALSE),SUM(J83:M83)),0),SUM(J83:M83)))</f>
        <v>#N/A</v>
      </c>
      <c r="O83" s="72">
        <f>IF('חד גזעי'!$AM$3 = "כן",IF(T83&gt;4,4,T83),T83)</f>
        <v>0</v>
      </c>
      <c r="P83" s="80">
        <f>IF(E83&lt;2,0,IF(Z83&gt;0,Z83,IF(N83 = 0,0,IF('חד גזעי'!$AM$2 = "לא",IF(F83&gt;19,W83,0),IF(F83&gt;9,Y83,0)))))</f>
        <v>0</v>
      </c>
      <c r="Q83" s="77"/>
      <c r="R83" s="75"/>
      <c r="S83" t="e">
        <f>VLOOKUP(C83,'חד גזעי'!$Y$4:$Y$18,1,0)</f>
        <v>#N/A</v>
      </c>
      <c r="T83" s="72">
        <f>IF('חד גזעי'!$AM$6="לא",IF(P83=0,IF(BC83="שימור",IF('חד גזעי'!$AM$4="לא",IF(BC83="לא בוגר",0,IF(BC83="לא קיים",0,IF(J83=0,0,I83*0.1))),IF(BC83="לא בוגר",0,IF(BC83="לא קיים",0,IF(AB83=1,I83*0.1,E83*0.5)))),0),IF('חד גזעי'!$AM$4="לא",IF(BC83="לא בוגר",0,IF(BC83="לא קיים",0,IF(J83=0,0,I83*0.1))),IF(BC83="לא בוגר",0,IF(BC83="לא קיים",0,IF(AB83=1,I83*0.1,E83*0.5))))),IF(P83=0,IF(BC83="שימור",IF('חד גזעי'!$AM$4="לא",IF(BC83="לא בוגר",0,IF(BC83="לא קיים",0,IF(J83=0,0,I83*0.15))),IF(BC83="לא בוגר",0,IF(BC83="לא קיים",0,IF(AB83=1,I83*0.15,E83*0.5)))),0),IF('חד גזעי'!$AM$4="לא",IF(BC83="לא בוגר",0,IF(BC83="לא קיים",0,IF(J83=0,0,I83*0.15))),IF(BC83="לא בוגר",0,IF(BC83="לא קיים",0,IF(AB83=1,I83*0.15,E83*0.5))))))</f>
        <v>0</v>
      </c>
      <c r="V83" t="e">
        <f t="shared" si="78"/>
        <v>#N/A</v>
      </c>
      <c r="W83" t="e">
        <f t="shared" si="79"/>
        <v>#N/A</v>
      </c>
      <c r="X83" t="e">
        <f t="shared" si="80"/>
        <v>#N/A</v>
      </c>
      <c r="Y83">
        <f>IF('חד גזעי'!$AM$2 = "לא",0,IF(F83&gt;9,W83,0))</f>
        <v>0</v>
      </c>
      <c r="Z83">
        <f>IF('חד גזעי'!$AM$7 = "לא",0,IF(C83 = "זית אירופי",IF('חד גזעי'!$AN$7 &lt;=סקר!F83,W83,0),IF(C83 = "חרוב מצוי",IF('חד גזעי'!$AN$7 &lt;=סקר!F83,W83,0),0)))</f>
        <v>0</v>
      </c>
      <c r="AB83">
        <f t="shared" si="75"/>
        <v>1</v>
      </c>
      <c r="AC83" s="72"/>
      <c r="AD83" t="e">
        <f t="shared" si="69"/>
        <v>#N/A</v>
      </c>
      <c r="AE83" s="72"/>
      <c r="AF83" s="72" t="e">
        <f t="shared" si="52"/>
        <v>#N/A</v>
      </c>
      <c r="AG83" s="72" t="e">
        <f>IF('חד גזעי'!$AM$5="לא",(VLOOKUP(C83,'חד גזעי'!$P$1:$S$589,3,FALSE)),(VLOOKUP(C83,'חד גזעי'!$P$1:$S$589,4,FALSE)))</f>
        <v>#N/A</v>
      </c>
      <c r="AH83" s="72">
        <f t="shared" si="53"/>
        <v>0</v>
      </c>
      <c r="AI83" s="72">
        <f t="shared" si="54"/>
        <v>0</v>
      </c>
      <c r="AJ83" s="72">
        <f t="shared" si="55"/>
        <v>0</v>
      </c>
      <c r="AK83" s="72" t="e">
        <f t="shared" si="56"/>
        <v>#N/A</v>
      </c>
      <c r="AL83" t="e">
        <f>VLOOKUP(C83,'חד גזעי'!$AH$8:$AI$33,2,FALSE)</f>
        <v>#N/A</v>
      </c>
      <c r="AM83" s="72" t="b">
        <f t="shared" si="57"/>
        <v>0</v>
      </c>
      <c r="AN83" s="72" t="b">
        <f t="shared" si="58"/>
        <v>0</v>
      </c>
      <c r="AO83" s="72" t="b">
        <f t="shared" si="59"/>
        <v>0</v>
      </c>
      <c r="AS83" s="72">
        <f t="shared" si="60"/>
        <v>0</v>
      </c>
      <c r="AT83" s="72">
        <f t="shared" si="61"/>
        <v>0</v>
      </c>
      <c r="AU83" s="72">
        <f t="shared" si="70"/>
        <v>0</v>
      </c>
      <c r="AV83" s="72">
        <f t="shared" si="62"/>
        <v>0</v>
      </c>
      <c r="AW83" s="72">
        <f t="shared" si="63"/>
        <v>0</v>
      </c>
      <c r="AX83" s="72">
        <f t="shared" si="64"/>
        <v>0</v>
      </c>
      <c r="AY83" s="72">
        <f t="shared" si="65"/>
        <v>0</v>
      </c>
      <c r="AZ83" s="72">
        <f t="shared" si="66"/>
        <v>0</v>
      </c>
      <c r="BA83" s="72" t="e">
        <f t="shared" si="67"/>
        <v>#N/A</v>
      </c>
      <c r="BB83" s="72" t="e">
        <f t="shared" si="76"/>
        <v>#N/A</v>
      </c>
      <c r="BC83" s="77"/>
      <c r="BE83">
        <f t="shared" si="48"/>
        <v>0</v>
      </c>
      <c r="BF83" s="196"/>
      <c r="BG83" s="196"/>
      <c r="BH83" s="196"/>
      <c r="BI83" s="196"/>
      <c r="BJ83" s="196"/>
      <c r="BK83" s="196"/>
    </row>
    <row r="84" spans="1:63" hidden="1">
      <c r="B84" s="72"/>
      <c r="C84" s="135"/>
      <c r="D84" s="78"/>
      <c r="E84" s="78"/>
      <c r="F84" s="72"/>
      <c r="G84" s="72"/>
      <c r="H84" s="72"/>
      <c r="I84" s="73">
        <f t="shared" si="74"/>
        <v>0</v>
      </c>
      <c r="J84" s="78"/>
      <c r="K84" s="73"/>
      <c r="L84" s="74" t="e">
        <f>_xlfn.IFNA(VLOOKUP(C84,'חד גזעי'!$U$3:$V$509,2,0),VLOOKUP(C84,'חד גזעי'!$U$3:$V$509,2))</f>
        <v>#N/A</v>
      </c>
      <c r="M84" s="102"/>
      <c r="N84" s="72" t="e">
        <f>_xlfn.IFNA(IF(VLOOKUP(C84,'חד גזעי'!$AH$2:$AH$7,1,FALSE)&gt;0,0,IF('חד גזעי'!$AM$5="כן",IF(_xlfn.IFNA(VLOOKUP(C84,'חד גזעי'!$AH$2:$AH$33,1,FALSE),SUM(J84:M84))&lt;21,_xlfn.IFNA(VLOOKUP(C84,'חד גזעי'!$AH$2:$AH$33,1,FALSE),SUM(J84:M84)),0),SUM(J84:M84))),IF('חד גזעי'!$AM$5="כן",IF(_xlfn.IFNA(VLOOKUP(C84,'חד גזעי'!$AH$2:$AH$33,1,FALSE),SUM(J84:M84))&lt;21,_xlfn.IFNA(VLOOKUP(C84,'חד גזעי'!$AH$2:$AH$33,1,FALSE),SUM(J84:M84)),0),SUM(J84:M84)))</f>
        <v>#N/A</v>
      </c>
      <c r="O84" s="72">
        <f>IF('חד גזעי'!$AM$3 = "כן",IF(T84&gt;4,4,T84),T84)</f>
        <v>0</v>
      </c>
      <c r="P84" s="80">
        <f>IF(E84&lt;2,0,IF(Z84&gt;0,Z84,IF(N84 = 0,0,IF('חד גזעי'!$AM$2 = "לא",IF(F84&gt;19,W84,0),IF(F84&gt;9,Y84,0)))))</f>
        <v>0</v>
      </c>
      <c r="Q84" s="77"/>
      <c r="R84" s="75"/>
      <c r="S84" t="e">
        <f>VLOOKUP(C84,'חד גזעי'!$Y$4:$Y$18,1,0)</f>
        <v>#N/A</v>
      </c>
      <c r="T84" s="72">
        <f>IF('חד גזעי'!$AM$6="לא",IF(P84=0,IF(BC84="שימור",IF('חד גזעי'!$AM$4="לא",IF(BC84="לא בוגר",0,IF(BC84="לא קיים",0,IF(J84=0,0,I84*0.1))),IF(BC84="לא בוגר",0,IF(BC84="לא קיים",0,IF(AB84=1,I84*0.1,E84*0.5)))),0),IF('חד גזעי'!$AM$4="לא",IF(BC84="לא בוגר",0,IF(BC84="לא קיים",0,IF(J84=0,0,I84*0.1))),IF(BC84="לא בוגר",0,IF(BC84="לא קיים",0,IF(AB84=1,I84*0.1,E84*0.5))))),IF(P84=0,IF(BC84="שימור",IF('חד גזעי'!$AM$4="לא",IF(BC84="לא בוגר",0,IF(BC84="לא קיים",0,IF(J84=0,0,I84*0.15))),IF(BC84="לא בוגר",0,IF(BC84="לא קיים",0,IF(AB84=1,I84*0.15,E84*0.5)))),0),IF('חד גזעי'!$AM$4="לא",IF(BC84="לא בוגר",0,IF(BC84="לא קיים",0,IF(J84=0,0,I84*0.15))),IF(BC84="לא בוגר",0,IF(BC84="לא קיים",0,IF(AB84=1,I84*0.15,E84*0.5))))))</f>
        <v>0</v>
      </c>
      <c r="V84" t="e">
        <f t="shared" si="78"/>
        <v>#N/A</v>
      </c>
      <c r="W84" t="e">
        <f t="shared" si="79"/>
        <v>#N/A</v>
      </c>
      <c r="X84" t="e">
        <f t="shared" si="80"/>
        <v>#N/A</v>
      </c>
      <c r="Y84">
        <f>IF('חד גזעי'!$AM$2 = "לא",0,IF(F84&gt;9,W84,0))</f>
        <v>0</v>
      </c>
      <c r="Z84">
        <f>IF('חד גזעי'!$AM$7 = "לא",0,IF(C84 = "זית אירופי",IF('חד גזעי'!$AN$7 &lt;=סקר!F84,W84,0),IF(C84 = "חרוב מצוי",IF('חד גזעי'!$AN$7 &lt;=סקר!F84,W84,0),0)))</f>
        <v>0</v>
      </c>
      <c r="AB84">
        <f t="shared" si="75"/>
        <v>1</v>
      </c>
      <c r="AC84" s="72"/>
      <c r="AD84" t="e">
        <f t="shared" si="69"/>
        <v>#N/A</v>
      </c>
      <c r="AE84" s="72"/>
      <c r="AF84" s="72" t="e">
        <f t="shared" si="52"/>
        <v>#N/A</v>
      </c>
      <c r="AG84" s="72" t="e">
        <f>IF('חד גזעי'!$AM$5="לא",(VLOOKUP(C84,'חד גזעי'!$P$1:$S$589,3,FALSE)),(VLOOKUP(C84,'חד גזעי'!$P$1:$S$589,4,FALSE)))</f>
        <v>#N/A</v>
      </c>
      <c r="AH84" s="72">
        <f t="shared" si="53"/>
        <v>0</v>
      </c>
      <c r="AI84" s="72">
        <f t="shared" si="54"/>
        <v>0</v>
      </c>
      <c r="AJ84" s="72">
        <f t="shared" si="55"/>
        <v>0</v>
      </c>
      <c r="AK84" s="72" t="e">
        <f t="shared" si="56"/>
        <v>#N/A</v>
      </c>
      <c r="AL84" t="e">
        <f>VLOOKUP(C84,'חד גזעי'!$AH$8:$AI$33,2,FALSE)</f>
        <v>#N/A</v>
      </c>
      <c r="AM84" s="72" t="b">
        <f t="shared" si="57"/>
        <v>0</v>
      </c>
      <c r="AN84" s="72" t="b">
        <f t="shared" si="58"/>
        <v>0</v>
      </c>
      <c r="AO84" s="72" t="b">
        <f t="shared" si="59"/>
        <v>0</v>
      </c>
      <c r="AS84" s="72">
        <f t="shared" si="60"/>
        <v>0</v>
      </c>
      <c r="AT84" s="72">
        <f t="shared" si="61"/>
        <v>0</v>
      </c>
      <c r="AU84" s="72">
        <f t="shared" si="70"/>
        <v>0</v>
      </c>
      <c r="AV84" s="72">
        <f t="shared" si="62"/>
        <v>0</v>
      </c>
      <c r="AW84" s="72">
        <f t="shared" si="63"/>
        <v>0</v>
      </c>
      <c r="AX84" s="72">
        <f t="shared" si="64"/>
        <v>0</v>
      </c>
      <c r="AY84" s="72">
        <f t="shared" si="65"/>
        <v>0</v>
      </c>
      <c r="AZ84" s="72">
        <f t="shared" si="66"/>
        <v>0</v>
      </c>
      <c r="BA84" s="72" t="e">
        <f t="shared" si="67"/>
        <v>#N/A</v>
      </c>
      <c r="BB84" s="72" t="e">
        <f t="shared" si="76"/>
        <v>#N/A</v>
      </c>
      <c r="BC84" s="77"/>
      <c r="BE84">
        <f t="shared" si="48"/>
        <v>0</v>
      </c>
      <c r="BF84" s="196"/>
      <c r="BG84" s="196"/>
      <c r="BH84" s="196"/>
      <c r="BI84" s="196"/>
      <c r="BJ84" s="196"/>
      <c r="BK84" s="196"/>
    </row>
    <row r="85" spans="1:63" hidden="1">
      <c r="T85" s="72">
        <f>IF('חד גזעי'!$AM$6="לא",IF(P85=0,IF(BC85="שימור",IF('חד גזעי'!$AM$4="לא",IF(BC85="לא בוגר",0,IF(BC85="לא קיים",0,IF(J85=0,0,I85*0.1))),IF(BC85="לא בוגר",0,IF(BC85="לא קיים",0,IF(AB85=1,I85*0.1,E85*0.5)))),0),IF('חד גזעי'!$AM$4="לא",IF(BC85="לא בוגר",0,IF(BC85="לא קיים",0,IF(J85=0,0,I85*0.1))),IF(BC85="לא בוגר",0,IF(BC85="לא קיים",0,IF(AB85=1,I85*0.1,E85*0.5))))),IF(P85=0,IF(BC85="שימור",IF('חד גזעי'!$AM$4="לא",IF(BC85="לא בוגר",0,IF(BC85="לא קיים",0,IF(J85=0,0,I85*0.15))),IF(BC85="לא בוגר",0,IF(BC85="לא קיים",0,IF(AB85=1,I85*0.15,E85*0.5)))),0),IF('חד גזעי'!$AM$4="לא",IF(BC85="לא בוגר",0,IF(BC85="לא קיים",0,IF(J85=0,0,I85*0.15))),IF(BC85="לא בוגר",0,IF(BC85="לא קיים",0,IF(AB85=1,I85*0.15,E85*0.5))))))</f>
        <v>0</v>
      </c>
      <c r="V85">
        <f t="shared" si="78"/>
        <v>0</v>
      </c>
      <c r="W85">
        <f t="shared" si="79"/>
        <v>0</v>
      </c>
      <c r="X85">
        <f t="shared" si="80"/>
        <v>0</v>
      </c>
      <c r="Y85">
        <f>IF('חד גזעי'!$AM$2 = "לא",0,IF(F85&gt;9,W85,0))</f>
        <v>0</v>
      </c>
      <c r="Z85">
        <f>IF('חד גזעי'!$AM$7 = "לא",0,IF(C85 = "זית אירופי",IF('חד גזעי'!$AN$7 &lt;=סקר!F85,W85,0),IF(C85 = "חרוב מצוי",IF('חד גזעי'!$AN$7 &lt;=סקר!F85,W85,0),0)))</f>
        <v>0</v>
      </c>
      <c r="BE85">
        <f t="shared" si="48"/>
        <v>0</v>
      </c>
      <c r="BF85" s="196"/>
      <c r="BG85" s="196"/>
      <c r="BH85" s="196"/>
      <c r="BI85" s="196"/>
      <c r="BJ85" s="196"/>
      <c r="BK85" s="196"/>
    </row>
    <row r="86" spans="1:63" hidden="1">
      <c r="A86" s="129"/>
      <c r="B86" s="129"/>
      <c r="C86" s="129"/>
      <c r="D86" s="129"/>
      <c r="E86" s="129"/>
      <c r="F86" s="129"/>
      <c r="G86" s="129"/>
      <c r="H86" s="129"/>
      <c r="I86" s="129"/>
      <c r="J86" s="129"/>
      <c r="K86" s="129"/>
      <c r="L86" s="129"/>
      <c r="M86" s="129"/>
      <c r="N86" s="129"/>
      <c r="O86" s="129"/>
      <c r="P86" s="129"/>
      <c r="Q86" s="129"/>
      <c r="R86" s="129"/>
      <c r="S86" s="129"/>
      <c r="T86" s="72">
        <f>IF('חד גזעי'!$AM$6="לא",IF(P86=0,IF(BC86="שימור",IF('חד גזעי'!$AM$4="לא",IF(BC86="לא בוגר",0,IF(BC86="לא קיים",0,IF(J86=0,0,I86*0.1))),IF(BC86="לא בוגר",0,IF(BC86="לא קיים",0,IF(AB86=1,I86*0.1,E86*0.5)))),0),IF('חד גזעי'!$AM$4="לא",IF(BC86="לא בוגר",0,IF(BC86="לא קיים",0,IF(J86=0,0,I86*0.1))),IF(BC86="לא בוגר",0,IF(BC86="לא קיים",0,IF(AB86=1,I86*0.1,E86*0.5))))),IF(P86=0,IF(BC86="שימור",IF('חד גזעי'!$AM$4="לא",IF(BC86="לא בוגר",0,IF(BC86="לא קיים",0,IF(J86=0,0,I86*0.15))),IF(BC86="לא בוגר",0,IF(BC86="לא קיים",0,IF(AB86=1,I86*0.15,E86*0.5)))),0),IF('חד גזעי'!$AM$4="לא",IF(BC86="לא בוגר",0,IF(BC86="לא קיים",0,IF(J86=0,0,I86*0.15))),IF(BC86="לא בוגר",0,IF(BC86="לא קיים",0,IF(AB86=1,I86*0.15,E86*0.5))))))</f>
        <v>0</v>
      </c>
      <c r="U86" s="129"/>
      <c r="V86">
        <f t="shared" si="78"/>
        <v>0</v>
      </c>
      <c r="W86">
        <f t="shared" si="79"/>
        <v>0</v>
      </c>
      <c r="X86">
        <f t="shared" si="80"/>
        <v>0</v>
      </c>
      <c r="Y86">
        <f>IF('חד גזעי'!$AM$2 = "לא",0,IF(F86&gt;9,W86,0))</f>
        <v>0</v>
      </c>
      <c r="Z86">
        <f>IF('חד גזעי'!$AM$7 = "לא",0,IF(C86 = "זית אירופי",IF('חד גזעי'!$AN$7 &lt;=סקר!F86,W86,0),IF(C86 = "חרוב מצוי",IF('חד גזעי'!$AN$7 &lt;=סקר!F86,W86,0),0)))</f>
        <v>0</v>
      </c>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c r="BC86" s="129"/>
      <c r="BD86" s="129"/>
      <c r="BE86" s="129"/>
      <c r="BF86" s="129">
        <f>_xlfn.IFNA(_xlfn.IFNA(_xlfn.TEXTBEFORE(BF68,"--"),_xlfn.TEXTBEFORE(BF68,",")),BF68)</f>
        <v>0</v>
      </c>
      <c r="BG86" s="129">
        <f t="shared" ref="BG86:BK86" si="81">_xlfn.IFNA(_xlfn.IFNA(_xlfn.TEXTBEFORE(BG68,"--"),_xlfn.TEXTBEFORE(BG68,",")),BG68)</f>
        <v>0</v>
      </c>
      <c r="BH86" s="129">
        <f t="shared" si="81"/>
        <v>0</v>
      </c>
      <c r="BI86" s="129">
        <f t="shared" si="81"/>
        <v>0</v>
      </c>
      <c r="BJ86" s="129">
        <f t="shared" si="81"/>
        <v>0</v>
      </c>
      <c r="BK86" s="129">
        <f t="shared" si="81"/>
        <v>0</v>
      </c>
    </row>
    <row r="87" spans="1:63" hidden="1">
      <c r="A87" s="129"/>
      <c r="B87" s="129"/>
      <c r="C87" s="129"/>
      <c r="D87" s="129"/>
      <c r="E87" s="129"/>
      <c r="F87" s="129"/>
      <c r="G87" s="129"/>
      <c r="H87" s="129"/>
      <c r="I87" s="129"/>
      <c r="J87" s="129"/>
      <c r="K87" s="129"/>
      <c r="L87" s="129"/>
      <c r="M87" s="129"/>
      <c r="N87" s="129"/>
      <c r="O87" s="129"/>
      <c r="P87" s="129"/>
      <c r="Q87" s="129"/>
      <c r="R87" s="129"/>
      <c r="S87" s="129"/>
      <c r="T87" s="72">
        <f>IF('חד גזעי'!$AM$6="לא",IF(P87=0,IF(BC87="שימור",IF('חד גזעי'!$AM$4="לא",IF(BC87="לא בוגר",0,IF(BC87="לא קיים",0,IF(J87=0,0,I87*0.1))),IF(BC87="לא בוגר",0,IF(BC87="לא קיים",0,IF(AB87=1,I87*0.1,E87*0.5)))),0),IF('חד גזעי'!$AM$4="לא",IF(BC87="לא בוגר",0,IF(BC87="לא קיים",0,IF(J87=0,0,I87*0.1))),IF(BC87="לא בוגר",0,IF(BC87="לא קיים",0,IF(AB87=1,I87*0.1,E87*0.5))))),IF(P87=0,IF(BC87="שימור",IF('חד גזעי'!$AM$4="לא",IF(BC87="לא בוגר",0,IF(BC87="לא קיים",0,IF(J87=0,0,I87*0.15))),IF(BC87="לא בוגר",0,IF(BC87="לא קיים",0,IF(AB87=1,I87*0.15,E87*0.5)))),0),IF('חד גזעי'!$AM$4="לא",IF(BC87="לא בוגר",0,IF(BC87="לא קיים",0,IF(J87=0,0,I87*0.15))),IF(BC87="לא בוגר",0,IF(BC87="לא קיים",0,IF(AB87=1,I87*0.15,E87*0.5))))))</f>
        <v>0</v>
      </c>
      <c r="U87" s="129"/>
      <c r="V87">
        <f t="shared" si="78"/>
        <v>0</v>
      </c>
      <c r="W87">
        <f t="shared" si="79"/>
        <v>0</v>
      </c>
      <c r="X87">
        <f t="shared" si="80"/>
        <v>0</v>
      </c>
      <c r="Y87">
        <f>IF('חד גזעי'!$AM$2 = "לא",0,IF(F87&gt;9,W87,0))</f>
        <v>0</v>
      </c>
      <c r="Z87">
        <f>IF('חד גזעי'!$AM$7 = "לא",0,IF(C87 = "זית אירופי",IF('חד גזעי'!$AN$7 &lt;=סקר!F87,W87,0),IF(C87 = "חרוב מצוי",IF('חד גזעי'!$AN$7 &lt;=סקר!F87,W87,0),0)))</f>
        <v>0</v>
      </c>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c r="BC87" s="129"/>
      <c r="BD87" s="129"/>
      <c r="BE87" s="129"/>
      <c r="BF87" s="129" t="str">
        <f>"C:\Users\origr\Pictures\"&amp;BF86&amp;".jpg"</f>
        <v>C:\Users\origr\Pictures\0.jpg</v>
      </c>
      <c r="BG87" s="129" t="str">
        <f t="shared" ref="BG87" si="82">"C:\Users\origr\Pictures\"&amp;BG86&amp;".jpg"</f>
        <v>C:\Users\origr\Pictures\0.jpg</v>
      </c>
      <c r="BH87" s="129" t="str">
        <f t="shared" ref="BH87" si="83">"C:\Users\origr\Pictures\"&amp;BH86&amp;".jpg"</f>
        <v>C:\Users\origr\Pictures\0.jpg</v>
      </c>
      <c r="BI87" s="129" t="str">
        <f t="shared" ref="BI87" si="84">"C:\Users\origr\Pictures\"&amp;BI86&amp;".jpg"</f>
        <v>C:\Users\origr\Pictures\0.jpg</v>
      </c>
      <c r="BJ87" s="129" t="str">
        <f t="shared" ref="BJ87" si="85">"C:\Users\origr\Pictures\"&amp;BJ86&amp;".jpg"</f>
        <v>C:\Users\origr\Pictures\0.jpg</v>
      </c>
      <c r="BK87" s="129" t="str">
        <f t="shared" ref="BK87" si="86">"C:\Users\origr\Pictures\"&amp;BK86&amp;".jpg"</f>
        <v>C:\Users\origr\Pictures\0.jpg</v>
      </c>
    </row>
    <row r="88" spans="1:63" hidden="1">
      <c r="A88" s="129"/>
      <c r="B88" s="129"/>
      <c r="C88" s="129"/>
      <c r="D88" s="129"/>
      <c r="E88" s="129"/>
      <c r="F88" s="129"/>
      <c r="G88" s="129"/>
      <c r="H88" s="129"/>
      <c r="I88" s="129"/>
      <c r="J88" s="129"/>
      <c r="K88" s="129"/>
      <c r="L88" s="129"/>
      <c r="M88" s="129"/>
      <c r="N88" s="129"/>
      <c r="O88" s="129"/>
      <c r="P88" s="129"/>
      <c r="Q88" s="129"/>
      <c r="R88" s="129"/>
      <c r="S88" s="129"/>
      <c r="T88" s="72">
        <f>IF('חד גזעי'!$AM$6="לא",IF(P88=0,IF(BC88="שימור",IF('חד גזעי'!$AM$4="לא",IF(BC88="לא בוגר",0,IF(BC88="לא קיים",0,IF(J88=0,0,I88*0.1))),IF(BC88="לא בוגר",0,IF(BC88="לא קיים",0,IF(AB88=1,I88*0.1,E88*0.5)))),0),IF('חד גזעי'!$AM$4="לא",IF(BC88="לא בוגר",0,IF(BC88="לא קיים",0,IF(J88=0,0,I88*0.1))),IF(BC88="לא בוגר",0,IF(BC88="לא קיים",0,IF(AB88=1,I88*0.1,E88*0.5))))),IF(P88=0,IF(BC88="שימור",IF('חד גזעי'!$AM$4="לא",IF(BC88="לא בוגר",0,IF(BC88="לא קיים",0,IF(J88=0,0,I88*0.15))),IF(BC88="לא בוגר",0,IF(BC88="לא קיים",0,IF(AB88=1,I88*0.15,E88*0.5)))),0),IF('חד גזעי'!$AM$4="לא",IF(BC88="לא בוגר",0,IF(BC88="לא קיים",0,IF(J88=0,0,I88*0.15))),IF(BC88="לא בוגר",0,IF(BC88="לא קיים",0,IF(AB88=1,I88*0.15,E88*0.5))))))</f>
        <v>0</v>
      </c>
      <c r="U88" s="129"/>
      <c r="V88">
        <f t="shared" si="78"/>
        <v>0</v>
      </c>
      <c r="W88">
        <f t="shared" si="79"/>
        <v>0</v>
      </c>
      <c r="X88">
        <f t="shared" si="80"/>
        <v>0</v>
      </c>
      <c r="Y88">
        <f>IF('חד גזעי'!$AM$2 = "לא",0,IF(F88&gt;9,W88,0))</f>
        <v>0</v>
      </c>
      <c r="Z88">
        <f>IF('חד גזעי'!$AM$7 = "לא",0,IF(C88 = "זית אירופי",IF('חד גזעי'!$AN$7 &lt;=סקר!F88,W88,0),IF(C88 = "חרוב מצוי",IF('חד גזעי'!$AN$7 &lt;=סקר!F88,W88,0),0)))</f>
        <v>0</v>
      </c>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t="str">
        <f>BF87</f>
        <v>C:\Users\origr\Pictures\0.jpg</v>
      </c>
      <c r="BG88" s="129" t="str">
        <f t="shared" ref="BG88" si="87">BG87</f>
        <v>C:\Users\origr\Pictures\0.jpg</v>
      </c>
      <c r="BH88" s="129" t="str">
        <f t="shared" ref="BH88" si="88">BH87</f>
        <v>C:\Users\origr\Pictures\0.jpg</v>
      </c>
      <c r="BI88" s="129" t="str">
        <f t="shared" ref="BI88" si="89">BI87</f>
        <v>C:\Users\origr\Pictures\0.jpg</v>
      </c>
      <c r="BJ88" s="129" t="str">
        <f t="shared" ref="BJ88" si="90">BJ87</f>
        <v>C:\Users\origr\Pictures\0.jpg</v>
      </c>
      <c r="BK88" s="129" t="str">
        <f t="shared" ref="BK88" si="91">BK87</f>
        <v>C:\Users\origr\Pictures\0.jpg</v>
      </c>
    </row>
    <row r="89" spans="1:63" hidden="1">
      <c r="T89" s="72">
        <f>IF('חד גזעי'!$AM$6="לא",IF(P89=0,IF(BC89="שימור",IF('חד גזעי'!$AM$4="לא",IF(BC89="לא בוגר",0,IF(BC89="לא קיים",0,IF(J89=0,0,I89*0.1))),IF(BC89="לא בוגר",0,IF(BC89="לא קיים",0,IF(AB89=1,I89*0.1,E89*0.5)))),0),IF('חד גזעי'!$AM$4="לא",IF(BC89="לא בוגר",0,IF(BC89="לא קיים",0,IF(J89=0,0,I89*0.1))),IF(BC89="לא בוגר",0,IF(BC89="לא קיים",0,IF(AB89=1,I89*0.1,E89*0.5))))),IF(P89=0,IF(BC89="שימור",IF('חד גזעי'!$AM$4="לא",IF(BC89="לא בוגר",0,IF(BC89="לא קיים",0,IF(J89=0,0,I89*0.15))),IF(BC89="לא בוגר",0,IF(BC89="לא קיים",0,IF(AB89=1,I89*0.15,E89*0.5)))),0),IF('חד גזעי'!$AM$4="לא",IF(BC89="לא בוגר",0,IF(BC89="לא קיים",0,IF(J89=0,0,I89*0.15))),IF(BC89="לא בוגר",0,IF(BC89="לא קיים",0,IF(AB89=1,I89*0.15,E89*0.5))))))</f>
        <v>0</v>
      </c>
      <c r="V89">
        <f t="shared" si="78"/>
        <v>0</v>
      </c>
      <c r="W89">
        <f t="shared" si="79"/>
        <v>0</v>
      </c>
      <c r="X89">
        <f t="shared" si="80"/>
        <v>0</v>
      </c>
      <c r="Y89">
        <f>IF('חד גזעי'!$AM$2 = "לא",0,IF(F89&gt;9,W89,0))</f>
        <v>0</v>
      </c>
      <c r="Z89">
        <f>IF('חד גזעי'!$AM$7 = "לא",0,IF(C89 = "זית אירופי",IF('חד גזעי'!$AN$7 &lt;=סקר!F89,W89,0),IF(C89 = "חרוב מצוי",IF('חד גזעי'!$AN$7 &lt;=סקר!F89,W89,0),0)))</f>
        <v>0</v>
      </c>
    </row>
    <row r="90" spans="1:63" hidden="1">
      <c r="T90" s="72">
        <f>IF('חד גזעי'!$AM$6="לא",IF(P90=0,IF(BC90="שימור",IF('חד גזעי'!$AM$4="לא",IF(BC90="לא בוגר",0,IF(BC90="לא קיים",0,IF(J90=0,0,I90*0.1))),IF(BC90="לא בוגר",0,IF(BC90="לא קיים",0,IF(AB90=1,I90*0.1,E90*0.5)))),0),IF('חד גזעי'!$AM$4="לא",IF(BC90="לא בוגר",0,IF(BC90="לא קיים",0,IF(J90=0,0,I90*0.1))),IF(BC90="לא בוגר",0,IF(BC90="לא קיים",0,IF(AB90=1,I90*0.1,E90*0.5))))),IF(P90=0,IF(BC90="שימור",IF('חד גזעי'!$AM$4="לא",IF(BC90="לא בוגר",0,IF(BC90="לא קיים",0,IF(J90=0,0,I90*0.15))),IF(BC90="לא בוגר",0,IF(BC90="לא קיים",0,IF(AB90=1,I90*0.15,E90*0.5)))),0),IF('חד גזעי'!$AM$4="לא",IF(BC90="לא בוגר",0,IF(BC90="לא קיים",0,IF(J90=0,0,I90*0.15))),IF(BC90="לא בוגר",0,IF(BC90="לא קיים",0,IF(AB90=1,I90*0.15,E90*0.5))))))</f>
        <v>0</v>
      </c>
      <c r="V90">
        <f t="shared" si="78"/>
        <v>0</v>
      </c>
      <c r="W90">
        <f t="shared" si="79"/>
        <v>0</v>
      </c>
      <c r="X90">
        <f t="shared" si="80"/>
        <v>0</v>
      </c>
      <c r="Y90">
        <f>IF('חד גזעי'!$AM$2 = "לא",0,IF(F90&gt;9,W90,0))</f>
        <v>0</v>
      </c>
      <c r="Z90">
        <f>IF('חד גזעי'!$AM$7 = "לא",0,IF(C90 = "זית אירופי",IF('חד גזעי'!$AN$7 &lt;=סקר!F90,W90,0),IF(C90 = "חרוב מצוי",IF('חד גזעי'!$AN$7 &lt;=סקר!F90,W90,0),0)))</f>
        <v>0</v>
      </c>
    </row>
    <row r="91" spans="1:63" hidden="1">
      <c r="T91" s="72">
        <f>IF('חד גזעי'!$AM$6="לא",IF(P91=0,IF(BC91="שימור",IF('חד גזעי'!$AM$4="לא",IF(BC91="לא בוגר",0,IF(BC91="לא קיים",0,IF(J91=0,0,I91*0.1))),IF(BC91="לא בוגר",0,IF(BC91="לא קיים",0,IF(AB91=1,I91*0.1,E91*0.5)))),0),IF('חד גזעי'!$AM$4="לא",IF(BC91="לא בוגר",0,IF(BC91="לא קיים",0,IF(J91=0,0,I91*0.1))),IF(BC91="לא בוגר",0,IF(BC91="לא קיים",0,IF(AB91=1,I91*0.1,E91*0.5))))),IF(P91=0,IF(BC91="שימור",IF('חד גזעי'!$AM$4="לא",IF(BC91="לא בוגר",0,IF(BC91="לא קיים",0,IF(J91=0,0,I91*0.15))),IF(BC91="לא בוגר",0,IF(BC91="לא קיים",0,IF(AB91=1,I91*0.15,E91*0.5)))),0),IF('חד גזעי'!$AM$4="לא",IF(BC91="לא בוגר",0,IF(BC91="לא קיים",0,IF(J91=0,0,I91*0.15))),IF(BC91="לא בוגר",0,IF(BC91="לא קיים",0,IF(AB91=1,I91*0.15,E91*0.5))))))</f>
        <v>0</v>
      </c>
      <c r="V91">
        <f t="shared" si="78"/>
        <v>0</v>
      </c>
      <c r="W91">
        <f t="shared" si="79"/>
        <v>0</v>
      </c>
      <c r="X91">
        <f t="shared" si="80"/>
        <v>0</v>
      </c>
      <c r="Y91">
        <f>IF('חד גזעי'!$AM$2 = "לא",0,IF(F91&gt;9,W91,0))</f>
        <v>0</v>
      </c>
      <c r="Z91">
        <f>IF('חד גזעי'!$AM$7 = "לא",0,IF(C91 = "זית אירופי",IF('חד גזעי'!$AN$7 &lt;=סקר!F91,W91,0),IF(C91 = "חרוב מצוי",IF('חד גזעי'!$AN$7 &lt;=סקר!F91,W91,0),0)))</f>
        <v>0</v>
      </c>
    </row>
    <row r="92" spans="1:63" hidden="1">
      <c r="A92" s="129"/>
      <c r="B92" s="129"/>
      <c r="C92" s="129"/>
      <c r="D92" s="129"/>
      <c r="E92" s="129"/>
      <c r="F92" s="129"/>
      <c r="G92" s="129"/>
      <c r="H92" s="129"/>
      <c r="I92" s="129"/>
      <c r="J92" s="129"/>
      <c r="K92" s="129"/>
      <c r="L92" s="129"/>
      <c r="M92" s="129"/>
      <c r="N92" s="129"/>
      <c r="O92" s="129"/>
      <c r="P92" s="129"/>
      <c r="Q92" s="129"/>
      <c r="R92" s="129"/>
      <c r="S92" s="129"/>
      <c r="T92" s="72">
        <f>IF('חד גזעי'!$AM$6="לא",IF(P92=0,IF(BC92="שימור",IF('חד גזעי'!$AM$4="לא",IF(BC92="לא בוגר",0,IF(BC92="לא קיים",0,IF(J92=0,0,I92*0.1))),IF(BC92="לא בוגר",0,IF(BC92="לא קיים",0,IF(AB92=1,I92*0.1,E92*0.5)))),0),IF('חד גזעי'!$AM$4="לא",IF(BC92="לא בוגר",0,IF(BC92="לא קיים",0,IF(J92=0,0,I92*0.1))),IF(BC92="לא בוגר",0,IF(BC92="לא קיים",0,IF(AB92=1,I92*0.1,E92*0.5))))),IF(P92=0,IF(BC92="שימור",IF('חד גזעי'!$AM$4="לא",IF(BC92="לא בוגר",0,IF(BC92="לא קיים",0,IF(J92=0,0,I92*0.15))),IF(BC92="לא בוגר",0,IF(BC92="לא קיים",0,IF(AB92=1,I92*0.15,E92*0.5)))),0),IF('חד גזעי'!$AM$4="לא",IF(BC92="לא בוגר",0,IF(BC92="לא קיים",0,IF(J92=0,0,I92*0.15))),IF(BC92="לא בוגר",0,IF(BC92="לא קיים",0,IF(AB92=1,I92*0.15,E92*0.5))))))</f>
        <v>0</v>
      </c>
      <c r="U92" s="129"/>
      <c r="V92">
        <f t="shared" si="78"/>
        <v>0</v>
      </c>
      <c r="W92">
        <f t="shared" si="79"/>
        <v>0</v>
      </c>
      <c r="X92">
        <f t="shared" si="80"/>
        <v>0</v>
      </c>
      <c r="Y92">
        <f>IF('חד גזעי'!$AM$2 = "לא",0,IF(F92&gt;9,W92,0))</f>
        <v>0</v>
      </c>
      <c r="Z92">
        <f>IF('חד גזעי'!$AM$7 = "לא",0,IF(C92 = "זית אירופי",IF('חד גזעי'!$AN$7 &lt;=סקר!F92,W92,0),IF(C92 = "חרוב מצוי",IF('חד גזעי'!$AN$7 &lt;=סקר!F92,W92,0),0)))</f>
        <v>0</v>
      </c>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f>_xlfn.IFNA(_xlfn.IFNA(_xlfn.TEXTBEFORE(BF96,"--"),_xlfn.TEXTBEFORE(BF96,",")),BF96)</f>
        <v>0</v>
      </c>
      <c r="BG92" s="129">
        <f t="shared" ref="BG92:BK92" si="92">_xlfn.IFNA(_xlfn.IFNA(_xlfn.TEXTBEFORE(BG96,"--"),_xlfn.TEXTBEFORE(BG96,",")),BG96)</f>
        <v>0</v>
      </c>
      <c r="BH92" s="129">
        <f t="shared" si="92"/>
        <v>0</v>
      </c>
      <c r="BI92" s="129">
        <f t="shared" si="92"/>
        <v>0</v>
      </c>
      <c r="BJ92" s="129">
        <f t="shared" si="92"/>
        <v>0</v>
      </c>
      <c r="BK92" s="129">
        <f t="shared" si="92"/>
        <v>0</v>
      </c>
    </row>
    <row r="93" spans="1:63" hidden="1">
      <c r="A93" s="129"/>
      <c r="B93" s="129"/>
      <c r="C93" s="129"/>
      <c r="D93" s="129"/>
      <c r="E93" s="129"/>
      <c r="F93" s="129"/>
      <c r="G93" s="129"/>
      <c r="H93" s="129"/>
      <c r="I93" s="129"/>
      <c r="J93" s="129"/>
      <c r="K93" s="129"/>
      <c r="L93" s="129"/>
      <c r="M93" s="129"/>
      <c r="N93" s="129"/>
      <c r="O93" s="129"/>
      <c r="P93" s="129"/>
      <c r="Q93" s="129"/>
      <c r="R93" s="129"/>
      <c r="S93" s="129"/>
      <c r="T93" s="72">
        <f>IF('חד גזעי'!$AM$6="לא",IF(P93=0,IF(BC93="שימור",IF('חד גזעי'!$AM$4="לא",IF(BC93="לא בוגר",0,IF(BC93="לא קיים",0,IF(J93=0,0,I93*0.1))),IF(BC93="לא בוגר",0,IF(BC93="לא קיים",0,IF(AB93=1,I93*0.1,E93*0.5)))),0),IF('חד גזעי'!$AM$4="לא",IF(BC93="לא בוגר",0,IF(BC93="לא קיים",0,IF(J93=0,0,I93*0.1))),IF(BC93="לא בוגר",0,IF(BC93="לא קיים",0,IF(AB93=1,I93*0.1,E93*0.5))))),IF(P93=0,IF(BC93="שימור",IF('חד גזעי'!$AM$4="לא",IF(BC93="לא בוגר",0,IF(BC93="לא קיים",0,IF(J93=0,0,I93*0.15))),IF(BC93="לא בוגר",0,IF(BC93="לא קיים",0,IF(AB93=1,I93*0.15,E93*0.5)))),0),IF('חד גזעי'!$AM$4="לא",IF(BC93="לא בוגר",0,IF(BC93="לא קיים",0,IF(J93=0,0,I93*0.15))),IF(BC93="לא בוגר",0,IF(BC93="לא קיים",0,IF(AB93=1,I93*0.15,E93*0.5))))))</f>
        <v>0</v>
      </c>
      <c r="U93" s="129"/>
      <c r="V93">
        <f t="shared" si="78"/>
        <v>0</v>
      </c>
      <c r="W93">
        <f t="shared" si="79"/>
        <v>0</v>
      </c>
      <c r="X93">
        <f t="shared" si="80"/>
        <v>0</v>
      </c>
      <c r="Y93">
        <f>IF('חד גזעי'!$AM$2 = "לא",0,IF(F93&gt;9,W93,0))</f>
        <v>0</v>
      </c>
      <c r="Z93">
        <f>IF('חד גזעי'!$AM$7 = "לא",0,IF(C93 = "זית אירופי",IF('חד גזעי'!$AN$7 &lt;=סקר!F93,W93,0),IF(C93 = "חרוב מצוי",IF('חד גזעי'!$AN$7 &lt;=סקר!F93,W93,0),0)))</f>
        <v>0</v>
      </c>
      <c r="AA93" s="129"/>
      <c r="AB93" s="129"/>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t="str">
        <f>"C:\Users\origr\Pictures\"&amp;BF92&amp;".jpg"</f>
        <v>C:\Users\origr\Pictures\0.jpg</v>
      </c>
      <c r="BG93" s="129" t="str">
        <f t="shared" ref="BG93" si="93">"C:\Users\origr\Pictures\"&amp;BG92&amp;".jpg"</f>
        <v>C:\Users\origr\Pictures\0.jpg</v>
      </c>
      <c r="BH93" s="129" t="str">
        <f t="shared" ref="BH93" si="94">"C:\Users\origr\Pictures\"&amp;BH92&amp;".jpg"</f>
        <v>C:\Users\origr\Pictures\0.jpg</v>
      </c>
      <c r="BI93" s="129" t="str">
        <f t="shared" ref="BI93" si="95">"C:\Users\origr\Pictures\"&amp;BI92&amp;".jpg"</f>
        <v>C:\Users\origr\Pictures\0.jpg</v>
      </c>
      <c r="BJ93" s="129" t="str">
        <f t="shared" ref="BJ93" si="96">"C:\Users\origr\Pictures\"&amp;BJ92&amp;".jpg"</f>
        <v>C:\Users\origr\Pictures\0.jpg</v>
      </c>
      <c r="BK93" s="129" t="str">
        <f t="shared" ref="BK93" si="97">"C:\Users\origr\Pictures\"&amp;BK92&amp;".jpg"</f>
        <v>C:\Users\origr\Pictures\0.jpg</v>
      </c>
    </row>
    <row r="94" spans="1:63" hidden="1">
      <c r="A94" s="129"/>
      <c r="B94" s="129"/>
      <c r="C94" s="129"/>
      <c r="D94" s="129"/>
      <c r="E94" s="129"/>
      <c r="F94" s="129"/>
      <c r="G94" s="129"/>
      <c r="H94" s="129"/>
      <c r="I94" s="129"/>
      <c r="J94" s="129"/>
      <c r="K94" s="129"/>
      <c r="L94" s="129"/>
      <c r="M94" s="129"/>
      <c r="N94" s="129"/>
      <c r="O94" s="129"/>
      <c r="P94" s="129"/>
      <c r="Q94" s="129"/>
      <c r="R94" s="129"/>
      <c r="S94" s="129"/>
      <c r="T94" s="72">
        <f>IF('חד גזעי'!$AM$6="לא",IF(P94=0,IF(BC94="שימור",IF('חד גזעי'!$AM$4="לא",IF(BC94="לא בוגר",0,IF(BC94="לא קיים",0,IF(J94=0,0,I94*0.1))),IF(BC94="לא בוגר",0,IF(BC94="לא קיים",0,IF(AB94=1,I94*0.1,E94*0.5)))),0),IF('חד גזעי'!$AM$4="לא",IF(BC94="לא בוגר",0,IF(BC94="לא קיים",0,IF(J94=0,0,I94*0.1))),IF(BC94="לא בוגר",0,IF(BC94="לא קיים",0,IF(AB94=1,I94*0.1,E94*0.5))))),IF(P94=0,IF(BC94="שימור",IF('חד גזעי'!$AM$4="לא",IF(BC94="לא בוגר",0,IF(BC94="לא קיים",0,IF(J94=0,0,I94*0.15))),IF(BC94="לא בוגר",0,IF(BC94="לא קיים",0,IF(AB94=1,I94*0.15,E94*0.5)))),0),IF('חד גזעי'!$AM$4="לא",IF(BC94="לא בוגר",0,IF(BC94="לא קיים",0,IF(J94=0,0,I94*0.15))),IF(BC94="לא בוגר",0,IF(BC94="לא קיים",0,IF(AB94=1,I94*0.15,E94*0.5))))))</f>
        <v>0</v>
      </c>
      <c r="U94" s="129"/>
      <c r="V94">
        <f t="shared" si="78"/>
        <v>0</v>
      </c>
      <c r="W94">
        <f t="shared" si="79"/>
        <v>0</v>
      </c>
      <c r="X94">
        <f t="shared" si="80"/>
        <v>0</v>
      </c>
      <c r="Y94">
        <f>IF('חד גזעי'!$AM$2 = "לא",0,IF(F94&gt;9,W94,0))</f>
        <v>0</v>
      </c>
      <c r="Z94">
        <f>IF('חד גזעי'!$AM$7 = "לא",0,IF(C94 = "זית אירופי",IF('חד גזעי'!$AN$7 &lt;=סקר!F94,W94,0),IF(C94 = "חרוב מצוי",IF('חד גזעי'!$AN$7 &lt;=סקר!F94,W94,0),0)))</f>
        <v>0</v>
      </c>
      <c r="AA94" s="129"/>
      <c r="AB94" s="129"/>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c r="BC94" s="129"/>
      <c r="BD94" s="129"/>
      <c r="BE94" s="129"/>
      <c r="BF94" s="129" t="str">
        <f>BF93</f>
        <v>C:\Users\origr\Pictures\0.jpg</v>
      </c>
      <c r="BG94" s="129" t="str">
        <f t="shared" ref="BG94" si="98">BG93</f>
        <v>C:\Users\origr\Pictures\0.jpg</v>
      </c>
      <c r="BH94" s="129" t="str">
        <f t="shared" ref="BH94" si="99">BH93</f>
        <v>C:\Users\origr\Pictures\0.jpg</v>
      </c>
      <c r="BI94" s="129" t="str">
        <f t="shared" ref="BI94" si="100">BI93</f>
        <v>C:\Users\origr\Pictures\0.jpg</v>
      </c>
      <c r="BJ94" s="129" t="str">
        <f t="shared" ref="BJ94" si="101">BJ93</f>
        <v>C:\Users\origr\Pictures\0.jpg</v>
      </c>
      <c r="BK94" s="129" t="str">
        <f t="shared" ref="BK94" si="102">BK93</f>
        <v>C:\Users\origr\Pictures\0.jpg</v>
      </c>
    </row>
    <row r="95" spans="1:63" ht="14.25" hidden="1">
      <c r="B95" s="71"/>
      <c r="C95" s="69"/>
      <c r="Q95" s="86"/>
      <c r="T95" s="72">
        <f>IF('חד גזעי'!$AM$6="לא",IF(P95=0,IF(BC95="שימור",IF('חד גזעי'!$AM$4="לא",IF(BC95="לא בוגר",0,IF(BC95="לא קיים",0,IF(J95=0,0,I95*0.1))),IF(BC95="לא בוגר",0,IF(BC95="לא קיים",0,IF(AB95=1,I95*0.1,E95*0.5)))),0),IF('חד גזעי'!$AM$4="לא",IF(BC95="לא בוגר",0,IF(BC95="לא קיים",0,IF(J95=0,0,I95*0.1))),IF(BC95="לא בוגר",0,IF(BC95="לא קיים",0,IF(AB95=1,I95*0.1,E95*0.5))))),IF(P95=0,IF(BC95="שימור",IF('חד גזעי'!$AM$4="לא",IF(BC95="לא בוגר",0,IF(BC95="לא קיים",0,IF(J95=0,0,I95*0.15))),IF(BC95="לא בוגר",0,IF(BC95="לא קיים",0,IF(AB95=1,I95*0.15,E95*0.5)))),0),IF('חד גזעי'!$AM$4="לא",IF(BC95="לא בוגר",0,IF(BC95="לא קיים",0,IF(J95=0,0,I95*0.15))),IF(BC95="לא בוגר",0,IF(BC95="לא קיים",0,IF(AB95=1,I95*0.15,E95*0.5))))))</f>
        <v>0</v>
      </c>
      <c r="V95">
        <f t="shared" si="78"/>
        <v>0</v>
      </c>
      <c r="W95">
        <f t="shared" si="79"/>
        <v>0</v>
      </c>
      <c r="X95">
        <f t="shared" si="80"/>
        <v>0</v>
      </c>
      <c r="Y95">
        <f>IF('חד גזעי'!$AM$2 = "לא",0,IF(F95&gt;9,W95,0))</f>
        <v>0</v>
      </c>
      <c r="Z95">
        <f>IF('חד גזעי'!$AM$7 = "לא",0,IF(C95 = "זית אירופי",IF('חד גזעי'!$AN$7 &lt;=סקר!F95,W95,0),IF(C95 = "חרוב מצוי",IF('חד גזעי'!$AN$7 &lt;=סקר!F95,W95,0),0)))</f>
        <v>0</v>
      </c>
      <c r="AD95" s="69" t="s">
        <v>807</v>
      </c>
    </row>
    <row r="96" spans="1:63" ht="12.75" hidden="1" customHeight="1">
      <c r="B96" s="197" t="s">
        <v>738</v>
      </c>
      <c r="C96" s="197" t="s">
        <v>739</v>
      </c>
      <c r="D96" s="197" t="s">
        <v>740</v>
      </c>
      <c r="E96" s="197" t="s">
        <v>741</v>
      </c>
      <c r="F96" s="200" t="s">
        <v>759</v>
      </c>
      <c r="G96" s="203" t="s">
        <v>760</v>
      </c>
      <c r="H96" s="203" t="s">
        <v>761</v>
      </c>
      <c r="I96" s="197" t="s">
        <v>742</v>
      </c>
      <c r="J96" s="197" t="s">
        <v>743</v>
      </c>
      <c r="K96" s="197" t="s">
        <v>744</v>
      </c>
      <c r="L96" s="197" t="s">
        <v>745</v>
      </c>
      <c r="M96" s="197" t="s">
        <v>746</v>
      </c>
      <c r="N96" s="197" t="s">
        <v>747</v>
      </c>
      <c r="O96" s="197" t="s">
        <v>748</v>
      </c>
      <c r="P96" s="197" t="s">
        <v>749</v>
      </c>
      <c r="Q96" s="197" t="s">
        <v>750</v>
      </c>
      <c r="R96" s="197" t="s">
        <v>751</v>
      </c>
      <c r="T96" s="72" t="e">
        <f>IF('חד גזעי'!$AM$6="לא",IF(P96=0,IF(BC96="שימור",IF('חד גזעי'!$AM$4="לא",IF(BC96="לא בוגר",0,IF(BC96="לא קיים",0,IF(J96=0,0,I96*0.1))),IF(BC96="לא בוגר",0,IF(BC96="לא קיים",0,IF(AB96=1,I96*0.1,E96*0.5)))),0),IF('חד גזעי'!$AM$4="לא",IF(BC96="לא בוגר",0,IF(BC96="לא קיים",0,IF(J96=0,0,I96*0.1))),IF(BC96="לא בוגר",0,IF(BC96="לא קיים",0,IF(AB96=1,I96*0.1,E96*0.5))))),IF(P96=0,IF(BC96="שימור",IF('חד גזעי'!$AM$4="לא",IF(BC96="לא בוגר",0,IF(BC96="לא קיים",0,IF(J96=0,0,I96*0.15))),IF(BC96="לא בוגר",0,IF(BC96="לא קיים",0,IF(AB96=1,I96*0.15,E96*0.5)))),0),IF('חד גזעי'!$AM$4="לא",IF(BC96="לא בוגר",0,IF(BC96="לא קיים",0,IF(J96=0,0,I96*0.15))),IF(BC96="לא בוגר",0,IF(BC96="לא קיים",0,IF(AB96=1,I96*0.15,E96*0.5))))))</f>
        <v>#VALUE!</v>
      </c>
      <c r="V96">
        <f t="shared" si="78"/>
        <v>0</v>
      </c>
      <c r="W96" t="e">
        <f t="shared" si="79"/>
        <v>#VALUE!</v>
      </c>
      <c r="X96">
        <f t="shared" si="80"/>
        <v>0</v>
      </c>
      <c r="Y96">
        <f>IF('חד גזעי'!$AM$2 = "לא",0,IF(F96&gt;9,W96,0))</f>
        <v>0</v>
      </c>
      <c r="Z96">
        <f>IF('חד גזעי'!$AM$7 = "לא",0,IF(C96 = "זית אירופי",IF('חד גזעי'!$AN$7 &lt;=סקר!F96,W96,0),IF(C96 = "חרוב מצוי",IF('חד גזעי'!$AN$7 &lt;=סקר!F96,W96,0),0)))</f>
        <v>0</v>
      </c>
      <c r="AC96" s="101"/>
      <c r="AD96" s="103"/>
      <c r="AE96" s="103"/>
      <c r="AF96" s="103"/>
      <c r="AG96" s="103"/>
      <c r="AH96" s="103"/>
      <c r="AI96" s="103"/>
      <c r="AJ96" s="103"/>
      <c r="AK96" s="83"/>
      <c r="AM96" s="73"/>
      <c r="AN96" s="73"/>
      <c r="AO96" s="73"/>
      <c r="AS96" s="197" t="s">
        <v>738</v>
      </c>
      <c r="AT96" s="197" t="s">
        <v>739</v>
      </c>
      <c r="AU96" s="197" t="s">
        <v>740</v>
      </c>
      <c r="AV96" s="197" t="s">
        <v>741</v>
      </c>
      <c r="AW96" s="203" t="s">
        <v>759</v>
      </c>
      <c r="AX96" s="203" t="s">
        <v>760</v>
      </c>
      <c r="AY96" s="203" t="s">
        <v>761</v>
      </c>
      <c r="AZ96" s="197" t="s">
        <v>812</v>
      </c>
      <c r="BA96" s="197" t="s">
        <v>817</v>
      </c>
      <c r="BB96" s="197" t="s">
        <v>805</v>
      </c>
      <c r="BC96" s="197" t="s">
        <v>806</v>
      </c>
      <c r="BE96">
        <f>IF(BC96="לא נדרש ברישיון",1,0)</f>
        <v>0</v>
      </c>
      <c r="BF96" s="72"/>
      <c r="BG96" s="72"/>
      <c r="BH96" s="72"/>
      <c r="BI96" s="72"/>
      <c r="BJ96" s="72"/>
      <c r="BK96" s="72"/>
    </row>
    <row r="97" spans="2:63" ht="12.75" hidden="1" customHeight="1">
      <c r="B97" s="198"/>
      <c r="C97" s="198"/>
      <c r="D97" s="198"/>
      <c r="E97" s="198"/>
      <c r="F97" s="201"/>
      <c r="G97" s="204"/>
      <c r="H97" s="204"/>
      <c r="I97" s="198"/>
      <c r="J97" s="198"/>
      <c r="K97" s="198"/>
      <c r="L97" s="198"/>
      <c r="M97" s="198"/>
      <c r="N97" s="198"/>
      <c r="O97" s="198"/>
      <c r="P97" s="198"/>
      <c r="Q97" s="198"/>
      <c r="R97" s="198"/>
      <c r="T97" s="72">
        <f>IF('חד גזעי'!$AM$6="לא",IF(P97=0,IF(BC97="שימור",IF('חד גזעי'!$AM$4="לא",IF(BC97="לא בוגר",0,IF(BC97="לא קיים",0,IF(J97=0,0,I97*0.1))),IF(BC97="לא בוגר",0,IF(BC97="לא קיים",0,IF(AB97=1,I97*0.1,E97*0.5)))),0),IF('חד גזעי'!$AM$4="לא",IF(BC97="לא בוגר",0,IF(BC97="לא קיים",0,IF(J97=0,0,I97*0.1))),IF(BC97="לא בוגר",0,IF(BC97="לא קיים",0,IF(AB97=1,I97*0.1,E97*0.5))))),IF(P97=0,IF(BC97="שימור",IF('חד גזעי'!$AM$4="לא",IF(BC97="לא בוגר",0,IF(BC97="לא קיים",0,IF(J97=0,0,I97*0.15))),IF(BC97="לא בוגר",0,IF(BC97="לא קיים",0,IF(AB97=1,I97*0.15,E97*0.5)))),0),IF('חד גזעי'!$AM$4="לא",IF(BC97="לא בוגר",0,IF(BC97="לא קיים",0,IF(J97=0,0,I97*0.15))),IF(BC97="לא בוגר",0,IF(BC97="לא קיים",0,IF(AB97=1,I97*0.15,E97*0.5))))))</f>
        <v>0</v>
      </c>
      <c r="V97">
        <f t="shared" si="78"/>
        <v>0</v>
      </c>
      <c r="W97">
        <f t="shared" si="79"/>
        <v>0</v>
      </c>
      <c r="X97">
        <f t="shared" si="80"/>
        <v>0</v>
      </c>
      <c r="Y97">
        <f>IF('חד גזעי'!$AM$2 = "לא",0,IF(F97&gt;9,W97,0))</f>
        <v>0</v>
      </c>
      <c r="Z97">
        <f>IF('חד גזעי'!$AM$7 = "לא",0,IF(C97 = "זית אירופי",IF('חד גזעי'!$AN$7 &lt;=סקר!F97,W97,0),IF(C97 = "חרוב מצוי",IF('חד גזעי'!$AN$7 &lt;=סקר!F97,W97,0),0)))</f>
        <v>0</v>
      </c>
      <c r="AC97" s="101"/>
      <c r="AD97" s="103"/>
      <c r="AE97" s="103"/>
      <c r="AF97" s="103"/>
      <c r="AG97" s="103"/>
      <c r="AH97" s="103"/>
      <c r="AI97" s="103"/>
      <c r="AJ97" s="103"/>
      <c r="AK97" s="83"/>
      <c r="AM97" s="73"/>
      <c r="AN97" s="73"/>
      <c r="AO97" s="73"/>
      <c r="AS97" s="198"/>
      <c r="AT97" s="198"/>
      <c r="AU97" s="198"/>
      <c r="AV97" s="198"/>
      <c r="AW97" s="204"/>
      <c r="AX97" s="204"/>
      <c r="AY97" s="204"/>
      <c r="AZ97" s="198"/>
      <c r="BA97" s="198"/>
      <c r="BB97" s="198"/>
      <c r="BC97" s="198"/>
      <c r="BE97">
        <f t="shared" ref="BE97:BE131" si="103">IF(BC97="לא נדרש ברישיון",1,0)</f>
        <v>0</v>
      </c>
      <c r="BF97" s="196" t="str">
        <f>BF94</f>
        <v>C:\Users\origr\Pictures\0.jpg</v>
      </c>
      <c r="BG97" s="196" t="str">
        <f t="shared" ref="BG97:BK97" si="104">BG94</f>
        <v>C:\Users\origr\Pictures\0.jpg</v>
      </c>
      <c r="BH97" s="196" t="str">
        <f t="shared" si="104"/>
        <v>C:\Users\origr\Pictures\0.jpg</v>
      </c>
      <c r="BI97" s="196" t="str">
        <f t="shared" si="104"/>
        <v>C:\Users\origr\Pictures\0.jpg</v>
      </c>
      <c r="BJ97" s="196" t="str">
        <f t="shared" si="104"/>
        <v>C:\Users\origr\Pictures\0.jpg</v>
      </c>
      <c r="BK97" s="196" t="str">
        <f t="shared" si="104"/>
        <v>C:\Users\origr\Pictures\0.jpg</v>
      </c>
    </row>
    <row r="98" spans="2:63" ht="12.75" hidden="1" customHeight="1">
      <c r="B98" s="199"/>
      <c r="C98" s="199"/>
      <c r="D98" s="199"/>
      <c r="E98" s="199"/>
      <c r="F98" s="202"/>
      <c r="G98" s="205"/>
      <c r="H98" s="205"/>
      <c r="I98" s="199"/>
      <c r="J98" s="199"/>
      <c r="K98" s="199"/>
      <c r="L98" s="199"/>
      <c r="M98" s="199"/>
      <c r="N98" s="199"/>
      <c r="O98" s="199"/>
      <c r="P98" s="199"/>
      <c r="Q98" s="199"/>
      <c r="R98" s="199"/>
      <c r="T98" s="72">
        <f>IF('חד גזעי'!$AM$6="לא",IF(P98=0,IF(BC98="שימור",IF('חד גזעי'!$AM$4="לא",IF(BC98="לא בוגר",0,IF(BC98="לא קיים",0,IF(J98=0,0,I98*0.1))),IF(BC98="לא בוגר",0,IF(BC98="לא קיים",0,IF(AB98=1,I98*0.1,E98*0.5)))),0),IF('חד גזעי'!$AM$4="לא",IF(BC98="לא בוגר",0,IF(BC98="לא קיים",0,IF(J98=0,0,I98*0.1))),IF(BC98="לא בוגר",0,IF(BC98="לא קיים",0,IF(AB98=1,I98*0.1,E98*0.5))))),IF(P98=0,IF(BC98="שימור",IF('חד גזעי'!$AM$4="לא",IF(BC98="לא בוגר",0,IF(BC98="לא קיים",0,IF(J98=0,0,I98*0.15))),IF(BC98="לא בוגר",0,IF(BC98="לא קיים",0,IF(AB98=1,I98*0.15,E98*0.5)))),0),IF('חד גזעי'!$AM$4="לא",IF(BC98="לא בוגר",0,IF(BC98="לא קיים",0,IF(J98=0,0,I98*0.15))),IF(BC98="לא בוגר",0,IF(BC98="לא קיים",0,IF(AB98=1,I98*0.15,E98*0.5))))))</f>
        <v>0</v>
      </c>
      <c r="V98" t="str">
        <f t="shared" si="78"/>
        <v>שווי דקל</v>
      </c>
      <c r="W98" t="str">
        <f t="shared" si="79"/>
        <v>שווי דקל</v>
      </c>
      <c r="X98">
        <f t="shared" si="80"/>
        <v>0</v>
      </c>
      <c r="Y98">
        <f>IF('חד גזעי'!$AM$2 = "לא",0,IF(F98&gt;9,W98,0))</f>
        <v>0</v>
      </c>
      <c r="Z98">
        <f>IF('חד גזעי'!$AM$7 = "לא",0,IF(C98 = "זית אירופי",IF('חד גזעי'!$AN$7 &lt;=סקר!F98,W98,0),IF(C98 = "חרוב מצוי",IF('חד גזעי'!$AN$7 &lt;=סקר!F98,W98,0),0)))</f>
        <v>0</v>
      </c>
      <c r="AC98" s="94"/>
      <c r="AD98" s="94"/>
      <c r="AE98" s="72"/>
      <c r="AF98" s="77" t="s">
        <v>767</v>
      </c>
      <c r="AG98" s="77" t="s">
        <v>768</v>
      </c>
      <c r="AH98" s="72" t="s">
        <v>762</v>
      </c>
      <c r="AI98" s="72" t="s">
        <v>763</v>
      </c>
      <c r="AJ98" s="72" t="s">
        <v>764</v>
      </c>
      <c r="AK98" s="77" t="s">
        <v>770</v>
      </c>
      <c r="AL98" t="s">
        <v>771</v>
      </c>
      <c r="AM98" s="77" t="s">
        <v>809</v>
      </c>
      <c r="AN98" s="77" t="s">
        <v>810</v>
      </c>
      <c r="AO98" s="77" t="s">
        <v>811</v>
      </c>
      <c r="AS98" s="199"/>
      <c r="AT98" s="199"/>
      <c r="AU98" s="199"/>
      <c r="AV98" s="199"/>
      <c r="AW98" s="205"/>
      <c r="AX98" s="205"/>
      <c r="AY98" s="205"/>
      <c r="AZ98" s="199"/>
      <c r="BA98" s="199"/>
      <c r="BB98" s="199"/>
      <c r="BC98" s="199"/>
      <c r="BE98">
        <f t="shared" si="103"/>
        <v>0</v>
      </c>
      <c r="BF98" s="196"/>
      <c r="BG98" s="196"/>
      <c r="BH98" s="196"/>
      <c r="BI98" s="196"/>
      <c r="BJ98" s="196"/>
      <c r="BK98" s="196"/>
    </row>
    <row r="99" spans="2:63" ht="12.75" hidden="1" customHeight="1">
      <c r="B99" s="72"/>
      <c r="C99" s="135"/>
      <c r="D99" s="73"/>
      <c r="E99" s="73"/>
      <c r="F99" s="72"/>
      <c r="G99" s="72"/>
      <c r="H99" s="72"/>
      <c r="I99" s="73">
        <f t="shared" ref="I99:I100" si="105">F99+(G99/2)+(H99/2)</f>
        <v>0</v>
      </c>
      <c r="J99" s="73"/>
      <c r="K99" s="73"/>
      <c r="L99" s="74" t="e">
        <f>_xlfn.IFNA(VLOOKUP(C99,'חד גזעי'!$U$3:$V$509,2,0),VLOOKUP(C99,'חד גזעי'!$U$3:$V$509,2))</f>
        <v>#N/A</v>
      </c>
      <c r="M99" s="73"/>
      <c r="N99" s="72" t="e">
        <f>_xlfn.IFNA(IF(VLOOKUP(C99,'חד גזעי'!$AH$2:$AH$7,1,FALSE)&gt;0,0,IF('חד גזעי'!$AM$5="כן",IF(_xlfn.IFNA(VLOOKUP(C99,'חד גזעי'!$AH$2:$AH$33,1,FALSE),SUM(J99:M99))&lt;21,_xlfn.IFNA(VLOOKUP(C99,'חד גזעי'!$AH$2:$AH$33,1,FALSE),SUM(J99:M99)),0),SUM(J99:M99))),IF('חד גזעי'!$AM$5="כן",IF(_xlfn.IFNA(VLOOKUP(C99,'חד גזעי'!$AH$2:$AH$33,1,FALSE),SUM(J99:M99))&lt;21,_xlfn.IFNA(VLOOKUP(C99,'חד גזעי'!$AH$2:$AH$33,1,FALSE),SUM(J99:M99)),0),SUM(J99:M99)))</f>
        <v>#N/A</v>
      </c>
      <c r="O99" s="72">
        <f>IF('חד גזעי'!$AM$3 = "כן",IF(T99&gt;4,4,T99),T99)</f>
        <v>0</v>
      </c>
      <c r="P99" s="80">
        <f>IF(E99&lt;2,0,IF(Z99&gt;0,Z99,IF(N99 = 0,0,IF('חד גזעי'!$AM$2 = "לא",IF(F99&gt;19,W99,0),IF(F99&gt;9,Y99,0)))))</f>
        <v>0</v>
      </c>
      <c r="Q99" s="77"/>
      <c r="R99" s="75"/>
      <c r="S99" t="e">
        <f>VLOOKUP(C99,'חד גזעי'!$Y$4:$Y$18,1,0)</f>
        <v>#N/A</v>
      </c>
      <c r="T99" s="72">
        <f>IF('חד גזעי'!$AM$6="לא",IF(P99=0,IF(BC99="שימור",IF('חד גזעי'!$AM$4="לא",IF(BC99="לא בוגר",0,IF(BC99="לא קיים",0,IF(J99=0,0,I99*0.1))),IF(BC99="לא בוגר",0,IF(BC99="לא קיים",0,IF(AB99=1,I99*0.1,E99*0.5)))),0),IF('חד גזעי'!$AM$4="לא",IF(BC99="לא בוגר",0,IF(BC99="לא קיים",0,IF(J99=0,0,I99*0.1))),IF(BC99="לא בוגר",0,IF(BC99="לא קיים",0,IF(AB99=1,I99*0.1,E99*0.5))))),IF(P99=0,IF(BC99="שימור",IF('חד גזעי'!$AM$4="לא",IF(BC99="לא בוגר",0,IF(BC99="לא קיים",0,IF(J99=0,0,I99*0.15))),IF(BC99="לא בוגר",0,IF(BC99="לא קיים",0,IF(AB99=1,I99*0.15,E99*0.5)))),0),IF('חד גזעי'!$AM$4="לא",IF(BC99="לא בוגר",0,IF(BC99="לא קיים",0,IF(J99=0,0,I99*0.15))),IF(BC99="לא בוגר",0,IF(BC99="לא קיים",0,IF(AB99=1,I99*0.15,E99*0.5))))))</f>
        <v>0</v>
      </c>
      <c r="V99" t="e">
        <f t="shared" si="78"/>
        <v>#N/A</v>
      </c>
      <c r="W99" t="e">
        <f t="shared" si="79"/>
        <v>#N/A</v>
      </c>
      <c r="X99" t="e">
        <f t="shared" si="80"/>
        <v>#N/A</v>
      </c>
      <c r="Y99">
        <f>IF('חד גזעי'!$AM$2 = "לא",0,IF(F99&gt;9,W99,0))</f>
        <v>0</v>
      </c>
      <c r="Z99">
        <f>IF('חד גזעי'!$AM$7 = "לא",0,IF(C99 = "זית אירופי",IF('חד גזעי'!$AN$7 &lt;=סקר!F99,W99,0),IF(C99 = "חרוב מצוי",IF('חד גזעי'!$AN$7 &lt;=סקר!F99,W99,0),0)))</f>
        <v>0</v>
      </c>
      <c r="AB99">
        <f t="shared" ref="AB99:AB130" si="106">_xlfn.IFNA(S99,1)</f>
        <v>1</v>
      </c>
      <c r="AC99" s="72"/>
      <c r="AD99" t="e">
        <f>IF(AK99&gt;0,AK99,AF99)</f>
        <v>#N/A</v>
      </c>
      <c r="AE99" s="72"/>
      <c r="AF99" s="72" t="e">
        <f t="shared" ref="AF99:AF130" si="107">((AJ99+AI99+AH99)*(AG99))*(J99*0.2)*(K99*0.2)*20</f>
        <v>#N/A</v>
      </c>
      <c r="AG99" s="72" t="e">
        <f>IF('חד גזעי'!$AM$5="לא",(VLOOKUP(C99,'חד גזעי'!$P$1:$S$589,3,FALSE)),(VLOOKUP(C99,'חד גזעי'!$P$1:$S$589,4,FALSE)))</f>
        <v>#N/A</v>
      </c>
      <c r="AH99" s="72">
        <f t="shared" ref="AH99:AH130" si="108">(3.14*((F99/2)^2))</f>
        <v>0</v>
      </c>
      <c r="AI99" s="72">
        <f t="shared" ref="AI99:AI130" si="109">3.14*(G99*G99/4)</f>
        <v>0</v>
      </c>
      <c r="AJ99" s="72">
        <f t="shared" ref="AJ99:AJ130" si="110">3.14*(H99*H99/4)</f>
        <v>0</v>
      </c>
      <c r="AK99" s="72" t="e">
        <f t="shared" ref="AK99:AK130" si="111">AL99*E99*(J99*0.2)*(0.2*K99)*1500</f>
        <v>#N/A</v>
      </c>
      <c r="AL99" t="e">
        <f>VLOOKUP(C99,'חד גזעי'!$AH$8:$AI$33,2,FALSE)</f>
        <v>#N/A</v>
      </c>
      <c r="AM99" s="72" t="b">
        <f t="shared" ref="AM99:AM130" si="112">IF(BC99="שימור",P99)</f>
        <v>0</v>
      </c>
      <c r="AN99" s="72" t="b">
        <f t="shared" ref="AN99:AN130" si="113">IF(BC99="כריתה",P99)</f>
        <v>0</v>
      </c>
      <c r="AO99" s="72" t="b">
        <f t="shared" ref="AO99:AO130" si="114">IF(BC99="העתקה",P99)</f>
        <v>0</v>
      </c>
      <c r="AS99" s="72">
        <f t="shared" ref="AS99:AS130" si="115">B99</f>
        <v>0</v>
      </c>
      <c r="AT99" s="72">
        <f t="shared" ref="AT99:AT130" si="116">C99</f>
        <v>0</v>
      </c>
      <c r="AU99" s="72">
        <f>IF(C99&gt;0,IF(D99&lt;2,1,D99),0)</f>
        <v>0</v>
      </c>
      <c r="AV99" s="72">
        <f t="shared" ref="AV99:AV130" si="117">E99</f>
        <v>0</v>
      </c>
      <c r="AW99" s="72">
        <f t="shared" ref="AW99:AW130" si="118">F99</f>
        <v>0</v>
      </c>
      <c r="AX99" s="72">
        <f t="shared" ref="AX99:AX130" si="119">G99</f>
        <v>0</v>
      </c>
      <c r="AY99" s="72">
        <f t="shared" ref="AY99:AY130" si="120">H99</f>
        <v>0</v>
      </c>
      <c r="AZ99" s="72">
        <f t="shared" ref="AZ99:AZ130" si="121">I99</f>
        <v>0</v>
      </c>
      <c r="BA99" s="72" t="e">
        <f t="shared" ref="BA99:BA130" si="122">N99</f>
        <v>#N/A</v>
      </c>
      <c r="BB99" s="72" t="e">
        <f t="shared" ref="BB99:BB100" si="123">IF(BA99&gt;6,IF(BA99&gt;13,IF(BA99&gt;16,"גבוה מאוד","גבוה"),"בינונית"),"נמוכה")</f>
        <v>#N/A</v>
      </c>
      <c r="BC99" s="77"/>
      <c r="BE99">
        <f t="shared" si="103"/>
        <v>0</v>
      </c>
      <c r="BF99" s="196"/>
      <c r="BG99" s="196"/>
      <c r="BH99" s="196"/>
      <c r="BI99" s="196"/>
      <c r="BJ99" s="196"/>
      <c r="BK99" s="196"/>
    </row>
    <row r="100" spans="2:63" ht="12.75" hidden="1" customHeight="1">
      <c r="B100" s="72"/>
      <c r="C100" s="135"/>
      <c r="D100" s="73"/>
      <c r="E100" s="73"/>
      <c r="F100" s="72"/>
      <c r="G100" s="72"/>
      <c r="H100" s="72"/>
      <c r="I100" s="73">
        <f t="shared" si="105"/>
        <v>0</v>
      </c>
      <c r="J100" s="73"/>
      <c r="K100" s="73"/>
      <c r="L100" s="74" t="e">
        <f>_xlfn.IFNA(VLOOKUP(C100,'חד גזעי'!$U$3:$V$509,2,0),VLOOKUP(C100,'חד גזעי'!$U$3:$V$509,2))</f>
        <v>#N/A</v>
      </c>
      <c r="M100" s="73"/>
      <c r="N100" s="72" t="e">
        <f>_xlfn.IFNA(IF(VLOOKUP(C100,'חד גזעי'!$AH$2:$AH$7,1,FALSE)&gt;0,0,IF('חד גזעי'!$AM$5="כן",IF(_xlfn.IFNA(VLOOKUP(C100,'חד גזעי'!$AH$2:$AH$33,1,FALSE),SUM(J100:M100))&lt;21,_xlfn.IFNA(VLOOKUP(C100,'חד גזעי'!$AH$2:$AH$33,1,FALSE),SUM(J100:M100)),0),SUM(J100:M100))),IF('חד גזעי'!$AM$5="כן",IF(_xlfn.IFNA(VLOOKUP(C100,'חד גזעי'!$AH$2:$AH$33,1,FALSE),SUM(J100:M100))&lt;21,_xlfn.IFNA(VLOOKUP(C100,'חד גזעי'!$AH$2:$AH$33,1,FALSE),SUM(J100:M100)),0),SUM(J100:M100)))</f>
        <v>#N/A</v>
      </c>
      <c r="O100" s="72">
        <f>IF('חד גזעי'!$AM$3 = "כן",IF(T100&gt;4,4,T100),T100)</f>
        <v>0</v>
      </c>
      <c r="P100" s="80">
        <f>IF(E100&lt;2,0,IF(Z100&gt;0,Z100,IF(N100 = 0,0,IF('חד גזעי'!$AM$2 = "לא",IF(F100&gt;19,W100,0),IF(F100&gt;9,Y100,0)))))</f>
        <v>0</v>
      </c>
      <c r="Q100" s="77"/>
      <c r="R100" s="75"/>
      <c r="S100" t="e">
        <f>VLOOKUP(C100,'חד גזעי'!$Y$4:$Y$18,1,0)</f>
        <v>#N/A</v>
      </c>
      <c r="T100" s="72">
        <f>IF('חד גזעי'!$AM$6="לא",IF(P100=0,IF(BC100="שימור",IF('חד גזעי'!$AM$4="לא",IF(BC100="לא בוגר",0,IF(BC100="לא קיים",0,IF(J100=0,0,I100*0.1))),IF(BC100="לא בוגר",0,IF(BC100="לא קיים",0,IF(AB100=1,I100*0.1,E100*0.5)))),0),IF('חד גזעי'!$AM$4="לא",IF(BC100="לא בוגר",0,IF(BC100="לא קיים",0,IF(J100=0,0,I100*0.1))),IF(BC100="לא בוגר",0,IF(BC100="לא קיים",0,IF(AB100=1,I100*0.1,E100*0.5))))),IF(P100=0,IF(BC100="שימור",IF('חד גזעי'!$AM$4="לא",IF(BC100="לא בוגר",0,IF(BC100="לא קיים",0,IF(J100=0,0,I100*0.15))),IF(BC100="לא בוגר",0,IF(BC100="לא קיים",0,IF(AB100=1,I100*0.15,E100*0.5)))),0),IF('חד גזעי'!$AM$4="לא",IF(BC100="לא בוגר",0,IF(BC100="לא קיים",0,IF(J100=0,0,I100*0.15))),IF(BC100="לא בוגר",0,IF(BC100="לא קיים",0,IF(AB100=1,I100*0.15,E100*0.5))))))</f>
        <v>0</v>
      </c>
      <c r="V100" t="e">
        <f t="shared" si="78"/>
        <v>#N/A</v>
      </c>
      <c r="W100" t="e">
        <f t="shared" si="79"/>
        <v>#N/A</v>
      </c>
      <c r="X100" t="e">
        <f t="shared" si="80"/>
        <v>#N/A</v>
      </c>
      <c r="Y100">
        <f>IF('חד גזעי'!$AM$2 = "לא",0,IF(F100&gt;9,W100,0))</f>
        <v>0</v>
      </c>
      <c r="Z100">
        <f>IF('חד גזעי'!$AM$7 = "לא",0,IF(C100 = "זית אירופי",IF('חד גזעי'!$AN$7 &lt;=סקר!F100,W100,0),IF(C100 = "חרוב מצוי",IF('חד גזעי'!$AN$7 &lt;=סקר!F100,W100,0),0)))</f>
        <v>0</v>
      </c>
      <c r="AB100">
        <f t="shared" si="106"/>
        <v>1</v>
      </c>
      <c r="AC100" s="72"/>
      <c r="AD100" t="e">
        <f t="shared" ref="AD100:AD130" si="124">IF(AK100&gt;0,AK100,AF100)</f>
        <v>#N/A</v>
      </c>
      <c r="AE100" s="72"/>
      <c r="AF100" s="72" t="e">
        <f t="shared" si="107"/>
        <v>#N/A</v>
      </c>
      <c r="AG100" s="72" t="e">
        <f>IF('חד גזעי'!$AM$5="לא",(VLOOKUP(C100,'חד גזעי'!$P$1:$S$589,3,FALSE)),(VLOOKUP(C100,'חד גזעי'!$P$1:$S$589,4,FALSE)))</f>
        <v>#N/A</v>
      </c>
      <c r="AH100" s="72">
        <f t="shared" si="108"/>
        <v>0</v>
      </c>
      <c r="AI100" s="72">
        <f t="shared" si="109"/>
        <v>0</v>
      </c>
      <c r="AJ100" s="72">
        <f t="shared" si="110"/>
        <v>0</v>
      </c>
      <c r="AK100" s="72" t="e">
        <f t="shared" si="111"/>
        <v>#N/A</v>
      </c>
      <c r="AL100" t="e">
        <f>VLOOKUP(C100,'חד גזעי'!$AH$8:$AI$33,2,FALSE)</f>
        <v>#N/A</v>
      </c>
      <c r="AM100" s="72" t="b">
        <f t="shared" si="112"/>
        <v>0</v>
      </c>
      <c r="AN100" s="72" t="b">
        <f t="shared" si="113"/>
        <v>0</v>
      </c>
      <c r="AO100" s="72" t="b">
        <f t="shared" si="114"/>
        <v>0</v>
      </c>
      <c r="AS100" s="72">
        <f t="shared" si="115"/>
        <v>0</v>
      </c>
      <c r="AT100" s="72">
        <f t="shared" si="116"/>
        <v>0</v>
      </c>
      <c r="AU100" s="72">
        <f t="shared" ref="AU100:AU130" si="125">IF(C100&gt;0,IF(D100&lt;2,1,D100),0)</f>
        <v>0</v>
      </c>
      <c r="AV100" s="72">
        <f t="shared" si="117"/>
        <v>0</v>
      </c>
      <c r="AW100" s="72">
        <f t="shared" si="118"/>
        <v>0</v>
      </c>
      <c r="AX100" s="72">
        <f t="shared" si="119"/>
        <v>0</v>
      </c>
      <c r="AY100" s="72">
        <f t="shared" si="120"/>
        <v>0</v>
      </c>
      <c r="AZ100" s="72">
        <f t="shared" si="121"/>
        <v>0</v>
      </c>
      <c r="BA100" s="72" t="e">
        <f t="shared" si="122"/>
        <v>#N/A</v>
      </c>
      <c r="BB100" s="72" t="e">
        <f t="shared" si="123"/>
        <v>#N/A</v>
      </c>
      <c r="BC100" s="77"/>
      <c r="BE100">
        <f t="shared" si="103"/>
        <v>0</v>
      </c>
      <c r="BF100" s="196"/>
      <c r="BG100" s="196"/>
      <c r="BH100" s="196"/>
      <c r="BI100" s="196"/>
      <c r="BJ100" s="196"/>
      <c r="BK100" s="196"/>
    </row>
    <row r="101" spans="2:63" hidden="1">
      <c r="B101" s="72"/>
      <c r="C101" s="135"/>
      <c r="D101" s="73"/>
      <c r="E101" s="73"/>
      <c r="F101" s="72"/>
      <c r="G101" s="72"/>
      <c r="H101" s="72"/>
      <c r="I101" s="73">
        <f t="shared" ref="I101:I127" si="126">F101+(G101/2)+(H101/2)</f>
        <v>0</v>
      </c>
      <c r="J101" s="73"/>
      <c r="K101" s="73"/>
      <c r="L101" s="74" t="e">
        <f>_xlfn.IFNA(VLOOKUP(C101,'חד גזעי'!$U$3:$V$509,2,0),VLOOKUP(C101,'חד גזעי'!$U$3:$V$509,2))</f>
        <v>#N/A</v>
      </c>
      <c r="M101" s="73"/>
      <c r="N101" s="72" t="e">
        <f>_xlfn.IFNA(IF(VLOOKUP(C101,'חד גזעי'!$AH$2:$AH$7,1,FALSE)&gt;0,0,IF('חד גזעי'!$AM$5="כן",IF(_xlfn.IFNA(VLOOKUP(C101,'חד גזעי'!$AH$2:$AH$33,1,FALSE),SUM(J101:M101))&lt;21,_xlfn.IFNA(VLOOKUP(C101,'חד גזעי'!$AH$2:$AH$33,1,FALSE),SUM(J101:M101)),0),SUM(J101:M101))),IF('חד גזעי'!$AM$5="כן",IF(_xlfn.IFNA(VLOOKUP(C101,'חד גזעי'!$AH$2:$AH$33,1,FALSE),SUM(J101:M101))&lt;21,_xlfn.IFNA(VLOOKUP(C101,'חד גזעי'!$AH$2:$AH$33,1,FALSE),SUM(J101:M101)),0),SUM(J101:M101)))</f>
        <v>#N/A</v>
      </c>
      <c r="O101" s="72">
        <f>IF('חד גזעי'!$AM$3 = "כן",IF(T101&gt;4,4,T101),T101)</f>
        <v>0</v>
      </c>
      <c r="P101" s="80">
        <f>IF(E101&lt;2,0,IF(Z101&gt;0,Z101,IF(N101 = 0,0,IF('חד גזעי'!$AM$2 = "לא",IF(F101&gt;19,W101,0),IF(F101&gt;9,Y101,0)))))</f>
        <v>0</v>
      </c>
      <c r="Q101" s="77"/>
      <c r="R101" s="75"/>
      <c r="S101" t="e">
        <f>VLOOKUP(C101,'חד גזעי'!$Y$4:$Y$18,1,0)</f>
        <v>#N/A</v>
      </c>
      <c r="T101" s="72">
        <f>IF('חד גזעי'!$AM$6="לא",IF(P101=0,IF(BC101="שימור",IF('חד גזעי'!$AM$4="לא",IF(BC101="לא בוגר",0,IF(BC101="לא קיים",0,IF(J101=0,0,I101*0.1))),IF(BC101="לא בוגר",0,IF(BC101="לא קיים",0,IF(AB101=1,I101*0.1,E101*0.5)))),0),IF('חד גזעי'!$AM$4="לא",IF(BC101="לא בוגר",0,IF(BC101="לא קיים",0,IF(J101=0,0,I101*0.1))),IF(BC101="לא בוגר",0,IF(BC101="לא קיים",0,IF(AB101=1,I101*0.1,E101*0.5))))),IF(P101=0,IF(BC101="שימור",IF('חד גזעי'!$AM$4="לא",IF(BC101="לא בוגר",0,IF(BC101="לא קיים",0,IF(J101=0,0,I101*0.15))),IF(BC101="לא בוגר",0,IF(BC101="לא קיים",0,IF(AB101=1,I101*0.15,E101*0.5)))),0),IF('חד גזעי'!$AM$4="לא",IF(BC101="לא בוגר",0,IF(BC101="לא קיים",0,IF(J101=0,0,I101*0.15))),IF(BC101="לא בוגר",0,IF(BC101="לא קיים",0,IF(AB101=1,I101*0.15,E101*0.5))))))</f>
        <v>0</v>
      </c>
      <c r="V101" t="e">
        <f t="shared" si="78"/>
        <v>#N/A</v>
      </c>
      <c r="W101" t="e">
        <f t="shared" si="79"/>
        <v>#N/A</v>
      </c>
      <c r="X101" t="e">
        <f t="shared" si="80"/>
        <v>#N/A</v>
      </c>
      <c r="Y101">
        <f>IF('חד גזעי'!$AM$2 = "לא",0,IF(F101&gt;9,W101,0))</f>
        <v>0</v>
      </c>
      <c r="Z101">
        <f>IF('חד גזעי'!$AM$7 = "לא",0,IF(C101 = "זית אירופי",IF('חד גזעי'!$AN$7 &lt;=סקר!F101,W101,0),IF(C101 = "חרוב מצוי",IF('חד גזעי'!$AN$7 &lt;=סקר!F101,W101,0),0)))</f>
        <v>0</v>
      </c>
      <c r="AB101">
        <f t="shared" si="106"/>
        <v>1</v>
      </c>
      <c r="AC101" s="72"/>
      <c r="AD101" t="e">
        <f t="shared" si="124"/>
        <v>#N/A</v>
      </c>
      <c r="AE101" s="72"/>
      <c r="AF101" s="72" t="e">
        <f t="shared" si="107"/>
        <v>#N/A</v>
      </c>
      <c r="AG101" s="72" t="e">
        <f>IF('חד גזעי'!$AM$5="לא",(VLOOKUP(C101,'חד גזעי'!$P$1:$S$589,3,FALSE)),(VLOOKUP(C101,'חד גזעי'!$P$1:$S$589,4,FALSE)))</f>
        <v>#N/A</v>
      </c>
      <c r="AH101" s="72">
        <f t="shared" si="108"/>
        <v>0</v>
      </c>
      <c r="AI101" s="72">
        <f t="shared" si="109"/>
        <v>0</v>
      </c>
      <c r="AJ101" s="72">
        <f t="shared" si="110"/>
        <v>0</v>
      </c>
      <c r="AK101" s="72" t="e">
        <f t="shared" si="111"/>
        <v>#N/A</v>
      </c>
      <c r="AL101" t="e">
        <f>VLOOKUP(C101,'חד גזעי'!$AH$8:$AI$33,2,FALSE)</f>
        <v>#N/A</v>
      </c>
      <c r="AM101" s="72" t="b">
        <f t="shared" si="112"/>
        <v>0</v>
      </c>
      <c r="AN101" s="72" t="b">
        <f t="shared" si="113"/>
        <v>0</v>
      </c>
      <c r="AO101" s="72" t="b">
        <f t="shared" si="114"/>
        <v>0</v>
      </c>
      <c r="AS101" s="72">
        <f t="shared" si="115"/>
        <v>0</v>
      </c>
      <c r="AT101" s="72">
        <f t="shared" si="116"/>
        <v>0</v>
      </c>
      <c r="AU101" s="72">
        <f t="shared" si="125"/>
        <v>0</v>
      </c>
      <c r="AV101" s="72">
        <f t="shared" si="117"/>
        <v>0</v>
      </c>
      <c r="AW101" s="72">
        <f t="shared" si="118"/>
        <v>0</v>
      </c>
      <c r="AX101" s="72">
        <f t="shared" si="119"/>
        <v>0</v>
      </c>
      <c r="AY101" s="72">
        <f t="shared" si="120"/>
        <v>0</v>
      </c>
      <c r="AZ101" s="72">
        <f t="shared" si="121"/>
        <v>0</v>
      </c>
      <c r="BA101" s="72" t="e">
        <f t="shared" si="122"/>
        <v>#N/A</v>
      </c>
      <c r="BB101" s="72" t="e">
        <f t="shared" ref="BB101:BB127" si="127">IF(BA101&gt;6,IF(BA101&gt;13,IF(BA101&gt;16,"גבוה מאוד","גבוה"),"בינונית"),"נמוכה")</f>
        <v>#N/A</v>
      </c>
      <c r="BC101" s="77"/>
      <c r="BE101">
        <f t="shared" si="103"/>
        <v>0</v>
      </c>
      <c r="BF101" s="196"/>
      <c r="BG101" s="196"/>
      <c r="BH101" s="196"/>
      <c r="BI101" s="196"/>
      <c r="BJ101" s="196"/>
      <c r="BK101" s="196"/>
    </row>
    <row r="102" spans="2:63" hidden="1">
      <c r="B102" s="72"/>
      <c r="C102" s="135"/>
      <c r="D102" s="73"/>
      <c r="E102" s="73"/>
      <c r="F102" s="72"/>
      <c r="G102" s="72"/>
      <c r="H102" s="72"/>
      <c r="I102" s="73">
        <f t="shared" si="126"/>
        <v>0</v>
      </c>
      <c r="J102" s="73"/>
      <c r="K102" s="73"/>
      <c r="L102" s="74" t="e">
        <f>_xlfn.IFNA(VLOOKUP(C102,'חד גזעי'!$U$3:$V$509,2,0),VLOOKUP(C102,'חד גזעי'!$U$3:$V$509,2))</f>
        <v>#N/A</v>
      </c>
      <c r="M102" s="73"/>
      <c r="N102" s="72" t="e">
        <f>_xlfn.IFNA(IF(VLOOKUP(C102,'חד גזעי'!$AH$2:$AH$7,1,FALSE)&gt;0,0,IF('חד גזעי'!$AM$5="כן",IF(_xlfn.IFNA(VLOOKUP(C102,'חד גזעי'!$AH$2:$AH$33,1,FALSE),SUM(J102:M102))&lt;21,_xlfn.IFNA(VLOOKUP(C102,'חד גזעי'!$AH$2:$AH$33,1,FALSE),SUM(J102:M102)),0),SUM(J102:M102))),IF('חד גזעי'!$AM$5="כן",IF(_xlfn.IFNA(VLOOKUP(C102,'חד גזעי'!$AH$2:$AH$33,1,FALSE),SUM(J102:M102))&lt;21,_xlfn.IFNA(VLOOKUP(C102,'חד גזעי'!$AH$2:$AH$33,1,FALSE),SUM(J102:M102)),0),SUM(J102:M102)))</f>
        <v>#N/A</v>
      </c>
      <c r="O102" s="72">
        <f>IF('חד גזעי'!$AM$3 = "כן",IF(T102&gt;4,4,T102),T102)</f>
        <v>0</v>
      </c>
      <c r="P102" s="80">
        <f>IF(E102&lt;2,0,IF(Z102&gt;0,Z102,IF(N102 = 0,0,IF('חד גזעי'!$AM$2 = "לא",IF(F102&gt;19,W102,0),IF(F102&gt;9,Y102,0)))))</f>
        <v>0</v>
      </c>
      <c r="Q102" s="77"/>
      <c r="R102" s="75"/>
      <c r="S102" t="e">
        <f>VLOOKUP(C102,'חד גזעי'!$Y$4:$Y$18,1,0)</f>
        <v>#N/A</v>
      </c>
      <c r="T102" s="72">
        <f>IF('חד גזעי'!$AM$6="לא",IF(P102=0,IF(BC102="שימור",IF('חד גזעי'!$AM$4="לא",IF(BC102="לא בוגר",0,IF(BC102="לא קיים",0,IF(J102=0,0,I102*0.1))),IF(BC102="לא בוגר",0,IF(BC102="לא קיים",0,IF(AB102=1,I102*0.1,E102*0.5)))),0),IF('חד גזעי'!$AM$4="לא",IF(BC102="לא בוגר",0,IF(BC102="לא קיים",0,IF(J102=0,0,I102*0.1))),IF(BC102="לא בוגר",0,IF(BC102="לא קיים",0,IF(AB102=1,I102*0.1,E102*0.5))))),IF(P102=0,IF(BC102="שימור",IF('חד גזעי'!$AM$4="לא",IF(BC102="לא בוגר",0,IF(BC102="לא קיים",0,IF(J102=0,0,I102*0.15))),IF(BC102="לא בוגר",0,IF(BC102="לא קיים",0,IF(AB102=1,I102*0.15,E102*0.5)))),0),IF('חד גזעי'!$AM$4="לא",IF(BC102="לא בוגר",0,IF(BC102="לא קיים",0,IF(J102=0,0,I102*0.15))),IF(BC102="לא בוגר",0,IF(BC102="לא קיים",0,IF(AB102=1,I102*0.15,E102*0.5))))))</f>
        <v>0</v>
      </c>
      <c r="V102" t="e">
        <f t="shared" si="78"/>
        <v>#N/A</v>
      </c>
      <c r="W102" t="e">
        <f t="shared" si="79"/>
        <v>#N/A</v>
      </c>
      <c r="X102" t="e">
        <f t="shared" si="80"/>
        <v>#N/A</v>
      </c>
      <c r="Y102">
        <f>IF('חד גזעי'!$AM$2 = "לא",0,IF(F102&gt;9,W102,0))</f>
        <v>0</v>
      </c>
      <c r="Z102">
        <f>IF('חד גזעי'!$AM$7 = "לא",0,IF(C102 = "זית אירופי",IF('חד גזעי'!$AN$7 &lt;=סקר!F102,W102,0),IF(C102 = "חרוב מצוי",IF('חד גזעי'!$AN$7 &lt;=סקר!F102,W102,0),0)))</f>
        <v>0</v>
      </c>
      <c r="AB102">
        <f t="shared" si="106"/>
        <v>1</v>
      </c>
      <c r="AC102" s="72"/>
      <c r="AD102" t="e">
        <f t="shared" si="124"/>
        <v>#N/A</v>
      </c>
      <c r="AE102" s="72"/>
      <c r="AF102" s="72" t="e">
        <f t="shared" si="107"/>
        <v>#N/A</v>
      </c>
      <c r="AG102" s="72" t="e">
        <f>IF('חד גזעי'!$AM$5="לא",(VLOOKUP(C102,'חד גזעי'!$P$1:$S$589,3,FALSE)),(VLOOKUP(C102,'חד גזעי'!$P$1:$S$589,4,FALSE)))</f>
        <v>#N/A</v>
      </c>
      <c r="AH102" s="72">
        <f t="shared" si="108"/>
        <v>0</v>
      </c>
      <c r="AI102" s="72">
        <f t="shared" si="109"/>
        <v>0</v>
      </c>
      <c r="AJ102" s="72">
        <f t="shared" si="110"/>
        <v>0</v>
      </c>
      <c r="AK102" s="72" t="e">
        <f t="shared" si="111"/>
        <v>#N/A</v>
      </c>
      <c r="AL102" t="e">
        <f>VLOOKUP(C102,'חד גזעי'!$AH$8:$AI$33,2,FALSE)</f>
        <v>#N/A</v>
      </c>
      <c r="AM102" s="72" t="b">
        <f t="shared" si="112"/>
        <v>0</v>
      </c>
      <c r="AN102" s="72" t="b">
        <f t="shared" si="113"/>
        <v>0</v>
      </c>
      <c r="AO102" s="72" t="b">
        <f t="shared" si="114"/>
        <v>0</v>
      </c>
      <c r="AS102" s="72">
        <f t="shared" si="115"/>
        <v>0</v>
      </c>
      <c r="AT102" s="72">
        <f t="shared" si="116"/>
        <v>0</v>
      </c>
      <c r="AU102" s="72">
        <f t="shared" si="125"/>
        <v>0</v>
      </c>
      <c r="AV102" s="72">
        <f t="shared" si="117"/>
        <v>0</v>
      </c>
      <c r="AW102" s="72">
        <f t="shared" si="118"/>
        <v>0</v>
      </c>
      <c r="AX102" s="72">
        <f t="shared" si="119"/>
        <v>0</v>
      </c>
      <c r="AY102" s="72">
        <f t="shared" si="120"/>
        <v>0</v>
      </c>
      <c r="AZ102" s="72">
        <f t="shared" si="121"/>
        <v>0</v>
      </c>
      <c r="BA102" s="72" t="e">
        <f t="shared" si="122"/>
        <v>#N/A</v>
      </c>
      <c r="BB102" s="72" t="e">
        <f t="shared" si="127"/>
        <v>#N/A</v>
      </c>
      <c r="BC102" s="77"/>
      <c r="BE102">
        <f t="shared" si="103"/>
        <v>0</v>
      </c>
      <c r="BF102" s="196"/>
      <c r="BG102" s="196"/>
      <c r="BH102" s="196"/>
      <c r="BI102" s="196"/>
      <c r="BJ102" s="196"/>
      <c r="BK102" s="196"/>
    </row>
    <row r="103" spans="2:63" hidden="1">
      <c r="B103" s="72"/>
      <c r="C103" s="135"/>
      <c r="D103" s="73"/>
      <c r="E103" s="73"/>
      <c r="F103" s="72"/>
      <c r="G103" s="72"/>
      <c r="H103" s="72"/>
      <c r="I103" s="73">
        <f t="shared" si="126"/>
        <v>0</v>
      </c>
      <c r="J103" s="73"/>
      <c r="K103" s="73"/>
      <c r="L103" s="74" t="e">
        <f>_xlfn.IFNA(VLOOKUP(C103,'חד גזעי'!$U$3:$V$509,2,0),VLOOKUP(C103,'חד גזעי'!$U$3:$V$509,2))</f>
        <v>#N/A</v>
      </c>
      <c r="M103" s="73"/>
      <c r="N103" s="72" t="e">
        <f>_xlfn.IFNA(IF(VLOOKUP(C103,'חד גזעי'!$AH$2:$AH$7,1,FALSE)&gt;0,0,IF('חד גזעי'!$AM$5="כן",IF(_xlfn.IFNA(VLOOKUP(C103,'חד גזעי'!$AH$2:$AH$33,1,FALSE),SUM(J103:M103))&lt;21,_xlfn.IFNA(VLOOKUP(C103,'חד גזעי'!$AH$2:$AH$33,1,FALSE),SUM(J103:M103)),0),SUM(J103:M103))),IF('חד גזעי'!$AM$5="כן",IF(_xlfn.IFNA(VLOOKUP(C103,'חד גזעי'!$AH$2:$AH$33,1,FALSE),SUM(J103:M103))&lt;21,_xlfn.IFNA(VLOOKUP(C103,'חד גזעי'!$AH$2:$AH$33,1,FALSE),SUM(J103:M103)),0),SUM(J103:M103)))</f>
        <v>#N/A</v>
      </c>
      <c r="O103" s="72">
        <f>IF('חד גזעי'!$AM$3 = "כן",IF(T103&gt;4,4,T103),T103)</f>
        <v>0</v>
      </c>
      <c r="P103" s="80">
        <f>IF(E103&lt;2,0,IF(Z103&gt;0,Z103,IF(N103 = 0,0,IF('חד גזעי'!$AM$2 = "לא",IF(F103&gt;19,W103,0),IF(F103&gt;9,Y103,0)))))</f>
        <v>0</v>
      </c>
      <c r="Q103" s="77"/>
      <c r="R103" s="75"/>
      <c r="S103" t="e">
        <f>VLOOKUP(C103,'חד גזעי'!$Y$4:$Y$18,1,0)</f>
        <v>#N/A</v>
      </c>
      <c r="T103" s="72">
        <f>IF('חד גזעי'!$AM$6="לא",IF(P103=0,IF(BC103="שימור",IF('חד גזעי'!$AM$4="לא",IF(BC103="לא בוגר",0,IF(BC103="לא קיים",0,IF(J103=0,0,I103*0.1))),IF(BC103="לא בוגר",0,IF(BC103="לא קיים",0,IF(AB103=1,I103*0.1,E103*0.5)))),0),IF('חד גזעי'!$AM$4="לא",IF(BC103="לא בוגר",0,IF(BC103="לא קיים",0,IF(J103=0,0,I103*0.1))),IF(BC103="לא בוגר",0,IF(BC103="לא קיים",0,IF(AB103=1,I103*0.1,E103*0.5))))),IF(P103=0,IF(BC103="שימור",IF('חד גזעי'!$AM$4="לא",IF(BC103="לא בוגר",0,IF(BC103="לא קיים",0,IF(J103=0,0,I103*0.15))),IF(BC103="לא בוגר",0,IF(BC103="לא קיים",0,IF(AB103=1,I103*0.15,E103*0.5)))),0),IF('חד גזעי'!$AM$4="לא",IF(BC103="לא בוגר",0,IF(BC103="לא קיים",0,IF(J103=0,0,I103*0.15))),IF(BC103="לא בוגר",0,IF(BC103="לא קיים",0,IF(AB103=1,I103*0.15,E103*0.5))))))</f>
        <v>0</v>
      </c>
      <c r="V103" t="e">
        <f t="shared" si="78"/>
        <v>#N/A</v>
      </c>
      <c r="W103" t="e">
        <f t="shared" si="79"/>
        <v>#N/A</v>
      </c>
      <c r="X103" t="e">
        <f t="shared" si="80"/>
        <v>#N/A</v>
      </c>
      <c r="Y103">
        <f>IF('חד גזעי'!$AM$2 = "לא",0,IF(F103&gt;9,W103,0))</f>
        <v>0</v>
      </c>
      <c r="Z103">
        <f>IF('חד גזעי'!$AM$7 = "לא",0,IF(C103 = "זית אירופי",IF('חד גזעי'!$AN$7 &lt;=סקר!F103,W103,0),IF(C103 = "חרוב מצוי",IF('חד גזעי'!$AN$7 &lt;=סקר!F103,W103,0),0)))</f>
        <v>0</v>
      </c>
      <c r="AB103">
        <f t="shared" si="106"/>
        <v>1</v>
      </c>
      <c r="AC103" s="72"/>
      <c r="AD103" t="e">
        <f t="shared" si="124"/>
        <v>#N/A</v>
      </c>
      <c r="AE103" s="72"/>
      <c r="AF103" s="72" t="e">
        <f t="shared" si="107"/>
        <v>#N/A</v>
      </c>
      <c r="AG103" s="72" t="e">
        <f>IF('חד גזעי'!$AM$5="לא",(VLOOKUP(C103,'חד גזעי'!$P$1:$S$589,3,FALSE)),(VLOOKUP(C103,'חד גזעי'!$P$1:$S$589,4,FALSE)))</f>
        <v>#N/A</v>
      </c>
      <c r="AH103" s="72">
        <f t="shared" si="108"/>
        <v>0</v>
      </c>
      <c r="AI103" s="72">
        <f t="shared" si="109"/>
        <v>0</v>
      </c>
      <c r="AJ103" s="72">
        <f t="shared" si="110"/>
        <v>0</v>
      </c>
      <c r="AK103" s="72" t="e">
        <f t="shared" si="111"/>
        <v>#N/A</v>
      </c>
      <c r="AL103" t="e">
        <f>VLOOKUP(C103,'חד גזעי'!$AH$8:$AI$33,2,FALSE)</f>
        <v>#N/A</v>
      </c>
      <c r="AM103" s="72" t="b">
        <f t="shared" si="112"/>
        <v>0</v>
      </c>
      <c r="AN103" s="72" t="b">
        <f t="shared" si="113"/>
        <v>0</v>
      </c>
      <c r="AO103" s="72" t="b">
        <f t="shared" si="114"/>
        <v>0</v>
      </c>
      <c r="AS103" s="72">
        <f t="shared" si="115"/>
        <v>0</v>
      </c>
      <c r="AT103" s="72">
        <f t="shared" si="116"/>
        <v>0</v>
      </c>
      <c r="AU103" s="72">
        <f t="shared" si="125"/>
        <v>0</v>
      </c>
      <c r="AV103" s="72">
        <f t="shared" si="117"/>
        <v>0</v>
      </c>
      <c r="AW103" s="72">
        <f t="shared" si="118"/>
        <v>0</v>
      </c>
      <c r="AX103" s="72">
        <f t="shared" si="119"/>
        <v>0</v>
      </c>
      <c r="AY103" s="72">
        <f t="shared" si="120"/>
        <v>0</v>
      </c>
      <c r="AZ103" s="72">
        <f t="shared" si="121"/>
        <v>0</v>
      </c>
      <c r="BA103" s="72" t="e">
        <f t="shared" si="122"/>
        <v>#N/A</v>
      </c>
      <c r="BB103" s="72" t="e">
        <f t="shared" si="127"/>
        <v>#N/A</v>
      </c>
      <c r="BC103" s="77"/>
      <c r="BE103">
        <f t="shared" si="103"/>
        <v>0</v>
      </c>
      <c r="BF103" s="196"/>
      <c r="BG103" s="196"/>
      <c r="BH103" s="196"/>
      <c r="BI103" s="196"/>
      <c r="BJ103" s="196"/>
      <c r="BK103" s="196"/>
    </row>
    <row r="104" spans="2:63" hidden="1">
      <c r="B104" s="72"/>
      <c r="C104" s="135"/>
      <c r="D104" s="78"/>
      <c r="E104" s="73"/>
      <c r="F104" s="72"/>
      <c r="G104" s="72"/>
      <c r="H104" s="72"/>
      <c r="I104" s="73">
        <f t="shared" si="126"/>
        <v>0</v>
      </c>
      <c r="J104" s="78"/>
      <c r="K104" s="73"/>
      <c r="L104" s="74" t="e">
        <f>_xlfn.IFNA(VLOOKUP(C104,'חד גזעי'!$U$3:$V$509,2,0),VLOOKUP(C104,'חד גזעי'!$U$3:$V$509,2))</f>
        <v>#N/A</v>
      </c>
      <c r="M104" s="73"/>
      <c r="N104" s="72" t="e">
        <f>_xlfn.IFNA(IF(VLOOKUP(C104,'חד גזעי'!$AH$2:$AH$7,1,FALSE)&gt;0,0,IF('חד גזעי'!$AM$5="כן",IF(_xlfn.IFNA(VLOOKUP(C104,'חד גזעי'!$AH$2:$AH$33,1,FALSE),SUM(J104:M104))&lt;21,_xlfn.IFNA(VLOOKUP(C104,'חד גזעי'!$AH$2:$AH$33,1,FALSE),SUM(J104:M104)),0),SUM(J104:M104))),IF('חד גזעי'!$AM$5="כן",IF(_xlfn.IFNA(VLOOKUP(C104,'חד גזעי'!$AH$2:$AH$33,1,FALSE),SUM(J104:M104))&lt;21,_xlfn.IFNA(VLOOKUP(C104,'חד גזעי'!$AH$2:$AH$33,1,FALSE),SUM(J104:M104)),0),SUM(J104:M104)))</f>
        <v>#N/A</v>
      </c>
      <c r="O104" s="72">
        <f>IF('חד גזעי'!$AM$3 = "כן",IF(T104&gt;4,4,T104),T104)</f>
        <v>0</v>
      </c>
      <c r="P104" s="80">
        <f>IF(E104&lt;2,0,IF(Z104&gt;0,Z104,IF(N104 = 0,0,IF('חד גזעי'!$AM$2 = "לא",IF(F104&gt;19,W104,0),IF(F104&gt;9,Y104,0)))))</f>
        <v>0</v>
      </c>
      <c r="Q104" s="77"/>
      <c r="R104" s="75"/>
      <c r="S104" t="e">
        <f>VLOOKUP(C104,'חד גזעי'!$Y$4:$Y$18,1,0)</f>
        <v>#N/A</v>
      </c>
      <c r="T104" s="72">
        <f>IF('חד גזעי'!$AM$6="לא",IF(P104=0,IF(BC104="שימור",IF('חד גזעי'!$AM$4="לא",IF(BC104="לא בוגר",0,IF(BC104="לא קיים",0,IF(J104=0,0,I104*0.1))),IF(BC104="לא בוגר",0,IF(BC104="לא קיים",0,IF(AB104=1,I104*0.1,E104*0.5)))),0),IF('חד גזעי'!$AM$4="לא",IF(BC104="לא בוגר",0,IF(BC104="לא קיים",0,IF(J104=0,0,I104*0.1))),IF(BC104="לא בוגר",0,IF(BC104="לא קיים",0,IF(AB104=1,I104*0.1,E104*0.5))))),IF(P104=0,IF(BC104="שימור",IF('חד גזעי'!$AM$4="לא",IF(BC104="לא בוגר",0,IF(BC104="לא קיים",0,IF(J104=0,0,I104*0.15))),IF(BC104="לא בוגר",0,IF(BC104="לא קיים",0,IF(AB104=1,I104*0.15,E104*0.5)))),0),IF('חד גזעי'!$AM$4="לא",IF(BC104="לא בוגר",0,IF(BC104="לא קיים",0,IF(J104=0,0,I104*0.15))),IF(BC104="לא בוגר",0,IF(BC104="לא קיים",0,IF(AB104=1,I104*0.15,E104*0.5))))))</f>
        <v>0</v>
      </c>
      <c r="V104" t="e">
        <f t="shared" si="78"/>
        <v>#N/A</v>
      </c>
      <c r="W104" t="e">
        <f t="shared" si="79"/>
        <v>#N/A</v>
      </c>
      <c r="X104" t="e">
        <f t="shared" si="80"/>
        <v>#N/A</v>
      </c>
      <c r="Y104">
        <f>IF('חד גזעי'!$AM$2 = "לא",0,IF(F104&gt;9,W104,0))</f>
        <v>0</v>
      </c>
      <c r="Z104">
        <f>IF('חד גזעי'!$AM$7 = "לא",0,IF(C104 = "זית אירופי",IF('חד גזעי'!$AN$7 &lt;=סקר!F104,W104,0),IF(C104 = "חרוב מצוי",IF('חד גזעי'!$AN$7 &lt;=סקר!F104,W104,0),0)))</f>
        <v>0</v>
      </c>
      <c r="AB104">
        <f t="shared" si="106"/>
        <v>1</v>
      </c>
      <c r="AC104" s="72"/>
      <c r="AD104" t="e">
        <f t="shared" si="124"/>
        <v>#N/A</v>
      </c>
      <c r="AE104" s="72"/>
      <c r="AF104" s="72" t="e">
        <f t="shared" si="107"/>
        <v>#N/A</v>
      </c>
      <c r="AG104" s="72" t="e">
        <f>IF('חד גזעי'!$AM$5="לא",(VLOOKUP(C104,'חד גזעי'!$P$1:$S$589,3,FALSE)),(VLOOKUP(C104,'חד גזעי'!$P$1:$S$589,4,FALSE)))</f>
        <v>#N/A</v>
      </c>
      <c r="AH104" s="72">
        <f t="shared" si="108"/>
        <v>0</v>
      </c>
      <c r="AI104" s="72">
        <f t="shared" si="109"/>
        <v>0</v>
      </c>
      <c r="AJ104" s="72">
        <f t="shared" si="110"/>
        <v>0</v>
      </c>
      <c r="AK104" s="72" t="e">
        <f t="shared" si="111"/>
        <v>#N/A</v>
      </c>
      <c r="AL104" t="e">
        <f>VLOOKUP(C104,'חד גזעי'!$AH$8:$AI$33,2,FALSE)</f>
        <v>#N/A</v>
      </c>
      <c r="AM104" s="72" t="b">
        <f t="shared" si="112"/>
        <v>0</v>
      </c>
      <c r="AN104" s="72" t="b">
        <f t="shared" si="113"/>
        <v>0</v>
      </c>
      <c r="AO104" s="72" t="b">
        <f t="shared" si="114"/>
        <v>0</v>
      </c>
      <c r="AS104" s="72">
        <f t="shared" si="115"/>
        <v>0</v>
      </c>
      <c r="AT104" s="72">
        <f t="shared" si="116"/>
        <v>0</v>
      </c>
      <c r="AU104" s="72">
        <f t="shared" si="125"/>
        <v>0</v>
      </c>
      <c r="AV104" s="72">
        <f t="shared" si="117"/>
        <v>0</v>
      </c>
      <c r="AW104" s="72">
        <f t="shared" si="118"/>
        <v>0</v>
      </c>
      <c r="AX104" s="72">
        <f t="shared" si="119"/>
        <v>0</v>
      </c>
      <c r="AY104" s="72">
        <f t="shared" si="120"/>
        <v>0</v>
      </c>
      <c r="AZ104" s="72">
        <f t="shared" si="121"/>
        <v>0</v>
      </c>
      <c r="BA104" s="72" t="e">
        <f t="shared" si="122"/>
        <v>#N/A</v>
      </c>
      <c r="BB104" s="72" t="e">
        <f t="shared" si="127"/>
        <v>#N/A</v>
      </c>
      <c r="BC104" s="77"/>
      <c r="BE104">
        <f t="shared" si="103"/>
        <v>0</v>
      </c>
      <c r="BF104" s="196"/>
      <c r="BG104" s="196"/>
      <c r="BH104" s="196"/>
      <c r="BI104" s="196"/>
      <c r="BJ104" s="196"/>
      <c r="BK104" s="196"/>
    </row>
    <row r="105" spans="2:63" hidden="1">
      <c r="B105" s="72"/>
      <c r="C105" s="135"/>
      <c r="D105" s="78"/>
      <c r="E105" s="73"/>
      <c r="F105" s="72"/>
      <c r="G105" s="72"/>
      <c r="H105" s="72"/>
      <c r="I105" s="73">
        <f t="shared" si="126"/>
        <v>0</v>
      </c>
      <c r="J105" s="78"/>
      <c r="K105" s="73"/>
      <c r="L105" s="74" t="e">
        <f>_xlfn.IFNA(VLOOKUP(C105,'חד גזעי'!$U$3:$V$509,2,0),VLOOKUP(C105,'חד גזעי'!$U$3:$V$509,2))</f>
        <v>#N/A</v>
      </c>
      <c r="M105" s="73"/>
      <c r="N105" s="72" t="e">
        <f>_xlfn.IFNA(IF(VLOOKUP(C105,'חד גזעי'!$AH$2:$AH$7,1,FALSE)&gt;0,0,IF('חד גזעי'!$AM$5="כן",IF(_xlfn.IFNA(VLOOKUP(C105,'חד גזעי'!$AH$2:$AH$33,1,FALSE),SUM(J105:M105))&lt;21,_xlfn.IFNA(VLOOKUP(C105,'חד גזעי'!$AH$2:$AH$33,1,FALSE),SUM(J105:M105)),0),SUM(J105:M105))),IF('חד גזעי'!$AM$5="כן",IF(_xlfn.IFNA(VLOOKUP(C105,'חד גזעי'!$AH$2:$AH$33,1,FALSE),SUM(J105:M105))&lt;21,_xlfn.IFNA(VLOOKUP(C105,'חד גזעי'!$AH$2:$AH$33,1,FALSE),SUM(J105:M105)),0),SUM(J105:M105)))</f>
        <v>#N/A</v>
      </c>
      <c r="O105" s="72">
        <f>IF('חד גזעי'!$AM$3 = "כן",IF(T105&gt;4,4,T105),T105)</f>
        <v>0</v>
      </c>
      <c r="P105" s="80">
        <f>IF(E105&lt;2,0,IF(Z105&gt;0,Z105,IF(N105 = 0,0,IF('חד גזעי'!$AM$2 = "לא",IF(F105&gt;19,W105,0),IF(F105&gt;9,Y105,0)))))</f>
        <v>0</v>
      </c>
      <c r="Q105" s="77"/>
      <c r="R105" s="75"/>
      <c r="S105" t="e">
        <f>VLOOKUP(C105,'חד גזעי'!$Y$4:$Y$18,1,0)</f>
        <v>#N/A</v>
      </c>
      <c r="T105" s="72">
        <f>IF('חד גזעי'!$AM$6="לא",IF(P105=0,IF(BC105="שימור",IF('חד גזעי'!$AM$4="לא",IF(BC105="לא בוגר",0,IF(BC105="לא קיים",0,IF(J105=0,0,I105*0.1))),IF(BC105="לא בוגר",0,IF(BC105="לא קיים",0,IF(AB105=1,I105*0.1,E105*0.5)))),0),IF('חד גזעי'!$AM$4="לא",IF(BC105="לא בוגר",0,IF(BC105="לא קיים",0,IF(J105=0,0,I105*0.1))),IF(BC105="לא בוגר",0,IF(BC105="לא קיים",0,IF(AB105=1,I105*0.1,E105*0.5))))),IF(P105=0,IF(BC105="שימור",IF('חד גזעי'!$AM$4="לא",IF(BC105="לא בוגר",0,IF(BC105="לא קיים",0,IF(J105=0,0,I105*0.15))),IF(BC105="לא בוגר",0,IF(BC105="לא קיים",0,IF(AB105=1,I105*0.15,E105*0.5)))),0),IF('חד גזעי'!$AM$4="לא",IF(BC105="לא בוגר",0,IF(BC105="לא קיים",0,IF(J105=0,0,I105*0.15))),IF(BC105="לא בוגר",0,IF(BC105="לא קיים",0,IF(AB105=1,I105*0.15,E105*0.5))))))</f>
        <v>0</v>
      </c>
      <c r="V105" t="e">
        <f t="shared" si="78"/>
        <v>#N/A</v>
      </c>
      <c r="W105" t="e">
        <f t="shared" si="79"/>
        <v>#N/A</v>
      </c>
      <c r="X105" t="e">
        <f t="shared" si="80"/>
        <v>#N/A</v>
      </c>
      <c r="Y105">
        <f>IF('חד גזעי'!$AM$2 = "לא",0,IF(F105&gt;9,W105,0))</f>
        <v>0</v>
      </c>
      <c r="Z105">
        <f>IF('חד גזעי'!$AM$7 = "לא",0,IF(C105 = "זית אירופי",IF('חד גזעי'!$AN$7 &lt;=סקר!F105,W105,0),IF(C105 = "חרוב מצוי",IF('חד גזעי'!$AN$7 &lt;=סקר!F105,W105,0),0)))</f>
        <v>0</v>
      </c>
      <c r="AB105">
        <f t="shared" si="106"/>
        <v>1</v>
      </c>
      <c r="AC105" s="72"/>
      <c r="AD105" t="e">
        <f t="shared" si="124"/>
        <v>#N/A</v>
      </c>
      <c r="AE105" s="72"/>
      <c r="AF105" s="72" t="e">
        <f t="shared" si="107"/>
        <v>#N/A</v>
      </c>
      <c r="AG105" s="72" t="e">
        <f>IF('חד גזעי'!$AM$5="לא",(VLOOKUP(C105,'חד גזעי'!$P$1:$S$589,3,FALSE)),(VLOOKUP(C105,'חד גזעי'!$P$1:$S$589,4,FALSE)))</f>
        <v>#N/A</v>
      </c>
      <c r="AH105" s="72">
        <f t="shared" si="108"/>
        <v>0</v>
      </c>
      <c r="AI105" s="72">
        <f t="shared" si="109"/>
        <v>0</v>
      </c>
      <c r="AJ105" s="72">
        <f t="shared" si="110"/>
        <v>0</v>
      </c>
      <c r="AK105" s="72" t="e">
        <f t="shared" si="111"/>
        <v>#N/A</v>
      </c>
      <c r="AL105" t="e">
        <f>VLOOKUP(C105,'חד גזעי'!$AH$8:$AI$33,2,FALSE)</f>
        <v>#N/A</v>
      </c>
      <c r="AM105" s="72" t="b">
        <f t="shared" si="112"/>
        <v>0</v>
      </c>
      <c r="AN105" s="72" t="b">
        <f t="shared" si="113"/>
        <v>0</v>
      </c>
      <c r="AO105" s="72" t="b">
        <f t="shared" si="114"/>
        <v>0</v>
      </c>
      <c r="AS105" s="72">
        <f t="shared" si="115"/>
        <v>0</v>
      </c>
      <c r="AT105" s="72">
        <f t="shared" si="116"/>
        <v>0</v>
      </c>
      <c r="AU105" s="72">
        <f t="shared" si="125"/>
        <v>0</v>
      </c>
      <c r="AV105" s="72">
        <f t="shared" si="117"/>
        <v>0</v>
      </c>
      <c r="AW105" s="72">
        <f t="shared" si="118"/>
        <v>0</v>
      </c>
      <c r="AX105" s="72">
        <f t="shared" si="119"/>
        <v>0</v>
      </c>
      <c r="AY105" s="72">
        <f t="shared" si="120"/>
        <v>0</v>
      </c>
      <c r="AZ105" s="72">
        <f t="shared" si="121"/>
        <v>0</v>
      </c>
      <c r="BA105" s="72" t="e">
        <f t="shared" si="122"/>
        <v>#N/A</v>
      </c>
      <c r="BB105" s="72" t="e">
        <f t="shared" si="127"/>
        <v>#N/A</v>
      </c>
      <c r="BC105" s="77"/>
      <c r="BE105">
        <f t="shared" si="103"/>
        <v>0</v>
      </c>
      <c r="BF105" s="196"/>
      <c r="BG105" s="196"/>
      <c r="BH105" s="196"/>
      <c r="BI105" s="196"/>
      <c r="BJ105" s="196"/>
      <c r="BK105" s="196"/>
    </row>
    <row r="106" spans="2:63" hidden="1">
      <c r="B106" s="72"/>
      <c r="C106" s="135"/>
      <c r="D106" s="78"/>
      <c r="E106" s="73"/>
      <c r="F106" s="72"/>
      <c r="G106" s="72"/>
      <c r="H106" s="72"/>
      <c r="I106" s="73">
        <f t="shared" si="126"/>
        <v>0</v>
      </c>
      <c r="J106" s="78"/>
      <c r="K106" s="73"/>
      <c r="L106" s="74" t="e">
        <f>_xlfn.IFNA(VLOOKUP(C106,'חד גזעי'!$U$3:$V$509,2,0),VLOOKUP(C106,'חד גזעי'!$U$3:$V$509,2))</f>
        <v>#N/A</v>
      </c>
      <c r="M106" s="73"/>
      <c r="N106" s="72" t="e">
        <f>_xlfn.IFNA(IF(VLOOKUP(C106,'חד גזעי'!$AH$2:$AH$7,1,FALSE)&gt;0,0,IF('חד גזעי'!$AM$5="כן",IF(_xlfn.IFNA(VLOOKUP(C106,'חד גזעי'!$AH$2:$AH$33,1,FALSE),SUM(J106:M106))&lt;21,_xlfn.IFNA(VLOOKUP(C106,'חד גזעי'!$AH$2:$AH$33,1,FALSE),SUM(J106:M106)),0),SUM(J106:M106))),IF('חד גזעי'!$AM$5="כן",IF(_xlfn.IFNA(VLOOKUP(C106,'חד גזעי'!$AH$2:$AH$33,1,FALSE),SUM(J106:M106))&lt;21,_xlfn.IFNA(VLOOKUP(C106,'חד גזעי'!$AH$2:$AH$33,1,FALSE),SUM(J106:M106)),0),SUM(J106:M106)))</f>
        <v>#N/A</v>
      </c>
      <c r="O106" s="72">
        <f>IF('חד גזעי'!$AM$3 = "כן",IF(T106&gt;4,4,T106),T106)</f>
        <v>0</v>
      </c>
      <c r="P106" s="80">
        <f>IF(E106&lt;2,0,IF(Z106&gt;0,Z106,IF(N106 = 0,0,IF('חד גזעי'!$AM$2 = "לא",IF(F106&gt;19,W106,0),IF(F106&gt;9,Y106,0)))))</f>
        <v>0</v>
      </c>
      <c r="Q106" s="77"/>
      <c r="R106" s="75"/>
      <c r="S106" t="e">
        <f>VLOOKUP(C106,'חד גזעי'!$Y$4:$Y$18,1,0)</f>
        <v>#N/A</v>
      </c>
      <c r="T106" s="72">
        <f>IF('חד גזעי'!$AM$6="לא",IF(P106=0,IF(BC106="שימור",IF('חד גזעי'!$AM$4="לא",IF(BC106="לא בוגר",0,IF(BC106="לא קיים",0,IF(J106=0,0,I106*0.1))),IF(BC106="לא בוגר",0,IF(BC106="לא קיים",0,IF(AB106=1,I106*0.1,E106*0.5)))),0),IF('חד גזעי'!$AM$4="לא",IF(BC106="לא בוגר",0,IF(BC106="לא קיים",0,IF(J106=0,0,I106*0.1))),IF(BC106="לא בוגר",0,IF(BC106="לא קיים",0,IF(AB106=1,I106*0.1,E106*0.5))))),IF(P106=0,IF(BC106="שימור",IF('חד גזעי'!$AM$4="לא",IF(BC106="לא בוגר",0,IF(BC106="לא קיים",0,IF(J106=0,0,I106*0.15))),IF(BC106="לא בוגר",0,IF(BC106="לא קיים",0,IF(AB106=1,I106*0.15,E106*0.5)))),0),IF('חד גזעי'!$AM$4="לא",IF(BC106="לא בוגר",0,IF(BC106="לא קיים",0,IF(J106=0,0,I106*0.15))),IF(BC106="לא בוגר",0,IF(BC106="לא קיים",0,IF(AB106=1,I106*0.15,E106*0.5))))))</f>
        <v>0</v>
      </c>
      <c r="V106" t="e">
        <f t="shared" si="78"/>
        <v>#N/A</v>
      </c>
      <c r="W106" t="e">
        <f t="shared" si="79"/>
        <v>#N/A</v>
      </c>
      <c r="X106" t="e">
        <f t="shared" si="80"/>
        <v>#N/A</v>
      </c>
      <c r="Y106">
        <f>IF('חד גזעי'!$AM$2 = "לא",0,IF(F106&gt;9,W106,0))</f>
        <v>0</v>
      </c>
      <c r="Z106">
        <f>IF('חד גזעי'!$AM$7 = "לא",0,IF(C106 = "זית אירופי",IF('חד גזעי'!$AN$7 &lt;=סקר!F106,W106,0),IF(C106 = "חרוב מצוי",IF('חד גזעי'!$AN$7 &lt;=סקר!F106,W106,0),0)))</f>
        <v>0</v>
      </c>
      <c r="AB106">
        <f t="shared" si="106"/>
        <v>1</v>
      </c>
      <c r="AC106" s="72"/>
      <c r="AD106" t="e">
        <f t="shared" si="124"/>
        <v>#N/A</v>
      </c>
      <c r="AE106" s="72"/>
      <c r="AF106" s="72" t="e">
        <f t="shared" si="107"/>
        <v>#N/A</v>
      </c>
      <c r="AG106" s="72" t="e">
        <f>IF('חד גזעי'!$AM$5="לא",(VLOOKUP(C106,'חד גזעי'!$P$1:$S$589,3,FALSE)),(VLOOKUP(C106,'חד גזעי'!$P$1:$S$589,4,FALSE)))</f>
        <v>#N/A</v>
      </c>
      <c r="AH106" s="72">
        <f t="shared" si="108"/>
        <v>0</v>
      </c>
      <c r="AI106" s="72">
        <f t="shared" si="109"/>
        <v>0</v>
      </c>
      <c r="AJ106" s="72">
        <f t="shared" si="110"/>
        <v>0</v>
      </c>
      <c r="AK106" s="72" t="e">
        <f t="shared" si="111"/>
        <v>#N/A</v>
      </c>
      <c r="AL106" t="e">
        <f>VLOOKUP(C106,'חד גזעי'!$AH$8:$AI$33,2,FALSE)</f>
        <v>#N/A</v>
      </c>
      <c r="AM106" s="72" t="b">
        <f t="shared" si="112"/>
        <v>0</v>
      </c>
      <c r="AN106" s="72" t="b">
        <f t="shared" si="113"/>
        <v>0</v>
      </c>
      <c r="AO106" s="72" t="b">
        <f t="shared" si="114"/>
        <v>0</v>
      </c>
      <c r="AS106" s="72">
        <f t="shared" si="115"/>
        <v>0</v>
      </c>
      <c r="AT106" s="72">
        <f t="shared" si="116"/>
        <v>0</v>
      </c>
      <c r="AU106" s="72">
        <f t="shared" si="125"/>
        <v>0</v>
      </c>
      <c r="AV106" s="72">
        <f t="shared" si="117"/>
        <v>0</v>
      </c>
      <c r="AW106" s="72">
        <f t="shared" si="118"/>
        <v>0</v>
      </c>
      <c r="AX106" s="72">
        <f t="shared" si="119"/>
        <v>0</v>
      </c>
      <c r="AY106" s="72">
        <f t="shared" si="120"/>
        <v>0</v>
      </c>
      <c r="AZ106" s="72">
        <f t="shared" si="121"/>
        <v>0</v>
      </c>
      <c r="BA106" s="72" t="e">
        <f t="shared" si="122"/>
        <v>#N/A</v>
      </c>
      <c r="BB106" s="72" t="e">
        <f t="shared" si="127"/>
        <v>#N/A</v>
      </c>
      <c r="BC106" s="77"/>
      <c r="BE106">
        <f t="shared" si="103"/>
        <v>0</v>
      </c>
      <c r="BF106" s="196"/>
      <c r="BG106" s="196"/>
      <c r="BH106" s="196"/>
      <c r="BI106" s="196"/>
      <c r="BJ106" s="196"/>
      <c r="BK106" s="196"/>
    </row>
    <row r="107" spans="2:63" hidden="1">
      <c r="B107" s="72"/>
      <c r="C107" s="135"/>
      <c r="D107" s="78"/>
      <c r="E107" s="73"/>
      <c r="F107" s="72"/>
      <c r="G107" s="72"/>
      <c r="H107" s="72"/>
      <c r="I107" s="73">
        <f t="shared" si="126"/>
        <v>0</v>
      </c>
      <c r="J107" s="78"/>
      <c r="K107" s="73"/>
      <c r="L107" s="74" t="e">
        <f>_xlfn.IFNA(VLOOKUP(C107,'חד גזעי'!$U$3:$V$509,2,0),VLOOKUP(C107,'חד גזעי'!$U$3:$V$509,2))</f>
        <v>#N/A</v>
      </c>
      <c r="M107" s="73"/>
      <c r="N107" s="72" t="e">
        <f>_xlfn.IFNA(IF(VLOOKUP(C107,'חד גזעי'!$AH$2:$AH$7,1,FALSE)&gt;0,0,IF('חד גזעי'!$AM$5="כן",IF(_xlfn.IFNA(VLOOKUP(C107,'חד גזעי'!$AH$2:$AH$33,1,FALSE),SUM(J107:M107))&lt;21,_xlfn.IFNA(VLOOKUP(C107,'חד גזעי'!$AH$2:$AH$33,1,FALSE),SUM(J107:M107)),0),SUM(J107:M107))),IF('חד גזעי'!$AM$5="כן",IF(_xlfn.IFNA(VLOOKUP(C107,'חד גזעי'!$AH$2:$AH$33,1,FALSE),SUM(J107:M107))&lt;21,_xlfn.IFNA(VLOOKUP(C107,'חד גזעי'!$AH$2:$AH$33,1,FALSE),SUM(J107:M107)),0),SUM(J107:M107)))</f>
        <v>#N/A</v>
      </c>
      <c r="O107" s="72">
        <f>IF('חד גזעי'!$AM$3 = "כן",IF(T107&gt;4,4,T107),T107)</f>
        <v>0</v>
      </c>
      <c r="P107" s="80">
        <f>IF(E107&lt;2,0,IF(Z107&gt;0,Z107,IF(N107 = 0,0,IF('חד גזעי'!$AM$2 = "לא",IF(F107&gt;19,W107,0),IF(F107&gt;9,Y107,0)))))</f>
        <v>0</v>
      </c>
      <c r="Q107" s="77"/>
      <c r="R107" s="75"/>
      <c r="S107" t="e">
        <f>VLOOKUP(C107,'חד גזעי'!$Y$4:$Y$18,1,0)</f>
        <v>#N/A</v>
      </c>
      <c r="T107" s="72">
        <f>IF('חד גזעי'!$AM$6="לא",IF(P107=0,IF(BC107="שימור",IF('חד גזעי'!$AM$4="לא",IF(BC107="לא בוגר",0,IF(BC107="לא קיים",0,IF(J107=0,0,I107*0.1))),IF(BC107="לא בוגר",0,IF(BC107="לא קיים",0,IF(AB107=1,I107*0.1,E107*0.5)))),0),IF('חד גזעי'!$AM$4="לא",IF(BC107="לא בוגר",0,IF(BC107="לא קיים",0,IF(J107=0,0,I107*0.1))),IF(BC107="לא בוגר",0,IF(BC107="לא קיים",0,IF(AB107=1,I107*0.1,E107*0.5))))),IF(P107=0,IF(BC107="שימור",IF('חד גזעי'!$AM$4="לא",IF(BC107="לא בוגר",0,IF(BC107="לא קיים",0,IF(J107=0,0,I107*0.15))),IF(BC107="לא בוגר",0,IF(BC107="לא קיים",0,IF(AB107=1,I107*0.15,E107*0.5)))),0),IF('חד גזעי'!$AM$4="לא",IF(BC107="לא בוגר",0,IF(BC107="לא קיים",0,IF(J107=0,0,I107*0.15))),IF(BC107="לא בוגר",0,IF(BC107="לא קיים",0,IF(AB107=1,I107*0.15,E107*0.5))))))</f>
        <v>0</v>
      </c>
      <c r="V107" t="e">
        <f t="shared" si="78"/>
        <v>#N/A</v>
      </c>
      <c r="W107" t="e">
        <f t="shared" si="79"/>
        <v>#N/A</v>
      </c>
      <c r="X107" t="e">
        <f t="shared" si="80"/>
        <v>#N/A</v>
      </c>
      <c r="Y107">
        <f>IF('חד גזעי'!$AM$2 = "לא",0,IF(F107&gt;9,W107,0))</f>
        <v>0</v>
      </c>
      <c r="Z107">
        <f>IF('חד גזעי'!$AM$7 = "לא",0,IF(C107 = "זית אירופי",IF('חד גזעי'!$AN$7 &lt;=סקר!F107,W107,0),IF(C107 = "חרוב מצוי",IF('חד גזעי'!$AN$7 &lt;=סקר!F107,W107,0),0)))</f>
        <v>0</v>
      </c>
      <c r="AB107">
        <f t="shared" si="106"/>
        <v>1</v>
      </c>
      <c r="AC107" s="72"/>
      <c r="AD107" t="e">
        <f t="shared" si="124"/>
        <v>#N/A</v>
      </c>
      <c r="AE107" s="72"/>
      <c r="AF107" s="72" t="e">
        <f t="shared" si="107"/>
        <v>#N/A</v>
      </c>
      <c r="AG107" s="72" t="e">
        <f>IF('חד גזעי'!$AM$5="לא",(VLOOKUP(C107,'חד גזעי'!$P$1:$S$589,3,FALSE)),(VLOOKUP(C107,'חד גזעי'!$P$1:$S$589,4,FALSE)))</f>
        <v>#N/A</v>
      </c>
      <c r="AH107" s="72">
        <f t="shared" si="108"/>
        <v>0</v>
      </c>
      <c r="AI107" s="72">
        <f t="shared" si="109"/>
        <v>0</v>
      </c>
      <c r="AJ107" s="72">
        <f t="shared" si="110"/>
        <v>0</v>
      </c>
      <c r="AK107" s="72" t="e">
        <f t="shared" si="111"/>
        <v>#N/A</v>
      </c>
      <c r="AL107" t="e">
        <f>VLOOKUP(C107,'חד גזעי'!$AH$8:$AI$33,2,FALSE)</f>
        <v>#N/A</v>
      </c>
      <c r="AM107" s="72" t="b">
        <f t="shared" si="112"/>
        <v>0</v>
      </c>
      <c r="AN107" s="72" t="b">
        <f t="shared" si="113"/>
        <v>0</v>
      </c>
      <c r="AO107" s="72" t="b">
        <f t="shared" si="114"/>
        <v>0</v>
      </c>
      <c r="AS107" s="72">
        <f t="shared" si="115"/>
        <v>0</v>
      </c>
      <c r="AT107" s="72">
        <f t="shared" si="116"/>
        <v>0</v>
      </c>
      <c r="AU107" s="72">
        <f t="shared" si="125"/>
        <v>0</v>
      </c>
      <c r="AV107" s="72">
        <f t="shared" si="117"/>
        <v>0</v>
      </c>
      <c r="AW107" s="72">
        <f t="shared" si="118"/>
        <v>0</v>
      </c>
      <c r="AX107" s="72">
        <f t="shared" si="119"/>
        <v>0</v>
      </c>
      <c r="AY107" s="72">
        <f t="shared" si="120"/>
        <v>0</v>
      </c>
      <c r="AZ107" s="72">
        <f t="shared" si="121"/>
        <v>0</v>
      </c>
      <c r="BA107" s="72" t="e">
        <f t="shared" si="122"/>
        <v>#N/A</v>
      </c>
      <c r="BB107" s="72" t="e">
        <f t="shared" si="127"/>
        <v>#N/A</v>
      </c>
      <c r="BC107" s="77"/>
      <c r="BE107">
        <f t="shared" si="103"/>
        <v>0</v>
      </c>
      <c r="BF107" s="196"/>
      <c r="BG107" s="196"/>
      <c r="BH107" s="196"/>
      <c r="BI107" s="196"/>
      <c r="BJ107" s="196"/>
      <c r="BK107" s="196"/>
    </row>
    <row r="108" spans="2:63" ht="13.15" hidden="1" customHeight="1">
      <c r="B108" s="72"/>
      <c r="C108" s="135"/>
      <c r="D108" s="78"/>
      <c r="E108" s="78"/>
      <c r="F108" s="72"/>
      <c r="G108" s="72"/>
      <c r="H108" s="72"/>
      <c r="I108" s="73">
        <f t="shared" si="126"/>
        <v>0</v>
      </c>
      <c r="J108" s="78"/>
      <c r="K108" s="73"/>
      <c r="L108" s="74" t="e">
        <f>_xlfn.IFNA(VLOOKUP(C108,'חד גזעי'!$U$3:$V$509,2,0),VLOOKUP(C108,'חד גזעי'!$U$3:$V$509,2))</f>
        <v>#N/A</v>
      </c>
      <c r="M108" s="73"/>
      <c r="N108" s="72" t="e">
        <f>_xlfn.IFNA(IF(VLOOKUP(C108,'חד גזעי'!$AH$2:$AH$7,1,FALSE)&gt;0,0,IF('חד גזעי'!$AM$5="כן",IF(_xlfn.IFNA(VLOOKUP(C108,'חד גזעי'!$AH$2:$AH$33,1,FALSE),SUM(J108:M108))&lt;21,_xlfn.IFNA(VLOOKUP(C108,'חד גזעי'!$AH$2:$AH$33,1,FALSE),SUM(J108:M108)),0),SUM(J108:M108))),IF('חד גזעי'!$AM$5="כן",IF(_xlfn.IFNA(VLOOKUP(C108,'חד גזעי'!$AH$2:$AH$33,1,FALSE),SUM(J108:M108))&lt;21,_xlfn.IFNA(VLOOKUP(C108,'חד גזעי'!$AH$2:$AH$33,1,FALSE),SUM(J108:M108)),0),SUM(J108:M108)))</f>
        <v>#N/A</v>
      </c>
      <c r="O108" s="72">
        <f>IF('חד גזעי'!$AM$3 = "כן",IF(T108&gt;4,4,T108),T108)</f>
        <v>0</v>
      </c>
      <c r="P108" s="80">
        <f>IF(E108&lt;2,0,IF(Z108&gt;0,Z108,IF(N108 = 0,0,IF('חד גזעי'!$AM$2 = "לא",IF(F108&gt;19,W108,0),IF(F108&gt;9,Y108,0)))))</f>
        <v>0</v>
      </c>
      <c r="Q108" s="77"/>
      <c r="R108" s="75"/>
      <c r="S108" t="e">
        <f>VLOOKUP(C108,'חד גזעי'!$Y$4:$Y$18,1,0)</f>
        <v>#N/A</v>
      </c>
      <c r="T108" s="72">
        <f>IF('חד גזעי'!$AM$6="לא",IF(P108=0,IF(BC108="שימור",IF('חד גזעי'!$AM$4="לא",IF(BC108="לא בוגר",0,IF(BC108="לא קיים",0,IF(J108=0,0,I108*0.1))),IF(BC108="לא בוגר",0,IF(BC108="לא קיים",0,IF(AB108=1,I108*0.1,E108*0.5)))),0),IF('חד גזעי'!$AM$4="לא",IF(BC108="לא בוגר",0,IF(BC108="לא קיים",0,IF(J108=0,0,I108*0.1))),IF(BC108="לא בוגר",0,IF(BC108="לא קיים",0,IF(AB108=1,I108*0.1,E108*0.5))))),IF(P108=0,IF(BC108="שימור",IF('חד גזעי'!$AM$4="לא",IF(BC108="לא בוגר",0,IF(BC108="לא קיים",0,IF(J108=0,0,I108*0.15))),IF(BC108="לא בוגר",0,IF(BC108="לא קיים",0,IF(AB108=1,I108*0.15,E108*0.5)))),0),IF('חד גזעי'!$AM$4="לא",IF(BC108="לא בוגר",0,IF(BC108="לא קיים",0,IF(J108=0,0,I108*0.15))),IF(BC108="לא בוגר",0,IF(BC108="לא קיים",0,IF(AB108=1,I108*0.15,E108*0.5))))))</f>
        <v>0</v>
      </c>
      <c r="V108" t="e">
        <f t="shared" si="78"/>
        <v>#N/A</v>
      </c>
      <c r="W108" t="e">
        <f t="shared" si="79"/>
        <v>#N/A</v>
      </c>
      <c r="X108" t="e">
        <f t="shared" si="80"/>
        <v>#N/A</v>
      </c>
      <c r="Y108">
        <f>IF('חד גזעי'!$AM$2 = "לא",0,IF(F108&gt;9,W108,0))</f>
        <v>0</v>
      </c>
      <c r="Z108">
        <f>IF('חד גזעי'!$AM$7 = "לא",0,IF(C108 = "זית אירופי",IF('חד גזעי'!$AN$7 &lt;=סקר!F108,W108,0),IF(C108 = "חרוב מצוי",IF('חד גזעי'!$AN$7 &lt;=סקר!F108,W108,0),0)))</f>
        <v>0</v>
      </c>
      <c r="AB108">
        <f t="shared" si="106"/>
        <v>1</v>
      </c>
      <c r="AC108" s="72"/>
      <c r="AD108" t="e">
        <f t="shared" si="124"/>
        <v>#N/A</v>
      </c>
      <c r="AE108" s="72"/>
      <c r="AF108" s="72" t="e">
        <f t="shared" si="107"/>
        <v>#N/A</v>
      </c>
      <c r="AG108" s="72" t="e">
        <f>IF('חד גזעי'!$AM$5="לא",(VLOOKUP(C108,'חד גזעי'!$P$1:$S$589,3,FALSE)),(VLOOKUP(C108,'חד גזעי'!$P$1:$S$589,4,FALSE)))</f>
        <v>#N/A</v>
      </c>
      <c r="AH108" s="72">
        <f t="shared" si="108"/>
        <v>0</v>
      </c>
      <c r="AI108" s="72">
        <f t="shared" si="109"/>
        <v>0</v>
      </c>
      <c r="AJ108" s="72">
        <f t="shared" si="110"/>
        <v>0</v>
      </c>
      <c r="AK108" s="72" t="e">
        <f t="shared" si="111"/>
        <v>#N/A</v>
      </c>
      <c r="AL108" t="e">
        <f>VLOOKUP(C108,'חד גזעי'!$AH$8:$AI$33,2,FALSE)</f>
        <v>#N/A</v>
      </c>
      <c r="AM108" s="72" t="b">
        <f t="shared" si="112"/>
        <v>0</v>
      </c>
      <c r="AN108" s="72" t="b">
        <f t="shared" si="113"/>
        <v>0</v>
      </c>
      <c r="AO108" s="72" t="b">
        <f t="shared" si="114"/>
        <v>0</v>
      </c>
      <c r="AS108" s="72">
        <f t="shared" si="115"/>
        <v>0</v>
      </c>
      <c r="AT108" s="72">
        <f t="shared" si="116"/>
        <v>0</v>
      </c>
      <c r="AU108" s="72">
        <f t="shared" si="125"/>
        <v>0</v>
      </c>
      <c r="AV108" s="72">
        <f t="shared" si="117"/>
        <v>0</v>
      </c>
      <c r="AW108" s="72">
        <f t="shared" si="118"/>
        <v>0</v>
      </c>
      <c r="AX108" s="72">
        <f t="shared" si="119"/>
        <v>0</v>
      </c>
      <c r="AY108" s="72">
        <f t="shared" si="120"/>
        <v>0</v>
      </c>
      <c r="AZ108" s="72">
        <f t="shared" si="121"/>
        <v>0</v>
      </c>
      <c r="BA108" s="72" t="e">
        <f t="shared" si="122"/>
        <v>#N/A</v>
      </c>
      <c r="BB108" s="72" t="e">
        <f t="shared" si="127"/>
        <v>#N/A</v>
      </c>
      <c r="BC108" s="77"/>
      <c r="BE108">
        <f t="shared" si="103"/>
        <v>0</v>
      </c>
      <c r="BF108" s="196"/>
      <c r="BG108" s="196"/>
      <c r="BH108" s="196"/>
      <c r="BI108" s="196"/>
      <c r="BJ108" s="196"/>
      <c r="BK108" s="196"/>
    </row>
    <row r="109" spans="2:63" ht="13.15" hidden="1" customHeight="1">
      <c r="B109" s="72"/>
      <c r="C109" s="135"/>
      <c r="D109" s="78"/>
      <c r="E109" s="78"/>
      <c r="F109" s="72"/>
      <c r="G109" s="72"/>
      <c r="H109" s="72"/>
      <c r="I109" s="73">
        <f t="shared" si="126"/>
        <v>0</v>
      </c>
      <c r="J109" s="78"/>
      <c r="K109" s="73"/>
      <c r="L109" s="74" t="e">
        <f>_xlfn.IFNA(VLOOKUP(C109,'חד גזעי'!$U$3:$V$509,2,0),VLOOKUP(C109,'חד גזעי'!$U$3:$V$509,2))</f>
        <v>#N/A</v>
      </c>
      <c r="M109" s="73"/>
      <c r="N109" s="72" t="e">
        <f>_xlfn.IFNA(IF(VLOOKUP(C109,'חד גזעי'!$AH$2:$AH$7,1,FALSE)&gt;0,0,IF('חד גזעי'!$AM$5="כן",IF(_xlfn.IFNA(VLOOKUP(C109,'חד גזעי'!$AH$2:$AH$33,1,FALSE),SUM(J109:M109))&lt;21,_xlfn.IFNA(VLOOKUP(C109,'חד גזעי'!$AH$2:$AH$33,1,FALSE),SUM(J109:M109)),0),SUM(J109:M109))),IF('חד גזעי'!$AM$5="כן",IF(_xlfn.IFNA(VLOOKUP(C109,'חד גזעי'!$AH$2:$AH$33,1,FALSE),SUM(J109:M109))&lt;21,_xlfn.IFNA(VLOOKUP(C109,'חד גזעי'!$AH$2:$AH$33,1,FALSE),SUM(J109:M109)),0),SUM(J109:M109)))</f>
        <v>#N/A</v>
      </c>
      <c r="O109" s="72">
        <f>IF('חד גזעי'!$AM$3 = "כן",IF(T109&gt;4,4,T109),T109)</f>
        <v>0</v>
      </c>
      <c r="P109" s="80">
        <f>IF(E109&lt;2,0,IF(Z109&gt;0,Z109,IF(N109 = 0,0,IF('חד גזעי'!$AM$2 = "לא",IF(F109&gt;19,W109,0),IF(F109&gt;9,Y109,0)))))</f>
        <v>0</v>
      </c>
      <c r="Q109" s="77"/>
      <c r="R109" s="75"/>
      <c r="S109" t="e">
        <f>VLOOKUP(C109,'חד גזעי'!$Y$4:$Y$18,1,0)</f>
        <v>#N/A</v>
      </c>
      <c r="T109" s="72">
        <f>IF('חד גזעי'!$AM$6="לא",IF(P109=0,IF(BC109="שימור",IF('חד גזעי'!$AM$4="לא",IF(BC109="לא בוגר",0,IF(BC109="לא קיים",0,IF(J109=0,0,I109*0.1))),IF(BC109="לא בוגר",0,IF(BC109="לא קיים",0,IF(AB109=1,I109*0.1,E109*0.5)))),0),IF('חד גזעי'!$AM$4="לא",IF(BC109="לא בוגר",0,IF(BC109="לא קיים",0,IF(J109=0,0,I109*0.1))),IF(BC109="לא בוגר",0,IF(BC109="לא קיים",0,IF(AB109=1,I109*0.1,E109*0.5))))),IF(P109=0,IF(BC109="שימור",IF('חד גזעי'!$AM$4="לא",IF(BC109="לא בוגר",0,IF(BC109="לא קיים",0,IF(J109=0,0,I109*0.15))),IF(BC109="לא בוגר",0,IF(BC109="לא קיים",0,IF(AB109=1,I109*0.15,E109*0.5)))),0),IF('חד גזעי'!$AM$4="לא",IF(BC109="לא בוגר",0,IF(BC109="לא קיים",0,IF(J109=0,0,I109*0.15))),IF(BC109="לא בוגר",0,IF(BC109="לא קיים",0,IF(AB109=1,I109*0.15,E109*0.5))))))</f>
        <v>0</v>
      </c>
      <c r="V109" t="e">
        <f t="shared" si="78"/>
        <v>#N/A</v>
      </c>
      <c r="W109" t="e">
        <f t="shared" si="79"/>
        <v>#N/A</v>
      </c>
      <c r="X109" t="e">
        <f t="shared" si="80"/>
        <v>#N/A</v>
      </c>
      <c r="Y109">
        <f>IF('חד גזעי'!$AM$2 = "לא",0,IF(F109&gt;9,W109,0))</f>
        <v>0</v>
      </c>
      <c r="Z109">
        <f>IF('חד גזעי'!$AM$7 = "לא",0,IF(C109 = "זית אירופי",IF('חד גזעי'!$AN$7 &lt;=סקר!F109,W109,0),IF(C109 = "חרוב מצוי",IF('חד גזעי'!$AN$7 &lt;=סקר!F109,W109,0),0)))</f>
        <v>0</v>
      </c>
      <c r="AB109">
        <f t="shared" si="106"/>
        <v>1</v>
      </c>
      <c r="AC109" s="72"/>
      <c r="AD109" t="e">
        <f t="shared" si="124"/>
        <v>#N/A</v>
      </c>
      <c r="AE109" s="72"/>
      <c r="AF109" s="72" t="e">
        <f t="shared" si="107"/>
        <v>#N/A</v>
      </c>
      <c r="AG109" s="72" t="e">
        <f>IF('חד גזעי'!$AM$5="לא",(VLOOKUP(C109,'חד גזעי'!$P$1:$S$589,3,FALSE)),(VLOOKUP(C109,'חד גזעי'!$P$1:$S$589,4,FALSE)))</f>
        <v>#N/A</v>
      </c>
      <c r="AH109" s="72">
        <f t="shared" si="108"/>
        <v>0</v>
      </c>
      <c r="AI109" s="72">
        <f t="shared" si="109"/>
        <v>0</v>
      </c>
      <c r="AJ109" s="72">
        <f t="shared" si="110"/>
        <v>0</v>
      </c>
      <c r="AK109" s="72" t="e">
        <f t="shared" si="111"/>
        <v>#N/A</v>
      </c>
      <c r="AL109" t="e">
        <f>VLOOKUP(C109,'חד גזעי'!$AH$8:$AI$33,2,FALSE)</f>
        <v>#N/A</v>
      </c>
      <c r="AM109" s="72" t="b">
        <f t="shared" si="112"/>
        <v>0</v>
      </c>
      <c r="AN109" s="72" t="b">
        <f t="shared" si="113"/>
        <v>0</v>
      </c>
      <c r="AO109" s="72" t="b">
        <f t="shared" si="114"/>
        <v>0</v>
      </c>
      <c r="AS109" s="72">
        <f t="shared" si="115"/>
        <v>0</v>
      </c>
      <c r="AT109" s="72">
        <f t="shared" si="116"/>
        <v>0</v>
      </c>
      <c r="AU109" s="72">
        <f t="shared" si="125"/>
        <v>0</v>
      </c>
      <c r="AV109" s="72">
        <f t="shared" si="117"/>
        <v>0</v>
      </c>
      <c r="AW109" s="72">
        <f t="shared" si="118"/>
        <v>0</v>
      </c>
      <c r="AX109" s="72">
        <f t="shared" si="119"/>
        <v>0</v>
      </c>
      <c r="AY109" s="72">
        <f t="shared" si="120"/>
        <v>0</v>
      </c>
      <c r="AZ109" s="72">
        <f t="shared" si="121"/>
        <v>0</v>
      </c>
      <c r="BA109" s="72" t="e">
        <f t="shared" si="122"/>
        <v>#N/A</v>
      </c>
      <c r="BB109" s="72" t="e">
        <f t="shared" si="127"/>
        <v>#N/A</v>
      </c>
      <c r="BC109" s="77"/>
      <c r="BE109">
        <f t="shared" si="103"/>
        <v>0</v>
      </c>
      <c r="BF109" s="196"/>
      <c r="BG109" s="196"/>
      <c r="BH109" s="196"/>
      <c r="BI109" s="196"/>
      <c r="BJ109" s="196"/>
      <c r="BK109" s="196"/>
    </row>
    <row r="110" spans="2:63" ht="13.15" hidden="1" customHeight="1">
      <c r="B110" s="72"/>
      <c r="C110" s="135"/>
      <c r="D110" s="78"/>
      <c r="E110" s="78"/>
      <c r="F110" s="72"/>
      <c r="G110" s="72"/>
      <c r="H110" s="72"/>
      <c r="I110" s="73">
        <f t="shared" si="126"/>
        <v>0</v>
      </c>
      <c r="J110" s="78"/>
      <c r="K110" s="73"/>
      <c r="L110" s="74" t="e">
        <f>_xlfn.IFNA(VLOOKUP(C110,'חד גזעי'!$U$3:$V$509,2,0),VLOOKUP(C110,'חד גזעי'!$U$3:$V$509,2))</f>
        <v>#N/A</v>
      </c>
      <c r="M110" s="73"/>
      <c r="N110" s="72" t="e">
        <f>_xlfn.IFNA(IF(VLOOKUP(C110,'חד גזעי'!$AH$2:$AH$7,1,FALSE)&gt;0,0,IF('חד גזעי'!$AM$5="כן",IF(_xlfn.IFNA(VLOOKUP(C110,'חד גזעי'!$AH$2:$AH$33,1,FALSE),SUM(J110:M110))&lt;21,_xlfn.IFNA(VLOOKUP(C110,'חד גזעי'!$AH$2:$AH$33,1,FALSE),SUM(J110:M110)),0),SUM(J110:M110))),IF('חד גזעי'!$AM$5="כן",IF(_xlfn.IFNA(VLOOKUP(C110,'חד גזעי'!$AH$2:$AH$33,1,FALSE),SUM(J110:M110))&lt;21,_xlfn.IFNA(VLOOKUP(C110,'חד גזעי'!$AH$2:$AH$33,1,FALSE),SUM(J110:M110)),0),SUM(J110:M110)))</f>
        <v>#N/A</v>
      </c>
      <c r="O110" s="72">
        <f>IF('חד גזעי'!$AM$3 = "כן",IF(T110&gt;4,4,T110),T110)</f>
        <v>0</v>
      </c>
      <c r="P110" s="80">
        <f>IF(E110&lt;2,0,IF(Z110&gt;0,Z110,IF(N110 = 0,0,IF('חד גזעי'!$AM$2 = "לא",IF(F110&gt;19,W110,0),IF(F110&gt;9,Y110,0)))))</f>
        <v>0</v>
      </c>
      <c r="Q110" s="77"/>
      <c r="R110" s="75"/>
      <c r="S110" t="e">
        <f>VLOOKUP(C110,'חד גזעי'!$Y$4:$Y$18,1,0)</f>
        <v>#N/A</v>
      </c>
      <c r="T110" s="72">
        <f>IF('חד גזעי'!$AM$6="לא",IF(P110=0,IF(BC110="שימור",IF('חד גזעי'!$AM$4="לא",IF(BC110="לא בוגר",0,IF(BC110="לא קיים",0,IF(J110=0,0,I110*0.1))),IF(BC110="לא בוגר",0,IF(BC110="לא קיים",0,IF(AB110=1,I110*0.1,E110*0.5)))),0),IF('חד גזעי'!$AM$4="לא",IF(BC110="לא בוגר",0,IF(BC110="לא קיים",0,IF(J110=0,0,I110*0.1))),IF(BC110="לא בוגר",0,IF(BC110="לא קיים",0,IF(AB110=1,I110*0.1,E110*0.5))))),IF(P110=0,IF(BC110="שימור",IF('חד גזעי'!$AM$4="לא",IF(BC110="לא בוגר",0,IF(BC110="לא קיים",0,IF(J110=0,0,I110*0.15))),IF(BC110="לא בוגר",0,IF(BC110="לא קיים",0,IF(AB110=1,I110*0.15,E110*0.5)))),0),IF('חד גזעי'!$AM$4="לא",IF(BC110="לא בוגר",0,IF(BC110="לא קיים",0,IF(J110=0,0,I110*0.15))),IF(BC110="לא בוגר",0,IF(BC110="לא קיים",0,IF(AB110=1,I110*0.15,E110*0.5))))))</f>
        <v>0</v>
      </c>
      <c r="V110" t="e">
        <f t="shared" si="78"/>
        <v>#N/A</v>
      </c>
      <c r="W110" t="e">
        <f t="shared" si="79"/>
        <v>#N/A</v>
      </c>
      <c r="X110" t="e">
        <f t="shared" si="80"/>
        <v>#N/A</v>
      </c>
      <c r="Y110">
        <f>IF('חד גזעי'!$AM$2 = "לא",0,IF(F110&gt;9,W110,0))</f>
        <v>0</v>
      </c>
      <c r="Z110">
        <f>IF('חד גזעי'!$AM$7 = "לא",0,IF(C110 = "זית אירופי",IF('חד גזעי'!$AN$7 &lt;=סקר!F110,W110,0),IF(C110 = "חרוב מצוי",IF('חד גזעי'!$AN$7 &lt;=סקר!F110,W110,0),0)))</f>
        <v>0</v>
      </c>
      <c r="AB110">
        <f t="shared" si="106"/>
        <v>1</v>
      </c>
      <c r="AC110" s="72"/>
      <c r="AD110" t="e">
        <f t="shared" si="124"/>
        <v>#N/A</v>
      </c>
      <c r="AE110" s="72"/>
      <c r="AF110" s="72" t="e">
        <f t="shared" si="107"/>
        <v>#N/A</v>
      </c>
      <c r="AG110" s="72" t="e">
        <f>IF('חד גזעי'!$AM$5="לא",(VLOOKUP(C110,'חד גזעי'!$P$1:$S$589,3,FALSE)),(VLOOKUP(C110,'חד גזעי'!$P$1:$S$589,4,FALSE)))</f>
        <v>#N/A</v>
      </c>
      <c r="AH110" s="72">
        <f t="shared" si="108"/>
        <v>0</v>
      </c>
      <c r="AI110" s="72">
        <f t="shared" si="109"/>
        <v>0</v>
      </c>
      <c r="AJ110" s="72">
        <f t="shared" si="110"/>
        <v>0</v>
      </c>
      <c r="AK110" s="72" t="e">
        <f t="shared" si="111"/>
        <v>#N/A</v>
      </c>
      <c r="AL110" t="e">
        <f>VLOOKUP(C110,'חד גזעי'!$AH$8:$AI$33,2,FALSE)</f>
        <v>#N/A</v>
      </c>
      <c r="AM110" s="72" t="b">
        <f t="shared" si="112"/>
        <v>0</v>
      </c>
      <c r="AN110" s="72" t="b">
        <f t="shared" si="113"/>
        <v>0</v>
      </c>
      <c r="AO110" s="72" t="b">
        <f t="shared" si="114"/>
        <v>0</v>
      </c>
      <c r="AS110" s="72">
        <f t="shared" si="115"/>
        <v>0</v>
      </c>
      <c r="AT110" s="72">
        <f t="shared" si="116"/>
        <v>0</v>
      </c>
      <c r="AU110" s="72">
        <f t="shared" si="125"/>
        <v>0</v>
      </c>
      <c r="AV110" s="72">
        <f t="shared" si="117"/>
        <v>0</v>
      </c>
      <c r="AW110" s="72">
        <f t="shared" si="118"/>
        <v>0</v>
      </c>
      <c r="AX110" s="72">
        <f t="shared" si="119"/>
        <v>0</v>
      </c>
      <c r="AY110" s="72">
        <f t="shared" si="120"/>
        <v>0</v>
      </c>
      <c r="AZ110" s="72">
        <f t="shared" si="121"/>
        <v>0</v>
      </c>
      <c r="BA110" s="72" t="e">
        <f t="shared" si="122"/>
        <v>#N/A</v>
      </c>
      <c r="BB110" s="72" t="e">
        <f t="shared" si="127"/>
        <v>#N/A</v>
      </c>
      <c r="BC110" s="77"/>
      <c r="BE110">
        <f t="shared" si="103"/>
        <v>0</v>
      </c>
      <c r="BF110" s="196"/>
      <c r="BG110" s="196"/>
      <c r="BH110" s="196"/>
      <c r="BI110" s="196"/>
      <c r="BJ110" s="196"/>
      <c r="BK110" s="196"/>
    </row>
    <row r="111" spans="2:63" ht="13.15" hidden="1" customHeight="1">
      <c r="B111" s="72"/>
      <c r="C111" s="135"/>
      <c r="D111" s="78"/>
      <c r="E111" s="78"/>
      <c r="F111" s="72"/>
      <c r="G111" s="72"/>
      <c r="H111" s="72"/>
      <c r="I111" s="73">
        <f t="shared" si="126"/>
        <v>0</v>
      </c>
      <c r="J111" s="78"/>
      <c r="K111" s="73"/>
      <c r="L111" s="74" t="e">
        <f>_xlfn.IFNA(VLOOKUP(C111,'חד גזעי'!$U$3:$V$509,2,0),VLOOKUP(C111,'חד גזעי'!$U$3:$V$509,2))</f>
        <v>#N/A</v>
      </c>
      <c r="M111" s="73"/>
      <c r="N111" s="72" t="e">
        <f>_xlfn.IFNA(IF(VLOOKUP(C111,'חד גזעי'!$AH$2:$AH$7,1,FALSE)&gt;0,0,IF('חד גזעי'!$AM$5="כן",IF(_xlfn.IFNA(VLOOKUP(C111,'חד גזעי'!$AH$2:$AH$33,1,FALSE),SUM(J111:M111))&lt;21,_xlfn.IFNA(VLOOKUP(C111,'חד גזעי'!$AH$2:$AH$33,1,FALSE),SUM(J111:M111)),0),SUM(J111:M111))),IF('חד גזעי'!$AM$5="כן",IF(_xlfn.IFNA(VLOOKUP(C111,'חד גזעי'!$AH$2:$AH$33,1,FALSE),SUM(J111:M111))&lt;21,_xlfn.IFNA(VLOOKUP(C111,'חד גזעי'!$AH$2:$AH$33,1,FALSE),SUM(J111:M111)),0),SUM(J111:M111)))</f>
        <v>#N/A</v>
      </c>
      <c r="O111" s="72">
        <f>IF('חד גזעי'!$AM$3 = "כן",IF(T111&gt;4,4,T111),T111)</f>
        <v>0</v>
      </c>
      <c r="P111" s="80">
        <f>IF(E111&lt;2,0,IF(Z111&gt;0,Z111,IF(N111 = 0,0,IF('חד גזעי'!$AM$2 = "לא",IF(F111&gt;19,W111,0),IF(F111&gt;9,Y111,0)))))</f>
        <v>0</v>
      </c>
      <c r="Q111" s="77"/>
      <c r="R111" s="75"/>
      <c r="S111" t="e">
        <f>VLOOKUP(C111,'חד גזעי'!$Y$4:$Y$18,1,0)</f>
        <v>#N/A</v>
      </c>
      <c r="T111" s="72">
        <f>IF('חד גזעי'!$AM$6="לא",IF(P111=0,IF(BC111="שימור",IF('חד גזעי'!$AM$4="לא",IF(BC111="לא בוגר",0,IF(BC111="לא קיים",0,IF(J111=0,0,I111*0.1))),IF(BC111="לא בוגר",0,IF(BC111="לא קיים",0,IF(AB111=1,I111*0.1,E111*0.5)))),0),IF('חד גזעי'!$AM$4="לא",IF(BC111="לא בוגר",0,IF(BC111="לא קיים",0,IF(J111=0,0,I111*0.1))),IF(BC111="לא בוגר",0,IF(BC111="לא קיים",0,IF(AB111=1,I111*0.1,E111*0.5))))),IF(P111=0,IF(BC111="שימור",IF('חד גזעי'!$AM$4="לא",IF(BC111="לא בוגר",0,IF(BC111="לא קיים",0,IF(J111=0,0,I111*0.15))),IF(BC111="לא בוגר",0,IF(BC111="לא קיים",0,IF(AB111=1,I111*0.15,E111*0.5)))),0),IF('חד גזעי'!$AM$4="לא",IF(BC111="לא בוגר",0,IF(BC111="לא קיים",0,IF(J111=0,0,I111*0.15))),IF(BC111="לא בוגר",0,IF(BC111="לא קיים",0,IF(AB111=1,I111*0.15,E111*0.5))))))</f>
        <v>0</v>
      </c>
      <c r="V111" t="e">
        <f t="shared" si="78"/>
        <v>#N/A</v>
      </c>
      <c r="W111" t="e">
        <f t="shared" si="79"/>
        <v>#N/A</v>
      </c>
      <c r="X111" t="e">
        <f t="shared" si="80"/>
        <v>#N/A</v>
      </c>
      <c r="Y111">
        <f>IF('חד גזעי'!$AM$2 = "לא",0,IF(F111&gt;9,W111,0))</f>
        <v>0</v>
      </c>
      <c r="Z111">
        <f>IF('חד גזעי'!$AM$7 = "לא",0,IF(C111 = "זית אירופי",IF('חד גזעי'!$AN$7 &lt;=סקר!F111,W111,0),IF(C111 = "חרוב מצוי",IF('חד גזעי'!$AN$7 &lt;=סקר!F111,W111,0),0)))</f>
        <v>0</v>
      </c>
      <c r="AB111">
        <f t="shared" si="106"/>
        <v>1</v>
      </c>
      <c r="AC111" s="72"/>
      <c r="AD111" t="e">
        <f t="shared" si="124"/>
        <v>#N/A</v>
      </c>
      <c r="AE111" s="72"/>
      <c r="AF111" s="72" t="e">
        <f t="shared" si="107"/>
        <v>#N/A</v>
      </c>
      <c r="AG111" s="72" t="e">
        <f>IF('חד גזעי'!$AM$5="לא",(VLOOKUP(C111,'חד גזעי'!$P$1:$S$589,3,FALSE)),(VLOOKUP(C111,'חד גזעי'!$P$1:$S$589,4,FALSE)))</f>
        <v>#N/A</v>
      </c>
      <c r="AH111" s="72">
        <f t="shared" si="108"/>
        <v>0</v>
      </c>
      <c r="AI111" s="72">
        <f t="shared" si="109"/>
        <v>0</v>
      </c>
      <c r="AJ111" s="72">
        <f t="shared" si="110"/>
        <v>0</v>
      </c>
      <c r="AK111" s="72" t="e">
        <f t="shared" si="111"/>
        <v>#N/A</v>
      </c>
      <c r="AL111" t="e">
        <f>VLOOKUP(C111,'חד גזעי'!$AH$8:$AI$33,2,FALSE)</f>
        <v>#N/A</v>
      </c>
      <c r="AM111" s="72" t="b">
        <f t="shared" si="112"/>
        <v>0</v>
      </c>
      <c r="AN111" s="72" t="b">
        <f t="shared" si="113"/>
        <v>0</v>
      </c>
      <c r="AO111" s="72" t="b">
        <f t="shared" si="114"/>
        <v>0</v>
      </c>
      <c r="AS111" s="72">
        <f t="shared" si="115"/>
        <v>0</v>
      </c>
      <c r="AT111" s="72">
        <f t="shared" si="116"/>
        <v>0</v>
      </c>
      <c r="AU111" s="72">
        <f t="shared" si="125"/>
        <v>0</v>
      </c>
      <c r="AV111" s="72">
        <f t="shared" si="117"/>
        <v>0</v>
      </c>
      <c r="AW111" s="72">
        <f t="shared" si="118"/>
        <v>0</v>
      </c>
      <c r="AX111" s="72">
        <f t="shared" si="119"/>
        <v>0</v>
      </c>
      <c r="AY111" s="72">
        <f t="shared" si="120"/>
        <v>0</v>
      </c>
      <c r="AZ111" s="72">
        <f t="shared" si="121"/>
        <v>0</v>
      </c>
      <c r="BA111" s="72" t="e">
        <f t="shared" si="122"/>
        <v>#N/A</v>
      </c>
      <c r="BB111" s="72" t="e">
        <f t="shared" si="127"/>
        <v>#N/A</v>
      </c>
      <c r="BC111" s="77"/>
      <c r="BE111">
        <f t="shared" si="103"/>
        <v>0</v>
      </c>
      <c r="BF111" s="196"/>
      <c r="BG111" s="196"/>
      <c r="BH111" s="196"/>
      <c r="BI111" s="196"/>
      <c r="BJ111" s="196"/>
      <c r="BK111" s="196"/>
    </row>
    <row r="112" spans="2:63" ht="13.15" hidden="1" customHeight="1">
      <c r="B112" s="72"/>
      <c r="C112" s="135"/>
      <c r="D112" s="78"/>
      <c r="E112" s="78"/>
      <c r="F112" s="72"/>
      <c r="G112" s="72"/>
      <c r="H112" s="72"/>
      <c r="I112" s="73">
        <f t="shared" si="126"/>
        <v>0</v>
      </c>
      <c r="J112" s="78"/>
      <c r="K112" s="73"/>
      <c r="L112" s="74" t="e">
        <f>_xlfn.IFNA(VLOOKUP(C112,'חד גזעי'!$U$3:$V$509,2,0),VLOOKUP(C112,'חד גזעי'!$U$3:$V$509,2))</f>
        <v>#N/A</v>
      </c>
      <c r="M112" s="73"/>
      <c r="N112" s="72" t="e">
        <f>_xlfn.IFNA(IF(VLOOKUP(C112,'חד גזעי'!$AH$2:$AH$7,1,FALSE)&gt;0,0,IF('חד גזעי'!$AM$5="כן",IF(_xlfn.IFNA(VLOOKUP(C112,'חד גזעי'!$AH$2:$AH$33,1,FALSE),SUM(J112:M112))&lt;21,_xlfn.IFNA(VLOOKUP(C112,'חד גזעי'!$AH$2:$AH$33,1,FALSE),SUM(J112:M112)),0),SUM(J112:M112))),IF('חד גזעי'!$AM$5="כן",IF(_xlfn.IFNA(VLOOKUP(C112,'חד גזעי'!$AH$2:$AH$33,1,FALSE),SUM(J112:M112))&lt;21,_xlfn.IFNA(VLOOKUP(C112,'חד גזעי'!$AH$2:$AH$33,1,FALSE),SUM(J112:M112)),0),SUM(J112:M112)))</f>
        <v>#N/A</v>
      </c>
      <c r="O112" s="72">
        <f>IF('חד גזעי'!$AM$3 = "כן",IF(T112&gt;4,4,T112),T112)</f>
        <v>0</v>
      </c>
      <c r="P112" s="80">
        <f>IF(E112&lt;2,0,IF(Z112&gt;0,Z112,IF(N112 = 0,0,IF('חד גזעי'!$AM$2 = "לא",IF(F112&gt;19,W112,0),IF(F112&gt;9,Y112,0)))))</f>
        <v>0</v>
      </c>
      <c r="Q112" s="77"/>
      <c r="R112" s="76"/>
      <c r="S112" t="e">
        <f>VLOOKUP(C112,'חד גזעי'!$Y$4:$Y$18,1,0)</f>
        <v>#N/A</v>
      </c>
      <c r="T112" s="72">
        <f>IF('חד גזעי'!$AM$6="לא",IF(P112=0,IF(BC112="שימור",IF('חד גזעי'!$AM$4="לא",IF(BC112="לא בוגר",0,IF(BC112="לא קיים",0,IF(J112=0,0,I112*0.1))),IF(BC112="לא בוגר",0,IF(BC112="לא קיים",0,IF(AB112=1,I112*0.1,E112*0.5)))),0),IF('חד גזעי'!$AM$4="לא",IF(BC112="לא בוגר",0,IF(BC112="לא קיים",0,IF(J112=0,0,I112*0.1))),IF(BC112="לא בוגר",0,IF(BC112="לא קיים",0,IF(AB112=1,I112*0.1,E112*0.5))))),IF(P112=0,IF(BC112="שימור",IF('חד גזעי'!$AM$4="לא",IF(BC112="לא בוגר",0,IF(BC112="לא קיים",0,IF(J112=0,0,I112*0.15))),IF(BC112="לא בוגר",0,IF(BC112="לא קיים",0,IF(AB112=1,I112*0.15,E112*0.5)))),0),IF('חד גזעי'!$AM$4="לא",IF(BC112="לא בוגר",0,IF(BC112="לא קיים",0,IF(J112=0,0,I112*0.15))),IF(BC112="לא בוגר",0,IF(BC112="לא קיים",0,IF(AB112=1,I112*0.15,E112*0.5))))))</f>
        <v>0</v>
      </c>
      <c r="V112" t="e">
        <f t="shared" si="78"/>
        <v>#N/A</v>
      </c>
      <c r="W112" t="e">
        <f t="shared" si="79"/>
        <v>#N/A</v>
      </c>
      <c r="X112" t="e">
        <f t="shared" si="80"/>
        <v>#N/A</v>
      </c>
      <c r="Y112">
        <f>IF('חד גזעי'!$AM$2 = "לא",0,IF(F112&gt;9,W112,0))</f>
        <v>0</v>
      </c>
      <c r="Z112">
        <f>IF('חד גזעי'!$AM$7 = "לא",0,IF(C112 = "זית אירופי",IF('חד גזעי'!$AN$7 &lt;=סקר!F112,W112,0),IF(C112 = "חרוב מצוי",IF('חד גזעי'!$AN$7 &lt;=סקר!F112,W112,0),0)))</f>
        <v>0</v>
      </c>
      <c r="AB112">
        <f t="shared" si="106"/>
        <v>1</v>
      </c>
      <c r="AC112" s="72"/>
      <c r="AD112" t="e">
        <f t="shared" si="124"/>
        <v>#N/A</v>
      </c>
      <c r="AE112" s="72"/>
      <c r="AF112" s="72" t="e">
        <f t="shared" si="107"/>
        <v>#N/A</v>
      </c>
      <c r="AG112" s="72" t="e">
        <f>IF('חד גזעי'!$AM$5="לא",(VLOOKUP(C112,'חד גזעי'!$P$1:$S$589,3,FALSE)),(VLOOKUP(C112,'חד גזעי'!$P$1:$S$589,4,FALSE)))</f>
        <v>#N/A</v>
      </c>
      <c r="AH112" s="72">
        <f t="shared" si="108"/>
        <v>0</v>
      </c>
      <c r="AI112" s="72">
        <f t="shared" si="109"/>
        <v>0</v>
      </c>
      <c r="AJ112" s="72">
        <f t="shared" si="110"/>
        <v>0</v>
      </c>
      <c r="AK112" s="72" t="e">
        <f t="shared" si="111"/>
        <v>#N/A</v>
      </c>
      <c r="AL112" t="e">
        <f>VLOOKUP(C112,'חד גזעי'!$AH$8:$AI$33,2,FALSE)</f>
        <v>#N/A</v>
      </c>
      <c r="AM112" s="72" t="b">
        <f t="shared" si="112"/>
        <v>0</v>
      </c>
      <c r="AN112" s="72" t="b">
        <f t="shared" si="113"/>
        <v>0</v>
      </c>
      <c r="AO112" s="72" t="b">
        <f t="shared" si="114"/>
        <v>0</v>
      </c>
      <c r="AS112" s="72">
        <f t="shared" si="115"/>
        <v>0</v>
      </c>
      <c r="AT112" s="72">
        <f t="shared" si="116"/>
        <v>0</v>
      </c>
      <c r="AU112" s="72">
        <f t="shared" si="125"/>
        <v>0</v>
      </c>
      <c r="AV112" s="72">
        <f t="shared" si="117"/>
        <v>0</v>
      </c>
      <c r="AW112" s="72">
        <f t="shared" si="118"/>
        <v>0</v>
      </c>
      <c r="AX112" s="72">
        <f t="shared" si="119"/>
        <v>0</v>
      </c>
      <c r="AY112" s="72">
        <f t="shared" si="120"/>
        <v>0</v>
      </c>
      <c r="AZ112" s="72">
        <f t="shared" si="121"/>
        <v>0</v>
      </c>
      <c r="BA112" s="72" t="e">
        <f t="shared" si="122"/>
        <v>#N/A</v>
      </c>
      <c r="BB112" s="72" t="e">
        <f t="shared" si="127"/>
        <v>#N/A</v>
      </c>
      <c r="BC112" s="77"/>
      <c r="BE112">
        <f t="shared" si="103"/>
        <v>0</v>
      </c>
      <c r="BF112" s="196"/>
      <c r="BG112" s="196"/>
      <c r="BH112" s="196"/>
      <c r="BI112" s="196"/>
      <c r="BJ112" s="196"/>
      <c r="BK112" s="196"/>
    </row>
    <row r="113" spans="2:63" ht="13.15" hidden="1" customHeight="1">
      <c r="B113" s="72"/>
      <c r="C113" s="135"/>
      <c r="D113" s="78"/>
      <c r="E113" s="78"/>
      <c r="F113" s="72"/>
      <c r="G113" s="72"/>
      <c r="H113" s="72"/>
      <c r="I113" s="73">
        <f t="shared" si="126"/>
        <v>0</v>
      </c>
      <c r="J113" s="78"/>
      <c r="K113" s="73"/>
      <c r="L113" s="74" t="e">
        <f>_xlfn.IFNA(VLOOKUP(C113,'חד גזעי'!$U$3:$V$509,2,0),VLOOKUP(C113,'חד גזעי'!$U$3:$V$509,2))</f>
        <v>#N/A</v>
      </c>
      <c r="M113" s="73"/>
      <c r="N113" s="72" t="e">
        <f>_xlfn.IFNA(IF(VLOOKUP(C113,'חד גזעי'!$AH$2:$AH$7,1,FALSE)&gt;0,0,IF('חד גזעי'!$AM$5="כן",IF(_xlfn.IFNA(VLOOKUP(C113,'חד גזעי'!$AH$2:$AH$33,1,FALSE),SUM(J113:M113))&lt;21,_xlfn.IFNA(VLOOKUP(C113,'חד גזעי'!$AH$2:$AH$33,1,FALSE),SUM(J113:M113)),0),SUM(J113:M113))),IF('חד גזעי'!$AM$5="כן",IF(_xlfn.IFNA(VLOOKUP(C113,'חד גזעי'!$AH$2:$AH$33,1,FALSE),SUM(J113:M113))&lt;21,_xlfn.IFNA(VLOOKUP(C113,'חד גזעי'!$AH$2:$AH$33,1,FALSE),SUM(J113:M113)),0),SUM(J113:M113)))</f>
        <v>#N/A</v>
      </c>
      <c r="O113" s="72">
        <f>IF('חד גזעי'!$AM$3 = "כן",IF(T113&gt;4,4,T113),T113)</f>
        <v>0</v>
      </c>
      <c r="P113" s="80">
        <f>IF(E113&lt;2,0,IF(Z113&gt;0,Z113,IF(N113 = 0,0,IF('חד גזעי'!$AM$2 = "לא",IF(F113&gt;19,W113,0),IF(F113&gt;9,Y113,0)))))</f>
        <v>0</v>
      </c>
      <c r="Q113" s="77"/>
      <c r="R113" s="76"/>
      <c r="S113" t="e">
        <f>VLOOKUP(C113,'חד גזעי'!$Y$4:$Y$18,1,0)</f>
        <v>#N/A</v>
      </c>
      <c r="T113" s="72">
        <f>IF('חד גזעי'!$AM$6="לא",IF(P113=0,IF(BC113="שימור",IF('חד גזעי'!$AM$4="לא",IF(BC113="לא בוגר",0,IF(BC113="לא קיים",0,IF(J113=0,0,I113*0.1))),IF(BC113="לא בוגר",0,IF(BC113="לא קיים",0,IF(AB113=1,I113*0.1,E113*0.5)))),0),IF('חד גזעי'!$AM$4="לא",IF(BC113="לא בוגר",0,IF(BC113="לא קיים",0,IF(J113=0,0,I113*0.1))),IF(BC113="לא בוגר",0,IF(BC113="לא קיים",0,IF(AB113=1,I113*0.1,E113*0.5))))),IF(P113=0,IF(BC113="שימור",IF('חד גזעי'!$AM$4="לא",IF(BC113="לא בוגר",0,IF(BC113="לא קיים",0,IF(J113=0,0,I113*0.15))),IF(BC113="לא בוגר",0,IF(BC113="לא קיים",0,IF(AB113=1,I113*0.15,E113*0.5)))),0),IF('חד גזעי'!$AM$4="לא",IF(BC113="לא בוגר",0,IF(BC113="לא קיים",0,IF(J113=0,0,I113*0.15))),IF(BC113="לא בוגר",0,IF(BC113="לא קיים",0,IF(AB113=1,I113*0.15,E113*0.5))))))</f>
        <v>0</v>
      </c>
      <c r="V113" t="e">
        <f t="shared" si="78"/>
        <v>#N/A</v>
      </c>
      <c r="W113" t="e">
        <f t="shared" si="79"/>
        <v>#N/A</v>
      </c>
      <c r="X113" t="e">
        <f t="shared" si="80"/>
        <v>#N/A</v>
      </c>
      <c r="Y113">
        <f>IF('חד גזעי'!$AM$2 = "לא",0,IF(F113&gt;9,W113,0))</f>
        <v>0</v>
      </c>
      <c r="Z113">
        <f>IF('חד גזעי'!$AM$7 = "לא",0,IF(C113 = "זית אירופי",IF('חד גזעי'!$AN$7 &lt;=סקר!F113,W113,0),IF(C113 = "חרוב מצוי",IF('חד גזעי'!$AN$7 &lt;=סקר!F113,W113,0),0)))</f>
        <v>0</v>
      </c>
      <c r="AB113">
        <f t="shared" si="106"/>
        <v>1</v>
      </c>
      <c r="AC113" s="72"/>
      <c r="AD113" t="e">
        <f t="shared" si="124"/>
        <v>#N/A</v>
      </c>
      <c r="AE113" s="72"/>
      <c r="AF113" s="72" t="e">
        <f t="shared" si="107"/>
        <v>#N/A</v>
      </c>
      <c r="AG113" s="72" t="e">
        <f>IF('חד גזעי'!$AM$5="לא",(VLOOKUP(C113,'חד גזעי'!$P$1:$S$589,3,FALSE)),(VLOOKUP(C113,'חד גזעי'!$P$1:$S$589,4,FALSE)))</f>
        <v>#N/A</v>
      </c>
      <c r="AH113" s="72">
        <f t="shared" si="108"/>
        <v>0</v>
      </c>
      <c r="AI113" s="72">
        <f t="shared" si="109"/>
        <v>0</v>
      </c>
      <c r="AJ113" s="72">
        <f t="shared" si="110"/>
        <v>0</v>
      </c>
      <c r="AK113" s="72" t="e">
        <f t="shared" si="111"/>
        <v>#N/A</v>
      </c>
      <c r="AL113" t="e">
        <f>VLOOKUP(C113,'חד גזעי'!$AH$8:$AI$33,2,FALSE)</f>
        <v>#N/A</v>
      </c>
      <c r="AM113" s="72" t="b">
        <f t="shared" si="112"/>
        <v>0</v>
      </c>
      <c r="AN113" s="72" t="b">
        <f t="shared" si="113"/>
        <v>0</v>
      </c>
      <c r="AO113" s="72" t="b">
        <f t="shared" si="114"/>
        <v>0</v>
      </c>
      <c r="AS113" s="72">
        <f t="shared" si="115"/>
        <v>0</v>
      </c>
      <c r="AT113" s="72">
        <f t="shared" si="116"/>
        <v>0</v>
      </c>
      <c r="AU113" s="72">
        <f t="shared" si="125"/>
        <v>0</v>
      </c>
      <c r="AV113" s="72">
        <f t="shared" si="117"/>
        <v>0</v>
      </c>
      <c r="AW113" s="72">
        <f t="shared" si="118"/>
        <v>0</v>
      </c>
      <c r="AX113" s="72">
        <f t="shared" si="119"/>
        <v>0</v>
      </c>
      <c r="AY113" s="72">
        <f t="shared" si="120"/>
        <v>0</v>
      </c>
      <c r="AZ113" s="72">
        <f t="shared" si="121"/>
        <v>0</v>
      </c>
      <c r="BA113" s="72" t="e">
        <f t="shared" si="122"/>
        <v>#N/A</v>
      </c>
      <c r="BB113" s="72" t="e">
        <f t="shared" si="127"/>
        <v>#N/A</v>
      </c>
      <c r="BC113" s="77"/>
      <c r="BE113">
        <f t="shared" si="103"/>
        <v>0</v>
      </c>
      <c r="BF113" s="196"/>
      <c r="BG113" s="196"/>
      <c r="BH113" s="196"/>
      <c r="BI113" s="196"/>
      <c r="BJ113" s="196"/>
      <c r="BK113" s="196"/>
    </row>
    <row r="114" spans="2:63" ht="13.15" hidden="1" customHeight="1">
      <c r="B114" s="72"/>
      <c r="C114" s="135"/>
      <c r="D114" s="78"/>
      <c r="E114" s="78"/>
      <c r="F114" s="72"/>
      <c r="G114" s="72"/>
      <c r="H114" s="72"/>
      <c r="I114" s="73">
        <f t="shared" si="126"/>
        <v>0</v>
      </c>
      <c r="J114" s="78"/>
      <c r="K114" s="73"/>
      <c r="L114" s="74" t="e">
        <f>_xlfn.IFNA(VLOOKUP(C114,'חד גזעי'!$U$3:$V$509,2,0),VLOOKUP(C114,'חד גזעי'!$U$3:$V$509,2))</f>
        <v>#N/A</v>
      </c>
      <c r="M114" s="73"/>
      <c r="N114" s="72" t="e">
        <f>_xlfn.IFNA(IF(VLOOKUP(C114,'חד גזעי'!$AH$2:$AH$7,1,FALSE)&gt;0,0,IF('חד גזעי'!$AM$5="כן",IF(_xlfn.IFNA(VLOOKUP(C114,'חד גזעי'!$AH$2:$AH$33,1,FALSE),SUM(J114:M114))&lt;21,_xlfn.IFNA(VLOOKUP(C114,'חד גזעי'!$AH$2:$AH$33,1,FALSE),SUM(J114:M114)),0),SUM(J114:M114))),IF('חד גזעי'!$AM$5="כן",IF(_xlfn.IFNA(VLOOKUP(C114,'חד גזעי'!$AH$2:$AH$33,1,FALSE),SUM(J114:M114))&lt;21,_xlfn.IFNA(VLOOKUP(C114,'חד גזעי'!$AH$2:$AH$33,1,FALSE),SUM(J114:M114)),0),SUM(J114:M114)))</f>
        <v>#N/A</v>
      </c>
      <c r="O114" s="72">
        <f>IF('חד גזעי'!$AM$3 = "כן",IF(T114&gt;4,4,T114),T114)</f>
        <v>0</v>
      </c>
      <c r="P114" s="80">
        <f>IF(E114&lt;2,0,IF(Z114&gt;0,Z114,IF(N114 = 0,0,IF('חד גזעי'!$AM$2 = "לא",IF(F114&gt;19,W114,0),IF(F114&gt;9,Y114,0)))))</f>
        <v>0</v>
      </c>
      <c r="Q114" s="77"/>
      <c r="R114" s="76"/>
      <c r="S114" t="e">
        <f>VLOOKUP(C114,'חד גזעי'!$Y$4:$Y$18,1,0)</f>
        <v>#N/A</v>
      </c>
      <c r="T114" s="72">
        <f>IF('חד גזעי'!$AM$6="לא",IF(P114=0,IF(BC114="שימור",IF('חד גזעי'!$AM$4="לא",IF(BC114="לא בוגר",0,IF(BC114="לא קיים",0,IF(J114=0,0,I114*0.1))),IF(BC114="לא בוגר",0,IF(BC114="לא קיים",0,IF(AB114=1,I114*0.1,E114*0.5)))),0),IF('חד גזעי'!$AM$4="לא",IF(BC114="לא בוגר",0,IF(BC114="לא קיים",0,IF(J114=0,0,I114*0.1))),IF(BC114="לא בוגר",0,IF(BC114="לא קיים",0,IF(AB114=1,I114*0.1,E114*0.5))))),IF(P114=0,IF(BC114="שימור",IF('חד גזעי'!$AM$4="לא",IF(BC114="לא בוגר",0,IF(BC114="לא קיים",0,IF(J114=0,0,I114*0.15))),IF(BC114="לא בוגר",0,IF(BC114="לא קיים",0,IF(AB114=1,I114*0.15,E114*0.5)))),0),IF('חד גזעי'!$AM$4="לא",IF(BC114="לא בוגר",0,IF(BC114="לא קיים",0,IF(J114=0,0,I114*0.15))),IF(BC114="לא בוגר",0,IF(BC114="לא קיים",0,IF(AB114=1,I114*0.15,E114*0.5))))))</f>
        <v>0</v>
      </c>
      <c r="V114" t="e">
        <f t="shared" si="78"/>
        <v>#N/A</v>
      </c>
      <c r="W114" t="e">
        <f t="shared" si="79"/>
        <v>#N/A</v>
      </c>
      <c r="X114" t="e">
        <f t="shared" si="80"/>
        <v>#N/A</v>
      </c>
      <c r="Y114">
        <f>IF('חד גזעי'!$AM$2 = "לא",0,IF(F114&gt;9,W114,0))</f>
        <v>0</v>
      </c>
      <c r="Z114">
        <f>IF('חד גזעי'!$AM$7 = "לא",0,IF(C114 = "זית אירופי",IF('חד גזעי'!$AN$7 &lt;=סקר!F114,W114,0),IF(C114 = "חרוב מצוי",IF('חד גזעי'!$AN$7 &lt;=סקר!F114,W114,0),0)))</f>
        <v>0</v>
      </c>
      <c r="AB114">
        <f t="shared" si="106"/>
        <v>1</v>
      </c>
      <c r="AC114" s="72"/>
      <c r="AD114" t="e">
        <f t="shared" si="124"/>
        <v>#N/A</v>
      </c>
      <c r="AE114" s="72"/>
      <c r="AF114" s="72" t="e">
        <f t="shared" si="107"/>
        <v>#N/A</v>
      </c>
      <c r="AG114" s="72" t="e">
        <f>IF('חד גזעי'!$AM$5="לא",(VLOOKUP(C114,'חד גזעי'!$P$1:$S$589,3,FALSE)),(VLOOKUP(C114,'חד גזעי'!$P$1:$S$589,4,FALSE)))</f>
        <v>#N/A</v>
      </c>
      <c r="AH114" s="72">
        <f t="shared" si="108"/>
        <v>0</v>
      </c>
      <c r="AI114" s="72">
        <f t="shared" si="109"/>
        <v>0</v>
      </c>
      <c r="AJ114" s="72">
        <f t="shared" si="110"/>
        <v>0</v>
      </c>
      <c r="AK114" s="72" t="e">
        <f t="shared" si="111"/>
        <v>#N/A</v>
      </c>
      <c r="AL114" t="e">
        <f>VLOOKUP(C114,'חד גזעי'!$AH$8:$AI$33,2,FALSE)</f>
        <v>#N/A</v>
      </c>
      <c r="AM114" s="72" t="b">
        <f t="shared" si="112"/>
        <v>0</v>
      </c>
      <c r="AN114" s="72" t="b">
        <f t="shared" si="113"/>
        <v>0</v>
      </c>
      <c r="AO114" s="72" t="b">
        <f t="shared" si="114"/>
        <v>0</v>
      </c>
      <c r="AS114" s="72">
        <f t="shared" si="115"/>
        <v>0</v>
      </c>
      <c r="AT114" s="72">
        <f t="shared" si="116"/>
        <v>0</v>
      </c>
      <c r="AU114" s="72">
        <f t="shared" si="125"/>
        <v>0</v>
      </c>
      <c r="AV114" s="72">
        <f t="shared" si="117"/>
        <v>0</v>
      </c>
      <c r="AW114" s="72">
        <f t="shared" si="118"/>
        <v>0</v>
      </c>
      <c r="AX114" s="72">
        <f t="shared" si="119"/>
        <v>0</v>
      </c>
      <c r="AY114" s="72">
        <f t="shared" si="120"/>
        <v>0</v>
      </c>
      <c r="AZ114" s="72">
        <f t="shared" si="121"/>
        <v>0</v>
      </c>
      <c r="BA114" s="72" t="e">
        <f t="shared" si="122"/>
        <v>#N/A</v>
      </c>
      <c r="BB114" s="72" t="e">
        <f t="shared" si="127"/>
        <v>#N/A</v>
      </c>
      <c r="BC114" s="77"/>
      <c r="BE114">
        <f t="shared" si="103"/>
        <v>0</v>
      </c>
      <c r="BF114" s="72"/>
      <c r="BG114" s="72"/>
      <c r="BH114" s="72"/>
      <c r="BI114" s="72"/>
      <c r="BJ114" s="72"/>
      <c r="BK114" s="72"/>
    </row>
    <row r="115" spans="2:63" ht="13.15" hidden="1" customHeight="1">
      <c r="B115" s="72"/>
      <c r="C115" s="135"/>
      <c r="D115" s="78"/>
      <c r="E115" s="78"/>
      <c r="F115" s="72"/>
      <c r="G115" s="72"/>
      <c r="H115" s="72"/>
      <c r="I115" s="73">
        <f t="shared" si="126"/>
        <v>0</v>
      </c>
      <c r="J115" s="78"/>
      <c r="K115" s="73"/>
      <c r="L115" s="74" t="e">
        <f>_xlfn.IFNA(VLOOKUP(C115,'חד גזעי'!$U$3:$V$509,2,0),VLOOKUP(C115,'חד גזעי'!$U$3:$V$509,2))</f>
        <v>#N/A</v>
      </c>
      <c r="M115" s="73"/>
      <c r="N115" s="72" t="e">
        <f>_xlfn.IFNA(IF(VLOOKUP(C115,'חד גזעי'!$AH$2:$AH$7,1,FALSE)&gt;0,0,IF('חד גזעי'!$AM$5="כן",IF(_xlfn.IFNA(VLOOKUP(C115,'חד גזעי'!$AH$2:$AH$33,1,FALSE),SUM(J115:M115))&lt;21,_xlfn.IFNA(VLOOKUP(C115,'חד גזעי'!$AH$2:$AH$33,1,FALSE),SUM(J115:M115)),0),SUM(J115:M115))),IF('חד גזעי'!$AM$5="כן",IF(_xlfn.IFNA(VLOOKUP(C115,'חד גזעי'!$AH$2:$AH$33,1,FALSE),SUM(J115:M115))&lt;21,_xlfn.IFNA(VLOOKUP(C115,'חד גזעי'!$AH$2:$AH$33,1,FALSE),SUM(J115:M115)),0),SUM(J115:M115)))</f>
        <v>#N/A</v>
      </c>
      <c r="O115" s="72">
        <f>IF('חד גזעי'!$AM$3 = "כן",IF(T115&gt;4,4,T115),T115)</f>
        <v>0</v>
      </c>
      <c r="P115" s="80">
        <f>IF(E115&lt;2,0,IF(Z115&gt;0,Z115,IF(N115 = 0,0,IF('חד גזעי'!$AM$2 = "לא",IF(F115&gt;19,W115,0),IF(F115&gt;9,Y115,0)))))</f>
        <v>0</v>
      </c>
      <c r="Q115" s="77"/>
      <c r="R115" s="75"/>
      <c r="S115" t="e">
        <f>VLOOKUP(C115,'חד גזעי'!$Y$4:$Y$18,1,0)</f>
        <v>#N/A</v>
      </c>
      <c r="T115" s="72">
        <f>IF('חד גזעי'!$AM$6="לא",IF(P115=0,IF(BC115="שימור",IF('חד גזעי'!$AM$4="לא",IF(BC115="לא בוגר",0,IF(BC115="לא קיים",0,IF(J115=0,0,I115*0.1))),IF(BC115="לא בוגר",0,IF(BC115="לא קיים",0,IF(AB115=1,I115*0.1,E115*0.5)))),0),IF('חד גזעי'!$AM$4="לא",IF(BC115="לא בוגר",0,IF(BC115="לא קיים",0,IF(J115=0,0,I115*0.1))),IF(BC115="לא בוגר",0,IF(BC115="לא קיים",0,IF(AB115=1,I115*0.1,E115*0.5))))),IF(P115=0,IF(BC115="שימור",IF('חד גזעי'!$AM$4="לא",IF(BC115="לא בוגר",0,IF(BC115="לא קיים",0,IF(J115=0,0,I115*0.15))),IF(BC115="לא בוגר",0,IF(BC115="לא קיים",0,IF(AB115=1,I115*0.15,E115*0.5)))),0),IF('חד גזעי'!$AM$4="לא",IF(BC115="לא בוגר",0,IF(BC115="לא קיים",0,IF(J115=0,0,I115*0.15))),IF(BC115="לא בוגר",0,IF(BC115="לא קיים",0,IF(AB115=1,I115*0.15,E115*0.5))))))</f>
        <v>0</v>
      </c>
      <c r="V115" t="e">
        <f t="shared" si="78"/>
        <v>#N/A</v>
      </c>
      <c r="W115" t="e">
        <f t="shared" si="79"/>
        <v>#N/A</v>
      </c>
      <c r="X115" t="e">
        <f t="shared" si="80"/>
        <v>#N/A</v>
      </c>
      <c r="Y115">
        <f>IF('חד גזעי'!$AM$2 = "לא",0,IF(F115&gt;9,W115,0))</f>
        <v>0</v>
      </c>
      <c r="Z115">
        <f>IF('חד גזעי'!$AM$7 = "לא",0,IF(C115 = "זית אירופי",IF('חד גזעי'!$AN$7 &lt;=סקר!F115,W115,0),IF(C115 = "חרוב מצוי",IF('חד גזעי'!$AN$7 &lt;=סקר!F115,W115,0),0)))</f>
        <v>0</v>
      </c>
      <c r="AB115">
        <f t="shared" si="106"/>
        <v>1</v>
      </c>
      <c r="AC115" s="72"/>
      <c r="AD115" t="e">
        <f t="shared" si="124"/>
        <v>#N/A</v>
      </c>
      <c r="AE115" s="72"/>
      <c r="AF115" s="72" t="e">
        <f t="shared" si="107"/>
        <v>#N/A</v>
      </c>
      <c r="AG115" s="72" t="e">
        <f>IF('חד גזעי'!$AM$5="לא",(VLOOKUP(C115,'חד גזעי'!$P$1:$S$589,3,FALSE)),(VLOOKUP(C115,'חד גזעי'!$P$1:$S$589,4,FALSE)))</f>
        <v>#N/A</v>
      </c>
      <c r="AH115" s="72">
        <f t="shared" si="108"/>
        <v>0</v>
      </c>
      <c r="AI115" s="72">
        <f t="shared" si="109"/>
        <v>0</v>
      </c>
      <c r="AJ115" s="72">
        <f t="shared" si="110"/>
        <v>0</v>
      </c>
      <c r="AK115" s="72" t="e">
        <f t="shared" si="111"/>
        <v>#N/A</v>
      </c>
      <c r="AL115" t="e">
        <f>VLOOKUP(C115,'חד גזעי'!$AH$8:$AI$33,2,FALSE)</f>
        <v>#N/A</v>
      </c>
      <c r="AM115" s="72" t="b">
        <f t="shared" si="112"/>
        <v>0</v>
      </c>
      <c r="AN115" s="72" t="b">
        <f t="shared" si="113"/>
        <v>0</v>
      </c>
      <c r="AO115" s="72" t="b">
        <f t="shared" si="114"/>
        <v>0</v>
      </c>
      <c r="AS115" s="72">
        <f t="shared" si="115"/>
        <v>0</v>
      </c>
      <c r="AT115" s="72">
        <f t="shared" si="116"/>
        <v>0</v>
      </c>
      <c r="AU115" s="72">
        <f t="shared" si="125"/>
        <v>0</v>
      </c>
      <c r="AV115" s="72">
        <f t="shared" si="117"/>
        <v>0</v>
      </c>
      <c r="AW115" s="72">
        <f t="shared" si="118"/>
        <v>0</v>
      </c>
      <c r="AX115" s="72">
        <f t="shared" si="119"/>
        <v>0</v>
      </c>
      <c r="AY115" s="72">
        <f t="shared" si="120"/>
        <v>0</v>
      </c>
      <c r="AZ115" s="72">
        <f t="shared" si="121"/>
        <v>0</v>
      </c>
      <c r="BA115" s="72" t="e">
        <f t="shared" si="122"/>
        <v>#N/A</v>
      </c>
      <c r="BB115" s="72" t="e">
        <f t="shared" si="127"/>
        <v>#N/A</v>
      </c>
      <c r="BC115" s="77"/>
      <c r="BE115">
        <f t="shared" si="103"/>
        <v>0</v>
      </c>
      <c r="BF115" s="196" t="str">
        <f>BF134</f>
        <v>C:\Users\origr\Pictures\0.jpg</v>
      </c>
      <c r="BG115" s="196" t="str">
        <f t="shared" ref="BG115:BK115" si="128">BG134</f>
        <v>C:\Users\origr\Pictures\0.jpg</v>
      </c>
      <c r="BH115" s="196" t="str">
        <f t="shared" si="128"/>
        <v>C:\Users\origr\Pictures\0.jpg</v>
      </c>
      <c r="BI115" s="196" t="str">
        <f t="shared" si="128"/>
        <v>C:\Users\origr\Pictures\0.jpg</v>
      </c>
      <c r="BJ115" s="196" t="str">
        <f t="shared" si="128"/>
        <v>C:\Users\origr\Pictures\0.jpg</v>
      </c>
      <c r="BK115" s="196" t="str">
        <f t="shared" si="128"/>
        <v>C:\Users\origr\Pictures\0.jpg</v>
      </c>
    </row>
    <row r="116" spans="2:63" ht="13.15" hidden="1" customHeight="1">
      <c r="B116" s="72"/>
      <c r="C116" s="135"/>
      <c r="D116" s="78"/>
      <c r="E116" s="78"/>
      <c r="F116" s="72"/>
      <c r="G116" s="72"/>
      <c r="H116" s="72"/>
      <c r="I116" s="73">
        <f t="shared" si="126"/>
        <v>0</v>
      </c>
      <c r="J116" s="78"/>
      <c r="K116" s="73"/>
      <c r="L116" s="74" t="e">
        <f>_xlfn.IFNA(VLOOKUP(C116,'חד גזעי'!$U$3:$V$509,2,0),VLOOKUP(C116,'חד גזעי'!$U$3:$V$509,2))</f>
        <v>#N/A</v>
      </c>
      <c r="M116" s="73"/>
      <c r="N116" s="72" t="e">
        <f>_xlfn.IFNA(IF(VLOOKUP(C116,'חד גזעי'!$AH$2:$AH$7,1,FALSE)&gt;0,0,IF('חד גזעי'!$AM$5="כן",IF(_xlfn.IFNA(VLOOKUP(C116,'חד גזעי'!$AH$2:$AH$33,1,FALSE),SUM(J116:M116))&lt;21,_xlfn.IFNA(VLOOKUP(C116,'חד גזעי'!$AH$2:$AH$33,1,FALSE),SUM(J116:M116)),0),SUM(J116:M116))),IF('חד גזעי'!$AM$5="כן",IF(_xlfn.IFNA(VLOOKUP(C116,'חד גזעי'!$AH$2:$AH$33,1,FALSE),SUM(J116:M116))&lt;21,_xlfn.IFNA(VLOOKUP(C116,'חד גזעי'!$AH$2:$AH$33,1,FALSE),SUM(J116:M116)),0),SUM(J116:M116)))</f>
        <v>#N/A</v>
      </c>
      <c r="O116" s="72">
        <f>IF('חד גזעי'!$AM$3 = "כן",IF(T116&gt;4,4,T116),T116)</f>
        <v>0</v>
      </c>
      <c r="P116" s="80">
        <f>IF(E116&lt;2,0,IF(Z116&gt;0,Z116,IF(N116 = 0,0,IF('חד גזעי'!$AM$2 = "לא",IF(F116&gt;19,W116,0),IF(F116&gt;9,Y116,0)))))</f>
        <v>0</v>
      </c>
      <c r="Q116" s="77"/>
      <c r="R116" s="76"/>
      <c r="S116" t="e">
        <f>VLOOKUP(C116,'חד גזעי'!$Y$4:$Y$18,1,0)</f>
        <v>#N/A</v>
      </c>
      <c r="T116" s="72">
        <f>IF('חד גזעי'!$AM$6="לא",IF(P116=0,IF(BC116="שימור",IF('חד גזעי'!$AM$4="לא",IF(BC116="לא בוגר",0,IF(BC116="לא קיים",0,IF(J116=0,0,I116*0.1))),IF(BC116="לא בוגר",0,IF(BC116="לא קיים",0,IF(AB116=1,I116*0.1,E116*0.5)))),0),IF('חד גזעי'!$AM$4="לא",IF(BC116="לא בוגר",0,IF(BC116="לא קיים",0,IF(J116=0,0,I116*0.1))),IF(BC116="לא בוגר",0,IF(BC116="לא קיים",0,IF(AB116=1,I116*0.1,E116*0.5))))),IF(P116=0,IF(BC116="שימור",IF('חד גזעי'!$AM$4="לא",IF(BC116="לא בוגר",0,IF(BC116="לא קיים",0,IF(J116=0,0,I116*0.15))),IF(BC116="לא בוגר",0,IF(BC116="לא קיים",0,IF(AB116=1,I116*0.15,E116*0.5)))),0),IF('חד גזעי'!$AM$4="לא",IF(BC116="לא בוגר",0,IF(BC116="לא קיים",0,IF(J116=0,0,I116*0.15))),IF(BC116="לא בוגר",0,IF(BC116="לא קיים",0,IF(AB116=1,I116*0.15,E116*0.5))))))</f>
        <v>0</v>
      </c>
      <c r="V116" t="e">
        <f t="shared" si="78"/>
        <v>#N/A</v>
      </c>
      <c r="W116" t="e">
        <f t="shared" si="79"/>
        <v>#N/A</v>
      </c>
      <c r="X116" t="e">
        <f t="shared" si="80"/>
        <v>#N/A</v>
      </c>
      <c r="Y116">
        <f>IF('חד גזעי'!$AM$2 = "לא",0,IF(F116&gt;9,W116,0))</f>
        <v>0</v>
      </c>
      <c r="Z116">
        <f>IF('חד גזעי'!$AM$7 = "לא",0,IF(C116 = "זית אירופי",IF('חד גזעי'!$AN$7 &lt;=סקר!F116,W116,0),IF(C116 = "חרוב מצוי",IF('חד גזעי'!$AN$7 &lt;=סקר!F116,W116,0),0)))</f>
        <v>0</v>
      </c>
      <c r="AB116">
        <f t="shared" si="106"/>
        <v>1</v>
      </c>
      <c r="AC116" s="72"/>
      <c r="AD116" t="e">
        <f t="shared" si="124"/>
        <v>#N/A</v>
      </c>
      <c r="AE116" s="72"/>
      <c r="AF116" s="72" t="e">
        <f t="shared" si="107"/>
        <v>#N/A</v>
      </c>
      <c r="AG116" s="72" t="e">
        <f>IF('חד גזעי'!$AM$5="לא",(VLOOKUP(C116,'חד גזעי'!$P$1:$S$589,3,FALSE)),(VLOOKUP(C116,'חד גזעי'!$P$1:$S$589,4,FALSE)))</f>
        <v>#N/A</v>
      </c>
      <c r="AH116" s="72">
        <f t="shared" si="108"/>
        <v>0</v>
      </c>
      <c r="AI116" s="72">
        <f t="shared" si="109"/>
        <v>0</v>
      </c>
      <c r="AJ116" s="72">
        <f t="shared" si="110"/>
        <v>0</v>
      </c>
      <c r="AK116" s="72" t="e">
        <f t="shared" si="111"/>
        <v>#N/A</v>
      </c>
      <c r="AL116" t="e">
        <f>VLOOKUP(C116,'חד גזעי'!$AH$8:$AI$33,2,FALSE)</f>
        <v>#N/A</v>
      </c>
      <c r="AM116" s="72" t="b">
        <f t="shared" si="112"/>
        <v>0</v>
      </c>
      <c r="AN116" s="72" t="b">
        <f t="shared" si="113"/>
        <v>0</v>
      </c>
      <c r="AO116" s="72" t="b">
        <f t="shared" si="114"/>
        <v>0</v>
      </c>
      <c r="AS116" s="72">
        <f t="shared" si="115"/>
        <v>0</v>
      </c>
      <c r="AT116" s="72">
        <f t="shared" si="116"/>
        <v>0</v>
      </c>
      <c r="AU116" s="72">
        <f t="shared" si="125"/>
        <v>0</v>
      </c>
      <c r="AV116" s="72">
        <f t="shared" si="117"/>
        <v>0</v>
      </c>
      <c r="AW116" s="72">
        <f t="shared" si="118"/>
        <v>0</v>
      </c>
      <c r="AX116" s="72">
        <f t="shared" si="119"/>
        <v>0</v>
      </c>
      <c r="AY116" s="72">
        <f t="shared" si="120"/>
        <v>0</v>
      </c>
      <c r="AZ116" s="72">
        <f t="shared" si="121"/>
        <v>0</v>
      </c>
      <c r="BA116" s="72" t="e">
        <f t="shared" si="122"/>
        <v>#N/A</v>
      </c>
      <c r="BB116" s="72" t="e">
        <f t="shared" si="127"/>
        <v>#N/A</v>
      </c>
      <c r="BC116" s="77"/>
      <c r="BE116">
        <f t="shared" si="103"/>
        <v>0</v>
      </c>
      <c r="BF116" s="196"/>
      <c r="BG116" s="196"/>
      <c r="BH116" s="196"/>
      <c r="BI116" s="196"/>
      <c r="BJ116" s="196"/>
      <c r="BK116" s="196"/>
    </row>
    <row r="117" spans="2:63" ht="13.9" hidden="1" customHeight="1">
      <c r="B117" s="72"/>
      <c r="C117" s="135"/>
      <c r="D117" s="78"/>
      <c r="E117" s="78"/>
      <c r="F117" s="72"/>
      <c r="G117" s="72"/>
      <c r="H117" s="72"/>
      <c r="I117" s="73">
        <f t="shared" si="126"/>
        <v>0</v>
      </c>
      <c r="J117" s="78"/>
      <c r="K117" s="73"/>
      <c r="L117" s="74" t="e">
        <f>_xlfn.IFNA(VLOOKUP(C117,'חד גזעי'!$U$3:$V$509,2,0),VLOOKUP(C117,'חד גזעי'!$U$3:$V$509,2))</f>
        <v>#N/A</v>
      </c>
      <c r="M117" s="73"/>
      <c r="N117" s="72" t="e">
        <f>_xlfn.IFNA(IF(VLOOKUP(C117,'חד גזעי'!$AH$2:$AH$7,1,FALSE)&gt;0,0,IF('חד גזעי'!$AM$5="כן",IF(_xlfn.IFNA(VLOOKUP(C117,'חד גזעי'!$AH$2:$AH$33,1,FALSE),SUM(J117:M117))&lt;21,_xlfn.IFNA(VLOOKUP(C117,'חד גזעי'!$AH$2:$AH$33,1,FALSE),SUM(J117:M117)),0),SUM(J117:M117))),IF('חד גזעי'!$AM$5="כן",IF(_xlfn.IFNA(VLOOKUP(C117,'חד גזעי'!$AH$2:$AH$33,1,FALSE),SUM(J117:M117))&lt;21,_xlfn.IFNA(VLOOKUP(C117,'חד גזעי'!$AH$2:$AH$33,1,FALSE),SUM(J117:M117)),0),SUM(J117:M117)))</f>
        <v>#N/A</v>
      </c>
      <c r="O117" s="72">
        <f>IF('חד גזעי'!$AM$3 = "כן",IF(T117&gt;4,4,T117),T117)</f>
        <v>0</v>
      </c>
      <c r="P117" s="80">
        <f>IF(E117&lt;2,0,IF(Z117&gt;0,Z117,IF(N117 = 0,0,IF('חד גזעי'!$AM$2 = "לא",IF(F117&gt;19,W117,0),IF(F117&gt;9,Y117,0)))))</f>
        <v>0</v>
      </c>
      <c r="Q117" s="77"/>
      <c r="R117" s="76"/>
      <c r="S117" t="e">
        <f>VLOOKUP(C117,'חד גזעי'!$Y$4:$Y$18,1,0)</f>
        <v>#N/A</v>
      </c>
      <c r="T117" s="72">
        <f>IF('חד גזעי'!$AM$6="לא",IF(P117=0,IF(BC117="שימור",IF('חד גזעי'!$AM$4="לא",IF(BC117="לא בוגר",0,IF(BC117="לא קיים",0,IF(J117=0,0,I117*0.1))),IF(BC117="לא בוגר",0,IF(BC117="לא קיים",0,IF(AB117=1,I117*0.1,E117*0.5)))),0),IF('חד גזעי'!$AM$4="לא",IF(BC117="לא בוגר",0,IF(BC117="לא קיים",0,IF(J117=0,0,I117*0.1))),IF(BC117="לא בוגר",0,IF(BC117="לא קיים",0,IF(AB117=1,I117*0.1,E117*0.5))))),IF(P117=0,IF(BC117="שימור",IF('חד גזעי'!$AM$4="לא",IF(BC117="לא בוגר",0,IF(BC117="לא קיים",0,IF(J117=0,0,I117*0.15))),IF(BC117="לא בוגר",0,IF(BC117="לא קיים",0,IF(AB117=1,I117*0.15,E117*0.5)))),0),IF('חד גזעי'!$AM$4="לא",IF(BC117="לא בוגר",0,IF(BC117="לא קיים",0,IF(J117=0,0,I117*0.15))),IF(BC117="לא בוגר",0,IF(BC117="לא קיים",0,IF(AB117=1,I117*0.15,E117*0.5))))))</f>
        <v>0</v>
      </c>
      <c r="V117" t="e">
        <f t="shared" si="78"/>
        <v>#N/A</v>
      </c>
      <c r="W117" t="e">
        <f t="shared" si="79"/>
        <v>#N/A</v>
      </c>
      <c r="X117" t="e">
        <f t="shared" si="80"/>
        <v>#N/A</v>
      </c>
      <c r="Y117">
        <f>IF('חד גזעי'!$AM$2 = "לא",0,IF(F117&gt;9,W117,0))</f>
        <v>0</v>
      </c>
      <c r="Z117">
        <f>IF('חד גזעי'!$AM$7 = "לא",0,IF(C117 = "זית אירופי",IF('חד גזעי'!$AN$7 &lt;=סקר!F117,W117,0),IF(C117 = "חרוב מצוי",IF('חד גזעי'!$AN$7 &lt;=סקר!F117,W117,0),0)))</f>
        <v>0</v>
      </c>
      <c r="AB117">
        <f t="shared" si="106"/>
        <v>1</v>
      </c>
      <c r="AC117" s="72"/>
      <c r="AD117" t="e">
        <f t="shared" si="124"/>
        <v>#N/A</v>
      </c>
      <c r="AE117" s="72"/>
      <c r="AF117" s="72" t="e">
        <f t="shared" si="107"/>
        <v>#N/A</v>
      </c>
      <c r="AG117" s="72" t="e">
        <f>IF('חד גזעי'!$AM$5="לא",(VLOOKUP(C117,'חד גזעי'!$P$1:$S$589,3,FALSE)),(VLOOKUP(C117,'חד גזעי'!$P$1:$S$589,4,FALSE)))</f>
        <v>#N/A</v>
      </c>
      <c r="AH117" s="72">
        <f t="shared" si="108"/>
        <v>0</v>
      </c>
      <c r="AI117" s="72">
        <f t="shared" si="109"/>
        <v>0</v>
      </c>
      <c r="AJ117" s="72">
        <f t="shared" si="110"/>
        <v>0</v>
      </c>
      <c r="AK117" s="72" t="e">
        <f t="shared" si="111"/>
        <v>#N/A</v>
      </c>
      <c r="AL117" t="e">
        <f>VLOOKUP(C117,'חד גזעי'!$AH$8:$AI$33,2,FALSE)</f>
        <v>#N/A</v>
      </c>
      <c r="AM117" s="72" t="b">
        <f t="shared" si="112"/>
        <v>0</v>
      </c>
      <c r="AN117" s="72" t="b">
        <f t="shared" si="113"/>
        <v>0</v>
      </c>
      <c r="AO117" s="72" t="b">
        <f t="shared" si="114"/>
        <v>0</v>
      </c>
      <c r="AS117" s="72">
        <f t="shared" si="115"/>
        <v>0</v>
      </c>
      <c r="AT117" s="72">
        <f t="shared" si="116"/>
        <v>0</v>
      </c>
      <c r="AU117" s="72">
        <f t="shared" si="125"/>
        <v>0</v>
      </c>
      <c r="AV117" s="72">
        <f t="shared" si="117"/>
        <v>0</v>
      </c>
      <c r="AW117" s="72">
        <f t="shared" si="118"/>
        <v>0</v>
      </c>
      <c r="AX117" s="72">
        <f t="shared" si="119"/>
        <v>0</v>
      </c>
      <c r="AY117" s="72">
        <f t="shared" si="120"/>
        <v>0</v>
      </c>
      <c r="AZ117" s="72">
        <f t="shared" si="121"/>
        <v>0</v>
      </c>
      <c r="BA117" s="72" t="e">
        <f t="shared" si="122"/>
        <v>#N/A</v>
      </c>
      <c r="BB117" s="72" t="e">
        <f t="shared" si="127"/>
        <v>#N/A</v>
      </c>
      <c r="BC117" s="77"/>
      <c r="BE117">
        <f t="shared" si="103"/>
        <v>0</v>
      </c>
      <c r="BF117" s="196"/>
      <c r="BG117" s="196"/>
      <c r="BH117" s="196"/>
      <c r="BI117" s="196"/>
      <c r="BJ117" s="196"/>
      <c r="BK117" s="196"/>
    </row>
    <row r="118" spans="2:63" ht="13.9" hidden="1" customHeight="1">
      <c r="B118" s="72"/>
      <c r="C118" s="135"/>
      <c r="D118" s="78"/>
      <c r="E118" s="78"/>
      <c r="F118" s="72"/>
      <c r="G118" s="72"/>
      <c r="H118" s="72"/>
      <c r="I118" s="73">
        <f t="shared" si="126"/>
        <v>0</v>
      </c>
      <c r="J118" s="78"/>
      <c r="K118" s="73"/>
      <c r="L118" s="74" t="e">
        <f>_xlfn.IFNA(VLOOKUP(C118,'חד גזעי'!$U$3:$V$509,2,0),VLOOKUP(C118,'חד גזעי'!$U$3:$V$509,2))</f>
        <v>#N/A</v>
      </c>
      <c r="M118" s="73"/>
      <c r="N118" s="72" t="e">
        <f>_xlfn.IFNA(IF(VLOOKUP(C118,'חד גזעי'!$AH$2:$AH$7,1,FALSE)&gt;0,0,IF('חד גזעי'!$AM$5="כן",IF(_xlfn.IFNA(VLOOKUP(C118,'חד גזעי'!$AH$2:$AH$33,1,FALSE),SUM(J118:M118))&lt;21,_xlfn.IFNA(VLOOKUP(C118,'חד גזעי'!$AH$2:$AH$33,1,FALSE),SUM(J118:M118)),0),SUM(J118:M118))),IF('חד גזעי'!$AM$5="כן",IF(_xlfn.IFNA(VLOOKUP(C118,'חד גזעי'!$AH$2:$AH$33,1,FALSE),SUM(J118:M118))&lt;21,_xlfn.IFNA(VLOOKUP(C118,'חד גזעי'!$AH$2:$AH$33,1,FALSE),SUM(J118:M118)),0),SUM(J118:M118)))</f>
        <v>#N/A</v>
      </c>
      <c r="O118" s="72">
        <f>IF('חד גזעי'!$AM$3 = "כן",IF(T118&gt;4,4,T118),T118)</f>
        <v>0</v>
      </c>
      <c r="P118" s="80">
        <f>IF(E118&lt;2,0,IF(Z118&gt;0,Z118,IF(N118 = 0,0,IF('חד גזעי'!$AM$2 = "לא",IF(F118&gt;19,W118,0),IF(F118&gt;9,Y118,0)))))</f>
        <v>0</v>
      </c>
      <c r="Q118" s="77"/>
      <c r="R118" s="75"/>
      <c r="S118" t="e">
        <f>VLOOKUP(C118,'חד גזעי'!$Y$4:$Y$18,1,0)</f>
        <v>#N/A</v>
      </c>
      <c r="T118" s="72">
        <f>IF('חד גזעי'!$AM$6="לא",IF(P118=0,IF(BC118="שימור",IF('חד גזעי'!$AM$4="לא",IF(BC118="לא בוגר",0,IF(BC118="לא קיים",0,IF(J118=0,0,I118*0.1))),IF(BC118="לא בוגר",0,IF(BC118="לא קיים",0,IF(AB118=1,I118*0.1,E118*0.5)))),0),IF('חד גזעי'!$AM$4="לא",IF(BC118="לא בוגר",0,IF(BC118="לא קיים",0,IF(J118=0,0,I118*0.1))),IF(BC118="לא בוגר",0,IF(BC118="לא קיים",0,IF(AB118=1,I118*0.1,E118*0.5))))),IF(P118=0,IF(BC118="שימור",IF('חד גזעי'!$AM$4="לא",IF(BC118="לא בוגר",0,IF(BC118="לא קיים",0,IF(J118=0,0,I118*0.15))),IF(BC118="לא בוגר",0,IF(BC118="לא קיים",0,IF(AB118=1,I118*0.15,E118*0.5)))),0),IF('חד גזעי'!$AM$4="לא",IF(BC118="לא בוגר",0,IF(BC118="לא קיים",0,IF(J118=0,0,I118*0.15))),IF(BC118="לא בוגר",0,IF(BC118="לא קיים",0,IF(AB118=1,I118*0.15,E118*0.5))))))</f>
        <v>0</v>
      </c>
      <c r="V118" t="e">
        <f t="shared" si="78"/>
        <v>#N/A</v>
      </c>
      <c r="W118" t="e">
        <f t="shared" si="79"/>
        <v>#N/A</v>
      </c>
      <c r="X118" t="e">
        <f t="shared" si="80"/>
        <v>#N/A</v>
      </c>
      <c r="Y118">
        <f>IF('חד גזעי'!$AM$2 = "לא",0,IF(F118&gt;9,W118,0))</f>
        <v>0</v>
      </c>
      <c r="Z118">
        <f>IF('חד גזעי'!$AM$7 = "לא",0,IF(C118 = "זית אירופי",IF('חד גזעי'!$AN$7 &lt;=סקר!F118,W118,0),IF(C118 = "חרוב מצוי",IF('חד גזעי'!$AN$7 &lt;=סקר!F118,W118,0),0)))</f>
        <v>0</v>
      </c>
      <c r="AB118">
        <f t="shared" si="106"/>
        <v>1</v>
      </c>
      <c r="AC118" s="72"/>
      <c r="AD118" t="e">
        <f t="shared" si="124"/>
        <v>#N/A</v>
      </c>
      <c r="AE118" s="72"/>
      <c r="AF118" s="72" t="e">
        <f t="shared" si="107"/>
        <v>#N/A</v>
      </c>
      <c r="AG118" s="72" t="e">
        <f>IF('חד גזעי'!$AM$5="לא",(VLOOKUP(C118,'חד גזעי'!$P$1:$S$589,3,FALSE)),(VLOOKUP(C118,'חד גזעי'!$P$1:$S$589,4,FALSE)))</f>
        <v>#N/A</v>
      </c>
      <c r="AH118" s="72">
        <f t="shared" si="108"/>
        <v>0</v>
      </c>
      <c r="AI118" s="72">
        <f t="shared" si="109"/>
        <v>0</v>
      </c>
      <c r="AJ118" s="72">
        <f t="shared" si="110"/>
        <v>0</v>
      </c>
      <c r="AK118" s="72" t="e">
        <f t="shared" si="111"/>
        <v>#N/A</v>
      </c>
      <c r="AL118" t="e">
        <f>VLOOKUP(C118,'חד גזעי'!$AH$8:$AI$33,2,FALSE)</f>
        <v>#N/A</v>
      </c>
      <c r="AM118" s="72" t="b">
        <f t="shared" si="112"/>
        <v>0</v>
      </c>
      <c r="AN118" s="72" t="b">
        <f t="shared" si="113"/>
        <v>0</v>
      </c>
      <c r="AO118" s="72" t="b">
        <f t="shared" si="114"/>
        <v>0</v>
      </c>
      <c r="AS118" s="72">
        <f t="shared" si="115"/>
        <v>0</v>
      </c>
      <c r="AT118" s="72">
        <f t="shared" si="116"/>
        <v>0</v>
      </c>
      <c r="AU118" s="72">
        <f t="shared" si="125"/>
        <v>0</v>
      </c>
      <c r="AV118" s="72">
        <f t="shared" si="117"/>
        <v>0</v>
      </c>
      <c r="AW118" s="72">
        <f t="shared" si="118"/>
        <v>0</v>
      </c>
      <c r="AX118" s="72">
        <f t="shared" si="119"/>
        <v>0</v>
      </c>
      <c r="AY118" s="72">
        <f t="shared" si="120"/>
        <v>0</v>
      </c>
      <c r="AZ118" s="72">
        <f t="shared" si="121"/>
        <v>0</v>
      </c>
      <c r="BA118" s="72" t="e">
        <f t="shared" si="122"/>
        <v>#N/A</v>
      </c>
      <c r="BB118" s="72" t="e">
        <f t="shared" si="127"/>
        <v>#N/A</v>
      </c>
      <c r="BC118" s="77"/>
      <c r="BE118">
        <f t="shared" si="103"/>
        <v>0</v>
      </c>
      <c r="BF118" s="196"/>
      <c r="BG118" s="196"/>
      <c r="BH118" s="196"/>
      <c r="BI118" s="196"/>
      <c r="BJ118" s="196"/>
      <c r="BK118" s="196"/>
    </row>
    <row r="119" spans="2:63" hidden="1">
      <c r="B119" s="72"/>
      <c r="C119" s="135"/>
      <c r="D119" s="78"/>
      <c r="E119" s="78"/>
      <c r="F119" s="72"/>
      <c r="G119" s="72"/>
      <c r="H119" s="72"/>
      <c r="I119" s="73">
        <f t="shared" si="126"/>
        <v>0</v>
      </c>
      <c r="J119" s="78"/>
      <c r="K119" s="73"/>
      <c r="L119" s="74" t="e">
        <f>_xlfn.IFNA(VLOOKUP(C119,'חד גזעי'!$U$3:$V$509,2,0),VLOOKUP(C119,'חד גזעי'!$U$3:$V$509,2))</f>
        <v>#N/A</v>
      </c>
      <c r="M119" s="73"/>
      <c r="N119" s="72" t="e">
        <f>_xlfn.IFNA(IF(VLOOKUP(C119,'חד גזעי'!$AH$2:$AH$7,1,FALSE)&gt;0,0,IF('חד גזעי'!$AM$5="כן",IF(_xlfn.IFNA(VLOOKUP(C119,'חד גזעי'!$AH$2:$AH$33,1,FALSE),SUM(J119:M119))&lt;21,_xlfn.IFNA(VLOOKUP(C119,'חד גזעי'!$AH$2:$AH$33,1,FALSE),SUM(J119:M119)),0),SUM(J119:M119))),IF('חד גזעי'!$AM$5="כן",IF(_xlfn.IFNA(VLOOKUP(C119,'חד גזעי'!$AH$2:$AH$33,1,FALSE),SUM(J119:M119))&lt;21,_xlfn.IFNA(VLOOKUP(C119,'חד גזעי'!$AH$2:$AH$33,1,FALSE),SUM(J119:M119)),0),SUM(J119:M119)))</f>
        <v>#N/A</v>
      </c>
      <c r="O119" s="72">
        <f>IF('חד גזעי'!$AM$3 = "כן",IF(T119&gt;4,4,T119),T119)</f>
        <v>0</v>
      </c>
      <c r="P119" s="80">
        <f>IF(E119&lt;2,0,IF(Z119&gt;0,Z119,IF(N119 = 0,0,IF('חד גזעי'!$AM$2 = "לא",IF(F119&gt;19,W119,0),IF(F119&gt;9,Y119,0)))))</f>
        <v>0</v>
      </c>
      <c r="Q119" s="77"/>
      <c r="R119" s="76"/>
      <c r="S119" t="e">
        <f>VLOOKUP(C119,'חד גזעי'!$Y$4:$Y$18,1,0)</f>
        <v>#N/A</v>
      </c>
      <c r="T119" s="72">
        <f>IF('חד גזעי'!$AM$6="לא",IF(P119=0,IF(BC119="שימור",IF('חד גזעי'!$AM$4="לא",IF(BC119="לא בוגר",0,IF(BC119="לא קיים",0,IF(J119=0,0,I119*0.1))),IF(BC119="לא בוגר",0,IF(BC119="לא קיים",0,IF(AB119=1,I119*0.1,E119*0.5)))),0),IF('חד גזעי'!$AM$4="לא",IF(BC119="לא בוגר",0,IF(BC119="לא קיים",0,IF(J119=0,0,I119*0.1))),IF(BC119="לא בוגר",0,IF(BC119="לא קיים",0,IF(AB119=1,I119*0.1,E119*0.5))))),IF(P119=0,IF(BC119="שימור",IF('חד גזעי'!$AM$4="לא",IF(BC119="לא בוגר",0,IF(BC119="לא קיים",0,IF(J119=0,0,I119*0.15))),IF(BC119="לא בוגר",0,IF(BC119="לא קיים",0,IF(AB119=1,I119*0.15,E119*0.5)))),0),IF('חד גזעי'!$AM$4="לא",IF(BC119="לא בוגר",0,IF(BC119="לא קיים",0,IF(J119=0,0,I119*0.15))),IF(BC119="לא בוגר",0,IF(BC119="לא קיים",0,IF(AB119=1,I119*0.15,E119*0.5))))))</f>
        <v>0</v>
      </c>
      <c r="V119" t="e">
        <f t="shared" si="78"/>
        <v>#N/A</v>
      </c>
      <c r="W119" t="e">
        <f t="shared" si="79"/>
        <v>#N/A</v>
      </c>
      <c r="X119" t="e">
        <f t="shared" si="80"/>
        <v>#N/A</v>
      </c>
      <c r="Y119">
        <f>IF('חד גזעי'!$AM$2 = "לא",0,IF(F119&gt;9,W119,0))</f>
        <v>0</v>
      </c>
      <c r="Z119">
        <f>IF('חד גזעי'!$AM$7 = "לא",0,IF(C119 = "זית אירופי",IF('חד גזעי'!$AN$7 &lt;=סקר!F119,W119,0),IF(C119 = "חרוב מצוי",IF('חד גזעי'!$AN$7 &lt;=סקר!F119,W119,0),0)))</f>
        <v>0</v>
      </c>
      <c r="AB119">
        <f t="shared" si="106"/>
        <v>1</v>
      </c>
      <c r="AC119" s="72"/>
      <c r="AD119" t="e">
        <f t="shared" si="124"/>
        <v>#N/A</v>
      </c>
      <c r="AE119" s="72"/>
      <c r="AF119" s="72" t="e">
        <f t="shared" si="107"/>
        <v>#N/A</v>
      </c>
      <c r="AG119" s="72" t="e">
        <f>IF('חד גזעי'!$AM$5="לא",(VLOOKUP(C119,'חד גזעי'!$P$1:$S$589,3,FALSE)),(VLOOKUP(C119,'חד גזעי'!$P$1:$S$589,4,FALSE)))</f>
        <v>#N/A</v>
      </c>
      <c r="AH119" s="72">
        <f t="shared" si="108"/>
        <v>0</v>
      </c>
      <c r="AI119" s="72">
        <f t="shared" si="109"/>
        <v>0</v>
      </c>
      <c r="AJ119" s="72">
        <f t="shared" si="110"/>
        <v>0</v>
      </c>
      <c r="AK119" s="72" t="e">
        <f t="shared" si="111"/>
        <v>#N/A</v>
      </c>
      <c r="AL119" t="e">
        <f>VLOOKUP(C119,'חד גזעי'!$AH$8:$AI$33,2,FALSE)</f>
        <v>#N/A</v>
      </c>
      <c r="AM119" s="72" t="b">
        <f t="shared" si="112"/>
        <v>0</v>
      </c>
      <c r="AN119" s="72" t="b">
        <f t="shared" si="113"/>
        <v>0</v>
      </c>
      <c r="AO119" s="72" t="b">
        <f t="shared" si="114"/>
        <v>0</v>
      </c>
      <c r="AS119" s="72">
        <f t="shared" si="115"/>
        <v>0</v>
      </c>
      <c r="AT119" s="72">
        <f t="shared" si="116"/>
        <v>0</v>
      </c>
      <c r="AU119" s="72">
        <f t="shared" si="125"/>
        <v>0</v>
      </c>
      <c r="AV119" s="72">
        <f t="shared" si="117"/>
        <v>0</v>
      </c>
      <c r="AW119" s="72">
        <f t="shared" si="118"/>
        <v>0</v>
      </c>
      <c r="AX119" s="72">
        <f t="shared" si="119"/>
        <v>0</v>
      </c>
      <c r="AY119" s="72">
        <f t="shared" si="120"/>
        <v>0</v>
      </c>
      <c r="AZ119" s="72">
        <f t="shared" si="121"/>
        <v>0</v>
      </c>
      <c r="BA119" s="72" t="e">
        <f t="shared" si="122"/>
        <v>#N/A</v>
      </c>
      <c r="BB119" s="72" t="e">
        <f t="shared" si="127"/>
        <v>#N/A</v>
      </c>
      <c r="BC119" s="77"/>
      <c r="BE119">
        <f t="shared" si="103"/>
        <v>0</v>
      </c>
      <c r="BF119" s="196"/>
      <c r="BG119" s="196"/>
      <c r="BH119" s="196"/>
      <c r="BI119" s="196"/>
      <c r="BJ119" s="196"/>
      <c r="BK119" s="196"/>
    </row>
    <row r="120" spans="2:63" hidden="1">
      <c r="B120" s="72"/>
      <c r="C120" s="135"/>
      <c r="D120" s="78"/>
      <c r="E120" s="73"/>
      <c r="F120" s="72"/>
      <c r="G120" s="72"/>
      <c r="H120" s="72"/>
      <c r="I120" s="73">
        <f t="shared" si="126"/>
        <v>0</v>
      </c>
      <c r="J120" s="78"/>
      <c r="K120" s="73"/>
      <c r="L120" s="74" t="e">
        <f>_xlfn.IFNA(VLOOKUP(C120,'חד גזעי'!$U$3:$V$509,2,0),VLOOKUP(C120,'חד גזעי'!$U$3:$V$509,2))</f>
        <v>#N/A</v>
      </c>
      <c r="M120" s="102"/>
      <c r="N120" s="72" t="e">
        <f>_xlfn.IFNA(IF(VLOOKUP(C120,'חד גזעי'!$AH$2:$AH$7,1,FALSE)&gt;0,0,IF('חד גזעי'!$AM$5="כן",IF(_xlfn.IFNA(VLOOKUP(C120,'חד גזעי'!$AH$2:$AH$33,1,FALSE),SUM(J120:M120))&lt;21,_xlfn.IFNA(VLOOKUP(C120,'חד גזעי'!$AH$2:$AH$33,1,FALSE),SUM(J120:M120)),0),SUM(J120:M120))),IF('חד גזעי'!$AM$5="כן",IF(_xlfn.IFNA(VLOOKUP(C120,'חד גזעי'!$AH$2:$AH$33,1,FALSE),SUM(J120:M120))&lt;21,_xlfn.IFNA(VLOOKUP(C120,'חד גזעי'!$AH$2:$AH$33,1,FALSE),SUM(J120:M120)),0),SUM(J120:M120)))</f>
        <v>#N/A</v>
      </c>
      <c r="O120" s="72">
        <f>IF('חד גזעי'!$AM$3 = "כן",IF(T120&gt;4,4,T120),T120)</f>
        <v>0</v>
      </c>
      <c r="P120" s="80">
        <f>IF(E120&lt;2,0,IF(Z120&gt;0,Z120,IF(N120 = 0,0,IF('חד גזעי'!$AM$2 = "לא",IF(F120&gt;19,W120,0),IF(F120&gt;9,Y120,0)))))</f>
        <v>0</v>
      </c>
      <c r="Q120" s="77"/>
      <c r="R120" s="76"/>
      <c r="S120" t="e">
        <f>VLOOKUP(C120,'חד גזעי'!$Y$4:$Y$18,1,0)</f>
        <v>#N/A</v>
      </c>
      <c r="T120" s="72">
        <f>IF('חד גזעי'!$AM$6="לא",IF(P120=0,IF(BC120="שימור",IF('חד גזעי'!$AM$4="לא",IF(BC120="לא בוגר",0,IF(BC120="לא קיים",0,IF(J120=0,0,I120*0.1))),IF(BC120="לא בוגר",0,IF(BC120="לא קיים",0,IF(AB120=1,I120*0.1,E120*0.5)))),0),IF('חד גזעי'!$AM$4="לא",IF(BC120="לא בוגר",0,IF(BC120="לא קיים",0,IF(J120=0,0,I120*0.1))),IF(BC120="לא בוגר",0,IF(BC120="לא קיים",0,IF(AB120=1,I120*0.1,E120*0.5))))),IF(P120=0,IF(BC120="שימור",IF('חד גזעי'!$AM$4="לא",IF(BC120="לא בוגר",0,IF(BC120="לא קיים",0,IF(J120=0,0,I120*0.15))),IF(BC120="לא בוגר",0,IF(BC120="לא קיים",0,IF(AB120=1,I120*0.15,E120*0.5)))),0),IF('חד גזעי'!$AM$4="לא",IF(BC120="לא בוגר",0,IF(BC120="לא קיים",0,IF(J120=0,0,I120*0.15))),IF(BC120="לא בוגר",0,IF(BC120="לא קיים",0,IF(AB120=1,I120*0.15,E120*0.5))))))</f>
        <v>0</v>
      </c>
      <c r="V120" t="e">
        <f t="shared" si="78"/>
        <v>#N/A</v>
      </c>
      <c r="W120" t="e">
        <f t="shared" si="79"/>
        <v>#N/A</v>
      </c>
      <c r="X120" t="e">
        <f t="shared" si="80"/>
        <v>#N/A</v>
      </c>
      <c r="Y120">
        <f>IF('חד גזעי'!$AM$2 = "לא",0,IF(F120&gt;9,W120,0))</f>
        <v>0</v>
      </c>
      <c r="Z120">
        <f>IF('חד גזעי'!$AM$7 = "לא",0,IF(C120 = "זית אירופי",IF('חד גזעי'!$AN$7 &lt;=סקר!F120,W120,0),IF(C120 = "חרוב מצוי",IF('חד גזעי'!$AN$7 &lt;=סקר!F120,W120,0),0)))</f>
        <v>0</v>
      </c>
      <c r="AB120">
        <f t="shared" si="106"/>
        <v>1</v>
      </c>
      <c r="AC120" s="72"/>
      <c r="AD120" t="e">
        <f t="shared" si="124"/>
        <v>#N/A</v>
      </c>
      <c r="AE120" s="72"/>
      <c r="AF120" s="72" t="e">
        <f t="shared" si="107"/>
        <v>#N/A</v>
      </c>
      <c r="AG120" s="72" t="e">
        <f>IF('חד גזעי'!$AM$5="לא",(VLOOKUP(C120,'חד גזעי'!$P$1:$S$589,3,FALSE)),(VLOOKUP(C120,'חד גזעי'!$P$1:$S$589,4,FALSE)))</f>
        <v>#N/A</v>
      </c>
      <c r="AH120" s="72">
        <f t="shared" si="108"/>
        <v>0</v>
      </c>
      <c r="AI120" s="72">
        <f t="shared" si="109"/>
        <v>0</v>
      </c>
      <c r="AJ120" s="72">
        <f t="shared" si="110"/>
        <v>0</v>
      </c>
      <c r="AK120" s="72" t="e">
        <f t="shared" si="111"/>
        <v>#N/A</v>
      </c>
      <c r="AL120" t="e">
        <f>VLOOKUP(C120,'חד גזעי'!$AH$8:$AI$33,2,FALSE)</f>
        <v>#N/A</v>
      </c>
      <c r="AM120" s="72" t="b">
        <f t="shared" si="112"/>
        <v>0</v>
      </c>
      <c r="AN120" s="72" t="b">
        <f t="shared" si="113"/>
        <v>0</v>
      </c>
      <c r="AO120" s="72" t="b">
        <f t="shared" si="114"/>
        <v>0</v>
      </c>
      <c r="AS120" s="72">
        <f t="shared" si="115"/>
        <v>0</v>
      </c>
      <c r="AT120" s="72">
        <f t="shared" si="116"/>
        <v>0</v>
      </c>
      <c r="AU120" s="72">
        <f t="shared" si="125"/>
        <v>0</v>
      </c>
      <c r="AV120" s="72">
        <f t="shared" si="117"/>
        <v>0</v>
      </c>
      <c r="AW120" s="72">
        <f t="shared" si="118"/>
        <v>0</v>
      </c>
      <c r="AX120" s="72">
        <f t="shared" si="119"/>
        <v>0</v>
      </c>
      <c r="AY120" s="72">
        <f t="shared" si="120"/>
        <v>0</v>
      </c>
      <c r="AZ120" s="72">
        <f t="shared" si="121"/>
        <v>0</v>
      </c>
      <c r="BA120" s="72" t="e">
        <f t="shared" si="122"/>
        <v>#N/A</v>
      </c>
      <c r="BB120" s="72" t="e">
        <f t="shared" si="127"/>
        <v>#N/A</v>
      </c>
      <c r="BC120" s="77"/>
      <c r="BE120">
        <f t="shared" si="103"/>
        <v>0</v>
      </c>
      <c r="BF120" s="196"/>
      <c r="BG120" s="196"/>
      <c r="BH120" s="196"/>
      <c r="BI120" s="196"/>
      <c r="BJ120" s="196"/>
      <c r="BK120" s="196"/>
    </row>
    <row r="121" spans="2:63" hidden="1">
      <c r="B121" s="72"/>
      <c r="C121" s="135"/>
      <c r="D121" s="73"/>
      <c r="E121" s="73"/>
      <c r="F121" s="72"/>
      <c r="G121" s="72"/>
      <c r="H121" s="72"/>
      <c r="I121" s="73">
        <f t="shared" si="126"/>
        <v>0</v>
      </c>
      <c r="J121" s="73"/>
      <c r="K121" s="73"/>
      <c r="L121" s="74" t="e">
        <f>_xlfn.IFNA(VLOOKUP(C121,'חד גזעי'!$U$3:$V$509,2,0),VLOOKUP(C121,'חד גזעי'!$U$3:$V$509,2))</f>
        <v>#N/A</v>
      </c>
      <c r="M121" s="73"/>
      <c r="N121" s="72" t="e">
        <f>_xlfn.IFNA(IF(VLOOKUP(C121,'חד גזעי'!$AH$2:$AH$7,1,FALSE)&gt;0,0,IF('חד גזעי'!$AM$5="כן",IF(_xlfn.IFNA(VLOOKUP(C121,'חד גזעי'!$AH$2:$AH$33,1,FALSE),SUM(J121:M121))&lt;21,_xlfn.IFNA(VLOOKUP(C121,'חד גזעי'!$AH$2:$AH$33,1,FALSE),SUM(J121:M121)),0),SUM(J121:M121))),IF('חד גזעי'!$AM$5="כן",IF(_xlfn.IFNA(VLOOKUP(C121,'חד גזעי'!$AH$2:$AH$33,1,FALSE),SUM(J121:M121))&lt;21,_xlfn.IFNA(VLOOKUP(C121,'חד גזעי'!$AH$2:$AH$33,1,FALSE),SUM(J121:M121)),0),SUM(J121:M121)))</f>
        <v>#N/A</v>
      </c>
      <c r="O121" s="72">
        <f>IF('חד גזעי'!$AM$3 = "כן",IF(T121&gt;4,4,T121),T121)</f>
        <v>0</v>
      </c>
      <c r="P121" s="80">
        <f>IF(E121&lt;2,0,IF(Z121&gt;0,Z121,IF(N121 = 0,0,IF('חד גזעי'!$AM$2 = "לא",IF(F121&gt;19,W121,0),IF(F121&gt;9,Y121,0)))))</f>
        <v>0</v>
      </c>
      <c r="Q121" s="77"/>
      <c r="R121" s="76"/>
      <c r="S121" t="e">
        <f>VLOOKUP(C121,'חד גזעי'!$Y$4:$Y$18,1,0)</f>
        <v>#N/A</v>
      </c>
      <c r="T121" s="72">
        <f>IF('חד גזעי'!$AM$6="לא",IF(P121=0,IF(BC121="שימור",IF('חד גזעי'!$AM$4="לא",IF(BC121="לא בוגר",0,IF(BC121="לא קיים",0,IF(J121=0,0,I121*0.1))),IF(BC121="לא בוגר",0,IF(BC121="לא קיים",0,IF(AB121=1,I121*0.1,E121*0.5)))),0),IF('חד גזעי'!$AM$4="לא",IF(BC121="לא בוגר",0,IF(BC121="לא קיים",0,IF(J121=0,0,I121*0.1))),IF(BC121="לא בוגר",0,IF(BC121="לא קיים",0,IF(AB121=1,I121*0.1,E121*0.5))))),IF(P121=0,IF(BC121="שימור",IF('חד גזעי'!$AM$4="לא",IF(BC121="לא בוגר",0,IF(BC121="לא קיים",0,IF(J121=0,0,I121*0.15))),IF(BC121="לא בוגר",0,IF(BC121="לא קיים",0,IF(AB121=1,I121*0.15,E121*0.5)))),0),IF('חד גזעי'!$AM$4="לא",IF(BC121="לא בוגר",0,IF(BC121="לא קיים",0,IF(J121=0,0,I121*0.15))),IF(BC121="לא בוגר",0,IF(BC121="לא קיים",0,IF(AB121=1,I121*0.15,E121*0.5))))))</f>
        <v>0</v>
      </c>
      <c r="V121" t="e">
        <f t="shared" si="78"/>
        <v>#N/A</v>
      </c>
      <c r="W121" t="e">
        <f t="shared" si="79"/>
        <v>#N/A</v>
      </c>
      <c r="X121" t="e">
        <f t="shared" si="80"/>
        <v>#N/A</v>
      </c>
      <c r="Y121">
        <f>IF('חד גזעי'!$AM$2 = "לא",0,IF(F121&gt;9,W121,0))</f>
        <v>0</v>
      </c>
      <c r="Z121">
        <f>IF('חד גזעי'!$AM$7 = "לא",0,IF(C121 = "זית אירופי",IF('חד גזעי'!$AN$7 &lt;=סקר!F121,W121,0),IF(C121 = "חרוב מצוי",IF('חד גזעי'!$AN$7 &lt;=סקר!F121,W121,0),0)))</f>
        <v>0</v>
      </c>
      <c r="AB121">
        <f t="shared" si="106"/>
        <v>1</v>
      </c>
      <c r="AC121" s="72"/>
      <c r="AD121" t="e">
        <f t="shared" si="124"/>
        <v>#N/A</v>
      </c>
      <c r="AE121" s="72"/>
      <c r="AF121" s="72" t="e">
        <f t="shared" si="107"/>
        <v>#N/A</v>
      </c>
      <c r="AG121" s="72" t="e">
        <f>IF('חד גזעי'!$AM$5="לא",(VLOOKUP(C121,'חד גזעי'!$P$1:$S$589,3,FALSE)),(VLOOKUP(C121,'חד גזעי'!$P$1:$S$589,4,FALSE)))</f>
        <v>#N/A</v>
      </c>
      <c r="AH121" s="72">
        <f t="shared" si="108"/>
        <v>0</v>
      </c>
      <c r="AI121" s="72">
        <f t="shared" si="109"/>
        <v>0</v>
      </c>
      <c r="AJ121" s="72">
        <f t="shared" si="110"/>
        <v>0</v>
      </c>
      <c r="AK121" s="72" t="e">
        <f t="shared" si="111"/>
        <v>#N/A</v>
      </c>
      <c r="AL121" t="e">
        <f>VLOOKUP(C121,'חד גזעי'!$AH$8:$AI$33,2,FALSE)</f>
        <v>#N/A</v>
      </c>
      <c r="AM121" s="72" t="b">
        <f t="shared" si="112"/>
        <v>0</v>
      </c>
      <c r="AN121" s="72" t="b">
        <f t="shared" si="113"/>
        <v>0</v>
      </c>
      <c r="AO121" s="72" t="b">
        <f t="shared" si="114"/>
        <v>0</v>
      </c>
      <c r="AS121" s="72">
        <f t="shared" si="115"/>
        <v>0</v>
      </c>
      <c r="AT121" s="72">
        <f t="shared" si="116"/>
        <v>0</v>
      </c>
      <c r="AU121" s="72">
        <f t="shared" si="125"/>
        <v>0</v>
      </c>
      <c r="AV121" s="72">
        <f t="shared" si="117"/>
        <v>0</v>
      </c>
      <c r="AW121" s="72">
        <f t="shared" si="118"/>
        <v>0</v>
      </c>
      <c r="AX121" s="72">
        <f t="shared" si="119"/>
        <v>0</v>
      </c>
      <c r="AY121" s="72">
        <f t="shared" si="120"/>
        <v>0</v>
      </c>
      <c r="AZ121" s="72">
        <f t="shared" si="121"/>
        <v>0</v>
      </c>
      <c r="BA121" s="72" t="e">
        <f t="shared" si="122"/>
        <v>#N/A</v>
      </c>
      <c r="BB121" s="72" t="e">
        <f t="shared" si="127"/>
        <v>#N/A</v>
      </c>
      <c r="BC121" s="77"/>
      <c r="BE121">
        <f t="shared" si="103"/>
        <v>0</v>
      </c>
      <c r="BF121" s="196"/>
      <c r="BG121" s="196"/>
      <c r="BH121" s="196"/>
      <c r="BI121" s="196"/>
      <c r="BJ121" s="196"/>
      <c r="BK121" s="196"/>
    </row>
    <row r="122" spans="2:63" hidden="1">
      <c r="B122" s="72"/>
      <c r="C122" s="135"/>
      <c r="D122" s="73"/>
      <c r="E122" s="73"/>
      <c r="F122" s="72"/>
      <c r="G122" s="72"/>
      <c r="H122" s="72"/>
      <c r="I122" s="73">
        <f t="shared" si="126"/>
        <v>0</v>
      </c>
      <c r="J122" s="73"/>
      <c r="K122" s="73"/>
      <c r="L122" s="74" t="e">
        <f>_xlfn.IFNA(VLOOKUP(C122,'חד גזעי'!$U$3:$V$509,2,0),VLOOKUP(C122,'חד גזעי'!$U$3:$V$509,2))</f>
        <v>#N/A</v>
      </c>
      <c r="M122" s="73"/>
      <c r="N122" s="72" t="e">
        <f>_xlfn.IFNA(IF(VLOOKUP(C122,'חד גזעי'!$AH$2:$AH$7,1,FALSE)&gt;0,0,IF('חד גזעי'!$AM$5="כן",IF(_xlfn.IFNA(VLOOKUP(C122,'חד גזעי'!$AH$2:$AH$33,1,FALSE),SUM(J122:M122))&lt;21,_xlfn.IFNA(VLOOKUP(C122,'חד גזעי'!$AH$2:$AH$33,1,FALSE),SUM(J122:M122)),0),SUM(J122:M122))),IF('חד גזעי'!$AM$5="כן",IF(_xlfn.IFNA(VLOOKUP(C122,'חד גזעי'!$AH$2:$AH$33,1,FALSE),SUM(J122:M122))&lt;21,_xlfn.IFNA(VLOOKUP(C122,'חד גזעי'!$AH$2:$AH$33,1,FALSE),SUM(J122:M122)),0),SUM(J122:M122)))</f>
        <v>#N/A</v>
      </c>
      <c r="O122" s="72">
        <f>IF('חד גזעי'!$AM$3 = "כן",IF(T122&gt;4,4,T122),T122)</f>
        <v>0</v>
      </c>
      <c r="P122" s="80">
        <f>IF(E122&lt;2,0,IF(Z122&gt;0,Z122,IF(N122 = 0,0,IF('חד גזעי'!$AM$2 = "לא",IF(F122&gt;19,W122,0),IF(F122&gt;9,Y122,0)))))</f>
        <v>0</v>
      </c>
      <c r="Q122" s="77"/>
      <c r="R122" s="76"/>
      <c r="S122" t="e">
        <f>VLOOKUP(C122,'חד גזעי'!$Y$4:$Y$18,1,0)</f>
        <v>#N/A</v>
      </c>
      <c r="T122" s="72">
        <f>IF('חד גזעי'!$AM$6="לא",IF(P122=0,IF(BC122="שימור",IF('חד גזעי'!$AM$4="לא",IF(BC122="לא בוגר",0,IF(BC122="לא קיים",0,IF(J122=0,0,I122*0.1))),IF(BC122="לא בוגר",0,IF(BC122="לא קיים",0,IF(AB122=1,I122*0.1,E122*0.5)))),0),IF('חד גזעי'!$AM$4="לא",IF(BC122="לא בוגר",0,IF(BC122="לא קיים",0,IF(J122=0,0,I122*0.1))),IF(BC122="לא בוגר",0,IF(BC122="לא קיים",0,IF(AB122=1,I122*0.1,E122*0.5))))),IF(P122=0,IF(BC122="שימור",IF('חד גזעי'!$AM$4="לא",IF(BC122="לא בוגר",0,IF(BC122="לא קיים",0,IF(J122=0,0,I122*0.15))),IF(BC122="לא בוגר",0,IF(BC122="לא קיים",0,IF(AB122=1,I122*0.15,E122*0.5)))),0),IF('חד גזעי'!$AM$4="לא",IF(BC122="לא בוגר",0,IF(BC122="לא קיים",0,IF(J122=0,0,I122*0.15))),IF(BC122="לא בוגר",0,IF(BC122="לא קיים",0,IF(AB122=1,I122*0.15,E122*0.5))))))</f>
        <v>0</v>
      </c>
      <c r="V122" t="e">
        <f t="shared" si="78"/>
        <v>#N/A</v>
      </c>
      <c r="W122" t="e">
        <f t="shared" si="79"/>
        <v>#N/A</v>
      </c>
      <c r="X122" t="e">
        <f t="shared" si="80"/>
        <v>#N/A</v>
      </c>
      <c r="Y122">
        <f>IF('חד גזעי'!$AM$2 = "לא",0,IF(F122&gt;9,W122,0))</f>
        <v>0</v>
      </c>
      <c r="Z122">
        <f>IF('חד גזעי'!$AM$7 = "לא",0,IF(C122 = "זית אירופי",IF('חד גזעי'!$AN$7 &lt;=סקר!F122,W122,0),IF(C122 = "חרוב מצוי",IF('חד גזעי'!$AN$7 &lt;=סקר!F122,W122,0),0)))</f>
        <v>0</v>
      </c>
      <c r="AB122">
        <f t="shared" si="106"/>
        <v>1</v>
      </c>
      <c r="AC122" s="72"/>
      <c r="AD122" t="e">
        <f t="shared" si="124"/>
        <v>#N/A</v>
      </c>
      <c r="AE122" s="72"/>
      <c r="AF122" s="72" t="e">
        <f t="shared" si="107"/>
        <v>#N/A</v>
      </c>
      <c r="AG122" s="72" t="e">
        <f>IF('חד גזעי'!$AM$5="לא",(VLOOKUP(C122,'חד גזעי'!$P$1:$S$589,3,FALSE)),(VLOOKUP(C122,'חד גזעי'!$P$1:$S$589,4,FALSE)))</f>
        <v>#N/A</v>
      </c>
      <c r="AH122" s="72">
        <f t="shared" si="108"/>
        <v>0</v>
      </c>
      <c r="AI122" s="72">
        <f t="shared" si="109"/>
        <v>0</v>
      </c>
      <c r="AJ122" s="72">
        <f t="shared" si="110"/>
        <v>0</v>
      </c>
      <c r="AK122" s="72" t="e">
        <f t="shared" si="111"/>
        <v>#N/A</v>
      </c>
      <c r="AL122" t="e">
        <f>VLOOKUP(C122,'חד גזעי'!$AH$8:$AI$33,2,FALSE)</f>
        <v>#N/A</v>
      </c>
      <c r="AM122" s="72" t="b">
        <f t="shared" si="112"/>
        <v>0</v>
      </c>
      <c r="AN122" s="72" t="b">
        <f t="shared" si="113"/>
        <v>0</v>
      </c>
      <c r="AO122" s="72" t="b">
        <f t="shared" si="114"/>
        <v>0</v>
      </c>
      <c r="AS122" s="72">
        <f t="shared" si="115"/>
        <v>0</v>
      </c>
      <c r="AT122" s="72">
        <f t="shared" si="116"/>
        <v>0</v>
      </c>
      <c r="AU122" s="72">
        <f t="shared" si="125"/>
        <v>0</v>
      </c>
      <c r="AV122" s="72">
        <f t="shared" si="117"/>
        <v>0</v>
      </c>
      <c r="AW122" s="72">
        <f t="shared" si="118"/>
        <v>0</v>
      </c>
      <c r="AX122" s="72">
        <f t="shared" si="119"/>
        <v>0</v>
      </c>
      <c r="AY122" s="72">
        <f t="shared" si="120"/>
        <v>0</v>
      </c>
      <c r="AZ122" s="72">
        <f t="shared" si="121"/>
        <v>0</v>
      </c>
      <c r="BA122" s="72" t="e">
        <f t="shared" si="122"/>
        <v>#N/A</v>
      </c>
      <c r="BB122" s="72" t="e">
        <f t="shared" si="127"/>
        <v>#N/A</v>
      </c>
      <c r="BC122" s="77"/>
      <c r="BE122">
        <f t="shared" si="103"/>
        <v>0</v>
      </c>
      <c r="BF122" s="196"/>
      <c r="BG122" s="196"/>
      <c r="BH122" s="196"/>
      <c r="BI122" s="196"/>
      <c r="BJ122" s="196"/>
      <c r="BK122" s="196"/>
    </row>
    <row r="123" spans="2:63" hidden="1">
      <c r="B123" s="72"/>
      <c r="C123" s="135"/>
      <c r="D123" s="73"/>
      <c r="E123" s="73"/>
      <c r="F123" s="72"/>
      <c r="G123" s="72"/>
      <c r="H123" s="72"/>
      <c r="I123" s="73">
        <f t="shared" si="126"/>
        <v>0</v>
      </c>
      <c r="J123" s="73"/>
      <c r="K123" s="73"/>
      <c r="L123" s="74" t="e">
        <f>_xlfn.IFNA(VLOOKUP(C123,'חד גזעי'!$U$3:$V$509,2,0),VLOOKUP(C123,'חד גזעי'!$U$3:$V$509,2))</f>
        <v>#N/A</v>
      </c>
      <c r="M123" s="73"/>
      <c r="N123" s="72" t="e">
        <f>_xlfn.IFNA(IF(VLOOKUP(C123,'חד גזעי'!$AH$2:$AH$7,1,FALSE)&gt;0,0,IF('חד גזעי'!$AM$5="כן",IF(_xlfn.IFNA(VLOOKUP(C123,'חד גזעי'!$AH$2:$AH$33,1,FALSE),SUM(J123:M123))&lt;21,_xlfn.IFNA(VLOOKUP(C123,'חד גזעי'!$AH$2:$AH$33,1,FALSE),SUM(J123:M123)),0),SUM(J123:M123))),IF('חד גזעי'!$AM$5="כן",IF(_xlfn.IFNA(VLOOKUP(C123,'חד גזעי'!$AH$2:$AH$33,1,FALSE),SUM(J123:M123))&lt;21,_xlfn.IFNA(VLOOKUP(C123,'חד גזעי'!$AH$2:$AH$33,1,FALSE),SUM(J123:M123)),0),SUM(J123:M123)))</f>
        <v>#N/A</v>
      </c>
      <c r="O123" s="72">
        <f>IF('חד גזעי'!$AM$3 = "כן",IF(T123&gt;4,4,T123),T123)</f>
        <v>0</v>
      </c>
      <c r="P123" s="80">
        <f>IF(E123&lt;2,0,IF(Z123&gt;0,Z123,IF(N123 = 0,0,IF('חד גזעי'!$AM$2 = "לא",IF(F123&gt;19,W123,0),IF(F123&gt;9,Y123,0)))))</f>
        <v>0</v>
      </c>
      <c r="Q123" s="77"/>
      <c r="R123" s="76"/>
      <c r="S123" t="e">
        <f>VLOOKUP(C123,'חד גזעי'!$Y$4:$Y$18,1,0)</f>
        <v>#N/A</v>
      </c>
      <c r="T123" s="72">
        <f>IF('חד גזעי'!$AM$6="לא",IF(P123=0,IF(BC123="שימור",IF('חד גזעי'!$AM$4="לא",IF(BC123="לא בוגר",0,IF(BC123="לא קיים",0,IF(J123=0,0,I123*0.1))),IF(BC123="לא בוגר",0,IF(BC123="לא קיים",0,IF(AB123=1,I123*0.1,E123*0.5)))),0),IF('חד גזעי'!$AM$4="לא",IF(BC123="לא בוגר",0,IF(BC123="לא קיים",0,IF(J123=0,0,I123*0.1))),IF(BC123="לא בוגר",0,IF(BC123="לא קיים",0,IF(AB123=1,I123*0.1,E123*0.5))))),IF(P123=0,IF(BC123="שימור",IF('חד גזעי'!$AM$4="לא",IF(BC123="לא בוגר",0,IF(BC123="לא קיים",0,IF(J123=0,0,I123*0.15))),IF(BC123="לא בוגר",0,IF(BC123="לא קיים",0,IF(AB123=1,I123*0.15,E123*0.5)))),0),IF('חד גזעי'!$AM$4="לא",IF(BC123="לא בוגר",0,IF(BC123="לא קיים",0,IF(J123=0,0,I123*0.15))),IF(BC123="לא בוגר",0,IF(BC123="לא קיים",0,IF(AB123=1,I123*0.15,E123*0.5))))))</f>
        <v>0</v>
      </c>
      <c r="V123" t="e">
        <f t="shared" si="78"/>
        <v>#N/A</v>
      </c>
      <c r="W123" t="e">
        <f t="shared" si="79"/>
        <v>#N/A</v>
      </c>
      <c r="X123" t="e">
        <f t="shared" si="80"/>
        <v>#N/A</v>
      </c>
      <c r="Y123">
        <f>IF('חד גזעי'!$AM$2 = "לא",0,IF(F123&gt;9,W123,0))</f>
        <v>0</v>
      </c>
      <c r="Z123">
        <f>IF('חד גזעי'!$AM$7 = "לא",0,IF(C123 = "זית אירופי",IF('חד גזעי'!$AN$7 &lt;=סקר!F123,W123,0),IF(C123 = "חרוב מצוי",IF('חד גזעי'!$AN$7 &lt;=סקר!F123,W123,0),0)))</f>
        <v>0</v>
      </c>
      <c r="AB123">
        <f t="shared" si="106"/>
        <v>1</v>
      </c>
      <c r="AC123" s="72"/>
      <c r="AD123" t="e">
        <f t="shared" si="124"/>
        <v>#N/A</v>
      </c>
      <c r="AE123" s="72"/>
      <c r="AF123" s="72" t="e">
        <f t="shared" si="107"/>
        <v>#N/A</v>
      </c>
      <c r="AG123" s="72" t="e">
        <f>IF('חד גזעי'!$AM$5="לא",(VLOOKUP(C123,'חד גזעי'!$P$1:$S$589,3,FALSE)),(VLOOKUP(C123,'חד גזעי'!$P$1:$S$589,4,FALSE)))</f>
        <v>#N/A</v>
      </c>
      <c r="AH123" s="72">
        <f t="shared" si="108"/>
        <v>0</v>
      </c>
      <c r="AI123" s="72">
        <f t="shared" si="109"/>
        <v>0</v>
      </c>
      <c r="AJ123" s="72">
        <f t="shared" si="110"/>
        <v>0</v>
      </c>
      <c r="AK123" s="72" t="e">
        <f t="shared" si="111"/>
        <v>#N/A</v>
      </c>
      <c r="AL123" t="e">
        <f>VLOOKUP(C123,'חד גזעי'!$AH$8:$AI$33,2,FALSE)</f>
        <v>#N/A</v>
      </c>
      <c r="AM123" s="72" t="b">
        <f t="shared" si="112"/>
        <v>0</v>
      </c>
      <c r="AN123" s="72" t="b">
        <f t="shared" si="113"/>
        <v>0</v>
      </c>
      <c r="AO123" s="72" t="b">
        <f t="shared" si="114"/>
        <v>0</v>
      </c>
      <c r="AS123" s="72">
        <f t="shared" si="115"/>
        <v>0</v>
      </c>
      <c r="AT123" s="72">
        <f t="shared" si="116"/>
        <v>0</v>
      </c>
      <c r="AU123" s="72">
        <f t="shared" si="125"/>
        <v>0</v>
      </c>
      <c r="AV123" s="72">
        <f t="shared" si="117"/>
        <v>0</v>
      </c>
      <c r="AW123" s="72">
        <f t="shared" si="118"/>
        <v>0</v>
      </c>
      <c r="AX123" s="72">
        <f t="shared" si="119"/>
        <v>0</v>
      </c>
      <c r="AY123" s="72">
        <f t="shared" si="120"/>
        <v>0</v>
      </c>
      <c r="AZ123" s="72">
        <f t="shared" si="121"/>
        <v>0</v>
      </c>
      <c r="BA123" s="72" t="e">
        <f t="shared" si="122"/>
        <v>#N/A</v>
      </c>
      <c r="BB123" s="72" t="e">
        <f t="shared" si="127"/>
        <v>#N/A</v>
      </c>
      <c r="BC123" s="77"/>
      <c r="BE123">
        <f t="shared" si="103"/>
        <v>0</v>
      </c>
      <c r="BF123" s="196"/>
      <c r="BG123" s="196"/>
      <c r="BH123" s="196"/>
      <c r="BI123" s="196"/>
      <c r="BJ123" s="196"/>
      <c r="BK123" s="196"/>
    </row>
    <row r="124" spans="2:63" hidden="1">
      <c r="B124" s="72"/>
      <c r="C124" s="135"/>
      <c r="D124" s="73"/>
      <c r="E124" s="73"/>
      <c r="F124" s="72"/>
      <c r="G124" s="72"/>
      <c r="H124" s="72"/>
      <c r="I124" s="73">
        <f t="shared" si="126"/>
        <v>0</v>
      </c>
      <c r="J124" s="73"/>
      <c r="K124" s="73"/>
      <c r="L124" s="74" t="e">
        <f>_xlfn.IFNA(VLOOKUP(C124,'חד גזעי'!$U$3:$V$509,2,0),VLOOKUP(C124,'חד גזעי'!$U$3:$V$509,2))</f>
        <v>#N/A</v>
      </c>
      <c r="M124" s="73"/>
      <c r="N124" s="72" t="e">
        <f>_xlfn.IFNA(IF(VLOOKUP(C124,'חד גזעי'!$AH$2:$AH$7,1,FALSE)&gt;0,0,IF('חד גזעי'!$AM$5="כן",IF(_xlfn.IFNA(VLOOKUP(C124,'חד גזעי'!$AH$2:$AH$33,1,FALSE),SUM(J124:M124))&lt;21,_xlfn.IFNA(VLOOKUP(C124,'חד גזעי'!$AH$2:$AH$33,1,FALSE),SUM(J124:M124)),0),SUM(J124:M124))),IF('חד גזעי'!$AM$5="כן",IF(_xlfn.IFNA(VLOOKUP(C124,'חד גזעי'!$AH$2:$AH$33,1,FALSE),SUM(J124:M124))&lt;21,_xlfn.IFNA(VLOOKUP(C124,'חד גזעי'!$AH$2:$AH$33,1,FALSE),SUM(J124:M124)),0),SUM(J124:M124)))</f>
        <v>#N/A</v>
      </c>
      <c r="O124" s="72">
        <f>IF('חד גזעי'!$AM$3 = "כן",IF(T124&gt;4,4,T124),T124)</f>
        <v>0</v>
      </c>
      <c r="P124" s="80">
        <f>IF(E124&lt;2,0,IF(Z124&gt;0,Z124,IF(N124 = 0,0,IF('חד גזעי'!$AM$2 = "לא",IF(F124&gt;19,W124,0),IF(F124&gt;9,Y124,0)))))</f>
        <v>0</v>
      </c>
      <c r="Q124" s="77"/>
      <c r="R124" s="76"/>
      <c r="S124" t="e">
        <f>VLOOKUP(C124,'חד גזעי'!$Y$4:$Y$18,1,0)</f>
        <v>#N/A</v>
      </c>
      <c r="T124" s="72">
        <f>IF('חד גזעי'!$AM$6="לא",IF(P124=0,IF(BC124="שימור",IF('חד גזעי'!$AM$4="לא",IF(BC124="לא בוגר",0,IF(BC124="לא קיים",0,IF(J124=0,0,I124*0.1))),IF(BC124="לא בוגר",0,IF(BC124="לא קיים",0,IF(AB124=1,I124*0.1,E124*0.5)))),0),IF('חד גזעי'!$AM$4="לא",IF(BC124="לא בוגר",0,IF(BC124="לא קיים",0,IF(J124=0,0,I124*0.1))),IF(BC124="לא בוגר",0,IF(BC124="לא קיים",0,IF(AB124=1,I124*0.1,E124*0.5))))),IF(P124=0,IF(BC124="שימור",IF('חד גזעי'!$AM$4="לא",IF(BC124="לא בוגר",0,IF(BC124="לא קיים",0,IF(J124=0,0,I124*0.15))),IF(BC124="לא בוגר",0,IF(BC124="לא קיים",0,IF(AB124=1,I124*0.15,E124*0.5)))),0),IF('חד גזעי'!$AM$4="לא",IF(BC124="לא בוגר",0,IF(BC124="לא קיים",0,IF(J124=0,0,I124*0.15))),IF(BC124="לא בוגר",0,IF(BC124="לא קיים",0,IF(AB124=1,I124*0.15,E124*0.5))))))</f>
        <v>0</v>
      </c>
      <c r="V124" t="e">
        <f t="shared" si="78"/>
        <v>#N/A</v>
      </c>
      <c r="W124" t="e">
        <f t="shared" si="79"/>
        <v>#N/A</v>
      </c>
      <c r="X124" t="e">
        <f t="shared" si="80"/>
        <v>#N/A</v>
      </c>
      <c r="Y124">
        <f>IF('חד גזעי'!$AM$2 = "לא",0,IF(F124&gt;9,W124,0))</f>
        <v>0</v>
      </c>
      <c r="Z124">
        <f>IF('חד גזעי'!$AM$7 = "לא",0,IF(C124 = "זית אירופי",IF('חד גזעי'!$AN$7 &lt;=סקר!F124,W124,0),IF(C124 = "חרוב מצוי",IF('חד גזעי'!$AN$7 &lt;=סקר!F124,W124,0),0)))</f>
        <v>0</v>
      </c>
      <c r="AB124">
        <f t="shared" si="106"/>
        <v>1</v>
      </c>
      <c r="AC124" s="72"/>
      <c r="AD124" t="e">
        <f>IF(AK124&gt;0,AK124,AF124)</f>
        <v>#N/A</v>
      </c>
      <c r="AE124" s="72"/>
      <c r="AF124" s="72" t="e">
        <f t="shared" si="107"/>
        <v>#N/A</v>
      </c>
      <c r="AG124" s="72" t="e">
        <f>IF('חד גזעי'!$AM$5="לא",(VLOOKUP(C124,'חד גזעי'!$P$1:$S$589,3,FALSE)),(VLOOKUP(C124,'חד גזעי'!$P$1:$S$589,4,FALSE)))</f>
        <v>#N/A</v>
      </c>
      <c r="AH124" s="72">
        <f t="shared" si="108"/>
        <v>0</v>
      </c>
      <c r="AI124" s="72">
        <f t="shared" si="109"/>
        <v>0</v>
      </c>
      <c r="AJ124" s="72">
        <f t="shared" si="110"/>
        <v>0</v>
      </c>
      <c r="AK124" s="72" t="e">
        <f t="shared" si="111"/>
        <v>#N/A</v>
      </c>
      <c r="AL124" t="e">
        <f>VLOOKUP(C124,'חד גזעי'!$AH$8:$AI$33,2,FALSE)</f>
        <v>#N/A</v>
      </c>
      <c r="AM124" s="72" t="b">
        <f t="shared" si="112"/>
        <v>0</v>
      </c>
      <c r="AN124" s="72" t="b">
        <f t="shared" si="113"/>
        <v>0</v>
      </c>
      <c r="AO124" s="72" t="b">
        <f t="shared" si="114"/>
        <v>0</v>
      </c>
      <c r="AS124" s="72">
        <f t="shared" si="115"/>
        <v>0</v>
      </c>
      <c r="AT124" s="72">
        <f t="shared" si="116"/>
        <v>0</v>
      </c>
      <c r="AU124" s="72">
        <f>IF(C124&gt;0,IF(D124&lt;2,1,D124),0)</f>
        <v>0</v>
      </c>
      <c r="AV124" s="72">
        <f t="shared" si="117"/>
        <v>0</v>
      </c>
      <c r="AW124" s="72">
        <f t="shared" si="118"/>
        <v>0</v>
      </c>
      <c r="AX124" s="72">
        <f t="shared" si="119"/>
        <v>0</v>
      </c>
      <c r="AY124" s="72">
        <f t="shared" si="120"/>
        <v>0</v>
      </c>
      <c r="AZ124" s="72">
        <f t="shared" si="121"/>
        <v>0</v>
      </c>
      <c r="BA124" s="72" t="e">
        <f t="shared" si="122"/>
        <v>#N/A</v>
      </c>
      <c r="BB124" s="72" t="e">
        <f t="shared" si="127"/>
        <v>#N/A</v>
      </c>
      <c r="BC124" s="77"/>
      <c r="BE124">
        <f t="shared" si="103"/>
        <v>0</v>
      </c>
      <c r="BF124" s="196"/>
      <c r="BG124" s="196"/>
      <c r="BH124" s="196"/>
      <c r="BI124" s="196"/>
      <c r="BJ124" s="196"/>
      <c r="BK124" s="196"/>
    </row>
    <row r="125" spans="2:63" hidden="1">
      <c r="B125" s="72"/>
      <c r="C125" s="135"/>
      <c r="D125" s="73"/>
      <c r="E125" s="73"/>
      <c r="F125" s="72"/>
      <c r="G125" s="72"/>
      <c r="H125" s="72"/>
      <c r="I125" s="73">
        <f t="shared" si="126"/>
        <v>0</v>
      </c>
      <c r="J125" s="73"/>
      <c r="K125" s="73"/>
      <c r="L125" s="74" t="e">
        <f>_xlfn.IFNA(VLOOKUP(C125,'חד גזעי'!$U$3:$V$509,2,0),VLOOKUP(C125,'חד גזעי'!$U$3:$V$509,2))</f>
        <v>#N/A</v>
      </c>
      <c r="M125" s="73"/>
      <c r="N125" s="72" t="e">
        <f>_xlfn.IFNA(IF(VLOOKUP(C125,'חד גזעי'!$AH$2:$AH$7,1,FALSE)&gt;0,0,IF('חד גזעי'!$AM$5="כן",IF(_xlfn.IFNA(VLOOKUP(C125,'חד גזעי'!$AH$2:$AH$33,1,FALSE),SUM(J125:M125))&lt;21,_xlfn.IFNA(VLOOKUP(C125,'חד גזעי'!$AH$2:$AH$33,1,FALSE),SUM(J125:M125)),0),SUM(J125:M125))),IF('חד גזעי'!$AM$5="כן",IF(_xlfn.IFNA(VLOOKUP(C125,'חד גזעי'!$AH$2:$AH$33,1,FALSE),SUM(J125:M125))&lt;21,_xlfn.IFNA(VLOOKUP(C125,'חד גזעי'!$AH$2:$AH$33,1,FALSE),SUM(J125:M125)),0),SUM(J125:M125)))</f>
        <v>#N/A</v>
      </c>
      <c r="O125" s="72">
        <f>IF('חד גזעי'!$AM$3 = "כן",IF(T125&gt;4,4,T125),T125)</f>
        <v>0</v>
      </c>
      <c r="P125" s="80">
        <f>IF(E125&lt;2,0,IF(Z125&gt;0,Z125,IF(N125 = 0,0,IF('חד גזעי'!$AM$2 = "לא",IF(F125&gt;19,W125,0),IF(F125&gt;9,Y125,0)))))</f>
        <v>0</v>
      </c>
      <c r="Q125" s="77"/>
      <c r="R125" s="76"/>
      <c r="S125" t="e">
        <f>VLOOKUP(C125,'חד גזעי'!$Y$4:$Y$18,1,0)</f>
        <v>#N/A</v>
      </c>
      <c r="T125" s="72">
        <f>IF('חד גזעי'!$AM$6="לא",IF(P125=0,IF(BC125="שימור",IF('חד גזעי'!$AM$4="לא",IF(BC125="לא בוגר",0,IF(BC125="לא קיים",0,IF(J125=0,0,I125*0.1))),IF(BC125="לא בוגר",0,IF(BC125="לא קיים",0,IF(AB125=1,I125*0.1,E125*0.5)))),0),IF('חד גזעי'!$AM$4="לא",IF(BC125="לא בוגר",0,IF(BC125="לא קיים",0,IF(J125=0,0,I125*0.1))),IF(BC125="לא בוגר",0,IF(BC125="לא קיים",0,IF(AB125=1,I125*0.1,E125*0.5))))),IF(P125=0,IF(BC125="שימור",IF('חד גזעי'!$AM$4="לא",IF(BC125="לא בוגר",0,IF(BC125="לא קיים",0,IF(J125=0,0,I125*0.15))),IF(BC125="לא בוגר",0,IF(BC125="לא קיים",0,IF(AB125=1,I125*0.15,E125*0.5)))),0),IF('חד גזעי'!$AM$4="לא",IF(BC125="לא בוגר",0,IF(BC125="לא קיים",0,IF(J125=0,0,I125*0.15))),IF(BC125="לא בוגר",0,IF(BC125="לא קיים",0,IF(AB125=1,I125*0.15,E125*0.5))))))</f>
        <v>0</v>
      </c>
      <c r="V125" t="e">
        <f t="shared" si="78"/>
        <v>#N/A</v>
      </c>
      <c r="W125" t="e">
        <f t="shared" si="79"/>
        <v>#N/A</v>
      </c>
      <c r="X125" t="e">
        <f t="shared" si="80"/>
        <v>#N/A</v>
      </c>
      <c r="Y125">
        <f>IF('חד גזעי'!$AM$2 = "לא",0,IF(F125&gt;9,W125,0))</f>
        <v>0</v>
      </c>
      <c r="Z125">
        <f>IF('חד גזעי'!$AM$7 = "לא",0,IF(C125 = "זית אירופי",IF('חד גזעי'!$AN$7 &lt;=סקר!F125,W125,0),IF(C125 = "חרוב מצוי",IF('חד גזעי'!$AN$7 &lt;=סקר!F125,W125,0),0)))</f>
        <v>0</v>
      </c>
      <c r="AB125">
        <f t="shared" si="106"/>
        <v>1</v>
      </c>
      <c r="AC125" s="72"/>
      <c r="AD125" t="e">
        <f t="shared" si="124"/>
        <v>#N/A</v>
      </c>
      <c r="AE125" s="72"/>
      <c r="AF125" s="72" t="e">
        <f t="shared" si="107"/>
        <v>#N/A</v>
      </c>
      <c r="AG125" s="72" t="e">
        <f>IF('חד גזעי'!$AM$5="לא",(VLOOKUP(C125,'חד גזעי'!$P$1:$S$589,3,FALSE)),(VLOOKUP(C125,'חד גזעי'!$P$1:$S$589,4,FALSE)))</f>
        <v>#N/A</v>
      </c>
      <c r="AH125" s="72">
        <f t="shared" si="108"/>
        <v>0</v>
      </c>
      <c r="AI125" s="72">
        <f t="shared" si="109"/>
        <v>0</v>
      </c>
      <c r="AJ125" s="72">
        <f t="shared" si="110"/>
        <v>0</v>
      </c>
      <c r="AK125" s="72" t="e">
        <f t="shared" si="111"/>
        <v>#N/A</v>
      </c>
      <c r="AL125" t="e">
        <f>VLOOKUP(C125,'חד גזעי'!$AH$8:$AI$33,2,FALSE)</f>
        <v>#N/A</v>
      </c>
      <c r="AM125" s="72" t="b">
        <f t="shared" si="112"/>
        <v>0</v>
      </c>
      <c r="AN125" s="72" t="b">
        <f t="shared" si="113"/>
        <v>0</v>
      </c>
      <c r="AO125" s="72" t="b">
        <f t="shared" si="114"/>
        <v>0</v>
      </c>
      <c r="AS125" s="72">
        <f t="shared" si="115"/>
        <v>0</v>
      </c>
      <c r="AT125" s="72">
        <f t="shared" si="116"/>
        <v>0</v>
      </c>
      <c r="AU125" s="72">
        <f t="shared" si="125"/>
        <v>0</v>
      </c>
      <c r="AV125" s="72">
        <f t="shared" si="117"/>
        <v>0</v>
      </c>
      <c r="AW125" s="72">
        <f t="shared" si="118"/>
        <v>0</v>
      </c>
      <c r="AX125" s="72">
        <f t="shared" si="119"/>
        <v>0</v>
      </c>
      <c r="AY125" s="72">
        <f t="shared" si="120"/>
        <v>0</v>
      </c>
      <c r="AZ125" s="72">
        <f t="shared" si="121"/>
        <v>0</v>
      </c>
      <c r="BA125" s="72" t="e">
        <f t="shared" si="122"/>
        <v>#N/A</v>
      </c>
      <c r="BB125" s="72" t="e">
        <f t="shared" si="127"/>
        <v>#N/A</v>
      </c>
      <c r="BC125" s="77"/>
      <c r="BE125">
        <f t="shared" si="103"/>
        <v>0</v>
      </c>
      <c r="BF125" s="196"/>
      <c r="BG125" s="196"/>
      <c r="BH125" s="196"/>
      <c r="BI125" s="196"/>
      <c r="BJ125" s="196"/>
      <c r="BK125" s="196"/>
    </row>
    <row r="126" spans="2:63" hidden="1">
      <c r="B126" s="72"/>
      <c r="C126" s="135"/>
      <c r="D126" s="73"/>
      <c r="E126" s="73"/>
      <c r="F126" s="72"/>
      <c r="G126" s="72"/>
      <c r="H126" s="72"/>
      <c r="I126" s="73">
        <f t="shared" si="126"/>
        <v>0</v>
      </c>
      <c r="J126" s="73"/>
      <c r="K126" s="73"/>
      <c r="L126" s="74" t="e">
        <f>_xlfn.IFNA(VLOOKUP(C126,'חד גזעי'!$U$3:$V$509,2,0),VLOOKUP(C126,'חד גזעי'!$U$3:$V$509,2))</f>
        <v>#N/A</v>
      </c>
      <c r="M126" s="73"/>
      <c r="N126" s="72" t="e">
        <f>_xlfn.IFNA(IF(VLOOKUP(C126,'חד גזעי'!$AH$2:$AH$7,1,FALSE)&gt;0,0,IF('חד גזעי'!$AM$5="כן",IF(_xlfn.IFNA(VLOOKUP(C126,'חד גזעי'!$AH$2:$AH$33,1,FALSE),SUM(J126:M126))&lt;21,_xlfn.IFNA(VLOOKUP(C126,'חד גזעי'!$AH$2:$AH$33,1,FALSE),SUM(J126:M126)),0),SUM(J126:M126))),IF('חד גזעי'!$AM$5="כן",IF(_xlfn.IFNA(VLOOKUP(C126,'חד גזעי'!$AH$2:$AH$33,1,FALSE),SUM(J126:M126))&lt;21,_xlfn.IFNA(VLOOKUP(C126,'חד גזעי'!$AH$2:$AH$33,1,FALSE),SUM(J126:M126)),0),SUM(J126:M126)))</f>
        <v>#N/A</v>
      </c>
      <c r="O126" s="72">
        <f>IF('חד גזעי'!$AM$3 = "כן",IF(T126&gt;4,4,T126),T126)</f>
        <v>0</v>
      </c>
      <c r="P126" s="80">
        <f>IF(E126&lt;2,0,IF(Z126&gt;0,Z126,IF(N126 = 0,0,IF('חד גזעי'!$AM$2 = "לא",IF(F126&gt;19,W126,0),IF(F126&gt;9,Y126,0)))))</f>
        <v>0</v>
      </c>
      <c r="Q126" s="77"/>
      <c r="R126" s="76"/>
      <c r="S126" t="e">
        <f>VLOOKUP(C126,'חד גזעי'!$Y$4:$Y$18,1,0)</f>
        <v>#N/A</v>
      </c>
      <c r="T126" s="72">
        <f>IF('חד גזעי'!$AM$6="לא",IF(P126=0,IF(BC126="שימור",IF('חד גזעי'!$AM$4="לא",IF(BC126="לא בוגר",0,IF(BC126="לא קיים",0,IF(J126=0,0,I126*0.1))),IF(BC126="לא בוגר",0,IF(BC126="לא קיים",0,IF(AB126=1,I126*0.1,E126*0.5)))),0),IF('חד גזעי'!$AM$4="לא",IF(BC126="לא בוגר",0,IF(BC126="לא קיים",0,IF(J126=0,0,I126*0.1))),IF(BC126="לא בוגר",0,IF(BC126="לא קיים",0,IF(AB126=1,I126*0.1,E126*0.5))))),IF(P126=0,IF(BC126="שימור",IF('חד גזעי'!$AM$4="לא",IF(BC126="לא בוגר",0,IF(BC126="לא קיים",0,IF(J126=0,0,I126*0.15))),IF(BC126="לא בוגר",0,IF(BC126="לא קיים",0,IF(AB126=1,I126*0.15,E126*0.5)))),0),IF('חד גזעי'!$AM$4="לא",IF(BC126="לא בוגר",0,IF(BC126="לא קיים",0,IF(J126=0,0,I126*0.15))),IF(BC126="לא בוגר",0,IF(BC126="לא קיים",0,IF(AB126=1,I126*0.15,E126*0.5))))))</f>
        <v>0</v>
      </c>
      <c r="V126" t="e">
        <f t="shared" si="78"/>
        <v>#N/A</v>
      </c>
      <c r="W126" t="e">
        <f t="shared" si="79"/>
        <v>#N/A</v>
      </c>
      <c r="X126" t="e">
        <f t="shared" si="80"/>
        <v>#N/A</v>
      </c>
      <c r="Y126">
        <f>IF('חד גזעי'!$AM$2 = "לא",0,IF(F126&gt;9,W126,0))</f>
        <v>0</v>
      </c>
      <c r="Z126">
        <f>IF('חד גזעי'!$AM$7 = "לא",0,IF(C126 = "זית אירופי",IF('חד גזעי'!$AN$7 &lt;=סקר!F126,W126,0),IF(C126 = "חרוב מצוי",IF('חד גזעי'!$AN$7 &lt;=סקר!F126,W126,0),0)))</f>
        <v>0</v>
      </c>
      <c r="AB126">
        <f t="shared" si="106"/>
        <v>1</v>
      </c>
      <c r="AC126" s="72"/>
      <c r="AD126" t="e">
        <f t="shared" si="124"/>
        <v>#N/A</v>
      </c>
      <c r="AE126" s="72"/>
      <c r="AF126" s="72" t="e">
        <f t="shared" si="107"/>
        <v>#N/A</v>
      </c>
      <c r="AG126" s="72" t="e">
        <f>IF('חד גזעי'!$AM$5="לא",(VLOOKUP(C126,'חד גזעי'!$P$1:$S$589,3,FALSE)),(VLOOKUP(C126,'חד גזעי'!$P$1:$S$589,4,FALSE)))</f>
        <v>#N/A</v>
      </c>
      <c r="AH126" s="72">
        <f t="shared" si="108"/>
        <v>0</v>
      </c>
      <c r="AI126" s="72">
        <f t="shared" si="109"/>
        <v>0</v>
      </c>
      <c r="AJ126" s="72">
        <f t="shared" si="110"/>
        <v>0</v>
      </c>
      <c r="AK126" s="72" t="e">
        <f t="shared" si="111"/>
        <v>#N/A</v>
      </c>
      <c r="AL126" t="e">
        <f>VLOOKUP(C126,'חד גזעי'!$AH$8:$AI$33,2,FALSE)</f>
        <v>#N/A</v>
      </c>
      <c r="AM126" s="72" t="b">
        <f t="shared" si="112"/>
        <v>0</v>
      </c>
      <c r="AN126" s="72" t="b">
        <f t="shared" si="113"/>
        <v>0</v>
      </c>
      <c r="AO126" s="72" t="b">
        <f t="shared" si="114"/>
        <v>0</v>
      </c>
      <c r="AS126" s="72">
        <f t="shared" si="115"/>
        <v>0</v>
      </c>
      <c r="AT126" s="72">
        <f t="shared" si="116"/>
        <v>0</v>
      </c>
      <c r="AU126" s="72">
        <f t="shared" si="125"/>
        <v>0</v>
      </c>
      <c r="AV126" s="72">
        <f t="shared" si="117"/>
        <v>0</v>
      </c>
      <c r="AW126" s="72">
        <f t="shared" si="118"/>
        <v>0</v>
      </c>
      <c r="AX126" s="72">
        <f t="shared" si="119"/>
        <v>0</v>
      </c>
      <c r="AY126" s="72">
        <f t="shared" si="120"/>
        <v>0</v>
      </c>
      <c r="AZ126" s="72">
        <f t="shared" si="121"/>
        <v>0</v>
      </c>
      <c r="BA126" s="72" t="e">
        <f t="shared" si="122"/>
        <v>#N/A</v>
      </c>
      <c r="BB126" s="72" t="e">
        <f t="shared" si="127"/>
        <v>#N/A</v>
      </c>
      <c r="BC126" s="77"/>
      <c r="BE126">
        <f t="shared" si="103"/>
        <v>0</v>
      </c>
      <c r="BF126" s="196"/>
      <c r="BG126" s="196"/>
      <c r="BH126" s="196"/>
      <c r="BI126" s="196"/>
      <c r="BJ126" s="196"/>
      <c r="BK126" s="196"/>
    </row>
    <row r="127" spans="2:63" hidden="1">
      <c r="B127" s="72"/>
      <c r="C127" s="135"/>
      <c r="D127" s="73"/>
      <c r="E127" s="73"/>
      <c r="F127" s="72"/>
      <c r="G127" s="72"/>
      <c r="H127" s="72"/>
      <c r="I127" s="73">
        <f t="shared" si="126"/>
        <v>0</v>
      </c>
      <c r="J127" s="73"/>
      <c r="K127" s="73"/>
      <c r="L127" s="74" t="e">
        <f>_xlfn.IFNA(VLOOKUP(C127,'חד גזעי'!$U$3:$V$509,2,0),VLOOKUP(C127,'חד גזעי'!$U$3:$V$509,2))</f>
        <v>#N/A</v>
      </c>
      <c r="M127" s="73"/>
      <c r="N127" s="72" t="e">
        <f>_xlfn.IFNA(IF(VLOOKUP(C127,'חד גזעי'!$AH$2:$AH$7,1,FALSE)&gt;0,0,IF('חד גזעי'!$AM$5="כן",IF(_xlfn.IFNA(VLOOKUP(C127,'חד גזעי'!$AH$2:$AH$33,1,FALSE),SUM(J127:M127))&lt;21,_xlfn.IFNA(VLOOKUP(C127,'חד גזעי'!$AH$2:$AH$33,1,FALSE),SUM(J127:M127)),0),SUM(J127:M127))),IF('חד גזעי'!$AM$5="כן",IF(_xlfn.IFNA(VLOOKUP(C127,'חד גזעי'!$AH$2:$AH$33,1,FALSE),SUM(J127:M127))&lt;21,_xlfn.IFNA(VLOOKUP(C127,'חד גזעי'!$AH$2:$AH$33,1,FALSE),SUM(J127:M127)),0),SUM(J127:M127)))</f>
        <v>#N/A</v>
      </c>
      <c r="O127" s="72">
        <f>IF('חד גזעי'!$AM$3 = "כן",IF(T127&gt;4,4,T127),T127)</f>
        <v>0</v>
      </c>
      <c r="P127" s="80">
        <f>IF(E127&lt;2,0,IF(Z127&gt;0,Z127,IF(N127 = 0,0,IF('חד גזעי'!$AM$2 = "לא",IF(F127&gt;19,W127,0),IF(F127&gt;9,Y127,0)))))</f>
        <v>0</v>
      </c>
      <c r="Q127" s="77"/>
      <c r="R127" s="76"/>
      <c r="S127" t="e">
        <f>VLOOKUP(C127,'חד גזעי'!$Y$4:$Y$18,1,0)</f>
        <v>#N/A</v>
      </c>
      <c r="T127" s="72">
        <f>IF('חד גזעי'!$AM$6="לא",IF(P127=0,IF(BC127="שימור",IF('חד גזעי'!$AM$4="לא",IF(BC127="לא בוגר",0,IF(BC127="לא קיים",0,IF(J127=0,0,I127*0.1))),IF(BC127="לא בוגר",0,IF(BC127="לא קיים",0,IF(AB127=1,I127*0.1,E127*0.5)))),0),IF('חד גזעי'!$AM$4="לא",IF(BC127="לא בוגר",0,IF(BC127="לא קיים",0,IF(J127=0,0,I127*0.1))),IF(BC127="לא בוגר",0,IF(BC127="לא קיים",0,IF(AB127=1,I127*0.1,E127*0.5))))),IF(P127=0,IF(BC127="שימור",IF('חד גזעי'!$AM$4="לא",IF(BC127="לא בוגר",0,IF(BC127="לא קיים",0,IF(J127=0,0,I127*0.15))),IF(BC127="לא בוגר",0,IF(BC127="לא קיים",0,IF(AB127=1,I127*0.15,E127*0.5)))),0),IF('חד גזעי'!$AM$4="לא",IF(BC127="לא בוגר",0,IF(BC127="לא קיים",0,IF(J127=0,0,I127*0.15))),IF(BC127="לא בוגר",0,IF(BC127="לא קיים",0,IF(AB127=1,I127*0.15,E127*0.5))))))</f>
        <v>0</v>
      </c>
      <c r="V127" t="e">
        <f t="shared" si="78"/>
        <v>#N/A</v>
      </c>
      <c r="W127" t="e">
        <f t="shared" si="79"/>
        <v>#N/A</v>
      </c>
      <c r="X127" t="e">
        <f t="shared" si="80"/>
        <v>#N/A</v>
      </c>
      <c r="Y127">
        <f>IF('חד גזעי'!$AM$2 = "לא",0,IF(F127&gt;9,W127,0))</f>
        <v>0</v>
      </c>
      <c r="Z127">
        <f>IF('חד גזעי'!$AM$7 = "לא",0,IF(C127 = "זית אירופי",IF('חד גזעי'!$AN$7 &lt;=סקר!F127,W127,0),IF(C127 = "חרוב מצוי",IF('חד גזעי'!$AN$7 &lt;=סקר!F127,W127,0),0)))</f>
        <v>0</v>
      </c>
      <c r="AB127">
        <f t="shared" si="106"/>
        <v>1</v>
      </c>
      <c r="AC127" s="72"/>
      <c r="AD127" t="e">
        <f t="shared" si="124"/>
        <v>#N/A</v>
      </c>
      <c r="AE127" s="72"/>
      <c r="AF127" s="72" t="e">
        <f t="shared" si="107"/>
        <v>#N/A</v>
      </c>
      <c r="AG127" s="72" t="e">
        <f>IF('חד גזעי'!$AM$5="לא",(VLOOKUP(C127,'חד גזעי'!$P$1:$S$589,3,FALSE)),(VLOOKUP(C127,'חד גזעי'!$P$1:$S$589,4,FALSE)))</f>
        <v>#N/A</v>
      </c>
      <c r="AH127" s="72">
        <f t="shared" si="108"/>
        <v>0</v>
      </c>
      <c r="AI127" s="72">
        <f t="shared" si="109"/>
        <v>0</v>
      </c>
      <c r="AJ127" s="72">
        <f t="shared" si="110"/>
        <v>0</v>
      </c>
      <c r="AK127" s="72" t="e">
        <f t="shared" si="111"/>
        <v>#N/A</v>
      </c>
      <c r="AL127" t="e">
        <f>VLOOKUP(C127,'חד גזעי'!$AH$8:$AI$33,2,FALSE)</f>
        <v>#N/A</v>
      </c>
      <c r="AM127" s="72" t="b">
        <f t="shared" si="112"/>
        <v>0</v>
      </c>
      <c r="AN127" s="72" t="b">
        <f t="shared" si="113"/>
        <v>0</v>
      </c>
      <c r="AO127" s="72" t="b">
        <f t="shared" si="114"/>
        <v>0</v>
      </c>
      <c r="AS127" s="72">
        <f t="shared" si="115"/>
        <v>0</v>
      </c>
      <c r="AT127" s="72">
        <f t="shared" si="116"/>
        <v>0</v>
      </c>
      <c r="AU127" s="72">
        <f t="shared" si="125"/>
        <v>0</v>
      </c>
      <c r="AV127" s="72">
        <f t="shared" si="117"/>
        <v>0</v>
      </c>
      <c r="AW127" s="72">
        <f t="shared" si="118"/>
        <v>0</v>
      </c>
      <c r="AX127" s="72">
        <f t="shared" si="119"/>
        <v>0</v>
      </c>
      <c r="AY127" s="72">
        <f t="shared" si="120"/>
        <v>0</v>
      </c>
      <c r="AZ127" s="72">
        <f t="shared" si="121"/>
        <v>0</v>
      </c>
      <c r="BA127" s="72" t="e">
        <f t="shared" si="122"/>
        <v>#N/A</v>
      </c>
      <c r="BB127" s="72" t="e">
        <f t="shared" si="127"/>
        <v>#N/A</v>
      </c>
      <c r="BC127" s="77"/>
      <c r="BE127">
        <f t="shared" si="103"/>
        <v>0</v>
      </c>
      <c r="BF127" s="196"/>
      <c r="BG127" s="196"/>
      <c r="BH127" s="196"/>
      <c r="BI127" s="196"/>
      <c r="BJ127" s="196"/>
      <c r="BK127" s="196"/>
    </row>
    <row r="128" spans="2:63" hidden="1">
      <c r="B128" s="72"/>
      <c r="C128" s="135"/>
      <c r="D128" s="73"/>
      <c r="E128" s="73"/>
      <c r="F128" s="72"/>
      <c r="G128" s="72"/>
      <c r="H128" s="72"/>
      <c r="I128" s="73">
        <f t="shared" ref="I128:I129" si="129">F128+(G128/2)+(H128/2)</f>
        <v>0</v>
      </c>
      <c r="J128" s="73"/>
      <c r="K128" s="73"/>
      <c r="L128" s="74" t="e">
        <f>_xlfn.IFNA(VLOOKUP(C128,'חד גזעי'!$U$3:$V$509,2,0),VLOOKUP(C128,'חד גזעי'!$U$3:$V$509,2))</f>
        <v>#N/A</v>
      </c>
      <c r="M128" s="73"/>
      <c r="N128" s="72" t="e">
        <f>_xlfn.IFNA(IF(VLOOKUP(C128,'חד גזעי'!$AH$2:$AH$7,1,FALSE)&gt;0,0,IF('חד גזעי'!$AM$5="כן",IF(_xlfn.IFNA(VLOOKUP(C128,'חד גזעי'!$AH$2:$AH$33,1,FALSE),SUM(J128:M128))&lt;21,_xlfn.IFNA(VLOOKUP(C128,'חד גזעי'!$AH$2:$AH$33,1,FALSE),SUM(J128:M128)),0),SUM(J128:M128))),IF('חד גזעי'!$AM$5="כן",IF(_xlfn.IFNA(VLOOKUP(C128,'חד גזעי'!$AH$2:$AH$33,1,FALSE),SUM(J128:M128))&lt;21,_xlfn.IFNA(VLOOKUP(C128,'חד גזעי'!$AH$2:$AH$33,1,FALSE),SUM(J128:M128)),0),SUM(J128:M128)))</f>
        <v>#N/A</v>
      </c>
      <c r="O128" s="72">
        <f>IF('חד גזעי'!$AM$3 = "כן",IF(T128&gt;4,4,T128),T128)</f>
        <v>0</v>
      </c>
      <c r="P128" s="80">
        <f>IF(E128&lt;2,0,IF(Z128&gt;0,Z128,IF(N128 = 0,0,IF('חד גזעי'!$AM$2 = "לא",IF(F128&gt;19,W128,0),IF(F128&gt;9,Y128,0)))))</f>
        <v>0</v>
      </c>
      <c r="Q128" s="77"/>
      <c r="R128" s="76"/>
      <c r="S128" t="e">
        <f>VLOOKUP(C128,'חד גזעי'!$Y$4:$Y$18,1,0)</f>
        <v>#N/A</v>
      </c>
      <c r="T128" s="72">
        <f>IF('חד גזעי'!$AM$6="לא",IF(P128=0,IF(BC128="שימור",IF('חד גזעי'!$AM$4="לא",IF(BC128="לא בוגר",0,IF(BC128="לא קיים",0,IF(J128=0,0,I128*0.1))),IF(BC128="לא בוגר",0,IF(BC128="לא קיים",0,IF(AB128=1,I128*0.1,E128*0.5)))),0),IF('חד גזעי'!$AM$4="לא",IF(BC128="לא בוגר",0,IF(BC128="לא קיים",0,IF(J128=0,0,I128*0.1))),IF(BC128="לא בוגר",0,IF(BC128="לא קיים",0,IF(AB128=1,I128*0.1,E128*0.5))))),IF(P128=0,IF(BC128="שימור",IF('חד גזעי'!$AM$4="לא",IF(BC128="לא בוגר",0,IF(BC128="לא קיים",0,IF(J128=0,0,I128*0.15))),IF(BC128="לא בוגר",0,IF(BC128="לא קיים",0,IF(AB128=1,I128*0.15,E128*0.5)))),0),IF('חד גזעי'!$AM$4="לא",IF(BC128="לא בוגר",0,IF(BC128="לא קיים",0,IF(J128=0,0,I128*0.15))),IF(BC128="לא בוגר",0,IF(BC128="לא קיים",0,IF(AB128=1,I128*0.15,E128*0.5))))))</f>
        <v>0</v>
      </c>
      <c r="V128" t="e">
        <f t="shared" si="78"/>
        <v>#N/A</v>
      </c>
      <c r="W128" t="e">
        <f t="shared" si="79"/>
        <v>#N/A</v>
      </c>
      <c r="X128" t="e">
        <f t="shared" si="80"/>
        <v>#N/A</v>
      </c>
      <c r="Y128">
        <f>IF('חד גזעי'!$AM$2 = "לא",0,IF(F128&gt;9,W128,0))</f>
        <v>0</v>
      </c>
      <c r="Z128">
        <f>IF('חד גזעי'!$AM$7 = "לא",0,IF(C128 = "זית אירופי",IF('חד גזעי'!$AN$7 &lt;=סקר!F128,W128,0),IF(C128 = "חרוב מצוי",IF('חד גזעי'!$AN$7 &lt;=סקר!F128,W128,0),0)))</f>
        <v>0</v>
      </c>
      <c r="AB128">
        <f t="shared" si="106"/>
        <v>1</v>
      </c>
      <c r="AC128" s="72"/>
      <c r="AD128" t="e">
        <f t="shared" si="124"/>
        <v>#N/A</v>
      </c>
      <c r="AE128" s="72"/>
      <c r="AF128" s="72" t="e">
        <f t="shared" si="107"/>
        <v>#N/A</v>
      </c>
      <c r="AG128" s="72" t="e">
        <f>IF('חד גזעי'!$AM$5="לא",(VLOOKUP(C128,'חד גזעי'!$P$1:$S$589,3,FALSE)),(VLOOKUP(C128,'חד גזעי'!$P$1:$S$589,4,FALSE)))</f>
        <v>#N/A</v>
      </c>
      <c r="AH128" s="72">
        <f t="shared" si="108"/>
        <v>0</v>
      </c>
      <c r="AI128" s="72">
        <f t="shared" si="109"/>
        <v>0</v>
      </c>
      <c r="AJ128" s="72">
        <f t="shared" si="110"/>
        <v>0</v>
      </c>
      <c r="AK128" s="72" t="e">
        <f t="shared" si="111"/>
        <v>#N/A</v>
      </c>
      <c r="AL128" t="e">
        <f>VLOOKUP(C128,'חד גזעי'!$AH$8:$AI$33,2,FALSE)</f>
        <v>#N/A</v>
      </c>
      <c r="AM128" s="72" t="b">
        <f t="shared" si="112"/>
        <v>0</v>
      </c>
      <c r="AN128" s="72" t="b">
        <f t="shared" si="113"/>
        <v>0</v>
      </c>
      <c r="AO128" s="72" t="b">
        <f t="shared" si="114"/>
        <v>0</v>
      </c>
      <c r="AS128" s="72">
        <f t="shared" si="115"/>
        <v>0</v>
      </c>
      <c r="AT128" s="72">
        <f t="shared" si="116"/>
        <v>0</v>
      </c>
      <c r="AU128" s="72">
        <f t="shared" si="125"/>
        <v>0</v>
      </c>
      <c r="AV128" s="72">
        <f t="shared" si="117"/>
        <v>0</v>
      </c>
      <c r="AW128" s="72">
        <f t="shared" si="118"/>
        <v>0</v>
      </c>
      <c r="AX128" s="72">
        <f t="shared" si="119"/>
        <v>0</v>
      </c>
      <c r="AY128" s="72">
        <f t="shared" si="120"/>
        <v>0</v>
      </c>
      <c r="AZ128" s="72">
        <f t="shared" si="121"/>
        <v>0</v>
      </c>
      <c r="BA128" s="72" t="e">
        <f t="shared" si="122"/>
        <v>#N/A</v>
      </c>
      <c r="BB128" s="72" t="e">
        <f t="shared" ref="BB128:BB129" si="130">IF(BA128&gt;6,IF(BA128&gt;13,IF(BA128&gt;16,"גבוה מאוד","גבוה"),"בינונית"),"נמוכה")</f>
        <v>#N/A</v>
      </c>
      <c r="BC128" s="77"/>
      <c r="BE128">
        <f t="shared" si="103"/>
        <v>0</v>
      </c>
      <c r="BF128" s="196"/>
      <c r="BG128" s="196"/>
      <c r="BH128" s="196"/>
      <c r="BI128" s="196"/>
      <c r="BJ128" s="196"/>
      <c r="BK128" s="196"/>
    </row>
    <row r="129" spans="1:63" hidden="1">
      <c r="B129" s="72"/>
      <c r="C129" s="135"/>
      <c r="D129" s="73"/>
      <c r="E129" s="73"/>
      <c r="F129" s="72"/>
      <c r="G129" s="72"/>
      <c r="H129" s="72"/>
      <c r="I129" s="73">
        <f t="shared" si="129"/>
        <v>0</v>
      </c>
      <c r="J129" s="73"/>
      <c r="K129" s="73"/>
      <c r="L129" s="74" t="e">
        <f>_xlfn.IFNA(VLOOKUP(C129,'חד גזעי'!$U$3:$V$509,2,0),VLOOKUP(C129,'חד גזעי'!$U$3:$V$509,2))</f>
        <v>#N/A</v>
      </c>
      <c r="M129" s="73"/>
      <c r="N129" s="72" t="e">
        <f>_xlfn.IFNA(IF(VLOOKUP(C129,'חד גזעי'!$AH$2:$AH$7,1,FALSE)&gt;0,0,IF('חד גזעי'!$AM$5="כן",IF(_xlfn.IFNA(VLOOKUP(C129,'חד גזעי'!$AH$2:$AH$33,1,FALSE),SUM(J129:M129))&lt;21,_xlfn.IFNA(VLOOKUP(C129,'חד גזעי'!$AH$2:$AH$33,1,FALSE),SUM(J129:M129)),0),SUM(J129:M129))),IF('חד גזעי'!$AM$5="כן",IF(_xlfn.IFNA(VLOOKUP(C129,'חד גזעי'!$AH$2:$AH$33,1,FALSE),SUM(J129:M129))&lt;21,_xlfn.IFNA(VLOOKUP(C129,'חד גזעי'!$AH$2:$AH$33,1,FALSE),SUM(J129:M129)),0),SUM(J129:M129)))</f>
        <v>#N/A</v>
      </c>
      <c r="O129" s="72">
        <f>IF('חד גזעי'!$AM$3 = "כן",IF(T129&gt;4,4,T129),T129)</f>
        <v>0</v>
      </c>
      <c r="P129" s="80">
        <f>IF(E129&lt;2,0,IF(Z129&gt;0,Z129,IF(N129 = 0,0,IF('חד גזעי'!$AM$2 = "לא",IF(F129&gt;19,W129,0),IF(F129&gt;9,Y129,0)))))</f>
        <v>0</v>
      </c>
      <c r="Q129" s="77"/>
      <c r="R129" s="76"/>
      <c r="S129" t="e">
        <f>VLOOKUP(C129,'חד גזעי'!$Y$4:$Y$18,1,0)</f>
        <v>#N/A</v>
      </c>
      <c r="T129" s="72">
        <f>IF('חד גזעי'!$AM$6="לא",IF(P129=0,IF(BC129="שימור",IF('חד גזעי'!$AM$4="לא",IF(BC129="לא בוגר",0,IF(BC129="לא קיים",0,IF(J129=0,0,I129*0.1))),IF(BC129="לא בוגר",0,IF(BC129="לא קיים",0,IF(AB129=1,I129*0.1,E129*0.5)))),0),IF('חד גזעי'!$AM$4="לא",IF(BC129="לא בוגר",0,IF(BC129="לא קיים",0,IF(J129=0,0,I129*0.1))),IF(BC129="לא בוגר",0,IF(BC129="לא קיים",0,IF(AB129=1,I129*0.1,E129*0.5))))),IF(P129=0,IF(BC129="שימור",IF('חד גזעי'!$AM$4="לא",IF(BC129="לא בוגר",0,IF(BC129="לא קיים",0,IF(J129=0,0,I129*0.15))),IF(BC129="לא בוגר",0,IF(BC129="לא קיים",0,IF(AB129=1,I129*0.15,E129*0.5)))),0),IF('חד גזעי'!$AM$4="לא",IF(BC129="לא בוגר",0,IF(BC129="לא קיים",0,IF(J129=0,0,I129*0.15))),IF(BC129="לא בוגר",0,IF(BC129="לא קיים",0,IF(AB129=1,I129*0.15,E129*0.5))))))</f>
        <v>0</v>
      </c>
      <c r="V129" t="e">
        <f t="shared" si="78"/>
        <v>#N/A</v>
      </c>
      <c r="W129" t="e">
        <f t="shared" si="79"/>
        <v>#N/A</v>
      </c>
      <c r="X129" t="e">
        <f t="shared" si="80"/>
        <v>#N/A</v>
      </c>
      <c r="Y129">
        <f>IF('חד גזעי'!$AM$2 = "לא",0,IF(F129&gt;9,W129,0))</f>
        <v>0</v>
      </c>
      <c r="Z129">
        <f>IF('חד גזעי'!$AM$7 = "לא",0,IF(C129 = "זית אירופי",IF('חד גזעי'!$AN$7 &lt;=סקר!F129,W129,0),IF(C129 = "חרוב מצוי",IF('חד גזעי'!$AN$7 &lt;=סקר!F129,W129,0),0)))</f>
        <v>0</v>
      </c>
      <c r="AB129">
        <f t="shared" si="106"/>
        <v>1</v>
      </c>
      <c r="AC129" s="72"/>
      <c r="AD129" t="e">
        <f t="shared" si="124"/>
        <v>#N/A</v>
      </c>
      <c r="AE129" s="72"/>
      <c r="AF129" s="72" t="e">
        <f t="shared" si="107"/>
        <v>#N/A</v>
      </c>
      <c r="AG129" s="72" t="e">
        <f>IF('חד גזעי'!$AM$5="לא",(VLOOKUP(C129,'חד גזעי'!$P$1:$S$589,3,FALSE)),(VLOOKUP(C129,'חד גזעי'!$P$1:$S$589,4,FALSE)))</f>
        <v>#N/A</v>
      </c>
      <c r="AH129" s="72">
        <f t="shared" si="108"/>
        <v>0</v>
      </c>
      <c r="AI129" s="72">
        <f t="shared" si="109"/>
        <v>0</v>
      </c>
      <c r="AJ129" s="72">
        <f t="shared" si="110"/>
        <v>0</v>
      </c>
      <c r="AK129" s="72" t="e">
        <f t="shared" si="111"/>
        <v>#N/A</v>
      </c>
      <c r="AL129" t="e">
        <f>VLOOKUP(C129,'חד גזעי'!$AH$8:$AI$33,2,FALSE)</f>
        <v>#N/A</v>
      </c>
      <c r="AM129" s="72" t="b">
        <f t="shared" si="112"/>
        <v>0</v>
      </c>
      <c r="AN129" s="72" t="b">
        <f t="shared" si="113"/>
        <v>0</v>
      </c>
      <c r="AO129" s="72" t="b">
        <f t="shared" si="114"/>
        <v>0</v>
      </c>
      <c r="AS129" s="72">
        <f t="shared" si="115"/>
        <v>0</v>
      </c>
      <c r="AT129" s="72">
        <f t="shared" si="116"/>
        <v>0</v>
      </c>
      <c r="AU129" s="72">
        <f t="shared" si="125"/>
        <v>0</v>
      </c>
      <c r="AV129" s="72">
        <f t="shared" si="117"/>
        <v>0</v>
      </c>
      <c r="AW129" s="72">
        <f t="shared" si="118"/>
        <v>0</v>
      </c>
      <c r="AX129" s="72">
        <f t="shared" si="119"/>
        <v>0</v>
      </c>
      <c r="AY129" s="72">
        <f t="shared" si="120"/>
        <v>0</v>
      </c>
      <c r="AZ129" s="72">
        <f t="shared" si="121"/>
        <v>0</v>
      </c>
      <c r="BA129" s="72" t="e">
        <f t="shared" si="122"/>
        <v>#N/A</v>
      </c>
      <c r="BB129" s="72" t="e">
        <f t="shared" si="130"/>
        <v>#N/A</v>
      </c>
      <c r="BC129" s="77"/>
      <c r="BE129">
        <f t="shared" si="103"/>
        <v>0</v>
      </c>
      <c r="BF129" s="196"/>
      <c r="BG129" s="196"/>
      <c r="BH129" s="196"/>
      <c r="BI129" s="196"/>
      <c r="BJ129" s="196"/>
      <c r="BK129" s="196"/>
    </row>
    <row r="130" spans="1:63" hidden="1">
      <c r="B130" s="72"/>
      <c r="C130" s="135"/>
      <c r="D130" s="73"/>
      <c r="E130" s="73"/>
      <c r="F130" s="72"/>
      <c r="G130" s="72"/>
      <c r="H130" s="72"/>
      <c r="I130" s="73">
        <f t="shared" ref="I130" si="131">F130+(G130/2)+(H130/2)</f>
        <v>0</v>
      </c>
      <c r="J130" s="73"/>
      <c r="K130" s="73"/>
      <c r="L130" s="74" t="e">
        <f>_xlfn.IFNA(VLOOKUP(C130,'חד גזעי'!$U$3:$V$509,2,0),VLOOKUP(C130,'חד גזעי'!$U$3:$V$509,2))</f>
        <v>#N/A</v>
      </c>
      <c r="M130" s="73"/>
      <c r="N130" s="72" t="e">
        <f>_xlfn.IFNA(IF(VLOOKUP(C130,'חד גזעי'!$AH$2:$AH$7,1,FALSE)&gt;0,0,IF('חד גזעי'!$AM$5="כן",IF(_xlfn.IFNA(VLOOKUP(C130,'חד גזעי'!$AH$2:$AH$33,1,FALSE),SUM(J130:M130))&lt;21,_xlfn.IFNA(VLOOKUP(C130,'חד גזעי'!$AH$2:$AH$33,1,FALSE),SUM(J130:M130)),0),SUM(J130:M130))),IF('חד גזעי'!$AM$5="כן",IF(_xlfn.IFNA(VLOOKUP(C130,'חד גזעי'!$AH$2:$AH$33,1,FALSE),SUM(J130:M130))&lt;21,_xlfn.IFNA(VLOOKUP(C130,'חד גזעי'!$AH$2:$AH$33,1,FALSE),SUM(J130:M130)),0),SUM(J130:M130)))</f>
        <v>#N/A</v>
      </c>
      <c r="O130" s="72">
        <f>IF('חד גזעי'!$AM$3 = "כן",IF(T130&gt;4,4,T130),T130)</f>
        <v>0</v>
      </c>
      <c r="P130" s="80">
        <f>IF(E130&lt;2,0,IF(Z130&gt;0,Z130,IF(N130 = 0,0,IF('חד גזעי'!$AM$2 = "לא",IF(F130&gt;19,W130,0),IF(F130&gt;9,Y130,0)))))</f>
        <v>0</v>
      </c>
      <c r="Q130" s="77"/>
      <c r="R130" s="76"/>
      <c r="S130" t="e">
        <f>VLOOKUP(C130,'חד גזעי'!$Y$4:$Y$18,1,0)</f>
        <v>#N/A</v>
      </c>
      <c r="T130" s="72">
        <f>IF('חד גזעי'!$AM$6="לא",IF(P130=0,IF(BC130="שימור",IF('חד גזעי'!$AM$4="לא",IF(BC130="לא בוגר",0,IF(BC130="לא קיים",0,IF(J130=0,0,I130*0.1))),IF(BC130="לא בוגר",0,IF(BC130="לא קיים",0,IF(AB130=1,I130*0.1,E130*0.5)))),0),IF('חד גזעי'!$AM$4="לא",IF(BC130="לא בוגר",0,IF(BC130="לא קיים",0,IF(J130=0,0,I130*0.1))),IF(BC130="לא בוגר",0,IF(BC130="לא קיים",0,IF(AB130=1,I130*0.1,E130*0.5))))),IF(P130=0,IF(BC130="שימור",IF('חד גזעי'!$AM$4="לא",IF(BC130="לא בוגר",0,IF(BC130="לא קיים",0,IF(J130=0,0,I130*0.15))),IF(BC130="לא בוגר",0,IF(BC130="לא קיים",0,IF(AB130=1,I130*0.15,E130*0.5)))),0),IF('חד גזעי'!$AM$4="לא",IF(BC130="לא בוגר",0,IF(BC130="לא קיים",0,IF(J130=0,0,I130*0.15))),IF(BC130="לא בוגר",0,IF(BC130="לא קיים",0,IF(AB130=1,I130*0.15,E130*0.5))))))</f>
        <v>0</v>
      </c>
      <c r="V130" t="e">
        <f t="shared" si="78"/>
        <v>#N/A</v>
      </c>
      <c r="W130" t="e">
        <f t="shared" si="79"/>
        <v>#N/A</v>
      </c>
      <c r="X130" t="e">
        <f t="shared" si="80"/>
        <v>#N/A</v>
      </c>
      <c r="Y130">
        <f>IF('חד גזעי'!$AM$2 = "לא",0,IF(F130&gt;9,W130,0))</f>
        <v>0</v>
      </c>
      <c r="Z130">
        <f>IF('חד גזעי'!$AM$7 = "לא",0,IF(C130 = "זית אירופי",IF('חד גזעי'!$AN$7 &lt;=סקר!F130,W130,0),IF(C130 = "חרוב מצוי",IF('חד גזעי'!$AN$7 &lt;=סקר!F130,W130,0),0)))</f>
        <v>0</v>
      </c>
      <c r="AB130">
        <f t="shared" si="106"/>
        <v>1</v>
      </c>
      <c r="AC130" s="72"/>
      <c r="AD130" t="e">
        <f t="shared" si="124"/>
        <v>#N/A</v>
      </c>
      <c r="AE130" s="72"/>
      <c r="AF130" s="72" t="e">
        <f t="shared" si="107"/>
        <v>#N/A</v>
      </c>
      <c r="AG130" s="72" t="e">
        <f>IF('חד גזעי'!$AM$5="לא",(VLOOKUP(C130,'חד גזעי'!$P$1:$S$589,3,FALSE)),(VLOOKUP(C130,'חד גזעי'!$P$1:$S$589,4,FALSE)))</f>
        <v>#N/A</v>
      </c>
      <c r="AH130" s="72">
        <f t="shared" si="108"/>
        <v>0</v>
      </c>
      <c r="AI130" s="72">
        <f t="shared" si="109"/>
        <v>0</v>
      </c>
      <c r="AJ130" s="72">
        <f t="shared" si="110"/>
        <v>0</v>
      </c>
      <c r="AK130" s="72" t="e">
        <f t="shared" si="111"/>
        <v>#N/A</v>
      </c>
      <c r="AL130" t="e">
        <f>VLOOKUP(C130,'חד גזעי'!$AH$8:$AI$33,2,FALSE)</f>
        <v>#N/A</v>
      </c>
      <c r="AM130" s="72" t="b">
        <f t="shared" si="112"/>
        <v>0</v>
      </c>
      <c r="AN130" s="72" t="b">
        <f t="shared" si="113"/>
        <v>0</v>
      </c>
      <c r="AO130" s="72" t="b">
        <f t="shared" si="114"/>
        <v>0</v>
      </c>
      <c r="AS130" s="72">
        <f t="shared" si="115"/>
        <v>0</v>
      </c>
      <c r="AT130" s="72">
        <f t="shared" si="116"/>
        <v>0</v>
      </c>
      <c r="AU130" s="72">
        <f t="shared" si="125"/>
        <v>0</v>
      </c>
      <c r="AV130" s="72">
        <f t="shared" si="117"/>
        <v>0</v>
      </c>
      <c r="AW130" s="72">
        <f t="shared" si="118"/>
        <v>0</v>
      </c>
      <c r="AX130" s="72">
        <f t="shared" si="119"/>
        <v>0</v>
      </c>
      <c r="AY130" s="72">
        <f t="shared" si="120"/>
        <v>0</v>
      </c>
      <c r="AZ130" s="72">
        <f t="shared" si="121"/>
        <v>0</v>
      </c>
      <c r="BA130" s="72" t="e">
        <f t="shared" si="122"/>
        <v>#N/A</v>
      </c>
      <c r="BB130" s="72" t="e">
        <f t="shared" ref="BB130" si="132">IF(BA130&gt;6,IF(BA130&gt;13,IF(BA130&gt;16,"גבוה מאוד","גבוה"),"בינונית"),"נמוכה")</f>
        <v>#N/A</v>
      </c>
      <c r="BC130" s="77"/>
      <c r="BE130">
        <f t="shared" si="103"/>
        <v>0</v>
      </c>
      <c r="BF130" s="196"/>
      <c r="BG130" s="196"/>
      <c r="BH130" s="196"/>
      <c r="BI130" s="196"/>
      <c r="BJ130" s="196"/>
      <c r="BK130" s="196"/>
    </row>
    <row r="131" spans="1:63" ht="14.25" hidden="1">
      <c r="B131" s="71"/>
      <c r="C131" s="69"/>
      <c r="Q131" s="86"/>
      <c r="T131" s="72">
        <f>IF('חד גזעי'!$AM$6="לא",IF(P131=0,IF(BC131="שימור",IF('חד גזעי'!$AM$4="לא",IF(BC131="לא בוגר",0,IF(BC131="לא קיים",0,IF(J131=0,0,I131*0.1))),IF(BC131="לא בוגר",0,IF(BC131="לא קיים",0,IF(AB131=1,I131*0.1,E131*0.5)))),0),IF('חד גזעי'!$AM$4="לא",IF(BC131="לא בוגר",0,IF(BC131="לא קיים",0,IF(J131=0,0,I131*0.1))),IF(BC131="לא בוגר",0,IF(BC131="לא קיים",0,IF(AB131=1,I131*0.1,E131*0.5))))),IF(P131=0,IF(BC131="שימור",IF('חד גזעי'!$AM$4="לא",IF(BC131="לא בוגר",0,IF(BC131="לא קיים",0,IF(J131=0,0,I131*0.15))),IF(BC131="לא בוגר",0,IF(BC131="לא קיים",0,IF(AB131=1,I131*0.15,E131*0.5)))),0),IF('חד גזעי'!$AM$4="לא",IF(BC131="לא בוגר",0,IF(BC131="לא קיים",0,IF(J131=0,0,I131*0.15))),IF(BC131="לא בוגר",0,IF(BC131="לא קיים",0,IF(AB131=1,I131*0.15,E131*0.5))))))</f>
        <v>0</v>
      </c>
      <c r="V131">
        <f t="shared" si="78"/>
        <v>0</v>
      </c>
      <c r="W131">
        <f t="shared" si="79"/>
        <v>0</v>
      </c>
      <c r="X131">
        <f t="shared" si="80"/>
        <v>0</v>
      </c>
      <c r="Y131">
        <f>IF('חד גזעי'!$AM$2 = "לא",0,IF(F131&gt;9,W131,0))</f>
        <v>0</v>
      </c>
      <c r="Z131">
        <f>IF('חד גזעי'!$AM$7 = "לא",0,IF(C131 = "זית אירופי",IF('חד גזעי'!$AN$7 &lt;=סקר!F131,W131,0),IF(C131 = "חרוב מצוי",IF('חד גזעי'!$AN$7 &lt;=סקר!F131,W131,0),0)))</f>
        <v>0</v>
      </c>
      <c r="AD131" s="69" t="s">
        <v>807</v>
      </c>
      <c r="BE131">
        <f t="shared" si="103"/>
        <v>0</v>
      </c>
      <c r="BF131" s="196"/>
      <c r="BG131" s="196"/>
      <c r="BH131" s="196"/>
      <c r="BI131" s="196"/>
      <c r="BJ131" s="196"/>
      <c r="BK131" s="196"/>
    </row>
    <row r="132" spans="1:63" ht="14.25" hidden="1">
      <c r="A132" s="129"/>
      <c r="B132" s="132"/>
      <c r="C132" s="133"/>
      <c r="D132" s="129"/>
      <c r="E132" s="129"/>
      <c r="F132" s="129"/>
      <c r="G132" s="129"/>
      <c r="H132" s="129"/>
      <c r="I132" s="129"/>
      <c r="J132" s="129"/>
      <c r="K132" s="129"/>
      <c r="L132" s="129"/>
      <c r="M132" s="129"/>
      <c r="N132" s="129"/>
      <c r="O132" s="129"/>
      <c r="P132" s="129"/>
      <c r="Q132" s="134"/>
      <c r="R132" s="129"/>
      <c r="S132" s="129"/>
      <c r="T132" s="72">
        <f>IF('חד גזעי'!$AM$6="לא",IF(P132=0,IF(BC132="שימור",IF('חד גזעי'!$AM$4="לא",IF(BC132="לא בוגר",0,IF(BC132="לא קיים",0,IF(J132=0,0,I132*0.1))),IF(BC132="לא בוגר",0,IF(BC132="לא קיים",0,IF(AB132=1,I132*0.1,E132*0.5)))),0),IF('חד גזעי'!$AM$4="לא",IF(BC132="לא בוגר",0,IF(BC132="לא קיים",0,IF(J132=0,0,I132*0.1))),IF(BC132="לא בוגר",0,IF(BC132="לא קיים",0,IF(AB132=1,I132*0.1,E132*0.5))))),IF(P132=0,IF(BC132="שימור",IF('חד גזעי'!$AM$4="לא",IF(BC132="לא בוגר",0,IF(BC132="לא קיים",0,IF(J132=0,0,I132*0.15))),IF(BC132="לא בוגר",0,IF(BC132="לא קיים",0,IF(AB132=1,I132*0.15,E132*0.5)))),0),IF('חד גזעי'!$AM$4="לא",IF(BC132="לא בוגר",0,IF(BC132="לא קיים",0,IF(J132=0,0,I132*0.15))),IF(BC132="לא בוגר",0,IF(BC132="לא קיים",0,IF(AB132=1,I132*0.15,E132*0.5))))))</f>
        <v>0</v>
      </c>
      <c r="U132" s="129"/>
      <c r="V132">
        <f t="shared" si="78"/>
        <v>0</v>
      </c>
      <c r="W132">
        <f t="shared" si="79"/>
        <v>0</v>
      </c>
      <c r="X132">
        <f t="shared" si="80"/>
        <v>0</v>
      </c>
      <c r="Y132">
        <f>IF('חד גזעי'!$AM$2 = "לא",0,IF(F132&gt;9,W132,0))</f>
        <v>0</v>
      </c>
      <c r="Z132">
        <f>IF('חד גזעי'!$AM$7 = "לא",0,IF(C132 = "זית אירופי",IF('חד גזעי'!$AN$7 &lt;=סקר!F132,W132,0),IF(C132 = "חרוב מצוי",IF('חד גזעי'!$AN$7 &lt;=סקר!F132,W132,0),0)))</f>
        <v>0</v>
      </c>
      <c r="AA132" s="129"/>
      <c r="AB132" s="129"/>
      <c r="AC132" s="129"/>
      <c r="AD132" s="133"/>
      <c r="AE132" s="129"/>
      <c r="AF132" s="129"/>
      <c r="AG132" s="129"/>
      <c r="AH132" s="129"/>
      <c r="AI132" s="129"/>
      <c r="AJ132" s="129"/>
      <c r="AK132" s="129"/>
      <c r="AL132" s="129"/>
      <c r="AM132" s="129"/>
      <c r="AN132" s="129"/>
      <c r="AO132" s="129"/>
      <c r="AP132" s="129"/>
      <c r="AQ132" s="129"/>
      <c r="AR132" s="129"/>
      <c r="AS132" s="129"/>
      <c r="AT132" s="129"/>
      <c r="AU132" s="129"/>
      <c r="AV132" s="129"/>
      <c r="AW132" s="129"/>
      <c r="AX132" s="129"/>
      <c r="AY132" s="129"/>
      <c r="AZ132" s="129"/>
      <c r="BA132" s="129"/>
      <c r="BB132" s="129"/>
      <c r="BC132" s="129"/>
      <c r="BD132" s="129"/>
      <c r="BE132" s="129"/>
      <c r="BF132" s="129">
        <f>_xlfn.IFNA(_xlfn.IFNA(_xlfn.TEXTBEFORE(BF114,"--"),_xlfn.TEXTBEFORE(BF114,",")),BF114)</f>
        <v>0</v>
      </c>
      <c r="BG132" s="129">
        <f t="shared" ref="BG132:BK132" si="133">_xlfn.IFNA(_xlfn.IFNA(_xlfn.TEXTBEFORE(BG114,"--"),_xlfn.TEXTBEFORE(BG114,",")),BG114)</f>
        <v>0</v>
      </c>
      <c r="BH132" s="129">
        <f t="shared" si="133"/>
        <v>0</v>
      </c>
      <c r="BI132" s="129">
        <f t="shared" si="133"/>
        <v>0</v>
      </c>
      <c r="BJ132" s="129">
        <f t="shared" si="133"/>
        <v>0</v>
      </c>
      <c r="BK132" s="129">
        <f t="shared" si="133"/>
        <v>0</v>
      </c>
    </row>
    <row r="133" spans="1:63" ht="14.25" hidden="1">
      <c r="A133" s="129"/>
      <c r="B133" s="132"/>
      <c r="C133" s="133"/>
      <c r="D133" s="129"/>
      <c r="E133" s="129"/>
      <c r="F133" s="129"/>
      <c r="G133" s="129"/>
      <c r="H133" s="129"/>
      <c r="I133" s="129"/>
      <c r="J133" s="129"/>
      <c r="K133" s="129"/>
      <c r="L133" s="129"/>
      <c r="M133" s="129"/>
      <c r="N133" s="129"/>
      <c r="O133" s="129"/>
      <c r="P133" s="129"/>
      <c r="Q133" s="134"/>
      <c r="R133" s="129"/>
      <c r="S133" s="129"/>
      <c r="T133" s="72">
        <f>IF('חד גזעי'!$AM$6="לא",IF(P133=0,IF(BC133="שימור",IF('חד גזעי'!$AM$4="לא",IF(BC133="לא בוגר",0,IF(BC133="לא קיים",0,IF(J133=0,0,I133*0.1))),IF(BC133="לא בוגר",0,IF(BC133="לא קיים",0,IF(AB133=1,I133*0.1,E133*0.5)))),0),IF('חד גזעי'!$AM$4="לא",IF(BC133="לא בוגר",0,IF(BC133="לא קיים",0,IF(J133=0,0,I133*0.1))),IF(BC133="לא בוגר",0,IF(BC133="לא קיים",0,IF(AB133=1,I133*0.1,E133*0.5))))),IF(P133=0,IF(BC133="שימור",IF('חד גזעי'!$AM$4="לא",IF(BC133="לא בוגר",0,IF(BC133="לא קיים",0,IF(J133=0,0,I133*0.15))),IF(BC133="לא בוגר",0,IF(BC133="לא קיים",0,IF(AB133=1,I133*0.15,E133*0.5)))),0),IF('חד גזעי'!$AM$4="לא",IF(BC133="לא בוגר",0,IF(BC133="לא קיים",0,IF(J133=0,0,I133*0.15))),IF(BC133="לא בוגר",0,IF(BC133="לא קיים",0,IF(AB133=1,I133*0.15,E133*0.5))))))</f>
        <v>0</v>
      </c>
      <c r="U133" s="129"/>
      <c r="V133">
        <f t="shared" si="78"/>
        <v>0</v>
      </c>
      <c r="W133">
        <f t="shared" si="79"/>
        <v>0</v>
      </c>
      <c r="X133">
        <f t="shared" si="80"/>
        <v>0</v>
      </c>
      <c r="Y133">
        <f>IF('חד גזעי'!$AM$2 = "לא",0,IF(F133&gt;9,W133,0))</f>
        <v>0</v>
      </c>
      <c r="Z133">
        <f>IF('חד גזעי'!$AM$7 = "לא",0,IF(C133 = "זית אירופי",IF('חד גזעי'!$AN$7 &lt;=סקר!F133,W133,0),IF(C133 = "חרוב מצוי",IF('חד גזעי'!$AN$7 &lt;=סקר!F133,W133,0),0)))</f>
        <v>0</v>
      </c>
      <c r="AA133" s="129"/>
      <c r="AB133" s="129"/>
      <c r="AC133" s="129"/>
      <c r="AD133" s="133"/>
      <c r="AE133" s="129"/>
      <c r="AF133" s="129"/>
      <c r="AG133" s="129"/>
      <c r="AH133" s="129"/>
      <c r="AI133" s="129"/>
      <c r="AJ133" s="129"/>
      <c r="AK133" s="129"/>
      <c r="AL133" s="129"/>
      <c r="AM133" s="129"/>
      <c r="AN133" s="129"/>
      <c r="AO133" s="129"/>
      <c r="AP133" s="129"/>
      <c r="AQ133" s="129"/>
      <c r="AR133" s="129"/>
      <c r="AS133" s="129"/>
      <c r="AT133" s="129"/>
      <c r="AU133" s="129"/>
      <c r="AV133" s="129"/>
      <c r="AW133" s="129"/>
      <c r="AX133" s="129"/>
      <c r="AY133" s="129"/>
      <c r="AZ133" s="129"/>
      <c r="BA133" s="129"/>
      <c r="BB133" s="129"/>
      <c r="BC133" s="129"/>
      <c r="BD133" s="129"/>
      <c r="BE133" s="129"/>
      <c r="BF133" s="129" t="str">
        <f>"C:\Users\origr\Pictures\"&amp;BF132&amp;".jpg"</f>
        <v>C:\Users\origr\Pictures\0.jpg</v>
      </c>
      <c r="BG133" s="129" t="str">
        <f t="shared" ref="BG133" si="134">"C:\Users\origr\Pictures\"&amp;BG132&amp;".jpg"</f>
        <v>C:\Users\origr\Pictures\0.jpg</v>
      </c>
      <c r="BH133" s="129" t="str">
        <f t="shared" ref="BH133" si="135">"C:\Users\origr\Pictures\"&amp;BH132&amp;".jpg"</f>
        <v>C:\Users\origr\Pictures\0.jpg</v>
      </c>
      <c r="BI133" s="129" t="str">
        <f t="shared" ref="BI133" si="136">"C:\Users\origr\Pictures\"&amp;BI132&amp;".jpg"</f>
        <v>C:\Users\origr\Pictures\0.jpg</v>
      </c>
      <c r="BJ133" s="129" t="str">
        <f t="shared" ref="BJ133" si="137">"C:\Users\origr\Pictures\"&amp;BJ132&amp;".jpg"</f>
        <v>C:\Users\origr\Pictures\0.jpg</v>
      </c>
      <c r="BK133" s="129" t="str">
        <f t="shared" ref="BK133" si="138">"C:\Users\origr\Pictures\"&amp;BK132&amp;".jpg"</f>
        <v>C:\Users\origr\Pictures\0.jpg</v>
      </c>
    </row>
    <row r="134" spans="1:63" ht="14.25" hidden="1">
      <c r="A134" s="129"/>
      <c r="B134" s="132"/>
      <c r="C134" s="133"/>
      <c r="D134" s="129"/>
      <c r="E134" s="129"/>
      <c r="F134" s="129"/>
      <c r="G134" s="129"/>
      <c r="H134" s="129"/>
      <c r="I134" s="129"/>
      <c r="J134" s="129"/>
      <c r="K134" s="129"/>
      <c r="L134" s="129"/>
      <c r="M134" s="129"/>
      <c r="N134" s="129"/>
      <c r="O134" s="129"/>
      <c r="P134" s="129"/>
      <c r="Q134" s="134"/>
      <c r="R134" s="129"/>
      <c r="S134" s="129"/>
      <c r="T134" s="72">
        <f>IF('חד גזעי'!$AM$6="לא",IF(P134=0,IF(BC134="שימור",IF('חד גזעי'!$AM$4="לא",IF(BC134="לא בוגר",0,IF(BC134="לא קיים",0,IF(J134=0,0,I134*0.1))),IF(BC134="לא בוגר",0,IF(BC134="לא קיים",0,IF(AB134=1,I134*0.1,E134*0.5)))),0),IF('חד גזעי'!$AM$4="לא",IF(BC134="לא בוגר",0,IF(BC134="לא קיים",0,IF(J134=0,0,I134*0.1))),IF(BC134="לא בוגר",0,IF(BC134="לא קיים",0,IF(AB134=1,I134*0.1,E134*0.5))))),IF(P134=0,IF(BC134="שימור",IF('חד גזעי'!$AM$4="לא",IF(BC134="לא בוגר",0,IF(BC134="לא קיים",0,IF(J134=0,0,I134*0.15))),IF(BC134="לא בוגר",0,IF(BC134="לא קיים",0,IF(AB134=1,I134*0.15,E134*0.5)))),0),IF('חד גזעי'!$AM$4="לא",IF(BC134="לא בוגר",0,IF(BC134="לא קיים",0,IF(J134=0,0,I134*0.15))),IF(BC134="לא בוגר",0,IF(BC134="לא קיים",0,IF(AB134=1,I134*0.15,E134*0.5))))))</f>
        <v>0</v>
      </c>
      <c r="U134" s="129"/>
      <c r="V134">
        <f t="shared" si="78"/>
        <v>0</v>
      </c>
      <c r="W134">
        <f t="shared" si="79"/>
        <v>0</v>
      </c>
      <c r="X134">
        <f t="shared" si="80"/>
        <v>0</v>
      </c>
      <c r="Y134">
        <f>IF('חד גזעי'!$AM$2 = "לא",0,IF(F134&gt;9,W134,0))</f>
        <v>0</v>
      </c>
      <c r="Z134">
        <f>IF('חד גזעי'!$AM$7 = "לא",0,IF(C134 = "זית אירופי",IF('חד גזעי'!$AN$7 &lt;=סקר!F134,W134,0),IF(C134 = "חרוב מצוי",IF('חד גזעי'!$AN$7 &lt;=סקר!F134,W134,0),0)))</f>
        <v>0</v>
      </c>
      <c r="AA134" s="129"/>
      <c r="AB134" s="129"/>
      <c r="AC134" s="129"/>
      <c r="AD134" s="133"/>
      <c r="AE134" s="129"/>
      <c r="AF134" s="129"/>
      <c r="AG134" s="129"/>
      <c r="AH134" s="129"/>
      <c r="AI134" s="129"/>
      <c r="AJ134" s="129"/>
      <c r="AK134" s="129"/>
      <c r="AL134" s="129"/>
      <c r="AM134" s="129"/>
      <c r="AN134" s="129"/>
      <c r="AO134" s="129"/>
      <c r="AP134" s="129"/>
      <c r="AQ134" s="129"/>
      <c r="AR134" s="129"/>
      <c r="AS134" s="129"/>
      <c r="AT134" s="129"/>
      <c r="AU134" s="129"/>
      <c r="AV134" s="129"/>
      <c r="AW134" s="129"/>
      <c r="AX134" s="129"/>
      <c r="AY134" s="129"/>
      <c r="AZ134" s="129"/>
      <c r="BA134" s="129"/>
      <c r="BB134" s="129"/>
      <c r="BC134" s="129"/>
      <c r="BD134" s="129"/>
      <c r="BE134" s="129"/>
      <c r="BF134" s="129" t="str">
        <f>BF133</f>
        <v>C:\Users\origr\Pictures\0.jpg</v>
      </c>
      <c r="BG134" s="129" t="str">
        <f t="shared" ref="BG134" si="139">BG133</f>
        <v>C:\Users\origr\Pictures\0.jpg</v>
      </c>
      <c r="BH134" s="129" t="str">
        <f t="shared" ref="BH134" si="140">BH133</f>
        <v>C:\Users\origr\Pictures\0.jpg</v>
      </c>
      <c r="BI134" s="129" t="str">
        <f t="shared" ref="BI134" si="141">BI133</f>
        <v>C:\Users\origr\Pictures\0.jpg</v>
      </c>
      <c r="BJ134" s="129" t="str">
        <f t="shared" ref="BJ134" si="142">BJ133</f>
        <v>C:\Users\origr\Pictures\0.jpg</v>
      </c>
      <c r="BK134" s="129" t="str">
        <f t="shared" ref="BK134" si="143">BK133</f>
        <v>C:\Users\origr\Pictures\0.jpg</v>
      </c>
    </row>
    <row r="135" spans="1:63" ht="12.75" hidden="1" customHeight="1">
      <c r="T135" s="72">
        <f>IF('חד גזעי'!$AM$6="לא",IF(P135=0,IF(BC135="שימור",IF('חד גזעי'!$AM$4="לא",IF(BC135="לא בוגר",0,IF(BC135="לא קיים",0,IF(J135=0,0,I135*0.1))),IF(BC135="לא בוגר",0,IF(BC135="לא קיים",0,IF(AB135=1,I135*0.1,E135*0.5)))),0),IF('חד גזעי'!$AM$4="לא",IF(BC135="לא בוגר",0,IF(BC135="לא קיים",0,IF(J135=0,0,I135*0.1))),IF(BC135="לא בוגר",0,IF(BC135="לא קיים",0,IF(AB135=1,I135*0.1,E135*0.5))))),IF(P135=0,IF(BC135="שימור",IF('חד גזעי'!$AM$4="לא",IF(BC135="לא בוגר",0,IF(BC135="לא קיים",0,IF(J135=0,0,I135*0.15))),IF(BC135="לא בוגר",0,IF(BC135="לא קיים",0,IF(AB135=1,I135*0.15,E135*0.5)))),0),IF('חד גזעי'!$AM$4="לא",IF(BC135="לא בוגר",0,IF(BC135="לא קיים",0,IF(J135=0,0,I135*0.15))),IF(BC135="לא בוגר",0,IF(BC135="לא קיים",0,IF(AB135=1,I135*0.15,E135*0.5))))))</f>
        <v>0</v>
      </c>
      <c r="V135">
        <f t="shared" si="78"/>
        <v>0</v>
      </c>
      <c r="W135">
        <f t="shared" si="79"/>
        <v>0</v>
      </c>
      <c r="X135">
        <f t="shared" si="80"/>
        <v>0</v>
      </c>
      <c r="Y135">
        <f>IF('חד גזעי'!$AM$2 = "לא",0,IF(F135&gt;9,W135,0))</f>
        <v>0</v>
      </c>
      <c r="Z135">
        <f>IF('חד גזעי'!$AM$7 = "לא",0,IF(C135 = "זית אירופי",IF('חד גזעי'!$AN$7 &lt;=סקר!F135,W135,0),IF(C135 = "חרוב מצוי",IF('חד גזעי'!$AN$7 &lt;=סקר!F135,W135,0),0)))</f>
        <v>0</v>
      </c>
    </row>
    <row r="136" spans="1:63" ht="12.75" hidden="1" customHeight="1">
      <c r="T136" s="72">
        <f>IF('חד גזעי'!$AM$6="לא",IF(P136=0,IF(BC136="שימור",IF('חד גזעי'!$AM$4="לא",IF(BC136="לא בוגר",0,IF(BC136="לא קיים",0,IF(J136=0,0,I136*0.1))),IF(BC136="לא בוגר",0,IF(BC136="לא קיים",0,IF(AB136=1,I136*0.1,E136*0.5)))),0),IF('חד גזעי'!$AM$4="לא",IF(BC136="לא בוגר",0,IF(BC136="לא קיים",0,IF(J136=0,0,I136*0.1))),IF(BC136="לא בוגר",0,IF(BC136="לא קיים",0,IF(AB136=1,I136*0.1,E136*0.5))))),IF(P136=0,IF(BC136="שימור",IF('חד גזעי'!$AM$4="לא",IF(BC136="לא בוגר",0,IF(BC136="לא קיים",0,IF(J136=0,0,I136*0.15))),IF(BC136="לא בוגר",0,IF(BC136="לא קיים",0,IF(AB136=1,I136*0.15,E136*0.5)))),0),IF('חד גזעי'!$AM$4="לא",IF(BC136="לא בוגר",0,IF(BC136="לא קיים",0,IF(J136=0,0,I136*0.15))),IF(BC136="לא בוגר",0,IF(BC136="לא קיים",0,IF(AB136=1,I136*0.15,E136*0.5))))))</f>
        <v>0</v>
      </c>
      <c r="V136">
        <f t="shared" si="78"/>
        <v>0</v>
      </c>
      <c r="W136">
        <f t="shared" si="79"/>
        <v>0</v>
      </c>
      <c r="X136">
        <f t="shared" si="80"/>
        <v>0</v>
      </c>
      <c r="Y136">
        <f>IF('חד גזעי'!$AM$2 = "לא",0,IF(F136&gt;9,W136,0))</f>
        <v>0</v>
      </c>
      <c r="Z136">
        <f>IF('חד גזעי'!$AM$7 = "לא",0,IF(C136 = "זית אירופי",IF('חד גזעי'!$AN$7 &lt;=סקר!F136,W136,0),IF(C136 = "חרוב מצוי",IF('חד גזעי'!$AN$7 &lt;=סקר!F136,W136,0),0)))</f>
        <v>0</v>
      </c>
    </row>
    <row r="137" spans="1:63" ht="12.75" hidden="1" customHeight="1">
      <c r="T137" s="72">
        <f>IF('חד גזעי'!$AM$6="לא",IF(P137=0,IF(BC137="שימור",IF('חד גזעי'!$AM$4="לא",IF(BC137="לא בוגר",0,IF(BC137="לא קיים",0,IF(J137=0,0,I137*0.1))),IF(BC137="לא בוגר",0,IF(BC137="לא קיים",0,IF(AB137=1,I137*0.1,E137*0.5)))),0),IF('חד גזעי'!$AM$4="לא",IF(BC137="לא בוגר",0,IF(BC137="לא קיים",0,IF(J137=0,0,I137*0.1))),IF(BC137="לא בוגר",0,IF(BC137="לא קיים",0,IF(AB137=1,I137*0.1,E137*0.5))))),IF(P137=0,IF(BC137="שימור",IF('חד גזעי'!$AM$4="לא",IF(BC137="לא בוגר",0,IF(BC137="לא קיים",0,IF(J137=0,0,I137*0.15))),IF(BC137="לא בוגר",0,IF(BC137="לא קיים",0,IF(AB137=1,I137*0.15,E137*0.5)))),0),IF('חד גזעי'!$AM$4="לא",IF(BC137="לא בוגר",0,IF(BC137="לא קיים",0,IF(J137=0,0,I137*0.15))),IF(BC137="לא בוגר",0,IF(BC137="לא קיים",0,IF(AB137=1,I137*0.15,E137*0.5))))))</f>
        <v>0</v>
      </c>
      <c r="V137">
        <f t="shared" si="78"/>
        <v>0</v>
      </c>
      <c r="W137">
        <f t="shared" si="79"/>
        <v>0</v>
      </c>
      <c r="X137">
        <f t="shared" si="80"/>
        <v>0</v>
      </c>
      <c r="Y137">
        <f>IF('חד גזעי'!$AM$2 = "לא",0,IF(F137&gt;9,W137,0))</f>
        <v>0</v>
      </c>
      <c r="Z137">
        <f>IF('חד גזעי'!$AM$7 = "לא",0,IF(C137 = "זית אירופי",IF('חד גזעי'!$AN$7 &lt;=סקר!F137,W137,0),IF(C137 = "חרוב מצוי",IF('חד גזעי'!$AN$7 &lt;=סקר!F137,W137,0),0)))</f>
        <v>0</v>
      </c>
    </row>
    <row r="138" spans="1:63" ht="12.75" hidden="1" customHeight="1">
      <c r="A138" s="129"/>
      <c r="B138" s="129"/>
      <c r="C138" s="129"/>
      <c r="D138" s="129"/>
      <c r="E138" s="129"/>
      <c r="F138" s="129"/>
      <c r="G138" s="129"/>
      <c r="H138" s="129"/>
      <c r="I138" s="129"/>
      <c r="J138" s="129"/>
      <c r="K138" s="129"/>
      <c r="L138" s="129"/>
      <c r="M138" s="129"/>
      <c r="N138" s="129"/>
      <c r="O138" s="129"/>
      <c r="P138" s="129"/>
      <c r="Q138" s="129"/>
      <c r="R138" s="129"/>
      <c r="S138" s="129"/>
      <c r="T138" s="72">
        <f>IF('חד גזעי'!$AM$6="לא",IF(P138=0,IF(BC138="שימור",IF('חד גזעי'!$AM$4="לא",IF(BC138="לא בוגר",0,IF(BC138="לא קיים",0,IF(J138=0,0,I138*0.1))),IF(BC138="לא בוגר",0,IF(BC138="לא קיים",0,IF(AB138=1,I138*0.1,E138*0.5)))),0),IF('חד גזעי'!$AM$4="לא",IF(BC138="לא בוגר",0,IF(BC138="לא קיים",0,IF(J138=0,0,I138*0.1))),IF(BC138="לא בוגר",0,IF(BC138="לא קיים",0,IF(AB138=1,I138*0.1,E138*0.5))))),IF(P138=0,IF(BC138="שימור",IF('חד גזעי'!$AM$4="לא",IF(BC138="לא בוגר",0,IF(BC138="לא קיים",0,IF(J138=0,0,I138*0.15))),IF(BC138="לא בוגר",0,IF(BC138="לא קיים",0,IF(AB138=1,I138*0.15,E138*0.5)))),0),IF('חד גזעי'!$AM$4="לא",IF(BC138="לא בוגר",0,IF(BC138="לא קיים",0,IF(J138=0,0,I138*0.15))),IF(BC138="לא בוגר",0,IF(BC138="לא קיים",0,IF(AB138=1,I138*0.15,E138*0.5))))))</f>
        <v>0</v>
      </c>
      <c r="U138" s="129"/>
      <c r="V138">
        <f t="shared" si="78"/>
        <v>0</v>
      </c>
      <c r="W138">
        <f t="shared" si="79"/>
        <v>0</v>
      </c>
      <c r="X138">
        <f t="shared" si="80"/>
        <v>0</v>
      </c>
      <c r="Y138">
        <f>IF('חד גזעי'!$AM$2 = "לא",0,IF(F138&gt;9,W138,0))</f>
        <v>0</v>
      </c>
      <c r="Z138">
        <f>IF('חד גזעי'!$AM$7 = "לא",0,IF(C138 = "זית אירופי",IF('חד גזעי'!$AN$7 &lt;=סקר!F138,W138,0),IF(C138 = "חרוב מצוי",IF('חד גזעי'!$AN$7 &lt;=סקר!F138,W138,0),0)))</f>
        <v>0</v>
      </c>
      <c r="AA138" s="129"/>
      <c r="AB138" s="129"/>
      <c r="AC138" s="129"/>
      <c r="AD138" s="129"/>
      <c r="AE138" s="129"/>
      <c r="AF138" s="129"/>
      <c r="AG138" s="129"/>
      <c r="AH138" s="129"/>
      <c r="AI138" s="129"/>
      <c r="AJ138" s="129"/>
      <c r="AK138" s="129"/>
      <c r="AL138" s="129"/>
      <c r="AM138" s="129"/>
      <c r="AN138" s="129"/>
      <c r="AO138" s="129"/>
      <c r="AP138" s="129"/>
      <c r="AQ138" s="129"/>
      <c r="AR138" s="129"/>
      <c r="AS138" s="129"/>
      <c r="AT138" s="129"/>
      <c r="AU138" s="129"/>
      <c r="AV138" s="129"/>
      <c r="AW138" s="129"/>
      <c r="AX138" s="129"/>
      <c r="AY138" s="129"/>
      <c r="AZ138" s="129"/>
      <c r="BA138" s="129"/>
      <c r="BB138" s="129"/>
      <c r="BC138" s="129"/>
      <c r="BD138" s="129"/>
      <c r="BE138" s="129"/>
      <c r="BF138" s="129">
        <f>_xlfn.IFNA(_xlfn.IFNA(_xlfn.TEXTBEFORE(BF142,"--"),_xlfn.TEXTBEFORE(BF142,",")),BF142)</f>
        <v>0</v>
      </c>
      <c r="BG138" s="129">
        <f t="shared" ref="BG138:BK138" si="144">_xlfn.IFNA(_xlfn.IFNA(_xlfn.TEXTBEFORE(BG142,"--"),_xlfn.TEXTBEFORE(BG142,",")),BG142)</f>
        <v>0</v>
      </c>
      <c r="BH138" s="129">
        <f t="shared" si="144"/>
        <v>0</v>
      </c>
      <c r="BI138" s="129">
        <f t="shared" si="144"/>
        <v>0</v>
      </c>
      <c r="BJ138" s="129">
        <f t="shared" si="144"/>
        <v>0</v>
      </c>
      <c r="BK138" s="129">
        <f t="shared" si="144"/>
        <v>0</v>
      </c>
    </row>
    <row r="139" spans="1:63" ht="12.75" hidden="1" customHeight="1">
      <c r="A139" s="129"/>
      <c r="B139" s="129"/>
      <c r="C139" s="129"/>
      <c r="D139" s="129"/>
      <c r="E139" s="129"/>
      <c r="F139" s="129"/>
      <c r="G139" s="129"/>
      <c r="H139" s="129"/>
      <c r="I139" s="129"/>
      <c r="J139" s="129"/>
      <c r="K139" s="129"/>
      <c r="L139" s="129"/>
      <c r="M139" s="129"/>
      <c r="N139" s="129"/>
      <c r="O139" s="129"/>
      <c r="P139" s="129"/>
      <c r="Q139" s="129"/>
      <c r="R139" s="129"/>
      <c r="S139" s="129"/>
      <c r="T139" s="72">
        <f>IF('חד גזעי'!$AM$6="לא",IF(P139=0,IF(BC139="שימור",IF('חד גזעי'!$AM$4="לא",IF(BC139="לא בוגר",0,IF(BC139="לא קיים",0,IF(J139=0,0,I139*0.1))),IF(BC139="לא בוגר",0,IF(BC139="לא קיים",0,IF(AB139=1,I139*0.1,E139*0.5)))),0),IF('חד גזעי'!$AM$4="לא",IF(BC139="לא בוגר",0,IF(BC139="לא קיים",0,IF(J139=0,0,I139*0.1))),IF(BC139="לא בוגר",0,IF(BC139="לא קיים",0,IF(AB139=1,I139*0.1,E139*0.5))))),IF(P139=0,IF(BC139="שימור",IF('חד גזעי'!$AM$4="לא",IF(BC139="לא בוגר",0,IF(BC139="לא קיים",0,IF(J139=0,0,I139*0.15))),IF(BC139="לא בוגר",0,IF(BC139="לא קיים",0,IF(AB139=1,I139*0.15,E139*0.5)))),0),IF('חד גזעי'!$AM$4="לא",IF(BC139="לא בוגר",0,IF(BC139="לא קיים",0,IF(J139=0,0,I139*0.15))),IF(BC139="לא בוגר",0,IF(BC139="לא קיים",0,IF(AB139=1,I139*0.15,E139*0.5))))))</f>
        <v>0</v>
      </c>
      <c r="U139" s="129"/>
      <c r="V139">
        <f t="shared" si="78"/>
        <v>0</v>
      </c>
      <c r="W139">
        <f t="shared" si="79"/>
        <v>0</v>
      </c>
      <c r="X139">
        <f t="shared" si="80"/>
        <v>0</v>
      </c>
      <c r="Y139">
        <f>IF('חד גזעי'!$AM$2 = "לא",0,IF(F139&gt;9,W139,0))</f>
        <v>0</v>
      </c>
      <c r="Z139">
        <f>IF('חד גזעי'!$AM$7 = "לא",0,IF(C139 = "זית אירופי",IF('חד גזעי'!$AN$7 &lt;=סקר!F139,W139,0),IF(C139 = "חרוב מצוי",IF('חד גזעי'!$AN$7 &lt;=סקר!F139,W139,0),0)))</f>
        <v>0</v>
      </c>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t="str">
        <f>"C:\Users\origr\Pictures\"&amp;BF138&amp;".jpg"</f>
        <v>C:\Users\origr\Pictures\0.jpg</v>
      </c>
      <c r="BG139" s="129" t="str">
        <f t="shared" ref="BG139" si="145">"C:\Users\origr\Pictures\"&amp;BG138&amp;".jpg"</f>
        <v>C:\Users\origr\Pictures\0.jpg</v>
      </c>
      <c r="BH139" s="129" t="str">
        <f t="shared" ref="BH139" si="146">"C:\Users\origr\Pictures\"&amp;BH138&amp;".jpg"</f>
        <v>C:\Users\origr\Pictures\0.jpg</v>
      </c>
      <c r="BI139" s="129" t="str">
        <f t="shared" ref="BI139" si="147">"C:\Users\origr\Pictures\"&amp;BI138&amp;".jpg"</f>
        <v>C:\Users\origr\Pictures\0.jpg</v>
      </c>
      <c r="BJ139" s="129" t="str">
        <f t="shared" ref="BJ139" si="148">"C:\Users\origr\Pictures\"&amp;BJ138&amp;".jpg"</f>
        <v>C:\Users\origr\Pictures\0.jpg</v>
      </c>
      <c r="BK139" s="129" t="str">
        <f t="shared" ref="BK139" si="149">"C:\Users\origr\Pictures\"&amp;BK138&amp;".jpg"</f>
        <v>C:\Users\origr\Pictures\0.jpg</v>
      </c>
    </row>
    <row r="140" spans="1:63" ht="12.75" hidden="1" customHeight="1">
      <c r="A140" s="129"/>
      <c r="B140" s="129"/>
      <c r="C140" s="129"/>
      <c r="D140" s="129"/>
      <c r="E140" s="129"/>
      <c r="F140" s="129"/>
      <c r="G140" s="129"/>
      <c r="H140" s="129"/>
      <c r="I140" s="129"/>
      <c r="J140" s="129"/>
      <c r="K140" s="129"/>
      <c r="L140" s="129"/>
      <c r="M140" s="129"/>
      <c r="N140" s="129"/>
      <c r="O140" s="129"/>
      <c r="P140" s="129"/>
      <c r="Q140" s="129"/>
      <c r="R140" s="129"/>
      <c r="S140" s="129"/>
      <c r="T140" s="72">
        <f>IF('חד גזעי'!$AM$6="לא",IF(P140=0,IF(BC140="שימור",IF('חד גזעי'!$AM$4="לא",IF(BC140="לא בוגר",0,IF(BC140="לא קיים",0,IF(J140=0,0,I140*0.1))),IF(BC140="לא בוגר",0,IF(BC140="לא קיים",0,IF(AB140=1,I140*0.1,E140*0.5)))),0),IF('חד גזעי'!$AM$4="לא",IF(BC140="לא בוגר",0,IF(BC140="לא קיים",0,IF(J140=0,0,I140*0.1))),IF(BC140="לא בוגר",0,IF(BC140="לא קיים",0,IF(AB140=1,I140*0.1,E140*0.5))))),IF(P140=0,IF(BC140="שימור",IF('חד גזעי'!$AM$4="לא",IF(BC140="לא בוגר",0,IF(BC140="לא קיים",0,IF(J140=0,0,I140*0.15))),IF(BC140="לא בוגר",0,IF(BC140="לא קיים",0,IF(AB140=1,I140*0.15,E140*0.5)))),0),IF('חד גזעי'!$AM$4="לא",IF(BC140="לא בוגר",0,IF(BC140="לא קיים",0,IF(J140=0,0,I140*0.15))),IF(BC140="לא בוגר",0,IF(BC140="לא קיים",0,IF(AB140=1,I140*0.15,E140*0.5))))))</f>
        <v>0</v>
      </c>
      <c r="U140" s="129"/>
      <c r="V140">
        <f t="shared" ref="V140:V203" si="150">_xlfn.IFNA(AK140,AF140)</f>
        <v>0</v>
      </c>
      <c r="W140">
        <f t="shared" ref="W140:W203" si="151">IF(D140=0,V140,D140*V140)</f>
        <v>0</v>
      </c>
      <c r="X140">
        <f t="shared" ref="X140:X203" si="152">IF(N140 = 0,0,Y140)</f>
        <v>0</v>
      </c>
      <c r="Y140">
        <f>IF('חד גזעי'!$AM$2 = "לא",0,IF(F140&gt;9,W140,0))</f>
        <v>0</v>
      </c>
      <c r="Z140">
        <f>IF('חד גזעי'!$AM$7 = "לא",0,IF(C140 = "זית אירופי",IF('חד גזעי'!$AN$7 &lt;=סקר!F140,W140,0),IF(C140 = "חרוב מצוי",IF('חד גזעי'!$AN$7 &lt;=סקר!F140,W140,0),0)))</f>
        <v>0</v>
      </c>
      <c r="AA140" s="129"/>
      <c r="AB140" s="129"/>
      <c r="AC140" s="129"/>
      <c r="AD140" s="129"/>
      <c r="AE140" s="129"/>
      <c r="AF140" s="129"/>
      <c r="AG140" s="129"/>
      <c r="AH140" s="129"/>
      <c r="AI140" s="129"/>
      <c r="AJ140" s="129"/>
      <c r="AK140" s="129"/>
      <c r="AL140" s="129"/>
      <c r="AM140" s="129"/>
      <c r="AN140" s="129"/>
      <c r="AO140" s="129"/>
      <c r="AP140" s="129"/>
      <c r="AQ140" s="129"/>
      <c r="AR140" s="129"/>
      <c r="AS140" s="129"/>
      <c r="AT140" s="129"/>
      <c r="AU140" s="129"/>
      <c r="AV140" s="129"/>
      <c r="AW140" s="129"/>
      <c r="AX140" s="129"/>
      <c r="AY140" s="129"/>
      <c r="AZ140" s="129"/>
      <c r="BA140" s="129"/>
      <c r="BB140" s="129"/>
      <c r="BC140" s="129"/>
      <c r="BD140" s="129"/>
      <c r="BE140" s="129"/>
      <c r="BF140" s="129" t="str">
        <f>BF139</f>
        <v>C:\Users\origr\Pictures\0.jpg</v>
      </c>
      <c r="BG140" s="129" t="str">
        <f t="shared" ref="BG140" si="153">BG139</f>
        <v>C:\Users\origr\Pictures\0.jpg</v>
      </c>
      <c r="BH140" s="129" t="str">
        <f t="shared" ref="BH140" si="154">BH139</f>
        <v>C:\Users\origr\Pictures\0.jpg</v>
      </c>
      <c r="BI140" s="129" t="str">
        <f t="shared" ref="BI140" si="155">BI139</f>
        <v>C:\Users\origr\Pictures\0.jpg</v>
      </c>
      <c r="BJ140" s="129" t="str">
        <f t="shared" ref="BJ140" si="156">BJ139</f>
        <v>C:\Users\origr\Pictures\0.jpg</v>
      </c>
      <c r="BK140" s="129" t="str">
        <f t="shared" ref="BK140" si="157">BK139</f>
        <v>C:\Users\origr\Pictures\0.jpg</v>
      </c>
    </row>
    <row r="141" spans="1:63" ht="12.75" hidden="1" customHeight="1">
      <c r="B141" s="71"/>
      <c r="C141" s="69"/>
      <c r="Q141" s="86"/>
      <c r="T141" s="72">
        <f>IF('חד גזעי'!$AM$6="לא",IF(P141=0,IF(BC141="שימור",IF('חד גזעי'!$AM$4="לא",IF(BC141="לא בוגר",0,IF(BC141="לא קיים",0,IF(J141=0,0,I141*0.1))),IF(BC141="לא בוגר",0,IF(BC141="לא קיים",0,IF(AB141=1,I141*0.1,E141*0.5)))),0),IF('חד גזעי'!$AM$4="לא",IF(BC141="לא בוגר",0,IF(BC141="לא קיים",0,IF(J141=0,0,I141*0.1))),IF(BC141="לא בוגר",0,IF(BC141="לא קיים",0,IF(AB141=1,I141*0.1,E141*0.5))))),IF(P141=0,IF(BC141="שימור",IF('חד גזעי'!$AM$4="לא",IF(BC141="לא בוגר",0,IF(BC141="לא קיים",0,IF(J141=0,0,I141*0.15))),IF(BC141="לא בוגר",0,IF(BC141="לא קיים",0,IF(AB141=1,I141*0.15,E141*0.5)))),0),IF('חד גזעי'!$AM$4="לא",IF(BC141="לא בוגר",0,IF(BC141="לא קיים",0,IF(J141=0,0,I141*0.15))),IF(BC141="לא בוגר",0,IF(BC141="לא קיים",0,IF(AB141=1,I141*0.15,E141*0.5))))))</f>
        <v>0</v>
      </c>
      <c r="V141">
        <f t="shared" si="150"/>
        <v>0</v>
      </c>
      <c r="W141">
        <f t="shared" si="151"/>
        <v>0</v>
      </c>
      <c r="X141">
        <f t="shared" si="152"/>
        <v>0</v>
      </c>
      <c r="Y141">
        <f>IF('חד גזעי'!$AM$2 = "לא",0,IF(F141&gt;9,W141,0))</f>
        <v>0</v>
      </c>
      <c r="Z141">
        <f>IF('חד גזעי'!$AM$7 = "לא",0,IF(C141 = "זית אירופי",IF('חד גזעי'!$AN$7 &lt;=סקר!F141,W141,0),IF(C141 = "חרוב מצוי",IF('חד גזעי'!$AN$7 &lt;=סקר!F141,W141,0),0)))</f>
        <v>0</v>
      </c>
      <c r="AD141" s="69" t="s">
        <v>807</v>
      </c>
    </row>
    <row r="142" spans="1:63" ht="12.75" hidden="1" customHeight="1">
      <c r="B142" s="197" t="s">
        <v>738</v>
      </c>
      <c r="C142" s="197" t="s">
        <v>739</v>
      </c>
      <c r="D142" s="197" t="s">
        <v>740</v>
      </c>
      <c r="E142" s="197" t="s">
        <v>741</v>
      </c>
      <c r="F142" s="200" t="s">
        <v>759</v>
      </c>
      <c r="G142" s="203" t="s">
        <v>760</v>
      </c>
      <c r="H142" s="203" t="s">
        <v>761</v>
      </c>
      <c r="I142" s="197" t="s">
        <v>742</v>
      </c>
      <c r="J142" s="197" t="s">
        <v>743</v>
      </c>
      <c r="K142" s="197" t="s">
        <v>744</v>
      </c>
      <c r="L142" s="197" t="s">
        <v>745</v>
      </c>
      <c r="M142" s="197" t="s">
        <v>746</v>
      </c>
      <c r="N142" s="197" t="s">
        <v>747</v>
      </c>
      <c r="O142" s="197" t="s">
        <v>748</v>
      </c>
      <c r="P142" s="197" t="s">
        <v>749</v>
      </c>
      <c r="Q142" s="197" t="s">
        <v>750</v>
      </c>
      <c r="R142" s="197" t="s">
        <v>751</v>
      </c>
      <c r="T142" s="72" t="e">
        <f>IF('חד גזעי'!$AM$6="לא",IF(P142=0,IF(BC142="שימור",IF('חד גזעי'!$AM$4="לא",IF(BC142="לא בוגר",0,IF(BC142="לא קיים",0,IF(J142=0,0,I142*0.1))),IF(BC142="לא בוגר",0,IF(BC142="לא קיים",0,IF(AB142=1,I142*0.1,E142*0.5)))),0),IF('חד גזעי'!$AM$4="לא",IF(BC142="לא בוגר",0,IF(BC142="לא קיים",0,IF(J142=0,0,I142*0.1))),IF(BC142="לא בוגר",0,IF(BC142="לא קיים",0,IF(AB142=1,I142*0.1,E142*0.5))))),IF(P142=0,IF(BC142="שימור",IF('חד גזעי'!$AM$4="לא",IF(BC142="לא בוגר",0,IF(BC142="לא קיים",0,IF(J142=0,0,I142*0.15))),IF(BC142="לא בוגר",0,IF(BC142="לא קיים",0,IF(AB142=1,I142*0.15,E142*0.5)))),0),IF('חד גזעי'!$AM$4="לא",IF(BC142="לא בוגר",0,IF(BC142="לא קיים",0,IF(J142=0,0,I142*0.15))),IF(BC142="לא בוגר",0,IF(BC142="לא קיים",0,IF(AB142=1,I142*0.15,E142*0.5))))))</f>
        <v>#VALUE!</v>
      </c>
      <c r="V142">
        <f t="shared" si="150"/>
        <v>0</v>
      </c>
      <c r="W142" t="e">
        <f t="shared" si="151"/>
        <v>#VALUE!</v>
      </c>
      <c r="X142">
        <f t="shared" si="152"/>
        <v>0</v>
      </c>
      <c r="Y142">
        <f>IF('חד גזעי'!$AM$2 = "לא",0,IF(F142&gt;9,W142,0))</f>
        <v>0</v>
      </c>
      <c r="Z142">
        <f>IF('חד גזעי'!$AM$7 = "לא",0,IF(C142 = "זית אירופי",IF('חד גזעי'!$AN$7 &lt;=סקר!F142,W142,0),IF(C142 = "חרוב מצוי",IF('חד גזעי'!$AN$7 &lt;=סקר!F142,W142,0),0)))</f>
        <v>0</v>
      </c>
      <c r="AC142" s="101"/>
      <c r="AD142" s="103"/>
      <c r="AE142" s="103"/>
      <c r="AF142" s="103"/>
      <c r="AG142" s="103"/>
      <c r="AH142" s="103"/>
      <c r="AI142" s="103"/>
      <c r="AJ142" s="103"/>
      <c r="AK142" s="83"/>
      <c r="AM142" s="73"/>
      <c r="AN142" s="73"/>
      <c r="AO142" s="73"/>
      <c r="AS142" s="197" t="s">
        <v>738</v>
      </c>
      <c r="AT142" s="197" t="s">
        <v>739</v>
      </c>
      <c r="AU142" s="197" t="s">
        <v>740</v>
      </c>
      <c r="AV142" s="197" t="s">
        <v>741</v>
      </c>
      <c r="AW142" s="203" t="s">
        <v>759</v>
      </c>
      <c r="AX142" s="203" t="s">
        <v>760</v>
      </c>
      <c r="AY142" s="203" t="s">
        <v>761</v>
      </c>
      <c r="AZ142" s="197" t="s">
        <v>812</v>
      </c>
      <c r="BA142" s="197" t="s">
        <v>817</v>
      </c>
      <c r="BB142" s="197" t="s">
        <v>805</v>
      </c>
      <c r="BC142" s="197" t="s">
        <v>806</v>
      </c>
      <c r="BE142">
        <f>IF(BC142="לא נדרש ברישיון",1,0)</f>
        <v>0</v>
      </c>
      <c r="BF142" s="72"/>
      <c r="BG142" s="72"/>
      <c r="BH142" s="72"/>
      <c r="BI142" s="72"/>
      <c r="BJ142" s="72"/>
      <c r="BK142" s="72"/>
    </row>
    <row r="143" spans="1:63" ht="12.75" hidden="1" customHeight="1">
      <c r="B143" s="198"/>
      <c r="C143" s="198"/>
      <c r="D143" s="198"/>
      <c r="E143" s="198"/>
      <c r="F143" s="201"/>
      <c r="G143" s="204"/>
      <c r="H143" s="204"/>
      <c r="I143" s="198"/>
      <c r="J143" s="198"/>
      <c r="K143" s="198"/>
      <c r="L143" s="198"/>
      <c r="M143" s="198"/>
      <c r="N143" s="198"/>
      <c r="O143" s="198"/>
      <c r="P143" s="198"/>
      <c r="Q143" s="198"/>
      <c r="R143" s="198"/>
      <c r="T143" s="72">
        <f>IF('חד גזעי'!$AM$6="לא",IF(P143=0,IF(BC143="שימור",IF('חד גזעי'!$AM$4="לא",IF(BC143="לא בוגר",0,IF(BC143="לא קיים",0,IF(J143=0,0,I143*0.1))),IF(BC143="לא בוגר",0,IF(BC143="לא קיים",0,IF(AB143=1,I143*0.1,E143*0.5)))),0),IF('חד גזעי'!$AM$4="לא",IF(BC143="לא בוגר",0,IF(BC143="לא קיים",0,IF(J143=0,0,I143*0.1))),IF(BC143="לא בוגר",0,IF(BC143="לא קיים",0,IF(AB143=1,I143*0.1,E143*0.5))))),IF(P143=0,IF(BC143="שימור",IF('חד גזעי'!$AM$4="לא",IF(BC143="לא בוגר",0,IF(BC143="לא קיים",0,IF(J143=0,0,I143*0.15))),IF(BC143="לא בוגר",0,IF(BC143="לא קיים",0,IF(AB143=1,I143*0.15,E143*0.5)))),0),IF('חד גזעי'!$AM$4="לא",IF(BC143="לא בוגר",0,IF(BC143="לא קיים",0,IF(J143=0,0,I143*0.15))),IF(BC143="לא בוגר",0,IF(BC143="לא קיים",0,IF(AB143=1,I143*0.15,E143*0.5))))))</f>
        <v>0</v>
      </c>
      <c r="V143">
        <f t="shared" si="150"/>
        <v>0</v>
      </c>
      <c r="W143">
        <f t="shared" si="151"/>
        <v>0</v>
      </c>
      <c r="X143">
        <f t="shared" si="152"/>
        <v>0</v>
      </c>
      <c r="Y143">
        <f>IF('חד גזעי'!$AM$2 = "לא",0,IF(F143&gt;9,W143,0))</f>
        <v>0</v>
      </c>
      <c r="Z143">
        <f>IF('חד גזעי'!$AM$7 = "לא",0,IF(C143 = "זית אירופי",IF('חד גזעי'!$AN$7 &lt;=סקר!F143,W143,0),IF(C143 = "חרוב מצוי",IF('חד גזעי'!$AN$7 &lt;=סקר!F143,W143,0),0)))</f>
        <v>0</v>
      </c>
      <c r="AC143" s="101"/>
      <c r="AD143" s="103"/>
      <c r="AE143" s="103"/>
      <c r="AF143" s="103"/>
      <c r="AG143" s="103"/>
      <c r="AH143" s="103"/>
      <c r="AI143" s="103"/>
      <c r="AJ143" s="103"/>
      <c r="AK143" s="83"/>
      <c r="AM143" s="73"/>
      <c r="AN143" s="73"/>
      <c r="AO143" s="73"/>
      <c r="AS143" s="198"/>
      <c r="AT143" s="198"/>
      <c r="AU143" s="198"/>
      <c r="AV143" s="198"/>
      <c r="AW143" s="204"/>
      <c r="AX143" s="204"/>
      <c r="AY143" s="204"/>
      <c r="AZ143" s="198"/>
      <c r="BA143" s="198"/>
      <c r="BB143" s="198"/>
      <c r="BC143" s="198"/>
      <c r="BE143">
        <f t="shared" ref="BE143:BE177" si="158">IF(BC143="לא נדרש ברישיון",1,0)</f>
        <v>0</v>
      </c>
      <c r="BF143" s="196" t="str">
        <f>BF140</f>
        <v>C:\Users\origr\Pictures\0.jpg</v>
      </c>
      <c r="BG143" s="196" t="str">
        <f t="shared" ref="BG143:BK143" si="159">BG140</f>
        <v>C:\Users\origr\Pictures\0.jpg</v>
      </c>
      <c r="BH143" s="196" t="str">
        <f t="shared" si="159"/>
        <v>C:\Users\origr\Pictures\0.jpg</v>
      </c>
      <c r="BI143" s="196" t="str">
        <f t="shared" si="159"/>
        <v>C:\Users\origr\Pictures\0.jpg</v>
      </c>
      <c r="BJ143" s="196" t="str">
        <f t="shared" si="159"/>
        <v>C:\Users\origr\Pictures\0.jpg</v>
      </c>
      <c r="BK143" s="196" t="str">
        <f t="shared" si="159"/>
        <v>C:\Users\origr\Pictures\0.jpg</v>
      </c>
    </row>
    <row r="144" spans="1:63" ht="12.75" hidden="1" customHeight="1">
      <c r="B144" s="199"/>
      <c r="C144" s="199"/>
      <c r="D144" s="199"/>
      <c r="E144" s="199"/>
      <c r="F144" s="202"/>
      <c r="G144" s="205"/>
      <c r="H144" s="205"/>
      <c r="I144" s="199"/>
      <c r="J144" s="199"/>
      <c r="K144" s="199"/>
      <c r="L144" s="199"/>
      <c r="M144" s="199"/>
      <c r="N144" s="199"/>
      <c r="O144" s="199"/>
      <c r="P144" s="199"/>
      <c r="Q144" s="199"/>
      <c r="R144" s="199"/>
      <c r="T144" s="72">
        <f>IF('חד גזעי'!$AM$6="לא",IF(P144=0,IF(BC144="שימור",IF('חד גזעי'!$AM$4="לא",IF(BC144="לא בוגר",0,IF(BC144="לא קיים",0,IF(J144=0,0,I144*0.1))),IF(BC144="לא בוגר",0,IF(BC144="לא קיים",0,IF(AB144=1,I144*0.1,E144*0.5)))),0),IF('חד גזעי'!$AM$4="לא",IF(BC144="לא בוגר",0,IF(BC144="לא קיים",0,IF(J144=0,0,I144*0.1))),IF(BC144="לא בוגר",0,IF(BC144="לא קיים",0,IF(AB144=1,I144*0.1,E144*0.5))))),IF(P144=0,IF(BC144="שימור",IF('חד גזעי'!$AM$4="לא",IF(BC144="לא בוגר",0,IF(BC144="לא קיים",0,IF(J144=0,0,I144*0.15))),IF(BC144="לא בוגר",0,IF(BC144="לא קיים",0,IF(AB144=1,I144*0.15,E144*0.5)))),0),IF('חד גזעי'!$AM$4="לא",IF(BC144="לא בוגר",0,IF(BC144="לא קיים",0,IF(J144=0,0,I144*0.15))),IF(BC144="לא בוגר",0,IF(BC144="לא קיים",0,IF(AB144=1,I144*0.15,E144*0.5))))))</f>
        <v>0</v>
      </c>
      <c r="V144" t="str">
        <f t="shared" si="150"/>
        <v>שווי דקל</v>
      </c>
      <c r="W144" t="str">
        <f t="shared" si="151"/>
        <v>שווי דקל</v>
      </c>
      <c r="X144">
        <f t="shared" si="152"/>
        <v>0</v>
      </c>
      <c r="Y144">
        <f>IF('חד גזעי'!$AM$2 = "לא",0,IF(F144&gt;9,W144,0))</f>
        <v>0</v>
      </c>
      <c r="Z144">
        <f>IF('חד גזעי'!$AM$7 = "לא",0,IF(C144 = "זית אירופי",IF('חד גזעי'!$AN$7 &lt;=סקר!F144,W144,0),IF(C144 = "חרוב מצוי",IF('חד גזעי'!$AN$7 &lt;=סקר!F144,W144,0),0)))</f>
        <v>0</v>
      </c>
      <c r="AC144" s="94"/>
      <c r="AD144" s="94"/>
      <c r="AE144" s="72"/>
      <c r="AF144" s="77" t="s">
        <v>767</v>
      </c>
      <c r="AG144" s="77" t="s">
        <v>768</v>
      </c>
      <c r="AH144" s="72" t="s">
        <v>762</v>
      </c>
      <c r="AI144" s="72" t="s">
        <v>763</v>
      </c>
      <c r="AJ144" s="72" t="s">
        <v>764</v>
      </c>
      <c r="AK144" s="77" t="s">
        <v>770</v>
      </c>
      <c r="AL144" t="s">
        <v>771</v>
      </c>
      <c r="AM144" s="77" t="s">
        <v>809</v>
      </c>
      <c r="AN144" s="77" t="s">
        <v>810</v>
      </c>
      <c r="AO144" s="77" t="s">
        <v>811</v>
      </c>
      <c r="AS144" s="199"/>
      <c r="AT144" s="199"/>
      <c r="AU144" s="199"/>
      <c r="AV144" s="199"/>
      <c r="AW144" s="205"/>
      <c r="AX144" s="205"/>
      <c r="AY144" s="205"/>
      <c r="AZ144" s="199"/>
      <c r="BA144" s="199"/>
      <c r="BB144" s="199"/>
      <c r="BC144" s="199"/>
      <c r="BE144">
        <f t="shared" si="158"/>
        <v>0</v>
      </c>
      <c r="BF144" s="196"/>
      <c r="BG144" s="196"/>
      <c r="BH144" s="196"/>
      <c r="BI144" s="196"/>
      <c r="BJ144" s="196"/>
      <c r="BK144" s="196"/>
    </row>
    <row r="145" spans="2:63" hidden="1">
      <c r="B145" s="72"/>
      <c r="C145" s="135"/>
      <c r="D145" s="73"/>
      <c r="E145" s="73"/>
      <c r="F145" s="72"/>
      <c r="G145" s="72"/>
      <c r="H145" s="72"/>
      <c r="I145" s="73">
        <f t="shared" ref="I145:I176" si="160">F145+(G145/2)+(H145/2)</f>
        <v>0</v>
      </c>
      <c r="J145" s="73"/>
      <c r="K145" s="73"/>
      <c r="L145" s="74" t="e">
        <f>_xlfn.IFNA(VLOOKUP(C145,'חד גזעי'!$U$3:$V$509,2,0),VLOOKUP(C145,'חד גזעי'!$U$3:$V$509,2))</f>
        <v>#N/A</v>
      </c>
      <c r="M145" s="73"/>
      <c r="N145" s="72" t="e">
        <f>_xlfn.IFNA(IF(VLOOKUP(C145,'חד גזעי'!$AH$2:$AH$7,1,FALSE)&gt;0,0,IF('חד גזעי'!$AM$5="כן",IF(_xlfn.IFNA(VLOOKUP(C145,'חד גזעי'!$AH$2:$AH$33,1,FALSE),SUM(J145:M145))&lt;21,_xlfn.IFNA(VLOOKUP(C145,'חד גזעי'!$AH$2:$AH$33,1,FALSE),SUM(J145:M145)),0),SUM(J145:M145))),IF('חד גזעי'!$AM$5="כן",IF(_xlfn.IFNA(VLOOKUP(C145,'חד גזעי'!$AH$2:$AH$33,1,FALSE),SUM(J145:M145))&lt;21,_xlfn.IFNA(VLOOKUP(C145,'חד גזעי'!$AH$2:$AH$33,1,FALSE),SUM(J145:M145)),0),SUM(J145:M145)))</f>
        <v>#N/A</v>
      </c>
      <c r="O145" s="72">
        <f>IF('חד גזעי'!$AM$3 = "כן",IF(T145&gt;4,4,T145),T145)</f>
        <v>0</v>
      </c>
      <c r="P145" s="80">
        <f>IF(E145&lt;2,0,IF(Z145&gt;0,Z145,IF(N145 = 0,0,IF('חד גזעי'!$AM$2 = "לא",IF(F145&gt;19,W145,0),IF(F145&gt;9,Y145,0)))))</f>
        <v>0</v>
      </c>
      <c r="Q145" s="77"/>
      <c r="R145" s="75"/>
      <c r="S145" t="e">
        <f>VLOOKUP(C145,'חד גזעי'!$Y$4:$Y$18,1,0)</f>
        <v>#N/A</v>
      </c>
      <c r="T145" s="72">
        <f>IF('חד גזעי'!$AM$6="לא",IF(P145=0,IF(BC145="שימור",IF('חד גזעי'!$AM$4="לא",IF(BC145="לא בוגר",0,IF(BC145="לא קיים",0,IF(J145=0,0,I145*0.1))),IF(BC145="לא בוגר",0,IF(BC145="לא קיים",0,IF(AB145=1,I145*0.1,E145*0.5)))),0),IF('חד גזעי'!$AM$4="לא",IF(BC145="לא בוגר",0,IF(BC145="לא קיים",0,IF(J145=0,0,I145*0.1))),IF(BC145="לא בוגר",0,IF(BC145="לא קיים",0,IF(AB145=1,I145*0.1,E145*0.5))))),IF(P145=0,IF(BC145="שימור",IF('חד גזעי'!$AM$4="לא",IF(BC145="לא בוגר",0,IF(BC145="לא קיים",0,IF(J145=0,0,I145*0.15))),IF(BC145="לא בוגר",0,IF(BC145="לא קיים",0,IF(AB145=1,I145*0.15,E145*0.5)))),0),IF('חד גזעי'!$AM$4="לא",IF(BC145="לא בוגר",0,IF(BC145="לא קיים",0,IF(J145=0,0,I145*0.15))),IF(BC145="לא בוגר",0,IF(BC145="לא קיים",0,IF(AB145=1,I145*0.15,E145*0.5))))))</f>
        <v>0</v>
      </c>
      <c r="V145" t="e">
        <f t="shared" si="150"/>
        <v>#N/A</v>
      </c>
      <c r="W145" t="e">
        <f t="shared" si="151"/>
        <v>#N/A</v>
      </c>
      <c r="X145" t="e">
        <f t="shared" si="152"/>
        <v>#N/A</v>
      </c>
      <c r="Y145">
        <f>IF('חד גזעי'!$AM$2 = "לא",0,IF(F145&gt;9,W145,0))</f>
        <v>0</v>
      </c>
      <c r="Z145">
        <f>IF('חד גזעי'!$AM$7 = "לא",0,IF(C145 = "זית אירופי",IF('חד גזעי'!$AN$7 &lt;=סקר!F145,W145,0),IF(C145 = "חרוב מצוי",IF('חד גזעי'!$AN$7 &lt;=סקר!F145,W145,0),0)))</f>
        <v>0</v>
      </c>
      <c r="AB145">
        <f t="shared" ref="AB145:AB176" si="161">_xlfn.IFNA(S145,1)</f>
        <v>1</v>
      </c>
      <c r="AC145" s="72"/>
      <c r="AD145" t="e">
        <f>IF(AK145&gt;0,AK145,AF145)</f>
        <v>#N/A</v>
      </c>
      <c r="AE145" s="72"/>
      <c r="AF145" s="72" t="e">
        <f t="shared" ref="AF145:AF176" si="162">((AJ145+AI145+AH145)*(AG145))*(J145*0.2)*(K145*0.2)*20</f>
        <v>#N/A</v>
      </c>
      <c r="AG145" s="72" t="e">
        <f>IF('חד גזעי'!$AM$5="לא",(VLOOKUP(C145,'חד גזעי'!$P$1:$S$589,3,FALSE)),(VLOOKUP(C145,'חד גזעי'!$P$1:$S$589,4,FALSE)))</f>
        <v>#N/A</v>
      </c>
      <c r="AH145" s="72">
        <f t="shared" ref="AH145:AH176" si="163">(3.14*((F145/2)^2))</f>
        <v>0</v>
      </c>
      <c r="AI145" s="72">
        <f t="shared" ref="AI145:AI176" si="164">3.14*(G145*G145/4)</f>
        <v>0</v>
      </c>
      <c r="AJ145" s="72">
        <f t="shared" ref="AJ145:AJ176" si="165">3.14*(H145*H145/4)</f>
        <v>0</v>
      </c>
      <c r="AK145" s="72" t="e">
        <f t="shared" ref="AK145:AK176" si="166">AL145*E145*(J145*0.2)*(0.2*K145)*1500</f>
        <v>#N/A</v>
      </c>
      <c r="AL145" t="e">
        <f>VLOOKUP(C145,'חד גזעי'!$AH$8:$AI$33,2,FALSE)</f>
        <v>#N/A</v>
      </c>
      <c r="AM145" s="72" t="b">
        <f t="shared" ref="AM145:AM176" si="167">IF(BC145="שימור",P145)</f>
        <v>0</v>
      </c>
      <c r="AN145" s="72" t="b">
        <f t="shared" ref="AN145:AN176" si="168">IF(BC145="כריתה",P145)</f>
        <v>0</v>
      </c>
      <c r="AO145" s="72" t="b">
        <f t="shared" ref="AO145:AO176" si="169">IF(BC145="העתקה",P145)</f>
        <v>0</v>
      </c>
      <c r="AS145" s="72">
        <f t="shared" ref="AS145:AS176" si="170">B145</f>
        <v>0</v>
      </c>
      <c r="AT145" s="72">
        <f t="shared" ref="AT145:AT176" si="171">C145</f>
        <v>0</v>
      </c>
      <c r="AU145" s="72">
        <f>IF(C145&gt;0,IF(D145&lt;2,1,D145),0)</f>
        <v>0</v>
      </c>
      <c r="AV145" s="72">
        <f t="shared" ref="AV145:AV176" si="172">E145</f>
        <v>0</v>
      </c>
      <c r="AW145" s="72">
        <f t="shared" ref="AW145:AW176" si="173">F145</f>
        <v>0</v>
      </c>
      <c r="AX145" s="72">
        <f t="shared" ref="AX145:AX176" si="174">G145</f>
        <v>0</v>
      </c>
      <c r="AY145" s="72">
        <f t="shared" ref="AY145:AY176" si="175">H145</f>
        <v>0</v>
      </c>
      <c r="AZ145" s="72">
        <f t="shared" ref="AZ145:AZ176" si="176">I145</f>
        <v>0</v>
      </c>
      <c r="BA145" s="72" t="e">
        <f t="shared" ref="BA145:BA176" si="177">N145</f>
        <v>#N/A</v>
      </c>
      <c r="BB145" s="72" t="e">
        <f t="shared" ref="BB145:BB176" si="178">IF(BA145&gt;6,IF(BA145&gt;13,IF(BA145&gt;16,"גבוה מאוד","גבוה"),"בינונית"),"נמוכה")</f>
        <v>#N/A</v>
      </c>
      <c r="BC145" s="77"/>
      <c r="BE145">
        <f t="shared" si="158"/>
        <v>0</v>
      </c>
      <c r="BF145" s="196"/>
      <c r="BG145" s="196"/>
      <c r="BH145" s="196"/>
      <c r="BI145" s="196"/>
      <c r="BJ145" s="196"/>
      <c r="BK145" s="196"/>
    </row>
    <row r="146" spans="2:63" hidden="1">
      <c r="B146" s="72"/>
      <c r="C146" s="135"/>
      <c r="D146" s="73"/>
      <c r="E146" s="73"/>
      <c r="F146" s="72"/>
      <c r="G146" s="72"/>
      <c r="H146" s="72"/>
      <c r="I146" s="73">
        <f t="shared" si="160"/>
        <v>0</v>
      </c>
      <c r="J146" s="73"/>
      <c r="K146" s="73"/>
      <c r="L146" s="74" t="e">
        <f>_xlfn.IFNA(VLOOKUP(C146,'חד גזעי'!$U$3:$V$509,2,0),VLOOKUP(C146,'חד גזעי'!$U$3:$V$509,2))</f>
        <v>#N/A</v>
      </c>
      <c r="M146" s="73"/>
      <c r="N146" s="72" t="e">
        <f>_xlfn.IFNA(IF(VLOOKUP(C146,'חד גזעי'!$AH$2:$AH$7,1,FALSE)&gt;0,0,IF('חד גזעי'!$AM$5="כן",IF(_xlfn.IFNA(VLOOKUP(C146,'חד גזעי'!$AH$2:$AH$33,1,FALSE),SUM(J146:M146))&lt;21,_xlfn.IFNA(VLOOKUP(C146,'חד גזעי'!$AH$2:$AH$33,1,FALSE),SUM(J146:M146)),0),SUM(J146:M146))),IF('חד גזעי'!$AM$5="כן",IF(_xlfn.IFNA(VLOOKUP(C146,'חד גזעי'!$AH$2:$AH$33,1,FALSE),SUM(J146:M146))&lt;21,_xlfn.IFNA(VLOOKUP(C146,'חד גזעי'!$AH$2:$AH$33,1,FALSE),SUM(J146:M146)),0),SUM(J146:M146)))</f>
        <v>#N/A</v>
      </c>
      <c r="O146" s="72">
        <f>IF('חד גזעי'!$AM$3 = "כן",IF(T146&gt;4,4,T146),T146)</f>
        <v>0</v>
      </c>
      <c r="P146" s="80">
        <f>IF(E146&lt;2,0,IF(Z146&gt;0,Z146,IF(N146 = 0,0,IF('חד גזעי'!$AM$2 = "לא",IF(F146&gt;19,W146,0),IF(F146&gt;9,Y146,0)))))</f>
        <v>0</v>
      </c>
      <c r="Q146" s="77"/>
      <c r="R146" s="75"/>
      <c r="S146" t="e">
        <f>VLOOKUP(C146,'חד גזעי'!$Y$4:$Y$18,1,0)</f>
        <v>#N/A</v>
      </c>
      <c r="T146" s="72">
        <f>IF('חד גזעי'!$AM$6="לא",IF(P146=0,IF(BC146="שימור",IF('חד גזעי'!$AM$4="לא",IF(BC146="לא בוגר",0,IF(BC146="לא קיים",0,IF(J146=0,0,I146*0.1))),IF(BC146="לא בוגר",0,IF(BC146="לא קיים",0,IF(AB146=1,I146*0.1,E146*0.5)))),0),IF('חד גזעי'!$AM$4="לא",IF(BC146="לא בוגר",0,IF(BC146="לא קיים",0,IF(J146=0,0,I146*0.1))),IF(BC146="לא בוגר",0,IF(BC146="לא קיים",0,IF(AB146=1,I146*0.1,E146*0.5))))),IF(P146=0,IF(BC146="שימור",IF('חד גזעי'!$AM$4="לא",IF(BC146="לא בוגר",0,IF(BC146="לא קיים",0,IF(J146=0,0,I146*0.15))),IF(BC146="לא בוגר",0,IF(BC146="לא קיים",0,IF(AB146=1,I146*0.15,E146*0.5)))),0),IF('חד גזעי'!$AM$4="לא",IF(BC146="לא בוגר",0,IF(BC146="לא קיים",0,IF(J146=0,0,I146*0.15))),IF(BC146="לא בוגר",0,IF(BC146="לא קיים",0,IF(AB146=1,I146*0.15,E146*0.5))))))</f>
        <v>0</v>
      </c>
      <c r="V146" t="e">
        <f t="shared" si="150"/>
        <v>#N/A</v>
      </c>
      <c r="W146" t="e">
        <f t="shared" si="151"/>
        <v>#N/A</v>
      </c>
      <c r="X146" t="e">
        <f t="shared" si="152"/>
        <v>#N/A</v>
      </c>
      <c r="Y146">
        <f>IF('חד גזעי'!$AM$2 = "לא",0,IF(F146&gt;9,W146,0))</f>
        <v>0</v>
      </c>
      <c r="Z146">
        <f>IF('חד גזעי'!$AM$7 = "לא",0,IF(C146 = "זית אירופי",IF('חד גזעי'!$AN$7 &lt;=סקר!F146,W146,0),IF(C146 = "חרוב מצוי",IF('חד גזעי'!$AN$7 &lt;=סקר!F146,W146,0),0)))</f>
        <v>0</v>
      </c>
      <c r="AB146">
        <f t="shared" si="161"/>
        <v>1</v>
      </c>
      <c r="AC146" s="72"/>
      <c r="AD146" t="e">
        <f t="shared" ref="AD146:AD176" si="179">IF(AK146&gt;0,AK146,AF146)</f>
        <v>#N/A</v>
      </c>
      <c r="AE146" s="72"/>
      <c r="AF146" s="72" t="e">
        <f t="shared" si="162"/>
        <v>#N/A</v>
      </c>
      <c r="AG146" s="72" t="e">
        <f>IF('חד גזעי'!$AM$5="לא",(VLOOKUP(C146,'חד גזעי'!$P$1:$S$589,3,FALSE)),(VLOOKUP(C146,'חד גזעי'!$P$1:$S$589,4,FALSE)))</f>
        <v>#N/A</v>
      </c>
      <c r="AH146" s="72">
        <f t="shared" si="163"/>
        <v>0</v>
      </c>
      <c r="AI146" s="72">
        <f t="shared" si="164"/>
        <v>0</v>
      </c>
      <c r="AJ146" s="72">
        <f t="shared" si="165"/>
        <v>0</v>
      </c>
      <c r="AK146" s="72" t="e">
        <f t="shared" si="166"/>
        <v>#N/A</v>
      </c>
      <c r="AL146" t="e">
        <f>VLOOKUP(C146,'חד גזעי'!$AH$8:$AI$33,2,FALSE)</f>
        <v>#N/A</v>
      </c>
      <c r="AM146" s="72" t="b">
        <f t="shared" si="167"/>
        <v>0</v>
      </c>
      <c r="AN146" s="72" t="b">
        <f t="shared" si="168"/>
        <v>0</v>
      </c>
      <c r="AO146" s="72" t="b">
        <f t="shared" si="169"/>
        <v>0</v>
      </c>
      <c r="AS146" s="72">
        <f t="shared" si="170"/>
        <v>0</v>
      </c>
      <c r="AT146" s="72">
        <f t="shared" si="171"/>
        <v>0</v>
      </c>
      <c r="AU146" s="72">
        <f t="shared" ref="AU146:AU176" si="180">IF(C146&gt;0,IF(D146&lt;2,1,D146),0)</f>
        <v>0</v>
      </c>
      <c r="AV146" s="72">
        <f t="shared" si="172"/>
        <v>0</v>
      </c>
      <c r="AW146" s="72">
        <f t="shared" si="173"/>
        <v>0</v>
      </c>
      <c r="AX146" s="72">
        <f t="shared" si="174"/>
        <v>0</v>
      </c>
      <c r="AY146" s="72">
        <f t="shared" si="175"/>
        <v>0</v>
      </c>
      <c r="AZ146" s="72">
        <f t="shared" si="176"/>
        <v>0</v>
      </c>
      <c r="BA146" s="72" t="e">
        <f t="shared" si="177"/>
        <v>#N/A</v>
      </c>
      <c r="BB146" s="72" t="e">
        <f t="shared" si="178"/>
        <v>#N/A</v>
      </c>
      <c r="BC146" s="77"/>
      <c r="BE146">
        <f t="shared" si="158"/>
        <v>0</v>
      </c>
      <c r="BF146" s="196"/>
      <c r="BG146" s="196"/>
      <c r="BH146" s="196"/>
      <c r="BI146" s="196"/>
      <c r="BJ146" s="196"/>
      <c r="BK146" s="196"/>
    </row>
    <row r="147" spans="2:63" hidden="1">
      <c r="B147" s="72"/>
      <c r="C147" s="135"/>
      <c r="D147" s="73"/>
      <c r="E147" s="73"/>
      <c r="F147" s="72"/>
      <c r="G147" s="72"/>
      <c r="H147" s="72"/>
      <c r="I147" s="73">
        <f t="shared" si="160"/>
        <v>0</v>
      </c>
      <c r="J147" s="73"/>
      <c r="K147" s="73"/>
      <c r="L147" s="74" t="e">
        <f>_xlfn.IFNA(VLOOKUP(C147,'חד גזעי'!$U$3:$V$509,2,0),VLOOKUP(C147,'חד גזעי'!$U$3:$V$509,2))</f>
        <v>#N/A</v>
      </c>
      <c r="M147" s="73"/>
      <c r="N147" s="72" t="e">
        <f>_xlfn.IFNA(IF(VLOOKUP(C147,'חד גזעי'!$AH$2:$AH$7,1,FALSE)&gt;0,0,IF('חד גזעי'!$AM$5="כן",IF(_xlfn.IFNA(VLOOKUP(C147,'חד גזעי'!$AH$2:$AH$33,1,FALSE),SUM(J147:M147))&lt;21,_xlfn.IFNA(VLOOKUP(C147,'חד גזעי'!$AH$2:$AH$33,1,FALSE),SUM(J147:M147)),0),SUM(J147:M147))),IF('חד גזעי'!$AM$5="כן",IF(_xlfn.IFNA(VLOOKUP(C147,'חד גזעי'!$AH$2:$AH$33,1,FALSE),SUM(J147:M147))&lt;21,_xlfn.IFNA(VLOOKUP(C147,'חד גזעי'!$AH$2:$AH$33,1,FALSE),SUM(J147:M147)),0),SUM(J147:M147)))</f>
        <v>#N/A</v>
      </c>
      <c r="O147" s="72">
        <f>IF('חד גזעי'!$AM$3 = "כן",IF(T147&gt;4,4,T147),T147)</f>
        <v>0</v>
      </c>
      <c r="P147" s="80">
        <f>IF(E147&lt;2,0,IF(Z147&gt;0,Z147,IF(N147 = 0,0,IF('חד גזעי'!$AM$2 = "לא",IF(F147&gt;19,W147,0),IF(F147&gt;9,Y147,0)))))</f>
        <v>0</v>
      </c>
      <c r="Q147" s="77"/>
      <c r="R147" s="75"/>
      <c r="S147" t="e">
        <f>VLOOKUP(C147,'חד גזעי'!$Y$4:$Y$18,1,0)</f>
        <v>#N/A</v>
      </c>
      <c r="T147" s="72">
        <f>IF('חד גזעי'!$AM$6="לא",IF(P147=0,IF(BC147="שימור",IF('חד גזעי'!$AM$4="לא",IF(BC147="לא בוגר",0,IF(BC147="לא קיים",0,IF(J147=0,0,I147*0.1))),IF(BC147="לא בוגר",0,IF(BC147="לא קיים",0,IF(AB147=1,I147*0.1,E147*0.5)))),0),IF('חד גזעי'!$AM$4="לא",IF(BC147="לא בוגר",0,IF(BC147="לא קיים",0,IF(J147=0,0,I147*0.1))),IF(BC147="לא בוגר",0,IF(BC147="לא קיים",0,IF(AB147=1,I147*0.1,E147*0.5))))),IF(P147=0,IF(BC147="שימור",IF('חד גזעי'!$AM$4="לא",IF(BC147="לא בוגר",0,IF(BC147="לא קיים",0,IF(J147=0,0,I147*0.15))),IF(BC147="לא בוגר",0,IF(BC147="לא קיים",0,IF(AB147=1,I147*0.15,E147*0.5)))),0),IF('חד גזעי'!$AM$4="לא",IF(BC147="לא בוגר",0,IF(BC147="לא קיים",0,IF(J147=0,0,I147*0.15))),IF(BC147="לא בוגר",0,IF(BC147="לא קיים",0,IF(AB147=1,I147*0.15,E147*0.5))))))</f>
        <v>0</v>
      </c>
      <c r="V147" t="e">
        <f t="shared" si="150"/>
        <v>#N/A</v>
      </c>
      <c r="W147" t="e">
        <f t="shared" si="151"/>
        <v>#N/A</v>
      </c>
      <c r="X147" t="e">
        <f t="shared" si="152"/>
        <v>#N/A</v>
      </c>
      <c r="Y147">
        <f>IF('חד גזעי'!$AM$2 = "לא",0,IF(F147&gt;9,W147,0))</f>
        <v>0</v>
      </c>
      <c r="Z147">
        <f>IF('חד גזעי'!$AM$7 = "לא",0,IF(C147 = "זית אירופי",IF('חד גזעי'!$AN$7 &lt;=סקר!F147,W147,0),IF(C147 = "חרוב מצוי",IF('חד גזעי'!$AN$7 &lt;=סקר!F147,W147,0),0)))</f>
        <v>0</v>
      </c>
      <c r="AB147">
        <f t="shared" si="161"/>
        <v>1</v>
      </c>
      <c r="AC147" s="72"/>
      <c r="AD147" t="e">
        <f t="shared" si="179"/>
        <v>#N/A</v>
      </c>
      <c r="AE147" s="72"/>
      <c r="AF147" s="72" t="e">
        <f t="shared" si="162"/>
        <v>#N/A</v>
      </c>
      <c r="AG147" s="72" t="e">
        <f>IF('חד גזעי'!$AM$5="לא",(VLOOKUP(C147,'חד גזעי'!$P$1:$S$589,3,FALSE)),(VLOOKUP(C147,'חד גזעי'!$P$1:$S$589,4,FALSE)))</f>
        <v>#N/A</v>
      </c>
      <c r="AH147" s="72">
        <f t="shared" si="163"/>
        <v>0</v>
      </c>
      <c r="AI147" s="72">
        <f t="shared" si="164"/>
        <v>0</v>
      </c>
      <c r="AJ147" s="72">
        <f t="shared" si="165"/>
        <v>0</v>
      </c>
      <c r="AK147" s="72" t="e">
        <f t="shared" si="166"/>
        <v>#N/A</v>
      </c>
      <c r="AL147" t="e">
        <f>VLOOKUP(C147,'חד גזעי'!$AH$8:$AI$33,2,FALSE)</f>
        <v>#N/A</v>
      </c>
      <c r="AM147" s="72" t="b">
        <f t="shared" si="167"/>
        <v>0</v>
      </c>
      <c r="AN147" s="72" t="b">
        <f t="shared" si="168"/>
        <v>0</v>
      </c>
      <c r="AO147" s="72" t="b">
        <f t="shared" si="169"/>
        <v>0</v>
      </c>
      <c r="AS147" s="72">
        <f t="shared" si="170"/>
        <v>0</v>
      </c>
      <c r="AT147" s="72">
        <f t="shared" si="171"/>
        <v>0</v>
      </c>
      <c r="AU147" s="72">
        <f t="shared" si="180"/>
        <v>0</v>
      </c>
      <c r="AV147" s="72">
        <f t="shared" si="172"/>
        <v>0</v>
      </c>
      <c r="AW147" s="72">
        <f t="shared" si="173"/>
        <v>0</v>
      </c>
      <c r="AX147" s="72">
        <f t="shared" si="174"/>
        <v>0</v>
      </c>
      <c r="AY147" s="72">
        <f t="shared" si="175"/>
        <v>0</v>
      </c>
      <c r="AZ147" s="72">
        <f t="shared" si="176"/>
        <v>0</v>
      </c>
      <c r="BA147" s="72" t="e">
        <f t="shared" si="177"/>
        <v>#N/A</v>
      </c>
      <c r="BB147" s="72" t="e">
        <f t="shared" si="178"/>
        <v>#N/A</v>
      </c>
      <c r="BC147" s="77"/>
      <c r="BE147">
        <f t="shared" si="158"/>
        <v>0</v>
      </c>
      <c r="BF147" s="196"/>
      <c r="BG147" s="196"/>
      <c r="BH147" s="196"/>
      <c r="BI147" s="196"/>
      <c r="BJ147" s="196"/>
      <c r="BK147" s="196"/>
    </row>
    <row r="148" spans="2:63" hidden="1">
      <c r="B148" s="72"/>
      <c r="C148" s="135"/>
      <c r="D148" s="73"/>
      <c r="E148" s="73"/>
      <c r="F148" s="72"/>
      <c r="G148" s="72"/>
      <c r="H148" s="72"/>
      <c r="I148" s="73">
        <f t="shared" si="160"/>
        <v>0</v>
      </c>
      <c r="J148" s="73"/>
      <c r="K148" s="73"/>
      <c r="L148" s="74" t="e">
        <f>_xlfn.IFNA(VLOOKUP(C148,'חד גזעי'!$U$3:$V$509,2,0),VLOOKUP(C148,'חד גזעי'!$U$3:$V$509,2))</f>
        <v>#N/A</v>
      </c>
      <c r="M148" s="73"/>
      <c r="N148" s="72" t="e">
        <f>_xlfn.IFNA(IF(VLOOKUP(C148,'חד גזעי'!$AH$2:$AH$7,1,FALSE)&gt;0,0,IF('חד גזעי'!$AM$5="כן",IF(_xlfn.IFNA(VLOOKUP(C148,'חד גזעי'!$AH$2:$AH$33,1,FALSE),SUM(J148:M148))&lt;21,_xlfn.IFNA(VLOOKUP(C148,'חד גזעי'!$AH$2:$AH$33,1,FALSE),SUM(J148:M148)),0),SUM(J148:M148))),IF('חד גזעי'!$AM$5="כן",IF(_xlfn.IFNA(VLOOKUP(C148,'חד גזעי'!$AH$2:$AH$33,1,FALSE),SUM(J148:M148))&lt;21,_xlfn.IFNA(VLOOKUP(C148,'חד גזעי'!$AH$2:$AH$33,1,FALSE),SUM(J148:M148)),0),SUM(J148:M148)))</f>
        <v>#N/A</v>
      </c>
      <c r="O148" s="72">
        <f>IF('חד גזעי'!$AM$3 = "כן",IF(T148&gt;4,4,T148),T148)</f>
        <v>0</v>
      </c>
      <c r="P148" s="80">
        <f>IF(E148&lt;2,0,IF(Z148&gt;0,Z148,IF(N148 = 0,0,IF('חד גזעי'!$AM$2 = "לא",IF(F148&gt;19,W148,0),IF(F148&gt;9,Y148,0)))))</f>
        <v>0</v>
      </c>
      <c r="Q148" s="77"/>
      <c r="R148" s="75"/>
      <c r="S148" t="e">
        <f>VLOOKUP(C148,'חד גזעי'!$Y$4:$Y$18,1,0)</f>
        <v>#N/A</v>
      </c>
      <c r="T148" s="72">
        <f>IF('חד גזעי'!$AM$6="לא",IF(P148=0,IF(BC148="שימור",IF('חד גזעי'!$AM$4="לא",IF(BC148="לא בוגר",0,IF(BC148="לא קיים",0,IF(J148=0,0,I148*0.1))),IF(BC148="לא בוגר",0,IF(BC148="לא קיים",0,IF(AB148=1,I148*0.1,E148*0.5)))),0),IF('חד גזעי'!$AM$4="לא",IF(BC148="לא בוגר",0,IF(BC148="לא קיים",0,IF(J148=0,0,I148*0.1))),IF(BC148="לא בוגר",0,IF(BC148="לא קיים",0,IF(AB148=1,I148*0.1,E148*0.5))))),IF(P148=0,IF(BC148="שימור",IF('חד גזעי'!$AM$4="לא",IF(BC148="לא בוגר",0,IF(BC148="לא קיים",0,IF(J148=0,0,I148*0.15))),IF(BC148="לא בוגר",0,IF(BC148="לא קיים",0,IF(AB148=1,I148*0.15,E148*0.5)))),0),IF('חד גזעי'!$AM$4="לא",IF(BC148="לא בוגר",0,IF(BC148="לא קיים",0,IF(J148=0,0,I148*0.15))),IF(BC148="לא בוגר",0,IF(BC148="לא קיים",0,IF(AB148=1,I148*0.15,E148*0.5))))))</f>
        <v>0</v>
      </c>
      <c r="V148" t="e">
        <f t="shared" si="150"/>
        <v>#N/A</v>
      </c>
      <c r="W148" t="e">
        <f t="shared" si="151"/>
        <v>#N/A</v>
      </c>
      <c r="X148" t="e">
        <f t="shared" si="152"/>
        <v>#N/A</v>
      </c>
      <c r="Y148">
        <f>IF('חד גזעי'!$AM$2 = "לא",0,IF(F148&gt;9,W148,0))</f>
        <v>0</v>
      </c>
      <c r="Z148">
        <f>IF('חד גזעי'!$AM$7 = "לא",0,IF(C148 = "זית אירופי",IF('חד גזעי'!$AN$7 &lt;=סקר!F148,W148,0),IF(C148 = "חרוב מצוי",IF('חד גזעי'!$AN$7 &lt;=סקר!F148,W148,0),0)))</f>
        <v>0</v>
      </c>
      <c r="AB148">
        <f t="shared" si="161"/>
        <v>1</v>
      </c>
      <c r="AC148" s="72"/>
      <c r="AD148" t="e">
        <f t="shared" si="179"/>
        <v>#N/A</v>
      </c>
      <c r="AE148" s="72"/>
      <c r="AF148" s="72" t="e">
        <f t="shared" si="162"/>
        <v>#N/A</v>
      </c>
      <c r="AG148" s="72" t="e">
        <f>IF('חד גזעי'!$AM$5="לא",(VLOOKUP(C148,'חד גזעי'!$P$1:$S$589,3,FALSE)),(VLOOKUP(C148,'חד גזעי'!$P$1:$S$589,4,FALSE)))</f>
        <v>#N/A</v>
      </c>
      <c r="AH148" s="72">
        <f t="shared" si="163"/>
        <v>0</v>
      </c>
      <c r="AI148" s="72">
        <f t="shared" si="164"/>
        <v>0</v>
      </c>
      <c r="AJ148" s="72">
        <f t="shared" si="165"/>
        <v>0</v>
      </c>
      <c r="AK148" s="72" t="e">
        <f t="shared" si="166"/>
        <v>#N/A</v>
      </c>
      <c r="AL148" t="e">
        <f>VLOOKUP(C148,'חד גזעי'!$AH$8:$AI$33,2,FALSE)</f>
        <v>#N/A</v>
      </c>
      <c r="AM148" s="72" t="b">
        <f t="shared" si="167"/>
        <v>0</v>
      </c>
      <c r="AN148" s="72" t="b">
        <f t="shared" si="168"/>
        <v>0</v>
      </c>
      <c r="AO148" s="72" t="b">
        <f t="shared" si="169"/>
        <v>0</v>
      </c>
      <c r="AS148" s="72">
        <f t="shared" si="170"/>
        <v>0</v>
      </c>
      <c r="AT148" s="72">
        <f t="shared" si="171"/>
        <v>0</v>
      </c>
      <c r="AU148" s="72">
        <f t="shared" si="180"/>
        <v>0</v>
      </c>
      <c r="AV148" s="72">
        <f t="shared" si="172"/>
        <v>0</v>
      </c>
      <c r="AW148" s="72">
        <f t="shared" si="173"/>
        <v>0</v>
      </c>
      <c r="AX148" s="72">
        <f t="shared" si="174"/>
        <v>0</v>
      </c>
      <c r="AY148" s="72">
        <f t="shared" si="175"/>
        <v>0</v>
      </c>
      <c r="AZ148" s="72">
        <f t="shared" si="176"/>
        <v>0</v>
      </c>
      <c r="BA148" s="72" t="e">
        <f t="shared" si="177"/>
        <v>#N/A</v>
      </c>
      <c r="BB148" s="72" t="e">
        <f t="shared" si="178"/>
        <v>#N/A</v>
      </c>
      <c r="BC148" s="77"/>
      <c r="BE148">
        <f t="shared" si="158"/>
        <v>0</v>
      </c>
      <c r="BF148" s="196"/>
      <c r="BG148" s="196"/>
      <c r="BH148" s="196"/>
      <c r="BI148" s="196"/>
      <c r="BJ148" s="196"/>
      <c r="BK148" s="196"/>
    </row>
    <row r="149" spans="2:63" hidden="1">
      <c r="B149" s="72"/>
      <c r="C149" s="135"/>
      <c r="D149" s="73"/>
      <c r="E149" s="73"/>
      <c r="F149" s="72"/>
      <c r="G149" s="72"/>
      <c r="H149" s="72"/>
      <c r="I149" s="73">
        <f t="shared" si="160"/>
        <v>0</v>
      </c>
      <c r="J149" s="73"/>
      <c r="K149" s="73"/>
      <c r="L149" s="74" t="e">
        <f>_xlfn.IFNA(VLOOKUP(C149,'חד גזעי'!$U$3:$V$509,2,0),VLOOKUP(C149,'חד גזעי'!$U$3:$V$509,2))</f>
        <v>#N/A</v>
      </c>
      <c r="M149" s="73"/>
      <c r="N149" s="72" t="e">
        <f>_xlfn.IFNA(IF(VLOOKUP(C149,'חד גזעי'!$AH$2:$AH$7,1,FALSE)&gt;0,0,IF('חד גזעי'!$AM$5="כן",IF(_xlfn.IFNA(VLOOKUP(C149,'חד גזעי'!$AH$2:$AH$33,1,FALSE),SUM(J149:M149))&lt;21,_xlfn.IFNA(VLOOKUP(C149,'חד גזעי'!$AH$2:$AH$33,1,FALSE),SUM(J149:M149)),0),SUM(J149:M149))),IF('חד גזעי'!$AM$5="כן",IF(_xlfn.IFNA(VLOOKUP(C149,'חד גזעי'!$AH$2:$AH$33,1,FALSE),SUM(J149:M149))&lt;21,_xlfn.IFNA(VLOOKUP(C149,'חד גזעי'!$AH$2:$AH$33,1,FALSE),SUM(J149:M149)),0),SUM(J149:M149)))</f>
        <v>#N/A</v>
      </c>
      <c r="O149" s="72">
        <f>IF('חד גזעי'!$AM$3 = "כן",IF(T149&gt;4,4,T149),T149)</f>
        <v>0</v>
      </c>
      <c r="P149" s="80">
        <f>IF(E149&lt;2,0,IF(Z149&gt;0,Z149,IF(N149 = 0,0,IF('חד גזעי'!$AM$2 = "לא",IF(F149&gt;19,W149,0),IF(F149&gt;9,Y149,0)))))</f>
        <v>0</v>
      </c>
      <c r="Q149" s="77"/>
      <c r="R149" s="75"/>
      <c r="S149" t="e">
        <f>VLOOKUP(C149,'חד גזעי'!$Y$4:$Y$18,1,0)</f>
        <v>#N/A</v>
      </c>
      <c r="T149" s="72">
        <f>IF('חד גזעי'!$AM$6="לא",IF(P149=0,IF(BC149="שימור",IF('חד גזעי'!$AM$4="לא",IF(BC149="לא בוגר",0,IF(BC149="לא קיים",0,IF(J149=0,0,I149*0.1))),IF(BC149="לא בוגר",0,IF(BC149="לא קיים",0,IF(AB149=1,I149*0.1,E149*0.5)))),0),IF('חד גזעי'!$AM$4="לא",IF(BC149="לא בוגר",0,IF(BC149="לא קיים",0,IF(J149=0,0,I149*0.1))),IF(BC149="לא בוגר",0,IF(BC149="לא קיים",0,IF(AB149=1,I149*0.1,E149*0.5))))),IF(P149=0,IF(BC149="שימור",IF('חד גזעי'!$AM$4="לא",IF(BC149="לא בוגר",0,IF(BC149="לא קיים",0,IF(J149=0,0,I149*0.15))),IF(BC149="לא בוגר",0,IF(BC149="לא קיים",0,IF(AB149=1,I149*0.15,E149*0.5)))),0),IF('חד גזעי'!$AM$4="לא",IF(BC149="לא בוגר",0,IF(BC149="לא קיים",0,IF(J149=0,0,I149*0.15))),IF(BC149="לא בוגר",0,IF(BC149="לא קיים",0,IF(AB149=1,I149*0.15,E149*0.5))))))</f>
        <v>0</v>
      </c>
      <c r="V149" t="e">
        <f t="shared" si="150"/>
        <v>#N/A</v>
      </c>
      <c r="W149" t="e">
        <f t="shared" si="151"/>
        <v>#N/A</v>
      </c>
      <c r="X149" t="e">
        <f t="shared" si="152"/>
        <v>#N/A</v>
      </c>
      <c r="Y149">
        <f>IF('חד גזעי'!$AM$2 = "לא",0,IF(F149&gt;9,W149,0))</f>
        <v>0</v>
      </c>
      <c r="Z149">
        <f>IF('חד גזעי'!$AM$7 = "לא",0,IF(C149 = "זית אירופי",IF('חד גזעי'!$AN$7 &lt;=סקר!F149,W149,0),IF(C149 = "חרוב מצוי",IF('חד גזעי'!$AN$7 &lt;=סקר!F149,W149,0),0)))</f>
        <v>0</v>
      </c>
      <c r="AB149">
        <f t="shared" si="161"/>
        <v>1</v>
      </c>
      <c r="AC149" s="72"/>
      <c r="AD149" t="e">
        <f t="shared" si="179"/>
        <v>#N/A</v>
      </c>
      <c r="AE149" s="72"/>
      <c r="AF149" s="72" t="e">
        <f t="shared" si="162"/>
        <v>#N/A</v>
      </c>
      <c r="AG149" s="72" t="e">
        <f>IF('חד גזעי'!$AM$5="לא",(VLOOKUP(C149,'חד גזעי'!$P$1:$S$589,3,FALSE)),(VLOOKUP(C149,'חד גזעי'!$P$1:$S$589,4,FALSE)))</f>
        <v>#N/A</v>
      </c>
      <c r="AH149" s="72">
        <f t="shared" si="163"/>
        <v>0</v>
      </c>
      <c r="AI149" s="72">
        <f t="shared" si="164"/>
        <v>0</v>
      </c>
      <c r="AJ149" s="72">
        <f t="shared" si="165"/>
        <v>0</v>
      </c>
      <c r="AK149" s="72" t="e">
        <f t="shared" si="166"/>
        <v>#N/A</v>
      </c>
      <c r="AL149" t="e">
        <f>VLOOKUP(C149,'חד גזעי'!$AH$8:$AI$33,2,FALSE)</f>
        <v>#N/A</v>
      </c>
      <c r="AM149" s="72" t="b">
        <f t="shared" si="167"/>
        <v>0</v>
      </c>
      <c r="AN149" s="72" t="b">
        <f t="shared" si="168"/>
        <v>0</v>
      </c>
      <c r="AO149" s="72" t="b">
        <f t="shared" si="169"/>
        <v>0</v>
      </c>
      <c r="AS149" s="72">
        <f t="shared" si="170"/>
        <v>0</v>
      </c>
      <c r="AT149" s="72">
        <f t="shared" si="171"/>
        <v>0</v>
      </c>
      <c r="AU149" s="72">
        <f t="shared" si="180"/>
        <v>0</v>
      </c>
      <c r="AV149" s="72">
        <f t="shared" si="172"/>
        <v>0</v>
      </c>
      <c r="AW149" s="72">
        <f t="shared" si="173"/>
        <v>0</v>
      </c>
      <c r="AX149" s="72">
        <f t="shared" si="174"/>
        <v>0</v>
      </c>
      <c r="AY149" s="72">
        <f t="shared" si="175"/>
        <v>0</v>
      </c>
      <c r="AZ149" s="72">
        <f t="shared" si="176"/>
        <v>0</v>
      </c>
      <c r="BA149" s="72" t="e">
        <f t="shared" si="177"/>
        <v>#N/A</v>
      </c>
      <c r="BB149" s="72" t="e">
        <f t="shared" si="178"/>
        <v>#N/A</v>
      </c>
      <c r="BC149" s="77"/>
      <c r="BE149">
        <f t="shared" si="158"/>
        <v>0</v>
      </c>
      <c r="BF149" s="196"/>
      <c r="BG149" s="196"/>
      <c r="BH149" s="196"/>
      <c r="BI149" s="196"/>
      <c r="BJ149" s="196"/>
      <c r="BK149" s="196"/>
    </row>
    <row r="150" spans="2:63" hidden="1">
      <c r="B150" s="72"/>
      <c r="C150" s="135"/>
      <c r="D150" s="78"/>
      <c r="E150" s="73"/>
      <c r="F150" s="72"/>
      <c r="G150" s="72"/>
      <c r="H150" s="72"/>
      <c r="I150" s="73">
        <f t="shared" si="160"/>
        <v>0</v>
      </c>
      <c r="J150" s="78"/>
      <c r="K150" s="73"/>
      <c r="L150" s="74" t="e">
        <f>_xlfn.IFNA(VLOOKUP(C150,'חד גזעי'!$U$3:$V$509,2,0),VLOOKUP(C150,'חד גזעי'!$U$3:$V$509,2))</f>
        <v>#N/A</v>
      </c>
      <c r="M150" s="73"/>
      <c r="N150" s="72" t="e">
        <f>_xlfn.IFNA(IF(VLOOKUP(C150,'חד גזעי'!$AH$2:$AH$7,1,FALSE)&gt;0,0,IF('חד גזעי'!$AM$5="כן",IF(_xlfn.IFNA(VLOOKUP(C150,'חד גזעי'!$AH$2:$AH$33,1,FALSE),SUM(J150:M150))&lt;21,_xlfn.IFNA(VLOOKUP(C150,'חד גזעי'!$AH$2:$AH$33,1,FALSE),SUM(J150:M150)),0),SUM(J150:M150))),IF('חד גזעי'!$AM$5="כן",IF(_xlfn.IFNA(VLOOKUP(C150,'חד גזעי'!$AH$2:$AH$33,1,FALSE),SUM(J150:M150))&lt;21,_xlfn.IFNA(VLOOKUP(C150,'חד גזעי'!$AH$2:$AH$33,1,FALSE),SUM(J150:M150)),0),SUM(J150:M150)))</f>
        <v>#N/A</v>
      </c>
      <c r="O150" s="72">
        <f>IF('חד גזעי'!$AM$3 = "כן",IF(T150&gt;4,4,T150),T150)</f>
        <v>0</v>
      </c>
      <c r="P150" s="80">
        <f>IF(E150&lt;2,0,IF(Z150&gt;0,Z150,IF(N150 = 0,0,IF('חד גזעי'!$AM$2 = "לא",IF(F150&gt;19,W150,0),IF(F150&gt;9,Y150,0)))))</f>
        <v>0</v>
      </c>
      <c r="Q150" s="77"/>
      <c r="R150" s="75"/>
      <c r="S150" t="e">
        <f>VLOOKUP(C150,'חד גזעי'!$Y$4:$Y$18,1,0)</f>
        <v>#N/A</v>
      </c>
      <c r="T150" s="72">
        <f>IF('חד גזעי'!$AM$6="לא",IF(P150=0,IF(BC150="שימור",IF('חד גזעי'!$AM$4="לא",IF(BC150="לא בוגר",0,IF(BC150="לא קיים",0,IF(J150=0,0,I150*0.1))),IF(BC150="לא בוגר",0,IF(BC150="לא קיים",0,IF(AB150=1,I150*0.1,E150*0.5)))),0),IF('חד גזעי'!$AM$4="לא",IF(BC150="לא בוגר",0,IF(BC150="לא קיים",0,IF(J150=0,0,I150*0.1))),IF(BC150="לא בוגר",0,IF(BC150="לא קיים",0,IF(AB150=1,I150*0.1,E150*0.5))))),IF(P150=0,IF(BC150="שימור",IF('חד גזעי'!$AM$4="לא",IF(BC150="לא בוגר",0,IF(BC150="לא קיים",0,IF(J150=0,0,I150*0.15))),IF(BC150="לא בוגר",0,IF(BC150="לא קיים",0,IF(AB150=1,I150*0.15,E150*0.5)))),0),IF('חד גזעי'!$AM$4="לא",IF(BC150="לא בוגר",0,IF(BC150="לא קיים",0,IF(J150=0,0,I150*0.15))),IF(BC150="לא בוגר",0,IF(BC150="לא קיים",0,IF(AB150=1,I150*0.15,E150*0.5))))))</f>
        <v>0</v>
      </c>
      <c r="V150" t="e">
        <f t="shared" si="150"/>
        <v>#N/A</v>
      </c>
      <c r="W150" t="e">
        <f t="shared" si="151"/>
        <v>#N/A</v>
      </c>
      <c r="X150" t="e">
        <f t="shared" si="152"/>
        <v>#N/A</v>
      </c>
      <c r="Y150">
        <f>IF('חד גזעי'!$AM$2 = "לא",0,IF(F150&gt;9,W150,0))</f>
        <v>0</v>
      </c>
      <c r="Z150">
        <f>IF('חד גזעי'!$AM$7 = "לא",0,IF(C150 = "זית אירופי",IF('חד גזעי'!$AN$7 &lt;=סקר!F150,W150,0),IF(C150 = "חרוב מצוי",IF('חד גזעי'!$AN$7 &lt;=סקר!F150,W150,0),0)))</f>
        <v>0</v>
      </c>
      <c r="AB150">
        <f t="shared" si="161"/>
        <v>1</v>
      </c>
      <c r="AC150" s="72"/>
      <c r="AD150" t="e">
        <f t="shared" si="179"/>
        <v>#N/A</v>
      </c>
      <c r="AE150" s="72"/>
      <c r="AF150" s="72" t="e">
        <f t="shared" si="162"/>
        <v>#N/A</v>
      </c>
      <c r="AG150" s="72" t="e">
        <f>IF('חד גזעי'!$AM$5="לא",(VLOOKUP(C150,'חד גזעי'!$P$1:$S$589,3,FALSE)),(VLOOKUP(C150,'חד גזעי'!$P$1:$S$589,4,FALSE)))</f>
        <v>#N/A</v>
      </c>
      <c r="AH150" s="72">
        <f t="shared" si="163"/>
        <v>0</v>
      </c>
      <c r="AI150" s="72">
        <f t="shared" si="164"/>
        <v>0</v>
      </c>
      <c r="AJ150" s="72">
        <f t="shared" si="165"/>
        <v>0</v>
      </c>
      <c r="AK150" s="72" t="e">
        <f t="shared" si="166"/>
        <v>#N/A</v>
      </c>
      <c r="AL150" t="e">
        <f>VLOOKUP(C150,'חד גזעי'!$AH$8:$AI$33,2,FALSE)</f>
        <v>#N/A</v>
      </c>
      <c r="AM150" s="72" t="b">
        <f t="shared" si="167"/>
        <v>0</v>
      </c>
      <c r="AN150" s="72" t="b">
        <f t="shared" si="168"/>
        <v>0</v>
      </c>
      <c r="AO150" s="72" t="b">
        <f t="shared" si="169"/>
        <v>0</v>
      </c>
      <c r="AS150" s="72">
        <f t="shared" si="170"/>
        <v>0</v>
      </c>
      <c r="AT150" s="72">
        <f t="shared" si="171"/>
        <v>0</v>
      </c>
      <c r="AU150" s="72">
        <f t="shared" si="180"/>
        <v>0</v>
      </c>
      <c r="AV150" s="72">
        <f t="shared" si="172"/>
        <v>0</v>
      </c>
      <c r="AW150" s="72">
        <f t="shared" si="173"/>
        <v>0</v>
      </c>
      <c r="AX150" s="72">
        <f t="shared" si="174"/>
        <v>0</v>
      </c>
      <c r="AY150" s="72">
        <f t="shared" si="175"/>
        <v>0</v>
      </c>
      <c r="AZ150" s="72">
        <f t="shared" si="176"/>
        <v>0</v>
      </c>
      <c r="BA150" s="72" t="e">
        <f t="shared" si="177"/>
        <v>#N/A</v>
      </c>
      <c r="BB150" s="72" t="e">
        <f t="shared" si="178"/>
        <v>#N/A</v>
      </c>
      <c r="BC150" s="77"/>
      <c r="BE150">
        <f t="shared" si="158"/>
        <v>0</v>
      </c>
      <c r="BF150" s="196"/>
      <c r="BG150" s="196"/>
      <c r="BH150" s="196"/>
      <c r="BI150" s="196"/>
      <c r="BJ150" s="196"/>
      <c r="BK150" s="196"/>
    </row>
    <row r="151" spans="2:63" hidden="1">
      <c r="B151" s="72"/>
      <c r="C151" s="135"/>
      <c r="D151" s="78"/>
      <c r="E151" s="73"/>
      <c r="F151" s="72"/>
      <c r="G151" s="72"/>
      <c r="H151" s="72"/>
      <c r="I151" s="73">
        <f t="shared" si="160"/>
        <v>0</v>
      </c>
      <c r="J151" s="78"/>
      <c r="K151" s="73"/>
      <c r="L151" s="74" t="e">
        <f>_xlfn.IFNA(VLOOKUP(C151,'חד גזעי'!$U$3:$V$509,2,0),VLOOKUP(C151,'חד גזעי'!$U$3:$V$509,2))</f>
        <v>#N/A</v>
      </c>
      <c r="M151" s="73"/>
      <c r="N151" s="72" t="e">
        <f>_xlfn.IFNA(IF(VLOOKUP(C151,'חד גזעי'!$AH$2:$AH$7,1,FALSE)&gt;0,0,IF('חד גזעי'!$AM$5="כן",IF(_xlfn.IFNA(VLOOKUP(C151,'חד גזעי'!$AH$2:$AH$33,1,FALSE),SUM(J151:M151))&lt;21,_xlfn.IFNA(VLOOKUP(C151,'חד גזעי'!$AH$2:$AH$33,1,FALSE),SUM(J151:M151)),0),SUM(J151:M151))),IF('חד גזעי'!$AM$5="כן",IF(_xlfn.IFNA(VLOOKUP(C151,'חד גזעי'!$AH$2:$AH$33,1,FALSE),SUM(J151:M151))&lt;21,_xlfn.IFNA(VLOOKUP(C151,'חד גזעי'!$AH$2:$AH$33,1,FALSE),SUM(J151:M151)),0),SUM(J151:M151)))</f>
        <v>#N/A</v>
      </c>
      <c r="O151" s="72">
        <f>IF('חד גזעי'!$AM$3 = "כן",IF(T151&gt;4,4,T151),T151)</f>
        <v>0</v>
      </c>
      <c r="P151" s="80">
        <f>IF(E151&lt;2,0,IF(Z151&gt;0,Z151,IF(N151 = 0,0,IF('חד גזעי'!$AM$2 = "לא",IF(F151&gt;19,W151,0),IF(F151&gt;9,Y151,0)))))</f>
        <v>0</v>
      </c>
      <c r="Q151" s="77"/>
      <c r="R151" s="75"/>
      <c r="S151" t="e">
        <f>VLOOKUP(C151,'חד גזעי'!$Y$4:$Y$18,1,0)</f>
        <v>#N/A</v>
      </c>
      <c r="T151" s="72">
        <f>IF('חד גזעי'!$AM$6="לא",IF(P151=0,IF(BC151="שימור",IF('חד גזעי'!$AM$4="לא",IF(BC151="לא בוגר",0,IF(BC151="לא קיים",0,IF(J151=0,0,I151*0.1))),IF(BC151="לא בוגר",0,IF(BC151="לא קיים",0,IF(AB151=1,I151*0.1,E151*0.5)))),0),IF('חד גזעי'!$AM$4="לא",IF(BC151="לא בוגר",0,IF(BC151="לא קיים",0,IF(J151=0,0,I151*0.1))),IF(BC151="לא בוגר",0,IF(BC151="לא קיים",0,IF(AB151=1,I151*0.1,E151*0.5))))),IF(P151=0,IF(BC151="שימור",IF('חד גזעי'!$AM$4="לא",IF(BC151="לא בוגר",0,IF(BC151="לא קיים",0,IF(J151=0,0,I151*0.15))),IF(BC151="לא בוגר",0,IF(BC151="לא קיים",0,IF(AB151=1,I151*0.15,E151*0.5)))),0),IF('חד גזעי'!$AM$4="לא",IF(BC151="לא בוגר",0,IF(BC151="לא קיים",0,IF(J151=0,0,I151*0.15))),IF(BC151="לא בוגר",0,IF(BC151="לא קיים",0,IF(AB151=1,I151*0.15,E151*0.5))))))</f>
        <v>0</v>
      </c>
      <c r="V151" t="e">
        <f t="shared" si="150"/>
        <v>#N/A</v>
      </c>
      <c r="W151" t="e">
        <f t="shared" si="151"/>
        <v>#N/A</v>
      </c>
      <c r="X151" t="e">
        <f t="shared" si="152"/>
        <v>#N/A</v>
      </c>
      <c r="Y151">
        <f>IF('חד גזעי'!$AM$2 = "לא",0,IF(F151&gt;9,W151,0))</f>
        <v>0</v>
      </c>
      <c r="Z151">
        <f>IF('חד גזעי'!$AM$7 = "לא",0,IF(C151 = "זית אירופי",IF('חד גזעי'!$AN$7 &lt;=סקר!F151,W151,0),IF(C151 = "חרוב מצוי",IF('חד גזעי'!$AN$7 &lt;=סקר!F151,W151,0),0)))</f>
        <v>0</v>
      </c>
      <c r="AB151">
        <f t="shared" si="161"/>
        <v>1</v>
      </c>
      <c r="AC151" s="72"/>
      <c r="AD151" t="e">
        <f t="shared" si="179"/>
        <v>#N/A</v>
      </c>
      <c r="AE151" s="72"/>
      <c r="AF151" s="72" t="e">
        <f t="shared" si="162"/>
        <v>#N/A</v>
      </c>
      <c r="AG151" s="72" t="e">
        <f>IF('חד גזעי'!$AM$5="לא",(VLOOKUP(C151,'חד גזעי'!$P$1:$S$589,3,FALSE)),(VLOOKUP(C151,'חד גזעי'!$P$1:$S$589,4,FALSE)))</f>
        <v>#N/A</v>
      </c>
      <c r="AH151" s="72">
        <f t="shared" si="163"/>
        <v>0</v>
      </c>
      <c r="AI151" s="72">
        <f t="shared" si="164"/>
        <v>0</v>
      </c>
      <c r="AJ151" s="72">
        <f t="shared" si="165"/>
        <v>0</v>
      </c>
      <c r="AK151" s="72" t="e">
        <f t="shared" si="166"/>
        <v>#N/A</v>
      </c>
      <c r="AL151" t="e">
        <f>VLOOKUP(C151,'חד גזעי'!$AH$8:$AI$33,2,FALSE)</f>
        <v>#N/A</v>
      </c>
      <c r="AM151" s="72" t="b">
        <f t="shared" si="167"/>
        <v>0</v>
      </c>
      <c r="AN151" s="72" t="b">
        <f t="shared" si="168"/>
        <v>0</v>
      </c>
      <c r="AO151" s="72" t="b">
        <f t="shared" si="169"/>
        <v>0</v>
      </c>
      <c r="AS151" s="72">
        <f t="shared" si="170"/>
        <v>0</v>
      </c>
      <c r="AT151" s="72">
        <f t="shared" si="171"/>
        <v>0</v>
      </c>
      <c r="AU151" s="72">
        <f t="shared" si="180"/>
        <v>0</v>
      </c>
      <c r="AV151" s="72">
        <f t="shared" si="172"/>
        <v>0</v>
      </c>
      <c r="AW151" s="72">
        <f t="shared" si="173"/>
        <v>0</v>
      </c>
      <c r="AX151" s="72">
        <f t="shared" si="174"/>
        <v>0</v>
      </c>
      <c r="AY151" s="72">
        <f t="shared" si="175"/>
        <v>0</v>
      </c>
      <c r="AZ151" s="72">
        <f t="shared" si="176"/>
        <v>0</v>
      </c>
      <c r="BA151" s="72" t="e">
        <f t="shared" si="177"/>
        <v>#N/A</v>
      </c>
      <c r="BB151" s="72" t="e">
        <f t="shared" si="178"/>
        <v>#N/A</v>
      </c>
      <c r="BC151" s="77"/>
      <c r="BE151">
        <f t="shared" si="158"/>
        <v>0</v>
      </c>
      <c r="BF151" s="196"/>
      <c r="BG151" s="196"/>
      <c r="BH151" s="196"/>
      <c r="BI151" s="196"/>
      <c r="BJ151" s="196"/>
      <c r="BK151" s="196"/>
    </row>
    <row r="152" spans="2:63" hidden="1">
      <c r="B152" s="72"/>
      <c r="C152" s="135"/>
      <c r="D152" s="78"/>
      <c r="E152" s="73"/>
      <c r="F152" s="72"/>
      <c r="G152" s="72"/>
      <c r="H152" s="72"/>
      <c r="I152" s="73">
        <f t="shared" si="160"/>
        <v>0</v>
      </c>
      <c r="J152" s="78"/>
      <c r="K152" s="73"/>
      <c r="L152" s="74" t="e">
        <f>_xlfn.IFNA(VLOOKUP(C152,'חד גזעי'!$U$3:$V$509,2,0),VLOOKUP(C152,'חד גזעי'!$U$3:$V$509,2))</f>
        <v>#N/A</v>
      </c>
      <c r="M152" s="73"/>
      <c r="N152" s="72" t="e">
        <f>_xlfn.IFNA(IF(VLOOKUP(C152,'חד גזעי'!$AH$2:$AH$7,1,FALSE)&gt;0,0,IF('חד גזעי'!$AM$5="כן",IF(_xlfn.IFNA(VLOOKUP(C152,'חד גזעי'!$AH$2:$AH$33,1,FALSE),SUM(J152:M152))&lt;21,_xlfn.IFNA(VLOOKUP(C152,'חד גזעי'!$AH$2:$AH$33,1,FALSE),SUM(J152:M152)),0),SUM(J152:M152))),IF('חד גזעי'!$AM$5="כן",IF(_xlfn.IFNA(VLOOKUP(C152,'חד גזעי'!$AH$2:$AH$33,1,FALSE),SUM(J152:M152))&lt;21,_xlfn.IFNA(VLOOKUP(C152,'חד גזעי'!$AH$2:$AH$33,1,FALSE),SUM(J152:M152)),0),SUM(J152:M152)))</f>
        <v>#N/A</v>
      </c>
      <c r="O152" s="72">
        <f>IF('חד גזעי'!$AM$3 = "כן",IF(T152&gt;4,4,T152),T152)</f>
        <v>0</v>
      </c>
      <c r="P152" s="80">
        <f>IF(E152&lt;2,0,IF(Z152&gt;0,Z152,IF(N152 = 0,0,IF('חד גזעי'!$AM$2 = "לא",IF(F152&gt;19,W152,0),IF(F152&gt;9,Y152,0)))))</f>
        <v>0</v>
      </c>
      <c r="Q152" s="77"/>
      <c r="R152" s="75"/>
      <c r="S152" t="e">
        <f>VLOOKUP(C152,'חד גזעי'!$Y$4:$Y$18,1,0)</f>
        <v>#N/A</v>
      </c>
      <c r="T152" s="72">
        <f>IF('חד גזעי'!$AM$6="לא",IF(P152=0,IF(BC152="שימור",IF('חד גזעי'!$AM$4="לא",IF(BC152="לא בוגר",0,IF(BC152="לא קיים",0,IF(J152=0,0,I152*0.1))),IF(BC152="לא בוגר",0,IF(BC152="לא קיים",0,IF(AB152=1,I152*0.1,E152*0.5)))),0),IF('חד גזעי'!$AM$4="לא",IF(BC152="לא בוגר",0,IF(BC152="לא קיים",0,IF(J152=0,0,I152*0.1))),IF(BC152="לא בוגר",0,IF(BC152="לא קיים",0,IF(AB152=1,I152*0.1,E152*0.5))))),IF(P152=0,IF(BC152="שימור",IF('חד גזעי'!$AM$4="לא",IF(BC152="לא בוגר",0,IF(BC152="לא קיים",0,IF(J152=0,0,I152*0.15))),IF(BC152="לא בוגר",0,IF(BC152="לא קיים",0,IF(AB152=1,I152*0.15,E152*0.5)))),0),IF('חד גזעי'!$AM$4="לא",IF(BC152="לא בוגר",0,IF(BC152="לא קיים",0,IF(J152=0,0,I152*0.15))),IF(BC152="לא בוגר",0,IF(BC152="לא קיים",0,IF(AB152=1,I152*0.15,E152*0.5))))))</f>
        <v>0</v>
      </c>
      <c r="V152" t="e">
        <f t="shared" si="150"/>
        <v>#N/A</v>
      </c>
      <c r="W152" t="e">
        <f t="shared" si="151"/>
        <v>#N/A</v>
      </c>
      <c r="X152" t="e">
        <f t="shared" si="152"/>
        <v>#N/A</v>
      </c>
      <c r="Y152">
        <f>IF('חד גזעי'!$AM$2 = "לא",0,IF(F152&gt;9,W152,0))</f>
        <v>0</v>
      </c>
      <c r="Z152">
        <f>IF('חד גזעי'!$AM$7 = "לא",0,IF(C152 = "זית אירופי",IF('חד גזעי'!$AN$7 &lt;=סקר!F152,W152,0),IF(C152 = "חרוב מצוי",IF('חד גזעי'!$AN$7 &lt;=סקר!F152,W152,0),0)))</f>
        <v>0</v>
      </c>
      <c r="AB152">
        <f t="shared" si="161"/>
        <v>1</v>
      </c>
      <c r="AC152" s="72"/>
      <c r="AD152" t="e">
        <f t="shared" si="179"/>
        <v>#N/A</v>
      </c>
      <c r="AE152" s="72"/>
      <c r="AF152" s="72" t="e">
        <f t="shared" si="162"/>
        <v>#N/A</v>
      </c>
      <c r="AG152" s="72" t="e">
        <f>IF('חד גזעי'!$AM$5="לא",(VLOOKUP(C152,'חד גזעי'!$P$1:$S$589,3,FALSE)),(VLOOKUP(C152,'חד גזעי'!$P$1:$S$589,4,FALSE)))</f>
        <v>#N/A</v>
      </c>
      <c r="AH152" s="72">
        <f t="shared" si="163"/>
        <v>0</v>
      </c>
      <c r="AI152" s="72">
        <f t="shared" si="164"/>
        <v>0</v>
      </c>
      <c r="AJ152" s="72">
        <f t="shared" si="165"/>
        <v>0</v>
      </c>
      <c r="AK152" s="72" t="e">
        <f t="shared" si="166"/>
        <v>#N/A</v>
      </c>
      <c r="AL152" t="e">
        <f>VLOOKUP(C152,'חד גזעי'!$AH$8:$AI$33,2,FALSE)</f>
        <v>#N/A</v>
      </c>
      <c r="AM152" s="72" t="b">
        <f t="shared" si="167"/>
        <v>0</v>
      </c>
      <c r="AN152" s="72" t="b">
        <f t="shared" si="168"/>
        <v>0</v>
      </c>
      <c r="AO152" s="72" t="b">
        <f t="shared" si="169"/>
        <v>0</v>
      </c>
      <c r="AS152" s="72">
        <f t="shared" si="170"/>
        <v>0</v>
      </c>
      <c r="AT152" s="72">
        <f t="shared" si="171"/>
        <v>0</v>
      </c>
      <c r="AU152" s="72">
        <f t="shared" si="180"/>
        <v>0</v>
      </c>
      <c r="AV152" s="72">
        <f t="shared" si="172"/>
        <v>0</v>
      </c>
      <c r="AW152" s="72">
        <f t="shared" si="173"/>
        <v>0</v>
      </c>
      <c r="AX152" s="72">
        <f t="shared" si="174"/>
        <v>0</v>
      </c>
      <c r="AY152" s="72">
        <f t="shared" si="175"/>
        <v>0</v>
      </c>
      <c r="AZ152" s="72">
        <f t="shared" si="176"/>
        <v>0</v>
      </c>
      <c r="BA152" s="72" t="e">
        <f t="shared" si="177"/>
        <v>#N/A</v>
      </c>
      <c r="BB152" s="72" t="e">
        <f t="shared" si="178"/>
        <v>#N/A</v>
      </c>
      <c r="BC152" s="77"/>
      <c r="BE152">
        <f t="shared" si="158"/>
        <v>0</v>
      </c>
      <c r="BF152" s="196"/>
      <c r="BG152" s="196"/>
      <c r="BH152" s="196"/>
      <c r="BI152" s="196"/>
      <c r="BJ152" s="196"/>
      <c r="BK152" s="196"/>
    </row>
    <row r="153" spans="2:63" hidden="1">
      <c r="B153" s="72"/>
      <c r="C153" s="135"/>
      <c r="D153" s="78"/>
      <c r="E153" s="73"/>
      <c r="F153" s="72"/>
      <c r="G153" s="72"/>
      <c r="H153" s="72"/>
      <c r="I153" s="73">
        <f t="shared" si="160"/>
        <v>0</v>
      </c>
      <c r="J153" s="78"/>
      <c r="K153" s="73"/>
      <c r="L153" s="74" t="e">
        <f>_xlfn.IFNA(VLOOKUP(C153,'חד גזעי'!$U$3:$V$509,2,0),VLOOKUP(C153,'חד גזעי'!$U$3:$V$509,2))</f>
        <v>#N/A</v>
      </c>
      <c r="M153" s="73"/>
      <c r="N153" s="72" t="e">
        <f>_xlfn.IFNA(IF(VLOOKUP(C153,'חד גזעי'!$AH$2:$AH$7,1,FALSE)&gt;0,0,IF('חד גזעי'!$AM$5="כן",IF(_xlfn.IFNA(VLOOKUP(C153,'חד גזעי'!$AH$2:$AH$33,1,FALSE),SUM(J153:M153))&lt;21,_xlfn.IFNA(VLOOKUP(C153,'חד גזעי'!$AH$2:$AH$33,1,FALSE),SUM(J153:M153)),0),SUM(J153:M153))),IF('חד גזעי'!$AM$5="כן",IF(_xlfn.IFNA(VLOOKUP(C153,'חד גזעי'!$AH$2:$AH$33,1,FALSE),SUM(J153:M153))&lt;21,_xlfn.IFNA(VLOOKUP(C153,'חד גזעי'!$AH$2:$AH$33,1,FALSE),SUM(J153:M153)),0),SUM(J153:M153)))</f>
        <v>#N/A</v>
      </c>
      <c r="O153" s="72">
        <f>IF('חד גזעי'!$AM$3 = "כן",IF(T153&gt;4,4,T153),T153)</f>
        <v>0</v>
      </c>
      <c r="P153" s="80">
        <f>IF(E153&lt;2,0,IF(Z153&gt;0,Z153,IF(N153 = 0,0,IF('חד גזעי'!$AM$2 = "לא",IF(F153&gt;19,W153,0),IF(F153&gt;9,Y153,0)))))</f>
        <v>0</v>
      </c>
      <c r="Q153" s="77"/>
      <c r="R153" s="75"/>
      <c r="S153" t="e">
        <f>VLOOKUP(C153,'חד גזעי'!$Y$4:$Y$18,1,0)</f>
        <v>#N/A</v>
      </c>
      <c r="T153" s="72">
        <f>IF('חד גזעי'!$AM$6="לא",IF(P153=0,IF(BC153="שימור",IF('חד גזעי'!$AM$4="לא",IF(BC153="לא בוגר",0,IF(BC153="לא קיים",0,IF(J153=0,0,I153*0.1))),IF(BC153="לא בוגר",0,IF(BC153="לא קיים",0,IF(AB153=1,I153*0.1,E153*0.5)))),0),IF('חד גזעי'!$AM$4="לא",IF(BC153="לא בוגר",0,IF(BC153="לא קיים",0,IF(J153=0,0,I153*0.1))),IF(BC153="לא בוגר",0,IF(BC153="לא קיים",0,IF(AB153=1,I153*0.1,E153*0.5))))),IF(P153=0,IF(BC153="שימור",IF('חד גזעי'!$AM$4="לא",IF(BC153="לא בוגר",0,IF(BC153="לא קיים",0,IF(J153=0,0,I153*0.15))),IF(BC153="לא בוגר",0,IF(BC153="לא קיים",0,IF(AB153=1,I153*0.15,E153*0.5)))),0),IF('חד גזעי'!$AM$4="לא",IF(BC153="לא בוגר",0,IF(BC153="לא קיים",0,IF(J153=0,0,I153*0.15))),IF(BC153="לא בוגר",0,IF(BC153="לא קיים",0,IF(AB153=1,I153*0.15,E153*0.5))))))</f>
        <v>0</v>
      </c>
      <c r="V153" t="e">
        <f t="shared" si="150"/>
        <v>#N/A</v>
      </c>
      <c r="W153" t="e">
        <f t="shared" si="151"/>
        <v>#N/A</v>
      </c>
      <c r="X153" t="e">
        <f t="shared" si="152"/>
        <v>#N/A</v>
      </c>
      <c r="Y153">
        <f>IF('חד גזעי'!$AM$2 = "לא",0,IF(F153&gt;9,W153,0))</f>
        <v>0</v>
      </c>
      <c r="Z153">
        <f>IF('חד גזעי'!$AM$7 = "לא",0,IF(C153 = "זית אירופי",IF('חד גזעי'!$AN$7 &lt;=סקר!F153,W153,0),IF(C153 = "חרוב מצוי",IF('חד גזעי'!$AN$7 &lt;=סקר!F153,W153,0),0)))</f>
        <v>0</v>
      </c>
      <c r="AB153">
        <f t="shared" si="161"/>
        <v>1</v>
      </c>
      <c r="AC153" s="72"/>
      <c r="AD153" t="e">
        <f t="shared" si="179"/>
        <v>#N/A</v>
      </c>
      <c r="AE153" s="72"/>
      <c r="AF153" s="72" t="e">
        <f t="shared" si="162"/>
        <v>#N/A</v>
      </c>
      <c r="AG153" s="72" t="e">
        <f>IF('חד גזעי'!$AM$5="לא",(VLOOKUP(C153,'חד גזעי'!$P$1:$S$589,3,FALSE)),(VLOOKUP(C153,'חד גזעי'!$P$1:$S$589,4,FALSE)))</f>
        <v>#N/A</v>
      </c>
      <c r="AH153" s="72">
        <f t="shared" si="163"/>
        <v>0</v>
      </c>
      <c r="AI153" s="72">
        <f t="shared" si="164"/>
        <v>0</v>
      </c>
      <c r="AJ153" s="72">
        <f t="shared" si="165"/>
        <v>0</v>
      </c>
      <c r="AK153" s="72" t="e">
        <f t="shared" si="166"/>
        <v>#N/A</v>
      </c>
      <c r="AL153" t="e">
        <f>VLOOKUP(C153,'חד גזעי'!$AH$8:$AI$33,2,FALSE)</f>
        <v>#N/A</v>
      </c>
      <c r="AM153" s="72" t="b">
        <f t="shared" si="167"/>
        <v>0</v>
      </c>
      <c r="AN153" s="72" t="b">
        <f t="shared" si="168"/>
        <v>0</v>
      </c>
      <c r="AO153" s="72" t="b">
        <f t="shared" si="169"/>
        <v>0</v>
      </c>
      <c r="AS153" s="72">
        <f t="shared" si="170"/>
        <v>0</v>
      </c>
      <c r="AT153" s="72">
        <f t="shared" si="171"/>
        <v>0</v>
      </c>
      <c r="AU153" s="72">
        <f t="shared" si="180"/>
        <v>0</v>
      </c>
      <c r="AV153" s="72">
        <f t="shared" si="172"/>
        <v>0</v>
      </c>
      <c r="AW153" s="72">
        <f t="shared" si="173"/>
        <v>0</v>
      </c>
      <c r="AX153" s="72">
        <f t="shared" si="174"/>
        <v>0</v>
      </c>
      <c r="AY153" s="72">
        <f t="shared" si="175"/>
        <v>0</v>
      </c>
      <c r="AZ153" s="72">
        <f t="shared" si="176"/>
        <v>0</v>
      </c>
      <c r="BA153" s="72" t="e">
        <f t="shared" si="177"/>
        <v>#N/A</v>
      </c>
      <c r="BB153" s="72" t="e">
        <f t="shared" si="178"/>
        <v>#N/A</v>
      </c>
      <c r="BC153" s="77"/>
      <c r="BE153">
        <f t="shared" si="158"/>
        <v>0</v>
      </c>
      <c r="BF153" s="196"/>
      <c r="BG153" s="196"/>
      <c r="BH153" s="196"/>
      <c r="BI153" s="196"/>
      <c r="BJ153" s="196"/>
      <c r="BK153" s="196"/>
    </row>
    <row r="154" spans="2:63" hidden="1">
      <c r="B154" s="72"/>
      <c r="C154" s="135"/>
      <c r="D154" s="78"/>
      <c r="E154" s="78"/>
      <c r="F154" s="72"/>
      <c r="G154" s="72"/>
      <c r="H154" s="72"/>
      <c r="I154" s="73">
        <f t="shared" si="160"/>
        <v>0</v>
      </c>
      <c r="J154" s="78"/>
      <c r="K154" s="73"/>
      <c r="L154" s="74" t="e">
        <f>_xlfn.IFNA(VLOOKUP(C154,'חד גזעי'!$U$3:$V$509,2,0),VLOOKUP(C154,'חד גזעי'!$U$3:$V$509,2))</f>
        <v>#N/A</v>
      </c>
      <c r="M154" s="73"/>
      <c r="N154" s="72" t="e">
        <f>_xlfn.IFNA(IF(VLOOKUP(C154,'חד גזעי'!$AH$2:$AH$7,1,FALSE)&gt;0,0,IF('חד גזעי'!$AM$5="כן",IF(_xlfn.IFNA(VLOOKUP(C154,'חד גזעי'!$AH$2:$AH$33,1,FALSE),SUM(J154:M154))&lt;21,_xlfn.IFNA(VLOOKUP(C154,'חד גזעי'!$AH$2:$AH$33,1,FALSE),SUM(J154:M154)),0),SUM(J154:M154))),IF('חד גזעי'!$AM$5="כן",IF(_xlfn.IFNA(VLOOKUP(C154,'חד גזעי'!$AH$2:$AH$33,1,FALSE),SUM(J154:M154))&lt;21,_xlfn.IFNA(VLOOKUP(C154,'חד גזעי'!$AH$2:$AH$33,1,FALSE),SUM(J154:M154)),0),SUM(J154:M154)))</f>
        <v>#N/A</v>
      </c>
      <c r="O154" s="72">
        <f>IF('חד גזעי'!$AM$3 = "כן",IF(T154&gt;4,4,T154),T154)</f>
        <v>0</v>
      </c>
      <c r="P154" s="80">
        <f>IF(E154&lt;2,0,IF(Z154&gt;0,Z154,IF(N154 = 0,0,IF('חד גזעי'!$AM$2 = "לא",IF(F154&gt;19,W154,0),IF(F154&gt;9,Y154,0)))))</f>
        <v>0</v>
      </c>
      <c r="Q154" s="77"/>
      <c r="R154" s="75"/>
      <c r="S154" t="e">
        <f>VLOOKUP(C154,'חד גזעי'!$Y$4:$Y$18,1,0)</f>
        <v>#N/A</v>
      </c>
      <c r="T154" s="72">
        <f>IF('חד גזעי'!$AM$6="לא",IF(P154=0,IF(BC154="שימור",IF('חד גזעי'!$AM$4="לא",IF(BC154="לא בוגר",0,IF(BC154="לא קיים",0,IF(J154=0,0,I154*0.1))),IF(BC154="לא בוגר",0,IF(BC154="לא קיים",0,IF(AB154=1,I154*0.1,E154*0.5)))),0),IF('חד גזעי'!$AM$4="לא",IF(BC154="לא בוגר",0,IF(BC154="לא קיים",0,IF(J154=0,0,I154*0.1))),IF(BC154="לא בוגר",0,IF(BC154="לא קיים",0,IF(AB154=1,I154*0.1,E154*0.5))))),IF(P154=0,IF(BC154="שימור",IF('חד גזעי'!$AM$4="לא",IF(BC154="לא בוגר",0,IF(BC154="לא קיים",0,IF(J154=0,0,I154*0.15))),IF(BC154="לא בוגר",0,IF(BC154="לא קיים",0,IF(AB154=1,I154*0.15,E154*0.5)))),0),IF('חד גזעי'!$AM$4="לא",IF(BC154="לא בוגר",0,IF(BC154="לא קיים",0,IF(J154=0,0,I154*0.15))),IF(BC154="לא בוגר",0,IF(BC154="לא קיים",0,IF(AB154=1,I154*0.15,E154*0.5))))))</f>
        <v>0</v>
      </c>
      <c r="V154" t="e">
        <f t="shared" si="150"/>
        <v>#N/A</v>
      </c>
      <c r="W154" t="e">
        <f t="shared" si="151"/>
        <v>#N/A</v>
      </c>
      <c r="X154" t="e">
        <f t="shared" si="152"/>
        <v>#N/A</v>
      </c>
      <c r="Y154">
        <f>IF('חד גזעי'!$AM$2 = "לא",0,IF(F154&gt;9,W154,0))</f>
        <v>0</v>
      </c>
      <c r="Z154">
        <f>IF('חד גזעי'!$AM$7 = "לא",0,IF(C154 = "זית אירופי",IF('חד גזעי'!$AN$7 &lt;=סקר!F154,W154,0),IF(C154 = "חרוב מצוי",IF('חד גזעי'!$AN$7 &lt;=סקר!F154,W154,0),0)))</f>
        <v>0</v>
      </c>
      <c r="AB154">
        <f t="shared" si="161"/>
        <v>1</v>
      </c>
      <c r="AC154" s="72"/>
      <c r="AD154" t="e">
        <f t="shared" si="179"/>
        <v>#N/A</v>
      </c>
      <c r="AE154" s="72"/>
      <c r="AF154" s="72" t="e">
        <f t="shared" si="162"/>
        <v>#N/A</v>
      </c>
      <c r="AG154" s="72" t="e">
        <f>IF('חד גזעי'!$AM$5="לא",(VLOOKUP(C154,'חד גזעי'!$P$1:$S$589,3,FALSE)),(VLOOKUP(C154,'חד גזעי'!$P$1:$S$589,4,FALSE)))</f>
        <v>#N/A</v>
      </c>
      <c r="AH154" s="72">
        <f t="shared" si="163"/>
        <v>0</v>
      </c>
      <c r="AI154" s="72">
        <f t="shared" si="164"/>
        <v>0</v>
      </c>
      <c r="AJ154" s="72">
        <f t="shared" si="165"/>
        <v>0</v>
      </c>
      <c r="AK154" s="72" t="e">
        <f t="shared" si="166"/>
        <v>#N/A</v>
      </c>
      <c r="AL154" t="e">
        <f>VLOOKUP(C154,'חד גזעי'!$AH$8:$AI$33,2,FALSE)</f>
        <v>#N/A</v>
      </c>
      <c r="AM154" s="72" t="b">
        <f t="shared" si="167"/>
        <v>0</v>
      </c>
      <c r="AN154" s="72" t="b">
        <f t="shared" si="168"/>
        <v>0</v>
      </c>
      <c r="AO154" s="72" t="b">
        <f t="shared" si="169"/>
        <v>0</v>
      </c>
      <c r="AS154" s="72">
        <f t="shared" si="170"/>
        <v>0</v>
      </c>
      <c r="AT154" s="72">
        <f t="shared" si="171"/>
        <v>0</v>
      </c>
      <c r="AU154" s="72">
        <f t="shared" si="180"/>
        <v>0</v>
      </c>
      <c r="AV154" s="72">
        <f t="shared" si="172"/>
        <v>0</v>
      </c>
      <c r="AW154" s="72">
        <f t="shared" si="173"/>
        <v>0</v>
      </c>
      <c r="AX154" s="72">
        <f t="shared" si="174"/>
        <v>0</v>
      </c>
      <c r="AY154" s="72">
        <f t="shared" si="175"/>
        <v>0</v>
      </c>
      <c r="AZ154" s="72">
        <f t="shared" si="176"/>
        <v>0</v>
      </c>
      <c r="BA154" s="72" t="e">
        <f t="shared" si="177"/>
        <v>#N/A</v>
      </c>
      <c r="BB154" s="72" t="e">
        <f t="shared" si="178"/>
        <v>#N/A</v>
      </c>
      <c r="BC154" s="77"/>
      <c r="BE154">
        <f t="shared" si="158"/>
        <v>0</v>
      </c>
      <c r="BF154" s="196"/>
      <c r="BG154" s="196"/>
      <c r="BH154" s="196"/>
      <c r="BI154" s="196"/>
      <c r="BJ154" s="196"/>
      <c r="BK154" s="196"/>
    </row>
    <row r="155" spans="2:63" hidden="1">
      <c r="B155" s="72"/>
      <c r="C155" s="135"/>
      <c r="D155" s="78"/>
      <c r="E155" s="78"/>
      <c r="F155" s="72"/>
      <c r="G155" s="72"/>
      <c r="H155" s="72"/>
      <c r="I155" s="73">
        <f t="shared" si="160"/>
        <v>0</v>
      </c>
      <c r="J155" s="78"/>
      <c r="K155" s="73"/>
      <c r="L155" s="74" t="e">
        <f>_xlfn.IFNA(VLOOKUP(C155,'חד גזעי'!$U$3:$V$509,2,0),VLOOKUP(C155,'חד גזעי'!$U$3:$V$509,2))</f>
        <v>#N/A</v>
      </c>
      <c r="M155" s="73"/>
      <c r="N155" s="72" t="e">
        <f>_xlfn.IFNA(IF(VLOOKUP(C155,'חד גזעי'!$AH$2:$AH$7,1,FALSE)&gt;0,0,IF('חד גזעי'!$AM$5="כן",IF(_xlfn.IFNA(VLOOKUP(C155,'חד גזעי'!$AH$2:$AH$33,1,FALSE),SUM(J155:M155))&lt;21,_xlfn.IFNA(VLOOKUP(C155,'חד גזעי'!$AH$2:$AH$33,1,FALSE),SUM(J155:M155)),0),SUM(J155:M155))),IF('חד גזעי'!$AM$5="כן",IF(_xlfn.IFNA(VLOOKUP(C155,'חד גזעי'!$AH$2:$AH$33,1,FALSE),SUM(J155:M155))&lt;21,_xlfn.IFNA(VLOOKUP(C155,'חד גזעי'!$AH$2:$AH$33,1,FALSE),SUM(J155:M155)),0),SUM(J155:M155)))</f>
        <v>#N/A</v>
      </c>
      <c r="O155" s="72">
        <f>IF('חד גזעי'!$AM$3 = "כן",IF(T155&gt;4,4,T155),T155)</f>
        <v>0</v>
      </c>
      <c r="P155" s="80">
        <f>IF(E155&lt;2,0,IF(Z155&gt;0,Z155,IF(N155 = 0,0,IF('חד גזעי'!$AM$2 = "לא",IF(F155&gt;19,W155,0),IF(F155&gt;9,Y155,0)))))</f>
        <v>0</v>
      </c>
      <c r="Q155" s="77"/>
      <c r="R155" s="75"/>
      <c r="S155" t="e">
        <f>VLOOKUP(C155,'חד גזעי'!$Y$4:$Y$18,1,0)</f>
        <v>#N/A</v>
      </c>
      <c r="T155" s="72">
        <f>IF('חד גזעי'!$AM$6="לא",IF(P155=0,IF(BC155="שימור",IF('חד גזעי'!$AM$4="לא",IF(BC155="לא בוגר",0,IF(BC155="לא קיים",0,IF(J155=0,0,I155*0.1))),IF(BC155="לא בוגר",0,IF(BC155="לא קיים",0,IF(AB155=1,I155*0.1,E155*0.5)))),0),IF('חד גזעי'!$AM$4="לא",IF(BC155="לא בוגר",0,IF(BC155="לא קיים",0,IF(J155=0,0,I155*0.1))),IF(BC155="לא בוגר",0,IF(BC155="לא קיים",0,IF(AB155=1,I155*0.1,E155*0.5))))),IF(P155=0,IF(BC155="שימור",IF('חד גזעי'!$AM$4="לא",IF(BC155="לא בוגר",0,IF(BC155="לא קיים",0,IF(J155=0,0,I155*0.15))),IF(BC155="לא בוגר",0,IF(BC155="לא קיים",0,IF(AB155=1,I155*0.15,E155*0.5)))),0),IF('חד גזעי'!$AM$4="לא",IF(BC155="לא בוגר",0,IF(BC155="לא קיים",0,IF(J155=0,0,I155*0.15))),IF(BC155="לא בוגר",0,IF(BC155="לא קיים",0,IF(AB155=1,I155*0.15,E155*0.5))))))</f>
        <v>0</v>
      </c>
      <c r="V155" t="e">
        <f t="shared" si="150"/>
        <v>#N/A</v>
      </c>
      <c r="W155" t="e">
        <f t="shared" si="151"/>
        <v>#N/A</v>
      </c>
      <c r="X155" t="e">
        <f t="shared" si="152"/>
        <v>#N/A</v>
      </c>
      <c r="Y155">
        <f>IF('חד גזעי'!$AM$2 = "לא",0,IF(F155&gt;9,W155,0))</f>
        <v>0</v>
      </c>
      <c r="Z155">
        <f>IF('חד גזעי'!$AM$7 = "לא",0,IF(C155 = "זית אירופי",IF('חד גזעי'!$AN$7 &lt;=סקר!F155,W155,0),IF(C155 = "חרוב מצוי",IF('חד גזעי'!$AN$7 &lt;=סקר!F155,W155,0),0)))</f>
        <v>0</v>
      </c>
      <c r="AB155">
        <f t="shared" si="161"/>
        <v>1</v>
      </c>
      <c r="AC155" s="72"/>
      <c r="AD155" t="e">
        <f t="shared" si="179"/>
        <v>#N/A</v>
      </c>
      <c r="AE155" s="72"/>
      <c r="AF155" s="72" t="e">
        <f t="shared" si="162"/>
        <v>#N/A</v>
      </c>
      <c r="AG155" s="72" t="e">
        <f>IF('חד גזעי'!$AM$5="לא",(VLOOKUP(C155,'חד גזעי'!$P$1:$S$589,3,FALSE)),(VLOOKUP(C155,'חד גזעי'!$P$1:$S$589,4,FALSE)))</f>
        <v>#N/A</v>
      </c>
      <c r="AH155" s="72">
        <f t="shared" si="163"/>
        <v>0</v>
      </c>
      <c r="AI155" s="72">
        <f t="shared" si="164"/>
        <v>0</v>
      </c>
      <c r="AJ155" s="72">
        <f t="shared" si="165"/>
        <v>0</v>
      </c>
      <c r="AK155" s="72" t="e">
        <f t="shared" si="166"/>
        <v>#N/A</v>
      </c>
      <c r="AL155" t="e">
        <f>VLOOKUP(C155,'חד גזעי'!$AH$8:$AI$33,2,FALSE)</f>
        <v>#N/A</v>
      </c>
      <c r="AM155" s="72" t="b">
        <f t="shared" si="167"/>
        <v>0</v>
      </c>
      <c r="AN155" s="72" t="b">
        <f t="shared" si="168"/>
        <v>0</v>
      </c>
      <c r="AO155" s="72" t="b">
        <f t="shared" si="169"/>
        <v>0</v>
      </c>
      <c r="AS155" s="72">
        <f t="shared" si="170"/>
        <v>0</v>
      </c>
      <c r="AT155" s="72">
        <f t="shared" si="171"/>
        <v>0</v>
      </c>
      <c r="AU155" s="72">
        <f t="shared" si="180"/>
        <v>0</v>
      </c>
      <c r="AV155" s="72">
        <f t="shared" si="172"/>
        <v>0</v>
      </c>
      <c r="AW155" s="72">
        <f t="shared" si="173"/>
        <v>0</v>
      </c>
      <c r="AX155" s="72">
        <f t="shared" si="174"/>
        <v>0</v>
      </c>
      <c r="AY155" s="72">
        <f t="shared" si="175"/>
        <v>0</v>
      </c>
      <c r="AZ155" s="72">
        <f t="shared" si="176"/>
        <v>0</v>
      </c>
      <c r="BA155" s="72" t="e">
        <f t="shared" si="177"/>
        <v>#N/A</v>
      </c>
      <c r="BB155" s="72" t="e">
        <f t="shared" si="178"/>
        <v>#N/A</v>
      </c>
      <c r="BC155" s="77"/>
      <c r="BE155">
        <f t="shared" si="158"/>
        <v>0</v>
      </c>
      <c r="BF155" s="196"/>
      <c r="BG155" s="196"/>
      <c r="BH155" s="196"/>
      <c r="BI155" s="196"/>
      <c r="BJ155" s="196"/>
      <c r="BK155" s="196"/>
    </row>
    <row r="156" spans="2:63" hidden="1">
      <c r="B156" s="72"/>
      <c r="C156" s="135"/>
      <c r="D156" s="78"/>
      <c r="E156" s="78"/>
      <c r="F156" s="72"/>
      <c r="G156" s="72"/>
      <c r="H156" s="72"/>
      <c r="I156" s="73">
        <f t="shared" si="160"/>
        <v>0</v>
      </c>
      <c r="J156" s="78"/>
      <c r="K156" s="73"/>
      <c r="L156" s="74" t="e">
        <f>_xlfn.IFNA(VLOOKUP(C156,'חד גזעי'!$U$3:$V$509,2,0),VLOOKUP(C156,'חד גזעי'!$U$3:$V$509,2))</f>
        <v>#N/A</v>
      </c>
      <c r="M156" s="73"/>
      <c r="N156" s="72" t="e">
        <f>_xlfn.IFNA(IF(VLOOKUP(C156,'חד גזעי'!$AH$2:$AH$7,1,FALSE)&gt;0,0,IF('חד גזעי'!$AM$5="כן",IF(_xlfn.IFNA(VLOOKUP(C156,'חד גזעי'!$AH$2:$AH$33,1,FALSE),SUM(J156:M156))&lt;21,_xlfn.IFNA(VLOOKUP(C156,'חד גזעי'!$AH$2:$AH$33,1,FALSE),SUM(J156:M156)),0),SUM(J156:M156))),IF('חד גזעי'!$AM$5="כן",IF(_xlfn.IFNA(VLOOKUP(C156,'חד גזעי'!$AH$2:$AH$33,1,FALSE),SUM(J156:M156))&lt;21,_xlfn.IFNA(VLOOKUP(C156,'חד גזעי'!$AH$2:$AH$33,1,FALSE),SUM(J156:M156)),0),SUM(J156:M156)))</f>
        <v>#N/A</v>
      </c>
      <c r="O156" s="72">
        <f>IF('חד גזעי'!$AM$3 = "כן",IF(T156&gt;4,4,T156),T156)</f>
        <v>0</v>
      </c>
      <c r="P156" s="80">
        <f>IF(E156&lt;2,0,IF(Z156&gt;0,Z156,IF(N156 = 0,0,IF('חד גזעי'!$AM$2 = "לא",IF(F156&gt;19,W156,0),IF(F156&gt;9,Y156,0)))))</f>
        <v>0</v>
      </c>
      <c r="Q156" s="77"/>
      <c r="R156" s="75"/>
      <c r="S156" t="e">
        <f>VLOOKUP(C156,'חד גזעי'!$Y$4:$Y$18,1,0)</f>
        <v>#N/A</v>
      </c>
      <c r="T156" s="72">
        <f>IF('חד גזעי'!$AM$6="לא",IF(P156=0,IF(BC156="שימור",IF('חד גזעי'!$AM$4="לא",IF(BC156="לא בוגר",0,IF(BC156="לא קיים",0,IF(J156=0,0,I156*0.1))),IF(BC156="לא בוגר",0,IF(BC156="לא קיים",0,IF(AB156=1,I156*0.1,E156*0.5)))),0),IF('חד גזעי'!$AM$4="לא",IF(BC156="לא בוגר",0,IF(BC156="לא קיים",0,IF(J156=0,0,I156*0.1))),IF(BC156="לא בוגר",0,IF(BC156="לא קיים",0,IF(AB156=1,I156*0.1,E156*0.5))))),IF(P156=0,IF(BC156="שימור",IF('חד גזעי'!$AM$4="לא",IF(BC156="לא בוגר",0,IF(BC156="לא קיים",0,IF(J156=0,0,I156*0.15))),IF(BC156="לא בוגר",0,IF(BC156="לא קיים",0,IF(AB156=1,I156*0.15,E156*0.5)))),0),IF('חד גזעי'!$AM$4="לא",IF(BC156="לא בוגר",0,IF(BC156="לא קיים",0,IF(J156=0,0,I156*0.15))),IF(BC156="לא בוגר",0,IF(BC156="לא קיים",0,IF(AB156=1,I156*0.15,E156*0.5))))))</f>
        <v>0</v>
      </c>
      <c r="V156" t="e">
        <f t="shared" si="150"/>
        <v>#N/A</v>
      </c>
      <c r="W156" t="e">
        <f t="shared" si="151"/>
        <v>#N/A</v>
      </c>
      <c r="X156" t="e">
        <f t="shared" si="152"/>
        <v>#N/A</v>
      </c>
      <c r="Y156">
        <f>IF('חד גזעי'!$AM$2 = "לא",0,IF(F156&gt;9,W156,0))</f>
        <v>0</v>
      </c>
      <c r="Z156">
        <f>IF('חד גזעי'!$AM$7 = "לא",0,IF(C156 = "זית אירופי",IF('חד גזעי'!$AN$7 &lt;=סקר!F156,W156,0),IF(C156 = "חרוב מצוי",IF('חד גזעי'!$AN$7 &lt;=סקר!F156,W156,0),0)))</f>
        <v>0</v>
      </c>
      <c r="AB156">
        <f t="shared" si="161"/>
        <v>1</v>
      </c>
      <c r="AC156" s="72"/>
      <c r="AD156" t="e">
        <f t="shared" si="179"/>
        <v>#N/A</v>
      </c>
      <c r="AE156" s="72"/>
      <c r="AF156" s="72" t="e">
        <f t="shared" si="162"/>
        <v>#N/A</v>
      </c>
      <c r="AG156" s="72" t="e">
        <f>IF('חד גזעי'!$AM$5="לא",(VLOOKUP(C156,'חד גזעי'!$P$1:$S$589,3,FALSE)),(VLOOKUP(C156,'חד גזעי'!$P$1:$S$589,4,FALSE)))</f>
        <v>#N/A</v>
      </c>
      <c r="AH156" s="72">
        <f t="shared" si="163"/>
        <v>0</v>
      </c>
      <c r="AI156" s="72">
        <f t="shared" si="164"/>
        <v>0</v>
      </c>
      <c r="AJ156" s="72">
        <f t="shared" si="165"/>
        <v>0</v>
      </c>
      <c r="AK156" s="72" t="e">
        <f t="shared" si="166"/>
        <v>#N/A</v>
      </c>
      <c r="AL156" t="e">
        <f>VLOOKUP(C156,'חד גזעי'!$AH$8:$AI$33,2,FALSE)</f>
        <v>#N/A</v>
      </c>
      <c r="AM156" s="72" t="b">
        <f t="shared" si="167"/>
        <v>0</v>
      </c>
      <c r="AN156" s="72" t="b">
        <f t="shared" si="168"/>
        <v>0</v>
      </c>
      <c r="AO156" s="72" t="b">
        <f t="shared" si="169"/>
        <v>0</v>
      </c>
      <c r="AS156" s="72">
        <f t="shared" si="170"/>
        <v>0</v>
      </c>
      <c r="AT156" s="72">
        <f t="shared" si="171"/>
        <v>0</v>
      </c>
      <c r="AU156" s="72">
        <f t="shared" si="180"/>
        <v>0</v>
      </c>
      <c r="AV156" s="72">
        <f t="shared" si="172"/>
        <v>0</v>
      </c>
      <c r="AW156" s="72">
        <f t="shared" si="173"/>
        <v>0</v>
      </c>
      <c r="AX156" s="72">
        <f t="shared" si="174"/>
        <v>0</v>
      </c>
      <c r="AY156" s="72">
        <f t="shared" si="175"/>
        <v>0</v>
      </c>
      <c r="AZ156" s="72">
        <f t="shared" si="176"/>
        <v>0</v>
      </c>
      <c r="BA156" s="72" t="e">
        <f t="shared" si="177"/>
        <v>#N/A</v>
      </c>
      <c r="BB156" s="72" t="e">
        <f t="shared" si="178"/>
        <v>#N/A</v>
      </c>
      <c r="BC156" s="77"/>
      <c r="BE156">
        <f t="shared" si="158"/>
        <v>0</v>
      </c>
      <c r="BF156" s="196"/>
      <c r="BG156" s="196"/>
      <c r="BH156" s="196"/>
      <c r="BI156" s="196"/>
      <c r="BJ156" s="196"/>
      <c r="BK156" s="196"/>
    </row>
    <row r="157" spans="2:63" hidden="1">
      <c r="B157" s="72"/>
      <c r="C157" s="135"/>
      <c r="D157" s="78"/>
      <c r="E157" s="78"/>
      <c r="F157" s="72"/>
      <c r="G157" s="72"/>
      <c r="H157" s="72"/>
      <c r="I157" s="73">
        <f t="shared" si="160"/>
        <v>0</v>
      </c>
      <c r="J157" s="78"/>
      <c r="K157" s="73"/>
      <c r="L157" s="74" t="e">
        <f>_xlfn.IFNA(VLOOKUP(C157,'חד גזעי'!$U$3:$V$509,2,0),VLOOKUP(C157,'חד גזעי'!$U$3:$V$509,2))</f>
        <v>#N/A</v>
      </c>
      <c r="M157" s="73"/>
      <c r="N157" s="72" t="e">
        <f>_xlfn.IFNA(IF(VLOOKUP(C157,'חד גזעי'!$AH$2:$AH$7,1,FALSE)&gt;0,0,IF('חד גזעי'!$AM$5="כן",IF(_xlfn.IFNA(VLOOKUP(C157,'חד גזעי'!$AH$2:$AH$33,1,FALSE),SUM(J157:M157))&lt;21,_xlfn.IFNA(VLOOKUP(C157,'חד גזעי'!$AH$2:$AH$33,1,FALSE),SUM(J157:M157)),0),SUM(J157:M157))),IF('חד גזעי'!$AM$5="כן",IF(_xlfn.IFNA(VLOOKUP(C157,'חד גזעי'!$AH$2:$AH$33,1,FALSE),SUM(J157:M157))&lt;21,_xlfn.IFNA(VLOOKUP(C157,'חד גזעי'!$AH$2:$AH$33,1,FALSE),SUM(J157:M157)),0),SUM(J157:M157)))</f>
        <v>#N/A</v>
      </c>
      <c r="O157" s="72">
        <f>IF('חד גזעי'!$AM$3 = "כן",IF(T157&gt;4,4,T157),T157)</f>
        <v>0</v>
      </c>
      <c r="P157" s="80">
        <f>IF(E157&lt;2,0,IF(Z157&gt;0,Z157,IF(N157 = 0,0,IF('חד גזעי'!$AM$2 = "לא",IF(F157&gt;19,W157,0),IF(F157&gt;9,Y157,0)))))</f>
        <v>0</v>
      </c>
      <c r="Q157" s="77"/>
      <c r="R157" s="75"/>
      <c r="S157" t="e">
        <f>VLOOKUP(C157,'חד גזעי'!$Y$4:$Y$18,1,0)</f>
        <v>#N/A</v>
      </c>
      <c r="T157" s="72">
        <f>IF('חד גזעי'!$AM$6="לא",IF(P157=0,IF(BC157="שימור",IF('חד גזעי'!$AM$4="לא",IF(BC157="לא בוגר",0,IF(BC157="לא קיים",0,IF(J157=0,0,I157*0.1))),IF(BC157="לא בוגר",0,IF(BC157="לא קיים",0,IF(AB157=1,I157*0.1,E157*0.5)))),0),IF('חד גזעי'!$AM$4="לא",IF(BC157="לא בוגר",0,IF(BC157="לא קיים",0,IF(J157=0,0,I157*0.1))),IF(BC157="לא בוגר",0,IF(BC157="לא קיים",0,IF(AB157=1,I157*0.1,E157*0.5))))),IF(P157=0,IF(BC157="שימור",IF('חד גזעי'!$AM$4="לא",IF(BC157="לא בוגר",0,IF(BC157="לא קיים",0,IF(J157=0,0,I157*0.15))),IF(BC157="לא בוגר",0,IF(BC157="לא קיים",0,IF(AB157=1,I157*0.15,E157*0.5)))),0),IF('חד גזעי'!$AM$4="לא",IF(BC157="לא בוגר",0,IF(BC157="לא קיים",0,IF(J157=0,0,I157*0.15))),IF(BC157="לא בוגר",0,IF(BC157="לא קיים",0,IF(AB157=1,I157*0.15,E157*0.5))))))</f>
        <v>0</v>
      </c>
      <c r="V157" t="e">
        <f t="shared" si="150"/>
        <v>#N/A</v>
      </c>
      <c r="W157" t="e">
        <f t="shared" si="151"/>
        <v>#N/A</v>
      </c>
      <c r="X157" t="e">
        <f t="shared" si="152"/>
        <v>#N/A</v>
      </c>
      <c r="Y157">
        <f>IF('חד גזעי'!$AM$2 = "לא",0,IF(F157&gt;9,W157,0))</f>
        <v>0</v>
      </c>
      <c r="Z157">
        <f>IF('חד גזעי'!$AM$7 = "לא",0,IF(C157 = "זית אירופי",IF('חד גזעי'!$AN$7 &lt;=סקר!F157,W157,0),IF(C157 = "חרוב מצוי",IF('חד גזעי'!$AN$7 &lt;=סקר!F157,W157,0),0)))</f>
        <v>0</v>
      </c>
      <c r="AB157">
        <f t="shared" si="161"/>
        <v>1</v>
      </c>
      <c r="AC157" s="72"/>
      <c r="AD157" t="e">
        <f t="shared" si="179"/>
        <v>#N/A</v>
      </c>
      <c r="AE157" s="72"/>
      <c r="AF157" s="72" t="e">
        <f t="shared" si="162"/>
        <v>#N/A</v>
      </c>
      <c r="AG157" s="72" t="e">
        <f>IF('חד גזעי'!$AM$5="לא",(VLOOKUP(C157,'חד גזעי'!$P$1:$S$589,3,FALSE)),(VLOOKUP(C157,'חד גזעי'!$P$1:$S$589,4,FALSE)))</f>
        <v>#N/A</v>
      </c>
      <c r="AH157" s="72">
        <f t="shared" si="163"/>
        <v>0</v>
      </c>
      <c r="AI157" s="72">
        <f t="shared" si="164"/>
        <v>0</v>
      </c>
      <c r="AJ157" s="72">
        <f t="shared" si="165"/>
        <v>0</v>
      </c>
      <c r="AK157" s="72" t="e">
        <f t="shared" si="166"/>
        <v>#N/A</v>
      </c>
      <c r="AL157" t="e">
        <f>VLOOKUP(C157,'חד גזעי'!$AH$8:$AI$33,2,FALSE)</f>
        <v>#N/A</v>
      </c>
      <c r="AM157" s="72" t="b">
        <f t="shared" si="167"/>
        <v>0</v>
      </c>
      <c r="AN157" s="72" t="b">
        <f t="shared" si="168"/>
        <v>0</v>
      </c>
      <c r="AO157" s="72" t="b">
        <f t="shared" si="169"/>
        <v>0</v>
      </c>
      <c r="AS157" s="72">
        <f t="shared" si="170"/>
        <v>0</v>
      </c>
      <c r="AT157" s="72">
        <f t="shared" si="171"/>
        <v>0</v>
      </c>
      <c r="AU157" s="72">
        <f t="shared" si="180"/>
        <v>0</v>
      </c>
      <c r="AV157" s="72">
        <f t="shared" si="172"/>
        <v>0</v>
      </c>
      <c r="AW157" s="72">
        <f t="shared" si="173"/>
        <v>0</v>
      </c>
      <c r="AX157" s="72">
        <f t="shared" si="174"/>
        <v>0</v>
      </c>
      <c r="AY157" s="72">
        <f t="shared" si="175"/>
        <v>0</v>
      </c>
      <c r="AZ157" s="72">
        <f t="shared" si="176"/>
        <v>0</v>
      </c>
      <c r="BA157" s="72" t="e">
        <f t="shared" si="177"/>
        <v>#N/A</v>
      </c>
      <c r="BB157" s="72" t="e">
        <f t="shared" si="178"/>
        <v>#N/A</v>
      </c>
      <c r="BC157" s="77"/>
      <c r="BE157">
        <f t="shared" si="158"/>
        <v>0</v>
      </c>
      <c r="BF157" s="196"/>
      <c r="BG157" s="196"/>
      <c r="BH157" s="196"/>
      <c r="BI157" s="196"/>
      <c r="BJ157" s="196"/>
      <c r="BK157" s="196"/>
    </row>
    <row r="158" spans="2:63" hidden="1">
      <c r="B158" s="72"/>
      <c r="C158" s="135"/>
      <c r="D158" s="78"/>
      <c r="E158" s="78"/>
      <c r="F158" s="72"/>
      <c r="G158" s="72"/>
      <c r="H158" s="72"/>
      <c r="I158" s="73">
        <f t="shared" si="160"/>
        <v>0</v>
      </c>
      <c r="J158" s="78"/>
      <c r="K158" s="73"/>
      <c r="L158" s="74" t="e">
        <f>_xlfn.IFNA(VLOOKUP(C158,'חד גזעי'!$U$3:$V$509,2,0),VLOOKUP(C158,'חד גזעי'!$U$3:$V$509,2))</f>
        <v>#N/A</v>
      </c>
      <c r="M158" s="73"/>
      <c r="N158" s="72" t="e">
        <f>_xlfn.IFNA(IF(VLOOKUP(C158,'חד גזעי'!$AH$2:$AH$7,1,FALSE)&gt;0,0,IF('חד גזעי'!$AM$5="כן",IF(_xlfn.IFNA(VLOOKUP(C158,'חד גזעי'!$AH$2:$AH$33,1,FALSE),SUM(J158:M158))&lt;21,_xlfn.IFNA(VLOOKUP(C158,'חד גזעי'!$AH$2:$AH$33,1,FALSE),SUM(J158:M158)),0),SUM(J158:M158))),IF('חד גזעי'!$AM$5="כן",IF(_xlfn.IFNA(VLOOKUP(C158,'חד גזעי'!$AH$2:$AH$33,1,FALSE),SUM(J158:M158))&lt;21,_xlfn.IFNA(VLOOKUP(C158,'חד גזעי'!$AH$2:$AH$33,1,FALSE),SUM(J158:M158)),0),SUM(J158:M158)))</f>
        <v>#N/A</v>
      </c>
      <c r="O158" s="72">
        <f>IF('חד גזעי'!$AM$3 = "כן",IF(T158&gt;4,4,T158),T158)</f>
        <v>0</v>
      </c>
      <c r="P158" s="80">
        <f>IF(E158&lt;2,0,IF(Z158&gt;0,Z158,IF(N158 = 0,0,IF('חד גזעי'!$AM$2 = "לא",IF(F158&gt;19,W158,0),IF(F158&gt;9,Y158,0)))))</f>
        <v>0</v>
      </c>
      <c r="Q158" s="77"/>
      <c r="R158" s="76"/>
      <c r="S158" t="e">
        <f>VLOOKUP(C158,'חד גזעי'!$Y$4:$Y$18,1,0)</f>
        <v>#N/A</v>
      </c>
      <c r="T158" s="72">
        <f>IF('חד גזעי'!$AM$6="לא",IF(P158=0,IF(BC158="שימור",IF('חד גזעי'!$AM$4="לא",IF(BC158="לא בוגר",0,IF(BC158="לא קיים",0,IF(J158=0,0,I158*0.1))),IF(BC158="לא בוגר",0,IF(BC158="לא קיים",0,IF(AB158=1,I158*0.1,E158*0.5)))),0),IF('חד גזעי'!$AM$4="לא",IF(BC158="לא בוגר",0,IF(BC158="לא קיים",0,IF(J158=0,0,I158*0.1))),IF(BC158="לא בוגר",0,IF(BC158="לא קיים",0,IF(AB158=1,I158*0.1,E158*0.5))))),IF(P158=0,IF(BC158="שימור",IF('חד גזעי'!$AM$4="לא",IF(BC158="לא בוגר",0,IF(BC158="לא קיים",0,IF(J158=0,0,I158*0.15))),IF(BC158="לא בוגר",0,IF(BC158="לא קיים",0,IF(AB158=1,I158*0.15,E158*0.5)))),0),IF('חד גזעי'!$AM$4="לא",IF(BC158="לא בוגר",0,IF(BC158="לא קיים",0,IF(J158=0,0,I158*0.15))),IF(BC158="לא בוגר",0,IF(BC158="לא קיים",0,IF(AB158=1,I158*0.15,E158*0.5))))))</f>
        <v>0</v>
      </c>
      <c r="V158" t="e">
        <f t="shared" si="150"/>
        <v>#N/A</v>
      </c>
      <c r="W158" t="e">
        <f t="shared" si="151"/>
        <v>#N/A</v>
      </c>
      <c r="X158" t="e">
        <f t="shared" si="152"/>
        <v>#N/A</v>
      </c>
      <c r="Y158">
        <f>IF('חד גזעי'!$AM$2 = "לא",0,IF(F158&gt;9,W158,0))</f>
        <v>0</v>
      </c>
      <c r="Z158">
        <f>IF('חד גזעי'!$AM$7 = "לא",0,IF(C158 = "זית אירופי",IF('חד גזעי'!$AN$7 &lt;=סקר!F158,W158,0),IF(C158 = "חרוב מצוי",IF('חד גזעי'!$AN$7 &lt;=סקר!F158,W158,0),0)))</f>
        <v>0</v>
      </c>
      <c r="AB158">
        <f t="shared" si="161"/>
        <v>1</v>
      </c>
      <c r="AC158" s="72"/>
      <c r="AD158" t="e">
        <f t="shared" si="179"/>
        <v>#N/A</v>
      </c>
      <c r="AE158" s="72"/>
      <c r="AF158" s="72" t="e">
        <f t="shared" si="162"/>
        <v>#N/A</v>
      </c>
      <c r="AG158" s="72" t="e">
        <f>IF('חד גזעי'!$AM$5="לא",(VLOOKUP(C158,'חד גזעי'!$P$1:$S$589,3,FALSE)),(VLOOKUP(C158,'חד גזעי'!$P$1:$S$589,4,FALSE)))</f>
        <v>#N/A</v>
      </c>
      <c r="AH158" s="72">
        <f t="shared" si="163"/>
        <v>0</v>
      </c>
      <c r="AI158" s="72">
        <f t="shared" si="164"/>
        <v>0</v>
      </c>
      <c r="AJ158" s="72">
        <f t="shared" si="165"/>
        <v>0</v>
      </c>
      <c r="AK158" s="72" t="e">
        <f t="shared" si="166"/>
        <v>#N/A</v>
      </c>
      <c r="AL158" t="e">
        <f>VLOOKUP(C158,'חד גזעי'!$AH$8:$AI$33,2,FALSE)</f>
        <v>#N/A</v>
      </c>
      <c r="AM158" s="72" t="b">
        <f t="shared" si="167"/>
        <v>0</v>
      </c>
      <c r="AN158" s="72" t="b">
        <f t="shared" si="168"/>
        <v>0</v>
      </c>
      <c r="AO158" s="72" t="b">
        <f t="shared" si="169"/>
        <v>0</v>
      </c>
      <c r="AS158" s="72">
        <f t="shared" si="170"/>
        <v>0</v>
      </c>
      <c r="AT158" s="72">
        <f t="shared" si="171"/>
        <v>0</v>
      </c>
      <c r="AU158" s="72">
        <f t="shared" si="180"/>
        <v>0</v>
      </c>
      <c r="AV158" s="72">
        <f t="shared" si="172"/>
        <v>0</v>
      </c>
      <c r="AW158" s="72">
        <f t="shared" si="173"/>
        <v>0</v>
      </c>
      <c r="AX158" s="72">
        <f t="shared" si="174"/>
        <v>0</v>
      </c>
      <c r="AY158" s="72">
        <f t="shared" si="175"/>
        <v>0</v>
      </c>
      <c r="AZ158" s="72">
        <f t="shared" si="176"/>
        <v>0</v>
      </c>
      <c r="BA158" s="72" t="e">
        <f t="shared" si="177"/>
        <v>#N/A</v>
      </c>
      <c r="BB158" s="72" t="e">
        <f t="shared" si="178"/>
        <v>#N/A</v>
      </c>
      <c r="BC158" s="77"/>
      <c r="BE158">
        <f t="shared" si="158"/>
        <v>0</v>
      </c>
      <c r="BF158" s="196"/>
      <c r="BG158" s="196"/>
      <c r="BH158" s="196"/>
      <c r="BI158" s="196"/>
      <c r="BJ158" s="196"/>
      <c r="BK158" s="196"/>
    </row>
    <row r="159" spans="2:63" hidden="1">
      <c r="B159" s="72"/>
      <c r="C159" s="135"/>
      <c r="D159" s="78"/>
      <c r="E159" s="78"/>
      <c r="F159" s="72"/>
      <c r="G159" s="72"/>
      <c r="H159" s="72"/>
      <c r="I159" s="73">
        <f t="shared" si="160"/>
        <v>0</v>
      </c>
      <c r="J159" s="78"/>
      <c r="K159" s="73"/>
      <c r="L159" s="74" t="e">
        <f>_xlfn.IFNA(VLOOKUP(C159,'חד גזעי'!$U$3:$V$509,2,0),VLOOKUP(C159,'חד גזעי'!$U$3:$V$509,2))</f>
        <v>#N/A</v>
      </c>
      <c r="M159" s="73"/>
      <c r="N159" s="72" t="e">
        <f>_xlfn.IFNA(IF(VLOOKUP(C159,'חד גזעי'!$AH$2:$AH$7,1,FALSE)&gt;0,0,IF('חד גזעי'!$AM$5="כן",IF(_xlfn.IFNA(VLOOKUP(C159,'חד גזעי'!$AH$2:$AH$33,1,FALSE),SUM(J159:M159))&lt;21,_xlfn.IFNA(VLOOKUP(C159,'חד גזעי'!$AH$2:$AH$33,1,FALSE),SUM(J159:M159)),0),SUM(J159:M159))),IF('חד גזעי'!$AM$5="כן",IF(_xlfn.IFNA(VLOOKUP(C159,'חד גזעי'!$AH$2:$AH$33,1,FALSE),SUM(J159:M159))&lt;21,_xlfn.IFNA(VLOOKUP(C159,'חד גזעי'!$AH$2:$AH$33,1,FALSE),SUM(J159:M159)),0),SUM(J159:M159)))</f>
        <v>#N/A</v>
      </c>
      <c r="O159" s="72">
        <f>IF('חד גזעי'!$AM$3 = "כן",IF(T159&gt;4,4,T159),T159)</f>
        <v>0</v>
      </c>
      <c r="P159" s="80">
        <f>IF(E159&lt;2,0,IF(Z159&gt;0,Z159,IF(N159 = 0,0,IF('חד גזעי'!$AM$2 = "לא",IF(F159&gt;19,W159,0),IF(F159&gt;9,Y159,0)))))</f>
        <v>0</v>
      </c>
      <c r="Q159" s="77"/>
      <c r="R159" s="76"/>
      <c r="S159" t="e">
        <f>VLOOKUP(C159,'חד גזעי'!$Y$4:$Y$18,1,0)</f>
        <v>#N/A</v>
      </c>
      <c r="T159" s="72">
        <f>IF('חד גזעי'!$AM$6="לא",IF(P159=0,IF(BC159="שימור",IF('חד גזעי'!$AM$4="לא",IF(BC159="לא בוגר",0,IF(BC159="לא קיים",0,IF(J159=0,0,I159*0.1))),IF(BC159="לא בוגר",0,IF(BC159="לא קיים",0,IF(AB159=1,I159*0.1,E159*0.5)))),0),IF('חד גזעי'!$AM$4="לא",IF(BC159="לא בוגר",0,IF(BC159="לא קיים",0,IF(J159=0,0,I159*0.1))),IF(BC159="לא בוגר",0,IF(BC159="לא קיים",0,IF(AB159=1,I159*0.1,E159*0.5))))),IF(P159=0,IF(BC159="שימור",IF('חד גזעי'!$AM$4="לא",IF(BC159="לא בוגר",0,IF(BC159="לא קיים",0,IF(J159=0,0,I159*0.15))),IF(BC159="לא בוגר",0,IF(BC159="לא קיים",0,IF(AB159=1,I159*0.15,E159*0.5)))),0),IF('חד גזעי'!$AM$4="לא",IF(BC159="לא בוגר",0,IF(BC159="לא קיים",0,IF(J159=0,0,I159*0.15))),IF(BC159="לא בוגר",0,IF(BC159="לא קיים",0,IF(AB159=1,I159*0.15,E159*0.5))))))</f>
        <v>0</v>
      </c>
      <c r="V159" t="e">
        <f t="shared" si="150"/>
        <v>#N/A</v>
      </c>
      <c r="W159" t="e">
        <f t="shared" si="151"/>
        <v>#N/A</v>
      </c>
      <c r="X159" t="e">
        <f t="shared" si="152"/>
        <v>#N/A</v>
      </c>
      <c r="Y159">
        <f>IF('חד גזעי'!$AM$2 = "לא",0,IF(F159&gt;9,W159,0))</f>
        <v>0</v>
      </c>
      <c r="Z159">
        <f>IF('חד גזעי'!$AM$7 = "לא",0,IF(C159 = "זית אירופי",IF('חד גזעי'!$AN$7 &lt;=סקר!F159,W159,0),IF(C159 = "חרוב מצוי",IF('חד גזעי'!$AN$7 &lt;=סקר!F159,W159,0),0)))</f>
        <v>0</v>
      </c>
      <c r="AB159">
        <f t="shared" si="161"/>
        <v>1</v>
      </c>
      <c r="AC159" s="72"/>
      <c r="AD159" t="e">
        <f t="shared" si="179"/>
        <v>#N/A</v>
      </c>
      <c r="AE159" s="72"/>
      <c r="AF159" s="72" t="e">
        <f t="shared" si="162"/>
        <v>#N/A</v>
      </c>
      <c r="AG159" s="72" t="e">
        <f>IF('חד גזעי'!$AM$5="לא",(VLOOKUP(C159,'חד גזעי'!$P$1:$S$589,3,FALSE)),(VLOOKUP(C159,'חד גזעי'!$P$1:$S$589,4,FALSE)))</f>
        <v>#N/A</v>
      </c>
      <c r="AH159" s="72">
        <f t="shared" si="163"/>
        <v>0</v>
      </c>
      <c r="AI159" s="72">
        <f t="shared" si="164"/>
        <v>0</v>
      </c>
      <c r="AJ159" s="72">
        <f t="shared" si="165"/>
        <v>0</v>
      </c>
      <c r="AK159" s="72" t="e">
        <f t="shared" si="166"/>
        <v>#N/A</v>
      </c>
      <c r="AL159" t="e">
        <f>VLOOKUP(C159,'חד גזעי'!$AH$8:$AI$33,2,FALSE)</f>
        <v>#N/A</v>
      </c>
      <c r="AM159" s="72" t="b">
        <f t="shared" si="167"/>
        <v>0</v>
      </c>
      <c r="AN159" s="72" t="b">
        <f t="shared" si="168"/>
        <v>0</v>
      </c>
      <c r="AO159" s="72" t="b">
        <f t="shared" si="169"/>
        <v>0</v>
      </c>
      <c r="AS159" s="72">
        <f t="shared" si="170"/>
        <v>0</v>
      </c>
      <c r="AT159" s="72">
        <f t="shared" si="171"/>
        <v>0</v>
      </c>
      <c r="AU159" s="72">
        <f t="shared" si="180"/>
        <v>0</v>
      </c>
      <c r="AV159" s="72">
        <f t="shared" si="172"/>
        <v>0</v>
      </c>
      <c r="AW159" s="72">
        <f t="shared" si="173"/>
        <v>0</v>
      </c>
      <c r="AX159" s="72">
        <f t="shared" si="174"/>
        <v>0</v>
      </c>
      <c r="AY159" s="72">
        <f t="shared" si="175"/>
        <v>0</v>
      </c>
      <c r="AZ159" s="72">
        <f t="shared" si="176"/>
        <v>0</v>
      </c>
      <c r="BA159" s="72" t="e">
        <f t="shared" si="177"/>
        <v>#N/A</v>
      </c>
      <c r="BB159" s="72" t="e">
        <f t="shared" si="178"/>
        <v>#N/A</v>
      </c>
      <c r="BC159" s="77"/>
      <c r="BE159">
        <f t="shared" si="158"/>
        <v>0</v>
      </c>
      <c r="BF159" s="196"/>
      <c r="BG159" s="196"/>
      <c r="BH159" s="196"/>
      <c r="BI159" s="196"/>
      <c r="BJ159" s="196"/>
      <c r="BK159" s="196"/>
    </row>
    <row r="160" spans="2:63" hidden="1">
      <c r="B160" s="72"/>
      <c r="C160" s="135"/>
      <c r="D160" s="78"/>
      <c r="E160" s="78"/>
      <c r="F160" s="72"/>
      <c r="G160" s="72"/>
      <c r="H160" s="72"/>
      <c r="I160" s="73">
        <f t="shared" si="160"/>
        <v>0</v>
      </c>
      <c r="J160" s="78"/>
      <c r="K160" s="73"/>
      <c r="L160" s="74" t="e">
        <f>_xlfn.IFNA(VLOOKUP(C160,'חד גזעי'!$U$3:$V$509,2,0),VLOOKUP(C160,'חד גזעי'!$U$3:$V$509,2))</f>
        <v>#N/A</v>
      </c>
      <c r="M160" s="73"/>
      <c r="N160" s="72" t="e">
        <f>_xlfn.IFNA(IF(VLOOKUP(C160,'חד גזעי'!$AH$2:$AH$7,1,FALSE)&gt;0,0,IF('חד גזעי'!$AM$5="כן",IF(_xlfn.IFNA(VLOOKUP(C160,'חד גזעי'!$AH$2:$AH$33,1,FALSE),SUM(J160:M160))&lt;21,_xlfn.IFNA(VLOOKUP(C160,'חד גזעי'!$AH$2:$AH$33,1,FALSE),SUM(J160:M160)),0),SUM(J160:M160))),IF('חד גזעי'!$AM$5="כן",IF(_xlfn.IFNA(VLOOKUP(C160,'חד גזעי'!$AH$2:$AH$33,1,FALSE),SUM(J160:M160))&lt;21,_xlfn.IFNA(VLOOKUP(C160,'חד גזעי'!$AH$2:$AH$33,1,FALSE),SUM(J160:M160)),0),SUM(J160:M160)))</f>
        <v>#N/A</v>
      </c>
      <c r="O160" s="72">
        <f>IF('חד גזעי'!$AM$3 = "כן",IF(T160&gt;4,4,T160),T160)</f>
        <v>0</v>
      </c>
      <c r="P160" s="80">
        <f>IF(E160&lt;2,0,IF(Z160&gt;0,Z160,IF(N160 = 0,0,IF('חד גזעי'!$AM$2 = "לא",IF(F160&gt;19,W160,0),IF(F160&gt;9,Y160,0)))))</f>
        <v>0</v>
      </c>
      <c r="Q160" s="77"/>
      <c r="R160" s="76"/>
      <c r="S160" t="e">
        <f>VLOOKUP(C160,'חד גזעי'!$Y$4:$Y$18,1,0)</f>
        <v>#N/A</v>
      </c>
      <c r="T160" s="72">
        <f>IF('חד גזעי'!$AM$6="לא",IF(P160=0,IF(BC160="שימור",IF('חד גזעי'!$AM$4="לא",IF(BC160="לא בוגר",0,IF(BC160="לא קיים",0,IF(J160=0,0,I160*0.1))),IF(BC160="לא בוגר",0,IF(BC160="לא קיים",0,IF(AB160=1,I160*0.1,E160*0.5)))),0),IF('חד גזעי'!$AM$4="לא",IF(BC160="לא בוגר",0,IF(BC160="לא קיים",0,IF(J160=0,0,I160*0.1))),IF(BC160="לא בוגר",0,IF(BC160="לא קיים",0,IF(AB160=1,I160*0.1,E160*0.5))))),IF(P160=0,IF(BC160="שימור",IF('חד גזעי'!$AM$4="לא",IF(BC160="לא בוגר",0,IF(BC160="לא קיים",0,IF(J160=0,0,I160*0.15))),IF(BC160="לא בוגר",0,IF(BC160="לא קיים",0,IF(AB160=1,I160*0.15,E160*0.5)))),0),IF('חד גזעי'!$AM$4="לא",IF(BC160="לא בוגר",0,IF(BC160="לא קיים",0,IF(J160=0,0,I160*0.15))),IF(BC160="לא בוגר",0,IF(BC160="לא קיים",0,IF(AB160=1,I160*0.15,E160*0.5))))))</f>
        <v>0</v>
      </c>
      <c r="V160" t="e">
        <f t="shared" si="150"/>
        <v>#N/A</v>
      </c>
      <c r="W160" t="e">
        <f t="shared" si="151"/>
        <v>#N/A</v>
      </c>
      <c r="X160" t="e">
        <f t="shared" si="152"/>
        <v>#N/A</v>
      </c>
      <c r="Y160">
        <f>IF('חד גזעי'!$AM$2 = "לא",0,IF(F160&gt;9,W160,0))</f>
        <v>0</v>
      </c>
      <c r="Z160">
        <f>IF('חד גזעי'!$AM$7 = "לא",0,IF(C160 = "זית אירופי",IF('חד גזעי'!$AN$7 &lt;=סקר!F160,W160,0),IF(C160 = "חרוב מצוי",IF('חד גזעי'!$AN$7 &lt;=סקר!F160,W160,0),0)))</f>
        <v>0</v>
      </c>
      <c r="AB160">
        <f t="shared" si="161"/>
        <v>1</v>
      </c>
      <c r="AC160" s="72"/>
      <c r="AD160" t="e">
        <f t="shared" si="179"/>
        <v>#N/A</v>
      </c>
      <c r="AE160" s="72"/>
      <c r="AF160" s="72" t="e">
        <f t="shared" si="162"/>
        <v>#N/A</v>
      </c>
      <c r="AG160" s="72" t="e">
        <f>IF('חד גזעי'!$AM$5="לא",(VLOOKUP(C160,'חד גזעי'!$P$1:$S$589,3,FALSE)),(VLOOKUP(C160,'חד גזעי'!$P$1:$S$589,4,FALSE)))</f>
        <v>#N/A</v>
      </c>
      <c r="AH160" s="72">
        <f t="shared" si="163"/>
        <v>0</v>
      </c>
      <c r="AI160" s="72">
        <f t="shared" si="164"/>
        <v>0</v>
      </c>
      <c r="AJ160" s="72">
        <f t="shared" si="165"/>
        <v>0</v>
      </c>
      <c r="AK160" s="72" t="e">
        <f t="shared" si="166"/>
        <v>#N/A</v>
      </c>
      <c r="AL160" t="e">
        <f>VLOOKUP(C160,'חד גזעי'!$AH$8:$AI$33,2,FALSE)</f>
        <v>#N/A</v>
      </c>
      <c r="AM160" s="72" t="b">
        <f t="shared" si="167"/>
        <v>0</v>
      </c>
      <c r="AN160" s="72" t="b">
        <f t="shared" si="168"/>
        <v>0</v>
      </c>
      <c r="AO160" s="72" t="b">
        <f t="shared" si="169"/>
        <v>0</v>
      </c>
      <c r="AS160" s="72">
        <f t="shared" si="170"/>
        <v>0</v>
      </c>
      <c r="AT160" s="72">
        <f t="shared" si="171"/>
        <v>0</v>
      </c>
      <c r="AU160" s="72">
        <f t="shared" si="180"/>
        <v>0</v>
      </c>
      <c r="AV160" s="72">
        <f t="shared" si="172"/>
        <v>0</v>
      </c>
      <c r="AW160" s="72">
        <f t="shared" si="173"/>
        <v>0</v>
      </c>
      <c r="AX160" s="72">
        <f t="shared" si="174"/>
        <v>0</v>
      </c>
      <c r="AY160" s="72">
        <f t="shared" si="175"/>
        <v>0</v>
      </c>
      <c r="AZ160" s="72">
        <f t="shared" si="176"/>
        <v>0</v>
      </c>
      <c r="BA160" s="72" t="e">
        <f t="shared" si="177"/>
        <v>#N/A</v>
      </c>
      <c r="BB160" s="72" t="e">
        <f t="shared" si="178"/>
        <v>#N/A</v>
      </c>
      <c r="BC160" s="77"/>
      <c r="BE160">
        <f t="shared" si="158"/>
        <v>0</v>
      </c>
      <c r="BF160" s="72"/>
      <c r="BG160" s="72"/>
      <c r="BH160" s="72"/>
      <c r="BI160" s="72"/>
      <c r="BJ160" s="72"/>
      <c r="BK160" s="72"/>
    </row>
    <row r="161" spans="2:63" hidden="1">
      <c r="B161" s="72"/>
      <c r="C161" s="135"/>
      <c r="D161" s="78"/>
      <c r="E161" s="78"/>
      <c r="F161" s="72"/>
      <c r="G161" s="72"/>
      <c r="H161" s="72"/>
      <c r="I161" s="73">
        <f t="shared" si="160"/>
        <v>0</v>
      </c>
      <c r="J161" s="78"/>
      <c r="K161" s="73"/>
      <c r="L161" s="74" t="e">
        <f>_xlfn.IFNA(VLOOKUP(C161,'חד גזעי'!$U$3:$V$509,2,0),VLOOKUP(C161,'חד גזעי'!$U$3:$V$509,2))</f>
        <v>#N/A</v>
      </c>
      <c r="M161" s="73"/>
      <c r="N161" s="72" t="e">
        <f>_xlfn.IFNA(IF(VLOOKUP(C161,'חד גזעי'!$AH$2:$AH$7,1,FALSE)&gt;0,0,IF('חד גזעי'!$AM$5="כן",IF(_xlfn.IFNA(VLOOKUP(C161,'חד גזעי'!$AH$2:$AH$33,1,FALSE),SUM(J161:M161))&lt;21,_xlfn.IFNA(VLOOKUP(C161,'חד גזעי'!$AH$2:$AH$33,1,FALSE),SUM(J161:M161)),0),SUM(J161:M161))),IF('חד גזעי'!$AM$5="כן",IF(_xlfn.IFNA(VLOOKUP(C161,'חד גזעי'!$AH$2:$AH$33,1,FALSE),SUM(J161:M161))&lt;21,_xlfn.IFNA(VLOOKUP(C161,'חד גזעי'!$AH$2:$AH$33,1,FALSE),SUM(J161:M161)),0),SUM(J161:M161)))</f>
        <v>#N/A</v>
      </c>
      <c r="O161" s="72">
        <f>IF('חד גזעי'!$AM$3 = "כן",IF(T161&gt;4,4,T161),T161)</f>
        <v>0</v>
      </c>
      <c r="P161" s="80">
        <f>IF(E161&lt;2,0,IF(Z161&gt;0,Z161,IF(N161 = 0,0,IF('חד גזעי'!$AM$2 = "לא",IF(F161&gt;19,W161,0),IF(F161&gt;9,Y161,0)))))</f>
        <v>0</v>
      </c>
      <c r="Q161" s="77"/>
      <c r="R161" s="75"/>
      <c r="S161" t="e">
        <f>VLOOKUP(C161,'חד גזעי'!$Y$4:$Y$18,1,0)</f>
        <v>#N/A</v>
      </c>
      <c r="T161" s="72">
        <f>IF('חד גזעי'!$AM$6="לא",IF(P161=0,IF(BC161="שימור",IF('חד גזעי'!$AM$4="לא",IF(BC161="לא בוגר",0,IF(BC161="לא קיים",0,IF(J161=0,0,I161*0.1))),IF(BC161="לא בוגר",0,IF(BC161="לא קיים",0,IF(AB161=1,I161*0.1,E161*0.5)))),0),IF('חד גזעי'!$AM$4="לא",IF(BC161="לא בוגר",0,IF(BC161="לא קיים",0,IF(J161=0,0,I161*0.1))),IF(BC161="לא בוגר",0,IF(BC161="לא קיים",0,IF(AB161=1,I161*0.1,E161*0.5))))),IF(P161=0,IF(BC161="שימור",IF('חד גזעי'!$AM$4="לא",IF(BC161="לא בוגר",0,IF(BC161="לא קיים",0,IF(J161=0,0,I161*0.15))),IF(BC161="לא בוגר",0,IF(BC161="לא קיים",0,IF(AB161=1,I161*0.15,E161*0.5)))),0),IF('חד גזעי'!$AM$4="לא",IF(BC161="לא בוגר",0,IF(BC161="לא קיים",0,IF(J161=0,0,I161*0.15))),IF(BC161="לא בוגר",0,IF(BC161="לא קיים",0,IF(AB161=1,I161*0.15,E161*0.5))))))</f>
        <v>0</v>
      </c>
      <c r="V161" t="e">
        <f t="shared" si="150"/>
        <v>#N/A</v>
      </c>
      <c r="W161" t="e">
        <f t="shared" si="151"/>
        <v>#N/A</v>
      </c>
      <c r="X161" t="e">
        <f t="shared" si="152"/>
        <v>#N/A</v>
      </c>
      <c r="Y161">
        <f>IF('חד גזעי'!$AM$2 = "לא",0,IF(F161&gt;9,W161,0))</f>
        <v>0</v>
      </c>
      <c r="Z161">
        <f>IF('חד גזעי'!$AM$7 = "לא",0,IF(C161 = "זית אירופי",IF('חד גזעי'!$AN$7 &lt;=סקר!F161,W161,0),IF(C161 = "חרוב מצוי",IF('חד גזעי'!$AN$7 &lt;=סקר!F161,W161,0),0)))</f>
        <v>0</v>
      </c>
      <c r="AB161">
        <f t="shared" si="161"/>
        <v>1</v>
      </c>
      <c r="AC161" s="72"/>
      <c r="AD161" t="e">
        <f t="shared" si="179"/>
        <v>#N/A</v>
      </c>
      <c r="AE161" s="72"/>
      <c r="AF161" s="72" t="e">
        <f t="shared" si="162"/>
        <v>#N/A</v>
      </c>
      <c r="AG161" s="72" t="e">
        <f>IF('חד גזעי'!$AM$5="לא",(VLOOKUP(C161,'חד גזעי'!$P$1:$S$589,3,FALSE)),(VLOOKUP(C161,'חד גזעי'!$P$1:$S$589,4,FALSE)))</f>
        <v>#N/A</v>
      </c>
      <c r="AH161" s="72">
        <f t="shared" si="163"/>
        <v>0</v>
      </c>
      <c r="AI161" s="72">
        <f t="shared" si="164"/>
        <v>0</v>
      </c>
      <c r="AJ161" s="72">
        <f t="shared" si="165"/>
        <v>0</v>
      </c>
      <c r="AK161" s="72" t="e">
        <f t="shared" si="166"/>
        <v>#N/A</v>
      </c>
      <c r="AL161" t="e">
        <f>VLOOKUP(C161,'חד גזעי'!$AH$8:$AI$33,2,FALSE)</f>
        <v>#N/A</v>
      </c>
      <c r="AM161" s="72" t="b">
        <f t="shared" si="167"/>
        <v>0</v>
      </c>
      <c r="AN161" s="72" t="b">
        <f t="shared" si="168"/>
        <v>0</v>
      </c>
      <c r="AO161" s="72" t="b">
        <f t="shared" si="169"/>
        <v>0</v>
      </c>
      <c r="AS161" s="72">
        <f t="shared" si="170"/>
        <v>0</v>
      </c>
      <c r="AT161" s="72">
        <f t="shared" si="171"/>
        <v>0</v>
      </c>
      <c r="AU161" s="72">
        <f t="shared" si="180"/>
        <v>0</v>
      </c>
      <c r="AV161" s="72">
        <f t="shared" si="172"/>
        <v>0</v>
      </c>
      <c r="AW161" s="72">
        <f t="shared" si="173"/>
        <v>0</v>
      </c>
      <c r="AX161" s="72">
        <f t="shared" si="174"/>
        <v>0</v>
      </c>
      <c r="AY161" s="72">
        <f t="shared" si="175"/>
        <v>0</v>
      </c>
      <c r="AZ161" s="72">
        <f t="shared" si="176"/>
        <v>0</v>
      </c>
      <c r="BA161" s="72" t="e">
        <f t="shared" si="177"/>
        <v>#N/A</v>
      </c>
      <c r="BB161" s="72" t="e">
        <f t="shared" si="178"/>
        <v>#N/A</v>
      </c>
      <c r="BC161" s="77"/>
      <c r="BE161">
        <f t="shared" si="158"/>
        <v>0</v>
      </c>
      <c r="BF161" s="196" t="str">
        <f>BF180</f>
        <v>C:\Users\origr\Pictures\0.jpg</v>
      </c>
      <c r="BG161" s="196" t="str">
        <f t="shared" ref="BG161:BK161" si="181">BG180</f>
        <v>C:\Users\origr\Pictures\0.jpg</v>
      </c>
      <c r="BH161" s="196" t="str">
        <f t="shared" si="181"/>
        <v>C:\Users\origr\Pictures\0.jpg</v>
      </c>
      <c r="BI161" s="196" t="str">
        <f t="shared" si="181"/>
        <v>C:\Users\origr\Pictures\0.jpg</v>
      </c>
      <c r="BJ161" s="196" t="str">
        <f t="shared" si="181"/>
        <v>C:\Users\origr\Pictures\0.jpg</v>
      </c>
      <c r="BK161" s="196" t="str">
        <f t="shared" si="181"/>
        <v>C:\Users\origr\Pictures\0.jpg</v>
      </c>
    </row>
    <row r="162" spans="2:63" hidden="1">
      <c r="B162" s="72"/>
      <c r="C162" s="135"/>
      <c r="D162" s="78"/>
      <c r="E162" s="78"/>
      <c r="F162" s="72"/>
      <c r="G162" s="72"/>
      <c r="H162" s="72"/>
      <c r="I162" s="73">
        <f t="shared" si="160"/>
        <v>0</v>
      </c>
      <c r="J162" s="78"/>
      <c r="K162" s="73"/>
      <c r="L162" s="74" t="e">
        <f>_xlfn.IFNA(VLOOKUP(C162,'חד גזעי'!$U$3:$V$509,2,0),VLOOKUP(C162,'חד גזעי'!$U$3:$V$509,2))</f>
        <v>#N/A</v>
      </c>
      <c r="M162" s="73"/>
      <c r="N162" s="72" t="e">
        <f>_xlfn.IFNA(IF(VLOOKUP(C162,'חד גזעי'!$AH$2:$AH$7,1,FALSE)&gt;0,0,IF('חד גזעי'!$AM$5="כן",IF(_xlfn.IFNA(VLOOKUP(C162,'חד גזעי'!$AH$2:$AH$33,1,FALSE),SUM(J162:M162))&lt;21,_xlfn.IFNA(VLOOKUP(C162,'חד גזעי'!$AH$2:$AH$33,1,FALSE),SUM(J162:M162)),0),SUM(J162:M162))),IF('חד גזעי'!$AM$5="כן",IF(_xlfn.IFNA(VLOOKUP(C162,'חד גזעי'!$AH$2:$AH$33,1,FALSE),SUM(J162:M162))&lt;21,_xlfn.IFNA(VLOOKUP(C162,'חד גזעי'!$AH$2:$AH$33,1,FALSE),SUM(J162:M162)),0),SUM(J162:M162)))</f>
        <v>#N/A</v>
      </c>
      <c r="O162" s="72">
        <f>IF('חד גזעי'!$AM$3 = "כן",IF(T162&gt;4,4,T162),T162)</f>
        <v>0</v>
      </c>
      <c r="P162" s="80">
        <f>IF(E162&lt;2,0,IF(Z162&gt;0,Z162,IF(N162 = 0,0,IF('חד גזעי'!$AM$2 = "לא",IF(F162&gt;19,W162,0),IF(F162&gt;9,Y162,0)))))</f>
        <v>0</v>
      </c>
      <c r="Q162" s="77"/>
      <c r="R162" s="76"/>
      <c r="S162" t="e">
        <f>VLOOKUP(C162,'חד גזעי'!$Y$4:$Y$18,1,0)</f>
        <v>#N/A</v>
      </c>
      <c r="T162" s="72">
        <f>IF('חד גזעי'!$AM$6="לא",IF(P162=0,IF(BC162="שימור",IF('חד גזעי'!$AM$4="לא",IF(BC162="לא בוגר",0,IF(BC162="לא קיים",0,IF(J162=0,0,I162*0.1))),IF(BC162="לא בוגר",0,IF(BC162="לא קיים",0,IF(AB162=1,I162*0.1,E162*0.5)))),0),IF('חד גזעי'!$AM$4="לא",IF(BC162="לא בוגר",0,IF(BC162="לא קיים",0,IF(J162=0,0,I162*0.1))),IF(BC162="לא בוגר",0,IF(BC162="לא קיים",0,IF(AB162=1,I162*0.1,E162*0.5))))),IF(P162=0,IF(BC162="שימור",IF('חד גזעי'!$AM$4="לא",IF(BC162="לא בוגר",0,IF(BC162="לא קיים",0,IF(J162=0,0,I162*0.15))),IF(BC162="לא בוגר",0,IF(BC162="לא קיים",0,IF(AB162=1,I162*0.15,E162*0.5)))),0),IF('חד גזעי'!$AM$4="לא",IF(BC162="לא בוגר",0,IF(BC162="לא קיים",0,IF(J162=0,0,I162*0.15))),IF(BC162="לא בוגר",0,IF(BC162="לא קיים",0,IF(AB162=1,I162*0.15,E162*0.5))))))</f>
        <v>0</v>
      </c>
      <c r="V162" t="e">
        <f t="shared" si="150"/>
        <v>#N/A</v>
      </c>
      <c r="W162" t="e">
        <f t="shared" si="151"/>
        <v>#N/A</v>
      </c>
      <c r="X162" t="e">
        <f t="shared" si="152"/>
        <v>#N/A</v>
      </c>
      <c r="Y162">
        <f>IF('חד גזעי'!$AM$2 = "לא",0,IF(F162&gt;9,W162,0))</f>
        <v>0</v>
      </c>
      <c r="Z162">
        <f>IF('חד גזעי'!$AM$7 = "לא",0,IF(C162 = "זית אירופי",IF('חד גזעי'!$AN$7 &lt;=סקר!F162,W162,0),IF(C162 = "חרוב מצוי",IF('חד גזעי'!$AN$7 &lt;=סקר!F162,W162,0),0)))</f>
        <v>0</v>
      </c>
      <c r="AB162">
        <f t="shared" si="161"/>
        <v>1</v>
      </c>
      <c r="AC162" s="72"/>
      <c r="AD162" t="e">
        <f t="shared" si="179"/>
        <v>#N/A</v>
      </c>
      <c r="AE162" s="72"/>
      <c r="AF162" s="72" t="e">
        <f t="shared" si="162"/>
        <v>#N/A</v>
      </c>
      <c r="AG162" s="72" t="e">
        <f>IF('חד גזעי'!$AM$5="לא",(VLOOKUP(C162,'חד גזעי'!$P$1:$S$589,3,FALSE)),(VLOOKUP(C162,'חד גזעי'!$P$1:$S$589,4,FALSE)))</f>
        <v>#N/A</v>
      </c>
      <c r="AH162" s="72">
        <f t="shared" si="163"/>
        <v>0</v>
      </c>
      <c r="AI162" s="72">
        <f t="shared" si="164"/>
        <v>0</v>
      </c>
      <c r="AJ162" s="72">
        <f t="shared" si="165"/>
        <v>0</v>
      </c>
      <c r="AK162" s="72" t="e">
        <f t="shared" si="166"/>
        <v>#N/A</v>
      </c>
      <c r="AL162" t="e">
        <f>VLOOKUP(C162,'חד גזעי'!$AH$8:$AI$33,2,FALSE)</f>
        <v>#N/A</v>
      </c>
      <c r="AM162" s="72" t="b">
        <f t="shared" si="167"/>
        <v>0</v>
      </c>
      <c r="AN162" s="72" t="b">
        <f t="shared" si="168"/>
        <v>0</v>
      </c>
      <c r="AO162" s="72" t="b">
        <f t="shared" si="169"/>
        <v>0</v>
      </c>
      <c r="AS162" s="72">
        <f t="shared" si="170"/>
        <v>0</v>
      </c>
      <c r="AT162" s="72">
        <f t="shared" si="171"/>
        <v>0</v>
      </c>
      <c r="AU162" s="72">
        <f t="shared" si="180"/>
        <v>0</v>
      </c>
      <c r="AV162" s="72">
        <f t="shared" si="172"/>
        <v>0</v>
      </c>
      <c r="AW162" s="72">
        <f t="shared" si="173"/>
        <v>0</v>
      </c>
      <c r="AX162" s="72">
        <f t="shared" si="174"/>
        <v>0</v>
      </c>
      <c r="AY162" s="72">
        <f t="shared" si="175"/>
        <v>0</v>
      </c>
      <c r="AZ162" s="72">
        <f t="shared" si="176"/>
        <v>0</v>
      </c>
      <c r="BA162" s="72" t="e">
        <f t="shared" si="177"/>
        <v>#N/A</v>
      </c>
      <c r="BB162" s="72" t="e">
        <f t="shared" si="178"/>
        <v>#N/A</v>
      </c>
      <c r="BC162" s="77"/>
      <c r="BE162">
        <f t="shared" si="158"/>
        <v>0</v>
      </c>
      <c r="BF162" s="196"/>
      <c r="BG162" s="196"/>
      <c r="BH162" s="196"/>
      <c r="BI162" s="196"/>
      <c r="BJ162" s="196"/>
      <c r="BK162" s="196"/>
    </row>
    <row r="163" spans="2:63" hidden="1">
      <c r="B163" s="72"/>
      <c r="C163" s="135"/>
      <c r="D163" s="78"/>
      <c r="E163" s="78"/>
      <c r="F163" s="72"/>
      <c r="G163" s="72"/>
      <c r="H163" s="72"/>
      <c r="I163" s="73">
        <f t="shared" si="160"/>
        <v>0</v>
      </c>
      <c r="J163" s="78"/>
      <c r="K163" s="73"/>
      <c r="L163" s="74" t="e">
        <f>_xlfn.IFNA(VLOOKUP(C163,'חד גזעי'!$U$3:$V$509,2,0),VLOOKUP(C163,'חד גזעי'!$U$3:$V$509,2))</f>
        <v>#N/A</v>
      </c>
      <c r="M163" s="73"/>
      <c r="N163" s="72" t="e">
        <f>_xlfn.IFNA(IF(VLOOKUP(C163,'חד גזעי'!$AH$2:$AH$7,1,FALSE)&gt;0,0,IF('חד גזעי'!$AM$5="כן",IF(_xlfn.IFNA(VLOOKUP(C163,'חד גזעי'!$AH$2:$AH$33,1,FALSE),SUM(J163:M163))&lt;21,_xlfn.IFNA(VLOOKUP(C163,'חד גזעי'!$AH$2:$AH$33,1,FALSE),SUM(J163:M163)),0),SUM(J163:M163))),IF('חד גזעי'!$AM$5="כן",IF(_xlfn.IFNA(VLOOKUP(C163,'חד גזעי'!$AH$2:$AH$33,1,FALSE),SUM(J163:M163))&lt;21,_xlfn.IFNA(VLOOKUP(C163,'חד גזעי'!$AH$2:$AH$33,1,FALSE),SUM(J163:M163)),0),SUM(J163:M163)))</f>
        <v>#N/A</v>
      </c>
      <c r="O163" s="72">
        <f>IF('חד גזעי'!$AM$3 = "כן",IF(T163&gt;4,4,T163),T163)</f>
        <v>0</v>
      </c>
      <c r="P163" s="80">
        <f>IF(E163&lt;2,0,IF(Z163&gt;0,Z163,IF(N163 = 0,0,IF('חד גזעי'!$AM$2 = "לא",IF(F163&gt;19,W163,0),IF(F163&gt;9,Y163,0)))))</f>
        <v>0</v>
      </c>
      <c r="Q163" s="77"/>
      <c r="R163" s="76"/>
      <c r="S163" t="e">
        <f>VLOOKUP(C163,'חד גזעי'!$Y$4:$Y$18,1,0)</f>
        <v>#N/A</v>
      </c>
      <c r="T163" s="72">
        <f>IF('חד גזעי'!$AM$6="לא",IF(P163=0,IF(BC163="שימור",IF('חד גזעי'!$AM$4="לא",IF(BC163="לא בוגר",0,IF(BC163="לא קיים",0,IF(J163=0,0,I163*0.1))),IF(BC163="לא בוגר",0,IF(BC163="לא קיים",0,IF(AB163=1,I163*0.1,E163*0.5)))),0),IF('חד גזעי'!$AM$4="לא",IF(BC163="לא בוגר",0,IF(BC163="לא קיים",0,IF(J163=0,0,I163*0.1))),IF(BC163="לא בוגר",0,IF(BC163="לא קיים",0,IF(AB163=1,I163*0.1,E163*0.5))))),IF(P163=0,IF(BC163="שימור",IF('חד גזעי'!$AM$4="לא",IF(BC163="לא בוגר",0,IF(BC163="לא קיים",0,IF(J163=0,0,I163*0.15))),IF(BC163="לא בוגר",0,IF(BC163="לא קיים",0,IF(AB163=1,I163*0.15,E163*0.5)))),0),IF('חד גזעי'!$AM$4="לא",IF(BC163="לא בוגר",0,IF(BC163="לא קיים",0,IF(J163=0,0,I163*0.15))),IF(BC163="לא בוגר",0,IF(BC163="לא קיים",0,IF(AB163=1,I163*0.15,E163*0.5))))))</f>
        <v>0</v>
      </c>
      <c r="V163" t="e">
        <f t="shared" si="150"/>
        <v>#N/A</v>
      </c>
      <c r="W163" t="e">
        <f t="shared" si="151"/>
        <v>#N/A</v>
      </c>
      <c r="X163" t="e">
        <f t="shared" si="152"/>
        <v>#N/A</v>
      </c>
      <c r="Y163">
        <f>IF('חד גזעי'!$AM$2 = "לא",0,IF(F163&gt;9,W163,0))</f>
        <v>0</v>
      </c>
      <c r="Z163">
        <f>IF('חד גזעי'!$AM$7 = "לא",0,IF(C163 = "זית אירופי",IF('חד גזעי'!$AN$7 &lt;=סקר!F163,W163,0),IF(C163 = "חרוב מצוי",IF('חד גזעי'!$AN$7 &lt;=סקר!F163,W163,0),0)))</f>
        <v>0</v>
      </c>
      <c r="AB163">
        <f t="shared" si="161"/>
        <v>1</v>
      </c>
      <c r="AC163" s="72"/>
      <c r="AD163" t="e">
        <f t="shared" si="179"/>
        <v>#N/A</v>
      </c>
      <c r="AE163" s="72"/>
      <c r="AF163" s="72" t="e">
        <f t="shared" si="162"/>
        <v>#N/A</v>
      </c>
      <c r="AG163" s="72" t="e">
        <f>IF('חד גזעי'!$AM$5="לא",(VLOOKUP(C163,'חד גזעי'!$P$1:$S$589,3,FALSE)),(VLOOKUP(C163,'חד גזעי'!$P$1:$S$589,4,FALSE)))</f>
        <v>#N/A</v>
      </c>
      <c r="AH163" s="72">
        <f t="shared" si="163"/>
        <v>0</v>
      </c>
      <c r="AI163" s="72">
        <f t="shared" si="164"/>
        <v>0</v>
      </c>
      <c r="AJ163" s="72">
        <f t="shared" si="165"/>
        <v>0</v>
      </c>
      <c r="AK163" s="72" t="e">
        <f t="shared" si="166"/>
        <v>#N/A</v>
      </c>
      <c r="AL163" t="e">
        <f>VLOOKUP(C163,'חד גזעי'!$AH$8:$AI$33,2,FALSE)</f>
        <v>#N/A</v>
      </c>
      <c r="AM163" s="72" t="b">
        <f t="shared" si="167"/>
        <v>0</v>
      </c>
      <c r="AN163" s="72" t="b">
        <f t="shared" si="168"/>
        <v>0</v>
      </c>
      <c r="AO163" s="72" t="b">
        <f t="shared" si="169"/>
        <v>0</v>
      </c>
      <c r="AS163" s="72">
        <f t="shared" si="170"/>
        <v>0</v>
      </c>
      <c r="AT163" s="72">
        <f t="shared" si="171"/>
        <v>0</v>
      </c>
      <c r="AU163" s="72">
        <f t="shared" si="180"/>
        <v>0</v>
      </c>
      <c r="AV163" s="72">
        <f t="shared" si="172"/>
        <v>0</v>
      </c>
      <c r="AW163" s="72">
        <f t="shared" si="173"/>
        <v>0</v>
      </c>
      <c r="AX163" s="72">
        <f t="shared" si="174"/>
        <v>0</v>
      </c>
      <c r="AY163" s="72">
        <f t="shared" si="175"/>
        <v>0</v>
      </c>
      <c r="AZ163" s="72">
        <f t="shared" si="176"/>
        <v>0</v>
      </c>
      <c r="BA163" s="72" t="e">
        <f t="shared" si="177"/>
        <v>#N/A</v>
      </c>
      <c r="BB163" s="72" t="e">
        <f t="shared" si="178"/>
        <v>#N/A</v>
      </c>
      <c r="BC163" s="77"/>
      <c r="BE163">
        <f t="shared" si="158"/>
        <v>0</v>
      </c>
      <c r="BF163" s="196"/>
      <c r="BG163" s="196"/>
      <c r="BH163" s="196"/>
      <c r="BI163" s="196"/>
      <c r="BJ163" s="196"/>
      <c r="BK163" s="196"/>
    </row>
    <row r="164" spans="2:63" hidden="1">
      <c r="B164" s="72"/>
      <c r="C164" s="135"/>
      <c r="D164" s="78"/>
      <c r="E164" s="78"/>
      <c r="F164" s="72"/>
      <c r="G164" s="72"/>
      <c r="H164" s="72"/>
      <c r="I164" s="73">
        <f t="shared" si="160"/>
        <v>0</v>
      </c>
      <c r="J164" s="78"/>
      <c r="K164" s="73"/>
      <c r="L164" s="74" t="e">
        <f>_xlfn.IFNA(VLOOKUP(C164,'חד גזעי'!$U$3:$V$509,2,0),VLOOKUP(C164,'חד גזעי'!$U$3:$V$509,2))</f>
        <v>#N/A</v>
      </c>
      <c r="M164" s="73"/>
      <c r="N164" s="72" t="e">
        <f>_xlfn.IFNA(IF(VLOOKUP(C164,'חד גזעי'!$AH$2:$AH$7,1,FALSE)&gt;0,0,IF('חד גזעי'!$AM$5="כן",IF(_xlfn.IFNA(VLOOKUP(C164,'חד גזעי'!$AH$2:$AH$33,1,FALSE),SUM(J164:M164))&lt;21,_xlfn.IFNA(VLOOKUP(C164,'חד גזעי'!$AH$2:$AH$33,1,FALSE),SUM(J164:M164)),0),SUM(J164:M164))),IF('חד גזעי'!$AM$5="כן",IF(_xlfn.IFNA(VLOOKUP(C164,'חד גזעי'!$AH$2:$AH$33,1,FALSE),SUM(J164:M164))&lt;21,_xlfn.IFNA(VLOOKUP(C164,'חד גזעי'!$AH$2:$AH$33,1,FALSE),SUM(J164:M164)),0),SUM(J164:M164)))</f>
        <v>#N/A</v>
      </c>
      <c r="O164" s="72">
        <f>IF('חד גזעי'!$AM$3 = "כן",IF(T164&gt;4,4,T164),T164)</f>
        <v>0</v>
      </c>
      <c r="P164" s="80">
        <f>IF(E164&lt;2,0,IF(Z164&gt;0,Z164,IF(N164 = 0,0,IF('חד גזעי'!$AM$2 = "לא",IF(F164&gt;19,W164,0),IF(F164&gt;9,Y164,0)))))</f>
        <v>0</v>
      </c>
      <c r="Q164" s="77"/>
      <c r="R164" s="75"/>
      <c r="S164" t="e">
        <f>VLOOKUP(C164,'חד גזעי'!$Y$4:$Y$18,1,0)</f>
        <v>#N/A</v>
      </c>
      <c r="T164" s="72">
        <f>IF('חד גזעי'!$AM$6="לא",IF(P164=0,IF(BC164="שימור",IF('חד גזעי'!$AM$4="לא",IF(BC164="לא בוגר",0,IF(BC164="לא קיים",0,IF(J164=0,0,I164*0.1))),IF(BC164="לא בוגר",0,IF(BC164="לא קיים",0,IF(AB164=1,I164*0.1,E164*0.5)))),0),IF('חד גזעי'!$AM$4="לא",IF(BC164="לא בוגר",0,IF(BC164="לא קיים",0,IF(J164=0,0,I164*0.1))),IF(BC164="לא בוגר",0,IF(BC164="לא קיים",0,IF(AB164=1,I164*0.1,E164*0.5))))),IF(P164=0,IF(BC164="שימור",IF('חד גזעי'!$AM$4="לא",IF(BC164="לא בוגר",0,IF(BC164="לא קיים",0,IF(J164=0,0,I164*0.15))),IF(BC164="לא בוגר",0,IF(BC164="לא קיים",0,IF(AB164=1,I164*0.15,E164*0.5)))),0),IF('חד גזעי'!$AM$4="לא",IF(BC164="לא בוגר",0,IF(BC164="לא קיים",0,IF(J164=0,0,I164*0.15))),IF(BC164="לא בוגר",0,IF(BC164="לא קיים",0,IF(AB164=1,I164*0.15,E164*0.5))))))</f>
        <v>0</v>
      </c>
      <c r="V164" t="e">
        <f t="shared" si="150"/>
        <v>#N/A</v>
      </c>
      <c r="W164" t="e">
        <f t="shared" si="151"/>
        <v>#N/A</v>
      </c>
      <c r="X164" t="e">
        <f t="shared" si="152"/>
        <v>#N/A</v>
      </c>
      <c r="Y164">
        <f>IF('חד גזעי'!$AM$2 = "לא",0,IF(F164&gt;9,W164,0))</f>
        <v>0</v>
      </c>
      <c r="Z164">
        <f>IF('חד גזעי'!$AM$7 = "לא",0,IF(C164 = "זית אירופי",IF('חד גזעי'!$AN$7 &lt;=סקר!F164,W164,0),IF(C164 = "חרוב מצוי",IF('חד גזעי'!$AN$7 &lt;=סקר!F164,W164,0),0)))</f>
        <v>0</v>
      </c>
      <c r="AB164">
        <f t="shared" si="161"/>
        <v>1</v>
      </c>
      <c r="AC164" s="72"/>
      <c r="AD164" t="e">
        <f t="shared" si="179"/>
        <v>#N/A</v>
      </c>
      <c r="AE164" s="72"/>
      <c r="AF164" s="72" t="e">
        <f t="shared" si="162"/>
        <v>#N/A</v>
      </c>
      <c r="AG164" s="72" t="e">
        <f>IF('חד גזעי'!$AM$5="לא",(VLOOKUP(C164,'חד גזעי'!$P$1:$S$589,3,FALSE)),(VLOOKUP(C164,'חד גזעי'!$P$1:$S$589,4,FALSE)))</f>
        <v>#N/A</v>
      </c>
      <c r="AH164" s="72">
        <f t="shared" si="163"/>
        <v>0</v>
      </c>
      <c r="AI164" s="72">
        <f t="shared" si="164"/>
        <v>0</v>
      </c>
      <c r="AJ164" s="72">
        <f t="shared" si="165"/>
        <v>0</v>
      </c>
      <c r="AK164" s="72" t="e">
        <f t="shared" si="166"/>
        <v>#N/A</v>
      </c>
      <c r="AL164" t="e">
        <f>VLOOKUP(C164,'חד גזעי'!$AH$8:$AI$33,2,FALSE)</f>
        <v>#N/A</v>
      </c>
      <c r="AM164" s="72" t="b">
        <f t="shared" si="167"/>
        <v>0</v>
      </c>
      <c r="AN164" s="72" t="b">
        <f t="shared" si="168"/>
        <v>0</v>
      </c>
      <c r="AO164" s="72" t="b">
        <f t="shared" si="169"/>
        <v>0</v>
      </c>
      <c r="AS164" s="72">
        <f t="shared" si="170"/>
        <v>0</v>
      </c>
      <c r="AT164" s="72">
        <f t="shared" si="171"/>
        <v>0</v>
      </c>
      <c r="AU164" s="72">
        <f t="shared" si="180"/>
        <v>0</v>
      </c>
      <c r="AV164" s="72">
        <f t="shared" si="172"/>
        <v>0</v>
      </c>
      <c r="AW164" s="72">
        <f t="shared" si="173"/>
        <v>0</v>
      </c>
      <c r="AX164" s="72">
        <f t="shared" si="174"/>
        <v>0</v>
      </c>
      <c r="AY164" s="72">
        <f t="shared" si="175"/>
        <v>0</v>
      </c>
      <c r="AZ164" s="72">
        <f t="shared" si="176"/>
        <v>0</v>
      </c>
      <c r="BA164" s="72" t="e">
        <f t="shared" si="177"/>
        <v>#N/A</v>
      </c>
      <c r="BB164" s="72" t="e">
        <f t="shared" si="178"/>
        <v>#N/A</v>
      </c>
      <c r="BC164" s="77"/>
      <c r="BE164">
        <f t="shared" si="158"/>
        <v>0</v>
      </c>
      <c r="BF164" s="196"/>
      <c r="BG164" s="196"/>
      <c r="BH164" s="196"/>
      <c r="BI164" s="196"/>
      <c r="BJ164" s="196"/>
      <c r="BK164" s="196"/>
    </row>
    <row r="165" spans="2:63" hidden="1">
      <c r="B165" s="72"/>
      <c r="C165" s="135"/>
      <c r="D165" s="78"/>
      <c r="E165" s="78"/>
      <c r="F165" s="72"/>
      <c r="G165" s="72"/>
      <c r="H165" s="72"/>
      <c r="I165" s="73">
        <f t="shared" si="160"/>
        <v>0</v>
      </c>
      <c r="J165" s="78"/>
      <c r="K165" s="73"/>
      <c r="L165" s="74" t="e">
        <f>_xlfn.IFNA(VLOOKUP(C165,'חד גזעי'!$U$3:$V$509,2,0),VLOOKUP(C165,'חד גזעי'!$U$3:$V$509,2))</f>
        <v>#N/A</v>
      </c>
      <c r="M165" s="73"/>
      <c r="N165" s="72" t="e">
        <f>_xlfn.IFNA(IF(VLOOKUP(C165,'חד גזעי'!$AH$2:$AH$7,1,FALSE)&gt;0,0,IF('חד גזעי'!$AM$5="כן",IF(_xlfn.IFNA(VLOOKUP(C165,'חד גזעי'!$AH$2:$AH$33,1,FALSE),SUM(J165:M165))&lt;21,_xlfn.IFNA(VLOOKUP(C165,'חד גזעי'!$AH$2:$AH$33,1,FALSE),SUM(J165:M165)),0),SUM(J165:M165))),IF('חד גזעי'!$AM$5="כן",IF(_xlfn.IFNA(VLOOKUP(C165,'חד גזעי'!$AH$2:$AH$33,1,FALSE),SUM(J165:M165))&lt;21,_xlfn.IFNA(VLOOKUP(C165,'חד גזעי'!$AH$2:$AH$33,1,FALSE),SUM(J165:M165)),0),SUM(J165:M165)))</f>
        <v>#N/A</v>
      </c>
      <c r="O165" s="72">
        <f>IF('חד גזעי'!$AM$3 = "כן",IF(T165&gt;4,4,T165),T165)</f>
        <v>0</v>
      </c>
      <c r="P165" s="80">
        <f>IF(E165&lt;2,0,IF(Z165&gt;0,Z165,IF(N165 = 0,0,IF('חד גזעי'!$AM$2 = "לא",IF(F165&gt;19,W165,0),IF(F165&gt;9,Y165,0)))))</f>
        <v>0</v>
      </c>
      <c r="Q165" s="77"/>
      <c r="R165" s="76"/>
      <c r="S165" t="e">
        <f>VLOOKUP(C165,'חד גזעי'!$Y$4:$Y$18,1,0)</f>
        <v>#N/A</v>
      </c>
      <c r="T165" s="72">
        <f>IF('חד גזעי'!$AM$6="לא",IF(P165=0,IF(BC165="שימור",IF('חד גזעי'!$AM$4="לא",IF(BC165="לא בוגר",0,IF(BC165="לא קיים",0,IF(J165=0,0,I165*0.1))),IF(BC165="לא בוגר",0,IF(BC165="לא קיים",0,IF(AB165=1,I165*0.1,E165*0.5)))),0),IF('חד גזעי'!$AM$4="לא",IF(BC165="לא בוגר",0,IF(BC165="לא קיים",0,IF(J165=0,0,I165*0.1))),IF(BC165="לא בוגר",0,IF(BC165="לא קיים",0,IF(AB165=1,I165*0.1,E165*0.5))))),IF(P165=0,IF(BC165="שימור",IF('חד גזעי'!$AM$4="לא",IF(BC165="לא בוגר",0,IF(BC165="לא קיים",0,IF(J165=0,0,I165*0.15))),IF(BC165="לא בוגר",0,IF(BC165="לא קיים",0,IF(AB165=1,I165*0.15,E165*0.5)))),0),IF('חד גזעי'!$AM$4="לא",IF(BC165="לא בוגר",0,IF(BC165="לא קיים",0,IF(J165=0,0,I165*0.15))),IF(BC165="לא בוגר",0,IF(BC165="לא קיים",0,IF(AB165=1,I165*0.15,E165*0.5))))))</f>
        <v>0</v>
      </c>
      <c r="V165" t="e">
        <f t="shared" si="150"/>
        <v>#N/A</v>
      </c>
      <c r="W165" t="e">
        <f t="shared" si="151"/>
        <v>#N/A</v>
      </c>
      <c r="X165" t="e">
        <f t="shared" si="152"/>
        <v>#N/A</v>
      </c>
      <c r="Y165">
        <f>IF('חד גזעי'!$AM$2 = "לא",0,IF(F165&gt;9,W165,0))</f>
        <v>0</v>
      </c>
      <c r="Z165">
        <f>IF('חד גזעי'!$AM$7 = "לא",0,IF(C165 = "זית אירופי",IF('חד גזעי'!$AN$7 &lt;=סקר!F165,W165,0),IF(C165 = "חרוב מצוי",IF('חד גזעי'!$AN$7 &lt;=סקר!F165,W165,0),0)))</f>
        <v>0</v>
      </c>
      <c r="AB165">
        <f t="shared" si="161"/>
        <v>1</v>
      </c>
      <c r="AC165" s="72"/>
      <c r="AD165" t="e">
        <f t="shared" si="179"/>
        <v>#N/A</v>
      </c>
      <c r="AE165" s="72"/>
      <c r="AF165" s="72" t="e">
        <f t="shared" si="162"/>
        <v>#N/A</v>
      </c>
      <c r="AG165" s="72" t="e">
        <f>IF('חד גזעי'!$AM$5="לא",(VLOOKUP(C165,'חד גזעי'!$P$1:$S$589,3,FALSE)),(VLOOKUP(C165,'חד גזעי'!$P$1:$S$589,4,FALSE)))</f>
        <v>#N/A</v>
      </c>
      <c r="AH165" s="72">
        <f t="shared" si="163"/>
        <v>0</v>
      </c>
      <c r="AI165" s="72">
        <f t="shared" si="164"/>
        <v>0</v>
      </c>
      <c r="AJ165" s="72">
        <f t="shared" si="165"/>
        <v>0</v>
      </c>
      <c r="AK165" s="72" t="e">
        <f t="shared" si="166"/>
        <v>#N/A</v>
      </c>
      <c r="AL165" t="e">
        <f>VLOOKUP(C165,'חד גזעי'!$AH$8:$AI$33,2,FALSE)</f>
        <v>#N/A</v>
      </c>
      <c r="AM165" s="72" t="b">
        <f t="shared" si="167"/>
        <v>0</v>
      </c>
      <c r="AN165" s="72" t="b">
        <f t="shared" si="168"/>
        <v>0</v>
      </c>
      <c r="AO165" s="72" t="b">
        <f t="shared" si="169"/>
        <v>0</v>
      </c>
      <c r="AS165" s="72">
        <f t="shared" si="170"/>
        <v>0</v>
      </c>
      <c r="AT165" s="72">
        <f t="shared" si="171"/>
        <v>0</v>
      </c>
      <c r="AU165" s="72">
        <f t="shared" si="180"/>
        <v>0</v>
      </c>
      <c r="AV165" s="72">
        <f t="shared" si="172"/>
        <v>0</v>
      </c>
      <c r="AW165" s="72">
        <f t="shared" si="173"/>
        <v>0</v>
      </c>
      <c r="AX165" s="72">
        <f t="shared" si="174"/>
        <v>0</v>
      </c>
      <c r="AY165" s="72">
        <f t="shared" si="175"/>
        <v>0</v>
      </c>
      <c r="AZ165" s="72">
        <f t="shared" si="176"/>
        <v>0</v>
      </c>
      <c r="BA165" s="72" t="e">
        <f t="shared" si="177"/>
        <v>#N/A</v>
      </c>
      <c r="BB165" s="72" t="e">
        <f t="shared" si="178"/>
        <v>#N/A</v>
      </c>
      <c r="BC165" s="77"/>
      <c r="BE165">
        <f t="shared" si="158"/>
        <v>0</v>
      </c>
      <c r="BF165" s="196"/>
      <c r="BG165" s="196"/>
      <c r="BH165" s="196"/>
      <c r="BI165" s="196"/>
      <c r="BJ165" s="196"/>
      <c r="BK165" s="196"/>
    </row>
    <row r="166" spans="2:63" hidden="1">
      <c r="B166" s="72"/>
      <c r="C166" s="135"/>
      <c r="D166" s="78"/>
      <c r="E166" s="78"/>
      <c r="F166" s="72"/>
      <c r="G166" s="72"/>
      <c r="H166" s="72"/>
      <c r="I166" s="73">
        <f t="shared" si="160"/>
        <v>0</v>
      </c>
      <c r="J166" s="78"/>
      <c r="K166" s="73"/>
      <c r="L166" s="74" t="e">
        <f>_xlfn.IFNA(VLOOKUP(C166,'חד גזעי'!$U$3:$V$509,2,0),VLOOKUP(C166,'חד גזעי'!$U$3:$V$509,2))</f>
        <v>#N/A</v>
      </c>
      <c r="M166" s="102"/>
      <c r="N166" s="72" t="e">
        <f>_xlfn.IFNA(IF(VLOOKUP(C166,'חד גזעי'!$AH$2:$AH$7,1,FALSE)&gt;0,0,IF('חד גזעי'!$AM$5="כן",IF(_xlfn.IFNA(VLOOKUP(C166,'חד גזעי'!$AH$2:$AH$33,1,FALSE),SUM(J166:M166))&lt;21,_xlfn.IFNA(VLOOKUP(C166,'חד גזעי'!$AH$2:$AH$33,1,FALSE),SUM(J166:M166)),0),SUM(J166:M166))),IF('חד גזעי'!$AM$5="כן",IF(_xlfn.IFNA(VLOOKUP(C166,'חד גזעי'!$AH$2:$AH$33,1,FALSE),SUM(J166:M166))&lt;21,_xlfn.IFNA(VLOOKUP(C166,'חד גזעי'!$AH$2:$AH$33,1,FALSE),SUM(J166:M166)),0),SUM(J166:M166)))</f>
        <v>#N/A</v>
      </c>
      <c r="O166" s="72">
        <f>IF('חד גזעי'!$AM$3 = "כן",IF(T166&gt;4,4,T166),T166)</f>
        <v>0</v>
      </c>
      <c r="P166" s="80">
        <f>IF(E166&lt;2,0,IF(Z166&gt;0,Z166,IF(N166 = 0,0,IF('חד גזעי'!$AM$2 = "לא",IF(F166&gt;19,W166,0),IF(F166&gt;9,Y166,0)))))</f>
        <v>0</v>
      </c>
      <c r="Q166" s="77"/>
      <c r="R166" s="76"/>
      <c r="S166" t="e">
        <f>VLOOKUP(C166,'חד גזעי'!$Y$4:$Y$18,1,0)</f>
        <v>#N/A</v>
      </c>
      <c r="T166" s="72">
        <f>IF('חד גזעי'!$AM$6="לא",IF(P166=0,IF(BC166="שימור",IF('חד גזעי'!$AM$4="לא",IF(BC166="לא בוגר",0,IF(BC166="לא קיים",0,IF(J166=0,0,I166*0.1))),IF(BC166="לא בוגר",0,IF(BC166="לא קיים",0,IF(AB166=1,I166*0.1,E166*0.5)))),0),IF('חד גזעי'!$AM$4="לא",IF(BC166="לא בוגר",0,IF(BC166="לא קיים",0,IF(J166=0,0,I166*0.1))),IF(BC166="לא בוגר",0,IF(BC166="לא קיים",0,IF(AB166=1,I166*0.1,E166*0.5))))),IF(P166=0,IF(BC166="שימור",IF('חד גזעי'!$AM$4="לא",IF(BC166="לא בוגר",0,IF(BC166="לא קיים",0,IF(J166=0,0,I166*0.15))),IF(BC166="לא בוגר",0,IF(BC166="לא קיים",0,IF(AB166=1,I166*0.15,E166*0.5)))),0),IF('חד גזעי'!$AM$4="לא",IF(BC166="לא בוגר",0,IF(BC166="לא קיים",0,IF(J166=0,0,I166*0.15))),IF(BC166="לא בוגר",0,IF(BC166="לא קיים",0,IF(AB166=1,I166*0.15,E166*0.5))))))</f>
        <v>0</v>
      </c>
      <c r="V166" t="e">
        <f t="shared" si="150"/>
        <v>#N/A</v>
      </c>
      <c r="W166" t="e">
        <f t="shared" si="151"/>
        <v>#N/A</v>
      </c>
      <c r="X166" t="e">
        <f t="shared" si="152"/>
        <v>#N/A</v>
      </c>
      <c r="Y166">
        <f>IF('חד גזעי'!$AM$2 = "לא",0,IF(F166&gt;9,W166,0))</f>
        <v>0</v>
      </c>
      <c r="Z166">
        <f>IF('חד גזעי'!$AM$7 = "לא",0,IF(C166 = "זית אירופי",IF('חד גזעי'!$AN$7 &lt;=סקר!F166,W166,0),IF(C166 = "חרוב מצוי",IF('חד גזעי'!$AN$7 &lt;=סקר!F166,W166,0),0)))</f>
        <v>0</v>
      </c>
      <c r="AB166">
        <f t="shared" si="161"/>
        <v>1</v>
      </c>
      <c r="AC166" s="72"/>
      <c r="AD166" t="e">
        <f t="shared" si="179"/>
        <v>#N/A</v>
      </c>
      <c r="AE166" s="72"/>
      <c r="AF166" s="72" t="e">
        <f t="shared" si="162"/>
        <v>#N/A</v>
      </c>
      <c r="AG166" s="72" t="e">
        <f>IF('חד גזעי'!$AM$5="לא",(VLOOKUP(C166,'חד גזעי'!$P$1:$S$589,3,FALSE)),(VLOOKUP(C166,'חד גזעי'!$P$1:$S$589,4,FALSE)))</f>
        <v>#N/A</v>
      </c>
      <c r="AH166" s="72">
        <f t="shared" si="163"/>
        <v>0</v>
      </c>
      <c r="AI166" s="72">
        <f t="shared" si="164"/>
        <v>0</v>
      </c>
      <c r="AJ166" s="72">
        <f t="shared" si="165"/>
        <v>0</v>
      </c>
      <c r="AK166" s="72" t="e">
        <f t="shared" si="166"/>
        <v>#N/A</v>
      </c>
      <c r="AL166" t="e">
        <f>VLOOKUP(C166,'חד גזעי'!$AH$8:$AI$33,2,FALSE)</f>
        <v>#N/A</v>
      </c>
      <c r="AM166" s="72" t="b">
        <f t="shared" si="167"/>
        <v>0</v>
      </c>
      <c r="AN166" s="72" t="b">
        <f t="shared" si="168"/>
        <v>0</v>
      </c>
      <c r="AO166" s="72" t="b">
        <f t="shared" si="169"/>
        <v>0</v>
      </c>
      <c r="AS166" s="72">
        <f t="shared" si="170"/>
        <v>0</v>
      </c>
      <c r="AT166" s="72">
        <f t="shared" si="171"/>
        <v>0</v>
      </c>
      <c r="AU166" s="72">
        <f t="shared" si="180"/>
        <v>0</v>
      </c>
      <c r="AV166" s="72">
        <f t="shared" si="172"/>
        <v>0</v>
      </c>
      <c r="AW166" s="72">
        <f t="shared" si="173"/>
        <v>0</v>
      </c>
      <c r="AX166" s="72">
        <f t="shared" si="174"/>
        <v>0</v>
      </c>
      <c r="AY166" s="72">
        <f t="shared" si="175"/>
        <v>0</v>
      </c>
      <c r="AZ166" s="72">
        <f t="shared" si="176"/>
        <v>0</v>
      </c>
      <c r="BA166" s="72" t="e">
        <f t="shared" si="177"/>
        <v>#N/A</v>
      </c>
      <c r="BB166" s="72" t="e">
        <f t="shared" si="178"/>
        <v>#N/A</v>
      </c>
      <c r="BC166" s="77"/>
      <c r="BE166">
        <f t="shared" si="158"/>
        <v>0</v>
      </c>
      <c r="BF166" s="196"/>
      <c r="BG166" s="196"/>
      <c r="BH166" s="196"/>
      <c r="BI166" s="196"/>
      <c r="BJ166" s="196"/>
      <c r="BK166" s="196"/>
    </row>
    <row r="167" spans="2:63" hidden="1">
      <c r="B167" s="72"/>
      <c r="C167" s="135"/>
      <c r="D167" s="73"/>
      <c r="E167" s="73"/>
      <c r="F167" s="72"/>
      <c r="G167" s="72"/>
      <c r="H167" s="72"/>
      <c r="I167" s="73">
        <f t="shared" si="160"/>
        <v>0</v>
      </c>
      <c r="J167" s="73"/>
      <c r="K167" s="73"/>
      <c r="L167" s="74" t="e">
        <f>_xlfn.IFNA(VLOOKUP(C167,'חד גזעי'!$U$3:$V$509,2,0),VLOOKUP(C167,'חד גזעי'!$U$3:$V$509,2))</f>
        <v>#N/A</v>
      </c>
      <c r="M167" s="73"/>
      <c r="N167" s="72" t="e">
        <f>_xlfn.IFNA(IF(VLOOKUP(C167,'חד גזעי'!$AH$2:$AH$7,1,FALSE)&gt;0,0,IF('חד גזעי'!$AM$5="כן",IF(_xlfn.IFNA(VLOOKUP(C167,'חד גזעי'!$AH$2:$AH$33,1,FALSE),SUM(J167:M167))&lt;21,_xlfn.IFNA(VLOOKUP(C167,'חד גזעי'!$AH$2:$AH$33,1,FALSE),SUM(J167:M167)),0),SUM(J167:M167))),IF('חד גזעי'!$AM$5="כן",IF(_xlfn.IFNA(VLOOKUP(C167,'חד גזעי'!$AH$2:$AH$33,1,FALSE),SUM(J167:M167))&lt;21,_xlfn.IFNA(VLOOKUP(C167,'חד גזעי'!$AH$2:$AH$33,1,FALSE),SUM(J167:M167)),0),SUM(J167:M167)))</f>
        <v>#N/A</v>
      </c>
      <c r="O167" s="72">
        <f>IF('חד גזעי'!$AM$3 = "כן",IF(T167&gt;4,4,T167),T167)</f>
        <v>0</v>
      </c>
      <c r="P167" s="80">
        <f>IF(E167&lt;2,0,IF(Z167&gt;0,Z167,IF(N167 = 0,0,IF('חד גזעי'!$AM$2 = "לא",IF(F167&gt;19,W167,0),IF(F167&gt;9,Y167,0)))))</f>
        <v>0</v>
      </c>
      <c r="Q167" s="77"/>
      <c r="R167" s="76"/>
      <c r="S167" t="e">
        <f>VLOOKUP(C167,'חד גזעי'!$Y$4:$Y$18,1,0)</f>
        <v>#N/A</v>
      </c>
      <c r="T167" s="72">
        <f>IF('חד גזעי'!$AM$6="לא",IF(P167=0,IF(BC167="שימור",IF('חד גזעי'!$AM$4="לא",IF(BC167="לא בוגר",0,IF(BC167="לא קיים",0,IF(J167=0,0,I167*0.1))),IF(BC167="לא בוגר",0,IF(BC167="לא קיים",0,IF(AB167=1,I167*0.1,E167*0.5)))),0),IF('חד גזעי'!$AM$4="לא",IF(BC167="לא בוגר",0,IF(BC167="לא קיים",0,IF(J167=0,0,I167*0.1))),IF(BC167="לא בוגר",0,IF(BC167="לא קיים",0,IF(AB167=1,I167*0.1,E167*0.5))))),IF(P167=0,IF(BC167="שימור",IF('חד גזעי'!$AM$4="לא",IF(BC167="לא בוגר",0,IF(BC167="לא קיים",0,IF(J167=0,0,I167*0.15))),IF(BC167="לא בוגר",0,IF(BC167="לא קיים",0,IF(AB167=1,I167*0.15,E167*0.5)))),0),IF('חד גזעי'!$AM$4="לא",IF(BC167="לא בוגר",0,IF(BC167="לא קיים",0,IF(J167=0,0,I167*0.15))),IF(BC167="לא בוגר",0,IF(BC167="לא קיים",0,IF(AB167=1,I167*0.15,E167*0.5))))))</f>
        <v>0</v>
      </c>
      <c r="V167" t="e">
        <f t="shared" si="150"/>
        <v>#N/A</v>
      </c>
      <c r="W167" t="e">
        <f t="shared" si="151"/>
        <v>#N/A</v>
      </c>
      <c r="X167" t="e">
        <f t="shared" si="152"/>
        <v>#N/A</v>
      </c>
      <c r="Y167">
        <f>IF('חד גזעי'!$AM$2 = "לא",0,IF(F167&gt;9,W167,0))</f>
        <v>0</v>
      </c>
      <c r="Z167">
        <f>IF('חד גזעי'!$AM$7 = "לא",0,IF(C167 = "זית אירופי",IF('חד גזעי'!$AN$7 &lt;=סקר!F167,W167,0),IF(C167 = "חרוב מצוי",IF('חד גזעי'!$AN$7 &lt;=סקר!F167,W167,0),0)))</f>
        <v>0</v>
      </c>
      <c r="AB167">
        <f t="shared" si="161"/>
        <v>1</v>
      </c>
      <c r="AC167" s="72"/>
      <c r="AD167" t="e">
        <f t="shared" si="179"/>
        <v>#N/A</v>
      </c>
      <c r="AE167" s="72"/>
      <c r="AF167" s="72" t="e">
        <f t="shared" si="162"/>
        <v>#N/A</v>
      </c>
      <c r="AG167" s="72" t="e">
        <f>IF('חד גזעי'!$AM$5="לא",(VLOOKUP(C167,'חד גזעי'!$P$1:$S$589,3,FALSE)),(VLOOKUP(C167,'חד גזעי'!$P$1:$S$589,4,FALSE)))</f>
        <v>#N/A</v>
      </c>
      <c r="AH167" s="72">
        <f t="shared" si="163"/>
        <v>0</v>
      </c>
      <c r="AI167" s="72">
        <f t="shared" si="164"/>
        <v>0</v>
      </c>
      <c r="AJ167" s="72">
        <f t="shared" si="165"/>
        <v>0</v>
      </c>
      <c r="AK167" s="72" t="e">
        <f t="shared" si="166"/>
        <v>#N/A</v>
      </c>
      <c r="AL167" t="e">
        <f>VLOOKUP(C167,'חד גזעי'!$AH$8:$AI$33,2,FALSE)</f>
        <v>#N/A</v>
      </c>
      <c r="AM167" s="72" t="b">
        <f t="shared" si="167"/>
        <v>0</v>
      </c>
      <c r="AN167" s="72" t="b">
        <f t="shared" si="168"/>
        <v>0</v>
      </c>
      <c r="AO167" s="72" t="b">
        <f t="shared" si="169"/>
        <v>0</v>
      </c>
      <c r="AS167" s="72">
        <f t="shared" si="170"/>
        <v>0</v>
      </c>
      <c r="AT167" s="72">
        <f t="shared" si="171"/>
        <v>0</v>
      </c>
      <c r="AU167" s="72">
        <f t="shared" si="180"/>
        <v>0</v>
      </c>
      <c r="AV167" s="72">
        <f t="shared" si="172"/>
        <v>0</v>
      </c>
      <c r="AW167" s="72">
        <f t="shared" si="173"/>
        <v>0</v>
      </c>
      <c r="AX167" s="72">
        <f t="shared" si="174"/>
        <v>0</v>
      </c>
      <c r="AY167" s="72">
        <f t="shared" si="175"/>
        <v>0</v>
      </c>
      <c r="AZ167" s="72">
        <f t="shared" si="176"/>
        <v>0</v>
      </c>
      <c r="BA167" s="72" t="e">
        <f t="shared" si="177"/>
        <v>#N/A</v>
      </c>
      <c r="BB167" s="72" t="e">
        <f t="shared" si="178"/>
        <v>#N/A</v>
      </c>
      <c r="BC167" s="77"/>
      <c r="BE167">
        <f t="shared" si="158"/>
        <v>0</v>
      </c>
      <c r="BF167" s="196"/>
      <c r="BG167" s="196"/>
      <c r="BH167" s="196"/>
      <c r="BI167" s="196"/>
      <c r="BJ167" s="196"/>
      <c r="BK167" s="196"/>
    </row>
    <row r="168" spans="2:63" hidden="1">
      <c r="B168" s="72"/>
      <c r="C168" s="135"/>
      <c r="D168" s="73"/>
      <c r="E168" s="73"/>
      <c r="F168" s="72"/>
      <c r="G168" s="72"/>
      <c r="H168" s="72"/>
      <c r="I168" s="73">
        <f t="shared" si="160"/>
        <v>0</v>
      </c>
      <c r="J168" s="73"/>
      <c r="K168" s="73"/>
      <c r="L168" s="74" t="e">
        <f>_xlfn.IFNA(VLOOKUP(C168,'חד גזעי'!$U$3:$V$509,2,0),VLOOKUP(C168,'חד גזעי'!$U$3:$V$509,2))</f>
        <v>#N/A</v>
      </c>
      <c r="M168" s="73"/>
      <c r="N168" s="72" t="e">
        <f>_xlfn.IFNA(IF(VLOOKUP(C168,'חד גזעי'!$AH$2:$AH$7,1,FALSE)&gt;0,0,IF('חד גזעי'!$AM$5="כן",IF(_xlfn.IFNA(VLOOKUP(C168,'חד גזעי'!$AH$2:$AH$33,1,FALSE),SUM(J168:M168))&lt;21,_xlfn.IFNA(VLOOKUP(C168,'חד גזעי'!$AH$2:$AH$33,1,FALSE),SUM(J168:M168)),0),SUM(J168:M168))),IF('חד גזעי'!$AM$5="כן",IF(_xlfn.IFNA(VLOOKUP(C168,'חד גזעי'!$AH$2:$AH$33,1,FALSE),SUM(J168:M168))&lt;21,_xlfn.IFNA(VLOOKUP(C168,'חד גזעי'!$AH$2:$AH$33,1,FALSE),SUM(J168:M168)),0),SUM(J168:M168)))</f>
        <v>#N/A</v>
      </c>
      <c r="O168" s="72">
        <f>IF('חד גזעי'!$AM$3 = "כן",IF(T168&gt;4,4,T168),T168)</f>
        <v>0</v>
      </c>
      <c r="P168" s="80">
        <f>IF(E168&lt;2,0,IF(Z168&gt;0,Z168,IF(N168 = 0,0,IF('חד גזעי'!$AM$2 = "לא",IF(F168&gt;19,W168,0),IF(F168&gt;9,Y168,0)))))</f>
        <v>0</v>
      </c>
      <c r="Q168" s="77"/>
      <c r="R168" s="76"/>
      <c r="S168" t="e">
        <f>VLOOKUP(C168,'חד גזעי'!$Y$4:$Y$18,1,0)</f>
        <v>#N/A</v>
      </c>
      <c r="T168" s="72">
        <f>IF('חד גזעי'!$AM$6="לא",IF(P168=0,IF(BC168="שימור",IF('חד גזעי'!$AM$4="לא",IF(BC168="לא בוגר",0,IF(BC168="לא קיים",0,IF(J168=0,0,I168*0.1))),IF(BC168="לא בוגר",0,IF(BC168="לא קיים",0,IF(AB168=1,I168*0.1,E168*0.5)))),0),IF('חד גזעי'!$AM$4="לא",IF(BC168="לא בוגר",0,IF(BC168="לא קיים",0,IF(J168=0,0,I168*0.1))),IF(BC168="לא בוגר",0,IF(BC168="לא קיים",0,IF(AB168=1,I168*0.1,E168*0.5))))),IF(P168=0,IF(BC168="שימור",IF('חד גזעי'!$AM$4="לא",IF(BC168="לא בוגר",0,IF(BC168="לא קיים",0,IF(J168=0,0,I168*0.15))),IF(BC168="לא בוגר",0,IF(BC168="לא קיים",0,IF(AB168=1,I168*0.15,E168*0.5)))),0),IF('חד גזעי'!$AM$4="לא",IF(BC168="לא בוגר",0,IF(BC168="לא קיים",0,IF(J168=0,0,I168*0.15))),IF(BC168="לא בוגר",0,IF(BC168="לא קיים",0,IF(AB168=1,I168*0.15,E168*0.5))))))</f>
        <v>0</v>
      </c>
      <c r="V168" t="e">
        <f t="shared" si="150"/>
        <v>#N/A</v>
      </c>
      <c r="W168" t="e">
        <f t="shared" si="151"/>
        <v>#N/A</v>
      </c>
      <c r="X168" t="e">
        <f t="shared" si="152"/>
        <v>#N/A</v>
      </c>
      <c r="Y168">
        <f>IF('חד גזעי'!$AM$2 = "לא",0,IF(F168&gt;9,W168,0))</f>
        <v>0</v>
      </c>
      <c r="Z168">
        <f>IF('חד גזעי'!$AM$7 = "לא",0,IF(C168 = "זית אירופי",IF('חד גזעי'!$AN$7 &lt;=סקר!F168,W168,0),IF(C168 = "חרוב מצוי",IF('חד גזעי'!$AN$7 &lt;=סקר!F168,W168,0),0)))</f>
        <v>0</v>
      </c>
      <c r="AB168">
        <f t="shared" si="161"/>
        <v>1</v>
      </c>
      <c r="AC168" s="72"/>
      <c r="AD168" t="e">
        <f t="shared" si="179"/>
        <v>#N/A</v>
      </c>
      <c r="AE168" s="72"/>
      <c r="AF168" s="72" t="e">
        <f t="shared" si="162"/>
        <v>#N/A</v>
      </c>
      <c r="AG168" s="72" t="e">
        <f>IF('חד גזעי'!$AM$5="לא",(VLOOKUP(C168,'חד גזעי'!$P$1:$S$589,3,FALSE)),(VLOOKUP(C168,'חד גזעי'!$P$1:$S$589,4,FALSE)))</f>
        <v>#N/A</v>
      </c>
      <c r="AH168" s="72">
        <f t="shared" si="163"/>
        <v>0</v>
      </c>
      <c r="AI168" s="72">
        <f t="shared" si="164"/>
        <v>0</v>
      </c>
      <c r="AJ168" s="72">
        <f t="shared" si="165"/>
        <v>0</v>
      </c>
      <c r="AK168" s="72" t="e">
        <f t="shared" si="166"/>
        <v>#N/A</v>
      </c>
      <c r="AL168" t="e">
        <f>VLOOKUP(C168,'חד גזעי'!$AH$8:$AI$33,2,FALSE)</f>
        <v>#N/A</v>
      </c>
      <c r="AM168" s="72" t="b">
        <f t="shared" si="167"/>
        <v>0</v>
      </c>
      <c r="AN168" s="72" t="b">
        <f t="shared" si="168"/>
        <v>0</v>
      </c>
      <c r="AO168" s="72" t="b">
        <f t="shared" si="169"/>
        <v>0</v>
      </c>
      <c r="AS168" s="72">
        <f t="shared" si="170"/>
        <v>0</v>
      </c>
      <c r="AT168" s="72">
        <f t="shared" si="171"/>
        <v>0</v>
      </c>
      <c r="AU168" s="72">
        <f t="shared" si="180"/>
        <v>0</v>
      </c>
      <c r="AV168" s="72">
        <f t="shared" si="172"/>
        <v>0</v>
      </c>
      <c r="AW168" s="72">
        <f t="shared" si="173"/>
        <v>0</v>
      </c>
      <c r="AX168" s="72">
        <f t="shared" si="174"/>
        <v>0</v>
      </c>
      <c r="AY168" s="72">
        <f t="shared" si="175"/>
        <v>0</v>
      </c>
      <c r="AZ168" s="72">
        <f t="shared" si="176"/>
        <v>0</v>
      </c>
      <c r="BA168" s="72" t="e">
        <f t="shared" si="177"/>
        <v>#N/A</v>
      </c>
      <c r="BB168" s="72" t="e">
        <f t="shared" si="178"/>
        <v>#N/A</v>
      </c>
      <c r="BC168" s="77"/>
      <c r="BE168">
        <f t="shared" si="158"/>
        <v>0</v>
      </c>
      <c r="BF168" s="196"/>
      <c r="BG168" s="196"/>
      <c r="BH168" s="196"/>
      <c r="BI168" s="196"/>
      <c r="BJ168" s="196"/>
      <c r="BK168" s="196"/>
    </row>
    <row r="169" spans="2:63" hidden="1">
      <c r="B169" s="72"/>
      <c r="C169" s="135"/>
      <c r="D169" s="73"/>
      <c r="E169" s="73"/>
      <c r="F169" s="72"/>
      <c r="G169" s="72"/>
      <c r="H169" s="72"/>
      <c r="I169" s="73">
        <f t="shared" si="160"/>
        <v>0</v>
      </c>
      <c r="J169" s="73"/>
      <c r="K169" s="73"/>
      <c r="L169" s="74" t="e">
        <f>_xlfn.IFNA(VLOOKUP(C169,'חד גזעי'!$U$3:$V$509,2,0),VLOOKUP(C169,'חד גזעי'!$U$3:$V$509,2))</f>
        <v>#N/A</v>
      </c>
      <c r="M169" s="73"/>
      <c r="N169" s="72" t="e">
        <f>_xlfn.IFNA(IF(VLOOKUP(C169,'חד גזעי'!$AH$2:$AH$7,1,FALSE)&gt;0,0,IF('חד גזעי'!$AM$5="כן",IF(_xlfn.IFNA(VLOOKUP(C169,'חד גזעי'!$AH$2:$AH$33,1,FALSE),SUM(J169:M169))&lt;21,_xlfn.IFNA(VLOOKUP(C169,'חד גזעי'!$AH$2:$AH$33,1,FALSE),SUM(J169:M169)),0),SUM(J169:M169))),IF('חד גזעי'!$AM$5="כן",IF(_xlfn.IFNA(VLOOKUP(C169,'חד גזעי'!$AH$2:$AH$33,1,FALSE),SUM(J169:M169))&lt;21,_xlfn.IFNA(VLOOKUP(C169,'חד גזעי'!$AH$2:$AH$33,1,FALSE),SUM(J169:M169)),0),SUM(J169:M169)))</f>
        <v>#N/A</v>
      </c>
      <c r="O169" s="72">
        <f>IF('חד גזעי'!$AM$3 = "כן",IF(T169&gt;4,4,T169),T169)</f>
        <v>0</v>
      </c>
      <c r="P169" s="80">
        <f>IF(E169&lt;2,0,IF(Z169&gt;0,Z169,IF(N169 = 0,0,IF('חד גזעי'!$AM$2 = "לא",IF(F169&gt;19,W169,0),IF(F169&gt;9,Y169,0)))))</f>
        <v>0</v>
      </c>
      <c r="Q169" s="77"/>
      <c r="R169" s="76"/>
      <c r="S169" t="e">
        <f>VLOOKUP(C169,'חד גזעי'!$Y$4:$Y$18,1,0)</f>
        <v>#N/A</v>
      </c>
      <c r="T169" s="72">
        <f>IF('חד גזעי'!$AM$6="לא",IF(P169=0,IF(BC169="שימור",IF('חד גזעי'!$AM$4="לא",IF(BC169="לא בוגר",0,IF(BC169="לא קיים",0,IF(J169=0,0,I169*0.1))),IF(BC169="לא בוגר",0,IF(BC169="לא קיים",0,IF(AB169=1,I169*0.1,E169*0.5)))),0),IF('חד גזעי'!$AM$4="לא",IF(BC169="לא בוגר",0,IF(BC169="לא קיים",0,IF(J169=0,0,I169*0.1))),IF(BC169="לא בוגר",0,IF(BC169="לא קיים",0,IF(AB169=1,I169*0.1,E169*0.5))))),IF(P169=0,IF(BC169="שימור",IF('חד גזעי'!$AM$4="לא",IF(BC169="לא בוגר",0,IF(BC169="לא קיים",0,IF(J169=0,0,I169*0.15))),IF(BC169="לא בוגר",0,IF(BC169="לא קיים",0,IF(AB169=1,I169*0.15,E169*0.5)))),0),IF('חד גזעי'!$AM$4="לא",IF(BC169="לא בוגר",0,IF(BC169="לא קיים",0,IF(J169=0,0,I169*0.15))),IF(BC169="לא בוגר",0,IF(BC169="לא קיים",0,IF(AB169=1,I169*0.15,E169*0.5))))))</f>
        <v>0</v>
      </c>
      <c r="V169" t="e">
        <f t="shared" si="150"/>
        <v>#N/A</v>
      </c>
      <c r="W169" t="e">
        <f t="shared" si="151"/>
        <v>#N/A</v>
      </c>
      <c r="X169" t="e">
        <f t="shared" si="152"/>
        <v>#N/A</v>
      </c>
      <c r="Y169">
        <f>IF('חד גזעי'!$AM$2 = "לא",0,IF(F169&gt;9,W169,0))</f>
        <v>0</v>
      </c>
      <c r="Z169">
        <f>IF('חד גזעי'!$AM$7 = "לא",0,IF(C169 = "זית אירופי",IF('חד גזעי'!$AN$7 &lt;=סקר!F169,W169,0),IF(C169 = "חרוב מצוי",IF('חד גזעי'!$AN$7 &lt;=סקר!F169,W169,0),0)))</f>
        <v>0</v>
      </c>
      <c r="AB169">
        <f t="shared" si="161"/>
        <v>1</v>
      </c>
      <c r="AC169" s="72"/>
      <c r="AD169" t="e">
        <f t="shared" si="179"/>
        <v>#N/A</v>
      </c>
      <c r="AE169" s="72"/>
      <c r="AF169" s="72" t="e">
        <f t="shared" si="162"/>
        <v>#N/A</v>
      </c>
      <c r="AG169" s="72" t="e">
        <f>IF('חד גזעי'!$AM$5="לא",(VLOOKUP(C169,'חד גזעי'!$P$1:$S$589,3,FALSE)),(VLOOKUP(C169,'חד גזעי'!$P$1:$S$589,4,FALSE)))</f>
        <v>#N/A</v>
      </c>
      <c r="AH169" s="72">
        <f t="shared" si="163"/>
        <v>0</v>
      </c>
      <c r="AI169" s="72">
        <f t="shared" si="164"/>
        <v>0</v>
      </c>
      <c r="AJ169" s="72">
        <f t="shared" si="165"/>
        <v>0</v>
      </c>
      <c r="AK169" s="72" t="e">
        <f t="shared" si="166"/>
        <v>#N/A</v>
      </c>
      <c r="AL169" t="e">
        <f>VLOOKUP(C169,'חד גזעי'!$AH$8:$AI$33,2,FALSE)</f>
        <v>#N/A</v>
      </c>
      <c r="AM169" s="72" t="b">
        <f t="shared" si="167"/>
        <v>0</v>
      </c>
      <c r="AN169" s="72" t="b">
        <f t="shared" si="168"/>
        <v>0</v>
      </c>
      <c r="AO169" s="72" t="b">
        <f t="shared" si="169"/>
        <v>0</v>
      </c>
      <c r="AS169" s="72">
        <f t="shared" si="170"/>
        <v>0</v>
      </c>
      <c r="AT169" s="72">
        <f t="shared" si="171"/>
        <v>0</v>
      </c>
      <c r="AU169" s="72">
        <f t="shared" si="180"/>
        <v>0</v>
      </c>
      <c r="AV169" s="72">
        <f t="shared" si="172"/>
        <v>0</v>
      </c>
      <c r="AW169" s="72">
        <f t="shared" si="173"/>
        <v>0</v>
      </c>
      <c r="AX169" s="72">
        <f t="shared" si="174"/>
        <v>0</v>
      </c>
      <c r="AY169" s="72">
        <f t="shared" si="175"/>
        <v>0</v>
      </c>
      <c r="AZ169" s="72">
        <f t="shared" si="176"/>
        <v>0</v>
      </c>
      <c r="BA169" s="72" t="e">
        <f t="shared" si="177"/>
        <v>#N/A</v>
      </c>
      <c r="BB169" s="72" t="e">
        <f t="shared" si="178"/>
        <v>#N/A</v>
      </c>
      <c r="BC169" s="77"/>
      <c r="BE169">
        <f t="shared" si="158"/>
        <v>0</v>
      </c>
      <c r="BF169" s="196"/>
      <c r="BG169" s="196"/>
      <c r="BH169" s="196"/>
      <c r="BI169" s="196"/>
      <c r="BJ169" s="196"/>
      <c r="BK169" s="196"/>
    </row>
    <row r="170" spans="2:63" hidden="1">
      <c r="B170" s="72"/>
      <c r="C170" s="135"/>
      <c r="D170" s="73"/>
      <c r="E170" s="73"/>
      <c r="F170" s="72"/>
      <c r="G170" s="72"/>
      <c r="H170" s="72"/>
      <c r="I170" s="73">
        <f t="shared" si="160"/>
        <v>0</v>
      </c>
      <c r="J170" s="73"/>
      <c r="K170" s="73"/>
      <c r="L170" s="74" t="e">
        <f>_xlfn.IFNA(VLOOKUP(C170,'חד גזעי'!$U$3:$V$509,2,0),VLOOKUP(C170,'חד גזעי'!$U$3:$V$509,2))</f>
        <v>#N/A</v>
      </c>
      <c r="M170" s="73"/>
      <c r="N170" s="72" t="e">
        <f>_xlfn.IFNA(IF(VLOOKUP(C170,'חד גזעי'!$AH$2:$AH$7,1,FALSE)&gt;0,0,IF('חד גזעי'!$AM$5="כן",IF(_xlfn.IFNA(VLOOKUP(C170,'חד גזעי'!$AH$2:$AH$33,1,FALSE),SUM(J170:M170))&lt;21,_xlfn.IFNA(VLOOKUP(C170,'חד גזעי'!$AH$2:$AH$33,1,FALSE),SUM(J170:M170)),0),SUM(J170:M170))),IF('חד גזעי'!$AM$5="כן",IF(_xlfn.IFNA(VLOOKUP(C170,'חד גזעי'!$AH$2:$AH$33,1,FALSE),SUM(J170:M170))&lt;21,_xlfn.IFNA(VLOOKUP(C170,'חד גזעי'!$AH$2:$AH$33,1,FALSE),SUM(J170:M170)),0),SUM(J170:M170)))</f>
        <v>#N/A</v>
      </c>
      <c r="O170" s="72">
        <f>IF('חד גזעי'!$AM$3 = "כן",IF(T170&gt;4,4,T170),T170)</f>
        <v>0</v>
      </c>
      <c r="P170" s="80">
        <f>IF(E170&lt;2,0,IF(Z170&gt;0,Z170,IF(N170 = 0,0,IF('חד גזעי'!$AM$2 = "לא",IF(F170&gt;19,W170,0),IF(F170&gt;9,Y170,0)))))</f>
        <v>0</v>
      </c>
      <c r="Q170" s="77"/>
      <c r="R170" s="76"/>
      <c r="S170" t="e">
        <f>VLOOKUP(C170,'חד גזעי'!$Y$4:$Y$18,1,0)</f>
        <v>#N/A</v>
      </c>
      <c r="T170" s="72">
        <f>IF('חד גזעי'!$AM$6="לא",IF(P170=0,IF(BC170="שימור",IF('חד גזעי'!$AM$4="לא",IF(BC170="לא בוגר",0,IF(BC170="לא קיים",0,IF(J170=0,0,I170*0.1))),IF(BC170="לא בוגר",0,IF(BC170="לא קיים",0,IF(AB170=1,I170*0.1,E170*0.5)))),0),IF('חד גזעי'!$AM$4="לא",IF(BC170="לא בוגר",0,IF(BC170="לא קיים",0,IF(J170=0,0,I170*0.1))),IF(BC170="לא בוגר",0,IF(BC170="לא קיים",0,IF(AB170=1,I170*0.1,E170*0.5))))),IF(P170=0,IF(BC170="שימור",IF('חד גזעי'!$AM$4="לא",IF(BC170="לא בוגר",0,IF(BC170="לא קיים",0,IF(J170=0,0,I170*0.15))),IF(BC170="לא בוגר",0,IF(BC170="לא קיים",0,IF(AB170=1,I170*0.15,E170*0.5)))),0),IF('חד גזעי'!$AM$4="לא",IF(BC170="לא בוגר",0,IF(BC170="לא קיים",0,IF(J170=0,0,I170*0.15))),IF(BC170="לא בוגר",0,IF(BC170="לא קיים",0,IF(AB170=1,I170*0.15,E170*0.5))))))</f>
        <v>0</v>
      </c>
      <c r="V170" t="e">
        <f t="shared" si="150"/>
        <v>#N/A</v>
      </c>
      <c r="W170" t="e">
        <f t="shared" si="151"/>
        <v>#N/A</v>
      </c>
      <c r="X170" t="e">
        <f t="shared" si="152"/>
        <v>#N/A</v>
      </c>
      <c r="Y170">
        <f>IF('חד גזעי'!$AM$2 = "לא",0,IF(F170&gt;9,W170,0))</f>
        <v>0</v>
      </c>
      <c r="Z170">
        <f>IF('חד גזעי'!$AM$7 = "לא",0,IF(C170 = "זית אירופי",IF('חד גזעי'!$AN$7 &lt;=סקר!F170,W170,0),IF(C170 = "חרוב מצוי",IF('חד גזעי'!$AN$7 &lt;=סקר!F170,W170,0),0)))</f>
        <v>0</v>
      </c>
      <c r="AB170">
        <f t="shared" si="161"/>
        <v>1</v>
      </c>
      <c r="AC170" s="72"/>
      <c r="AD170" t="e">
        <f>IF(AK170&gt;0,AK170,AF170)</f>
        <v>#N/A</v>
      </c>
      <c r="AE170" s="72"/>
      <c r="AF170" s="72" t="e">
        <f t="shared" si="162"/>
        <v>#N/A</v>
      </c>
      <c r="AG170" s="72" t="e">
        <f>IF('חד גזעי'!$AM$5="לא",(VLOOKUP(C170,'חד גזעי'!$P$1:$S$589,3,FALSE)),(VLOOKUP(C170,'חד גזעי'!$P$1:$S$589,4,FALSE)))</f>
        <v>#N/A</v>
      </c>
      <c r="AH170" s="72">
        <f t="shared" si="163"/>
        <v>0</v>
      </c>
      <c r="AI170" s="72">
        <f t="shared" si="164"/>
        <v>0</v>
      </c>
      <c r="AJ170" s="72">
        <f t="shared" si="165"/>
        <v>0</v>
      </c>
      <c r="AK170" s="72" t="e">
        <f t="shared" si="166"/>
        <v>#N/A</v>
      </c>
      <c r="AL170" t="e">
        <f>VLOOKUP(C170,'חד גזעי'!$AH$8:$AI$33,2,FALSE)</f>
        <v>#N/A</v>
      </c>
      <c r="AM170" s="72" t="b">
        <f t="shared" si="167"/>
        <v>0</v>
      </c>
      <c r="AN170" s="72" t="b">
        <f t="shared" si="168"/>
        <v>0</v>
      </c>
      <c r="AO170" s="72" t="b">
        <f t="shared" si="169"/>
        <v>0</v>
      </c>
      <c r="AS170" s="72">
        <f t="shared" si="170"/>
        <v>0</v>
      </c>
      <c r="AT170" s="72">
        <f t="shared" si="171"/>
        <v>0</v>
      </c>
      <c r="AU170" s="72">
        <f>IF(C170&gt;0,IF(D170&lt;2,1,D170),0)</f>
        <v>0</v>
      </c>
      <c r="AV170" s="72">
        <f t="shared" si="172"/>
        <v>0</v>
      </c>
      <c r="AW170" s="72">
        <f t="shared" si="173"/>
        <v>0</v>
      </c>
      <c r="AX170" s="72">
        <f t="shared" si="174"/>
        <v>0</v>
      </c>
      <c r="AY170" s="72">
        <f t="shared" si="175"/>
        <v>0</v>
      </c>
      <c r="AZ170" s="72">
        <f t="shared" si="176"/>
        <v>0</v>
      </c>
      <c r="BA170" s="72" t="e">
        <f t="shared" si="177"/>
        <v>#N/A</v>
      </c>
      <c r="BB170" s="72" t="e">
        <f t="shared" si="178"/>
        <v>#N/A</v>
      </c>
      <c r="BC170" s="77"/>
      <c r="BE170">
        <f t="shared" si="158"/>
        <v>0</v>
      </c>
      <c r="BF170" s="196"/>
      <c r="BG170" s="196"/>
      <c r="BH170" s="196"/>
      <c r="BI170" s="196"/>
      <c r="BJ170" s="196"/>
      <c r="BK170" s="196"/>
    </row>
    <row r="171" spans="2:63" hidden="1">
      <c r="B171" s="72"/>
      <c r="C171" s="135"/>
      <c r="D171" s="73"/>
      <c r="E171" s="73"/>
      <c r="F171" s="72"/>
      <c r="G171" s="72"/>
      <c r="H171" s="72"/>
      <c r="I171" s="73">
        <f t="shared" si="160"/>
        <v>0</v>
      </c>
      <c r="J171" s="73"/>
      <c r="K171" s="73"/>
      <c r="L171" s="74" t="e">
        <f>_xlfn.IFNA(VLOOKUP(C171,'חד גזעי'!$U$3:$V$509,2,0),VLOOKUP(C171,'חד גזעי'!$U$3:$V$509,2))</f>
        <v>#N/A</v>
      </c>
      <c r="M171" s="73"/>
      <c r="N171" s="72" t="e">
        <f>_xlfn.IFNA(IF(VLOOKUP(C171,'חד גזעי'!$AH$2:$AH$7,1,FALSE)&gt;0,0,IF('חד גזעי'!$AM$5="כן",IF(_xlfn.IFNA(VLOOKUP(C171,'חד גזעי'!$AH$2:$AH$33,1,FALSE),SUM(J171:M171))&lt;21,_xlfn.IFNA(VLOOKUP(C171,'חד גזעי'!$AH$2:$AH$33,1,FALSE),SUM(J171:M171)),0),SUM(J171:M171))),IF('חד גזעי'!$AM$5="כן",IF(_xlfn.IFNA(VLOOKUP(C171,'חד גזעי'!$AH$2:$AH$33,1,FALSE),SUM(J171:M171))&lt;21,_xlfn.IFNA(VLOOKUP(C171,'חד גזעי'!$AH$2:$AH$33,1,FALSE),SUM(J171:M171)),0),SUM(J171:M171)))</f>
        <v>#N/A</v>
      </c>
      <c r="O171" s="72">
        <f>IF('חד גזעי'!$AM$3 = "כן",IF(T171&gt;4,4,T171),T171)</f>
        <v>0</v>
      </c>
      <c r="P171" s="80">
        <f>IF(E171&lt;2,0,IF(Z171&gt;0,Z171,IF(N171 = 0,0,IF('חד גזעי'!$AM$2 = "לא",IF(F171&gt;19,W171,0),IF(F171&gt;9,Y171,0)))))</f>
        <v>0</v>
      </c>
      <c r="Q171" s="77"/>
      <c r="R171" s="76"/>
      <c r="S171" t="e">
        <f>VLOOKUP(C171,'חד גזעי'!$Y$4:$Y$18,1,0)</f>
        <v>#N/A</v>
      </c>
      <c r="T171" s="72">
        <f>IF('חד גזעי'!$AM$6="לא",IF(P171=0,IF(BC171="שימור",IF('חד גזעי'!$AM$4="לא",IF(BC171="לא בוגר",0,IF(BC171="לא קיים",0,IF(J171=0,0,I171*0.1))),IF(BC171="לא בוגר",0,IF(BC171="לא קיים",0,IF(AB171=1,I171*0.1,E171*0.5)))),0),IF('חד גזעי'!$AM$4="לא",IF(BC171="לא בוגר",0,IF(BC171="לא קיים",0,IF(J171=0,0,I171*0.1))),IF(BC171="לא בוגר",0,IF(BC171="לא קיים",0,IF(AB171=1,I171*0.1,E171*0.5))))),IF(P171=0,IF(BC171="שימור",IF('חד גזעי'!$AM$4="לא",IF(BC171="לא בוגר",0,IF(BC171="לא קיים",0,IF(J171=0,0,I171*0.15))),IF(BC171="לא בוגר",0,IF(BC171="לא קיים",0,IF(AB171=1,I171*0.15,E171*0.5)))),0),IF('חד גזעי'!$AM$4="לא",IF(BC171="לא בוגר",0,IF(BC171="לא קיים",0,IF(J171=0,0,I171*0.15))),IF(BC171="לא בוגר",0,IF(BC171="לא קיים",0,IF(AB171=1,I171*0.15,E171*0.5))))))</f>
        <v>0</v>
      </c>
      <c r="V171" t="e">
        <f t="shared" si="150"/>
        <v>#N/A</v>
      </c>
      <c r="W171" t="e">
        <f t="shared" si="151"/>
        <v>#N/A</v>
      </c>
      <c r="X171" t="e">
        <f t="shared" si="152"/>
        <v>#N/A</v>
      </c>
      <c r="Y171">
        <f>IF('חד גזעי'!$AM$2 = "לא",0,IF(F171&gt;9,W171,0))</f>
        <v>0</v>
      </c>
      <c r="Z171">
        <f>IF('חד גזעי'!$AM$7 = "לא",0,IF(C171 = "זית אירופי",IF('חד גזעי'!$AN$7 &lt;=סקר!F171,W171,0),IF(C171 = "חרוב מצוי",IF('חד גזעי'!$AN$7 &lt;=סקר!F171,W171,0),0)))</f>
        <v>0</v>
      </c>
      <c r="AB171">
        <f t="shared" si="161"/>
        <v>1</v>
      </c>
      <c r="AC171" s="72"/>
      <c r="AD171" t="e">
        <f t="shared" si="179"/>
        <v>#N/A</v>
      </c>
      <c r="AE171" s="72"/>
      <c r="AF171" s="72" t="e">
        <f t="shared" si="162"/>
        <v>#N/A</v>
      </c>
      <c r="AG171" s="72" t="e">
        <f>IF('חד גזעי'!$AM$5="לא",(VLOOKUP(C171,'חד גזעי'!$P$1:$S$589,3,FALSE)),(VLOOKUP(C171,'חד גזעי'!$P$1:$S$589,4,FALSE)))</f>
        <v>#N/A</v>
      </c>
      <c r="AH171" s="72">
        <f t="shared" si="163"/>
        <v>0</v>
      </c>
      <c r="AI171" s="72">
        <f t="shared" si="164"/>
        <v>0</v>
      </c>
      <c r="AJ171" s="72">
        <f t="shared" si="165"/>
        <v>0</v>
      </c>
      <c r="AK171" s="72" t="e">
        <f t="shared" si="166"/>
        <v>#N/A</v>
      </c>
      <c r="AL171" t="e">
        <f>VLOOKUP(C171,'חד גזעי'!$AH$8:$AI$33,2,FALSE)</f>
        <v>#N/A</v>
      </c>
      <c r="AM171" s="72" t="b">
        <f t="shared" si="167"/>
        <v>0</v>
      </c>
      <c r="AN171" s="72" t="b">
        <f t="shared" si="168"/>
        <v>0</v>
      </c>
      <c r="AO171" s="72" t="b">
        <f t="shared" si="169"/>
        <v>0</v>
      </c>
      <c r="AS171" s="72">
        <f t="shared" si="170"/>
        <v>0</v>
      </c>
      <c r="AT171" s="72">
        <f t="shared" si="171"/>
        <v>0</v>
      </c>
      <c r="AU171" s="72">
        <f t="shared" si="180"/>
        <v>0</v>
      </c>
      <c r="AV171" s="72">
        <f t="shared" si="172"/>
        <v>0</v>
      </c>
      <c r="AW171" s="72">
        <f t="shared" si="173"/>
        <v>0</v>
      </c>
      <c r="AX171" s="72">
        <f t="shared" si="174"/>
        <v>0</v>
      </c>
      <c r="AY171" s="72">
        <f t="shared" si="175"/>
        <v>0</v>
      </c>
      <c r="AZ171" s="72">
        <f t="shared" si="176"/>
        <v>0</v>
      </c>
      <c r="BA171" s="72" t="e">
        <f t="shared" si="177"/>
        <v>#N/A</v>
      </c>
      <c r="BB171" s="72" t="e">
        <f t="shared" si="178"/>
        <v>#N/A</v>
      </c>
      <c r="BC171" s="77"/>
      <c r="BE171">
        <f t="shared" si="158"/>
        <v>0</v>
      </c>
      <c r="BF171" s="196"/>
      <c r="BG171" s="196"/>
      <c r="BH171" s="196"/>
      <c r="BI171" s="196"/>
      <c r="BJ171" s="196"/>
      <c r="BK171" s="196"/>
    </row>
    <row r="172" spans="2:63" hidden="1">
      <c r="B172" s="72"/>
      <c r="C172" s="135"/>
      <c r="D172" s="73"/>
      <c r="E172" s="73"/>
      <c r="F172" s="72"/>
      <c r="G172" s="72"/>
      <c r="H172" s="72"/>
      <c r="I172" s="73">
        <f t="shared" si="160"/>
        <v>0</v>
      </c>
      <c r="J172" s="73"/>
      <c r="K172" s="73"/>
      <c r="L172" s="74" t="e">
        <f>_xlfn.IFNA(VLOOKUP(C172,'חד גזעי'!$U$3:$V$509,2,0),VLOOKUP(C172,'חד גזעי'!$U$3:$V$509,2))</f>
        <v>#N/A</v>
      </c>
      <c r="M172" s="73"/>
      <c r="N172" s="72" t="e">
        <f>_xlfn.IFNA(IF(VLOOKUP(C172,'חד גזעי'!$AH$2:$AH$7,1,FALSE)&gt;0,0,IF('חד גזעי'!$AM$5="כן",IF(_xlfn.IFNA(VLOOKUP(C172,'חד גזעי'!$AH$2:$AH$33,1,FALSE),SUM(J172:M172))&lt;21,_xlfn.IFNA(VLOOKUP(C172,'חד גזעי'!$AH$2:$AH$33,1,FALSE),SUM(J172:M172)),0),SUM(J172:M172))),IF('חד גזעי'!$AM$5="כן",IF(_xlfn.IFNA(VLOOKUP(C172,'חד גזעי'!$AH$2:$AH$33,1,FALSE),SUM(J172:M172))&lt;21,_xlfn.IFNA(VLOOKUP(C172,'חד גזעי'!$AH$2:$AH$33,1,FALSE),SUM(J172:M172)),0),SUM(J172:M172)))</f>
        <v>#N/A</v>
      </c>
      <c r="O172" s="72">
        <f>IF('חד גזעי'!$AM$3 = "כן",IF(T172&gt;4,4,T172),T172)</f>
        <v>0</v>
      </c>
      <c r="P172" s="80">
        <f>IF(E172&lt;2,0,IF(Z172&gt;0,Z172,IF(N172 = 0,0,IF('חד גזעי'!$AM$2 = "לא",IF(F172&gt;19,W172,0),IF(F172&gt;9,Y172,0)))))</f>
        <v>0</v>
      </c>
      <c r="Q172" s="77"/>
      <c r="R172" s="76"/>
      <c r="S172" t="e">
        <f>VLOOKUP(C172,'חד גזעי'!$Y$4:$Y$18,1,0)</f>
        <v>#N/A</v>
      </c>
      <c r="T172" s="72">
        <f>IF('חד גזעי'!$AM$6="לא",IF(P172=0,IF(BC172="שימור",IF('חד גזעי'!$AM$4="לא",IF(BC172="לא בוגר",0,IF(BC172="לא קיים",0,IF(J172=0,0,I172*0.1))),IF(BC172="לא בוגר",0,IF(BC172="לא קיים",0,IF(AB172=1,I172*0.1,E172*0.5)))),0),IF('חד גזעי'!$AM$4="לא",IF(BC172="לא בוגר",0,IF(BC172="לא קיים",0,IF(J172=0,0,I172*0.1))),IF(BC172="לא בוגר",0,IF(BC172="לא קיים",0,IF(AB172=1,I172*0.1,E172*0.5))))),IF(P172=0,IF(BC172="שימור",IF('חד גזעי'!$AM$4="לא",IF(BC172="לא בוגר",0,IF(BC172="לא קיים",0,IF(J172=0,0,I172*0.15))),IF(BC172="לא בוגר",0,IF(BC172="לא קיים",0,IF(AB172=1,I172*0.15,E172*0.5)))),0),IF('חד גזעי'!$AM$4="לא",IF(BC172="לא בוגר",0,IF(BC172="לא קיים",0,IF(J172=0,0,I172*0.15))),IF(BC172="לא בוגר",0,IF(BC172="לא קיים",0,IF(AB172=1,I172*0.15,E172*0.5))))))</f>
        <v>0</v>
      </c>
      <c r="V172" t="e">
        <f t="shared" si="150"/>
        <v>#N/A</v>
      </c>
      <c r="W172" t="e">
        <f t="shared" si="151"/>
        <v>#N/A</v>
      </c>
      <c r="X172" t="e">
        <f t="shared" si="152"/>
        <v>#N/A</v>
      </c>
      <c r="Y172">
        <f>IF('חד גזעי'!$AM$2 = "לא",0,IF(F172&gt;9,W172,0))</f>
        <v>0</v>
      </c>
      <c r="Z172">
        <f>IF('חד גזעי'!$AM$7 = "לא",0,IF(C172 = "זית אירופי",IF('חד גזעי'!$AN$7 &lt;=סקר!F172,W172,0),IF(C172 = "חרוב מצוי",IF('חד גזעי'!$AN$7 &lt;=סקר!F172,W172,0),0)))</f>
        <v>0</v>
      </c>
      <c r="AB172">
        <f t="shared" si="161"/>
        <v>1</v>
      </c>
      <c r="AC172" s="72"/>
      <c r="AD172" t="e">
        <f t="shared" si="179"/>
        <v>#N/A</v>
      </c>
      <c r="AE172" s="72"/>
      <c r="AF172" s="72" t="e">
        <f t="shared" si="162"/>
        <v>#N/A</v>
      </c>
      <c r="AG172" s="72" t="e">
        <f>IF('חד גזעי'!$AM$5="לא",(VLOOKUP(C172,'חד גזעי'!$P$1:$S$589,3,FALSE)),(VLOOKUP(C172,'חד גזעי'!$P$1:$S$589,4,FALSE)))</f>
        <v>#N/A</v>
      </c>
      <c r="AH172" s="72">
        <f t="shared" si="163"/>
        <v>0</v>
      </c>
      <c r="AI172" s="72">
        <f t="shared" si="164"/>
        <v>0</v>
      </c>
      <c r="AJ172" s="72">
        <f t="shared" si="165"/>
        <v>0</v>
      </c>
      <c r="AK172" s="72" t="e">
        <f t="shared" si="166"/>
        <v>#N/A</v>
      </c>
      <c r="AL172" t="e">
        <f>VLOOKUP(C172,'חד גזעי'!$AH$8:$AI$33,2,FALSE)</f>
        <v>#N/A</v>
      </c>
      <c r="AM172" s="72" t="b">
        <f t="shared" si="167"/>
        <v>0</v>
      </c>
      <c r="AN172" s="72" t="b">
        <f t="shared" si="168"/>
        <v>0</v>
      </c>
      <c r="AO172" s="72" t="b">
        <f t="shared" si="169"/>
        <v>0</v>
      </c>
      <c r="AS172" s="72">
        <f t="shared" si="170"/>
        <v>0</v>
      </c>
      <c r="AT172" s="72">
        <f t="shared" si="171"/>
        <v>0</v>
      </c>
      <c r="AU172" s="72">
        <f t="shared" si="180"/>
        <v>0</v>
      </c>
      <c r="AV172" s="72">
        <f t="shared" si="172"/>
        <v>0</v>
      </c>
      <c r="AW172" s="72">
        <f t="shared" si="173"/>
        <v>0</v>
      </c>
      <c r="AX172" s="72">
        <f t="shared" si="174"/>
        <v>0</v>
      </c>
      <c r="AY172" s="72">
        <f t="shared" si="175"/>
        <v>0</v>
      </c>
      <c r="AZ172" s="72">
        <f t="shared" si="176"/>
        <v>0</v>
      </c>
      <c r="BA172" s="72" t="e">
        <f t="shared" si="177"/>
        <v>#N/A</v>
      </c>
      <c r="BB172" s="72" t="e">
        <f t="shared" si="178"/>
        <v>#N/A</v>
      </c>
      <c r="BC172" s="77"/>
      <c r="BE172">
        <f t="shared" si="158"/>
        <v>0</v>
      </c>
      <c r="BF172" s="196"/>
      <c r="BG172" s="196"/>
      <c r="BH172" s="196"/>
      <c r="BI172" s="196"/>
      <c r="BJ172" s="196"/>
      <c r="BK172" s="196"/>
    </row>
    <row r="173" spans="2:63" hidden="1">
      <c r="B173" s="72"/>
      <c r="C173" s="135"/>
      <c r="D173" s="73"/>
      <c r="E173" s="73"/>
      <c r="F173" s="72"/>
      <c r="G173" s="72"/>
      <c r="H173" s="72"/>
      <c r="I173" s="73">
        <f t="shared" si="160"/>
        <v>0</v>
      </c>
      <c r="J173" s="73"/>
      <c r="K173" s="73"/>
      <c r="L173" s="74" t="e">
        <f>_xlfn.IFNA(VLOOKUP(C173,'חד גזעי'!$U$3:$V$509,2,0),VLOOKUP(C173,'חד גזעי'!$U$3:$V$509,2))</f>
        <v>#N/A</v>
      </c>
      <c r="M173" s="73"/>
      <c r="N173" s="72" t="e">
        <f>_xlfn.IFNA(IF(VLOOKUP(C173,'חד גזעי'!$AH$2:$AH$7,1,FALSE)&gt;0,0,IF('חד גזעי'!$AM$5="כן",IF(_xlfn.IFNA(VLOOKUP(C173,'חד גזעי'!$AH$2:$AH$33,1,FALSE),SUM(J173:M173))&lt;21,_xlfn.IFNA(VLOOKUP(C173,'חד גזעי'!$AH$2:$AH$33,1,FALSE),SUM(J173:M173)),0),SUM(J173:M173))),IF('חד גזעי'!$AM$5="כן",IF(_xlfn.IFNA(VLOOKUP(C173,'חד גזעי'!$AH$2:$AH$33,1,FALSE),SUM(J173:M173))&lt;21,_xlfn.IFNA(VLOOKUP(C173,'חד גזעי'!$AH$2:$AH$33,1,FALSE),SUM(J173:M173)),0),SUM(J173:M173)))</f>
        <v>#N/A</v>
      </c>
      <c r="O173" s="72">
        <f>IF('חד גזעי'!$AM$3 = "כן",IF(T173&gt;4,4,T173),T173)</f>
        <v>0</v>
      </c>
      <c r="P173" s="80">
        <f>IF(E173&lt;2,0,IF(Z173&gt;0,Z173,IF(N173 = 0,0,IF('חד גזעי'!$AM$2 = "לא",IF(F173&gt;19,W173,0),IF(F173&gt;9,Y173,0)))))</f>
        <v>0</v>
      </c>
      <c r="Q173" s="77"/>
      <c r="R173" s="76"/>
      <c r="S173" t="e">
        <f>VLOOKUP(C173,'חד גזעי'!$Y$4:$Y$18,1,0)</f>
        <v>#N/A</v>
      </c>
      <c r="T173" s="72">
        <f>IF('חד גזעי'!$AM$6="לא",IF(P173=0,IF(BC173="שימור",IF('חד גזעי'!$AM$4="לא",IF(BC173="לא בוגר",0,IF(BC173="לא קיים",0,IF(J173=0,0,I173*0.1))),IF(BC173="לא בוגר",0,IF(BC173="לא קיים",0,IF(AB173=1,I173*0.1,E173*0.5)))),0),IF('חד גזעי'!$AM$4="לא",IF(BC173="לא בוגר",0,IF(BC173="לא קיים",0,IF(J173=0,0,I173*0.1))),IF(BC173="לא בוגר",0,IF(BC173="לא קיים",0,IF(AB173=1,I173*0.1,E173*0.5))))),IF(P173=0,IF(BC173="שימור",IF('חד גזעי'!$AM$4="לא",IF(BC173="לא בוגר",0,IF(BC173="לא קיים",0,IF(J173=0,0,I173*0.15))),IF(BC173="לא בוגר",0,IF(BC173="לא קיים",0,IF(AB173=1,I173*0.15,E173*0.5)))),0),IF('חד גזעי'!$AM$4="לא",IF(BC173="לא בוגר",0,IF(BC173="לא קיים",0,IF(J173=0,0,I173*0.15))),IF(BC173="לא בוגר",0,IF(BC173="לא קיים",0,IF(AB173=1,I173*0.15,E173*0.5))))))</f>
        <v>0</v>
      </c>
      <c r="V173" t="e">
        <f t="shared" si="150"/>
        <v>#N/A</v>
      </c>
      <c r="W173" t="e">
        <f t="shared" si="151"/>
        <v>#N/A</v>
      </c>
      <c r="X173" t="e">
        <f t="shared" si="152"/>
        <v>#N/A</v>
      </c>
      <c r="Y173">
        <f>IF('חד גזעי'!$AM$2 = "לא",0,IF(F173&gt;9,W173,0))</f>
        <v>0</v>
      </c>
      <c r="Z173">
        <f>IF('חד גזעי'!$AM$7 = "לא",0,IF(C173 = "זית אירופי",IF('חד גזעי'!$AN$7 &lt;=סקר!F173,W173,0),IF(C173 = "חרוב מצוי",IF('חד גזעי'!$AN$7 &lt;=סקר!F173,W173,0),0)))</f>
        <v>0</v>
      </c>
      <c r="AB173">
        <f t="shared" si="161"/>
        <v>1</v>
      </c>
      <c r="AC173" s="72"/>
      <c r="AD173" t="e">
        <f t="shared" si="179"/>
        <v>#N/A</v>
      </c>
      <c r="AE173" s="72"/>
      <c r="AF173" s="72" t="e">
        <f t="shared" si="162"/>
        <v>#N/A</v>
      </c>
      <c r="AG173" s="72" t="e">
        <f>IF('חד גזעי'!$AM$5="לא",(VLOOKUP(C173,'חד גזעי'!$P$1:$S$589,3,FALSE)),(VLOOKUP(C173,'חד גזעי'!$P$1:$S$589,4,FALSE)))</f>
        <v>#N/A</v>
      </c>
      <c r="AH173" s="72">
        <f t="shared" si="163"/>
        <v>0</v>
      </c>
      <c r="AI173" s="72">
        <f t="shared" si="164"/>
        <v>0</v>
      </c>
      <c r="AJ173" s="72">
        <f t="shared" si="165"/>
        <v>0</v>
      </c>
      <c r="AK173" s="72" t="e">
        <f t="shared" si="166"/>
        <v>#N/A</v>
      </c>
      <c r="AL173" t="e">
        <f>VLOOKUP(C173,'חד גזעי'!$AH$8:$AI$33,2,FALSE)</f>
        <v>#N/A</v>
      </c>
      <c r="AM173" s="72" t="b">
        <f t="shared" si="167"/>
        <v>0</v>
      </c>
      <c r="AN173" s="72" t="b">
        <f t="shared" si="168"/>
        <v>0</v>
      </c>
      <c r="AO173" s="72" t="b">
        <f t="shared" si="169"/>
        <v>0</v>
      </c>
      <c r="AS173" s="72">
        <f t="shared" si="170"/>
        <v>0</v>
      </c>
      <c r="AT173" s="72">
        <f t="shared" si="171"/>
        <v>0</v>
      </c>
      <c r="AU173" s="72">
        <f t="shared" si="180"/>
        <v>0</v>
      </c>
      <c r="AV173" s="72">
        <f t="shared" si="172"/>
        <v>0</v>
      </c>
      <c r="AW173" s="72">
        <f t="shared" si="173"/>
        <v>0</v>
      </c>
      <c r="AX173" s="72">
        <f t="shared" si="174"/>
        <v>0</v>
      </c>
      <c r="AY173" s="72">
        <f t="shared" si="175"/>
        <v>0</v>
      </c>
      <c r="AZ173" s="72">
        <f t="shared" si="176"/>
        <v>0</v>
      </c>
      <c r="BA173" s="72" t="e">
        <f t="shared" si="177"/>
        <v>#N/A</v>
      </c>
      <c r="BB173" s="72" t="e">
        <f t="shared" si="178"/>
        <v>#N/A</v>
      </c>
      <c r="BC173" s="77"/>
      <c r="BE173">
        <f t="shared" si="158"/>
        <v>0</v>
      </c>
      <c r="BF173" s="196"/>
      <c r="BG173" s="196"/>
      <c r="BH173" s="196"/>
      <c r="BI173" s="196"/>
      <c r="BJ173" s="196"/>
      <c r="BK173" s="196"/>
    </row>
    <row r="174" spans="2:63" hidden="1">
      <c r="B174" s="72"/>
      <c r="C174" s="135"/>
      <c r="D174" s="73"/>
      <c r="E174" s="73"/>
      <c r="F174" s="72"/>
      <c r="G174" s="72"/>
      <c r="H174" s="72"/>
      <c r="I174" s="73">
        <f t="shared" si="160"/>
        <v>0</v>
      </c>
      <c r="J174" s="73"/>
      <c r="K174" s="73"/>
      <c r="L174" s="74" t="e">
        <f>_xlfn.IFNA(VLOOKUP(C174,'חד גזעי'!$U$3:$V$509,2,0),VLOOKUP(C174,'חד גזעי'!$U$3:$V$509,2))</f>
        <v>#N/A</v>
      </c>
      <c r="M174" s="73"/>
      <c r="N174" s="72" t="e">
        <f>_xlfn.IFNA(IF(VLOOKUP(C174,'חד גזעי'!$AH$2:$AH$7,1,FALSE)&gt;0,0,IF('חד גזעי'!$AM$5="כן",IF(_xlfn.IFNA(VLOOKUP(C174,'חד גזעי'!$AH$2:$AH$33,1,FALSE),SUM(J174:M174))&lt;21,_xlfn.IFNA(VLOOKUP(C174,'חד גזעי'!$AH$2:$AH$33,1,FALSE),SUM(J174:M174)),0),SUM(J174:M174))),IF('חד גזעי'!$AM$5="כן",IF(_xlfn.IFNA(VLOOKUP(C174,'חד גזעי'!$AH$2:$AH$33,1,FALSE),SUM(J174:M174))&lt;21,_xlfn.IFNA(VLOOKUP(C174,'חד גזעי'!$AH$2:$AH$33,1,FALSE),SUM(J174:M174)),0),SUM(J174:M174)))</f>
        <v>#N/A</v>
      </c>
      <c r="O174" s="72">
        <f>IF('חד גזעי'!$AM$3 = "כן",IF(T174&gt;4,4,T174),T174)</f>
        <v>0</v>
      </c>
      <c r="P174" s="80">
        <f>IF(E174&lt;2,0,IF(Z174&gt;0,Z174,IF(N174 = 0,0,IF('חד גזעי'!$AM$2 = "לא",IF(F174&gt;19,W174,0),IF(F174&gt;9,Y174,0)))))</f>
        <v>0</v>
      </c>
      <c r="Q174" s="77"/>
      <c r="R174" s="76"/>
      <c r="S174" t="e">
        <f>VLOOKUP(C174,'חד גזעי'!$Y$4:$Y$18,1,0)</f>
        <v>#N/A</v>
      </c>
      <c r="T174" s="72">
        <f>IF('חד גזעי'!$AM$6="לא",IF(P174=0,IF(BC174="שימור",IF('חד גזעי'!$AM$4="לא",IF(BC174="לא בוגר",0,IF(BC174="לא קיים",0,IF(J174=0,0,I174*0.1))),IF(BC174="לא בוגר",0,IF(BC174="לא קיים",0,IF(AB174=1,I174*0.1,E174*0.5)))),0),IF('חד גזעי'!$AM$4="לא",IF(BC174="לא בוגר",0,IF(BC174="לא קיים",0,IF(J174=0,0,I174*0.1))),IF(BC174="לא בוגר",0,IF(BC174="לא קיים",0,IF(AB174=1,I174*0.1,E174*0.5))))),IF(P174=0,IF(BC174="שימור",IF('חד גזעי'!$AM$4="לא",IF(BC174="לא בוגר",0,IF(BC174="לא קיים",0,IF(J174=0,0,I174*0.15))),IF(BC174="לא בוגר",0,IF(BC174="לא קיים",0,IF(AB174=1,I174*0.15,E174*0.5)))),0),IF('חד גזעי'!$AM$4="לא",IF(BC174="לא בוגר",0,IF(BC174="לא קיים",0,IF(J174=0,0,I174*0.15))),IF(BC174="לא בוגר",0,IF(BC174="לא קיים",0,IF(AB174=1,I174*0.15,E174*0.5))))))</f>
        <v>0</v>
      </c>
      <c r="V174" t="e">
        <f t="shared" si="150"/>
        <v>#N/A</v>
      </c>
      <c r="W174" t="e">
        <f t="shared" si="151"/>
        <v>#N/A</v>
      </c>
      <c r="X174" t="e">
        <f t="shared" si="152"/>
        <v>#N/A</v>
      </c>
      <c r="Y174">
        <f>IF('חד גזעי'!$AM$2 = "לא",0,IF(F174&gt;9,W174,0))</f>
        <v>0</v>
      </c>
      <c r="Z174">
        <f>IF('חד גזעי'!$AM$7 = "לא",0,IF(C174 = "זית אירופי",IF('חד גזעי'!$AN$7 &lt;=סקר!F174,W174,0),IF(C174 = "חרוב מצוי",IF('חד גזעי'!$AN$7 &lt;=סקר!F174,W174,0),0)))</f>
        <v>0</v>
      </c>
      <c r="AB174">
        <f t="shared" si="161"/>
        <v>1</v>
      </c>
      <c r="AC174" s="72"/>
      <c r="AD174" t="e">
        <f t="shared" si="179"/>
        <v>#N/A</v>
      </c>
      <c r="AE174" s="72"/>
      <c r="AF174" s="72" t="e">
        <f t="shared" si="162"/>
        <v>#N/A</v>
      </c>
      <c r="AG174" s="72" t="e">
        <f>IF('חד גזעי'!$AM$5="לא",(VLOOKUP(C174,'חד גזעי'!$P$1:$S$589,3,FALSE)),(VLOOKUP(C174,'חד גזעי'!$P$1:$S$589,4,FALSE)))</f>
        <v>#N/A</v>
      </c>
      <c r="AH174" s="72">
        <f t="shared" si="163"/>
        <v>0</v>
      </c>
      <c r="AI174" s="72">
        <f t="shared" si="164"/>
        <v>0</v>
      </c>
      <c r="AJ174" s="72">
        <f t="shared" si="165"/>
        <v>0</v>
      </c>
      <c r="AK174" s="72" t="e">
        <f t="shared" si="166"/>
        <v>#N/A</v>
      </c>
      <c r="AL174" t="e">
        <f>VLOOKUP(C174,'חד גזעי'!$AH$8:$AI$33,2,FALSE)</f>
        <v>#N/A</v>
      </c>
      <c r="AM174" s="72" t="b">
        <f t="shared" si="167"/>
        <v>0</v>
      </c>
      <c r="AN174" s="72" t="b">
        <f t="shared" si="168"/>
        <v>0</v>
      </c>
      <c r="AO174" s="72" t="b">
        <f t="shared" si="169"/>
        <v>0</v>
      </c>
      <c r="AS174" s="72">
        <f t="shared" si="170"/>
        <v>0</v>
      </c>
      <c r="AT174" s="72">
        <f t="shared" si="171"/>
        <v>0</v>
      </c>
      <c r="AU174" s="72">
        <f t="shared" si="180"/>
        <v>0</v>
      </c>
      <c r="AV174" s="72">
        <f t="shared" si="172"/>
        <v>0</v>
      </c>
      <c r="AW174" s="72">
        <f t="shared" si="173"/>
        <v>0</v>
      </c>
      <c r="AX174" s="72">
        <f t="shared" si="174"/>
        <v>0</v>
      </c>
      <c r="AY174" s="72">
        <f t="shared" si="175"/>
        <v>0</v>
      </c>
      <c r="AZ174" s="72">
        <f t="shared" si="176"/>
        <v>0</v>
      </c>
      <c r="BA174" s="72" t="e">
        <f t="shared" si="177"/>
        <v>#N/A</v>
      </c>
      <c r="BB174" s="72" t="e">
        <f t="shared" si="178"/>
        <v>#N/A</v>
      </c>
      <c r="BC174" s="77"/>
      <c r="BE174">
        <f t="shared" si="158"/>
        <v>0</v>
      </c>
      <c r="BF174" s="196"/>
      <c r="BG174" s="196"/>
      <c r="BH174" s="196"/>
      <c r="BI174" s="196"/>
      <c r="BJ174" s="196"/>
      <c r="BK174" s="196"/>
    </row>
    <row r="175" spans="2:63" hidden="1">
      <c r="B175" s="72"/>
      <c r="C175" s="135"/>
      <c r="D175" s="73"/>
      <c r="E175" s="73"/>
      <c r="F175" s="72"/>
      <c r="G175" s="72"/>
      <c r="H175" s="72"/>
      <c r="I175" s="73">
        <f t="shared" si="160"/>
        <v>0</v>
      </c>
      <c r="J175" s="73"/>
      <c r="K175" s="73"/>
      <c r="L175" s="74" t="e">
        <f>_xlfn.IFNA(VLOOKUP(C175,'חד גזעי'!$U$3:$V$509,2,0),VLOOKUP(C175,'חד גזעי'!$U$3:$V$509,2))</f>
        <v>#N/A</v>
      </c>
      <c r="M175" s="73"/>
      <c r="N175" s="72" t="e">
        <f>_xlfn.IFNA(IF(VLOOKUP(C175,'חד גזעי'!$AH$2:$AH$7,1,FALSE)&gt;0,0,IF('חד גזעי'!$AM$5="כן",IF(_xlfn.IFNA(VLOOKUP(C175,'חד גזעי'!$AH$2:$AH$33,1,FALSE),SUM(J175:M175))&lt;21,_xlfn.IFNA(VLOOKUP(C175,'חד גזעי'!$AH$2:$AH$33,1,FALSE),SUM(J175:M175)),0),SUM(J175:M175))),IF('חד גזעי'!$AM$5="כן",IF(_xlfn.IFNA(VLOOKUP(C175,'חד גזעי'!$AH$2:$AH$33,1,FALSE),SUM(J175:M175))&lt;21,_xlfn.IFNA(VLOOKUP(C175,'חד גזעי'!$AH$2:$AH$33,1,FALSE),SUM(J175:M175)),0),SUM(J175:M175)))</f>
        <v>#N/A</v>
      </c>
      <c r="O175" s="72">
        <f>IF('חד גזעי'!$AM$3 = "כן",IF(T175&gt;4,4,T175),T175)</f>
        <v>0</v>
      </c>
      <c r="P175" s="80">
        <f>IF(E175&lt;2,0,IF(Z175&gt;0,Z175,IF(N175 = 0,0,IF('חד גזעי'!$AM$2 = "לא",IF(F175&gt;19,W175,0),IF(F175&gt;9,Y175,0)))))</f>
        <v>0</v>
      </c>
      <c r="Q175" s="77"/>
      <c r="R175" s="76"/>
      <c r="S175" t="e">
        <f>VLOOKUP(C175,'חד גזעי'!$Y$4:$Y$18,1,0)</f>
        <v>#N/A</v>
      </c>
      <c r="T175" s="72">
        <f>IF('חד גזעי'!$AM$6="לא",IF(P175=0,IF(BC175="שימור",IF('חד גזעי'!$AM$4="לא",IF(BC175="לא בוגר",0,IF(BC175="לא קיים",0,IF(J175=0,0,I175*0.1))),IF(BC175="לא בוגר",0,IF(BC175="לא קיים",0,IF(AB175=1,I175*0.1,E175*0.5)))),0),IF('חד גזעי'!$AM$4="לא",IF(BC175="לא בוגר",0,IF(BC175="לא קיים",0,IF(J175=0,0,I175*0.1))),IF(BC175="לא בוגר",0,IF(BC175="לא קיים",0,IF(AB175=1,I175*0.1,E175*0.5))))),IF(P175=0,IF(BC175="שימור",IF('חד גזעי'!$AM$4="לא",IF(BC175="לא בוגר",0,IF(BC175="לא קיים",0,IF(J175=0,0,I175*0.15))),IF(BC175="לא בוגר",0,IF(BC175="לא קיים",0,IF(AB175=1,I175*0.15,E175*0.5)))),0),IF('חד גזעי'!$AM$4="לא",IF(BC175="לא בוגר",0,IF(BC175="לא קיים",0,IF(J175=0,0,I175*0.15))),IF(BC175="לא בוגר",0,IF(BC175="לא קיים",0,IF(AB175=1,I175*0.15,E175*0.5))))))</f>
        <v>0</v>
      </c>
      <c r="V175" t="e">
        <f t="shared" si="150"/>
        <v>#N/A</v>
      </c>
      <c r="W175" t="e">
        <f t="shared" si="151"/>
        <v>#N/A</v>
      </c>
      <c r="X175" t="e">
        <f t="shared" si="152"/>
        <v>#N/A</v>
      </c>
      <c r="Y175">
        <f>IF('חד גזעי'!$AM$2 = "לא",0,IF(F175&gt;9,W175,0))</f>
        <v>0</v>
      </c>
      <c r="Z175">
        <f>IF('חד גזעי'!$AM$7 = "לא",0,IF(C175 = "זית אירופי",IF('חד גזעי'!$AN$7 &lt;=סקר!F175,W175,0),IF(C175 = "חרוב מצוי",IF('חד גזעי'!$AN$7 &lt;=סקר!F175,W175,0),0)))</f>
        <v>0</v>
      </c>
      <c r="AB175">
        <f t="shared" si="161"/>
        <v>1</v>
      </c>
      <c r="AC175" s="72"/>
      <c r="AD175" t="e">
        <f t="shared" si="179"/>
        <v>#N/A</v>
      </c>
      <c r="AE175" s="72"/>
      <c r="AF175" s="72" t="e">
        <f t="shared" si="162"/>
        <v>#N/A</v>
      </c>
      <c r="AG175" s="72" t="e">
        <f>IF('חד גזעי'!$AM$5="לא",(VLOOKUP(C175,'חד גזעי'!$P$1:$S$589,3,FALSE)),(VLOOKUP(C175,'חד גזעי'!$P$1:$S$589,4,FALSE)))</f>
        <v>#N/A</v>
      </c>
      <c r="AH175" s="72">
        <f t="shared" si="163"/>
        <v>0</v>
      </c>
      <c r="AI175" s="72">
        <f t="shared" si="164"/>
        <v>0</v>
      </c>
      <c r="AJ175" s="72">
        <f t="shared" si="165"/>
        <v>0</v>
      </c>
      <c r="AK175" s="72" t="e">
        <f t="shared" si="166"/>
        <v>#N/A</v>
      </c>
      <c r="AL175" t="e">
        <f>VLOOKUP(C175,'חד גזעי'!$AH$8:$AI$33,2,FALSE)</f>
        <v>#N/A</v>
      </c>
      <c r="AM175" s="72" t="b">
        <f t="shared" si="167"/>
        <v>0</v>
      </c>
      <c r="AN175" s="72" t="b">
        <f t="shared" si="168"/>
        <v>0</v>
      </c>
      <c r="AO175" s="72" t="b">
        <f t="shared" si="169"/>
        <v>0</v>
      </c>
      <c r="AS175" s="72">
        <f t="shared" si="170"/>
        <v>0</v>
      </c>
      <c r="AT175" s="72">
        <f t="shared" si="171"/>
        <v>0</v>
      </c>
      <c r="AU175" s="72">
        <f t="shared" si="180"/>
        <v>0</v>
      </c>
      <c r="AV175" s="72">
        <f t="shared" si="172"/>
        <v>0</v>
      </c>
      <c r="AW175" s="72">
        <f t="shared" si="173"/>
        <v>0</v>
      </c>
      <c r="AX175" s="72">
        <f t="shared" si="174"/>
        <v>0</v>
      </c>
      <c r="AY175" s="72">
        <f t="shared" si="175"/>
        <v>0</v>
      </c>
      <c r="AZ175" s="72">
        <f t="shared" si="176"/>
        <v>0</v>
      </c>
      <c r="BA175" s="72" t="e">
        <f t="shared" si="177"/>
        <v>#N/A</v>
      </c>
      <c r="BB175" s="72" t="e">
        <f t="shared" si="178"/>
        <v>#N/A</v>
      </c>
      <c r="BC175" s="77"/>
      <c r="BE175">
        <f t="shared" si="158"/>
        <v>0</v>
      </c>
      <c r="BF175" s="196"/>
      <c r="BG175" s="196"/>
      <c r="BH175" s="196"/>
      <c r="BI175" s="196"/>
      <c r="BJ175" s="196"/>
      <c r="BK175" s="196"/>
    </row>
    <row r="176" spans="2:63" hidden="1">
      <c r="B176" s="72"/>
      <c r="C176" s="135"/>
      <c r="D176" s="73"/>
      <c r="E176" s="73"/>
      <c r="F176" s="72"/>
      <c r="G176" s="72"/>
      <c r="H176" s="72"/>
      <c r="I176" s="73">
        <f t="shared" si="160"/>
        <v>0</v>
      </c>
      <c r="J176" s="73"/>
      <c r="K176" s="73"/>
      <c r="L176" s="74" t="e">
        <f>_xlfn.IFNA(VLOOKUP(C176,'חד גזעי'!$U$3:$V$509,2,0),VLOOKUP(C176,'חד גזעי'!$U$3:$V$509,2))</f>
        <v>#N/A</v>
      </c>
      <c r="M176" s="73"/>
      <c r="N176" s="72" t="e">
        <f>_xlfn.IFNA(IF(VLOOKUP(C176,'חד גזעי'!$AH$2:$AH$7,1,FALSE)&gt;0,0,IF('חד גזעי'!$AM$5="כן",IF(_xlfn.IFNA(VLOOKUP(C176,'חד גזעי'!$AH$2:$AH$33,1,FALSE),SUM(J176:M176))&lt;21,_xlfn.IFNA(VLOOKUP(C176,'חד גזעי'!$AH$2:$AH$33,1,FALSE),SUM(J176:M176)),0),SUM(J176:M176))),IF('חד גזעי'!$AM$5="כן",IF(_xlfn.IFNA(VLOOKUP(C176,'חד גזעי'!$AH$2:$AH$33,1,FALSE),SUM(J176:M176))&lt;21,_xlfn.IFNA(VLOOKUP(C176,'חד גזעי'!$AH$2:$AH$33,1,FALSE),SUM(J176:M176)),0),SUM(J176:M176)))</f>
        <v>#N/A</v>
      </c>
      <c r="O176" s="72">
        <f>IF('חד גזעי'!$AM$3 = "כן",IF(T176&gt;4,4,T176),T176)</f>
        <v>0</v>
      </c>
      <c r="P176" s="80">
        <f>IF(E176&lt;2,0,IF(Z176&gt;0,Z176,IF(N176 = 0,0,IF('חד גזעי'!$AM$2 = "לא",IF(F176&gt;19,W176,0),IF(F176&gt;9,Y176,0)))))</f>
        <v>0</v>
      </c>
      <c r="Q176" s="77"/>
      <c r="R176" s="76"/>
      <c r="S176" t="e">
        <f>VLOOKUP(C176,'חד גזעי'!$Y$4:$Y$18,1,0)</f>
        <v>#N/A</v>
      </c>
      <c r="T176" s="72">
        <f>IF('חד גזעי'!$AM$6="לא",IF(P176=0,IF(BC176="שימור",IF('חד גזעי'!$AM$4="לא",IF(BC176="לא בוגר",0,IF(BC176="לא קיים",0,IF(J176=0,0,I176*0.1))),IF(BC176="לא בוגר",0,IF(BC176="לא קיים",0,IF(AB176=1,I176*0.1,E176*0.5)))),0),IF('חד גזעי'!$AM$4="לא",IF(BC176="לא בוגר",0,IF(BC176="לא קיים",0,IF(J176=0,0,I176*0.1))),IF(BC176="לא בוגר",0,IF(BC176="לא קיים",0,IF(AB176=1,I176*0.1,E176*0.5))))),IF(P176=0,IF(BC176="שימור",IF('חד גזעי'!$AM$4="לא",IF(BC176="לא בוגר",0,IF(BC176="לא קיים",0,IF(J176=0,0,I176*0.15))),IF(BC176="לא בוגר",0,IF(BC176="לא קיים",0,IF(AB176=1,I176*0.15,E176*0.5)))),0),IF('חד גזעי'!$AM$4="לא",IF(BC176="לא בוגר",0,IF(BC176="לא קיים",0,IF(J176=0,0,I176*0.15))),IF(BC176="לא בוגר",0,IF(BC176="לא קיים",0,IF(AB176=1,I176*0.15,E176*0.5))))))</f>
        <v>0</v>
      </c>
      <c r="V176" t="e">
        <f t="shared" si="150"/>
        <v>#N/A</v>
      </c>
      <c r="W176" t="e">
        <f t="shared" si="151"/>
        <v>#N/A</v>
      </c>
      <c r="X176" t="e">
        <f t="shared" si="152"/>
        <v>#N/A</v>
      </c>
      <c r="Y176">
        <f>IF('חד גזעי'!$AM$2 = "לא",0,IF(F176&gt;9,W176,0))</f>
        <v>0</v>
      </c>
      <c r="Z176">
        <f>IF('חד גזעי'!$AM$7 = "לא",0,IF(C176 = "זית אירופי",IF('חד גזעי'!$AN$7 &lt;=סקר!F176,W176,0),IF(C176 = "חרוב מצוי",IF('חד גזעי'!$AN$7 &lt;=סקר!F176,W176,0),0)))</f>
        <v>0</v>
      </c>
      <c r="AB176">
        <f t="shared" si="161"/>
        <v>1</v>
      </c>
      <c r="AC176" s="72"/>
      <c r="AD176" t="e">
        <f t="shared" si="179"/>
        <v>#N/A</v>
      </c>
      <c r="AE176" s="72"/>
      <c r="AF176" s="72" t="e">
        <f t="shared" si="162"/>
        <v>#N/A</v>
      </c>
      <c r="AG176" s="72" t="e">
        <f>IF('חד גזעי'!$AM$5="לא",(VLOOKUP(C176,'חד גזעי'!$P$1:$S$589,3,FALSE)),(VLOOKUP(C176,'חד גזעי'!$P$1:$S$589,4,FALSE)))</f>
        <v>#N/A</v>
      </c>
      <c r="AH176" s="72">
        <f t="shared" si="163"/>
        <v>0</v>
      </c>
      <c r="AI176" s="72">
        <f t="shared" si="164"/>
        <v>0</v>
      </c>
      <c r="AJ176" s="72">
        <f t="shared" si="165"/>
        <v>0</v>
      </c>
      <c r="AK176" s="72" t="e">
        <f t="shared" si="166"/>
        <v>#N/A</v>
      </c>
      <c r="AL176" t="e">
        <f>VLOOKUP(C176,'חד גזעי'!$AH$8:$AI$33,2,FALSE)</f>
        <v>#N/A</v>
      </c>
      <c r="AM176" s="72" t="b">
        <f t="shared" si="167"/>
        <v>0</v>
      </c>
      <c r="AN176" s="72" t="b">
        <f t="shared" si="168"/>
        <v>0</v>
      </c>
      <c r="AO176" s="72" t="b">
        <f t="shared" si="169"/>
        <v>0</v>
      </c>
      <c r="AS176" s="72">
        <f t="shared" si="170"/>
        <v>0</v>
      </c>
      <c r="AT176" s="72">
        <f t="shared" si="171"/>
        <v>0</v>
      </c>
      <c r="AU176" s="72">
        <f t="shared" si="180"/>
        <v>0</v>
      </c>
      <c r="AV176" s="72">
        <f t="shared" si="172"/>
        <v>0</v>
      </c>
      <c r="AW176" s="72">
        <f t="shared" si="173"/>
        <v>0</v>
      </c>
      <c r="AX176" s="72">
        <f t="shared" si="174"/>
        <v>0</v>
      </c>
      <c r="AY176" s="72">
        <f t="shared" si="175"/>
        <v>0</v>
      </c>
      <c r="AZ176" s="72">
        <f t="shared" si="176"/>
        <v>0</v>
      </c>
      <c r="BA176" s="72" t="e">
        <f t="shared" si="177"/>
        <v>#N/A</v>
      </c>
      <c r="BB176" s="72" t="e">
        <f t="shared" si="178"/>
        <v>#N/A</v>
      </c>
      <c r="BC176" s="77"/>
      <c r="BE176">
        <f t="shared" si="158"/>
        <v>0</v>
      </c>
      <c r="BF176" s="196"/>
      <c r="BG176" s="196"/>
      <c r="BH176" s="196"/>
      <c r="BI176" s="196"/>
      <c r="BJ176" s="196"/>
      <c r="BK176" s="196"/>
    </row>
    <row r="177" spans="1:63" ht="14.25" hidden="1" customHeight="1">
      <c r="B177" s="71"/>
      <c r="C177" s="69"/>
      <c r="Q177" s="86"/>
      <c r="T177" s="72">
        <f>IF('חד גזעי'!$AM$6="לא",IF(P177=0,IF(BC177="שימור",IF('חד גזעי'!$AM$4="לא",IF(BC177="לא בוגר",0,IF(BC177="לא קיים",0,IF(J177=0,0,I177*0.1))),IF(BC177="לא בוגר",0,IF(BC177="לא קיים",0,IF(AB177=1,I177*0.1,E177*0.5)))),0),IF('חד גזעי'!$AM$4="לא",IF(BC177="לא בוגר",0,IF(BC177="לא קיים",0,IF(J177=0,0,I177*0.1))),IF(BC177="לא בוגר",0,IF(BC177="לא קיים",0,IF(AB177=1,I177*0.1,E177*0.5))))),IF(P177=0,IF(BC177="שימור",IF('חד גזעי'!$AM$4="לא",IF(BC177="לא בוגר",0,IF(BC177="לא קיים",0,IF(J177=0,0,I177*0.15))),IF(BC177="לא בוגר",0,IF(BC177="לא קיים",0,IF(AB177=1,I177*0.15,E177*0.5)))),0),IF('חד גזעי'!$AM$4="לא",IF(BC177="לא בוגר",0,IF(BC177="לא קיים",0,IF(J177=0,0,I177*0.15))),IF(BC177="לא בוגר",0,IF(BC177="לא קיים",0,IF(AB177=1,I177*0.15,E177*0.5))))))</f>
        <v>0</v>
      </c>
      <c r="V177">
        <f t="shared" si="150"/>
        <v>0</v>
      </c>
      <c r="W177">
        <f t="shared" si="151"/>
        <v>0</v>
      </c>
      <c r="X177">
        <f t="shared" si="152"/>
        <v>0</v>
      </c>
      <c r="Y177">
        <f>IF('חד גזעי'!$AM$2 = "לא",0,IF(F177&gt;9,W177,0))</f>
        <v>0</v>
      </c>
      <c r="Z177">
        <f>IF('חד גזעי'!$AM$7 = "לא",0,IF(C177 = "זית אירופי",IF('חד גזעי'!$AN$7 &lt;=סקר!F177,W177,0),IF(C177 = "חרוב מצוי",IF('חד גזעי'!$AN$7 &lt;=סקר!F177,W177,0),0)))</f>
        <v>0</v>
      </c>
      <c r="AD177" s="69" t="s">
        <v>807</v>
      </c>
      <c r="BE177">
        <f t="shared" si="158"/>
        <v>0</v>
      </c>
      <c r="BF177" s="196"/>
      <c r="BG177" s="196"/>
      <c r="BH177" s="196"/>
      <c r="BI177" s="196"/>
      <c r="BJ177" s="196"/>
      <c r="BK177" s="196"/>
    </row>
    <row r="178" spans="1:63" ht="14.25" hidden="1" customHeight="1">
      <c r="A178" s="129"/>
      <c r="B178" s="132"/>
      <c r="C178" s="133"/>
      <c r="D178" s="129"/>
      <c r="E178" s="129"/>
      <c r="F178" s="129"/>
      <c r="G178" s="129"/>
      <c r="H178" s="129"/>
      <c r="I178" s="129"/>
      <c r="J178" s="129"/>
      <c r="K178" s="129"/>
      <c r="L178" s="129"/>
      <c r="M178" s="129"/>
      <c r="N178" s="129"/>
      <c r="O178" s="129"/>
      <c r="P178" s="129"/>
      <c r="Q178" s="134"/>
      <c r="R178" s="129"/>
      <c r="S178" s="129"/>
      <c r="T178" s="72">
        <f>IF('חד גזעי'!$AM$6="לא",IF(P178=0,IF(BC178="שימור",IF('חד גזעי'!$AM$4="לא",IF(BC178="לא בוגר",0,IF(BC178="לא קיים",0,IF(J178=0,0,I178*0.1))),IF(BC178="לא בוגר",0,IF(BC178="לא קיים",0,IF(AB178=1,I178*0.1,E178*0.5)))),0),IF('חד גזעי'!$AM$4="לא",IF(BC178="לא בוגר",0,IF(BC178="לא קיים",0,IF(J178=0,0,I178*0.1))),IF(BC178="לא בוגר",0,IF(BC178="לא קיים",0,IF(AB178=1,I178*0.1,E178*0.5))))),IF(P178=0,IF(BC178="שימור",IF('חד גזעי'!$AM$4="לא",IF(BC178="לא בוגר",0,IF(BC178="לא קיים",0,IF(J178=0,0,I178*0.15))),IF(BC178="לא בוגר",0,IF(BC178="לא קיים",0,IF(AB178=1,I178*0.15,E178*0.5)))),0),IF('חד גזעי'!$AM$4="לא",IF(BC178="לא בוגר",0,IF(BC178="לא קיים",0,IF(J178=0,0,I178*0.15))),IF(BC178="לא בוגר",0,IF(BC178="לא קיים",0,IF(AB178=1,I178*0.15,E178*0.5))))))</f>
        <v>0</v>
      </c>
      <c r="U178" s="129"/>
      <c r="V178">
        <f t="shared" si="150"/>
        <v>0</v>
      </c>
      <c r="W178">
        <f t="shared" si="151"/>
        <v>0</v>
      </c>
      <c r="X178">
        <f t="shared" si="152"/>
        <v>0</v>
      </c>
      <c r="Y178">
        <f>IF('חד גזעי'!$AM$2 = "לא",0,IF(F178&gt;9,W178,0))</f>
        <v>0</v>
      </c>
      <c r="Z178">
        <f>IF('חד גזעי'!$AM$7 = "לא",0,IF(C178 = "זית אירופי",IF('חד גזעי'!$AN$7 &lt;=סקר!F178,W178,0),IF(C178 = "חרוב מצוי",IF('חד גזעי'!$AN$7 &lt;=סקר!F178,W178,0),0)))</f>
        <v>0</v>
      </c>
      <c r="AA178" s="129"/>
      <c r="AB178" s="129"/>
      <c r="AC178" s="129"/>
      <c r="AD178" s="133"/>
      <c r="AE178" s="129"/>
      <c r="AF178" s="129"/>
      <c r="AG178" s="129"/>
      <c r="AH178" s="129"/>
      <c r="AI178" s="129"/>
      <c r="AJ178" s="129"/>
      <c r="AK178" s="129"/>
      <c r="AL178" s="129"/>
      <c r="AM178" s="129"/>
      <c r="AN178" s="129"/>
      <c r="AO178" s="129"/>
      <c r="AP178" s="129"/>
      <c r="AQ178" s="129"/>
      <c r="AR178" s="129"/>
      <c r="AS178" s="129"/>
      <c r="AT178" s="129"/>
      <c r="AU178" s="129"/>
      <c r="AV178" s="129"/>
      <c r="AW178" s="129"/>
      <c r="AX178" s="129"/>
      <c r="AY178" s="129"/>
      <c r="AZ178" s="129"/>
      <c r="BA178" s="129"/>
      <c r="BB178" s="129"/>
      <c r="BC178" s="129"/>
      <c r="BD178" s="129"/>
      <c r="BE178" s="129"/>
      <c r="BF178" s="129">
        <f>_xlfn.IFNA(_xlfn.IFNA(_xlfn.TEXTBEFORE(BF160,"--"),_xlfn.TEXTBEFORE(BF160,",")),BF160)</f>
        <v>0</v>
      </c>
      <c r="BG178" s="129">
        <f t="shared" ref="BG178:BK178" si="182">_xlfn.IFNA(_xlfn.IFNA(_xlfn.TEXTBEFORE(BG160,"--"),_xlfn.TEXTBEFORE(BG160,",")),BG160)</f>
        <v>0</v>
      </c>
      <c r="BH178" s="129">
        <f t="shared" si="182"/>
        <v>0</v>
      </c>
      <c r="BI178" s="129">
        <f>_xlfn.IFNA(_xlfn.IFNA(_xlfn.TEXTBEFORE(BI160,"--"),_xlfn.TEXTBEFORE(BI160,",")),BI160)</f>
        <v>0</v>
      </c>
      <c r="BJ178" s="129">
        <f t="shared" si="182"/>
        <v>0</v>
      </c>
      <c r="BK178" s="129">
        <f t="shared" si="182"/>
        <v>0</v>
      </c>
    </row>
    <row r="179" spans="1:63" ht="14.25" hidden="1" customHeight="1">
      <c r="A179" s="129"/>
      <c r="B179" s="132"/>
      <c r="C179" s="133"/>
      <c r="D179" s="129"/>
      <c r="E179" s="129"/>
      <c r="F179" s="129"/>
      <c r="G179" s="129"/>
      <c r="H179" s="129"/>
      <c r="I179" s="129"/>
      <c r="J179" s="129"/>
      <c r="K179" s="129"/>
      <c r="L179" s="129"/>
      <c r="M179" s="129"/>
      <c r="N179" s="129"/>
      <c r="O179" s="129"/>
      <c r="P179" s="129"/>
      <c r="Q179" s="134"/>
      <c r="R179" s="129"/>
      <c r="S179" s="129"/>
      <c r="T179" s="72">
        <f>IF('חד גזעי'!$AM$6="לא",IF(P179=0,IF(BC179="שימור",IF('חד גזעי'!$AM$4="לא",IF(BC179="לא בוגר",0,IF(BC179="לא קיים",0,IF(J179=0,0,I179*0.1))),IF(BC179="לא בוגר",0,IF(BC179="לא קיים",0,IF(AB179=1,I179*0.1,E179*0.5)))),0),IF('חד גזעי'!$AM$4="לא",IF(BC179="לא בוגר",0,IF(BC179="לא קיים",0,IF(J179=0,0,I179*0.1))),IF(BC179="לא בוגר",0,IF(BC179="לא קיים",0,IF(AB179=1,I179*0.1,E179*0.5))))),IF(P179=0,IF(BC179="שימור",IF('חד גזעי'!$AM$4="לא",IF(BC179="לא בוגר",0,IF(BC179="לא קיים",0,IF(J179=0,0,I179*0.15))),IF(BC179="לא בוגר",0,IF(BC179="לא קיים",0,IF(AB179=1,I179*0.15,E179*0.5)))),0),IF('חד גזעי'!$AM$4="לא",IF(BC179="לא בוגר",0,IF(BC179="לא קיים",0,IF(J179=0,0,I179*0.15))),IF(BC179="לא בוגר",0,IF(BC179="לא קיים",0,IF(AB179=1,I179*0.15,E179*0.5))))))</f>
        <v>0</v>
      </c>
      <c r="U179" s="129"/>
      <c r="V179">
        <f t="shared" si="150"/>
        <v>0</v>
      </c>
      <c r="W179">
        <f t="shared" si="151"/>
        <v>0</v>
      </c>
      <c r="X179">
        <f t="shared" si="152"/>
        <v>0</v>
      </c>
      <c r="Y179">
        <f>IF('חד גזעי'!$AM$2 = "לא",0,IF(F179&gt;9,W179,0))</f>
        <v>0</v>
      </c>
      <c r="Z179">
        <f>IF('חד גזעי'!$AM$7 = "לא",0,IF(C179 = "זית אירופי",IF('חד גזעי'!$AN$7 &lt;=סקר!F179,W179,0),IF(C179 = "חרוב מצוי",IF('חד גזעי'!$AN$7 &lt;=סקר!F179,W179,0),0)))</f>
        <v>0</v>
      </c>
      <c r="AA179" s="129"/>
      <c r="AB179" s="129"/>
      <c r="AC179" s="129"/>
      <c r="AD179" s="133"/>
      <c r="AE179" s="129"/>
      <c r="AF179" s="129"/>
      <c r="AG179" s="129"/>
      <c r="AH179" s="129"/>
      <c r="AI179" s="129"/>
      <c r="AJ179" s="129"/>
      <c r="AK179" s="129"/>
      <c r="AL179" s="129"/>
      <c r="AM179" s="129"/>
      <c r="AN179" s="129"/>
      <c r="AO179" s="129"/>
      <c r="AP179" s="129"/>
      <c r="AQ179" s="129"/>
      <c r="AR179" s="129"/>
      <c r="AS179" s="129"/>
      <c r="AT179" s="129"/>
      <c r="AU179" s="129"/>
      <c r="AV179" s="129"/>
      <c r="AW179" s="129"/>
      <c r="AX179" s="129"/>
      <c r="AY179" s="129"/>
      <c r="AZ179" s="129"/>
      <c r="BA179" s="129"/>
      <c r="BB179" s="129"/>
      <c r="BC179" s="129"/>
      <c r="BD179" s="129"/>
      <c r="BE179" s="129"/>
      <c r="BF179" s="129" t="str">
        <f>"C:\Users\origr\Pictures\"&amp;BF178&amp;".jpg"</f>
        <v>C:\Users\origr\Pictures\0.jpg</v>
      </c>
      <c r="BG179" s="129" t="str">
        <f t="shared" ref="BG179" si="183">"C:\Users\origr\Pictures\"&amp;BG178&amp;".jpg"</f>
        <v>C:\Users\origr\Pictures\0.jpg</v>
      </c>
      <c r="BH179" s="129" t="str">
        <f t="shared" ref="BH179" si="184">"C:\Users\origr\Pictures\"&amp;BH178&amp;".jpg"</f>
        <v>C:\Users\origr\Pictures\0.jpg</v>
      </c>
      <c r="BI179" s="129" t="str">
        <f t="shared" ref="BI179" si="185">"C:\Users\origr\Pictures\"&amp;BI178&amp;".jpg"</f>
        <v>C:\Users\origr\Pictures\0.jpg</v>
      </c>
      <c r="BJ179" s="129" t="str">
        <f t="shared" ref="BJ179" si="186">"C:\Users\origr\Pictures\"&amp;BJ178&amp;".jpg"</f>
        <v>C:\Users\origr\Pictures\0.jpg</v>
      </c>
      <c r="BK179" s="129" t="str">
        <f t="shared" ref="BK179" si="187">"C:\Users\origr\Pictures\"&amp;BK178&amp;".jpg"</f>
        <v>C:\Users\origr\Pictures\0.jpg</v>
      </c>
    </row>
    <row r="180" spans="1:63" ht="14.25" hidden="1">
      <c r="A180" s="129"/>
      <c r="B180" s="132"/>
      <c r="C180" s="133"/>
      <c r="D180" s="129"/>
      <c r="E180" s="129"/>
      <c r="F180" s="129"/>
      <c r="G180" s="129"/>
      <c r="H180" s="129"/>
      <c r="I180" s="129"/>
      <c r="J180" s="129"/>
      <c r="K180" s="129"/>
      <c r="L180" s="129"/>
      <c r="M180" s="129"/>
      <c r="N180" s="129"/>
      <c r="O180" s="129"/>
      <c r="P180" s="129"/>
      <c r="Q180" s="134"/>
      <c r="R180" s="129"/>
      <c r="S180" s="129"/>
      <c r="T180" s="72">
        <f>IF('חד גזעי'!$AM$6="לא",IF(P180=0,IF(BC180="שימור",IF('חד גזעי'!$AM$4="לא",IF(BC180="לא בוגר",0,IF(BC180="לא קיים",0,IF(J180=0,0,I180*0.1))),IF(BC180="לא בוגר",0,IF(BC180="לא קיים",0,IF(AB180=1,I180*0.1,E180*0.5)))),0),IF('חד גזעי'!$AM$4="לא",IF(BC180="לא בוגר",0,IF(BC180="לא קיים",0,IF(J180=0,0,I180*0.1))),IF(BC180="לא בוגר",0,IF(BC180="לא קיים",0,IF(AB180=1,I180*0.1,E180*0.5))))),IF(P180=0,IF(BC180="שימור",IF('חד גזעי'!$AM$4="לא",IF(BC180="לא בוגר",0,IF(BC180="לא קיים",0,IF(J180=0,0,I180*0.15))),IF(BC180="לא בוגר",0,IF(BC180="לא קיים",0,IF(AB180=1,I180*0.15,E180*0.5)))),0),IF('חד גזעי'!$AM$4="לא",IF(BC180="לא בוגר",0,IF(BC180="לא קיים",0,IF(J180=0,0,I180*0.15))),IF(BC180="לא בוגר",0,IF(BC180="לא קיים",0,IF(AB180=1,I180*0.15,E180*0.5))))))</f>
        <v>0</v>
      </c>
      <c r="U180" s="129"/>
      <c r="V180">
        <f t="shared" si="150"/>
        <v>0</v>
      </c>
      <c r="W180">
        <f t="shared" si="151"/>
        <v>0</v>
      </c>
      <c r="X180">
        <f t="shared" si="152"/>
        <v>0</v>
      </c>
      <c r="Y180">
        <f>IF('חד גזעי'!$AM$2 = "לא",0,IF(F180&gt;9,W180,0))</f>
        <v>0</v>
      </c>
      <c r="Z180">
        <f>IF('חד גזעי'!$AM$7 = "לא",0,IF(C180 = "זית אירופי",IF('חד גזעי'!$AN$7 &lt;=סקר!F180,W180,0),IF(C180 = "חרוב מצוי",IF('חד גזעי'!$AN$7 &lt;=סקר!F180,W180,0),0)))</f>
        <v>0</v>
      </c>
      <c r="AA180" s="129"/>
      <c r="AB180" s="129"/>
      <c r="AC180" s="129"/>
      <c r="AD180" s="133"/>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c r="BC180" s="129"/>
      <c r="BD180" s="129"/>
      <c r="BE180" s="129"/>
      <c r="BF180" s="129" t="str">
        <f>BF179</f>
        <v>C:\Users\origr\Pictures\0.jpg</v>
      </c>
      <c r="BG180" s="129" t="str">
        <f t="shared" ref="BG180" si="188">BG179</f>
        <v>C:\Users\origr\Pictures\0.jpg</v>
      </c>
      <c r="BH180" s="129" t="str">
        <f t="shared" ref="BH180" si="189">BH179</f>
        <v>C:\Users\origr\Pictures\0.jpg</v>
      </c>
      <c r="BI180" s="129" t="str">
        <f t="shared" ref="BI180" si="190">BI179</f>
        <v>C:\Users\origr\Pictures\0.jpg</v>
      </c>
      <c r="BJ180" s="129" t="str">
        <f t="shared" ref="BJ180" si="191">BJ179</f>
        <v>C:\Users\origr\Pictures\0.jpg</v>
      </c>
      <c r="BK180" s="129" t="str">
        <f t="shared" ref="BK180" si="192">BK179</f>
        <v>C:\Users\origr\Pictures\0.jpg</v>
      </c>
    </row>
    <row r="181" spans="1:63" ht="12.75" hidden="1" customHeight="1">
      <c r="T181" s="72">
        <f>IF('חד גזעי'!$AM$6="לא",IF(P181=0,IF(BC181="שימור",IF('חד גזעי'!$AM$4="לא",IF(BC181="לא בוגר",0,IF(BC181="לא קיים",0,IF(J181=0,0,I181*0.1))),IF(BC181="לא בוגר",0,IF(BC181="לא קיים",0,IF(AB181=1,I181*0.1,E181*0.5)))),0),IF('חד גזעי'!$AM$4="לא",IF(BC181="לא בוגר",0,IF(BC181="לא קיים",0,IF(J181=0,0,I181*0.1))),IF(BC181="לא בוגר",0,IF(BC181="לא קיים",0,IF(AB181=1,I181*0.1,E181*0.5))))),IF(P181=0,IF(BC181="שימור",IF('חד גזעי'!$AM$4="לא",IF(BC181="לא בוגר",0,IF(BC181="לא קיים",0,IF(J181=0,0,I181*0.15))),IF(BC181="לא בוגר",0,IF(BC181="לא קיים",0,IF(AB181=1,I181*0.15,E181*0.5)))),0),IF('חד גזעי'!$AM$4="לא",IF(BC181="לא בוגר",0,IF(BC181="לא קיים",0,IF(J181=0,0,I181*0.15))),IF(BC181="לא בוגר",0,IF(BC181="לא קיים",0,IF(AB181=1,I181*0.15,E181*0.5))))))</f>
        <v>0</v>
      </c>
      <c r="V181">
        <f t="shared" si="150"/>
        <v>0</v>
      </c>
      <c r="W181">
        <f t="shared" si="151"/>
        <v>0</v>
      </c>
      <c r="X181">
        <f t="shared" si="152"/>
        <v>0</v>
      </c>
      <c r="Y181">
        <f>IF('חד גזעי'!$AM$2 = "לא",0,IF(F181&gt;9,W181,0))</f>
        <v>0</v>
      </c>
      <c r="Z181">
        <f>IF('חד גזעי'!$AM$7 = "לא",0,IF(C181 = "זית אירופי",IF('חד גזעי'!$AN$7 &lt;=סקר!F181,W181,0),IF(C181 = "חרוב מצוי",IF('חד גזעי'!$AN$7 &lt;=סקר!F181,W181,0),0)))</f>
        <v>0</v>
      </c>
    </row>
    <row r="182" spans="1:63" ht="12.75" hidden="1" customHeight="1">
      <c r="T182" s="72">
        <f>IF('חד גזעי'!$AM$6="לא",IF(P182=0,IF(BC182="שימור",IF('חד גזעי'!$AM$4="לא",IF(BC182="לא בוגר",0,IF(BC182="לא קיים",0,IF(J182=0,0,I182*0.1))),IF(BC182="לא בוגר",0,IF(BC182="לא קיים",0,IF(AB182=1,I182*0.1,E182*0.5)))),0),IF('חד גזעי'!$AM$4="לא",IF(BC182="לא בוגר",0,IF(BC182="לא קיים",0,IF(J182=0,0,I182*0.1))),IF(BC182="לא בוגר",0,IF(BC182="לא קיים",0,IF(AB182=1,I182*0.1,E182*0.5))))),IF(P182=0,IF(BC182="שימור",IF('חד גזעי'!$AM$4="לא",IF(BC182="לא בוגר",0,IF(BC182="לא קיים",0,IF(J182=0,0,I182*0.15))),IF(BC182="לא בוגר",0,IF(BC182="לא קיים",0,IF(AB182=1,I182*0.15,E182*0.5)))),0),IF('חד גזעי'!$AM$4="לא",IF(BC182="לא בוגר",0,IF(BC182="לא קיים",0,IF(J182=0,0,I182*0.15))),IF(BC182="לא בוגר",0,IF(BC182="לא קיים",0,IF(AB182=1,I182*0.15,E182*0.5))))))</f>
        <v>0</v>
      </c>
      <c r="V182">
        <f t="shared" si="150"/>
        <v>0</v>
      </c>
      <c r="W182">
        <f t="shared" si="151"/>
        <v>0</v>
      </c>
      <c r="X182">
        <f t="shared" si="152"/>
        <v>0</v>
      </c>
      <c r="Y182">
        <f>IF('חד גזעי'!$AM$2 = "לא",0,IF(F182&gt;9,W182,0))</f>
        <v>0</v>
      </c>
      <c r="Z182">
        <f>IF('חד גזעי'!$AM$7 = "לא",0,IF(C182 = "זית אירופי",IF('חד גזעי'!$AN$7 &lt;=סקר!F182,W182,0),IF(C182 = "חרוב מצוי",IF('חד גזעי'!$AN$7 &lt;=סקר!F182,W182,0),0)))</f>
        <v>0</v>
      </c>
    </row>
    <row r="183" spans="1:63" ht="12.75" hidden="1" customHeight="1">
      <c r="T183" s="72">
        <f>IF('חד גזעי'!$AM$6="לא",IF(P183=0,IF(BC183="שימור",IF('חד גזעי'!$AM$4="לא",IF(BC183="לא בוגר",0,IF(BC183="לא קיים",0,IF(J183=0,0,I183*0.1))),IF(BC183="לא בוגר",0,IF(BC183="לא קיים",0,IF(AB183=1,I183*0.1,E183*0.5)))),0),IF('חד גזעי'!$AM$4="לא",IF(BC183="לא בוגר",0,IF(BC183="לא קיים",0,IF(J183=0,0,I183*0.1))),IF(BC183="לא בוגר",0,IF(BC183="לא קיים",0,IF(AB183=1,I183*0.1,E183*0.5))))),IF(P183=0,IF(BC183="שימור",IF('חד גזעי'!$AM$4="לא",IF(BC183="לא בוגר",0,IF(BC183="לא קיים",0,IF(J183=0,0,I183*0.15))),IF(BC183="לא בוגר",0,IF(BC183="לא קיים",0,IF(AB183=1,I183*0.15,E183*0.5)))),0),IF('חד גזעי'!$AM$4="לא",IF(BC183="לא בוגר",0,IF(BC183="לא קיים",0,IF(J183=0,0,I183*0.15))),IF(BC183="לא בוגר",0,IF(BC183="לא קיים",0,IF(AB183=1,I183*0.15,E183*0.5))))))</f>
        <v>0</v>
      </c>
      <c r="V183">
        <f t="shared" si="150"/>
        <v>0</v>
      </c>
      <c r="W183">
        <f t="shared" si="151"/>
        <v>0</v>
      </c>
      <c r="X183">
        <f t="shared" si="152"/>
        <v>0</v>
      </c>
      <c r="Y183">
        <f>IF('חד גזעי'!$AM$2 = "לא",0,IF(F183&gt;9,W183,0))</f>
        <v>0</v>
      </c>
      <c r="Z183">
        <f>IF('חד גזעי'!$AM$7 = "לא",0,IF(C183 = "זית אירופי",IF('חד גזעי'!$AN$7 &lt;=סקר!F183,W183,0),IF(C183 = "חרוב מצוי",IF('חד גזעי'!$AN$7 &lt;=סקר!F183,W183,0),0)))</f>
        <v>0</v>
      </c>
    </row>
    <row r="184" spans="1:63" ht="12.75" hidden="1" customHeight="1">
      <c r="A184" s="129"/>
      <c r="B184" s="129"/>
      <c r="C184" s="129"/>
      <c r="D184" s="129"/>
      <c r="E184" s="129"/>
      <c r="F184" s="129"/>
      <c r="G184" s="129"/>
      <c r="H184" s="129"/>
      <c r="I184" s="129"/>
      <c r="J184" s="129"/>
      <c r="K184" s="129"/>
      <c r="L184" s="129"/>
      <c r="M184" s="129"/>
      <c r="N184" s="129"/>
      <c r="O184" s="129"/>
      <c r="P184" s="129"/>
      <c r="Q184" s="129"/>
      <c r="R184" s="129"/>
      <c r="S184" s="129"/>
      <c r="T184" s="72">
        <f>IF('חד גזעי'!$AM$6="לא",IF(P184=0,IF(BC184="שימור",IF('חד גזעי'!$AM$4="לא",IF(BC184="לא בוגר",0,IF(BC184="לא קיים",0,IF(J184=0,0,I184*0.1))),IF(BC184="לא בוגר",0,IF(BC184="לא קיים",0,IF(AB184=1,I184*0.1,E184*0.5)))),0),IF('חד גזעי'!$AM$4="לא",IF(BC184="לא בוגר",0,IF(BC184="לא קיים",0,IF(J184=0,0,I184*0.1))),IF(BC184="לא בוגר",0,IF(BC184="לא קיים",0,IF(AB184=1,I184*0.1,E184*0.5))))),IF(P184=0,IF(BC184="שימור",IF('חד גזעי'!$AM$4="לא",IF(BC184="לא בוגר",0,IF(BC184="לא קיים",0,IF(J184=0,0,I184*0.15))),IF(BC184="לא בוגר",0,IF(BC184="לא קיים",0,IF(AB184=1,I184*0.15,E184*0.5)))),0),IF('חד גזעי'!$AM$4="לא",IF(BC184="לא בוגר",0,IF(BC184="לא קיים",0,IF(J184=0,0,I184*0.15))),IF(BC184="לא בוגר",0,IF(BC184="לא קיים",0,IF(AB184=1,I184*0.15,E184*0.5))))))</f>
        <v>0</v>
      </c>
      <c r="U184" s="129"/>
      <c r="V184">
        <f t="shared" si="150"/>
        <v>0</v>
      </c>
      <c r="W184">
        <f t="shared" si="151"/>
        <v>0</v>
      </c>
      <c r="X184">
        <f t="shared" si="152"/>
        <v>0</v>
      </c>
      <c r="Y184">
        <f>IF('חד גזעי'!$AM$2 = "לא",0,IF(F184&gt;9,W184,0))</f>
        <v>0</v>
      </c>
      <c r="Z184">
        <f>IF('חד גזעי'!$AM$7 = "לא",0,IF(C184 = "זית אירופי",IF('חד גזעי'!$AN$7 &lt;=סקר!F184,W184,0),IF(C184 = "חרוב מצוי",IF('חד גזעי'!$AN$7 &lt;=סקר!F184,W184,0),0)))</f>
        <v>0</v>
      </c>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f>_xlfn.IFNA(_xlfn.IFNA(_xlfn.TEXTBEFORE(BF188,"--"),_xlfn.TEXTBEFORE(BF188,",")),BF188)</f>
        <v>0</v>
      </c>
      <c r="BG184" s="129">
        <f t="shared" ref="BG184:BK184" si="193">_xlfn.IFNA(_xlfn.IFNA(_xlfn.TEXTBEFORE(BG188,"--"),_xlfn.TEXTBEFORE(BG188,",")),BG188)</f>
        <v>0</v>
      </c>
      <c r="BH184" s="129">
        <f t="shared" si="193"/>
        <v>0</v>
      </c>
      <c r="BI184" s="129">
        <f>_xlfn.IFNA(_xlfn.IFNA(_xlfn.TEXTBEFORE(BI188,"--"),_xlfn.TEXTBEFORE(BI188,",")),BI188)</f>
        <v>0</v>
      </c>
      <c r="BJ184" s="129">
        <f t="shared" si="193"/>
        <v>0</v>
      </c>
      <c r="BK184" s="129">
        <f t="shared" si="193"/>
        <v>0</v>
      </c>
    </row>
    <row r="185" spans="1:63" ht="12.75" hidden="1" customHeight="1">
      <c r="A185" s="129"/>
      <c r="B185" s="129"/>
      <c r="C185" s="129"/>
      <c r="D185" s="129"/>
      <c r="E185" s="129"/>
      <c r="F185" s="129"/>
      <c r="G185" s="129"/>
      <c r="H185" s="129"/>
      <c r="I185" s="129"/>
      <c r="J185" s="129"/>
      <c r="K185" s="129"/>
      <c r="L185" s="129"/>
      <c r="M185" s="129"/>
      <c r="N185" s="129"/>
      <c r="O185" s="129"/>
      <c r="P185" s="129"/>
      <c r="Q185" s="129"/>
      <c r="R185" s="129"/>
      <c r="S185" s="129"/>
      <c r="T185" s="72">
        <f>IF('חד גזעי'!$AM$6="לא",IF(P185=0,IF(BC185="שימור",IF('חד גזעי'!$AM$4="לא",IF(BC185="לא בוגר",0,IF(BC185="לא קיים",0,IF(J185=0,0,I185*0.1))),IF(BC185="לא בוגר",0,IF(BC185="לא קיים",0,IF(AB185=1,I185*0.1,E185*0.5)))),0),IF('חד גזעי'!$AM$4="לא",IF(BC185="לא בוגר",0,IF(BC185="לא קיים",0,IF(J185=0,0,I185*0.1))),IF(BC185="לא בוגר",0,IF(BC185="לא קיים",0,IF(AB185=1,I185*0.1,E185*0.5))))),IF(P185=0,IF(BC185="שימור",IF('חד גזעי'!$AM$4="לא",IF(BC185="לא בוגר",0,IF(BC185="לא קיים",0,IF(J185=0,0,I185*0.15))),IF(BC185="לא בוגר",0,IF(BC185="לא קיים",0,IF(AB185=1,I185*0.15,E185*0.5)))),0),IF('חד גזעי'!$AM$4="לא",IF(BC185="לא בוגר",0,IF(BC185="לא קיים",0,IF(J185=0,0,I185*0.15))),IF(BC185="לא בוגר",0,IF(BC185="לא קיים",0,IF(AB185=1,I185*0.15,E185*0.5))))))</f>
        <v>0</v>
      </c>
      <c r="U185" s="129"/>
      <c r="V185">
        <f t="shared" si="150"/>
        <v>0</v>
      </c>
      <c r="W185">
        <f t="shared" si="151"/>
        <v>0</v>
      </c>
      <c r="X185">
        <f t="shared" si="152"/>
        <v>0</v>
      </c>
      <c r="Y185">
        <f>IF('חד גזעי'!$AM$2 = "לא",0,IF(F185&gt;9,W185,0))</f>
        <v>0</v>
      </c>
      <c r="Z185">
        <f>IF('חד גזעי'!$AM$7 = "לא",0,IF(C185 = "זית אירופי",IF('חד גזעי'!$AN$7 &lt;=סקר!F185,W185,0),IF(C185 = "חרוב מצוי",IF('חד גזעי'!$AN$7 &lt;=סקר!F185,W185,0),0)))</f>
        <v>0</v>
      </c>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129"/>
      <c r="AX185" s="129"/>
      <c r="AY185" s="129"/>
      <c r="AZ185" s="129"/>
      <c r="BA185" s="129"/>
      <c r="BB185" s="129"/>
      <c r="BC185" s="129"/>
      <c r="BD185" s="129"/>
      <c r="BE185" s="129"/>
      <c r="BF185" s="129" t="str">
        <f>"C:\Users\origr\Pictures\"&amp;BF184&amp;".jpg"</f>
        <v>C:\Users\origr\Pictures\0.jpg</v>
      </c>
      <c r="BG185" s="129" t="str">
        <f t="shared" ref="BG185" si="194">"C:\Users\origr\Pictures\"&amp;BG184&amp;".jpg"</f>
        <v>C:\Users\origr\Pictures\0.jpg</v>
      </c>
      <c r="BH185" s="129" t="str">
        <f t="shared" ref="BH185" si="195">"C:\Users\origr\Pictures\"&amp;BH184&amp;".jpg"</f>
        <v>C:\Users\origr\Pictures\0.jpg</v>
      </c>
      <c r="BI185" s="129" t="str">
        <f t="shared" ref="BI185" si="196">"C:\Users\origr\Pictures\"&amp;BI184&amp;".jpg"</f>
        <v>C:\Users\origr\Pictures\0.jpg</v>
      </c>
      <c r="BJ185" s="129" t="str">
        <f t="shared" ref="BJ185" si="197">"C:\Users\origr\Pictures\"&amp;BJ184&amp;".jpg"</f>
        <v>C:\Users\origr\Pictures\0.jpg</v>
      </c>
      <c r="BK185" s="129" t="str">
        <f t="shared" ref="BK185" si="198">"C:\Users\origr\Pictures\"&amp;BK184&amp;".jpg"</f>
        <v>C:\Users\origr\Pictures\0.jpg</v>
      </c>
    </row>
    <row r="186" spans="1:63" hidden="1">
      <c r="A186" s="129"/>
      <c r="B186" s="129"/>
      <c r="C186" s="129"/>
      <c r="D186" s="129"/>
      <c r="E186" s="129"/>
      <c r="F186" s="129"/>
      <c r="G186" s="129"/>
      <c r="H186" s="129"/>
      <c r="I186" s="129"/>
      <c r="J186" s="129"/>
      <c r="K186" s="129"/>
      <c r="L186" s="129"/>
      <c r="M186" s="129"/>
      <c r="N186" s="129"/>
      <c r="O186" s="129"/>
      <c r="P186" s="129"/>
      <c r="Q186" s="129"/>
      <c r="R186" s="129"/>
      <c r="S186" s="129"/>
      <c r="T186" s="72">
        <f>IF('חד גזעי'!$AM$6="לא",IF(P186=0,IF(BC186="שימור",IF('חד גזעי'!$AM$4="לא",IF(BC186="לא בוגר",0,IF(BC186="לא קיים",0,IF(J186=0,0,I186*0.1))),IF(BC186="לא בוגר",0,IF(BC186="לא קיים",0,IF(AB186=1,I186*0.1,E186*0.5)))),0),IF('חד גזעי'!$AM$4="לא",IF(BC186="לא בוגר",0,IF(BC186="לא קיים",0,IF(J186=0,0,I186*0.1))),IF(BC186="לא בוגר",0,IF(BC186="לא קיים",0,IF(AB186=1,I186*0.1,E186*0.5))))),IF(P186=0,IF(BC186="שימור",IF('חד גזעי'!$AM$4="לא",IF(BC186="לא בוגר",0,IF(BC186="לא קיים",0,IF(J186=0,0,I186*0.15))),IF(BC186="לא בוגר",0,IF(BC186="לא קיים",0,IF(AB186=1,I186*0.15,E186*0.5)))),0),IF('חד גזעי'!$AM$4="לא",IF(BC186="לא בוגר",0,IF(BC186="לא קיים",0,IF(J186=0,0,I186*0.15))),IF(BC186="לא בוגר",0,IF(BC186="לא קיים",0,IF(AB186=1,I186*0.15,E186*0.5))))))</f>
        <v>0</v>
      </c>
      <c r="U186" s="129"/>
      <c r="V186">
        <f t="shared" si="150"/>
        <v>0</v>
      </c>
      <c r="W186">
        <f t="shared" si="151"/>
        <v>0</v>
      </c>
      <c r="X186">
        <f t="shared" si="152"/>
        <v>0</v>
      </c>
      <c r="Y186">
        <f>IF('חד גזעי'!$AM$2 = "לא",0,IF(F186&gt;9,W186,0))</f>
        <v>0</v>
      </c>
      <c r="Z186">
        <f>IF('חד גזעי'!$AM$7 = "לא",0,IF(C186 = "זית אירופי",IF('חד גזעי'!$AN$7 &lt;=סקר!F186,W186,0),IF(C186 = "חרוב מצוי",IF('חד גזעי'!$AN$7 &lt;=סקר!F186,W186,0),0)))</f>
        <v>0</v>
      </c>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129"/>
      <c r="AX186" s="129"/>
      <c r="AY186" s="129"/>
      <c r="AZ186" s="129"/>
      <c r="BA186" s="129"/>
      <c r="BB186" s="129"/>
      <c r="BC186" s="129"/>
      <c r="BD186" s="129"/>
      <c r="BE186" s="129"/>
      <c r="BF186" s="129" t="str">
        <f>BF185</f>
        <v>C:\Users\origr\Pictures\0.jpg</v>
      </c>
      <c r="BG186" s="129" t="str">
        <f t="shared" ref="BG186" si="199">BG185</f>
        <v>C:\Users\origr\Pictures\0.jpg</v>
      </c>
      <c r="BH186" s="129" t="str">
        <f t="shared" ref="BH186" si="200">BH185</f>
        <v>C:\Users\origr\Pictures\0.jpg</v>
      </c>
      <c r="BI186" s="129" t="str">
        <f t="shared" ref="BI186" si="201">BI185</f>
        <v>C:\Users\origr\Pictures\0.jpg</v>
      </c>
      <c r="BJ186" s="129" t="str">
        <f t="shared" ref="BJ186" si="202">BJ185</f>
        <v>C:\Users\origr\Pictures\0.jpg</v>
      </c>
      <c r="BK186" s="129" t="str">
        <f t="shared" ref="BK186" si="203">BK185</f>
        <v>C:\Users\origr\Pictures\0.jpg</v>
      </c>
    </row>
    <row r="187" spans="1:63" ht="14.25" hidden="1">
      <c r="B187" s="71"/>
      <c r="C187" s="69"/>
      <c r="Q187" s="86"/>
      <c r="T187" s="72">
        <f>IF('חד גזעי'!$AM$6="לא",IF(P187=0,IF(BC187="שימור",IF('חד גזעי'!$AM$4="לא",IF(BC187="לא בוגר",0,IF(BC187="לא קיים",0,IF(J187=0,0,I187*0.1))),IF(BC187="לא בוגר",0,IF(BC187="לא קיים",0,IF(AB187=1,I187*0.1,E187*0.5)))),0),IF('חד גזעי'!$AM$4="לא",IF(BC187="לא בוגר",0,IF(BC187="לא קיים",0,IF(J187=0,0,I187*0.1))),IF(BC187="לא בוגר",0,IF(BC187="לא קיים",0,IF(AB187=1,I187*0.1,E187*0.5))))),IF(P187=0,IF(BC187="שימור",IF('חד גזעי'!$AM$4="לא",IF(BC187="לא בוגר",0,IF(BC187="לא קיים",0,IF(J187=0,0,I187*0.15))),IF(BC187="לא בוגר",0,IF(BC187="לא קיים",0,IF(AB187=1,I187*0.15,E187*0.5)))),0),IF('חד גזעי'!$AM$4="לא",IF(BC187="לא בוגר",0,IF(BC187="לא קיים",0,IF(J187=0,0,I187*0.15))),IF(BC187="לא בוגר",0,IF(BC187="לא קיים",0,IF(AB187=1,I187*0.15,E187*0.5))))))</f>
        <v>0</v>
      </c>
      <c r="V187">
        <f t="shared" si="150"/>
        <v>0</v>
      </c>
      <c r="W187">
        <f t="shared" si="151"/>
        <v>0</v>
      </c>
      <c r="X187">
        <f t="shared" si="152"/>
        <v>0</v>
      </c>
      <c r="Y187">
        <f>IF('חד גזעי'!$AM$2 = "לא",0,IF(F187&gt;9,W187,0))</f>
        <v>0</v>
      </c>
      <c r="Z187">
        <f>IF('חד גזעי'!$AM$7 = "לא",0,IF(C187 = "זית אירופי",IF('חד גזעי'!$AN$7 &lt;=סקר!F187,W187,0),IF(C187 = "חרוב מצוי",IF('חד גזעי'!$AN$7 &lt;=סקר!F187,W187,0),0)))</f>
        <v>0</v>
      </c>
      <c r="AD187" s="69" t="s">
        <v>807</v>
      </c>
    </row>
    <row r="188" spans="1:63" ht="12.75" hidden="1" customHeight="1">
      <c r="B188" s="197" t="s">
        <v>738</v>
      </c>
      <c r="C188" s="197" t="s">
        <v>739</v>
      </c>
      <c r="D188" s="197" t="s">
        <v>740</v>
      </c>
      <c r="E188" s="197" t="s">
        <v>741</v>
      </c>
      <c r="F188" s="200" t="s">
        <v>759</v>
      </c>
      <c r="G188" s="203" t="s">
        <v>760</v>
      </c>
      <c r="H188" s="203" t="s">
        <v>761</v>
      </c>
      <c r="I188" s="197" t="s">
        <v>742</v>
      </c>
      <c r="J188" s="197" t="s">
        <v>743</v>
      </c>
      <c r="K188" s="197" t="s">
        <v>744</v>
      </c>
      <c r="L188" s="197" t="s">
        <v>745</v>
      </c>
      <c r="M188" s="197" t="s">
        <v>746</v>
      </c>
      <c r="N188" s="197" t="s">
        <v>747</v>
      </c>
      <c r="O188" s="197" t="s">
        <v>748</v>
      </c>
      <c r="P188" s="197" t="s">
        <v>749</v>
      </c>
      <c r="Q188" s="197" t="s">
        <v>750</v>
      </c>
      <c r="R188" s="197" t="s">
        <v>751</v>
      </c>
      <c r="T188" s="72" t="e">
        <f>IF('חד גזעי'!$AM$6="לא",IF(P188=0,IF(BC188="שימור",IF('חד גזעי'!$AM$4="לא",IF(BC188="לא בוגר",0,IF(BC188="לא קיים",0,IF(J188=0,0,I188*0.1))),IF(BC188="לא בוגר",0,IF(BC188="לא קיים",0,IF(AB188=1,I188*0.1,E188*0.5)))),0),IF('חד גזעי'!$AM$4="לא",IF(BC188="לא בוגר",0,IF(BC188="לא קיים",0,IF(J188=0,0,I188*0.1))),IF(BC188="לא בוגר",0,IF(BC188="לא קיים",0,IF(AB188=1,I188*0.1,E188*0.5))))),IF(P188=0,IF(BC188="שימור",IF('חד גזעי'!$AM$4="לא",IF(BC188="לא בוגר",0,IF(BC188="לא קיים",0,IF(J188=0,0,I188*0.15))),IF(BC188="לא בוגר",0,IF(BC188="לא קיים",0,IF(AB188=1,I188*0.15,E188*0.5)))),0),IF('חד גזעי'!$AM$4="לא",IF(BC188="לא בוגר",0,IF(BC188="לא קיים",0,IF(J188=0,0,I188*0.15))),IF(BC188="לא בוגר",0,IF(BC188="לא קיים",0,IF(AB188=1,I188*0.15,E188*0.5))))))</f>
        <v>#VALUE!</v>
      </c>
      <c r="V188">
        <f t="shared" si="150"/>
        <v>0</v>
      </c>
      <c r="W188" t="e">
        <f t="shared" si="151"/>
        <v>#VALUE!</v>
      </c>
      <c r="X188">
        <f t="shared" si="152"/>
        <v>0</v>
      </c>
      <c r="Y188">
        <f>IF('חד גזעי'!$AM$2 = "לא",0,IF(F188&gt;9,W188,0))</f>
        <v>0</v>
      </c>
      <c r="Z188">
        <f>IF('חד גזעי'!$AM$7 = "לא",0,IF(C188 = "זית אירופי",IF('חד גזעי'!$AN$7 &lt;=סקר!F188,W188,0),IF(C188 = "חרוב מצוי",IF('חד גזעי'!$AN$7 &lt;=סקר!F188,W188,0),0)))</f>
        <v>0</v>
      </c>
      <c r="AC188" s="101"/>
      <c r="AD188" s="103"/>
      <c r="AE188" s="103"/>
      <c r="AF188" s="103"/>
      <c r="AG188" s="103"/>
      <c r="AH188" s="103"/>
      <c r="AI188" s="103"/>
      <c r="AJ188" s="103"/>
      <c r="AK188" s="83"/>
      <c r="AM188" s="73"/>
      <c r="AN188" s="73"/>
      <c r="AO188" s="73"/>
      <c r="AS188" s="197" t="s">
        <v>738</v>
      </c>
      <c r="AT188" s="197" t="s">
        <v>739</v>
      </c>
      <c r="AU188" s="197" t="s">
        <v>740</v>
      </c>
      <c r="AV188" s="197" t="s">
        <v>741</v>
      </c>
      <c r="AW188" s="203" t="s">
        <v>759</v>
      </c>
      <c r="AX188" s="203" t="s">
        <v>760</v>
      </c>
      <c r="AY188" s="203" t="s">
        <v>761</v>
      </c>
      <c r="AZ188" s="197" t="s">
        <v>812</v>
      </c>
      <c r="BA188" s="197" t="s">
        <v>817</v>
      </c>
      <c r="BB188" s="197" t="s">
        <v>805</v>
      </c>
      <c r="BC188" s="197" t="s">
        <v>806</v>
      </c>
      <c r="BE188">
        <f>IF(BC188="לא נדרש ברישיון",1,0)</f>
        <v>0</v>
      </c>
      <c r="BF188" s="72"/>
      <c r="BG188" s="72"/>
      <c r="BH188" s="72"/>
      <c r="BI188" s="72"/>
      <c r="BJ188" s="72"/>
      <c r="BK188" s="72"/>
    </row>
    <row r="189" spans="1:63" hidden="1">
      <c r="B189" s="198"/>
      <c r="C189" s="198"/>
      <c r="D189" s="198"/>
      <c r="E189" s="198"/>
      <c r="F189" s="201"/>
      <c r="G189" s="204"/>
      <c r="H189" s="204"/>
      <c r="I189" s="198"/>
      <c r="J189" s="198"/>
      <c r="K189" s="198"/>
      <c r="L189" s="198"/>
      <c r="M189" s="198"/>
      <c r="N189" s="198"/>
      <c r="O189" s="198"/>
      <c r="P189" s="198"/>
      <c r="Q189" s="198"/>
      <c r="R189" s="198"/>
      <c r="T189" s="72">
        <f>IF('חד גזעי'!$AM$6="לא",IF(P189=0,IF(BC189="שימור",IF('חד גזעי'!$AM$4="לא",IF(BC189="לא בוגר",0,IF(BC189="לא קיים",0,IF(J189=0,0,I189*0.1))),IF(BC189="לא בוגר",0,IF(BC189="לא קיים",0,IF(AB189=1,I189*0.1,E189*0.5)))),0),IF('חד גזעי'!$AM$4="לא",IF(BC189="לא בוגר",0,IF(BC189="לא קיים",0,IF(J189=0,0,I189*0.1))),IF(BC189="לא בוגר",0,IF(BC189="לא קיים",0,IF(AB189=1,I189*0.1,E189*0.5))))),IF(P189=0,IF(BC189="שימור",IF('חד גזעי'!$AM$4="לא",IF(BC189="לא בוגר",0,IF(BC189="לא קיים",0,IF(J189=0,0,I189*0.15))),IF(BC189="לא בוגר",0,IF(BC189="לא קיים",0,IF(AB189=1,I189*0.15,E189*0.5)))),0),IF('חד גזעי'!$AM$4="לא",IF(BC189="לא בוגר",0,IF(BC189="לא קיים",0,IF(J189=0,0,I189*0.15))),IF(BC189="לא בוגר",0,IF(BC189="לא קיים",0,IF(AB189=1,I189*0.15,E189*0.5))))))</f>
        <v>0</v>
      </c>
      <c r="V189">
        <f t="shared" si="150"/>
        <v>0</v>
      </c>
      <c r="W189">
        <f t="shared" si="151"/>
        <v>0</v>
      </c>
      <c r="X189">
        <f t="shared" si="152"/>
        <v>0</v>
      </c>
      <c r="Y189">
        <f>IF('חד גזעי'!$AM$2 = "לא",0,IF(F189&gt;9,W189,0))</f>
        <v>0</v>
      </c>
      <c r="Z189">
        <f>IF('חד גזעי'!$AM$7 = "לא",0,IF(C189 = "זית אירופי",IF('חד גזעי'!$AN$7 &lt;=סקר!F189,W189,0),IF(C189 = "חרוב מצוי",IF('חד גזעי'!$AN$7 &lt;=סקר!F189,W189,0),0)))</f>
        <v>0</v>
      </c>
      <c r="AC189" s="101"/>
      <c r="AD189" s="103"/>
      <c r="AE189" s="103"/>
      <c r="AF189" s="103"/>
      <c r="AG189" s="103"/>
      <c r="AH189" s="103"/>
      <c r="AI189" s="103"/>
      <c r="AJ189" s="103"/>
      <c r="AK189" s="83"/>
      <c r="AM189" s="73"/>
      <c r="AN189" s="73"/>
      <c r="AO189" s="73"/>
      <c r="AS189" s="198"/>
      <c r="AT189" s="198"/>
      <c r="AU189" s="198"/>
      <c r="AV189" s="198"/>
      <c r="AW189" s="204"/>
      <c r="AX189" s="204"/>
      <c r="AY189" s="204"/>
      <c r="AZ189" s="198"/>
      <c r="BA189" s="198"/>
      <c r="BB189" s="198"/>
      <c r="BC189" s="198"/>
      <c r="BE189">
        <f t="shared" ref="BE189:BE223" si="204">IF(BC189="לא נדרש ברישיון",1,0)</f>
        <v>0</v>
      </c>
      <c r="BF189" s="196" t="str">
        <f>BF186</f>
        <v>C:\Users\origr\Pictures\0.jpg</v>
      </c>
      <c r="BG189" s="196" t="str">
        <f t="shared" ref="BG189:BK189" si="205">BG186</f>
        <v>C:\Users\origr\Pictures\0.jpg</v>
      </c>
      <c r="BH189" s="196" t="str">
        <f t="shared" si="205"/>
        <v>C:\Users\origr\Pictures\0.jpg</v>
      </c>
      <c r="BI189" s="196" t="str">
        <f t="shared" si="205"/>
        <v>C:\Users\origr\Pictures\0.jpg</v>
      </c>
      <c r="BJ189" s="196" t="str">
        <f t="shared" si="205"/>
        <v>C:\Users\origr\Pictures\0.jpg</v>
      </c>
      <c r="BK189" s="196" t="str">
        <f t="shared" si="205"/>
        <v>C:\Users\origr\Pictures\0.jpg</v>
      </c>
    </row>
    <row r="190" spans="1:63" hidden="1">
      <c r="B190" s="199"/>
      <c r="C190" s="199"/>
      <c r="D190" s="199"/>
      <c r="E190" s="199"/>
      <c r="F190" s="202"/>
      <c r="G190" s="205"/>
      <c r="H190" s="205"/>
      <c r="I190" s="199"/>
      <c r="J190" s="199"/>
      <c r="K190" s="199"/>
      <c r="L190" s="199"/>
      <c r="M190" s="199"/>
      <c r="N190" s="199"/>
      <c r="O190" s="199"/>
      <c r="P190" s="199"/>
      <c r="Q190" s="199"/>
      <c r="R190" s="199"/>
      <c r="T190" s="72">
        <f>IF('חד גזעי'!$AM$6="לא",IF(P190=0,IF(BC190="שימור",IF('חד גזעי'!$AM$4="לא",IF(BC190="לא בוגר",0,IF(BC190="לא קיים",0,IF(J190=0,0,I190*0.1))),IF(BC190="לא בוגר",0,IF(BC190="לא קיים",0,IF(AB190=1,I190*0.1,E190*0.5)))),0),IF('חד גזעי'!$AM$4="לא",IF(BC190="לא בוגר",0,IF(BC190="לא קיים",0,IF(J190=0,0,I190*0.1))),IF(BC190="לא בוגר",0,IF(BC190="לא קיים",0,IF(AB190=1,I190*0.1,E190*0.5))))),IF(P190=0,IF(BC190="שימור",IF('חד גזעי'!$AM$4="לא",IF(BC190="לא בוגר",0,IF(BC190="לא קיים",0,IF(J190=0,0,I190*0.15))),IF(BC190="לא בוגר",0,IF(BC190="לא קיים",0,IF(AB190=1,I190*0.15,E190*0.5)))),0),IF('חד גזעי'!$AM$4="לא",IF(BC190="לא בוגר",0,IF(BC190="לא קיים",0,IF(J190=0,0,I190*0.15))),IF(BC190="לא בוגר",0,IF(BC190="לא קיים",0,IF(AB190=1,I190*0.15,E190*0.5))))))</f>
        <v>0</v>
      </c>
      <c r="V190" t="str">
        <f t="shared" si="150"/>
        <v>שווי דקל</v>
      </c>
      <c r="W190" t="str">
        <f t="shared" si="151"/>
        <v>שווי דקל</v>
      </c>
      <c r="X190">
        <f t="shared" si="152"/>
        <v>0</v>
      </c>
      <c r="Y190">
        <f>IF('חד גזעי'!$AM$2 = "לא",0,IF(F190&gt;9,W190,0))</f>
        <v>0</v>
      </c>
      <c r="Z190">
        <f>IF('חד גזעי'!$AM$7 = "לא",0,IF(C190 = "זית אירופי",IF('חד גזעי'!$AN$7 &lt;=סקר!F190,W190,0),IF(C190 = "חרוב מצוי",IF('חד גזעי'!$AN$7 &lt;=סקר!F190,W190,0),0)))</f>
        <v>0</v>
      </c>
      <c r="AC190" s="94"/>
      <c r="AD190" s="94"/>
      <c r="AE190" s="72"/>
      <c r="AF190" s="77" t="s">
        <v>767</v>
      </c>
      <c r="AG190" s="77" t="s">
        <v>768</v>
      </c>
      <c r="AH190" s="72" t="s">
        <v>762</v>
      </c>
      <c r="AI190" s="72" t="s">
        <v>763</v>
      </c>
      <c r="AJ190" s="72" t="s">
        <v>764</v>
      </c>
      <c r="AK190" s="77" t="s">
        <v>770</v>
      </c>
      <c r="AL190" t="s">
        <v>771</v>
      </c>
      <c r="AM190" s="77" t="s">
        <v>809</v>
      </c>
      <c r="AN190" s="77" t="s">
        <v>810</v>
      </c>
      <c r="AO190" s="77" t="s">
        <v>811</v>
      </c>
      <c r="AS190" s="199"/>
      <c r="AT190" s="199"/>
      <c r="AU190" s="199"/>
      <c r="AV190" s="199"/>
      <c r="AW190" s="205"/>
      <c r="AX190" s="205"/>
      <c r="AY190" s="205"/>
      <c r="AZ190" s="199"/>
      <c r="BA190" s="199"/>
      <c r="BB190" s="199"/>
      <c r="BC190" s="199"/>
      <c r="BE190">
        <f t="shared" si="204"/>
        <v>0</v>
      </c>
      <c r="BF190" s="196"/>
      <c r="BG190" s="196"/>
      <c r="BH190" s="196"/>
      <c r="BI190" s="196"/>
      <c r="BJ190" s="196"/>
      <c r="BK190" s="196"/>
    </row>
    <row r="191" spans="1:63" hidden="1">
      <c r="B191" s="72"/>
      <c r="C191" s="135"/>
      <c r="D191" s="73"/>
      <c r="E191" s="73"/>
      <c r="F191" s="72"/>
      <c r="G191" s="72"/>
      <c r="H191" s="72"/>
      <c r="I191" s="73">
        <f t="shared" ref="I191:I222" si="206">F191+(G191/2)+(H191/2)</f>
        <v>0</v>
      </c>
      <c r="J191" s="73"/>
      <c r="K191" s="73"/>
      <c r="L191" s="74" t="e">
        <f>_xlfn.IFNA(VLOOKUP(C191,'חד גזעי'!$U$3:$V$509,2,0),VLOOKUP(C191,'חד גזעי'!$U$3:$V$509,2))</f>
        <v>#N/A</v>
      </c>
      <c r="M191" s="73"/>
      <c r="N191" s="72" t="e">
        <f>_xlfn.IFNA(IF(VLOOKUP(C191,'חד גזעי'!$AH$2:$AH$7,1,FALSE)&gt;0,0,IF('חד גזעי'!$AM$5="כן",IF(_xlfn.IFNA(VLOOKUP(C191,'חד גזעי'!$AH$2:$AH$33,1,FALSE),SUM(J191:M191))&lt;21,_xlfn.IFNA(VLOOKUP(C191,'חד גזעי'!$AH$2:$AH$33,1,FALSE),SUM(J191:M191)),0),SUM(J191:M191))),IF('חד גזעי'!$AM$5="כן",IF(_xlfn.IFNA(VLOOKUP(C191,'חד גזעי'!$AH$2:$AH$33,1,FALSE),SUM(J191:M191))&lt;21,_xlfn.IFNA(VLOOKUP(C191,'חד גזעי'!$AH$2:$AH$33,1,FALSE),SUM(J191:M191)),0),SUM(J191:M191)))</f>
        <v>#N/A</v>
      </c>
      <c r="O191" s="72">
        <f>IF('חד גזעי'!$AM$3 = "כן",IF(T191&gt;4,4,T191),T191)</f>
        <v>0</v>
      </c>
      <c r="P191" s="80">
        <f>IF(E191&lt;2,0,IF(Z191&gt;0,Z191,IF(N191 = 0,0,IF('חד גזעי'!$AM$2 = "לא",IF(F191&gt;19,W191,0),IF(F191&gt;9,Y191,0)))))</f>
        <v>0</v>
      </c>
      <c r="Q191" s="77"/>
      <c r="R191" s="75"/>
      <c r="S191" t="e">
        <f>VLOOKUP(C191,'חד גזעי'!$Y$4:$Y$18,1,0)</f>
        <v>#N/A</v>
      </c>
      <c r="T191" s="72">
        <f>IF('חד גזעי'!$AM$6="לא",IF(P191=0,IF(BC191="שימור",IF('חד גזעי'!$AM$4="לא",IF(BC191="לא בוגר",0,IF(BC191="לא קיים",0,IF(J191=0,0,I191*0.1))),IF(BC191="לא בוגר",0,IF(BC191="לא קיים",0,IF(AB191=1,I191*0.1,E191*0.5)))),0),IF('חד גזעי'!$AM$4="לא",IF(BC191="לא בוגר",0,IF(BC191="לא קיים",0,IF(J191=0,0,I191*0.1))),IF(BC191="לא בוגר",0,IF(BC191="לא קיים",0,IF(AB191=1,I191*0.1,E191*0.5))))),IF(P191=0,IF(BC191="שימור",IF('חד גזעי'!$AM$4="לא",IF(BC191="לא בוגר",0,IF(BC191="לא קיים",0,IF(J191=0,0,I191*0.15))),IF(BC191="לא בוגר",0,IF(BC191="לא קיים",0,IF(AB191=1,I191*0.15,E191*0.5)))),0),IF('חד גזעי'!$AM$4="לא",IF(BC191="לא בוגר",0,IF(BC191="לא קיים",0,IF(J191=0,0,I191*0.15))),IF(BC191="לא בוגר",0,IF(BC191="לא קיים",0,IF(AB191=1,I191*0.15,E191*0.5))))))</f>
        <v>0</v>
      </c>
      <c r="V191" t="e">
        <f t="shared" si="150"/>
        <v>#N/A</v>
      </c>
      <c r="W191" t="e">
        <f t="shared" si="151"/>
        <v>#N/A</v>
      </c>
      <c r="X191" t="e">
        <f t="shared" si="152"/>
        <v>#N/A</v>
      </c>
      <c r="Y191">
        <f>IF('חד גזעי'!$AM$2 = "לא",0,IF(F191&gt;9,W191,0))</f>
        <v>0</v>
      </c>
      <c r="Z191">
        <f>IF('חד גזעי'!$AM$7 = "לא",0,IF(C191 = "זית אירופי",IF('חד גזעי'!$AN$7 &lt;=סקר!F191,W191,0),IF(C191 = "חרוב מצוי",IF('חד גזעי'!$AN$7 &lt;=סקר!F191,W191,0),0)))</f>
        <v>0</v>
      </c>
      <c r="AB191">
        <f t="shared" ref="AB191:AB222" si="207">_xlfn.IFNA(S191,1)</f>
        <v>1</v>
      </c>
      <c r="AC191" s="72"/>
      <c r="AD191" t="e">
        <f>IF(AK191&gt;0,AK191,AF191)</f>
        <v>#N/A</v>
      </c>
      <c r="AE191" s="72"/>
      <c r="AF191" s="72" t="e">
        <f t="shared" ref="AF191:AF222" si="208">((AJ191+AI191+AH191)*(AG191))*(J191*0.2)*(K191*0.2)*20</f>
        <v>#N/A</v>
      </c>
      <c r="AG191" s="72" t="e">
        <f>IF('חד גזעי'!$AM$5="לא",(VLOOKUP(C191,'חד גזעי'!$P$1:$S$589,3,FALSE)),(VLOOKUP(C191,'חד גזעי'!$P$1:$S$589,4,FALSE)))</f>
        <v>#N/A</v>
      </c>
      <c r="AH191" s="72">
        <f t="shared" ref="AH191:AH222" si="209">(3.14*((F191/2)^2))</f>
        <v>0</v>
      </c>
      <c r="AI191" s="72">
        <f t="shared" ref="AI191:AI222" si="210">3.14*(G191*G191/4)</f>
        <v>0</v>
      </c>
      <c r="AJ191" s="72">
        <f t="shared" ref="AJ191:AJ222" si="211">3.14*(H191*H191/4)</f>
        <v>0</v>
      </c>
      <c r="AK191" s="72" t="e">
        <f t="shared" ref="AK191:AK222" si="212">AL191*E191*(J191*0.2)*(0.2*K191)*1500</f>
        <v>#N/A</v>
      </c>
      <c r="AL191" t="e">
        <f>VLOOKUP(C191,'חד גזעי'!$AH$8:$AI$33,2,FALSE)</f>
        <v>#N/A</v>
      </c>
      <c r="AM191" s="72" t="b">
        <f t="shared" ref="AM191:AM222" si="213">IF(BC191="שימור",P191)</f>
        <v>0</v>
      </c>
      <c r="AN191" s="72" t="b">
        <f t="shared" ref="AN191:AN222" si="214">IF(BC191="כריתה",P191)</f>
        <v>0</v>
      </c>
      <c r="AO191" s="72" t="b">
        <f t="shared" ref="AO191:AO222" si="215">IF(BC191="העתקה",P191)</f>
        <v>0</v>
      </c>
      <c r="AS191" s="72">
        <f t="shared" ref="AS191:AS222" si="216">B191</f>
        <v>0</v>
      </c>
      <c r="AT191" s="72">
        <f t="shared" ref="AT191:AT222" si="217">C191</f>
        <v>0</v>
      </c>
      <c r="AU191" s="72">
        <f>IF(C191&gt;0,IF(D191&lt;2,1,D191),0)</f>
        <v>0</v>
      </c>
      <c r="AV191" s="72">
        <f t="shared" ref="AV191:AV222" si="218">E191</f>
        <v>0</v>
      </c>
      <c r="AW191" s="72">
        <f t="shared" ref="AW191:AW222" si="219">F191</f>
        <v>0</v>
      </c>
      <c r="AX191" s="72">
        <f t="shared" ref="AX191:AX222" si="220">G191</f>
        <v>0</v>
      </c>
      <c r="AY191" s="72">
        <f t="shared" ref="AY191:AY222" si="221">H191</f>
        <v>0</v>
      </c>
      <c r="AZ191" s="72">
        <f t="shared" ref="AZ191:AZ222" si="222">I191</f>
        <v>0</v>
      </c>
      <c r="BA191" s="72" t="e">
        <f t="shared" ref="BA191:BA222" si="223">N191</f>
        <v>#N/A</v>
      </c>
      <c r="BB191" s="72" t="e">
        <f t="shared" ref="BB191:BB222" si="224">IF(BA191&gt;6,IF(BA191&gt;13,IF(BA191&gt;16,"גבוה מאוד","גבוה"),"בינונית"),"נמוכה")</f>
        <v>#N/A</v>
      </c>
      <c r="BC191" s="77"/>
      <c r="BE191">
        <f t="shared" si="204"/>
        <v>0</v>
      </c>
      <c r="BF191" s="196"/>
      <c r="BG191" s="196"/>
      <c r="BH191" s="196"/>
      <c r="BI191" s="196"/>
      <c r="BJ191" s="196"/>
      <c r="BK191" s="196"/>
    </row>
    <row r="192" spans="1:63" hidden="1">
      <c r="B192" s="72"/>
      <c r="C192" s="135"/>
      <c r="D192" s="73"/>
      <c r="E192" s="73"/>
      <c r="F192" s="72"/>
      <c r="G192" s="72"/>
      <c r="H192" s="72"/>
      <c r="I192" s="73">
        <f t="shared" si="206"/>
        <v>0</v>
      </c>
      <c r="J192" s="73"/>
      <c r="K192" s="73"/>
      <c r="L192" s="74" t="e">
        <f>_xlfn.IFNA(VLOOKUP(C192,'חד גזעי'!$U$3:$V$509,2,0),VLOOKUP(C192,'חד גזעי'!$U$3:$V$509,2))</f>
        <v>#N/A</v>
      </c>
      <c r="M192" s="73"/>
      <c r="N192" s="72" t="e">
        <f>_xlfn.IFNA(IF(VLOOKUP(C192,'חד גזעי'!$AH$2:$AH$7,1,FALSE)&gt;0,0,IF('חד גזעי'!$AM$5="כן",IF(_xlfn.IFNA(VLOOKUP(C192,'חד גזעי'!$AH$2:$AH$33,1,FALSE),SUM(J192:M192))&lt;21,_xlfn.IFNA(VLOOKUP(C192,'חד גזעי'!$AH$2:$AH$33,1,FALSE),SUM(J192:M192)),0),SUM(J192:M192))),IF('חד גזעי'!$AM$5="כן",IF(_xlfn.IFNA(VLOOKUP(C192,'חד גזעי'!$AH$2:$AH$33,1,FALSE),SUM(J192:M192))&lt;21,_xlfn.IFNA(VLOOKUP(C192,'חד גזעי'!$AH$2:$AH$33,1,FALSE),SUM(J192:M192)),0),SUM(J192:M192)))</f>
        <v>#N/A</v>
      </c>
      <c r="O192" s="72">
        <f>IF('חד גזעי'!$AM$3 = "כן",IF(T192&gt;4,4,T192),T192)</f>
        <v>0</v>
      </c>
      <c r="P192" s="80">
        <f>IF(E192&lt;2,0,IF(Z192&gt;0,Z192,IF(N192 = 0,0,IF('חד גזעי'!$AM$2 = "לא",IF(F192&gt;19,W192,0),IF(F192&gt;9,Y192,0)))))</f>
        <v>0</v>
      </c>
      <c r="Q192" s="77"/>
      <c r="R192" s="75"/>
      <c r="S192" t="e">
        <f>VLOOKUP(C192,'חד גזעי'!$Y$4:$Y$18,1,0)</f>
        <v>#N/A</v>
      </c>
      <c r="T192" s="72">
        <f>IF('חד גזעי'!$AM$6="לא",IF(P192=0,IF(BC192="שימור",IF('חד גזעי'!$AM$4="לא",IF(BC192="לא בוגר",0,IF(BC192="לא קיים",0,IF(J192=0,0,I192*0.1))),IF(BC192="לא בוגר",0,IF(BC192="לא קיים",0,IF(AB192=1,I192*0.1,E192*0.5)))),0),IF('חד גזעי'!$AM$4="לא",IF(BC192="לא בוגר",0,IF(BC192="לא קיים",0,IF(J192=0,0,I192*0.1))),IF(BC192="לא בוגר",0,IF(BC192="לא קיים",0,IF(AB192=1,I192*0.1,E192*0.5))))),IF(P192=0,IF(BC192="שימור",IF('חד גזעי'!$AM$4="לא",IF(BC192="לא בוגר",0,IF(BC192="לא קיים",0,IF(J192=0,0,I192*0.15))),IF(BC192="לא בוגר",0,IF(BC192="לא קיים",0,IF(AB192=1,I192*0.15,E192*0.5)))),0),IF('חד גזעי'!$AM$4="לא",IF(BC192="לא בוגר",0,IF(BC192="לא קיים",0,IF(J192=0,0,I192*0.15))),IF(BC192="לא בוגר",0,IF(BC192="לא קיים",0,IF(AB192=1,I192*0.15,E192*0.5))))))</f>
        <v>0</v>
      </c>
      <c r="V192" t="e">
        <f t="shared" si="150"/>
        <v>#N/A</v>
      </c>
      <c r="W192" t="e">
        <f t="shared" si="151"/>
        <v>#N/A</v>
      </c>
      <c r="X192" t="e">
        <f t="shared" si="152"/>
        <v>#N/A</v>
      </c>
      <c r="Y192">
        <f>IF('חד גזעי'!$AM$2 = "לא",0,IF(F192&gt;9,W192,0))</f>
        <v>0</v>
      </c>
      <c r="Z192">
        <f>IF('חד גזעי'!$AM$7 = "לא",0,IF(C192 = "זית אירופי",IF('חד גזעי'!$AN$7 &lt;=סקר!F192,W192,0),IF(C192 = "חרוב מצוי",IF('חד גזעי'!$AN$7 &lt;=סקר!F192,W192,0),0)))</f>
        <v>0</v>
      </c>
      <c r="AB192">
        <f t="shared" si="207"/>
        <v>1</v>
      </c>
      <c r="AC192" s="72"/>
      <c r="AD192" t="e">
        <f t="shared" ref="AD192:AD222" si="225">IF(AK192&gt;0,AK192,AF192)</f>
        <v>#N/A</v>
      </c>
      <c r="AE192" s="72"/>
      <c r="AF192" s="72" t="e">
        <f t="shared" si="208"/>
        <v>#N/A</v>
      </c>
      <c r="AG192" s="72" t="e">
        <f>IF('חד גזעי'!$AM$5="לא",(VLOOKUP(C192,'חד גזעי'!$P$1:$S$589,3,FALSE)),(VLOOKUP(C192,'חד גזעי'!$P$1:$S$589,4,FALSE)))</f>
        <v>#N/A</v>
      </c>
      <c r="AH192" s="72">
        <f t="shared" si="209"/>
        <v>0</v>
      </c>
      <c r="AI192" s="72">
        <f t="shared" si="210"/>
        <v>0</v>
      </c>
      <c r="AJ192" s="72">
        <f t="shared" si="211"/>
        <v>0</v>
      </c>
      <c r="AK192" s="72" t="e">
        <f t="shared" si="212"/>
        <v>#N/A</v>
      </c>
      <c r="AL192" t="e">
        <f>VLOOKUP(C192,'חד גזעי'!$AH$8:$AI$33,2,FALSE)</f>
        <v>#N/A</v>
      </c>
      <c r="AM192" s="72" t="b">
        <f t="shared" si="213"/>
        <v>0</v>
      </c>
      <c r="AN192" s="72" t="b">
        <f t="shared" si="214"/>
        <v>0</v>
      </c>
      <c r="AO192" s="72" t="b">
        <f t="shared" si="215"/>
        <v>0</v>
      </c>
      <c r="AS192" s="72">
        <f t="shared" si="216"/>
        <v>0</v>
      </c>
      <c r="AT192" s="72">
        <f t="shared" si="217"/>
        <v>0</v>
      </c>
      <c r="AU192" s="72">
        <f t="shared" ref="AU192:AU222" si="226">IF(C192&gt;0,IF(D192&lt;2,1,D192),0)</f>
        <v>0</v>
      </c>
      <c r="AV192" s="72">
        <f t="shared" si="218"/>
        <v>0</v>
      </c>
      <c r="AW192" s="72">
        <f t="shared" si="219"/>
        <v>0</v>
      </c>
      <c r="AX192" s="72">
        <f t="shared" si="220"/>
        <v>0</v>
      </c>
      <c r="AY192" s="72">
        <f t="shared" si="221"/>
        <v>0</v>
      </c>
      <c r="AZ192" s="72">
        <f t="shared" si="222"/>
        <v>0</v>
      </c>
      <c r="BA192" s="72" t="e">
        <f t="shared" si="223"/>
        <v>#N/A</v>
      </c>
      <c r="BB192" s="72" t="e">
        <f t="shared" si="224"/>
        <v>#N/A</v>
      </c>
      <c r="BC192" s="77"/>
      <c r="BE192">
        <f t="shared" si="204"/>
        <v>0</v>
      </c>
      <c r="BF192" s="196"/>
      <c r="BG192" s="196"/>
      <c r="BH192" s="196"/>
      <c r="BI192" s="196"/>
      <c r="BJ192" s="196"/>
      <c r="BK192" s="196"/>
    </row>
    <row r="193" spans="2:63" hidden="1">
      <c r="B193" s="72"/>
      <c r="C193" s="135"/>
      <c r="D193" s="73"/>
      <c r="E193" s="73"/>
      <c r="F193" s="72"/>
      <c r="G193" s="72"/>
      <c r="H193" s="72"/>
      <c r="I193" s="73">
        <f t="shared" si="206"/>
        <v>0</v>
      </c>
      <c r="J193" s="73"/>
      <c r="K193" s="73"/>
      <c r="L193" s="74" t="e">
        <f>_xlfn.IFNA(VLOOKUP(C193,'חד גזעי'!$U$3:$V$509,2,0),VLOOKUP(C193,'חד גזעי'!$U$3:$V$509,2))</f>
        <v>#N/A</v>
      </c>
      <c r="M193" s="73"/>
      <c r="N193" s="72" t="e">
        <f>_xlfn.IFNA(IF(VLOOKUP(C193,'חד גזעי'!$AH$2:$AH$7,1,FALSE)&gt;0,0,IF('חד גזעי'!$AM$5="כן",IF(_xlfn.IFNA(VLOOKUP(C193,'חד גזעי'!$AH$2:$AH$33,1,FALSE),SUM(J193:M193))&lt;21,_xlfn.IFNA(VLOOKUP(C193,'חד גזעי'!$AH$2:$AH$33,1,FALSE),SUM(J193:M193)),0),SUM(J193:M193))),IF('חד גזעי'!$AM$5="כן",IF(_xlfn.IFNA(VLOOKUP(C193,'חד גזעי'!$AH$2:$AH$33,1,FALSE),SUM(J193:M193))&lt;21,_xlfn.IFNA(VLOOKUP(C193,'חד גזעי'!$AH$2:$AH$33,1,FALSE),SUM(J193:M193)),0),SUM(J193:M193)))</f>
        <v>#N/A</v>
      </c>
      <c r="O193" s="72">
        <f>IF('חד גזעי'!$AM$3 = "כן",IF(T193&gt;4,4,T193),T193)</f>
        <v>0</v>
      </c>
      <c r="P193" s="80">
        <f>IF(E193&lt;2,0,IF(Z193&gt;0,Z193,IF(N193 = 0,0,IF('חד גזעי'!$AM$2 = "לא",IF(F193&gt;19,W193,0),IF(F193&gt;9,Y193,0)))))</f>
        <v>0</v>
      </c>
      <c r="Q193" s="77"/>
      <c r="R193" s="75"/>
      <c r="S193" t="e">
        <f>VLOOKUP(C193,'חד גזעי'!$Y$4:$Y$18,1,0)</f>
        <v>#N/A</v>
      </c>
      <c r="T193" s="72">
        <f>IF('חד גזעי'!$AM$6="לא",IF(P193=0,IF(BC193="שימור",IF('חד גזעי'!$AM$4="לא",IF(BC193="לא בוגר",0,IF(BC193="לא קיים",0,IF(J193=0,0,I193*0.1))),IF(BC193="לא בוגר",0,IF(BC193="לא קיים",0,IF(AB193=1,I193*0.1,E193*0.5)))),0),IF('חד גזעי'!$AM$4="לא",IF(BC193="לא בוגר",0,IF(BC193="לא קיים",0,IF(J193=0,0,I193*0.1))),IF(BC193="לא בוגר",0,IF(BC193="לא קיים",0,IF(AB193=1,I193*0.1,E193*0.5))))),IF(P193=0,IF(BC193="שימור",IF('חד גזעי'!$AM$4="לא",IF(BC193="לא בוגר",0,IF(BC193="לא קיים",0,IF(J193=0,0,I193*0.15))),IF(BC193="לא בוגר",0,IF(BC193="לא קיים",0,IF(AB193=1,I193*0.15,E193*0.5)))),0),IF('חד גזעי'!$AM$4="לא",IF(BC193="לא בוגר",0,IF(BC193="לא קיים",0,IF(J193=0,0,I193*0.15))),IF(BC193="לא בוגר",0,IF(BC193="לא קיים",0,IF(AB193=1,I193*0.15,E193*0.5))))))</f>
        <v>0</v>
      </c>
      <c r="V193" t="e">
        <f t="shared" si="150"/>
        <v>#N/A</v>
      </c>
      <c r="W193" t="e">
        <f t="shared" si="151"/>
        <v>#N/A</v>
      </c>
      <c r="X193" t="e">
        <f t="shared" si="152"/>
        <v>#N/A</v>
      </c>
      <c r="Y193">
        <f>IF('חד גזעי'!$AM$2 = "לא",0,IF(F193&gt;9,W193,0))</f>
        <v>0</v>
      </c>
      <c r="Z193">
        <f>IF('חד גזעי'!$AM$7 = "לא",0,IF(C193 = "זית אירופי",IF('חד גזעי'!$AN$7 &lt;=סקר!F193,W193,0),IF(C193 = "חרוב מצוי",IF('חד גזעי'!$AN$7 &lt;=סקר!F193,W193,0),0)))</f>
        <v>0</v>
      </c>
      <c r="AB193">
        <f t="shared" si="207"/>
        <v>1</v>
      </c>
      <c r="AC193" s="72"/>
      <c r="AD193" t="e">
        <f t="shared" si="225"/>
        <v>#N/A</v>
      </c>
      <c r="AE193" s="72"/>
      <c r="AF193" s="72" t="e">
        <f t="shared" si="208"/>
        <v>#N/A</v>
      </c>
      <c r="AG193" s="72" t="e">
        <f>IF('חד גזעי'!$AM$5="לא",(VLOOKUP(C193,'חד גזעי'!$P$1:$S$589,3,FALSE)),(VLOOKUP(C193,'חד גזעי'!$P$1:$S$589,4,FALSE)))</f>
        <v>#N/A</v>
      </c>
      <c r="AH193" s="72">
        <f t="shared" si="209"/>
        <v>0</v>
      </c>
      <c r="AI193" s="72">
        <f t="shared" si="210"/>
        <v>0</v>
      </c>
      <c r="AJ193" s="72">
        <f t="shared" si="211"/>
        <v>0</v>
      </c>
      <c r="AK193" s="72" t="e">
        <f t="shared" si="212"/>
        <v>#N/A</v>
      </c>
      <c r="AL193" t="e">
        <f>VLOOKUP(C193,'חד גזעי'!$AH$8:$AI$33,2,FALSE)</f>
        <v>#N/A</v>
      </c>
      <c r="AM193" s="72" t="b">
        <f t="shared" si="213"/>
        <v>0</v>
      </c>
      <c r="AN193" s="72" t="b">
        <f t="shared" si="214"/>
        <v>0</v>
      </c>
      <c r="AO193" s="72" t="b">
        <f t="shared" si="215"/>
        <v>0</v>
      </c>
      <c r="AS193" s="72">
        <f t="shared" si="216"/>
        <v>0</v>
      </c>
      <c r="AT193" s="72">
        <f t="shared" si="217"/>
        <v>0</v>
      </c>
      <c r="AU193" s="72">
        <f t="shared" si="226"/>
        <v>0</v>
      </c>
      <c r="AV193" s="72">
        <f t="shared" si="218"/>
        <v>0</v>
      </c>
      <c r="AW193" s="72">
        <f t="shared" si="219"/>
        <v>0</v>
      </c>
      <c r="AX193" s="72">
        <f t="shared" si="220"/>
        <v>0</v>
      </c>
      <c r="AY193" s="72">
        <f t="shared" si="221"/>
        <v>0</v>
      </c>
      <c r="AZ193" s="72">
        <f t="shared" si="222"/>
        <v>0</v>
      </c>
      <c r="BA193" s="72" t="e">
        <f t="shared" si="223"/>
        <v>#N/A</v>
      </c>
      <c r="BB193" s="72" t="e">
        <f t="shared" si="224"/>
        <v>#N/A</v>
      </c>
      <c r="BC193" s="77"/>
      <c r="BE193">
        <f t="shared" si="204"/>
        <v>0</v>
      </c>
      <c r="BF193" s="196"/>
      <c r="BG193" s="196"/>
      <c r="BH193" s="196"/>
      <c r="BI193" s="196"/>
      <c r="BJ193" s="196"/>
      <c r="BK193" s="196"/>
    </row>
    <row r="194" spans="2:63" hidden="1">
      <c r="B194" s="72"/>
      <c r="C194" s="135"/>
      <c r="D194" s="73"/>
      <c r="E194" s="73"/>
      <c r="F194" s="72"/>
      <c r="G194" s="72"/>
      <c r="H194" s="72"/>
      <c r="I194" s="73">
        <f t="shared" si="206"/>
        <v>0</v>
      </c>
      <c r="J194" s="73"/>
      <c r="K194" s="73"/>
      <c r="L194" s="74" t="e">
        <f>_xlfn.IFNA(VLOOKUP(C194,'חד גזעי'!$U$3:$V$509,2,0),VLOOKUP(C194,'חד גזעי'!$U$3:$V$509,2))</f>
        <v>#N/A</v>
      </c>
      <c r="M194" s="73"/>
      <c r="N194" s="72" t="e">
        <f>_xlfn.IFNA(IF(VLOOKUP(C194,'חד גזעי'!$AH$2:$AH$7,1,FALSE)&gt;0,0,IF('חד גזעי'!$AM$5="כן",IF(_xlfn.IFNA(VLOOKUP(C194,'חד גזעי'!$AH$2:$AH$33,1,FALSE),SUM(J194:M194))&lt;21,_xlfn.IFNA(VLOOKUP(C194,'חד גזעי'!$AH$2:$AH$33,1,FALSE),SUM(J194:M194)),0),SUM(J194:M194))),IF('חד גזעי'!$AM$5="כן",IF(_xlfn.IFNA(VLOOKUP(C194,'חד גזעי'!$AH$2:$AH$33,1,FALSE),SUM(J194:M194))&lt;21,_xlfn.IFNA(VLOOKUP(C194,'חד גזעי'!$AH$2:$AH$33,1,FALSE),SUM(J194:M194)),0),SUM(J194:M194)))</f>
        <v>#N/A</v>
      </c>
      <c r="O194" s="72">
        <f>IF('חד גזעי'!$AM$3 = "כן",IF(T194&gt;4,4,T194),T194)</f>
        <v>0</v>
      </c>
      <c r="P194" s="80">
        <f>IF(E194&lt;2,0,IF(Z194&gt;0,Z194,IF(N194 = 0,0,IF('חד גזעי'!$AM$2 = "לא",IF(F194&gt;19,W194,0),IF(F194&gt;9,Y194,0)))))</f>
        <v>0</v>
      </c>
      <c r="Q194" s="77"/>
      <c r="R194" s="75"/>
      <c r="S194" t="e">
        <f>VLOOKUP(C194,'חד גזעי'!$Y$4:$Y$18,1,0)</f>
        <v>#N/A</v>
      </c>
      <c r="T194" s="72">
        <f>IF('חד גזעי'!$AM$6="לא",IF(P194=0,IF(BC194="שימור",IF('חד גזעי'!$AM$4="לא",IF(BC194="לא בוגר",0,IF(BC194="לא קיים",0,IF(J194=0,0,I194*0.1))),IF(BC194="לא בוגר",0,IF(BC194="לא קיים",0,IF(AB194=1,I194*0.1,E194*0.5)))),0),IF('חד גזעי'!$AM$4="לא",IF(BC194="לא בוגר",0,IF(BC194="לא קיים",0,IF(J194=0,0,I194*0.1))),IF(BC194="לא בוגר",0,IF(BC194="לא קיים",0,IF(AB194=1,I194*0.1,E194*0.5))))),IF(P194=0,IF(BC194="שימור",IF('חד גזעי'!$AM$4="לא",IF(BC194="לא בוגר",0,IF(BC194="לא קיים",0,IF(J194=0,0,I194*0.15))),IF(BC194="לא בוגר",0,IF(BC194="לא קיים",0,IF(AB194=1,I194*0.15,E194*0.5)))),0),IF('חד גזעי'!$AM$4="לא",IF(BC194="לא בוגר",0,IF(BC194="לא קיים",0,IF(J194=0,0,I194*0.15))),IF(BC194="לא בוגר",0,IF(BC194="לא קיים",0,IF(AB194=1,I194*0.15,E194*0.5))))))</f>
        <v>0</v>
      </c>
      <c r="V194" t="e">
        <f t="shared" si="150"/>
        <v>#N/A</v>
      </c>
      <c r="W194" t="e">
        <f t="shared" si="151"/>
        <v>#N/A</v>
      </c>
      <c r="X194" t="e">
        <f t="shared" si="152"/>
        <v>#N/A</v>
      </c>
      <c r="Y194">
        <f>IF('חד גזעי'!$AM$2 = "לא",0,IF(F194&gt;9,W194,0))</f>
        <v>0</v>
      </c>
      <c r="Z194">
        <f>IF('חד גזעי'!$AM$7 = "לא",0,IF(C194 = "זית אירופי",IF('חד גזעי'!$AN$7 &lt;=סקר!F194,W194,0),IF(C194 = "חרוב מצוי",IF('חד גזעי'!$AN$7 &lt;=סקר!F194,W194,0),0)))</f>
        <v>0</v>
      </c>
      <c r="AB194">
        <f t="shared" si="207"/>
        <v>1</v>
      </c>
      <c r="AC194" s="72"/>
      <c r="AD194" t="e">
        <f t="shared" si="225"/>
        <v>#N/A</v>
      </c>
      <c r="AE194" s="72"/>
      <c r="AF194" s="72" t="e">
        <f t="shared" si="208"/>
        <v>#N/A</v>
      </c>
      <c r="AG194" s="72" t="e">
        <f>IF('חד גזעי'!$AM$5="לא",(VLOOKUP(C194,'חד גזעי'!$P$1:$S$589,3,FALSE)),(VLOOKUP(C194,'חד גזעי'!$P$1:$S$589,4,FALSE)))</f>
        <v>#N/A</v>
      </c>
      <c r="AH194" s="72">
        <f t="shared" si="209"/>
        <v>0</v>
      </c>
      <c r="AI194" s="72">
        <f t="shared" si="210"/>
        <v>0</v>
      </c>
      <c r="AJ194" s="72">
        <f t="shared" si="211"/>
        <v>0</v>
      </c>
      <c r="AK194" s="72" t="e">
        <f t="shared" si="212"/>
        <v>#N/A</v>
      </c>
      <c r="AL194" t="e">
        <f>VLOOKUP(C194,'חד גזעי'!$AH$8:$AI$33,2,FALSE)</f>
        <v>#N/A</v>
      </c>
      <c r="AM194" s="72" t="b">
        <f t="shared" si="213"/>
        <v>0</v>
      </c>
      <c r="AN194" s="72" t="b">
        <f t="shared" si="214"/>
        <v>0</v>
      </c>
      <c r="AO194" s="72" t="b">
        <f t="shared" si="215"/>
        <v>0</v>
      </c>
      <c r="AS194" s="72">
        <f t="shared" si="216"/>
        <v>0</v>
      </c>
      <c r="AT194" s="72">
        <f t="shared" si="217"/>
        <v>0</v>
      </c>
      <c r="AU194" s="72">
        <f t="shared" si="226"/>
        <v>0</v>
      </c>
      <c r="AV194" s="72">
        <f t="shared" si="218"/>
        <v>0</v>
      </c>
      <c r="AW194" s="72">
        <f t="shared" si="219"/>
        <v>0</v>
      </c>
      <c r="AX194" s="72">
        <f t="shared" si="220"/>
        <v>0</v>
      </c>
      <c r="AY194" s="72">
        <f t="shared" si="221"/>
        <v>0</v>
      </c>
      <c r="AZ194" s="72">
        <f t="shared" si="222"/>
        <v>0</v>
      </c>
      <c r="BA194" s="72" t="e">
        <f t="shared" si="223"/>
        <v>#N/A</v>
      </c>
      <c r="BB194" s="72" t="e">
        <f t="shared" si="224"/>
        <v>#N/A</v>
      </c>
      <c r="BC194" s="77"/>
      <c r="BE194">
        <f t="shared" si="204"/>
        <v>0</v>
      </c>
      <c r="BF194" s="196"/>
      <c r="BG194" s="196"/>
      <c r="BH194" s="196"/>
      <c r="BI194" s="196"/>
      <c r="BJ194" s="196"/>
      <c r="BK194" s="196"/>
    </row>
    <row r="195" spans="2:63" hidden="1">
      <c r="B195" s="72"/>
      <c r="C195" s="135"/>
      <c r="D195" s="73"/>
      <c r="E195" s="73"/>
      <c r="F195" s="72"/>
      <c r="G195" s="72"/>
      <c r="H195" s="72"/>
      <c r="I195" s="73">
        <f t="shared" si="206"/>
        <v>0</v>
      </c>
      <c r="J195" s="73"/>
      <c r="K195" s="73"/>
      <c r="L195" s="74" t="e">
        <f>_xlfn.IFNA(VLOOKUP(C195,'חד גזעי'!$U$3:$V$509,2,0),VLOOKUP(C195,'חד גזעי'!$U$3:$V$509,2))</f>
        <v>#N/A</v>
      </c>
      <c r="M195" s="73"/>
      <c r="N195" s="72" t="e">
        <f>_xlfn.IFNA(IF(VLOOKUP(C195,'חד גזעי'!$AH$2:$AH$7,1,FALSE)&gt;0,0,IF('חד גזעי'!$AM$5="כן",IF(_xlfn.IFNA(VLOOKUP(C195,'חד גזעי'!$AH$2:$AH$33,1,FALSE),SUM(J195:M195))&lt;21,_xlfn.IFNA(VLOOKUP(C195,'חד גזעי'!$AH$2:$AH$33,1,FALSE),SUM(J195:M195)),0),SUM(J195:M195))),IF('חד גזעי'!$AM$5="כן",IF(_xlfn.IFNA(VLOOKUP(C195,'חד גזעי'!$AH$2:$AH$33,1,FALSE),SUM(J195:M195))&lt;21,_xlfn.IFNA(VLOOKUP(C195,'חד גזעי'!$AH$2:$AH$33,1,FALSE),SUM(J195:M195)),0),SUM(J195:M195)))</f>
        <v>#N/A</v>
      </c>
      <c r="O195" s="72">
        <f>IF('חד גזעי'!$AM$3 = "כן",IF(T195&gt;4,4,T195),T195)</f>
        <v>0</v>
      </c>
      <c r="P195" s="80">
        <f>IF(E195&lt;2,0,IF(Z195&gt;0,Z195,IF(N195 = 0,0,IF('חד גזעי'!$AM$2 = "לא",IF(F195&gt;19,W195,0),IF(F195&gt;9,Y195,0)))))</f>
        <v>0</v>
      </c>
      <c r="Q195" s="77"/>
      <c r="R195" s="75"/>
      <c r="S195" t="e">
        <f>VLOOKUP(C195,'חד גזעי'!$Y$4:$Y$18,1,0)</f>
        <v>#N/A</v>
      </c>
      <c r="T195" s="72">
        <f>IF('חד גזעי'!$AM$6="לא",IF(P195=0,IF(BC195="שימור",IF('חד גזעי'!$AM$4="לא",IF(BC195="לא בוגר",0,IF(BC195="לא קיים",0,IF(J195=0,0,I195*0.1))),IF(BC195="לא בוגר",0,IF(BC195="לא קיים",0,IF(AB195=1,I195*0.1,E195*0.5)))),0),IF('חד גזעי'!$AM$4="לא",IF(BC195="לא בוגר",0,IF(BC195="לא קיים",0,IF(J195=0,0,I195*0.1))),IF(BC195="לא בוגר",0,IF(BC195="לא קיים",0,IF(AB195=1,I195*0.1,E195*0.5))))),IF(P195=0,IF(BC195="שימור",IF('חד גזעי'!$AM$4="לא",IF(BC195="לא בוגר",0,IF(BC195="לא קיים",0,IF(J195=0,0,I195*0.15))),IF(BC195="לא בוגר",0,IF(BC195="לא קיים",0,IF(AB195=1,I195*0.15,E195*0.5)))),0),IF('חד גזעי'!$AM$4="לא",IF(BC195="לא בוגר",0,IF(BC195="לא קיים",0,IF(J195=0,0,I195*0.15))),IF(BC195="לא בוגר",0,IF(BC195="לא קיים",0,IF(AB195=1,I195*0.15,E195*0.5))))))</f>
        <v>0</v>
      </c>
      <c r="V195" t="e">
        <f t="shared" si="150"/>
        <v>#N/A</v>
      </c>
      <c r="W195" t="e">
        <f t="shared" si="151"/>
        <v>#N/A</v>
      </c>
      <c r="X195" t="e">
        <f t="shared" si="152"/>
        <v>#N/A</v>
      </c>
      <c r="Y195">
        <f>IF('חד גזעי'!$AM$2 = "לא",0,IF(F195&gt;9,W195,0))</f>
        <v>0</v>
      </c>
      <c r="Z195">
        <f>IF('חד גזעי'!$AM$7 = "לא",0,IF(C195 = "זית אירופי",IF('חד גזעי'!$AN$7 &lt;=סקר!F195,W195,0),IF(C195 = "חרוב מצוי",IF('חד גזעי'!$AN$7 &lt;=סקר!F195,W195,0),0)))</f>
        <v>0</v>
      </c>
      <c r="AB195">
        <f t="shared" si="207"/>
        <v>1</v>
      </c>
      <c r="AC195" s="72"/>
      <c r="AD195" t="e">
        <f t="shared" si="225"/>
        <v>#N/A</v>
      </c>
      <c r="AE195" s="72"/>
      <c r="AF195" s="72" t="e">
        <f t="shared" si="208"/>
        <v>#N/A</v>
      </c>
      <c r="AG195" s="72" t="e">
        <f>IF('חד גזעי'!$AM$5="לא",(VLOOKUP(C195,'חד גזעי'!$P$1:$S$589,3,FALSE)),(VLOOKUP(C195,'חד גזעי'!$P$1:$S$589,4,FALSE)))</f>
        <v>#N/A</v>
      </c>
      <c r="AH195" s="72">
        <f t="shared" si="209"/>
        <v>0</v>
      </c>
      <c r="AI195" s="72">
        <f t="shared" si="210"/>
        <v>0</v>
      </c>
      <c r="AJ195" s="72">
        <f t="shared" si="211"/>
        <v>0</v>
      </c>
      <c r="AK195" s="72" t="e">
        <f t="shared" si="212"/>
        <v>#N/A</v>
      </c>
      <c r="AL195" t="e">
        <f>VLOOKUP(C195,'חד גזעי'!$AH$8:$AI$33,2,FALSE)</f>
        <v>#N/A</v>
      </c>
      <c r="AM195" s="72" t="b">
        <f t="shared" si="213"/>
        <v>0</v>
      </c>
      <c r="AN195" s="72" t="b">
        <f t="shared" si="214"/>
        <v>0</v>
      </c>
      <c r="AO195" s="72" t="b">
        <f t="shared" si="215"/>
        <v>0</v>
      </c>
      <c r="AS195" s="72">
        <f t="shared" si="216"/>
        <v>0</v>
      </c>
      <c r="AT195" s="72">
        <f t="shared" si="217"/>
        <v>0</v>
      </c>
      <c r="AU195" s="72">
        <f t="shared" si="226"/>
        <v>0</v>
      </c>
      <c r="AV195" s="72">
        <f t="shared" si="218"/>
        <v>0</v>
      </c>
      <c r="AW195" s="72">
        <f t="shared" si="219"/>
        <v>0</v>
      </c>
      <c r="AX195" s="72">
        <f t="shared" si="220"/>
        <v>0</v>
      </c>
      <c r="AY195" s="72">
        <f t="shared" si="221"/>
        <v>0</v>
      </c>
      <c r="AZ195" s="72">
        <f t="shared" si="222"/>
        <v>0</v>
      </c>
      <c r="BA195" s="72" t="e">
        <f t="shared" si="223"/>
        <v>#N/A</v>
      </c>
      <c r="BB195" s="72" t="e">
        <f t="shared" si="224"/>
        <v>#N/A</v>
      </c>
      <c r="BC195" s="77"/>
      <c r="BE195">
        <f t="shared" si="204"/>
        <v>0</v>
      </c>
      <c r="BF195" s="196"/>
      <c r="BG195" s="196"/>
      <c r="BH195" s="196"/>
      <c r="BI195" s="196"/>
      <c r="BJ195" s="196"/>
      <c r="BK195" s="196"/>
    </row>
    <row r="196" spans="2:63" hidden="1">
      <c r="B196" s="72"/>
      <c r="C196" s="135"/>
      <c r="D196" s="78"/>
      <c r="E196" s="73"/>
      <c r="F196" s="72"/>
      <c r="G196" s="72"/>
      <c r="H196" s="72"/>
      <c r="I196" s="73">
        <f t="shared" si="206"/>
        <v>0</v>
      </c>
      <c r="J196" s="78"/>
      <c r="K196" s="73"/>
      <c r="L196" s="74" t="e">
        <f>_xlfn.IFNA(VLOOKUP(C196,'חד גזעי'!$U$3:$V$509,2,0),VLOOKUP(C196,'חד גזעי'!$U$3:$V$509,2))</f>
        <v>#N/A</v>
      </c>
      <c r="M196" s="73"/>
      <c r="N196" s="72" t="e">
        <f>_xlfn.IFNA(IF(VLOOKUP(C196,'חד גזעי'!$AH$2:$AH$7,1,FALSE)&gt;0,0,IF('חד גזעי'!$AM$5="כן",IF(_xlfn.IFNA(VLOOKUP(C196,'חד גזעי'!$AH$2:$AH$33,1,FALSE),SUM(J196:M196))&lt;21,_xlfn.IFNA(VLOOKUP(C196,'חד גזעי'!$AH$2:$AH$33,1,FALSE),SUM(J196:M196)),0),SUM(J196:M196))),IF('חד גזעי'!$AM$5="כן",IF(_xlfn.IFNA(VLOOKUP(C196,'חד גזעי'!$AH$2:$AH$33,1,FALSE),SUM(J196:M196))&lt;21,_xlfn.IFNA(VLOOKUP(C196,'חד גזעי'!$AH$2:$AH$33,1,FALSE),SUM(J196:M196)),0),SUM(J196:M196)))</f>
        <v>#N/A</v>
      </c>
      <c r="O196" s="72">
        <f>IF('חד גזעי'!$AM$3 = "כן",IF(T196&gt;4,4,T196),T196)</f>
        <v>0</v>
      </c>
      <c r="P196" s="80">
        <f>IF(E196&lt;2,0,IF(Z196&gt;0,Z196,IF(N196 = 0,0,IF('חד גזעי'!$AM$2 = "לא",IF(F196&gt;19,W196,0),IF(F196&gt;9,Y196,0)))))</f>
        <v>0</v>
      </c>
      <c r="Q196" s="77"/>
      <c r="R196" s="75"/>
      <c r="S196" t="e">
        <f>VLOOKUP(C196,'חד גזעי'!$Y$4:$Y$18,1,0)</f>
        <v>#N/A</v>
      </c>
      <c r="T196" s="72">
        <f>IF('חד גזעי'!$AM$6="לא",IF(P196=0,IF(BC196="שימור",IF('חד גזעי'!$AM$4="לא",IF(BC196="לא בוגר",0,IF(BC196="לא קיים",0,IF(J196=0,0,I196*0.1))),IF(BC196="לא בוגר",0,IF(BC196="לא קיים",0,IF(AB196=1,I196*0.1,E196*0.5)))),0),IF('חד גזעי'!$AM$4="לא",IF(BC196="לא בוגר",0,IF(BC196="לא קיים",0,IF(J196=0,0,I196*0.1))),IF(BC196="לא בוגר",0,IF(BC196="לא קיים",0,IF(AB196=1,I196*0.1,E196*0.5))))),IF(P196=0,IF(BC196="שימור",IF('חד גזעי'!$AM$4="לא",IF(BC196="לא בוגר",0,IF(BC196="לא קיים",0,IF(J196=0,0,I196*0.15))),IF(BC196="לא בוגר",0,IF(BC196="לא קיים",0,IF(AB196=1,I196*0.15,E196*0.5)))),0),IF('חד גזעי'!$AM$4="לא",IF(BC196="לא בוגר",0,IF(BC196="לא קיים",0,IF(J196=0,0,I196*0.15))),IF(BC196="לא בוגר",0,IF(BC196="לא קיים",0,IF(AB196=1,I196*0.15,E196*0.5))))))</f>
        <v>0</v>
      </c>
      <c r="V196" t="e">
        <f t="shared" si="150"/>
        <v>#N/A</v>
      </c>
      <c r="W196" t="e">
        <f t="shared" si="151"/>
        <v>#N/A</v>
      </c>
      <c r="X196" t="e">
        <f t="shared" si="152"/>
        <v>#N/A</v>
      </c>
      <c r="Y196">
        <f>IF('חד גזעי'!$AM$2 = "לא",0,IF(F196&gt;9,W196,0))</f>
        <v>0</v>
      </c>
      <c r="Z196">
        <f>IF('חד גזעי'!$AM$7 = "לא",0,IF(C196 = "זית אירופי",IF('חד גזעי'!$AN$7 &lt;=סקר!F196,W196,0),IF(C196 = "חרוב מצוי",IF('חד גזעי'!$AN$7 &lt;=סקר!F196,W196,0),0)))</f>
        <v>0</v>
      </c>
      <c r="AB196">
        <f t="shared" si="207"/>
        <v>1</v>
      </c>
      <c r="AC196" s="72"/>
      <c r="AD196" t="e">
        <f t="shared" si="225"/>
        <v>#N/A</v>
      </c>
      <c r="AE196" s="72"/>
      <c r="AF196" s="72" t="e">
        <f t="shared" si="208"/>
        <v>#N/A</v>
      </c>
      <c r="AG196" s="72" t="e">
        <f>IF('חד גזעי'!$AM$5="לא",(VLOOKUP(C196,'חד גזעי'!$P$1:$S$589,3,FALSE)),(VLOOKUP(C196,'חד גזעי'!$P$1:$S$589,4,FALSE)))</f>
        <v>#N/A</v>
      </c>
      <c r="AH196" s="72">
        <f t="shared" si="209"/>
        <v>0</v>
      </c>
      <c r="AI196" s="72">
        <f t="shared" si="210"/>
        <v>0</v>
      </c>
      <c r="AJ196" s="72">
        <f t="shared" si="211"/>
        <v>0</v>
      </c>
      <c r="AK196" s="72" t="e">
        <f t="shared" si="212"/>
        <v>#N/A</v>
      </c>
      <c r="AL196" t="e">
        <f>VLOOKUP(C196,'חד גזעי'!$AH$8:$AI$33,2,FALSE)</f>
        <v>#N/A</v>
      </c>
      <c r="AM196" s="72" t="b">
        <f t="shared" si="213"/>
        <v>0</v>
      </c>
      <c r="AN196" s="72" t="b">
        <f t="shared" si="214"/>
        <v>0</v>
      </c>
      <c r="AO196" s="72" t="b">
        <f t="shared" si="215"/>
        <v>0</v>
      </c>
      <c r="AS196" s="72">
        <f t="shared" si="216"/>
        <v>0</v>
      </c>
      <c r="AT196" s="72">
        <f t="shared" si="217"/>
        <v>0</v>
      </c>
      <c r="AU196" s="72">
        <f t="shared" si="226"/>
        <v>0</v>
      </c>
      <c r="AV196" s="72">
        <f t="shared" si="218"/>
        <v>0</v>
      </c>
      <c r="AW196" s="72">
        <f t="shared" si="219"/>
        <v>0</v>
      </c>
      <c r="AX196" s="72">
        <f t="shared" si="220"/>
        <v>0</v>
      </c>
      <c r="AY196" s="72">
        <f t="shared" si="221"/>
        <v>0</v>
      </c>
      <c r="AZ196" s="72">
        <f t="shared" si="222"/>
        <v>0</v>
      </c>
      <c r="BA196" s="72" t="e">
        <f t="shared" si="223"/>
        <v>#N/A</v>
      </c>
      <c r="BB196" s="72" t="e">
        <f t="shared" si="224"/>
        <v>#N/A</v>
      </c>
      <c r="BC196" s="77"/>
      <c r="BE196">
        <f t="shared" si="204"/>
        <v>0</v>
      </c>
      <c r="BF196" s="196"/>
      <c r="BG196" s="196"/>
      <c r="BH196" s="196"/>
      <c r="BI196" s="196"/>
      <c r="BJ196" s="196"/>
      <c r="BK196" s="196"/>
    </row>
    <row r="197" spans="2:63" hidden="1">
      <c r="B197" s="72"/>
      <c r="C197" s="135"/>
      <c r="D197" s="78"/>
      <c r="E197" s="73"/>
      <c r="F197" s="72"/>
      <c r="G197" s="72"/>
      <c r="H197" s="72"/>
      <c r="I197" s="73">
        <f t="shared" si="206"/>
        <v>0</v>
      </c>
      <c r="J197" s="78"/>
      <c r="K197" s="73"/>
      <c r="L197" s="74" t="e">
        <f>_xlfn.IFNA(VLOOKUP(C197,'חד גזעי'!$U$3:$V$509,2,0),VLOOKUP(C197,'חד גזעי'!$U$3:$V$509,2))</f>
        <v>#N/A</v>
      </c>
      <c r="M197" s="73"/>
      <c r="N197" s="72" t="e">
        <f>_xlfn.IFNA(IF(VLOOKUP(C197,'חד גזעי'!$AH$2:$AH$7,1,FALSE)&gt;0,0,IF('חד גזעי'!$AM$5="כן",IF(_xlfn.IFNA(VLOOKUP(C197,'חד גזעי'!$AH$2:$AH$33,1,FALSE),SUM(J197:M197))&lt;21,_xlfn.IFNA(VLOOKUP(C197,'חד גזעי'!$AH$2:$AH$33,1,FALSE),SUM(J197:M197)),0),SUM(J197:M197))),IF('חד גזעי'!$AM$5="כן",IF(_xlfn.IFNA(VLOOKUP(C197,'חד גזעי'!$AH$2:$AH$33,1,FALSE),SUM(J197:M197))&lt;21,_xlfn.IFNA(VLOOKUP(C197,'חד גזעי'!$AH$2:$AH$33,1,FALSE),SUM(J197:M197)),0),SUM(J197:M197)))</f>
        <v>#N/A</v>
      </c>
      <c r="O197" s="72">
        <f>IF('חד גזעי'!$AM$3 = "כן",IF(T197&gt;4,4,T197),T197)</f>
        <v>0</v>
      </c>
      <c r="P197" s="80">
        <f>IF(E197&lt;2,0,IF(Z197&gt;0,Z197,IF(N197 = 0,0,IF('חד גזעי'!$AM$2 = "לא",IF(F197&gt;19,W197,0),IF(F197&gt;9,Y197,0)))))</f>
        <v>0</v>
      </c>
      <c r="Q197" s="77"/>
      <c r="R197" s="75"/>
      <c r="S197" t="e">
        <f>VLOOKUP(C197,'חד גזעי'!$Y$4:$Y$18,1,0)</f>
        <v>#N/A</v>
      </c>
      <c r="T197" s="72">
        <f>IF('חד גזעי'!$AM$6="לא",IF(P197=0,IF(BC197="שימור",IF('חד גזעי'!$AM$4="לא",IF(BC197="לא בוגר",0,IF(BC197="לא קיים",0,IF(J197=0,0,I197*0.1))),IF(BC197="לא בוגר",0,IF(BC197="לא קיים",0,IF(AB197=1,I197*0.1,E197*0.5)))),0),IF('חד גזעי'!$AM$4="לא",IF(BC197="לא בוגר",0,IF(BC197="לא קיים",0,IF(J197=0,0,I197*0.1))),IF(BC197="לא בוגר",0,IF(BC197="לא קיים",0,IF(AB197=1,I197*0.1,E197*0.5))))),IF(P197=0,IF(BC197="שימור",IF('חד גזעי'!$AM$4="לא",IF(BC197="לא בוגר",0,IF(BC197="לא קיים",0,IF(J197=0,0,I197*0.15))),IF(BC197="לא בוגר",0,IF(BC197="לא קיים",0,IF(AB197=1,I197*0.15,E197*0.5)))),0),IF('חד גזעי'!$AM$4="לא",IF(BC197="לא בוגר",0,IF(BC197="לא קיים",0,IF(J197=0,0,I197*0.15))),IF(BC197="לא בוגר",0,IF(BC197="לא קיים",0,IF(AB197=1,I197*0.15,E197*0.5))))))</f>
        <v>0</v>
      </c>
      <c r="V197" t="e">
        <f t="shared" si="150"/>
        <v>#N/A</v>
      </c>
      <c r="W197" t="e">
        <f t="shared" si="151"/>
        <v>#N/A</v>
      </c>
      <c r="X197" t="e">
        <f t="shared" si="152"/>
        <v>#N/A</v>
      </c>
      <c r="Y197">
        <f>IF('חד גזעי'!$AM$2 = "לא",0,IF(F197&gt;9,W197,0))</f>
        <v>0</v>
      </c>
      <c r="Z197">
        <f>IF('חד גזעי'!$AM$7 = "לא",0,IF(C197 = "זית אירופי",IF('חד גזעי'!$AN$7 &lt;=סקר!F197,W197,0),IF(C197 = "חרוב מצוי",IF('חד גזעי'!$AN$7 &lt;=סקר!F197,W197,0),0)))</f>
        <v>0</v>
      </c>
      <c r="AB197">
        <f t="shared" si="207"/>
        <v>1</v>
      </c>
      <c r="AC197" s="72"/>
      <c r="AD197" t="e">
        <f t="shared" si="225"/>
        <v>#N/A</v>
      </c>
      <c r="AE197" s="72"/>
      <c r="AF197" s="72" t="e">
        <f t="shared" si="208"/>
        <v>#N/A</v>
      </c>
      <c r="AG197" s="72" t="e">
        <f>IF('חד גזעי'!$AM$5="לא",(VLOOKUP(C197,'חד גזעי'!$P$1:$S$589,3,FALSE)),(VLOOKUP(C197,'חד גזעי'!$P$1:$S$589,4,FALSE)))</f>
        <v>#N/A</v>
      </c>
      <c r="AH197" s="72">
        <f t="shared" si="209"/>
        <v>0</v>
      </c>
      <c r="AI197" s="72">
        <f t="shared" si="210"/>
        <v>0</v>
      </c>
      <c r="AJ197" s="72">
        <f t="shared" si="211"/>
        <v>0</v>
      </c>
      <c r="AK197" s="72" t="e">
        <f t="shared" si="212"/>
        <v>#N/A</v>
      </c>
      <c r="AL197" t="e">
        <f>VLOOKUP(C197,'חד גזעי'!$AH$8:$AI$33,2,FALSE)</f>
        <v>#N/A</v>
      </c>
      <c r="AM197" s="72" t="b">
        <f t="shared" si="213"/>
        <v>0</v>
      </c>
      <c r="AN197" s="72" t="b">
        <f t="shared" si="214"/>
        <v>0</v>
      </c>
      <c r="AO197" s="72" t="b">
        <f t="shared" si="215"/>
        <v>0</v>
      </c>
      <c r="AS197" s="72">
        <f t="shared" si="216"/>
        <v>0</v>
      </c>
      <c r="AT197" s="72">
        <f t="shared" si="217"/>
        <v>0</v>
      </c>
      <c r="AU197" s="72">
        <f t="shared" si="226"/>
        <v>0</v>
      </c>
      <c r="AV197" s="72">
        <f t="shared" si="218"/>
        <v>0</v>
      </c>
      <c r="AW197" s="72">
        <f t="shared" si="219"/>
        <v>0</v>
      </c>
      <c r="AX197" s="72">
        <f t="shared" si="220"/>
        <v>0</v>
      </c>
      <c r="AY197" s="72">
        <f t="shared" si="221"/>
        <v>0</v>
      </c>
      <c r="AZ197" s="72">
        <f t="shared" si="222"/>
        <v>0</v>
      </c>
      <c r="BA197" s="72" t="e">
        <f t="shared" si="223"/>
        <v>#N/A</v>
      </c>
      <c r="BB197" s="72" t="e">
        <f t="shared" si="224"/>
        <v>#N/A</v>
      </c>
      <c r="BC197" s="77"/>
      <c r="BE197">
        <f t="shared" si="204"/>
        <v>0</v>
      </c>
      <c r="BF197" s="196"/>
      <c r="BG197" s="196"/>
      <c r="BH197" s="196"/>
      <c r="BI197" s="196"/>
      <c r="BJ197" s="196"/>
      <c r="BK197" s="196"/>
    </row>
    <row r="198" spans="2:63" hidden="1">
      <c r="B198" s="72"/>
      <c r="C198" s="135"/>
      <c r="D198" s="78"/>
      <c r="E198" s="73"/>
      <c r="F198" s="72"/>
      <c r="G198" s="72"/>
      <c r="H198" s="72"/>
      <c r="I198" s="73">
        <f t="shared" si="206"/>
        <v>0</v>
      </c>
      <c r="J198" s="78"/>
      <c r="K198" s="73"/>
      <c r="L198" s="74" t="e">
        <f>_xlfn.IFNA(VLOOKUP(C198,'חד גזעי'!$U$3:$V$509,2,0),VLOOKUP(C198,'חד גזעי'!$U$3:$V$509,2))</f>
        <v>#N/A</v>
      </c>
      <c r="M198" s="73"/>
      <c r="N198" s="72" t="e">
        <f>_xlfn.IFNA(IF(VLOOKUP(C198,'חד גזעי'!$AH$2:$AH$7,1,FALSE)&gt;0,0,IF('חד גזעי'!$AM$5="כן",IF(_xlfn.IFNA(VLOOKUP(C198,'חד גזעי'!$AH$2:$AH$33,1,FALSE),SUM(J198:M198))&lt;21,_xlfn.IFNA(VLOOKUP(C198,'חד גזעי'!$AH$2:$AH$33,1,FALSE),SUM(J198:M198)),0),SUM(J198:M198))),IF('חד גזעי'!$AM$5="כן",IF(_xlfn.IFNA(VLOOKUP(C198,'חד גזעי'!$AH$2:$AH$33,1,FALSE),SUM(J198:M198))&lt;21,_xlfn.IFNA(VLOOKUP(C198,'חד גזעי'!$AH$2:$AH$33,1,FALSE),SUM(J198:M198)),0),SUM(J198:M198)))</f>
        <v>#N/A</v>
      </c>
      <c r="O198" s="72">
        <f>IF('חד גזעי'!$AM$3 = "כן",IF(T198&gt;4,4,T198),T198)</f>
        <v>0</v>
      </c>
      <c r="P198" s="80">
        <f>IF(E198&lt;2,0,IF(Z198&gt;0,Z198,IF(N198 = 0,0,IF('חד גזעי'!$AM$2 = "לא",IF(F198&gt;19,W198,0),IF(F198&gt;9,Y198,0)))))</f>
        <v>0</v>
      </c>
      <c r="Q198" s="77"/>
      <c r="R198" s="75"/>
      <c r="S198" t="e">
        <f>VLOOKUP(C198,'חד גזעי'!$Y$4:$Y$18,1,0)</f>
        <v>#N/A</v>
      </c>
      <c r="T198" s="72">
        <f>IF('חד גזעי'!$AM$6="לא",IF(P198=0,IF(BC198="שימור",IF('חד גזעי'!$AM$4="לא",IF(BC198="לא בוגר",0,IF(BC198="לא קיים",0,IF(J198=0,0,I198*0.1))),IF(BC198="לא בוגר",0,IF(BC198="לא קיים",0,IF(AB198=1,I198*0.1,E198*0.5)))),0),IF('חד גזעי'!$AM$4="לא",IF(BC198="לא בוגר",0,IF(BC198="לא קיים",0,IF(J198=0,0,I198*0.1))),IF(BC198="לא בוגר",0,IF(BC198="לא קיים",0,IF(AB198=1,I198*0.1,E198*0.5))))),IF(P198=0,IF(BC198="שימור",IF('חד גזעי'!$AM$4="לא",IF(BC198="לא בוגר",0,IF(BC198="לא קיים",0,IF(J198=0,0,I198*0.15))),IF(BC198="לא בוגר",0,IF(BC198="לא קיים",0,IF(AB198=1,I198*0.15,E198*0.5)))),0),IF('חד גזעי'!$AM$4="לא",IF(BC198="לא בוגר",0,IF(BC198="לא קיים",0,IF(J198=0,0,I198*0.15))),IF(BC198="לא בוגר",0,IF(BC198="לא קיים",0,IF(AB198=1,I198*0.15,E198*0.5))))))</f>
        <v>0</v>
      </c>
      <c r="V198" t="e">
        <f t="shared" si="150"/>
        <v>#N/A</v>
      </c>
      <c r="W198" t="e">
        <f t="shared" si="151"/>
        <v>#N/A</v>
      </c>
      <c r="X198" t="e">
        <f t="shared" si="152"/>
        <v>#N/A</v>
      </c>
      <c r="Y198">
        <f>IF('חד גזעי'!$AM$2 = "לא",0,IF(F198&gt;9,W198,0))</f>
        <v>0</v>
      </c>
      <c r="Z198">
        <f>IF('חד גזעי'!$AM$7 = "לא",0,IF(C198 = "זית אירופי",IF('חד גזעי'!$AN$7 &lt;=סקר!F198,W198,0),IF(C198 = "חרוב מצוי",IF('חד גזעי'!$AN$7 &lt;=סקר!F198,W198,0),0)))</f>
        <v>0</v>
      </c>
      <c r="AB198">
        <f t="shared" si="207"/>
        <v>1</v>
      </c>
      <c r="AC198" s="72"/>
      <c r="AD198" t="e">
        <f t="shared" si="225"/>
        <v>#N/A</v>
      </c>
      <c r="AE198" s="72"/>
      <c r="AF198" s="72" t="e">
        <f t="shared" si="208"/>
        <v>#N/A</v>
      </c>
      <c r="AG198" s="72" t="e">
        <f>IF('חד גזעי'!$AM$5="לא",(VLOOKUP(C198,'חד גזעי'!$P$1:$S$589,3,FALSE)),(VLOOKUP(C198,'חד גזעי'!$P$1:$S$589,4,FALSE)))</f>
        <v>#N/A</v>
      </c>
      <c r="AH198" s="72">
        <f t="shared" si="209"/>
        <v>0</v>
      </c>
      <c r="AI198" s="72">
        <f t="shared" si="210"/>
        <v>0</v>
      </c>
      <c r="AJ198" s="72">
        <f t="shared" si="211"/>
        <v>0</v>
      </c>
      <c r="AK198" s="72" t="e">
        <f t="shared" si="212"/>
        <v>#N/A</v>
      </c>
      <c r="AL198" t="e">
        <f>VLOOKUP(C198,'חד גזעי'!$AH$8:$AI$33,2,FALSE)</f>
        <v>#N/A</v>
      </c>
      <c r="AM198" s="72" t="b">
        <f t="shared" si="213"/>
        <v>0</v>
      </c>
      <c r="AN198" s="72" t="b">
        <f t="shared" si="214"/>
        <v>0</v>
      </c>
      <c r="AO198" s="72" t="b">
        <f t="shared" si="215"/>
        <v>0</v>
      </c>
      <c r="AS198" s="72">
        <f t="shared" si="216"/>
        <v>0</v>
      </c>
      <c r="AT198" s="72">
        <f t="shared" si="217"/>
        <v>0</v>
      </c>
      <c r="AU198" s="72">
        <f t="shared" si="226"/>
        <v>0</v>
      </c>
      <c r="AV198" s="72">
        <f t="shared" si="218"/>
        <v>0</v>
      </c>
      <c r="AW198" s="72">
        <f t="shared" si="219"/>
        <v>0</v>
      </c>
      <c r="AX198" s="72">
        <f t="shared" si="220"/>
        <v>0</v>
      </c>
      <c r="AY198" s="72">
        <f t="shared" si="221"/>
        <v>0</v>
      </c>
      <c r="AZ198" s="72">
        <f t="shared" si="222"/>
        <v>0</v>
      </c>
      <c r="BA198" s="72" t="e">
        <f t="shared" si="223"/>
        <v>#N/A</v>
      </c>
      <c r="BB198" s="72" t="e">
        <f t="shared" si="224"/>
        <v>#N/A</v>
      </c>
      <c r="BC198" s="77"/>
      <c r="BE198">
        <f t="shared" si="204"/>
        <v>0</v>
      </c>
      <c r="BF198" s="196"/>
      <c r="BG198" s="196"/>
      <c r="BH198" s="196"/>
      <c r="BI198" s="196"/>
      <c r="BJ198" s="196"/>
      <c r="BK198" s="196"/>
    </row>
    <row r="199" spans="2:63" hidden="1">
      <c r="B199" s="72"/>
      <c r="C199" s="135"/>
      <c r="D199" s="78"/>
      <c r="E199" s="73"/>
      <c r="F199" s="72"/>
      <c r="G199" s="72"/>
      <c r="H199" s="72"/>
      <c r="I199" s="73">
        <f t="shared" si="206"/>
        <v>0</v>
      </c>
      <c r="J199" s="78"/>
      <c r="K199" s="73"/>
      <c r="L199" s="74" t="e">
        <f>_xlfn.IFNA(VLOOKUP(C199,'חד גזעי'!$U$3:$V$509,2,0),VLOOKUP(C199,'חד גזעי'!$U$3:$V$509,2))</f>
        <v>#N/A</v>
      </c>
      <c r="M199" s="73"/>
      <c r="N199" s="72" t="e">
        <f>_xlfn.IFNA(IF(VLOOKUP(C199,'חד גזעי'!$AH$2:$AH$7,1,FALSE)&gt;0,0,IF('חד גזעי'!$AM$5="כן",IF(_xlfn.IFNA(VLOOKUP(C199,'חד גזעי'!$AH$2:$AH$33,1,FALSE),SUM(J199:M199))&lt;21,_xlfn.IFNA(VLOOKUP(C199,'חד גזעי'!$AH$2:$AH$33,1,FALSE),SUM(J199:M199)),0),SUM(J199:M199))),IF('חד גזעי'!$AM$5="כן",IF(_xlfn.IFNA(VLOOKUP(C199,'חד גזעי'!$AH$2:$AH$33,1,FALSE),SUM(J199:M199))&lt;21,_xlfn.IFNA(VLOOKUP(C199,'חד גזעי'!$AH$2:$AH$33,1,FALSE),SUM(J199:M199)),0),SUM(J199:M199)))</f>
        <v>#N/A</v>
      </c>
      <c r="O199" s="72">
        <f>IF('חד גזעי'!$AM$3 = "כן",IF(T199&gt;4,4,T199),T199)</f>
        <v>0</v>
      </c>
      <c r="P199" s="80">
        <f>IF(E199&lt;2,0,IF(Z199&gt;0,Z199,IF(N199 = 0,0,IF('חד גזעי'!$AM$2 = "לא",IF(F199&gt;19,W199,0),IF(F199&gt;9,Y199,0)))))</f>
        <v>0</v>
      </c>
      <c r="Q199" s="77"/>
      <c r="R199" s="75"/>
      <c r="S199" t="e">
        <f>VLOOKUP(C199,'חד גזעי'!$Y$4:$Y$18,1,0)</f>
        <v>#N/A</v>
      </c>
      <c r="T199" s="72">
        <f>IF('חד גזעי'!$AM$6="לא",IF(P199=0,IF(BC199="שימור",IF('חד גזעי'!$AM$4="לא",IF(BC199="לא בוגר",0,IF(BC199="לא קיים",0,IF(J199=0,0,I199*0.1))),IF(BC199="לא בוגר",0,IF(BC199="לא קיים",0,IF(AB199=1,I199*0.1,E199*0.5)))),0),IF('חד גזעי'!$AM$4="לא",IF(BC199="לא בוגר",0,IF(BC199="לא קיים",0,IF(J199=0,0,I199*0.1))),IF(BC199="לא בוגר",0,IF(BC199="לא קיים",0,IF(AB199=1,I199*0.1,E199*0.5))))),IF(P199=0,IF(BC199="שימור",IF('חד גזעי'!$AM$4="לא",IF(BC199="לא בוגר",0,IF(BC199="לא קיים",0,IF(J199=0,0,I199*0.15))),IF(BC199="לא בוגר",0,IF(BC199="לא קיים",0,IF(AB199=1,I199*0.15,E199*0.5)))),0),IF('חד גזעי'!$AM$4="לא",IF(BC199="לא בוגר",0,IF(BC199="לא קיים",0,IF(J199=0,0,I199*0.15))),IF(BC199="לא בוגר",0,IF(BC199="לא קיים",0,IF(AB199=1,I199*0.15,E199*0.5))))))</f>
        <v>0</v>
      </c>
      <c r="V199" t="e">
        <f t="shared" si="150"/>
        <v>#N/A</v>
      </c>
      <c r="W199" t="e">
        <f t="shared" si="151"/>
        <v>#N/A</v>
      </c>
      <c r="X199" t="e">
        <f t="shared" si="152"/>
        <v>#N/A</v>
      </c>
      <c r="Y199">
        <f>IF('חד גזעי'!$AM$2 = "לא",0,IF(F199&gt;9,W199,0))</f>
        <v>0</v>
      </c>
      <c r="Z199">
        <f>IF('חד גזעי'!$AM$7 = "לא",0,IF(C199 = "זית אירופי",IF('חד גזעי'!$AN$7 &lt;=סקר!F199,W199,0),IF(C199 = "חרוב מצוי",IF('חד גזעי'!$AN$7 &lt;=סקר!F199,W199,0),0)))</f>
        <v>0</v>
      </c>
      <c r="AB199">
        <f t="shared" si="207"/>
        <v>1</v>
      </c>
      <c r="AC199" s="72"/>
      <c r="AD199" t="e">
        <f t="shared" si="225"/>
        <v>#N/A</v>
      </c>
      <c r="AE199" s="72"/>
      <c r="AF199" s="72" t="e">
        <f t="shared" si="208"/>
        <v>#N/A</v>
      </c>
      <c r="AG199" s="72" t="e">
        <f>IF('חד גזעי'!$AM$5="לא",(VLOOKUP(C199,'חד גזעי'!$P$1:$S$589,3,FALSE)),(VLOOKUP(C199,'חד גזעי'!$P$1:$S$589,4,FALSE)))</f>
        <v>#N/A</v>
      </c>
      <c r="AH199" s="72">
        <f t="shared" si="209"/>
        <v>0</v>
      </c>
      <c r="AI199" s="72">
        <f t="shared" si="210"/>
        <v>0</v>
      </c>
      <c r="AJ199" s="72">
        <f t="shared" si="211"/>
        <v>0</v>
      </c>
      <c r="AK199" s="72" t="e">
        <f t="shared" si="212"/>
        <v>#N/A</v>
      </c>
      <c r="AL199" t="e">
        <f>VLOOKUP(C199,'חד גזעי'!$AH$8:$AI$33,2,FALSE)</f>
        <v>#N/A</v>
      </c>
      <c r="AM199" s="72" t="b">
        <f t="shared" si="213"/>
        <v>0</v>
      </c>
      <c r="AN199" s="72" t="b">
        <f t="shared" si="214"/>
        <v>0</v>
      </c>
      <c r="AO199" s="72" t="b">
        <f t="shared" si="215"/>
        <v>0</v>
      </c>
      <c r="AS199" s="72">
        <f t="shared" si="216"/>
        <v>0</v>
      </c>
      <c r="AT199" s="72">
        <f t="shared" si="217"/>
        <v>0</v>
      </c>
      <c r="AU199" s="72">
        <f t="shared" si="226"/>
        <v>0</v>
      </c>
      <c r="AV199" s="72">
        <f t="shared" si="218"/>
        <v>0</v>
      </c>
      <c r="AW199" s="72">
        <f t="shared" si="219"/>
        <v>0</v>
      </c>
      <c r="AX199" s="72">
        <f t="shared" si="220"/>
        <v>0</v>
      </c>
      <c r="AY199" s="72">
        <f t="shared" si="221"/>
        <v>0</v>
      </c>
      <c r="AZ199" s="72">
        <f t="shared" si="222"/>
        <v>0</v>
      </c>
      <c r="BA199" s="72" t="e">
        <f t="shared" si="223"/>
        <v>#N/A</v>
      </c>
      <c r="BB199" s="72" t="e">
        <f t="shared" si="224"/>
        <v>#N/A</v>
      </c>
      <c r="BC199" s="77"/>
      <c r="BE199">
        <f t="shared" si="204"/>
        <v>0</v>
      </c>
      <c r="BF199" s="196"/>
      <c r="BG199" s="196"/>
      <c r="BH199" s="196"/>
      <c r="BI199" s="196"/>
      <c r="BJ199" s="196"/>
      <c r="BK199" s="196"/>
    </row>
    <row r="200" spans="2:63" hidden="1">
      <c r="B200" s="72"/>
      <c r="C200" s="135"/>
      <c r="D200" s="78"/>
      <c r="E200" s="78"/>
      <c r="F200" s="72"/>
      <c r="G200" s="72"/>
      <c r="H200" s="72"/>
      <c r="I200" s="73">
        <f t="shared" si="206"/>
        <v>0</v>
      </c>
      <c r="J200" s="78"/>
      <c r="K200" s="73"/>
      <c r="L200" s="74" t="e">
        <f>_xlfn.IFNA(VLOOKUP(C200,'חד גזעי'!$U$3:$V$509,2,0),VLOOKUP(C200,'חד גזעי'!$U$3:$V$509,2))</f>
        <v>#N/A</v>
      </c>
      <c r="M200" s="73"/>
      <c r="N200" s="72" t="e">
        <f>_xlfn.IFNA(IF(VLOOKUP(C200,'חד גזעי'!$AH$2:$AH$7,1,FALSE)&gt;0,0,IF('חד גזעי'!$AM$5="כן",IF(_xlfn.IFNA(VLOOKUP(C200,'חד גזעי'!$AH$2:$AH$33,1,FALSE),SUM(J200:M200))&lt;21,_xlfn.IFNA(VLOOKUP(C200,'חד גזעי'!$AH$2:$AH$33,1,FALSE),SUM(J200:M200)),0),SUM(J200:M200))),IF('חד גזעי'!$AM$5="כן",IF(_xlfn.IFNA(VLOOKUP(C200,'חד גזעי'!$AH$2:$AH$33,1,FALSE),SUM(J200:M200))&lt;21,_xlfn.IFNA(VLOOKUP(C200,'חד גזעי'!$AH$2:$AH$33,1,FALSE),SUM(J200:M200)),0),SUM(J200:M200)))</f>
        <v>#N/A</v>
      </c>
      <c r="O200" s="72">
        <f>IF('חד גזעי'!$AM$3 = "כן",IF(T200&gt;4,4,T200),T200)</f>
        <v>0</v>
      </c>
      <c r="P200" s="80">
        <f>IF(E200&lt;2,0,IF(Z200&gt;0,Z200,IF(N200 = 0,0,IF('חד גזעי'!$AM$2 = "לא",IF(F200&gt;19,W200,0),IF(F200&gt;9,Y200,0)))))</f>
        <v>0</v>
      </c>
      <c r="Q200" s="77"/>
      <c r="R200" s="75"/>
      <c r="S200" t="e">
        <f>VLOOKUP(C200,'חד גזעי'!$Y$4:$Y$18,1,0)</f>
        <v>#N/A</v>
      </c>
      <c r="T200" s="72">
        <f>IF('חד גזעי'!$AM$6="לא",IF(P200=0,IF(BC200="שימור",IF('חד גזעי'!$AM$4="לא",IF(BC200="לא בוגר",0,IF(BC200="לא קיים",0,IF(J200=0,0,I200*0.1))),IF(BC200="לא בוגר",0,IF(BC200="לא קיים",0,IF(AB200=1,I200*0.1,E200*0.5)))),0),IF('חד גזעי'!$AM$4="לא",IF(BC200="לא בוגר",0,IF(BC200="לא קיים",0,IF(J200=0,0,I200*0.1))),IF(BC200="לא בוגר",0,IF(BC200="לא קיים",0,IF(AB200=1,I200*0.1,E200*0.5))))),IF(P200=0,IF(BC200="שימור",IF('חד גזעי'!$AM$4="לא",IF(BC200="לא בוגר",0,IF(BC200="לא קיים",0,IF(J200=0,0,I200*0.15))),IF(BC200="לא בוגר",0,IF(BC200="לא קיים",0,IF(AB200=1,I200*0.15,E200*0.5)))),0),IF('חד גזעי'!$AM$4="לא",IF(BC200="לא בוגר",0,IF(BC200="לא קיים",0,IF(J200=0,0,I200*0.15))),IF(BC200="לא בוגר",0,IF(BC200="לא קיים",0,IF(AB200=1,I200*0.15,E200*0.5))))))</f>
        <v>0</v>
      </c>
      <c r="V200" t="e">
        <f t="shared" si="150"/>
        <v>#N/A</v>
      </c>
      <c r="W200" t="e">
        <f t="shared" si="151"/>
        <v>#N/A</v>
      </c>
      <c r="X200" t="e">
        <f t="shared" si="152"/>
        <v>#N/A</v>
      </c>
      <c r="Y200">
        <f>IF('חד גזעי'!$AM$2 = "לא",0,IF(F200&gt;9,W200,0))</f>
        <v>0</v>
      </c>
      <c r="Z200">
        <f>IF('חד גזעי'!$AM$7 = "לא",0,IF(C200 = "זית אירופי",IF('חד גזעי'!$AN$7 &lt;=סקר!F200,W200,0),IF(C200 = "חרוב מצוי",IF('חד גזעי'!$AN$7 &lt;=סקר!F200,W200,0),0)))</f>
        <v>0</v>
      </c>
      <c r="AB200">
        <f t="shared" si="207"/>
        <v>1</v>
      </c>
      <c r="AC200" s="72"/>
      <c r="AD200" t="e">
        <f t="shared" si="225"/>
        <v>#N/A</v>
      </c>
      <c r="AE200" s="72"/>
      <c r="AF200" s="72" t="e">
        <f t="shared" si="208"/>
        <v>#N/A</v>
      </c>
      <c r="AG200" s="72" t="e">
        <f>IF('חד גזעי'!$AM$5="לא",(VLOOKUP(C200,'חד גזעי'!$P$1:$S$589,3,FALSE)),(VLOOKUP(C200,'חד גזעי'!$P$1:$S$589,4,FALSE)))</f>
        <v>#N/A</v>
      </c>
      <c r="AH200" s="72">
        <f t="shared" si="209"/>
        <v>0</v>
      </c>
      <c r="AI200" s="72">
        <f t="shared" si="210"/>
        <v>0</v>
      </c>
      <c r="AJ200" s="72">
        <f t="shared" si="211"/>
        <v>0</v>
      </c>
      <c r="AK200" s="72" t="e">
        <f t="shared" si="212"/>
        <v>#N/A</v>
      </c>
      <c r="AL200" t="e">
        <f>VLOOKUP(C200,'חד גזעי'!$AH$8:$AI$33,2,FALSE)</f>
        <v>#N/A</v>
      </c>
      <c r="AM200" s="72" t="b">
        <f t="shared" si="213"/>
        <v>0</v>
      </c>
      <c r="AN200" s="72" t="b">
        <f t="shared" si="214"/>
        <v>0</v>
      </c>
      <c r="AO200" s="72" t="b">
        <f t="shared" si="215"/>
        <v>0</v>
      </c>
      <c r="AS200" s="72">
        <f t="shared" si="216"/>
        <v>0</v>
      </c>
      <c r="AT200" s="72">
        <f t="shared" si="217"/>
        <v>0</v>
      </c>
      <c r="AU200" s="72">
        <f t="shared" si="226"/>
        <v>0</v>
      </c>
      <c r="AV200" s="72">
        <f t="shared" si="218"/>
        <v>0</v>
      </c>
      <c r="AW200" s="72">
        <f t="shared" si="219"/>
        <v>0</v>
      </c>
      <c r="AX200" s="72">
        <f t="shared" si="220"/>
        <v>0</v>
      </c>
      <c r="AY200" s="72">
        <f t="shared" si="221"/>
        <v>0</v>
      </c>
      <c r="AZ200" s="72">
        <f t="shared" si="222"/>
        <v>0</v>
      </c>
      <c r="BA200" s="72" t="e">
        <f t="shared" si="223"/>
        <v>#N/A</v>
      </c>
      <c r="BB200" s="72" t="e">
        <f t="shared" si="224"/>
        <v>#N/A</v>
      </c>
      <c r="BC200" s="77"/>
      <c r="BE200">
        <f t="shared" si="204"/>
        <v>0</v>
      </c>
      <c r="BF200" s="196"/>
      <c r="BG200" s="196"/>
      <c r="BH200" s="196"/>
      <c r="BI200" s="196"/>
      <c r="BJ200" s="196"/>
      <c r="BK200" s="196"/>
    </row>
    <row r="201" spans="2:63" hidden="1">
      <c r="B201" s="72"/>
      <c r="C201" s="135"/>
      <c r="D201" s="78"/>
      <c r="E201" s="78"/>
      <c r="F201" s="72"/>
      <c r="G201" s="72"/>
      <c r="H201" s="72"/>
      <c r="I201" s="73">
        <f t="shared" si="206"/>
        <v>0</v>
      </c>
      <c r="J201" s="78"/>
      <c r="K201" s="73"/>
      <c r="L201" s="74" t="e">
        <f>_xlfn.IFNA(VLOOKUP(C201,'חד גזעי'!$U$3:$V$509,2,0),VLOOKUP(C201,'חד גזעי'!$U$3:$V$509,2))</f>
        <v>#N/A</v>
      </c>
      <c r="M201" s="73"/>
      <c r="N201" s="72" t="e">
        <f>_xlfn.IFNA(IF(VLOOKUP(C201,'חד גזעי'!$AH$2:$AH$7,1,FALSE)&gt;0,0,IF('חד גזעי'!$AM$5="כן",IF(_xlfn.IFNA(VLOOKUP(C201,'חד גזעי'!$AH$2:$AH$33,1,FALSE),SUM(J201:M201))&lt;21,_xlfn.IFNA(VLOOKUP(C201,'חד גזעי'!$AH$2:$AH$33,1,FALSE),SUM(J201:M201)),0),SUM(J201:M201))),IF('חד גזעי'!$AM$5="כן",IF(_xlfn.IFNA(VLOOKUP(C201,'חד גזעי'!$AH$2:$AH$33,1,FALSE),SUM(J201:M201))&lt;21,_xlfn.IFNA(VLOOKUP(C201,'חד גזעי'!$AH$2:$AH$33,1,FALSE),SUM(J201:M201)),0),SUM(J201:M201)))</f>
        <v>#N/A</v>
      </c>
      <c r="O201" s="72">
        <f>IF('חד גזעי'!$AM$3 = "כן",IF(T201&gt;4,4,T201),T201)</f>
        <v>0</v>
      </c>
      <c r="P201" s="80">
        <f>IF(E201&lt;2,0,IF(Z201&gt;0,Z201,IF(N201 = 0,0,IF('חד גזעי'!$AM$2 = "לא",IF(F201&gt;19,W201,0),IF(F201&gt;9,Y201,0)))))</f>
        <v>0</v>
      </c>
      <c r="Q201" s="77"/>
      <c r="R201" s="75"/>
      <c r="S201" t="e">
        <f>VLOOKUP(C201,'חד גזעי'!$Y$4:$Y$18,1,0)</f>
        <v>#N/A</v>
      </c>
      <c r="T201" s="72">
        <f>IF('חד גזעי'!$AM$6="לא",IF(P201=0,IF(BC201="שימור",IF('חד גזעי'!$AM$4="לא",IF(BC201="לא בוגר",0,IF(BC201="לא קיים",0,IF(J201=0,0,I201*0.1))),IF(BC201="לא בוגר",0,IF(BC201="לא קיים",0,IF(AB201=1,I201*0.1,E201*0.5)))),0),IF('חד גזעי'!$AM$4="לא",IF(BC201="לא בוגר",0,IF(BC201="לא קיים",0,IF(J201=0,0,I201*0.1))),IF(BC201="לא בוגר",0,IF(BC201="לא קיים",0,IF(AB201=1,I201*0.1,E201*0.5))))),IF(P201=0,IF(BC201="שימור",IF('חד גזעי'!$AM$4="לא",IF(BC201="לא בוגר",0,IF(BC201="לא קיים",0,IF(J201=0,0,I201*0.15))),IF(BC201="לא בוגר",0,IF(BC201="לא קיים",0,IF(AB201=1,I201*0.15,E201*0.5)))),0),IF('חד גזעי'!$AM$4="לא",IF(BC201="לא בוגר",0,IF(BC201="לא קיים",0,IF(J201=0,0,I201*0.15))),IF(BC201="לא בוגר",0,IF(BC201="לא קיים",0,IF(AB201=1,I201*0.15,E201*0.5))))))</f>
        <v>0</v>
      </c>
      <c r="V201" t="e">
        <f t="shared" si="150"/>
        <v>#N/A</v>
      </c>
      <c r="W201" t="e">
        <f t="shared" si="151"/>
        <v>#N/A</v>
      </c>
      <c r="X201" t="e">
        <f t="shared" si="152"/>
        <v>#N/A</v>
      </c>
      <c r="Y201">
        <f>IF('חד גזעי'!$AM$2 = "לא",0,IF(F201&gt;9,W201,0))</f>
        <v>0</v>
      </c>
      <c r="Z201">
        <f>IF('חד גזעי'!$AM$7 = "לא",0,IF(C201 = "זית אירופי",IF('חד גזעי'!$AN$7 &lt;=סקר!F201,W201,0),IF(C201 = "חרוב מצוי",IF('חד גזעי'!$AN$7 &lt;=סקר!F201,W201,0),0)))</f>
        <v>0</v>
      </c>
      <c r="AB201">
        <f t="shared" si="207"/>
        <v>1</v>
      </c>
      <c r="AC201" s="72"/>
      <c r="AD201" t="e">
        <f t="shared" si="225"/>
        <v>#N/A</v>
      </c>
      <c r="AE201" s="72"/>
      <c r="AF201" s="72" t="e">
        <f t="shared" si="208"/>
        <v>#N/A</v>
      </c>
      <c r="AG201" s="72" t="e">
        <f>IF('חד גזעי'!$AM$5="לא",(VLOOKUP(C201,'חד גזעי'!$P$1:$S$589,3,FALSE)),(VLOOKUP(C201,'חד גזעי'!$P$1:$S$589,4,FALSE)))</f>
        <v>#N/A</v>
      </c>
      <c r="AH201" s="72">
        <f t="shared" si="209"/>
        <v>0</v>
      </c>
      <c r="AI201" s="72">
        <f t="shared" si="210"/>
        <v>0</v>
      </c>
      <c r="AJ201" s="72">
        <f t="shared" si="211"/>
        <v>0</v>
      </c>
      <c r="AK201" s="72" t="e">
        <f t="shared" si="212"/>
        <v>#N/A</v>
      </c>
      <c r="AL201" t="e">
        <f>VLOOKUP(C201,'חד גזעי'!$AH$8:$AI$33,2,FALSE)</f>
        <v>#N/A</v>
      </c>
      <c r="AM201" s="72" t="b">
        <f t="shared" si="213"/>
        <v>0</v>
      </c>
      <c r="AN201" s="72" t="b">
        <f t="shared" si="214"/>
        <v>0</v>
      </c>
      <c r="AO201" s="72" t="b">
        <f t="shared" si="215"/>
        <v>0</v>
      </c>
      <c r="AS201" s="72">
        <f t="shared" si="216"/>
        <v>0</v>
      </c>
      <c r="AT201" s="72">
        <f t="shared" si="217"/>
        <v>0</v>
      </c>
      <c r="AU201" s="72">
        <f t="shared" si="226"/>
        <v>0</v>
      </c>
      <c r="AV201" s="72">
        <f t="shared" si="218"/>
        <v>0</v>
      </c>
      <c r="AW201" s="72">
        <f t="shared" si="219"/>
        <v>0</v>
      </c>
      <c r="AX201" s="72">
        <f t="shared" si="220"/>
        <v>0</v>
      </c>
      <c r="AY201" s="72">
        <f t="shared" si="221"/>
        <v>0</v>
      </c>
      <c r="AZ201" s="72">
        <f t="shared" si="222"/>
        <v>0</v>
      </c>
      <c r="BA201" s="72" t="e">
        <f t="shared" si="223"/>
        <v>#N/A</v>
      </c>
      <c r="BB201" s="72" t="e">
        <f t="shared" si="224"/>
        <v>#N/A</v>
      </c>
      <c r="BC201" s="77"/>
      <c r="BE201">
        <f t="shared" si="204"/>
        <v>0</v>
      </c>
      <c r="BF201" s="196"/>
      <c r="BG201" s="196"/>
      <c r="BH201" s="196"/>
      <c r="BI201" s="196"/>
      <c r="BJ201" s="196"/>
      <c r="BK201" s="196"/>
    </row>
    <row r="202" spans="2:63" hidden="1">
      <c r="B202" s="72"/>
      <c r="C202" s="135"/>
      <c r="D202" s="78"/>
      <c r="E202" s="78"/>
      <c r="F202" s="72"/>
      <c r="G202" s="72"/>
      <c r="H202" s="72"/>
      <c r="I202" s="73">
        <f t="shared" si="206"/>
        <v>0</v>
      </c>
      <c r="J202" s="78"/>
      <c r="K202" s="73"/>
      <c r="L202" s="74" t="e">
        <f>_xlfn.IFNA(VLOOKUP(C202,'חד גזעי'!$U$3:$V$509,2,0),VLOOKUP(C202,'חד גזעי'!$U$3:$V$509,2))</f>
        <v>#N/A</v>
      </c>
      <c r="M202" s="73"/>
      <c r="N202" s="72" t="e">
        <f>_xlfn.IFNA(IF(VLOOKUP(C202,'חד גזעי'!$AH$2:$AH$7,1,FALSE)&gt;0,0,IF('חד גזעי'!$AM$5="כן",IF(_xlfn.IFNA(VLOOKUP(C202,'חד גזעי'!$AH$2:$AH$33,1,FALSE),SUM(J202:M202))&lt;21,_xlfn.IFNA(VLOOKUP(C202,'חד גזעי'!$AH$2:$AH$33,1,FALSE),SUM(J202:M202)),0),SUM(J202:M202))),IF('חד גזעי'!$AM$5="כן",IF(_xlfn.IFNA(VLOOKUP(C202,'חד גזעי'!$AH$2:$AH$33,1,FALSE),SUM(J202:M202))&lt;21,_xlfn.IFNA(VLOOKUP(C202,'חד גזעי'!$AH$2:$AH$33,1,FALSE),SUM(J202:M202)),0),SUM(J202:M202)))</f>
        <v>#N/A</v>
      </c>
      <c r="O202" s="72">
        <f>IF('חד גזעי'!$AM$3 = "כן",IF(T202&gt;4,4,T202),T202)</f>
        <v>0</v>
      </c>
      <c r="P202" s="80">
        <f>IF(E202&lt;2,0,IF(Z202&gt;0,Z202,IF(N202 = 0,0,IF('חד גזעי'!$AM$2 = "לא",IF(F202&gt;19,W202,0),IF(F202&gt;9,Y202,0)))))</f>
        <v>0</v>
      </c>
      <c r="Q202" s="77"/>
      <c r="R202" s="75"/>
      <c r="S202" t="e">
        <f>VLOOKUP(C202,'חד גזעי'!$Y$4:$Y$18,1,0)</f>
        <v>#N/A</v>
      </c>
      <c r="T202" s="72">
        <f>IF('חד גזעי'!$AM$6="לא",IF(P202=0,IF(BC202="שימור",IF('חד גזעי'!$AM$4="לא",IF(BC202="לא בוגר",0,IF(BC202="לא קיים",0,IF(J202=0,0,I202*0.1))),IF(BC202="לא בוגר",0,IF(BC202="לא קיים",0,IF(AB202=1,I202*0.1,E202*0.5)))),0),IF('חד גזעי'!$AM$4="לא",IF(BC202="לא בוגר",0,IF(BC202="לא קיים",0,IF(J202=0,0,I202*0.1))),IF(BC202="לא בוגר",0,IF(BC202="לא קיים",0,IF(AB202=1,I202*0.1,E202*0.5))))),IF(P202=0,IF(BC202="שימור",IF('חד גזעי'!$AM$4="לא",IF(BC202="לא בוגר",0,IF(BC202="לא קיים",0,IF(J202=0,0,I202*0.15))),IF(BC202="לא בוגר",0,IF(BC202="לא קיים",0,IF(AB202=1,I202*0.15,E202*0.5)))),0),IF('חד גזעי'!$AM$4="לא",IF(BC202="לא בוגר",0,IF(BC202="לא קיים",0,IF(J202=0,0,I202*0.15))),IF(BC202="לא בוגר",0,IF(BC202="לא קיים",0,IF(AB202=1,I202*0.15,E202*0.5))))))</f>
        <v>0</v>
      </c>
      <c r="V202" t="e">
        <f t="shared" si="150"/>
        <v>#N/A</v>
      </c>
      <c r="W202" t="e">
        <f t="shared" si="151"/>
        <v>#N/A</v>
      </c>
      <c r="X202" t="e">
        <f t="shared" si="152"/>
        <v>#N/A</v>
      </c>
      <c r="Y202">
        <f>IF('חד גזעי'!$AM$2 = "לא",0,IF(F202&gt;9,W202,0))</f>
        <v>0</v>
      </c>
      <c r="Z202">
        <f>IF('חד גזעי'!$AM$7 = "לא",0,IF(C202 = "זית אירופי",IF('חד גזעי'!$AN$7 &lt;=סקר!F202,W202,0),IF(C202 = "חרוב מצוי",IF('חד גזעי'!$AN$7 &lt;=סקר!F202,W202,0),0)))</f>
        <v>0</v>
      </c>
      <c r="AB202">
        <f t="shared" si="207"/>
        <v>1</v>
      </c>
      <c r="AC202" s="72"/>
      <c r="AD202" t="e">
        <f t="shared" si="225"/>
        <v>#N/A</v>
      </c>
      <c r="AE202" s="72"/>
      <c r="AF202" s="72" t="e">
        <f t="shared" si="208"/>
        <v>#N/A</v>
      </c>
      <c r="AG202" s="72" t="e">
        <f>IF('חד גזעי'!$AM$5="לא",(VLOOKUP(C202,'חד גזעי'!$P$1:$S$589,3,FALSE)),(VLOOKUP(C202,'חד גזעי'!$P$1:$S$589,4,FALSE)))</f>
        <v>#N/A</v>
      </c>
      <c r="AH202" s="72">
        <f t="shared" si="209"/>
        <v>0</v>
      </c>
      <c r="AI202" s="72">
        <f t="shared" si="210"/>
        <v>0</v>
      </c>
      <c r="AJ202" s="72">
        <f t="shared" si="211"/>
        <v>0</v>
      </c>
      <c r="AK202" s="72" t="e">
        <f t="shared" si="212"/>
        <v>#N/A</v>
      </c>
      <c r="AL202" t="e">
        <f>VLOOKUP(C202,'חד גזעי'!$AH$8:$AI$33,2,FALSE)</f>
        <v>#N/A</v>
      </c>
      <c r="AM202" s="72" t="b">
        <f t="shared" si="213"/>
        <v>0</v>
      </c>
      <c r="AN202" s="72" t="b">
        <f t="shared" si="214"/>
        <v>0</v>
      </c>
      <c r="AO202" s="72" t="b">
        <f t="shared" si="215"/>
        <v>0</v>
      </c>
      <c r="AS202" s="72">
        <f t="shared" si="216"/>
        <v>0</v>
      </c>
      <c r="AT202" s="72">
        <f t="shared" si="217"/>
        <v>0</v>
      </c>
      <c r="AU202" s="72">
        <f t="shared" si="226"/>
        <v>0</v>
      </c>
      <c r="AV202" s="72">
        <f t="shared" si="218"/>
        <v>0</v>
      </c>
      <c r="AW202" s="72">
        <f t="shared" si="219"/>
        <v>0</v>
      </c>
      <c r="AX202" s="72">
        <f t="shared" si="220"/>
        <v>0</v>
      </c>
      <c r="AY202" s="72">
        <f t="shared" si="221"/>
        <v>0</v>
      </c>
      <c r="AZ202" s="72">
        <f t="shared" si="222"/>
        <v>0</v>
      </c>
      <c r="BA202" s="72" t="e">
        <f t="shared" si="223"/>
        <v>#N/A</v>
      </c>
      <c r="BB202" s="72" t="e">
        <f t="shared" si="224"/>
        <v>#N/A</v>
      </c>
      <c r="BC202" s="77"/>
      <c r="BE202">
        <f t="shared" si="204"/>
        <v>0</v>
      </c>
      <c r="BF202" s="196"/>
      <c r="BG202" s="196"/>
      <c r="BH202" s="196"/>
      <c r="BI202" s="196"/>
      <c r="BJ202" s="196"/>
      <c r="BK202" s="196"/>
    </row>
    <row r="203" spans="2:63" hidden="1">
      <c r="B203" s="72"/>
      <c r="C203" s="135"/>
      <c r="D203" s="78"/>
      <c r="E203" s="78"/>
      <c r="F203" s="72"/>
      <c r="G203" s="72"/>
      <c r="H203" s="72"/>
      <c r="I203" s="73">
        <f t="shared" si="206"/>
        <v>0</v>
      </c>
      <c r="J203" s="78"/>
      <c r="K203" s="73"/>
      <c r="L203" s="74" t="e">
        <f>_xlfn.IFNA(VLOOKUP(C203,'חד גזעי'!$U$3:$V$509,2,0),VLOOKUP(C203,'חד גזעי'!$U$3:$V$509,2))</f>
        <v>#N/A</v>
      </c>
      <c r="M203" s="73"/>
      <c r="N203" s="72" t="e">
        <f>_xlfn.IFNA(IF(VLOOKUP(C203,'חד גזעי'!$AH$2:$AH$7,1,FALSE)&gt;0,0,IF('חד גזעי'!$AM$5="כן",IF(_xlfn.IFNA(VLOOKUP(C203,'חד גזעי'!$AH$2:$AH$33,1,FALSE),SUM(J203:M203))&lt;21,_xlfn.IFNA(VLOOKUP(C203,'חד גזעי'!$AH$2:$AH$33,1,FALSE),SUM(J203:M203)),0),SUM(J203:M203))),IF('חד גזעי'!$AM$5="כן",IF(_xlfn.IFNA(VLOOKUP(C203,'חד גזעי'!$AH$2:$AH$33,1,FALSE),SUM(J203:M203))&lt;21,_xlfn.IFNA(VLOOKUP(C203,'חד גזעי'!$AH$2:$AH$33,1,FALSE),SUM(J203:M203)),0),SUM(J203:M203)))</f>
        <v>#N/A</v>
      </c>
      <c r="O203" s="72">
        <f>IF('חד גזעי'!$AM$3 = "כן",IF(T203&gt;4,4,T203),T203)</f>
        <v>0</v>
      </c>
      <c r="P203" s="80">
        <f>IF(E203&lt;2,0,IF(Z203&gt;0,Z203,IF(N203 = 0,0,IF('חד גזעי'!$AM$2 = "לא",IF(F203&gt;19,W203,0),IF(F203&gt;9,Y203,0)))))</f>
        <v>0</v>
      </c>
      <c r="Q203" s="77"/>
      <c r="R203" s="75"/>
      <c r="S203" t="e">
        <f>VLOOKUP(C203,'חד גזעי'!$Y$4:$Y$18,1,0)</f>
        <v>#N/A</v>
      </c>
      <c r="T203" s="72">
        <f>IF('חד גזעי'!$AM$6="לא",IF(P203=0,IF(BC203="שימור",IF('חד גזעי'!$AM$4="לא",IF(BC203="לא בוגר",0,IF(BC203="לא קיים",0,IF(J203=0,0,I203*0.1))),IF(BC203="לא בוגר",0,IF(BC203="לא קיים",0,IF(AB203=1,I203*0.1,E203*0.5)))),0),IF('חד גזעי'!$AM$4="לא",IF(BC203="לא בוגר",0,IF(BC203="לא קיים",0,IF(J203=0,0,I203*0.1))),IF(BC203="לא בוגר",0,IF(BC203="לא קיים",0,IF(AB203=1,I203*0.1,E203*0.5))))),IF(P203=0,IF(BC203="שימור",IF('חד גזעי'!$AM$4="לא",IF(BC203="לא בוגר",0,IF(BC203="לא קיים",0,IF(J203=0,0,I203*0.15))),IF(BC203="לא בוגר",0,IF(BC203="לא קיים",0,IF(AB203=1,I203*0.15,E203*0.5)))),0),IF('חד גזעי'!$AM$4="לא",IF(BC203="לא בוגר",0,IF(BC203="לא קיים",0,IF(J203=0,0,I203*0.15))),IF(BC203="לא בוגר",0,IF(BC203="לא קיים",0,IF(AB203=1,I203*0.15,E203*0.5))))))</f>
        <v>0</v>
      </c>
      <c r="V203" t="e">
        <f t="shared" si="150"/>
        <v>#N/A</v>
      </c>
      <c r="W203" t="e">
        <f t="shared" si="151"/>
        <v>#N/A</v>
      </c>
      <c r="X203" t="e">
        <f t="shared" si="152"/>
        <v>#N/A</v>
      </c>
      <c r="Y203">
        <f>IF('חד גזעי'!$AM$2 = "לא",0,IF(F203&gt;9,W203,0))</f>
        <v>0</v>
      </c>
      <c r="Z203">
        <f>IF('חד גזעי'!$AM$7 = "לא",0,IF(C203 = "זית אירופי",IF('חד גזעי'!$AN$7 &lt;=סקר!F203,W203,0),IF(C203 = "חרוב מצוי",IF('חד גזעי'!$AN$7 &lt;=סקר!F203,W203,0),0)))</f>
        <v>0</v>
      </c>
      <c r="AB203">
        <f t="shared" si="207"/>
        <v>1</v>
      </c>
      <c r="AC203" s="72"/>
      <c r="AD203" t="e">
        <f t="shared" si="225"/>
        <v>#N/A</v>
      </c>
      <c r="AE203" s="72"/>
      <c r="AF203" s="72" t="e">
        <f t="shared" si="208"/>
        <v>#N/A</v>
      </c>
      <c r="AG203" s="72" t="e">
        <f>IF('חד גזעי'!$AM$5="לא",(VLOOKUP(C203,'חד גזעי'!$P$1:$S$589,3,FALSE)),(VLOOKUP(C203,'חד גזעי'!$P$1:$S$589,4,FALSE)))</f>
        <v>#N/A</v>
      </c>
      <c r="AH203" s="72">
        <f t="shared" si="209"/>
        <v>0</v>
      </c>
      <c r="AI203" s="72">
        <f t="shared" si="210"/>
        <v>0</v>
      </c>
      <c r="AJ203" s="72">
        <f t="shared" si="211"/>
        <v>0</v>
      </c>
      <c r="AK203" s="72" t="e">
        <f t="shared" si="212"/>
        <v>#N/A</v>
      </c>
      <c r="AL203" t="e">
        <f>VLOOKUP(C203,'חד גזעי'!$AH$8:$AI$33,2,FALSE)</f>
        <v>#N/A</v>
      </c>
      <c r="AM203" s="72" t="b">
        <f t="shared" si="213"/>
        <v>0</v>
      </c>
      <c r="AN203" s="72" t="b">
        <f t="shared" si="214"/>
        <v>0</v>
      </c>
      <c r="AO203" s="72" t="b">
        <f t="shared" si="215"/>
        <v>0</v>
      </c>
      <c r="AS203" s="72">
        <f t="shared" si="216"/>
        <v>0</v>
      </c>
      <c r="AT203" s="72">
        <f t="shared" si="217"/>
        <v>0</v>
      </c>
      <c r="AU203" s="72">
        <f t="shared" si="226"/>
        <v>0</v>
      </c>
      <c r="AV203" s="72">
        <f t="shared" si="218"/>
        <v>0</v>
      </c>
      <c r="AW203" s="72">
        <f t="shared" si="219"/>
        <v>0</v>
      </c>
      <c r="AX203" s="72">
        <f t="shared" si="220"/>
        <v>0</v>
      </c>
      <c r="AY203" s="72">
        <f t="shared" si="221"/>
        <v>0</v>
      </c>
      <c r="AZ203" s="72">
        <f t="shared" si="222"/>
        <v>0</v>
      </c>
      <c r="BA203" s="72" t="e">
        <f t="shared" si="223"/>
        <v>#N/A</v>
      </c>
      <c r="BB203" s="72" t="e">
        <f t="shared" si="224"/>
        <v>#N/A</v>
      </c>
      <c r="BC203" s="77"/>
      <c r="BE203">
        <f t="shared" si="204"/>
        <v>0</v>
      </c>
      <c r="BF203" s="196"/>
      <c r="BG203" s="196"/>
      <c r="BH203" s="196"/>
      <c r="BI203" s="196"/>
      <c r="BJ203" s="196"/>
      <c r="BK203" s="196"/>
    </row>
    <row r="204" spans="2:63" hidden="1">
      <c r="B204" s="72"/>
      <c r="C204" s="135"/>
      <c r="D204" s="78"/>
      <c r="E204" s="78"/>
      <c r="F204" s="72"/>
      <c r="G204" s="72"/>
      <c r="H204" s="72"/>
      <c r="I204" s="73">
        <f t="shared" si="206"/>
        <v>0</v>
      </c>
      <c r="J204" s="78"/>
      <c r="K204" s="73"/>
      <c r="L204" s="74" t="e">
        <f>_xlfn.IFNA(VLOOKUP(C204,'חד גזעי'!$U$3:$V$509,2,0),VLOOKUP(C204,'חד גזעי'!$U$3:$V$509,2))</f>
        <v>#N/A</v>
      </c>
      <c r="M204" s="73"/>
      <c r="N204" s="72" t="e">
        <f>_xlfn.IFNA(IF(VLOOKUP(C204,'חד גזעי'!$AH$2:$AH$7,1,FALSE)&gt;0,0,IF('חד גזעי'!$AM$5="כן",IF(_xlfn.IFNA(VLOOKUP(C204,'חד גזעי'!$AH$2:$AH$33,1,FALSE),SUM(J204:M204))&lt;21,_xlfn.IFNA(VLOOKUP(C204,'חד גזעי'!$AH$2:$AH$33,1,FALSE),SUM(J204:M204)),0),SUM(J204:M204))),IF('חד גזעי'!$AM$5="כן",IF(_xlfn.IFNA(VLOOKUP(C204,'חד גזעי'!$AH$2:$AH$33,1,FALSE),SUM(J204:M204))&lt;21,_xlfn.IFNA(VLOOKUP(C204,'חד גזעי'!$AH$2:$AH$33,1,FALSE),SUM(J204:M204)),0),SUM(J204:M204)))</f>
        <v>#N/A</v>
      </c>
      <c r="O204" s="72">
        <f>IF('חד גזעי'!$AM$3 = "כן",IF(T204&gt;4,4,T204),T204)</f>
        <v>0</v>
      </c>
      <c r="P204" s="80">
        <f>IF(E204&lt;2,0,IF(Z204&gt;0,Z204,IF(N204 = 0,0,IF('חד גזעי'!$AM$2 = "לא",IF(F204&gt;19,W204,0),IF(F204&gt;9,Y204,0)))))</f>
        <v>0</v>
      </c>
      <c r="Q204" s="77"/>
      <c r="R204" s="76"/>
      <c r="S204" t="e">
        <f>VLOOKUP(C204,'חד גזעי'!$Y$4:$Y$18,1,0)</f>
        <v>#N/A</v>
      </c>
      <c r="T204" s="72">
        <f>IF('חד גזעי'!$AM$6="לא",IF(P204=0,IF(BC204="שימור",IF('חד גזעי'!$AM$4="לא",IF(BC204="לא בוגר",0,IF(BC204="לא קיים",0,IF(J204=0,0,I204*0.1))),IF(BC204="לא בוגר",0,IF(BC204="לא קיים",0,IF(AB204=1,I204*0.1,E204*0.5)))),0),IF('חד גזעי'!$AM$4="לא",IF(BC204="לא בוגר",0,IF(BC204="לא קיים",0,IF(J204=0,0,I204*0.1))),IF(BC204="לא בוגר",0,IF(BC204="לא קיים",0,IF(AB204=1,I204*0.1,E204*0.5))))),IF(P204=0,IF(BC204="שימור",IF('חד גזעי'!$AM$4="לא",IF(BC204="לא בוגר",0,IF(BC204="לא קיים",0,IF(J204=0,0,I204*0.15))),IF(BC204="לא בוגר",0,IF(BC204="לא קיים",0,IF(AB204=1,I204*0.15,E204*0.5)))),0),IF('חד גזעי'!$AM$4="לא",IF(BC204="לא בוגר",0,IF(BC204="לא קיים",0,IF(J204=0,0,I204*0.15))),IF(BC204="לא בוגר",0,IF(BC204="לא קיים",0,IF(AB204=1,I204*0.15,E204*0.5))))))</f>
        <v>0</v>
      </c>
      <c r="V204" t="e">
        <f t="shared" ref="V204:V267" si="227">_xlfn.IFNA(AK204,AF204)</f>
        <v>#N/A</v>
      </c>
      <c r="W204" t="e">
        <f t="shared" ref="W204:W267" si="228">IF(D204=0,V204,D204*V204)</f>
        <v>#N/A</v>
      </c>
      <c r="X204" t="e">
        <f t="shared" ref="X204:X267" si="229">IF(N204 = 0,0,Y204)</f>
        <v>#N/A</v>
      </c>
      <c r="Y204">
        <f>IF('חד גזעי'!$AM$2 = "לא",0,IF(F204&gt;9,W204,0))</f>
        <v>0</v>
      </c>
      <c r="Z204">
        <f>IF('חד גזעי'!$AM$7 = "לא",0,IF(C204 = "זית אירופי",IF('חד גזעי'!$AN$7 &lt;=סקר!F204,W204,0),IF(C204 = "חרוב מצוי",IF('חד גזעי'!$AN$7 &lt;=סקר!F204,W204,0),0)))</f>
        <v>0</v>
      </c>
      <c r="AB204">
        <f t="shared" si="207"/>
        <v>1</v>
      </c>
      <c r="AC204" s="72"/>
      <c r="AD204" t="e">
        <f t="shared" si="225"/>
        <v>#N/A</v>
      </c>
      <c r="AE204" s="72"/>
      <c r="AF204" s="72" t="e">
        <f t="shared" si="208"/>
        <v>#N/A</v>
      </c>
      <c r="AG204" s="72" t="e">
        <f>IF('חד גזעי'!$AM$5="לא",(VLOOKUP(C204,'חד גזעי'!$P$1:$S$589,3,FALSE)),(VLOOKUP(C204,'חד גזעי'!$P$1:$S$589,4,FALSE)))</f>
        <v>#N/A</v>
      </c>
      <c r="AH204" s="72">
        <f t="shared" si="209"/>
        <v>0</v>
      </c>
      <c r="AI204" s="72">
        <f t="shared" si="210"/>
        <v>0</v>
      </c>
      <c r="AJ204" s="72">
        <f t="shared" si="211"/>
        <v>0</v>
      </c>
      <c r="AK204" s="72" t="e">
        <f t="shared" si="212"/>
        <v>#N/A</v>
      </c>
      <c r="AL204" t="e">
        <f>VLOOKUP(C204,'חד גזעי'!$AH$8:$AI$33,2,FALSE)</f>
        <v>#N/A</v>
      </c>
      <c r="AM204" s="72" t="b">
        <f t="shared" si="213"/>
        <v>0</v>
      </c>
      <c r="AN204" s="72" t="b">
        <f t="shared" si="214"/>
        <v>0</v>
      </c>
      <c r="AO204" s="72" t="b">
        <f t="shared" si="215"/>
        <v>0</v>
      </c>
      <c r="AS204" s="72">
        <f t="shared" si="216"/>
        <v>0</v>
      </c>
      <c r="AT204" s="72">
        <f t="shared" si="217"/>
        <v>0</v>
      </c>
      <c r="AU204" s="72">
        <f t="shared" si="226"/>
        <v>0</v>
      </c>
      <c r="AV204" s="72">
        <f t="shared" si="218"/>
        <v>0</v>
      </c>
      <c r="AW204" s="72">
        <f t="shared" si="219"/>
        <v>0</v>
      </c>
      <c r="AX204" s="72">
        <f t="shared" si="220"/>
        <v>0</v>
      </c>
      <c r="AY204" s="72">
        <f t="shared" si="221"/>
        <v>0</v>
      </c>
      <c r="AZ204" s="72">
        <f t="shared" si="222"/>
        <v>0</v>
      </c>
      <c r="BA204" s="72" t="e">
        <f t="shared" si="223"/>
        <v>#N/A</v>
      </c>
      <c r="BB204" s="72" t="e">
        <f t="shared" si="224"/>
        <v>#N/A</v>
      </c>
      <c r="BC204" s="77"/>
      <c r="BE204">
        <f t="shared" si="204"/>
        <v>0</v>
      </c>
      <c r="BF204" s="196"/>
      <c r="BG204" s="196"/>
      <c r="BH204" s="196"/>
      <c r="BI204" s="196"/>
      <c r="BJ204" s="196"/>
      <c r="BK204" s="196"/>
    </row>
    <row r="205" spans="2:63" hidden="1">
      <c r="B205" s="72"/>
      <c r="C205" s="135"/>
      <c r="D205" s="78"/>
      <c r="E205" s="78"/>
      <c r="F205" s="72"/>
      <c r="G205" s="72"/>
      <c r="H205" s="72"/>
      <c r="I205" s="73">
        <f t="shared" si="206"/>
        <v>0</v>
      </c>
      <c r="J205" s="78"/>
      <c r="K205" s="73"/>
      <c r="L205" s="74" t="e">
        <f>_xlfn.IFNA(VLOOKUP(C205,'חד גזעי'!$U$3:$V$509,2,0),VLOOKUP(C205,'חד גזעי'!$U$3:$V$509,2))</f>
        <v>#N/A</v>
      </c>
      <c r="M205" s="73"/>
      <c r="N205" s="72" t="e">
        <f>_xlfn.IFNA(IF(VLOOKUP(C205,'חד גזעי'!$AH$2:$AH$7,1,FALSE)&gt;0,0,IF('חד גזעי'!$AM$5="כן",IF(_xlfn.IFNA(VLOOKUP(C205,'חד גזעי'!$AH$2:$AH$33,1,FALSE),SUM(J205:M205))&lt;21,_xlfn.IFNA(VLOOKUP(C205,'חד גזעי'!$AH$2:$AH$33,1,FALSE),SUM(J205:M205)),0),SUM(J205:M205))),IF('חד גזעי'!$AM$5="כן",IF(_xlfn.IFNA(VLOOKUP(C205,'חד גזעי'!$AH$2:$AH$33,1,FALSE),SUM(J205:M205))&lt;21,_xlfn.IFNA(VLOOKUP(C205,'חד גזעי'!$AH$2:$AH$33,1,FALSE),SUM(J205:M205)),0),SUM(J205:M205)))</f>
        <v>#N/A</v>
      </c>
      <c r="O205" s="72">
        <f>IF('חד גזעי'!$AM$3 = "כן",IF(T205&gt;4,4,T205),T205)</f>
        <v>0</v>
      </c>
      <c r="P205" s="80">
        <f>IF(E205&lt;2,0,IF(Z205&gt;0,Z205,IF(N205 = 0,0,IF('חד גזעי'!$AM$2 = "לא",IF(F205&gt;19,W205,0),IF(F205&gt;9,Y205,0)))))</f>
        <v>0</v>
      </c>
      <c r="Q205" s="77"/>
      <c r="R205" s="76"/>
      <c r="S205" t="e">
        <f>VLOOKUP(C205,'חד גזעי'!$Y$4:$Y$18,1,0)</f>
        <v>#N/A</v>
      </c>
      <c r="T205" s="72">
        <f>IF('חד גזעי'!$AM$6="לא",IF(P205=0,IF(BC205="שימור",IF('חד גזעי'!$AM$4="לא",IF(BC205="לא בוגר",0,IF(BC205="לא קיים",0,IF(J205=0,0,I205*0.1))),IF(BC205="לא בוגר",0,IF(BC205="לא קיים",0,IF(AB205=1,I205*0.1,E205*0.5)))),0),IF('חד גזעי'!$AM$4="לא",IF(BC205="לא בוגר",0,IF(BC205="לא קיים",0,IF(J205=0,0,I205*0.1))),IF(BC205="לא בוגר",0,IF(BC205="לא קיים",0,IF(AB205=1,I205*0.1,E205*0.5))))),IF(P205=0,IF(BC205="שימור",IF('חד גזעי'!$AM$4="לא",IF(BC205="לא בוגר",0,IF(BC205="לא קיים",0,IF(J205=0,0,I205*0.15))),IF(BC205="לא בוגר",0,IF(BC205="לא קיים",0,IF(AB205=1,I205*0.15,E205*0.5)))),0),IF('חד גזעי'!$AM$4="לא",IF(BC205="לא בוגר",0,IF(BC205="לא קיים",0,IF(J205=0,0,I205*0.15))),IF(BC205="לא בוגר",0,IF(BC205="לא קיים",0,IF(AB205=1,I205*0.15,E205*0.5))))))</f>
        <v>0</v>
      </c>
      <c r="V205" t="e">
        <f t="shared" si="227"/>
        <v>#N/A</v>
      </c>
      <c r="W205" t="e">
        <f t="shared" si="228"/>
        <v>#N/A</v>
      </c>
      <c r="X205" t="e">
        <f t="shared" si="229"/>
        <v>#N/A</v>
      </c>
      <c r="Y205">
        <f>IF('חד גזעי'!$AM$2 = "לא",0,IF(F205&gt;9,W205,0))</f>
        <v>0</v>
      </c>
      <c r="Z205">
        <f>IF('חד גזעי'!$AM$7 = "לא",0,IF(C205 = "זית אירופי",IF('חד גזעי'!$AN$7 &lt;=סקר!F205,W205,0),IF(C205 = "חרוב מצוי",IF('חד גזעי'!$AN$7 &lt;=סקר!F205,W205,0),0)))</f>
        <v>0</v>
      </c>
      <c r="AB205">
        <f t="shared" si="207"/>
        <v>1</v>
      </c>
      <c r="AC205" s="72"/>
      <c r="AD205" t="e">
        <f t="shared" si="225"/>
        <v>#N/A</v>
      </c>
      <c r="AE205" s="72"/>
      <c r="AF205" s="72" t="e">
        <f t="shared" si="208"/>
        <v>#N/A</v>
      </c>
      <c r="AG205" s="72" t="e">
        <f>IF('חד גזעי'!$AM$5="לא",(VLOOKUP(C205,'חד גזעי'!$P$1:$S$589,3,FALSE)),(VLOOKUP(C205,'חד גזעי'!$P$1:$S$589,4,FALSE)))</f>
        <v>#N/A</v>
      </c>
      <c r="AH205" s="72">
        <f t="shared" si="209"/>
        <v>0</v>
      </c>
      <c r="AI205" s="72">
        <f t="shared" si="210"/>
        <v>0</v>
      </c>
      <c r="AJ205" s="72">
        <f t="shared" si="211"/>
        <v>0</v>
      </c>
      <c r="AK205" s="72" t="e">
        <f t="shared" si="212"/>
        <v>#N/A</v>
      </c>
      <c r="AL205" t="e">
        <f>VLOOKUP(C205,'חד גזעי'!$AH$8:$AI$33,2,FALSE)</f>
        <v>#N/A</v>
      </c>
      <c r="AM205" s="72" t="b">
        <f t="shared" si="213"/>
        <v>0</v>
      </c>
      <c r="AN205" s="72" t="b">
        <f t="shared" si="214"/>
        <v>0</v>
      </c>
      <c r="AO205" s="72" t="b">
        <f t="shared" si="215"/>
        <v>0</v>
      </c>
      <c r="AS205" s="72">
        <f t="shared" si="216"/>
        <v>0</v>
      </c>
      <c r="AT205" s="72">
        <f t="shared" si="217"/>
        <v>0</v>
      </c>
      <c r="AU205" s="72">
        <f t="shared" si="226"/>
        <v>0</v>
      </c>
      <c r="AV205" s="72">
        <f t="shared" si="218"/>
        <v>0</v>
      </c>
      <c r="AW205" s="72">
        <f t="shared" si="219"/>
        <v>0</v>
      </c>
      <c r="AX205" s="72">
        <f t="shared" si="220"/>
        <v>0</v>
      </c>
      <c r="AY205" s="72">
        <f t="shared" si="221"/>
        <v>0</v>
      </c>
      <c r="AZ205" s="72">
        <f t="shared" si="222"/>
        <v>0</v>
      </c>
      <c r="BA205" s="72" t="e">
        <f t="shared" si="223"/>
        <v>#N/A</v>
      </c>
      <c r="BB205" s="72" t="e">
        <f t="shared" si="224"/>
        <v>#N/A</v>
      </c>
      <c r="BC205" s="77"/>
      <c r="BE205">
        <f t="shared" si="204"/>
        <v>0</v>
      </c>
      <c r="BF205" s="196"/>
      <c r="BG205" s="196"/>
      <c r="BH205" s="196"/>
      <c r="BI205" s="196"/>
      <c r="BJ205" s="196"/>
      <c r="BK205" s="196"/>
    </row>
    <row r="206" spans="2:63" hidden="1">
      <c r="B206" s="72"/>
      <c r="C206" s="135"/>
      <c r="D206" s="78"/>
      <c r="E206" s="78"/>
      <c r="F206" s="72"/>
      <c r="G206" s="72"/>
      <c r="H206" s="72"/>
      <c r="I206" s="73">
        <f t="shared" si="206"/>
        <v>0</v>
      </c>
      <c r="J206" s="78"/>
      <c r="K206" s="73"/>
      <c r="L206" s="74" t="e">
        <f>_xlfn.IFNA(VLOOKUP(C206,'חד גזעי'!$U$3:$V$509,2,0),VLOOKUP(C206,'חד גזעי'!$U$3:$V$509,2))</f>
        <v>#N/A</v>
      </c>
      <c r="M206" s="73"/>
      <c r="N206" s="72" t="e">
        <f>_xlfn.IFNA(IF(VLOOKUP(C206,'חד גזעי'!$AH$2:$AH$7,1,FALSE)&gt;0,0,IF('חד גזעי'!$AM$5="כן",IF(_xlfn.IFNA(VLOOKUP(C206,'חד גזעי'!$AH$2:$AH$33,1,FALSE),SUM(J206:M206))&lt;21,_xlfn.IFNA(VLOOKUP(C206,'חד גזעי'!$AH$2:$AH$33,1,FALSE),SUM(J206:M206)),0),SUM(J206:M206))),IF('חד גזעי'!$AM$5="כן",IF(_xlfn.IFNA(VLOOKUP(C206,'חד גזעי'!$AH$2:$AH$33,1,FALSE),SUM(J206:M206))&lt;21,_xlfn.IFNA(VLOOKUP(C206,'חד גזעי'!$AH$2:$AH$33,1,FALSE),SUM(J206:M206)),0),SUM(J206:M206)))</f>
        <v>#N/A</v>
      </c>
      <c r="O206" s="72">
        <f>IF('חד גזעי'!$AM$3 = "כן",IF(T206&gt;4,4,T206),T206)</f>
        <v>0</v>
      </c>
      <c r="P206" s="80">
        <f>IF(E206&lt;2,0,IF(Z206&gt;0,Z206,IF(N206 = 0,0,IF('חד גזעי'!$AM$2 = "לא",IF(F206&gt;19,W206,0),IF(F206&gt;9,Y206,0)))))</f>
        <v>0</v>
      </c>
      <c r="Q206" s="77"/>
      <c r="R206" s="76"/>
      <c r="S206" t="e">
        <f>VLOOKUP(C206,'חד גזעי'!$Y$4:$Y$18,1,0)</f>
        <v>#N/A</v>
      </c>
      <c r="T206" s="72">
        <f>IF('חד גזעי'!$AM$6="לא",IF(P206=0,IF(BC206="שימור",IF('חד גזעי'!$AM$4="לא",IF(BC206="לא בוגר",0,IF(BC206="לא קיים",0,IF(J206=0,0,I206*0.1))),IF(BC206="לא בוגר",0,IF(BC206="לא קיים",0,IF(AB206=1,I206*0.1,E206*0.5)))),0),IF('חד גזעי'!$AM$4="לא",IF(BC206="לא בוגר",0,IF(BC206="לא קיים",0,IF(J206=0,0,I206*0.1))),IF(BC206="לא בוגר",0,IF(BC206="לא קיים",0,IF(AB206=1,I206*0.1,E206*0.5))))),IF(P206=0,IF(BC206="שימור",IF('חד גזעי'!$AM$4="לא",IF(BC206="לא בוגר",0,IF(BC206="לא קיים",0,IF(J206=0,0,I206*0.15))),IF(BC206="לא בוגר",0,IF(BC206="לא קיים",0,IF(AB206=1,I206*0.15,E206*0.5)))),0),IF('חד גזעי'!$AM$4="לא",IF(BC206="לא בוגר",0,IF(BC206="לא קיים",0,IF(J206=0,0,I206*0.15))),IF(BC206="לא בוגר",0,IF(BC206="לא קיים",0,IF(AB206=1,I206*0.15,E206*0.5))))))</f>
        <v>0</v>
      </c>
      <c r="V206" t="e">
        <f t="shared" si="227"/>
        <v>#N/A</v>
      </c>
      <c r="W206" t="e">
        <f t="shared" si="228"/>
        <v>#N/A</v>
      </c>
      <c r="X206" t="e">
        <f t="shared" si="229"/>
        <v>#N/A</v>
      </c>
      <c r="Y206">
        <f>IF('חד גזעי'!$AM$2 = "לא",0,IF(F206&gt;9,W206,0))</f>
        <v>0</v>
      </c>
      <c r="Z206">
        <f>IF('חד גזעי'!$AM$7 = "לא",0,IF(C206 = "זית אירופי",IF('חד גזעי'!$AN$7 &lt;=סקר!F206,W206,0),IF(C206 = "חרוב מצוי",IF('חד גזעי'!$AN$7 &lt;=סקר!F206,W206,0),0)))</f>
        <v>0</v>
      </c>
      <c r="AB206">
        <f t="shared" si="207"/>
        <v>1</v>
      </c>
      <c r="AC206" s="72"/>
      <c r="AD206" t="e">
        <f t="shared" si="225"/>
        <v>#N/A</v>
      </c>
      <c r="AE206" s="72"/>
      <c r="AF206" s="72" t="e">
        <f t="shared" si="208"/>
        <v>#N/A</v>
      </c>
      <c r="AG206" s="72" t="e">
        <f>IF('חד גזעי'!$AM$5="לא",(VLOOKUP(C206,'חד גזעי'!$P$1:$S$589,3,FALSE)),(VLOOKUP(C206,'חד גזעי'!$P$1:$S$589,4,FALSE)))</f>
        <v>#N/A</v>
      </c>
      <c r="AH206" s="72">
        <f t="shared" si="209"/>
        <v>0</v>
      </c>
      <c r="AI206" s="72">
        <f t="shared" si="210"/>
        <v>0</v>
      </c>
      <c r="AJ206" s="72">
        <f t="shared" si="211"/>
        <v>0</v>
      </c>
      <c r="AK206" s="72" t="e">
        <f t="shared" si="212"/>
        <v>#N/A</v>
      </c>
      <c r="AL206" t="e">
        <f>VLOOKUP(C206,'חד גזעי'!$AH$8:$AI$33,2,FALSE)</f>
        <v>#N/A</v>
      </c>
      <c r="AM206" s="72" t="b">
        <f t="shared" si="213"/>
        <v>0</v>
      </c>
      <c r="AN206" s="72" t="b">
        <f t="shared" si="214"/>
        <v>0</v>
      </c>
      <c r="AO206" s="72" t="b">
        <f t="shared" si="215"/>
        <v>0</v>
      </c>
      <c r="AS206" s="72">
        <f t="shared" si="216"/>
        <v>0</v>
      </c>
      <c r="AT206" s="72">
        <f t="shared" si="217"/>
        <v>0</v>
      </c>
      <c r="AU206" s="72">
        <f t="shared" si="226"/>
        <v>0</v>
      </c>
      <c r="AV206" s="72">
        <f t="shared" si="218"/>
        <v>0</v>
      </c>
      <c r="AW206" s="72">
        <f t="shared" si="219"/>
        <v>0</v>
      </c>
      <c r="AX206" s="72">
        <f t="shared" si="220"/>
        <v>0</v>
      </c>
      <c r="AY206" s="72">
        <f t="shared" si="221"/>
        <v>0</v>
      </c>
      <c r="AZ206" s="72">
        <f t="shared" si="222"/>
        <v>0</v>
      </c>
      <c r="BA206" s="72" t="e">
        <f t="shared" si="223"/>
        <v>#N/A</v>
      </c>
      <c r="BB206" s="72" t="e">
        <f t="shared" si="224"/>
        <v>#N/A</v>
      </c>
      <c r="BC206" s="77"/>
      <c r="BE206">
        <f t="shared" si="204"/>
        <v>0</v>
      </c>
      <c r="BF206" s="72"/>
      <c r="BG206" s="72"/>
      <c r="BH206" s="72"/>
      <c r="BI206" s="72"/>
      <c r="BJ206" s="72"/>
      <c r="BK206" s="72"/>
    </row>
    <row r="207" spans="2:63" hidden="1">
      <c r="B207" s="72"/>
      <c r="C207" s="135"/>
      <c r="D207" s="78"/>
      <c r="E207" s="78"/>
      <c r="F207" s="72"/>
      <c r="G207" s="72"/>
      <c r="H207" s="72"/>
      <c r="I207" s="73">
        <f t="shared" si="206"/>
        <v>0</v>
      </c>
      <c r="J207" s="78"/>
      <c r="K207" s="73"/>
      <c r="L207" s="74" t="e">
        <f>_xlfn.IFNA(VLOOKUP(C207,'חד גזעי'!$U$3:$V$509,2,0),VLOOKUP(C207,'חד גזעי'!$U$3:$V$509,2))</f>
        <v>#N/A</v>
      </c>
      <c r="M207" s="73"/>
      <c r="N207" s="72" t="e">
        <f>_xlfn.IFNA(IF(VLOOKUP(C207,'חד גזעי'!$AH$2:$AH$7,1,FALSE)&gt;0,0,IF('חד גזעי'!$AM$5="כן",IF(_xlfn.IFNA(VLOOKUP(C207,'חד גזעי'!$AH$2:$AH$33,1,FALSE),SUM(J207:M207))&lt;21,_xlfn.IFNA(VLOOKUP(C207,'חד גזעי'!$AH$2:$AH$33,1,FALSE),SUM(J207:M207)),0),SUM(J207:M207))),IF('חד גזעי'!$AM$5="כן",IF(_xlfn.IFNA(VLOOKUP(C207,'חד גזעי'!$AH$2:$AH$33,1,FALSE),SUM(J207:M207))&lt;21,_xlfn.IFNA(VLOOKUP(C207,'חד גזעי'!$AH$2:$AH$33,1,FALSE),SUM(J207:M207)),0),SUM(J207:M207)))</f>
        <v>#N/A</v>
      </c>
      <c r="O207" s="72">
        <f>IF('חד גזעי'!$AM$3 = "כן",IF(T207&gt;4,4,T207),T207)</f>
        <v>0</v>
      </c>
      <c r="P207" s="80">
        <f>IF(E207&lt;2,0,IF(Z207&gt;0,Z207,IF(N207 = 0,0,IF('חד גזעי'!$AM$2 = "לא",IF(F207&gt;19,W207,0),IF(F207&gt;9,Y207,0)))))</f>
        <v>0</v>
      </c>
      <c r="Q207" s="77"/>
      <c r="R207" s="75"/>
      <c r="S207" t="e">
        <f>VLOOKUP(C207,'חד גזעי'!$Y$4:$Y$18,1,0)</f>
        <v>#N/A</v>
      </c>
      <c r="T207" s="72">
        <f>IF('חד גזעי'!$AM$6="לא",IF(P207=0,IF(BC207="שימור",IF('חד גזעי'!$AM$4="לא",IF(BC207="לא בוגר",0,IF(BC207="לא קיים",0,IF(J207=0,0,I207*0.1))),IF(BC207="לא בוגר",0,IF(BC207="לא קיים",0,IF(AB207=1,I207*0.1,E207*0.5)))),0),IF('חד גזעי'!$AM$4="לא",IF(BC207="לא בוגר",0,IF(BC207="לא קיים",0,IF(J207=0,0,I207*0.1))),IF(BC207="לא בוגר",0,IF(BC207="לא קיים",0,IF(AB207=1,I207*0.1,E207*0.5))))),IF(P207=0,IF(BC207="שימור",IF('חד גזעי'!$AM$4="לא",IF(BC207="לא בוגר",0,IF(BC207="לא קיים",0,IF(J207=0,0,I207*0.15))),IF(BC207="לא בוגר",0,IF(BC207="לא קיים",0,IF(AB207=1,I207*0.15,E207*0.5)))),0),IF('חד גזעי'!$AM$4="לא",IF(BC207="לא בוגר",0,IF(BC207="לא קיים",0,IF(J207=0,0,I207*0.15))),IF(BC207="לא בוגר",0,IF(BC207="לא קיים",0,IF(AB207=1,I207*0.15,E207*0.5))))))</f>
        <v>0</v>
      </c>
      <c r="V207" t="e">
        <f t="shared" si="227"/>
        <v>#N/A</v>
      </c>
      <c r="W207" t="e">
        <f t="shared" si="228"/>
        <v>#N/A</v>
      </c>
      <c r="X207" t="e">
        <f t="shared" si="229"/>
        <v>#N/A</v>
      </c>
      <c r="Y207">
        <f>IF('חד גזעי'!$AM$2 = "לא",0,IF(F207&gt;9,W207,0))</f>
        <v>0</v>
      </c>
      <c r="Z207">
        <f>IF('חד גזעי'!$AM$7 = "לא",0,IF(C207 = "זית אירופי",IF('חד גזעי'!$AN$7 &lt;=סקר!F207,W207,0),IF(C207 = "חרוב מצוי",IF('חד גזעי'!$AN$7 &lt;=סקר!F207,W207,0),0)))</f>
        <v>0</v>
      </c>
      <c r="AB207">
        <f t="shared" si="207"/>
        <v>1</v>
      </c>
      <c r="AC207" s="72"/>
      <c r="AD207" t="e">
        <f t="shared" si="225"/>
        <v>#N/A</v>
      </c>
      <c r="AE207" s="72"/>
      <c r="AF207" s="72" t="e">
        <f t="shared" si="208"/>
        <v>#N/A</v>
      </c>
      <c r="AG207" s="72" t="e">
        <f>IF('חד גזעי'!$AM$5="לא",(VLOOKUP(C207,'חד גזעי'!$P$1:$S$589,3,FALSE)),(VLOOKUP(C207,'חד גזעי'!$P$1:$S$589,4,FALSE)))</f>
        <v>#N/A</v>
      </c>
      <c r="AH207" s="72">
        <f t="shared" si="209"/>
        <v>0</v>
      </c>
      <c r="AI207" s="72">
        <f t="shared" si="210"/>
        <v>0</v>
      </c>
      <c r="AJ207" s="72">
        <f t="shared" si="211"/>
        <v>0</v>
      </c>
      <c r="AK207" s="72" t="e">
        <f t="shared" si="212"/>
        <v>#N/A</v>
      </c>
      <c r="AL207" t="e">
        <f>VLOOKUP(C207,'חד גזעי'!$AH$8:$AI$33,2,FALSE)</f>
        <v>#N/A</v>
      </c>
      <c r="AM207" s="72" t="b">
        <f t="shared" si="213"/>
        <v>0</v>
      </c>
      <c r="AN207" s="72" t="b">
        <f t="shared" si="214"/>
        <v>0</v>
      </c>
      <c r="AO207" s="72" t="b">
        <f t="shared" si="215"/>
        <v>0</v>
      </c>
      <c r="AS207" s="72">
        <f t="shared" si="216"/>
        <v>0</v>
      </c>
      <c r="AT207" s="72">
        <f t="shared" si="217"/>
        <v>0</v>
      </c>
      <c r="AU207" s="72">
        <f t="shared" si="226"/>
        <v>0</v>
      </c>
      <c r="AV207" s="72">
        <f t="shared" si="218"/>
        <v>0</v>
      </c>
      <c r="AW207" s="72">
        <f t="shared" si="219"/>
        <v>0</v>
      </c>
      <c r="AX207" s="72">
        <f t="shared" si="220"/>
        <v>0</v>
      </c>
      <c r="AY207" s="72">
        <f t="shared" si="221"/>
        <v>0</v>
      </c>
      <c r="AZ207" s="72">
        <f t="shared" si="222"/>
        <v>0</v>
      </c>
      <c r="BA207" s="72" t="e">
        <f t="shared" si="223"/>
        <v>#N/A</v>
      </c>
      <c r="BB207" s="72" t="e">
        <f t="shared" si="224"/>
        <v>#N/A</v>
      </c>
      <c r="BC207" s="77"/>
      <c r="BE207">
        <f t="shared" si="204"/>
        <v>0</v>
      </c>
      <c r="BF207" s="196" t="str">
        <f>BF226</f>
        <v>C:\Users\origr\Pictures\0.jpg</v>
      </c>
      <c r="BG207" s="196" t="str">
        <f t="shared" ref="BG207:BK207" si="230">BG226</f>
        <v>C:\Users\origr\Pictures\0.jpg</v>
      </c>
      <c r="BH207" s="196" t="str">
        <f t="shared" si="230"/>
        <v>C:\Users\origr\Pictures\0.jpg</v>
      </c>
      <c r="BI207" s="196" t="str">
        <f t="shared" si="230"/>
        <v>C:\Users\origr\Pictures\0.jpg</v>
      </c>
      <c r="BJ207" s="196" t="str">
        <f t="shared" si="230"/>
        <v>C:\Users\origr\Pictures\0.jpg</v>
      </c>
      <c r="BK207" s="196" t="str">
        <f t="shared" si="230"/>
        <v>C:\Users\origr\Pictures\0.jpg</v>
      </c>
    </row>
    <row r="208" spans="2:63" hidden="1">
      <c r="B208" s="72"/>
      <c r="C208" s="135"/>
      <c r="D208" s="78"/>
      <c r="E208" s="78"/>
      <c r="F208" s="72"/>
      <c r="G208" s="72"/>
      <c r="H208" s="72"/>
      <c r="I208" s="73">
        <f t="shared" si="206"/>
        <v>0</v>
      </c>
      <c r="J208" s="78"/>
      <c r="K208" s="73"/>
      <c r="L208" s="74" t="e">
        <f>_xlfn.IFNA(VLOOKUP(C208,'חד גזעי'!$U$3:$V$509,2,0),VLOOKUP(C208,'חד גזעי'!$U$3:$V$509,2))</f>
        <v>#N/A</v>
      </c>
      <c r="M208" s="73"/>
      <c r="N208" s="72" t="e">
        <f>_xlfn.IFNA(IF(VLOOKUP(C208,'חד גזעי'!$AH$2:$AH$7,1,FALSE)&gt;0,0,IF('חד גזעי'!$AM$5="כן",IF(_xlfn.IFNA(VLOOKUP(C208,'חד גזעי'!$AH$2:$AH$33,1,FALSE),SUM(J208:M208))&lt;21,_xlfn.IFNA(VLOOKUP(C208,'חד גזעי'!$AH$2:$AH$33,1,FALSE),SUM(J208:M208)),0),SUM(J208:M208))),IF('חד גזעי'!$AM$5="כן",IF(_xlfn.IFNA(VLOOKUP(C208,'חד גזעי'!$AH$2:$AH$33,1,FALSE),SUM(J208:M208))&lt;21,_xlfn.IFNA(VLOOKUP(C208,'חד גזעי'!$AH$2:$AH$33,1,FALSE),SUM(J208:M208)),0),SUM(J208:M208)))</f>
        <v>#N/A</v>
      </c>
      <c r="O208" s="72">
        <f>IF('חד גזעי'!$AM$3 = "כן",IF(T208&gt;4,4,T208),T208)</f>
        <v>0</v>
      </c>
      <c r="P208" s="80">
        <f>IF(E208&lt;2,0,IF(Z208&gt;0,Z208,IF(N208 = 0,0,IF('חד גזעי'!$AM$2 = "לא",IF(F208&gt;19,W208,0),IF(F208&gt;9,Y208,0)))))</f>
        <v>0</v>
      </c>
      <c r="Q208" s="77"/>
      <c r="R208" s="76"/>
      <c r="S208" t="e">
        <f>VLOOKUP(C208,'חד גזעי'!$Y$4:$Y$18,1,0)</f>
        <v>#N/A</v>
      </c>
      <c r="T208" s="72">
        <f>IF('חד גזעי'!$AM$6="לא",IF(P208=0,IF(BC208="שימור",IF('חד גזעי'!$AM$4="לא",IF(BC208="לא בוגר",0,IF(BC208="לא קיים",0,IF(J208=0,0,I208*0.1))),IF(BC208="לא בוגר",0,IF(BC208="לא קיים",0,IF(AB208=1,I208*0.1,E208*0.5)))),0),IF('חד גזעי'!$AM$4="לא",IF(BC208="לא בוגר",0,IF(BC208="לא קיים",0,IF(J208=0,0,I208*0.1))),IF(BC208="לא בוגר",0,IF(BC208="לא קיים",0,IF(AB208=1,I208*0.1,E208*0.5))))),IF(P208=0,IF(BC208="שימור",IF('חד גזעי'!$AM$4="לא",IF(BC208="לא בוגר",0,IF(BC208="לא קיים",0,IF(J208=0,0,I208*0.15))),IF(BC208="לא בוגר",0,IF(BC208="לא קיים",0,IF(AB208=1,I208*0.15,E208*0.5)))),0),IF('חד גזעי'!$AM$4="לא",IF(BC208="לא בוגר",0,IF(BC208="לא קיים",0,IF(J208=0,0,I208*0.15))),IF(BC208="לא בוגר",0,IF(BC208="לא קיים",0,IF(AB208=1,I208*0.15,E208*0.5))))))</f>
        <v>0</v>
      </c>
      <c r="V208" t="e">
        <f t="shared" si="227"/>
        <v>#N/A</v>
      </c>
      <c r="W208" t="e">
        <f t="shared" si="228"/>
        <v>#N/A</v>
      </c>
      <c r="X208" t="e">
        <f t="shared" si="229"/>
        <v>#N/A</v>
      </c>
      <c r="Y208">
        <f>IF('חד גזעי'!$AM$2 = "לא",0,IF(F208&gt;9,W208,0))</f>
        <v>0</v>
      </c>
      <c r="Z208">
        <f>IF('חד גזעי'!$AM$7 = "לא",0,IF(C208 = "זית אירופי",IF('חד גזעי'!$AN$7 &lt;=סקר!F208,W208,0),IF(C208 = "חרוב מצוי",IF('חד גזעי'!$AN$7 &lt;=סקר!F208,W208,0),0)))</f>
        <v>0</v>
      </c>
      <c r="AB208">
        <f t="shared" si="207"/>
        <v>1</v>
      </c>
      <c r="AC208" s="72"/>
      <c r="AD208" t="e">
        <f t="shared" si="225"/>
        <v>#N/A</v>
      </c>
      <c r="AE208" s="72"/>
      <c r="AF208" s="72" t="e">
        <f t="shared" si="208"/>
        <v>#N/A</v>
      </c>
      <c r="AG208" s="72" t="e">
        <f>IF('חד גזעי'!$AM$5="לא",(VLOOKUP(C208,'חד גזעי'!$P$1:$S$589,3,FALSE)),(VLOOKUP(C208,'חד גזעי'!$P$1:$S$589,4,FALSE)))</f>
        <v>#N/A</v>
      </c>
      <c r="AH208" s="72">
        <f t="shared" si="209"/>
        <v>0</v>
      </c>
      <c r="AI208" s="72">
        <f t="shared" si="210"/>
        <v>0</v>
      </c>
      <c r="AJ208" s="72">
        <f t="shared" si="211"/>
        <v>0</v>
      </c>
      <c r="AK208" s="72" t="e">
        <f t="shared" si="212"/>
        <v>#N/A</v>
      </c>
      <c r="AL208" t="e">
        <f>VLOOKUP(C208,'חד גזעי'!$AH$8:$AI$33,2,FALSE)</f>
        <v>#N/A</v>
      </c>
      <c r="AM208" s="72" t="b">
        <f t="shared" si="213"/>
        <v>0</v>
      </c>
      <c r="AN208" s="72" t="b">
        <f t="shared" si="214"/>
        <v>0</v>
      </c>
      <c r="AO208" s="72" t="b">
        <f t="shared" si="215"/>
        <v>0</v>
      </c>
      <c r="AS208" s="72">
        <f t="shared" si="216"/>
        <v>0</v>
      </c>
      <c r="AT208" s="72">
        <f t="shared" si="217"/>
        <v>0</v>
      </c>
      <c r="AU208" s="72">
        <f t="shared" si="226"/>
        <v>0</v>
      </c>
      <c r="AV208" s="72">
        <f t="shared" si="218"/>
        <v>0</v>
      </c>
      <c r="AW208" s="72">
        <f t="shared" si="219"/>
        <v>0</v>
      </c>
      <c r="AX208" s="72">
        <f t="shared" si="220"/>
        <v>0</v>
      </c>
      <c r="AY208" s="72">
        <f t="shared" si="221"/>
        <v>0</v>
      </c>
      <c r="AZ208" s="72">
        <f t="shared" si="222"/>
        <v>0</v>
      </c>
      <c r="BA208" s="72" t="e">
        <f t="shared" si="223"/>
        <v>#N/A</v>
      </c>
      <c r="BB208" s="72" t="e">
        <f t="shared" si="224"/>
        <v>#N/A</v>
      </c>
      <c r="BC208" s="77"/>
      <c r="BE208">
        <f t="shared" si="204"/>
        <v>0</v>
      </c>
      <c r="BF208" s="196"/>
      <c r="BG208" s="196"/>
      <c r="BH208" s="196"/>
      <c r="BI208" s="196"/>
      <c r="BJ208" s="196"/>
      <c r="BK208" s="196"/>
    </row>
    <row r="209" spans="1:63" hidden="1">
      <c r="B209" s="72"/>
      <c r="C209" s="135"/>
      <c r="D209" s="78"/>
      <c r="E209" s="78"/>
      <c r="F209" s="72"/>
      <c r="G209" s="72"/>
      <c r="H209" s="72"/>
      <c r="I209" s="73">
        <f t="shared" si="206"/>
        <v>0</v>
      </c>
      <c r="J209" s="78"/>
      <c r="K209" s="73"/>
      <c r="L209" s="74" t="e">
        <f>_xlfn.IFNA(VLOOKUP(C209,'חד גזעי'!$U$3:$V$509,2,0),VLOOKUP(C209,'חד גזעי'!$U$3:$V$509,2))</f>
        <v>#N/A</v>
      </c>
      <c r="M209" s="73"/>
      <c r="N209" s="72" t="e">
        <f>_xlfn.IFNA(IF(VLOOKUP(C209,'חד גזעי'!$AH$2:$AH$7,1,FALSE)&gt;0,0,IF('חד גזעי'!$AM$5="כן",IF(_xlfn.IFNA(VLOOKUP(C209,'חד גזעי'!$AH$2:$AH$33,1,FALSE),SUM(J209:M209))&lt;21,_xlfn.IFNA(VLOOKUP(C209,'חד גזעי'!$AH$2:$AH$33,1,FALSE),SUM(J209:M209)),0),SUM(J209:M209))),IF('חד גזעי'!$AM$5="כן",IF(_xlfn.IFNA(VLOOKUP(C209,'חד גזעי'!$AH$2:$AH$33,1,FALSE),SUM(J209:M209))&lt;21,_xlfn.IFNA(VLOOKUP(C209,'חד גזעי'!$AH$2:$AH$33,1,FALSE),SUM(J209:M209)),0),SUM(J209:M209)))</f>
        <v>#N/A</v>
      </c>
      <c r="O209" s="72">
        <f>IF('חד גזעי'!$AM$3 = "כן",IF(T209&gt;4,4,T209),T209)</f>
        <v>0</v>
      </c>
      <c r="P209" s="80">
        <f>IF(E209&lt;2,0,IF(Z209&gt;0,Z209,IF(N209 = 0,0,IF('חד גזעי'!$AM$2 = "לא",IF(F209&gt;19,W209,0),IF(F209&gt;9,Y209,0)))))</f>
        <v>0</v>
      </c>
      <c r="Q209" s="77"/>
      <c r="R209" s="76"/>
      <c r="S209" t="e">
        <f>VLOOKUP(C209,'חד גזעי'!$Y$4:$Y$18,1,0)</f>
        <v>#N/A</v>
      </c>
      <c r="T209" s="72">
        <f>IF('חד גזעי'!$AM$6="לא",IF(P209=0,IF(BC209="שימור",IF('חד גזעי'!$AM$4="לא",IF(BC209="לא בוגר",0,IF(BC209="לא קיים",0,IF(J209=0,0,I209*0.1))),IF(BC209="לא בוגר",0,IF(BC209="לא קיים",0,IF(AB209=1,I209*0.1,E209*0.5)))),0),IF('חד גזעי'!$AM$4="לא",IF(BC209="לא בוגר",0,IF(BC209="לא קיים",0,IF(J209=0,0,I209*0.1))),IF(BC209="לא בוגר",0,IF(BC209="לא קיים",0,IF(AB209=1,I209*0.1,E209*0.5))))),IF(P209=0,IF(BC209="שימור",IF('חד גזעי'!$AM$4="לא",IF(BC209="לא בוגר",0,IF(BC209="לא קיים",0,IF(J209=0,0,I209*0.15))),IF(BC209="לא בוגר",0,IF(BC209="לא קיים",0,IF(AB209=1,I209*0.15,E209*0.5)))),0),IF('חד גזעי'!$AM$4="לא",IF(BC209="לא בוגר",0,IF(BC209="לא קיים",0,IF(J209=0,0,I209*0.15))),IF(BC209="לא בוגר",0,IF(BC209="לא קיים",0,IF(AB209=1,I209*0.15,E209*0.5))))))</f>
        <v>0</v>
      </c>
      <c r="V209" t="e">
        <f t="shared" si="227"/>
        <v>#N/A</v>
      </c>
      <c r="W209" t="e">
        <f t="shared" si="228"/>
        <v>#N/A</v>
      </c>
      <c r="X209" t="e">
        <f t="shared" si="229"/>
        <v>#N/A</v>
      </c>
      <c r="Y209">
        <f>IF('חד גזעי'!$AM$2 = "לא",0,IF(F209&gt;9,W209,0))</f>
        <v>0</v>
      </c>
      <c r="Z209">
        <f>IF('חד גזעי'!$AM$7 = "לא",0,IF(C209 = "זית אירופי",IF('חד גזעי'!$AN$7 &lt;=סקר!F209,W209,0),IF(C209 = "חרוב מצוי",IF('חד גזעי'!$AN$7 &lt;=סקר!F209,W209,0),0)))</f>
        <v>0</v>
      </c>
      <c r="AB209">
        <f t="shared" si="207"/>
        <v>1</v>
      </c>
      <c r="AC209" s="72"/>
      <c r="AD209" t="e">
        <f t="shared" si="225"/>
        <v>#N/A</v>
      </c>
      <c r="AE209" s="72"/>
      <c r="AF209" s="72" t="e">
        <f t="shared" si="208"/>
        <v>#N/A</v>
      </c>
      <c r="AG209" s="72" t="e">
        <f>IF('חד גזעי'!$AM$5="לא",(VLOOKUP(C209,'חד גזעי'!$P$1:$S$589,3,FALSE)),(VLOOKUP(C209,'חד גזעי'!$P$1:$S$589,4,FALSE)))</f>
        <v>#N/A</v>
      </c>
      <c r="AH209" s="72">
        <f t="shared" si="209"/>
        <v>0</v>
      </c>
      <c r="AI209" s="72">
        <f t="shared" si="210"/>
        <v>0</v>
      </c>
      <c r="AJ209" s="72">
        <f t="shared" si="211"/>
        <v>0</v>
      </c>
      <c r="AK209" s="72" t="e">
        <f t="shared" si="212"/>
        <v>#N/A</v>
      </c>
      <c r="AL209" t="e">
        <f>VLOOKUP(C209,'חד גזעי'!$AH$8:$AI$33,2,FALSE)</f>
        <v>#N/A</v>
      </c>
      <c r="AM209" s="72" t="b">
        <f t="shared" si="213"/>
        <v>0</v>
      </c>
      <c r="AN209" s="72" t="b">
        <f t="shared" si="214"/>
        <v>0</v>
      </c>
      <c r="AO209" s="72" t="b">
        <f t="shared" si="215"/>
        <v>0</v>
      </c>
      <c r="AS209" s="72">
        <f t="shared" si="216"/>
        <v>0</v>
      </c>
      <c r="AT209" s="72">
        <f t="shared" si="217"/>
        <v>0</v>
      </c>
      <c r="AU209" s="72">
        <f t="shared" si="226"/>
        <v>0</v>
      </c>
      <c r="AV209" s="72">
        <f t="shared" si="218"/>
        <v>0</v>
      </c>
      <c r="AW209" s="72">
        <f t="shared" si="219"/>
        <v>0</v>
      </c>
      <c r="AX209" s="72">
        <f t="shared" si="220"/>
        <v>0</v>
      </c>
      <c r="AY209" s="72">
        <f t="shared" si="221"/>
        <v>0</v>
      </c>
      <c r="AZ209" s="72">
        <f t="shared" si="222"/>
        <v>0</v>
      </c>
      <c r="BA209" s="72" t="e">
        <f t="shared" si="223"/>
        <v>#N/A</v>
      </c>
      <c r="BB209" s="72" t="e">
        <f t="shared" si="224"/>
        <v>#N/A</v>
      </c>
      <c r="BC209" s="77"/>
      <c r="BE209">
        <f t="shared" si="204"/>
        <v>0</v>
      </c>
      <c r="BF209" s="196"/>
      <c r="BG209" s="196"/>
      <c r="BH209" s="196"/>
      <c r="BI209" s="196"/>
      <c r="BJ209" s="196"/>
      <c r="BK209" s="196"/>
    </row>
    <row r="210" spans="1:63" hidden="1">
      <c r="B210" s="72"/>
      <c r="C210" s="135"/>
      <c r="D210" s="78"/>
      <c r="E210" s="78"/>
      <c r="F210" s="72"/>
      <c r="G210" s="72"/>
      <c r="H210" s="72"/>
      <c r="I210" s="73">
        <f t="shared" si="206"/>
        <v>0</v>
      </c>
      <c r="J210" s="78"/>
      <c r="K210" s="73"/>
      <c r="L210" s="74" t="e">
        <f>_xlfn.IFNA(VLOOKUP(C210,'חד גזעי'!$U$3:$V$509,2,0),VLOOKUP(C210,'חד גזעי'!$U$3:$V$509,2))</f>
        <v>#N/A</v>
      </c>
      <c r="M210" s="73"/>
      <c r="N210" s="72" t="e">
        <f>_xlfn.IFNA(IF(VLOOKUP(C210,'חד גזעי'!$AH$2:$AH$7,1,FALSE)&gt;0,0,IF('חד גזעי'!$AM$5="כן",IF(_xlfn.IFNA(VLOOKUP(C210,'חד גזעי'!$AH$2:$AH$33,1,FALSE),SUM(J210:M210))&lt;21,_xlfn.IFNA(VLOOKUP(C210,'חד גזעי'!$AH$2:$AH$33,1,FALSE),SUM(J210:M210)),0),SUM(J210:M210))),IF('חד גזעי'!$AM$5="כן",IF(_xlfn.IFNA(VLOOKUP(C210,'חד גזעי'!$AH$2:$AH$33,1,FALSE),SUM(J210:M210))&lt;21,_xlfn.IFNA(VLOOKUP(C210,'חד גזעי'!$AH$2:$AH$33,1,FALSE),SUM(J210:M210)),0),SUM(J210:M210)))</f>
        <v>#N/A</v>
      </c>
      <c r="O210" s="72">
        <f>IF('חד גזעי'!$AM$3 = "כן",IF(T210&gt;4,4,T210),T210)</f>
        <v>0</v>
      </c>
      <c r="P210" s="80">
        <f>IF(E210&lt;2,0,IF(Z210&gt;0,Z210,IF(N210 = 0,0,IF('חד גזעי'!$AM$2 = "לא",IF(F210&gt;19,W210,0),IF(F210&gt;9,Y210,0)))))</f>
        <v>0</v>
      </c>
      <c r="Q210" s="77"/>
      <c r="R210" s="75"/>
      <c r="S210" t="e">
        <f>VLOOKUP(C210,'חד גזעי'!$Y$4:$Y$18,1,0)</f>
        <v>#N/A</v>
      </c>
      <c r="T210" s="72">
        <f>IF('חד גזעי'!$AM$6="לא",IF(P210=0,IF(BC210="שימור",IF('חד גזעי'!$AM$4="לא",IF(BC210="לא בוגר",0,IF(BC210="לא קיים",0,IF(J210=0,0,I210*0.1))),IF(BC210="לא בוגר",0,IF(BC210="לא קיים",0,IF(AB210=1,I210*0.1,E210*0.5)))),0),IF('חד גזעי'!$AM$4="לא",IF(BC210="לא בוגר",0,IF(BC210="לא קיים",0,IF(J210=0,0,I210*0.1))),IF(BC210="לא בוגר",0,IF(BC210="לא קיים",0,IF(AB210=1,I210*0.1,E210*0.5))))),IF(P210=0,IF(BC210="שימור",IF('חד גזעי'!$AM$4="לא",IF(BC210="לא בוגר",0,IF(BC210="לא קיים",0,IF(J210=0,0,I210*0.15))),IF(BC210="לא בוגר",0,IF(BC210="לא קיים",0,IF(AB210=1,I210*0.15,E210*0.5)))),0),IF('חד גזעי'!$AM$4="לא",IF(BC210="לא בוגר",0,IF(BC210="לא קיים",0,IF(J210=0,0,I210*0.15))),IF(BC210="לא בוגר",0,IF(BC210="לא קיים",0,IF(AB210=1,I210*0.15,E210*0.5))))))</f>
        <v>0</v>
      </c>
      <c r="V210" t="e">
        <f t="shared" si="227"/>
        <v>#N/A</v>
      </c>
      <c r="W210" t="e">
        <f t="shared" si="228"/>
        <v>#N/A</v>
      </c>
      <c r="X210" t="e">
        <f t="shared" si="229"/>
        <v>#N/A</v>
      </c>
      <c r="Y210">
        <f>IF('חד גזעי'!$AM$2 = "לא",0,IF(F210&gt;9,W210,0))</f>
        <v>0</v>
      </c>
      <c r="Z210">
        <f>IF('חד גזעי'!$AM$7 = "לא",0,IF(C210 = "זית אירופי",IF('חד גזעי'!$AN$7 &lt;=סקר!F210,W210,0),IF(C210 = "חרוב מצוי",IF('חד גזעי'!$AN$7 &lt;=סקר!F210,W210,0),0)))</f>
        <v>0</v>
      </c>
      <c r="AB210">
        <f t="shared" si="207"/>
        <v>1</v>
      </c>
      <c r="AC210" s="72"/>
      <c r="AD210" t="e">
        <f t="shared" si="225"/>
        <v>#N/A</v>
      </c>
      <c r="AE210" s="72"/>
      <c r="AF210" s="72" t="e">
        <f t="shared" si="208"/>
        <v>#N/A</v>
      </c>
      <c r="AG210" s="72" t="e">
        <f>IF('חד גזעי'!$AM$5="לא",(VLOOKUP(C210,'חד גזעי'!$P$1:$S$589,3,FALSE)),(VLOOKUP(C210,'חד גזעי'!$P$1:$S$589,4,FALSE)))</f>
        <v>#N/A</v>
      </c>
      <c r="AH210" s="72">
        <f t="shared" si="209"/>
        <v>0</v>
      </c>
      <c r="AI210" s="72">
        <f t="shared" si="210"/>
        <v>0</v>
      </c>
      <c r="AJ210" s="72">
        <f t="shared" si="211"/>
        <v>0</v>
      </c>
      <c r="AK210" s="72" t="e">
        <f t="shared" si="212"/>
        <v>#N/A</v>
      </c>
      <c r="AL210" t="e">
        <f>VLOOKUP(C210,'חד גזעי'!$AH$8:$AI$33,2,FALSE)</f>
        <v>#N/A</v>
      </c>
      <c r="AM210" s="72" t="b">
        <f t="shared" si="213"/>
        <v>0</v>
      </c>
      <c r="AN210" s="72" t="b">
        <f t="shared" si="214"/>
        <v>0</v>
      </c>
      <c r="AO210" s="72" t="b">
        <f t="shared" si="215"/>
        <v>0</v>
      </c>
      <c r="AS210" s="72">
        <f t="shared" si="216"/>
        <v>0</v>
      </c>
      <c r="AT210" s="72">
        <f t="shared" si="217"/>
        <v>0</v>
      </c>
      <c r="AU210" s="72">
        <f t="shared" si="226"/>
        <v>0</v>
      </c>
      <c r="AV210" s="72">
        <f t="shared" si="218"/>
        <v>0</v>
      </c>
      <c r="AW210" s="72">
        <f t="shared" si="219"/>
        <v>0</v>
      </c>
      <c r="AX210" s="72">
        <f t="shared" si="220"/>
        <v>0</v>
      </c>
      <c r="AY210" s="72">
        <f t="shared" si="221"/>
        <v>0</v>
      </c>
      <c r="AZ210" s="72">
        <f t="shared" si="222"/>
        <v>0</v>
      </c>
      <c r="BA210" s="72" t="e">
        <f t="shared" si="223"/>
        <v>#N/A</v>
      </c>
      <c r="BB210" s="72" t="e">
        <f t="shared" si="224"/>
        <v>#N/A</v>
      </c>
      <c r="BC210" s="77"/>
      <c r="BE210">
        <f t="shared" si="204"/>
        <v>0</v>
      </c>
      <c r="BF210" s="196"/>
      <c r="BG210" s="196"/>
      <c r="BH210" s="196"/>
      <c r="BI210" s="196"/>
      <c r="BJ210" s="196"/>
      <c r="BK210" s="196"/>
    </row>
    <row r="211" spans="1:63" hidden="1">
      <c r="B211" s="72"/>
      <c r="C211" s="135"/>
      <c r="D211" s="78"/>
      <c r="E211" s="78"/>
      <c r="F211" s="72"/>
      <c r="G211" s="72"/>
      <c r="H211" s="72"/>
      <c r="I211" s="73">
        <f t="shared" si="206"/>
        <v>0</v>
      </c>
      <c r="J211" s="78"/>
      <c r="K211" s="73"/>
      <c r="L211" s="74" t="e">
        <f>_xlfn.IFNA(VLOOKUP(C211,'חד גזעי'!$U$3:$V$509,2,0),VLOOKUP(C211,'חד גזעי'!$U$3:$V$509,2))</f>
        <v>#N/A</v>
      </c>
      <c r="M211" s="73"/>
      <c r="N211" s="72" t="e">
        <f>_xlfn.IFNA(IF(VLOOKUP(C211,'חד גזעי'!$AH$2:$AH$7,1,FALSE)&gt;0,0,IF('חד גזעי'!$AM$5="כן",IF(_xlfn.IFNA(VLOOKUP(C211,'חד גזעי'!$AH$2:$AH$33,1,FALSE),SUM(J211:M211))&lt;21,_xlfn.IFNA(VLOOKUP(C211,'חד גזעי'!$AH$2:$AH$33,1,FALSE),SUM(J211:M211)),0),SUM(J211:M211))),IF('חד גזעי'!$AM$5="כן",IF(_xlfn.IFNA(VLOOKUP(C211,'חד גזעי'!$AH$2:$AH$33,1,FALSE),SUM(J211:M211))&lt;21,_xlfn.IFNA(VLOOKUP(C211,'חד גזעי'!$AH$2:$AH$33,1,FALSE),SUM(J211:M211)),0),SUM(J211:M211)))</f>
        <v>#N/A</v>
      </c>
      <c r="O211" s="72">
        <f>IF('חד גזעי'!$AM$3 = "כן",IF(T211&gt;4,4,T211),T211)</f>
        <v>0</v>
      </c>
      <c r="P211" s="80">
        <f>IF(E211&lt;2,0,IF(Z211&gt;0,Z211,IF(N211 = 0,0,IF('חד גזעי'!$AM$2 = "לא",IF(F211&gt;19,W211,0),IF(F211&gt;9,Y211,0)))))</f>
        <v>0</v>
      </c>
      <c r="Q211" s="77"/>
      <c r="R211" s="76"/>
      <c r="S211" t="e">
        <f>VLOOKUP(C211,'חד גזעי'!$Y$4:$Y$18,1,0)</f>
        <v>#N/A</v>
      </c>
      <c r="T211" s="72">
        <f>IF('חד גזעי'!$AM$6="לא",IF(P211=0,IF(BC211="שימור",IF('חד גזעי'!$AM$4="לא",IF(BC211="לא בוגר",0,IF(BC211="לא קיים",0,IF(J211=0,0,I211*0.1))),IF(BC211="לא בוגר",0,IF(BC211="לא קיים",0,IF(AB211=1,I211*0.1,E211*0.5)))),0),IF('חד גזעי'!$AM$4="לא",IF(BC211="לא בוגר",0,IF(BC211="לא קיים",0,IF(J211=0,0,I211*0.1))),IF(BC211="לא בוגר",0,IF(BC211="לא קיים",0,IF(AB211=1,I211*0.1,E211*0.5))))),IF(P211=0,IF(BC211="שימור",IF('חד גזעי'!$AM$4="לא",IF(BC211="לא בוגר",0,IF(BC211="לא קיים",0,IF(J211=0,0,I211*0.15))),IF(BC211="לא בוגר",0,IF(BC211="לא קיים",0,IF(AB211=1,I211*0.15,E211*0.5)))),0),IF('חד גזעי'!$AM$4="לא",IF(BC211="לא בוגר",0,IF(BC211="לא קיים",0,IF(J211=0,0,I211*0.15))),IF(BC211="לא בוגר",0,IF(BC211="לא קיים",0,IF(AB211=1,I211*0.15,E211*0.5))))))</f>
        <v>0</v>
      </c>
      <c r="V211" t="e">
        <f t="shared" si="227"/>
        <v>#N/A</v>
      </c>
      <c r="W211" t="e">
        <f t="shared" si="228"/>
        <v>#N/A</v>
      </c>
      <c r="X211" t="e">
        <f t="shared" si="229"/>
        <v>#N/A</v>
      </c>
      <c r="Y211">
        <f>IF('חד גזעי'!$AM$2 = "לא",0,IF(F211&gt;9,W211,0))</f>
        <v>0</v>
      </c>
      <c r="Z211">
        <f>IF('חד גזעי'!$AM$7 = "לא",0,IF(C211 = "זית אירופי",IF('חד גזעי'!$AN$7 &lt;=סקר!F211,W211,0),IF(C211 = "חרוב מצוי",IF('חד גזעי'!$AN$7 &lt;=סקר!F211,W211,0),0)))</f>
        <v>0</v>
      </c>
      <c r="AB211">
        <f t="shared" si="207"/>
        <v>1</v>
      </c>
      <c r="AC211" s="72"/>
      <c r="AD211" t="e">
        <f t="shared" si="225"/>
        <v>#N/A</v>
      </c>
      <c r="AE211" s="72"/>
      <c r="AF211" s="72" t="e">
        <f t="shared" si="208"/>
        <v>#N/A</v>
      </c>
      <c r="AG211" s="72" t="e">
        <f>IF('חד גזעי'!$AM$5="לא",(VLOOKUP(C211,'חד גזעי'!$P$1:$S$589,3,FALSE)),(VLOOKUP(C211,'חד גזעי'!$P$1:$S$589,4,FALSE)))</f>
        <v>#N/A</v>
      </c>
      <c r="AH211" s="72">
        <f t="shared" si="209"/>
        <v>0</v>
      </c>
      <c r="AI211" s="72">
        <f t="shared" si="210"/>
        <v>0</v>
      </c>
      <c r="AJ211" s="72">
        <f t="shared" si="211"/>
        <v>0</v>
      </c>
      <c r="AK211" s="72" t="e">
        <f t="shared" si="212"/>
        <v>#N/A</v>
      </c>
      <c r="AL211" t="e">
        <f>VLOOKUP(C211,'חד גזעי'!$AH$8:$AI$33,2,FALSE)</f>
        <v>#N/A</v>
      </c>
      <c r="AM211" s="72" t="b">
        <f t="shared" si="213"/>
        <v>0</v>
      </c>
      <c r="AN211" s="72" t="b">
        <f t="shared" si="214"/>
        <v>0</v>
      </c>
      <c r="AO211" s="72" t="b">
        <f t="shared" si="215"/>
        <v>0</v>
      </c>
      <c r="AS211" s="72">
        <f t="shared" si="216"/>
        <v>0</v>
      </c>
      <c r="AT211" s="72">
        <f t="shared" si="217"/>
        <v>0</v>
      </c>
      <c r="AU211" s="72">
        <f t="shared" si="226"/>
        <v>0</v>
      </c>
      <c r="AV211" s="72">
        <f t="shared" si="218"/>
        <v>0</v>
      </c>
      <c r="AW211" s="72">
        <f t="shared" si="219"/>
        <v>0</v>
      </c>
      <c r="AX211" s="72">
        <f t="shared" si="220"/>
        <v>0</v>
      </c>
      <c r="AY211" s="72">
        <f t="shared" si="221"/>
        <v>0</v>
      </c>
      <c r="AZ211" s="72">
        <f t="shared" si="222"/>
        <v>0</v>
      </c>
      <c r="BA211" s="72" t="e">
        <f t="shared" si="223"/>
        <v>#N/A</v>
      </c>
      <c r="BB211" s="72" t="e">
        <f t="shared" si="224"/>
        <v>#N/A</v>
      </c>
      <c r="BC211" s="77"/>
      <c r="BE211">
        <f t="shared" si="204"/>
        <v>0</v>
      </c>
      <c r="BF211" s="196"/>
      <c r="BG211" s="196"/>
      <c r="BH211" s="196"/>
      <c r="BI211" s="196"/>
      <c r="BJ211" s="196"/>
      <c r="BK211" s="196"/>
    </row>
    <row r="212" spans="1:63" hidden="1">
      <c r="B212" s="72"/>
      <c r="C212" s="135"/>
      <c r="D212" s="78"/>
      <c r="E212" s="78"/>
      <c r="F212" s="72"/>
      <c r="G212" s="72"/>
      <c r="H212" s="72"/>
      <c r="I212" s="73">
        <f t="shared" si="206"/>
        <v>0</v>
      </c>
      <c r="J212" s="78"/>
      <c r="K212" s="73"/>
      <c r="L212" s="74" t="e">
        <f>_xlfn.IFNA(VLOOKUP(C212,'חד גזעי'!$U$3:$V$509,2,0),VLOOKUP(C212,'חד גזעי'!$U$3:$V$509,2))</f>
        <v>#N/A</v>
      </c>
      <c r="M212" s="102"/>
      <c r="N212" s="72" t="e">
        <f>_xlfn.IFNA(IF(VLOOKUP(C212,'חד גזעי'!$AH$2:$AH$7,1,FALSE)&gt;0,0,IF('חד גזעי'!$AM$5="כן",IF(_xlfn.IFNA(VLOOKUP(C212,'חד גזעי'!$AH$2:$AH$33,1,FALSE),SUM(J212:M212))&lt;21,_xlfn.IFNA(VLOOKUP(C212,'חד גזעי'!$AH$2:$AH$33,1,FALSE),SUM(J212:M212)),0),SUM(J212:M212))),IF('חד גזעי'!$AM$5="כן",IF(_xlfn.IFNA(VLOOKUP(C212,'חד גזעי'!$AH$2:$AH$33,1,FALSE),SUM(J212:M212))&lt;21,_xlfn.IFNA(VLOOKUP(C212,'חד גזעי'!$AH$2:$AH$33,1,FALSE),SUM(J212:M212)),0),SUM(J212:M212)))</f>
        <v>#N/A</v>
      </c>
      <c r="O212" s="72">
        <f>IF('חד גזעי'!$AM$3 = "כן",IF(T212&gt;4,4,T212),T212)</f>
        <v>0</v>
      </c>
      <c r="P212" s="80">
        <f>IF(E212&lt;2,0,IF(Z212&gt;0,Z212,IF(N212 = 0,0,IF('חד גזעי'!$AM$2 = "לא",IF(F212&gt;19,W212,0),IF(F212&gt;9,Y212,0)))))</f>
        <v>0</v>
      </c>
      <c r="Q212" s="77"/>
      <c r="R212" s="76"/>
      <c r="S212" t="e">
        <f>VLOOKUP(C212,'חד גזעי'!$Y$4:$Y$18,1,0)</f>
        <v>#N/A</v>
      </c>
      <c r="T212" s="72">
        <f>IF('חד גזעי'!$AM$6="לא",IF(P212=0,IF(BC212="שימור",IF('חד גזעי'!$AM$4="לא",IF(BC212="לא בוגר",0,IF(BC212="לא קיים",0,IF(J212=0,0,I212*0.1))),IF(BC212="לא בוגר",0,IF(BC212="לא קיים",0,IF(AB212=1,I212*0.1,E212*0.5)))),0),IF('חד גזעי'!$AM$4="לא",IF(BC212="לא בוגר",0,IF(BC212="לא קיים",0,IF(J212=0,0,I212*0.1))),IF(BC212="לא בוגר",0,IF(BC212="לא קיים",0,IF(AB212=1,I212*0.1,E212*0.5))))),IF(P212=0,IF(BC212="שימור",IF('חד גזעי'!$AM$4="לא",IF(BC212="לא בוגר",0,IF(BC212="לא קיים",0,IF(J212=0,0,I212*0.15))),IF(BC212="לא בוגר",0,IF(BC212="לא קיים",0,IF(AB212=1,I212*0.15,E212*0.5)))),0),IF('חד גזעי'!$AM$4="לא",IF(BC212="לא בוגר",0,IF(BC212="לא קיים",0,IF(J212=0,0,I212*0.15))),IF(BC212="לא בוגר",0,IF(BC212="לא קיים",0,IF(AB212=1,I212*0.15,E212*0.5))))))</f>
        <v>0</v>
      </c>
      <c r="V212" t="e">
        <f t="shared" si="227"/>
        <v>#N/A</v>
      </c>
      <c r="W212" t="e">
        <f t="shared" si="228"/>
        <v>#N/A</v>
      </c>
      <c r="X212" t="e">
        <f t="shared" si="229"/>
        <v>#N/A</v>
      </c>
      <c r="Y212">
        <f>IF('חד גזעי'!$AM$2 = "לא",0,IF(F212&gt;9,W212,0))</f>
        <v>0</v>
      </c>
      <c r="Z212">
        <f>IF('חד גזעי'!$AM$7 = "לא",0,IF(C212 = "זית אירופי",IF('חד גזעי'!$AN$7 &lt;=סקר!F212,W212,0),IF(C212 = "חרוב מצוי",IF('חד גזעי'!$AN$7 &lt;=סקר!F212,W212,0),0)))</f>
        <v>0</v>
      </c>
      <c r="AB212">
        <f t="shared" si="207"/>
        <v>1</v>
      </c>
      <c r="AC212" s="72"/>
      <c r="AD212" t="e">
        <f t="shared" si="225"/>
        <v>#N/A</v>
      </c>
      <c r="AE212" s="72"/>
      <c r="AF212" s="72" t="e">
        <f t="shared" si="208"/>
        <v>#N/A</v>
      </c>
      <c r="AG212" s="72" t="e">
        <f>IF('חד גזעי'!$AM$5="לא",(VLOOKUP(C212,'חד גזעי'!$P$1:$S$589,3,FALSE)),(VLOOKUP(C212,'חד גזעי'!$P$1:$S$589,4,FALSE)))</f>
        <v>#N/A</v>
      </c>
      <c r="AH212" s="72">
        <f t="shared" si="209"/>
        <v>0</v>
      </c>
      <c r="AI212" s="72">
        <f t="shared" si="210"/>
        <v>0</v>
      </c>
      <c r="AJ212" s="72">
        <f t="shared" si="211"/>
        <v>0</v>
      </c>
      <c r="AK212" s="72" t="e">
        <f t="shared" si="212"/>
        <v>#N/A</v>
      </c>
      <c r="AL212" t="e">
        <f>VLOOKUP(C212,'חד גזעי'!$AH$8:$AI$33,2,FALSE)</f>
        <v>#N/A</v>
      </c>
      <c r="AM212" s="72" t="b">
        <f t="shared" si="213"/>
        <v>0</v>
      </c>
      <c r="AN212" s="72" t="b">
        <f t="shared" si="214"/>
        <v>0</v>
      </c>
      <c r="AO212" s="72" t="b">
        <f t="shared" si="215"/>
        <v>0</v>
      </c>
      <c r="AS212" s="72">
        <f t="shared" si="216"/>
        <v>0</v>
      </c>
      <c r="AT212" s="72">
        <f t="shared" si="217"/>
        <v>0</v>
      </c>
      <c r="AU212" s="72">
        <f t="shared" si="226"/>
        <v>0</v>
      </c>
      <c r="AV212" s="72">
        <f t="shared" si="218"/>
        <v>0</v>
      </c>
      <c r="AW212" s="72">
        <f t="shared" si="219"/>
        <v>0</v>
      </c>
      <c r="AX212" s="72">
        <f t="shared" si="220"/>
        <v>0</v>
      </c>
      <c r="AY212" s="72">
        <f t="shared" si="221"/>
        <v>0</v>
      </c>
      <c r="AZ212" s="72">
        <f t="shared" si="222"/>
        <v>0</v>
      </c>
      <c r="BA212" s="72" t="e">
        <f t="shared" si="223"/>
        <v>#N/A</v>
      </c>
      <c r="BB212" s="72" t="e">
        <f t="shared" si="224"/>
        <v>#N/A</v>
      </c>
      <c r="BC212" s="77"/>
      <c r="BE212">
        <f t="shared" si="204"/>
        <v>0</v>
      </c>
      <c r="BF212" s="196"/>
      <c r="BG212" s="196"/>
      <c r="BH212" s="196"/>
      <c r="BI212" s="196"/>
      <c r="BJ212" s="196"/>
      <c r="BK212" s="196"/>
    </row>
    <row r="213" spans="1:63" hidden="1">
      <c r="B213" s="72"/>
      <c r="C213" s="135"/>
      <c r="D213" s="73"/>
      <c r="E213" s="73"/>
      <c r="F213" s="72"/>
      <c r="G213" s="72"/>
      <c r="H213" s="72"/>
      <c r="I213" s="73">
        <f t="shared" si="206"/>
        <v>0</v>
      </c>
      <c r="J213" s="73"/>
      <c r="K213" s="73"/>
      <c r="L213" s="74" t="e">
        <f>_xlfn.IFNA(VLOOKUP(C213,'חד גזעי'!$U$3:$V$509,2,0),VLOOKUP(C213,'חד גזעי'!$U$3:$V$509,2))</f>
        <v>#N/A</v>
      </c>
      <c r="M213" s="73"/>
      <c r="N213" s="72" t="e">
        <f>_xlfn.IFNA(IF(VLOOKUP(C213,'חד גזעי'!$AH$2:$AH$7,1,FALSE)&gt;0,0,IF('חד גזעי'!$AM$5="כן",IF(_xlfn.IFNA(VLOOKUP(C213,'חד גזעי'!$AH$2:$AH$33,1,FALSE),SUM(J213:M213))&lt;21,_xlfn.IFNA(VLOOKUP(C213,'חד גזעי'!$AH$2:$AH$33,1,FALSE),SUM(J213:M213)),0),SUM(J213:M213))),IF('חד גזעי'!$AM$5="כן",IF(_xlfn.IFNA(VLOOKUP(C213,'חד גזעי'!$AH$2:$AH$33,1,FALSE),SUM(J213:M213))&lt;21,_xlfn.IFNA(VLOOKUP(C213,'חד גזעי'!$AH$2:$AH$33,1,FALSE),SUM(J213:M213)),0),SUM(J213:M213)))</f>
        <v>#N/A</v>
      </c>
      <c r="O213" s="72">
        <f>IF('חד גזעי'!$AM$3 = "כן",IF(T213&gt;4,4,T213),T213)</f>
        <v>0</v>
      </c>
      <c r="P213" s="80">
        <f>IF(E213&lt;2,0,IF(Z213&gt;0,Z213,IF(N213 = 0,0,IF('חד גזעי'!$AM$2 = "לא",IF(F213&gt;19,W213,0),IF(F213&gt;9,Y213,0)))))</f>
        <v>0</v>
      </c>
      <c r="Q213" s="77"/>
      <c r="R213" s="76"/>
      <c r="S213" t="e">
        <f>VLOOKUP(C213,'חד גזעי'!$Y$4:$Y$18,1,0)</f>
        <v>#N/A</v>
      </c>
      <c r="T213" s="72">
        <f>IF('חד גזעי'!$AM$6="לא",IF(P213=0,IF(BC213="שימור",IF('חד גזעי'!$AM$4="לא",IF(BC213="לא בוגר",0,IF(BC213="לא קיים",0,IF(J213=0,0,I213*0.1))),IF(BC213="לא בוגר",0,IF(BC213="לא קיים",0,IF(AB213=1,I213*0.1,E213*0.5)))),0),IF('חד גזעי'!$AM$4="לא",IF(BC213="לא בוגר",0,IF(BC213="לא קיים",0,IF(J213=0,0,I213*0.1))),IF(BC213="לא בוגר",0,IF(BC213="לא קיים",0,IF(AB213=1,I213*0.1,E213*0.5))))),IF(P213=0,IF(BC213="שימור",IF('חד גזעי'!$AM$4="לא",IF(BC213="לא בוגר",0,IF(BC213="לא קיים",0,IF(J213=0,0,I213*0.15))),IF(BC213="לא בוגר",0,IF(BC213="לא קיים",0,IF(AB213=1,I213*0.15,E213*0.5)))),0),IF('חד גזעי'!$AM$4="לא",IF(BC213="לא בוגר",0,IF(BC213="לא קיים",0,IF(J213=0,0,I213*0.15))),IF(BC213="לא בוגר",0,IF(BC213="לא קיים",0,IF(AB213=1,I213*0.15,E213*0.5))))))</f>
        <v>0</v>
      </c>
      <c r="V213" t="e">
        <f t="shared" si="227"/>
        <v>#N/A</v>
      </c>
      <c r="W213" t="e">
        <f t="shared" si="228"/>
        <v>#N/A</v>
      </c>
      <c r="X213" t="e">
        <f t="shared" si="229"/>
        <v>#N/A</v>
      </c>
      <c r="Y213">
        <f>IF('חד גזעי'!$AM$2 = "לא",0,IF(F213&gt;9,W213,0))</f>
        <v>0</v>
      </c>
      <c r="Z213">
        <f>IF('חד גזעי'!$AM$7 = "לא",0,IF(C213 = "זית אירופי",IF('חד גזעי'!$AN$7 &lt;=סקר!F213,W213,0),IF(C213 = "חרוב מצוי",IF('חד גזעי'!$AN$7 &lt;=סקר!F213,W213,0),0)))</f>
        <v>0</v>
      </c>
      <c r="AB213">
        <f t="shared" si="207"/>
        <v>1</v>
      </c>
      <c r="AC213" s="72"/>
      <c r="AD213" t="e">
        <f t="shared" si="225"/>
        <v>#N/A</v>
      </c>
      <c r="AE213" s="72"/>
      <c r="AF213" s="72" t="e">
        <f t="shared" si="208"/>
        <v>#N/A</v>
      </c>
      <c r="AG213" s="72" t="e">
        <f>IF('חד גזעי'!$AM$5="לא",(VLOOKUP(C213,'חד גזעי'!$P$1:$S$589,3,FALSE)),(VLOOKUP(C213,'חד גזעי'!$P$1:$S$589,4,FALSE)))</f>
        <v>#N/A</v>
      </c>
      <c r="AH213" s="72">
        <f t="shared" si="209"/>
        <v>0</v>
      </c>
      <c r="AI213" s="72">
        <f t="shared" si="210"/>
        <v>0</v>
      </c>
      <c r="AJ213" s="72">
        <f t="shared" si="211"/>
        <v>0</v>
      </c>
      <c r="AK213" s="72" t="e">
        <f t="shared" si="212"/>
        <v>#N/A</v>
      </c>
      <c r="AL213" t="e">
        <f>VLOOKUP(C213,'חד גזעי'!$AH$8:$AI$33,2,FALSE)</f>
        <v>#N/A</v>
      </c>
      <c r="AM213" s="72" t="b">
        <f t="shared" si="213"/>
        <v>0</v>
      </c>
      <c r="AN213" s="72" t="b">
        <f t="shared" si="214"/>
        <v>0</v>
      </c>
      <c r="AO213" s="72" t="b">
        <f t="shared" si="215"/>
        <v>0</v>
      </c>
      <c r="AS213" s="72">
        <f t="shared" si="216"/>
        <v>0</v>
      </c>
      <c r="AT213" s="72">
        <f t="shared" si="217"/>
        <v>0</v>
      </c>
      <c r="AU213" s="72">
        <f t="shared" si="226"/>
        <v>0</v>
      </c>
      <c r="AV213" s="72">
        <f t="shared" si="218"/>
        <v>0</v>
      </c>
      <c r="AW213" s="72">
        <f t="shared" si="219"/>
        <v>0</v>
      </c>
      <c r="AX213" s="72">
        <f t="shared" si="220"/>
        <v>0</v>
      </c>
      <c r="AY213" s="72">
        <f t="shared" si="221"/>
        <v>0</v>
      </c>
      <c r="AZ213" s="72">
        <f t="shared" si="222"/>
        <v>0</v>
      </c>
      <c r="BA213" s="72" t="e">
        <f t="shared" si="223"/>
        <v>#N/A</v>
      </c>
      <c r="BB213" s="72" t="e">
        <f t="shared" si="224"/>
        <v>#N/A</v>
      </c>
      <c r="BC213" s="77"/>
      <c r="BE213">
        <f t="shared" si="204"/>
        <v>0</v>
      </c>
      <c r="BF213" s="196"/>
      <c r="BG213" s="196"/>
      <c r="BH213" s="196"/>
      <c r="BI213" s="196"/>
      <c r="BJ213" s="196"/>
      <c r="BK213" s="196"/>
    </row>
    <row r="214" spans="1:63" hidden="1">
      <c r="B214" s="72"/>
      <c r="C214" s="135"/>
      <c r="D214" s="73"/>
      <c r="E214" s="73"/>
      <c r="F214" s="72"/>
      <c r="G214" s="72"/>
      <c r="H214" s="72"/>
      <c r="I214" s="73">
        <f t="shared" si="206"/>
        <v>0</v>
      </c>
      <c r="J214" s="73"/>
      <c r="K214" s="73"/>
      <c r="L214" s="74" t="e">
        <f>_xlfn.IFNA(VLOOKUP(C214,'חד גזעי'!$U$3:$V$509,2,0),VLOOKUP(C214,'חד גזעי'!$U$3:$V$509,2))</f>
        <v>#N/A</v>
      </c>
      <c r="M214" s="73"/>
      <c r="N214" s="72" t="e">
        <f>_xlfn.IFNA(IF(VLOOKUP(C214,'חד גזעי'!$AH$2:$AH$7,1,FALSE)&gt;0,0,IF('חד גזעי'!$AM$5="כן",IF(_xlfn.IFNA(VLOOKUP(C214,'חד גזעי'!$AH$2:$AH$33,1,FALSE),SUM(J214:M214))&lt;21,_xlfn.IFNA(VLOOKUP(C214,'חד גזעי'!$AH$2:$AH$33,1,FALSE),SUM(J214:M214)),0),SUM(J214:M214))),IF('חד גזעי'!$AM$5="כן",IF(_xlfn.IFNA(VLOOKUP(C214,'חד גזעי'!$AH$2:$AH$33,1,FALSE),SUM(J214:M214))&lt;21,_xlfn.IFNA(VLOOKUP(C214,'חד גזעי'!$AH$2:$AH$33,1,FALSE),SUM(J214:M214)),0),SUM(J214:M214)))</f>
        <v>#N/A</v>
      </c>
      <c r="O214" s="72">
        <f>IF('חד גזעי'!$AM$3 = "כן",IF(T214&gt;4,4,T214),T214)</f>
        <v>0</v>
      </c>
      <c r="P214" s="80">
        <f>IF(E214&lt;2,0,IF(Z214&gt;0,Z214,IF(N214 = 0,0,IF('חד גזעי'!$AM$2 = "לא",IF(F214&gt;19,W214,0),IF(F214&gt;9,Y214,0)))))</f>
        <v>0</v>
      </c>
      <c r="Q214" s="77"/>
      <c r="R214" s="76"/>
      <c r="S214" t="e">
        <f>VLOOKUP(C214,'חד גזעי'!$Y$4:$Y$18,1,0)</f>
        <v>#N/A</v>
      </c>
      <c r="T214" s="72">
        <f>IF('חד גזעי'!$AM$6="לא",IF(P214=0,IF(BC214="שימור",IF('חד גזעי'!$AM$4="לא",IF(BC214="לא בוגר",0,IF(BC214="לא קיים",0,IF(J214=0,0,I214*0.1))),IF(BC214="לא בוגר",0,IF(BC214="לא קיים",0,IF(AB214=1,I214*0.1,E214*0.5)))),0),IF('חד גזעי'!$AM$4="לא",IF(BC214="לא בוגר",0,IF(BC214="לא קיים",0,IF(J214=0,0,I214*0.1))),IF(BC214="לא בוגר",0,IF(BC214="לא קיים",0,IF(AB214=1,I214*0.1,E214*0.5))))),IF(P214=0,IF(BC214="שימור",IF('חד גזעי'!$AM$4="לא",IF(BC214="לא בוגר",0,IF(BC214="לא קיים",0,IF(J214=0,0,I214*0.15))),IF(BC214="לא בוגר",0,IF(BC214="לא קיים",0,IF(AB214=1,I214*0.15,E214*0.5)))),0),IF('חד גזעי'!$AM$4="לא",IF(BC214="לא בוגר",0,IF(BC214="לא קיים",0,IF(J214=0,0,I214*0.15))),IF(BC214="לא בוגר",0,IF(BC214="לא קיים",0,IF(AB214=1,I214*0.15,E214*0.5))))))</f>
        <v>0</v>
      </c>
      <c r="V214" t="e">
        <f t="shared" si="227"/>
        <v>#N/A</v>
      </c>
      <c r="W214" t="e">
        <f t="shared" si="228"/>
        <v>#N/A</v>
      </c>
      <c r="X214" t="e">
        <f t="shared" si="229"/>
        <v>#N/A</v>
      </c>
      <c r="Y214">
        <f>IF('חד גזעי'!$AM$2 = "לא",0,IF(F214&gt;9,W214,0))</f>
        <v>0</v>
      </c>
      <c r="Z214">
        <f>IF('חד גזעי'!$AM$7 = "לא",0,IF(C214 = "זית אירופי",IF('חד גזעי'!$AN$7 &lt;=סקר!F214,W214,0),IF(C214 = "חרוב מצוי",IF('חד גזעי'!$AN$7 &lt;=סקר!F214,W214,0),0)))</f>
        <v>0</v>
      </c>
      <c r="AB214">
        <f t="shared" si="207"/>
        <v>1</v>
      </c>
      <c r="AC214" s="72"/>
      <c r="AD214" t="e">
        <f t="shared" si="225"/>
        <v>#N/A</v>
      </c>
      <c r="AE214" s="72"/>
      <c r="AF214" s="72" t="e">
        <f t="shared" si="208"/>
        <v>#N/A</v>
      </c>
      <c r="AG214" s="72" t="e">
        <f>IF('חד גזעי'!$AM$5="לא",(VLOOKUP(C214,'חד גזעי'!$P$1:$S$589,3,FALSE)),(VLOOKUP(C214,'חד גזעי'!$P$1:$S$589,4,FALSE)))</f>
        <v>#N/A</v>
      </c>
      <c r="AH214" s="72">
        <f t="shared" si="209"/>
        <v>0</v>
      </c>
      <c r="AI214" s="72">
        <f t="shared" si="210"/>
        <v>0</v>
      </c>
      <c r="AJ214" s="72">
        <f t="shared" si="211"/>
        <v>0</v>
      </c>
      <c r="AK214" s="72" t="e">
        <f t="shared" si="212"/>
        <v>#N/A</v>
      </c>
      <c r="AL214" t="e">
        <f>VLOOKUP(C214,'חד גזעי'!$AH$8:$AI$33,2,FALSE)</f>
        <v>#N/A</v>
      </c>
      <c r="AM214" s="72" t="b">
        <f t="shared" si="213"/>
        <v>0</v>
      </c>
      <c r="AN214" s="72" t="b">
        <f t="shared" si="214"/>
        <v>0</v>
      </c>
      <c r="AO214" s="72" t="b">
        <f t="shared" si="215"/>
        <v>0</v>
      </c>
      <c r="AS214" s="72">
        <f t="shared" si="216"/>
        <v>0</v>
      </c>
      <c r="AT214" s="72">
        <f t="shared" si="217"/>
        <v>0</v>
      </c>
      <c r="AU214" s="72">
        <f t="shared" si="226"/>
        <v>0</v>
      </c>
      <c r="AV214" s="72">
        <f t="shared" si="218"/>
        <v>0</v>
      </c>
      <c r="AW214" s="72">
        <f t="shared" si="219"/>
        <v>0</v>
      </c>
      <c r="AX214" s="72">
        <f t="shared" si="220"/>
        <v>0</v>
      </c>
      <c r="AY214" s="72">
        <f t="shared" si="221"/>
        <v>0</v>
      </c>
      <c r="AZ214" s="72">
        <f t="shared" si="222"/>
        <v>0</v>
      </c>
      <c r="BA214" s="72" t="e">
        <f t="shared" si="223"/>
        <v>#N/A</v>
      </c>
      <c r="BB214" s="72" t="e">
        <f t="shared" si="224"/>
        <v>#N/A</v>
      </c>
      <c r="BC214" s="77"/>
      <c r="BE214">
        <f t="shared" si="204"/>
        <v>0</v>
      </c>
      <c r="BF214" s="196"/>
      <c r="BG214" s="196"/>
      <c r="BH214" s="196"/>
      <c r="BI214" s="196"/>
      <c r="BJ214" s="196"/>
      <c r="BK214" s="196"/>
    </row>
    <row r="215" spans="1:63" hidden="1">
      <c r="B215" s="72"/>
      <c r="C215" s="135"/>
      <c r="D215" s="73"/>
      <c r="E215" s="73"/>
      <c r="F215" s="72"/>
      <c r="G215" s="72"/>
      <c r="H215" s="72"/>
      <c r="I215" s="73">
        <f t="shared" si="206"/>
        <v>0</v>
      </c>
      <c r="J215" s="73"/>
      <c r="K215" s="73"/>
      <c r="L215" s="74" t="e">
        <f>_xlfn.IFNA(VLOOKUP(C215,'חד גזעי'!$U$3:$V$509,2,0),VLOOKUP(C215,'חד גזעי'!$U$3:$V$509,2))</f>
        <v>#N/A</v>
      </c>
      <c r="M215" s="73"/>
      <c r="N215" s="72" t="e">
        <f>_xlfn.IFNA(IF(VLOOKUP(C215,'חד גזעי'!$AH$2:$AH$7,1,FALSE)&gt;0,0,IF('חד גזעי'!$AM$5="כן",IF(_xlfn.IFNA(VLOOKUP(C215,'חד גזעי'!$AH$2:$AH$33,1,FALSE),SUM(J215:M215))&lt;21,_xlfn.IFNA(VLOOKUP(C215,'חד גזעי'!$AH$2:$AH$33,1,FALSE),SUM(J215:M215)),0),SUM(J215:M215))),IF('חד גזעי'!$AM$5="כן",IF(_xlfn.IFNA(VLOOKUP(C215,'חד גזעי'!$AH$2:$AH$33,1,FALSE),SUM(J215:M215))&lt;21,_xlfn.IFNA(VLOOKUP(C215,'חד גזעי'!$AH$2:$AH$33,1,FALSE),SUM(J215:M215)),0),SUM(J215:M215)))</f>
        <v>#N/A</v>
      </c>
      <c r="O215" s="72">
        <f>IF('חד גזעי'!$AM$3 = "כן",IF(T215&gt;4,4,T215),T215)</f>
        <v>0</v>
      </c>
      <c r="P215" s="80">
        <f>IF(E215&lt;2,0,IF(Z215&gt;0,Z215,IF(N215 = 0,0,IF('חד גזעי'!$AM$2 = "לא",IF(F215&gt;19,W215,0),IF(F215&gt;9,Y215,0)))))</f>
        <v>0</v>
      </c>
      <c r="Q215" s="77"/>
      <c r="R215" s="76"/>
      <c r="S215" t="e">
        <f>VLOOKUP(C215,'חד גזעי'!$Y$4:$Y$18,1,0)</f>
        <v>#N/A</v>
      </c>
      <c r="T215" s="72">
        <f>IF('חד גזעי'!$AM$6="לא",IF(P215=0,IF(BC215="שימור",IF('חד גזעי'!$AM$4="לא",IF(BC215="לא בוגר",0,IF(BC215="לא קיים",0,IF(J215=0,0,I215*0.1))),IF(BC215="לא בוגר",0,IF(BC215="לא קיים",0,IF(AB215=1,I215*0.1,E215*0.5)))),0),IF('חד גזעי'!$AM$4="לא",IF(BC215="לא בוגר",0,IF(BC215="לא קיים",0,IF(J215=0,0,I215*0.1))),IF(BC215="לא בוגר",0,IF(BC215="לא קיים",0,IF(AB215=1,I215*0.1,E215*0.5))))),IF(P215=0,IF(BC215="שימור",IF('חד גזעי'!$AM$4="לא",IF(BC215="לא בוגר",0,IF(BC215="לא קיים",0,IF(J215=0,0,I215*0.15))),IF(BC215="לא בוגר",0,IF(BC215="לא קיים",0,IF(AB215=1,I215*0.15,E215*0.5)))),0),IF('חד גזעי'!$AM$4="לא",IF(BC215="לא בוגר",0,IF(BC215="לא קיים",0,IF(J215=0,0,I215*0.15))),IF(BC215="לא בוגר",0,IF(BC215="לא קיים",0,IF(AB215=1,I215*0.15,E215*0.5))))))</f>
        <v>0</v>
      </c>
      <c r="V215" t="e">
        <f t="shared" si="227"/>
        <v>#N/A</v>
      </c>
      <c r="W215" t="e">
        <f t="shared" si="228"/>
        <v>#N/A</v>
      </c>
      <c r="X215" t="e">
        <f t="shared" si="229"/>
        <v>#N/A</v>
      </c>
      <c r="Y215">
        <f>IF('חד גזעי'!$AM$2 = "לא",0,IF(F215&gt;9,W215,0))</f>
        <v>0</v>
      </c>
      <c r="Z215">
        <f>IF('חד גזעי'!$AM$7 = "לא",0,IF(C215 = "זית אירופי",IF('חד גזעי'!$AN$7 &lt;=סקר!F215,W215,0),IF(C215 = "חרוב מצוי",IF('חד גזעי'!$AN$7 &lt;=סקר!F215,W215,0),0)))</f>
        <v>0</v>
      </c>
      <c r="AB215">
        <f t="shared" si="207"/>
        <v>1</v>
      </c>
      <c r="AC215" s="72"/>
      <c r="AD215" t="e">
        <f t="shared" si="225"/>
        <v>#N/A</v>
      </c>
      <c r="AE215" s="72"/>
      <c r="AF215" s="72" t="e">
        <f t="shared" si="208"/>
        <v>#N/A</v>
      </c>
      <c r="AG215" s="72" t="e">
        <f>IF('חד גזעי'!$AM$5="לא",(VLOOKUP(C215,'חד גזעי'!$P$1:$S$589,3,FALSE)),(VLOOKUP(C215,'חד גזעי'!$P$1:$S$589,4,FALSE)))</f>
        <v>#N/A</v>
      </c>
      <c r="AH215" s="72">
        <f t="shared" si="209"/>
        <v>0</v>
      </c>
      <c r="AI215" s="72">
        <f t="shared" si="210"/>
        <v>0</v>
      </c>
      <c r="AJ215" s="72">
        <f t="shared" si="211"/>
        <v>0</v>
      </c>
      <c r="AK215" s="72" t="e">
        <f t="shared" si="212"/>
        <v>#N/A</v>
      </c>
      <c r="AL215" t="e">
        <f>VLOOKUP(C215,'חד גזעי'!$AH$8:$AI$33,2,FALSE)</f>
        <v>#N/A</v>
      </c>
      <c r="AM215" s="72" t="b">
        <f t="shared" si="213"/>
        <v>0</v>
      </c>
      <c r="AN215" s="72" t="b">
        <f t="shared" si="214"/>
        <v>0</v>
      </c>
      <c r="AO215" s="72" t="b">
        <f t="shared" si="215"/>
        <v>0</v>
      </c>
      <c r="AS215" s="72">
        <f t="shared" si="216"/>
        <v>0</v>
      </c>
      <c r="AT215" s="72">
        <f t="shared" si="217"/>
        <v>0</v>
      </c>
      <c r="AU215" s="72">
        <f t="shared" si="226"/>
        <v>0</v>
      </c>
      <c r="AV215" s="72">
        <f t="shared" si="218"/>
        <v>0</v>
      </c>
      <c r="AW215" s="72">
        <f t="shared" si="219"/>
        <v>0</v>
      </c>
      <c r="AX215" s="72">
        <f t="shared" si="220"/>
        <v>0</v>
      </c>
      <c r="AY215" s="72">
        <f t="shared" si="221"/>
        <v>0</v>
      </c>
      <c r="AZ215" s="72">
        <f t="shared" si="222"/>
        <v>0</v>
      </c>
      <c r="BA215" s="72" t="e">
        <f t="shared" si="223"/>
        <v>#N/A</v>
      </c>
      <c r="BB215" s="72" t="e">
        <f t="shared" si="224"/>
        <v>#N/A</v>
      </c>
      <c r="BC215" s="77"/>
      <c r="BE215">
        <f t="shared" si="204"/>
        <v>0</v>
      </c>
      <c r="BF215" s="196"/>
      <c r="BG215" s="196"/>
      <c r="BH215" s="196"/>
      <c r="BI215" s="196"/>
      <c r="BJ215" s="196"/>
      <c r="BK215" s="196"/>
    </row>
    <row r="216" spans="1:63" hidden="1">
      <c r="B216" s="72"/>
      <c r="C216" s="135"/>
      <c r="D216" s="73"/>
      <c r="E216" s="73"/>
      <c r="F216" s="72"/>
      <c r="G216" s="72"/>
      <c r="H216" s="72"/>
      <c r="I216" s="73">
        <f t="shared" si="206"/>
        <v>0</v>
      </c>
      <c r="J216" s="73"/>
      <c r="K216" s="73"/>
      <c r="L216" s="74" t="e">
        <f>_xlfn.IFNA(VLOOKUP(C216,'חד גזעי'!$U$3:$V$509,2,0),VLOOKUP(C216,'חד גזעי'!$U$3:$V$509,2))</f>
        <v>#N/A</v>
      </c>
      <c r="M216" s="73"/>
      <c r="N216" s="72" t="e">
        <f>_xlfn.IFNA(IF(VLOOKUP(C216,'חד גזעי'!$AH$2:$AH$7,1,FALSE)&gt;0,0,IF('חד גזעי'!$AM$5="כן",IF(_xlfn.IFNA(VLOOKUP(C216,'חד גזעי'!$AH$2:$AH$33,1,FALSE),SUM(J216:M216))&lt;21,_xlfn.IFNA(VLOOKUP(C216,'חד גזעי'!$AH$2:$AH$33,1,FALSE),SUM(J216:M216)),0),SUM(J216:M216))),IF('חד גזעי'!$AM$5="כן",IF(_xlfn.IFNA(VLOOKUP(C216,'חד גזעי'!$AH$2:$AH$33,1,FALSE),SUM(J216:M216))&lt;21,_xlfn.IFNA(VLOOKUP(C216,'חד גזעי'!$AH$2:$AH$33,1,FALSE),SUM(J216:M216)),0),SUM(J216:M216)))</f>
        <v>#N/A</v>
      </c>
      <c r="O216" s="72">
        <f>IF('חד גזעי'!$AM$3 = "כן",IF(T216&gt;4,4,T216),T216)</f>
        <v>0</v>
      </c>
      <c r="P216" s="80">
        <f>IF(E216&lt;2,0,IF(Z216&gt;0,Z216,IF(N216 = 0,0,IF('חד גזעי'!$AM$2 = "לא",IF(F216&gt;19,W216,0),IF(F216&gt;9,Y216,0)))))</f>
        <v>0</v>
      </c>
      <c r="Q216" s="77"/>
      <c r="R216" s="76"/>
      <c r="S216" t="e">
        <f>VLOOKUP(C216,'חד גזעי'!$Y$4:$Y$18,1,0)</f>
        <v>#N/A</v>
      </c>
      <c r="T216" s="72">
        <f>IF('חד גזעי'!$AM$6="לא",IF(P216=0,IF(BC216="שימור",IF('חד גזעי'!$AM$4="לא",IF(BC216="לא בוגר",0,IF(BC216="לא קיים",0,IF(J216=0,0,I216*0.1))),IF(BC216="לא בוגר",0,IF(BC216="לא קיים",0,IF(AB216=1,I216*0.1,E216*0.5)))),0),IF('חד גזעי'!$AM$4="לא",IF(BC216="לא בוגר",0,IF(BC216="לא קיים",0,IF(J216=0,0,I216*0.1))),IF(BC216="לא בוגר",0,IF(BC216="לא קיים",0,IF(AB216=1,I216*0.1,E216*0.5))))),IF(P216=0,IF(BC216="שימור",IF('חד גזעי'!$AM$4="לא",IF(BC216="לא בוגר",0,IF(BC216="לא קיים",0,IF(J216=0,0,I216*0.15))),IF(BC216="לא בוגר",0,IF(BC216="לא קיים",0,IF(AB216=1,I216*0.15,E216*0.5)))),0),IF('חד גזעי'!$AM$4="לא",IF(BC216="לא בוגר",0,IF(BC216="לא קיים",0,IF(J216=0,0,I216*0.15))),IF(BC216="לא בוגר",0,IF(BC216="לא קיים",0,IF(AB216=1,I216*0.15,E216*0.5))))))</f>
        <v>0</v>
      </c>
      <c r="V216" t="e">
        <f t="shared" si="227"/>
        <v>#N/A</v>
      </c>
      <c r="W216" t="e">
        <f t="shared" si="228"/>
        <v>#N/A</v>
      </c>
      <c r="X216" t="e">
        <f t="shared" si="229"/>
        <v>#N/A</v>
      </c>
      <c r="Y216">
        <f>IF('חד גזעי'!$AM$2 = "לא",0,IF(F216&gt;9,W216,0))</f>
        <v>0</v>
      </c>
      <c r="Z216">
        <f>IF('חד גזעי'!$AM$7 = "לא",0,IF(C216 = "זית אירופי",IF('חד גזעי'!$AN$7 &lt;=סקר!F216,W216,0),IF(C216 = "חרוב מצוי",IF('חד גזעי'!$AN$7 &lt;=סקר!F216,W216,0),0)))</f>
        <v>0</v>
      </c>
      <c r="AB216">
        <f t="shared" si="207"/>
        <v>1</v>
      </c>
      <c r="AC216" s="72"/>
      <c r="AD216" t="e">
        <f>IF(AK216&gt;0,AK216,AF216)</f>
        <v>#N/A</v>
      </c>
      <c r="AE216" s="72"/>
      <c r="AF216" s="72" t="e">
        <f t="shared" si="208"/>
        <v>#N/A</v>
      </c>
      <c r="AG216" s="72" t="e">
        <f>IF('חד גזעי'!$AM$5="לא",(VLOOKUP(C216,'חד גזעי'!$P$1:$S$589,3,FALSE)),(VLOOKUP(C216,'חד גזעי'!$P$1:$S$589,4,FALSE)))</f>
        <v>#N/A</v>
      </c>
      <c r="AH216" s="72">
        <f t="shared" si="209"/>
        <v>0</v>
      </c>
      <c r="AI216" s="72">
        <f t="shared" si="210"/>
        <v>0</v>
      </c>
      <c r="AJ216" s="72">
        <f t="shared" si="211"/>
        <v>0</v>
      </c>
      <c r="AK216" s="72" t="e">
        <f t="shared" si="212"/>
        <v>#N/A</v>
      </c>
      <c r="AL216" t="e">
        <f>VLOOKUP(C216,'חד גזעי'!$AH$8:$AI$33,2,FALSE)</f>
        <v>#N/A</v>
      </c>
      <c r="AM216" s="72" t="b">
        <f t="shared" si="213"/>
        <v>0</v>
      </c>
      <c r="AN216" s="72" t="b">
        <f t="shared" si="214"/>
        <v>0</v>
      </c>
      <c r="AO216" s="72" t="b">
        <f t="shared" si="215"/>
        <v>0</v>
      </c>
      <c r="AS216" s="72">
        <f t="shared" si="216"/>
        <v>0</v>
      </c>
      <c r="AT216" s="72">
        <f t="shared" si="217"/>
        <v>0</v>
      </c>
      <c r="AU216" s="72">
        <f>IF(C216&gt;0,IF(D216&lt;2,1,D216),0)</f>
        <v>0</v>
      </c>
      <c r="AV216" s="72">
        <f t="shared" si="218"/>
        <v>0</v>
      </c>
      <c r="AW216" s="72">
        <f t="shared" si="219"/>
        <v>0</v>
      </c>
      <c r="AX216" s="72">
        <f t="shared" si="220"/>
        <v>0</v>
      </c>
      <c r="AY216" s="72">
        <f t="shared" si="221"/>
        <v>0</v>
      </c>
      <c r="AZ216" s="72">
        <f t="shared" si="222"/>
        <v>0</v>
      </c>
      <c r="BA216" s="72" t="e">
        <f t="shared" si="223"/>
        <v>#N/A</v>
      </c>
      <c r="BB216" s="72" t="e">
        <f t="shared" si="224"/>
        <v>#N/A</v>
      </c>
      <c r="BC216" s="77"/>
      <c r="BE216">
        <f t="shared" si="204"/>
        <v>0</v>
      </c>
      <c r="BF216" s="196"/>
      <c r="BG216" s="196"/>
      <c r="BH216" s="196"/>
      <c r="BI216" s="196"/>
      <c r="BJ216" s="196"/>
      <c r="BK216" s="196"/>
    </row>
    <row r="217" spans="1:63" hidden="1">
      <c r="B217" s="72"/>
      <c r="C217" s="135"/>
      <c r="D217" s="73"/>
      <c r="E217" s="73"/>
      <c r="F217" s="72"/>
      <c r="G217" s="72"/>
      <c r="H217" s="72"/>
      <c r="I217" s="73">
        <f t="shared" si="206"/>
        <v>0</v>
      </c>
      <c r="J217" s="73"/>
      <c r="K217" s="73"/>
      <c r="L217" s="74" t="e">
        <f>_xlfn.IFNA(VLOOKUP(C217,'חד גזעי'!$U$3:$V$509,2,0),VLOOKUP(C217,'חד גזעי'!$U$3:$V$509,2))</f>
        <v>#N/A</v>
      </c>
      <c r="M217" s="73"/>
      <c r="N217" s="72" t="e">
        <f>_xlfn.IFNA(IF(VLOOKUP(C217,'חד גזעי'!$AH$2:$AH$7,1,FALSE)&gt;0,0,IF('חד גזעי'!$AM$5="כן",IF(_xlfn.IFNA(VLOOKUP(C217,'חד גזעי'!$AH$2:$AH$33,1,FALSE),SUM(J217:M217))&lt;21,_xlfn.IFNA(VLOOKUP(C217,'חד גזעי'!$AH$2:$AH$33,1,FALSE),SUM(J217:M217)),0),SUM(J217:M217))),IF('חד גזעי'!$AM$5="כן",IF(_xlfn.IFNA(VLOOKUP(C217,'חד גזעי'!$AH$2:$AH$33,1,FALSE),SUM(J217:M217))&lt;21,_xlfn.IFNA(VLOOKUP(C217,'חד גזעי'!$AH$2:$AH$33,1,FALSE),SUM(J217:M217)),0),SUM(J217:M217)))</f>
        <v>#N/A</v>
      </c>
      <c r="O217" s="72">
        <f>IF('חד גזעי'!$AM$3 = "כן",IF(T217&gt;4,4,T217),T217)</f>
        <v>0</v>
      </c>
      <c r="P217" s="80">
        <f>IF(E217&lt;2,0,IF(Z217&gt;0,Z217,IF(N217 = 0,0,IF('חד גזעי'!$AM$2 = "לא",IF(F217&gt;19,W217,0),IF(F217&gt;9,Y217,0)))))</f>
        <v>0</v>
      </c>
      <c r="Q217" s="77"/>
      <c r="R217" s="76"/>
      <c r="S217" t="e">
        <f>VLOOKUP(C217,'חד גזעי'!$Y$4:$Y$18,1,0)</f>
        <v>#N/A</v>
      </c>
      <c r="T217" s="72">
        <f>IF('חד גזעי'!$AM$6="לא",IF(P217=0,IF(BC217="שימור",IF('חד גזעי'!$AM$4="לא",IF(BC217="לא בוגר",0,IF(BC217="לא קיים",0,IF(J217=0,0,I217*0.1))),IF(BC217="לא בוגר",0,IF(BC217="לא קיים",0,IF(AB217=1,I217*0.1,E217*0.5)))),0),IF('חד גזעי'!$AM$4="לא",IF(BC217="לא בוגר",0,IF(BC217="לא קיים",0,IF(J217=0,0,I217*0.1))),IF(BC217="לא בוגר",0,IF(BC217="לא קיים",0,IF(AB217=1,I217*0.1,E217*0.5))))),IF(P217=0,IF(BC217="שימור",IF('חד גזעי'!$AM$4="לא",IF(BC217="לא בוגר",0,IF(BC217="לא קיים",0,IF(J217=0,0,I217*0.15))),IF(BC217="לא בוגר",0,IF(BC217="לא קיים",0,IF(AB217=1,I217*0.15,E217*0.5)))),0),IF('חד גזעי'!$AM$4="לא",IF(BC217="לא בוגר",0,IF(BC217="לא קיים",0,IF(J217=0,0,I217*0.15))),IF(BC217="לא בוגר",0,IF(BC217="לא קיים",0,IF(AB217=1,I217*0.15,E217*0.5))))))</f>
        <v>0</v>
      </c>
      <c r="V217" t="e">
        <f t="shared" si="227"/>
        <v>#N/A</v>
      </c>
      <c r="W217" t="e">
        <f t="shared" si="228"/>
        <v>#N/A</v>
      </c>
      <c r="X217" t="e">
        <f t="shared" si="229"/>
        <v>#N/A</v>
      </c>
      <c r="Y217">
        <f>IF('חד גזעי'!$AM$2 = "לא",0,IF(F217&gt;9,W217,0))</f>
        <v>0</v>
      </c>
      <c r="Z217">
        <f>IF('חד גזעי'!$AM$7 = "לא",0,IF(C217 = "זית אירופי",IF('חד גזעי'!$AN$7 &lt;=סקר!F217,W217,0),IF(C217 = "חרוב מצוי",IF('חד גזעי'!$AN$7 &lt;=סקר!F217,W217,0),0)))</f>
        <v>0</v>
      </c>
      <c r="AB217">
        <f t="shared" si="207"/>
        <v>1</v>
      </c>
      <c r="AC217" s="72"/>
      <c r="AD217" t="e">
        <f t="shared" si="225"/>
        <v>#N/A</v>
      </c>
      <c r="AE217" s="72"/>
      <c r="AF217" s="72" t="e">
        <f t="shared" si="208"/>
        <v>#N/A</v>
      </c>
      <c r="AG217" s="72" t="e">
        <f>IF('חד גזעי'!$AM$5="לא",(VLOOKUP(C217,'חד גזעי'!$P$1:$S$589,3,FALSE)),(VLOOKUP(C217,'חד גזעי'!$P$1:$S$589,4,FALSE)))</f>
        <v>#N/A</v>
      </c>
      <c r="AH217" s="72">
        <f t="shared" si="209"/>
        <v>0</v>
      </c>
      <c r="AI217" s="72">
        <f t="shared" si="210"/>
        <v>0</v>
      </c>
      <c r="AJ217" s="72">
        <f t="shared" si="211"/>
        <v>0</v>
      </c>
      <c r="AK217" s="72" t="e">
        <f t="shared" si="212"/>
        <v>#N/A</v>
      </c>
      <c r="AL217" t="e">
        <f>VLOOKUP(C217,'חד גזעי'!$AH$8:$AI$33,2,FALSE)</f>
        <v>#N/A</v>
      </c>
      <c r="AM217" s="72" t="b">
        <f t="shared" si="213"/>
        <v>0</v>
      </c>
      <c r="AN217" s="72" t="b">
        <f t="shared" si="214"/>
        <v>0</v>
      </c>
      <c r="AO217" s="72" t="b">
        <f t="shared" si="215"/>
        <v>0</v>
      </c>
      <c r="AS217" s="72">
        <f t="shared" si="216"/>
        <v>0</v>
      </c>
      <c r="AT217" s="72">
        <f t="shared" si="217"/>
        <v>0</v>
      </c>
      <c r="AU217" s="72">
        <f t="shared" si="226"/>
        <v>0</v>
      </c>
      <c r="AV217" s="72">
        <f t="shared" si="218"/>
        <v>0</v>
      </c>
      <c r="AW217" s="72">
        <f t="shared" si="219"/>
        <v>0</v>
      </c>
      <c r="AX217" s="72">
        <f t="shared" si="220"/>
        <v>0</v>
      </c>
      <c r="AY217" s="72">
        <f t="shared" si="221"/>
        <v>0</v>
      </c>
      <c r="AZ217" s="72">
        <f t="shared" si="222"/>
        <v>0</v>
      </c>
      <c r="BA217" s="72" t="e">
        <f t="shared" si="223"/>
        <v>#N/A</v>
      </c>
      <c r="BB217" s="72" t="e">
        <f t="shared" si="224"/>
        <v>#N/A</v>
      </c>
      <c r="BC217" s="77"/>
      <c r="BE217">
        <f t="shared" si="204"/>
        <v>0</v>
      </c>
      <c r="BF217" s="196"/>
      <c r="BG217" s="196"/>
      <c r="BH217" s="196"/>
      <c r="BI217" s="196"/>
      <c r="BJ217" s="196"/>
      <c r="BK217" s="196"/>
    </row>
    <row r="218" spans="1:63" hidden="1">
      <c r="B218" s="72"/>
      <c r="C218" s="135"/>
      <c r="D218" s="73"/>
      <c r="E218" s="73"/>
      <c r="F218" s="72"/>
      <c r="G218" s="72"/>
      <c r="H218" s="72"/>
      <c r="I218" s="73">
        <f t="shared" si="206"/>
        <v>0</v>
      </c>
      <c r="J218" s="73"/>
      <c r="K218" s="73"/>
      <c r="L218" s="74" t="e">
        <f>_xlfn.IFNA(VLOOKUP(C218,'חד גזעי'!$U$3:$V$509,2,0),VLOOKUP(C218,'חד גזעי'!$U$3:$V$509,2))</f>
        <v>#N/A</v>
      </c>
      <c r="M218" s="73"/>
      <c r="N218" s="72" t="e">
        <f>_xlfn.IFNA(IF(VLOOKUP(C218,'חד גזעי'!$AH$2:$AH$7,1,FALSE)&gt;0,0,IF('חד גזעי'!$AM$5="כן",IF(_xlfn.IFNA(VLOOKUP(C218,'חד גזעי'!$AH$2:$AH$33,1,FALSE),SUM(J218:M218))&lt;21,_xlfn.IFNA(VLOOKUP(C218,'חד גזעי'!$AH$2:$AH$33,1,FALSE),SUM(J218:M218)),0),SUM(J218:M218))),IF('חד גזעי'!$AM$5="כן",IF(_xlfn.IFNA(VLOOKUP(C218,'חד גזעי'!$AH$2:$AH$33,1,FALSE),SUM(J218:M218))&lt;21,_xlfn.IFNA(VLOOKUP(C218,'חד גזעי'!$AH$2:$AH$33,1,FALSE),SUM(J218:M218)),0),SUM(J218:M218)))</f>
        <v>#N/A</v>
      </c>
      <c r="O218" s="72">
        <f>IF('חד גזעי'!$AM$3 = "כן",IF(T218&gt;4,4,T218),T218)</f>
        <v>0</v>
      </c>
      <c r="P218" s="80">
        <f>IF(E218&lt;2,0,IF(Z218&gt;0,Z218,IF(N218 = 0,0,IF('חד גזעי'!$AM$2 = "לא",IF(F218&gt;19,W218,0),IF(F218&gt;9,Y218,0)))))</f>
        <v>0</v>
      </c>
      <c r="Q218" s="77"/>
      <c r="R218" s="76"/>
      <c r="S218" t="e">
        <f>VLOOKUP(C218,'חד גזעי'!$Y$4:$Y$18,1,0)</f>
        <v>#N/A</v>
      </c>
      <c r="T218" s="72">
        <f>IF('חד גזעי'!$AM$6="לא",IF(P218=0,IF(BC218="שימור",IF('חד גזעי'!$AM$4="לא",IF(BC218="לא בוגר",0,IF(BC218="לא קיים",0,IF(J218=0,0,I218*0.1))),IF(BC218="לא בוגר",0,IF(BC218="לא קיים",0,IF(AB218=1,I218*0.1,E218*0.5)))),0),IF('חד גזעי'!$AM$4="לא",IF(BC218="לא בוגר",0,IF(BC218="לא קיים",0,IF(J218=0,0,I218*0.1))),IF(BC218="לא בוגר",0,IF(BC218="לא קיים",0,IF(AB218=1,I218*0.1,E218*0.5))))),IF(P218=0,IF(BC218="שימור",IF('חד גזעי'!$AM$4="לא",IF(BC218="לא בוגר",0,IF(BC218="לא קיים",0,IF(J218=0,0,I218*0.15))),IF(BC218="לא בוגר",0,IF(BC218="לא קיים",0,IF(AB218=1,I218*0.15,E218*0.5)))),0),IF('חד גזעי'!$AM$4="לא",IF(BC218="לא בוגר",0,IF(BC218="לא קיים",0,IF(J218=0,0,I218*0.15))),IF(BC218="לא בוגר",0,IF(BC218="לא קיים",0,IF(AB218=1,I218*0.15,E218*0.5))))))</f>
        <v>0</v>
      </c>
      <c r="V218" t="e">
        <f t="shared" si="227"/>
        <v>#N/A</v>
      </c>
      <c r="W218" t="e">
        <f t="shared" si="228"/>
        <v>#N/A</v>
      </c>
      <c r="X218" t="e">
        <f t="shared" si="229"/>
        <v>#N/A</v>
      </c>
      <c r="Y218">
        <f>IF('חד גזעי'!$AM$2 = "לא",0,IF(F218&gt;9,W218,0))</f>
        <v>0</v>
      </c>
      <c r="Z218">
        <f>IF('חד גזעי'!$AM$7 = "לא",0,IF(C218 = "זית אירופי",IF('חד גזעי'!$AN$7 &lt;=סקר!F218,W218,0),IF(C218 = "חרוב מצוי",IF('חד גזעי'!$AN$7 &lt;=סקר!F218,W218,0),0)))</f>
        <v>0</v>
      </c>
      <c r="AB218">
        <f t="shared" si="207"/>
        <v>1</v>
      </c>
      <c r="AC218" s="72"/>
      <c r="AD218" t="e">
        <f t="shared" si="225"/>
        <v>#N/A</v>
      </c>
      <c r="AE218" s="72"/>
      <c r="AF218" s="72" t="e">
        <f t="shared" si="208"/>
        <v>#N/A</v>
      </c>
      <c r="AG218" s="72" t="e">
        <f>IF('חד גזעי'!$AM$5="לא",(VLOOKUP(C218,'חד גזעי'!$P$1:$S$589,3,FALSE)),(VLOOKUP(C218,'חד גזעי'!$P$1:$S$589,4,FALSE)))</f>
        <v>#N/A</v>
      </c>
      <c r="AH218" s="72">
        <f t="shared" si="209"/>
        <v>0</v>
      </c>
      <c r="AI218" s="72">
        <f t="shared" si="210"/>
        <v>0</v>
      </c>
      <c r="AJ218" s="72">
        <f t="shared" si="211"/>
        <v>0</v>
      </c>
      <c r="AK218" s="72" t="e">
        <f t="shared" si="212"/>
        <v>#N/A</v>
      </c>
      <c r="AL218" t="e">
        <f>VLOOKUP(C218,'חד גזעי'!$AH$8:$AI$33,2,FALSE)</f>
        <v>#N/A</v>
      </c>
      <c r="AM218" s="72" t="b">
        <f t="shared" si="213"/>
        <v>0</v>
      </c>
      <c r="AN218" s="72" t="b">
        <f t="shared" si="214"/>
        <v>0</v>
      </c>
      <c r="AO218" s="72" t="b">
        <f t="shared" si="215"/>
        <v>0</v>
      </c>
      <c r="AS218" s="72">
        <f t="shared" si="216"/>
        <v>0</v>
      </c>
      <c r="AT218" s="72">
        <f t="shared" si="217"/>
        <v>0</v>
      </c>
      <c r="AU218" s="72">
        <f t="shared" si="226"/>
        <v>0</v>
      </c>
      <c r="AV218" s="72">
        <f t="shared" si="218"/>
        <v>0</v>
      </c>
      <c r="AW218" s="72">
        <f t="shared" si="219"/>
        <v>0</v>
      </c>
      <c r="AX218" s="72">
        <f t="shared" si="220"/>
        <v>0</v>
      </c>
      <c r="AY218" s="72">
        <f t="shared" si="221"/>
        <v>0</v>
      </c>
      <c r="AZ218" s="72">
        <f t="shared" si="222"/>
        <v>0</v>
      </c>
      <c r="BA218" s="72" t="e">
        <f t="shared" si="223"/>
        <v>#N/A</v>
      </c>
      <c r="BB218" s="72" t="e">
        <f t="shared" si="224"/>
        <v>#N/A</v>
      </c>
      <c r="BC218" s="77"/>
      <c r="BE218">
        <f t="shared" si="204"/>
        <v>0</v>
      </c>
      <c r="BF218" s="196"/>
      <c r="BG218" s="196"/>
      <c r="BH218" s="196"/>
      <c r="BI218" s="196"/>
      <c r="BJ218" s="196"/>
      <c r="BK218" s="196"/>
    </row>
    <row r="219" spans="1:63" hidden="1">
      <c r="B219" s="72"/>
      <c r="C219" s="135"/>
      <c r="D219" s="73"/>
      <c r="E219" s="73"/>
      <c r="F219" s="72"/>
      <c r="G219" s="72"/>
      <c r="H219" s="72"/>
      <c r="I219" s="73">
        <f t="shared" si="206"/>
        <v>0</v>
      </c>
      <c r="J219" s="73"/>
      <c r="K219" s="73"/>
      <c r="L219" s="74" t="e">
        <f>_xlfn.IFNA(VLOOKUP(C219,'חד גזעי'!$U$3:$V$509,2,0),VLOOKUP(C219,'חד גזעי'!$U$3:$V$509,2))</f>
        <v>#N/A</v>
      </c>
      <c r="M219" s="73"/>
      <c r="N219" s="72" t="e">
        <f>_xlfn.IFNA(IF(VLOOKUP(C219,'חד גזעי'!$AH$2:$AH$7,1,FALSE)&gt;0,0,IF('חד גזעי'!$AM$5="כן",IF(_xlfn.IFNA(VLOOKUP(C219,'חד גזעי'!$AH$2:$AH$33,1,FALSE),SUM(J219:M219))&lt;21,_xlfn.IFNA(VLOOKUP(C219,'חד גזעי'!$AH$2:$AH$33,1,FALSE),SUM(J219:M219)),0),SUM(J219:M219))),IF('חד גזעי'!$AM$5="כן",IF(_xlfn.IFNA(VLOOKUP(C219,'חד גזעי'!$AH$2:$AH$33,1,FALSE),SUM(J219:M219))&lt;21,_xlfn.IFNA(VLOOKUP(C219,'חד גזעי'!$AH$2:$AH$33,1,FALSE),SUM(J219:M219)),0),SUM(J219:M219)))</f>
        <v>#N/A</v>
      </c>
      <c r="O219" s="72">
        <f>IF('חד גזעי'!$AM$3 = "כן",IF(T219&gt;4,4,T219),T219)</f>
        <v>0</v>
      </c>
      <c r="P219" s="80">
        <f>IF(E219&lt;2,0,IF(Z219&gt;0,Z219,IF(N219 = 0,0,IF('חד גזעי'!$AM$2 = "לא",IF(F219&gt;19,W219,0),IF(F219&gt;9,Y219,0)))))</f>
        <v>0</v>
      </c>
      <c r="Q219" s="77"/>
      <c r="R219" s="76"/>
      <c r="S219" t="e">
        <f>VLOOKUP(C219,'חד גזעי'!$Y$4:$Y$18,1,0)</f>
        <v>#N/A</v>
      </c>
      <c r="T219" s="72">
        <f>IF('חד גזעי'!$AM$6="לא",IF(P219=0,IF(BC219="שימור",IF('חד גזעי'!$AM$4="לא",IF(BC219="לא בוגר",0,IF(BC219="לא קיים",0,IF(J219=0,0,I219*0.1))),IF(BC219="לא בוגר",0,IF(BC219="לא קיים",0,IF(AB219=1,I219*0.1,E219*0.5)))),0),IF('חד גזעי'!$AM$4="לא",IF(BC219="לא בוגר",0,IF(BC219="לא קיים",0,IF(J219=0,0,I219*0.1))),IF(BC219="לא בוגר",0,IF(BC219="לא קיים",0,IF(AB219=1,I219*0.1,E219*0.5))))),IF(P219=0,IF(BC219="שימור",IF('חד גזעי'!$AM$4="לא",IF(BC219="לא בוגר",0,IF(BC219="לא קיים",0,IF(J219=0,0,I219*0.15))),IF(BC219="לא בוגר",0,IF(BC219="לא קיים",0,IF(AB219=1,I219*0.15,E219*0.5)))),0),IF('חד גזעי'!$AM$4="לא",IF(BC219="לא בוגר",0,IF(BC219="לא קיים",0,IF(J219=0,0,I219*0.15))),IF(BC219="לא בוגר",0,IF(BC219="לא קיים",0,IF(AB219=1,I219*0.15,E219*0.5))))))</f>
        <v>0</v>
      </c>
      <c r="V219" t="e">
        <f t="shared" si="227"/>
        <v>#N/A</v>
      </c>
      <c r="W219" t="e">
        <f t="shared" si="228"/>
        <v>#N/A</v>
      </c>
      <c r="X219" t="e">
        <f t="shared" si="229"/>
        <v>#N/A</v>
      </c>
      <c r="Y219">
        <f>IF('חד גזעי'!$AM$2 = "לא",0,IF(F219&gt;9,W219,0))</f>
        <v>0</v>
      </c>
      <c r="Z219">
        <f>IF('חד גזעי'!$AM$7 = "לא",0,IF(C219 = "זית אירופי",IF('חד גזעי'!$AN$7 &lt;=סקר!F219,W219,0),IF(C219 = "חרוב מצוי",IF('חד גזעי'!$AN$7 &lt;=סקר!F219,W219,0),0)))</f>
        <v>0</v>
      </c>
      <c r="AB219">
        <f t="shared" si="207"/>
        <v>1</v>
      </c>
      <c r="AC219" s="72"/>
      <c r="AD219" t="e">
        <f t="shared" si="225"/>
        <v>#N/A</v>
      </c>
      <c r="AE219" s="72"/>
      <c r="AF219" s="72" t="e">
        <f t="shared" si="208"/>
        <v>#N/A</v>
      </c>
      <c r="AG219" s="72" t="e">
        <f>IF('חד גזעי'!$AM$5="לא",(VLOOKUP(C219,'חד גזעי'!$P$1:$S$589,3,FALSE)),(VLOOKUP(C219,'חד גזעי'!$P$1:$S$589,4,FALSE)))</f>
        <v>#N/A</v>
      </c>
      <c r="AH219" s="72">
        <f t="shared" si="209"/>
        <v>0</v>
      </c>
      <c r="AI219" s="72">
        <f t="shared" si="210"/>
        <v>0</v>
      </c>
      <c r="AJ219" s="72">
        <f t="shared" si="211"/>
        <v>0</v>
      </c>
      <c r="AK219" s="72" t="e">
        <f t="shared" si="212"/>
        <v>#N/A</v>
      </c>
      <c r="AL219" t="e">
        <f>VLOOKUP(C219,'חד גזעי'!$AH$8:$AI$33,2,FALSE)</f>
        <v>#N/A</v>
      </c>
      <c r="AM219" s="72" t="b">
        <f t="shared" si="213"/>
        <v>0</v>
      </c>
      <c r="AN219" s="72" t="b">
        <f t="shared" si="214"/>
        <v>0</v>
      </c>
      <c r="AO219" s="72" t="b">
        <f t="shared" si="215"/>
        <v>0</v>
      </c>
      <c r="AS219" s="72">
        <f t="shared" si="216"/>
        <v>0</v>
      </c>
      <c r="AT219" s="72">
        <f t="shared" si="217"/>
        <v>0</v>
      </c>
      <c r="AU219" s="72">
        <f t="shared" si="226"/>
        <v>0</v>
      </c>
      <c r="AV219" s="72">
        <f t="shared" si="218"/>
        <v>0</v>
      </c>
      <c r="AW219" s="72">
        <f t="shared" si="219"/>
        <v>0</v>
      </c>
      <c r="AX219" s="72">
        <f t="shared" si="220"/>
        <v>0</v>
      </c>
      <c r="AY219" s="72">
        <f t="shared" si="221"/>
        <v>0</v>
      </c>
      <c r="AZ219" s="72">
        <f t="shared" si="222"/>
        <v>0</v>
      </c>
      <c r="BA219" s="72" t="e">
        <f t="shared" si="223"/>
        <v>#N/A</v>
      </c>
      <c r="BB219" s="72" t="e">
        <f t="shared" si="224"/>
        <v>#N/A</v>
      </c>
      <c r="BC219" s="77"/>
      <c r="BE219">
        <f t="shared" si="204"/>
        <v>0</v>
      </c>
      <c r="BF219" s="196"/>
      <c r="BG219" s="196"/>
      <c r="BH219" s="196"/>
      <c r="BI219" s="196"/>
      <c r="BJ219" s="196"/>
      <c r="BK219" s="196"/>
    </row>
    <row r="220" spans="1:63" ht="12.75" hidden="1" customHeight="1">
      <c r="B220" s="72"/>
      <c r="C220" s="135"/>
      <c r="D220" s="73"/>
      <c r="E220" s="73"/>
      <c r="F220" s="72"/>
      <c r="G220" s="72"/>
      <c r="H220" s="72"/>
      <c r="I220" s="73">
        <f t="shared" si="206"/>
        <v>0</v>
      </c>
      <c r="J220" s="73"/>
      <c r="K220" s="73"/>
      <c r="L220" s="74" t="e">
        <f>_xlfn.IFNA(VLOOKUP(C220,'חד גזעי'!$U$3:$V$509,2,0),VLOOKUP(C220,'חד גזעי'!$U$3:$V$509,2))</f>
        <v>#N/A</v>
      </c>
      <c r="M220" s="73"/>
      <c r="N220" s="72" t="e">
        <f>_xlfn.IFNA(IF(VLOOKUP(C220,'חד גזעי'!$AH$2:$AH$7,1,FALSE)&gt;0,0,IF('חד גזעי'!$AM$5="כן",IF(_xlfn.IFNA(VLOOKUP(C220,'חד גזעי'!$AH$2:$AH$33,1,FALSE),SUM(J220:M220))&lt;21,_xlfn.IFNA(VLOOKUP(C220,'חד גזעי'!$AH$2:$AH$33,1,FALSE),SUM(J220:M220)),0),SUM(J220:M220))),IF('חד גזעי'!$AM$5="כן",IF(_xlfn.IFNA(VLOOKUP(C220,'חד גזעי'!$AH$2:$AH$33,1,FALSE),SUM(J220:M220))&lt;21,_xlfn.IFNA(VLOOKUP(C220,'חד גזעי'!$AH$2:$AH$33,1,FALSE),SUM(J220:M220)),0),SUM(J220:M220)))</f>
        <v>#N/A</v>
      </c>
      <c r="O220" s="72">
        <f>IF('חד גזעי'!$AM$3 = "כן",IF(T220&gt;4,4,T220),T220)</f>
        <v>0</v>
      </c>
      <c r="P220" s="80">
        <f>IF(E220&lt;2,0,IF(Z220&gt;0,Z220,IF(N220 = 0,0,IF('חד גזעי'!$AM$2 = "לא",IF(F220&gt;19,W220,0),IF(F220&gt;9,Y220,0)))))</f>
        <v>0</v>
      </c>
      <c r="Q220" s="77"/>
      <c r="R220" s="76"/>
      <c r="S220" t="e">
        <f>VLOOKUP(C220,'חד גזעי'!$Y$4:$Y$18,1,0)</f>
        <v>#N/A</v>
      </c>
      <c r="T220" s="72">
        <f>IF('חד גזעי'!$AM$6="לא",IF(P220=0,IF(BC220="שימור",IF('חד גזעי'!$AM$4="לא",IF(BC220="לא בוגר",0,IF(BC220="לא קיים",0,IF(J220=0,0,I220*0.1))),IF(BC220="לא בוגר",0,IF(BC220="לא קיים",0,IF(AB220=1,I220*0.1,E220*0.5)))),0),IF('חד גזעי'!$AM$4="לא",IF(BC220="לא בוגר",0,IF(BC220="לא קיים",0,IF(J220=0,0,I220*0.1))),IF(BC220="לא בוגר",0,IF(BC220="לא קיים",0,IF(AB220=1,I220*0.1,E220*0.5))))),IF(P220=0,IF(BC220="שימור",IF('חד גזעי'!$AM$4="לא",IF(BC220="לא בוגר",0,IF(BC220="לא קיים",0,IF(J220=0,0,I220*0.15))),IF(BC220="לא בוגר",0,IF(BC220="לא קיים",0,IF(AB220=1,I220*0.15,E220*0.5)))),0),IF('חד גזעי'!$AM$4="לא",IF(BC220="לא בוגר",0,IF(BC220="לא קיים",0,IF(J220=0,0,I220*0.15))),IF(BC220="לא בוגר",0,IF(BC220="לא קיים",0,IF(AB220=1,I220*0.15,E220*0.5))))))</f>
        <v>0</v>
      </c>
      <c r="V220" t="e">
        <f t="shared" si="227"/>
        <v>#N/A</v>
      </c>
      <c r="W220" t="e">
        <f t="shared" si="228"/>
        <v>#N/A</v>
      </c>
      <c r="X220" t="e">
        <f t="shared" si="229"/>
        <v>#N/A</v>
      </c>
      <c r="Y220">
        <f>IF('חד גזעי'!$AM$2 = "לא",0,IF(F220&gt;9,W220,0))</f>
        <v>0</v>
      </c>
      <c r="Z220">
        <f>IF('חד גזעי'!$AM$7 = "לא",0,IF(C220 = "זית אירופי",IF('חד גזעי'!$AN$7 &lt;=סקר!F220,W220,0),IF(C220 = "חרוב מצוי",IF('חד גזעי'!$AN$7 &lt;=סקר!F220,W220,0),0)))</f>
        <v>0</v>
      </c>
      <c r="AB220">
        <f t="shared" si="207"/>
        <v>1</v>
      </c>
      <c r="AC220" s="72"/>
      <c r="AD220" t="e">
        <f t="shared" si="225"/>
        <v>#N/A</v>
      </c>
      <c r="AE220" s="72"/>
      <c r="AF220" s="72" t="e">
        <f t="shared" si="208"/>
        <v>#N/A</v>
      </c>
      <c r="AG220" s="72" t="e">
        <f>IF('חד גזעי'!$AM$5="לא",(VLOOKUP(C220,'חד גזעי'!$P$1:$S$589,3,FALSE)),(VLOOKUP(C220,'חד גזעי'!$P$1:$S$589,4,FALSE)))</f>
        <v>#N/A</v>
      </c>
      <c r="AH220" s="72">
        <f t="shared" si="209"/>
        <v>0</v>
      </c>
      <c r="AI220" s="72">
        <f t="shared" si="210"/>
        <v>0</v>
      </c>
      <c r="AJ220" s="72">
        <f t="shared" si="211"/>
        <v>0</v>
      </c>
      <c r="AK220" s="72" t="e">
        <f t="shared" si="212"/>
        <v>#N/A</v>
      </c>
      <c r="AL220" t="e">
        <f>VLOOKUP(C220,'חד גזעי'!$AH$8:$AI$33,2,FALSE)</f>
        <v>#N/A</v>
      </c>
      <c r="AM220" s="72" t="b">
        <f t="shared" si="213"/>
        <v>0</v>
      </c>
      <c r="AN220" s="72" t="b">
        <f t="shared" si="214"/>
        <v>0</v>
      </c>
      <c r="AO220" s="72" t="b">
        <f t="shared" si="215"/>
        <v>0</v>
      </c>
      <c r="AS220" s="72">
        <f t="shared" si="216"/>
        <v>0</v>
      </c>
      <c r="AT220" s="72">
        <f t="shared" si="217"/>
        <v>0</v>
      </c>
      <c r="AU220" s="72">
        <f t="shared" si="226"/>
        <v>0</v>
      </c>
      <c r="AV220" s="72">
        <f t="shared" si="218"/>
        <v>0</v>
      </c>
      <c r="AW220" s="72">
        <f t="shared" si="219"/>
        <v>0</v>
      </c>
      <c r="AX220" s="72">
        <f t="shared" si="220"/>
        <v>0</v>
      </c>
      <c r="AY220" s="72">
        <f t="shared" si="221"/>
        <v>0</v>
      </c>
      <c r="AZ220" s="72">
        <f t="shared" si="222"/>
        <v>0</v>
      </c>
      <c r="BA220" s="72" t="e">
        <f t="shared" si="223"/>
        <v>#N/A</v>
      </c>
      <c r="BB220" s="72" t="e">
        <f t="shared" si="224"/>
        <v>#N/A</v>
      </c>
      <c r="BC220" s="77"/>
      <c r="BE220">
        <f t="shared" si="204"/>
        <v>0</v>
      </c>
      <c r="BF220" s="196"/>
      <c r="BG220" s="196"/>
      <c r="BH220" s="196"/>
      <c r="BI220" s="196"/>
      <c r="BJ220" s="196"/>
      <c r="BK220" s="196"/>
    </row>
    <row r="221" spans="1:63" ht="12.75" hidden="1" customHeight="1">
      <c r="B221" s="72"/>
      <c r="C221" s="135"/>
      <c r="D221" s="73"/>
      <c r="E221" s="73"/>
      <c r="F221" s="72"/>
      <c r="G221" s="72"/>
      <c r="H221" s="72"/>
      <c r="I221" s="73">
        <f t="shared" si="206"/>
        <v>0</v>
      </c>
      <c r="J221" s="73"/>
      <c r="K221" s="73"/>
      <c r="L221" s="74" t="e">
        <f>_xlfn.IFNA(VLOOKUP(C221,'חד גזעי'!$U$3:$V$509,2,0),VLOOKUP(C221,'חד גזעי'!$U$3:$V$509,2))</f>
        <v>#N/A</v>
      </c>
      <c r="M221" s="73"/>
      <c r="N221" s="72" t="e">
        <f>_xlfn.IFNA(IF(VLOOKUP(C221,'חד גזעי'!$AH$2:$AH$7,1,FALSE)&gt;0,0,IF('חד גזעי'!$AM$5="כן",IF(_xlfn.IFNA(VLOOKUP(C221,'חד גזעי'!$AH$2:$AH$33,1,FALSE),SUM(J221:M221))&lt;21,_xlfn.IFNA(VLOOKUP(C221,'חד גזעי'!$AH$2:$AH$33,1,FALSE),SUM(J221:M221)),0),SUM(J221:M221))),IF('חד גזעי'!$AM$5="כן",IF(_xlfn.IFNA(VLOOKUP(C221,'חד גזעי'!$AH$2:$AH$33,1,FALSE),SUM(J221:M221))&lt;21,_xlfn.IFNA(VLOOKUP(C221,'חד גזעי'!$AH$2:$AH$33,1,FALSE),SUM(J221:M221)),0),SUM(J221:M221)))</f>
        <v>#N/A</v>
      </c>
      <c r="O221" s="72">
        <f>IF('חד גזעי'!$AM$3 = "כן",IF(T221&gt;4,4,T221),T221)</f>
        <v>0</v>
      </c>
      <c r="P221" s="80">
        <f>IF(E221&lt;2,0,IF(Z221&gt;0,Z221,IF(N221 = 0,0,IF('חד גזעי'!$AM$2 = "לא",IF(F221&gt;19,W221,0),IF(F221&gt;9,Y221,0)))))</f>
        <v>0</v>
      </c>
      <c r="Q221" s="77"/>
      <c r="R221" s="76"/>
      <c r="S221" t="e">
        <f>VLOOKUP(C221,'חד גזעי'!$Y$4:$Y$18,1,0)</f>
        <v>#N/A</v>
      </c>
      <c r="T221" s="72">
        <f>IF('חד גזעי'!$AM$6="לא",IF(P221=0,IF(BC221="שימור",IF('חד גזעי'!$AM$4="לא",IF(BC221="לא בוגר",0,IF(BC221="לא קיים",0,IF(J221=0,0,I221*0.1))),IF(BC221="לא בוגר",0,IF(BC221="לא קיים",0,IF(AB221=1,I221*0.1,E221*0.5)))),0),IF('חד גזעי'!$AM$4="לא",IF(BC221="לא בוגר",0,IF(BC221="לא קיים",0,IF(J221=0,0,I221*0.1))),IF(BC221="לא בוגר",0,IF(BC221="לא קיים",0,IF(AB221=1,I221*0.1,E221*0.5))))),IF(P221=0,IF(BC221="שימור",IF('חד גזעי'!$AM$4="לא",IF(BC221="לא בוגר",0,IF(BC221="לא קיים",0,IF(J221=0,0,I221*0.15))),IF(BC221="לא בוגר",0,IF(BC221="לא קיים",0,IF(AB221=1,I221*0.15,E221*0.5)))),0),IF('חד גזעי'!$AM$4="לא",IF(BC221="לא בוגר",0,IF(BC221="לא קיים",0,IF(J221=0,0,I221*0.15))),IF(BC221="לא בוגר",0,IF(BC221="לא קיים",0,IF(AB221=1,I221*0.15,E221*0.5))))))</f>
        <v>0</v>
      </c>
      <c r="V221" t="e">
        <f t="shared" si="227"/>
        <v>#N/A</v>
      </c>
      <c r="W221" t="e">
        <f t="shared" si="228"/>
        <v>#N/A</v>
      </c>
      <c r="X221" t="e">
        <f t="shared" si="229"/>
        <v>#N/A</v>
      </c>
      <c r="Y221">
        <f>IF('חד גזעי'!$AM$2 = "לא",0,IF(F221&gt;9,W221,0))</f>
        <v>0</v>
      </c>
      <c r="Z221">
        <f>IF('חד גזעי'!$AM$7 = "לא",0,IF(C221 = "זית אירופי",IF('חד גזעי'!$AN$7 &lt;=סקר!F221,W221,0),IF(C221 = "חרוב מצוי",IF('חד גזעי'!$AN$7 &lt;=סקר!F221,W221,0),0)))</f>
        <v>0</v>
      </c>
      <c r="AB221">
        <f t="shared" si="207"/>
        <v>1</v>
      </c>
      <c r="AC221" s="72"/>
      <c r="AD221" t="e">
        <f t="shared" si="225"/>
        <v>#N/A</v>
      </c>
      <c r="AE221" s="72"/>
      <c r="AF221" s="72" t="e">
        <f t="shared" si="208"/>
        <v>#N/A</v>
      </c>
      <c r="AG221" s="72" t="e">
        <f>IF('חד גזעי'!$AM$5="לא",(VLOOKUP(C221,'חד גזעי'!$P$1:$S$589,3,FALSE)),(VLOOKUP(C221,'חד גזעי'!$P$1:$S$589,4,FALSE)))</f>
        <v>#N/A</v>
      </c>
      <c r="AH221" s="72">
        <f t="shared" si="209"/>
        <v>0</v>
      </c>
      <c r="AI221" s="72">
        <f t="shared" si="210"/>
        <v>0</v>
      </c>
      <c r="AJ221" s="72">
        <f t="shared" si="211"/>
        <v>0</v>
      </c>
      <c r="AK221" s="72" t="e">
        <f t="shared" si="212"/>
        <v>#N/A</v>
      </c>
      <c r="AL221" t="e">
        <f>VLOOKUP(C221,'חד גזעי'!$AH$8:$AI$33,2,FALSE)</f>
        <v>#N/A</v>
      </c>
      <c r="AM221" s="72" t="b">
        <f t="shared" si="213"/>
        <v>0</v>
      </c>
      <c r="AN221" s="72" t="b">
        <f t="shared" si="214"/>
        <v>0</v>
      </c>
      <c r="AO221" s="72" t="b">
        <f t="shared" si="215"/>
        <v>0</v>
      </c>
      <c r="AS221" s="72">
        <f t="shared" si="216"/>
        <v>0</v>
      </c>
      <c r="AT221" s="72">
        <f t="shared" si="217"/>
        <v>0</v>
      </c>
      <c r="AU221" s="72">
        <f t="shared" si="226"/>
        <v>0</v>
      </c>
      <c r="AV221" s="72">
        <f t="shared" si="218"/>
        <v>0</v>
      </c>
      <c r="AW221" s="72">
        <f t="shared" si="219"/>
        <v>0</v>
      </c>
      <c r="AX221" s="72">
        <f t="shared" si="220"/>
        <v>0</v>
      </c>
      <c r="AY221" s="72">
        <f t="shared" si="221"/>
        <v>0</v>
      </c>
      <c r="AZ221" s="72">
        <f t="shared" si="222"/>
        <v>0</v>
      </c>
      <c r="BA221" s="72" t="e">
        <f t="shared" si="223"/>
        <v>#N/A</v>
      </c>
      <c r="BB221" s="72" t="e">
        <f t="shared" si="224"/>
        <v>#N/A</v>
      </c>
      <c r="BC221" s="77"/>
      <c r="BE221">
        <f t="shared" si="204"/>
        <v>0</v>
      </c>
      <c r="BF221" s="196"/>
      <c r="BG221" s="196"/>
      <c r="BH221" s="196"/>
      <c r="BI221" s="196"/>
      <c r="BJ221" s="196"/>
      <c r="BK221" s="196"/>
    </row>
    <row r="222" spans="1:63" ht="12.75" hidden="1" customHeight="1">
      <c r="B222" s="72"/>
      <c r="C222" s="135"/>
      <c r="D222" s="73"/>
      <c r="E222" s="73"/>
      <c r="F222" s="72"/>
      <c r="G222" s="72"/>
      <c r="H222" s="72"/>
      <c r="I222" s="73">
        <f t="shared" si="206"/>
        <v>0</v>
      </c>
      <c r="J222" s="73"/>
      <c r="K222" s="73"/>
      <c r="L222" s="74" t="e">
        <f>_xlfn.IFNA(VLOOKUP(C222,'חד גזעי'!$U$3:$V$509,2,0),VLOOKUP(C222,'חד גזעי'!$U$3:$V$509,2))</f>
        <v>#N/A</v>
      </c>
      <c r="M222" s="73"/>
      <c r="N222" s="72" t="e">
        <f>_xlfn.IFNA(IF(VLOOKUP(C222,'חד גזעי'!$AH$2:$AH$7,1,FALSE)&gt;0,0,IF('חד גזעי'!$AM$5="כן",IF(_xlfn.IFNA(VLOOKUP(C222,'חד גזעי'!$AH$2:$AH$33,1,FALSE),SUM(J222:M222))&lt;21,_xlfn.IFNA(VLOOKUP(C222,'חד גזעי'!$AH$2:$AH$33,1,FALSE),SUM(J222:M222)),0),SUM(J222:M222))),IF('חד גזעי'!$AM$5="כן",IF(_xlfn.IFNA(VLOOKUP(C222,'חד גזעי'!$AH$2:$AH$33,1,FALSE),SUM(J222:M222))&lt;21,_xlfn.IFNA(VLOOKUP(C222,'חד גזעי'!$AH$2:$AH$33,1,FALSE),SUM(J222:M222)),0),SUM(J222:M222)))</f>
        <v>#N/A</v>
      </c>
      <c r="O222" s="72">
        <f>IF('חד גזעי'!$AM$3 = "כן",IF(T222&gt;4,4,T222),T222)</f>
        <v>0</v>
      </c>
      <c r="P222" s="80">
        <f>IF(E222&lt;2,0,IF(Z222&gt;0,Z222,IF(N222 = 0,0,IF('חד גזעי'!$AM$2 = "לא",IF(F222&gt;19,W222,0),IF(F222&gt;9,Y222,0)))))</f>
        <v>0</v>
      </c>
      <c r="Q222" s="77"/>
      <c r="R222" s="76"/>
      <c r="S222" t="e">
        <f>VLOOKUP(C222,'חד גזעי'!$Y$4:$Y$18,1,0)</f>
        <v>#N/A</v>
      </c>
      <c r="T222" s="72">
        <f>IF('חד גזעי'!$AM$6="לא",IF(P222=0,IF(BC222="שימור",IF('חד גזעי'!$AM$4="לא",IF(BC222="לא בוגר",0,IF(BC222="לא קיים",0,IF(J222=0,0,I222*0.1))),IF(BC222="לא בוגר",0,IF(BC222="לא קיים",0,IF(AB222=1,I222*0.1,E222*0.5)))),0),IF('חד גזעי'!$AM$4="לא",IF(BC222="לא בוגר",0,IF(BC222="לא קיים",0,IF(J222=0,0,I222*0.1))),IF(BC222="לא בוגר",0,IF(BC222="לא קיים",0,IF(AB222=1,I222*0.1,E222*0.5))))),IF(P222=0,IF(BC222="שימור",IF('חד גזעי'!$AM$4="לא",IF(BC222="לא בוגר",0,IF(BC222="לא קיים",0,IF(J222=0,0,I222*0.15))),IF(BC222="לא בוגר",0,IF(BC222="לא קיים",0,IF(AB222=1,I222*0.15,E222*0.5)))),0),IF('חד גזעי'!$AM$4="לא",IF(BC222="לא בוגר",0,IF(BC222="לא קיים",0,IF(J222=0,0,I222*0.15))),IF(BC222="לא בוגר",0,IF(BC222="לא קיים",0,IF(AB222=1,I222*0.15,E222*0.5))))))</f>
        <v>0</v>
      </c>
      <c r="V222" t="e">
        <f t="shared" si="227"/>
        <v>#N/A</v>
      </c>
      <c r="W222" t="e">
        <f t="shared" si="228"/>
        <v>#N/A</v>
      </c>
      <c r="X222" t="e">
        <f t="shared" si="229"/>
        <v>#N/A</v>
      </c>
      <c r="Y222">
        <f>IF('חד גזעי'!$AM$2 = "לא",0,IF(F222&gt;9,W222,0))</f>
        <v>0</v>
      </c>
      <c r="Z222">
        <f>IF('חד גזעי'!$AM$7 = "לא",0,IF(C222 = "זית אירופי",IF('חד גזעי'!$AN$7 &lt;=סקר!F222,W222,0),IF(C222 = "חרוב מצוי",IF('חד גזעי'!$AN$7 &lt;=סקר!F222,W222,0),0)))</f>
        <v>0</v>
      </c>
      <c r="AB222">
        <f t="shared" si="207"/>
        <v>1</v>
      </c>
      <c r="AC222" s="72"/>
      <c r="AD222" t="e">
        <f t="shared" si="225"/>
        <v>#N/A</v>
      </c>
      <c r="AE222" s="72"/>
      <c r="AF222" s="72" t="e">
        <f t="shared" si="208"/>
        <v>#N/A</v>
      </c>
      <c r="AG222" s="72" t="e">
        <f>IF('חד גזעי'!$AM$5="לא",(VLOOKUP(C222,'חד גזעי'!$P$1:$S$589,3,FALSE)),(VLOOKUP(C222,'חד גזעי'!$P$1:$S$589,4,FALSE)))</f>
        <v>#N/A</v>
      </c>
      <c r="AH222" s="72">
        <f t="shared" si="209"/>
        <v>0</v>
      </c>
      <c r="AI222" s="72">
        <f t="shared" si="210"/>
        <v>0</v>
      </c>
      <c r="AJ222" s="72">
        <f t="shared" si="211"/>
        <v>0</v>
      </c>
      <c r="AK222" s="72" t="e">
        <f t="shared" si="212"/>
        <v>#N/A</v>
      </c>
      <c r="AL222" t="e">
        <f>VLOOKUP(C222,'חד גזעי'!$AH$8:$AI$33,2,FALSE)</f>
        <v>#N/A</v>
      </c>
      <c r="AM222" s="72" t="b">
        <f t="shared" si="213"/>
        <v>0</v>
      </c>
      <c r="AN222" s="72" t="b">
        <f t="shared" si="214"/>
        <v>0</v>
      </c>
      <c r="AO222" s="72" t="b">
        <f t="shared" si="215"/>
        <v>0</v>
      </c>
      <c r="AS222" s="72">
        <f t="shared" si="216"/>
        <v>0</v>
      </c>
      <c r="AT222" s="72">
        <f t="shared" si="217"/>
        <v>0</v>
      </c>
      <c r="AU222" s="72">
        <f t="shared" si="226"/>
        <v>0</v>
      </c>
      <c r="AV222" s="72">
        <f t="shared" si="218"/>
        <v>0</v>
      </c>
      <c r="AW222" s="72">
        <f t="shared" si="219"/>
        <v>0</v>
      </c>
      <c r="AX222" s="72">
        <f t="shared" si="220"/>
        <v>0</v>
      </c>
      <c r="AY222" s="72">
        <f t="shared" si="221"/>
        <v>0</v>
      </c>
      <c r="AZ222" s="72">
        <f t="shared" si="222"/>
        <v>0</v>
      </c>
      <c r="BA222" s="72" t="e">
        <f t="shared" si="223"/>
        <v>#N/A</v>
      </c>
      <c r="BB222" s="72" t="e">
        <f t="shared" si="224"/>
        <v>#N/A</v>
      </c>
      <c r="BC222" s="77"/>
      <c r="BE222">
        <f t="shared" si="204"/>
        <v>0</v>
      </c>
      <c r="BF222" s="196"/>
      <c r="BG222" s="196"/>
      <c r="BH222" s="196"/>
      <c r="BI222" s="196"/>
      <c r="BJ222" s="196"/>
      <c r="BK222" s="196"/>
    </row>
    <row r="223" spans="1:63" ht="12.75" hidden="1" customHeight="1">
      <c r="B223" s="71"/>
      <c r="C223" s="69"/>
      <c r="Q223" s="86"/>
      <c r="T223" s="72">
        <f>IF('חד גזעי'!$AM$6="לא",IF(P223=0,IF(BC223="שימור",IF('חד גזעי'!$AM$4="לא",IF(BC223="לא בוגר",0,IF(BC223="לא קיים",0,IF(J223=0,0,I223*0.1))),IF(BC223="לא בוגר",0,IF(BC223="לא קיים",0,IF(AB223=1,I223*0.1,E223*0.5)))),0),IF('חד גזעי'!$AM$4="לא",IF(BC223="לא בוגר",0,IF(BC223="לא קיים",0,IF(J223=0,0,I223*0.1))),IF(BC223="לא בוגר",0,IF(BC223="לא קיים",0,IF(AB223=1,I223*0.1,E223*0.5))))),IF(P223=0,IF(BC223="שימור",IF('חד גזעי'!$AM$4="לא",IF(BC223="לא בוגר",0,IF(BC223="לא קיים",0,IF(J223=0,0,I223*0.15))),IF(BC223="לא בוגר",0,IF(BC223="לא קיים",0,IF(AB223=1,I223*0.15,E223*0.5)))),0),IF('חד גזעי'!$AM$4="לא",IF(BC223="לא בוגר",0,IF(BC223="לא קיים",0,IF(J223=0,0,I223*0.15))),IF(BC223="לא בוגר",0,IF(BC223="לא קיים",0,IF(AB223=1,I223*0.15,E223*0.5))))))</f>
        <v>0</v>
      </c>
      <c r="V223">
        <f t="shared" si="227"/>
        <v>0</v>
      </c>
      <c r="W223">
        <f t="shared" si="228"/>
        <v>0</v>
      </c>
      <c r="X223">
        <f t="shared" si="229"/>
        <v>0</v>
      </c>
      <c r="Y223">
        <f>IF('חד גזעי'!$AM$2 = "לא",0,IF(F223&gt;9,W223,0))</f>
        <v>0</v>
      </c>
      <c r="Z223">
        <f>IF('חד גזעי'!$AM$7 = "לא",0,IF(C223 = "זית אירופי",IF('חד גזעי'!$AN$7 &lt;=סקר!F223,W223,0),IF(C223 = "חרוב מצוי",IF('חד גזעי'!$AN$7 &lt;=סקר!F223,W223,0),0)))</f>
        <v>0</v>
      </c>
      <c r="AD223" s="69" t="s">
        <v>807</v>
      </c>
      <c r="BE223">
        <f t="shared" si="204"/>
        <v>0</v>
      </c>
      <c r="BF223" s="196"/>
      <c r="BG223" s="196"/>
      <c r="BH223" s="196"/>
      <c r="BI223" s="196"/>
      <c r="BJ223" s="196"/>
      <c r="BK223" s="196"/>
    </row>
    <row r="224" spans="1:63" ht="14.25" hidden="1">
      <c r="A224" s="129"/>
      <c r="B224" s="132"/>
      <c r="C224" s="133"/>
      <c r="D224" s="129"/>
      <c r="E224" s="129"/>
      <c r="F224" s="129"/>
      <c r="G224" s="129"/>
      <c r="H224" s="129"/>
      <c r="I224" s="129"/>
      <c r="J224" s="129"/>
      <c r="K224" s="129"/>
      <c r="L224" s="129"/>
      <c r="M224" s="129"/>
      <c r="N224" s="129"/>
      <c r="O224" s="129"/>
      <c r="P224" s="129"/>
      <c r="Q224" s="134"/>
      <c r="R224" s="129"/>
      <c r="S224" s="129"/>
      <c r="T224" s="72">
        <f>IF('חד גזעי'!$AM$6="לא",IF(P224=0,IF(BC224="שימור",IF('חד גזעי'!$AM$4="לא",IF(BC224="לא בוגר",0,IF(BC224="לא קיים",0,IF(J224=0,0,I224*0.1))),IF(BC224="לא בוגר",0,IF(BC224="לא קיים",0,IF(AB224=1,I224*0.1,E224*0.5)))),0),IF('חד גזעי'!$AM$4="לא",IF(BC224="לא בוגר",0,IF(BC224="לא קיים",0,IF(J224=0,0,I224*0.1))),IF(BC224="לא בוגר",0,IF(BC224="לא קיים",0,IF(AB224=1,I224*0.1,E224*0.5))))),IF(P224=0,IF(BC224="שימור",IF('חד גזעי'!$AM$4="לא",IF(BC224="לא בוגר",0,IF(BC224="לא קיים",0,IF(J224=0,0,I224*0.15))),IF(BC224="לא בוגר",0,IF(BC224="לא קיים",0,IF(AB224=1,I224*0.15,E224*0.5)))),0),IF('חד גזעי'!$AM$4="לא",IF(BC224="לא בוגר",0,IF(BC224="לא קיים",0,IF(J224=0,0,I224*0.15))),IF(BC224="לא בוגר",0,IF(BC224="לא קיים",0,IF(AB224=1,I224*0.15,E224*0.5))))))</f>
        <v>0</v>
      </c>
      <c r="U224" s="129"/>
      <c r="V224">
        <f t="shared" si="227"/>
        <v>0</v>
      </c>
      <c r="W224">
        <f t="shared" si="228"/>
        <v>0</v>
      </c>
      <c r="X224">
        <f t="shared" si="229"/>
        <v>0</v>
      </c>
      <c r="Y224">
        <f>IF('חד גזעי'!$AM$2 = "לא",0,IF(F224&gt;9,W224,0))</f>
        <v>0</v>
      </c>
      <c r="Z224">
        <f>IF('חד גזעי'!$AM$7 = "לא",0,IF(C224 = "זית אירופי",IF('חד גזעי'!$AN$7 &lt;=סקר!F224,W224,0),IF(C224 = "חרוב מצוי",IF('חד גזעי'!$AN$7 &lt;=סקר!F224,W224,0),0)))</f>
        <v>0</v>
      </c>
      <c r="AA224" s="129"/>
      <c r="AB224" s="129"/>
      <c r="AC224" s="129"/>
      <c r="AD224" s="133"/>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f>_xlfn.IFNA(_xlfn.IFNA(_xlfn.TEXTBEFORE(BF206,"--"),_xlfn.TEXTBEFORE(BF206,",")),BF206)</f>
        <v>0</v>
      </c>
      <c r="BG224" s="129">
        <f t="shared" ref="BG224:BK224" si="231">_xlfn.IFNA(_xlfn.IFNA(_xlfn.TEXTBEFORE(BG206,"--"),_xlfn.TEXTBEFORE(BG206,",")),BG206)</f>
        <v>0</v>
      </c>
      <c r="BH224" s="129">
        <f t="shared" si="231"/>
        <v>0</v>
      </c>
      <c r="BI224" s="129">
        <f>_xlfn.IFNA(_xlfn.IFNA(_xlfn.TEXTBEFORE(BI206,"--"),_xlfn.TEXTBEFORE(BI206,",")),BI206)</f>
        <v>0</v>
      </c>
      <c r="BJ224" s="129">
        <f t="shared" si="231"/>
        <v>0</v>
      </c>
      <c r="BK224" s="129">
        <f t="shared" si="231"/>
        <v>0</v>
      </c>
    </row>
    <row r="225" spans="1:63" ht="14.25" hidden="1">
      <c r="A225" s="129"/>
      <c r="B225" s="132"/>
      <c r="C225" s="133"/>
      <c r="D225" s="129"/>
      <c r="E225" s="129"/>
      <c r="F225" s="129"/>
      <c r="G225" s="129"/>
      <c r="H225" s="129"/>
      <c r="I225" s="129"/>
      <c r="J225" s="129"/>
      <c r="K225" s="129"/>
      <c r="L225" s="129"/>
      <c r="M225" s="129"/>
      <c r="N225" s="129"/>
      <c r="O225" s="129"/>
      <c r="P225" s="129"/>
      <c r="Q225" s="134"/>
      <c r="R225" s="129"/>
      <c r="S225" s="129"/>
      <c r="T225" s="72">
        <f>IF('חד גזעי'!$AM$6="לא",IF(P225=0,IF(BC225="שימור",IF('חד גזעי'!$AM$4="לא",IF(BC225="לא בוגר",0,IF(BC225="לא קיים",0,IF(J225=0,0,I225*0.1))),IF(BC225="לא בוגר",0,IF(BC225="לא קיים",0,IF(AB225=1,I225*0.1,E225*0.5)))),0),IF('חד גזעי'!$AM$4="לא",IF(BC225="לא בוגר",0,IF(BC225="לא קיים",0,IF(J225=0,0,I225*0.1))),IF(BC225="לא בוגר",0,IF(BC225="לא קיים",0,IF(AB225=1,I225*0.1,E225*0.5))))),IF(P225=0,IF(BC225="שימור",IF('חד גזעי'!$AM$4="לא",IF(BC225="לא בוגר",0,IF(BC225="לא קיים",0,IF(J225=0,0,I225*0.15))),IF(BC225="לא בוגר",0,IF(BC225="לא קיים",0,IF(AB225=1,I225*0.15,E225*0.5)))),0),IF('חד גזעי'!$AM$4="לא",IF(BC225="לא בוגר",0,IF(BC225="לא קיים",0,IF(J225=0,0,I225*0.15))),IF(BC225="לא בוגר",0,IF(BC225="לא קיים",0,IF(AB225=1,I225*0.15,E225*0.5))))))</f>
        <v>0</v>
      </c>
      <c r="U225" s="129"/>
      <c r="V225">
        <f t="shared" si="227"/>
        <v>0</v>
      </c>
      <c r="W225">
        <f t="shared" si="228"/>
        <v>0</v>
      </c>
      <c r="X225">
        <f t="shared" si="229"/>
        <v>0</v>
      </c>
      <c r="Y225">
        <f>IF('חד גזעי'!$AM$2 = "לא",0,IF(F225&gt;9,W225,0))</f>
        <v>0</v>
      </c>
      <c r="Z225">
        <f>IF('חד גזעי'!$AM$7 = "לא",0,IF(C225 = "זית אירופי",IF('חד גזעי'!$AN$7 &lt;=סקר!F225,W225,0),IF(C225 = "חרוב מצוי",IF('חד גזעי'!$AN$7 &lt;=סקר!F225,W225,0),0)))</f>
        <v>0</v>
      </c>
      <c r="AA225" s="129"/>
      <c r="AB225" s="129"/>
      <c r="AC225" s="129"/>
      <c r="AD225" s="133"/>
      <c r="AE225" s="129"/>
      <c r="AF225" s="129"/>
      <c r="AG225" s="129"/>
      <c r="AH225" s="129"/>
      <c r="AI225" s="129"/>
      <c r="AJ225" s="129"/>
      <c r="AK225" s="129"/>
      <c r="AL225" s="129"/>
      <c r="AM225" s="129"/>
      <c r="AN225" s="129"/>
      <c r="AO225" s="129"/>
      <c r="AP225" s="129"/>
      <c r="AQ225" s="129"/>
      <c r="AR225" s="129"/>
      <c r="AS225" s="129"/>
      <c r="AT225" s="129"/>
      <c r="AU225" s="129"/>
      <c r="AV225" s="129"/>
      <c r="AW225" s="129"/>
      <c r="AX225" s="129"/>
      <c r="AY225" s="129"/>
      <c r="AZ225" s="129"/>
      <c r="BA225" s="129"/>
      <c r="BB225" s="129"/>
      <c r="BC225" s="129"/>
      <c r="BD225" s="129"/>
      <c r="BE225" s="129"/>
      <c r="BF225" s="129" t="str">
        <f>"C:\Users\origr\Pictures\"&amp;BF224&amp;".jpg"</f>
        <v>C:\Users\origr\Pictures\0.jpg</v>
      </c>
      <c r="BG225" s="129" t="str">
        <f t="shared" ref="BG225" si="232">"C:\Users\origr\Pictures\"&amp;BG224&amp;".jpg"</f>
        <v>C:\Users\origr\Pictures\0.jpg</v>
      </c>
      <c r="BH225" s="129" t="str">
        <f t="shared" ref="BH225" si="233">"C:\Users\origr\Pictures\"&amp;BH224&amp;".jpg"</f>
        <v>C:\Users\origr\Pictures\0.jpg</v>
      </c>
      <c r="BI225" s="129" t="str">
        <f t="shared" ref="BI225" si="234">"C:\Users\origr\Pictures\"&amp;BI224&amp;".jpg"</f>
        <v>C:\Users\origr\Pictures\0.jpg</v>
      </c>
      <c r="BJ225" s="129" t="str">
        <f t="shared" ref="BJ225" si="235">"C:\Users\origr\Pictures\"&amp;BJ224&amp;".jpg"</f>
        <v>C:\Users\origr\Pictures\0.jpg</v>
      </c>
      <c r="BK225" s="129" t="str">
        <f t="shared" ref="BK225" si="236">"C:\Users\origr\Pictures\"&amp;BK224&amp;".jpg"</f>
        <v>C:\Users\origr\Pictures\0.jpg</v>
      </c>
    </row>
    <row r="226" spans="1:63" ht="14.25" hidden="1">
      <c r="A226" s="129"/>
      <c r="B226" s="132"/>
      <c r="C226" s="133"/>
      <c r="D226" s="129"/>
      <c r="E226" s="129"/>
      <c r="F226" s="129"/>
      <c r="G226" s="129"/>
      <c r="H226" s="129"/>
      <c r="I226" s="129"/>
      <c r="J226" s="129"/>
      <c r="K226" s="129"/>
      <c r="L226" s="129"/>
      <c r="M226" s="129"/>
      <c r="N226" s="129"/>
      <c r="O226" s="129"/>
      <c r="P226" s="129"/>
      <c r="Q226" s="134"/>
      <c r="R226" s="129"/>
      <c r="S226" s="129"/>
      <c r="T226" s="72">
        <f>IF('חד גזעי'!$AM$6="לא",IF(P226=0,IF(BC226="שימור",IF('חד גזעי'!$AM$4="לא",IF(BC226="לא בוגר",0,IF(BC226="לא קיים",0,IF(J226=0,0,I226*0.1))),IF(BC226="לא בוגר",0,IF(BC226="לא קיים",0,IF(AB226=1,I226*0.1,E226*0.5)))),0),IF('חד גזעי'!$AM$4="לא",IF(BC226="לא בוגר",0,IF(BC226="לא קיים",0,IF(J226=0,0,I226*0.1))),IF(BC226="לא בוגר",0,IF(BC226="לא קיים",0,IF(AB226=1,I226*0.1,E226*0.5))))),IF(P226=0,IF(BC226="שימור",IF('חד גזעי'!$AM$4="לא",IF(BC226="לא בוגר",0,IF(BC226="לא קיים",0,IF(J226=0,0,I226*0.15))),IF(BC226="לא בוגר",0,IF(BC226="לא קיים",0,IF(AB226=1,I226*0.15,E226*0.5)))),0),IF('חד גזעי'!$AM$4="לא",IF(BC226="לא בוגר",0,IF(BC226="לא קיים",0,IF(J226=0,0,I226*0.15))),IF(BC226="לא בוגר",0,IF(BC226="לא קיים",0,IF(AB226=1,I226*0.15,E226*0.5))))))</f>
        <v>0</v>
      </c>
      <c r="U226" s="129"/>
      <c r="V226">
        <f t="shared" si="227"/>
        <v>0</v>
      </c>
      <c r="W226">
        <f t="shared" si="228"/>
        <v>0</v>
      </c>
      <c r="X226">
        <f t="shared" si="229"/>
        <v>0</v>
      </c>
      <c r="Y226">
        <f>IF('חד גזעי'!$AM$2 = "לא",0,IF(F226&gt;9,W226,0))</f>
        <v>0</v>
      </c>
      <c r="Z226">
        <f>IF('חד גזעי'!$AM$7 = "לא",0,IF(C226 = "זית אירופי",IF('חד גזעי'!$AN$7 &lt;=סקר!F226,W226,0),IF(C226 = "חרוב מצוי",IF('חד גזעי'!$AN$7 &lt;=סקר!F226,W226,0),0)))</f>
        <v>0</v>
      </c>
      <c r="AA226" s="129"/>
      <c r="AB226" s="129"/>
      <c r="AC226" s="129"/>
      <c r="AD226" s="133"/>
      <c r="AE226" s="129"/>
      <c r="AF226" s="129"/>
      <c r="AG226" s="129"/>
      <c r="AH226" s="129"/>
      <c r="AI226" s="129"/>
      <c r="AJ226" s="129"/>
      <c r="AK226" s="129"/>
      <c r="AL226" s="129"/>
      <c r="AM226" s="129"/>
      <c r="AN226" s="129"/>
      <c r="AO226" s="129"/>
      <c r="AP226" s="129"/>
      <c r="AQ226" s="129"/>
      <c r="AR226" s="129"/>
      <c r="AS226" s="129"/>
      <c r="AT226" s="129"/>
      <c r="AU226" s="129"/>
      <c r="AV226" s="129"/>
      <c r="AW226" s="129"/>
      <c r="AX226" s="129"/>
      <c r="AY226" s="129"/>
      <c r="AZ226" s="129"/>
      <c r="BA226" s="129"/>
      <c r="BB226" s="129"/>
      <c r="BC226" s="129"/>
      <c r="BD226" s="129"/>
      <c r="BE226" s="129"/>
      <c r="BF226" s="129" t="str">
        <f>BF225</f>
        <v>C:\Users\origr\Pictures\0.jpg</v>
      </c>
      <c r="BG226" s="129" t="str">
        <f t="shared" ref="BG226" si="237">BG225</f>
        <v>C:\Users\origr\Pictures\0.jpg</v>
      </c>
      <c r="BH226" s="129" t="str">
        <f t="shared" ref="BH226" si="238">BH225</f>
        <v>C:\Users\origr\Pictures\0.jpg</v>
      </c>
      <c r="BI226" s="129" t="str">
        <f t="shared" ref="BI226" si="239">BI225</f>
        <v>C:\Users\origr\Pictures\0.jpg</v>
      </c>
      <c r="BJ226" s="129" t="str">
        <f t="shared" ref="BJ226" si="240">BJ225</f>
        <v>C:\Users\origr\Pictures\0.jpg</v>
      </c>
      <c r="BK226" s="129" t="str">
        <f t="shared" ref="BK226" si="241">BK225</f>
        <v>C:\Users\origr\Pictures\0.jpg</v>
      </c>
    </row>
    <row r="227" spans="1:63" hidden="1">
      <c r="T227" s="72">
        <f>IF('חד גזעי'!$AM$6="לא",IF(P227=0,IF(BC227="שימור",IF('חד גזעי'!$AM$4="לא",IF(BC227="לא בוגר",0,IF(BC227="לא קיים",0,IF(J227=0,0,I227*0.1))),IF(BC227="לא בוגר",0,IF(BC227="לא קיים",0,IF(AB227=1,I227*0.1,E227*0.5)))),0),IF('חד גזעי'!$AM$4="לא",IF(BC227="לא בוגר",0,IF(BC227="לא קיים",0,IF(J227=0,0,I227*0.1))),IF(BC227="לא בוגר",0,IF(BC227="לא קיים",0,IF(AB227=1,I227*0.1,E227*0.5))))),IF(P227=0,IF(BC227="שימור",IF('חד גזעי'!$AM$4="לא",IF(BC227="לא בוגר",0,IF(BC227="לא קיים",0,IF(J227=0,0,I227*0.15))),IF(BC227="לא בוגר",0,IF(BC227="לא קיים",0,IF(AB227=1,I227*0.15,E227*0.5)))),0),IF('חד גזעי'!$AM$4="לא",IF(BC227="לא בוגר",0,IF(BC227="לא קיים",0,IF(J227=0,0,I227*0.15))),IF(BC227="לא בוגר",0,IF(BC227="לא קיים",0,IF(AB227=1,I227*0.15,E227*0.5))))))</f>
        <v>0</v>
      </c>
      <c r="V227">
        <f t="shared" si="227"/>
        <v>0</v>
      </c>
      <c r="W227">
        <f t="shared" si="228"/>
        <v>0</v>
      </c>
      <c r="X227">
        <f t="shared" si="229"/>
        <v>0</v>
      </c>
      <c r="Y227">
        <f>IF('חד גזעי'!$AM$2 = "לא",0,IF(F227&gt;9,W227,0))</f>
        <v>0</v>
      </c>
      <c r="Z227">
        <f>IF('חד גזעי'!$AM$7 = "לא",0,IF(C227 = "זית אירופי",IF('חד גזעי'!$AN$7 &lt;=סקר!F227,W227,0),IF(C227 = "חרוב מצוי",IF('חד גזעי'!$AN$7 &lt;=סקר!F227,W227,0),0)))</f>
        <v>0</v>
      </c>
    </row>
    <row r="228" spans="1:63" hidden="1">
      <c r="T228" s="72">
        <f>IF('חד גזעי'!$AM$6="לא",IF(P228=0,IF(BC228="שימור",IF('חד גזעי'!$AM$4="לא",IF(BC228="לא בוגר",0,IF(BC228="לא קיים",0,IF(J228=0,0,I228*0.1))),IF(BC228="לא בוגר",0,IF(BC228="לא קיים",0,IF(AB228=1,I228*0.1,E228*0.5)))),0),IF('חד גזעי'!$AM$4="לא",IF(BC228="לא בוגר",0,IF(BC228="לא קיים",0,IF(J228=0,0,I228*0.1))),IF(BC228="לא בוגר",0,IF(BC228="לא קיים",0,IF(AB228=1,I228*0.1,E228*0.5))))),IF(P228=0,IF(BC228="שימור",IF('חד גזעי'!$AM$4="לא",IF(BC228="לא בוגר",0,IF(BC228="לא קיים",0,IF(J228=0,0,I228*0.15))),IF(BC228="לא בוגר",0,IF(BC228="לא קיים",0,IF(AB228=1,I228*0.15,E228*0.5)))),0),IF('חד גזעי'!$AM$4="לא",IF(BC228="לא בוגר",0,IF(BC228="לא קיים",0,IF(J228=0,0,I228*0.15))),IF(BC228="לא בוגר",0,IF(BC228="לא קיים",0,IF(AB228=1,I228*0.15,E228*0.5))))))</f>
        <v>0</v>
      </c>
      <c r="V228">
        <f t="shared" si="227"/>
        <v>0</v>
      </c>
      <c r="W228">
        <f t="shared" si="228"/>
        <v>0</v>
      </c>
      <c r="X228">
        <f t="shared" si="229"/>
        <v>0</v>
      </c>
      <c r="Y228">
        <f>IF('חד גזעי'!$AM$2 = "לא",0,IF(F228&gt;9,W228,0))</f>
        <v>0</v>
      </c>
      <c r="Z228">
        <f>IF('חד גזעי'!$AM$7 = "לא",0,IF(C228 = "זית אירופי",IF('חד גזעי'!$AN$7 &lt;=סקר!F228,W228,0),IF(C228 = "חרוב מצוי",IF('חד גזעי'!$AN$7 &lt;=סקר!F228,W228,0),0)))</f>
        <v>0</v>
      </c>
    </row>
    <row r="229" spans="1:63" hidden="1">
      <c r="T229" s="72">
        <f>IF('חד גזעי'!$AM$6="לא",IF(P229=0,IF(BC229="שימור",IF('חד גזעי'!$AM$4="לא",IF(BC229="לא בוגר",0,IF(BC229="לא קיים",0,IF(J229=0,0,I229*0.1))),IF(BC229="לא בוגר",0,IF(BC229="לא קיים",0,IF(AB229=1,I229*0.1,E229*0.5)))),0),IF('חד גזעי'!$AM$4="לא",IF(BC229="לא בוגר",0,IF(BC229="לא קיים",0,IF(J229=0,0,I229*0.1))),IF(BC229="לא בוגר",0,IF(BC229="לא קיים",0,IF(AB229=1,I229*0.1,E229*0.5))))),IF(P229=0,IF(BC229="שימור",IF('חד גזעי'!$AM$4="לא",IF(BC229="לא בוגר",0,IF(BC229="לא קיים",0,IF(J229=0,0,I229*0.15))),IF(BC229="לא בוגר",0,IF(BC229="לא קיים",0,IF(AB229=1,I229*0.15,E229*0.5)))),0),IF('חד גזעי'!$AM$4="לא",IF(BC229="לא בוגר",0,IF(BC229="לא קיים",0,IF(J229=0,0,I229*0.15))),IF(BC229="לא בוגר",0,IF(BC229="לא קיים",0,IF(AB229=1,I229*0.15,E229*0.5))))))</f>
        <v>0</v>
      </c>
      <c r="V229">
        <f t="shared" si="227"/>
        <v>0</v>
      </c>
      <c r="W229">
        <f t="shared" si="228"/>
        <v>0</v>
      </c>
      <c r="X229">
        <f t="shared" si="229"/>
        <v>0</v>
      </c>
      <c r="Y229">
        <f>IF('חד גזעי'!$AM$2 = "לא",0,IF(F229&gt;9,W229,0))</f>
        <v>0</v>
      </c>
      <c r="Z229">
        <f>IF('חד גזעי'!$AM$7 = "לא",0,IF(C229 = "זית אירופי",IF('חד גזעי'!$AN$7 &lt;=סקר!F229,W229,0),IF(C229 = "חרוב מצוי",IF('חד גזעי'!$AN$7 &lt;=סקר!F229,W229,0),0)))</f>
        <v>0</v>
      </c>
    </row>
    <row r="230" spans="1:63" hidden="1">
      <c r="A230" s="129"/>
      <c r="B230" s="129"/>
      <c r="C230" s="129"/>
      <c r="D230" s="129"/>
      <c r="E230" s="129"/>
      <c r="F230" s="129"/>
      <c r="G230" s="129"/>
      <c r="H230" s="129"/>
      <c r="I230" s="129"/>
      <c r="J230" s="129"/>
      <c r="K230" s="129"/>
      <c r="L230" s="129"/>
      <c r="M230" s="129"/>
      <c r="N230" s="129"/>
      <c r="O230" s="129"/>
      <c r="P230" s="129"/>
      <c r="Q230" s="129"/>
      <c r="R230" s="129"/>
      <c r="S230" s="129"/>
      <c r="T230" s="72">
        <f>IF('חד גזעי'!$AM$6="לא",IF(P230=0,IF(BC230="שימור",IF('חד גזעי'!$AM$4="לא",IF(BC230="לא בוגר",0,IF(BC230="לא קיים",0,IF(J230=0,0,I230*0.1))),IF(BC230="לא בוגר",0,IF(BC230="לא קיים",0,IF(AB230=1,I230*0.1,E230*0.5)))),0),IF('חד גזעי'!$AM$4="לא",IF(BC230="לא בוגר",0,IF(BC230="לא קיים",0,IF(J230=0,0,I230*0.1))),IF(BC230="לא בוגר",0,IF(BC230="לא קיים",0,IF(AB230=1,I230*0.1,E230*0.5))))),IF(P230=0,IF(BC230="שימור",IF('חד גזעי'!$AM$4="לא",IF(BC230="לא בוגר",0,IF(BC230="לא קיים",0,IF(J230=0,0,I230*0.15))),IF(BC230="לא בוגר",0,IF(BC230="לא קיים",0,IF(AB230=1,I230*0.15,E230*0.5)))),0),IF('חד גזעי'!$AM$4="לא",IF(BC230="לא בוגר",0,IF(BC230="לא קיים",0,IF(J230=0,0,I230*0.15))),IF(BC230="לא בוגר",0,IF(BC230="לא קיים",0,IF(AB230=1,I230*0.15,E230*0.5))))))</f>
        <v>0</v>
      </c>
      <c r="U230" s="129"/>
      <c r="V230">
        <f t="shared" si="227"/>
        <v>0</v>
      </c>
      <c r="W230">
        <f t="shared" si="228"/>
        <v>0</v>
      </c>
      <c r="X230">
        <f t="shared" si="229"/>
        <v>0</v>
      </c>
      <c r="Y230">
        <f>IF('חד גזעי'!$AM$2 = "לא",0,IF(F230&gt;9,W230,0))</f>
        <v>0</v>
      </c>
      <c r="Z230">
        <f>IF('חד גזעי'!$AM$7 = "לא",0,IF(C230 = "זית אירופי",IF('חד גזעי'!$AN$7 &lt;=סקר!F230,W230,0),IF(C230 = "חרוב מצוי",IF('חד גזעי'!$AN$7 &lt;=סקר!F230,W230,0),0)))</f>
        <v>0</v>
      </c>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c r="BB230" s="129"/>
      <c r="BC230" s="129"/>
      <c r="BD230" s="129"/>
      <c r="BE230" s="129"/>
      <c r="BF230" s="129">
        <f>_xlfn.IFNA(_xlfn.IFNA(_xlfn.TEXTBEFORE(BF234,"--"),_xlfn.TEXTBEFORE(BF234,",")),BF234)</f>
        <v>0</v>
      </c>
      <c r="BG230" s="129">
        <f t="shared" ref="BG230:BK230" si="242">_xlfn.IFNA(_xlfn.IFNA(_xlfn.TEXTBEFORE(BG234,"--"),_xlfn.TEXTBEFORE(BG234,",")),BG234)</f>
        <v>0</v>
      </c>
      <c r="BH230" s="129">
        <f t="shared" si="242"/>
        <v>0</v>
      </c>
      <c r="BI230" s="129">
        <f>_xlfn.IFNA(_xlfn.IFNA(_xlfn.TEXTBEFORE(BI234,"--"),_xlfn.TEXTBEFORE(BI234,",")),BI234)</f>
        <v>0</v>
      </c>
      <c r="BJ230" s="129">
        <f t="shared" si="242"/>
        <v>0</v>
      </c>
      <c r="BK230" s="129">
        <f t="shared" si="242"/>
        <v>0</v>
      </c>
    </row>
    <row r="231" spans="1:63" ht="12.75" hidden="1" customHeight="1">
      <c r="A231" s="129"/>
      <c r="B231" s="129"/>
      <c r="C231" s="129"/>
      <c r="D231" s="129"/>
      <c r="E231" s="129"/>
      <c r="F231" s="129"/>
      <c r="G231" s="129"/>
      <c r="H231" s="129"/>
      <c r="I231" s="129"/>
      <c r="J231" s="129"/>
      <c r="K231" s="129"/>
      <c r="L231" s="129"/>
      <c r="M231" s="129"/>
      <c r="N231" s="129"/>
      <c r="O231" s="129"/>
      <c r="P231" s="129"/>
      <c r="Q231" s="129"/>
      <c r="R231" s="129"/>
      <c r="S231" s="129"/>
      <c r="T231" s="72">
        <f>IF('חד גזעי'!$AM$6="לא",IF(P231=0,IF(BC231="שימור",IF('חד גזעי'!$AM$4="לא",IF(BC231="לא בוגר",0,IF(BC231="לא קיים",0,IF(J231=0,0,I231*0.1))),IF(BC231="לא בוגר",0,IF(BC231="לא קיים",0,IF(AB231=1,I231*0.1,E231*0.5)))),0),IF('חד גזעי'!$AM$4="לא",IF(BC231="לא בוגר",0,IF(BC231="לא קיים",0,IF(J231=0,0,I231*0.1))),IF(BC231="לא בוגר",0,IF(BC231="לא קיים",0,IF(AB231=1,I231*0.1,E231*0.5))))),IF(P231=0,IF(BC231="שימור",IF('חד גזעי'!$AM$4="לא",IF(BC231="לא בוגר",0,IF(BC231="לא קיים",0,IF(J231=0,0,I231*0.15))),IF(BC231="לא בוגר",0,IF(BC231="לא קיים",0,IF(AB231=1,I231*0.15,E231*0.5)))),0),IF('חד גזעי'!$AM$4="לא",IF(BC231="לא בוגר",0,IF(BC231="לא קיים",0,IF(J231=0,0,I231*0.15))),IF(BC231="לא בוגר",0,IF(BC231="לא קיים",0,IF(AB231=1,I231*0.15,E231*0.5))))))</f>
        <v>0</v>
      </c>
      <c r="U231" s="129"/>
      <c r="V231">
        <f t="shared" si="227"/>
        <v>0</v>
      </c>
      <c r="W231">
        <f t="shared" si="228"/>
        <v>0</v>
      </c>
      <c r="X231">
        <f t="shared" si="229"/>
        <v>0</v>
      </c>
      <c r="Y231">
        <f>IF('חד גזעי'!$AM$2 = "לא",0,IF(F231&gt;9,W231,0))</f>
        <v>0</v>
      </c>
      <c r="Z231">
        <f>IF('חד גזעי'!$AM$7 = "לא",0,IF(C231 = "זית אירופי",IF('חד גזעי'!$AN$7 &lt;=סקר!F231,W231,0),IF(C231 = "חרוב מצוי",IF('חד גזעי'!$AN$7 &lt;=סקר!F231,W231,0),0)))</f>
        <v>0</v>
      </c>
      <c r="AA231" s="129"/>
      <c r="AB231" s="129"/>
      <c r="AC231" s="129"/>
      <c r="AD231" s="129"/>
      <c r="AE231" s="129"/>
      <c r="AF231" s="129"/>
      <c r="AG231" s="129"/>
      <c r="AH231" s="129"/>
      <c r="AI231" s="129"/>
      <c r="AJ231" s="129"/>
      <c r="AK231" s="129"/>
      <c r="AL231" s="129"/>
      <c r="AM231" s="129"/>
      <c r="AN231" s="129"/>
      <c r="AO231" s="129"/>
      <c r="AP231" s="129"/>
      <c r="AQ231" s="129"/>
      <c r="AR231" s="129"/>
      <c r="AS231" s="129"/>
      <c r="AT231" s="129"/>
      <c r="AU231" s="129"/>
      <c r="AV231" s="129"/>
      <c r="AW231" s="129"/>
      <c r="AX231" s="129"/>
      <c r="AY231" s="129"/>
      <c r="AZ231" s="129"/>
      <c r="BA231" s="129"/>
      <c r="BB231" s="129"/>
      <c r="BC231" s="129"/>
      <c r="BD231" s="129"/>
      <c r="BE231" s="129"/>
      <c r="BF231" s="129" t="str">
        <f>"C:\Users\origr\Pictures\"&amp;BF230&amp;".jpg"</f>
        <v>C:\Users\origr\Pictures\0.jpg</v>
      </c>
      <c r="BG231" s="129" t="str">
        <f t="shared" ref="BG231" si="243">"C:\Users\origr\Pictures\"&amp;BG230&amp;".jpg"</f>
        <v>C:\Users\origr\Pictures\0.jpg</v>
      </c>
      <c r="BH231" s="129" t="str">
        <f t="shared" ref="BH231" si="244">"C:\Users\origr\Pictures\"&amp;BH230&amp;".jpg"</f>
        <v>C:\Users\origr\Pictures\0.jpg</v>
      </c>
      <c r="BI231" s="129" t="str">
        <f t="shared" ref="BI231" si="245">"C:\Users\origr\Pictures\"&amp;BI230&amp;".jpg"</f>
        <v>C:\Users\origr\Pictures\0.jpg</v>
      </c>
      <c r="BJ231" s="129" t="str">
        <f t="shared" ref="BJ231" si="246">"C:\Users\origr\Pictures\"&amp;BJ230&amp;".jpg"</f>
        <v>C:\Users\origr\Pictures\0.jpg</v>
      </c>
      <c r="BK231" s="129" t="str">
        <f t="shared" ref="BK231" si="247">"C:\Users\origr\Pictures\"&amp;BK230&amp;".jpg"</f>
        <v>C:\Users\origr\Pictures\0.jpg</v>
      </c>
    </row>
    <row r="232" spans="1:63" hidden="1">
      <c r="A232" s="129"/>
      <c r="B232" s="129"/>
      <c r="C232" s="129"/>
      <c r="D232" s="129"/>
      <c r="E232" s="129"/>
      <c r="F232" s="129"/>
      <c r="G232" s="129"/>
      <c r="H232" s="129"/>
      <c r="I232" s="129"/>
      <c r="J232" s="129"/>
      <c r="K232" s="129"/>
      <c r="L232" s="129"/>
      <c r="M232" s="129"/>
      <c r="N232" s="129"/>
      <c r="O232" s="129"/>
      <c r="P232" s="129"/>
      <c r="Q232" s="129"/>
      <c r="R232" s="129"/>
      <c r="S232" s="129"/>
      <c r="T232" s="72">
        <f>IF('חד גזעי'!$AM$6="לא",IF(P232=0,IF(BC232="שימור",IF('חד גזעי'!$AM$4="לא",IF(BC232="לא בוגר",0,IF(BC232="לא קיים",0,IF(J232=0,0,I232*0.1))),IF(BC232="לא בוגר",0,IF(BC232="לא קיים",0,IF(AB232=1,I232*0.1,E232*0.5)))),0),IF('חד גזעי'!$AM$4="לא",IF(BC232="לא בוגר",0,IF(BC232="לא קיים",0,IF(J232=0,0,I232*0.1))),IF(BC232="לא בוגר",0,IF(BC232="לא קיים",0,IF(AB232=1,I232*0.1,E232*0.5))))),IF(P232=0,IF(BC232="שימור",IF('חד גזעי'!$AM$4="לא",IF(BC232="לא בוגר",0,IF(BC232="לא קיים",0,IF(J232=0,0,I232*0.15))),IF(BC232="לא בוגר",0,IF(BC232="לא קיים",0,IF(AB232=1,I232*0.15,E232*0.5)))),0),IF('חד גזעי'!$AM$4="לא",IF(BC232="לא בוגר",0,IF(BC232="לא קיים",0,IF(J232=0,0,I232*0.15))),IF(BC232="לא בוגר",0,IF(BC232="לא קיים",0,IF(AB232=1,I232*0.15,E232*0.5))))))</f>
        <v>0</v>
      </c>
      <c r="U232" s="129"/>
      <c r="V232">
        <f t="shared" si="227"/>
        <v>0</v>
      </c>
      <c r="W232">
        <f t="shared" si="228"/>
        <v>0</v>
      </c>
      <c r="X232">
        <f t="shared" si="229"/>
        <v>0</v>
      </c>
      <c r="Y232">
        <f>IF('חד גזעי'!$AM$2 = "לא",0,IF(F232&gt;9,W232,0))</f>
        <v>0</v>
      </c>
      <c r="Z232">
        <f>IF('חד גזעי'!$AM$7 = "לא",0,IF(C232 = "זית אירופי",IF('חד גזעי'!$AN$7 &lt;=סקר!F232,W232,0),IF(C232 = "חרוב מצוי",IF('חד גזעי'!$AN$7 &lt;=סקר!F232,W232,0),0)))</f>
        <v>0</v>
      </c>
      <c r="AA232" s="129"/>
      <c r="AB232" s="129"/>
      <c r="AC232" s="129"/>
      <c r="AD232" s="129"/>
      <c r="AE232" s="129"/>
      <c r="AF232" s="129"/>
      <c r="AG232" s="129"/>
      <c r="AH232" s="129"/>
      <c r="AI232" s="129"/>
      <c r="AJ232" s="129"/>
      <c r="AK232" s="129"/>
      <c r="AL232" s="129"/>
      <c r="AM232" s="129"/>
      <c r="AN232" s="129"/>
      <c r="AO232" s="129"/>
      <c r="AP232" s="129"/>
      <c r="AQ232" s="129"/>
      <c r="AR232" s="129"/>
      <c r="AS232" s="129"/>
      <c r="AT232" s="129"/>
      <c r="AU232" s="129"/>
      <c r="AV232" s="129"/>
      <c r="AW232" s="129"/>
      <c r="AX232" s="129"/>
      <c r="AY232" s="129"/>
      <c r="AZ232" s="129"/>
      <c r="BA232" s="129"/>
      <c r="BB232" s="129"/>
      <c r="BC232" s="129"/>
      <c r="BD232" s="129"/>
      <c r="BE232" s="129"/>
      <c r="BF232" s="129" t="str">
        <f>BF231</f>
        <v>C:\Users\origr\Pictures\0.jpg</v>
      </c>
      <c r="BG232" s="129" t="str">
        <f t="shared" ref="BG232" si="248">BG231</f>
        <v>C:\Users\origr\Pictures\0.jpg</v>
      </c>
      <c r="BH232" s="129" t="str">
        <f t="shared" ref="BH232" si="249">BH231</f>
        <v>C:\Users\origr\Pictures\0.jpg</v>
      </c>
      <c r="BI232" s="129" t="str">
        <f t="shared" ref="BI232" si="250">BI231</f>
        <v>C:\Users\origr\Pictures\0.jpg</v>
      </c>
      <c r="BJ232" s="129" t="str">
        <f t="shared" ref="BJ232" si="251">BJ231</f>
        <v>C:\Users\origr\Pictures\0.jpg</v>
      </c>
      <c r="BK232" s="129" t="str">
        <f t="shared" ref="BK232" si="252">BK231</f>
        <v>C:\Users\origr\Pictures\0.jpg</v>
      </c>
    </row>
    <row r="233" spans="1:63" ht="14.25" hidden="1">
      <c r="B233" s="71"/>
      <c r="C233" s="69"/>
      <c r="Q233" s="86"/>
      <c r="T233" s="72">
        <f>IF('חד גזעי'!$AM$6="לא",IF(P233=0,IF(BC233="שימור",IF('חד גזעי'!$AM$4="לא",IF(BC233="לא בוגר",0,IF(BC233="לא קיים",0,IF(J233=0,0,I233*0.1))),IF(BC233="לא בוגר",0,IF(BC233="לא קיים",0,IF(AB233=1,I233*0.1,E233*0.5)))),0),IF('חד גזעי'!$AM$4="לא",IF(BC233="לא בוגר",0,IF(BC233="לא קיים",0,IF(J233=0,0,I233*0.1))),IF(BC233="לא בוגר",0,IF(BC233="לא קיים",0,IF(AB233=1,I233*0.1,E233*0.5))))),IF(P233=0,IF(BC233="שימור",IF('חד גזעי'!$AM$4="לא",IF(BC233="לא בוגר",0,IF(BC233="לא קיים",0,IF(J233=0,0,I233*0.15))),IF(BC233="לא בוגר",0,IF(BC233="לא קיים",0,IF(AB233=1,I233*0.15,E233*0.5)))),0),IF('חד גזעי'!$AM$4="לא",IF(BC233="לא בוגר",0,IF(BC233="לא קיים",0,IF(J233=0,0,I233*0.15))),IF(BC233="לא בוגר",0,IF(BC233="לא קיים",0,IF(AB233=1,I233*0.15,E233*0.5))))))</f>
        <v>0</v>
      </c>
      <c r="V233">
        <f t="shared" si="227"/>
        <v>0</v>
      </c>
      <c r="W233">
        <f t="shared" si="228"/>
        <v>0</v>
      </c>
      <c r="X233">
        <f t="shared" si="229"/>
        <v>0</v>
      </c>
      <c r="Y233">
        <f>IF('חד גזעי'!$AM$2 = "לא",0,IF(F233&gt;9,W233,0))</f>
        <v>0</v>
      </c>
      <c r="Z233">
        <f>IF('חד גזעי'!$AM$7 = "לא",0,IF(C233 = "זית אירופי",IF('חד גזעי'!$AN$7 &lt;=סקר!F233,W233,0),IF(C233 = "חרוב מצוי",IF('חד גזעי'!$AN$7 &lt;=סקר!F233,W233,0),0)))</f>
        <v>0</v>
      </c>
      <c r="AD233" s="69" t="s">
        <v>807</v>
      </c>
    </row>
    <row r="234" spans="1:63" hidden="1">
      <c r="B234" s="197" t="s">
        <v>738</v>
      </c>
      <c r="C234" s="197" t="s">
        <v>739</v>
      </c>
      <c r="D234" s="197" t="s">
        <v>740</v>
      </c>
      <c r="E234" s="197" t="s">
        <v>741</v>
      </c>
      <c r="F234" s="200" t="s">
        <v>759</v>
      </c>
      <c r="G234" s="203" t="s">
        <v>760</v>
      </c>
      <c r="H234" s="203" t="s">
        <v>761</v>
      </c>
      <c r="I234" s="197" t="s">
        <v>742</v>
      </c>
      <c r="J234" s="197" t="s">
        <v>743</v>
      </c>
      <c r="K234" s="197" t="s">
        <v>744</v>
      </c>
      <c r="L234" s="197" t="s">
        <v>745</v>
      </c>
      <c r="M234" s="197" t="s">
        <v>746</v>
      </c>
      <c r="N234" s="197" t="s">
        <v>747</v>
      </c>
      <c r="O234" s="197" t="s">
        <v>748</v>
      </c>
      <c r="P234" s="197" t="s">
        <v>749</v>
      </c>
      <c r="Q234" s="197" t="s">
        <v>750</v>
      </c>
      <c r="R234" s="197" t="s">
        <v>751</v>
      </c>
      <c r="T234" s="72" t="e">
        <f>IF('חד גזעי'!$AM$6="לא",IF(P234=0,IF(BC234="שימור",IF('חד גזעי'!$AM$4="לא",IF(BC234="לא בוגר",0,IF(BC234="לא קיים",0,IF(J234=0,0,I234*0.1))),IF(BC234="לא בוגר",0,IF(BC234="לא קיים",0,IF(AB234=1,I234*0.1,E234*0.5)))),0),IF('חד גזעי'!$AM$4="לא",IF(BC234="לא בוגר",0,IF(BC234="לא קיים",0,IF(J234=0,0,I234*0.1))),IF(BC234="לא בוגר",0,IF(BC234="לא קיים",0,IF(AB234=1,I234*0.1,E234*0.5))))),IF(P234=0,IF(BC234="שימור",IF('חד גזעי'!$AM$4="לא",IF(BC234="לא בוגר",0,IF(BC234="לא קיים",0,IF(J234=0,0,I234*0.15))),IF(BC234="לא בוגר",0,IF(BC234="לא קיים",0,IF(AB234=1,I234*0.15,E234*0.5)))),0),IF('חד גזעי'!$AM$4="לא",IF(BC234="לא בוגר",0,IF(BC234="לא קיים",0,IF(J234=0,0,I234*0.15))),IF(BC234="לא בוגר",0,IF(BC234="לא קיים",0,IF(AB234=1,I234*0.15,E234*0.5))))))</f>
        <v>#VALUE!</v>
      </c>
      <c r="V234">
        <f t="shared" si="227"/>
        <v>0</v>
      </c>
      <c r="W234" t="e">
        <f t="shared" si="228"/>
        <v>#VALUE!</v>
      </c>
      <c r="X234">
        <f t="shared" si="229"/>
        <v>0</v>
      </c>
      <c r="Y234">
        <f>IF('חד גזעי'!$AM$2 = "לא",0,IF(F234&gt;9,W234,0))</f>
        <v>0</v>
      </c>
      <c r="Z234">
        <f>IF('חד גזעי'!$AM$7 = "לא",0,IF(C234 = "זית אירופי",IF('חד גזעי'!$AN$7 &lt;=סקר!F234,W234,0),IF(C234 = "חרוב מצוי",IF('חד גזעי'!$AN$7 &lt;=סקר!F234,W234,0),0)))</f>
        <v>0</v>
      </c>
      <c r="AC234" s="101"/>
      <c r="AD234" s="103"/>
      <c r="AE234" s="103"/>
      <c r="AF234" s="103"/>
      <c r="AG234" s="103"/>
      <c r="AH234" s="103"/>
      <c r="AI234" s="103"/>
      <c r="AJ234" s="103"/>
      <c r="AK234" s="83"/>
      <c r="AM234" s="73"/>
      <c r="AN234" s="73"/>
      <c r="AO234" s="73"/>
      <c r="AS234" s="197" t="s">
        <v>738</v>
      </c>
      <c r="AT234" s="197" t="s">
        <v>739</v>
      </c>
      <c r="AU234" s="197" t="s">
        <v>740</v>
      </c>
      <c r="AV234" s="197" t="s">
        <v>741</v>
      </c>
      <c r="AW234" s="203" t="s">
        <v>759</v>
      </c>
      <c r="AX234" s="203" t="s">
        <v>760</v>
      </c>
      <c r="AY234" s="203" t="s">
        <v>761</v>
      </c>
      <c r="AZ234" s="197" t="s">
        <v>812</v>
      </c>
      <c r="BA234" s="197" t="s">
        <v>817</v>
      </c>
      <c r="BB234" s="197" t="s">
        <v>805</v>
      </c>
      <c r="BC234" s="197" t="s">
        <v>806</v>
      </c>
      <c r="BE234">
        <f>IF(BC234="לא נדרש ברישיון",1,0)</f>
        <v>0</v>
      </c>
      <c r="BF234" s="72"/>
      <c r="BG234" s="72"/>
      <c r="BH234" s="72"/>
      <c r="BI234" s="72"/>
      <c r="BJ234" s="72"/>
      <c r="BK234" s="72"/>
    </row>
    <row r="235" spans="1:63" hidden="1">
      <c r="B235" s="198"/>
      <c r="C235" s="198"/>
      <c r="D235" s="198"/>
      <c r="E235" s="198"/>
      <c r="F235" s="201"/>
      <c r="G235" s="204"/>
      <c r="H235" s="204"/>
      <c r="I235" s="198"/>
      <c r="J235" s="198"/>
      <c r="K235" s="198"/>
      <c r="L235" s="198"/>
      <c r="M235" s="198"/>
      <c r="N235" s="198"/>
      <c r="O235" s="198"/>
      <c r="P235" s="198"/>
      <c r="Q235" s="198"/>
      <c r="R235" s="198"/>
      <c r="T235" s="72">
        <f>IF('חד גזעי'!$AM$6="לא",IF(P235=0,IF(BC235="שימור",IF('חד גזעי'!$AM$4="לא",IF(BC235="לא בוגר",0,IF(BC235="לא קיים",0,IF(J235=0,0,I235*0.1))),IF(BC235="לא בוגר",0,IF(BC235="לא קיים",0,IF(AB235=1,I235*0.1,E235*0.5)))),0),IF('חד גזעי'!$AM$4="לא",IF(BC235="לא בוגר",0,IF(BC235="לא קיים",0,IF(J235=0,0,I235*0.1))),IF(BC235="לא בוגר",0,IF(BC235="לא קיים",0,IF(AB235=1,I235*0.1,E235*0.5))))),IF(P235=0,IF(BC235="שימור",IF('חד גזעי'!$AM$4="לא",IF(BC235="לא בוגר",0,IF(BC235="לא קיים",0,IF(J235=0,0,I235*0.15))),IF(BC235="לא בוגר",0,IF(BC235="לא קיים",0,IF(AB235=1,I235*0.15,E235*0.5)))),0),IF('חד גזעי'!$AM$4="לא",IF(BC235="לא בוגר",0,IF(BC235="לא קיים",0,IF(J235=0,0,I235*0.15))),IF(BC235="לא בוגר",0,IF(BC235="לא קיים",0,IF(AB235=1,I235*0.15,E235*0.5))))))</f>
        <v>0</v>
      </c>
      <c r="V235">
        <f t="shared" si="227"/>
        <v>0</v>
      </c>
      <c r="W235">
        <f t="shared" si="228"/>
        <v>0</v>
      </c>
      <c r="X235">
        <f t="shared" si="229"/>
        <v>0</v>
      </c>
      <c r="Y235">
        <f>IF('חד גזעי'!$AM$2 = "לא",0,IF(F235&gt;9,W235,0))</f>
        <v>0</v>
      </c>
      <c r="Z235">
        <f>IF('חד גזעי'!$AM$7 = "לא",0,IF(C235 = "זית אירופי",IF('חד גזעי'!$AN$7 &lt;=סקר!F235,W235,0),IF(C235 = "חרוב מצוי",IF('חד גזעי'!$AN$7 &lt;=סקר!F235,W235,0),0)))</f>
        <v>0</v>
      </c>
      <c r="AC235" s="101"/>
      <c r="AD235" s="103"/>
      <c r="AE235" s="103"/>
      <c r="AF235" s="103"/>
      <c r="AG235" s="103"/>
      <c r="AH235" s="103"/>
      <c r="AI235" s="103"/>
      <c r="AJ235" s="103"/>
      <c r="AK235" s="83"/>
      <c r="AM235" s="73"/>
      <c r="AN235" s="73"/>
      <c r="AO235" s="73"/>
      <c r="AS235" s="198"/>
      <c r="AT235" s="198"/>
      <c r="AU235" s="198"/>
      <c r="AV235" s="198"/>
      <c r="AW235" s="204"/>
      <c r="AX235" s="204"/>
      <c r="AY235" s="204"/>
      <c r="AZ235" s="198"/>
      <c r="BA235" s="198"/>
      <c r="BB235" s="198"/>
      <c r="BC235" s="198"/>
      <c r="BE235">
        <f t="shared" ref="BE235:BE269" si="253">IF(BC235="לא נדרש ברישיון",1,0)</f>
        <v>0</v>
      </c>
      <c r="BF235" s="196" t="str">
        <f>BF232</f>
        <v>C:\Users\origr\Pictures\0.jpg</v>
      </c>
      <c r="BG235" s="196" t="str">
        <f t="shared" ref="BG235:BK235" si="254">BG232</f>
        <v>C:\Users\origr\Pictures\0.jpg</v>
      </c>
      <c r="BH235" s="196" t="str">
        <f t="shared" si="254"/>
        <v>C:\Users\origr\Pictures\0.jpg</v>
      </c>
      <c r="BI235" s="196" t="str">
        <f t="shared" si="254"/>
        <v>C:\Users\origr\Pictures\0.jpg</v>
      </c>
      <c r="BJ235" s="196" t="str">
        <f t="shared" si="254"/>
        <v>C:\Users\origr\Pictures\0.jpg</v>
      </c>
      <c r="BK235" s="196" t="str">
        <f t="shared" si="254"/>
        <v>C:\Users\origr\Pictures\0.jpg</v>
      </c>
    </row>
    <row r="236" spans="1:63" hidden="1">
      <c r="B236" s="199"/>
      <c r="C236" s="199"/>
      <c r="D236" s="199"/>
      <c r="E236" s="199"/>
      <c r="F236" s="202"/>
      <c r="G236" s="205"/>
      <c r="H236" s="205"/>
      <c r="I236" s="199"/>
      <c r="J236" s="199"/>
      <c r="K236" s="199"/>
      <c r="L236" s="199"/>
      <c r="M236" s="199"/>
      <c r="N236" s="199"/>
      <c r="O236" s="199"/>
      <c r="P236" s="199"/>
      <c r="Q236" s="199"/>
      <c r="R236" s="199"/>
      <c r="T236" s="72">
        <f>IF('חד גזעי'!$AM$6="לא",IF(P236=0,IF(BC236="שימור",IF('חד גזעי'!$AM$4="לא",IF(BC236="לא בוגר",0,IF(BC236="לא קיים",0,IF(J236=0,0,I236*0.1))),IF(BC236="לא בוגר",0,IF(BC236="לא קיים",0,IF(AB236=1,I236*0.1,E236*0.5)))),0),IF('חד גזעי'!$AM$4="לא",IF(BC236="לא בוגר",0,IF(BC236="לא קיים",0,IF(J236=0,0,I236*0.1))),IF(BC236="לא בוגר",0,IF(BC236="לא קיים",0,IF(AB236=1,I236*0.1,E236*0.5))))),IF(P236=0,IF(BC236="שימור",IF('חד גזעי'!$AM$4="לא",IF(BC236="לא בוגר",0,IF(BC236="לא קיים",0,IF(J236=0,0,I236*0.15))),IF(BC236="לא בוגר",0,IF(BC236="לא קיים",0,IF(AB236=1,I236*0.15,E236*0.5)))),0),IF('חד גזעי'!$AM$4="לא",IF(BC236="לא בוגר",0,IF(BC236="לא קיים",0,IF(J236=0,0,I236*0.15))),IF(BC236="לא בוגר",0,IF(BC236="לא קיים",0,IF(AB236=1,I236*0.15,E236*0.5))))))</f>
        <v>0</v>
      </c>
      <c r="V236" t="str">
        <f t="shared" si="227"/>
        <v>שווי דקל</v>
      </c>
      <c r="W236" t="str">
        <f t="shared" si="228"/>
        <v>שווי דקל</v>
      </c>
      <c r="X236">
        <f t="shared" si="229"/>
        <v>0</v>
      </c>
      <c r="Y236">
        <f>IF('חד גזעי'!$AM$2 = "לא",0,IF(F236&gt;9,W236,0))</f>
        <v>0</v>
      </c>
      <c r="Z236">
        <f>IF('חד גזעי'!$AM$7 = "לא",0,IF(C236 = "זית אירופי",IF('חד גזעי'!$AN$7 &lt;=סקר!F236,W236,0),IF(C236 = "חרוב מצוי",IF('חד גזעי'!$AN$7 &lt;=סקר!F236,W236,0),0)))</f>
        <v>0</v>
      </c>
      <c r="AC236" s="94"/>
      <c r="AD236" s="94"/>
      <c r="AE236" s="72"/>
      <c r="AF236" s="77" t="s">
        <v>767</v>
      </c>
      <c r="AG236" s="77" t="s">
        <v>768</v>
      </c>
      <c r="AH236" s="72" t="s">
        <v>762</v>
      </c>
      <c r="AI236" s="72" t="s">
        <v>763</v>
      </c>
      <c r="AJ236" s="72" t="s">
        <v>764</v>
      </c>
      <c r="AK236" s="77" t="s">
        <v>770</v>
      </c>
      <c r="AL236" t="s">
        <v>771</v>
      </c>
      <c r="AM236" s="77" t="s">
        <v>809</v>
      </c>
      <c r="AN236" s="77" t="s">
        <v>810</v>
      </c>
      <c r="AO236" s="77" t="s">
        <v>811</v>
      </c>
      <c r="AS236" s="199"/>
      <c r="AT236" s="199"/>
      <c r="AU236" s="199"/>
      <c r="AV236" s="199"/>
      <c r="AW236" s="205"/>
      <c r="AX236" s="205"/>
      <c r="AY236" s="205"/>
      <c r="AZ236" s="199"/>
      <c r="BA236" s="199"/>
      <c r="BB236" s="199"/>
      <c r="BC236" s="199"/>
      <c r="BE236">
        <f t="shared" si="253"/>
        <v>0</v>
      </c>
      <c r="BF236" s="196"/>
      <c r="BG236" s="196"/>
      <c r="BH236" s="196"/>
      <c r="BI236" s="196"/>
      <c r="BJ236" s="196"/>
      <c r="BK236" s="196"/>
    </row>
    <row r="237" spans="1:63" hidden="1">
      <c r="B237" s="72"/>
      <c r="C237" s="135"/>
      <c r="D237" s="73"/>
      <c r="E237" s="73"/>
      <c r="F237" s="72"/>
      <c r="G237" s="72"/>
      <c r="H237" s="72"/>
      <c r="I237" s="73">
        <f t="shared" ref="I237:I268" si="255">F237+(G237/2)+(H237/2)</f>
        <v>0</v>
      </c>
      <c r="J237" s="73"/>
      <c r="K237" s="73"/>
      <c r="L237" s="74" t="e">
        <f>_xlfn.IFNA(VLOOKUP(C237,'חד גזעי'!$U$3:$V$509,2,0),VLOOKUP(C237,'חד גזעי'!$U$3:$V$509,2))</f>
        <v>#N/A</v>
      </c>
      <c r="M237" s="73"/>
      <c r="N237" s="72" t="e">
        <f>_xlfn.IFNA(IF(VLOOKUP(C237,'חד גזעי'!$AH$2:$AH$7,1,FALSE)&gt;0,0,IF('חד גזעי'!$AM$5="כן",IF(_xlfn.IFNA(VLOOKUP(C237,'חד גזעי'!$AH$2:$AH$33,1,FALSE),SUM(J237:M237))&lt;21,_xlfn.IFNA(VLOOKUP(C237,'חד גזעי'!$AH$2:$AH$33,1,FALSE),SUM(J237:M237)),0),SUM(J237:M237))),IF('חד גזעי'!$AM$5="כן",IF(_xlfn.IFNA(VLOOKUP(C237,'חד גזעי'!$AH$2:$AH$33,1,FALSE),SUM(J237:M237))&lt;21,_xlfn.IFNA(VLOOKUP(C237,'חד גזעי'!$AH$2:$AH$33,1,FALSE),SUM(J237:M237)),0),SUM(J237:M237)))</f>
        <v>#N/A</v>
      </c>
      <c r="O237" s="72">
        <f>IF('חד גזעי'!$AM$3 = "כן",IF(T237&gt;4,4,T237),T237)</f>
        <v>0</v>
      </c>
      <c r="P237" s="80">
        <f>IF(E237&lt;2,0,IF(Z237&gt;0,Z237,IF(N237 = 0,0,IF('חד גזעי'!$AM$2 = "לא",IF(F237&gt;19,W237,0),IF(F237&gt;9,Y237,0)))))</f>
        <v>0</v>
      </c>
      <c r="Q237" s="77"/>
      <c r="R237" s="75"/>
      <c r="S237" t="e">
        <f>VLOOKUP(C237,'חד גזעי'!$Y$4:$Y$18,1,0)</f>
        <v>#N/A</v>
      </c>
      <c r="T237" s="72">
        <f>IF('חד גזעי'!$AM$6="לא",IF(P237=0,IF(BC237="שימור",IF('חד גזעי'!$AM$4="לא",IF(BC237="לא בוגר",0,IF(BC237="לא קיים",0,IF(J237=0,0,I237*0.1))),IF(BC237="לא בוגר",0,IF(BC237="לא קיים",0,IF(AB237=1,I237*0.1,E237*0.5)))),0),IF('חד גזעי'!$AM$4="לא",IF(BC237="לא בוגר",0,IF(BC237="לא קיים",0,IF(J237=0,0,I237*0.1))),IF(BC237="לא בוגר",0,IF(BC237="לא קיים",0,IF(AB237=1,I237*0.1,E237*0.5))))),IF(P237=0,IF(BC237="שימור",IF('חד גזעי'!$AM$4="לא",IF(BC237="לא בוגר",0,IF(BC237="לא קיים",0,IF(J237=0,0,I237*0.15))),IF(BC237="לא בוגר",0,IF(BC237="לא קיים",0,IF(AB237=1,I237*0.15,E237*0.5)))),0),IF('חד גזעי'!$AM$4="לא",IF(BC237="לא בוגר",0,IF(BC237="לא קיים",0,IF(J237=0,0,I237*0.15))),IF(BC237="לא בוגר",0,IF(BC237="לא קיים",0,IF(AB237=1,I237*0.15,E237*0.5))))))</f>
        <v>0</v>
      </c>
      <c r="V237" t="e">
        <f t="shared" si="227"/>
        <v>#N/A</v>
      </c>
      <c r="W237" t="e">
        <f t="shared" si="228"/>
        <v>#N/A</v>
      </c>
      <c r="X237" t="e">
        <f t="shared" si="229"/>
        <v>#N/A</v>
      </c>
      <c r="Y237">
        <f>IF('חד גזעי'!$AM$2 = "לא",0,IF(F237&gt;9,W237,0))</f>
        <v>0</v>
      </c>
      <c r="Z237">
        <f>IF('חד גזעי'!$AM$7 = "לא",0,IF(C237 = "זית אירופי",IF('חד גזעי'!$AN$7 &lt;=סקר!F237,W237,0),IF(C237 = "חרוב מצוי",IF('חד גזעי'!$AN$7 &lt;=סקר!F237,W237,0),0)))</f>
        <v>0</v>
      </c>
      <c r="AB237">
        <f t="shared" ref="AB237:AB268" si="256">_xlfn.IFNA(S237,1)</f>
        <v>1</v>
      </c>
      <c r="AC237" s="72"/>
      <c r="AD237" t="e">
        <f>IF(AK237&gt;0,AK237,AF237)</f>
        <v>#N/A</v>
      </c>
      <c r="AE237" s="72"/>
      <c r="AF237" s="72" t="e">
        <f t="shared" ref="AF237:AF268" si="257">((AJ237+AI237+AH237)*(AG237))*(J237*0.2)*(K237*0.2)*20</f>
        <v>#N/A</v>
      </c>
      <c r="AG237" s="72" t="e">
        <f>IF('חד גזעי'!$AM$5="לא",(VLOOKUP(C237,'חד גזעי'!$P$1:$S$589,3,FALSE)),(VLOOKUP(C237,'חד גזעי'!$P$1:$S$589,4,FALSE)))</f>
        <v>#N/A</v>
      </c>
      <c r="AH237" s="72">
        <f t="shared" ref="AH237:AH268" si="258">(3.14*((F237/2)^2))</f>
        <v>0</v>
      </c>
      <c r="AI237" s="72">
        <f t="shared" ref="AI237:AI268" si="259">3.14*(G237*G237/4)</f>
        <v>0</v>
      </c>
      <c r="AJ237" s="72">
        <f t="shared" ref="AJ237:AJ268" si="260">3.14*(H237*H237/4)</f>
        <v>0</v>
      </c>
      <c r="AK237" s="72" t="e">
        <f t="shared" ref="AK237:AK268" si="261">AL237*E237*(J237*0.2)*(0.2*K237)*1500</f>
        <v>#N/A</v>
      </c>
      <c r="AL237" t="e">
        <f>VLOOKUP(C237,'חד גזעי'!$AH$8:$AI$33,2,FALSE)</f>
        <v>#N/A</v>
      </c>
      <c r="AM237" s="72" t="b">
        <f t="shared" ref="AM237:AM268" si="262">IF(BC237="שימור",P237)</f>
        <v>0</v>
      </c>
      <c r="AN237" s="72" t="b">
        <f t="shared" ref="AN237:AN268" si="263">IF(BC237="כריתה",P237)</f>
        <v>0</v>
      </c>
      <c r="AO237" s="72" t="b">
        <f t="shared" ref="AO237:AO268" si="264">IF(BC237="העתקה",P237)</f>
        <v>0</v>
      </c>
      <c r="AS237" s="72">
        <f t="shared" ref="AS237:AS268" si="265">B237</f>
        <v>0</v>
      </c>
      <c r="AT237" s="72">
        <f t="shared" ref="AT237:AT268" si="266">C237</f>
        <v>0</v>
      </c>
      <c r="AU237" s="72">
        <f>IF(C237&gt;0,IF(D237&lt;2,1,D237),0)</f>
        <v>0</v>
      </c>
      <c r="AV237" s="72">
        <f t="shared" ref="AV237:AV268" si="267">E237</f>
        <v>0</v>
      </c>
      <c r="AW237" s="72">
        <f t="shared" ref="AW237:AW268" si="268">F237</f>
        <v>0</v>
      </c>
      <c r="AX237" s="72">
        <f t="shared" ref="AX237:AX268" si="269">G237</f>
        <v>0</v>
      </c>
      <c r="AY237" s="72">
        <f t="shared" ref="AY237:AY268" si="270">H237</f>
        <v>0</v>
      </c>
      <c r="AZ237" s="72">
        <f t="shared" ref="AZ237:AZ268" si="271">I237</f>
        <v>0</v>
      </c>
      <c r="BA237" s="72" t="e">
        <f t="shared" ref="BA237:BA268" si="272">N237</f>
        <v>#N/A</v>
      </c>
      <c r="BB237" s="72" t="e">
        <f t="shared" ref="BB237:BB268" si="273">IF(BA237&gt;6,IF(BA237&gt;13,IF(BA237&gt;16,"גבוה מאוד","גבוה"),"בינונית"),"נמוכה")</f>
        <v>#N/A</v>
      </c>
      <c r="BC237" s="77"/>
      <c r="BE237">
        <f t="shared" si="253"/>
        <v>0</v>
      </c>
      <c r="BF237" s="196"/>
      <c r="BG237" s="196"/>
      <c r="BH237" s="196"/>
      <c r="BI237" s="196"/>
      <c r="BJ237" s="196"/>
      <c r="BK237" s="196"/>
    </row>
    <row r="238" spans="1:63" hidden="1">
      <c r="B238" s="72"/>
      <c r="C238" s="135"/>
      <c r="D238" s="73"/>
      <c r="E238" s="73"/>
      <c r="F238" s="72"/>
      <c r="G238" s="72"/>
      <c r="H238" s="72"/>
      <c r="I238" s="73">
        <f t="shared" si="255"/>
        <v>0</v>
      </c>
      <c r="J238" s="73"/>
      <c r="K238" s="73"/>
      <c r="L238" s="74" t="e">
        <f>_xlfn.IFNA(VLOOKUP(C238,'חד גזעי'!$U$3:$V$509,2,0),VLOOKUP(C238,'חד גזעי'!$U$3:$V$509,2))</f>
        <v>#N/A</v>
      </c>
      <c r="M238" s="73"/>
      <c r="N238" s="72" t="e">
        <f>_xlfn.IFNA(IF(VLOOKUP(C238,'חד גזעי'!$AH$2:$AH$7,1,FALSE)&gt;0,0,IF('חד גזעי'!$AM$5="כן",IF(_xlfn.IFNA(VLOOKUP(C238,'חד גזעי'!$AH$2:$AH$33,1,FALSE),SUM(J238:M238))&lt;21,_xlfn.IFNA(VLOOKUP(C238,'חד גזעי'!$AH$2:$AH$33,1,FALSE),SUM(J238:M238)),0),SUM(J238:M238))),IF('חד גזעי'!$AM$5="כן",IF(_xlfn.IFNA(VLOOKUP(C238,'חד גזעי'!$AH$2:$AH$33,1,FALSE),SUM(J238:M238))&lt;21,_xlfn.IFNA(VLOOKUP(C238,'חד גזעי'!$AH$2:$AH$33,1,FALSE),SUM(J238:M238)),0),SUM(J238:M238)))</f>
        <v>#N/A</v>
      </c>
      <c r="O238" s="72">
        <f>IF('חד גזעי'!$AM$3 = "כן",IF(T238&gt;4,4,T238),T238)</f>
        <v>0</v>
      </c>
      <c r="P238" s="80">
        <f>IF(E238&lt;2,0,IF(Z238&gt;0,Z238,IF(N238 = 0,0,IF('חד גזעי'!$AM$2 = "לא",IF(F238&gt;19,W238,0),IF(F238&gt;9,Y238,0)))))</f>
        <v>0</v>
      </c>
      <c r="Q238" s="77"/>
      <c r="R238" s="75"/>
      <c r="S238" t="e">
        <f>VLOOKUP(C238,'חד גזעי'!$Y$4:$Y$18,1,0)</f>
        <v>#N/A</v>
      </c>
      <c r="T238" s="72">
        <f>IF('חד גזעי'!$AM$6="לא",IF(P238=0,IF(BC238="שימור",IF('חד גזעי'!$AM$4="לא",IF(BC238="לא בוגר",0,IF(BC238="לא קיים",0,IF(J238=0,0,I238*0.1))),IF(BC238="לא בוגר",0,IF(BC238="לא קיים",0,IF(AB238=1,I238*0.1,E238*0.5)))),0),IF('חד גזעי'!$AM$4="לא",IF(BC238="לא בוגר",0,IF(BC238="לא קיים",0,IF(J238=0,0,I238*0.1))),IF(BC238="לא בוגר",0,IF(BC238="לא קיים",0,IF(AB238=1,I238*0.1,E238*0.5))))),IF(P238=0,IF(BC238="שימור",IF('חד גזעי'!$AM$4="לא",IF(BC238="לא בוגר",0,IF(BC238="לא קיים",0,IF(J238=0,0,I238*0.15))),IF(BC238="לא בוגר",0,IF(BC238="לא קיים",0,IF(AB238=1,I238*0.15,E238*0.5)))),0),IF('חד גזעי'!$AM$4="לא",IF(BC238="לא בוגר",0,IF(BC238="לא קיים",0,IF(J238=0,0,I238*0.15))),IF(BC238="לא בוגר",0,IF(BC238="לא קיים",0,IF(AB238=1,I238*0.15,E238*0.5))))))</f>
        <v>0</v>
      </c>
      <c r="V238" t="e">
        <f t="shared" si="227"/>
        <v>#N/A</v>
      </c>
      <c r="W238" t="e">
        <f t="shared" si="228"/>
        <v>#N/A</v>
      </c>
      <c r="X238" t="e">
        <f t="shared" si="229"/>
        <v>#N/A</v>
      </c>
      <c r="Y238">
        <f>IF('חד גזעי'!$AM$2 = "לא",0,IF(F238&gt;9,W238,0))</f>
        <v>0</v>
      </c>
      <c r="Z238">
        <f>IF('חד גזעי'!$AM$7 = "לא",0,IF(C238 = "זית אירופי",IF('חד גזעי'!$AN$7 &lt;=סקר!F238,W238,0),IF(C238 = "חרוב מצוי",IF('חד גזעי'!$AN$7 &lt;=סקר!F238,W238,0),0)))</f>
        <v>0</v>
      </c>
      <c r="AB238">
        <f t="shared" si="256"/>
        <v>1</v>
      </c>
      <c r="AC238" s="72"/>
      <c r="AD238" t="e">
        <f t="shared" ref="AD238:AD268" si="274">IF(AK238&gt;0,AK238,AF238)</f>
        <v>#N/A</v>
      </c>
      <c r="AE238" s="72"/>
      <c r="AF238" s="72" t="e">
        <f t="shared" si="257"/>
        <v>#N/A</v>
      </c>
      <c r="AG238" s="72" t="e">
        <f>IF('חד גזעי'!$AM$5="לא",(VLOOKUP(C238,'חד גזעי'!$P$1:$S$589,3,FALSE)),(VLOOKUP(C238,'חד גזעי'!$P$1:$S$589,4,FALSE)))</f>
        <v>#N/A</v>
      </c>
      <c r="AH238" s="72">
        <f t="shared" si="258"/>
        <v>0</v>
      </c>
      <c r="AI238" s="72">
        <f t="shared" si="259"/>
        <v>0</v>
      </c>
      <c r="AJ238" s="72">
        <f t="shared" si="260"/>
        <v>0</v>
      </c>
      <c r="AK238" s="72" t="e">
        <f t="shared" si="261"/>
        <v>#N/A</v>
      </c>
      <c r="AL238" t="e">
        <f>VLOOKUP(C238,'חד גזעי'!$AH$8:$AI$33,2,FALSE)</f>
        <v>#N/A</v>
      </c>
      <c r="AM238" s="72" t="b">
        <f t="shared" si="262"/>
        <v>0</v>
      </c>
      <c r="AN238" s="72" t="b">
        <f t="shared" si="263"/>
        <v>0</v>
      </c>
      <c r="AO238" s="72" t="b">
        <f t="shared" si="264"/>
        <v>0</v>
      </c>
      <c r="AS238" s="72">
        <f t="shared" si="265"/>
        <v>0</v>
      </c>
      <c r="AT238" s="72">
        <f t="shared" si="266"/>
        <v>0</v>
      </c>
      <c r="AU238" s="72">
        <f t="shared" ref="AU238:AU268" si="275">IF(C238&gt;0,IF(D238&lt;2,1,D238),0)</f>
        <v>0</v>
      </c>
      <c r="AV238" s="72">
        <f t="shared" si="267"/>
        <v>0</v>
      </c>
      <c r="AW238" s="72">
        <f t="shared" si="268"/>
        <v>0</v>
      </c>
      <c r="AX238" s="72">
        <f t="shared" si="269"/>
        <v>0</v>
      </c>
      <c r="AY238" s="72">
        <f t="shared" si="270"/>
        <v>0</v>
      </c>
      <c r="AZ238" s="72">
        <f t="shared" si="271"/>
        <v>0</v>
      </c>
      <c r="BA238" s="72" t="e">
        <f t="shared" si="272"/>
        <v>#N/A</v>
      </c>
      <c r="BB238" s="72" t="e">
        <f t="shared" si="273"/>
        <v>#N/A</v>
      </c>
      <c r="BC238" s="77"/>
      <c r="BE238">
        <f t="shared" si="253"/>
        <v>0</v>
      </c>
      <c r="BF238" s="196"/>
      <c r="BG238" s="196"/>
      <c r="BH238" s="196"/>
      <c r="BI238" s="196"/>
      <c r="BJ238" s="196"/>
      <c r="BK238" s="196"/>
    </row>
    <row r="239" spans="1:63" hidden="1">
      <c r="B239" s="72"/>
      <c r="C239" s="135"/>
      <c r="D239" s="73"/>
      <c r="E239" s="73"/>
      <c r="F239" s="72"/>
      <c r="G239" s="72"/>
      <c r="H239" s="72"/>
      <c r="I239" s="73">
        <f t="shared" si="255"/>
        <v>0</v>
      </c>
      <c r="J239" s="73"/>
      <c r="K239" s="73"/>
      <c r="L239" s="74" t="e">
        <f>_xlfn.IFNA(VLOOKUP(C239,'חד גזעי'!$U$3:$V$509,2,0),VLOOKUP(C239,'חד גזעי'!$U$3:$V$509,2))</f>
        <v>#N/A</v>
      </c>
      <c r="M239" s="73"/>
      <c r="N239" s="72" t="e">
        <f>_xlfn.IFNA(IF(VLOOKUP(C239,'חד גזעי'!$AH$2:$AH$7,1,FALSE)&gt;0,0,IF('חד גזעי'!$AM$5="כן",IF(_xlfn.IFNA(VLOOKUP(C239,'חד גזעי'!$AH$2:$AH$33,1,FALSE),SUM(J239:M239))&lt;21,_xlfn.IFNA(VLOOKUP(C239,'חד גזעי'!$AH$2:$AH$33,1,FALSE),SUM(J239:M239)),0),SUM(J239:M239))),IF('חד גזעי'!$AM$5="כן",IF(_xlfn.IFNA(VLOOKUP(C239,'חד גזעי'!$AH$2:$AH$33,1,FALSE),SUM(J239:M239))&lt;21,_xlfn.IFNA(VLOOKUP(C239,'חד גזעי'!$AH$2:$AH$33,1,FALSE),SUM(J239:M239)),0),SUM(J239:M239)))</f>
        <v>#N/A</v>
      </c>
      <c r="O239" s="72">
        <f>IF('חד גזעי'!$AM$3 = "כן",IF(T239&gt;4,4,T239),T239)</f>
        <v>0</v>
      </c>
      <c r="P239" s="80">
        <f>IF(E239&lt;2,0,IF(Z239&gt;0,Z239,IF(N239 = 0,0,IF('חד גזעי'!$AM$2 = "לא",IF(F239&gt;19,W239,0),IF(F239&gt;9,Y239,0)))))</f>
        <v>0</v>
      </c>
      <c r="Q239" s="77"/>
      <c r="R239" s="75"/>
      <c r="S239" t="e">
        <f>VLOOKUP(C239,'חד גזעי'!$Y$4:$Y$18,1,0)</f>
        <v>#N/A</v>
      </c>
      <c r="T239" s="72">
        <f>IF('חד גזעי'!$AM$6="לא",IF(P239=0,IF(BC239="שימור",IF('חד גזעי'!$AM$4="לא",IF(BC239="לא בוגר",0,IF(BC239="לא קיים",0,IF(J239=0,0,I239*0.1))),IF(BC239="לא בוגר",0,IF(BC239="לא קיים",0,IF(AB239=1,I239*0.1,E239*0.5)))),0),IF('חד גזעי'!$AM$4="לא",IF(BC239="לא בוגר",0,IF(BC239="לא קיים",0,IF(J239=0,0,I239*0.1))),IF(BC239="לא בוגר",0,IF(BC239="לא קיים",0,IF(AB239=1,I239*0.1,E239*0.5))))),IF(P239=0,IF(BC239="שימור",IF('חד גזעי'!$AM$4="לא",IF(BC239="לא בוגר",0,IF(BC239="לא קיים",0,IF(J239=0,0,I239*0.15))),IF(BC239="לא בוגר",0,IF(BC239="לא קיים",0,IF(AB239=1,I239*0.15,E239*0.5)))),0),IF('חד גזעי'!$AM$4="לא",IF(BC239="לא בוגר",0,IF(BC239="לא קיים",0,IF(J239=0,0,I239*0.15))),IF(BC239="לא בוגר",0,IF(BC239="לא קיים",0,IF(AB239=1,I239*0.15,E239*0.5))))))</f>
        <v>0</v>
      </c>
      <c r="V239" t="e">
        <f t="shared" si="227"/>
        <v>#N/A</v>
      </c>
      <c r="W239" t="e">
        <f t="shared" si="228"/>
        <v>#N/A</v>
      </c>
      <c r="X239" t="e">
        <f t="shared" si="229"/>
        <v>#N/A</v>
      </c>
      <c r="Y239">
        <f>IF('חד גזעי'!$AM$2 = "לא",0,IF(F239&gt;9,W239,0))</f>
        <v>0</v>
      </c>
      <c r="Z239">
        <f>IF('חד גזעי'!$AM$7 = "לא",0,IF(C239 = "זית אירופי",IF('חד גזעי'!$AN$7 &lt;=סקר!F239,W239,0),IF(C239 = "חרוב מצוי",IF('חד גזעי'!$AN$7 &lt;=סקר!F239,W239,0),0)))</f>
        <v>0</v>
      </c>
      <c r="AB239">
        <f t="shared" si="256"/>
        <v>1</v>
      </c>
      <c r="AC239" s="72"/>
      <c r="AD239" t="e">
        <f t="shared" si="274"/>
        <v>#N/A</v>
      </c>
      <c r="AE239" s="72"/>
      <c r="AF239" s="72" t="e">
        <f t="shared" si="257"/>
        <v>#N/A</v>
      </c>
      <c r="AG239" s="72" t="e">
        <f>IF('חד גזעי'!$AM$5="לא",(VLOOKUP(C239,'חד גזעי'!$P$1:$S$589,3,FALSE)),(VLOOKUP(C239,'חד גזעי'!$P$1:$S$589,4,FALSE)))</f>
        <v>#N/A</v>
      </c>
      <c r="AH239" s="72">
        <f t="shared" si="258"/>
        <v>0</v>
      </c>
      <c r="AI239" s="72">
        <f t="shared" si="259"/>
        <v>0</v>
      </c>
      <c r="AJ239" s="72">
        <f t="shared" si="260"/>
        <v>0</v>
      </c>
      <c r="AK239" s="72" t="e">
        <f t="shared" si="261"/>
        <v>#N/A</v>
      </c>
      <c r="AL239" t="e">
        <f>VLOOKUP(C239,'חד גזעי'!$AH$8:$AI$33,2,FALSE)</f>
        <v>#N/A</v>
      </c>
      <c r="AM239" s="72" t="b">
        <f t="shared" si="262"/>
        <v>0</v>
      </c>
      <c r="AN239" s="72" t="b">
        <f t="shared" si="263"/>
        <v>0</v>
      </c>
      <c r="AO239" s="72" t="b">
        <f t="shared" si="264"/>
        <v>0</v>
      </c>
      <c r="AS239" s="72">
        <f t="shared" si="265"/>
        <v>0</v>
      </c>
      <c r="AT239" s="72">
        <f t="shared" si="266"/>
        <v>0</v>
      </c>
      <c r="AU239" s="72">
        <f t="shared" si="275"/>
        <v>0</v>
      </c>
      <c r="AV239" s="72">
        <f t="shared" si="267"/>
        <v>0</v>
      </c>
      <c r="AW239" s="72">
        <f t="shared" si="268"/>
        <v>0</v>
      </c>
      <c r="AX239" s="72">
        <f t="shared" si="269"/>
        <v>0</v>
      </c>
      <c r="AY239" s="72">
        <f t="shared" si="270"/>
        <v>0</v>
      </c>
      <c r="AZ239" s="72">
        <f t="shared" si="271"/>
        <v>0</v>
      </c>
      <c r="BA239" s="72" t="e">
        <f t="shared" si="272"/>
        <v>#N/A</v>
      </c>
      <c r="BB239" s="72" t="e">
        <f t="shared" si="273"/>
        <v>#N/A</v>
      </c>
      <c r="BC239" s="77"/>
      <c r="BE239">
        <f t="shared" si="253"/>
        <v>0</v>
      </c>
      <c r="BF239" s="196"/>
      <c r="BG239" s="196"/>
      <c r="BH239" s="196"/>
      <c r="BI239" s="196"/>
      <c r="BJ239" s="196"/>
      <c r="BK239" s="196"/>
    </row>
    <row r="240" spans="1:63" hidden="1">
      <c r="B240" s="72"/>
      <c r="C240" s="135"/>
      <c r="D240" s="73"/>
      <c r="E240" s="73"/>
      <c r="F240" s="72"/>
      <c r="G240" s="72"/>
      <c r="H240" s="72"/>
      <c r="I240" s="73">
        <f t="shared" si="255"/>
        <v>0</v>
      </c>
      <c r="J240" s="73"/>
      <c r="K240" s="73"/>
      <c r="L240" s="74" t="e">
        <f>_xlfn.IFNA(VLOOKUP(C240,'חד גזעי'!$U$3:$V$509,2,0),VLOOKUP(C240,'חד גזעי'!$U$3:$V$509,2))</f>
        <v>#N/A</v>
      </c>
      <c r="M240" s="73"/>
      <c r="N240" s="72" t="e">
        <f>_xlfn.IFNA(IF(VLOOKUP(C240,'חד גזעי'!$AH$2:$AH$7,1,FALSE)&gt;0,0,IF('חד גזעי'!$AM$5="כן",IF(_xlfn.IFNA(VLOOKUP(C240,'חד גזעי'!$AH$2:$AH$33,1,FALSE),SUM(J240:M240))&lt;21,_xlfn.IFNA(VLOOKUP(C240,'חד גזעי'!$AH$2:$AH$33,1,FALSE),SUM(J240:M240)),0),SUM(J240:M240))),IF('חד גזעי'!$AM$5="כן",IF(_xlfn.IFNA(VLOOKUP(C240,'חד גזעי'!$AH$2:$AH$33,1,FALSE),SUM(J240:M240))&lt;21,_xlfn.IFNA(VLOOKUP(C240,'חד גזעי'!$AH$2:$AH$33,1,FALSE),SUM(J240:M240)),0),SUM(J240:M240)))</f>
        <v>#N/A</v>
      </c>
      <c r="O240" s="72">
        <f>IF('חד גזעי'!$AM$3 = "כן",IF(T240&gt;4,4,T240),T240)</f>
        <v>0</v>
      </c>
      <c r="P240" s="80">
        <f>IF(E240&lt;2,0,IF(Z240&gt;0,Z240,IF(N240 = 0,0,IF('חד גזעי'!$AM$2 = "לא",IF(F240&gt;19,W240,0),IF(F240&gt;9,Y240,0)))))</f>
        <v>0</v>
      </c>
      <c r="Q240" s="77"/>
      <c r="R240" s="75"/>
      <c r="S240" t="e">
        <f>VLOOKUP(C240,'חד גזעי'!$Y$4:$Y$18,1,0)</f>
        <v>#N/A</v>
      </c>
      <c r="T240" s="72">
        <f>IF('חד גזעי'!$AM$6="לא",IF(P240=0,IF(BC240="שימור",IF('חד גזעי'!$AM$4="לא",IF(BC240="לא בוגר",0,IF(BC240="לא קיים",0,IF(J240=0,0,I240*0.1))),IF(BC240="לא בוגר",0,IF(BC240="לא קיים",0,IF(AB240=1,I240*0.1,E240*0.5)))),0),IF('חד גזעי'!$AM$4="לא",IF(BC240="לא בוגר",0,IF(BC240="לא קיים",0,IF(J240=0,0,I240*0.1))),IF(BC240="לא בוגר",0,IF(BC240="לא קיים",0,IF(AB240=1,I240*0.1,E240*0.5))))),IF(P240=0,IF(BC240="שימור",IF('חד גזעי'!$AM$4="לא",IF(BC240="לא בוגר",0,IF(BC240="לא קיים",0,IF(J240=0,0,I240*0.15))),IF(BC240="לא בוגר",0,IF(BC240="לא קיים",0,IF(AB240=1,I240*0.15,E240*0.5)))),0),IF('חד גזעי'!$AM$4="לא",IF(BC240="לא בוגר",0,IF(BC240="לא קיים",0,IF(J240=0,0,I240*0.15))),IF(BC240="לא בוגר",0,IF(BC240="לא קיים",0,IF(AB240=1,I240*0.15,E240*0.5))))))</f>
        <v>0</v>
      </c>
      <c r="V240" t="e">
        <f t="shared" si="227"/>
        <v>#N/A</v>
      </c>
      <c r="W240" t="e">
        <f t="shared" si="228"/>
        <v>#N/A</v>
      </c>
      <c r="X240" t="e">
        <f t="shared" si="229"/>
        <v>#N/A</v>
      </c>
      <c r="Y240">
        <f>IF('חד גזעי'!$AM$2 = "לא",0,IF(F240&gt;9,W240,0))</f>
        <v>0</v>
      </c>
      <c r="Z240">
        <f>IF('חד גזעי'!$AM$7 = "לא",0,IF(C240 = "זית אירופי",IF('חד גזעי'!$AN$7 &lt;=סקר!F240,W240,0),IF(C240 = "חרוב מצוי",IF('חד גזעי'!$AN$7 &lt;=סקר!F240,W240,0),0)))</f>
        <v>0</v>
      </c>
      <c r="AB240">
        <f t="shared" si="256"/>
        <v>1</v>
      </c>
      <c r="AC240" s="72"/>
      <c r="AD240" t="e">
        <f t="shared" si="274"/>
        <v>#N/A</v>
      </c>
      <c r="AE240" s="72"/>
      <c r="AF240" s="72" t="e">
        <f t="shared" si="257"/>
        <v>#N/A</v>
      </c>
      <c r="AG240" s="72" t="e">
        <f>IF('חד גזעי'!$AM$5="לא",(VLOOKUP(C240,'חד גזעי'!$P$1:$S$589,3,FALSE)),(VLOOKUP(C240,'חד גזעי'!$P$1:$S$589,4,FALSE)))</f>
        <v>#N/A</v>
      </c>
      <c r="AH240" s="72">
        <f t="shared" si="258"/>
        <v>0</v>
      </c>
      <c r="AI240" s="72">
        <f t="shared" si="259"/>
        <v>0</v>
      </c>
      <c r="AJ240" s="72">
        <f t="shared" si="260"/>
        <v>0</v>
      </c>
      <c r="AK240" s="72" t="e">
        <f t="shared" si="261"/>
        <v>#N/A</v>
      </c>
      <c r="AL240" t="e">
        <f>VLOOKUP(C240,'חד גזעי'!$AH$8:$AI$33,2,FALSE)</f>
        <v>#N/A</v>
      </c>
      <c r="AM240" s="72" t="b">
        <f t="shared" si="262"/>
        <v>0</v>
      </c>
      <c r="AN240" s="72" t="b">
        <f t="shared" si="263"/>
        <v>0</v>
      </c>
      <c r="AO240" s="72" t="b">
        <f t="shared" si="264"/>
        <v>0</v>
      </c>
      <c r="AS240" s="72">
        <f t="shared" si="265"/>
        <v>0</v>
      </c>
      <c r="AT240" s="72">
        <f t="shared" si="266"/>
        <v>0</v>
      </c>
      <c r="AU240" s="72">
        <f t="shared" si="275"/>
        <v>0</v>
      </c>
      <c r="AV240" s="72">
        <f t="shared" si="267"/>
        <v>0</v>
      </c>
      <c r="AW240" s="72">
        <f t="shared" si="268"/>
        <v>0</v>
      </c>
      <c r="AX240" s="72">
        <f t="shared" si="269"/>
        <v>0</v>
      </c>
      <c r="AY240" s="72">
        <f t="shared" si="270"/>
        <v>0</v>
      </c>
      <c r="AZ240" s="72">
        <f t="shared" si="271"/>
        <v>0</v>
      </c>
      <c r="BA240" s="72" t="e">
        <f t="shared" si="272"/>
        <v>#N/A</v>
      </c>
      <c r="BB240" s="72" t="e">
        <f t="shared" si="273"/>
        <v>#N/A</v>
      </c>
      <c r="BC240" s="77"/>
      <c r="BE240">
        <f t="shared" si="253"/>
        <v>0</v>
      </c>
      <c r="BF240" s="196"/>
      <c r="BG240" s="196"/>
      <c r="BH240" s="196"/>
      <c r="BI240" s="196"/>
      <c r="BJ240" s="196"/>
      <c r="BK240" s="196"/>
    </row>
    <row r="241" spans="2:63" hidden="1">
      <c r="B241" s="72"/>
      <c r="C241" s="135"/>
      <c r="D241" s="73"/>
      <c r="E241" s="73"/>
      <c r="F241" s="72"/>
      <c r="G241" s="72"/>
      <c r="H241" s="72"/>
      <c r="I241" s="73">
        <f t="shared" si="255"/>
        <v>0</v>
      </c>
      <c r="J241" s="73"/>
      <c r="K241" s="73"/>
      <c r="L241" s="74" t="e">
        <f>_xlfn.IFNA(VLOOKUP(C241,'חד גזעי'!$U$3:$V$509,2,0),VLOOKUP(C241,'חד גזעי'!$U$3:$V$509,2))</f>
        <v>#N/A</v>
      </c>
      <c r="M241" s="73"/>
      <c r="N241" s="72" t="e">
        <f>_xlfn.IFNA(IF(VLOOKUP(C241,'חד גזעי'!$AH$2:$AH$7,1,FALSE)&gt;0,0,IF('חד גזעי'!$AM$5="כן",IF(_xlfn.IFNA(VLOOKUP(C241,'חד גזעי'!$AH$2:$AH$33,1,FALSE),SUM(J241:M241))&lt;21,_xlfn.IFNA(VLOOKUP(C241,'חד גזעי'!$AH$2:$AH$33,1,FALSE),SUM(J241:M241)),0),SUM(J241:M241))),IF('חד גזעי'!$AM$5="כן",IF(_xlfn.IFNA(VLOOKUP(C241,'חד גזעי'!$AH$2:$AH$33,1,FALSE),SUM(J241:M241))&lt;21,_xlfn.IFNA(VLOOKUP(C241,'חד גזעי'!$AH$2:$AH$33,1,FALSE),SUM(J241:M241)),0),SUM(J241:M241)))</f>
        <v>#N/A</v>
      </c>
      <c r="O241" s="72">
        <f>IF('חד גזעי'!$AM$3 = "כן",IF(T241&gt;4,4,T241),T241)</f>
        <v>0</v>
      </c>
      <c r="P241" s="80">
        <f>IF(E241&lt;2,0,IF(Z241&gt;0,Z241,IF(N241 = 0,0,IF('חד גזעי'!$AM$2 = "לא",IF(F241&gt;19,W241,0),IF(F241&gt;9,Y241,0)))))</f>
        <v>0</v>
      </c>
      <c r="Q241" s="77"/>
      <c r="R241" s="75"/>
      <c r="S241" t="e">
        <f>VLOOKUP(C241,'חד גזעי'!$Y$4:$Y$18,1,0)</f>
        <v>#N/A</v>
      </c>
      <c r="T241" s="72">
        <f>IF('חד גזעי'!$AM$6="לא",IF(P241=0,IF(BC241="שימור",IF('חד גזעי'!$AM$4="לא",IF(BC241="לא בוגר",0,IF(BC241="לא קיים",0,IF(J241=0,0,I241*0.1))),IF(BC241="לא בוגר",0,IF(BC241="לא קיים",0,IF(AB241=1,I241*0.1,E241*0.5)))),0),IF('חד גזעי'!$AM$4="לא",IF(BC241="לא בוגר",0,IF(BC241="לא קיים",0,IF(J241=0,0,I241*0.1))),IF(BC241="לא בוגר",0,IF(BC241="לא קיים",0,IF(AB241=1,I241*0.1,E241*0.5))))),IF(P241=0,IF(BC241="שימור",IF('חד גזעי'!$AM$4="לא",IF(BC241="לא בוגר",0,IF(BC241="לא קיים",0,IF(J241=0,0,I241*0.15))),IF(BC241="לא בוגר",0,IF(BC241="לא קיים",0,IF(AB241=1,I241*0.15,E241*0.5)))),0),IF('חד גזעי'!$AM$4="לא",IF(BC241="לא בוגר",0,IF(BC241="לא קיים",0,IF(J241=0,0,I241*0.15))),IF(BC241="לא בוגר",0,IF(BC241="לא קיים",0,IF(AB241=1,I241*0.15,E241*0.5))))))</f>
        <v>0</v>
      </c>
      <c r="V241" t="e">
        <f t="shared" si="227"/>
        <v>#N/A</v>
      </c>
      <c r="W241" t="e">
        <f t="shared" si="228"/>
        <v>#N/A</v>
      </c>
      <c r="X241" t="e">
        <f t="shared" si="229"/>
        <v>#N/A</v>
      </c>
      <c r="Y241">
        <f>IF('חד גזעי'!$AM$2 = "לא",0,IF(F241&gt;9,W241,0))</f>
        <v>0</v>
      </c>
      <c r="Z241">
        <f>IF('חד גזעי'!$AM$7 = "לא",0,IF(C241 = "זית אירופי",IF('חד גזעי'!$AN$7 &lt;=סקר!F241,W241,0),IF(C241 = "חרוב מצוי",IF('חד גזעי'!$AN$7 &lt;=סקר!F241,W241,0),0)))</f>
        <v>0</v>
      </c>
      <c r="AB241">
        <f t="shared" si="256"/>
        <v>1</v>
      </c>
      <c r="AC241" s="72"/>
      <c r="AD241" t="e">
        <f t="shared" si="274"/>
        <v>#N/A</v>
      </c>
      <c r="AE241" s="72"/>
      <c r="AF241" s="72" t="e">
        <f t="shared" si="257"/>
        <v>#N/A</v>
      </c>
      <c r="AG241" s="72" t="e">
        <f>IF('חד גזעי'!$AM$5="לא",(VLOOKUP(C241,'חד גזעי'!$P$1:$S$589,3,FALSE)),(VLOOKUP(C241,'חד גזעי'!$P$1:$S$589,4,FALSE)))</f>
        <v>#N/A</v>
      </c>
      <c r="AH241" s="72">
        <f t="shared" si="258"/>
        <v>0</v>
      </c>
      <c r="AI241" s="72">
        <f t="shared" si="259"/>
        <v>0</v>
      </c>
      <c r="AJ241" s="72">
        <f t="shared" si="260"/>
        <v>0</v>
      </c>
      <c r="AK241" s="72" t="e">
        <f t="shared" si="261"/>
        <v>#N/A</v>
      </c>
      <c r="AL241" t="e">
        <f>VLOOKUP(C241,'חד גזעי'!$AH$8:$AI$33,2,FALSE)</f>
        <v>#N/A</v>
      </c>
      <c r="AM241" s="72" t="b">
        <f t="shared" si="262"/>
        <v>0</v>
      </c>
      <c r="AN241" s="72" t="b">
        <f t="shared" si="263"/>
        <v>0</v>
      </c>
      <c r="AO241" s="72" t="b">
        <f t="shared" si="264"/>
        <v>0</v>
      </c>
      <c r="AS241" s="72">
        <f t="shared" si="265"/>
        <v>0</v>
      </c>
      <c r="AT241" s="72">
        <f t="shared" si="266"/>
        <v>0</v>
      </c>
      <c r="AU241" s="72">
        <f t="shared" si="275"/>
        <v>0</v>
      </c>
      <c r="AV241" s="72">
        <f t="shared" si="267"/>
        <v>0</v>
      </c>
      <c r="AW241" s="72">
        <f t="shared" si="268"/>
        <v>0</v>
      </c>
      <c r="AX241" s="72">
        <f t="shared" si="269"/>
        <v>0</v>
      </c>
      <c r="AY241" s="72">
        <f t="shared" si="270"/>
        <v>0</v>
      </c>
      <c r="AZ241" s="72">
        <f t="shared" si="271"/>
        <v>0</v>
      </c>
      <c r="BA241" s="72" t="e">
        <f t="shared" si="272"/>
        <v>#N/A</v>
      </c>
      <c r="BB241" s="72" t="e">
        <f t="shared" si="273"/>
        <v>#N/A</v>
      </c>
      <c r="BC241" s="77"/>
      <c r="BE241">
        <f t="shared" si="253"/>
        <v>0</v>
      </c>
      <c r="BF241" s="196"/>
      <c r="BG241" s="196"/>
      <c r="BH241" s="196"/>
      <c r="BI241" s="196"/>
      <c r="BJ241" s="196"/>
      <c r="BK241" s="196"/>
    </row>
    <row r="242" spans="2:63" hidden="1">
      <c r="B242" s="72"/>
      <c r="C242" s="135"/>
      <c r="D242" s="78"/>
      <c r="E242" s="73"/>
      <c r="F242" s="72"/>
      <c r="G242" s="72"/>
      <c r="H242" s="72"/>
      <c r="I242" s="73">
        <f t="shared" si="255"/>
        <v>0</v>
      </c>
      <c r="J242" s="78"/>
      <c r="K242" s="73"/>
      <c r="L242" s="74" t="e">
        <f>_xlfn.IFNA(VLOOKUP(C242,'חד גזעי'!$U$3:$V$509,2,0),VLOOKUP(C242,'חד גזעי'!$U$3:$V$509,2))</f>
        <v>#N/A</v>
      </c>
      <c r="M242" s="73"/>
      <c r="N242" s="72" t="e">
        <f>_xlfn.IFNA(IF(VLOOKUP(C242,'חד גזעי'!$AH$2:$AH$7,1,FALSE)&gt;0,0,IF('חד גזעי'!$AM$5="כן",IF(_xlfn.IFNA(VLOOKUP(C242,'חד גזעי'!$AH$2:$AH$33,1,FALSE),SUM(J242:M242))&lt;21,_xlfn.IFNA(VLOOKUP(C242,'חד גזעי'!$AH$2:$AH$33,1,FALSE),SUM(J242:M242)),0),SUM(J242:M242))),IF('חד גזעי'!$AM$5="כן",IF(_xlfn.IFNA(VLOOKUP(C242,'חד גזעי'!$AH$2:$AH$33,1,FALSE),SUM(J242:M242))&lt;21,_xlfn.IFNA(VLOOKUP(C242,'חד גזעי'!$AH$2:$AH$33,1,FALSE),SUM(J242:M242)),0),SUM(J242:M242)))</f>
        <v>#N/A</v>
      </c>
      <c r="O242" s="72">
        <f>IF('חד גזעי'!$AM$3 = "כן",IF(T242&gt;4,4,T242),T242)</f>
        <v>0</v>
      </c>
      <c r="P242" s="80">
        <f>IF(E242&lt;2,0,IF(Z242&gt;0,Z242,IF(N242 = 0,0,IF('חד גזעי'!$AM$2 = "לא",IF(F242&gt;19,W242,0),IF(F242&gt;9,Y242,0)))))</f>
        <v>0</v>
      </c>
      <c r="Q242" s="77"/>
      <c r="R242" s="75"/>
      <c r="S242" t="e">
        <f>VLOOKUP(C242,'חד גזעי'!$Y$4:$Y$18,1,0)</f>
        <v>#N/A</v>
      </c>
      <c r="T242" s="72">
        <f>IF('חד גזעי'!$AM$6="לא",IF(P242=0,IF(BC242="שימור",IF('חד גזעי'!$AM$4="לא",IF(BC242="לא בוגר",0,IF(BC242="לא קיים",0,IF(J242=0,0,I242*0.1))),IF(BC242="לא בוגר",0,IF(BC242="לא קיים",0,IF(AB242=1,I242*0.1,E242*0.5)))),0),IF('חד גזעי'!$AM$4="לא",IF(BC242="לא בוגר",0,IF(BC242="לא קיים",0,IF(J242=0,0,I242*0.1))),IF(BC242="לא בוגר",0,IF(BC242="לא קיים",0,IF(AB242=1,I242*0.1,E242*0.5))))),IF(P242=0,IF(BC242="שימור",IF('חד גזעי'!$AM$4="לא",IF(BC242="לא בוגר",0,IF(BC242="לא קיים",0,IF(J242=0,0,I242*0.15))),IF(BC242="לא בוגר",0,IF(BC242="לא קיים",0,IF(AB242=1,I242*0.15,E242*0.5)))),0),IF('חד גזעי'!$AM$4="לא",IF(BC242="לא בוגר",0,IF(BC242="לא קיים",0,IF(J242=0,0,I242*0.15))),IF(BC242="לא בוגר",0,IF(BC242="לא קיים",0,IF(AB242=1,I242*0.15,E242*0.5))))))</f>
        <v>0</v>
      </c>
      <c r="V242" t="e">
        <f t="shared" si="227"/>
        <v>#N/A</v>
      </c>
      <c r="W242" t="e">
        <f t="shared" si="228"/>
        <v>#N/A</v>
      </c>
      <c r="X242" t="e">
        <f t="shared" si="229"/>
        <v>#N/A</v>
      </c>
      <c r="Y242">
        <f>IF('חד גזעי'!$AM$2 = "לא",0,IF(F242&gt;9,W242,0))</f>
        <v>0</v>
      </c>
      <c r="Z242">
        <f>IF('חד גזעי'!$AM$7 = "לא",0,IF(C242 = "זית אירופי",IF('חד גזעי'!$AN$7 &lt;=סקר!F242,W242,0),IF(C242 = "חרוב מצוי",IF('חד גזעי'!$AN$7 &lt;=סקר!F242,W242,0),0)))</f>
        <v>0</v>
      </c>
      <c r="AB242">
        <f t="shared" si="256"/>
        <v>1</v>
      </c>
      <c r="AC242" s="72"/>
      <c r="AD242" t="e">
        <f t="shared" si="274"/>
        <v>#N/A</v>
      </c>
      <c r="AE242" s="72"/>
      <c r="AF242" s="72" t="e">
        <f t="shared" si="257"/>
        <v>#N/A</v>
      </c>
      <c r="AG242" s="72" t="e">
        <f>IF('חד גזעי'!$AM$5="לא",(VLOOKUP(C242,'חד גזעי'!$P$1:$S$589,3,FALSE)),(VLOOKUP(C242,'חד גזעי'!$P$1:$S$589,4,FALSE)))</f>
        <v>#N/A</v>
      </c>
      <c r="AH242" s="72">
        <f t="shared" si="258"/>
        <v>0</v>
      </c>
      <c r="AI242" s="72">
        <f t="shared" si="259"/>
        <v>0</v>
      </c>
      <c r="AJ242" s="72">
        <f t="shared" si="260"/>
        <v>0</v>
      </c>
      <c r="AK242" s="72" t="e">
        <f t="shared" si="261"/>
        <v>#N/A</v>
      </c>
      <c r="AL242" t="e">
        <f>VLOOKUP(C242,'חד גזעי'!$AH$8:$AI$33,2,FALSE)</f>
        <v>#N/A</v>
      </c>
      <c r="AM242" s="72" t="b">
        <f t="shared" si="262"/>
        <v>0</v>
      </c>
      <c r="AN242" s="72" t="b">
        <f t="shared" si="263"/>
        <v>0</v>
      </c>
      <c r="AO242" s="72" t="b">
        <f t="shared" si="264"/>
        <v>0</v>
      </c>
      <c r="AS242" s="72">
        <f t="shared" si="265"/>
        <v>0</v>
      </c>
      <c r="AT242" s="72">
        <f t="shared" si="266"/>
        <v>0</v>
      </c>
      <c r="AU242" s="72">
        <f t="shared" si="275"/>
        <v>0</v>
      </c>
      <c r="AV242" s="72">
        <f t="shared" si="267"/>
        <v>0</v>
      </c>
      <c r="AW242" s="72">
        <f t="shared" si="268"/>
        <v>0</v>
      </c>
      <c r="AX242" s="72">
        <f t="shared" si="269"/>
        <v>0</v>
      </c>
      <c r="AY242" s="72">
        <f t="shared" si="270"/>
        <v>0</v>
      </c>
      <c r="AZ242" s="72">
        <f t="shared" si="271"/>
        <v>0</v>
      </c>
      <c r="BA242" s="72" t="e">
        <f t="shared" si="272"/>
        <v>#N/A</v>
      </c>
      <c r="BB242" s="72" t="e">
        <f t="shared" si="273"/>
        <v>#N/A</v>
      </c>
      <c r="BC242" s="77"/>
      <c r="BE242">
        <f t="shared" si="253"/>
        <v>0</v>
      </c>
      <c r="BF242" s="196"/>
      <c r="BG242" s="196"/>
      <c r="BH242" s="196"/>
      <c r="BI242" s="196"/>
      <c r="BJ242" s="196"/>
      <c r="BK242" s="196"/>
    </row>
    <row r="243" spans="2:63" hidden="1">
      <c r="B243" s="72"/>
      <c r="C243" s="135"/>
      <c r="D243" s="78"/>
      <c r="E243" s="73"/>
      <c r="F243" s="72"/>
      <c r="G243" s="72"/>
      <c r="H243" s="72"/>
      <c r="I243" s="73">
        <f t="shared" si="255"/>
        <v>0</v>
      </c>
      <c r="J243" s="78"/>
      <c r="K243" s="73"/>
      <c r="L243" s="74" t="e">
        <f>_xlfn.IFNA(VLOOKUP(C243,'חד גזעי'!$U$3:$V$509,2,0),VLOOKUP(C243,'חד גזעי'!$U$3:$V$509,2))</f>
        <v>#N/A</v>
      </c>
      <c r="M243" s="73"/>
      <c r="N243" s="72" t="e">
        <f>_xlfn.IFNA(IF(VLOOKUP(C243,'חד גזעי'!$AH$2:$AH$7,1,FALSE)&gt;0,0,IF('חד גזעי'!$AM$5="כן",IF(_xlfn.IFNA(VLOOKUP(C243,'חד גזעי'!$AH$2:$AH$33,1,FALSE),SUM(J243:M243))&lt;21,_xlfn.IFNA(VLOOKUP(C243,'חד גזעי'!$AH$2:$AH$33,1,FALSE),SUM(J243:M243)),0),SUM(J243:M243))),IF('חד גזעי'!$AM$5="כן",IF(_xlfn.IFNA(VLOOKUP(C243,'חד גזעי'!$AH$2:$AH$33,1,FALSE),SUM(J243:M243))&lt;21,_xlfn.IFNA(VLOOKUP(C243,'חד גזעי'!$AH$2:$AH$33,1,FALSE),SUM(J243:M243)),0),SUM(J243:M243)))</f>
        <v>#N/A</v>
      </c>
      <c r="O243" s="72">
        <f>IF('חד גזעי'!$AM$3 = "כן",IF(T243&gt;4,4,T243),T243)</f>
        <v>0</v>
      </c>
      <c r="P243" s="80">
        <f>IF(E243&lt;2,0,IF(Z243&gt;0,Z243,IF(N243 = 0,0,IF('חד גזעי'!$AM$2 = "לא",IF(F243&gt;19,W243,0),IF(F243&gt;9,Y243,0)))))</f>
        <v>0</v>
      </c>
      <c r="Q243" s="77"/>
      <c r="R243" s="75"/>
      <c r="S243" t="e">
        <f>VLOOKUP(C243,'חד גזעי'!$Y$4:$Y$18,1,0)</f>
        <v>#N/A</v>
      </c>
      <c r="T243" s="72">
        <f>IF('חד גזעי'!$AM$6="לא",IF(P243=0,IF(BC243="שימור",IF('חד גזעי'!$AM$4="לא",IF(BC243="לא בוגר",0,IF(BC243="לא קיים",0,IF(J243=0,0,I243*0.1))),IF(BC243="לא בוגר",0,IF(BC243="לא קיים",0,IF(AB243=1,I243*0.1,E243*0.5)))),0),IF('חד גזעי'!$AM$4="לא",IF(BC243="לא בוגר",0,IF(BC243="לא קיים",0,IF(J243=0,0,I243*0.1))),IF(BC243="לא בוגר",0,IF(BC243="לא קיים",0,IF(AB243=1,I243*0.1,E243*0.5))))),IF(P243=0,IF(BC243="שימור",IF('חד גזעי'!$AM$4="לא",IF(BC243="לא בוגר",0,IF(BC243="לא קיים",0,IF(J243=0,0,I243*0.15))),IF(BC243="לא בוגר",0,IF(BC243="לא קיים",0,IF(AB243=1,I243*0.15,E243*0.5)))),0),IF('חד גזעי'!$AM$4="לא",IF(BC243="לא בוגר",0,IF(BC243="לא קיים",0,IF(J243=0,0,I243*0.15))),IF(BC243="לא בוגר",0,IF(BC243="לא קיים",0,IF(AB243=1,I243*0.15,E243*0.5))))))</f>
        <v>0</v>
      </c>
      <c r="V243" t="e">
        <f t="shared" si="227"/>
        <v>#N/A</v>
      </c>
      <c r="W243" t="e">
        <f t="shared" si="228"/>
        <v>#N/A</v>
      </c>
      <c r="X243" t="e">
        <f t="shared" si="229"/>
        <v>#N/A</v>
      </c>
      <c r="Y243">
        <f>IF('חד גזעי'!$AM$2 = "לא",0,IF(F243&gt;9,W243,0))</f>
        <v>0</v>
      </c>
      <c r="Z243">
        <f>IF('חד גזעי'!$AM$7 = "לא",0,IF(C243 = "זית אירופי",IF('חד גזעי'!$AN$7 &lt;=סקר!F243,W243,0),IF(C243 = "חרוב מצוי",IF('חד גזעי'!$AN$7 &lt;=סקר!F243,W243,0),0)))</f>
        <v>0</v>
      </c>
      <c r="AB243">
        <f t="shared" si="256"/>
        <v>1</v>
      </c>
      <c r="AC243" s="72"/>
      <c r="AD243" t="e">
        <f t="shared" si="274"/>
        <v>#N/A</v>
      </c>
      <c r="AE243" s="72"/>
      <c r="AF243" s="72" t="e">
        <f t="shared" si="257"/>
        <v>#N/A</v>
      </c>
      <c r="AG243" s="72" t="e">
        <f>IF('חד גזעי'!$AM$5="לא",(VLOOKUP(C243,'חד גזעי'!$P$1:$S$589,3,FALSE)),(VLOOKUP(C243,'חד גזעי'!$P$1:$S$589,4,FALSE)))</f>
        <v>#N/A</v>
      </c>
      <c r="AH243" s="72">
        <f t="shared" si="258"/>
        <v>0</v>
      </c>
      <c r="AI243" s="72">
        <f t="shared" si="259"/>
        <v>0</v>
      </c>
      <c r="AJ243" s="72">
        <f t="shared" si="260"/>
        <v>0</v>
      </c>
      <c r="AK243" s="72" t="e">
        <f t="shared" si="261"/>
        <v>#N/A</v>
      </c>
      <c r="AL243" t="e">
        <f>VLOOKUP(C243,'חד גזעי'!$AH$8:$AI$33,2,FALSE)</f>
        <v>#N/A</v>
      </c>
      <c r="AM243" s="72" t="b">
        <f t="shared" si="262"/>
        <v>0</v>
      </c>
      <c r="AN243" s="72" t="b">
        <f t="shared" si="263"/>
        <v>0</v>
      </c>
      <c r="AO243" s="72" t="b">
        <f t="shared" si="264"/>
        <v>0</v>
      </c>
      <c r="AS243" s="72">
        <f t="shared" si="265"/>
        <v>0</v>
      </c>
      <c r="AT243" s="72">
        <f t="shared" si="266"/>
        <v>0</v>
      </c>
      <c r="AU243" s="72">
        <f t="shared" si="275"/>
        <v>0</v>
      </c>
      <c r="AV243" s="72">
        <f t="shared" si="267"/>
        <v>0</v>
      </c>
      <c r="AW243" s="72">
        <f t="shared" si="268"/>
        <v>0</v>
      </c>
      <c r="AX243" s="72">
        <f t="shared" si="269"/>
        <v>0</v>
      </c>
      <c r="AY243" s="72">
        <f t="shared" si="270"/>
        <v>0</v>
      </c>
      <c r="AZ243" s="72">
        <f t="shared" si="271"/>
        <v>0</v>
      </c>
      <c r="BA243" s="72" t="e">
        <f t="shared" si="272"/>
        <v>#N/A</v>
      </c>
      <c r="BB243" s="72" t="e">
        <f t="shared" si="273"/>
        <v>#N/A</v>
      </c>
      <c r="BC243" s="77"/>
      <c r="BE243">
        <f t="shared" si="253"/>
        <v>0</v>
      </c>
      <c r="BF243" s="196"/>
      <c r="BG243" s="196"/>
      <c r="BH243" s="196"/>
      <c r="BI243" s="196"/>
      <c r="BJ243" s="196"/>
      <c r="BK243" s="196"/>
    </row>
    <row r="244" spans="2:63" hidden="1">
      <c r="B244" s="72"/>
      <c r="C244" s="135"/>
      <c r="D244" s="78"/>
      <c r="E244" s="73"/>
      <c r="F244" s="72"/>
      <c r="G244" s="72"/>
      <c r="H244" s="72"/>
      <c r="I244" s="73">
        <f t="shared" si="255"/>
        <v>0</v>
      </c>
      <c r="J244" s="78"/>
      <c r="K244" s="73"/>
      <c r="L244" s="74" t="e">
        <f>_xlfn.IFNA(VLOOKUP(C244,'חד גזעי'!$U$3:$V$509,2,0),VLOOKUP(C244,'חד גזעי'!$U$3:$V$509,2))</f>
        <v>#N/A</v>
      </c>
      <c r="M244" s="73"/>
      <c r="N244" s="72" t="e">
        <f>_xlfn.IFNA(IF(VLOOKUP(C244,'חד גזעי'!$AH$2:$AH$7,1,FALSE)&gt;0,0,IF('חד גזעי'!$AM$5="כן",IF(_xlfn.IFNA(VLOOKUP(C244,'חד גזעי'!$AH$2:$AH$33,1,FALSE),SUM(J244:M244))&lt;21,_xlfn.IFNA(VLOOKUP(C244,'חד גזעי'!$AH$2:$AH$33,1,FALSE),SUM(J244:M244)),0),SUM(J244:M244))),IF('חד גזעי'!$AM$5="כן",IF(_xlfn.IFNA(VLOOKUP(C244,'חד גזעי'!$AH$2:$AH$33,1,FALSE),SUM(J244:M244))&lt;21,_xlfn.IFNA(VLOOKUP(C244,'חד גזעי'!$AH$2:$AH$33,1,FALSE),SUM(J244:M244)),0),SUM(J244:M244)))</f>
        <v>#N/A</v>
      </c>
      <c r="O244" s="72">
        <f>IF('חד גזעי'!$AM$3 = "כן",IF(T244&gt;4,4,T244),T244)</f>
        <v>0</v>
      </c>
      <c r="P244" s="80">
        <f>IF(E244&lt;2,0,IF(Z244&gt;0,Z244,IF(N244 = 0,0,IF('חד גזעי'!$AM$2 = "לא",IF(F244&gt;19,W244,0),IF(F244&gt;9,Y244,0)))))</f>
        <v>0</v>
      </c>
      <c r="Q244" s="77"/>
      <c r="R244" s="75"/>
      <c r="S244" t="e">
        <f>VLOOKUP(C244,'חד גזעי'!$Y$4:$Y$18,1,0)</f>
        <v>#N/A</v>
      </c>
      <c r="T244" s="72">
        <f>IF('חד גזעי'!$AM$6="לא",IF(P244=0,IF(BC244="שימור",IF('חד גזעי'!$AM$4="לא",IF(BC244="לא בוגר",0,IF(BC244="לא קיים",0,IF(J244=0,0,I244*0.1))),IF(BC244="לא בוגר",0,IF(BC244="לא קיים",0,IF(AB244=1,I244*0.1,E244*0.5)))),0),IF('חד גזעי'!$AM$4="לא",IF(BC244="לא בוגר",0,IF(BC244="לא קיים",0,IF(J244=0,0,I244*0.1))),IF(BC244="לא בוגר",0,IF(BC244="לא קיים",0,IF(AB244=1,I244*0.1,E244*0.5))))),IF(P244=0,IF(BC244="שימור",IF('חד גזעי'!$AM$4="לא",IF(BC244="לא בוגר",0,IF(BC244="לא קיים",0,IF(J244=0,0,I244*0.15))),IF(BC244="לא בוגר",0,IF(BC244="לא קיים",0,IF(AB244=1,I244*0.15,E244*0.5)))),0),IF('חד גזעי'!$AM$4="לא",IF(BC244="לא בוגר",0,IF(BC244="לא קיים",0,IF(J244=0,0,I244*0.15))),IF(BC244="לא בוגר",0,IF(BC244="לא קיים",0,IF(AB244=1,I244*0.15,E244*0.5))))))</f>
        <v>0</v>
      </c>
      <c r="V244" t="e">
        <f t="shared" si="227"/>
        <v>#N/A</v>
      </c>
      <c r="W244" t="e">
        <f t="shared" si="228"/>
        <v>#N/A</v>
      </c>
      <c r="X244" t="e">
        <f t="shared" si="229"/>
        <v>#N/A</v>
      </c>
      <c r="Y244">
        <f>IF('חד גזעי'!$AM$2 = "לא",0,IF(F244&gt;9,W244,0))</f>
        <v>0</v>
      </c>
      <c r="Z244">
        <f>IF('חד גזעי'!$AM$7 = "לא",0,IF(C244 = "זית אירופי",IF('חד גזעי'!$AN$7 &lt;=סקר!F244,W244,0),IF(C244 = "חרוב מצוי",IF('חד גזעי'!$AN$7 &lt;=סקר!F244,W244,0),0)))</f>
        <v>0</v>
      </c>
      <c r="AB244">
        <f t="shared" si="256"/>
        <v>1</v>
      </c>
      <c r="AC244" s="72"/>
      <c r="AD244" t="e">
        <f t="shared" si="274"/>
        <v>#N/A</v>
      </c>
      <c r="AE244" s="72"/>
      <c r="AF244" s="72" t="e">
        <f t="shared" si="257"/>
        <v>#N/A</v>
      </c>
      <c r="AG244" s="72" t="e">
        <f>IF('חד גזעי'!$AM$5="לא",(VLOOKUP(C244,'חד גזעי'!$P$1:$S$589,3,FALSE)),(VLOOKUP(C244,'חד גזעי'!$P$1:$S$589,4,FALSE)))</f>
        <v>#N/A</v>
      </c>
      <c r="AH244" s="72">
        <f t="shared" si="258"/>
        <v>0</v>
      </c>
      <c r="AI244" s="72">
        <f t="shared" si="259"/>
        <v>0</v>
      </c>
      <c r="AJ244" s="72">
        <f t="shared" si="260"/>
        <v>0</v>
      </c>
      <c r="AK244" s="72" t="e">
        <f t="shared" si="261"/>
        <v>#N/A</v>
      </c>
      <c r="AL244" t="e">
        <f>VLOOKUP(C244,'חד גזעי'!$AH$8:$AI$33,2,FALSE)</f>
        <v>#N/A</v>
      </c>
      <c r="AM244" s="72" t="b">
        <f t="shared" si="262"/>
        <v>0</v>
      </c>
      <c r="AN244" s="72" t="b">
        <f t="shared" si="263"/>
        <v>0</v>
      </c>
      <c r="AO244" s="72" t="b">
        <f t="shared" si="264"/>
        <v>0</v>
      </c>
      <c r="AS244" s="72">
        <f t="shared" si="265"/>
        <v>0</v>
      </c>
      <c r="AT244" s="72">
        <f t="shared" si="266"/>
        <v>0</v>
      </c>
      <c r="AU244" s="72">
        <f t="shared" si="275"/>
        <v>0</v>
      </c>
      <c r="AV244" s="72">
        <f t="shared" si="267"/>
        <v>0</v>
      </c>
      <c r="AW244" s="72">
        <f t="shared" si="268"/>
        <v>0</v>
      </c>
      <c r="AX244" s="72">
        <f t="shared" si="269"/>
        <v>0</v>
      </c>
      <c r="AY244" s="72">
        <f t="shared" si="270"/>
        <v>0</v>
      </c>
      <c r="AZ244" s="72">
        <f t="shared" si="271"/>
        <v>0</v>
      </c>
      <c r="BA244" s="72" t="e">
        <f t="shared" si="272"/>
        <v>#N/A</v>
      </c>
      <c r="BB244" s="72" t="e">
        <f t="shared" si="273"/>
        <v>#N/A</v>
      </c>
      <c r="BC244" s="77"/>
      <c r="BE244">
        <f t="shared" si="253"/>
        <v>0</v>
      </c>
      <c r="BF244" s="196"/>
      <c r="BG244" s="196"/>
      <c r="BH244" s="196"/>
      <c r="BI244" s="196"/>
      <c r="BJ244" s="196"/>
      <c r="BK244" s="196"/>
    </row>
    <row r="245" spans="2:63" hidden="1">
      <c r="B245" s="72"/>
      <c r="C245" s="135"/>
      <c r="D245" s="78"/>
      <c r="E245" s="73"/>
      <c r="F245" s="72"/>
      <c r="G245" s="72"/>
      <c r="H245" s="72"/>
      <c r="I245" s="73">
        <f t="shared" si="255"/>
        <v>0</v>
      </c>
      <c r="J245" s="78"/>
      <c r="K245" s="73"/>
      <c r="L245" s="74" t="e">
        <f>_xlfn.IFNA(VLOOKUP(C245,'חד גזעי'!$U$3:$V$509,2,0),VLOOKUP(C245,'חד גזעי'!$U$3:$V$509,2))</f>
        <v>#N/A</v>
      </c>
      <c r="M245" s="73"/>
      <c r="N245" s="72" t="e">
        <f>_xlfn.IFNA(IF(VLOOKUP(C245,'חד גזעי'!$AH$2:$AH$7,1,FALSE)&gt;0,0,IF('חד גזעי'!$AM$5="כן",IF(_xlfn.IFNA(VLOOKUP(C245,'חד גזעי'!$AH$2:$AH$33,1,FALSE),SUM(J245:M245))&lt;21,_xlfn.IFNA(VLOOKUP(C245,'חד גזעי'!$AH$2:$AH$33,1,FALSE),SUM(J245:M245)),0),SUM(J245:M245))),IF('חד גזעי'!$AM$5="כן",IF(_xlfn.IFNA(VLOOKUP(C245,'חד גזעי'!$AH$2:$AH$33,1,FALSE),SUM(J245:M245))&lt;21,_xlfn.IFNA(VLOOKUP(C245,'חד גזעי'!$AH$2:$AH$33,1,FALSE),SUM(J245:M245)),0),SUM(J245:M245)))</f>
        <v>#N/A</v>
      </c>
      <c r="O245" s="72">
        <f>IF('חד גזעי'!$AM$3 = "כן",IF(T245&gt;4,4,T245),T245)</f>
        <v>0</v>
      </c>
      <c r="P245" s="80">
        <f>IF(E245&lt;2,0,IF(Z245&gt;0,Z245,IF(N245 = 0,0,IF('חד גזעי'!$AM$2 = "לא",IF(F245&gt;19,W245,0),IF(F245&gt;9,Y245,0)))))</f>
        <v>0</v>
      </c>
      <c r="Q245" s="77"/>
      <c r="R245" s="75"/>
      <c r="S245" t="e">
        <f>VLOOKUP(C245,'חד גזעי'!$Y$4:$Y$18,1,0)</f>
        <v>#N/A</v>
      </c>
      <c r="T245" s="72">
        <f>IF('חד גזעי'!$AM$6="לא",IF(P245=0,IF(BC245="שימור",IF('חד גזעי'!$AM$4="לא",IF(BC245="לא בוגר",0,IF(BC245="לא קיים",0,IF(J245=0,0,I245*0.1))),IF(BC245="לא בוגר",0,IF(BC245="לא קיים",0,IF(AB245=1,I245*0.1,E245*0.5)))),0),IF('חד גזעי'!$AM$4="לא",IF(BC245="לא בוגר",0,IF(BC245="לא קיים",0,IF(J245=0,0,I245*0.1))),IF(BC245="לא בוגר",0,IF(BC245="לא קיים",0,IF(AB245=1,I245*0.1,E245*0.5))))),IF(P245=0,IF(BC245="שימור",IF('חד גזעי'!$AM$4="לא",IF(BC245="לא בוגר",0,IF(BC245="לא קיים",0,IF(J245=0,0,I245*0.15))),IF(BC245="לא בוגר",0,IF(BC245="לא קיים",0,IF(AB245=1,I245*0.15,E245*0.5)))),0),IF('חד גזעי'!$AM$4="לא",IF(BC245="לא בוגר",0,IF(BC245="לא קיים",0,IF(J245=0,0,I245*0.15))),IF(BC245="לא בוגר",0,IF(BC245="לא קיים",0,IF(AB245=1,I245*0.15,E245*0.5))))))</f>
        <v>0</v>
      </c>
      <c r="V245" t="e">
        <f t="shared" si="227"/>
        <v>#N/A</v>
      </c>
      <c r="W245" t="e">
        <f t="shared" si="228"/>
        <v>#N/A</v>
      </c>
      <c r="X245" t="e">
        <f t="shared" si="229"/>
        <v>#N/A</v>
      </c>
      <c r="Y245">
        <f>IF('חד גזעי'!$AM$2 = "לא",0,IF(F245&gt;9,W245,0))</f>
        <v>0</v>
      </c>
      <c r="Z245">
        <f>IF('חד גזעי'!$AM$7 = "לא",0,IF(C245 = "זית אירופי",IF('חד גזעי'!$AN$7 &lt;=סקר!F245,W245,0),IF(C245 = "חרוב מצוי",IF('חד גזעי'!$AN$7 &lt;=סקר!F245,W245,0),0)))</f>
        <v>0</v>
      </c>
      <c r="AB245">
        <f t="shared" si="256"/>
        <v>1</v>
      </c>
      <c r="AC245" s="72"/>
      <c r="AD245" t="e">
        <f t="shared" si="274"/>
        <v>#N/A</v>
      </c>
      <c r="AE245" s="72"/>
      <c r="AF245" s="72" t="e">
        <f t="shared" si="257"/>
        <v>#N/A</v>
      </c>
      <c r="AG245" s="72" t="e">
        <f>IF('חד גזעי'!$AM$5="לא",(VLOOKUP(C245,'חד גזעי'!$P$1:$S$589,3,FALSE)),(VLOOKUP(C245,'חד גזעי'!$P$1:$S$589,4,FALSE)))</f>
        <v>#N/A</v>
      </c>
      <c r="AH245" s="72">
        <f t="shared" si="258"/>
        <v>0</v>
      </c>
      <c r="AI245" s="72">
        <f t="shared" si="259"/>
        <v>0</v>
      </c>
      <c r="AJ245" s="72">
        <f t="shared" si="260"/>
        <v>0</v>
      </c>
      <c r="AK245" s="72" t="e">
        <f t="shared" si="261"/>
        <v>#N/A</v>
      </c>
      <c r="AL245" t="e">
        <f>VLOOKUP(C245,'חד גזעי'!$AH$8:$AI$33,2,FALSE)</f>
        <v>#N/A</v>
      </c>
      <c r="AM245" s="72" t="b">
        <f t="shared" si="262"/>
        <v>0</v>
      </c>
      <c r="AN245" s="72" t="b">
        <f t="shared" si="263"/>
        <v>0</v>
      </c>
      <c r="AO245" s="72" t="b">
        <f t="shared" si="264"/>
        <v>0</v>
      </c>
      <c r="AS245" s="72">
        <f t="shared" si="265"/>
        <v>0</v>
      </c>
      <c r="AT245" s="72">
        <f t="shared" si="266"/>
        <v>0</v>
      </c>
      <c r="AU245" s="72">
        <f t="shared" si="275"/>
        <v>0</v>
      </c>
      <c r="AV245" s="72">
        <f t="shared" si="267"/>
        <v>0</v>
      </c>
      <c r="AW245" s="72">
        <f t="shared" si="268"/>
        <v>0</v>
      </c>
      <c r="AX245" s="72">
        <f t="shared" si="269"/>
        <v>0</v>
      </c>
      <c r="AY245" s="72">
        <f t="shared" si="270"/>
        <v>0</v>
      </c>
      <c r="AZ245" s="72">
        <f t="shared" si="271"/>
        <v>0</v>
      </c>
      <c r="BA245" s="72" t="e">
        <f t="shared" si="272"/>
        <v>#N/A</v>
      </c>
      <c r="BB245" s="72" t="e">
        <f t="shared" si="273"/>
        <v>#N/A</v>
      </c>
      <c r="BC245" s="77"/>
      <c r="BE245">
        <f t="shared" si="253"/>
        <v>0</v>
      </c>
      <c r="BF245" s="196"/>
      <c r="BG245" s="196"/>
      <c r="BH245" s="196"/>
      <c r="BI245" s="196"/>
      <c r="BJ245" s="196"/>
      <c r="BK245" s="196"/>
    </row>
    <row r="246" spans="2:63" hidden="1">
      <c r="B246" s="72"/>
      <c r="C246" s="135"/>
      <c r="D246" s="78"/>
      <c r="E246" s="78"/>
      <c r="F246" s="72"/>
      <c r="G246" s="72"/>
      <c r="H246" s="72"/>
      <c r="I246" s="73">
        <f t="shared" si="255"/>
        <v>0</v>
      </c>
      <c r="J246" s="78"/>
      <c r="K246" s="73"/>
      <c r="L246" s="74" t="e">
        <f>_xlfn.IFNA(VLOOKUP(C246,'חד גזעי'!$U$3:$V$509,2,0),VLOOKUP(C246,'חד גזעי'!$U$3:$V$509,2))</f>
        <v>#N/A</v>
      </c>
      <c r="M246" s="73"/>
      <c r="N246" s="72" t="e">
        <f>_xlfn.IFNA(IF(VLOOKUP(C246,'חד גזעי'!$AH$2:$AH$7,1,FALSE)&gt;0,0,IF('חד גזעי'!$AM$5="כן",IF(_xlfn.IFNA(VLOOKUP(C246,'חד גזעי'!$AH$2:$AH$33,1,FALSE),SUM(J246:M246))&lt;21,_xlfn.IFNA(VLOOKUP(C246,'חד גזעי'!$AH$2:$AH$33,1,FALSE),SUM(J246:M246)),0),SUM(J246:M246))),IF('חד גזעי'!$AM$5="כן",IF(_xlfn.IFNA(VLOOKUP(C246,'חד גזעי'!$AH$2:$AH$33,1,FALSE),SUM(J246:M246))&lt;21,_xlfn.IFNA(VLOOKUP(C246,'חד גזעי'!$AH$2:$AH$33,1,FALSE),SUM(J246:M246)),0),SUM(J246:M246)))</f>
        <v>#N/A</v>
      </c>
      <c r="O246" s="72">
        <f>IF('חד גזעי'!$AM$3 = "כן",IF(T246&gt;4,4,T246),T246)</f>
        <v>0</v>
      </c>
      <c r="P246" s="80">
        <f>IF(E246&lt;2,0,IF(Z246&gt;0,Z246,IF(N246 = 0,0,IF('חד גזעי'!$AM$2 = "לא",IF(F246&gt;19,W246,0),IF(F246&gt;9,Y246,0)))))</f>
        <v>0</v>
      </c>
      <c r="Q246" s="77"/>
      <c r="R246" s="75"/>
      <c r="S246" t="e">
        <f>VLOOKUP(C246,'חד גזעי'!$Y$4:$Y$18,1,0)</f>
        <v>#N/A</v>
      </c>
      <c r="T246" s="72">
        <f>IF('חד גזעי'!$AM$6="לא",IF(P246=0,IF(BC246="שימור",IF('חד גזעי'!$AM$4="לא",IF(BC246="לא בוגר",0,IF(BC246="לא קיים",0,IF(J246=0,0,I246*0.1))),IF(BC246="לא בוגר",0,IF(BC246="לא קיים",0,IF(AB246=1,I246*0.1,E246*0.5)))),0),IF('חד גזעי'!$AM$4="לא",IF(BC246="לא בוגר",0,IF(BC246="לא קיים",0,IF(J246=0,0,I246*0.1))),IF(BC246="לא בוגר",0,IF(BC246="לא קיים",0,IF(AB246=1,I246*0.1,E246*0.5))))),IF(P246=0,IF(BC246="שימור",IF('חד גזעי'!$AM$4="לא",IF(BC246="לא בוגר",0,IF(BC246="לא קיים",0,IF(J246=0,0,I246*0.15))),IF(BC246="לא בוגר",0,IF(BC246="לא קיים",0,IF(AB246=1,I246*0.15,E246*0.5)))),0),IF('חד גזעי'!$AM$4="לא",IF(BC246="לא בוגר",0,IF(BC246="לא קיים",0,IF(J246=0,0,I246*0.15))),IF(BC246="לא בוגר",0,IF(BC246="לא קיים",0,IF(AB246=1,I246*0.15,E246*0.5))))))</f>
        <v>0</v>
      </c>
      <c r="V246" t="e">
        <f t="shared" si="227"/>
        <v>#N/A</v>
      </c>
      <c r="W246" t="e">
        <f t="shared" si="228"/>
        <v>#N/A</v>
      </c>
      <c r="X246" t="e">
        <f t="shared" si="229"/>
        <v>#N/A</v>
      </c>
      <c r="Y246">
        <f>IF('חד גזעי'!$AM$2 = "לא",0,IF(F246&gt;9,W246,0))</f>
        <v>0</v>
      </c>
      <c r="Z246">
        <f>IF('חד גזעי'!$AM$7 = "לא",0,IF(C246 = "זית אירופי",IF('חד גזעי'!$AN$7 &lt;=סקר!F246,W246,0),IF(C246 = "חרוב מצוי",IF('חד גזעי'!$AN$7 &lt;=סקר!F246,W246,0),0)))</f>
        <v>0</v>
      </c>
      <c r="AB246">
        <f t="shared" si="256"/>
        <v>1</v>
      </c>
      <c r="AC246" s="72"/>
      <c r="AD246" t="e">
        <f t="shared" si="274"/>
        <v>#N/A</v>
      </c>
      <c r="AE246" s="72"/>
      <c r="AF246" s="72" t="e">
        <f t="shared" si="257"/>
        <v>#N/A</v>
      </c>
      <c r="AG246" s="72" t="e">
        <f>IF('חד גזעי'!$AM$5="לא",(VLOOKUP(C246,'חד גזעי'!$P$1:$S$589,3,FALSE)),(VLOOKUP(C246,'חד גזעי'!$P$1:$S$589,4,FALSE)))</f>
        <v>#N/A</v>
      </c>
      <c r="AH246" s="72">
        <f t="shared" si="258"/>
        <v>0</v>
      </c>
      <c r="AI246" s="72">
        <f t="shared" si="259"/>
        <v>0</v>
      </c>
      <c r="AJ246" s="72">
        <f t="shared" si="260"/>
        <v>0</v>
      </c>
      <c r="AK246" s="72" t="e">
        <f t="shared" si="261"/>
        <v>#N/A</v>
      </c>
      <c r="AL246" t="e">
        <f>VLOOKUP(C246,'חד גזעי'!$AH$8:$AI$33,2,FALSE)</f>
        <v>#N/A</v>
      </c>
      <c r="AM246" s="72" t="b">
        <f t="shared" si="262"/>
        <v>0</v>
      </c>
      <c r="AN246" s="72" t="b">
        <f t="shared" si="263"/>
        <v>0</v>
      </c>
      <c r="AO246" s="72" t="b">
        <f t="shared" si="264"/>
        <v>0</v>
      </c>
      <c r="AS246" s="72">
        <f t="shared" si="265"/>
        <v>0</v>
      </c>
      <c r="AT246" s="72">
        <f t="shared" si="266"/>
        <v>0</v>
      </c>
      <c r="AU246" s="72">
        <f t="shared" si="275"/>
        <v>0</v>
      </c>
      <c r="AV246" s="72">
        <f t="shared" si="267"/>
        <v>0</v>
      </c>
      <c r="AW246" s="72">
        <f t="shared" si="268"/>
        <v>0</v>
      </c>
      <c r="AX246" s="72">
        <f t="shared" si="269"/>
        <v>0</v>
      </c>
      <c r="AY246" s="72">
        <f t="shared" si="270"/>
        <v>0</v>
      </c>
      <c r="AZ246" s="72">
        <f t="shared" si="271"/>
        <v>0</v>
      </c>
      <c r="BA246" s="72" t="e">
        <f t="shared" si="272"/>
        <v>#N/A</v>
      </c>
      <c r="BB246" s="72" t="e">
        <f t="shared" si="273"/>
        <v>#N/A</v>
      </c>
      <c r="BC246" s="77"/>
      <c r="BE246">
        <f t="shared" si="253"/>
        <v>0</v>
      </c>
      <c r="BF246" s="196"/>
      <c r="BG246" s="196"/>
      <c r="BH246" s="196"/>
      <c r="BI246" s="196"/>
      <c r="BJ246" s="196"/>
      <c r="BK246" s="196"/>
    </row>
    <row r="247" spans="2:63" hidden="1">
      <c r="B247" s="72"/>
      <c r="C247" s="135"/>
      <c r="D247" s="78"/>
      <c r="E247" s="78"/>
      <c r="F247" s="72"/>
      <c r="G247" s="72"/>
      <c r="H247" s="72"/>
      <c r="I247" s="73">
        <f t="shared" si="255"/>
        <v>0</v>
      </c>
      <c r="J247" s="78"/>
      <c r="K247" s="73"/>
      <c r="L247" s="74" t="e">
        <f>_xlfn.IFNA(VLOOKUP(C247,'חד גזעי'!$U$3:$V$509,2,0),VLOOKUP(C247,'חד גזעי'!$U$3:$V$509,2))</f>
        <v>#N/A</v>
      </c>
      <c r="M247" s="73"/>
      <c r="N247" s="72" t="e">
        <f>_xlfn.IFNA(IF(VLOOKUP(C247,'חד גזעי'!$AH$2:$AH$7,1,FALSE)&gt;0,0,IF('חד גזעי'!$AM$5="כן",IF(_xlfn.IFNA(VLOOKUP(C247,'חד גזעי'!$AH$2:$AH$33,1,FALSE),SUM(J247:M247))&lt;21,_xlfn.IFNA(VLOOKUP(C247,'חד גזעי'!$AH$2:$AH$33,1,FALSE),SUM(J247:M247)),0),SUM(J247:M247))),IF('חד גזעי'!$AM$5="כן",IF(_xlfn.IFNA(VLOOKUP(C247,'חד גזעי'!$AH$2:$AH$33,1,FALSE),SUM(J247:M247))&lt;21,_xlfn.IFNA(VLOOKUP(C247,'חד גזעי'!$AH$2:$AH$33,1,FALSE),SUM(J247:M247)),0),SUM(J247:M247)))</f>
        <v>#N/A</v>
      </c>
      <c r="O247" s="72">
        <f>IF('חד גזעי'!$AM$3 = "כן",IF(T247&gt;4,4,T247),T247)</f>
        <v>0</v>
      </c>
      <c r="P247" s="80">
        <f>IF(E247&lt;2,0,IF(Z247&gt;0,Z247,IF(N247 = 0,0,IF('חד גזעי'!$AM$2 = "לא",IF(F247&gt;19,W247,0),IF(F247&gt;9,Y247,0)))))</f>
        <v>0</v>
      </c>
      <c r="Q247" s="77"/>
      <c r="R247" s="75"/>
      <c r="S247" t="e">
        <f>VLOOKUP(C247,'חד גזעי'!$Y$4:$Y$18,1,0)</f>
        <v>#N/A</v>
      </c>
      <c r="T247" s="72">
        <f>IF('חד גזעי'!$AM$6="לא",IF(P247=0,IF(BC247="שימור",IF('חד גזעי'!$AM$4="לא",IF(BC247="לא בוגר",0,IF(BC247="לא קיים",0,IF(J247=0,0,I247*0.1))),IF(BC247="לא בוגר",0,IF(BC247="לא קיים",0,IF(AB247=1,I247*0.1,E247*0.5)))),0),IF('חד גזעי'!$AM$4="לא",IF(BC247="לא בוגר",0,IF(BC247="לא קיים",0,IF(J247=0,0,I247*0.1))),IF(BC247="לא בוגר",0,IF(BC247="לא קיים",0,IF(AB247=1,I247*0.1,E247*0.5))))),IF(P247=0,IF(BC247="שימור",IF('חד גזעי'!$AM$4="לא",IF(BC247="לא בוגר",0,IF(BC247="לא קיים",0,IF(J247=0,0,I247*0.15))),IF(BC247="לא בוגר",0,IF(BC247="לא קיים",0,IF(AB247=1,I247*0.15,E247*0.5)))),0),IF('חד גזעי'!$AM$4="לא",IF(BC247="לא בוגר",0,IF(BC247="לא קיים",0,IF(J247=0,0,I247*0.15))),IF(BC247="לא בוגר",0,IF(BC247="לא קיים",0,IF(AB247=1,I247*0.15,E247*0.5))))))</f>
        <v>0</v>
      </c>
      <c r="V247" t="e">
        <f t="shared" si="227"/>
        <v>#N/A</v>
      </c>
      <c r="W247" t="e">
        <f t="shared" si="228"/>
        <v>#N/A</v>
      </c>
      <c r="X247" t="e">
        <f t="shared" si="229"/>
        <v>#N/A</v>
      </c>
      <c r="Y247">
        <f>IF('חד גזעי'!$AM$2 = "לא",0,IF(F247&gt;9,W247,0))</f>
        <v>0</v>
      </c>
      <c r="Z247">
        <f>IF('חד גזעי'!$AM$7 = "לא",0,IF(C247 = "זית אירופי",IF('חד גזעי'!$AN$7 &lt;=סקר!F247,W247,0),IF(C247 = "חרוב מצוי",IF('חד גזעי'!$AN$7 &lt;=סקר!F247,W247,0),0)))</f>
        <v>0</v>
      </c>
      <c r="AB247">
        <f t="shared" si="256"/>
        <v>1</v>
      </c>
      <c r="AC247" s="72"/>
      <c r="AD247" t="e">
        <f t="shared" si="274"/>
        <v>#N/A</v>
      </c>
      <c r="AE247" s="72"/>
      <c r="AF247" s="72" t="e">
        <f t="shared" si="257"/>
        <v>#N/A</v>
      </c>
      <c r="AG247" s="72" t="e">
        <f>IF('חד גזעי'!$AM$5="לא",(VLOOKUP(C247,'חד גזעי'!$P$1:$S$589,3,FALSE)),(VLOOKUP(C247,'חד גזעי'!$P$1:$S$589,4,FALSE)))</f>
        <v>#N/A</v>
      </c>
      <c r="AH247" s="72">
        <f t="shared" si="258"/>
        <v>0</v>
      </c>
      <c r="AI247" s="72">
        <f t="shared" si="259"/>
        <v>0</v>
      </c>
      <c r="AJ247" s="72">
        <f t="shared" si="260"/>
        <v>0</v>
      </c>
      <c r="AK247" s="72" t="e">
        <f t="shared" si="261"/>
        <v>#N/A</v>
      </c>
      <c r="AL247" t="e">
        <f>VLOOKUP(C247,'חד גזעי'!$AH$8:$AI$33,2,FALSE)</f>
        <v>#N/A</v>
      </c>
      <c r="AM247" s="72" t="b">
        <f t="shared" si="262"/>
        <v>0</v>
      </c>
      <c r="AN247" s="72" t="b">
        <f t="shared" si="263"/>
        <v>0</v>
      </c>
      <c r="AO247" s="72" t="b">
        <f t="shared" si="264"/>
        <v>0</v>
      </c>
      <c r="AS247" s="72">
        <f t="shared" si="265"/>
        <v>0</v>
      </c>
      <c r="AT247" s="72">
        <f t="shared" si="266"/>
        <v>0</v>
      </c>
      <c r="AU247" s="72">
        <f t="shared" si="275"/>
        <v>0</v>
      </c>
      <c r="AV247" s="72">
        <f t="shared" si="267"/>
        <v>0</v>
      </c>
      <c r="AW247" s="72">
        <f t="shared" si="268"/>
        <v>0</v>
      </c>
      <c r="AX247" s="72">
        <f t="shared" si="269"/>
        <v>0</v>
      </c>
      <c r="AY247" s="72">
        <f t="shared" si="270"/>
        <v>0</v>
      </c>
      <c r="AZ247" s="72">
        <f t="shared" si="271"/>
        <v>0</v>
      </c>
      <c r="BA247" s="72" t="e">
        <f t="shared" si="272"/>
        <v>#N/A</v>
      </c>
      <c r="BB247" s="72" t="e">
        <f t="shared" si="273"/>
        <v>#N/A</v>
      </c>
      <c r="BC247" s="77"/>
      <c r="BE247">
        <f t="shared" si="253"/>
        <v>0</v>
      </c>
      <c r="BF247" s="196"/>
      <c r="BG247" s="196"/>
      <c r="BH247" s="196"/>
      <c r="BI247" s="196"/>
      <c r="BJ247" s="196"/>
      <c r="BK247" s="196"/>
    </row>
    <row r="248" spans="2:63" hidden="1">
      <c r="B248" s="72"/>
      <c r="C248" s="135"/>
      <c r="D248" s="78"/>
      <c r="E248" s="78"/>
      <c r="F248" s="72"/>
      <c r="G248" s="72"/>
      <c r="H248" s="72"/>
      <c r="I248" s="73">
        <f t="shared" si="255"/>
        <v>0</v>
      </c>
      <c r="J248" s="78"/>
      <c r="K248" s="73"/>
      <c r="L248" s="74" t="e">
        <f>_xlfn.IFNA(VLOOKUP(C248,'חד גזעי'!$U$3:$V$509,2,0),VLOOKUP(C248,'חד גזעי'!$U$3:$V$509,2))</f>
        <v>#N/A</v>
      </c>
      <c r="M248" s="73"/>
      <c r="N248" s="72" t="e">
        <f>_xlfn.IFNA(IF(VLOOKUP(C248,'חד גזעי'!$AH$2:$AH$7,1,FALSE)&gt;0,0,IF('חד גזעי'!$AM$5="כן",IF(_xlfn.IFNA(VLOOKUP(C248,'חד גזעי'!$AH$2:$AH$33,1,FALSE),SUM(J248:M248))&lt;21,_xlfn.IFNA(VLOOKUP(C248,'חד גזעי'!$AH$2:$AH$33,1,FALSE),SUM(J248:M248)),0),SUM(J248:M248))),IF('חד גזעי'!$AM$5="כן",IF(_xlfn.IFNA(VLOOKUP(C248,'חד גזעי'!$AH$2:$AH$33,1,FALSE),SUM(J248:M248))&lt;21,_xlfn.IFNA(VLOOKUP(C248,'חד גזעי'!$AH$2:$AH$33,1,FALSE),SUM(J248:M248)),0),SUM(J248:M248)))</f>
        <v>#N/A</v>
      </c>
      <c r="O248" s="72">
        <f>IF('חד גזעי'!$AM$3 = "כן",IF(T248&gt;4,4,T248),T248)</f>
        <v>0</v>
      </c>
      <c r="P248" s="80">
        <f>IF(E248&lt;2,0,IF(Z248&gt;0,Z248,IF(N248 = 0,0,IF('חד גזעי'!$AM$2 = "לא",IF(F248&gt;19,W248,0),IF(F248&gt;9,Y248,0)))))</f>
        <v>0</v>
      </c>
      <c r="Q248" s="77"/>
      <c r="R248" s="75"/>
      <c r="S248" t="e">
        <f>VLOOKUP(C248,'חד גזעי'!$Y$4:$Y$18,1,0)</f>
        <v>#N/A</v>
      </c>
      <c r="T248" s="72">
        <f>IF('חד גזעי'!$AM$6="לא",IF(P248=0,IF(BC248="שימור",IF('חד גזעי'!$AM$4="לא",IF(BC248="לא בוגר",0,IF(BC248="לא קיים",0,IF(J248=0,0,I248*0.1))),IF(BC248="לא בוגר",0,IF(BC248="לא קיים",0,IF(AB248=1,I248*0.1,E248*0.5)))),0),IF('חד גזעי'!$AM$4="לא",IF(BC248="לא בוגר",0,IF(BC248="לא קיים",0,IF(J248=0,0,I248*0.1))),IF(BC248="לא בוגר",0,IF(BC248="לא קיים",0,IF(AB248=1,I248*0.1,E248*0.5))))),IF(P248=0,IF(BC248="שימור",IF('חד גזעי'!$AM$4="לא",IF(BC248="לא בוגר",0,IF(BC248="לא קיים",0,IF(J248=0,0,I248*0.15))),IF(BC248="לא בוגר",0,IF(BC248="לא קיים",0,IF(AB248=1,I248*0.15,E248*0.5)))),0),IF('חד גזעי'!$AM$4="לא",IF(BC248="לא בוגר",0,IF(BC248="לא קיים",0,IF(J248=0,0,I248*0.15))),IF(BC248="לא בוגר",0,IF(BC248="לא קיים",0,IF(AB248=1,I248*0.15,E248*0.5))))))</f>
        <v>0</v>
      </c>
      <c r="V248" t="e">
        <f t="shared" si="227"/>
        <v>#N/A</v>
      </c>
      <c r="W248" t="e">
        <f t="shared" si="228"/>
        <v>#N/A</v>
      </c>
      <c r="X248" t="e">
        <f t="shared" si="229"/>
        <v>#N/A</v>
      </c>
      <c r="Y248">
        <f>IF('חד גזעי'!$AM$2 = "לא",0,IF(F248&gt;9,W248,0))</f>
        <v>0</v>
      </c>
      <c r="Z248">
        <f>IF('חד גזעי'!$AM$7 = "לא",0,IF(C248 = "זית אירופי",IF('חד גזעי'!$AN$7 &lt;=סקר!F248,W248,0),IF(C248 = "חרוב מצוי",IF('חד גזעי'!$AN$7 &lt;=סקר!F248,W248,0),0)))</f>
        <v>0</v>
      </c>
      <c r="AB248">
        <f t="shared" si="256"/>
        <v>1</v>
      </c>
      <c r="AC248" s="72"/>
      <c r="AD248" t="e">
        <f t="shared" si="274"/>
        <v>#N/A</v>
      </c>
      <c r="AE248" s="72"/>
      <c r="AF248" s="72" t="e">
        <f t="shared" si="257"/>
        <v>#N/A</v>
      </c>
      <c r="AG248" s="72" t="e">
        <f>IF('חד גזעי'!$AM$5="לא",(VLOOKUP(C248,'חד גזעי'!$P$1:$S$589,3,FALSE)),(VLOOKUP(C248,'חד גזעי'!$P$1:$S$589,4,FALSE)))</f>
        <v>#N/A</v>
      </c>
      <c r="AH248" s="72">
        <f t="shared" si="258"/>
        <v>0</v>
      </c>
      <c r="AI248" s="72">
        <f t="shared" si="259"/>
        <v>0</v>
      </c>
      <c r="AJ248" s="72">
        <f t="shared" si="260"/>
        <v>0</v>
      </c>
      <c r="AK248" s="72" t="e">
        <f t="shared" si="261"/>
        <v>#N/A</v>
      </c>
      <c r="AL248" t="e">
        <f>VLOOKUP(C248,'חד גזעי'!$AH$8:$AI$33,2,FALSE)</f>
        <v>#N/A</v>
      </c>
      <c r="AM248" s="72" t="b">
        <f t="shared" si="262"/>
        <v>0</v>
      </c>
      <c r="AN248" s="72" t="b">
        <f t="shared" si="263"/>
        <v>0</v>
      </c>
      <c r="AO248" s="72" t="b">
        <f t="shared" si="264"/>
        <v>0</v>
      </c>
      <c r="AS248" s="72">
        <f t="shared" si="265"/>
        <v>0</v>
      </c>
      <c r="AT248" s="72">
        <f t="shared" si="266"/>
        <v>0</v>
      </c>
      <c r="AU248" s="72">
        <f t="shared" si="275"/>
        <v>0</v>
      </c>
      <c r="AV248" s="72">
        <f t="shared" si="267"/>
        <v>0</v>
      </c>
      <c r="AW248" s="72">
        <f t="shared" si="268"/>
        <v>0</v>
      </c>
      <c r="AX248" s="72">
        <f t="shared" si="269"/>
        <v>0</v>
      </c>
      <c r="AY248" s="72">
        <f t="shared" si="270"/>
        <v>0</v>
      </c>
      <c r="AZ248" s="72">
        <f t="shared" si="271"/>
        <v>0</v>
      </c>
      <c r="BA248" s="72" t="e">
        <f t="shared" si="272"/>
        <v>#N/A</v>
      </c>
      <c r="BB248" s="72" t="e">
        <f t="shared" si="273"/>
        <v>#N/A</v>
      </c>
      <c r="BC248" s="77"/>
      <c r="BE248">
        <f t="shared" si="253"/>
        <v>0</v>
      </c>
      <c r="BF248" s="196"/>
      <c r="BG248" s="196"/>
      <c r="BH248" s="196"/>
      <c r="BI248" s="196"/>
      <c r="BJ248" s="196"/>
      <c r="BK248" s="196"/>
    </row>
    <row r="249" spans="2:63" hidden="1">
      <c r="B249" s="72"/>
      <c r="C249" s="135"/>
      <c r="D249" s="78"/>
      <c r="E249" s="78"/>
      <c r="F249" s="72"/>
      <c r="G249" s="72"/>
      <c r="H249" s="72"/>
      <c r="I249" s="73">
        <f t="shared" si="255"/>
        <v>0</v>
      </c>
      <c r="J249" s="78"/>
      <c r="K249" s="73"/>
      <c r="L249" s="74" t="e">
        <f>_xlfn.IFNA(VLOOKUP(C249,'חד גזעי'!$U$3:$V$509,2,0),VLOOKUP(C249,'חד גזעי'!$U$3:$V$509,2))</f>
        <v>#N/A</v>
      </c>
      <c r="M249" s="73"/>
      <c r="N249" s="72" t="e">
        <f>_xlfn.IFNA(IF(VLOOKUP(C249,'חד גזעי'!$AH$2:$AH$7,1,FALSE)&gt;0,0,IF('חד גזעי'!$AM$5="כן",IF(_xlfn.IFNA(VLOOKUP(C249,'חד גזעי'!$AH$2:$AH$33,1,FALSE),SUM(J249:M249))&lt;21,_xlfn.IFNA(VLOOKUP(C249,'חד גזעי'!$AH$2:$AH$33,1,FALSE),SUM(J249:M249)),0),SUM(J249:M249))),IF('חד גזעי'!$AM$5="כן",IF(_xlfn.IFNA(VLOOKUP(C249,'חד גזעי'!$AH$2:$AH$33,1,FALSE),SUM(J249:M249))&lt;21,_xlfn.IFNA(VLOOKUP(C249,'חד גזעי'!$AH$2:$AH$33,1,FALSE),SUM(J249:M249)),0),SUM(J249:M249)))</f>
        <v>#N/A</v>
      </c>
      <c r="O249" s="72">
        <f>IF('חד גזעי'!$AM$3 = "כן",IF(T249&gt;4,4,T249),T249)</f>
        <v>0</v>
      </c>
      <c r="P249" s="80">
        <f>IF(E249&lt;2,0,IF(Z249&gt;0,Z249,IF(N249 = 0,0,IF('חד גזעי'!$AM$2 = "לא",IF(F249&gt;19,W249,0),IF(F249&gt;9,Y249,0)))))</f>
        <v>0</v>
      </c>
      <c r="Q249" s="77"/>
      <c r="R249" s="75"/>
      <c r="S249" t="e">
        <f>VLOOKUP(C249,'חד גזעי'!$Y$4:$Y$18,1,0)</f>
        <v>#N/A</v>
      </c>
      <c r="T249" s="72">
        <f>IF('חד גזעי'!$AM$6="לא",IF(P249=0,IF(BC249="שימור",IF('חד גזעי'!$AM$4="לא",IF(BC249="לא בוגר",0,IF(BC249="לא קיים",0,IF(J249=0,0,I249*0.1))),IF(BC249="לא בוגר",0,IF(BC249="לא קיים",0,IF(AB249=1,I249*0.1,E249*0.5)))),0),IF('חד גזעי'!$AM$4="לא",IF(BC249="לא בוגר",0,IF(BC249="לא קיים",0,IF(J249=0,0,I249*0.1))),IF(BC249="לא בוגר",0,IF(BC249="לא קיים",0,IF(AB249=1,I249*0.1,E249*0.5))))),IF(P249=0,IF(BC249="שימור",IF('חד גזעי'!$AM$4="לא",IF(BC249="לא בוגר",0,IF(BC249="לא קיים",0,IF(J249=0,0,I249*0.15))),IF(BC249="לא בוגר",0,IF(BC249="לא קיים",0,IF(AB249=1,I249*0.15,E249*0.5)))),0),IF('חד גזעי'!$AM$4="לא",IF(BC249="לא בוגר",0,IF(BC249="לא קיים",0,IF(J249=0,0,I249*0.15))),IF(BC249="לא בוגר",0,IF(BC249="לא קיים",0,IF(AB249=1,I249*0.15,E249*0.5))))))</f>
        <v>0</v>
      </c>
      <c r="V249" t="e">
        <f t="shared" si="227"/>
        <v>#N/A</v>
      </c>
      <c r="W249" t="e">
        <f t="shared" si="228"/>
        <v>#N/A</v>
      </c>
      <c r="X249" t="e">
        <f t="shared" si="229"/>
        <v>#N/A</v>
      </c>
      <c r="Y249">
        <f>IF('חד גזעי'!$AM$2 = "לא",0,IF(F249&gt;9,W249,0))</f>
        <v>0</v>
      </c>
      <c r="Z249">
        <f>IF('חד גזעי'!$AM$7 = "לא",0,IF(C249 = "זית אירופי",IF('חד גזעי'!$AN$7 &lt;=סקר!F249,W249,0),IF(C249 = "חרוב מצוי",IF('חד גזעי'!$AN$7 &lt;=סקר!F249,W249,0),0)))</f>
        <v>0</v>
      </c>
      <c r="AB249">
        <f t="shared" si="256"/>
        <v>1</v>
      </c>
      <c r="AC249" s="72"/>
      <c r="AD249" t="e">
        <f t="shared" si="274"/>
        <v>#N/A</v>
      </c>
      <c r="AE249" s="72"/>
      <c r="AF249" s="72" t="e">
        <f t="shared" si="257"/>
        <v>#N/A</v>
      </c>
      <c r="AG249" s="72" t="e">
        <f>IF('חד גזעי'!$AM$5="לא",(VLOOKUP(C249,'חד גזעי'!$P$1:$S$589,3,FALSE)),(VLOOKUP(C249,'חד גזעי'!$P$1:$S$589,4,FALSE)))</f>
        <v>#N/A</v>
      </c>
      <c r="AH249" s="72">
        <f t="shared" si="258"/>
        <v>0</v>
      </c>
      <c r="AI249" s="72">
        <f t="shared" si="259"/>
        <v>0</v>
      </c>
      <c r="AJ249" s="72">
        <f t="shared" si="260"/>
        <v>0</v>
      </c>
      <c r="AK249" s="72" t="e">
        <f t="shared" si="261"/>
        <v>#N/A</v>
      </c>
      <c r="AL249" t="e">
        <f>VLOOKUP(C249,'חד גזעי'!$AH$8:$AI$33,2,FALSE)</f>
        <v>#N/A</v>
      </c>
      <c r="AM249" s="72" t="b">
        <f t="shared" si="262"/>
        <v>0</v>
      </c>
      <c r="AN249" s="72" t="b">
        <f t="shared" si="263"/>
        <v>0</v>
      </c>
      <c r="AO249" s="72" t="b">
        <f t="shared" si="264"/>
        <v>0</v>
      </c>
      <c r="AS249" s="72">
        <f t="shared" si="265"/>
        <v>0</v>
      </c>
      <c r="AT249" s="72">
        <f t="shared" si="266"/>
        <v>0</v>
      </c>
      <c r="AU249" s="72">
        <f t="shared" si="275"/>
        <v>0</v>
      </c>
      <c r="AV249" s="72">
        <f t="shared" si="267"/>
        <v>0</v>
      </c>
      <c r="AW249" s="72">
        <f t="shared" si="268"/>
        <v>0</v>
      </c>
      <c r="AX249" s="72">
        <f t="shared" si="269"/>
        <v>0</v>
      </c>
      <c r="AY249" s="72">
        <f t="shared" si="270"/>
        <v>0</v>
      </c>
      <c r="AZ249" s="72">
        <f t="shared" si="271"/>
        <v>0</v>
      </c>
      <c r="BA249" s="72" t="e">
        <f t="shared" si="272"/>
        <v>#N/A</v>
      </c>
      <c r="BB249" s="72" t="e">
        <f t="shared" si="273"/>
        <v>#N/A</v>
      </c>
      <c r="BC249" s="77"/>
      <c r="BE249">
        <f t="shared" si="253"/>
        <v>0</v>
      </c>
      <c r="BF249" s="196"/>
      <c r="BG249" s="196"/>
      <c r="BH249" s="196"/>
      <c r="BI249" s="196"/>
      <c r="BJ249" s="196"/>
      <c r="BK249" s="196"/>
    </row>
    <row r="250" spans="2:63" hidden="1">
      <c r="B250" s="72"/>
      <c r="C250" s="135"/>
      <c r="D250" s="78"/>
      <c r="E250" s="78"/>
      <c r="F250" s="72"/>
      <c r="G250" s="72"/>
      <c r="H250" s="72"/>
      <c r="I250" s="73">
        <f t="shared" si="255"/>
        <v>0</v>
      </c>
      <c r="J250" s="78"/>
      <c r="K250" s="73"/>
      <c r="L250" s="74" t="e">
        <f>_xlfn.IFNA(VLOOKUP(C250,'חד גזעי'!$U$3:$V$509,2,0),VLOOKUP(C250,'חד גזעי'!$U$3:$V$509,2))</f>
        <v>#N/A</v>
      </c>
      <c r="M250" s="73"/>
      <c r="N250" s="72" t="e">
        <f>_xlfn.IFNA(IF(VLOOKUP(C250,'חד גזעי'!$AH$2:$AH$7,1,FALSE)&gt;0,0,IF('חד גזעי'!$AM$5="כן",IF(_xlfn.IFNA(VLOOKUP(C250,'חד גזעי'!$AH$2:$AH$33,1,FALSE),SUM(J250:M250))&lt;21,_xlfn.IFNA(VLOOKUP(C250,'חד גזעי'!$AH$2:$AH$33,1,FALSE),SUM(J250:M250)),0),SUM(J250:M250))),IF('חד גזעי'!$AM$5="כן",IF(_xlfn.IFNA(VLOOKUP(C250,'חד גזעי'!$AH$2:$AH$33,1,FALSE),SUM(J250:M250))&lt;21,_xlfn.IFNA(VLOOKUP(C250,'חד גזעי'!$AH$2:$AH$33,1,FALSE),SUM(J250:M250)),0),SUM(J250:M250)))</f>
        <v>#N/A</v>
      </c>
      <c r="O250" s="72">
        <f>IF('חד גזעי'!$AM$3 = "כן",IF(T250&gt;4,4,T250),T250)</f>
        <v>0</v>
      </c>
      <c r="P250" s="80">
        <f>IF(E250&lt;2,0,IF(Z250&gt;0,Z250,IF(N250 = 0,0,IF('חד גזעי'!$AM$2 = "לא",IF(F250&gt;19,W250,0),IF(F250&gt;9,Y250,0)))))</f>
        <v>0</v>
      </c>
      <c r="Q250" s="77"/>
      <c r="R250" s="76"/>
      <c r="S250" t="e">
        <f>VLOOKUP(C250,'חד גזעי'!$Y$4:$Y$18,1,0)</f>
        <v>#N/A</v>
      </c>
      <c r="T250" s="72">
        <f>IF('חד גזעי'!$AM$6="לא",IF(P250=0,IF(BC250="שימור",IF('חד גזעי'!$AM$4="לא",IF(BC250="לא בוגר",0,IF(BC250="לא קיים",0,IF(J250=0,0,I250*0.1))),IF(BC250="לא בוגר",0,IF(BC250="לא קיים",0,IF(AB250=1,I250*0.1,E250*0.5)))),0),IF('חד גזעי'!$AM$4="לא",IF(BC250="לא בוגר",0,IF(BC250="לא קיים",0,IF(J250=0,0,I250*0.1))),IF(BC250="לא בוגר",0,IF(BC250="לא קיים",0,IF(AB250=1,I250*0.1,E250*0.5))))),IF(P250=0,IF(BC250="שימור",IF('חד גזעי'!$AM$4="לא",IF(BC250="לא בוגר",0,IF(BC250="לא קיים",0,IF(J250=0,0,I250*0.15))),IF(BC250="לא בוגר",0,IF(BC250="לא קיים",0,IF(AB250=1,I250*0.15,E250*0.5)))),0),IF('חד גזעי'!$AM$4="לא",IF(BC250="לא בוגר",0,IF(BC250="לא קיים",0,IF(J250=0,0,I250*0.15))),IF(BC250="לא בוגר",0,IF(BC250="לא קיים",0,IF(AB250=1,I250*0.15,E250*0.5))))))</f>
        <v>0</v>
      </c>
      <c r="V250" t="e">
        <f t="shared" si="227"/>
        <v>#N/A</v>
      </c>
      <c r="W250" t="e">
        <f t="shared" si="228"/>
        <v>#N/A</v>
      </c>
      <c r="X250" t="e">
        <f t="shared" si="229"/>
        <v>#N/A</v>
      </c>
      <c r="Y250">
        <f>IF('חד גזעי'!$AM$2 = "לא",0,IF(F250&gt;9,W250,0))</f>
        <v>0</v>
      </c>
      <c r="Z250">
        <f>IF('חד גזעי'!$AM$7 = "לא",0,IF(C250 = "זית אירופי",IF('חד גזעי'!$AN$7 &lt;=סקר!F250,W250,0),IF(C250 = "חרוב מצוי",IF('חד גזעי'!$AN$7 &lt;=סקר!F250,W250,0),0)))</f>
        <v>0</v>
      </c>
      <c r="AB250">
        <f t="shared" si="256"/>
        <v>1</v>
      </c>
      <c r="AC250" s="72"/>
      <c r="AD250" t="e">
        <f t="shared" si="274"/>
        <v>#N/A</v>
      </c>
      <c r="AE250" s="72"/>
      <c r="AF250" s="72" t="e">
        <f t="shared" si="257"/>
        <v>#N/A</v>
      </c>
      <c r="AG250" s="72" t="e">
        <f>IF('חד גזעי'!$AM$5="לא",(VLOOKUP(C250,'חד גזעי'!$P$1:$S$589,3,FALSE)),(VLOOKUP(C250,'חד גזעי'!$P$1:$S$589,4,FALSE)))</f>
        <v>#N/A</v>
      </c>
      <c r="AH250" s="72">
        <f t="shared" si="258"/>
        <v>0</v>
      </c>
      <c r="AI250" s="72">
        <f t="shared" si="259"/>
        <v>0</v>
      </c>
      <c r="AJ250" s="72">
        <f t="shared" si="260"/>
        <v>0</v>
      </c>
      <c r="AK250" s="72" t="e">
        <f t="shared" si="261"/>
        <v>#N/A</v>
      </c>
      <c r="AL250" t="e">
        <f>VLOOKUP(C250,'חד גזעי'!$AH$8:$AI$33,2,FALSE)</f>
        <v>#N/A</v>
      </c>
      <c r="AM250" s="72" t="b">
        <f t="shared" si="262"/>
        <v>0</v>
      </c>
      <c r="AN250" s="72" t="b">
        <f t="shared" si="263"/>
        <v>0</v>
      </c>
      <c r="AO250" s="72" t="b">
        <f t="shared" si="264"/>
        <v>0</v>
      </c>
      <c r="AS250" s="72">
        <f t="shared" si="265"/>
        <v>0</v>
      </c>
      <c r="AT250" s="72">
        <f t="shared" si="266"/>
        <v>0</v>
      </c>
      <c r="AU250" s="72">
        <f t="shared" si="275"/>
        <v>0</v>
      </c>
      <c r="AV250" s="72">
        <f t="shared" si="267"/>
        <v>0</v>
      </c>
      <c r="AW250" s="72">
        <f t="shared" si="268"/>
        <v>0</v>
      </c>
      <c r="AX250" s="72">
        <f t="shared" si="269"/>
        <v>0</v>
      </c>
      <c r="AY250" s="72">
        <f t="shared" si="270"/>
        <v>0</v>
      </c>
      <c r="AZ250" s="72">
        <f t="shared" si="271"/>
        <v>0</v>
      </c>
      <c r="BA250" s="72" t="e">
        <f t="shared" si="272"/>
        <v>#N/A</v>
      </c>
      <c r="BB250" s="72" t="e">
        <f t="shared" si="273"/>
        <v>#N/A</v>
      </c>
      <c r="BC250" s="77"/>
      <c r="BE250">
        <f t="shared" si="253"/>
        <v>0</v>
      </c>
      <c r="BF250" s="196"/>
      <c r="BG250" s="196"/>
      <c r="BH250" s="196"/>
      <c r="BI250" s="196"/>
      <c r="BJ250" s="196"/>
      <c r="BK250" s="196"/>
    </row>
    <row r="251" spans="2:63" hidden="1">
      <c r="B251" s="72"/>
      <c r="C251" s="135"/>
      <c r="D251" s="78"/>
      <c r="E251" s="78"/>
      <c r="F251" s="72"/>
      <c r="G251" s="72"/>
      <c r="H251" s="72"/>
      <c r="I251" s="73">
        <f t="shared" si="255"/>
        <v>0</v>
      </c>
      <c r="J251" s="78"/>
      <c r="K251" s="73"/>
      <c r="L251" s="74" t="e">
        <f>_xlfn.IFNA(VLOOKUP(C251,'חד גזעי'!$U$3:$V$509,2,0),VLOOKUP(C251,'חד גזעי'!$U$3:$V$509,2))</f>
        <v>#N/A</v>
      </c>
      <c r="M251" s="73"/>
      <c r="N251" s="72" t="e">
        <f>_xlfn.IFNA(IF(VLOOKUP(C251,'חד גזעי'!$AH$2:$AH$7,1,FALSE)&gt;0,0,IF('חד גזעי'!$AM$5="כן",IF(_xlfn.IFNA(VLOOKUP(C251,'חד גזעי'!$AH$2:$AH$33,1,FALSE),SUM(J251:M251))&lt;21,_xlfn.IFNA(VLOOKUP(C251,'חד גזעי'!$AH$2:$AH$33,1,FALSE),SUM(J251:M251)),0),SUM(J251:M251))),IF('חד גזעי'!$AM$5="כן",IF(_xlfn.IFNA(VLOOKUP(C251,'חד גזעי'!$AH$2:$AH$33,1,FALSE),SUM(J251:M251))&lt;21,_xlfn.IFNA(VLOOKUP(C251,'חד גזעי'!$AH$2:$AH$33,1,FALSE),SUM(J251:M251)),0),SUM(J251:M251)))</f>
        <v>#N/A</v>
      </c>
      <c r="O251" s="72">
        <f>IF('חד גזעי'!$AM$3 = "כן",IF(T251&gt;4,4,T251),T251)</f>
        <v>0</v>
      </c>
      <c r="P251" s="80">
        <f>IF(E251&lt;2,0,IF(Z251&gt;0,Z251,IF(N251 = 0,0,IF('חד גזעי'!$AM$2 = "לא",IF(F251&gt;19,W251,0),IF(F251&gt;9,Y251,0)))))</f>
        <v>0</v>
      </c>
      <c r="Q251" s="77"/>
      <c r="R251" s="76"/>
      <c r="S251" t="e">
        <f>VLOOKUP(C251,'חד גזעי'!$Y$4:$Y$18,1,0)</f>
        <v>#N/A</v>
      </c>
      <c r="T251" s="72">
        <f>IF('חד גזעי'!$AM$6="לא",IF(P251=0,IF(BC251="שימור",IF('חד גזעי'!$AM$4="לא",IF(BC251="לא בוגר",0,IF(BC251="לא קיים",0,IF(J251=0,0,I251*0.1))),IF(BC251="לא בוגר",0,IF(BC251="לא קיים",0,IF(AB251=1,I251*0.1,E251*0.5)))),0),IF('חד גזעי'!$AM$4="לא",IF(BC251="לא בוגר",0,IF(BC251="לא קיים",0,IF(J251=0,0,I251*0.1))),IF(BC251="לא בוגר",0,IF(BC251="לא קיים",0,IF(AB251=1,I251*0.1,E251*0.5))))),IF(P251=0,IF(BC251="שימור",IF('חד גזעי'!$AM$4="לא",IF(BC251="לא בוגר",0,IF(BC251="לא קיים",0,IF(J251=0,0,I251*0.15))),IF(BC251="לא בוגר",0,IF(BC251="לא קיים",0,IF(AB251=1,I251*0.15,E251*0.5)))),0),IF('חד גזעי'!$AM$4="לא",IF(BC251="לא בוגר",0,IF(BC251="לא קיים",0,IF(J251=0,0,I251*0.15))),IF(BC251="לא בוגר",0,IF(BC251="לא קיים",0,IF(AB251=1,I251*0.15,E251*0.5))))))</f>
        <v>0</v>
      </c>
      <c r="V251" t="e">
        <f t="shared" si="227"/>
        <v>#N/A</v>
      </c>
      <c r="W251" t="e">
        <f t="shared" si="228"/>
        <v>#N/A</v>
      </c>
      <c r="X251" t="e">
        <f t="shared" si="229"/>
        <v>#N/A</v>
      </c>
      <c r="Y251">
        <f>IF('חד גזעי'!$AM$2 = "לא",0,IF(F251&gt;9,W251,0))</f>
        <v>0</v>
      </c>
      <c r="Z251">
        <f>IF('חד גזעי'!$AM$7 = "לא",0,IF(C251 = "זית אירופי",IF('חד גזעי'!$AN$7 &lt;=סקר!F251,W251,0),IF(C251 = "חרוב מצוי",IF('חד גזעי'!$AN$7 &lt;=סקר!F251,W251,0),0)))</f>
        <v>0</v>
      </c>
      <c r="AB251">
        <f t="shared" si="256"/>
        <v>1</v>
      </c>
      <c r="AC251" s="72"/>
      <c r="AD251" t="e">
        <f t="shared" si="274"/>
        <v>#N/A</v>
      </c>
      <c r="AE251" s="72"/>
      <c r="AF251" s="72" t="e">
        <f t="shared" si="257"/>
        <v>#N/A</v>
      </c>
      <c r="AG251" s="72" t="e">
        <f>IF('חד גזעי'!$AM$5="לא",(VLOOKUP(C251,'חד גזעי'!$P$1:$S$589,3,FALSE)),(VLOOKUP(C251,'חד גזעי'!$P$1:$S$589,4,FALSE)))</f>
        <v>#N/A</v>
      </c>
      <c r="AH251" s="72">
        <f t="shared" si="258"/>
        <v>0</v>
      </c>
      <c r="AI251" s="72">
        <f t="shared" si="259"/>
        <v>0</v>
      </c>
      <c r="AJ251" s="72">
        <f t="shared" si="260"/>
        <v>0</v>
      </c>
      <c r="AK251" s="72" t="e">
        <f t="shared" si="261"/>
        <v>#N/A</v>
      </c>
      <c r="AL251" t="e">
        <f>VLOOKUP(C251,'חד גזעי'!$AH$8:$AI$33,2,FALSE)</f>
        <v>#N/A</v>
      </c>
      <c r="AM251" s="72" t="b">
        <f t="shared" si="262"/>
        <v>0</v>
      </c>
      <c r="AN251" s="72" t="b">
        <f t="shared" si="263"/>
        <v>0</v>
      </c>
      <c r="AO251" s="72" t="b">
        <f t="shared" si="264"/>
        <v>0</v>
      </c>
      <c r="AS251" s="72">
        <f t="shared" si="265"/>
        <v>0</v>
      </c>
      <c r="AT251" s="72">
        <f t="shared" si="266"/>
        <v>0</v>
      </c>
      <c r="AU251" s="72">
        <f t="shared" si="275"/>
        <v>0</v>
      </c>
      <c r="AV251" s="72">
        <f t="shared" si="267"/>
        <v>0</v>
      </c>
      <c r="AW251" s="72">
        <f t="shared" si="268"/>
        <v>0</v>
      </c>
      <c r="AX251" s="72">
        <f t="shared" si="269"/>
        <v>0</v>
      </c>
      <c r="AY251" s="72">
        <f t="shared" si="270"/>
        <v>0</v>
      </c>
      <c r="AZ251" s="72">
        <f t="shared" si="271"/>
        <v>0</v>
      </c>
      <c r="BA251" s="72" t="e">
        <f t="shared" si="272"/>
        <v>#N/A</v>
      </c>
      <c r="BB251" s="72" t="e">
        <f t="shared" si="273"/>
        <v>#N/A</v>
      </c>
      <c r="BC251" s="77"/>
      <c r="BE251">
        <f t="shared" si="253"/>
        <v>0</v>
      </c>
      <c r="BF251" s="196"/>
      <c r="BG251" s="196"/>
      <c r="BH251" s="196"/>
      <c r="BI251" s="196"/>
      <c r="BJ251" s="196"/>
      <c r="BK251" s="196"/>
    </row>
    <row r="252" spans="2:63" hidden="1">
      <c r="B252" s="72"/>
      <c r="C252" s="135"/>
      <c r="D252" s="78"/>
      <c r="E252" s="78"/>
      <c r="F252" s="72"/>
      <c r="G252" s="72"/>
      <c r="H252" s="72"/>
      <c r="I252" s="73">
        <f t="shared" si="255"/>
        <v>0</v>
      </c>
      <c r="J252" s="78"/>
      <c r="K252" s="73"/>
      <c r="L252" s="74" t="e">
        <f>_xlfn.IFNA(VLOOKUP(C252,'חד גזעי'!$U$3:$V$509,2,0),VLOOKUP(C252,'חד גזעי'!$U$3:$V$509,2))</f>
        <v>#N/A</v>
      </c>
      <c r="M252" s="73"/>
      <c r="N252" s="72" t="e">
        <f>_xlfn.IFNA(IF(VLOOKUP(C252,'חד גזעי'!$AH$2:$AH$7,1,FALSE)&gt;0,0,IF('חד גזעי'!$AM$5="כן",IF(_xlfn.IFNA(VLOOKUP(C252,'חד גזעי'!$AH$2:$AH$33,1,FALSE),SUM(J252:M252))&lt;21,_xlfn.IFNA(VLOOKUP(C252,'חד גזעי'!$AH$2:$AH$33,1,FALSE),SUM(J252:M252)),0),SUM(J252:M252))),IF('חד גזעי'!$AM$5="כן",IF(_xlfn.IFNA(VLOOKUP(C252,'חד גזעי'!$AH$2:$AH$33,1,FALSE),SUM(J252:M252))&lt;21,_xlfn.IFNA(VLOOKUP(C252,'חד גזעי'!$AH$2:$AH$33,1,FALSE),SUM(J252:M252)),0),SUM(J252:M252)))</f>
        <v>#N/A</v>
      </c>
      <c r="O252" s="72">
        <f>IF('חד גזעי'!$AM$3 = "כן",IF(T252&gt;4,4,T252),T252)</f>
        <v>0</v>
      </c>
      <c r="P252" s="80">
        <f>IF(E252&lt;2,0,IF(Z252&gt;0,Z252,IF(N252 = 0,0,IF('חד גזעי'!$AM$2 = "לא",IF(F252&gt;19,W252,0),IF(F252&gt;9,Y252,0)))))</f>
        <v>0</v>
      </c>
      <c r="Q252" s="77"/>
      <c r="R252" s="76"/>
      <c r="S252" t="e">
        <f>VLOOKUP(C252,'חד גזעי'!$Y$4:$Y$18,1,0)</f>
        <v>#N/A</v>
      </c>
      <c r="T252" s="72">
        <f>IF('חד גזעי'!$AM$6="לא",IF(P252=0,IF(BC252="שימור",IF('חד גזעי'!$AM$4="לא",IF(BC252="לא בוגר",0,IF(BC252="לא קיים",0,IF(J252=0,0,I252*0.1))),IF(BC252="לא בוגר",0,IF(BC252="לא קיים",0,IF(AB252=1,I252*0.1,E252*0.5)))),0),IF('חד גזעי'!$AM$4="לא",IF(BC252="לא בוגר",0,IF(BC252="לא קיים",0,IF(J252=0,0,I252*0.1))),IF(BC252="לא בוגר",0,IF(BC252="לא קיים",0,IF(AB252=1,I252*0.1,E252*0.5))))),IF(P252=0,IF(BC252="שימור",IF('חד גזעי'!$AM$4="לא",IF(BC252="לא בוגר",0,IF(BC252="לא קיים",0,IF(J252=0,0,I252*0.15))),IF(BC252="לא בוגר",0,IF(BC252="לא קיים",0,IF(AB252=1,I252*0.15,E252*0.5)))),0),IF('חד גזעי'!$AM$4="לא",IF(BC252="לא בוגר",0,IF(BC252="לא קיים",0,IF(J252=0,0,I252*0.15))),IF(BC252="לא בוגר",0,IF(BC252="לא קיים",0,IF(AB252=1,I252*0.15,E252*0.5))))))</f>
        <v>0</v>
      </c>
      <c r="V252" t="e">
        <f t="shared" si="227"/>
        <v>#N/A</v>
      </c>
      <c r="W252" t="e">
        <f t="shared" si="228"/>
        <v>#N/A</v>
      </c>
      <c r="X252" t="e">
        <f t="shared" si="229"/>
        <v>#N/A</v>
      </c>
      <c r="Y252">
        <f>IF('חד גזעי'!$AM$2 = "לא",0,IF(F252&gt;9,W252,0))</f>
        <v>0</v>
      </c>
      <c r="Z252">
        <f>IF('חד גזעי'!$AM$7 = "לא",0,IF(C252 = "זית אירופי",IF('חד גזעי'!$AN$7 &lt;=סקר!F252,W252,0),IF(C252 = "חרוב מצוי",IF('חד גזעי'!$AN$7 &lt;=סקר!F252,W252,0),0)))</f>
        <v>0</v>
      </c>
      <c r="AB252">
        <f t="shared" si="256"/>
        <v>1</v>
      </c>
      <c r="AC252" s="72"/>
      <c r="AD252" t="e">
        <f t="shared" si="274"/>
        <v>#N/A</v>
      </c>
      <c r="AE252" s="72"/>
      <c r="AF252" s="72" t="e">
        <f t="shared" si="257"/>
        <v>#N/A</v>
      </c>
      <c r="AG252" s="72" t="e">
        <f>IF('חד גזעי'!$AM$5="לא",(VLOOKUP(C252,'חד גזעי'!$P$1:$S$589,3,FALSE)),(VLOOKUP(C252,'חד גזעי'!$P$1:$S$589,4,FALSE)))</f>
        <v>#N/A</v>
      </c>
      <c r="AH252" s="72">
        <f t="shared" si="258"/>
        <v>0</v>
      </c>
      <c r="AI252" s="72">
        <f t="shared" si="259"/>
        <v>0</v>
      </c>
      <c r="AJ252" s="72">
        <f t="shared" si="260"/>
        <v>0</v>
      </c>
      <c r="AK252" s="72" t="e">
        <f t="shared" si="261"/>
        <v>#N/A</v>
      </c>
      <c r="AL252" t="e">
        <f>VLOOKUP(C252,'חד גזעי'!$AH$8:$AI$33,2,FALSE)</f>
        <v>#N/A</v>
      </c>
      <c r="AM252" s="72" t="b">
        <f t="shared" si="262"/>
        <v>0</v>
      </c>
      <c r="AN252" s="72" t="b">
        <f t="shared" si="263"/>
        <v>0</v>
      </c>
      <c r="AO252" s="72" t="b">
        <f t="shared" si="264"/>
        <v>0</v>
      </c>
      <c r="AS252" s="72">
        <f t="shared" si="265"/>
        <v>0</v>
      </c>
      <c r="AT252" s="72">
        <f t="shared" si="266"/>
        <v>0</v>
      </c>
      <c r="AU252" s="72">
        <f t="shared" si="275"/>
        <v>0</v>
      </c>
      <c r="AV252" s="72">
        <f t="shared" si="267"/>
        <v>0</v>
      </c>
      <c r="AW252" s="72">
        <f t="shared" si="268"/>
        <v>0</v>
      </c>
      <c r="AX252" s="72">
        <f t="shared" si="269"/>
        <v>0</v>
      </c>
      <c r="AY252" s="72">
        <f t="shared" si="270"/>
        <v>0</v>
      </c>
      <c r="AZ252" s="72">
        <f t="shared" si="271"/>
        <v>0</v>
      </c>
      <c r="BA252" s="72" t="e">
        <f t="shared" si="272"/>
        <v>#N/A</v>
      </c>
      <c r="BB252" s="72" t="e">
        <f t="shared" si="273"/>
        <v>#N/A</v>
      </c>
      <c r="BC252" s="77"/>
      <c r="BE252">
        <f t="shared" si="253"/>
        <v>0</v>
      </c>
      <c r="BF252" s="72"/>
      <c r="BG252" s="72"/>
      <c r="BH252" s="72"/>
      <c r="BI252" s="72"/>
      <c r="BJ252" s="72"/>
      <c r="BK252" s="72"/>
    </row>
    <row r="253" spans="2:63" hidden="1">
      <c r="B253" s="72"/>
      <c r="C253" s="135"/>
      <c r="D253" s="78"/>
      <c r="E253" s="78"/>
      <c r="F253" s="72"/>
      <c r="G253" s="72"/>
      <c r="H253" s="72"/>
      <c r="I253" s="73">
        <f t="shared" si="255"/>
        <v>0</v>
      </c>
      <c r="J253" s="78"/>
      <c r="K253" s="73"/>
      <c r="L253" s="74" t="e">
        <f>_xlfn.IFNA(VLOOKUP(C253,'חד גזעי'!$U$3:$V$509,2,0),VLOOKUP(C253,'חד גזעי'!$U$3:$V$509,2))</f>
        <v>#N/A</v>
      </c>
      <c r="M253" s="73"/>
      <c r="N253" s="72" t="e">
        <f>_xlfn.IFNA(IF(VLOOKUP(C253,'חד גזעי'!$AH$2:$AH$7,1,FALSE)&gt;0,0,IF('חד גזעי'!$AM$5="כן",IF(_xlfn.IFNA(VLOOKUP(C253,'חד גזעי'!$AH$2:$AH$33,1,FALSE),SUM(J253:M253))&lt;21,_xlfn.IFNA(VLOOKUP(C253,'חד גזעי'!$AH$2:$AH$33,1,FALSE),SUM(J253:M253)),0),SUM(J253:M253))),IF('חד גזעי'!$AM$5="כן",IF(_xlfn.IFNA(VLOOKUP(C253,'חד גזעי'!$AH$2:$AH$33,1,FALSE),SUM(J253:M253))&lt;21,_xlfn.IFNA(VLOOKUP(C253,'חד גזעי'!$AH$2:$AH$33,1,FALSE),SUM(J253:M253)),0),SUM(J253:M253)))</f>
        <v>#N/A</v>
      </c>
      <c r="O253" s="72">
        <f>IF('חד גזעי'!$AM$3 = "כן",IF(T253&gt;4,4,T253),T253)</f>
        <v>0</v>
      </c>
      <c r="P253" s="80">
        <f>IF(E253&lt;2,0,IF(Z253&gt;0,Z253,IF(N253 = 0,0,IF('חד גזעי'!$AM$2 = "לא",IF(F253&gt;19,W253,0),IF(F253&gt;9,Y253,0)))))</f>
        <v>0</v>
      </c>
      <c r="Q253" s="77"/>
      <c r="R253" s="75"/>
      <c r="S253" t="e">
        <f>VLOOKUP(C253,'חד גזעי'!$Y$4:$Y$18,1,0)</f>
        <v>#N/A</v>
      </c>
      <c r="T253" s="72">
        <f>IF('חד גזעי'!$AM$6="לא",IF(P253=0,IF(BC253="שימור",IF('חד גזעי'!$AM$4="לא",IF(BC253="לא בוגר",0,IF(BC253="לא קיים",0,IF(J253=0,0,I253*0.1))),IF(BC253="לא בוגר",0,IF(BC253="לא קיים",0,IF(AB253=1,I253*0.1,E253*0.5)))),0),IF('חד גזעי'!$AM$4="לא",IF(BC253="לא בוגר",0,IF(BC253="לא קיים",0,IF(J253=0,0,I253*0.1))),IF(BC253="לא בוגר",0,IF(BC253="לא קיים",0,IF(AB253=1,I253*0.1,E253*0.5))))),IF(P253=0,IF(BC253="שימור",IF('חד גזעי'!$AM$4="לא",IF(BC253="לא בוגר",0,IF(BC253="לא קיים",0,IF(J253=0,0,I253*0.15))),IF(BC253="לא בוגר",0,IF(BC253="לא קיים",0,IF(AB253=1,I253*0.15,E253*0.5)))),0),IF('חד גזעי'!$AM$4="לא",IF(BC253="לא בוגר",0,IF(BC253="לא קיים",0,IF(J253=0,0,I253*0.15))),IF(BC253="לא בוגר",0,IF(BC253="לא קיים",0,IF(AB253=1,I253*0.15,E253*0.5))))))</f>
        <v>0</v>
      </c>
      <c r="V253" t="e">
        <f t="shared" si="227"/>
        <v>#N/A</v>
      </c>
      <c r="W253" t="e">
        <f t="shared" si="228"/>
        <v>#N/A</v>
      </c>
      <c r="X253" t="e">
        <f t="shared" si="229"/>
        <v>#N/A</v>
      </c>
      <c r="Y253">
        <f>IF('חד גזעי'!$AM$2 = "לא",0,IF(F253&gt;9,W253,0))</f>
        <v>0</v>
      </c>
      <c r="Z253">
        <f>IF('חד גזעי'!$AM$7 = "לא",0,IF(C253 = "זית אירופי",IF('חד גזעי'!$AN$7 &lt;=סקר!F253,W253,0),IF(C253 = "חרוב מצוי",IF('חד גזעי'!$AN$7 &lt;=סקר!F253,W253,0),0)))</f>
        <v>0</v>
      </c>
      <c r="AB253">
        <f t="shared" si="256"/>
        <v>1</v>
      </c>
      <c r="AC253" s="72"/>
      <c r="AD253" t="e">
        <f t="shared" si="274"/>
        <v>#N/A</v>
      </c>
      <c r="AE253" s="72"/>
      <c r="AF253" s="72" t="e">
        <f t="shared" si="257"/>
        <v>#N/A</v>
      </c>
      <c r="AG253" s="72" t="e">
        <f>IF('חד גזעי'!$AM$5="לא",(VLOOKUP(C253,'חד גזעי'!$P$1:$S$589,3,FALSE)),(VLOOKUP(C253,'חד גזעי'!$P$1:$S$589,4,FALSE)))</f>
        <v>#N/A</v>
      </c>
      <c r="AH253" s="72">
        <f t="shared" si="258"/>
        <v>0</v>
      </c>
      <c r="AI253" s="72">
        <f t="shared" si="259"/>
        <v>0</v>
      </c>
      <c r="AJ253" s="72">
        <f t="shared" si="260"/>
        <v>0</v>
      </c>
      <c r="AK253" s="72" t="e">
        <f t="shared" si="261"/>
        <v>#N/A</v>
      </c>
      <c r="AL253" t="e">
        <f>VLOOKUP(C253,'חד גזעי'!$AH$8:$AI$33,2,FALSE)</f>
        <v>#N/A</v>
      </c>
      <c r="AM253" s="72" t="b">
        <f t="shared" si="262"/>
        <v>0</v>
      </c>
      <c r="AN253" s="72" t="b">
        <f t="shared" si="263"/>
        <v>0</v>
      </c>
      <c r="AO253" s="72" t="b">
        <f t="shared" si="264"/>
        <v>0</v>
      </c>
      <c r="AS253" s="72">
        <f t="shared" si="265"/>
        <v>0</v>
      </c>
      <c r="AT253" s="72">
        <f t="shared" si="266"/>
        <v>0</v>
      </c>
      <c r="AU253" s="72">
        <f t="shared" si="275"/>
        <v>0</v>
      </c>
      <c r="AV253" s="72">
        <f t="shared" si="267"/>
        <v>0</v>
      </c>
      <c r="AW253" s="72">
        <f t="shared" si="268"/>
        <v>0</v>
      </c>
      <c r="AX253" s="72">
        <f t="shared" si="269"/>
        <v>0</v>
      </c>
      <c r="AY253" s="72">
        <f t="shared" si="270"/>
        <v>0</v>
      </c>
      <c r="AZ253" s="72">
        <f t="shared" si="271"/>
        <v>0</v>
      </c>
      <c r="BA253" s="72" t="e">
        <f t="shared" si="272"/>
        <v>#N/A</v>
      </c>
      <c r="BB253" s="72" t="e">
        <f t="shared" si="273"/>
        <v>#N/A</v>
      </c>
      <c r="BC253" s="77"/>
      <c r="BE253">
        <f t="shared" si="253"/>
        <v>0</v>
      </c>
      <c r="BF253" s="196" t="str">
        <f>BF272</f>
        <v>C:\Users\origr\Pictures\0.jpg</v>
      </c>
      <c r="BG253" s="196" t="str">
        <f t="shared" ref="BG253:BK253" si="276">BG272</f>
        <v>C:\Users\origr\Pictures\0.jpg</v>
      </c>
      <c r="BH253" s="196" t="str">
        <f t="shared" si="276"/>
        <v>C:\Users\origr\Pictures\0.jpg</v>
      </c>
      <c r="BI253" s="196" t="str">
        <f t="shared" si="276"/>
        <v>C:\Users\origr\Pictures\0.jpg</v>
      </c>
      <c r="BJ253" s="196" t="str">
        <f t="shared" si="276"/>
        <v>C:\Users\origr\Pictures\0.jpg</v>
      </c>
      <c r="BK253" s="196" t="str">
        <f t="shared" si="276"/>
        <v>C:\Users\origr\Pictures\0.jpg</v>
      </c>
    </row>
    <row r="254" spans="2:63" hidden="1">
      <c r="B254" s="72"/>
      <c r="C254" s="135"/>
      <c r="D254" s="78"/>
      <c r="E254" s="78"/>
      <c r="F254" s="72"/>
      <c r="G254" s="72"/>
      <c r="H254" s="72"/>
      <c r="I254" s="73">
        <f t="shared" si="255"/>
        <v>0</v>
      </c>
      <c r="J254" s="78"/>
      <c r="K254" s="73"/>
      <c r="L254" s="74" t="e">
        <f>_xlfn.IFNA(VLOOKUP(C254,'חד גזעי'!$U$3:$V$509,2,0),VLOOKUP(C254,'חד גזעי'!$U$3:$V$509,2))</f>
        <v>#N/A</v>
      </c>
      <c r="M254" s="73"/>
      <c r="N254" s="72" t="e">
        <f>_xlfn.IFNA(IF(VLOOKUP(C254,'חד גזעי'!$AH$2:$AH$7,1,FALSE)&gt;0,0,IF('חד גזעי'!$AM$5="כן",IF(_xlfn.IFNA(VLOOKUP(C254,'חד גזעי'!$AH$2:$AH$33,1,FALSE),SUM(J254:M254))&lt;21,_xlfn.IFNA(VLOOKUP(C254,'חד גזעי'!$AH$2:$AH$33,1,FALSE),SUM(J254:M254)),0),SUM(J254:M254))),IF('חד גזעי'!$AM$5="כן",IF(_xlfn.IFNA(VLOOKUP(C254,'חד גזעי'!$AH$2:$AH$33,1,FALSE),SUM(J254:M254))&lt;21,_xlfn.IFNA(VLOOKUP(C254,'חד גזעי'!$AH$2:$AH$33,1,FALSE),SUM(J254:M254)),0),SUM(J254:M254)))</f>
        <v>#N/A</v>
      </c>
      <c r="O254" s="72">
        <f>IF('חד גזעי'!$AM$3 = "כן",IF(T254&gt;4,4,T254),T254)</f>
        <v>0</v>
      </c>
      <c r="P254" s="80">
        <f>IF(E254&lt;2,0,IF(Z254&gt;0,Z254,IF(N254 = 0,0,IF('חד גזעי'!$AM$2 = "לא",IF(F254&gt;19,W254,0),IF(F254&gt;9,Y254,0)))))</f>
        <v>0</v>
      </c>
      <c r="Q254" s="77"/>
      <c r="R254" s="76"/>
      <c r="S254" t="e">
        <f>VLOOKUP(C254,'חד גזעי'!$Y$4:$Y$18,1,0)</f>
        <v>#N/A</v>
      </c>
      <c r="T254" s="72">
        <f>IF('חד גזעי'!$AM$6="לא",IF(P254=0,IF(BC254="שימור",IF('חד גזעי'!$AM$4="לא",IF(BC254="לא בוגר",0,IF(BC254="לא קיים",0,IF(J254=0,0,I254*0.1))),IF(BC254="לא בוגר",0,IF(BC254="לא קיים",0,IF(AB254=1,I254*0.1,E254*0.5)))),0),IF('חד גזעי'!$AM$4="לא",IF(BC254="לא בוגר",0,IF(BC254="לא קיים",0,IF(J254=0,0,I254*0.1))),IF(BC254="לא בוגר",0,IF(BC254="לא קיים",0,IF(AB254=1,I254*0.1,E254*0.5))))),IF(P254=0,IF(BC254="שימור",IF('חד גזעי'!$AM$4="לא",IF(BC254="לא בוגר",0,IF(BC254="לא קיים",0,IF(J254=0,0,I254*0.15))),IF(BC254="לא בוגר",0,IF(BC254="לא קיים",0,IF(AB254=1,I254*0.15,E254*0.5)))),0),IF('חד גזעי'!$AM$4="לא",IF(BC254="לא בוגר",0,IF(BC254="לא קיים",0,IF(J254=0,0,I254*0.15))),IF(BC254="לא בוגר",0,IF(BC254="לא קיים",0,IF(AB254=1,I254*0.15,E254*0.5))))))</f>
        <v>0</v>
      </c>
      <c r="V254" t="e">
        <f t="shared" si="227"/>
        <v>#N/A</v>
      </c>
      <c r="W254" t="e">
        <f t="shared" si="228"/>
        <v>#N/A</v>
      </c>
      <c r="X254" t="e">
        <f t="shared" si="229"/>
        <v>#N/A</v>
      </c>
      <c r="Y254">
        <f>IF('חד גזעי'!$AM$2 = "לא",0,IF(F254&gt;9,W254,0))</f>
        <v>0</v>
      </c>
      <c r="Z254">
        <f>IF('חד גזעי'!$AM$7 = "לא",0,IF(C254 = "זית אירופי",IF('חד גזעי'!$AN$7 &lt;=סקר!F254,W254,0),IF(C254 = "חרוב מצוי",IF('חד גזעי'!$AN$7 &lt;=סקר!F254,W254,0),0)))</f>
        <v>0</v>
      </c>
      <c r="AB254">
        <f t="shared" si="256"/>
        <v>1</v>
      </c>
      <c r="AC254" s="72"/>
      <c r="AD254" t="e">
        <f t="shared" si="274"/>
        <v>#N/A</v>
      </c>
      <c r="AE254" s="72"/>
      <c r="AF254" s="72" t="e">
        <f t="shared" si="257"/>
        <v>#N/A</v>
      </c>
      <c r="AG254" s="72" t="e">
        <f>IF('חד גזעי'!$AM$5="לא",(VLOOKUP(C254,'חד גזעי'!$P$1:$S$589,3,FALSE)),(VLOOKUP(C254,'חד גזעי'!$P$1:$S$589,4,FALSE)))</f>
        <v>#N/A</v>
      </c>
      <c r="AH254" s="72">
        <f t="shared" si="258"/>
        <v>0</v>
      </c>
      <c r="AI254" s="72">
        <f t="shared" si="259"/>
        <v>0</v>
      </c>
      <c r="AJ254" s="72">
        <f t="shared" si="260"/>
        <v>0</v>
      </c>
      <c r="AK254" s="72" t="e">
        <f t="shared" si="261"/>
        <v>#N/A</v>
      </c>
      <c r="AL254" t="e">
        <f>VLOOKUP(C254,'חד גזעי'!$AH$8:$AI$33,2,FALSE)</f>
        <v>#N/A</v>
      </c>
      <c r="AM254" s="72" t="b">
        <f t="shared" si="262"/>
        <v>0</v>
      </c>
      <c r="AN254" s="72" t="b">
        <f t="shared" si="263"/>
        <v>0</v>
      </c>
      <c r="AO254" s="72" t="b">
        <f t="shared" si="264"/>
        <v>0</v>
      </c>
      <c r="AS254" s="72">
        <f t="shared" si="265"/>
        <v>0</v>
      </c>
      <c r="AT254" s="72">
        <f t="shared" si="266"/>
        <v>0</v>
      </c>
      <c r="AU254" s="72">
        <f t="shared" si="275"/>
        <v>0</v>
      </c>
      <c r="AV254" s="72">
        <f t="shared" si="267"/>
        <v>0</v>
      </c>
      <c r="AW254" s="72">
        <f t="shared" si="268"/>
        <v>0</v>
      </c>
      <c r="AX254" s="72">
        <f t="shared" si="269"/>
        <v>0</v>
      </c>
      <c r="AY254" s="72">
        <f t="shared" si="270"/>
        <v>0</v>
      </c>
      <c r="AZ254" s="72">
        <f t="shared" si="271"/>
        <v>0</v>
      </c>
      <c r="BA254" s="72" t="e">
        <f t="shared" si="272"/>
        <v>#N/A</v>
      </c>
      <c r="BB254" s="72" t="e">
        <f t="shared" si="273"/>
        <v>#N/A</v>
      </c>
      <c r="BC254" s="77"/>
      <c r="BE254">
        <f t="shared" si="253"/>
        <v>0</v>
      </c>
      <c r="BF254" s="196"/>
      <c r="BG254" s="196"/>
      <c r="BH254" s="196"/>
      <c r="BI254" s="196"/>
      <c r="BJ254" s="196"/>
      <c r="BK254" s="196"/>
    </row>
    <row r="255" spans="2:63" hidden="1">
      <c r="B255" s="72"/>
      <c r="C255" s="135"/>
      <c r="D255" s="78"/>
      <c r="E255" s="78"/>
      <c r="F255" s="72"/>
      <c r="G255" s="72"/>
      <c r="H255" s="72"/>
      <c r="I255" s="73">
        <f t="shared" si="255"/>
        <v>0</v>
      </c>
      <c r="J255" s="78"/>
      <c r="K255" s="73"/>
      <c r="L255" s="74" t="e">
        <f>_xlfn.IFNA(VLOOKUP(C255,'חד גזעי'!$U$3:$V$509,2,0),VLOOKUP(C255,'חד גזעי'!$U$3:$V$509,2))</f>
        <v>#N/A</v>
      </c>
      <c r="M255" s="73"/>
      <c r="N255" s="72" t="e">
        <f>_xlfn.IFNA(IF(VLOOKUP(C255,'חד גזעי'!$AH$2:$AH$7,1,FALSE)&gt;0,0,IF('חד גזעי'!$AM$5="כן",IF(_xlfn.IFNA(VLOOKUP(C255,'חד גזעי'!$AH$2:$AH$33,1,FALSE),SUM(J255:M255))&lt;21,_xlfn.IFNA(VLOOKUP(C255,'חד גזעי'!$AH$2:$AH$33,1,FALSE),SUM(J255:M255)),0),SUM(J255:M255))),IF('חד גזעי'!$AM$5="כן",IF(_xlfn.IFNA(VLOOKUP(C255,'חד גזעי'!$AH$2:$AH$33,1,FALSE),SUM(J255:M255))&lt;21,_xlfn.IFNA(VLOOKUP(C255,'חד גזעי'!$AH$2:$AH$33,1,FALSE),SUM(J255:M255)),0),SUM(J255:M255)))</f>
        <v>#N/A</v>
      </c>
      <c r="O255" s="72">
        <f>IF('חד גזעי'!$AM$3 = "כן",IF(T255&gt;4,4,T255),T255)</f>
        <v>0</v>
      </c>
      <c r="P255" s="80">
        <f>IF(E255&lt;2,0,IF(Z255&gt;0,Z255,IF(N255 = 0,0,IF('חד גזעי'!$AM$2 = "לא",IF(F255&gt;19,W255,0),IF(F255&gt;9,Y255,0)))))</f>
        <v>0</v>
      </c>
      <c r="Q255" s="77"/>
      <c r="R255" s="76"/>
      <c r="S255" t="e">
        <f>VLOOKUP(C255,'חד גזעי'!$Y$4:$Y$18,1,0)</f>
        <v>#N/A</v>
      </c>
      <c r="T255" s="72">
        <f>IF('חד גזעי'!$AM$6="לא",IF(P255=0,IF(BC255="שימור",IF('חד גזעי'!$AM$4="לא",IF(BC255="לא בוגר",0,IF(BC255="לא קיים",0,IF(J255=0,0,I255*0.1))),IF(BC255="לא בוגר",0,IF(BC255="לא קיים",0,IF(AB255=1,I255*0.1,E255*0.5)))),0),IF('חד גזעי'!$AM$4="לא",IF(BC255="לא בוגר",0,IF(BC255="לא קיים",0,IF(J255=0,0,I255*0.1))),IF(BC255="לא בוגר",0,IF(BC255="לא קיים",0,IF(AB255=1,I255*0.1,E255*0.5))))),IF(P255=0,IF(BC255="שימור",IF('חד גזעי'!$AM$4="לא",IF(BC255="לא בוגר",0,IF(BC255="לא קיים",0,IF(J255=0,0,I255*0.15))),IF(BC255="לא בוגר",0,IF(BC255="לא קיים",0,IF(AB255=1,I255*0.15,E255*0.5)))),0),IF('חד גזעי'!$AM$4="לא",IF(BC255="לא בוגר",0,IF(BC255="לא קיים",0,IF(J255=0,0,I255*0.15))),IF(BC255="לא בוגר",0,IF(BC255="לא קיים",0,IF(AB255=1,I255*0.15,E255*0.5))))))</f>
        <v>0</v>
      </c>
      <c r="V255" t="e">
        <f t="shared" si="227"/>
        <v>#N/A</v>
      </c>
      <c r="W255" t="e">
        <f t="shared" si="228"/>
        <v>#N/A</v>
      </c>
      <c r="X255" t="e">
        <f t="shared" si="229"/>
        <v>#N/A</v>
      </c>
      <c r="Y255">
        <f>IF('חד גזעי'!$AM$2 = "לא",0,IF(F255&gt;9,W255,0))</f>
        <v>0</v>
      </c>
      <c r="Z255">
        <f>IF('חד גזעי'!$AM$7 = "לא",0,IF(C255 = "זית אירופי",IF('חד גזעי'!$AN$7 &lt;=סקר!F255,W255,0),IF(C255 = "חרוב מצוי",IF('חד גזעי'!$AN$7 &lt;=סקר!F255,W255,0),0)))</f>
        <v>0</v>
      </c>
      <c r="AB255">
        <f t="shared" si="256"/>
        <v>1</v>
      </c>
      <c r="AC255" s="72"/>
      <c r="AD255" t="e">
        <f t="shared" si="274"/>
        <v>#N/A</v>
      </c>
      <c r="AE255" s="72"/>
      <c r="AF255" s="72" t="e">
        <f t="shared" si="257"/>
        <v>#N/A</v>
      </c>
      <c r="AG255" s="72" t="e">
        <f>IF('חד גזעי'!$AM$5="לא",(VLOOKUP(C255,'חד גזעי'!$P$1:$S$589,3,FALSE)),(VLOOKUP(C255,'חד גזעי'!$P$1:$S$589,4,FALSE)))</f>
        <v>#N/A</v>
      </c>
      <c r="AH255" s="72">
        <f t="shared" si="258"/>
        <v>0</v>
      </c>
      <c r="AI255" s="72">
        <f t="shared" si="259"/>
        <v>0</v>
      </c>
      <c r="AJ255" s="72">
        <f t="shared" si="260"/>
        <v>0</v>
      </c>
      <c r="AK255" s="72" t="e">
        <f t="shared" si="261"/>
        <v>#N/A</v>
      </c>
      <c r="AL255" t="e">
        <f>VLOOKUP(C255,'חד גזעי'!$AH$8:$AI$33,2,FALSE)</f>
        <v>#N/A</v>
      </c>
      <c r="AM255" s="72" t="b">
        <f t="shared" si="262"/>
        <v>0</v>
      </c>
      <c r="AN255" s="72" t="b">
        <f t="shared" si="263"/>
        <v>0</v>
      </c>
      <c r="AO255" s="72" t="b">
        <f t="shared" si="264"/>
        <v>0</v>
      </c>
      <c r="AS255" s="72">
        <f t="shared" si="265"/>
        <v>0</v>
      </c>
      <c r="AT255" s="72">
        <f t="shared" si="266"/>
        <v>0</v>
      </c>
      <c r="AU255" s="72">
        <f t="shared" si="275"/>
        <v>0</v>
      </c>
      <c r="AV255" s="72">
        <f t="shared" si="267"/>
        <v>0</v>
      </c>
      <c r="AW255" s="72">
        <f t="shared" si="268"/>
        <v>0</v>
      </c>
      <c r="AX255" s="72">
        <f t="shared" si="269"/>
        <v>0</v>
      </c>
      <c r="AY255" s="72">
        <f t="shared" si="270"/>
        <v>0</v>
      </c>
      <c r="AZ255" s="72">
        <f t="shared" si="271"/>
        <v>0</v>
      </c>
      <c r="BA255" s="72" t="e">
        <f t="shared" si="272"/>
        <v>#N/A</v>
      </c>
      <c r="BB255" s="72" t="e">
        <f t="shared" si="273"/>
        <v>#N/A</v>
      </c>
      <c r="BC255" s="77"/>
      <c r="BE255">
        <f t="shared" si="253"/>
        <v>0</v>
      </c>
      <c r="BF255" s="196"/>
      <c r="BG255" s="196"/>
      <c r="BH255" s="196"/>
      <c r="BI255" s="196"/>
      <c r="BJ255" s="196"/>
      <c r="BK255" s="196"/>
    </row>
    <row r="256" spans="2:63" hidden="1">
      <c r="B256" s="72"/>
      <c r="C256" s="135"/>
      <c r="D256" s="78"/>
      <c r="E256" s="78"/>
      <c r="F256" s="72"/>
      <c r="G256" s="72"/>
      <c r="H256" s="72"/>
      <c r="I256" s="73">
        <f t="shared" si="255"/>
        <v>0</v>
      </c>
      <c r="J256" s="78"/>
      <c r="K256" s="73"/>
      <c r="L256" s="74" t="e">
        <f>_xlfn.IFNA(VLOOKUP(C256,'חד גזעי'!$U$3:$V$509,2,0),VLOOKUP(C256,'חד גזעי'!$U$3:$V$509,2))</f>
        <v>#N/A</v>
      </c>
      <c r="M256" s="73"/>
      <c r="N256" s="72" t="e">
        <f>_xlfn.IFNA(IF(VLOOKUP(C256,'חד גזעי'!$AH$2:$AH$7,1,FALSE)&gt;0,0,IF('חד גזעי'!$AM$5="כן",IF(_xlfn.IFNA(VLOOKUP(C256,'חד גזעי'!$AH$2:$AH$33,1,FALSE),SUM(J256:M256))&lt;21,_xlfn.IFNA(VLOOKUP(C256,'חד גזעי'!$AH$2:$AH$33,1,FALSE),SUM(J256:M256)),0),SUM(J256:M256))),IF('חד גזעי'!$AM$5="כן",IF(_xlfn.IFNA(VLOOKUP(C256,'חד גזעי'!$AH$2:$AH$33,1,FALSE),SUM(J256:M256))&lt;21,_xlfn.IFNA(VLOOKUP(C256,'חד גזעי'!$AH$2:$AH$33,1,FALSE),SUM(J256:M256)),0),SUM(J256:M256)))</f>
        <v>#N/A</v>
      </c>
      <c r="O256" s="72">
        <f>IF('חד גזעי'!$AM$3 = "כן",IF(T256&gt;4,4,T256),T256)</f>
        <v>0</v>
      </c>
      <c r="P256" s="80">
        <f>IF(E256&lt;2,0,IF(Z256&gt;0,Z256,IF(N256 = 0,0,IF('חד גזעי'!$AM$2 = "לא",IF(F256&gt;19,W256,0),IF(F256&gt;9,Y256,0)))))</f>
        <v>0</v>
      </c>
      <c r="Q256" s="77"/>
      <c r="R256" s="75"/>
      <c r="S256" t="e">
        <f>VLOOKUP(C256,'חד גזעי'!$Y$4:$Y$18,1,0)</f>
        <v>#N/A</v>
      </c>
      <c r="T256" s="72">
        <f>IF('חד גזעי'!$AM$6="לא",IF(P256=0,IF(BC256="שימור",IF('חד גזעי'!$AM$4="לא",IF(BC256="לא בוגר",0,IF(BC256="לא קיים",0,IF(J256=0,0,I256*0.1))),IF(BC256="לא בוגר",0,IF(BC256="לא קיים",0,IF(AB256=1,I256*0.1,E256*0.5)))),0),IF('חד גזעי'!$AM$4="לא",IF(BC256="לא בוגר",0,IF(BC256="לא קיים",0,IF(J256=0,0,I256*0.1))),IF(BC256="לא בוגר",0,IF(BC256="לא קיים",0,IF(AB256=1,I256*0.1,E256*0.5))))),IF(P256=0,IF(BC256="שימור",IF('חד גזעי'!$AM$4="לא",IF(BC256="לא בוגר",0,IF(BC256="לא קיים",0,IF(J256=0,0,I256*0.15))),IF(BC256="לא בוגר",0,IF(BC256="לא קיים",0,IF(AB256=1,I256*0.15,E256*0.5)))),0),IF('חד גזעי'!$AM$4="לא",IF(BC256="לא בוגר",0,IF(BC256="לא קיים",0,IF(J256=0,0,I256*0.15))),IF(BC256="לא בוגר",0,IF(BC256="לא קיים",0,IF(AB256=1,I256*0.15,E256*0.5))))))</f>
        <v>0</v>
      </c>
      <c r="V256" t="e">
        <f t="shared" si="227"/>
        <v>#N/A</v>
      </c>
      <c r="W256" t="e">
        <f t="shared" si="228"/>
        <v>#N/A</v>
      </c>
      <c r="X256" t="e">
        <f t="shared" si="229"/>
        <v>#N/A</v>
      </c>
      <c r="Y256">
        <f>IF('חד גזעי'!$AM$2 = "לא",0,IF(F256&gt;9,W256,0))</f>
        <v>0</v>
      </c>
      <c r="Z256">
        <f>IF('חד גזעי'!$AM$7 = "לא",0,IF(C256 = "זית אירופי",IF('חד גזעי'!$AN$7 &lt;=סקר!F256,W256,0),IF(C256 = "חרוב מצוי",IF('חד גזעי'!$AN$7 &lt;=סקר!F256,W256,0),0)))</f>
        <v>0</v>
      </c>
      <c r="AB256">
        <f t="shared" si="256"/>
        <v>1</v>
      </c>
      <c r="AC256" s="72"/>
      <c r="AD256" t="e">
        <f t="shared" si="274"/>
        <v>#N/A</v>
      </c>
      <c r="AE256" s="72"/>
      <c r="AF256" s="72" t="e">
        <f t="shared" si="257"/>
        <v>#N/A</v>
      </c>
      <c r="AG256" s="72" t="e">
        <f>IF('חד גזעי'!$AM$5="לא",(VLOOKUP(C256,'חד גזעי'!$P$1:$S$589,3,FALSE)),(VLOOKUP(C256,'חד גזעי'!$P$1:$S$589,4,FALSE)))</f>
        <v>#N/A</v>
      </c>
      <c r="AH256" s="72">
        <f t="shared" si="258"/>
        <v>0</v>
      </c>
      <c r="AI256" s="72">
        <f t="shared" si="259"/>
        <v>0</v>
      </c>
      <c r="AJ256" s="72">
        <f t="shared" si="260"/>
        <v>0</v>
      </c>
      <c r="AK256" s="72" t="e">
        <f t="shared" si="261"/>
        <v>#N/A</v>
      </c>
      <c r="AL256" t="e">
        <f>VLOOKUP(C256,'חד גזעי'!$AH$8:$AI$33,2,FALSE)</f>
        <v>#N/A</v>
      </c>
      <c r="AM256" s="72" t="b">
        <f t="shared" si="262"/>
        <v>0</v>
      </c>
      <c r="AN256" s="72" t="b">
        <f t="shared" si="263"/>
        <v>0</v>
      </c>
      <c r="AO256" s="72" t="b">
        <f t="shared" si="264"/>
        <v>0</v>
      </c>
      <c r="AS256" s="72">
        <f t="shared" si="265"/>
        <v>0</v>
      </c>
      <c r="AT256" s="72">
        <f t="shared" si="266"/>
        <v>0</v>
      </c>
      <c r="AU256" s="72">
        <f t="shared" si="275"/>
        <v>0</v>
      </c>
      <c r="AV256" s="72">
        <f t="shared" si="267"/>
        <v>0</v>
      </c>
      <c r="AW256" s="72">
        <f t="shared" si="268"/>
        <v>0</v>
      </c>
      <c r="AX256" s="72">
        <f t="shared" si="269"/>
        <v>0</v>
      </c>
      <c r="AY256" s="72">
        <f t="shared" si="270"/>
        <v>0</v>
      </c>
      <c r="AZ256" s="72">
        <f t="shared" si="271"/>
        <v>0</v>
      </c>
      <c r="BA256" s="72" t="e">
        <f t="shared" si="272"/>
        <v>#N/A</v>
      </c>
      <c r="BB256" s="72" t="e">
        <f t="shared" si="273"/>
        <v>#N/A</v>
      </c>
      <c r="BC256" s="77"/>
      <c r="BE256">
        <f t="shared" si="253"/>
        <v>0</v>
      </c>
      <c r="BF256" s="196"/>
      <c r="BG256" s="196"/>
      <c r="BH256" s="196"/>
      <c r="BI256" s="196"/>
      <c r="BJ256" s="196"/>
      <c r="BK256" s="196"/>
    </row>
    <row r="257" spans="1:63" hidden="1">
      <c r="B257" s="72"/>
      <c r="C257" s="135"/>
      <c r="D257" s="78"/>
      <c r="E257" s="78"/>
      <c r="F257" s="72"/>
      <c r="G257" s="72"/>
      <c r="H257" s="72"/>
      <c r="I257" s="73">
        <f t="shared" si="255"/>
        <v>0</v>
      </c>
      <c r="J257" s="78"/>
      <c r="K257" s="73"/>
      <c r="L257" s="74" t="e">
        <f>_xlfn.IFNA(VLOOKUP(C257,'חד גזעי'!$U$3:$V$509,2,0),VLOOKUP(C257,'חד גזעי'!$U$3:$V$509,2))</f>
        <v>#N/A</v>
      </c>
      <c r="M257" s="73"/>
      <c r="N257" s="72" t="e">
        <f>_xlfn.IFNA(IF(VLOOKUP(C257,'חד גזעי'!$AH$2:$AH$7,1,FALSE)&gt;0,0,IF('חד גזעי'!$AM$5="כן",IF(_xlfn.IFNA(VLOOKUP(C257,'חד גזעי'!$AH$2:$AH$33,1,FALSE),SUM(J257:M257))&lt;21,_xlfn.IFNA(VLOOKUP(C257,'חד גזעי'!$AH$2:$AH$33,1,FALSE),SUM(J257:M257)),0),SUM(J257:M257))),IF('חד גזעי'!$AM$5="כן",IF(_xlfn.IFNA(VLOOKUP(C257,'חד גזעי'!$AH$2:$AH$33,1,FALSE),SUM(J257:M257))&lt;21,_xlfn.IFNA(VLOOKUP(C257,'חד גזעי'!$AH$2:$AH$33,1,FALSE),SUM(J257:M257)),0),SUM(J257:M257)))</f>
        <v>#N/A</v>
      </c>
      <c r="O257" s="72">
        <f>IF('חד גזעי'!$AM$3 = "כן",IF(T257&gt;4,4,T257),T257)</f>
        <v>0</v>
      </c>
      <c r="P257" s="80">
        <f>IF(E257&lt;2,0,IF(Z257&gt;0,Z257,IF(N257 = 0,0,IF('חד גזעי'!$AM$2 = "לא",IF(F257&gt;19,W257,0),IF(F257&gt;9,Y257,0)))))</f>
        <v>0</v>
      </c>
      <c r="Q257" s="77"/>
      <c r="R257" s="76"/>
      <c r="S257" t="e">
        <f>VLOOKUP(C257,'חד גזעי'!$Y$4:$Y$18,1,0)</f>
        <v>#N/A</v>
      </c>
      <c r="T257" s="72">
        <f>IF('חד גזעי'!$AM$6="לא",IF(P257=0,IF(BC257="שימור",IF('חד גזעי'!$AM$4="לא",IF(BC257="לא בוגר",0,IF(BC257="לא קיים",0,IF(J257=0,0,I257*0.1))),IF(BC257="לא בוגר",0,IF(BC257="לא קיים",0,IF(AB257=1,I257*0.1,E257*0.5)))),0),IF('חד גזעי'!$AM$4="לא",IF(BC257="לא בוגר",0,IF(BC257="לא קיים",0,IF(J257=0,0,I257*0.1))),IF(BC257="לא בוגר",0,IF(BC257="לא קיים",0,IF(AB257=1,I257*0.1,E257*0.5))))),IF(P257=0,IF(BC257="שימור",IF('חד גזעי'!$AM$4="לא",IF(BC257="לא בוגר",0,IF(BC257="לא קיים",0,IF(J257=0,0,I257*0.15))),IF(BC257="לא בוגר",0,IF(BC257="לא קיים",0,IF(AB257=1,I257*0.15,E257*0.5)))),0),IF('חד גזעי'!$AM$4="לא",IF(BC257="לא בוגר",0,IF(BC257="לא קיים",0,IF(J257=0,0,I257*0.15))),IF(BC257="לא בוגר",0,IF(BC257="לא קיים",0,IF(AB257=1,I257*0.15,E257*0.5))))))</f>
        <v>0</v>
      </c>
      <c r="V257" t="e">
        <f t="shared" si="227"/>
        <v>#N/A</v>
      </c>
      <c r="W257" t="e">
        <f t="shared" si="228"/>
        <v>#N/A</v>
      </c>
      <c r="X257" t="e">
        <f t="shared" si="229"/>
        <v>#N/A</v>
      </c>
      <c r="Y257">
        <f>IF('חד גזעי'!$AM$2 = "לא",0,IF(F257&gt;9,W257,0))</f>
        <v>0</v>
      </c>
      <c r="Z257">
        <f>IF('חד גזעי'!$AM$7 = "לא",0,IF(C257 = "זית אירופי",IF('חד גזעי'!$AN$7 &lt;=סקר!F257,W257,0),IF(C257 = "חרוב מצוי",IF('חד גזעי'!$AN$7 &lt;=סקר!F257,W257,0),0)))</f>
        <v>0</v>
      </c>
      <c r="AB257">
        <f t="shared" si="256"/>
        <v>1</v>
      </c>
      <c r="AC257" s="72"/>
      <c r="AD257" t="e">
        <f t="shared" si="274"/>
        <v>#N/A</v>
      </c>
      <c r="AE257" s="72"/>
      <c r="AF257" s="72" t="e">
        <f t="shared" si="257"/>
        <v>#N/A</v>
      </c>
      <c r="AG257" s="72" t="e">
        <f>IF('חד גזעי'!$AM$5="לא",(VLOOKUP(C257,'חד גזעי'!$P$1:$S$589,3,FALSE)),(VLOOKUP(C257,'חד גזעי'!$P$1:$S$589,4,FALSE)))</f>
        <v>#N/A</v>
      </c>
      <c r="AH257" s="72">
        <f t="shared" si="258"/>
        <v>0</v>
      </c>
      <c r="AI257" s="72">
        <f t="shared" si="259"/>
        <v>0</v>
      </c>
      <c r="AJ257" s="72">
        <f t="shared" si="260"/>
        <v>0</v>
      </c>
      <c r="AK257" s="72" t="e">
        <f t="shared" si="261"/>
        <v>#N/A</v>
      </c>
      <c r="AL257" t="e">
        <f>VLOOKUP(C257,'חד גזעי'!$AH$8:$AI$33,2,FALSE)</f>
        <v>#N/A</v>
      </c>
      <c r="AM257" s="72" t="b">
        <f t="shared" si="262"/>
        <v>0</v>
      </c>
      <c r="AN257" s="72" t="b">
        <f t="shared" si="263"/>
        <v>0</v>
      </c>
      <c r="AO257" s="72" t="b">
        <f t="shared" si="264"/>
        <v>0</v>
      </c>
      <c r="AS257" s="72">
        <f t="shared" si="265"/>
        <v>0</v>
      </c>
      <c r="AT257" s="72">
        <f t="shared" si="266"/>
        <v>0</v>
      </c>
      <c r="AU257" s="72">
        <f t="shared" si="275"/>
        <v>0</v>
      </c>
      <c r="AV257" s="72">
        <f t="shared" si="267"/>
        <v>0</v>
      </c>
      <c r="AW257" s="72">
        <f t="shared" si="268"/>
        <v>0</v>
      </c>
      <c r="AX257" s="72">
        <f t="shared" si="269"/>
        <v>0</v>
      </c>
      <c r="AY257" s="72">
        <f t="shared" si="270"/>
        <v>0</v>
      </c>
      <c r="AZ257" s="72">
        <f t="shared" si="271"/>
        <v>0</v>
      </c>
      <c r="BA257" s="72" t="e">
        <f t="shared" si="272"/>
        <v>#N/A</v>
      </c>
      <c r="BB257" s="72" t="e">
        <f t="shared" si="273"/>
        <v>#N/A</v>
      </c>
      <c r="BC257" s="77"/>
      <c r="BE257">
        <f t="shared" si="253"/>
        <v>0</v>
      </c>
      <c r="BF257" s="196"/>
      <c r="BG257" s="196"/>
      <c r="BH257" s="196"/>
      <c r="BI257" s="196"/>
      <c r="BJ257" s="196"/>
      <c r="BK257" s="196"/>
    </row>
    <row r="258" spans="1:63" hidden="1">
      <c r="B258" s="72"/>
      <c r="C258" s="135"/>
      <c r="D258" s="78"/>
      <c r="E258" s="78"/>
      <c r="F258" s="72"/>
      <c r="G258" s="72"/>
      <c r="H258" s="72"/>
      <c r="I258" s="73">
        <f t="shared" si="255"/>
        <v>0</v>
      </c>
      <c r="J258" s="78"/>
      <c r="K258" s="73"/>
      <c r="L258" s="74" t="e">
        <f>_xlfn.IFNA(VLOOKUP(C258,'חד גזעי'!$U$3:$V$509,2,0),VLOOKUP(C258,'חד גזעי'!$U$3:$V$509,2))</f>
        <v>#N/A</v>
      </c>
      <c r="M258" s="102"/>
      <c r="N258" s="72" t="e">
        <f>_xlfn.IFNA(IF(VLOOKUP(C258,'חד גזעי'!$AH$2:$AH$7,1,FALSE)&gt;0,0,IF('חד גזעי'!$AM$5="כן",IF(_xlfn.IFNA(VLOOKUP(C258,'חד גזעי'!$AH$2:$AH$33,1,FALSE),SUM(J258:M258))&lt;21,_xlfn.IFNA(VLOOKUP(C258,'חד גזעי'!$AH$2:$AH$33,1,FALSE),SUM(J258:M258)),0),SUM(J258:M258))),IF('חד גזעי'!$AM$5="כן",IF(_xlfn.IFNA(VLOOKUP(C258,'חד גזעי'!$AH$2:$AH$33,1,FALSE),SUM(J258:M258))&lt;21,_xlfn.IFNA(VLOOKUP(C258,'חד גזעי'!$AH$2:$AH$33,1,FALSE),SUM(J258:M258)),0),SUM(J258:M258)))</f>
        <v>#N/A</v>
      </c>
      <c r="O258" s="72">
        <f>IF('חד גזעי'!$AM$3 = "כן",IF(T258&gt;4,4,T258),T258)</f>
        <v>0</v>
      </c>
      <c r="P258" s="80">
        <f>IF(E258&lt;2,0,IF(Z258&gt;0,Z258,IF(N258 = 0,0,IF('חד גזעי'!$AM$2 = "לא",IF(F258&gt;19,W258,0),IF(F258&gt;9,Y258,0)))))</f>
        <v>0</v>
      </c>
      <c r="Q258" s="77"/>
      <c r="R258" s="76"/>
      <c r="S258" t="e">
        <f>VLOOKUP(C258,'חד גזעי'!$Y$4:$Y$18,1,0)</f>
        <v>#N/A</v>
      </c>
      <c r="T258" s="72">
        <f>IF('חד גזעי'!$AM$6="לא",IF(P258=0,IF(BC258="שימור",IF('חד גזעי'!$AM$4="לא",IF(BC258="לא בוגר",0,IF(BC258="לא קיים",0,IF(J258=0,0,I258*0.1))),IF(BC258="לא בוגר",0,IF(BC258="לא קיים",0,IF(AB258=1,I258*0.1,E258*0.5)))),0),IF('חד גזעי'!$AM$4="לא",IF(BC258="לא בוגר",0,IF(BC258="לא קיים",0,IF(J258=0,0,I258*0.1))),IF(BC258="לא בוגר",0,IF(BC258="לא קיים",0,IF(AB258=1,I258*0.1,E258*0.5))))),IF(P258=0,IF(BC258="שימור",IF('חד גזעי'!$AM$4="לא",IF(BC258="לא בוגר",0,IF(BC258="לא קיים",0,IF(J258=0,0,I258*0.15))),IF(BC258="לא בוגר",0,IF(BC258="לא קיים",0,IF(AB258=1,I258*0.15,E258*0.5)))),0),IF('חד גזעי'!$AM$4="לא",IF(BC258="לא בוגר",0,IF(BC258="לא קיים",0,IF(J258=0,0,I258*0.15))),IF(BC258="לא בוגר",0,IF(BC258="לא קיים",0,IF(AB258=1,I258*0.15,E258*0.5))))))</f>
        <v>0</v>
      </c>
      <c r="V258" t="e">
        <f t="shared" si="227"/>
        <v>#N/A</v>
      </c>
      <c r="W258" t="e">
        <f t="shared" si="228"/>
        <v>#N/A</v>
      </c>
      <c r="X258" t="e">
        <f t="shared" si="229"/>
        <v>#N/A</v>
      </c>
      <c r="Y258">
        <f>IF('חד גזעי'!$AM$2 = "לא",0,IF(F258&gt;9,W258,0))</f>
        <v>0</v>
      </c>
      <c r="Z258">
        <f>IF('חד גזעי'!$AM$7 = "לא",0,IF(C258 = "זית אירופי",IF('חד גזעי'!$AN$7 &lt;=סקר!F258,W258,0),IF(C258 = "חרוב מצוי",IF('חד גזעי'!$AN$7 &lt;=סקר!F258,W258,0),0)))</f>
        <v>0</v>
      </c>
      <c r="AB258">
        <f t="shared" si="256"/>
        <v>1</v>
      </c>
      <c r="AC258" s="72"/>
      <c r="AD258" t="e">
        <f t="shared" si="274"/>
        <v>#N/A</v>
      </c>
      <c r="AE258" s="72"/>
      <c r="AF258" s="72" t="e">
        <f t="shared" si="257"/>
        <v>#N/A</v>
      </c>
      <c r="AG258" s="72" t="e">
        <f>IF('חד גזעי'!$AM$5="לא",(VLOOKUP(C258,'חד גזעי'!$P$1:$S$589,3,FALSE)),(VLOOKUP(C258,'חד גזעי'!$P$1:$S$589,4,FALSE)))</f>
        <v>#N/A</v>
      </c>
      <c r="AH258" s="72">
        <f t="shared" si="258"/>
        <v>0</v>
      </c>
      <c r="AI258" s="72">
        <f t="shared" si="259"/>
        <v>0</v>
      </c>
      <c r="AJ258" s="72">
        <f t="shared" si="260"/>
        <v>0</v>
      </c>
      <c r="AK258" s="72" t="e">
        <f t="shared" si="261"/>
        <v>#N/A</v>
      </c>
      <c r="AL258" t="e">
        <f>VLOOKUP(C258,'חד גזעי'!$AH$8:$AI$33,2,FALSE)</f>
        <v>#N/A</v>
      </c>
      <c r="AM258" s="72" t="b">
        <f t="shared" si="262"/>
        <v>0</v>
      </c>
      <c r="AN258" s="72" t="b">
        <f t="shared" si="263"/>
        <v>0</v>
      </c>
      <c r="AO258" s="72" t="b">
        <f t="shared" si="264"/>
        <v>0</v>
      </c>
      <c r="AS258" s="72">
        <f t="shared" si="265"/>
        <v>0</v>
      </c>
      <c r="AT258" s="72">
        <f t="shared" si="266"/>
        <v>0</v>
      </c>
      <c r="AU258" s="72">
        <f t="shared" si="275"/>
        <v>0</v>
      </c>
      <c r="AV258" s="72">
        <f t="shared" si="267"/>
        <v>0</v>
      </c>
      <c r="AW258" s="72">
        <f t="shared" si="268"/>
        <v>0</v>
      </c>
      <c r="AX258" s="72">
        <f t="shared" si="269"/>
        <v>0</v>
      </c>
      <c r="AY258" s="72">
        <f t="shared" si="270"/>
        <v>0</v>
      </c>
      <c r="AZ258" s="72">
        <f t="shared" si="271"/>
        <v>0</v>
      </c>
      <c r="BA258" s="72" t="e">
        <f t="shared" si="272"/>
        <v>#N/A</v>
      </c>
      <c r="BB258" s="72" t="e">
        <f t="shared" si="273"/>
        <v>#N/A</v>
      </c>
      <c r="BC258" s="77"/>
      <c r="BE258">
        <f t="shared" si="253"/>
        <v>0</v>
      </c>
      <c r="BF258" s="196"/>
      <c r="BG258" s="196"/>
      <c r="BH258" s="196"/>
      <c r="BI258" s="196"/>
      <c r="BJ258" s="196"/>
      <c r="BK258" s="196"/>
    </row>
    <row r="259" spans="1:63" ht="12.75" hidden="1" customHeight="1">
      <c r="B259" s="72"/>
      <c r="C259" s="135"/>
      <c r="D259" s="73"/>
      <c r="E259" s="73"/>
      <c r="F259" s="72"/>
      <c r="G259" s="72"/>
      <c r="H259" s="72"/>
      <c r="I259" s="73">
        <f t="shared" si="255"/>
        <v>0</v>
      </c>
      <c r="J259" s="73"/>
      <c r="K259" s="73"/>
      <c r="L259" s="74" t="e">
        <f>_xlfn.IFNA(VLOOKUP(C259,'חד גזעי'!$U$3:$V$509,2,0),VLOOKUP(C259,'חד גזעי'!$U$3:$V$509,2))</f>
        <v>#N/A</v>
      </c>
      <c r="M259" s="73"/>
      <c r="N259" s="72" t="e">
        <f>_xlfn.IFNA(IF(VLOOKUP(C259,'חד גזעי'!$AH$2:$AH$7,1,FALSE)&gt;0,0,IF('חד גזעי'!$AM$5="כן",IF(_xlfn.IFNA(VLOOKUP(C259,'חד גזעי'!$AH$2:$AH$33,1,FALSE),SUM(J259:M259))&lt;21,_xlfn.IFNA(VLOOKUP(C259,'חד גזעי'!$AH$2:$AH$33,1,FALSE),SUM(J259:M259)),0),SUM(J259:M259))),IF('חד גזעי'!$AM$5="כן",IF(_xlfn.IFNA(VLOOKUP(C259,'חד גזעי'!$AH$2:$AH$33,1,FALSE),SUM(J259:M259))&lt;21,_xlfn.IFNA(VLOOKUP(C259,'חד גזעי'!$AH$2:$AH$33,1,FALSE),SUM(J259:M259)),0),SUM(J259:M259)))</f>
        <v>#N/A</v>
      </c>
      <c r="O259" s="72">
        <f>IF('חד גזעי'!$AM$3 = "כן",IF(T259&gt;4,4,T259),T259)</f>
        <v>0</v>
      </c>
      <c r="P259" s="80">
        <f>IF(E259&lt;2,0,IF(Z259&gt;0,Z259,IF(N259 = 0,0,IF('חד גזעי'!$AM$2 = "לא",IF(F259&gt;19,W259,0),IF(F259&gt;9,Y259,0)))))</f>
        <v>0</v>
      </c>
      <c r="Q259" s="77"/>
      <c r="R259" s="76"/>
      <c r="S259" t="e">
        <f>VLOOKUP(C259,'חד גזעי'!$Y$4:$Y$18,1,0)</f>
        <v>#N/A</v>
      </c>
      <c r="T259" s="72">
        <f>IF('חד גזעי'!$AM$6="לא",IF(P259=0,IF(BC259="שימור",IF('חד גזעי'!$AM$4="לא",IF(BC259="לא בוגר",0,IF(BC259="לא קיים",0,IF(J259=0,0,I259*0.1))),IF(BC259="לא בוגר",0,IF(BC259="לא קיים",0,IF(AB259=1,I259*0.1,E259*0.5)))),0),IF('חד גזעי'!$AM$4="לא",IF(BC259="לא בוגר",0,IF(BC259="לא קיים",0,IF(J259=0,0,I259*0.1))),IF(BC259="לא בוגר",0,IF(BC259="לא קיים",0,IF(AB259=1,I259*0.1,E259*0.5))))),IF(P259=0,IF(BC259="שימור",IF('חד גזעי'!$AM$4="לא",IF(BC259="לא בוגר",0,IF(BC259="לא קיים",0,IF(J259=0,0,I259*0.15))),IF(BC259="לא בוגר",0,IF(BC259="לא קיים",0,IF(AB259=1,I259*0.15,E259*0.5)))),0),IF('חד גזעי'!$AM$4="לא",IF(BC259="לא בוגר",0,IF(BC259="לא קיים",0,IF(J259=0,0,I259*0.15))),IF(BC259="לא בוגר",0,IF(BC259="לא קיים",0,IF(AB259=1,I259*0.15,E259*0.5))))))</f>
        <v>0</v>
      </c>
      <c r="V259" t="e">
        <f t="shared" si="227"/>
        <v>#N/A</v>
      </c>
      <c r="W259" t="e">
        <f t="shared" si="228"/>
        <v>#N/A</v>
      </c>
      <c r="X259" t="e">
        <f t="shared" si="229"/>
        <v>#N/A</v>
      </c>
      <c r="Y259">
        <f>IF('חד גזעי'!$AM$2 = "לא",0,IF(F259&gt;9,W259,0))</f>
        <v>0</v>
      </c>
      <c r="Z259">
        <f>IF('חד גזעי'!$AM$7 = "לא",0,IF(C259 = "זית אירופי",IF('חד גזעי'!$AN$7 &lt;=סקר!F259,W259,0),IF(C259 = "חרוב מצוי",IF('חד גזעי'!$AN$7 &lt;=סקר!F259,W259,0),0)))</f>
        <v>0</v>
      </c>
      <c r="AB259">
        <f t="shared" si="256"/>
        <v>1</v>
      </c>
      <c r="AC259" s="72"/>
      <c r="AD259" t="e">
        <f t="shared" si="274"/>
        <v>#N/A</v>
      </c>
      <c r="AE259" s="72"/>
      <c r="AF259" s="72" t="e">
        <f t="shared" si="257"/>
        <v>#N/A</v>
      </c>
      <c r="AG259" s="72" t="e">
        <f>IF('חד גזעי'!$AM$5="לא",(VLOOKUP(C259,'חד גזעי'!$P$1:$S$589,3,FALSE)),(VLOOKUP(C259,'חד גזעי'!$P$1:$S$589,4,FALSE)))</f>
        <v>#N/A</v>
      </c>
      <c r="AH259" s="72">
        <f t="shared" si="258"/>
        <v>0</v>
      </c>
      <c r="AI259" s="72">
        <f t="shared" si="259"/>
        <v>0</v>
      </c>
      <c r="AJ259" s="72">
        <f t="shared" si="260"/>
        <v>0</v>
      </c>
      <c r="AK259" s="72" t="e">
        <f t="shared" si="261"/>
        <v>#N/A</v>
      </c>
      <c r="AL259" t="e">
        <f>VLOOKUP(C259,'חד גזעי'!$AH$8:$AI$33,2,FALSE)</f>
        <v>#N/A</v>
      </c>
      <c r="AM259" s="72" t="b">
        <f t="shared" si="262"/>
        <v>0</v>
      </c>
      <c r="AN259" s="72" t="b">
        <f t="shared" si="263"/>
        <v>0</v>
      </c>
      <c r="AO259" s="72" t="b">
        <f t="shared" si="264"/>
        <v>0</v>
      </c>
      <c r="AS259" s="72">
        <f t="shared" si="265"/>
        <v>0</v>
      </c>
      <c r="AT259" s="72">
        <f t="shared" si="266"/>
        <v>0</v>
      </c>
      <c r="AU259" s="72">
        <f t="shared" si="275"/>
        <v>0</v>
      </c>
      <c r="AV259" s="72">
        <f t="shared" si="267"/>
        <v>0</v>
      </c>
      <c r="AW259" s="72">
        <f t="shared" si="268"/>
        <v>0</v>
      </c>
      <c r="AX259" s="72">
        <f t="shared" si="269"/>
        <v>0</v>
      </c>
      <c r="AY259" s="72">
        <f t="shared" si="270"/>
        <v>0</v>
      </c>
      <c r="AZ259" s="72">
        <f t="shared" si="271"/>
        <v>0</v>
      </c>
      <c r="BA259" s="72" t="e">
        <f t="shared" si="272"/>
        <v>#N/A</v>
      </c>
      <c r="BB259" s="72" t="e">
        <f t="shared" si="273"/>
        <v>#N/A</v>
      </c>
      <c r="BC259" s="77"/>
      <c r="BE259">
        <f t="shared" si="253"/>
        <v>0</v>
      </c>
      <c r="BF259" s="196"/>
      <c r="BG259" s="196"/>
      <c r="BH259" s="196"/>
      <c r="BI259" s="196"/>
      <c r="BJ259" s="196"/>
      <c r="BK259" s="196"/>
    </row>
    <row r="260" spans="1:63" ht="12.75" hidden="1" customHeight="1">
      <c r="B260" s="72"/>
      <c r="C260" s="135"/>
      <c r="D260" s="73"/>
      <c r="E260" s="73"/>
      <c r="F260" s="72"/>
      <c r="G260" s="72"/>
      <c r="H260" s="72"/>
      <c r="I260" s="73">
        <f t="shared" si="255"/>
        <v>0</v>
      </c>
      <c r="J260" s="73"/>
      <c r="K260" s="73"/>
      <c r="L260" s="74" t="e">
        <f>_xlfn.IFNA(VLOOKUP(C260,'חד גזעי'!$U$3:$V$509,2,0),VLOOKUP(C260,'חד גזעי'!$U$3:$V$509,2))</f>
        <v>#N/A</v>
      </c>
      <c r="M260" s="73"/>
      <c r="N260" s="72" t="e">
        <f>_xlfn.IFNA(IF(VLOOKUP(C260,'חד גזעי'!$AH$2:$AH$7,1,FALSE)&gt;0,0,IF('חד גזעי'!$AM$5="כן",IF(_xlfn.IFNA(VLOOKUP(C260,'חד גזעי'!$AH$2:$AH$33,1,FALSE),SUM(J260:M260))&lt;21,_xlfn.IFNA(VLOOKUP(C260,'חד גזעי'!$AH$2:$AH$33,1,FALSE),SUM(J260:M260)),0),SUM(J260:M260))),IF('חד גזעי'!$AM$5="כן",IF(_xlfn.IFNA(VLOOKUP(C260,'חד גזעי'!$AH$2:$AH$33,1,FALSE),SUM(J260:M260))&lt;21,_xlfn.IFNA(VLOOKUP(C260,'חד גזעי'!$AH$2:$AH$33,1,FALSE),SUM(J260:M260)),0),SUM(J260:M260)))</f>
        <v>#N/A</v>
      </c>
      <c r="O260" s="72">
        <f>IF('חד גזעי'!$AM$3 = "כן",IF(T260&gt;4,4,T260),T260)</f>
        <v>0</v>
      </c>
      <c r="P260" s="80">
        <f>IF(E260&lt;2,0,IF(Z260&gt;0,Z260,IF(N260 = 0,0,IF('חד גזעי'!$AM$2 = "לא",IF(F260&gt;19,W260,0),IF(F260&gt;9,Y260,0)))))</f>
        <v>0</v>
      </c>
      <c r="Q260" s="77"/>
      <c r="R260" s="76"/>
      <c r="S260" t="e">
        <f>VLOOKUP(C260,'חד גזעי'!$Y$4:$Y$18,1,0)</f>
        <v>#N/A</v>
      </c>
      <c r="T260" s="72">
        <f>IF('חד גזעי'!$AM$6="לא",IF(P260=0,IF(BC260="שימור",IF('חד גזעי'!$AM$4="לא",IF(BC260="לא בוגר",0,IF(BC260="לא קיים",0,IF(J260=0,0,I260*0.1))),IF(BC260="לא בוגר",0,IF(BC260="לא קיים",0,IF(AB260=1,I260*0.1,E260*0.5)))),0),IF('חד גזעי'!$AM$4="לא",IF(BC260="לא בוגר",0,IF(BC260="לא קיים",0,IF(J260=0,0,I260*0.1))),IF(BC260="לא בוגר",0,IF(BC260="לא קיים",0,IF(AB260=1,I260*0.1,E260*0.5))))),IF(P260=0,IF(BC260="שימור",IF('חד גזעי'!$AM$4="לא",IF(BC260="לא בוגר",0,IF(BC260="לא קיים",0,IF(J260=0,0,I260*0.15))),IF(BC260="לא בוגר",0,IF(BC260="לא קיים",0,IF(AB260=1,I260*0.15,E260*0.5)))),0),IF('חד גזעי'!$AM$4="לא",IF(BC260="לא בוגר",0,IF(BC260="לא קיים",0,IF(J260=0,0,I260*0.15))),IF(BC260="לא בוגר",0,IF(BC260="לא קיים",0,IF(AB260=1,I260*0.15,E260*0.5))))))</f>
        <v>0</v>
      </c>
      <c r="V260" t="e">
        <f t="shared" si="227"/>
        <v>#N/A</v>
      </c>
      <c r="W260" t="e">
        <f t="shared" si="228"/>
        <v>#N/A</v>
      </c>
      <c r="X260" t="e">
        <f t="shared" si="229"/>
        <v>#N/A</v>
      </c>
      <c r="Y260">
        <f>IF('חד גזעי'!$AM$2 = "לא",0,IF(F260&gt;9,W260,0))</f>
        <v>0</v>
      </c>
      <c r="Z260">
        <f>IF('חד גזעי'!$AM$7 = "לא",0,IF(C260 = "זית אירופי",IF('חד גזעי'!$AN$7 &lt;=סקר!F260,W260,0),IF(C260 = "חרוב מצוי",IF('חד גזעי'!$AN$7 &lt;=סקר!F260,W260,0),0)))</f>
        <v>0</v>
      </c>
      <c r="AB260">
        <f t="shared" si="256"/>
        <v>1</v>
      </c>
      <c r="AC260" s="72"/>
      <c r="AD260" t="e">
        <f t="shared" si="274"/>
        <v>#N/A</v>
      </c>
      <c r="AE260" s="72"/>
      <c r="AF260" s="72" t="e">
        <f t="shared" si="257"/>
        <v>#N/A</v>
      </c>
      <c r="AG260" s="72" t="e">
        <f>IF('חד גזעי'!$AM$5="לא",(VLOOKUP(C260,'חד גזעי'!$P$1:$S$589,3,FALSE)),(VLOOKUP(C260,'חד גזעי'!$P$1:$S$589,4,FALSE)))</f>
        <v>#N/A</v>
      </c>
      <c r="AH260" s="72">
        <f t="shared" si="258"/>
        <v>0</v>
      </c>
      <c r="AI260" s="72">
        <f t="shared" si="259"/>
        <v>0</v>
      </c>
      <c r="AJ260" s="72">
        <f t="shared" si="260"/>
        <v>0</v>
      </c>
      <c r="AK260" s="72" t="e">
        <f t="shared" si="261"/>
        <v>#N/A</v>
      </c>
      <c r="AL260" t="e">
        <f>VLOOKUP(C260,'חד גזעי'!$AH$8:$AI$33,2,FALSE)</f>
        <v>#N/A</v>
      </c>
      <c r="AM260" s="72" t="b">
        <f t="shared" si="262"/>
        <v>0</v>
      </c>
      <c r="AN260" s="72" t="b">
        <f t="shared" si="263"/>
        <v>0</v>
      </c>
      <c r="AO260" s="72" t="b">
        <f t="shared" si="264"/>
        <v>0</v>
      </c>
      <c r="AS260" s="72">
        <f t="shared" si="265"/>
        <v>0</v>
      </c>
      <c r="AT260" s="72">
        <f t="shared" si="266"/>
        <v>0</v>
      </c>
      <c r="AU260" s="72">
        <f t="shared" si="275"/>
        <v>0</v>
      </c>
      <c r="AV260" s="72">
        <f t="shared" si="267"/>
        <v>0</v>
      </c>
      <c r="AW260" s="72">
        <f t="shared" si="268"/>
        <v>0</v>
      </c>
      <c r="AX260" s="72">
        <f t="shared" si="269"/>
        <v>0</v>
      </c>
      <c r="AY260" s="72">
        <f t="shared" si="270"/>
        <v>0</v>
      </c>
      <c r="AZ260" s="72">
        <f t="shared" si="271"/>
        <v>0</v>
      </c>
      <c r="BA260" s="72" t="e">
        <f t="shared" si="272"/>
        <v>#N/A</v>
      </c>
      <c r="BB260" s="72" t="e">
        <f t="shared" si="273"/>
        <v>#N/A</v>
      </c>
      <c r="BC260" s="77"/>
      <c r="BE260">
        <f t="shared" si="253"/>
        <v>0</v>
      </c>
      <c r="BF260" s="196"/>
      <c r="BG260" s="196"/>
      <c r="BH260" s="196"/>
      <c r="BI260" s="196"/>
      <c r="BJ260" s="196"/>
      <c r="BK260" s="196"/>
    </row>
    <row r="261" spans="1:63" ht="12.75" hidden="1" customHeight="1">
      <c r="B261" s="72"/>
      <c r="C261" s="135"/>
      <c r="D261" s="73"/>
      <c r="E261" s="73"/>
      <c r="F261" s="72"/>
      <c r="G261" s="72"/>
      <c r="H261" s="72"/>
      <c r="I261" s="73">
        <f t="shared" si="255"/>
        <v>0</v>
      </c>
      <c r="J261" s="73"/>
      <c r="K261" s="73"/>
      <c r="L261" s="74" t="e">
        <f>_xlfn.IFNA(VLOOKUP(C261,'חד גזעי'!$U$3:$V$509,2,0),VLOOKUP(C261,'חד גזעי'!$U$3:$V$509,2))</f>
        <v>#N/A</v>
      </c>
      <c r="M261" s="73"/>
      <c r="N261" s="72" t="e">
        <f>_xlfn.IFNA(IF(VLOOKUP(C261,'חד גזעי'!$AH$2:$AH$7,1,FALSE)&gt;0,0,IF('חד גזעי'!$AM$5="כן",IF(_xlfn.IFNA(VLOOKUP(C261,'חד גזעי'!$AH$2:$AH$33,1,FALSE),SUM(J261:M261))&lt;21,_xlfn.IFNA(VLOOKUP(C261,'חד גזעי'!$AH$2:$AH$33,1,FALSE),SUM(J261:M261)),0),SUM(J261:M261))),IF('חד גזעי'!$AM$5="כן",IF(_xlfn.IFNA(VLOOKUP(C261,'חד גזעי'!$AH$2:$AH$33,1,FALSE),SUM(J261:M261))&lt;21,_xlfn.IFNA(VLOOKUP(C261,'חד גזעי'!$AH$2:$AH$33,1,FALSE),SUM(J261:M261)),0),SUM(J261:M261)))</f>
        <v>#N/A</v>
      </c>
      <c r="O261" s="72">
        <f>IF('חד גזעי'!$AM$3 = "כן",IF(T261&gt;4,4,T261),T261)</f>
        <v>0</v>
      </c>
      <c r="P261" s="80">
        <f>IF(E261&lt;2,0,IF(Z261&gt;0,Z261,IF(N261 = 0,0,IF('חד גזעי'!$AM$2 = "לא",IF(F261&gt;19,W261,0),IF(F261&gt;9,Y261,0)))))</f>
        <v>0</v>
      </c>
      <c r="Q261" s="77"/>
      <c r="R261" s="76"/>
      <c r="S261" t="e">
        <f>VLOOKUP(C261,'חד גזעי'!$Y$4:$Y$18,1,0)</f>
        <v>#N/A</v>
      </c>
      <c r="T261" s="72">
        <f>IF('חד גזעי'!$AM$6="לא",IF(P261=0,IF(BC261="שימור",IF('חד גזעי'!$AM$4="לא",IF(BC261="לא בוגר",0,IF(BC261="לא קיים",0,IF(J261=0,0,I261*0.1))),IF(BC261="לא בוגר",0,IF(BC261="לא קיים",0,IF(AB261=1,I261*0.1,E261*0.5)))),0),IF('חד גזעי'!$AM$4="לא",IF(BC261="לא בוגר",0,IF(BC261="לא קיים",0,IF(J261=0,0,I261*0.1))),IF(BC261="לא בוגר",0,IF(BC261="לא קיים",0,IF(AB261=1,I261*0.1,E261*0.5))))),IF(P261=0,IF(BC261="שימור",IF('חד גזעי'!$AM$4="לא",IF(BC261="לא בוגר",0,IF(BC261="לא קיים",0,IF(J261=0,0,I261*0.15))),IF(BC261="לא בוגר",0,IF(BC261="לא קיים",0,IF(AB261=1,I261*0.15,E261*0.5)))),0),IF('חד גזעי'!$AM$4="לא",IF(BC261="לא בוגר",0,IF(BC261="לא קיים",0,IF(J261=0,0,I261*0.15))),IF(BC261="לא בוגר",0,IF(BC261="לא קיים",0,IF(AB261=1,I261*0.15,E261*0.5))))))</f>
        <v>0</v>
      </c>
      <c r="V261" t="e">
        <f t="shared" si="227"/>
        <v>#N/A</v>
      </c>
      <c r="W261" t="e">
        <f t="shared" si="228"/>
        <v>#N/A</v>
      </c>
      <c r="X261" t="e">
        <f t="shared" si="229"/>
        <v>#N/A</v>
      </c>
      <c r="Y261">
        <f>IF('חד גזעי'!$AM$2 = "לא",0,IF(F261&gt;9,W261,0))</f>
        <v>0</v>
      </c>
      <c r="Z261">
        <f>IF('חד גזעי'!$AM$7 = "לא",0,IF(C261 = "זית אירופי",IF('חד גזעי'!$AN$7 &lt;=סקר!F261,W261,0),IF(C261 = "חרוב מצוי",IF('חד גזעי'!$AN$7 &lt;=סקר!F261,W261,0),0)))</f>
        <v>0</v>
      </c>
      <c r="AB261">
        <f t="shared" si="256"/>
        <v>1</v>
      </c>
      <c r="AC261" s="72"/>
      <c r="AD261" t="e">
        <f t="shared" si="274"/>
        <v>#N/A</v>
      </c>
      <c r="AE261" s="72"/>
      <c r="AF261" s="72" t="e">
        <f t="shared" si="257"/>
        <v>#N/A</v>
      </c>
      <c r="AG261" s="72" t="e">
        <f>IF('חד גזעי'!$AM$5="לא",(VLOOKUP(C261,'חד גזעי'!$P$1:$S$589,3,FALSE)),(VLOOKUP(C261,'חד גזעי'!$P$1:$S$589,4,FALSE)))</f>
        <v>#N/A</v>
      </c>
      <c r="AH261" s="72">
        <f t="shared" si="258"/>
        <v>0</v>
      </c>
      <c r="AI261" s="72">
        <f t="shared" si="259"/>
        <v>0</v>
      </c>
      <c r="AJ261" s="72">
        <f t="shared" si="260"/>
        <v>0</v>
      </c>
      <c r="AK261" s="72" t="e">
        <f t="shared" si="261"/>
        <v>#N/A</v>
      </c>
      <c r="AL261" t="e">
        <f>VLOOKUP(C261,'חד גזעי'!$AH$8:$AI$33,2,FALSE)</f>
        <v>#N/A</v>
      </c>
      <c r="AM261" s="72" t="b">
        <f t="shared" si="262"/>
        <v>0</v>
      </c>
      <c r="AN261" s="72" t="b">
        <f t="shared" si="263"/>
        <v>0</v>
      </c>
      <c r="AO261" s="72" t="b">
        <f t="shared" si="264"/>
        <v>0</v>
      </c>
      <c r="AS261" s="72">
        <f t="shared" si="265"/>
        <v>0</v>
      </c>
      <c r="AT261" s="72">
        <f t="shared" si="266"/>
        <v>0</v>
      </c>
      <c r="AU261" s="72">
        <f t="shared" si="275"/>
        <v>0</v>
      </c>
      <c r="AV261" s="72">
        <f t="shared" si="267"/>
        <v>0</v>
      </c>
      <c r="AW261" s="72">
        <f t="shared" si="268"/>
        <v>0</v>
      </c>
      <c r="AX261" s="72">
        <f t="shared" si="269"/>
        <v>0</v>
      </c>
      <c r="AY261" s="72">
        <f t="shared" si="270"/>
        <v>0</v>
      </c>
      <c r="AZ261" s="72">
        <f t="shared" si="271"/>
        <v>0</v>
      </c>
      <c r="BA261" s="72" t="e">
        <f t="shared" si="272"/>
        <v>#N/A</v>
      </c>
      <c r="BB261" s="72" t="e">
        <f t="shared" si="273"/>
        <v>#N/A</v>
      </c>
      <c r="BC261" s="77"/>
      <c r="BE261">
        <f t="shared" si="253"/>
        <v>0</v>
      </c>
      <c r="BF261" s="196"/>
      <c r="BG261" s="196"/>
      <c r="BH261" s="196"/>
      <c r="BI261" s="196"/>
      <c r="BJ261" s="196"/>
      <c r="BK261" s="196"/>
    </row>
    <row r="262" spans="1:63" ht="12.75" hidden="1" customHeight="1">
      <c r="B262" s="72"/>
      <c r="C262" s="135"/>
      <c r="D262" s="73"/>
      <c r="E262" s="73"/>
      <c r="F262" s="72"/>
      <c r="G262" s="72"/>
      <c r="H262" s="72"/>
      <c r="I262" s="73">
        <f t="shared" si="255"/>
        <v>0</v>
      </c>
      <c r="J262" s="73"/>
      <c r="K262" s="73"/>
      <c r="L262" s="74" t="e">
        <f>_xlfn.IFNA(VLOOKUP(C262,'חד גזעי'!$U$3:$V$509,2,0),VLOOKUP(C262,'חד גזעי'!$U$3:$V$509,2))</f>
        <v>#N/A</v>
      </c>
      <c r="M262" s="73"/>
      <c r="N262" s="72" t="e">
        <f>_xlfn.IFNA(IF(VLOOKUP(C262,'חד גזעי'!$AH$2:$AH$7,1,FALSE)&gt;0,0,IF('חד גזעי'!$AM$5="כן",IF(_xlfn.IFNA(VLOOKUP(C262,'חד גזעי'!$AH$2:$AH$33,1,FALSE),SUM(J262:M262))&lt;21,_xlfn.IFNA(VLOOKUP(C262,'חד גזעי'!$AH$2:$AH$33,1,FALSE),SUM(J262:M262)),0),SUM(J262:M262))),IF('חד גזעי'!$AM$5="כן",IF(_xlfn.IFNA(VLOOKUP(C262,'חד גזעי'!$AH$2:$AH$33,1,FALSE),SUM(J262:M262))&lt;21,_xlfn.IFNA(VLOOKUP(C262,'חד גזעי'!$AH$2:$AH$33,1,FALSE),SUM(J262:M262)),0),SUM(J262:M262)))</f>
        <v>#N/A</v>
      </c>
      <c r="O262" s="72">
        <f>IF('חד גזעי'!$AM$3 = "כן",IF(T262&gt;4,4,T262),T262)</f>
        <v>0</v>
      </c>
      <c r="P262" s="80">
        <f>IF(E262&lt;2,0,IF(Z262&gt;0,Z262,IF(N262 = 0,0,IF('חד גזעי'!$AM$2 = "לא",IF(F262&gt;19,W262,0),IF(F262&gt;9,Y262,0)))))</f>
        <v>0</v>
      </c>
      <c r="Q262" s="77"/>
      <c r="R262" s="76"/>
      <c r="S262" t="e">
        <f>VLOOKUP(C262,'חד גזעי'!$Y$4:$Y$18,1,0)</f>
        <v>#N/A</v>
      </c>
      <c r="T262" s="72">
        <f>IF('חד גזעי'!$AM$6="לא",IF(P262=0,IF(BC262="שימור",IF('חד גזעי'!$AM$4="לא",IF(BC262="לא בוגר",0,IF(BC262="לא קיים",0,IF(J262=0,0,I262*0.1))),IF(BC262="לא בוגר",0,IF(BC262="לא קיים",0,IF(AB262=1,I262*0.1,E262*0.5)))),0),IF('חד גזעי'!$AM$4="לא",IF(BC262="לא בוגר",0,IF(BC262="לא קיים",0,IF(J262=0,0,I262*0.1))),IF(BC262="לא בוגר",0,IF(BC262="לא קיים",0,IF(AB262=1,I262*0.1,E262*0.5))))),IF(P262=0,IF(BC262="שימור",IF('חד גזעי'!$AM$4="לא",IF(BC262="לא בוגר",0,IF(BC262="לא קיים",0,IF(J262=0,0,I262*0.15))),IF(BC262="לא בוגר",0,IF(BC262="לא קיים",0,IF(AB262=1,I262*0.15,E262*0.5)))),0),IF('חד גזעי'!$AM$4="לא",IF(BC262="לא בוגר",0,IF(BC262="לא קיים",0,IF(J262=0,0,I262*0.15))),IF(BC262="לא בוגר",0,IF(BC262="לא קיים",0,IF(AB262=1,I262*0.15,E262*0.5))))))</f>
        <v>0</v>
      </c>
      <c r="V262" t="e">
        <f t="shared" si="227"/>
        <v>#N/A</v>
      </c>
      <c r="W262" t="e">
        <f t="shared" si="228"/>
        <v>#N/A</v>
      </c>
      <c r="X262" t="e">
        <f t="shared" si="229"/>
        <v>#N/A</v>
      </c>
      <c r="Y262">
        <f>IF('חד גזעי'!$AM$2 = "לא",0,IF(F262&gt;9,W262,0))</f>
        <v>0</v>
      </c>
      <c r="Z262">
        <f>IF('חד גזעי'!$AM$7 = "לא",0,IF(C262 = "זית אירופי",IF('חד גזעי'!$AN$7 &lt;=סקר!F262,W262,0),IF(C262 = "חרוב מצוי",IF('חד גזעי'!$AN$7 &lt;=סקר!F262,W262,0),0)))</f>
        <v>0</v>
      </c>
      <c r="AB262">
        <f t="shared" si="256"/>
        <v>1</v>
      </c>
      <c r="AC262" s="72"/>
      <c r="AD262" t="e">
        <f>IF(AK262&gt;0,AK262,AF262)</f>
        <v>#N/A</v>
      </c>
      <c r="AE262" s="72"/>
      <c r="AF262" s="72" t="e">
        <f t="shared" si="257"/>
        <v>#N/A</v>
      </c>
      <c r="AG262" s="72" t="e">
        <f>IF('חד גזעי'!$AM$5="לא",(VLOOKUP(C262,'חד גזעי'!$P$1:$S$589,3,FALSE)),(VLOOKUP(C262,'חד גזעי'!$P$1:$S$589,4,FALSE)))</f>
        <v>#N/A</v>
      </c>
      <c r="AH262" s="72">
        <f t="shared" si="258"/>
        <v>0</v>
      </c>
      <c r="AI262" s="72">
        <f t="shared" si="259"/>
        <v>0</v>
      </c>
      <c r="AJ262" s="72">
        <f t="shared" si="260"/>
        <v>0</v>
      </c>
      <c r="AK262" s="72" t="e">
        <f t="shared" si="261"/>
        <v>#N/A</v>
      </c>
      <c r="AL262" t="e">
        <f>VLOOKUP(C262,'חד גזעי'!$AH$8:$AI$33,2,FALSE)</f>
        <v>#N/A</v>
      </c>
      <c r="AM262" s="72" t="b">
        <f t="shared" si="262"/>
        <v>0</v>
      </c>
      <c r="AN262" s="72" t="b">
        <f t="shared" si="263"/>
        <v>0</v>
      </c>
      <c r="AO262" s="72" t="b">
        <f t="shared" si="264"/>
        <v>0</v>
      </c>
      <c r="AS262" s="72">
        <f t="shared" si="265"/>
        <v>0</v>
      </c>
      <c r="AT262" s="72">
        <f t="shared" si="266"/>
        <v>0</v>
      </c>
      <c r="AU262" s="72">
        <f>IF(C262&gt;0,IF(D262&lt;2,1,D262),0)</f>
        <v>0</v>
      </c>
      <c r="AV262" s="72">
        <f t="shared" si="267"/>
        <v>0</v>
      </c>
      <c r="AW262" s="72">
        <f t="shared" si="268"/>
        <v>0</v>
      </c>
      <c r="AX262" s="72">
        <f t="shared" si="269"/>
        <v>0</v>
      </c>
      <c r="AY262" s="72">
        <f t="shared" si="270"/>
        <v>0</v>
      </c>
      <c r="AZ262" s="72">
        <f t="shared" si="271"/>
        <v>0</v>
      </c>
      <c r="BA262" s="72" t="e">
        <f t="shared" si="272"/>
        <v>#N/A</v>
      </c>
      <c r="BB262" s="72" t="e">
        <f t="shared" si="273"/>
        <v>#N/A</v>
      </c>
      <c r="BC262" s="77"/>
      <c r="BE262">
        <f t="shared" si="253"/>
        <v>0</v>
      </c>
      <c r="BF262" s="196"/>
      <c r="BG262" s="196"/>
      <c r="BH262" s="196"/>
      <c r="BI262" s="196"/>
      <c r="BJ262" s="196"/>
      <c r="BK262" s="196"/>
    </row>
    <row r="263" spans="1:63" ht="12.75" hidden="1" customHeight="1">
      <c r="B263" s="72"/>
      <c r="C263" s="135"/>
      <c r="D263" s="73"/>
      <c r="E263" s="73"/>
      <c r="F263" s="72"/>
      <c r="G263" s="72"/>
      <c r="H263" s="72"/>
      <c r="I263" s="73">
        <f t="shared" si="255"/>
        <v>0</v>
      </c>
      <c r="J263" s="73"/>
      <c r="K263" s="73"/>
      <c r="L263" s="74" t="e">
        <f>_xlfn.IFNA(VLOOKUP(C263,'חד גזעי'!$U$3:$V$509,2,0),VLOOKUP(C263,'חד גזעי'!$U$3:$V$509,2))</f>
        <v>#N/A</v>
      </c>
      <c r="M263" s="73"/>
      <c r="N263" s="72" t="e">
        <f>_xlfn.IFNA(IF(VLOOKUP(C263,'חד גזעי'!$AH$2:$AH$7,1,FALSE)&gt;0,0,IF('חד גזעי'!$AM$5="כן",IF(_xlfn.IFNA(VLOOKUP(C263,'חד גזעי'!$AH$2:$AH$33,1,FALSE),SUM(J263:M263))&lt;21,_xlfn.IFNA(VLOOKUP(C263,'חד גזעי'!$AH$2:$AH$33,1,FALSE),SUM(J263:M263)),0),SUM(J263:M263))),IF('חד גזעי'!$AM$5="כן",IF(_xlfn.IFNA(VLOOKUP(C263,'חד גזעי'!$AH$2:$AH$33,1,FALSE),SUM(J263:M263))&lt;21,_xlfn.IFNA(VLOOKUP(C263,'חד גזעי'!$AH$2:$AH$33,1,FALSE),SUM(J263:M263)),0),SUM(J263:M263)))</f>
        <v>#N/A</v>
      </c>
      <c r="O263" s="72">
        <f>IF('חד גזעי'!$AM$3 = "כן",IF(T263&gt;4,4,T263),T263)</f>
        <v>0</v>
      </c>
      <c r="P263" s="80">
        <f>IF(E263&lt;2,0,IF(Z263&gt;0,Z263,IF(N263 = 0,0,IF('חד גזעי'!$AM$2 = "לא",IF(F263&gt;19,W263,0),IF(F263&gt;9,Y263,0)))))</f>
        <v>0</v>
      </c>
      <c r="Q263" s="77"/>
      <c r="R263" s="76"/>
      <c r="S263" t="e">
        <f>VLOOKUP(C263,'חד גזעי'!$Y$4:$Y$18,1,0)</f>
        <v>#N/A</v>
      </c>
      <c r="T263" s="72">
        <f>IF('חד גזעי'!$AM$6="לא",IF(P263=0,IF(BC263="שימור",IF('חד גזעי'!$AM$4="לא",IF(BC263="לא בוגר",0,IF(BC263="לא קיים",0,IF(J263=0,0,I263*0.1))),IF(BC263="לא בוגר",0,IF(BC263="לא קיים",0,IF(AB263=1,I263*0.1,E263*0.5)))),0),IF('חד גזעי'!$AM$4="לא",IF(BC263="לא בוגר",0,IF(BC263="לא קיים",0,IF(J263=0,0,I263*0.1))),IF(BC263="לא בוגר",0,IF(BC263="לא קיים",0,IF(AB263=1,I263*0.1,E263*0.5))))),IF(P263=0,IF(BC263="שימור",IF('חד גזעי'!$AM$4="לא",IF(BC263="לא בוגר",0,IF(BC263="לא קיים",0,IF(J263=0,0,I263*0.15))),IF(BC263="לא בוגר",0,IF(BC263="לא קיים",0,IF(AB263=1,I263*0.15,E263*0.5)))),0),IF('חד גזעי'!$AM$4="לא",IF(BC263="לא בוגר",0,IF(BC263="לא קיים",0,IF(J263=0,0,I263*0.15))),IF(BC263="לא בוגר",0,IF(BC263="לא קיים",0,IF(AB263=1,I263*0.15,E263*0.5))))))</f>
        <v>0</v>
      </c>
      <c r="V263" t="e">
        <f t="shared" si="227"/>
        <v>#N/A</v>
      </c>
      <c r="W263" t="e">
        <f t="shared" si="228"/>
        <v>#N/A</v>
      </c>
      <c r="X263" t="e">
        <f t="shared" si="229"/>
        <v>#N/A</v>
      </c>
      <c r="Y263">
        <f>IF('חד גזעי'!$AM$2 = "לא",0,IF(F263&gt;9,W263,0))</f>
        <v>0</v>
      </c>
      <c r="Z263">
        <f>IF('חד גזעי'!$AM$7 = "לא",0,IF(C263 = "זית אירופי",IF('חד גזעי'!$AN$7 &lt;=סקר!F263,W263,0),IF(C263 = "חרוב מצוי",IF('חד גזעי'!$AN$7 &lt;=סקר!F263,W263,0),0)))</f>
        <v>0</v>
      </c>
      <c r="AB263">
        <f t="shared" si="256"/>
        <v>1</v>
      </c>
      <c r="AC263" s="72"/>
      <c r="AD263" t="e">
        <f t="shared" si="274"/>
        <v>#N/A</v>
      </c>
      <c r="AE263" s="72"/>
      <c r="AF263" s="72" t="e">
        <f t="shared" si="257"/>
        <v>#N/A</v>
      </c>
      <c r="AG263" s="72" t="e">
        <f>IF('חד גזעי'!$AM$5="לא",(VLOOKUP(C263,'חד גזעי'!$P$1:$S$589,3,FALSE)),(VLOOKUP(C263,'חד גזעי'!$P$1:$S$589,4,FALSE)))</f>
        <v>#N/A</v>
      </c>
      <c r="AH263" s="72">
        <f t="shared" si="258"/>
        <v>0</v>
      </c>
      <c r="AI263" s="72">
        <f t="shared" si="259"/>
        <v>0</v>
      </c>
      <c r="AJ263" s="72">
        <f t="shared" si="260"/>
        <v>0</v>
      </c>
      <c r="AK263" s="72" t="e">
        <f t="shared" si="261"/>
        <v>#N/A</v>
      </c>
      <c r="AL263" t="e">
        <f>VLOOKUP(C263,'חד גזעי'!$AH$8:$AI$33,2,FALSE)</f>
        <v>#N/A</v>
      </c>
      <c r="AM263" s="72" t="b">
        <f t="shared" si="262"/>
        <v>0</v>
      </c>
      <c r="AN263" s="72" t="b">
        <f t="shared" si="263"/>
        <v>0</v>
      </c>
      <c r="AO263" s="72" t="b">
        <f t="shared" si="264"/>
        <v>0</v>
      </c>
      <c r="AS263" s="72">
        <f t="shared" si="265"/>
        <v>0</v>
      </c>
      <c r="AT263" s="72">
        <f t="shared" si="266"/>
        <v>0</v>
      </c>
      <c r="AU263" s="72">
        <f t="shared" si="275"/>
        <v>0</v>
      </c>
      <c r="AV263" s="72">
        <f t="shared" si="267"/>
        <v>0</v>
      </c>
      <c r="AW263" s="72">
        <f t="shared" si="268"/>
        <v>0</v>
      </c>
      <c r="AX263" s="72">
        <f t="shared" si="269"/>
        <v>0</v>
      </c>
      <c r="AY263" s="72">
        <f t="shared" si="270"/>
        <v>0</v>
      </c>
      <c r="AZ263" s="72">
        <f t="shared" si="271"/>
        <v>0</v>
      </c>
      <c r="BA263" s="72" t="e">
        <f t="shared" si="272"/>
        <v>#N/A</v>
      </c>
      <c r="BB263" s="72" t="e">
        <f t="shared" si="273"/>
        <v>#N/A</v>
      </c>
      <c r="BC263" s="77"/>
      <c r="BE263">
        <f t="shared" si="253"/>
        <v>0</v>
      </c>
      <c r="BF263" s="196"/>
      <c r="BG263" s="196"/>
      <c r="BH263" s="196"/>
      <c r="BI263" s="196"/>
      <c r="BJ263" s="196"/>
      <c r="BK263" s="196"/>
    </row>
    <row r="264" spans="1:63" hidden="1">
      <c r="B264" s="72"/>
      <c r="C264" s="135"/>
      <c r="D264" s="73"/>
      <c r="E264" s="73"/>
      <c r="F264" s="72"/>
      <c r="G264" s="72"/>
      <c r="H264" s="72"/>
      <c r="I264" s="73">
        <f t="shared" si="255"/>
        <v>0</v>
      </c>
      <c r="J264" s="73"/>
      <c r="K264" s="73"/>
      <c r="L264" s="74" t="e">
        <f>_xlfn.IFNA(VLOOKUP(C264,'חד גזעי'!$U$3:$V$509,2,0),VLOOKUP(C264,'חד גזעי'!$U$3:$V$509,2))</f>
        <v>#N/A</v>
      </c>
      <c r="M264" s="73"/>
      <c r="N264" s="72" t="e">
        <f>_xlfn.IFNA(IF(VLOOKUP(C264,'חד גזעי'!$AH$2:$AH$7,1,FALSE)&gt;0,0,IF('חד גזעי'!$AM$5="כן",IF(_xlfn.IFNA(VLOOKUP(C264,'חד גזעי'!$AH$2:$AH$33,1,FALSE),SUM(J264:M264))&lt;21,_xlfn.IFNA(VLOOKUP(C264,'חד גזעי'!$AH$2:$AH$33,1,FALSE),SUM(J264:M264)),0),SUM(J264:M264))),IF('חד גזעי'!$AM$5="כן",IF(_xlfn.IFNA(VLOOKUP(C264,'חד גזעי'!$AH$2:$AH$33,1,FALSE),SUM(J264:M264))&lt;21,_xlfn.IFNA(VLOOKUP(C264,'חד גזעי'!$AH$2:$AH$33,1,FALSE),SUM(J264:M264)),0),SUM(J264:M264)))</f>
        <v>#N/A</v>
      </c>
      <c r="O264" s="72">
        <f>IF('חד גזעי'!$AM$3 = "כן",IF(T264&gt;4,4,T264),T264)</f>
        <v>0</v>
      </c>
      <c r="P264" s="80">
        <f>IF(E264&lt;2,0,IF(Z264&gt;0,Z264,IF(N264 = 0,0,IF('חד גזעי'!$AM$2 = "לא",IF(F264&gt;19,W264,0),IF(F264&gt;9,Y264,0)))))</f>
        <v>0</v>
      </c>
      <c r="Q264" s="77"/>
      <c r="R264" s="76"/>
      <c r="S264" t="e">
        <f>VLOOKUP(C264,'חד גזעי'!$Y$4:$Y$18,1,0)</f>
        <v>#N/A</v>
      </c>
      <c r="T264" s="72">
        <f>IF('חד גזעי'!$AM$6="לא",IF(P264=0,IF(BC264="שימור",IF('חד גזעי'!$AM$4="לא",IF(BC264="לא בוגר",0,IF(BC264="לא קיים",0,IF(J264=0,0,I264*0.1))),IF(BC264="לא בוגר",0,IF(BC264="לא קיים",0,IF(AB264=1,I264*0.1,E264*0.5)))),0),IF('חד גזעי'!$AM$4="לא",IF(BC264="לא בוגר",0,IF(BC264="לא קיים",0,IF(J264=0,0,I264*0.1))),IF(BC264="לא בוגר",0,IF(BC264="לא קיים",0,IF(AB264=1,I264*0.1,E264*0.5))))),IF(P264=0,IF(BC264="שימור",IF('חד גזעי'!$AM$4="לא",IF(BC264="לא בוגר",0,IF(BC264="לא קיים",0,IF(J264=0,0,I264*0.15))),IF(BC264="לא בוגר",0,IF(BC264="לא קיים",0,IF(AB264=1,I264*0.15,E264*0.5)))),0),IF('חד גזעי'!$AM$4="לא",IF(BC264="לא בוגר",0,IF(BC264="לא קיים",0,IF(J264=0,0,I264*0.15))),IF(BC264="לא בוגר",0,IF(BC264="לא קיים",0,IF(AB264=1,I264*0.15,E264*0.5))))))</f>
        <v>0</v>
      </c>
      <c r="V264" t="e">
        <f t="shared" si="227"/>
        <v>#N/A</v>
      </c>
      <c r="W264" t="e">
        <f t="shared" si="228"/>
        <v>#N/A</v>
      </c>
      <c r="X264" t="e">
        <f t="shared" si="229"/>
        <v>#N/A</v>
      </c>
      <c r="Y264">
        <f>IF('חד גזעי'!$AM$2 = "לא",0,IF(F264&gt;9,W264,0))</f>
        <v>0</v>
      </c>
      <c r="Z264">
        <f>IF('חד גזעי'!$AM$7 = "לא",0,IF(C264 = "זית אירופי",IF('חד גזעי'!$AN$7 &lt;=סקר!F264,W264,0),IF(C264 = "חרוב מצוי",IF('חד גזעי'!$AN$7 &lt;=סקר!F264,W264,0),0)))</f>
        <v>0</v>
      </c>
      <c r="AB264">
        <f t="shared" si="256"/>
        <v>1</v>
      </c>
      <c r="AC264" s="72"/>
      <c r="AD264" t="e">
        <f t="shared" si="274"/>
        <v>#N/A</v>
      </c>
      <c r="AE264" s="72"/>
      <c r="AF264" s="72" t="e">
        <f t="shared" si="257"/>
        <v>#N/A</v>
      </c>
      <c r="AG264" s="72" t="e">
        <f>IF('חד גזעי'!$AM$5="לא",(VLOOKUP(C264,'חד גזעי'!$P$1:$S$589,3,FALSE)),(VLOOKUP(C264,'חד גזעי'!$P$1:$S$589,4,FALSE)))</f>
        <v>#N/A</v>
      </c>
      <c r="AH264" s="72">
        <f t="shared" si="258"/>
        <v>0</v>
      </c>
      <c r="AI264" s="72">
        <f t="shared" si="259"/>
        <v>0</v>
      </c>
      <c r="AJ264" s="72">
        <f t="shared" si="260"/>
        <v>0</v>
      </c>
      <c r="AK264" s="72" t="e">
        <f t="shared" si="261"/>
        <v>#N/A</v>
      </c>
      <c r="AL264" t="e">
        <f>VLOOKUP(C264,'חד גזעי'!$AH$8:$AI$33,2,FALSE)</f>
        <v>#N/A</v>
      </c>
      <c r="AM264" s="72" t="b">
        <f t="shared" si="262"/>
        <v>0</v>
      </c>
      <c r="AN264" s="72" t="b">
        <f t="shared" si="263"/>
        <v>0</v>
      </c>
      <c r="AO264" s="72" t="b">
        <f t="shared" si="264"/>
        <v>0</v>
      </c>
      <c r="AS264" s="72">
        <f t="shared" si="265"/>
        <v>0</v>
      </c>
      <c r="AT264" s="72">
        <f t="shared" si="266"/>
        <v>0</v>
      </c>
      <c r="AU264" s="72">
        <f t="shared" si="275"/>
        <v>0</v>
      </c>
      <c r="AV264" s="72">
        <f t="shared" si="267"/>
        <v>0</v>
      </c>
      <c r="AW264" s="72">
        <f t="shared" si="268"/>
        <v>0</v>
      </c>
      <c r="AX264" s="72">
        <f t="shared" si="269"/>
        <v>0</v>
      </c>
      <c r="AY264" s="72">
        <f t="shared" si="270"/>
        <v>0</v>
      </c>
      <c r="AZ264" s="72">
        <f t="shared" si="271"/>
        <v>0</v>
      </c>
      <c r="BA264" s="72" t="e">
        <f t="shared" si="272"/>
        <v>#N/A</v>
      </c>
      <c r="BB264" s="72" t="e">
        <f t="shared" si="273"/>
        <v>#N/A</v>
      </c>
      <c r="BC264" s="77"/>
      <c r="BE264">
        <f t="shared" si="253"/>
        <v>0</v>
      </c>
      <c r="BF264" s="196"/>
      <c r="BG264" s="196"/>
      <c r="BH264" s="196"/>
      <c r="BI264" s="196"/>
      <c r="BJ264" s="196"/>
      <c r="BK264" s="196"/>
    </row>
    <row r="265" spans="1:63" hidden="1">
      <c r="B265" s="72"/>
      <c r="C265" s="135"/>
      <c r="D265" s="73"/>
      <c r="E265" s="73"/>
      <c r="F265" s="72"/>
      <c r="G265" s="72"/>
      <c r="H265" s="72"/>
      <c r="I265" s="73">
        <f t="shared" si="255"/>
        <v>0</v>
      </c>
      <c r="J265" s="73"/>
      <c r="K265" s="73"/>
      <c r="L265" s="74" t="e">
        <f>_xlfn.IFNA(VLOOKUP(C265,'חד גזעי'!$U$3:$V$509,2,0),VLOOKUP(C265,'חד גזעי'!$U$3:$V$509,2))</f>
        <v>#N/A</v>
      </c>
      <c r="M265" s="73"/>
      <c r="N265" s="72" t="e">
        <f>_xlfn.IFNA(IF(VLOOKUP(C265,'חד גזעי'!$AH$2:$AH$7,1,FALSE)&gt;0,0,IF('חד גזעי'!$AM$5="כן",IF(_xlfn.IFNA(VLOOKUP(C265,'חד גזעי'!$AH$2:$AH$33,1,FALSE),SUM(J265:M265))&lt;21,_xlfn.IFNA(VLOOKUP(C265,'חד גזעי'!$AH$2:$AH$33,1,FALSE),SUM(J265:M265)),0),SUM(J265:M265))),IF('חד גזעי'!$AM$5="כן",IF(_xlfn.IFNA(VLOOKUP(C265,'חד גזעי'!$AH$2:$AH$33,1,FALSE),SUM(J265:M265))&lt;21,_xlfn.IFNA(VLOOKUP(C265,'חד גזעי'!$AH$2:$AH$33,1,FALSE),SUM(J265:M265)),0),SUM(J265:M265)))</f>
        <v>#N/A</v>
      </c>
      <c r="O265" s="72">
        <f>IF('חד גזעי'!$AM$3 = "כן",IF(T265&gt;4,4,T265),T265)</f>
        <v>0</v>
      </c>
      <c r="P265" s="80">
        <f>IF(E265&lt;2,0,IF(Z265&gt;0,Z265,IF(N265 = 0,0,IF('חד גזעי'!$AM$2 = "לא",IF(F265&gt;19,W265,0),IF(F265&gt;9,Y265,0)))))</f>
        <v>0</v>
      </c>
      <c r="Q265" s="77"/>
      <c r="R265" s="76"/>
      <c r="S265" t="e">
        <f>VLOOKUP(C265,'חד גזעי'!$Y$4:$Y$18,1,0)</f>
        <v>#N/A</v>
      </c>
      <c r="T265" s="72">
        <f>IF('חד גזעי'!$AM$6="לא",IF(P265=0,IF(BC265="שימור",IF('חד גזעי'!$AM$4="לא",IF(BC265="לא בוגר",0,IF(BC265="לא קיים",0,IF(J265=0,0,I265*0.1))),IF(BC265="לא בוגר",0,IF(BC265="לא קיים",0,IF(AB265=1,I265*0.1,E265*0.5)))),0),IF('חד גזעי'!$AM$4="לא",IF(BC265="לא בוגר",0,IF(BC265="לא קיים",0,IF(J265=0,0,I265*0.1))),IF(BC265="לא בוגר",0,IF(BC265="לא קיים",0,IF(AB265=1,I265*0.1,E265*0.5))))),IF(P265=0,IF(BC265="שימור",IF('חד גזעי'!$AM$4="לא",IF(BC265="לא בוגר",0,IF(BC265="לא קיים",0,IF(J265=0,0,I265*0.15))),IF(BC265="לא בוגר",0,IF(BC265="לא קיים",0,IF(AB265=1,I265*0.15,E265*0.5)))),0),IF('חד גזעי'!$AM$4="לא",IF(BC265="לא בוגר",0,IF(BC265="לא קיים",0,IF(J265=0,0,I265*0.15))),IF(BC265="לא בוגר",0,IF(BC265="לא קיים",0,IF(AB265=1,I265*0.15,E265*0.5))))))</f>
        <v>0</v>
      </c>
      <c r="V265" t="e">
        <f t="shared" si="227"/>
        <v>#N/A</v>
      </c>
      <c r="W265" t="e">
        <f t="shared" si="228"/>
        <v>#N/A</v>
      </c>
      <c r="X265" t="e">
        <f t="shared" si="229"/>
        <v>#N/A</v>
      </c>
      <c r="Y265">
        <f>IF('חד גזעי'!$AM$2 = "לא",0,IF(F265&gt;9,W265,0))</f>
        <v>0</v>
      </c>
      <c r="Z265">
        <f>IF('חד גזעי'!$AM$7 = "לא",0,IF(C265 = "זית אירופי",IF('חד גזעי'!$AN$7 &lt;=סקר!F265,W265,0),IF(C265 = "חרוב מצוי",IF('חד גזעי'!$AN$7 &lt;=סקר!F265,W265,0),0)))</f>
        <v>0</v>
      </c>
      <c r="AB265">
        <f t="shared" si="256"/>
        <v>1</v>
      </c>
      <c r="AC265" s="72"/>
      <c r="AD265" t="e">
        <f t="shared" si="274"/>
        <v>#N/A</v>
      </c>
      <c r="AE265" s="72"/>
      <c r="AF265" s="72" t="e">
        <f t="shared" si="257"/>
        <v>#N/A</v>
      </c>
      <c r="AG265" s="72" t="e">
        <f>IF('חד גזעי'!$AM$5="לא",(VLOOKUP(C265,'חד גזעי'!$P$1:$S$589,3,FALSE)),(VLOOKUP(C265,'חד גזעי'!$P$1:$S$589,4,FALSE)))</f>
        <v>#N/A</v>
      </c>
      <c r="AH265" s="72">
        <f t="shared" si="258"/>
        <v>0</v>
      </c>
      <c r="AI265" s="72">
        <f t="shared" si="259"/>
        <v>0</v>
      </c>
      <c r="AJ265" s="72">
        <f t="shared" si="260"/>
        <v>0</v>
      </c>
      <c r="AK265" s="72" t="e">
        <f t="shared" si="261"/>
        <v>#N/A</v>
      </c>
      <c r="AL265" t="e">
        <f>VLOOKUP(C265,'חד גזעי'!$AH$8:$AI$33,2,FALSE)</f>
        <v>#N/A</v>
      </c>
      <c r="AM265" s="72" t="b">
        <f t="shared" si="262"/>
        <v>0</v>
      </c>
      <c r="AN265" s="72" t="b">
        <f t="shared" si="263"/>
        <v>0</v>
      </c>
      <c r="AO265" s="72" t="b">
        <f t="shared" si="264"/>
        <v>0</v>
      </c>
      <c r="AS265" s="72">
        <f t="shared" si="265"/>
        <v>0</v>
      </c>
      <c r="AT265" s="72">
        <f t="shared" si="266"/>
        <v>0</v>
      </c>
      <c r="AU265" s="72">
        <f t="shared" si="275"/>
        <v>0</v>
      </c>
      <c r="AV265" s="72">
        <f t="shared" si="267"/>
        <v>0</v>
      </c>
      <c r="AW265" s="72">
        <f t="shared" si="268"/>
        <v>0</v>
      </c>
      <c r="AX265" s="72">
        <f t="shared" si="269"/>
        <v>0</v>
      </c>
      <c r="AY265" s="72">
        <f t="shared" si="270"/>
        <v>0</v>
      </c>
      <c r="AZ265" s="72">
        <f t="shared" si="271"/>
        <v>0</v>
      </c>
      <c r="BA265" s="72" t="e">
        <f t="shared" si="272"/>
        <v>#N/A</v>
      </c>
      <c r="BB265" s="72" t="e">
        <f t="shared" si="273"/>
        <v>#N/A</v>
      </c>
      <c r="BC265" s="77"/>
      <c r="BE265">
        <f t="shared" si="253"/>
        <v>0</v>
      </c>
      <c r="BF265" s="196"/>
      <c r="BG265" s="196"/>
      <c r="BH265" s="196"/>
      <c r="BI265" s="196"/>
      <c r="BJ265" s="196"/>
      <c r="BK265" s="196"/>
    </row>
    <row r="266" spans="1:63" hidden="1">
      <c r="B266" s="72"/>
      <c r="C266" s="135"/>
      <c r="D266" s="73"/>
      <c r="E266" s="73"/>
      <c r="F266" s="72"/>
      <c r="G266" s="72"/>
      <c r="H266" s="72"/>
      <c r="I266" s="73">
        <f t="shared" si="255"/>
        <v>0</v>
      </c>
      <c r="J266" s="73"/>
      <c r="K266" s="73"/>
      <c r="L266" s="74" t="e">
        <f>_xlfn.IFNA(VLOOKUP(C266,'חד גזעי'!$U$3:$V$509,2,0),VLOOKUP(C266,'חד גזעי'!$U$3:$V$509,2))</f>
        <v>#N/A</v>
      </c>
      <c r="M266" s="73"/>
      <c r="N266" s="72" t="e">
        <f>_xlfn.IFNA(IF(VLOOKUP(C266,'חד גזעי'!$AH$2:$AH$7,1,FALSE)&gt;0,0,IF('חד גזעי'!$AM$5="כן",IF(_xlfn.IFNA(VLOOKUP(C266,'חד גזעי'!$AH$2:$AH$33,1,FALSE),SUM(J266:M266))&lt;21,_xlfn.IFNA(VLOOKUP(C266,'חד גזעי'!$AH$2:$AH$33,1,FALSE),SUM(J266:M266)),0),SUM(J266:M266))),IF('חד גזעי'!$AM$5="כן",IF(_xlfn.IFNA(VLOOKUP(C266,'חד גזעי'!$AH$2:$AH$33,1,FALSE),SUM(J266:M266))&lt;21,_xlfn.IFNA(VLOOKUP(C266,'חד גזעי'!$AH$2:$AH$33,1,FALSE),SUM(J266:M266)),0),SUM(J266:M266)))</f>
        <v>#N/A</v>
      </c>
      <c r="O266" s="72">
        <f>IF('חד גזעי'!$AM$3 = "כן",IF(T266&gt;4,4,T266),T266)</f>
        <v>0</v>
      </c>
      <c r="P266" s="80">
        <f>IF(E266&lt;2,0,IF(Z266&gt;0,Z266,IF(N266 = 0,0,IF('חד גזעי'!$AM$2 = "לא",IF(F266&gt;19,W266,0),IF(F266&gt;9,Y266,0)))))</f>
        <v>0</v>
      </c>
      <c r="Q266" s="77"/>
      <c r="R266" s="76"/>
      <c r="S266" t="e">
        <f>VLOOKUP(C266,'חד גזעי'!$Y$4:$Y$18,1,0)</f>
        <v>#N/A</v>
      </c>
      <c r="T266" s="72">
        <f>IF('חד גזעי'!$AM$6="לא",IF(P266=0,IF(BC266="שימור",IF('חד גזעי'!$AM$4="לא",IF(BC266="לא בוגר",0,IF(BC266="לא קיים",0,IF(J266=0,0,I266*0.1))),IF(BC266="לא בוגר",0,IF(BC266="לא קיים",0,IF(AB266=1,I266*0.1,E266*0.5)))),0),IF('חד גזעי'!$AM$4="לא",IF(BC266="לא בוגר",0,IF(BC266="לא קיים",0,IF(J266=0,0,I266*0.1))),IF(BC266="לא בוגר",0,IF(BC266="לא קיים",0,IF(AB266=1,I266*0.1,E266*0.5))))),IF(P266=0,IF(BC266="שימור",IF('חד גזעי'!$AM$4="לא",IF(BC266="לא בוגר",0,IF(BC266="לא קיים",0,IF(J266=0,0,I266*0.15))),IF(BC266="לא בוגר",0,IF(BC266="לא קיים",0,IF(AB266=1,I266*0.15,E266*0.5)))),0),IF('חד גזעי'!$AM$4="לא",IF(BC266="לא בוגר",0,IF(BC266="לא קיים",0,IF(J266=0,0,I266*0.15))),IF(BC266="לא בוגר",0,IF(BC266="לא קיים",0,IF(AB266=1,I266*0.15,E266*0.5))))))</f>
        <v>0</v>
      </c>
      <c r="V266" t="e">
        <f t="shared" si="227"/>
        <v>#N/A</v>
      </c>
      <c r="W266" t="e">
        <f t="shared" si="228"/>
        <v>#N/A</v>
      </c>
      <c r="X266" t="e">
        <f t="shared" si="229"/>
        <v>#N/A</v>
      </c>
      <c r="Y266">
        <f>IF('חד גזעי'!$AM$2 = "לא",0,IF(F266&gt;9,W266,0))</f>
        <v>0</v>
      </c>
      <c r="Z266">
        <f>IF('חד גזעי'!$AM$7 = "לא",0,IF(C266 = "זית אירופי",IF('חד גזעי'!$AN$7 &lt;=סקר!F266,W266,0),IF(C266 = "חרוב מצוי",IF('חד גזעי'!$AN$7 &lt;=סקר!F266,W266,0),0)))</f>
        <v>0</v>
      </c>
      <c r="AB266">
        <f t="shared" si="256"/>
        <v>1</v>
      </c>
      <c r="AC266" s="72"/>
      <c r="AD266" t="e">
        <f t="shared" si="274"/>
        <v>#N/A</v>
      </c>
      <c r="AE266" s="72"/>
      <c r="AF266" s="72" t="e">
        <f t="shared" si="257"/>
        <v>#N/A</v>
      </c>
      <c r="AG266" s="72" t="e">
        <f>IF('חד גזעי'!$AM$5="לא",(VLOOKUP(C266,'חד גזעי'!$P$1:$S$589,3,FALSE)),(VLOOKUP(C266,'חד גזעי'!$P$1:$S$589,4,FALSE)))</f>
        <v>#N/A</v>
      </c>
      <c r="AH266" s="72">
        <f t="shared" si="258"/>
        <v>0</v>
      </c>
      <c r="AI266" s="72">
        <f t="shared" si="259"/>
        <v>0</v>
      </c>
      <c r="AJ266" s="72">
        <f t="shared" si="260"/>
        <v>0</v>
      </c>
      <c r="AK266" s="72" t="e">
        <f t="shared" si="261"/>
        <v>#N/A</v>
      </c>
      <c r="AL266" t="e">
        <f>VLOOKUP(C266,'חד גזעי'!$AH$8:$AI$33,2,FALSE)</f>
        <v>#N/A</v>
      </c>
      <c r="AM266" s="72" t="b">
        <f t="shared" si="262"/>
        <v>0</v>
      </c>
      <c r="AN266" s="72" t="b">
        <f t="shared" si="263"/>
        <v>0</v>
      </c>
      <c r="AO266" s="72" t="b">
        <f t="shared" si="264"/>
        <v>0</v>
      </c>
      <c r="AS266" s="72">
        <f t="shared" si="265"/>
        <v>0</v>
      </c>
      <c r="AT266" s="72">
        <f t="shared" si="266"/>
        <v>0</v>
      </c>
      <c r="AU266" s="72">
        <f t="shared" si="275"/>
        <v>0</v>
      </c>
      <c r="AV266" s="72">
        <f t="shared" si="267"/>
        <v>0</v>
      </c>
      <c r="AW266" s="72">
        <f t="shared" si="268"/>
        <v>0</v>
      </c>
      <c r="AX266" s="72">
        <f t="shared" si="269"/>
        <v>0</v>
      </c>
      <c r="AY266" s="72">
        <f t="shared" si="270"/>
        <v>0</v>
      </c>
      <c r="AZ266" s="72">
        <f t="shared" si="271"/>
        <v>0</v>
      </c>
      <c r="BA266" s="72" t="e">
        <f t="shared" si="272"/>
        <v>#N/A</v>
      </c>
      <c r="BB266" s="72" t="e">
        <f t="shared" si="273"/>
        <v>#N/A</v>
      </c>
      <c r="BC266" s="77"/>
      <c r="BE266">
        <f t="shared" si="253"/>
        <v>0</v>
      </c>
      <c r="BF266" s="196"/>
      <c r="BG266" s="196"/>
      <c r="BH266" s="196"/>
      <c r="BI266" s="196"/>
      <c r="BJ266" s="196"/>
      <c r="BK266" s="196"/>
    </row>
    <row r="267" spans="1:63" hidden="1">
      <c r="B267" s="72"/>
      <c r="C267" s="135"/>
      <c r="D267" s="73"/>
      <c r="E267" s="73"/>
      <c r="F267" s="72"/>
      <c r="G267" s="72"/>
      <c r="H267" s="72"/>
      <c r="I267" s="73">
        <f t="shared" si="255"/>
        <v>0</v>
      </c>
      <c r="J267" s="73"/>
      <c r="K267" s="73"/>
      <c r="L267" s="74" t="e">
        <f>_xlfn.IFNA(VLOOKUP(C267,'חד גזעי'!$U$3:$V$509,2,0),VLOOKUP(C267,'חד גזעי'!$U$3:$V$509,2))</f>
        <v>#N/A</v>
      </c>
      <c r="M267" s="73"/>
      <c r="N267" s="72" t="e">
        <f>_xlfn.IFNA(IF(VLOOKUP(C267,'חד גזעי'!$AH$2:$AH$7,1,FALSE)&gt;0,0,IF('חד גזעי'!$AM$5="כן",IF(_xlfn.IFNA(VLOOKUP(C267,'חד גזעי'!$AH$2:$AH$33,1,FALSE),SUM(J267:M267))&lt;21,_xlfn.IFNA(VLOOKUP(C267,'חד גזעי'!$AH$2:$AH$33,1,FALSE),SUM(J267:M267)),0),SUM(J267:M267))),IF('חד גזעי'!$AM$5="כן",IF(_xlfn.IFNA(VLOOKUP(C267,'חד גזעי'!$AH$2:$AH$33,1,FALSE),SUM(J267:M267))&lt;21,_xlfn.IFNA(VLOOKUP(C267,'חד גזעי'!$AH$2:$AH$33,1,FALSE),SUM(J267:M267)),0),SUM(J267:M267)))</f>
        <v>#N/A</v>
      </c>
      <c r="O267" s="72">
        <f>IF('חד גזעי'!$AM$3 = "כן",IF(T267&gt;4,4,T267),T267)</f>
        <v>0</v>
      </c>
      <c r="P267" s="80">
        <f>IF(E267&lt;2,0,IF(Z267&gt;0,Z267,IF(N267 = 0,0,IF('חד גזעי'!$AM$2 = "לא",IF(F267&gt;19,W267,0),IF(F267&gt;9,Y267,0)))))</f>
        <v>0</v>
      </c>
      <c r="Q267" s="77"/>
      <c r="R267" s="76"/>
      <c r="S267" t="e">
        <f>VLOOKUP(C267,'חד גזעי'!$Y$4:$Y$18,1,0)</f>
        <v>#N/A</v>
      </c>
      <c r="T267" s="72">
        <f>IF('חד גזעי'!$AM$6="לא",IF(P267=0,IF(BC267="שימור",IF('חד גזעי'!$AM$4="לא",IF(BC267="לא בוגר",0,IF(BC267="לא קיים",0,IF(J267=0,0,I267*0.1))),IF(BC267="לא בוגר",0,IF(BC267="לא קיים",0,IF(AB267=1,I267*0.1,E267*0.5)))),0),IF('חד גזעי'!$AM$4="לא",IF(BC267="לא בוגר",0,IF(BC267="לא קיים",0,IF(J267=0,0,I267*0.1))),IF(BC267="לא בוגר",0,IF(BC267="לא קיים",0,IF(AB267=1,I267*0.1,E267*0.5))))),IF(P267=0,IF(BC267="שימור",IF('חד גזעי'!$AM$4="לא",IF(BC267="לא בוגר",0,IF(BC267="לא קיים",0,IF(J267=0,0,I267*0.15))),IF(BC267="לא בוגר",0,IF(BC267="לא קיים",0,IF(AB267=1,I267*0.15,E267*0.5)))),0),IF('חד גזעי'!$AM$4="לא",IF(BC267="לא בוגר",0,IF(BC267="לא קיים",0,IF(J267=0,0,I267*0.15))),IF(BC267="לא בוגר",0,IF(BC267="לא קיים",0,IF(AB267=1,I267*0.15,E267*0.5))))))</f>
        <v>0</v>
      </c>
      <c r="V267" t="e">
        <f t="shared" si="227"/>
        <v>#N/A</v>
      </c>
      <c r="W267" t="e">
        <f t="shared" si="228"/>
        <v>#N/A</v>
      </c>
      <c r="X267" t="e">
        <f t="shared" si="229"/>
        <v>#N/A</v>
      </c>
      <c r="Y267">
        <f>IF('חד גזעי'!$AM$2 = "לא",0,IF(F267&gt;9,W267,0))</f>
        <v>0</v>
      </c>
      <c r="Z267">
        <f>IF('חד גזעי'!$AM$7 = "לא",0,IF(C267 = "זית אירופי",IF('חד גזעי'!$AN$7 &lt;=סקר!F267,W267,0),IF(C267 = "חרוב מצוי",IF('חד גזעי'!$AN$7 &lt;=סקר!F267,W267,0),0)))</f>
        <v>0</v>
      </c>
      <c r="AB267">
        <f t="shared" si="256"/>
        <v>1</v>
      </c>
      <c r="AC267" s="72"/>
      <c r="AD267" t="e">
        <f t="shared" si="274"/>
        <v>#N/A</v>
      </c>
      <c r="AE267" s="72"/>
      <c r="AF267" s="72" t="e">
        <f t="shared" si="257"/>
        <v>#N/A</v>
      </c>
      <c r="AG267" s="72" t="e">
        <f>IF('חד גזעי'!$AM$5="לא",(VLOOKUP(C267,'חד גזעי'!$P$1:$S$589,3,FALSE)),(VLOOKUP(C267,'חד גזעי'!$P$1:$S$589,4,FALSE)))</f>
        <v>#N/A</v>
      </c>
      <c r="AH267" s="72">
        <f t="shared" si="258"/>
        <v>0</v>
      </c>
      <c r="AI267" s="72">
        <f t="shared" si="259"/>
        <v>0</v>
      </c>
      <c r="AJ267" s="72">
        <f t="shared" si="260"/>
        <v>0</v>
      </c>
      <c r="AK267" s="72" t="e">
        <f t="shared" si="261"/>
        <v>#N/A</v>
      </c>
      <c r="AL267" t="e">
        <f>VLOOKUP(C267,'חד גזעי'!$AH$8:$AI$33,2,FALSE)</f>
        <v>#N/A</v>
      </c>
      <c r="AM267" s="72" t="b">
        <f t="shared" si="262"/>
        <v>0</v>
      </c>
      <c r="AN267" s="72" t="b">
        <f t="shared" si="263"/>
        <v>0</v>
      </c>
      <c r="AO267" s="72" t="b">
        <f t="shared" si="264"/>
        <v>0</v>
      </c>
      <c r="AS267" s="72">
        <f t="shared" si="265"/>
        <v>0</v>
      </c>
      <c r="AT267" s="72">
        <f t="shared" si="266"/>
        <v>0</v>
      </c>
      <c r="AU267" s="72">
        <f t="shared" si="275"/>
        <v>0</v>
      </c>
      <c r="AV267" s="72">
        <f t="shared" si="267"/>
        <v>0</v>
      </c>
      <c r="AW267" s="72">
        <f t="shared" si="268"/>
        <v>0</v>
      </c>
      <c r="AX267" s="72">
        <f t="shared" si="269"/>
        <v>0</v>
      </c>
      <c r="AY267" s="72">
        <f t="shared" si="270"/>
        <v>0</v>
      </c>
      <c r="AZ267" s="72">
        <f t="shared" si="271"/>
        <v>0</v>
      </c>
      <c r="BA267" s="72" t="e">
        <f t="shared" si="272"/>
        <v>#N/A</v>
      </c>
      <c r="BB267" s="72" t="e">
        <f t="shared" si="273"/>
        <v>#N/A</v>
      </c>
      <c r="BC267" s="77"/>
      <c r="BE267">
        <f t="shared" si="253"/>
        <v>0</v>
      </c>
      <c r="BF267" s="196"/>
      <c r="BG267" s="196"/>
      <c r="BH267" s="196"/>
      <c r="BI267" s="196"/>
      <c r="BJ267" s="196"/>
      <c r="BK267" s="196"/>
    </row>
    <row r="268" spans="1:63" hidden="1">
      <c r="B268" s="72"/>
      <c r="C268" s="135"/>
      <c r="D268" s="73"/>
      <c r="E268" s="73"/>
      <c r="F268" s="72"/>
      <c r="G268" s="72"/>
      <c r="H268" s="72"/>
      <c r="I268" s="73">
        <f t="shared" si="255"/>
        <v>0</v>
      </c>
      <c r="J268" s="73"/>
      <c r="K268" s="73"/>
      <c r="L268" s="74" t="e">
        <f>_xlfn.IFNA(VLOOKUP(C268,'חד גזעי'!$U$3:$V$509,2,0),VLOOKUP(C268,'חד גזעי'!$U$3:$V$509,2))</f>
        <v>#N/A</v>
      </c>
      <c r="M268" s="73"/>
      <c r="N268" s="72" t="e">
        <f>_xlfn.IFNA(IF(VLOOKUP(C268,'חד גזעי'!$AH$2:$AH$7,1,FALSE)&gt;0,0,IF('חד גזעי'!$AM$5="כן",IF(_xlfn.IFNA(VLOOKUP(C268,'חד גזעי'!$AH$2:$AH$33,1,FALSE),SUM(J268:M268))&lt;21,_xlfn.IFNA(VLOOKUP(C268,'חד גזעי'!$AH$2:$AH$33,1,FALSE),SUM(J268:M268)),0),SUM(J268:M268))),IF('חד גזעי'!$AM$5="כן",IF(_xlfn.IFNA(VLOOKUP(C268,'חד גזעי'!$AH$2:$AH$33,1,FALSE),SUM(J268:M268))&lt;21,_xlfn.IFNA(VLOOKUP(C268,'חד גזעי'!$AH$2:$AH$33,1,FALSE),SUM(J268:M268)),0),SUM(J268:M268)))</f>
        <v>#N/A</v>
      </c>
      <c r="O268" s="72">
        <f>IF('חד גזעי'!$AM$3 = "כן",IF(T268&gt;4,4,T268),T268)</f>
        <v>0</v>
      </c>
      <c r="P268" s="80">
        <f>IF(E268&lt;2,0,IF(Z268&gt;0,Z268,IF(N268 = 0,0,IF('חד גזעי'!$AM$2 = "לא",IF(F268&gt;19,W268,0),IF(F268&gt;9,Y268,0)))))</f>
        <v>0</v>
      </c>
      <c r="Q268" s="77"/>
      <c r="R268" s="76"/>
      <c r="S268" t="e">
        <f>VLOOKUP(C268,'חד גזעי'!$Y$4:$Y$18,1,0)</f>
        <v>#N/A</v>
      </c>
      <c r="T268" s="72">
        <f>IF('חד גזעי'!$AM$6="לא",IF(P268=0,IF(BC268="שימור",IF('חד גזעי'!$AM$4="לא",IF(BC268="לא בוגר",0,IF(BC268="לא קיים",0,IF(J268=0,0,I268*0.1))),IF(BC268="לא בוגר",0,IF(BC268="לא קיים",0,IF(AB268=1,I268*0.1,E268*0.5)))),0),IF('חד גזעי'!$AM$4="לא",IF(BC268="לא בוגר",0,IF(BC268="לא קיים",0,IF(J268=0,0,I268*0.1))),IF(BC268="לא בוגר",0,IF(BC268="לא קיים",0,IF(AB268=1,I268*0.1,E268*0.5))))),IF(P268=0,IF(BC268="שימור",IF('חד גזעי'!$AM$4="לא",IF(BC268="לא בוגר",0,IF(BC268="לא קיים",0,IF(J268=0,0,I268*0.15))),IF(BC268="לא בוגר",0,IF(BC268="לא קיים",0,IF(AB268=1,I268*0.15,E268*0.5)))),0),IF('חד גזעי'!$AM$4="לא",IF(BC268="לא בוגר",0,IF(BC268="לא קיים",0,IF(J268=0,0,I268*0.15))),IF(BC268="לא בוגר",0,IF(BC268="לא קיים",0,IF(AB268=1,I268*0.15,E268*0.5))))))</f>
        <v>0</v>
      </c>
      <c r="V268" t="e">
        <f t="shared" ref="V268:V331" si="277">_xlfn.IFNA(AK268,AF268)</f>
        <v>#N/A</v>
      </c>
      <c r="W268" t="e">
        <f t="shared" ref="W268:W331" si="278">IF(D268=0,V268,D268*V268)</f>
        <v>#N/A</v>
      </c>
      <c r="X268" t="e">
        <f t="shared" ref="X268:X331" si="279">IF(N268 = 0,0,Y268)</f>
        <v>#N/A</v>
      </c>
      <c r="Y268">
        <f>IF('חד גזעי'!$AM$2 = "לא",0,IF(F268&gt;9,W268,0))</f>
        <v>0</v>
      </c>
      <c r="Z268">
        <f>IF('חד גזעי'!$AM$7 = "לא",0,IF(C268 = "זית אירופי",IF('חד גזעי'!$AN$7 &lt;=סקר!F268,W268,0),IF(C268 = "חרוב מצוי",IF('חד גזעי'!$AN$7 &lt;=סקר!F268,W268,0),0)))</f>
        <v>0</v>
      </c>
      <c r="AB268">
        <f t="shared" si="256"/>
        <v>1</v>
      </c>
      <c r="AC268" s="72"/>
      <c r="AD268" t="e">
        <f t="shared" si="274"/>
        <v>#N/A</v>
      </c>
      <c r="AE268" s="72"/>
      <c r="AF268" s="72" t="e">
        <f t="shared" si="257"/>
        <v>#N/A</v>
      </c>
      <c r="AG268" s="72" t="e">
        <f>IF('חד גזעי'!$AM$5="לא",(VLOOKUP(C268,'חד גזעי'!$P$1:$S$589,3,FALSE)),(VLOOKUP(C268,'חד גזעי'!$P$1:$S$589,4,FALSE)))</f>
        <v>#N/A</v>
      </c>
      <c r="AH268" s="72">
        <f t="shared" si="258"/>
        <v>0</v>
      </c>
      <c r="AI268" s="72">
        <f t="shared" si="259"/>
        <v>0</v>
      </c>
      <c r="AJ268" s="72">
        <f t="shared" si="260"/>
        <v>0</v>
      </c>
      <c r="AK268" s="72" t="e">
        <f t="shared" si="261"/>
        <v>#N/A</v>
      </c>
      <c r="AL268" t="e">
        <f>VLOOKUP(C268,'חד גזעי'!$AH$8:$AI$33,2,FALSE)</f>
        <v>#N/A</v>
      </c>
      <c r="AM268" s="72" t="b">
        <f t="shared" si="262"/>
        <v>0</v>
      </c>
      <c r="AN268" s="72" t="b">
        <f t="shared" si="263"/>
        <v>0</v>
      </c>
      <c r="AO268" s="72" t="b">
        <f t="shared" si="264"/>
        <v>0</v>
      </c>
      <c r="AS268" s="72">
        <f t="shared" si="265"/>
        <v>0</v>
      </c>
      <c r="AT268" s="72">
        <f t="shared" si="266"/>
        <v>0</v>
      </c>
      <c r="AU268" s="72">
        <f t="shared" si="275"/>
        <v>0</v>
      </c>
      <c r="AV268" s="72">
        <f t="shared" si="267"/>
        <v>0</v>
      </c>
      <c r="AW268" s="72">
        <f t="shared" si="268"/>
        <v>0</v>
      </c>
      <c r="AX268" s="72">
        <f t="shared" si="269"/>
        <v>0</v>
      </c>
      <c r="AY268" s="72">
        <f t="shared" si="270"/>
        <v>0</v>
      </c>
      <c r="AZ268" s="72">
        <f t="shared" si="271"/>
        <v>0</v>
      </c>
      <c r="BA268" s="72" t="e">
        <f t="shared" si="272"/>
        <v>#N/A</v>
      </c>
      <c r="BB268" s="72" t="e">
        <f t="shared" si="273"/>
        <v>#N/A</v>
      </c>
      <c r="BC268" s="77"/>
      <c r="BE268">
        <f t="shared" si="253"/>
        <v>0</v>
      </c>
      <c r="BF268" s="196"/>
      <c r="BG268" s="196"/>
      <c r="BH268" s="196"/>
      <c r="BI268" s="196"/>
      <c r="BJ268" s="196"/>
      <c r="BK268" s="196"/>
    </row>
    <row r="269" spans="1:63" ht="14.25" hidden="1">
      <c r="B269" s="71"/>
      <c r="C269" s="69"/>
      <c r="Q269" s="86"/>
      <c r="T269" s="72">
        <f>IF('חד גזעי'!$AM$6="לא",IF(P269=0,IF(BC269="שימור",IF('חד גזעי'!$AM$4="לא",IF(BC269="לא בוגר",0,IF(BC269="לא קיים",0,IF(J269=0,0,I269*0.1))),IF(BC269="לא בוגר",0,IF(BC269="לא קיים",0,IF(AB269=1,I269*0.1,E269*0.5)))),0),IF('חד גזעי'!$AM$4="לא",IF(BC269="לא בוגר",0,IF(BC269="לא קיים",0,IF(J269=0,0,I269*0.1))),IF(BC269="לא בוגר",0,IF(BC269="לא קיים",0,IF(AB269=1,I269*0.1,E269*0.5))))),IF(P269=0,IF(BC269="שימור",IF('חד גזעי'!$AM$4="לא",IF(BC269="לא בוגר",0,IF(BC269="לא קיים",0,IF(J269=0,0,I269*0.15))),IF(BC269="לא בוגר",0,IF(BC269="לא קיים",0,IF(AB269=1,I269*0.15,E269*0.5)))),0),IF('חד גזעי'!$AM$4="לא",IF(BC269="לא בוגר",0,IF(BC269="לא קיים",0,IF(J269=0,0,I269*0.15))),IF(BC269="לא בוגר",0,IF(BC269="לא קיים",0,IF(AB269=1,I269*0.15,E269*0.5))))))</f>
        <v>0</v>
      </c>
      <c r="V269">
        <f t="shared" si="277"/>
        <v>0</v>
      </c>
      <c r="W269">
        <f t="shared" si="278"/>
        <v>0</v>
      </c>
      <c r="X269">
        <f t="shared" si="279"/>
        <v>0</v>
      </c>
      <c r="Y269">
        <f>IF('חד גזעי'!$AM$2 = "לא",0,IF(F269&gt;9,W269,0))</f>
        <v>0</v>
      </c>
      <c r="Z269">
        <f>IF('חד גזעי'!$AM$7 = "לא",0,IF(C269 = "זית אירופי",IF('חד גזעי'!$AN$7 &lt;=סקר!F269,W269,0),IF(C269 = "חרוב מצוי",IF('חד גזעי'!$AN$7 &lt;=סקר!F269,W269,0),0)))</f>
        <v>0</v>
      </c>
      <c r="AD269" s="69" t="s">
        <v>807</v>
      </c>
      <c r="BE269">
        <f t="shared" si="253"/>
        <v>0</v>
      </c>
      <c r="BF269" s="196"/>
      <c r="BG269" s="196"/>
      <c r="BH269" s="196"/>
      <c r="BI269" s="196"/>
      <c r="BJ269" s="196"/>
      <c r="BK269" s="196"/>
    </row>
    <row r="270" spans="1:63" ht="14.25" hidden="1">
      <c r="A270" s="129"/>
      <c r="B270" s="132"/>
      <c r="C270" s="133"/>
      <c r="D270" s="129"/>
      <c r="E270" s="129"/>
      <c r="F270" s="129"/>
      <c r="G270" s="129"/>
      <c r="H270" s="129"/>
      <c r="I270" s="129"/>
      <c r="J270" s="129"/>
      <c r="K270" s="129"/>
      <c r="L270" s="129"/>
      <c r="M270" s="129"/>
      <c r="N270" s="129"/>
      <c r="O270" s="129"/>
      <c r="P270" s="129"/>
      <c r="Q270" s="134"/>
      <c r="R270" s="129"/>
      <c r="S270" s="129"/>
      <c r="T270" s="72">
        <f>IF('חד גזעי'!$AM$6="לא",IF(P270=0,IF(BC270="שימור",IF('חד גזעי'!$AM$4="לא",IF(BC270="לא בוגר",0,IF(BC270="לא קיים",0,IF(J270=0,0,I270*0.1))),IF(BC270="לא בוגר",0,IF(BC270="לא קיים",0,IF(AB270=1,I270*0.1,E270*0.5)))),0),IF('חד גזעי'!$AM$4="לא",IF(BC270="לא בוגר",0,IF(BC270="לא קיים",0,IF(J270=0,0,I270*0.1))),IF(BC270="לא בוגר",0,IF(BC270="לא קיים",0,IF(AB270=1,I270*0.1,E270*0.5))))),IF(P270=0,IF(BC270="שימור",IF('חד גזעי'!$AM$4="לא",IF(BC270="לא בוגר",0,IF(BC270="לא קיים",0,IF(J270=0,0,I270*0.15))),IF(BC270="לא בוגר",0,IF(BC270="לא קיים",0,IF(AB270=1,I270*0.15,E270*0.5)))),0),IF('חד גזעי'!$AM$4="לא",IF(BC270="לא בוגר",0,IF(BC270="לא קיים",0,IF(J270=0,0,I270*0.15))),IF(BC270="לא בוגר",0,IF(BC270="לא קיים",0,IF(AB270=1,I270*0.15,E270*0.5))))))</f>
        <v>0</v>
      </c>
      <c r="U270" s="129"/>
      <c r="V270">
        <f t="shared" si="277"/>
        <v>0</v>
      </c>
      <c r="W270">
        <f t="shared" si="278"/>
        <v>0</v>
      </c>
      <c r="X270">
        <f t="shared" si="279"/>
        <v>0</v>
      </c>
      <c r="Y270">
        <f>IF('חד גזעי'!$AM$2 = "לא",0,IF(F270&gt;9,W270,0))</f>
        <v>0</v>
      </c>
      <c r="Z270">
        <f>IF('חד גזעי'!$AM$7 = "לא",0,IF(C270 = "זית אירופי",IF('חד גזעי'!$AN$7 &lt;=סקר!F270,W270,0),IF(C270 = "חרוב מצוי",IF('חד גזעי'!$AN$7 &lt;=סקר!F270,W270,0),0)))</f>
        <v>0</v>
      </c>
      <c r="AA270" s="129"/>
      <c r="AB270" s="129"/>
      <c r="AC270" s="129"/>
      <c r="AD270" s="133"/>
      <c r="AE270" s="129"/>
      <c r="AF270" s="129"/>
      <c r="AG270" s="129"/>
      <c r="AH270" s="129"/>
      <c r="AI270" s="129"/>
      <c r="AJ270" s="129"/>
      <c r="AK270" s="129"/>
      <c r="AL270" s="129"/>
      <c r="AM270" s="129"/>
      <c r="AN270" s="129"/>
      <c r="AO270" s="129"/>
      <c r="AP270" s="129"/>
      <c r="AQ270" s="129"/>
      <c r="AR270" s="129"/>
      <c r="AS270" s="129"/>
      <c r="AT270" s="129"/>
      <c r="AU270" s="129"/>
      <c r="AV270" s="129"/>
      <c r="AW270" s="129"/>
      <c r="AX270" s="129"/>
      <c r="AY270" s="129"/>
      <c r="AZ270" s="129"/>
      <c r="BA270" s="129"/>
      <c r="BB270" s="129"/>
      <c r="BC270" s="129"/>
      <c r="BD270" s="129"/>
      <c r="BE270" s="129"/>
      <c r="BF270" s="129">
        <f>_xlfn.IFNA(_xlfn.IFNA(_xlfn.TEXTBEFORE(BF252,"--"),_xlfn.TEXTBEFORE(BF252,",")),BF252)</f>
        <v>0</v>
      </c>
      <c r="BG270" s="129">
        <f t="shared" ref="BG270:BK270" si="280">_xlfn.IFNA(_xlfn.IFNA(_xlfn.TEXTBEFORE(BG252,"--"),_xlfn.TEXTBEFORE(BG252,",")),BG252)</f>
        <v>0</v>
      </c>
      <c r="BH270" s="129">
        <f t="shared" si="280"/>
        <v>0</v>
      </c>
      <c r="BI270" s="129">
        <f>_xlfn.IFNA(_xlfn.IFNA(_xlfn.TEXTBEFORE(BI252,"--"),_xlfn.TEXTBEFORE(BI252,",")),BI252)</f>
        <v>0</v>
      </c>
      <c r="BJ270" s="129">
        <f t="shared" si="280"/>
        <v>0</v>
      </c>
      <c r="BK270" s="129">
        <f t="shared" si="280"/>
        <v>0</v>
      </c>
    </row>
    <row r="271" spans="1:63" ht="14.25" hidden="1">
      <c r="A271" s="129"/>
      <c r="B271" s="132"/>
      <c r="C271" s="133"/>
      <c r="D271" s="129"/>
      <c r="E271" s="129"/>
      <c r="F271" s="129"/>
      <c r="G271" s="129"/>
      <c r="H271" s="129"/>
      <c r="I271" s="129"/>
      <c r="J271" s="129"/>
      <c r="K271" s="129"/>
      <c r="L271" s="129"/>
      <c r="M271" s="129"/>
      <c r="N271" s="129"/>
      <c r="O271" s="129"/>
      <c r="P271" s="129"/>
      <c r="Q271" s="134"/>
      <c r="R271" s="129"/>
      <c r="S271" s="129"/>
      <c r="T271" s="72">
        <f>IF('חד גזעי'!$AM$6="לא",IF(P271=0,IF(BC271="שימור",IF('חד גזעי'!$AM$4="לא",IF(BC271="לא בוגר",0,IF(BC271="לא קיים",0,IF(J271=0,0,I271*0.1))),IF(BC271="לא בוגר",0,IF(BC271="לא קיים",0,IF(AB271=1,I271*0.1,E271*0.5)))),0),IF('חד גזעי'!$AM$4="לא",IF(BC271="לא בוגר",0,IF(BC271="לא קיים",0,IF(J271=0,0,I271*0.1))),IF(BC271="לא בוגר",0,IF(BC271="לא קיים",0,IF(AB271=1,I271*0.1,E271*0.5))))),IF(P271=0,IF(BC271="שימור",IF('חד גזעי'!$AM$4="לא",IF(BC271="לא בוגר",0,IF(BC271="לא קיים",0,IF(J271=0,0,I271*0.15))),IF(BC271="לא בוגר",0,IF(BC271="לא קיים",0,IF(AB271=1,I271*0.15,E271*0.5)))),0),IF('חד גזעי'!$AM$4="לא",IF(BC271="לא בוגר",0,IF(BC271="לא קיים",0,IF(J271=0,0,I271*0.15))),IF(BC271="לא בוגר",0,IF(BC271="לא קיים",0,IF(AB271=1,I271*0.15,E271*0.5))))))</f>
        <v>0</v>
      </c>
      <c r="U271" s="129"/>
      <c r="V271">
        <f t="shared" si="277"/>
        <v>0</v>
      </c>
      <c r="W271">
        <f t="shared" si="278"/>
        <v>0</v>
      </c>
      <c r="X271">
        <f t="shared" si="279"/>
        <v>0</v>
      </c>
      <c r="Y271">
        <f>IF('חד גזעי'!$AM$2 = "לא",0,IF(F271&gt;9,W271,0))</f>
        <v>0</v>
      </c>
      <c r="Z271">
        <f>IF('חד גזעי'!$AM$7 = "לא",0,IF(C271 = "זית אירופי",IF('חד גזעי'!$AN$7 &lt;=סקר!F271,W271,0),IF(C271 = "חרוב מצוי",IF('חד גזעי'!$AN$7 &lt;=סקר!F271,W271,0),0)))</f>
        <v>0</v>
      </c>
      <c r="AA271" s="129"/>
      <c r="AB271" s="129"/>
      <c r="AC271" s="129"/>
      <c r="AD271" s="133"/>
      <c r="AE271" s="129"/>
      <c r="AF271" s="129"/>
      <c r="AG271" s="129"/>
      <c r="AH271" s="129"/>
      <c r="AI271" s="129"/>
      <c r="AJ271" s="129"/>
      <c r="AK271" s="129"/>
      <c r="AL271" s="129"/>
      <c r="AM271" s="129"/>
      <c r="AN271" s="129"/>
      <c r="AO271" s="129"/>
      <c r="AP271" s="129"/>
      <c r="AQ271" s="129"/>
      <c r="AR271" s="129"/>
      <c r="AS271" s="129"/>
      <c r="AT271" s="129"/>
      <c r="AU271" s="129"/>
      <c r="AV271" s="129"/>
      <c r="AW271" s="129"/>
      <c r="AX271" s="129"/>
      <c r="AY271" s="129"/>
      <c r="AZ271" s="129"/>
      <c r="BA271" s="129"/>
      <c r="BB271" s="129"/>
      <c r="BC271" s="129"/>
      <c r="BD271" s="129"/>
      <c r="BE271" s="129"/>
      <c r="BF271" s="129" t="str">
        <f>"C:\Users\origr\Pictures\"&amp;BF270&amp;".jpg"</f>
        <v>C:\Users\origr\Pictures\0.jpg</v>
      </c>
      <c r="BG271" s="129" t="str">
        <f t="shared" ref="BG271" si="281">"C:\Users\origr\Pictures\"&amp;BG270&amp;".jpg"</f>
        <v>C:\Users\origr\Pictures\0.jpg</v>
      </c>
      <c r="BH271" s="129" t="str">
        <f t="shared" ref="BH271" si="282">"C:\Users\origr\Pictures\"&amp;BH270&amp;".jpg"</f>
        <v>C:\Users\origr\Pictures\0.jpg</v>
      </c>
      <c r="BI271" s="129" t="str">
        <f t="shared" ref="BI271" si="283">"C:\Users\origr\Pictures\"&amp;BI270&amp;".jpg"</f>
        <v>C:\Users\origr\Pictures\0.jpg</v>
      </c>
      <c r="BJ271" s="129" t="str">
        <f t="shared" ref="BJ271" si="284">"C:\Users\origr\Pictures\"&amp;BJ270&amp;".jpg"</f>
        <v>C:\Users\origr\Pictures\0.jpg</v>
      </c>
      <c r="BK271" s="129" t="str">
        <f t="shared" ref="BK271" si="285">"C:\Users\origr\Pictures\"&amp;BK270&amp;".jpg"</f>
        <v>C:\Users\origr\Pictures\0.jpg</v>
      </c>
    </row>
    <row r="272" spans="1:63" ht="14.25" hidden="1">
      <c r="A272" s="129"/>
      <c r="B272" s="132"/>
      <c r="C272" s="133"/>
      <c r="D272" s="129"/>
      <c r="E272" s="129"/>
      <c r="F272" s="129"/>
      <c r="G272" s="129"/>
      <c r="H272" s="129"/>
      <c r="I272" s="129"/>
      <c r="J272" s="129"/>
      <c r="K272" s="129"/>
      <c r="L272" s="129"/>
      <c r="M272" s="129"/>
      <c r="N272" s="129"/>
      <c r="O272" s="129"/>
      <c r="P272" s="129"/>
      <c r="Q272" s="134"/>
      <c r="R272" s="129"/>
      <c r="S272" s="129"/>
      <c r="T272" s="72">
        <f>IF('חד גזעי'!$AM$6="לא",IF(P272=0,IF(BC272="שימור",IF('חד גזעי'!$AM$4="לא",IF(BC272="לא בוגר",0,IF(BC272="לא קיים",0,IF(J272=0,0,I272*0.1))),IF(BC272="לא בוגר",0,IF(BC272="לא קיים",0,IF(AB272=1,I272*0.1,E272*0.5)))),0),IF('חד גזעי'!$AM$4="לא",IF(BC272="לא בוגר",0,IF(BC272="לא קיים",0,IF(J272=0,0,I272*0.1))),IF(BC272="לא בוגר",0,IF(BC272="לא קיים",0,IF(AB272=1,I272*0.1,E272*0.5))))),IF(P272=0,IF(BC272="שימור",IF('חד גזעי'!$AM$4="לא",IF(BC272="לא בוגר",0,IF(BC272="לא קיים",0,IF(J272=0,0,I272*0.15))),IF(BC272="לא בוגר",0,IF(BC272="לא קיים",0,IF(AB272=1,I272*0.15,E272*0.5)))),0),IF('חד גזעי'!$AM$4="לא",IF(BC272="לא בוגר",0,IF(BC272="לא קיים",0,IF(J272=0,0,I272*0.15))),IF(BC272="לא בוגר",0,IF(BC272="לא קיים",0,IF(AB272=1,I272*0.15,E272*0.5))))))</f>
        <v>0</v>
      </c>
      <c r="U272" s="129"/>
      <c r="V272">
        <f t="shared" si="277"/>
        <v>0</v>
      </c>
      <c r="W272">
        <f t="shared" si="278"/>
        <v>0</v>
      </c>
      <c r="X272">
        <f t="shared" si="279"/>
        <v>0</v>
      </c>
      <c r="Y272">
        <f>IF('חד גזעי'!$AM$2 = "לא",0,IF(F272&gt;9,W272,0))</f>
        <v>0</v>
      </c>
      <c r="Z272">
        <f>IF('חד גזעי'!$AM$7 = "לא",0,IF(C272 = "זית אירופי",IF('חד גזעי'!$AN$7 &lt;=סקר!F272,W272,0),IF(C272 = "חרוב מצוי",IF('חד גזעי'!$AN$7 &lt;=סקר!F272,W272,0),0)))</f>
        <v>0</v>
      </c>
      <c r="AA272" s="129"/>
      <c r="AB272" s="129"/>
      <c r="AC272" s="129"/>
      <c r="AD272" s="133"/>
      <c r="AE272" s="129"/>
      <c r="AF272" s="129"/>
      <c r="AG272" s="129"/>
      <c r="AH272" s="129"/>
      <c r="AI272" s="129"/>
      <c r="AJ272" s="129"/>
      <c r="AK272" s="129"/>
      <c r="AL272" s="129"/>
      <c r="AM272" s="129"/>
      <c r="AN272" s="129"/>
      <c r="AO272" s="129"/>
      <c r="AP272" s="129"/>
      <c r="AQ272" s="129"/>
      <c r="AR272" s="129"/>
      <c r="AS272" s="129"/>
      <c r="AT272" s="129"/>
      <c r="AU272" s="129"/>
      <c r="AV272" s="129"/>
      <c r="AW272" s="129"/>
      <c r="AX272" s="129"/>
      <c r="AY272" s="129"/>
      <c r="AZ272" s="129"/>
      <c r="BA272" s="129"/>
      <c r="BB272" s="129"/>
      <c r="BC272" s="129"/>
      <c r="BD272" s="129"/>
      <c r="BE272" s="129"/>
      <c r="BF272" s="129" t="str">
        <f>BF271</f>
        <v>C:\Users\origr\Pictures\0.jpg</v>
      </c>
      <c r="BG272" s="129" t="str">
        <f t="shared" ref="BG272" si="286">BG271</f>
        <v>C:\Users\origr\Pictures\0.jpg</v>
      </c>
      <c r="BH272" s="129" t="str">
        <f t="shared" ref="BH272" si="287">BH271</f>
        <v>C:\Users\origr\Pictures\0.jpg</v>
      </c>
      <c r="BI272" s="129" t="str">
        <f t="shared" ref="BI272" si="288">BI271</f>
        <v>C:\Users\origr\Pictures\0.jpg</v>
      </c>
      <c r="BJ272" s="129" t="str">
        <f t="shared" ref="BJ272" si="289">BJ271</f>
        <v>C:\Users\origr\Pictures\0.jpg</v>
      </c>
      <c r="BK272" s="129" t="str">
        <f t="shared" ref="BK272" si="290">BK271</f>
        <v>C:\Users\origr\Pictures\0.jpg</v>
      </c>
    </row>
    <row r="273" spans="1:63" hidden="1">
      <c r="T273" s="72">
        <f>IF('חד גזעי'!$AM$6="לא",IF(P273=0,IF(BC273="שימור",IF('חד גזעי'!$AM$4="לא",IF(BC273="לא בוגר",0,IF(BC273="לא קיים",0,IF(J273=0,0,I273*0.1))),IF(BC273="לא בוגר",0,IF(BC273="לא קיים",0,IF(AB273=1,I273*0.1,E273*0.5)))),0),IF('חד גזעי'!$AM$4="לא",IF(BC273="לא בוגר",0,IF(BC273="לא קיים",0,IF(J273=0,0,I273*0.1))),IF(BC273="לא בוגר",0,IF(BC273="לא קיים",0,IF(AB273=1,I273*0.1,E273*0.5))))),IF(P273=0,IF(BC273="שימור",IF('חד גזעי'!$AM$4="לא",IF(BC273="לא בוגר",0,IF(BC273="לא קיים",0,IF(J273=0,0,I273*0.15))),IF(BC273="לא בוגר",0,IF(BC273="לא קיים",0,IF(AB273=1,I273*0.15,E273*0.5)))),0),IF('חד גזעי'!$AM$4="לא",IF(BC273="לא בוגר",0,IF(BC273="לא קיים",0,IF(J273=0,0,I273*0.15))),IF(BC273="לא בוגר",0,IF(BC273="לא קיים",0,IF(AB273=1,I273*0.15,E273*0.5))))))</f>
        <v>0</v>
      </c>
      <c r="V273">
        <f t="shared" si="277"/>
        <v>0</v>
      </c>
      <c r="W273">
        <f t="shared" si="278"/>
        <v>0</v>
      </c>
      <c r="X273">
        <f t="shared" si="279"/>
        <v>0</v>
      </c>
      <c r="Y273">
        <f>IF('חד גזעי'!$AM$2 = "לא",0,IF(F273&gt;9,W273,0))</f>
        <v>0</v>
      </c>
      <c r="Z273">
        <f>IF('חד גזעי'!$AM$7 = "לא",0,IF(C273 = "זית אירופי",IF('חד גזעי'!$AN$7 &lt;=סקר!F273,W273,0),IF(C273 = "חרוב מצוי",IF('חד גזעי'!$AN$7 &lt;=סקר!F273,W273,0),0)))</f>
        <v>0</v>
      </c>
    </row>
    <row r="274" spans="1:63" ht="12.75" hidden="1" customHeight="1">
      <c r="T274" s="72">
        <f>IF('חד גזעי'!$AM$6="לא",IF(P274=0,IF(BC274="שימור",IF('חד גזעי'!$AM$4="לא",IF(BC274="לא בוגר",0,IF(BC274="לא קיים",0,IF(J274=0,0,I274*0.1))),IF(BC274="לא בוגר",0,IF(BC274="לא קיים",0,IF(AB274=1,I274*0.1,E274*0.5)))),0),IF('חד גזעי'!$AM$4="לא",IF(BC274="לא בוגר",0,IF(BC274="לא קיים",0,IF(J274=0,0,I274*0.1))),IF(BC274="לא בוגר",0,IF(BC274="לא קיים",0,IF(AB274=1,I274*0.1,E274*0.5))))),IF(P274=0,IF(BC274="שימור",IF('חד גזעי'!$AM$4="לא",IF(BC274="לא בוגר",0,IF(BC274="לא קיים",0,IF(J274=0,0,I274*0.15))),IF(BC274="לא בוגר",0,IF(BC274="לא קיים",0,IF(AB274=1,I274*0.15,E274*0.5)))),0),IF('חד גזעי'!$AM$4="לא",IF(BC274="לא בוגר",0,IF(BC274="לא קיים",0,IF(J274=0,0,I274*0.15))),IF(BC274="לא בוגר",0,IF(BC274="לא קיים",0,IF(AB274=1,I274*0.15,E274*0.5))))))</f>
        <v>0</v>
      </c>
      <c r="V274">
        <f t="shared" si="277"/>
        <v>0</v>
      </c>
      <c r="W274">
        <f t="shared" si="278"/>
        <v>0</v>
      </c>
      <c r="X274">
        <f t="shared" si="279"/>
        <v>0</v>
      </c>
      <c r="Y274">
        <f>IF('חד גזעי'!$AM$2 = "לא",0,IF(F274&gt;9,W274,0))</f>
        <v>0</v>
      </c>
      <c r="Z274">
        <f>IF('חד גזעי'!$AM$7 = "לא",0,IF(C274 = "זית אירופי",IF('חד גזעי'!$AN$7 &lt;=סקר!F274,W274,0),IF(C274 = "חרוב מצוי",IF('חד גזעי'!$AN$7 &lt;=סקר!F274,W274,0),0)))</f>
        <v>0</v>
      </c>
    </row>
    <row r="275" spans="1:63" hidden="1">
      <c r="T275" s="72">
        <f>IF('חד גזעי'!$AM$6="לא",IF(P275=0,IF(BC275="שימור",IF('חד גזעי'!$AM$4="לא",IF(BC275="לא בוגר",0,IF(BC275="לא קיים",0,IF(J275=0,0,I275*0.1))),IF(BC275="לא בוגר",0,IF(BC275="לא קיים",0,IF(AB275=1,I275*0.1,E275*0.5)))),0),IF('חד גזעי'!$AM$4="לא",IF(BC275="לא בוגר",0,IF(BC275="לא קיים",0,IF(J275=0,0,I275*0.1))),IF(BC275="לא בוגר",0,IF(BC275="לא קיים",0,IF(AB275=1,I275*0.1,E275*0.5))))),IF(P275=0,IF(BC275="שימור",IF('חד גזעי'!$AM$4="לא",IF(BC275="לא בוגר",0,IF(BC275="לא קיים",0,IF(J275=0,0,I275*0.15))),IF(BC275="לא בוגר",0,IF(BC275="לא קיים",0,IF(AB275=1,I275*0.15,E275*0.5)))),0),IF('חד גזעי'!$AM$4="לא",IF(BC275="לא בוגר",0,IF(BC275="לא קיים",0,IF(J275=0,0,I275*0.15))),IF(BC275="לא בוגר",0,IF(BC275="לא קיים",0,IF(AB275=1,I275*0.15,E275*0.5))))))</f>
        <v>0</v>
      </c>
      <c r="V275">
        <f t="shared" si="277"/>
        <v>0</v>
      </c>
      <c r="W275">
        <f t="shared" si="278"/>
        <v>0</v>
      </c>
      <c r="X275">
        <f t="shared" si="279"/>
        <v>0</v>
      </c>
      <c r="Y275">
        <f>IF('חד גזעי'!$AM$2 = "לא",0,IF(F275&gt;9,W275,0))</f>
        <v>0</v>
      </c>
      <c r="Z275">
        <f>IF('חד גזעי'!$AM$7 = "לא",0,IF(C275 = "זית אירופי",IF('חד גזעי'!$AN$7 &lt;=סקר!F275,W275,0),IF(C275 = "חרוב מצוי",IF('חד גזעי'!$AN$7 &lt;=סקר!F275,W275,0),0)))</f>
        <v>0</v>
      </c>
    </row>
    <row r="276" spans="1:63" hidden="1">
      <c r="A276" s="129"/>
      <c r="B276" s="129"/>
      <c r="C276" s="129"/>
      <c r="D276" s="129"/>
      <c r="E276" s="129"/>
      <c r="F276" s="129"/>
      <c r="G276" s="129"/>
      <c r="H276" s="129"/>
      <c r="I276" s="129"/>
      <c r="J276" s="129"/>
      <c r="K276" s="129"/>
      <c r="L276" s="129"/>
      <c r="M276" s="129"/>
      <c r="N276" s="129"/>
      <c r="O276" s="129"/>
      <c r="P276" s="129"/>
      <c r="Q276" s="129"/>
      <c r="R276" s="129"/>
      <c r="S276" s="129"/>
      <c r="T276" s="72">
        <f>IF('חד גזעי'!$AM$6="לא",IF(P276=0,IF(BC276="שימור",IF('חד גזעי'!$AM$4="לא",IF(BC276="לא בוגר",0,IF(BC276="לא קיים",0,IF(J276=0,0,I276*0.1))),IF(BC276="לא בוגר",0,IF(BC276="לא קיים",0,IF(AB276=1,I276*0.1,E276*0.5)))),0),IF('חד גזעי'!$AM$4="לא",IF(BC276="לא בוגר",0,IF(BC276="לא קיים",0,IF(J276=0,0,I276*0.1))),IF(BC276="לא בוגר",0,IF(BC276="לא קיים",0,IF(AB276=1,I276*0.1,E276*0.5))))),IF(P276=0,IF(BC276="שימור",IF('חד גזעי'!$AM$4="לא",IF(BC276="לא בוגר",0,IF(BC276="לא קיים",0,IF(J276=0,0,I276*0.15))),IF(BC276="לא בוגר",0,IF(BC276="לא קיים",0,IF(AB276=1,I276*0.15,E276*0.5)))),0),IF('חד גזעי'!$AM$4="לא",IF(BC276="לא בוגר",0,IF(BC276="לא קיים",0,IF(J276=0,0,I276*0.15))),IF(BC276="לא בוגר",0,IF(BC276="לא קיים",0,IF(AB276=1,I276*0.15,E276*0.5))))))</f>
        <v>0</v>
      </c>
      <c r="U276" s="129"/>
      <c r="V276">
        <f t="shared" si="277"/>
        <v>0</v>
      </c>
      <c r="W276">
        <f t="shared" si="278"/>
        <v>0</v>
      </c>
      <c r="X276">
        <f t="shared" si="279"/>
        <v>0</v>
      </c>
      <c r="Y276">
        <f>IF('חד גזעי'!$AM$2 = "לא",0,IF(F276&gt;9,W276,0))</f>
        <v>0</v>
      </c>
      <c r="Z276">
        <f>IF('חד גזעי'!$AM$7 = "לא",0,IF(C276 = "זית אירופי",IF('חד גזעי'!$AN$7 &lt;=סקר!F276,W276,0),IF(C276 = "חרוב מצוי",IF('חד גזעי'!$AN$7 &lt;=סקר!F276,W276,0),0)))</f>
        <v>0</v>
      </c>
      <c r="AA276" s="129"/>
      <c r="AB276" s="129"/>
      <c r="AC276" s="129"/>
      <c r="AD276" s="129"/>
      <c r="AE276" s="129"/>
      <c r="AF276" s="129"/>
      <c r="AG276" s="129"/>
      <c r="AH276" s="129"/>
      <c r="AI276" s="129"/>
      <c r="AJ276" s="129"/>
      <c r="AK276" s="129"/>
      <c r="AL276" s="129"/>
      <c r="AM276" s="129"/>
      <c r="AN276" s="129"/>
      <c r="AO276" s="129"/>
      <c r="AP276" s="129"/>
      <c r="AQ276" s="129"/>
      <c r="AR276" s="129"/>
      <c r="AS276" s="129"/>
      <c r="AT276" s="129"/>
      <c r="AU276" s="129"/>
      <c r="AV276" s="129"/>
      <c r="AW276" s="129"/>
      <c r="AX276" s="129"/>
      <c r="AY276" s="129"/>
      <c r="AZ276" s="129"/>
      <c r="BA276" s="129"/>
      <c r="BB276" s="129"/>
      <c r="BC276" s="129"/>
      <c r="BD276" s="129"/>
      <c r="BE276" s="129"/>
      <c r="BF276" s="129">
        <f>_xlfn.IFNA(_xlfn.IFNA(_xlfn.TEXTBEFORE(BF280,"--"),_xlfn.TEXTBEFORE(BF280,",")),BF280)</f>
        <v>0</v>
      </c>
      <c r="BG276" s="129">
        <f t="shared" ref="BG276:BK276" si="291">_xlfn.IFNA(_xlfn.IFNA(_xlfn.TEXTBEFORE(BG280,"--"),_xlfn.TEXTBEFORE(BG280,",")),BG280)</f>
        <v>0</v>
      </c>
      <c r="BH276" s="129">
        <f t="shared" si="291"/>
        <v>0</v>
      </c>
      <c r="BI276" s="129">
        <f>_xlfn.IFNA(_xlfn.IFNA(_xlfn.TEXTBEFORE(BI280,"--"),_xlfn.TEXTBEFORE(BI280,",")),BI280)</f>
        <v>0</v>
      </c>
      <c r="BJ276" s="129">
        <f t="shared" si="291"/>
        <v>0</v>
      </c>
      <c r="BK276" s="129">
        <f t="shared" si="291"/>
        <v>0</v>
      </c>
    </row>
    <row r="277" spans="1:63" hidden="1">
      <c r="A277" s="129"/>
      <c r="B277" s="129"/>
      <c r="C277" s="129"/>
      <c r="D277" s="129"/>
      <c r="E277" s="129"/>
      <c r="F277" s="129"/>
      <c r="G277" s="129"/>
      <c r="H277" s="129"/>
      <c r="I277" s="129"/>
      <c r="J277" s="129"/>
      <c r="K277" s="129"/>
      <c r="L277" s="129"/>
      <c r="M277" s="129"/>
      <c r="N277" s="129"/>
      <c r="O277" s="129"/>
      <c r="P277" s="129"/>
      <c r="Q277" s="129"/>
      <c r="R277" s="129"/>
      <c r="S277" s="129"/>
      <c r="T277" s="72">
        <f>IF('חד גזעי'!$AM$6="לא",IF(P277=0,IF(BC277="שימור",IF('חד גזעי'!$AM$4="לא",IF(BC277="לא בוגר",0,IF(BC277="לא קיים",0,IF(J277=0,0,I277*0.1))),IF(BC277="לא בוגר",0,IF(BC277="לא קיים",0,IF(AB277=1,I277*0.1,E277*0.5)))),0),IF('חד גזעי'!$AM$4="לא",IF(BC277="לא בוגר",0,IF(BC277="לא קיים",0,IF(J277=0,0,I277*0.1))),IF(BC277="לא בוגר",0,IF(BC277="לא קיים",0,IF(AB277=1,I277*0.1,E277*0.5))))),IF(P277=0,IF(BC277="שימור",IF('חד גזעי'!$AM$4="לא",IF(BC277="לא בוגר",0,IF(BC277="לא קיים",0,IF(J277=0,0,I277*0.15))),IF(BC277="לא בוגר",0,IF(BC277="לא קיים",0,IF(AB277=1,I277*0.15,E277*0.5)))),0),IF('חד גזעי'!$AM$4="לא",IF(BC277="לא בוגר",0,IF(BC277="לא קיים",0,IF(J277=0,0,I277*0.15))),IF(BC277="לא בוגר",0,IF(BC277="לא קיים",0,IF(AB277=1,I277*0.15,E277*0.5))))))</f>
        <v>0</v>
      </c>
      <c r="U277" s="129"/>
      <c r="V277">
        <f t="shared" si="277"/>
        <v>0</v>
      </c>
      <c r="W277">
        <f t="shared" si="278"/>
        <v>0</v>
      </c>
      <c r="X277">
        <f t="shared" si="279"/>
        <v>0</v>
      </c>
      <c r="Y277">
        <f>IF('חד גזעי'!$AM$2 = "לא",0,IF(F277&gt;9,W277,0))</f>
        <v>0</v>
      </c>
      <c r="Z277">
        <f>IF('חד גזעי'!$AM$7 = "לא",0,IF(C277 = "זית אירופי",IF('חד גזעי'!$AN$7 &lt;=סקר!F277,W277,0),IF(C277 = "חרוב מצוי",IF('חד גזעי'!$AN$7 &lt;=סקר!F277,W277,0),0)))</f>
        <v>0</v>
      </c>
      <c r="AA277" s="129"/>
      <c r="AB277" s="129"/>
      <c r="AC277" s="129"/>
      <c r="AD277" s="129"/>
      <c r="AE277" s="129"/>
      <c r="AF277" s="129"/>
      <c r="AG277" s="129"/>
      <c r="AH277" s="129"/>
      <c r="AI277" s="129"/>
      <c r="AJ277" s="129"/>
      <c r="AK277" s="129"/>
      <c r="AL277" s="129"/>
      <c r="AM277" s="129"/>
      <c r="AN277" s="129"/>
      <c r="AO277" s="129"/>
      <c r="AP277" s="129"/>
      <c r="AQ277" s="129"/>
      <c r="AR277" s="129"/>
      <c r="AS277" s="129"/>
      <c r="AT277" s="129"/>
      <c r="AU277" s="129"/>
      <c r="AV277" s="129"/>
      <c r="AW277" s="129"/>
      <c r="AX277" s="129"/>
      <c r="AY277" s="129"/>
      <c r="AZ277" s="129"/>
      <c r="BA277" s="129"/>
      <c r="BB277" s="129"/>
      <c r="BC277" s="129"/>
      <c r="BD277" s="129"/>
      <c r="BE277" s="129"/>
      <c r="BF277" s="129" t="str">
        <f>"C:\Users\origr\Pictures\"&amp;BF276&amp;".jpg"</f>
        <v>C:\Users\origr\Pictures\0.jpg</v>
      </c>
      <c r="BG277" s="129" t="str">
        <f t="shared" ref="BG277" si="292">"C:\Users\origr\Pictures\"&amp;BG276&amp;".jpg"</f>
        <v>C:\Users\origr\Pictures\0.jpg</v>
      </c>
      <c r="BH277" s="129" t="str">
        <f t="shared" ref="BH277" si="293">"C:\Users\origr\Pictures\"&amp;BH276&amp;".jpg"</f>
        <v>C:\Users\origr\Pictures\0.jpg</v>
      </c>
      <c r="BI277" s="129" t="str">
        <f t="shared" ref="BI277" si="294">"C:\Users\origr\Pictures\"&amp;BI276&amp;".jpg"</f>
        <v>C:\Users\origr\Pictures\0.jpg</v>
      </c>
      <c r="BJ277" s="129" t="str">
        <f t="shared" ref="BJ277" si="295">"C:\Users\origr\Pictures\"&amp;BJ276&amp;".jpg"</f>
        <v>C:\Users\origr\Pictures\0.jpg</v>
      </c>
      <c r="BK277" s="129" t="str">
        <f t="shared" ref="BK277" si="296">"C:\Users\origr\Pictures\"&amp;BK276&amp;".jpg"</f>
        <v>C:\Users\origr\Pictures\0.jpg</v>
      </c>
    </row>
    <row r="278" spans="1:63" hidden="1">
      <c r="A278" s="129"/>
      <c r="B278" s="129"/>
      <c r="C278" s="129"/>
      <c r="D278" s="129"/>
      <c r="E278" s="129"/>
      <c r="F278" s="129"/>
      <c r="G278" s="129"/>
      <c r="H278" s="129"/>
      <c r="I278" s="129"/>
      <c r="J278" s="129"/>
      <c r="K278" s="129"/>
      <c r="L278" s="129"/>
      <c r="M278" s="129"/>
      <c r="N278" s="129"/>
      <c r="O278" s="129"/>
      <c r="P278" s="129"/>
      <c r="Q278" s="129"/>
      <c r="R278" s="129"/>
      <c r="S278" s="129"/>
      <c r="T278" s="72">
        <f>IF('חד גזעי'!$AM$6="לא",IF(P278=0,IF(BC278="שימור",IF('חד גזעי'!$AM$4="לא",IF(BC278="לא בוגר",0,IF(BC278="לא קיים",0,IF(J278=0,0,I278*0.1))),IF(BC278="לא בוגר",0,IF(BC278="לא קיים",0,IF(AB278=1,I278*0.1,E278*0.5)))),0),IF('חד גזעי'!$AM$4="לא",IF(BC278="לא בוגר",0,IF(BC278="לא קיים",0,IF(J278=0,0,I278*0.1))),IF(BC278="לא בוגר",0,IF(BC278="לא קיים",0,IF(AB278=1,I278*0.1,E278*0.5))))),IF(P278=0,IF(BC278="שימור",IF('חד גזעי'!$AM$4="לא",IF(BC278="לא בוגר",0,IF(BC278="לא קיים",0,IF(J278=0,0,I278*0.15))),IF(BC278="לא בוגר",0,IF(BC278="לא קיים",0,IF(AB278=1,I278*0.15,E278*0.5)))),0),IF('חד גזעי'!$AM$4="לא",IF(BC278="לא בוגר",0,IF(BC278="לא קיים",0,IF(J278=0,0,I278*0.15))),IF(BC278="לא בוגר",0,IF(BC278="לא קיים",0,IF(AB278=1,I278*0.15,E278*0.5))))))</f>
        <v>0</v>
      </c>
      <c r="U278" s="129"/>
      <c r="V278">
        <f t="shared" si="277"/>
        <v>0</v>
      </c>
      <c r="W278">
        <f t="shared" si="278"/>
        <v>0</v>
      </c>
      <c r="X278">
        <f t="shared" si="279"/>
        <v>0</v>
      </c>
      <c r="Y278">
        <f>IF('חד גזעי'!$AM$2 = "לא",0,IF(F278&gt;9,W278,0))</f>
        <v>0</v>
      </c>
      <c r="Z278">
        <f>IF('חד גזעי'!$AM$7 = "לא",0,IF(C278 = "זית אירופי",IF('חד גזעי'!$AN$7 &lt;=סקר!F278,W278,0),IF(C278 = "חרוב מצוי",IF('חד גזעי'!$AN$7 &lt;=סקר!F278,W278,0),0)))</f>
        <v>0</v>
      </c>
      <c r="AA278" s="129"/>
      <c r="AB278" s="129"/>
      <c r="AC278" s="129"/>
      <c r="AD278" s="129"/>
      <c r="AE278" s="129"/>
      <c r="AF278" s="129"/>
      <c r="AG278" s="129"/>
      <c r="AH278" s="129"/>
      <c r="AI278" s="129"/>
      <c r="AJ278" s="129"/>
      <c r="AK278" s="129"/>
      <c r="AL278" s="129"/>
      <c r="AM278" s="129"/>
      <c r="AN278" s="129"/>
      <c r="AO278" s="129"/>
      <c r="AP278" s="129"/>
      <c r="AQ278" s="129"/>
      <c r="AR278" s="129"/>
      <c r="AS278" s="129"/>
      <c r="AT278" s="129"/>
      <c r="AU278" s="129"/>
      <c r="AV278" s="129"/>
      <c r="AW278" s="129"/>
      <c r="AX278" s="129"/>
      <c r="AY278" s="129"/>
      <c r="AZ278" s="129"/>
      <c r="BA278" s="129"/>
      <c r="BB278" s="129"/>
      <c r="BC278" s="129"/>
      <c r="BD278" s="129"/>
      <c r="BE278" s="129"/>
      <c r="BF278" s="129" t="str">
        <f>BF277</f>
        <v>C:\Users\origr\Pictures\0.jpg</v>
      </c>
      <c r="BG278" s="129" t="str">
        <f t="shared" ref="BG278" si="297">BG277</f>
        <v>C:\Users\origr\Pictures\0.jpg</v>
      </c>
      <c r="BH278" s="129" t="str">
        <f t="shared" ref="BH278" si="298">BH277</f>
        <v>C:\Users\origr\Pictures\0.jpg</v>
      </c>
      <c r="BI278" s="129" t="str">
        <f t="shared" ref="BI278" si="299">BI277</f>
        <v>C:\Users\origr\Pictures\0.jpg</v>
      </c>
      <c r="BJ278" s="129" t="str">
        <f t="shared" ref="BJ278" si="300">BJ277</f>
        <v>C:\Users\origr\Pictures\0.jpg</v>
      </c>
      <c r="BK278" s="129" t="str">
        <f t="shared" ref="BK278" si="301">BK277</f>
        <v>C:\Users\origr\Pictures\0.jpg</v>
      </c>
    </row>
    <row r="279" spans="1:63" ht="14.25" hidden="1">
      <c r="B279" s="71"/>
      <c r="C279" s="69"/>
      <c r="Q279" s="86"/>
      <c r="T279" s="72">
        <f>IF('חד גזעי'!$AM$6="לא",IF(P279=0,IF(BC279="שימור",IF('חד גזעי'!$AM$4="לא",IF(BC279="לא בוגר",0,IF(BC279="לא קיים",0,IF(J279=0,0,I279*0.1))),IF(BC279="לא בוגר",0,IF(BC279="לא קיים",0,IF(AB279=1,I279*0.1,E279*0.5)))),0),IF('חד גזעי'!$AM$4="לא",IF(BC279="לא בוגר",0,IF(BC279="לא קיים",0,IF(J279=0,0,I279*0.1))),IF(BC279="לא בוגר",0,IF(BC279="לא קיים",0,IF(AB279=1,I279*0.1,E279*0.5))))),IF(P279=0,IF(BC279="שימור",IF('חד גזעי'!$AM$4="לא",IF(BC279="לא בוגר",0,IF(BC279="לא קיים",0,IF(J279=0,0,I279*0.15))),IF(BC279="לא בוגר",0,IF(BC279="לא קיים",0,IF(AB279=1,I279*0.15,E279*0.5)))),0),IF('חד גזעי'!$AM$4="לא",IF(BC279="לא בוגר",0,IF(BC279="לא קיים",0,IF(J279=0,0,I279*0.15))),IF(BC279="לא בוגר",0,IF(BC279="לא קיים",0,IF(AB279=1,I279*0.15,E279*0.5))))))</f>
        <v>0</v>
      </c>
      <c r="V279">
        <f t="shared" si="277"/>
        <v>0</v>
      </c>
      <c r="W279">
        <f t="shared" si="278"/>
        <v>0</v>
      </c>
      <c r="X279">
        <f t="shared" si="279"/>
        <v>0</v>
      </c>
      <c r="Y279">
        <f>IF('חד גזעי'!$AM$2 = "לא",0,IF(F279&gt;9,W279,0))</f>
        <v>0</v>
      </c>
      <c r="Z279">
        <f>IF('חד גזעי'!$AM$7 = "לא",0,IF(C279 = "זית אירופי",IF('חד גזעי'!$AN$7 &lt;=סקר!F279,W279,0),IF(C279 = "חרוב מצוי",IF('חד גזעי'!$AN$7 &lt;=סקר!F279,W279,0),0)))</f>
        <v>0</v>
      </c>
      <c r="AD279" s="69" t="s">
        <v>807</v>
      </c>
    </row>
    <row r="280" spans="1:63" hidden="1">
      <c r="B280" s="197" t="s">
        <v>738</v>
      </c>
      <c r="C280" s="197" t="s">
        <v>739</v>
      </c>
      <c r="D280" s="197" t="s">
        <v>740</v>
      </c>
      <c r="E280" s="197" t="s">
        <v>741</v>
      </c>
      <c r="F280" s="200" t="s">
        <v>759</v>
      </c>
      <c r="G280" s="203" t="s">
        <v>760</v>
      </c>
      <c r="H280" s="203" t="s">
        <v>761</v>
      </c>
      <c r="I280" s="197" t="s">
        <v>742</v>
      </c>
      <c r="J280" s="197" t="s">
        <v>743</v>
      </c>
      <c r="K280" s="197" t="s">
        <v>744</v>
      </c>
      <c r="L280" s="197" t="s">
        <v>745</v>
      </c>
      <c r="M280" s="197" t="s">
        <v>746</v>
      </c>
      <c r="N280" s="197" t="s">
        <v>747</v>
      </c>
      <c r="O280" s="197" t="s">
        <v>748</v>
      </c>
      <c r="P280" s="197" t="s">
        <v>749</v>
      </c>
      <c r="Q280" s="197" t="s">
        <v>750</v>
      </c>
      <c r="R280" s="197" t="s">
        <v>751</v>
      </c>
      <c r="T280" s="72" t="e">
        <f>IF('חד גזעי'!$AM$6="לא",IF(P280=0,IF(BC280="שימור",IF('חד גזעי'!$AM$4="לא",IF(BC280="לא בוגר",0,IF(BC280="לא קיים",0,IF(J280=0,0,I280*0.1))),IF(BC280="לא בוגר",0,IF(BC280="לא קיים",0,IF(AB280=1,I280*0.1,E280*0.5)))),0),IF('חד גזעי'!$AM$4="לא",IF(BC280="לא בוגר",0,IF(BC280="לא קיים",0,IF(J280=0,0,I280*0.1))),IF(BC280="לא בוגר",0,IF(BC280="לא קיים",0,IF(AB280=1,I280*0.1,E280*0.5))))),IF(P280=0,IF(BC280="שימור",IF('חד גזעי'!$AM$4="לא",IF(BC280="לא בוגר",0,IF(BC280="לא קיים",0,IF(J280=0,0,I280*0.15))),IF(BC280="לא בוגר",0,IF(BC280="לא קיים",0,IF(AB280=1,I280*0.15,E280*0.5)))),0),IF('חד גזעי'!$AM$4="לא",IF(BC280="לא בוגר",0,IF(BC280="לא קיים",0,IF(J280=0,0,I280*0.15))),IF(BC280="לא בוגר",0,IF(BC280="לא קיים",0,IF(AB280=1,I280*0.15,E280*0.5))))))</f>
        <v>#VALUE!</v>
      </c>
      <c r="V280">
        <f t="shared" si="277"/>
        <v>0</v>
      </c>
      <c r="W280" t="e">
        <f t="shared" si="278"/>
        <v>#VALUE!</v>
      </c>
      <c r="X280">
        <f t="shared" si="279"/>
        <v>0</v>
      </c>
      <c r="Y280">
        <f>IF('חד גזעי'!$AM$2 = "לא",0,IF(F280&gt;9,W280,0))</f>
        <v>0</v>
      </c>
      <c r="Z280">
        <f>IF('חד גזעי'!$AM$7 = "לא",0,IF(C280 = "זית אירופי",IF('חד גזעי'!$AN$7 &lt;=סקר!F280,W280,0),IF(C280 = "חרוב מצוי",IF('חד גזעי'!$AN$7 &lt;=סקר!F280,W280,0),0)))</f>
        <v>0</v>
      </c>
      <c r="AC280" s="101"/>
      <c r="AD280" s="103"/>
      <c r="AE280" s="103"/>
      <c r="AF280" s="103"/>
      <c r="AG280" s="103"/>
      <c r="AH280" s="103"/>
      <c r="AI280" s="103"/>
      <c r="AJ280" s="103"/>
      <c r="AK280" s="83"/>
      <c r="AM280" s="73"/>
      <c r="AN280" s="73"/>
      <c r="AO280" s="73"/>
      <c r="AS280" s="197" t="s">
        <v>738</v>
      </c>
      <c r="AT280" s="197" t="s">
        <v>739</v>
      </c>
      <c r="AU280" s="197" t="s">
        <v>740</v>
      </c>
      <c r="AV280" s="197" t="s">
        <v>741</v>
      </c>
      <c r="AW280" s="203" t="s">
        <v>759</v>
      </c>
      <c r="AX280" s="203" t="s">
        <v>760</v>
      </c>
      <c r="AY280" s="203" t="s">
        <v>761</v>
      </c>
      <c r="AZ280" s="197" t="s">
        <v>812</v>
      </c>
      <c r="BA280" s="197" t="s">
        <v>817</v>
      </c>
      <c r="BB280" s="197" t="s">
        <v>805</v>
      </c>
      <c r="BC280" s="197" t="s">
        <v>806</v>
      </c>
      <c r="BE280">
        <f>IF(BC280="לא נדרש ברישיון",1,0)</f>
        <v>0</v>
      </c>
      <c r="BF280" s="72"/>
      <c r="BG280" s="72"/>
      <c r="BH280" s="72"/>
      <c r="BI280" s="72"/>
      <c r="BJ280" s="72"/>
      <c r="BK280" s="72"/>
    </row>
    <row r="281" spans="1:63" hidden="1">
      <c r="B281" s="198"/>
      <c r="C281" s="198"/>
      <c r="D281" s="198"/>
      <c r="E281" s="198"/>
      <c r="F281" s="201"/>
      <c r="G281" s="204"/>
      <c r="H281" s="204"/>
      <c r="I281" s="198"/>
      <c r="J281" s="198"/>
      <c r="K281" s="198"/>
      <c r="L281" s="198"/>
      <c r="M281" s="198"/>
      <c r="N281" s="198"/>
      <c r="O281" s="198"/>
      <c r="P281" s="198"/>
      <c r="Q281" s="198"/>
      <c r="R281" s="198"/>
      <c r="T281" s="72">
        <f>IF('חד גזעי'!$AM$6="לא",IF(P281=0,IF(BC281="שימור",IF('חד גזעי'!$AM$4="לא",IF(BC281="לא בוגר",0,IF(BC281="לא קיים",0,IF(J281=0,0,I281*0.1))),IF(BC281="לא בוגר",0,IF(BC281="לא קיים",0,IF(AB281=1,I281*0.1,E281*0.5)))),0),IF('חד גזעי'!$AM$4="לא",IF(BC281="לא בוגר",0,IF(BC281="לא קיים",0,IF(J281=0,0,I281*0.1))),IF(BC281="לא בוגר",0,IF(BC281="לא קיים",0,IF(AB281=1,I281*0.1,E281*0.5))))),IF(P281=0,IF(BC281="שימור",IF('חד גזעי'!$AM$4="לא",IF(BC281="לא בוגר",0,IF(BC281="לא קיים",0,IF(J281=0,0,I281*0.15))),IF(BC281="לא בוגר",0,IF(BC281="לא קיים",0,IF(AB281=1,I281*0.15,E281*0.5)))),0),IF('חד גזעי'!$AM$4="לא",IF(BC281="לא בוגר",0,IF(BC281="לא קיים",0,IF(J281=0,0,I281*0.15))),IF(BC281="לא בוגר",0,IF(BC281="לא קיים",0,IF(AB281=1,I281*0.15,E281*0.5))))))</f>
        <v>0</v>
      </c>
      <c r="V281">
        <f t="shared" si="277"/>
        <v>0</v>
      </c>
      <c r="W281">
        <f t="shared" si="278"/>
        <v>0</v>
      </c>
      <c r="X281">
        <f t="shared" si="279"/>
        <v>0</v>
      </c>
      <c r="Y281">
        <f>IF('חד גזעי'!$AM$2 = "לא",0,IF(F281&gt;9,W281,0))</f>
        <v>0</v>
      </c>
      <c r="Z281">
        <f>IF('חד גזעי'!$AM$7 = "לא",0,IF(C281 = "זית אירופי",IF('חד גזעי'!$AN$7 &lt;=סקר!F281,W281,0),IF(C281 = "חרוב מצוי",IF('חד גזעי'!$AN$7 &lt;=סקר!F281,W281,0),0)))</f>
        <v>0</v>
      </c>
      <c r="AC281" s="101"/>
      <c r="AD281" s="103"/>
      <c r="AE281" s="103"/>
      <c r="AF281" s="103"/>
      <c r="AG281" s="103"/>
      <c r="AH281" s="103"/>
      <c r="AI281" s="103"/>
      <c r="AJ281" s="103"/>
      <c r="AK281" s="83"/>
      <c r="AM281" s="73"/>
      <c r="AN281" s="73"/>
      <c r="AO281" s="73"/>
      <c r="AS281" s="198"/>
      <c r="AT281" s="198"/>
      <c r="AU281" s="198"/>
      <c r="AV281" s="198"/>
      <c r="AW281" s="204"/>
      <c r="AX281" s="204"/>
      <c r="AY281" s="204"/>
      <c r="AZ281" s="198"/>
      <c r="BA281" s="198"/>
      <c r="BB281" s="198"/>
      <c r="BC281" s="198"/>
      <c r="BE281">
        <f t="shared" ref="BE281:BE315" si="302">IF(BC281="לא נדרש ברישיון",1,0)</f>
        <v>0</v>
      </c>
      <c r="BF281" s="196" t="str">
        <f>BF278</f>
        <v>C:\Users\origr\Pictures\0.jpg</v>
      </c>
      <c r="BG281" s="196" t="str">
        <f t="shared" ref="BG281:BK281" si="303">BG278</f>
        <v>C:\Users\origr\Pictures\0.jpg</v>
      </c>
      <c r="BH281" s="196" t="str">
        <f t="shared" si="303"/>
        <v>C:\Users\origr\Pictures\0.jpg</v>
      </c>
      <c r="BI281" s="196" t="str">
        <f t="shared" si="303"/>
        <v>C:\Users\origr\Pictures\0.jpg</v>
      </c>
      <c r="BJ281" s="196" t="str">
        <f t="shared" si="303"/>
        <v>C:\Users\origr\Pictures\0.jpg</v>
      </c>
      <c r="BK281" s="196" t="str">
        <f t="shared" si="303"/>
        <v>C:\Users\origr\Pictures\0.jpg</v>
      </c>
    </row>
    <row r="282" spans="1:63" hidden="1">
      <c r="B282" s="199"/>
      <c r="C282" s="199"/>
      <c r="D282" s="199"/>
      <c r="E282" s="199"/>
      <c r="F282" s="202"/>
      <c r="G282" s="205"/>
      <c r="H282" s="205"/>
      <c r="I282" s="199"/>
      <c r="J282" s="199"/>
      <c r="K282" s="199"/>
      <c r="L282" s="199"/>
      <c r="M282" s="199"/>
      <c r="N282" s="199"/>
      <c r="O282" s="199"/>
      <c r="P282" s="199"/>
      <c r="Q282" s="199"/>
      <c r="R282" s="199"/>
      <c r="T282" s="72">
        <f>IF('חד גזעי'!$AM$6="לא",IF(P282=0,IF(BC282="שימור",IF('חד גזעי'!$AM$4="לא",IF(BC282="לא בוגר",0,IF(BC282="לא קיים",0,IF(J282=0,0,I282*0.1))),IF(BC282="לא בוגר",0,IF(BC282="לא קיים",0,IF(AB282=1,I282*0.1,E282*0.5)))),0),IF('חד גזעי'!$AM$4="לא",IF(BC282="לא בוגר",0,IF(BC282="לא קיים",0,IF(J282=0,0,I282*0.1))),IF(BC282="לא בוגר",0,IF(BC282="לא קיים",0,IF(AB282=1,I282*0.1,E282*0.5))))),IF(P282=0,IF(BC282="שימור",IF('חד גזעי'!$AM$4="לא",IF(BC282="לא בוגר",0,IF(BC282="לא קיים",0,IF(J282=0,0,I282*0.15))),IF(BC282="לא בוגר",0,IF(BC282="לא קיים",0,IF(AB282=1,I282*0.15,E282*0.5)))),0),IF('חד גזעי'!$AM$4="לא",IF(BC282="לא בוגר",0,IF(BC282="לא קיים",0,IF(J282=0,0,I282*0.15))),IF(BC282="לא בוגר",0,IF(BC282="לא קיים",0,IF(AB282=1,I282*0.15,E282*0.5))))))</f>
        <v>0</v>
      </c>
      <c r="V282" t="str">
        <f t="shared" si="277"/>
        <v>שווי דקל</v>
      </c>
      <c r="W282" t="str">
        <f t="shared" si="278"/>
        <v>שווי דקל</v>
      </c>
      <c r="X282">
        <f t="shared" si="279"/>
        <v>0</v>
      </c>
      <c r="Y282">
        <f>IF('חד גזעי'!$AM$2 = "לא",0,IF(F282&gt;9,W282,0))</f>
        <v>0</v>
      </c>
      <c r="Z282">
        <f>IF('חד גזעי'!$AM$7 = "לא",0,IF(C282 = "זית אירופי",IF('חד גזעי'!$AN$7 &lt;=סקר!F282,W282,0),IF(C282 = "חרוב מצוי",IF('חד גזעי'!$AN$7 &lt;=סקר!F282,W282,0),0)))</f>
        <v>0</v>
      </c>
      <c r="AC282" s="94"/>
      <c r="AD282" s="94"/>
      <c r="AE282" s="72"/>
      <c r="AF282" s="77" t="s">
        <v>767</v>
      </c>
      <c r="AG282" s="77" t="s">
        <v>768</v>
      </c>
      <c r="AH282" s="72" t="s">
        <v>762</v>
      </c>
      <c r="AI282" s="72" t="s">
        <v>763</v>
      </c>
      <c r="AJ282" s="72" t="s">
        <v>764</v>
      </c>
      <c r="AK282" s="77" t="s">
        <v>770</v>
      </c>
      <c r="AL282" t="s">
        <v>771</v>
      </c>
      <c r="AM282" s="77" t="s">
        <v>809</v>
      </c>
      <c r="AN282" s="77" t="s">
        <v>810</v>
      </c>
      <c r="AO282" s="77" t="s">
        <v>811</v>
      </c>
      <c r="AS282" s="199"/>
      <c r="AT282" s="199"/>
      <c r="AU282" s="199"/>
      <c r="AV282" s="199"/>
      <c r="AW282" s="205"/>
      <c r="AX282" s="205"/>
      <c r="AY282" s="205"/>
      <c r="AZ282" s="199"/>
      <c r="BA282" s="199"/>
      <c r="BB282" s="199"/>
      <c r="BC282" s="199"/>
      <c r="BE282">
        <f t="shared" si="302"/>
        <v>0</v>
      </c>
      <c r="BF282" s="196"/>
      <c r="BG282" s="196"/>
      <c r="BH282" s="196"/>
      <c r="BI282" s="196"/>
      <c r="BJ282" s="196"/>
      <c r="BK282" s="196"/>
    </row>
    <row r="283" spans="1:63" hidden="1">
      <c r="B283" s="72"/>
      <c r="C283" s="135"/>
      <c r="D283" s="73"/>
      <c r="E283" s="73"/>
      <c r="F283" s="72"/>
      <c r="G283" s="72"/>
      <c r="H283" s="72"/>
      <c r="I283" s="73">
        <f t="shared" ref="I283:I314" si="304">F283+(G283/2)+(H283/2)</f>
        <v>0</v>
      </c>
      <c r="J283" s="73"/>
      <c r="K283" s="73"/>
      <c r="L283" s="74" t="e">
        <f>_xlfn.IFNA(VLOOKUP(C283,'חד גזעי'!$U$3:$V$509,2,0),VLOOKUP(C283,'חד גזעי'!$U$3:$V$509,2))</f>
        <v>#N/A</v>
      </c>
      <c r="M283" s="73"/>
      <c r="N283" s="72" t="e">
        <f>_xlfn.IFNA(IF(VLOOKUP(C283,'חד גזעי'!$AH$2:$AH$7,1,FALSE)&gt;0,0,IF('חד גזעי'!$AM$5="כן",IF(_xlfn.IFNA(VLOOKUP(C283,'חד גזעי'!$AH$2:$AH$33,1,FALSE),SUM(J283:M283))&lt;21,_xlfn.IFNA(VLOOKUP(C283,'חד גזעי'!$AH$2:$AH$33,1,FALSE),SUM(J283:M283)),0),SUM(J283:M283))),IF('חד גזעי'!$AM$5="כן",IF(_xlfn.IFNA(VLOOKUP(C283,'חד גזעי'!$AH$2:$AH$33,1,FALSE),SUM(J283:M283))&lt;21,_xlfn.IFNA(VLOOKUP(C283,'חד גזעי'!$AH$2:$AH$33,1,FALSE),SUM(J283:M283)),0),SUM(J283:M283)))</f>
        <v>#N/A</v>
      </c>
      <c r="O283" s="72">
        <f>IF('חד גזעי'!$AM$3 = "כן",IF(T283&gt;4,4,T283),T283)</f>
        <v>0</v>
      </c>
      <c r="P283" s="80">
        <f>IF(E283&lt;2,0,IF(Z283&gt;0,Z283,IF(N283 = 0,0,IF('חד גזעי'!$AM$2 = "לא",IF(F283&gt;19,W283,0),IF(F283&gt;9,Y283,0)))))</f>
        <v>0</v>
      </c>
      <c r="Q283" s="77"/>
      <c r="R283" s="75"/>
      <c r="S283" t="e">
        <f>VLOOKUP(C283,'חד גזעי'!$Y$4:$Y$18,1,0)</f>
        <v>#N/A</v>
      </c>
      <c r="T283" s="72">
        <f>IF('חד גזעי'!$AM$6="לא",IF(P283=0,IF(BC283="שימור",IF('חד גזעי'!$AM$4="לא",IF(BC283="לא בוגר",0,IF(BC283="לא קיים",0,IF(J283=0,0,I283*0.1))),IF(BC283="לא בוגר",0,IF(BC283="לא קיים",0,IF(AB283=1,I283*0.1,E283*0.5)))),0),IF('חד גזעי'!$AM$4="לא",IF(BC283="לא בוגר",0,IF(BC283="לא קיים",0,IF(J283=0,0,I283*0.1))),IF(BC283="לא בוגר",0,IF(BC283="לא קיים",0,IF(AB283=1,I283*0.1,E283*0.5))))),IF(P283=0,IF(BC283="שימור",IF('חד גזעי'!$AM$4="לא",IF(BC283="לא בוגר",0,IF(BC283="לא קיים",0,IF(J283=0,0,I283*0.15))),IF(BC283="לא בוגר",0,IF(BC283="לא קיים",0,IF(AB283=1,I283*0.15,E283*0.5)))),0),IF('חד גזעי'!$AM$4="לא",IF(BC283="לא בוגר",0,IF(BC283="לא קיים",0,IF(J283=0,0,I283*0.15))),IF(BC283="לא בוגר",0,IF(BC283="לא קיים",0,IF(AB283=1,I283*0.15,E283*0.5))))))</f>
        <v>0</v>
      </c>
      <c r="V283" t="e">
        <f t="shared" si="277"/>
        <v>#N/A</v>
      </c>
      <c r="W283" t="e">
        <f t="shared" si="278"/>
        <v>#N/A</v>
      </c>
      <c r="X283" t="e">
        <f t="shared" si="279"/>
        <v>#N/A</v>
      </c>
      <c r="Y283">
        <f>IF('חד גזעי'!$AM$2 = "לא",0,IF(F283&gt;9,W283,0))</f>
        <v>0</v>
      </c>
      <c r="Z283">
        <f>IF('חד גזעי'!$AM$7 = "לא",0,IF(C283 = "זית אירופי",IF('חד גזעי'!$AN$7 &lt;=סקר!F283,W283,0),IF(C283 = "חרוב מצוי",IF('חד גזעי'!$AN$7 &lt;=סקר!F283,W283,0),0)))</f>
        <v>0</v>
      </c>
      <c r="AB283">
        <f t="shared" ref="AB283:AB314" si="305">_xlfn.IFNA(S283,1)</f>
        <v>1</v>
      </c>
      <c r="AC283" s="72"/>
      <c r="AD283" t="e">
        <f>IF(AK283&gt;0,AK283,AF283)</f>
        <v>#N/A</v>
      </c>
      <c r="AE283" s="72"/>
      <c r="AF283" s="72" t="e">
        <f t="shared" ref="AF283:AF314" si="306">((AJ283+AI283+AH283)*(AG283))*(J283*0.2)*(K283*0.2)*20</f>
        <v>#N/A</v>
      </c>
      <c r="AG283" s="72" t="e">
        <f>IF('חד גזעי'!$AM$5="לא",(VLOOKUP(C283,'חד גזעי'!$P$1:$S$589,3,FALSE)),(VLOOKUP(C283,'חד גזעי'!$P$1:$S$589,4,FALSE)))</f>
        <v>#N/A</v>
      </c>
      <c r="AH283" s="72">
        <f t="shared" ref="AH283:AH314" si="307">(3.14*((F283/2)^2))</f>
        <v>0</v>
      </c>
      <c r="AI283" s="72">
        <f t="shared" ref="AI283:AI314" si="308">3.14*(G283*G283/4)</f>
        <v>0</v>
      </c>
      <c r="AJ283" s="72">
        <f t="shared" ref="AJ283:AJ314" si="309">3.14*(H283*H283/4)</f>
        <v>0</v>
      </c>
      <c r="AK283" s="72" t="e">
        <f t="shared" ref="AK283:AK314" si="310">AL283*E283*(J283*0.2)*(0.2*K283)*1500</f>
        <v>#N/A</v>
      </c>
      <c r="AL283" t="e">
        <f>VLOOKUP(C283,'חד גזעי'!$AH$8:$AI$33,2,FALSE)</f>
        <v>#N/A</v>
      </c>
      <c r="AM283" s="72" t="b">
        <f t="shared" ref="AM283:AM314" si="311">IF(BC283="שימור",P283)</f>
        <v>0</v>
      </c>
      <c r="AN283" s="72" t="b">
        <f t="shared" ref="AN283:AN314" si="312">IF(BC283="כריתה",P283)</f>
        <v>0</v>
      </c>
      <c r="AO283" s="72" t="b">
        <f t="shared" ref="AO283:AO314" si="313">IF(BC283="העתקה",P283)</f>
        <v>0</v>
      </c>
      <c r="AS283" s="72">
        <f t="shared" ref="AS283:AS314" si="314">B283</f>
        <v>0</v>
      </c>
      <c r="AT283" s="72">
        <f t="shared" ref="AT283:AT314" si="315">C283</f>
        <v>0</v>
      </c>
      <c r="AU283" s="72">
        <f>IF(C283&gt;0,IF(D283&lt;2,1,D283),0)</f>
        <v>0</v>
      </c>
      <c r="AV283" s="72">
        <f t="shared" ref="AV283:AV314" si="316">E283</f>
        <v>0</v>
      </c>
      <c r="AW283" s="72">
        <f t="shared" ref="AW283:AW314" si="317">F283</f>
        <v>0</v>
      </c>
      <c r="AX283" s="72">
        <f t="shared" ref="AX283:AX314" si="318">G283</f>
        <v>0</v>
      </c>
      <c r="AY283" s="72">
        <f t="shared" ref="AY283:AY314" si="319">H283</f>
        <v>0</v>
      </c>
      <c r="AZ283" s="72">
        <f t="shared" ref="AZ283:AZ314" si="320">I283</f>
        <v>0</v>
      </c>
      <c r="BA283" s="72" t="e">
        <f t="shared" ref="BA283:BA314" si="321">N283</f>
        <v>#N/A</v>
      </c>
      <c r="BB283" s="72" t="e">
        <f t="shared" ref="BB283:BB314" si="322">IF(BA283&gt;6,IF(BA283&gt;13,IF(BA283&gt;16,"גבוה מאוד","גבוה"),"בינונית"),"נמוכה")</f>
        <v>#N/A</v>
      </c>
      <c r="BC283" s="77"/>
      <c r="BE283">
        <f t="shared" si="302"/>
        <v>0</v>
      </c>
      <c r="BF283" s="196"/>
      <c r="BG283" s="196"/>
      <c r="BH283" s="196"/>
      <c r="BI283" s="196"/>
      <c r="BJ283" s="196"/>
      <c r="BK283" s="196"/>
    </row>
    <row r="284" spans="1:63" hidden="1">
      <c r="B284" s="72"/>
      <c r="C284" s="135"/>
      <c r="D284" s="73"/>
      <c r="E284" s="73"/>
      <c r="F284" s="72"/>
      <c r="G284" s="72"/>
      <c r="H284" s="72"/>
      <c r="I284" s="73">
        <f t="shared" si="304"/>
        <v>0</v>
      </c>
      <c r="J284" s="73"/>
      <c r="K284" s="73"/>
      <c r="L284" s="74" t="e">
        <f>_xlfn.IFNA(VLOOKUP(C284,'חד גזעי'!$U$3:$V$509,2,0),VLOOKUP(C284,'חד גזעי'!$U$3:$V$509,2))</f>
        <v>#N/A</v>
      </c>
      <c r="M284" s="73"/>
      <c r="N284" s="72" t="e">
        <f>_xlfn.IFNA(IF(VLOOKUP(C284,'חד גזעי'!$AH$2:$AH$7,1,FALSE)&gt;0,0,IF('חד גזעי'!$AM$5="כן",IF(_xlfn.IFNA(VLOOKUP(C284,'חד גזעי'!$AH$2:$AH$33,1,FALSE),SUM(J284:M284))&lt;21,_xlfn.IFNA(VLOOKUP(C284,'חד גזעי'!$AH$2:$AH$33,1,FALSE),SUM(J284:M284)),0),SUM(J284:M284))),IF('חד גזעי'!$AM$5="כן",IF(_xlfn.IFNA(VLOOKUP(C284,'חד גזעי'!$AH$2:$AH$33,1,FALSE),SUM(J284:M284))&lt;21,_xlfn.IFNA(VLOOKUP(C284,'חד גזעי'!$AH$2:$AH$33,1,FALSE),SUM(J284:M284)),0),SUM(J284:M284)))</f>
        <v>#N/A</v>
      </c>
      <c r="O284" s="72">
        <f>IF('חד גזעי'!$AM$3 = "כן",IF(T284&gt;4,4,T284),T284)</f>
        <v>0</v>
      </c>
      <c r="P284" s="80">
        <f>IF(E284&lt;2,0,IF(Z284&gt;0,Z284,IF(N284 = 0,0,IF('חד גזעי'!$AM$2 = "לא",IF(F284&gt;19,W284,0),IF(F284&gt;9,Y284,0)))))</f>
        <v>0</v>
      </c>
      <c r="Q284" s="77"/>
      <c r="R284" s="75"/>
      <c r="S284" t="e">
        <f>VLOOKUP(C284,'חד גזעי'!$Y$4:$Y$18,1,0)</f>
        <v>#N/A</v>
      </c>
      <c r="T284" s="72">
        <f>IF('חד גזעי'!$AM$6="לא",IF(P284=0,IF(BC284="שימור",IF('חד גזעי'!$AM$4="לא",IF(BC284="לא בוגר",0,IF(BC284="לא קיים",0,IF(J284=0,0,I284*0.1))),IF(BC284="לא בוגר",0,IF(BC284="לא קיים",0,IF(AB284=1,I284*0.1,E284*0.5)))),0),IF('חד גזעי'!$AM$4="לא",IF(BC284="לא בוגר",0,IF(BC284="לא קיים",0,IF(J284=0,0,I284*0.1))),IF(BC284="לא בוגר",0,IF(BC284="לא קיים",0,IF(AB284=1,I284*0.1,E284*0.5))))),IF(P284=0,IF(BC284="שימור",IF('חד גזעי'!$AM$4="לא",IF(BC284="לא בוגר",0,IF(BC284="לא קיים",0,IF(J284=0,0,I284*0.15))),IF(BC284="לא בוגר",0,IF(BC284="לא קיים",0,IF(AB284=1,I284*0.15,E284*0.5)))),0),IF('חד גזעי'!$AM$4="לא",IF(BC284="לא בוגר",0,IF(BC284="לא קיים",0,IF(J284=0,0,I284*0.15))),IF(BC284="לא בוגר",0,IF(BC284="לא קיים",0,IF(AB284=1,I284*0.15,E284*0.5))))))</f>
        <v>0</v>
      </c>
      <c r="V284" t="e">
        <f t="shared" si="277"/>
        <v>#N/A</v>
      </c>
      <c r="W284" t="e">
        <f t="shared" si="278"/>
        <v>#N/A</v>
      </c>
      <c r="X284" t="e">
        <f t="shared" si="279"/>
        <v>#N/A</v>
      </c>
      <c r="Y284">
        <f>IF('חד גזעי'!$AM$2 = "לא",0,IF(F284&gt;9,W284,0))</f>
        <v>0</v>
      </c>
      <c r="Z284">
        <f>IF('חד גזעי'!$AM$7 = "לא",0,IF(C284 = "זית אירופי",IF('חד גזעי'!$AN$7 &lt;=סקר!F284,W284,0),IF(C284 = "חרוב מצוי",IF('חד גזעי'!$AN$7 &lt;=סקר!F284,W284,0),0)))</f>
        <v>0</v>
      </c>
      <c r="AB284">
        <f t="shared" si="305"/>
        <v>1</v>
      </c>
      <c r="AC284" s="72"/>
      <c r="AD284" t="e">
        <f t="shared" ref="AD284:AD314" si="323">IF(AK284&gt;0,AK284,AF284)</f>
        <v>#N/A</v>
      </c>
      <c r="AE284" s="72"/>
      <c r="AF284" s="72" t="e">
        <f t="shared" si="306"/>
        <v>#N/A</v>
      </c>
      <c r="AG284" s="72" t="e">
        <f>IF('חד גזעי'!$AM$5="לא",(VLOOKUP(C284,'חד גזעי'!$P$1:$S$589,3,FALSE)),(VLOOKUP(C284,'חד גזעי'!$P$1:$S$589,4,FALSE)))</f>
        <v>#N/A</v>
      </c>
      <c r="AH284" s="72">
        <f t="shared" si="307"/>
        <v>0</v>
      </c>
      <c r="AI284" s="72">
        <f t="shared" si="308"/>
        <v>0</v>
      </c>
      <c r="AJ284" s="72">
        <f t="shared" si="309"/>
        <v>0</v>
      </c>
      <c r="AK284" s="72" t="e">
        <f t="shared" si="310"/>
        <v>#N/A</v>
      </c>
      <c r="AL284" t="e">
        <f>VLOOKUP(C284,'חד גזעי'!$AH$8:$AI$33,2,FALSE)</f>
        <v>#N/A</v>
      </c>
      <c r="AM284" s="72" t="b">
        <f t="shared" si="311"/>
        <v>0</v>
      </c>
      <c r="AN284" s="72" t="b">
        <f t="shared" si="312"/>
        <v>0</v>
      </c>
      <c r="AO284" s="72" t="b">
        <f t="shared" si="313"/>
        <v>0</v>
      </c>
      <c r="AS284" s="72">
        <f t="shared" si="314"/>
        <v>0</v>
      </c>
      <c r="AT284" s="72">
        <f t="shared" si="315"/>
        <v>0</v>
      </c>
      <c r="AU284" s="72">
        <f t="shared" ref="AU284:AU314" si="324">IF(C284&gt;0,IF(D284&lt;2,1,D284),0)</f>
        <v>0</v>
      </c>
      <c r="AV284" s="72">
        <f t="shared" si="316"/>
        <v>0</v>
      </c>
      <c r="AW284" s="72">
        <f t="shared" si="317"/>
        <v>0</v>
      </c>
      <c r="AX284" s="72">
        <f t="shared" si="318"/>
        <v>0</v>
      </c>
      <c r="AY284" s="72">
        <f t="shared" si="319"/>
        <v>0</v>
      </c>
      <c r="AZ284" s="72">
        <f t="shared" si="320"/>
        <v>0</v>
      </c>
      <c r="BA284" s="72" t="e">
        <f t="shared" si="321"/>
        <v>#N/A</v>
      </c>
      <c r="BB284" s="72" t="e">
        <f t="shared" si="322"/>
        <v>#N/A</v>
      </c>
      <c r="BC284" s="77"/>
      <c r="BE284">
        <f t="shared" si="302"/>
        <v>0</v>
      </c>
      <c r="BF284" s="196"/>
      <c r="BG284" s="196"/>
      <c r="BH284" s="196"/>
      <c r="BI284" s="196"/>
      <c r="BJ284" s="196"/>
      <c r="BK284" s="196"/>
    </row>
    <row r="285" spans="1:63" hidden="1">
      <c r="B285" s="72"/>
      <c r="C285" s="135"/>
      <c r="D285" s="73"/>
      <c r="E285" s="73"/>
      <c r="F285" s="72"/>
      <c r="G285" s="72"/>
      <c r="H285" s="72"/>
      <c r="I285" s="73">
        <f t="shared" si="304"/>
        <v>0</v>
      </c>
      <c r="J285" s="73"/>
      <c r="K285" s="73"/>
      <c r="L285" s="74" t="e">
        <f>_xlfn.IFNA(VLOOKUP(C285,'חד גזעי'!$U$3:$V$509,2,0),VLOOKUP(C285,'חד גזעי'!$U$3:$V$509,2))</f>
        <v>#N/A</v>
      </c>
      <c r="M285" s="73"/>
      <c r="N285" s="72" t="e">
        <f>_xlfn.IFNA(IF(VLOOKUP(C285,'חד גזעי'!$AH$2:$AH$7,1,FALSE)&gt;0,0,IF('חד גזעי'!$AM$5="כן",IF(_xlfn.IFNA(VLOOKUP(C285,'חד גזעי'!$AH$2:$AH$33,1,FALSE),SUM(J285:M285))&lt;21,_xlfn.IFNA(VLOOKUP(C285,'חד גזעי'!$AH$2:$AH$33,1,FALSE),SUM(J285:M285)),0),SUM(J285:M285))),IF('חד גזעי'!$AM$5="כן",IF(_xlfn.IFNA(VLOOKUP(C285,'חד גזעי'!$AH$2:$AH$33,1,FALSE),SUM(J285:M285))&lt;21,_xlfn.IFNA(VLOOKUP(C285,'חד גזעי'!$AH$2:$AH$33,1,FALSE),SUM(J285:M285)),0),SUM(J285:M285)))</f>
        <v>#N/A</v>
      </c>
      <c r="O285" s="72">
        <f>IF('חד גזעי'!$AM$3 = "כן",IF(T285&gt;4,4,T285),T285)</f>
        <v>0</v>
      </c>
      <c r="P285" s="80">
        <f>IF(E285&lt;2,0,IF(Z285&gt;0,Z285,IF(N285 = 0,0,IF('חד גזעי'!$AM$2 = "לא",IF(F285&gt;19,W285,0),IF(F285&gt;9,Y285,0)))))</f>
        <v>0</v>
      </c>
      <c r="Q285" s="77"/>
      <c r="R285" s="75"/>
      <c r="S285" t="e">
        <f>VLOOKUP(C285,'חד גזעי'!$Y$4:$Y$18,1,0)</f>
        <v>#N/A</v>
      </c>
      <c r="T285" s="72">
        <f>IF('חד גזעי'!$AM$6="לא",IF(P285=0,IF(BC285="שימור",IF('חד גזעי'!$AM$4="לא",IF(BC285="לא בוגר",0,IF(BC285="לא קיים",0,IF(J285=0,0,I285*0.1))),IF(BC285="לא בוגר",0,IF(BC285="לא קיים",0,IF(AB285=1,I285*0.1,E285*0.5)))),0),IF('חד גזעי'!$AM$4="לא",IF(BC285="לא בוגר",0,IF(BC285="לא קיים",0,IF(J285=0,0,I285*0.1))),IF(BC285="לא בוגר",0,IF(BC285="לא קיים",0,IF(AB285=1,I285*0.1,E285*0.5))))),IF(P285=0,IF(BC285="שימור",IF('חד גזעי'!$AM$4="לא",IF(BC285="לא בוגר",0,IF(BC285="לא קיים",0,IF(J285=0,0,I285*0.15))),IF(BC285="לא בוגר",0,IF(BC285="לא קיים",0,IF(AB285=1,I285*0.15,E285*0.5)))),0),IF('חד גזעי'!$AM$4="לא",IF(BC285="לא בוגר",0,IF(BC285="לא קיים",0,IF(J285=0,0,I285*0.15))),IF(BC285="לא בוגר",0,IF(BC285="לא קיים",0,IF(AB285=1,I285*0.15,E285*0.5))))))</f>
        <v>0</v>
      </c>
      <c r="V285" t="e">
        <f t="shared" si="277"/>
        <v>#N/A</v>
      </c>
      <c r="W285" t="e">
        <f t="shared" si="278"/>
        <v>#N/A</v>
      </c>
      <c r="X285" t="e">
        <f t="shared" si="279"/>
        <v>#N/A</v>
      </c>
      <c r="Y285">
        <f>IF('חד גזעי'!$AM$2 = "לא",0,IF(F285&gt;9,W285,0))</f>
        <v>0</v>
      </c>
      <c r="Z285">
        <f>IF('חד גזעי'!$AM$7 = "לא",0,IF(C285 = "זית אירופי",IF('חד גזעי'!$AN$7 &lt;=סקר!F285,W285,0),IF(C285 = "חרוב מצוי",IF('חד גזעי'!$AN$7 &lt;=סקר!F285,W285,0),0)))</f>
        <v>0</v>
      </c>
      <c r="AB285">
        <f t="shared" si="305"/>
        <v>1</v>
      </c>
      <c r="AC285" s="72"/>
      <c r="AD285" t="e">
        <f t="shared" si="323"/>
        <v>#N/A</v>
      </c>
      <c r="AE285" s="72"/>
      <c r="AF285" s="72" t="e">
        <f t="shared" si="306"/>
        <v>#N/A</v>
      </c>
      <c r="AG285" s="72" t="e">
        <f>IF('חד גזעי'!$AM$5="לא",(VLOOKUP(C285,'חד גזעי'!$P$1:$S$589,3,FALSE)),(VLOOKUP(C285,'חד גזעי'!$P$1:$S$589,4,FALSE)))</f>
        <v>#N/A</v>
      </c>
      <c r="AH285" s="72">
        <f t="shared" si="307"/>
        <v>0</v>
      </c>
      <c r="AI285" s="72">
        <f t="shared" si="308"/>
        <v>0</v>
      </c>
      <c r="AJ285" s="72">
        <f t="shared" si="309"/>
        <v>0</v>
      </c>
      <c r="AK285" s="72" t="e">
        <f t="shared" si="310"/>
        <v>#N/A</v>
      </c>
      <c r="AL285" t="e">
        <f>VLOOKUP(C285,'חד גזעי'!$AH$8:$AI$33,2,FALSE)</f>
        <v>#N/A</v>
      </c>
      <c r="AM285" s="72" t="b">
        <f t="shared" si="311"/>
        <v>0</v>
      </c>
      <c r="AN285" s="72" t="b">
        <f t="shared" si="312"/>
        <v>0</v>
      </c>
      <c r="AO285" s="72" t="b">
        <f t="shared" si="313"/>
        <v>0</v>
      </c>
      <c r="AS285" s="72">
        <f t="shared" si="314"/>
        <v>0</v>
      </c>
      <c r="AT285" s="72">
        <f t="shared" si="315"/>
        <v>0</v>
      </c>
      <c r="AU285" s="72">
        <f t="shared" si="324"/>
        <v>0</v>
      </c>
      <c r="AV285" s="72">
        <f t="shared" si="316"/>
        <v>0</v>
      </c>
      <c r="AW285" s="72">
        <f t="shared" si="317"/>
        <v>0</v>
      </c>
      <c r="AX285" s="72">
        <f t="shared" si="318"/>
        <v>0</v>
      </c>
      <c r="AY285" s="72">
        <f t="shared" si="319"/>
        <v>0</v>
      </c>
      <c r="AZ285" s="72">
        <f t="shared" si="320"/>
        <v>0</v>
      </c>
      <c r="BA285" s="72" t="e">
        <f t="shared" si="321"/>
        <v>#N/A</v>
      </c>
      <c r="BB285" s="72" t="e">
        <f t="shared" si="322"/>
        <v>#N/A</v>
      </c>
      <c r="BC285" s="77"/>
      <c r="BE285">
        <f t="shared" si="302"/>
        <v>0</v>
      </c>
      <c r="BF285" s="196"/>
      <c r="BG285" s="196"/>
      <c r="BH285" s="196"/>
      <c r="BI285" s="196"/>
      <c r="BJ285" s="196"/>
      <c r="BK285" s="196"/>
    </row>
    <row r="286" spans="1:63" hidden="1">
      <c r="B286" s="72"/>
      <c r="C286" s="135"/>
      <c r="D286" s="73"/>
      <c r="E286" s="73"/>
      <c r="F286" s="72"/>
      <c r="G286" s="72"/>
      <c r="H286" s="72"/>
      <c r="I286" s="73">
        <f t="shared" si="304"/>
        <v>0</v>
      </c>
      <c r="J286" s="73"/>
      <c r="K286" s="73"/>
      <c r="L286" s="74" t="e">
        <f>_xlfn.IFNA(VLOOKUP(C286,'חד גזעי'!$U$3:$V$509,2,0),VLOOKUP(C286,'חד גזעי'!$U$3:$V$509,2))</f>
        <v>#N/A</v>
      </c>
      <c r="M286" s="73"/>
      <c r="N286" s="72" t="e">
        <f>_xlfn.IFNA(IF(VLOOKUP(C286,'חד גזעי'!$AH$2:$AH$7,1,FALSE)&gt;0,0,IF('חד גזעי'!$AM$5="כן",IF(_xlfn.IFNA(VLOOKUP(C286,'חד גזעי'!$AH$2:$AH$33,1,FALSE),SUM(J286:M286))&lt;21,_xlfn.IFNA(VLOOKUP(C286,'חד גזעי'!$AH$2:$AH$33,1,FALSE),SUM(J286:M286)),0),SUM(J286:M286))),IF('חד גזעי'!$AM$5="כן",IF(_xlfn.IFNA(VLOOKUP(C286,'חד גזעי'!$AH$2:$AH$33,1,FALSE),SUM(J286:M286))&lt;21,_xlfn.IFNA(VLOOKUP(C286,'חד גזעי'!$AH$2:$AH$33,1,FALSE),SUM(J286:M286)),0),SUM(J286:M286)))</f>
        <v>#N/A</v>
      </c>
      <c r="O286" s="72">
        <f>IF('חד גזעי'!$AM$3 = "כן",IF(T286&gt;4,4,T286),T286)</f>
        <v>0</v>
      </c>
      <c r="P286" s="80">
        <f>IF(E286&lt;2,0,IF(Z286&gt;0,Z286,IF(N286 = 0,0,IF('חד גזעי'!$AM$2 = "לא",IF(F286&gt;19,W286,0),IF(F286&gt;9,Y286,0)))))</f>
        <v>0</v>
      </c>
      <c r="Q286" s="77"/>
      <c r="R286" s="75"/>
      <c r="S286" t="e">
        <f>VLOOKUP(C286,'חד גזעי'!$Y$4:$Y$18,1,0)</f>
        <v>#N/A</v>
      </c>
      <c r="T286" s="72">
        <f>IF('חד גזעי'!$AM$6="לא",IF(P286=0,IF(BC286="שימור",IF('חד גזעי'!$AM$4="לא",IF(BC286="לא בוגר",0,IF(BC286="לא קיים",0,IF(J286=0,0,I286*0.1))),IF(BC286="לא בוגר",0,IF(BC286="לא קיים",0,IF(AB286=1,I286*0.1,E286*0.5)))),0),IF('חד גזעי'!$AM$4="לא",IF(BC286="לא בוגר",0,IF(BC286="לא קיים",0,IF(J286=0,0,I286*0.1))),IF(BC286="לא בוגר",0,IF(BC286="לא קיים",0,IF(AB286=1,I286*0.1,E286*0.5))))),IF(P286=0,IF(BC286="שימור",IF('חד גזעי'!$AM$4="לא",IF(BC286="לא בוגר",0,IF(BC286="לא קיים",0,IF(J286=0,0,I286*0.15))),IF(BC286="לא בוגר",0,IF(BC286="לא קיים",0,IF(AB286=1,I286*0.15,E286*0.5)))),0),IF('חד גזעי'!$AM$4="לא",IF(BC286="לא בוגר",0,IF(BC286="לא קיים",0,IF(J286=0,0,I286*0.15))),IF(BC286="לא בוגר",0,IF(BC286="לא קיים",0,IF(AB286=1,I286*0.15,E286*0.5))))))</f>
        <v>0</v>
      </c>
      <c r="V286" t="e">
        <f t="shared" si="277"/>
        <v>#N/A</v>
      </c>
      <c r="W286" t="e">
        <f t="shared" si="278"/>
        <v>#N/A</v>
      </c>
      <c r="X286" t="e">
        <f t="shared" si="279"/>
        <v>#N/A</v>
      </c>
      <c r="Y286">
        <f>IF('חד גזעי'!$AM$2 = "לא",0,IF(F286&gt;9,W286,0))</f>
        <v>0</v>
      </c>
      <c r="Z286">
        <f>IF('חד גזעי'!$AM$7 = "לא",0,IF(C286 = "זית אירופי",IF('חד גזעי'!$AN$7 &lt;=סקר!F286,W286,0),IF(C286 = "חרוב מצוי",IF('חד גזעי'!$AN$7 &lt;=סקר!F286,W286,0),0)))</f>
        <v>0</v>
      </c>
      <c r="AB286">
        <f t="shared" si="305"/>
        <v>1</v>
      </c>
      <c r="AC286" s="72"/>
      <c r="AD286" t="e">
        <f t="shared" si="323"/>
        <v>#N/A</v>
      </c>
      <c r="AE286" s="72"/>
      <c r="AF286" s="72" t="e">
        <f t="shared" si="306"/>
        <v>#N/A</v>
      </c>
      <c r="AG286" s="72" t="e">
        <f>IF('חד גזעי'!$AM$5="לא",(VLOOKUP(C286,'חד גזעי'!$P$1:$S$589,3,FALSE)),(VLOOKUP(C286,'חד גזעי'!$P$1:$S$589,4,FALSE)))</f>
        <v>#N/A</v>
      </c>
      <c r="AH286" s="72">
        <f t="shared" si="307"/>
        <v>0</v>
      </c>
      <c r="AI286" s="72">
        <f t="shared" si="308"/>
        <v>0</v>
      </c>
      <c r="AJ286" s="72">
        <f t="shared" si="309"/>
        <v>0</v>
      </c>
      <c r="AK286" s="72" t="e">
        <f t="shared" si="310"/>
        <v>#N/A</v>
      </c>
      <c r="AL286" t="e">
        <f>VLOOKUP(C286,'חד גזעי'!$AH$8:$AI$33,2,FALSE)</f>
        <v>#N/A</v>
      </c>
      <c r="AM286" s="72" t="b">
        <f t="shared" si="311"/>
        <v>0</v>
      </c>
      <c r="AN286" s="72" t="b">
        <f t="shared" si="312"/>
        <v>0</v>
      </c>
      <c r="AO286" s="72" t="b">
        <f t="shared" si="313"/>
        <v>0</v>
      </c>
      <c r="AS286" s="72">
        <f t="shared" si="314"/>
        <v>0</v>
      </c>
      <c r="AT286" s="72">
        <f t="shared" si="315"/>
        <v>0</v>
      </c>
      <c r="AU286" s="72">
        <f t="shared" si="324"/>
        <v>0</v>
      </c>
      <c r="AV286" s="72">
        <f t="shared" si="316"/>
        <v>0</v>
      </c>
      <c r="AW286" s="72">
        <f t="shared" si="317"/>
        <v>0</v>
      </c>
      <c r="AX286" s="72">
        <f t="shared" si="318"/>
        <v>0</v>
      </c>
      <c r="AY286" s="72">
        <f t="shared" si="319"/>
        <v>0</v>
      </c>
      <c r="AZ286" s="72">
        <f t="shared" si="320"/>
        <v>0</v>
      </c>
      <c r="BA286" s="72" t="e">
        <f t="shared" si="321"/>
        <v>#N/A</v>
      </c>
      <c r="BB286" s="72" t="e">
        <f t="shared" si="322"/>
        <v>#N/A</v>
      </c>
      <c r="BC286" s="77"/>
      <c r="BE286">
        <f t="shared" si="302"/>
        <v>0</v>
      </c>
      <c r="BF286" s="196"/>
      <c r="BG286" s="196"/>
      <c r="BH286" s="196"/>
      <c r="BI286" s="196"/>
      <c r="BJ286" s="196"/>
      <c r="BK286" s="196"/>
    </row>
    <row r="287" spans="1:63" hidden="1">
      <c r="B287" s="72"/>
      <c r="C287" s="135"/>
      <c r="D287" s="73"/>
      <c r="E287" s="73"/>
      <c r="F287" s="72"/>
      <c r="G287" s="72"/>
      <c r="H287" s="72"/>
      <c r="I287" s="73">
        <f t="shared" si="304"/>
        <v>0</v>
      </c>
      <c r="J287" s="73"/>
      <c r="K287" s="73"/>
      <c r="L287" s="74" t="e">
        <f>_xlfn.IFNA(VLOOKUP(C287,'חד גזעי'!$U$3:$V$509,2,0),VLOOKUP(C287,'חד גזעי'!$U$3:$V$509,2))</f>
        <v>#N/A</v>
      </c>
      <c r="M287" s="73"/>
      <c r="N287" s="72" t="e">
        <f>_xlfn.IFNA(IF(VLOOKUP(C287,'חד גזעי'!$AH$2:$AH$7,1,FALSE)&gt;0,0,IF('חד גזעי'!$AM$5="כן",IF(_xlfn.IFNA(VLOOKUP(C287,'חד גזעי'!$AH$2:$AH$33,1,FALSE),SUM(J287:M287))&lt;21,_xlfn.IFNA(VLOOKUP(C287,'חד גזעי'!$AH$2:$AH$33,1,FALSE),SUM(J287:M287)),0),SUM(J287:M287))),IF('חד גזעי'!$AM$5="כן",IF(_xlfn.IFNA(VLOOKUP(C287,'חד גזעי'!$AH$2:$AH$33,1,FALSE),SUM(J287:M287))&lt;21,_xlfn.IFNA(VLOOKUP(C287,'חד גזעי'!$AH$2:$AH$33,1,FALSE),SUM(J287:M287)),0),SUM(J287:M287)))</f>
        <v>#N/A</v>
      </c>
      <c r="O287" s="72">
        <f>IF('חד גזעי'!$AM$3 = "כן",IF(T287&gt;4,4,T287),T287)</f>
        <v>0</v>
      </c>
      <c r="P287" s="80">
        <f>IF(E287&lt;2,0,IF(Z287&gt;0,Z287,IF(N287 = 0,0,IF('חד גזעי'!$AM$2 = "לא",IF(F287&gt;19,W287,0),IF(F287&gt;9,Y287,0)))))</f>
        <v>0</v>
      </c>
      <c r="Q287" s="77"/>
      <c r="R287" s="75"/>
      <c r="S287" t="e">
        <f>VLOOKUP(C287,'חד גזעי'!$Y$4:$Y$18,1,0)</f>
        <v>#N/A</v>
      </c>
      <c r="T287" s="72">
        <f>IF('חד גזעי'!$AM$6="לא",IF(P287=0,IF(BC287="שימור",IF('חד גזעי'!$AM$4="לא",IF(BC287="לא בוגר",0,IF(BC287="לא קיים",0,IF(J287=0,0,I287*0.1))),IF(BC287="לא בוגר",0,IF(BC287="לא קיים",0,IF(AB287=1,I287*0.1,E287*0.5)))),0),IF('חד גזעי'!$AM$4="לא",IF(BC287="לא בוגר",0,IF(BC287="לא קיים",0,IF(J287=0,0,I287*0.1))),IF(BC287="לא בוגר",0,IF(BC287="לא קיים",0,IF(AB287=1,I287*0.1,E287*0.5))))),IF(P287=0,IF(BC287="שימור",IF('חד גזעי'!$AM$4="לא",IF(BC287="לא בוגר",0,IF(BC287="לא קיים",0,IF(J287=0,0,I287*0.15))),IF(BC287="לא בוגר",0,IF(BC287="לא קיים",0,IF(AB287=1,I287*0.15,E287*0.5)))),0),IF('חד גזעי'!$AM$4="לא",IF(BC287="לא בוגר",0,IF(BC287="לא קיים",0,IF(J287=0,0,I287*0.15))),IF(BC287="לא בוגר",0,IF(BC287="לא קיים",0,IF(AB287=1,I287*0.15,E287*0.5))))))</f>
        <v>0</v>
      </c>
      <c r="V287" t="e">
        <f t="shared" si="277"/>
        <v>#N/A</v>
      </c>
      <c r="W287" t="e">
        <f t="shared" si="278"/>
        <v>#N/A</v>
      </c>
      <c r="X287" t="e">
        <f t="shared" si="279"/>
        <v>#N/A</v>
      </c>
      <c r="Y287">
        <f>IF('חד גזעי'!$AM$2 = "לא",0,IF(F287&gt;9,W287,0))</f>
        <v>0</v>
      </c>
      <c r="Z287">
        <f>IF('חד גזעי'!$AM$7 = "לא",0,IF(C287 = "זית אירופי",IF('חד גזעי'!$AN$7 &lt;=סקר!F287,W287,0),IF(C287 = "חרוב מצוי",IF('חד גזעי'!$AN$7 &lt;=סקר!F287,W287,0),0)))</f>
        <v>0</v>
      </c>
      <c r="AB287">
        <f t="shared" si="305"/>
        <v>1</v>
      </c>
      <c r="AC287" s="72"/>
      <c r="AD287" t="e">
        <f t="shared" si="323"/>
        <v>#N/A</v>
      </c>
      <c r="AE287" s="72"/>
      <c r="AF287" s="72" t="e">
        <f t="shared" si="306"/>
        <v>#N/A</v>
      </c>
      <c r="AG287" s="72" t="e">
        <f>IF('חד גזעי'!$AM$5="לא",(VLOOKUP(C287,'חד גזעי'!$P$1:$S$589,3,FALSE)),(VLOOKUP(C287,'חד גזעי'!$P$1:$S$589,4,FALSE)))</f>
        <v>#N/A</v>
      </c>
      <c r="AH287" s="72">
        <f t="shared" si="307"/>
        <v>0</v>
      </c>
      <c r="AI287" s="72">
        <f t="shared" si="308"/>
        <v>0</v>
      </c>
      <c r="AJ287" s="72">
        <f t="shared" si="309"/>
        <v>0</v>
      </c>
      <c r="AK287" s="72" t="e">
        <f t="shared" si="310"/>
        <v>#N/A</v>
      </c>
      <c r="AL287" t="e">
        <f>VLOOKUP(C287,'חד גזעי'!$AH$8:$AI$33,2,FALSE)</f>
        <v>#N/A</v>
      </c>
      <c r="AM287" s="72" t="b">
        <f t="shared" si="311"/>
        <v>0</v>
      </c>
      <c r="AN287" s="72" t="b">
        <f t="shared" si="312"/>
        <v>0</v>
      </c>
      <c r="AO287" s="72" t="b">
        <f t="shared" si="313"/>
        <v>0</v>
      </c>
      <c r="AS287" s="72">
        <f t="shared" si="314"/>
        <v>0</v>
      </c>
      <c r="AT287" s="72">
        <f t="shared" si="315"/>
        <v>0</v>
      </c>
      <c r="AU287" s="72">
        <f t="shared" si="324"/>
        <v>0</v>
      </c>
      <c r="AV287" s="72">
        <f t="shared" si="316"/>
        <v>0</v>
      </c>
      <c r="AW287" s="72">
        <f t="shared" si="317"/>
        <v>0</v>
      </c>
      <c r="AX287" s="72">
        <f t="shared" si="318"/>
        <v>0</v>
      </c>
      <c r="AY287" s="72">
        <f t="shared" si="319"/>
        <v>0</v>
      </c>
      <c r="AZ287" s="72">
        <f t="shared" si="320"/>
        <v>0</v>
      </c>
      <c r="BA287" s="72" t="e">
        <f t="shared" si="321"/>
        <v>#N/A</v>
      </c>
      <c r="BB287" s="72" t="e">
        <f t="shared" si="322"/>
        <v>#N/A</v>
      </c>
      <c r="BC287" s="77"/>
      <c r="BE287">
        <f t="shared" si="302"/>
        <v>0</v>
      </c>
      <c r="BF287" s="196"/>
      <c r="BG287" s="196"/>
      <c r="BH287" s="196"/>
      <c r="BI287" s="196"/>
      <c r="BJ287" s="196"/>
      <c r="BK287" s="196"/>
    </row>
    <row r="288" spans="1:63" hidden="1">
      <c r="B288" s="72"/>
      <c r="C288" s="135"/>
      <c r="D288" s="78"/>
      <c r="E288" s="73"/>
      <c r="F288" s="72"/>
      <c r="G288" s="72"/>
      <c r="H288" s="72"/>
      <c r="I288" s="73">
        <f t="shared" si="304"/>
        <v>0</v>
      </c>
      <c r="J288" s="78"/>
      <c r="K288" s="73"/>
      <c r="L288" s="74" t="e">
        <f>_xlfn.IFNA(VLOOKUP(C288,'חד גזעי'!$U$3:$V$509,2,0),VLOOKUP(C288,'חד גזעי'!$U$3:$V$509,2))</f>
        <v>#N/A</v>
      </c>
      <c r="M288" s="73"/>
      <c r="N288" s="72" t="e">
        <f>_xlfn.IFNA(IF(VLOOKUP(C288,'חד גזעי'!$AH$2:$AH$7,1,FALSE)&gt;0,0,IF('חד גזעי'!$AM$5="כן",IF(_xlfn.IFNA(VLOOKUP(C288,'חד גזעי'!$AH$2:$AH$33,1,FALSE),SUM(J288:M288))&lt;21,_xlfn.IFNA(VLOOKUP(C288,'חד גזעי'!$AH$2:$AH$33,1,FALSE),SUM(J288:M288)),0),SUM(J288:M288))),IF('חד גזעי'!$AM$5="כן",IF(_xlfn.IFNA(VLOOKUP(C288,'חד גזעי'!$AH$2:$AH$33,1,FALSE),SUM(J288:M288))&lt;21,_xlfn.IFNA(VLOOKUP(C288,'חד גזעי'!$AH$2:$AH$33,1,FALSE),SUM(J288:M288)),0),SUM(J288:M288)))</f>
        <v>#N/A</v>
      </c>
      <c r="O288" s="72">
        <f>IF('חד גזעי'!$AM$3 = "כן",IF(T288&gt;4,4,T288),T288)</f>
        <v>0</v>
      </c>
      <c r="P288" s="80">
        <f>IF(E288&lt;2,0,IF(Z288&gt;0,Z288,IF(N288 = 0,0,IF('חד גזעי'!$AM$2 = "לא",IF(F288&gt;19,W288,0),IF(F288&gt;9,Y288,0)))))</f>
        <v>0</v>
      </c>
      <c r="Q288" s="77"/>
      <c r="R288" s="75"/>
      <c r="S288" t="e">
        <f>VLOOKUP(C288,'חד גזעי'!$Y$4:$Y$18,1,0)</f>
        <v>#N/A</v>
      </c>
      <c r="T288" s="72">
        <f>IF('חד גזעי'!$AM$6="לא",IF(P288=0,IF(BC288="שימור",IF('חד גזעי'!$AM$4="לא",IF(BC288="לא בוגר",0,IF(BC288="לא קיים",0,IF(J288=0,0,I288*0.1))),IF(BC288="לא בוגר",0,IF(BC288="לא קיים",0,IF(AB288=1,I288*0.1,E288*0.5)))),0),IF('חד גזעי'!$AM$4="לא",IF(BC288="לא בוגר",0,IF(BC288="לא קיים",0,IF(J288=0,0,I288*0.1))),IF(BC288="לא בוגר",0,IF(BC288="לא קיים",0,IF(AB288=1,I288*0.1,E288*0.5))))),IF(P288=0,IF(BC288="שימור",IF('חד גזעי'!$AM$4="לא",IF(BC288="לא בוגר",0,IF(BC288="לא קיים",0,IF(J288=0,0,I288*0.15))),IF(BC288="לא בוגר",0,IF(BC288="לא קיים",0,IF(AB288=1,I288*0.15,E288*0.5)))),0),IF('חד גזעי'!$AM$4="לא",IF(BC288="לא בוגר",0,IF(BC288="לא קיים",0,IF(J288=0,0,I288*0.15))),IF(BC288="לא בוגר",0,IF(BC288="לא קיים",0,IF(AB288=1,I288*0.15,E288*0.5))))))</f>
        <v>0</v>
      </c>
      <c r="V288" t="e">
        <f t="shared" si="277"/>
        <v>#N/A</v>
      </c>
      <c r="W288" t="e">
        <f t="shared" si="278"/>
        <v>#N/A</v>
      </c>
      <c r="X288" t="e">
        <f t="shared" si="279"/>
        <v>#N/A</v>
      </c>
      <c r="Y288">
        <f>IF('חד גזעי'!$AM$2 = "לא",0,IF(F288&gt;9,W288,0))</f>
        <v>0</v>
      </c>
      <c r="Z288">
        <f>IF('חד גזעי'!$AM$7 = "לא",0,IF(C288 = "זית אירופי",IF('חד גזעי'!$AN$7 &lt;=סקר!F288,W288,0),IF(C288 = "חרוב מצוי",IF('חד גזעי'!$AN$7 &lt;=סקר!F288,W288,0),0)))</f>
        <v>0</v>
      </c>
      <c r="AB288">
        <f t="shared" si="305"/>
        <v>1</v>
      </c>
      <c r="AC288" s="72"/>
      <c r="AD288" t="e">
        <f t="shared" si="323"/>
        <v>#N/A</v>
      </c>
      <c r="AE288" s="72"/>
      <c r="AF288" s="72" t="e">
        <f t="shared" si="306"/>
        <v>#N/A</v>
      </c>
      <c r="AG288" s="72" t="e">
        <f>IF('חד גזעי'!$AM$5="לא",(VLOOKUP(C288,'חד גזעי'!$P$1:$S$589,3,FALSE)),(VLOOKUP(C288,'חד גזעי'!$P$1:$S$589,4,FALSE)))</f>
        <v>#N/A</v>
      </c>
      <c r="AH288" s="72">
        <f t="shared" si="307"/>
        <v>0</v>
      </c>
      <c r="AI288" s="72">
        <f t="shared" si="308"/>
        <v>0</v>
      </c>
      <c r="AJ288" s="72">
        <f t="shared" si="309"/>
        <v>0</v>
      </c>
      <c r="AK288" s="72" t="e">
        <f t="shared" si="310"/>
        <v>#N/A</v>
      </c>
      <c r="AL288" t="e">
        <f>VLOOKUP(C288,'חד גזעי'!$AH$8:$AI$33,2,FALSE)</f>
        <v>#N/A</v>
      </c>
      <c r="AM288" s="72" t="b">
        <f t="shared" si="311"/>
        <v>0</v>
      </c>
      <c r="AN288" s="72" t="b">
        <f t="shared" si="312"/>
        <v>0</v>
      </c>
      <c r="AO288" s="72" t="b">
        <f t="shared" si="313"/>
        <v>0</v>
      </c>
      <c r="AS288" s="72">
        <f t="shared" si="314"/>
        <v>0</v>
      </c>
      <c r="AT288" s="72">
        <f t="shared" si="315"/>
        <v>0</v>
      </c>
      <c r="AU288" s="72">
        <f t="shared" si="324"/>
        <v>0</v>
      </c>
      <c r="AV288" s="72">
        <f t="shared" si="316"/>
        <v>0</v>
      </c>
      <c r="AW288" s="72">
        <f t="shared" si="317"/>
        <v>0</v>
      </c>
      <c r="AX288" s="72">
        <f t="shared" si="318"/>
        <v>0</v>
      </c>
      <c r="AY288" s="72">
        <f t="shared" si="319"/>
        <v>0</v>
      </c>
      <c r="AZ288" s="72">
        <f t="shared" si="320"/>
        <v>0</v>
      </c>
      <c r="BA288" s="72" t="e">
        <f t="shared" si="321"/>
        <v>#N/A</v>
      </c>
      <c r="BB288" s="72" t="e">
        <f t="shared" si="322"/>
        <v>#N/A</v>
      </c>
      <c r="BC288" s="77"/>
      <c r="BE288">
        <f t="shared" si="302"/>
        <v>0</v>
      </c>
      <c r="BF288" s="196"/>
      <c r="BG288" s="196"/>
      <c r="BH288" s="196"/>
      <c r="BI288" s="196"/>
      <c r="BJ288" s="196"/>
      <c r="BK288" s="196"/>
    </row>
    <row r="289" spans="2:63" hidden="1">
      <c r="B289" s="72"/>
      <c r="C289" s="135"/>
      <c r="D289" s="78"/>
      <c r="E289" s="73"/>
      <c r="F289" s="72"/>
      <c r="G289" s="72"/>
      <c r="H289" s="72"/>
      <c r="I289" s="73">
        <f t="shared" si="304"/>
        <v>0</v>
      </c>
      <c r="J289" s="78"/>
      <c r="K289" s="73"/>
      <c r="L289" s="74" t="e">
        <f>_xlfn.IFNA(VLOOKUP(C289,'חד גזעי'!$U$3:$V$509,2,0),VLOOKUP(C289,'חד גזעי'!$U$3:$V$509,2))</f>
        <v>#N/A</v>
      </c>
      <c r="M289" s="73"/>
      <c r="N289" s="72" t="e">
        <f>_xlfn.IFNA(IF(VLOOKUP(C289,'חד גזעי'!$AH$2:$AH$7,1,FALSE)&gt;0,0,IF('חד גזעי'!$AM$5="כן",IF(_xlfn.IFNA(VLOOKUP(C289,'חד גזעי'!$AH$2:$AH$33,1,FALSE),SUM(J289:M289))&lt;21,_xlfn.IFNA(VLOOKUP(C289,'חד גזעי'!$AH$2:$AH$33,1,FALSE),SUM(J289:M289)),0),SUM(J289:M289))),IF('חד גזעי'!$AM$5="כן",IF(_xlfn.IFNA(VLOOKUP(C289,'חד גזעי'!$AH$2:$AH$33,1,FALSE),SUM(J289:M289))&lt;21,_xlfn.IFNA(VLOOKUP(C289,'חד גזעי'!$AH$2:$AH$33,1,FALSE),SUM(J289:M289)),0),SUM(J289:M289)))</f>
        <v>#N/A</v>
      </c>
      <c r="O289" s="72">
        <f>IF('חד גזעי'!$AM$3 = "כן",IF(T289&gt;4,4,T289),T289)</f>
        <v>0</v>
      </c>
      <c r="P289" s="80">
        <f>IF(E289&lt;2,0,IF(Z289&gt;0,Z289,IF(N289 = 0,0,IF('חד גזעי'!$AM$2 = "לא",IF(F289&gt;19,W289,0),IF(F289&gt;9,Y289,0)))))</f>
        <v>0</v>
      </c>
      <c r="Q289" s="77"/>
      <c r="R289" s="75"/>
      <c r="S289" t="e">
        <f>VLOOKUP(C289,'חד גזעי'!$Y$4:$Y$18,1,0)</f>
        <v>#N/A</v>
      </c>
      <c r="T289" s="72">
        <f>IF('חד גזעי'!$AM$6="לא",IF(P289=0,IF(BC289="שימור",IF('חד גזעי'!$AM$4="לא",IF(BC289="לא בוגר",0,IF(BC289="לא קיים",0,IF(J289=0,0,I289*0.1))),IF(BC289="לא בוגר",0,IF(BC289="לא קיים",0,IF(AB289=1,I289*0.1,E289*0.5)))),0),IF('חד גזעי'!$AM$4="לא",IF(BC289="לא בוגר",0,IF(BC289="לא קיים",0,IF(J289=0,0,I289*0.1))),IF(BC289="לא בוגר",0,IF(BC289="לא קיים",0,IF(AB289=1,I289*0.1,E289*0.5))))),IF(P289=0,IF(BC289="שימור",IF('חד גזעי'!$AM$4="לא",IF(BC289="לא בוגר",0,IF(BC289="לא קיים",0,IF(J289=0,0,I289*0.15))),IF(BC289="לא בוגר",0,IF(BC289="לא קיים",0,IF(AB289=1,I289*0.15,E289*0.5)))),0),IF('חד גזעי'!$AM$4="לא",IF(BC289="לא בוגר",0,IF(BC289="לא קיים",0,IF(J289=0,0,I289*0.15))),IF(BC289="לא בוגר",0,IF(BC289="לא קיים",0,IF(AB289=1,I289*0.15,E289*0.5))))))</f>
        <v>0</v>
      </c>
      <c r="V289" t="e">
        <f t="shared" si="277"/>
        <v>#N/A</v>
      </c>
      <c r="W289" t="e">
        <f t="shared" si="278"/>
        <v>#N/A</v>
      </c>
      <c r="X289" t="e">
        <f t="shared" si="279"/>
        <v>#N/A</v>
      </c>
      <c r="Y289">
        <f>IF('חד גזעי'!$AM$2 = "לא",0,IF(F289&gt;9,W289,0))</f>
        <v>0</v>
      </c>
      <c r="Z289">
        <f>IF('חד גזעי'!$AM$7 = "לא",0,IF(C289 = "זית אירופי",IF('חד גזעי'!$AN$7 &lt;=סקר!F289,W289,0),IF(C289 = "חרוב מצוי",IF('חד גזעי'!$AN$7 &lt;=סקר!F289,W289,0),0)))</f>
        <v>0</v>
      </c>
      <c r="AB289">
        <f t="shared" si="305"/>
        <v>1</v>
      </c>
      <c r="AC289" s="72"/>
      <c r="AD289" t="e">
        <f t="shared" si="323"/>
        <v>#N/A</v>
      </c>
      <c r="AE289" s="72"/>
      <c r="AF289" s="72" t="e">
        <f t="shared" si="306"/>
        <v>#N/A</v>
      </c>
      <c r="AG289" s="72" t="e">
        <f>IF('חד גזעי'!$AM$5="לא",(VLOOKUP(C289,'חד גזעי'!$P$1:$S$589,3,FALSE)),(VLOOKUP(C289,'חד גזעי'!$P$1:$S$589,4,FALSE)))</f>
        <v>#N/A</v>
      </c>
      <c r="AH289" s="72">
        <f t="shared" si="307"/>
        <v>0</v>
      </c>
      <c r="AI289" s="72">
        <f t="shared" si="308"/>
        <v>0</v>
      </c>
      <c r="AJ289" s="72">
        <f t="shared" si="309"/>
        <v>0</v>
      </c>
      <c r="AK289" s="72" t="e">
        <f t="shared" si="310"/>
        <v>#N/A</v>
      </c>
      <c r="AL289" t="e">
        <f>VLOOKUP(C289,'חד גזעי'!$AH$8:$AI$33,2,FALSE)</f>
        <v>#N/A</v>
      </c>
      <c r="AM289" s="72" t="b">
        <f t="shared" si="311"/>
        <v>0</v>
      </c>
      <c r="AN289" s="72" t="b">
        <f t="shared" si="312"/>
        <v>0</v>
      </c>
      <c r="AO289" s="72" t="b">
        <f t="shared" si="313"/>
        <v>0</v>
      </c>
      <c r="AS289" s="72">
        <f t="shared" si="314"/>
        <v>0</v>
      </c>
      <c r="AT289" s="72">
        <f t="shared" si="315"/>
        <v>0</v>
      </c>
      <c r="AU289" s="72">
        <f t="shared" si="324"/>
        <v>0</v>
      </c>
      <c r="AV289" s="72">
        <f t="shared" si="316"/>
        <v>0</v>
      </c>
      <c r="AW289" s="72">
        <f t="shared" si="317"/>
        <v>0</v>
      </c>
      <c r="AX289" s="72">
        <f t="shared" si="318"/>
        <v>0</v>
      </c>
      <c r="AY289" s="72">
        <f t="shared" si="319"/>
        <v>0</v>
      </c>
      <c r="AZ289" s="72">
        <f t="shared" si="320"/>
        <v>0</v>
      </c>
      <c r="BA289" s="72" t="e">
        <f t="shared" si="321"/>
        <v>#N/A</v>
      </c>
      <c r="BB289" s="72" t="e">
        <f t="shared" si="322"/>
        <v>#N/A</v>
      </c>
      <c r="BC289" s="77"/>
      <c r="BE289">
        <f t="shared" si="302"/>
        <v>0</v>
      </c>
      <c r="BF289" s="196"/>
      <c r="BG289" s="196"/>
      <c r="BH289" s="196"/>
      <c r="BI289" s="196"/>
      <c r="BJ289" s="196"/>
      <c r="BK289" s="196"/>
    </row>
    <row r="290" spans="2:63" hidden="1">
      <c r="B290" s="72"/>
      <c r="C290" s="135"/>
      <c r="D290" s="78"/>
      <c r="E290" s="73"/>
      <c r="F290" s="72"/>
      <c r="G290" s="72"/>
      <c r="H290" s="72"/>
      <c r="I290" s="73">
        <f t="shared" si="304"/>
        <v>0</v>
      </c>
      <c r="J290" s="78"/>
      <c r="K290" s="73"/>
      <c r="L290" s="74" t="e">
        <f>_xlfn.IFNA(VLOOKUP(C290,'חד גזעי'!$U$3:$V$509,2,0),VLOOKUP(C290,'חד גזעי'!$U$3:$V$509,2))</f>
        <v>#N/A</v>
      </c>
      <c r="M290" s="73"/>
      <c r="N290" s="72" t="e">
        <f>_xlfn.IFNA(IF(VLOOKUP(C290,'חד גזעי'!$AH$2:$AH$7,1,FALSE)&gt;0,0,IF('חד גזעי'!$AM$5="כן",IF(_xlfn.IFNA(VLOOKUP(C290,'חד גזעי'!$AH$2:$AH$33,1,FALSE),SUM(J290:M290))&lt;21,_xlfn.IFNA(VLOOKUP(C290,'חד גזעי'!$AH$2:$AH$33,1,FALSE),SUM(J290:M290)),0),SUM(J290:M290))),IF('חד גזעי'!$AM$5="כן",IF(_xlfn.IFNA(VLOOKUP(C290,'חד גזעי'!$AH$2:$AH$33,1,FALSE),SUM(J290:M290))&lt;21,_xlfn.IFNA(VLOOKUP(C290,'חד גזעי'!$AH$2:$AH$33,1,FALSE),SUM(J290:M290)),0),SUM(J290:M290)))</f>
        <v>#N/A</v>
      </c>
      <c r="O290" s="72">
        <f>IF('חד גזעי'!$AM$3 = "כן",IF(T290&gt;4,4,T290),T290)</f>
        <v>0</v>
      </c>
      <c r="P290" s="80">
        <f>IF(E290&lt;2,0,IF(Z290&gt;0,Z290,IF(N290 = 0,0,IF('חד גזעי'!$AM$2 = "לא",IF(F290&gt;19,W290,0),IF(F290&gt;9,Y290,0)))))</f>
        <v>0</v>
      </c>
      <c r="Q290" s="77"/>
      <c r="R290" s="75"/>
      <c r="S290" t="e">
        <f>VLOOKUP(C290,'חד גזעי'!$Y$4:$Y$18,1,0)</f>
        <v>#N/A</v>
      </c>
      <c r="T290" s="72">
        <f>IF('חד גזעי'!$AM$6="לא",IF(P290=0,IF(BC290="שימור",IF('חד גזעי'!$AM$4="לא",IF(BC290="לא בוגר",0,IF(BC290="לא קיים",0,IF(J290=0,0,I290*0.1))),IF(BC290="לא בוגר",0,IF(BC290="לא קיים",0,IF(AB290=1,I290*0.1,E290*0.5)))),0),IF('חד גזעי'!$AM$4="לא",IF(BC290="לא בוגר",0,IF(BC290="לא קיים",0,IF(J290=0,0,I290*0.1))),IF(BC290="לא בוגר",0,IF(BC290="לא קיים",0,IF(AB290=1,I290*0.1,E290*0.5))))),IF(P290=0,IF(BC290="שימור",IF('חד גזעי'!$AM$4="לא",IF(BC290="לא בוגר",0,IF(BC290="לא קיים",0,IF(J290=0,0,I290*0.15))),IF(BC290="לא בוגר",0,IF(BC290="לא קיים",0,IF(AB290=1,I290*0.15,E290*0.5)))),0),IF('חד גזעי'!$AM$4="לא",IF(BC290="לא בוגר",0,IF(BC290="לא קיים",0,IF(J290=0,0,I290*0.15))),IF(BC290="לא בוגר",0,IF(BC290="לא קיים",0,IF(AB290=1,I290*0.15,E290*0.5))))))</f>
        <v>0</v>
      </c>
      <c r="V290" t="e">
        <f t="shared" si="277"/>
        <v>#N/A</v>
      </c>
      <c r="W290" t="e">
        <f t="shared" si="278"/>
        <v>#N/A</v>
      </c>
      <c r="X290" t="e">
        <f t="shared" si="279"/>
        <v>#N/A</v>
      </c>
      <c r="Y290">
        <f>IF('חד גזעי'!$AM$2 = "לא",0,IF(F290&gt;9,W290,0))</f>
        <v>0</v>
      </c>
      <c r="Z290">
        <f>IF('חד גזעי'!$AM$7 = "לא",0,IF(C290 = "זית אירופי",IF('חד גזעי'!$AN$7 &lt;=סקר!F290,W290,0),IF(C290 = "חרוב מצוי",IF('חד גזעי'!$AN$7 &lt;=סקר!F290,W290,0),0)))</f>
        <v>0</v>
      </c>
      <c r="AB290">
        <f t="shared" si="305"/>
        <v>1</v>
      </c>
      <c r="AC290" s="72"/>
      <c r="AD290" t="e">
        <f t="shared" si="323"/>
        <v>#N/A</v>
      </c>
      <c r="AE290" s="72"/>
      <c r="AF290" s="72" t="e">
        <f t="shared" si="306"/>
        <v>#N/A</v>
      </c>
      <c r="AG290" s="72" t="e">
        <f>IF('חד גזעי'!$AM$5="לא",(VLOOKUP(C290,'חד גזעי'!$P$1:$S$589,3,FALSE)),(VLOOKUP(C290,'חד גזעי'!$P$1:$S$589,4,FALSE)))</f>
        <v>#N/A</v>
      </c>
      <c r="AH290" s="72">
        <f t="shared" si="307"/>
        <v>0</v>
      </c>
      <c r="AI290" s="72">
        <f t="shared" si="308"/>
        <v>0</v>
      </c>
      <c r="AJ290" s="72">
        <f t="shared" si="309"/>
        <v>0</v>
      </c>
      <c r="AK290" s="72" t="e">
        <f t="shared" si="310"/>
        <v>#N/A</v>
      </c>
      <c r="AL290" t="e">
        <f>VLOOKUP(C290,'חד גזעי'!$AH$8:$AI$33,2,FALSE)</f>
        <v>#N/A</v>
      </c>
      <c r="AM290" s="72" t="b">
        <f t="shared" si="311"/>
        <v>0</v>
      </c>
      <c r="AN290" s="72" t="b">
        <f t="shared" si="312"/>
        <v>0</v>
      </c>
      <c r="AO290" s="72" t="b">
        <f t="shared" si="313"/>
        <v>0</v>
      </c>
      <c r="AS290" s="72">
        <f t="shared" si="314"/>
        <v>0</v>
      </c>
      <c r="AT290" s="72">
        <f t="shared" si="315"/>
        <v>0</v>
      </c>
      <c r="AU290" s="72">
        <f t="shared" si="324"/>
        <v>0</v>
      </c>
      <c r="AV290" s="72">
        <f t="shared" si="316"/>
        <v>0</v>
      </c>
      <c r="AW290" s="72">
        <f t="shared" si="317"/>
        <v>0</v>
      </c>
      <c r="AX290" s="72">
        <f t="shared" si="318"/>
        <v>0</v>
      </c>
      <c r="AY290" s="72">
        <f t="shared" si="319"/>
        <v>0</v>
      </c>
      <c r="AZ290" s="72">
        <f t="shared" si="320"/>
        <v>0</v>
      </c>
      <c r="BA290" s="72" t="e">
        <f t="shared" si="321"/>
        <v>#N/A</v>
      </c>
      <c r="BB290" s="72" t="e">
        <f t="shared" si="322"/>
        <v>#N/A</v>
      </c>
      <c r="BC290" s="77"/>
      <c r="BE290">
        <f t="shared" si="302"/>
        <v>0</v>
      </c>
      <c r="BF290" s="196"/>
      <c r="BG290" s="196"/>
      <c r="BH290" s="196"/>
      <c r="BI290" s="196"/>
      <c r="BJ290" s="196"/>
      <c r="BK290" s="196"/>
    </row>
    <row r="291" spans="2:63" hidden="1">
      <c r="B291" s="72"/>
      <c r="C291" s="135"/>
      <c r="D291" s="78"/>
      <c r="E291" s="73"/>
      <c r="F291" s="72"/>
      <c r="G291" s="72"/>
      <c r="H291" s="72"/>
      <c r="I291" s="73">
        <f t="shared" si="304"/>
        <v>0</v>
      </c>
      <c r="J291" s="78"/>
      <c r="K291" s="73"/>
      <c r="L291" s="74" t="e">
        <f>_xlfn.IFNA(VLOOKUP(C291,'חד גזעי'!$U$3:$V$509,2,0),VLOOKUP(C291,'חד גזעי'!$U$3:$V$509,2))</f>
        <v>#N/A</v>
      </c>
      <c r="M291" s="73"/>
      <c r="N291" s="72" t="e">
        <f>_xlfn.IFNA(IF(VLOOKUP(C291,'חד גזעי'!$AH$2:$AH$7,1,FALSE)&gt;0,0,IF('חד גזעי'!$AM$5="כן",IF(_xlfn.IFNA(VLOOKUP(C291,'חד גזעי'!$AH$2:$AH$33,1,FALSE),SUM(J291:M291))&lt;21,_xlfn.IFNA(VLOOKUP(C291,'חד גזעי'!$AH$2:$AH$33,1,FALSE),SUM(J291:M291)),0),SUM(J291:M291))),IF('חד גזעי'!$AM$5="כן",IF(_xlfn.IFNA(VLOOKUP(C291,'חד גזעי'!$AH$2:$AH$33,1,FALSE),SUM(J291:M291))&lt;21,_xlfn.IFNA(VLOOKUP(C291,'חד גזעי'!$AH$2:$AH$33,1,FALSE),SUM(J291:M291)),0),SUM(J291:M291)))</f>
        <v>#N/A</v>
      </c>
      <c r="O291" s="72">
        <f>IF('חד גזעי'!$AM$3 = "כן",IF(T291&gt;4,4,T291),T291)</f>
        <v>0</v>
      </c>
      <c r="P291" s="80">
        <f>IF(E291&lt;2,0,IF(Z291&gt;0,Z291,IF(N291 = 0,0,IF('חד גזעי'!$AM$2 = "לא",IF(F291&gt;19,W291,0),IF(F291&gt;9,Y291,0)))))</f>
        <v>0</v>
      </c>
      <c r="Q291" s="77"/>
      <c r="R291" s="75"/>
      <c r="S291" t="e">
        <f>VLOOKUP(C291,'חד גזעי'!$Y$4:$Y$18,1,0)</f>
        <v>#N/A</v>
      </c>
      <c r="T291" s="72">
        <f>IF('חד גזעי'!$AM$6="לא",IF(P291=0,IF(BC291="שימור",IF('חד גזעי'!$AM$4="לא",IF(BC291="לא בוגר",0,IF(BC291="לא קיים",0,IF(J291=0,0,I291*0.1))),IF(BC291="לא בוגר",0,IF(BC291="לא קיים",0,IF(AB291=1,I291*0.1,E291*0.5)))),0),IF('חד גזעי'!$AM$4="לא",IF(BC291="לא בוגר",0,IF(BC291="לא קיים",0,IF(J291=0,0,I291*0.1))),IF(BC291="לא בוגר",0,IF(BC291="לא קיים",0,IF(AB291=1,I291*0.1,E291*0.5))))),IF(P291=0,IF(BC291="שימור",IF('חד גזעי'!$AM$4="לא",IF(BC291="לא בוגר",0,IF(BC291="לא קיים",0,IF(J291=0,0,I291*0.15))),IF(BC291="לא בוגר",0,IF(BC291="לא קיים",0,IF(AB291=1,I291*0.15,E291*0.5)))),0),IF('חד גזעי'!$AM$4="לא",IF(BC291="לא בוגר",0,IF(BC291="לא קיים",0,IF(J291=0,0,I291*0.15))),IF(BC291="לא בוגר",0,IF(BC291="לא קיים",0,IF(AB291=1,I291*0.15,E291*0.5))))))</f>
        <v>0</v>
      </c>
      <c r="V291" t="e">
        <f t="shared" si="277"/>
        <v>#N/A</v>
      </c>
      <c r="W291" t="e">
        <f t="shared" si="278"/>
        <v>#N/A</v>
      </c>
      <c r="X291" t="e">
        <f t="shared" si="279"/>
        <v>#N/A</v>
      </c>
      <c r="Y291">
        <f>IF('חד גזעי'!$AM$2 = "לא",0,IF(F291&gt;9,W291,0))</f>
        <v>0</v>
      </c>
      <c r="Z291">
        <f>IF('חד גזעי'!$AM$7 = "לא",0,IF(C291 = "זית אירופי",IF('חד גזעי'!$AN$7 &lt;=סקר!F291,W291,0),IF(C291 = "חרוב מצוי",IF('חד גזעי'!$AN$7 &lt;=סקר!F291,W291,0),0)))</f>
        <v>0</v>
      </c>
      <c r="AB291">
        <f t="shared" si="305"/>
        <v>1</v>
      </c>
      <c r="AC291" s="72"/>
      <c r="AD291" t="e">
        <f t="shared" si="323"/>
        <v>#N/A</v>
      </c>
      <c r="AE291" s="72"/>
      <c r="AF291" s="72" t="e">
        <f t="shared" si="306"/>
        <v>#N/A</v>
      </c>
      <c r="AG291" s="72" t="e">
        <f>IF('חד גזעי'!$AM$5="לא",(VLOOKUP(C291,'חד גזעי'!$P$1:$S$589,3,FALSE)),(VLOOKUP(C291,'חד גזעי'!$P$1:$S$589,4,FALSE)))</f>
        <v>#N/A</v>
      </c>
      <c r="AH291" s="72">
        <f t="shared" si="307"/>
        <v>0</v>
      </c>
      <c r="AI291" s="72">
        <f t="shared" si="308"/>
        <v>0</v>
      </c>
      <c r="AJ291" s="72">
        <f t="shared" si="309"/>
        <v>0</v>
      </c>
      <c r="AK291" s="72" t="e">
        <f t="shared" si="310"/>
        <v>#N/A</v>
      </c>
      <c r="AL291" t="e">
        <f>VLOOKUP(C291,'חד גזעי'!$AH$8:$AI$33,2,FALSE)</f>
        <v>#N/A</v>
      </c>
      <c r="AM291" s="72" t="b">
        <f t="shared" si="311"/>
        <v>0</v>
      </c>
      <c r="AN291" s="72" t="b">
        <f t="shared" si="312"/>
        <v>0</v>
      </c>
      <c r="AO291" s="72" t="b">
        <f t="shared" si="313"/>
        <v>0</v>
      </c>
      <c r="AS291" s="72">
        <f t="shared" si="314"/>
        <v>0</v>
      </c>
      <c r="AT291" s="72">
        <f t="shared" si="315"/>
        <v>0</v>
      </c>
      <c r="AU291" s="72">
        <f t="shared" si="324"/>
        <v>0</v>
      </c>
      <c r="AV291" s="72">
        <f t="shared" si="316"/>
        <v>0</v>
      </c>
      <c r="AW291" s="72">
        <f t="shared" si="317"/>
        <v>0</v>
      </c>
      <c r="AX291" s="72">
        <f t="shared" si="318"/>
        <v>0</v>
      </c>
      <c r="AY291" s="72">
        <f t="shared" si="319"/>
        <v>0</v>
      </c>
      <c r="AZ291" s="72">
        <f t="shared" si="320"/>
        <v>0</v>
      </c>
      <c r="BA291" s="72" t="e">
        <f t="shared" si="321"/>
        <v>#N/A</v>
      </c>
      <c r="BB291" s="72" t="e">
        <f t="shared" si="322"/>
        <v>#N/A</v>
      </c>
      <c r="BC291" s="77"/>
      <c r="BE291">
        <f t="shared" si="302"/>
        <v>0</v>
      </c>
      <c r="BF291" s="196"/>
      <c r="BG291" s="196"/>
      <c r="BH291" s="196"/>
      <c r="BI291" s="196"/>
      <c r="BJ291" s="196"/>
      <c r="BK291" s="196"/>
    </row>
    <row r="292" spans="2:63" hidden="1">
      <c r="B292" s="72"/>
      <c r="C292" s="135"/>
      <c r="D292" s="78"/>
      <c r="E292" s="78"/>
      <c r="F292" s="72"/>
      <c r="G292" s="72"/>
      <c r="H292" s="72"/>
      <c r="I292" s="73">
        <f t="shared" si="304"/>
        <v>0</v>
      </c>
      <c r="J292" s="78"/>
      <c r="K292" s="73"/>
      <c r="L292" s="74" t="e">
        <f>_xlfn.IFNA(VLOOKUP(C292,'חד גזעי'!$U$3:$V$509,2,0),VLOOKUP(C292,'חד גזעי'!$U$3:$V$509,2))</f>
        <v>#N/A</v>
      </c>
      <c r="M292" s="73"/>
      <c r="N292" s="72" t="e">
        <f>_xlfn.IFNA(IF(VLOOKUP(C292,'חד גזעי'!$AH$2:$AH$7,1,FALSE)&gt;0,0,IF('חד גזעי'!$AM$5="כן",IF(_xlfn.IFNA(VLOOKUP(C292,'חד גזעי'!$AH$2:$AH$33,1,FALSE),SUM(J292:M292))&lt;21,_xlfn.IFNA(VLOOKUP(C292,'חד גזעי'!$AH$2:$AH$33,1,FALSE),SUM(J292:M292)),0),SUM(J292:M292))),IF('חד גזעי'!$AM$5="כן",IF(_xlfn.IFNA(VLOOKUP(C292,'חד גזעי'!$AH$2:$AH$33,1,FALSE),SUM(J292:M292))&lt;21,_xlfn.IFNA(VLOOKUP(C292,'חד גזעי'!$AH$2:$AH$33,1,FALSE),SUM(J292:M292)),0),SUM(J292:M292)))</f>
        <v>#N/A</v>
      </c>
      <c r="O292" s="72">
        <f>IF('חד גזעי'!$AM$3 = "כן",IF(T292&gt;4,4,T292),T292)</f>
        <v>0</v>
      </c>
      <c r="P292" s="80">
        <f>IF(E292&lt;2,0,IF(Z292&gt;0,Z292,IF(N292 = 0,0,IF('חד גזעי'!$AM$2 = "לא",IF(F292&gt;19,W292,0),IF(F292&gt;9,Y292,0)))))</f>
        <v>0</v>
      </c>
      <c r="Q292" s="77"/>
      <c r="R292" s="75"/>
      <c r="S292" t="e">
        <f>VLOOKUP(C292,'חד גזעי'!$Y$4:$Y$18,1,0)</f>
        <v>#N/A</v>
      </c>
      <c r="T292" s="72">
        <f>IF('חד גזעי'!$AM$6="לא",IF(P292=0,IF(BC292="שימור",IF('חד גזעי'!$AM$4="לא",IF(BC292="לא בוגר",0,IF(BC292="לא קיים",0,IF(J292=0,0,I292*0.1))),IF(BC292="לא בוגר",0,IF(BC292="לא קיים",0,IF(AB292=1,I292*0.1,E292*0.5)))),0),IF('חד גזעי'!$AM$4="לא",IF(BC292="לא בוגר",0,IF(BC292="לא קיים",0,IF(J292=0,0,I292*0.1))),IF(BC292="לא בוגר",0,IF(BC292="לא קיים",0,IF(AB292=1,I292*0.1,E292*0.5))))),IF(P292=0,IF(BC292="שימור",IF('חד גזעי'!$AM$4="לא",IF(BC292="לא בוגר",0,IF(BC292="לא קיים",0,IF(J292=0,0,I292*0.15))),IF(BC292="לא בוגר",0,IF(BC292="לא קיים",0,IF(AB292=1,I292*0.15,E292*0.5)))),0),IF('חד גזעי'!$AM$4="לא",IF(BC292="לא בוגר",0,IF(BC292="לא קיים",0,IF(J292=0,0,I292*0.15))),IF(BC292="לא בוגר",0,IF(BC292="לא קיים",0,IF(AB292=1,I292*0.15,E292*0.5))))))</f>
        <v>0</v>
      </c>
      <c r="V292" t="e">
        <f t="shared" si="277"/>
        <v>#N/A</v>
      </c>
      <c r="W292" t="e">
        <f t="shared" si="278"/>
        <v>#N/A</v>
      </c>
      <c r="X292" t="e">
        <f t="shared" si="279"/>
        <v>#N/A</v>
      </c>
      <c r="Y292">
        <f>IF('חד גזעי'!$AM$2 = "לא",0,IF(F292&gt;9,W292,0))</f>
        <v>0</v>
      </c>
      <c r="Z292">
        <f>IF('חד גזעי'!$AM$7 = "לא",0,IF(C292 = "זית אירופי",IF('חד גזעי'!$AN$7 &lt;=סקר!F292,W292,0),IF(C292 = "חרוב מצוי",IF('חד גזעי'!$AN$7 &lt;=סקר!F292,W292,0),0)))</f>
        <v>0</v>
      </c>
      <c r="AB292">
        <f t="shared" si="305"/>
        <v>1</v>
      </c>
      <c r="AC292" s="72"/>
      <c r="AD292" t="e">
        <f t="shared" si="323"/>
        <v>#N/A</v>
      </c>
      <c r="AE292" s="72"/>
      <c r="AF292" s="72" t="e">
        <f t="shared" si="306"/>
        <v>#N/A</v>
      </c>
      <c r="AG292" s="72" t="e">
        <f>IF('חד גזעי'!$AM$5="לא",(VLOOKUP(C292,'חד גזעי'!$P$1:$S$589,3,FALSE)),(VLOOKUP(C292,'חד גזעי'!$P$1:$S$589,4,FALSE)))</f>
        <v>#N/A</v>
      </c>
      <c r="AH292" s="72">
        <f t="shared" si="307"/>
        <v>0</v>
      </c>
      <c r="AI292" s="72">
        <f t="shared" si="308"/>
        <v>0</v>
      </c>
      <c r="AJ292" s="72">
        <f t="shared" si="309"/>
        <v>0</v>
      </c>
      <c r="AK292" s="72" t="e">
        <f t="shared" si="310"/>
        <v>#N/A</v>
      </c>
      <c r="AL292" t="e">
        <f>VLOOKUP(C292,'חד גזעי'!$AH$8:$AI$33,2,FALSE)</f>
        <v>#N/A</v>
      </c>
      <c r="AM292" s="72" t="b">
        <f t="shared" si="311"/>
        <v>0</v>
      </c>
      <c r="AN292" s="72" t="b">
        <f t="shared" si="312"/>
        <v>0</v>
      </c>
      <c r="AO292" s="72" t="b">
        <f t="shared" si="313"/>
        <v>0</v>
      </c>
      <c r="AS292" s="72">
        <f t="shared" si="314"/>
        <v>0</v>
      </c>
      <c r="AT292" s="72">
        <f t="shared" si="315"/>
        <v>0</v>
      </c>
      <c r="AU292" s="72">
        <f t="shared" si="324"/>
        <v>0</v>
      </c>
      <c r="AV292" s="72">
        <f t="shared" si="316"/>
        <v>0</v>
      </c>
      <c r="AW292" s="72">
        <f t="shared" si="317"/>
        <v>0</v>
      </c>
      <c r="AX292" s="72">
        <f t="shared" si="318"/>
        <v>0</v>
      </c>
      <c r="AY292" s="72">
        <f t="shared" si="319"/>
        <v>0</v>
      </c>
      <c r="AZ292" s="72">
        <f t="shared" si="320"/>
        <v>0</v>
      </c>
      <c r="BA292" s="72" t="e">
        <f t="shared" si="321"/>
        <v>#N/A</v>
      </c>
      <c r="BB292" s="72" t="e">
        <f t="shared" si="322"/>
        <v>#N/A</v>
      </c>
      <c r="BC292" s="77"/>
      <c r="BE292">
        <f t="shared" si="302"/>
        <v>0</v>
      </c>
      <c r="BF292" s="196"/>
      <c r="BG292" s="196"/>
      <c r="BH292" s="196"/>
      <c r="BI292" s="196"/>
      <c r="BJ292" s="196"/>
      <c r="BK292" s="196"/>
    </row>
    <row r="293" spans="2:63" hidden="1">
      <c r="B293" s="72"/>
      <c r="C293" s="135"/>
      <c r="D293" s="78"/>
      <c r="E293" s="78"/>
      <c r="F293" s="72"/>
      <c r="G293" s="72"/>
      <c r="H293" s="72"/>
      <c r="I293" s="73">
        <f t="shared" si="304"/>
        <v>0</v>
      </c>
      <c r="J293" s="78"/>
      <c r="K293" s="73"/>
      <c r="L293" s="74" t="e">
        <f>_xlfn.IFNA(VLOOKUP(C293,'חד גזעי'!$U$3:$V$509,2,0),VLOOKUP(C293,'חד גזעי'!$U$3:$V$509,2))</f>
        <v>#N/A</v>
      </c>
      <c r="M293" s="73"/>
      <c r="N293" s="72" t="e">
        <f>_xlfn.IFNA(IF(VLOOKUP(C293,'חד גזעי'!$AH$2:$AH$7,1,FALSE)&gt;0,0,IF('חד גזעי'!$AM$5="כן",IF(_xlfn.IFNA(VLOOKUP(C293,'חד גזעי'!$AH$2:$AH$33,1,FALSE),SUM(J293:M293))&lt;21,_xlfn.IFNA(VLOOKUP(C293,'חד גזעי'!$AH$2:$AH$33,1,FALSE),SUM(J293:M293)),0),SUM(J293:M293))),IF('חד גזעי'!$AM$5="כן",IF(_xlfn.IFNA(VLOOKUP(C293,'חד גזעי'!$AH$2:$AH$33,1,FALSE),SUM(J293:M293))&lt;21,_xlfn.IFNA(VLOOKUP(C293,'חד גזעי'!$AH$2:$AH$33,1,FALSE),SUM(J293:M293)),0),SUM(J293:M293)))</f>
        <v>#N/A</v>
      </c>
      <c r="O293" s="72">
        <f>IF('חד גזעי'!$AM$3 = "כן",IF(T293&gt;4,4,T293),T293)</f>
        <v>0</v>
      </c>
      <c r="P293" s="80">
        <f>IF(E293&lt;2,0,IF(Z293&gt;0,Z293,IF(N293 = 0,0,IF('חד גזעי'!$AM$2 = "לא",IF(F293&gt;19,W293,0),IF(F293&gt;9,Y293,0)))))</f>
        <v>0</v>
      </c>
      <c r="Q293" s="77"/>
      <c r="R293" s="75"/>
      <c r="S293" t="e">
        <f>VLOOKUP(C293,'חד גזעי'!$Y$4:$Y$18,1,0)</f>
        <v>#N/A</v>
      </c>
      <c r="T293" s="72">
        <f>IF('חד גזעי'!$AM$6="לא",IF(P293=0,IF(BC293="שימור",IF('חד גזעי'!$AM$4="לא",IF(BC293="לא בוגר",0,IF(BC293="לא קיים",0,IF(J293=0,0,I293*0.1))),IF(BC293="לא בוגר",0,IF(BC293="לא קיים",0,IF(AB293=1,I293*0.1,E293*0.5)))),0),IF('חד גזעי'!$AM$4="לא",IF(BC293="לא בוגר",0,IF(BC293="לא קיים",0,IF(J293=0,0,I293*0.1))),IF(BC293="לא בוגר",0,IF(BC293="לא קיים",0,IF(AB293=1,I293*0.1,E293*0.5))))),IF(P293=0,IF(BC293="שימור",IF('חד גזעי'!$AM$4="לא",IF(BC293="לא בוגר",0,IF(BC293="לא קיים",0,IF(J293=0,0,I293*0.15))),IF(BC293="לא בוגר",0,IF(BC293="לא קיים",0,IF(AB293=1,I293*0.15,E293*0.5)))),0),IF('חד גזעי'!$AM$4="לא",IF(BC293="לא בוגר",0,IF(BC293="לא קיים",0,IF(J293=0,0,I293*0.15))),IF(BC293="לא בוגר",0,IF(BC293="לא קיים",0,IF(AB293=1,I293*0.15,E293*0.5))))))</f>
        <v>0</v>
      </c>
      <c r="V293" t="e">
        <f t="shared" si="277"/>
        <v>#N/A</v>
      </c>
      <c r="W293" t="e">
        <f t="shared" si="278"/>
        <v>#N/A</v>
      </c>
      <c r="X293" t="e">
        <f t="shared" si="279"/>
        <v>#N/A</v>
      </c>
      <c r="Y293">
        <f>IF('חד גזעי'!$AM$2 = "לא",0,IF(F293&gt;9,W293,0))</f>
        <v>0</v>
      </c>
      <c r="Z293">
        <f>IF('חד גזעי'!$AM$7 = "לא",0,IF(C293 = "זית אירופי",IF('חד גזעי'!$AN$7 &lt;=סקר!F293,W293,0),IF(C293 = "חרוב מצוי",IF('חד גזעי'!$AN$7 &lt;=סקר!F293,W293,0),0)))</f>
        <v>0</v>
      </c>
      <c r="AB293">
        <f t="shared" si="305"/>
        <v>1</v>
      </c>
      <c r="AC293" s="72"/>
      <c r="AD293" t="e">
        <f t="shared" si="323"/>
        <v>#N/A</v>
      </c>
      <c r="AE293" s="72"/>
      <c r="AF293" s="72" t="e">
        <f t="shared" si="306"/>
        <v>#N/A</v>
      </c>
      <c r="AG293" s="72" t="e">
        <f>IF('חד גזעי'!$AM$5="לא",(VLOOKUP(C293,'חד גזעי'!$P$1:$S$589,3,FALSE)),(VLOOKUP(C293,'חד גזעי'!$P$1:$S$589,4,FALSE)))</f>
        <v>#N/A</v>
      </c>
      <c r="AH293" s="72">
        <f t="shared" si="307"/>
        <v>0</v>
      </c>
      <c r="AI293" s="72">
        <f t="shared" si="308"/>
        <v>0</v>
      </c>
      <c r="AJ293" s="72">
        <f t="shared" si="309"/>
        <v>0</v>
      </c>
      <c r="AK293" s="72" t="e">
        <f t="shared" si="310"/>
        <v>#N/A</v>
      </c>
      <c r="AL293" t="e">
        <f>VLOOKUP(C293,'חד גזעי'!$AH$8:$AI$33,2,FALSE)</f>
        <v>#N/A</v>
      </c>
      <c r="AM293" s="72" t="b">
        <f t="shared" si="311"/>
        <v>0</v>
      </c>
      <c r="AN293" s="72" t="b">
        <f t="shared" si="312"/>
        <v>0</v>
      </c>
      <c r="AO293" s="72" t="b">
        <f t="shared" si="313"/>
        <v>0</v>
      </c>
      <c r="AS293" s="72">
        <f t="shared" si="314"/>
        <v>0</v>
      </c>
      <c r="AT293" s="72">
        <f t="shared" si="315"/>
        <v>0</v>
      </c>
      <c r="AU293" s="72">
        <f t="shared" si="324"/>
        <v>0</v>
      </c>
      <c r="AV293" s="72">
        <f t="shared" si="316"/>
        <v>0</v>
      </c>
      <c r="AW293" s="72">
        <f t="shared" si="317"/>
        <v>0</v>
      </c>
      <c r="AX293" s="72">
        <f t="shared" si="318"/>
        <v>0</v>
      </c>
      <c r="AY293" s="72">
        <f t="shared" si="319"/>
        <v>0</v>
      </c>
      <c r="AZ293" s="72">
        <f t="shared" si="320"/>
        <v>0</v>
      </c>
      <c r="BA293" s="72" t="e">
        <f t="shared" si="321"/>
        <v>#N/A</v>
      </c>
      <c r="BB293" s="72" t="e">
        <f t="shared" si="322"/>
        <v>#N/A</v>
      </c>
      <c r="BC293" s="77"/>
      <c r="BE293">
        <f t="shared" si="302"/>
        <v>0</v>
      </c>
      <c r="BF293" s="196"/>
      <c r="BG293" s="196"/>
      <c r="BH293" s="196"/>
      <c r="BI293" s="196"/>
      <c r="BJ293" s="196"/>
      <c r="BK293" s="196"/>
    </row>
    <row r="294" spans="2:63" hidden="1">
      <c r="B294" s="72"/>
      <c r="C294" s="135"/>
      <c r="D294" s="78"/>
      <c r="E294" s="78"/>
      <c r="F294" s="72"/>
      <c r="G294" s="72"/>
      <c r="H294" s="72"/>
      <c r="I294" s="73">
        <f t="shared" si="304"/>
        <v>0</v>
      </c>
      <c r="J294" s="78"/>
      <c r="K294" s="73"/>
      <c r="L294" s="74" t="e">
        <f>_xlfn.IFNA(VLOOKUP(C294,'חד גזעי'!$U$3:$V$509,2,0),VLOOKUP(C294,'חד גזעי'!$U$3:$V$509,2))</f>
        <v>#N/A</v>
      </c>
      <c r="M294" s="73"/>
      <c r="N294" s="72" t="e">
        <f>_xlfn.IFNA(IF(VLOOKUP(C294,'חד גזעי'!$AH$2:$AH$7,1,FALSE)&gt;0,0,IF('חד גזעי'!$AM$5="כן",IF(_xlfn.IFNA(VLOOKUP(C294,'חד גזעי'!$AH$2:$AH$33,1,FALSE),SUM(J294:M294))&lt;21,_xlfn.IFNA(VLOOKUP(C294,'חד גזעי'!$AH$2:$AH$33,1,FALSE),SUM(J294:M294)),0),SUM(J294:M294))),IF('חד גזעי'!$AM$5="כן",IF(_xlfn.IFNA(VLOOKUP(C294,'חד גזעי'!$AH$2:$AH$33,1,FALSE),SUM(J294:M294))&lt;21,_xlfn.IFNA(VLOOKUP(C294,'חד גזעי'!$AH$2:$AH$33,1,FALSE),SUM(J294:M294)),0),SUM(J294:M294)))</f>
        <v>#N/A</v>
      </c>
      <c r="O294" s="72">
        <f>IF('חד גזעי'!$AM$3 = "כן",IF(T294&gt;4,4,T294),T294)</f>
        <v>0</v>
      </c>
      <c r="P294" s="80">
        <f>IF(E294&lt;2,0,IF(Z294&gt;0,Z294,IF(N294 = 0,0,IF('חד גזעי'!$AM$2 = "לא",IF(F294&gt;19,W294,0),IF(F294&gt;9,Y294,0)))))</f>
        <v>0</v>
      </c>
      <c r="Q294" s="77"/>
      <c r="R294" s="75"/>
      <c r="S294" t="e">
        <f>VLOOKUP(C294,'חד גזעי'!$Y$4:$Y$18,1,0)</f>
        <v>#N/A</v>
      </c>
      <c r="T294" s="72">
        <f>IF('חד גזעי'!$AM$6="לא",IF(P294=0,IF(BC294="שימור",IF('חד גזעי'!$AM$4="לא",IF(BC294="לא בוגר",0,IF(BC294="לא קיים",0,IF(J294=0,0,I294*0.1))),IF(BC294="לא בוגר",0,IF(BC294="לא קיים",0,IF(AB294=1,I294*0.1,E294*0.5)))),0),IF('חד גזעי'!$AM$4="לא",IF(BC294="לא בוגר",0,IF(BC294="לא קיים",0,IF(J294=0,0,I294*0.1))),IF(BC294="לא בוגר",0,IF(BC294="לא קיים",0,IF(AB294=1,I294*0.1,E294*0.5))))),IF(P294=0,IF(BC294="שימור",IF('חד גזעי'!$AM$4="לא",IF(BC294="לא בוגר",0,IF(BC294="לא קיים",0,IF(J294=0,0,I294*0.15))),IF(BC294="לא בוגר",0,IF(BC294="לא קיים",0,IF(AB294=1,I294*0.15,E294*0.5)))),0),IF('חד גזעי'!$AM$4="לא",IF(BC294="לא בוגר",0,IF(BC294="לא קיים",0,IF(J294=0,0,I294*0.15))),IF(BC294="לא בוגר",0,IF(BC294="לא קיים",0,IF(AB294=1,I294*0.15,E294*0.5))))))</f>
        <v>0</v>
      </c>
      <c r="V294" t="e">
        <f t="shared" si="277"/>
        <v>#N/A</v>
      </c>
      <c r="W294" t="e">
        <f t="shared" si="278"/>
        <v>#N/A</v>
      </c>
      <c r="X294" t="e">
        <f t="shared" si="279"/>
        <v>#N/A</v>
      </c>
      <c r="Y294">
        <f>IF('חד גזעי'!$AM$2 = "לא",0,IF(F294&gt;9,W294,0))</f>
        <v>0</v>
      </c>
      <c r="Z294">
        <f>IF('חד גזעי'!$AM$7 = "לא",0,IF(C294 = "זית אירופי",IF('חד גזעי'!$AN$7 &lt;=סקר!F294,W294,0),IF(C294 = "חרוב מצוי",IF('חד גזעי'!$AN$7 &lt;=סקר!F294,W294,0),0)))</f>
        <v>0</v>
      </c>
      <c r="AB294">
        <f t="shared" si="305"/>
        <v>1</v>
      </c>
      <c r="AC294" s="72"/>
      <c r="AD294" t="e">
        <f t="shared" si="323"/>
        <v>#N/A</v>
      </c>
      <c r="AE294" s="72"/>
      <c r="AF294" s="72" t="e">
        <f t="shared" si="306"/>
        <v>#N/A</v>
      </c>
      <c r="AG294" s="72" t="e">
        <f>IF('חד גזעי'!$AM$5="לא",(VLOOKUP(C294,'חד גזעי'!$P$1:$S$589,3,FALSE)),(VLOOKUP(C294,'חד גזעי'!$P$1:$S$589,4,FALSE)))</f>
        <v>#N/A</v>
      </c>
      <c r="AH294" s="72">
        <f t="shared" si="307"/>
        <v>0</v>
      </c>
      <c r="AI294" s="72">
        <f t="shared" si="308"/>
        <v>0</v>
      </c>
      <c r="AJ294" s="72">
        <f t="shared" si="309"/>
        <v>0</v>
      </c>
      <c r="AK294" s="72" t="e">
        <f t="shared" si="310"/>
        <v>#N/A</v>
      </c>
      <c r="AL294" t="e">
        <f>VLOOKUP(C294,'חד גזעי'!$AH$8:$AI$33,2,FALSE)</f>
        <v>#N/A</v>
      </c>
      <c r="AM294" s="72" t="b">
        <f t="shared" si="311"/>
        <v>0</v>
      </c>
      <c r="AN294" s="72" t="b">
        <f t="shared" si="312"/>
        <v>0</v>
      </c>
      <c r="AO294" s="72" t="b">
        <f t="shared" si="313"/>
        <v>0</v>
      </c>
      <c r="AS294" s="72">
        <f t="shared" si="314"/>
        <v>0</v>
      </c>
      <c r="AT294" s="72">
        <f t="shared" si="315"/>
        <v>0</v>
      </c>
      <c r="AU294" s="72">
        <f t="shared" si="324"/>
        <v>0</v>
      </c>
      <c r="AV294" s="72">
        <f t="shared" si="316"/>
        <v>0</v>
      </c>
      <c r="AW294" s="72">
        <f t="shared" si="317"/>
        <v>0</v>
      </c>
      <c r="AX294" s="72">
        <f t="shared" si="318"/>
        <v>0</v>
      </c>
      <c r="AY294" s="72">
        <f t="shared" si="319"/>
        <v>0</v>
      </c>
      <c r="AZ294" s="72">
        <f t="shared" si="320"/>
        <v>0</v>
      </c>
      <c r="BA294" s="72" t="e">
        <f t="shared" si="321"/>
        <v>#N/A</v>
      </c>
      <c r="BB294" s="72" t="e">
        <f t="shared" si="322"/>
        <v>#N/A</v>
      </c>
      <c r="BC294" s="77"/>
      <c r="BE294">
        <f t="shared" si="302"/>
        <v>0</v>
      </c>
      <c r="BF294" s="196"/>
      <c r="BG294" s="196"/>
      <c r="BH294" s="196"/>
      <c r="BI294" s="196"/>
      <c r="BJ294" s="196"/>
      <c r="BK294" s="196"/>
    </row>
    <row r="295" spans="2:63" hidden="1">
      <c r="B295" s="72"/>
      <c r="C295" s="135"/>
      <c r="D295" s="78"/>
      <c r="E295" s="78"/>
      <c r="F295" s="72"/>
      <c r="G295" s="72"/>
      <c r="H295" s="72"/>
      <c r="I295" s="73">
        <f t="shared" si="304"/>
        <v>0</v>
      </c>
      <c r="J295" s="78"/>
      <c r="K295" s="73"/>
      <c r="L295" s="74" t="e">
        <f>_xlfn.IFNA(VLOOKUP(C295,'חד גזעי'!$U$3:$V$509,2,0),VLOOKUP(C295,'חד גזעי'!$U$3:$V$509,2))</f>
        <v>#N/A</v>
      </c>
      <c r="M295" s="73"/>
      <c r="N295" s="72" t="e">
        <f>_xlfn.IFNA(IF(VLOOKUP(C295,'חד גזעי'!$AH$2:$AH$7,1,FALSE)&gt;0,0,IF('חד גזעי'!$AM$5="כן",IF(_xlfn.IFNA(VLOOKUP(C295,'חד גזעי'!$AH$2:$AH$33,1,FALSE),SUM(J295:M295))&lt;21,_xlfn.IFNA(VLOOKUP(C295,'חד גזעי'!$AH$2:$AH$33,1,FALSE),SUM(J295:M295)),0),SUM(J295:M295))),IF('חד גזעי'!$AM$5="כן",IF(_xlfn.IFNA(VLOOKUP(C295,'חד גזעי'!$AH$2:$AH$33,1,FALSE),SUM(J295:M295))&lt;21,_xlfn.IFNA(VLOOKUP(C295,'חד גזעי'!$AH$2:$AH$33,1,FALSE),SUM(J295:M295)),0),SUM(J295:M295)))</f>
        <v>#N/A</v>
      </c>
      <c r="O295" s="72">
        <f>IF('חד גזעי'!$AM$3 = "כן",IF(T295&gt;4,4,T295),T295)</f>
        <v>0</v>
      </c>
      <c r="P295" s="80">
        <f>IF(E295&lt;2,0,IF(Z295&gt;0,Z295,IF(N295 = 0,0,IF('חד גזעי'!$AM$2 = "לא",IF(F295&gt;19,W295,0),IF(F295&gt;9,Y295,0)))))</f>
        <v>0</v>
      </c>
      <c r="Q295" s="77"/>
      <c r="R295" s="75"/>
      <c r="S295" t="e">
        <f>VLOOKUP(C295,'חד גזעי'!$Y$4:$Y$18,1,0)</f>
        <v>#N/A</v>
      </c>
      <c r="T295" s="72">
        <f>IF('חד גזעי'!$AM$6="לא",IF(P295=0,IF(BC295="שימור",IF('חד גזעי'!$AM$4="לא",IF(BC295="לא בוגר",0,IF(BC295="לא קיים",0,IF(J295=0,0,I295*0.1))),IF(BC295="לא בוגר",0,IF(BC295="לא קיים",0,IF(AB295=1,I295*0.1,E295*0.5)))),0),IF('חד גזעי'!$AM$4="לא",IF(BC295="לא בוגר",0,IF(BC295="לא קיים",0,IF(J295=0,0,I295*0.1))),IF(BC295="לא בוגר",0,IF(BC295="לא קיים",0,IF(AB295=1,I295*0.1,E295*0.5))))),IF(P295=0,IF(BC295="שימור",IF('חד גזעי'!$AM$4="לא",IF(BC295="לא בוגר",0,IF(BC295="לא קיים",0,IF(J295=0,0,I295*0.15))),IF(BC295="לא בוגר",0,IF(BC295="לא קיים",0,IF(AB295=1,I295*0.15,E295*0.5)))),0),IF('חד גזעי'!$AM$4="לא",IF(BC295="לא בוגר",0,IF(BC295="לא קיים",0,IF(J295=0,0,I295*0.15))),IF(BC295="לא בוגר",0,IF(BC295="לא קיים",0,IF(AB295=1,I295*0.15,E295*0.5))))))</f>
        <v>0</v>
      </c>
      <c r="V295" t="e">
        <f t="shared" si="277"/>
        <v>#N/A</v>
      </c>
      <c r="W295" t="e">
        <f t="shared" si="278"/>
        <v>#N/A</v>
      </c>
      <c r="X295" t="e">
        <f t="shared" si="279"/>
        <v>#N/A</v>
      </c>
      <c r="Y295">
        <f>IF('חד גזעי'!$AM$2 = "לא",0,IF(F295&gt;9,W295,0))</f>
        <v>0</v>
      </c>
      <c r="Z295">
        <f>IF('חד גזעי'!$AM$7 = "לא",0,IF(C295 = "זית אירופי",IF('חד גזעי'!$AN$7 &lt;=סקר!F295,W295,0),IF(C295 = "חרוב מצוי",IF('חד גזעי'!$AN$7 &lt;=סקר!F295,W295,0),0)))</f>
        <v>0</v>
      </c>
      <c r="AB295">
        <f t="shared" si="305"/>
        <v>1</v>
      </c>
      <c r="AC295" s="72"/>
      <c r="AD295" t="e">
        <f t="shared" si="323"/>
        <v>#N/A</v>
      </c>
      <c r="AE295" s="72"/>
      <c r="AF295" s="72" t="e">
        <f t="shared" si="306"/>
        <v>#N/A</v>
      </c>
      <c r="AG295" s="72" t="e">
        <f>IF('חד גזעי'!$AM$5="לא",(VLOOKUP(C295,'חד גזעי'!$P$1:$S$589,3,FALSE)),(VLOOKUP(C295,'חד גזעי'!$P$1:$S$589,4,FALSE)))</f>
        <v>#N/A</v>
      </c>
      <c r="AH295" s="72">
        <f t="shared" si="307"/>
        <v>0</v>
      </c>
      <c r="AI295" s="72">
        <f t="shared" si="308"/>
        <v>0</v>
      </c>
      <c r="AJ295" s="72">
        <f t="shared" si="309"/>
        <v>0</v>
      </c>
      <c r="AK295" s="72" t="e">
        <f t="shared" si="310"/>
        <v>#N/A</v>
      </c>
      <c r="AL295" t="e">
        <f>VLOOKUP(C295,'חד גזעי'!$AH$8:$AI$33,2,FALSE)</f>
        <v>#N/A</v>
      </c>
      <c r="AM295" s="72" t="b">
        <f t="shared" si="311"/>
        <v>0</v>
      </c>
      <c r="AN295" s="72" t="b">
        <f t="shared" si="312"/>
        <v>0</v>
      </c>
      <c r="AO295" s="72" t="b">
        <f t="shared" si="313"/>
        <v>0</v>
      </c>
      <c r="AS295" s="72">
        <f t="shared" si="314"/>
        <v>0</v>
      </c>
      <c r="AT295" s="72">
        <f t="shared" si="315"/>
        <v>0</v>
      </c>
      <c r="AU295" s="72">
        <f t="shared" si="324"/>
        <v>0</v>
      </c>
      <c r="AV295" s="72">
        <f t="shared" si="316"/>
        <v>0</v>
      </c>
      <c r="AW295" s="72">
        <f t="shared" si="317"/>
        <v>0</v>
      </c>
      <c r="AX295" s="72">
        <f t="shared" si="318"/>
        <v>0</v>
      </c>
      <c r="AY295" s="72">
        <f t="shared" si="319"/>
        <v>0</v>
      </c>
      <c r="AZ295" s="72">
        <f t="shared" si="320"/>
        <v>0</v>
      </c>
      <c r="BA295" s="72" t="e">
        <f t="shared" si="321"/>
        <v>#N/A</v>
      </c>
      <c r="BB295" s="72" t="e">
        <f t="shared" si="322"/>
        <v>#N/A</v>
      </c>
      <c r="BC295" s="77"/>
      <c r="BE295">
        <f t="shared" si="302"/>
        <v>0</v>
      </c>
      <c r="BF295" s="196"/>
      <c r="BG295" s="196"/>
      <c r="BH295" s="196"/>
      <c r="BI295" s="196"/>
      <c r="BJ295" s="196"/>
      <c r="BK295" s="196"/>
    </row>
    <row r="296" spans="2:63" hidden="1">
      <c r="B296" s="72"/>
      <c r="C296" s="135"/>
      <c r="D296" s="78"/>
      <c r="E296" s="78"/>
      <c r="F296" s="72"/>
      <c r="G296" s="72"/>
      <c r="H296" s="72"/>
      <c r="I296" s="73">
        <f t="shared" si="304"/>
        <v>0</v>
      </c>
      <c r="J296" s="78"/>
      <c r="K296" s="73"/>
      <c r="L296" s="74" t="e">
        <f>_xlfn.IFNA(VLOOKUP(C296,'חד גזעי'!$U$3:$V$509,2,0),VLOOKUP(C296,'חד גזעי'!$U$3:$V$509,2))</f>
        <v>#N/A</v>
      </c>
      <c r="M296" s="73"/>
      <c r="N296" s="72" t="e">
        <f>_xlfn.IFNA(IF(VLOOKUP(C296,'חד גזעי'!$AH$2:$AH$7,1,FALSE)&gt;0,0,IF('חד גזעי'!$AM$5="כן",IF(_xlfn.IFNA(VLOOKUP(C296,'חד גזעי'!$AH$2:$AH$33,1,FALSE),SUM(J296:M296))&lt;21,_xlfn.IFNA(VLOOKUP(C296,'חד גזעי'!$AH$2:$AH$33,1,FALSE),SUM(J296:M296)),0),SUM(J296:M296))),IF('חד גזעי'!$AM$5="כן",IF(_xlfn.IFNA(VLOOKUP(C296,'חד גזעי'!$AH$2:$AH$33,1,FALSE),SUM(J296:M296))&lt;21,_xlfn.IFNA(VLOOKUP(C296,'חד גזעי'!$AH$2:$AH$33,1,FALSE),SUM(J296:M296)),0),SUM(J296:M296)))</f>
        <v>#N/A</v>
      </c>
      <c r="O296" s="72">
        <f>IF('חד גזעי'!$AM$3 = "כן",IF(T296&gt;4,4,T296),T296)</f>
        <v>0</v>
      </c>
      <c r="P296" s="80">
        <f>IF(E296&lt;2,0,IF(Z296&gt;0,Z296,IF(N296 = 0,0,IF('חד גזעי'!$AM$2 = "לא",IF(F296&gt;19,W296,0),IF(F296&gt;9,Y296,0)))))</f>
        <v>0</v>
      </c>
      <c r="Q296" s="77"/>
      <c r="R296" s="76"/>
      <c r="S296" t="e">
        <f>VLOOKUP(C296,'חד גזעי'!$Y$4:$Y$18,1,0)</f>
        <v>#N/A</v>
      </c>
      <c r="T296" s="72">
        <f>IF('חד גזעי'!$AM$6="לא",IF(P296=0,IF(BC296="שימור",IF('חד גזעי'!$AM$4="לא",IF(BC296="לא בוגר",0,IF(BC296="לא קיים",0,IF(J296=0,0,I296*0.1))),IF(BC296="לא בוגר",0,IF(BC296="לא קיים",0,IF(AB296=1,I296*0.1,E296*0.5)))),0),IF('חד גזעי'!$AM$4="לא",IF(BC296="לא בוגר",0,IF(BC296="לא קיים",0,IF(J296=0,0,I296*0.1))),IF(BC296="לא בוגר",0,IF(BC296="לא קיים",0,IF(AB296=1,I296*0.1,E296*0.5))))),IF(P296=0,IF(BC296="שימור",IF('חד גזעי'!$AM$4="לא",IF(BC296="לא בוגר",0,IF(BC296="לא קיים",0,IF(J296=0,0,I296*0.15))),IF(BC296="לא בוגר",0,IF(BC296="לא קיים",0,IF(AB296=1,I296*0.15,E296*0.5)))),0),IF('חד גזעי'!$AM$4="לא",IF(BC296="לא בוגר",0,IF(BC296="לא קיים",0,IF(J296=0,0,I296*0.15))),IF(BC296="לא בוגר",0,IF(BC296="לא קיים",0,IF(AB296=1,I296*0.15,E296*0.5))))))</f>
        <v>0</v>
      </c>
      <c r="V296" t="e">
        <f t="shared" si="277"/>
        <v>#N/A</v>
      </c>
      <c r="W296" t="e">
        <f t="shared" si="278"/>
        <v>#N/A</v>
      </c>
      <c r="X296" t="e">
        <f t="shared" si="279"/>
        <v>#N/A</v>
      </c>
      <c r="Y296">
        <f>IF('חד גזעי'!$AM$2 = "לא",0,IF(F296&gt;9,W296,0))</f>
        <v>0</v>
      </c>
      <c r="Z296">
        <f>IF('חד גזעי'!$AM$7 = "לא",0,IF(C296 = "זית אירופי",IF('חד גזעי'!$AN$7 &lt;=סקר!F296,W296,0),IF(C296 = "חרוב מצוי",IF('חד גזעי'!$AN$7 &lt;=סקר!F296,W296,0),0)))</f>
        <v>0</v>
      </c>
      <c r="AB296">
        <f t="shared" si="305"/>
        <v>1</v>
      </c>
      <c r="AC296" s="72"/>
      <c r="AD296" t="e">
        <f t="shared" si="323"/>
        <v>#N/A</v>
      </c>
      <c r="AE296" s="72"/>
      <c r="AF296" s="72" t="e">
        <f t="shared" si="306"/>
        <v>#N/A</v>
      </c>
      <c r="AG296" s="72" t="e">
        <f>IF('חד גזעי'!$AM$5="לא",(VLOOKUP(C296,'חד גזעי'!$P$1:$S$589,3,FALSE)),(VLOOKUP(C296,'חד גזעי'!$P$1:$S$589,4,FALSE)))</f>
        <v>#N/A</v>
      </c>
      <c r="AH296" s="72">
        <f t="shared" si="307"/>
        <v>0</v>
      </c>
      <c r="AI296" s="72">
        <f t="shared" si="308"/>
        <v>0</v>
      </c>
      <c r="AJ296" s="72">
        <f t="shared" si="309"/>
        <v>0</v>
      </c>
      <c r="AK296" s="72" t="e">
        <f t="shared" si="310"/>
        <v>#N/A</v>
      </c>
      <c r="AL296" t="e">
        <f>VLOOKUP(C296,'חד גזעי'!$AH$8:$AI$33,2,FALSE)</f>
        <v>#N/A</v>
      </c>
      <c r="AM296" s="72" t="b">
        <f t="shared" si="311"/>
        <v>0</v>
      </c>
      <c r="AN296" s="72" t="b">
        <f t="shared" si="312"/>
        <v>0</v>
      </c>
      <c r="AO296" s="72" t="b">
        <f t="shared" si="313"/>
        <v>0</v>
      </c>
      <c r="AS296" s="72">
        <f t="shared" si="314"/>
        <v>0</v>
      </c>
      <c r="AT296" s="72">
        <f t="shared" si="315"/>
        <v>0</v>
      </c>
      <c r="AU296" s="72">
        <f t="shared" si="324"/>
        <v>0</v>
      </c>
      <c r="AV296" s="72">
        <f t="shared" si="316"/>
        <v>0</v>
      </c>
      <c r="AW296" s="72">
        <f t="shared" si="317"/>
        <v>0</v>
      </c>
      <c r="AX296" s="72">
        <f t="shared" si="318"/>
        <v>0</v>
      </c>
      <c r="AY296" s="72">
        <f t="shared" si="319"/>
        <v>0</v>
      </c>
      <c r="AZ296" s="72">
        <f t="shared" si="320"/>
        <v>0</v>
      </c>
      <c r="BA296" s="72" t="e">
        <f t="shared" si="321"/>
        <v>#N/A</v>
      </c>
      <c r="BB296" s="72" t="e">
        <f t="shared" si="322"/>
        <v>#N/A</v>
      </c>
      <c r="BC296" s="77"/>
      <c r="BE296">
        <f t="shared" si="302"/>
        <v>0</v>
      </c>
      <c r="BF296" s="196"/>
      <c r="BG296" s="196"/>
      <c r="BH296" s="196"/>
      <c r="BI296" s="196"/>
      <c r="BJ296" s="196"/>
      <c r="BK296" s="196"/>
    </row>
    <row r="297" spans="2:63" hidden="1">
      <c r="B297" s="72"/>
      <c r="C297" s="135"/>
      <c r="D297" s="78"/>
      <c r="E297" s="78"/>
      <c r="F297" s="72"/>
      <c r="G297" s="72"/>
      <c r="H297" s="72"/>
      <c r="I297" s="73">
        <f t="shared" si="304"/>
        <v>0</v>
      </c>
      <c r="J297" s="78"/>
      <c r="K297" s="73"/>
      <c r="L297" s="74" t="e">
        <f>_xlfn.IFNA(VLOOKUP(C297,'חד גזעי'!$U$3:$V$509,2,0),VLOOKUP(C297,'חד גזעי'!$U$3:$V$509,2))</f>
        <v>#N/A</v>
      </c>
      <c r="M297" s="73"/>
      <c r="N297" s="72" t="e">
        <f>_xlfn.IFNA(IF(VLOOKUP(C297,'חד גזעי'!$AH$2:$AH$7,1,FALSE)&gt;0,0,IF('חד גזעי'!$AM$5="כן",IF(_xlfn.IFNA(VLOOKUP(C297,'חד גזעי'!$AH$2:$AH$33,1,FALSE),SUM(J297:M297))&lt;21,_xlfn.IFNA(VLOOKUP(C297,'חד גזעי'!$AH$2:$AH$33,1,FALSE),SUM(J297:M297)),0),SUM(J297:M297))),IF('חד גזעי'!$AM$5="כן",IF(_xlfn.IFNA(VLOOKUP(C297,'חד גזעי'!$AH$2:$AH$33,1,FALSE),SUM(J297:M297))&lt;21,_xlfn.IFNA(VLOOKUP(C297,'חד גזעי'!$AH$2:$AH$33,1,FALSE),SUM(J297:M297)),0),SUM(J297:M297)))</f>
        <v>#N/A</v>
      </c>
      <c r="O297" s="72">
        <f>IF('חד גזעי'!$AM$3 = "כן",IF(T297&gt;4,4,T297),T297)</f>
        <v>0</v>
      </c>
      <c r="P297" s="80">
        <f>IF(E297&lt;2,0,IF(Z297&gt;0,Z297,IF(N297 = 0,0,IF('חד גזעי'!$AM$2 = "לא",IF(F297&gt;19,W297,0),IF(F297&gt;9,Y297,0)))))</f>
        <v>0</v>
      </c>
      <c r="Q297" s="77"/>
      <c r="R297" s="76"/>
      <c r="S297" t="e">
        <f>VLOOKUP(C297,'חד גזעי'!$Y$4:$Y$18,1,0)</f>
        <v>#N/A</v>
      </c>
      <c r="T297" s="72">
        <f>IF('חד גזעי'!$AM$6="לא",IF(P297=0,IF(BC297="שימור",IF('חד גזעי'!$AM$4="לא",IF(BC297="לא בוגר",0,IF(BC297="לא קיים",0,IF(J297=0,0,I297*0.1))),IF(BC297="לא בוגר",0,IF(BC297="לא קיים",0,IF(AB297=1,I297*0.1,E297*0.5)))),0),IF('חד גזעי'!$AM$4="לא",IF(BC297="לא בוגר",0,IF(BC297="לא קיים",0,IF(J297=0,0,I297*0.1))),IF(BC297="לא בוגר",0,IF(BC297="לא קיים",0,IF(AB297=1,I297*0.1,E297*0.5))))),IF(P297=0,IF(BC297="שימור",IF('חד גזעי'!$AM$4="לא",IF(BC297="לא בוגר",0,IF(BC297="לא קיים",0,IF(J297=0,0,I297*0.15))),IF(BC297="לא בוגר",0,IF(BC297="לא קיים",0,IF(AB297=1,I297*0.15,E297*0.5)))),0),IF('חד גזעי'!$AM$4="לא",IF(BC297="לא בוגר",0,IF(BC297="לא קיים",0,IF(J297=0,0,I297*0.15))),IF(BC297="לא בוגר",0,IF(BC297="לא קיים",0,IF(AB297=1,I297*0.15,E297*0.5))))))</f>
        <v>0</v>
      </c>
      <c r="V297" t="e">
        <f t="shared" si="277"/>
        <v>#N/A</v>
      </c>
      <c r="W297" t="e">
        <f t="shared" si="278"/>
        <v>#N/A</v>
      </c>
      <c r="X297" t="e">
        <f t="shared" si="279"/>
        <v>#N/A</v>
      </c>
      <c r="Y297">
        <f>IF('חד גזעי'!$AM$2 = "לא",0,IF(F297&gt;9,W297,0))</f>
        <v>0</v>
      </c>
      <c r="Z297">
        <f>IF('חד גזעי'!$AM$7 = "לא",0,IF(C297 = "זית אירופי",IF('חד גזעי'!$AN$7 &lt;=סקר!F297,W297,0),IF(C297 = "חרוב מצוי",IF('חד גזעי'!$AN$7 &lt;=סקר!F297,W297,0),0)))</f>
        <v>0</v>
      </c>
      <c r="AB297">
        <f t="shared" si="305"/>
        <v>1</v>
      </c>
      <c r="AC297" s="72"/>
      <c r="AD297" t="e">
        <f t="shared" si="323"/>
        <v>#N/A</v>
      </c>
      <c r="AE297" s="72"/>
      <c r="AF297" s="72" t="e">
        <f t="shared" si="306"/>
        <v>#N/A</v>
      </c>
      <c r="AG297" s="72" t="e">
        <f>IF('חד גזעי'!$AM$5="לא",(VLOOKUP(C297,'חד גזעי'!$P$1:$S$589,3,FALSE)),(VLOOKUP(C297,'חד גזעי'!$P$1:$S$589,4,FALSE)))</f>
        <v>#N/A</v>
      </c>
      <c r="AH297" s="72">
        <f t="shared" si="307"/>
        <v>0</v>
      </c>
      <c r="AI297" s="72">
        <f t="shared" si="308"/>
        <v>0</v>
      </c>
      <c r="AJ297" s="72">
        <f t="shared" si="309"/>
        <v>0</v>
      </c>
      <c r="AK297" s="72" t="e">
        <f t="shared" si="310"/>
        <v>#N/A</v>
      </c>
      <c r="AL297" t="e">
        <f>VLOOKUP(C297,'חד גזעי'!$AH$8:$AI$33,2,FALSE)</f>
        <v>#N/A</v>
      </c>
      <c r="AM297" s="72" t="b">
        <f t="shared" si="311"/>
        <v>0</v>
      </c>
      <c r="AN297" s="72" t="b">
        <f t="shared" si="312"/>
        <v>0</v>
      </c>
      <c r="AO297" s="72" t="b">
        <f t="shared" si="313"/>
        <v>0</v>
      </c>
      <c r="AS297" s="72">
        <f t="shared" si="314"/>
        <v>0</v>
      </c>
      <c r="AT297" s="72">
        <f t="shared" si="315"/>
        <v>0</v>
      </c>
      <c r="AU297" s="72">
        <f t="shared" si="324"/>
        <v>0</v>
      </c>
      <c r="AV297" s="72">
        <f t="shared" si="316"/>
        <v>0</v>
      </c>
      <c r="AW297" s="72">
        <f t="shared" si="317"/>
        <v>0</v>
      </c>
      <c r="AX297" s="72">
        <f t="shared" si="318"/>
        <v>0</v>
      </c>
      <c r="AY297" s="72">
        <f t="shared" si="319"/>
        <v>0</v>
      </c>
      <c r="AZ297" s="72">
        <f t="shared" si="320"/>
        <v>0</v>
      </c>
      <c r="BA297" s="72" t="e">
        <f t="shared" si="321"/>
        <v>#N/A</v>
      </c>
      <c r="BB297" s="72" t="e">
        <f t="shared" si="322"/>
        <v>#N/A</v>
      </c>
      <c r="BC297" s="77"/>
      <c r="BE297">
        <f t="shared" si="302"/>
        <v>0</v>
      </c>
      <c r="BF297" s="196"/>
      <c r="BG297" s="196"/>
      <c r="BH297" s="196"/>
      <c r="BI297" s="196"/>
      <c r="BJ297" s="196"/>
      <c r="BK297" s="196"/>
    </row>
    <row r="298" spans="2:63" ht="12.75" hidden="1" customHeight="1">
      <c r="B298" s="72"/>
      <c r="C298" s="135"/>
      <c r="D298" s="78"/>
      <c r="E298" s="78"/>
      <c r="F298" s="72"/>
      <c r="G298" s="72"/>
      <c r="H298" s="72"/>
      <c r="I298" s="73">
        <f t="shared" si="304"/>
        <v>0</v>
      </c>
      <c r="J298" s="78"/>
      <c r="K298" s="73"/>
      <c r="L298" s="74" t="e">
        <f>_xlfn.IFNA(VLOOKUP(C298,'חד גזעי'!$U$3:$V$509,2,0),VLOOKUP(C298,'חד גזעי'!$U$3:$V$509,2))</f>
        <v>#N/A</v>
      </c>
      <c r="M298" s="73"/>
      <c r="N298" s="72" t="e">
        <f>_xlfn.IFNA(IF(VLOOKUP(C298,'חד גזעי'!$AH$2:$AH$7,1,FALSE)&gt;0,0,IF('חד גזעי'!$AM$5="כן",IF(_xlfn.IFNA(VLOOKUP(C298,'חד גזעי'!$AH$2:$AH$33,1,FALSE),SUM(J298:M298))&lt;21,_xlfn.IFNA(VLOOKUP(C298,'חד גזעי'!$AH$2:$AH$33,1,FALSE),SUM(J298:M298)),0),SUM(J298:M298))),IF('חד גזעי'!$AM$5="כן",IF(_xlfn.IFNA(VLOOKUP(C298,'חד גזעי'!$AH$2:$AH$33,1,FALSE),SUM(J298:M298))&lt;21,_xlfn.IFNA(VLOOKUP(C298,'חד גזעי'!$AH$2:$AH$33,1,FALSE),SUM(J298:M298)),0),SUM(J298:M298)))</f>
        <v>#N/A</v>
      </c>
      <c r="O298" s="72">
        <f>IF('חד גזעי'!$AM$3 = "כן",IF(T298&gt;4,4,T298),T298)</f>
        <v>0</v>
      </c>
      <c r="P298" s="80">
        <f>IF(E298&lt;2,0,IF(Z298&gt;0,Z298,IF(N298 = 0,0,IF('חד גזעי'!$AM$2 = "לא",IF(F298&gt;19,W298,0),IF(F298&gt;9,Y298,0)))))</f>
        <v>0</v>
      </c>
      <c r="Q298" s="77"/>
      <c r="R298" s="76"/>
      <c r="S298" t="e">
        <f>VLOOKUP(C298,'חד גזעי'!$Y$4:$Y$18,1,0)</f>
        <v>#N/A</v>
      </c>
      <c r="T298" s="72">
        <f>IF('חד גזעי'!$AM$6="לא",IF(P298=0,IF(BC298="שימור",IF('חד גזעי'!$AM$4="לא",IF(BC298="לא בוגר",0,IF(BC298="לא קיים",0,IF(J298=0,0,I298*0.1))),IF(BC298="לא בוגר",0,IF(BC298="לא קיים",0,IF(AB298=1,I298*0.1,E298*0.5)))),0),IF('חד גזעי'!$AM$4="לא",IF(BC298="לא בוגר",0,IF(BC298="לא קיים",0,IF(J298=0,0,I298*0.1))),IF(BC298="לא בוגר",0,IF(BC298="לא קיים",0,IF(AB298=1,I298*0.1,E298*0.5))))),IF(P298=0,IF(BC298="שימור",IF('חד גזעי'!$AM$4="לא",IF(BC298="לא בוגר",0,IF(BC298="לא קיים",0,IF(J298=0,0,I298*0.15))),IF(BC298="לא בוגר",0,IF(BC298="לא קיים",0,IF(AB298=1,I298*0.15,E298*0.5)))),0),IF('חד גזעי'!$AM$4="לא",IF(BC298="לא בוגר",0,IF(BC298="לא קיים",0,IF(J298=0,0,I298*0.15))),IF(BC298="לא בוגר",0,IF(BC298="לא קיים",0,IF(AB298=1,I298*0.15,E298*0.5))))))</f>
        <v>0</v>
      </c>
      <c r="V298" t="e">
        <f t="shared" si="277"/>
        <v>#N/A</v>
      </c>
      <c r="W298" t="e">
        <f t="shared" si="278"/>
        <v>#N/A</v>
      </c>
      <c r="X298" t="e">
        <f t="shared" si="279"/>
        <v>#N/A</v>
      </c>
      <c r="Y298">
        <f>IF('חד גזעי'!$AM$2 = "לא",0,IF(F298&gt;9,W298,0))</f>
        <v>0</v>
      </c>
      <c r="Z298">
        <f>IF('חד גזעי'!$AM$7 = "לא",0,IF(C298 = "זית אירופי",IF('חד גזעי'!$AN$7 &lt;=סקר!F298,W298,0),IF(C298 = "חרוב מצוי",IF('חד גזעי'!$AN$7 &lt;=סקר!F298,W298,0),0)))</f>
        <v>0</v>
      </c>
      <c r="AB298">
        <f t="shared" si="305"/>
        <v>1</v>
      </c>
      <c r="AC298" s="72"/>
      <c r="AD298" t="e">
        <f t="shared" si="323"/>
        <v>#N/A</v>
      </c>
      <c r="AE298" s="72"/>
      <c r="AF298" s="72" t="e">
        <f t="shared" si="306"/>
        <v>#N/A</v>
      </c>
      <c r="AG298" s="72" t="e">
        <f>IF('חד גזעי'!$AM$5="לא",(VLOOKUP(C298,'חד גזעי'!$P$1:$S$589,3,FALSE)),(VLOOKUP(C298,'חד גזעי'!$P$1:$S$589,4,FALSE)))</f>
        <v>#N/A</v>
      </c>
      <c r="AH298" s="72">
        <f t="shared" si="307"/>
        <v>0</v>
      </c>
      <c r="AI298" s="72">
        <f t="shared" si="308"/>
        <v>0</v>
      </c>
      <c r="AJ298" s="72">
        <f t="shared" si="309"/>
        <v>0</v>
      </c>
      <c r="AK298" s="72" t="e">
        <f t="shared" si="310"/>
        <v>#N/A</v>
      </c>
      <c r="AL298" t="e">
        <f>VLOOKUP(C298,'חד גזעי'!$AH$8:$AI$33,2,FALSE)</f>
        <v>#N/A</v>
      </c>
      <c r="AM298" s="72" t="b">
        <f t="shared" si="311"/>
        <v>0</v>
      </c>
      <c r="AN298" s="72" t="b">
        <f t="shared" si="312"/>
        <v>0</v>
      </c>
      <c r="AO298" s="72" t="b">
        <f t="shared" si="313"/>
        <v>0</v>
      </c>
      <c r="AS298" s="72">
        <f t="shared" si="314"/>
        <v>0</v>
      </c>
      <c r="AT298" s="72">
        <f t="shared" si="315"/>
        <v>0</v>
      </c>
      <c r="AU298" s="72">
        <f t="shared" si="324"/>
        <v>0</v>
      </c>
      <c r="AV298" s="72">
        <f t="shared" si="316"/>
        <v>0</v>
      </c>
      <c r="AW298" s="72">
        <f t="shared" si="317"/>
        <v>0</v>
      </c>
      <c r="AX298" s="72">
        <f t="shared" si="318"/>
        <v>0</v>
      </c>
      <c r="AY298" s="72">
        <f t="shared" si="319"/>
        <v>0</v>
      </c>
      <c r="AZ298" s="72">
        <f t="shared" si="320"/>
        <v>0</v>
      </c>
      <c r="BA298" s="72" t="e">
        <f t="shared" si="321"/>
        <v>#N/A</v>
      </c>
      <c r="BB298" s="72" t="e">
        <f t="shared" si="322"/>
        <v>#N/A</v>
      </c>
      <c r="BC298" s="77"/>
      <c r="BE298">
        <f t="shared" si="302"/>
        <v>0</v>
      </c>
      <c r="BF298" s="72"/>
      <c r="BG298" s="72"/>
      <c r="BH298" s="72"/>
      <c r="BI298" s="72"/>
      <c r="BJ298" s="72"/>
      <c r="BK298" s="72"/>
    </row>
    <row r="299" spans="2:63" ht="12.75" hidden="1" customHeight="1">
      <c r="B299" s="72"/>
      <c r="C299" s="135"/>
      <c r="D299" s="78"/>
      <c r="E299" s="78"/>
      <c r="F299" s="72"/>
      <c r="G299" s="72"/>
      <c r="H299" s="72"/>
      <c r="I299" s="73">
        <f t="shared" si="304"/>
        <v>0</v>
      </c>
      <c r="J299" s="78"/>
      <c r="K299" s="73"/>
      <c r="L299" s="74" t="e">
        <f>_xlfn.IFNA(VLOOKUP(C299,'חד גזעי'!$U$3:$V$509,2,0),VLOOKUP(C299,'חד גזעי'!$U$3:$V$509,2))</f>
        <v>#N/A</v>
      </c>
      <c r="M299" s="73"/>
      <c r="N299" s="72" t="e">
        <f>_xlfn.IFNA(IF(VLOOKUP(C299,'חד גזעי'!$AH$2:$AH$7,1,FALSE)&gt;0,0,IF('חד גזעי'!$AM$5="כן",IF(_xlfn.IFNA(VLOOKUP(C299,'חד גזעי'!$AH$2:$AH$33,1,FALSE),SUM(J299:M299))&lt;21,_xlfn.IFNA(VLOOKUP(C299,'חד גזעי'!$AH$2:$AH$33,1,FALSE),SUM(J299:M299)),0),SUM(J299:M299))),IF('חד גזעי'!$AM$5="כן",IF(_xlfn.IFNA(VLOOKUP(C299,'חד גזעי'!$AH$2:$AH$33,1,FALSE),SUM(J299:M299))&lt;21,_xlfn.IFNA(VLOOKUP(C299,'חד גזעי'!$AH$2:$AH$33,1,FALSE),SUM(J299:M299)),0),SUM(J299:M299)))</f>
        <v>#N/A</v>
      </c>
      <c r="O299" s="72">
        <f>IF('חד גזעי'!$AM$3 = "כן",IF(T299&gt;4,4,T299),T299)</f>
        <v>0</v>
      </c>
      <c r="P299" s="80">
        <f>IF(E299&lt;2,0,IF(Z299&gt;0,Z299,IF(N299 = 0,0,IF('חד גזעי'!$AM$2 = "לא",IF(F299&gt;19,W299,0),IF(F299&gt;9,Y299,0)))))</f>
        <v>0</v>
      </c>
      <c r="Q299" s="77"/>
      <c r="R299" s="75"/>
      <c r="S299" t="e">
        <f>VLOOKUP(C299,'חד גזעי'!$Y$4:$Y$18,1,0)</f>
        <v>#N/A</v>
      </c>
      <c r="T299" s="72">
        <f>IF('חד גזעי'!$AM$6="לא",IF(P299=0,IF(BC299="שימור",IF('חד גזעי'!$AM$4="לא",IF(BC299="לא בוגר",0,IF(BC299="לא קיים",0,IF(J299=0,0,I299*0.1))),IF(BC299="לא בוגר",0,IF(BC299="לא קיים",0,IF(AB299=1,I299*0.1,E299*0.5)))),0),IF('חד גזעי'!$AM$4="לא",IF(BC299="לא בוגר",0,IF(BC299="לא קיים",0,IF(J299=0,0,I299*0.1))),IF(BC299="לא בוגר",0,IF(BC299="לא קיים",0,IF(AB299=1,I299*0.1,E299*0.5))))),IF(P299=0,IF(BC299="שימור",IF('חד גזעי'!$AM$4="לא",IF(BC299="לא בוגר",0,IF(BC299="לא קיים",0,IF(J299=0,0,I299*0.15))),IF(BC299="לא בוגר",0,IF(BC299="לא קיים",0,IF(AB299=1,I299*0.15,E299*0.5)))),0),IF('חד גזעי'!$AM$4="לא",IF(BC299="לא בוגר",0,IF(BC299="לא קיים",0,IF(J299=0,0,I299*0.15))),IF(BC299="לא בוגר",0,IF(BC299="לא קיים",0,IF(AB299=1,I299*0.15,E299*0.5))))))</f>
        <v>0</v>
      </c>
      <c r="V299" t="e">
        <f t="shared" si="277"/>
        <v>#N/A</v>
      </c>
      <c r="W299" t="e">
        <f t="shared" si="278"/>
        <v>#N/A</v>
      </c>
      <c r="X299" t="e">
        <f t="shared" si="279"/>
        <v>#N/A</v>
      </c>
      <c r="Y299">
        <f>IF('חד גזעי'!$AM$2 = "לא",0,IF(F299&gt;9,W299,0))</f>
        <v>0</v>
      </c>
      <c r="Z299">
        <f>IF('חד גזעי'!$AM$7 = "לא",0,IF(C299 = "זית אירופי",IF('חד גזעי'!$AN$7 &lt;=סקר!F299,W299,0),IF(C299 = "חרוב מצוי",IF('חד גזעי'!$AN$7 &lt;=סקר!F299,W299,0),0)))</f>
        <v>0</v>
      </c>
      <c r="AB299">
        <f t="shared" si="305"/>
        <v>1</v>
      </c>
      <c r="AC299" s="72"/>
      <c r="AD299" t="e">
        <f t="shared" si="323"/>
        <v>#N/A</v>
      </c>
      <c r="AE299" s="72"/>
      <c r="AF299" s="72" t="e">
        <f t="shared" si="306"/>
        <v>#N/A</v>
      </c>
      <c r="AG299" s="72" t="e">
        <f>IF('חד גזעי'!$AM$5="לא",(VLOOKUP(C299,'חד גזעי'!$P$1:$S$589,3,FALSE)),(VLOOKUP(C299,'חד גזעי'!$P$1:$S$589,4,FALSE)))</f>
        <v>#N/A</v>
      </c>
      <c r="AH299" s="72">
        <f t="shared" si="307"/>
        <v>0</v>
      </c>
      <c r="AI299" s="72">
        <f t="shared" si="308"/>
        <v>0</v>
      </c>
      <c r="AJ299" s="72">
        <f t="shared" si="309"/>
        <v>0</v>
      </c>
      <c r="AK299" s="72" t="e">
        <f t="shared" si="310"/>
        <v>#N/A</v>
      </c>
      <c r="AL299" t="e">
        <f>VLOOKUP(C299,'חד גזעי'!$AH$8:$AI$33,2,FALSE)</f>
        <v>#N/A</v>
      </c>
      <c r="AM299" s="72" t="b">
        <f t="shared" si="311"/>
        <v>0</v>
      </c>
      <c r="AN299" s="72" t="b">
        <f t="shared" si="312"/>
        <v>0</v>
      </c>
      <c r="AO299" s="72" t="b">
        <f t="shared" si="313"/>
        <v>0</v>
      </c>
      <c r="AS299" s="72">
        <f t="shared" si="314"/>
        <v>0</v>
      </c>
      <c r="AT299" s="72">
        <f t="shared" si="315"/>
        <v>0</v>
      </c>
      <c r="AU299" s="72">
        <f t="shared" si="324"/>
        <v>0</v>
      </c>
      <c r="AV299" s="72">
        <f t="shared" si="316"/>
        <v>0</v>
      </c>
      <c r="AW299" s="72">
        <f t="shared" si="317"/>
        <v>0</v>
      </c>
      <c r="AX299" s="72">
        <f t="shared" si="318"/>
        <v>0</v>
      </c>
      <c r="AY299" s="72">
        <f t="shared" si="319"/>
        <v>0</v>
      </c>
      <c r="AZ299" s="72">
        <f t="shared" si="320"/>
        <v>0</v>
      </c>
      <c r="BA299" s="72" t="e">
        <f t="shared" si="321"/>
        <v>#N/A</v>
      </c>
      <c r="BB299" s="72" t="e">
        <f t="shared" si="322"/>
        <v>#N/A</v>
      </c>
      <c r="BC299" s="77"/>
      <c r="BE299">
        <f t="shared" si="302"/>
        <v>0</v>
      </c>
      <c r="BF299" s="196" t="str">
        <f>BF318</f>
        <v>C:\Users\origr\Pictures\0.jpg</v>
      </c>
      <c r="BG299" s="196" t="str">
        <f t="shared" ref="BG299:BK299" si="325">BG318</f>
        <v>C:\Users\origr\Pictures\0.jpg</v>
      </c>
      <c r="BH299" s="196" t="str">
        <f t="shared" si="325"/>
        <v>C:\Users\origr\Pictures\0.jpg</v>
      </c>
      <c r="BI299" s="196" t="str">
        <f t="shared" si="325"/>
        <v>C:\Users\origr\Pictures\0.jpg</v>
      </c>
      <c r="BJ299" s="196" t="str">
        <f t="shared" si="325"/>
        <v>C:\Users\origr\Pictures\0.jpg</v>
      </c>
      <c r="BK299" s="196" t="str">
        <f t="shared" si="325"/>
        <v>C:\Users\origr\Pictures\0.jpg</v>
      </c>
    </row>
    <row r="300" spans="2:63" ht="12.75" hidden="1" customHeight="1">
      <c r="B300" s="72"/>
      <c r="C300" s="135"/>
      <c r="D300" s="78"/>
      <c r="E300" s="78"/>
      <c r="F300" s="72"/>
      <c r="G300" s="72"/>
      <c r="H300" s="72"/>
      <c r="I300" s="73">
        <f t="shared" si="304"/>
        <v>0</v>
      </c>
      <c r="J300" s="78"/>
      <c r="K300" s="73"/>
      <c r="L300" s="74" t="e">
        <f>_xlfn.IFNA(VLOOKUP(C300,'חד גזעי'!$U$3:$V$509,2,0),VLOOKUP(C300,'חד גזעי'!$U$3:$V$509,2))</f>
        <v>#N/A</v>
      </c>
      <c r="M300" s="73"/>
      <c r="N300" s="72" t="e">
        <f>_xlfn.IFNA(IF(VLOOKUP(C300,'חד גזעי'!$AH$2:$AH$7,1,FALSE)&gt;0,0,IF('חד גזעי'!$AM$5="כן",IF(_xlfn.IFNA(VLOOKUP(C300,'חד גזעי'!$AH$2:$AH$33,1,FALSE),SUM(J300:M300))&lt;21,_xlfn.IFNA(VLOOKUP(C300,'חד גזעי'!$AH$2:$AH$33,1,FALSE),SUM(J300:M300)),0),SUM(J300:M300))),IF('חד גזעי'!$AM$5="כן",IF(_xlfn.IFNA(VLOOKUP(C300,'חד גזעי'!$AH$2:$AH$33,1,FALSE),SUM(J300:M300))&lt;21,_xlfn.IFNA(VLOOKUP(C300,'חד גזעי'!$AH$2:$AH$33,1,FALSE),SUM(J300:M300)),0),SUM(J300:M300)))</f>
        <v>#N/A</v>
      </c>
      <c r="O300" s="72">
        <f>IF('חד גזעי'!$AM$3 = "כן",IF(T300&gt;4,4,T300),T300)</f>
        <v>0</v>
      </c>
      <c r="P300" s="80">
        <f>IF(E300&lt;2,0,IF(Z300&gt;0,Z300,IF(N300 = 0,0,IF('חד גזעי'!$AM$2 = "לא",IF(F300&gt;19,W300,0),IF(F300&gt;9,Y300,0)))))</f>
        <v>0</v>
      </c>
      <c r="Q300" s="77"/>
      <c r="R300" s="76"/>
      <c r="S300" t="e">
        <f>VLOOKUP(C300,'חד גזעי'!$Y$4:$Y$18,1,0)</f>
        <v>#N/A</v>
      </c>
      <c r="T300" s="72">
        <f>IF('חד גזעי'!$AM$6="לא",IF(P300=0,IF(BC300="שימור",IF('חד גזעי'!$AM$4="לא",IF(BC300="לא בוגר",0,IF(BC300="לא קיים",0,IF(J300=0,0,I300*0.1))),IF(BC300="לא בוגר",0,IF(BC300="לא קיים",0,IF(AB300=1,I300*0.1,E300*0.5)))),0),IF('חד גזעי'!$AM$4="לא",IF(BC300="לא בוגר",0,IF(BC300="לא קיים",0,IF(J300=0,0,I300*0.1))),IF(BC300="לא בוגר",0,IF(BC300="לא קיים",0,IF(AB300=1,I300*0.1,E300*0.5))))),IF(P300=0,IF(BC300="שימור",IF('חד גזעי'!$AM$4="לא",IF(BC300="לא בוגר",0,IF(BC300="לא קיים",0,IF(J300=0,0,I300*0.15))),IF(BC300="לא בוגר",0,IF(BC300="לא קיים",0,IF(AB300=1,I300*0.15,E300*0.5)))),0),IF('חד גזעי'!$AM$4="לא",IF(BC300="לא בוגר",0,IF(BC300="לא קיים",0,IF(J300=0,0,I300*0.15))),IF(BC300="לא בוגר",0,IF(BC300="לא קיים",0,IF(AB300=1,I300*0.15,E300*0.5))))))</f>
        <v>0</v>
      </c>
      <c r="V300" t="e">
        <f t="shared" si="277"/>
        <v>#N/A</v>
      </c>
      <c r="W300" t="e">
        <f t="shared" si="278"/>
        <v>#N/A</v>
      </c>
      <c r="X300" t="e">
        <f t="shared" si="279"/>
        <v>#N/A</v>
      </c>
      <c r="Y300">
        <f>IF('חד גזעי'!$AM$2 = "לא",0,IF(F300&gt;9,W300,0))</f>
        <v>0</v>
      </c>
      <c r="Z300">
        <f>IF('חד גזעי'!$AM$7 = "לא",0,IF(C300 = "זית אירופי",IF('חד גזעי'!$AN$7 &lt;=סקר!F300,W300,0),IF(C300 = "חרוב מצוי",IF('חד גזעי'!$AN$7 &lt;=סקר!F300,W300,0),0)))</f>
        <v>0</v>
      </c>
      <c r="AB300">
        <f t="shared" si="305"/>
        <v>1</v>
      </c>
      <c r="AC300" s="72"/>
      <c r="AD300" t="e">
        <f t="shared" si="323"/>
        <v>#N/A</v>
      </c>
      <c r="AE300" s="72"/>
      <c r="AF300" s="72" t="e">
        <f t="shared" si="306"/>
        <v>#N/A</v>
      </c>
      <c r="AG300" s="72" t="e">
        <f>IF('חד גזעי'!$AM$5="לא",(VLOOKUP(C300,'חד גזעי'!$P$1:$S$589,3,FALSE)),(VLOOKUP(C300,'חד גזעי'!$P$1:$S$589,4,FALSE)))</f>
        <v>#N/A</v>
      </c>
      <c r="AH300" s="72">
        <f t="shared" si="307"/>
        <v>0</v>
      </c>
      <c r="AI300" s="72">
        <f t="shared" si="308"/>
        <v>0</v>
      </c>
      <c r="AJ300" s="72">
        <f t="shared" si="309"/>
        <v>0</v>
      </c>
      <c r="AK300" s="72" t="e">
        <f t="shared" si="310"/>
        <v>#N/A</v>
      </c>
      <c r="AL300" t="e">
        <f>VLOOKUP(C300,'חד גזעי'!$AH$8:$AI$33,2,FALSE)</f>
        <v>#N/A</v>
      </c>
      <c r="AM300" s="72" t="b">
        <f t="shared" si="311"/>
        <v>0</v>
      </c>
      <c r="AN300" s="72" t="b">
        <f t="shared" si="312"/>
        <v>0</v>
      </c>
      <c r="AO300" s="72" t="b">
        <f t="shared" si="313"/>
        <v>0</v>
      </c>
      <c r="AS300" s="72">
        <f t="shared" si="314"/>
        <v>0</v>
      </c>
      <c r="AT300" s="72">
        <f t="shared" si="315"/>
        <v>0</v>
      </c>
      <c r="AU300" s="72">
        <f t="shared" si="324"/>
        <v>0</v>
      </c>
      <c r="AV300" s="72">
        <f t="shared" si="316"/>
        <v>0</v>
      </c>
      <c r="AW300" s="72">
        <f t="shared" si="317"/>
        <v>0</v>
      </c>
      <c r="AX300" s="72">
        <f t="shared" si="318"/>
        <v>0</v>
      </c>
      <c r="AY300" s="72">
        <f t="shared" si="319"/>
        <v>0</v>
      </c>
      <c r="AZ300" s="72">
        <f t="shared" si="320"/>
        <v>0</v>
      </c>
      <c r="BA300" s="72" t="e">
        <f t="shared" si="321"/>
        <v>#N/A</v>
      </c>
      <c r="BB300" s="72" t="e">
        <f t="shared" si="322"/>
        <v>#N/A</v>
      </c>
      <c r="BC300" s="77"/>
      <c r="BE300">
        <f t="shared" si="302"/>
        <v>0</v>
      </c>
      <c r="BF300" s="196"/>
      <c r="BG300" s="196"/>
      <c r="BH300" s="196"/>
      <c r="BI300" s="196"/>
      <c r="BJ300" s="196"/>
      <c r="BK300" s="196"/>
    </row>
    <row r="301" spans="2:63" ht="12.75" hidden="1" customHeight="1">
      <c r="B301" s="72"/>
      <c r="C301" s="135"/>
      <c r="D301" s="78"/>
      <c r="E301" s="78"/>
      <c r="F301" s="72"/>
      <c r="G301" s="72"/>
      <c r="H301" s="72"/>
      <c r="I301" s="73">
        <f t="shared" si="304"/>
        <v>0</v>
      </c>
      <c r="J301" s="78"/>
      <c r="K301" s="73"/>
      <c r="L301" s="74" t="e">
        <f>_xlfn.IFNA(VLOOKUP(C301,'חד גזעי'!$U$3:$V$509,2,0),VLOOKUP(C301,'חד גזעי'!$U$3:$V$509,2))</f>
        <v>#N/A</v>
      </c>
      <c r="M301" s="73"/>
      <c r="N301" s="72" t="e">
        <f>_xlfn.IFNA(IF(VLOOKUP(C301,'חד גזעי'!$AH$2:$AH$7,1,FALSE)&gt;0,0,IF('חד גזעי'!$AM$5="כן",IF(_xlfn.IFNA(VLOOKUP(C301,'חד גזעי'!$AH$2:$AH$33,1,FALSE),SUM(J301:M301))&lt;21,_xlfn.IFNA(VLOOKUP(C301,'חד גזעי'!$AH$2:$AH$33,1,FALSE),SUM(J301:M301)),0),SUM(J301:M301))),IF('חד גזעי'!$AM$5="כן",IF(_xlfn.IFNA(VLOOKUP(C301,'חד גזעי'!$AH$2:$AH$33,1,FALSE),SUM(J301:M301))&lt;21,_xlfn.IFNA(VLOOKUP(C301,'חד גזעי'!$AH$2:$AH$33,1,FALSE),SUM(J301:M301)),0),SUM(J301:M301)))</f>
        <v>#N/A</v>
      </c>
      <c r="O301" s="72">
        <f>IF('חד גזעי'!$AM$3 = "כן",IF(T301&gt;4,4,T301),T301)</f>
        <v>0</v>
      </c>
      <c r="P301" s="80">
        <f>IF(E301&lt;2,0,IF(Z301&gt;0,Z301,IF(N301 = 0,0,IF('חד גזעי'!$AM$2 = "לא",IF(F301&gt;19,W301,0),IF(F301&gt;9,Y301,0)))))</f>
        <v>0</v>
      </c>
      <c r="Q301" s="77"/>
      <c r="R301" s="76"/>
      <c r="S301" t="e">
        <f>VLOOKUP(C301,'חד גזעי'!$Y$4:$Y$18,1,0)</f>
        <v>#N/A</v>
      </c>
      <c r="T301" s="72">
        <f>IF('חד גזעי'!$AM$6="לא",IF(P301=0,IF(BC301="שימור",IF('חד גזעי'!$AM$4="לא",IF(BC301="לא בוגר",0,IF(BC301="לא קיים",0,IF(J301=0,0,I301*0.1))),IF(BC301="לא בוגר",0,IF(BC301="לא קיים",0,IF(AB301=1,I301*0.1,E301*0.5)))),0),IF('חד גזעי'!$AM$4="לא",IF(BC301="לא בוגר",0,IF(BC301="לא קיים",0,IF(J301=0,0,I301*0.1))),IF(BC301="לא בוגר",0,IF(BC301="לא קיים",0,IF(AB301=1,I301*0.1,E301*0.5))))),IF(P301=0,IF(BC301="שימור",IF('חד גזעי'!$AM$4="לא",IF(BC301="לא בוגר",0,IF(BC301="לא קיים",0,IF(J301=0,0,I301*0.15))),IF(BC301="לא בוגר",0,IF(BC301="לא קיים",0,IF(AB301=1,I301*0.15,E301*0.5)))),0),IF('חד גזעי'!$AM$4="לא",IF(BC301="לא בוגר",0,IF(BC301="לא קיים",0,IF(J301=0,0,I301*0.15))),IF(BC301="לא בוגר",0,IF(BC301="לא קיים",0,IF(AB301=1,I301*0.15,E301*0.5))))))</f>
        <v>0</v>
      </c>
      <c r="V301" t="e">
        <f t="shared" si="277"/>
        <v>#N/A</v>
      </c>
      <c r="W301" t="e">
        <f t="shared" si="278"/>
        <v>#N/A</v>
      </c>
      <c r="X301" t="e">
        <f t="shared" si="279"/>
        <v>#N/A</v>
      </c>
      <c r="Y301">
        <f>IF('חד גזעי'!$AM$2 = "לא",0,IF(F301&gt;9,W301,0))</f>
        <v>0</v>
      </c>
      <c r="Z301">
        <f>IF('חד גזעי'!$AM$7 = "לא",0,IF(C301 = "זית אירופי",IF('חד גזעי'!$AN$7 &lt;=סקר!F301,W301,0),IF(C301 = "חרוב מצוי",IF('חד גזעי'!$AN$7 &lt;=סקר!F301,W301,0),0)))</f>
        <v>0</v>
      </c>
      <c r="AB301">
        <f t="shared" si="305"/>
        <v>1</v>
      </c>
      <c r="AC301" s="72"/>
      <c r="AD301" t="e">
        <f t="shared" si="323"/>
        <v>#N/A</v>
      </c>
      <c r="AE301" s="72"/>
      <c r="AF301" s="72" t="e">
        <f t="shared" si="306"/>
        <v>#N/A</v>
      </c>
      <c r="AG301" s="72" t="e">
        <f>IF('חד גזעי'!$AM$5="לא",(VLOOKUP(C301,'חד גזעי'!$P$1:$S$589,3,FALSE)),(VLOOKUP(C301,'חד גזעי'!$P$1:$S$589,4,FALSE)))</f>
        <v>#N/A</v>
      </c>
      <c r="AH301" s="72">
        <f t="shared" si="307"/>
        <v>0</v>
      </c>
      <c r="AI301" s="72">
        <f t="shared" si="308"/>
        <v>0</v>
      </c>
      <c r="AJ301" s="72">
        <f t="shared" si="309"/>
        <v>0</v>
      </c>
      <c r="AK301" s="72" t="e">
        <f t="shared" si="310"/>
        <v>#N/A</v>
      </c>
      <c r="AL301" t="e">
        <f>VLOOKUP(C301,'חד גזעי'!$AH$8:$AI$33,2,FALSE)</f>
        <v>#N/A</v>
      </c>
      <c r="AM301" s="72" t="b">
        <f t="shared" si="311"/>
        <v>0</v>
      </c>
      <c r="AN301" s="72" t="b">
        <f t="shared" si="312"/>
        <v>0</v>
      </c>
      <c r="AO301" s="72" t="b">
        <f t="shared" si="313"/>
        <v>0</v>
      </c>
      <c r="AS301" s="72">
        <f t="shared" si="314"/>
        <v>0</v>
      </c>
      <c r="AT301" s="72">
        <f t="shared" si="315"/>
        <v>0</v>
      </c>
      <c r="AU301" s="72">
        <f t="shared" si="324"/>
        <v>0</v>
      </c>
      <c r="AV301" s="72">
        <f t="shared" si="316"/>
        <v>0</v>
      </c>
      <c r="AW301" s="72">
        <f t="shared" si="317"/>
        <v>0</v>
      </c>
      <c r="AX301" s="72">
        <f t="shared" si="318"/>
        <v>0</v>
      </c>
      <c r="AY301" s="72">
        <f t="shared" si="319"/>
        <v>0</v>
      </c>
      <c r="AZ301" s="72">
        <f t="shared" si="320"/>
        <v>0</v>
      </c>
      <c r="BA301" s="72" t="e">
        <f t="shared" si="321"/>
        <v>#N/A</v>
      </c>
      <c r="BB301" s="72" t="e">
        <f t="shared" si="322"/>
        <v>#N/A</v>
      </c>
      <c r="BC301" s="77"/>
      <c r="BE301">
        <f t="shared" si="302"/>
        <v>0</v>
      </c>
      <c r="BF301" s="196"/>
      <c r="BG301" s="196"/>
      <c r="BH301" s="196"/>
      <c r="BI301" s="196"/>
      <c r="BJ301" s="196"/>
      <c r="BK301" s="196"/>
    </row>
    <row r="302" spans="2:63" ht="12.75" hidden="1" customHeight="1">
      <c r="B302" s="72"/>
      <c r="C302" s="135"/>
      <c r="D302" s="78"/>
      <c r="E302" s="78"/>
      <c r="F302" s="72"/>
      <c r="G302" s="72"/>
      <c r="H302" s="72"/>
      <c r="I302" s="73">
        <f t="shared" si="304"/>
        <v>0</v>
      </c>
      <c r="J302" s="78"/>
      <c r="K302" s="73"/>
      <c r="L302" s="74" t="e">
        <f>_xlfn.IFNA(VLOOKUP(C302,'חד גזעי'!$U$3:$V$509,2,0),VLOOKUP(C302,'חד גזעי'!$U$3:$V$509,2))</f>
        <v>#N/A</v>
      </c>
      <c r="M302" s="73"/>
      <c r="N302" s="72" t="e">
        <f>_xlfn.IFNA(IF(VLOOKUP(C302,'חד גזעי'!$AH$2:$AH$7,1,FALSE)&gt;0,0,IF('חד גזעי'!$AM$5="כן",IF(_xlfn.IFNA(VLOOKUP(C302,'חד גזעי'!$AH$2:$AH$33,1,FALSE),SUM(J302:M302))&lt;21,_xlfn.IFNA(VLOOKUP(C302,'חד גזעי'!$AH$2:$AH$33,1,FALSE),SUM(J302:M302)),0),SUM(J302:M302))),IF('חד גזעי'!$AM$5="כן",IF(_xlfn.IFNA(VLOOKUP(C302,'חד גזעי'!$AH$2:$AH$33,1,FALSE),SUM(J302:M302))&lt;21,_xlfn.IFNA(VLOOKUP(C302,'חד גזעי'!$AH$2:$AH$33,1,FALSE),SUM(J302:M302)),0),SUM(J302:M302)))</f>
        <v>#N/A</v>
      </c>
      <c r="O302" s="72">
        <f>IF('חד גזעי'!$AM$3 = "כן",IF(T302&gt;4,4,T302),T302)</f>
        <v>0</v>
      </c>
      <c r="P302" s="80">
        <f>IF(E302&lt;2,0,IF(Z302&gt;0,Z302,IF(N302 = 0,0,IF('חד גזעי'!$AM$2 = "לא",IF(F302&gt;19,W302,0),IF(F302&gt;9,Y302,0)))))</f>
        <v>0</v>
      </c>
      <c r="Q302" s="77"/>
      <c r="R302" s="75"/>
      <c r="S302" t="e">
        <f>VLOOKUP(C302,'חד גזעי'!$Y$4:$Y$18,1,0)</f>
        <v>#N/A</v>
      </c>
      <c r="T302" s="72">
        <f>IF('חד גזעי'!$AM$6="לא",IF(P302=0,IF(BC302="שימור",IF('חד גזעי'!$AM$4="לא",IF(BC302="לא בוגר",0,IF(BC302="לא קיים",0,IF(J302=0,0,I302*0.1))),IF(BC302="לא בוגר",0,IF(BC302="לא קיים",0,IF(AB302=1,I302*0.1,E302*0.5)))),0),IF('חד גזעי'!$AM$4="לא",IF(BC302="לא בוגר",0,IF(BC302="לא קיים",0,IF(J302=0,0,I302*0.1))),IF(BC302="לא בוגר",0,IF(BC302="לא קיים",0,IF(AB302=1,I302*0.1,E302*0.5))))),IF(P302=0,IF(BC302="שימור",IF('חד גזעי'!$AM$4="לא",IF(BC302="לא בוגר",0,IF(BC302="לא קיים",0,IF(J302=0,0,I302*0.15))),IF(BC302="לא בוגר",0,IF(BC302="לא קיים",0,IF(AB302=1,I302*0.15,E302*0.5)))),0),IF('חד גזעי'!$AM$4="לא",IF(BC302="לא בוגר",0,IF(BC302="לא קיים",0,IF(J302=0,0,I302*0.15))),IF(BC302="לא בוגר",0,IF(BC302="לא קיים",0,IF(AB302=1,I302*0.15,E302*0.5))))))</f>
        <v>0</v>
      </c>
      <c r="V302" t="e">
        <f t="shared" si="277"/>
        <v>#N/A</v>
      </c>
      <c r="W302" t="e">
        <f t="shared" si="278"/>
        <v>#N/A</v>
      </c>
      <c r="X302" t="e">
        <f t="shared" si="279"/>
        <v>#N/A</v>
      </c>
      <c r="Y302">
        <f>IF('חד גזעי'!$AM$2 = "לא",0,IF(F302&gt;9,W302,0))</f>
        <v>0</v>
      </c>
      <c r="Z302">
        <f>IF('חד גזעי'!$AM$7 = "לא",0,IF(C302 = "זית אירופי",IF('חד גזעי'!$AN$7 &lt;=סקר!F302,W302,0),IF(C302 = "חרוב מצוי",IF('חד גזעי'!$AN$7 &lt;=סקר!F302,W302,0),0)))</f>
        <v>0</v>
      </c>
      <c r="AB302">
        <f t="shared" si="305"/>
        <v>1</v>
      </c>
      <c r="AC302" s="72"/>
      <c r="AD302" t="e">
        <f t="shared" si="323"/>
        <v>#N/A</v>
      </c>
      <c r="AE302" s="72"/>
      <c r="AF302" s="72" t="e">
        <f t="shared" si="306"/>
        <v>#N/A</v>
      </c>
      <c r="AG302" s="72" t="e">
        <f>IF('חד גזעי'!$AM$5="לא",(VLOOKUP(C302,'חד גזעי'!$P$1:$S$589,3,FALSE)),(VLOOKUP(C302,'חד גזעי'!$P$1:$S$589,4,FALSE)))</f>
        <v>#N/A</v>
      </c>
      <c r="AH302" s="72">
        <f t="shared" si="307"/>
        <v>0</v>
      </c>
      <c r="AI302" s="72">
        <f t="shared" si="308"/>
        <v>0</v>
      </c>
      <c r="AJ302" s="72">
        <f t="shared" si="309"/>
        <v>0</v>
      </c>
      <c r="AK302" s="72" t="e">
        <f t="shared" si="310"/>
        <v>#N/A</v>
      </c>
      <c r="AL302" t="e">
        <f>VLOOKUP(C302,'חד גזעי'!$AH$8:$AI$33,2,FALSE)</f>
        <v>#N/A</v>
      </c>
      <c r="AM302" s="72" t="b">
        <f t="shared" si="311"/>
        <v>0</v>
      </c>
      <c r="AN302" s="72" t="b">
        <f t="shared" si="312"/>
        <v>0</v>
      </c>
      <c r="AO302" s="72" t="b">
        <f t="shared" si="313"/>
        <v>0</v>
      </c>
      <c r="AS302" s="72">
        <f t="shared" si="314"/>
        <v>0</v>
      </c>
      <c r="AT302" s="72">
        <f t="shared" si="315"/>
        <v>0</v>
      </c>
      <c r="AU302" s="72">
        <f t="shared" si="324"/>
        <v>0</v>
      </c>
      <c r="AV302" s="72">
        <f t="shared" si="316"/>
        <v>0</v>
      </c>
      <c r="AW302" s="72">
        <f t="shared" si="317"/>
        <v>0</v>
      </c>
      <c r="AX302" s="72">
        <f t="shared" si="318"/>
        <v>0</v>
      </c>
      <c r="AY302" s="72">
        <f t="shared" si="319"/>
        <v>0</v>
      </c>
      <c r="AZ302" s="72">
        <f t="shared" si="320"/>
        <v>0</v>
      </c>
      <c r="BA302" s="72" t="e">
        <f t="shared" si="321"/>
        <v>#N/A</v>
      </c>
      <c r="BB302" s="72" t="e">
        <f t="shared" si="322"/>
        <v>#N/A</v>
      </c>
      <c r="BC302" s="77"/>
      <c r="BE302">
        <f t="shared" si="302"/>
        <v>0</v>
      </c>
      <c r="BF302" s="196"/>
      <c r="BG302" s="196"/>
      <c r="BH302" s="196"/>
      <c r="BI302" s="196"/>
      <c r="BJ302" s="196"/>
      <c r="BK302" s="196"/>
    </row>
    <row r="303" spans="2:63" hidden="1">
      <c r="B303" s="72"/>
      <c r="C303" s="135"/>
      <c r="D303" s="78"/>
      <c r="E303" s="78"/>
      <c r="F303" s="72"/>
      <c r="G303" s="72"/>
      <c r="H303" s="72"/>
      <c r="I303" s="73">
        <f t="shared" si="304"/>
        <v>0</v>
      </c>
      <c r="J303" s="78"/>
      <c r="K303" s="73"/>
      <c r="L303" s="74" t="e">
        <f>_xlfn.IFNA(VLOOKUP(C303,'חד גזעי'!$U$3:$V$509,2,0),VLOOKUP(C303,'חד גזעי'!$U$3:$V$509,2))</f>
        <v>#N/A</v>
      </c>
      <c r="M303" s="73"/>
      <c r="N303" s="72" t="e">
        <f>_xlfn.IFNA(IF(VLOOKUP(C303,'חד גזעי'!$AH$2:$AH$7,1,FALSE)&gt;0,0,IF('חד גזעי'!$AM$5="כן",IF(_xlfn.IFNA(VLOOKUP(C303,'חד גזעי'!$AH$2:$AH$33,1,FALSE),SUM(J303:M303))&lt;21,_xlfn.IFNA(VLOOKUP(C303,'חד גזעי'!$AH$2:$AH$33,1,FALSE),SUM(J303:M303)),0),SUM(J303:M303))),IF('חד גזעי'!$AM$5="כן",IF(_xlfn.IFNA(VLOOKUP(C303,'חד גזעי'!$AH$2:$AH$33,1,FALSE),SUM(J303:M303))&lt;21,_xlfn.IFNA(VLOOKUP(C303,'חד גזעי'!$AH$2:$AH$33,1,FALSE),SUM(J303:M303)),0),SUM(J303:M303)))</f>
        <v>#N/A</v>
      </c>
      <c r="O303" s="72">
        <f>IF('חד גזעי'!$AM$3 = "כן",IF(T303&gt;4,4,T303),T303)</f>
        <v>0</v>
      </c>
      <c r="P303" s="80">
        <f>IF(E303&lt;2,0,IF(Z303&gt;0,Z303,IF(N303 = 0,0,IF('חד גזעי'!$AM$2 = "לא",IF(F303&gt;19,W303,0),IF(F303&gt;9,Y303,0)))))</f>
        <v>0</v>
      </c>
      <c r="Q303" s="77"/>
      <c r="R303" s="76"/>
      <c r="S303" t="e">
        <f>VLOOKUP(C303,'חד גזעי'!$Y$4:$Y$18,1,0)</f>
        <v>#N/A</v>
      </c>
      <c r="T303" s="72">
        <f>IF('חד גזעי'!$AM$6="לא",IF(P303=0,IF(BC303="שימור",IF('חד גזעי'!$AM$4="לא",IF(BC303="לא בוגר",0,IF(BC303="לא קיים",0,IF(J303=0,0,I303*0.1))),IF(BC303="לא בוגר",0,IF(BC303="לא קיים",0,IF(AB303=1,I303*0.1,E303*0.5)))),0),IF('חד גזעי'!$AM$4="לא",IF(BC303="לא בוגר",0,IF(BC303="לא קיים",0,IF(J303=0,0,I303*0.1))),IF(BC303="לא בוגר",0,IF(BC303="לא קיים",0,IF(AB303=1,I303*0.1,E303*0.5))))),IF(P303=0,IF(BC303="שימור",IF('חד גזעי'!$AM$4="לא",IF(BC303="לא בוגר",0,IF(BC303="לא קיים",0,IF(J303=0,0,I303*0.15))),IF(BC303="לא בוגר",0,IF(BC303="לא קיים",0,IF(AB303=1,I303*0.15,E303*0.5)))),0),IF('חד גזעי'!$AM$4="לא",IF(BC303="לא בוגר",0,IF(BC303="לא קיים",0,IF(J303=0,0,I303*0.15))),IF(BC303="לא בוגר",0,IF(BC303="לא קיים",0,IF(AB303=1,I303*0.15,E303*0.5))))))</f>
        <v>0</v>
      </c>
      <c r="V303" t="e">
        <f t="shared" si="277"/>
        <v>#N/A</v>
      </c>
      <c r="W303" t="e">
        <f t="shared" si="278"/>
        <v>#N/A</v>
      </c>
      <c r="X303" t="e">
        <f t="shared" si="279"/>
        <v>#N/A</v>
      </c>
      <c r="Y303">
        <f>IF('חד גזעי'!$AM$2 = "לא",0,IF(F303&gt;9,W303,0))</f>
        <v>0</v>
      </c>
      <c r="Z303">
        <f>IF('חד גזעי'!$AM$7 = "לא",0,IF(C303 = "זית אירופי",IF('חד גזעי'!$AN$7 &lt;=סקר!F303,W303,0),IF(C303 = "חרוב מצוי",IF('חד גזעי'!$AN$7 &lt;=סקר!F303,W303,0),0)))</f>
        <v>0</v>
      </c>
      <c r="AB303">
        <f t="shared" si="305"/>
        <v>1</v>
      </c>
      <c r="AC303" s="72"/>
      <c r="AD303" t="e">
        <f t="shared" si="323"/>
        <v>#N/A</v>
      </c>
      <c r="AE303" s="72"/>
      <c r="AF303" s="72" t="e">
        <f t="shared" si="306"/>
        <v>#N/A</v>
      </c>
      <c r="AG303" s="72" t="e">
        <f>IF('חד גזעי'!$AM$5="לא",(VLOOKUP(C303,'חד גזעי'!$P$1:$S$589,3,FALSE)),(VLOOKUP(C303,'חד גזעי'!$P$1:$S$589,4,FALSE)))</f>
        <v>#N/A</v>
      </c>
      <c r="AH303" s="72">
        <f t="shared" si="307"/>
        <v>0</v>
      </c>
      <c r="AI303" s="72">
        <f t="shared" si="308"/>
        <v>0</v>
      </c>
      <c r="AJ303" s="72">
        <f t="shared" si="309"/>
        <v>0</v>
      </c>
      <c r="AK303" s="72" t="e">
        <f t="shared" si="310"/>
        <v>#N/A</v>
      </c>
      <c r="AL303" t="e">
        <f>VLOOKUP(C303,'חד גזעי'!$AH$8:$AI$33,2,FALSE)</f>
        <v>#N/A</v>
      </c>
      <c r="AM303" s="72" t="b">
        <f t="shared" si="311"/>
        <v>0</v>
      </c>
      <c r="AN303" s="72" t="b">
        <f t="shared" si="312"/>
        <v>0</v>
      </c>
      <c r="AO303" s="72" t="b">
        <f t="shared" si="313"/>
        <v>0</v>
      </c>
      <c r="AS303" s="72">
        <f t="shared" si="314"/>
        <v>0</v>
      </c>
      <c r="AT303" s="72">
        <f t="shared" si="315"/>
        <v>0</v>
      </c>
      <c r="AU303" s="72">
        <f t="shared" si="324"/>
        <v>0</v>
      </c>
      <c r="AV303" s="72">
        <f t="shared" si="316"/>
        <v>0</v>
      </c>
      <c r="AW303" s="72">
        <f t="shared" si="317"/>
        <v>0</v>
      </c>
      <c r="AX303" s="72">
        <f t="shared" si="318"/>
        <v>0</v>
      </c>
      <c r="AY303" s="72">
        <f t="shared" si="319"/>
        <v>0</v>
      </c>
      <c r="AZ303" s="72">
        <f t="shared" si="320"/>
        <v>0</v>
      </c>
      <c r="BA303" s="72" t="e">
        <f t="shared" si="321"/>
        <v>#N/A</v>
      </c>
      <c r="BB303" s="72" t="e">
        <f t="shared" si="322"/>
        <v>#N/A</v>
      </c>
      <c r="BC303" s="77"/>
      <c r="BE303">
        <f t="shared" si="302"/>
        <v>0</v>
      </c>
      <c r="BF303" s="196"/>
      <c r="BG303" s="196"/>
      <c r="BH303" s="196"/>
      <c r="BI303" s="196"/>
      <c r="BJ303" s="196"/>
      <c r="BK303" s="196"/>
    </row>
    <row r="304" spans="2:63" hidden="1">
      <c r="B304" s="72"/>
      <c r="C304" s="135"/>
      <c r="D304" s="78"/>
      <c r="E304" s="78"/>
      <c r="F304" s="72"/>
      <c r="G304" s="72"/>
      <c r="H304" s="72"/>
      <c r="I304" s="73">
        <f t="shared" si="304"/>
        <v>0</v>
      </c>
      <c r="J304" s="78"/>
      <c r="K304" s="73"/>
      <c r="L304" s="74" t="e">
        <f>_xlfn.IFNA(VLOOKUP(C304,'חד גזעי'!$U$3:$V$509,2,0),VLOOKUP(C304,'חד גזעי'!$U$3:$V$509,2))</f>
        <v>#N/A</v>
      </c>
      <c r="M304" s="102"/>
      <c r="N304" s="72" t="e">
        <f>_xlfn.IFNA(IF(VLOOKUP(C304,'חד גזעי'!$AH$2:$AH$7,1,FALSE)&gt;0,0,IF('חד גזעי'!$AM$5="כן",IF(_xlfn.IFNA(VLOOKUP(C304,'חד גזעי'!$AH$2:$AH$33,1,FALSE),SUM(J304:M304))&lt;21,_xlfn.IFNA(VLOOKUP(C304,'חד גזעי'!$AH$2:$AH$33,1,FALSE),SUM(J304:M304)),0),SUM(J304:M304))),IF('חד גזעי'!$AM$5="כן",IF(_xlfn.IFNA(VLOOKUP(C304,'חד גזעי'!$AH$2:$AH$33,1,FALSE),SUM(J304:M304))&lt;21,_xlfn.IFNA(VLOOKUP(C304,'חד גזעי'!$AH$2:$AH$33,1,FALSE),SUM(J304:M304)),0),SUM(J304:M304)))</f>
        <v>#N/A</v>
      </c>
      <c r="O304" s="72">
        <f>IF('חד גזעי'!$AM$3 = "כן",IF(T304&gt;4,4,T304),T304)</f>
        <v>0</v>
      </c>
      <c r="P304" s="80">
        <f>IF(E304&lt;2,0,IF(Z304&gt;0,Z304,IF(N304 = 0,0,IF('חד גזעי'!$AM$2 = "לא",IF(F304&gt;19,W304,0),IF(F304&gt;9,Y304,0)))))</f>
        <v>0</v>
      </c>
      <c r="Q304" s="77"/>
      <c r="R304" s="76"/>
      <c r="S304" t="e">
        <f>VLOOKUP(C304,'חד גזעי'!$Y$4:$Y$18,1,0)</f>
        <v>#N/A</v>
      </c>
      <c r="T304" s="72">
        <f>IF('חד גזעי'!$AM$6="לא",IF(P304=0,IF(BC304="שימור",IF('חד גזעי'!$AM$4="לא",IF(BC304="לא בוגר",0,IF(BC304="לא קיים",0,IF(J304=0,0,I304*0.1))),IF(BC304="לא בוגר",0,IF(BC304="לא קיים",0,IF(AB304=1,I304*0.1,E304*0.5)))),0),IF('חד גזעי'!$AM$4="לא",IF(BC304="לא בוגר",0,IF(BC304="לא קיים",0,IF(J304=0,0,I304*0.1))),IF(BC304="לא בוגר",0,IF(BC304="לא קיים",0,IF(AB304=1,I304*0.1,E304*0.5))))),IF(P304=0,IF(BC304="שימור",IF('חד גזעי'!$AM$4="לא",IF(BC304="לא בוגר",0,IF(BC304="לא קיים",0,IF(J304=0,0,I304*0.15))),IF(BC304="לא בוגר",0,IF(BC304="לא קיים",0,IF(AB304=1,I304*0.15,E304*0.5)))),0),IF('חד גזעי'!$AM$4="לא",IF(BC304="לא בוגר",0,IF(BC304="לא קיים",0,IF(J304=0,0,I304*0.15))),IF(BC304="לא בוגר",0,IF(BC304="לא קיים",0,IF(AB304=1,I304*0.15,E304*0.5))))))</f>
        <v>0</v>
      </c>
      <c r="V304" t="e">
        <f t="shared" si="277"/>
        <v>#N/A</v>
      </c>
      <c r="W304" t="e">
        <f t="shared" si="278"/>
        <v>#N/A</v>
      </c>
      <c r="X304" t="e">
        <f t="shared" si="279"/>
        <v>#N/A</v>
      </c>
      <c r="Y304">
        <f>IF('חד גזעי'!$AM$2 = "לא",0,IF(F304&gt;9,W304,0))</f>
        <v>0</v>
      </c>
      <c r="Z304">
        <f>IF('חד גזעי'!$AM$7 = "לא",0,IF(C304 = "זית אירופי",IF('חד גזעי'!$AN$7 &lt;=סקר!F304,W304,0),IF(C304 = "חרוב מצוי",IF('חד גזעי'!$AN$7 &lt;=סקר!F304,W304,0),0)))</f>
        <v>0</v>
      </c>
      <c r="AB304">
        <f t="shared" si="305"/>
        <v>1</v>
      </c>
      <c r="AC304" s="72"/>
      <c r="AD304" t="e">
        <f t="shared" si="323"/>
        <v>#N/A</v>
      </c>
      <c r="AE304" s="72"/>
      <c r="AF304" s="72" t="e">
        <f t="shared" si="306"/>
        <v>#N/A</v>
      </c>
      <c r="AG304" s="72" t="e">
        <f>IF('חד גזעי'!$AM$5="לא",(VLOOKUP(C304,'חד גזעי'!$P$1:$S$589,3,FALSE)),(VLOOKUP(C304,'חד גזעי'!$P$1:$S$589,4,FALSE)))</f>
        <v>#N/A</v>
      </c>
      <c r="AH304" s="72">
        <f t="shared" si="307"/>
        <v>0</v>
      </c>
      <c r="AI304" s="72">
        <f t="shared" si="308"/>
        <v>0</v>
      </c>
      <c r="AJ304" s="72">
        <f t="shared" si="309"/>
        <v>0</v>
      </c>
      <c r="AK304" s="72" t="e">
        <f t="shared" si="310"/>
        <v>#N/A</v>
      </c>
      <c r="AL304" t="e">
        <f>VLOOKUP(C304,'חד גזעי'!$AH$8:$AI$33,2,FALSE)</f>
        <v>#N/A</v>
      </c>
      <c r="AM304" s="72" t="b">
        <f t="shared" si="311"/>
        <v>0</v>
      </c>
      <c r="AN304" s="72" t="b">
        <f t="shared" si="312"/>
        <v>0</v>
      </c>
      <c r="AO304" s="72" t="b">
        <f t="shared" si="313"/>
        <v>0</v>
      </c>
      <c r="AS304" s="72">
        <f t="shared" si="314"/>
        <v>0</v>
      </c>
      <c r="AT304" s="72">
        <f t="shared" si="315"/>
        <v>0</v>
      </c>
      <c r="AU304" s="72">
        <f t="shared" si="324"/>
        <v>0</v>
      </c>
      <c r="AV304" s="72">
        <f t="shared" si="316"/>
        <v>0</v>
      </c>
      <c r="AW304" s="72">
        <f t="shared" si="317"/>
        <v>0</v>
      </c>
      <c r="AX304" s="72">
        <f t="shared" si="318"/>
        <v>0</v>
      </c>
      <c r="AY304" s="72">
        <f t="shared" si="319"/>
        <v>0</v>
      </c>
      <c r="AZ304" s="72">
        <f t="shared" si="320"/>
        <v>0</v>
      </c>
      <c r="BA304" s="72" t="e">
        <f t="shared" si="321"/>
        <v>#N/A</v>
      </c>
      <c r="BB304" s="72" t="e">
        <f t="shared" si="322"/>
        <v>#N/A</v>
      </c>
      <c r="BC304" s="77"/>
      <c r="BE304">
        <f t="shared" si="302"/>
        <v>0</v>
      </c>
      <c r="BF304" s="196"/>
      <c r="BG304" s="196"/>
      <c r="BH304" s="196"/>
      <c r="BI304" s="196"/>
      <c r="BJ304" s="196"/>
      <c r="BK304" s="196"/>
    </row>
    <row r="305" spans="1:63" hidden="1">
      <c r="B305" s="72"/>
      <c r="C305" s="135"/>
      <c r="D305" s="73"/>
      <c r="E305" s="73"/>
      <c r="F305" s="72"/>
      <c r="G305" s="72"/>
      <c r="H305" s="72"/>
      <c r="I305" s="73">
        <f t="shared" si="304"/>
        <v>0</v>
      </c>
      <c r="J305" s="73"/>
      <c r="K305" s="73"/>
      <c r="L305" s="74" t="e">
        <f>_xlfn.IFNA(VLOOKUP(C305,'חד גזעי'!$U$3:$V$509,2,0),VLOOKUP(C305,'חד גזעי'!$U$3:$V$509,2))</f>
        <v>#N/A</v>
      </c>
      <c r="M305" s="73"/>
      <c r="N305" s="72" t="e">
        <f>_xlfn.IFNA(IF(VLOOKUP(C305,'חד גזעי'!$AH$2:$AH$7,1,FALSE)&gt;0,0,IF('חד גזעי'!$AM$5="כן",IF(_xlfn.IFNA(VLOOKUP(C305,'חד גזעי'!$AH$2:$AH$33,1,FALSE),SUM(J305:M305))&lt;21,_xlfn.IFNA(VLOOKUP(C305,'חד גזעי'!$AH$2:$AH$33,1,FALSE),SUM(J305:M305)),0),SUM(J305:M305))),IF('חד גזעי'!$AM$5="כן",IF(_xlfn.IFNA(VLOOKUP(C305,'חד גזעי'!$AH$2:$AH$33,1,FALSE),SUM(J305:M305))&lt;21,_xlfn.IFNA(VLOOKUP(C305,'חד גזעי'!$AH$2:$AH$33,1,FALSE),SUM(J305:M305)),0),SUM(J305:M305)))</f>
        <v>#N/A</v>
      </c>
      <c r="O305" s="72">
        <f>IF('חד גזעי'!$AM$3 = "כן",IF(T305&gt;4,4,T305),T305)</f>
        <v>0</v>
      </c>
      <c r="P305" s="80">
        <f>IF(E305&lt;2,0,IF(Z305&gt;0,Z305,IF(N305 = 0,0,IF('חד גזעי'!$AM$2 = "לא",IF(F305&gt;19,W305,0),IF(F305&gt;9,Y305,0)))))</f>
        <v>0</v>
      </c>
      <c r="Q305" s="77"/>
      <c r="R305" s="76"/>
      <c r="S305" t="e">
        <f>VLOOKUP(C305,'חד גזעי'!$Y$4:$Y$18,1,0)</f>
        <v>#N/A</v>
      </c>
      <c r="T305" s="72">
        <f>IF('חד גזעי'!$AM$6="לא",IF(P305=0,IF(BC305="שימור",IF('חד גזעי'!$AM$4="לא",IF(BC305="לא בוגר",0,IF(BC305="לא קיים",0,IF(J305=0,0,I305*0.1))),IF(BC305="לא בוגר",0,IF(BC305="לא קיים",0,IF(AB305=1,I305*0.1,E305*0.5)))),0),IF('חד גזעי'!$AM$4="לא",IF(BC305="לא בוגר",0,IF(BC305="לא קיים",0,IF(J305=0,0,I305*0.1))),IF(BC305="לא בוגר",0,IF(BC305="לא קיים",0,IF(AB305=1,I305*0.1,E305*0.5))))),IF(P305=0,IF(BC305="שימור",IF('חד גזעי'!$AM$4="לא",IF(BC305="לא בוגר",0,IF(BC305="לא קיים",0,IF(J305=0,0,I305*0.15))),IF(BC305="לא בוגר",0,IF(BC305="לא קיים",0,IF(AB305=1,I305*0.15,E305*0.5)))),0),IF('חד גזעי'!$AM$4="לא",IF(BC305="לא בוגר",0,IF(BC305="לא קיים",0,IF(J305=0,0,I305*0.15))),IF(BC305="לא בוגר",0,IF(BC305="לא קיים",0,IF(AB305=1,I305*0.15,E305*0.5))))))</f>
        <v>0</v>
      </c>
      <c r="V305" t="e">
        <f t="shared" si="277"/>
        <v>#N/A</v>
      </c>
      <c r="W305" t="e">
        <f t="shared" si="278"/>
        <v>#N/A</v>
      </c>
      <c r="X305" t="e">
        <f t="shared" si="279"/>
        <v>#N/A</v>
      </c>
      <c r="Y305">
        <f>IF('חד גזעי'!$AM$2 = "לא",0,IF(F305&gt;9,W305,0))</f>
        <v>0</v>
      </c>
      <c r="Z305">
        <f>IF('חד גזעי'!$AM$7 = "לא",0,IF(C305 = "זית אירופי",IF('חד גזעי'!$AN$7 &lt;=סקר!F305,W305,0),IF(C305 = "חרוב מצוי",IF('חד גזעי'!$AN$7 &lt;=סקר!F305,W305,0),0)))</f>
        <v>0</v>
      </c>
      <c r="AB305">
        <f t="shared" si="305"/>
        <v>1</v>
      </c>
      <c r="AC305" s="72"/>
      <c r="AD305" t="e">
        <f t="shared" si="323"/>
        <v>#N/A</v>
      </c>
      <c r="AE305" s="72"/>
      <c r="AF305" s="72" t="e">
        <f t="shared" si="306"/>
        <v>#N/A</v>
      </c>
      <c r="AG305" s="72" t="e">
        <f>IF('חד גזעי'!$AM$5="לא",(VLOOKUP(C305,'חד גזעי'!$P$1:$S$589,3,FALSE)),(VLOOKUP(C305,'חד גזעי'!$P$1:$S$589,4,FALSE)))</f>
        <v>#N/A</v>
      </c>
      <c r="AH305" s="72">
        <f t="shared" si="307"/>
        <v>0</v>
      </c>
      <c r="AI305" s="72">
        <f t="shared" si="308"/>
        <v>0</v>
      </c>
      <c r="AJ305" s="72">
        <f t="shared" si="309"/>
        <v>0</v>
      </c>
      <c r="AK305" s="72" t="e">
        <f t="shared" si="310"/>
        <v>#N/A</v>
      </c>
      <c r="AL305" t="e">
        <f>VLOOKUP(C305,'חד גזעי'!$AH$8:$AI$33,2,FALSE)</f>
        <v>#N/A</v>
      </c>
      <c r="AM305" s="72" t="b">
        <f t="shared" si="311"/>
        <v>0</v>
      </c>
      <c r="AN305" s="72" t="b">
        <f t="shared" si="312"/>
        <v>0</v>
      </c>
      <c r="AO305" s="72" t="b">
        <f t="shared" si="313"/>
        <v>0</v>
      </c>
      <c r="AS305" s="72">
        <f t="shared" si="314"/>
        <v>0</v>
      </c>
      <c r="AT305" s="72">
        <f t="shared" si="315"/>
        <v>0</v>
      </c>
      <c r="AU305" s="72">
        <f t="shared" si="324"/>
        <v>0</v>
      </c>
      <c r="AV305" s="72">
        <f t="shared" si="316"/>
        <v>0</v>
      </c>
      <c r="AW305" s="72">
        <f t="shared" si="317"/>
        <v>0</v>
      </c>
      <c r="AX305" s="72">
        <f t="shared" si="318"/>
        <v>0</v>
      </c>
      <c r="AY305" s="72">
        <f t="shared" si="319"/>
        <v>0</v>
      </c>
      <c r="AZ305" s="72">
        <f t="shared" si="320"/>
        <v>0</v>
      </c>
      <c r="BA305" s="72" t="e">
        <f t="shared" si="321"/>
        <v>#N/A</v>
      </c>
      <c r="BB305" s="72" t="e">
        <f t="shared" si="322"/>
        <v>#N/A</v>
      </c>
      <c r="BC305" s="77"/>
      <c r="BE305">
        <f t="shared" si="302"/>
        <v>0</v>
      </c>
      <c r="BF305" s="196"/>
      <c r="BG305" s="196"/>
      <c r="BH305" s="196"/>
      <c r="BI305" s="196"/>
      <c r="BJ305" s="196"/>
      <c r="BK305" s="196"/>
    </row>
    <row r="306" spans="1:63" hidden="1">
      <c r="B306" s="72"/>
      <c r="C306" s="135"/>
      <c r="D306" s="73"/>
      <c r="E306" s="73"/>
      <c r="F306" s="72"/>
      <c r="G306" s="72"/>
      <c r="H306" s="72"/>
      <c r="I306" s="73">
        <f t="shared" si="304"/>
        <v>0</v>
      </c>
      <c r="J306" s="73"/>
      <c r="K306" s="73"/>
      <c r="L306" s="74" t="e">
        <f>_xlfn.IFNA(VLOOKUP(C306,'חד גזעי'!$U$3:$V$509,2,0),VLOOKUP(C306,'חד גזעי'!$U$3:$V$509,2))</f>
        <v>#N/A</v>
      </c>
      <c r="M306" s="73"/>
      <c r="N306" s="72" t="e">
        <f>_xlfn.IFNA(IF(VLOOKUP(C306,'חד גזעי'!$AH$2:$AH$7,1,FALSE)&gt;0,0,IF('חד גזעי'!$AM$5="כן",IF(_xlfn.IFNA(VLOOKUP(C306,'חד גזעי'!$AH$2:$AH$33,1,FALSE),SUM(J306:M306))&lt;21,_xlfn.IFNA(VLOOKUP(C306,'חד גזעי'!$AH$2:$AH$33,1,FALSE),SUM(J306:M306)),0),SUM(J306:M306))),IF('חד גזעי'!$AM$5="כן",IF(_xlfn.IFNA(VLOOKUP(C306,'חד גזעי'!$AH$2:$AH$33,1,FALSE),SUM(J306:M306))&lt;21,_xlfn.IFNA(VLOOKUP(C306,'חד גזעי'!$AH$2:$AH$33,1,FALSE),SUM(J306:M306)),0),SUM(J306:M306)))</f>
        <v>#N/A</v>
      </c>
      <c r="O306" s="72">
        <f>IF('חד גזעי'!$AM$3 = "כן",IF(T306&gt;4,4,T306),T306)</f>
        <v>0</v>
      </c>
      <c r="P306" s="80">
        <f>IF(E306&lt;2,0,IF(Z306&gt;0,Z306,IF(N306 = 0,0,IF('חד גזעי'!$AM$2 = "לא",IF(F306&gt;19,W306,0),IF(F306&gt;9,Y306,0)))))</f>
        <v>0</v>
      </c>
      <c r="Q306" s="77"/>
      <c r="R306" s="76"/>
      <c r="S306" t="e">
        <f>VLOOKUP(C306,'חד גזעי'!$Y$4:$Y$18,1,0)</f>
        <v>#N/A</v>
      </c>
      <c r="T306" s="72">
        <f>IF('חד גזעי'!$AM$6="לא",IF(P306=0,IF(BC306="שימור",IF('חד גזעי'!$AM$4="לא",IF(BC306="לא בוגר",0,IF(BC306="לא קיים",0,IF(J306=0,0,I306*0.1))),IF(BC306="לא בוגר",0,IF(BC306="לא קיים",0,IF(AB306=1,I306*0.1,E306*0.5)))),0),IF('חד גזעי'!$AM$4="לא",IF(BC306="לא בוגר",0,IF(BC306="לא קיים",0,IF(J306=0,0,I306*0.1))),IF(BC306="לא בוגר",0,IF(BC306="לא קיים",0,IF(AB306=1,I306*0.1,E306*0.5))))),IF(P306=0,IF(BC306="שימור",IF('חד גזעי'!$AM$4="לא",IF(BC306="לא בוגר",0,IF(BC306="לא קיים",0,IF(J306=0,0,I306*0.15))),IF(BC306="לא בוגר",0,IF(BC306="לא קיים",0,IF(AB306=1,I306*0.15,E306*0.5)))),0),IF('חד גזעי'!$AM$4="לא",IF(BC306="לא בוגר",0,IF(BC306="לא קיים",0,IF(J306=0,0,I306*0.15))),IF(BC306="לא בוגר",0,IF(BC306="לא קיים",0,IF(AB306=1,I306*0.15,E306*0.5))))))</f>
        <v>0</v>
      </c>
      <c r="V306" t="e">
        <f t="shared" si="277"/>
        <v>#N/A</v>
      </c>
      <c r="W306" t="e">
        <f t="shared" si="278"/>
        <v>#N/A</v>
      </c>
      <c r="X306" t="e">
        <f t="shared" si="279"/>
        <v>#N/A</v>
      </c>
      <c r="Y306">
        <f>IF('חד גזעי'!$AM$2 = "לא",0,IF(F306&gt;9,W306,0))</f>
        <v>0</v>
      </c>
      <c r="Z306">
        <f>IF('חד גזעי'!$AM$7 = "לא",0,IF(C306 = "זית אירופי",IF('חד גזעי'!$AN$7 &lt;=סקר!F306,W306,0),IF(C306 = "חרוב מצוי",IF('חד גזעי'!$AN$7 &lt;=סקר!F306,W306,0),0)))</f>
        <v>0</v>
      </c>
      <c r="AB306">
        <f t="shared" si="305"/>
        <v>1</v>
      </c>
      <c r="AC306" s="72"/>
      <c r="AD306" t="e">
        <f t="shared" si="323"/>
        <v>#N/A</v>
      </c>
      <c r="AE306" s="72"/>
      <c r="AF306" s="72" t="e">
        <f t="shared" si="306"/>
        <v>#N/A</v>
      </c>
      <c r="AG306" s="72" t="e">
        <f>IF('חד גזעי'!$AM$5="לא",(VLOOKUP(C306,'חד גזעי'!$P$1:$S$589,3,FALSE)),(VLOOKUP(C306,'חד גזעי'!$P$1:$S$589,4,FALSE)))</f>
        <v>#N/A</v>
      </c>
      <c r="AH306" s="72">
        <f t="shared" si="307"/>
        <v>0</v>
      </c>
      <c r="AI306" s="72">
        <f t="shared" si="308"/>
        <v>0</v>
      </c>
      <c r="AJ306" s="72">
        <f t="shared" si="309"/>
        <v>0</v>
      </c>
      <c r="AK306" s="72" t="e">
        <f t="shared" si="310"/>
        <v>#N/A</v>
      </c>
      <c r="AL306" t="e">
        <f>VLOOKUP(C306,'חד גזעי'!$AH$8:$AI$33,2,FALSE)</f>
        <v>#N/A</v>
      </c>
      <c r="AM306" s="72" t="b">
        <f t="shared" si="311"/>
        <v>0</v>
      </c>
      <c r="AN306" s="72" t="b">
        <f t="shared" si="312"/>
        <v>0</v>
      </c>
      <c r="AO306" s="72" t="b">
        <f t="shared" si="313"/>
        <v>0</v>
      </c>
      <c r="AS306" s="72">
        <f t="shared" si="314"/>
        <v>0</v>
      </c>
      <c r="AT306" s="72">
        <f t="shared" si="315"/>
        <v>0</v>
      </c>
      <c r="AU306" s="72">
        <f t="shared" si="324"/>
        <v>0</v>
      </c>
      <c r="AV306" s="72">
        <f t="shared" si="316"/>
        <v>0</v>
      </c>
      <c r="AW306" s="72">
        <f t="shared" si="317"/>
        <v>0</v>
      </c>
      <c r="AX306" s="72">
        <f t="shared" si="318"/>
        <v>0</v>
      </c>
      <c r="AY306" s="72">
        <f t="shared" si="319"/>
        <v>0</v>
      </c>
      <c r="AZ306" s="72">
        <f t="shared" si="320"/>
        <v>0</v>
      </c>
      <c r="BA306" s="72" t="e">
        <f t="shared" si="321"/>
        <v>#N/A</v>
      </c>
      <c r="BB306" s="72" t="e">
        <f t="shared" si="322"/>
        <v>#N/A</v>
      </c>
      <c r="BC306" s="77"/>
      <c r="BE306">
        <f t="shared" si="302"/>
        <v>0</v>
      </c>
      <c r="BF306" s="196"/>
      <c r="BG306" s="196"/>
      <c r="BH306" s="196"/>
      <c r="BI306" s="196"/>
      <c r="BJ306" s="196"/>
      <c r="BK306" s="196"/>
    </row>
    <row r="307" spans="1:63" hidden="1">
      <c r="B307" s="72"/>
      <c r="C307" s="135"/>
      <c r="D307" s="73"/>
      <c r="E307" s="73"/>
      <c r="F307" s="72"/>
      <c r="G307" s="72"/>
      <c r="H307" s="72"/>
      <c r="I307" s="73">
        <f t="shared" si="304"/>
        <v>0</v>
      </c>
      <c r="J307" s="73"/>
      <c r="K307" s="73"/>
      <c r="L307" s="74" t="e">
        <f>_xlfn.IFNA(VLOOKUP(C307,'חד גזעי'!$U$3:$V$509,2,0),VLOOKUP(C307,'חד גזעי'!$U$3:$V$509,2))</f>
        <v>#N/A</v>
      </c>
      <c r="M307" s="73"/>
      <c r="N307" s="72" t="e">
        <f>_xlfn.IFNA(IF(VLOOKUP(C307,'חד גזעי'!$AH$2:$AH$7,1,FALSE)&gt;0,0,IF('חד גזעי'!$AM$5="כן",IF(_xlfn.IFNA(VLOOKUP(C307,'חד גזעי'!$AH$2:$AH$33,1,FALSE),SUM(J307:M307))&lt;21,_xlfn.IFNA(VLOOKUP(C307,'חד גזעי'!$AH$2:$AH$33,1,FALSE),SUM(J307:M307)),0),SUM(J307:M307))),IF('חד גזעי'!$AM$5="כן",IF(_xlfn.IFNA(VLOOKUP(C307,'חד גזעי'!$AH$2:$AH$33,1,FALSE),SUM(J307:M307))&lt;21,_xlfn.IFNA(VLOOKUP(C307,'חד גזעי'!$AH$2:$AH$33,1,FALSE),SUM(J307:M307)),0),SUM(J307:M307)))</f>
        <v>#N/A</v>
      </c>
      <c r="O307" s="72">
        <f>IF('חד גזעי'!$AM$3 = "כן",IF(T307&gt;4,4,T307),T307)</f>
        <v>0</v>
      </c>
      <c r="P307" s="80">
        <f>IF(E307&lt;2,0,IF(Z307&gt;0,Z307,IF(N307 = 0,0,IF('חד גזעי'!$AM$2 = "לא",IF(F307&gt;19,W307,0),IF(F307&gt;9,Y307,0)))))</f>
        <v>0</v>
      </c>
      <c r="Q307" s="77"/>
      <c r="R307" s="76"/>
      <c r="S307" t="e">
        <f>VLOOKUP(C307,'חד גזעי'!$Y$4:$Y$18,1,0)</f>
        <v>#N/A</v>
      </c>
      <c r="T307" s="72">
        <f>IF('חד גזעי'!$AM$6="לא",IF(P307=0,IF(BC307="שימור",IF('חד גזעי'!$AM$4="לא",IF(BC307="לא בוגר",0,IF(BC307="לא קיים",0,IF(J307=0,0,I307*0.1))),IF(BC307="לא בוגר",0,IF(BC307="לא קיים",0,IF(AB307=1,I307*0.1,E307*0.5)))),0),IF('חד גזעי'!$AM$4="לא",IF(BC307="לא בוגר",0,IF(BC307="לא קיים",0,IF(J307=0,0,I307*0.1))),IF(BC307="לא בוגר",0,IF(BC307="לא קיים",0,IF(AB307=1,I307*0.1,E307*0.5))))),IF(P307=0,IF(BC307="שימור",IF('חד גזעי'!$AM$4="לא",IF(BC307="לא בוגר",0,IF(BC307="לא קיים",0,IF(J307=0,0,I307*0.15))),IF(BC307="לא בוגר",0,IF(BC307="לא קיים",0,IF(AB307=1,I307*0.15,E307*0.5)))),0),IF('חד גזעי'!$AM$4="לא",IF(BC307="לא בוגר",0,IF(BC307="לא קיים",0,IF(J307=0,0,I307*0.15))),IF(BC307="לא בוגר",0,IF(BC307="לא קיים",0,IF(AB307=1,I307*0.15,E307*0.5))))))</f>
        <v>0</v>
      </c>
      <c r="V307" t="e">
        <f t="shared" si="277"/>
        <v>#N/A</v>
      </c>
      <c r="W307" t="e">
        <f t="shared" si="278"/>
        <v>#N/A</v>
      </c>
      <c r="X307" t="e">
        <f t="shared" si="279"/>
        <v>#N/A</v>
      </c>
      <c r="Y307">
        <f>IF('חד גזעי'!$AM$2 = "לא",0,IF(F307&gt;9,W307,0))</f>
        <v>0</v>
      </c>
      <c r="Z307">
        <f>IF('חד גזעי'!$AM$7 = "לא",0,IF(C307 = "זית אירופי",IF('חד גזעי'!$AN$7 &lt;=סקר!F307,W307,0),IF(C307 = "חרוב מצוי",IF('חד גזעי'!$AN$7 &lt;=סקר!F307,W307,0),0)))</f>
        <v>0</v>
      </c>
      <c r="AB307">
        <f t="shared" si="305"/>
        <v>1</v>
      </c>
      <c r="AC307" s="72"/>
      <c r="AD307" t="e">
        <f t="shared" si="323"/>
        <v>#N/A</v>
      </c>
      <c r="AE307" s="72"/>
      <c r="AF307" s="72" t="e">
        <f t="shared" si="306"/>
        <v>#N/A</v>
      </c>
      <c r="AG307" s="72" t="e">
        <f>IF('חד גזעי'!$AM$5="לא",(VLOOKUP(C307,'חד גזעי'!$P$1:$S$589,3,FALSE)),(VLOOKUP(C307,'חד גזעי'!$P$1:$S$589,4,FALSE)))</f>
        <v>#N/A</v>
      </c>
      <c r="AH307" s="72">
        <f t="shared" si="307"/>
        <v>0</v>
      </c>
      <c r="AI307" s="72">
        <f t="shared" si="308"/>
        <v>0</v>
      </c>
      <c r="AJ307" s="72">
        <f t="shared" si="309"/>
        <v>0</v>
      </c>
      <c r="AK307" s="72" t="e">
        <f t="shared" si="310"/>
        <v>#N/A</v>
      </c>
      <c r="AL307" t="e">
        <f>VLOOKUP(C307,'חד גזעי'!$AH$8:$AI$33,2,FALSE)</f>
        <v>#N/A</v>
      </c>
      <c r="AM307" s="72" t="b">
        <f t="shared" si="311"/>
        <v>0</v>
      </c>
      <c r="AN307" s="72" t="b">
        <f t="shared" si="312"/>
        <v>0</v>
      </c>
      <c r="AO307" s="72" t="b">
        <f t="shared" si="313"/>
        <v>0</v>
      </c>
      <c r="AS307" s="72">
        <f t="shared" si="314"/>
        <v>0</v>
      </c>
      <c r="AT307" s="72">
        <f t="shared" si="315"/>
        <v>0</v>
      </c>
      <c r="AU307" s="72">
        <f t="shared" si="324"/>
        <v>0</v>
      </c>
      <c r="AV307" s="72">
        <f t="shared" si="316"/>
        <v>0</v>
      </c>
      <c r="AW307" s="72">
        <f t="shared" si="317"/>
        <v>0</v>
      </c>
      <c r="AX307" s="72">
        <f t="shared" si="318"/>
        <v>0</v>
      </c>
      <c r="AY307" s="72">
        <f t="shared" si="319"/>
        <v>0</v>
      </c>
      <c r="AZ307" s="72">
        <f t="shared" si="320"/>
        <v>0</v>
      </c>
      <c r="BA307" s="72" t="e">
        <f t="shared" si="321"/>
        <v>#N/A</v>
      </c>
      <c r="BB307" s="72" t="e">
        <f t="shared" si="322"/>
        <v>#N/A</v>
      </c>
      <c r="BC307" s="77"/>
      <c r="BE307">
        <f t="shared" si="302"/>
        <v>0</v>
      </c>
      <c r="BF307" s="196"/>
      <c r="BG307" s="196"/>
      <c r="BH307" s="196"/>
      <c r="BI307" s="196"/>
      <c r="BJ307" s="196"/>
      <c r="BK307" s="196"/>
    </row>
    <row r="308" spans="1:63" hidden="1">
      <c r="B308" s="72"/>
      <c r="C308" s="135"/>
      <c r="D308" s="73"/>
      <c r="E308" s="73"/>
      <c r="F308" s="72"/>
      <c r="G308" s="72"/>
      <c r="H308" s="72"/>
      <c r="I308" s="73">
        <f t="shared" si="304"/>
        <v>0</v>
      </c>
      <c r="J308" s="73"/>
      <c r="K308" s="73"/>
      <c r="L308" s="74" t="e">
        <f>_xlfn.IFNA(VLOOKUP(C308,'חד גזעי'!$U$3:$V$509,2,0),VLOOKUP(C308,'חד גזעי'!$U$3:$V$509,2))</f>
        <v>#N/A</v>
      </c>
      <c r="M308" s="73"/>
      <c r="N308" s="72" t="e">
        <f>_xlfn.IFNA(IF(VLOOKUP(C308,'חד גזעי'!$AH$2:$AH$7,1,FALSE)&gt;0,0,IF('חד גזעי'!$AM$5="כן",IF(_xlfn.IFNA(VLOOKUP(C308,'חד גזעי'!$AH$2:$AH$33,1,FALSE),SUM(J308:M308))&lt;21,_xlfn.IFNA(VLOOKUP(C308,'חד גזעי'!$AH$2:$AH$33,1,FALSE),SUM(J308:M308)),0),SUM(J308:M308))),IF('חד גזעי'!$AM$5="כן",IF(_xlfn.IFNA(VLOOKUP(C308,'חד גזעי'!$AH$2:$AH$33,1,FALSE),SUM(J308:M308))&lt;21,_xlfn.IFNA(VLOOKUP(C308,'חד גזעי'!$AH$2:$AH$33,1,FALSE),SUM(J308:M308)),0),SUM(J308:M308)))</f>
        <v>#N/A</v>
      </c>
      <c r="O308" s="72">
        <f>IF('חד גזעי'!$AM$3 = "כן",IF(T308&gt;4,4,T308),T308)</f>
        <v>0</v>
      </c>
      <c r="P308" s="80">
        <f>IF(E308&lt;2,0,IF(Z308&gt;0,Z308,IF(N308 = 0,0,IF('חד גזעי'!$AM$2 = "לא",IF(F308&gt;19,W308,0),IF(F308&gt;9,Y308,0)))))</f>
        <v>0</v>
      </c>
      <c r="Q308" s="77"/>
      <c r="R308" s="76"/>
      <c r="S308" t="e">
        <f>VLOOKUP(C308,'חד גזעי'!$Y$4:$Y$18,1,0)</f>
        <v>#N/A</v>
      </c>
      <c r="T308" s="72">
        <f>IF('חד גזעי'!$AM$6="לא",IF(P308=0,IF(BC308="שימור",IF('חד גזעי'!$AM$4="לא",IF(BC308="לא בוגר",0,IF(BC308="לא קיים",0,IF(J308=0,0,I308*0.1))),IF(BC308="לא בוגר",0,IF(BC308="לא קיים",0,IF(AB308=1,I308*0.1,E308*0.5)))),0),IF('חד גזעי'!$AM$4="לא",IF(BC308="לא בוגר",0,IF(BC308="לא קיים",0,IF(J308=0,0,I308*0.1))),IF(BC308="לא בוגר",0,IF(BC308="לא קיים",0,IF(AB308=1,I308*0.1,E308*0.5))))),IF(P308=0,IF(BC308="שימור",IF('חד גזעי'!$AM$4="לא",IF(BC308="לא בוגר",0,IF(BC308="לא קיים",0,IF(J308=0,0,I308*0.15))),IF(BC308="לא בוגר",0,IF(BC308="לא קיים",0,IF(AB308=1,I308*0.15,E308*0.5)))),0),IF('חד גזעי'!$AM$4="לא",IF(BC308="לא בוגר",0,IF(BC308="לא קיים",0,IF(J308=0,0,I308*0.15))),IF(BC308="לא בוגר",0,IF(BC308="לא קיים",0,IF(AB308=1,I308*0.15,E308*0.5))))))</f>
        <v>0</v>
      </c>
      <c r="V308" t="e">
        <f t="shared" si="277"/>
        <v>#N/A</v>
      </c>
      <c r="W308" t="e">
        <f t="shared" si="278"/>
        <v>#N/A</v>
      </c>
      <c r="X308" t="e">
        <f t="shared" si="279"/>
        <v>#N/A</v>
      </c>
      <c r="Y308">
        <f>IF('חד גזעי'!$AM$2 = "לא",0,IF(F308&gt;9,W308,0))</f>
        <v>0</v>
      </c>
      <c r="Z308">
        <f>IF('חד גזעי'!$AM$7 = "לא",0,IF(C308 = "זית אירופי",IF('חד גזעי'!$AN$7 &lt;=סקר!F308,W308,0),IF(C308 = "חרוב מצוי",IF('חד גזעי'!$AN$7 &lt;=סקר!F308,W308,0),0)))</f>
        <v>0</v>
      </c>
      <c r="AB308">
        <f t="shared" si="305"/>
        <v>1</v>
      </c>
      <c r="AC308" s="72"/>
      <c r="AD308" t="e">
        <f>IF(AK308&gt;0,AK308,AF308)</f>
        <v>#N/A</v>
      </c>
      <c r="AE308" s="72"/>
      <c r="AF308" s="72" t="e">
        <f t="shared" si="306"/>
        <v>#N/A</v>
      </c>
      <c r="AG308" s="72" t="e">
        <f>IF('חד גזעי'!$AM$5="לא",(VLOOKUP(C308,'חד גזעי'!$P$1:$S$589,3,FALSE)),(VLOOKUP(C308,'חד גזעי'!$P$1:$S$589,4,FALSE)))</f>
        <v>#N/A</v>
      </c>
      <c r="AH308" s="72">
        <f t="shared" si="307"/>
        <v>0</v>
      </c>
      <c r="AI308" s="72">
        <f t="shared" si="308"/>
        <v>0</v>
      </c>
      <c r="AJ308" s="72">
        <f t="shared" si="309"/>
        <v>0</v>
      </c>
      <c r="AK308" s="72" t="e">
        <f t="shared" si="310"/>
        <v>#N/A</v>
      </c>
      <c r="AL308" t="e">
        <f>VLOOKUP(C308,'חד גזעי'!$AH$8:$AI$33,2,FALSE)</f>
        <v>#N/A</v>
      </c>
      <c r="AM308" s="72" t="b">
        <f t="shared" si="311"/>
        <v>0</v>
      </c>
      <c r="AN308" s="72" t="b">
        <f t="shared" si="312"/>
        <v>0</v>
      </c>
      <c r="AO308" s="72" t="b">
        <f t="shared" si="313"/>
        <v>0</v>
      </c>
      <c r="AS308" s="72">
        <f t="shared" si="314"/>
        <v>0</v>
      </c>
      <c r="AT308" s="72">
        <f t="shared" si="315"/>
        <v>0</v>
      </c>
      <c r="AU308" s="72">
        <f>IF(C308&gt;0,IF(D308&lt;2,1,D308),0)</f>
        <v>0</v>
      </c>
      <c r="AV308" s="72">
        <f t="shared" si="316"/>
        <v>0</v>
      </c>
      <c r="AW308" s="72">
        <f t="shared" si="317"/>
        <v>0</v>
      </c>
      <c r="AX308" s="72">
        <f t="shared" si="318"/>
        <v>0</v>
      </c>
      <c r="AY308" s="72">
        <f t="shared" si="319"/>
        <v>0</v>
      </c>
      <c r="AZ308" s="72">
        <f t="shared" si="320"/>
        <v>0</v>
      </c>
      <c r="BA308" s="72" t="e">
        <f t="shared" si="321"/>
        <v>#N/A</v>
      </c>
      <c r="BB308" s="72" t="e">
        <f t="shared" si="322"/>
        <v>#N/A</v>
      </c>
      <c r="BC308" s="77"/>
      <c r="BE308">
        <f t="shared" si="302"/>
        <v>0</v>
      </c>
      <c r="BF308" s="196"/>
      <c r="BG308" s="196"/>
      <c r="BH308" s="196"/>
      <c r="BI308" s="196"/>
      <c r="BJ308" s="196"/>
      <c r="BK308" s="196"/>
    </row>
    <row r="309" spans="1:63" hidden="1">
      <c r="B309" s="72"/>
      <c r="C309" s="135"/>
      <c r="D309" s="73"/>
      <c r="E309" s="73"/>
      <c r="F309" s="72"/>
      <c r="G309" s="72"/>
      <c r="H309" s="72"/>
      <c r="I309" s="73">
        <f t="shared" si="304"/>
        <v>0</v>
      </c>
      <c r="J309" s="73"/>
      <c r="K309" s="73"/>
      <c r="L309" s="74" t="e">
        <f>_xlfn.IFNA(VLOOKUP(C309,'חד גזעי'!$U$3:$V$509,2,0),VLOOKUP(C309,'חד גזעי'!$U$3:$V$509,2))</f>
        <v>#N/A</v>
      </c>
      <c r="M309" s="73"/>
      <c r="N309" s="72" t="e">
        <f>_xlfn.IFNA(IF(VLOOKUP(C309,'חד גזעי'!$AH$2:$AH$7,1,FALSE)&gt;0,0,IF('חד גזעי'!$AM$5="כן",IF(_xlfn.IFNA(VLOOKUP(C309,'חד גזעי'!$AH$2:$AH$33,1,FALSE),SUM(J309:M309))&lt;21,_xlfn.IFNA(VLOOKUP(C309,'חד גזעי'!$AH$2:$AH$33,1,FALSE),SUM(J309:M309)),0),SUM(J309:M309))),IF('חד גזעי'!$AM$5="כן",IF(_xlfn.IFNA(VLOOKUP(C309,'חד גזעי'!$AH$2:$AH$33,1,FALSE),SUM(J309:M309))&lt;21,_xlfn.IFNA(VLOOKUP(C309,'חד גזעי'!$AH$2:$AH$33,1,FALSE),SUM(J309:M309)),0),SUM(J309:M309)))</f>
        <v>#N/A</v>
      </c>
      <c r="O309" s="72">
        <f>IF('חד גזעי'!$AM$3 = "כן",IF(T309&gt;4,4,T309),T309)</f>
        <v>0</v>
      </c>
      <c r="P309" s="80">
        <f>IF(E309&lt;2,0,IF(Z309&gt;0,Z309,IF(N309 = 0,0,IF('חד גזעי'!$AM$2 = "לא",IF(F309&gt;19,W309,0),IF(F309&gt;9,Y309,0)))))</f>
        <v>0</v>
      </c>
      <c r="Q309" s="77"/>
      <c r="R309" s="76"/>
      <c r="S309" t="e">
        <f>VLOOKUP(C309,'חד גזעי'!$Y$4:$Y$18,1,0)</f>
        <v>#N/A</v>
      </c>
      <c r="T309" s="72">
        <f>IF('חד גזעי'!$AM$6="לא",IF(P309=0,IF(BC309="שימור",IF('חד גזעי'!$AM$4="לא",IF(BC309="לא בוגר",0,IF(BC309="לא קיים",0,IF(J309=0,0,I309*0.1))),IF(BC309="לא בוגר",0,IF(BC309="לא קיים",0,IF(AB309=1,I309*0.1,E309*0.5)))),0),IF('חד גזעי'!$AM$4="לא",IF(BC309="לא בוגר",0,IF(BC309="לא קיים",0,IF(J309=0,0,I309*0.1))),IF(BC309="לא בוגר",0,IF(BC309="לא קיים",0,IF(AB309=1,I309*0.1,E309*0.5))))),IF(P309=0,IF(BC309="שימור",IF('חד גזעי'!$AM$4="לא",IF(BC309="לא בוגר",0,IF(BC309="לא קיים",0,IF(J309=0,0,I309*0.15))),IF(BC309="לא בוגר",0,IF(BC309="לא קיים",0,IF(AB309=1,I309*0.15,E309*0.5)))),0),IF('חד גזעי'!$AM$4="לא",IF(BC309="לא בוגר",0,IF(BC309="לא קיים",0,IF(J309=0,0,I309*0.15))),IF(BC309="לא בוגר",0,IF(BC309="לא קיים",0,IF(AB309=1,I309*0.15,E309*0.5))))))</f>
        <v>0</v>
      </c>
      <c r="V309" t="e">
        <f t="shared" si="277"/>
        <v>#N/A</v>
      </c>
      <c r="W309" t="e">
        <f t="shared" si="278"/>
        <v>#N/A</v>
      </c>
      <c r="X309" t="e">
        <f t="shared" si="279"/>
        <v>#N/A</v>
      </c>
      <c r="Y309">
        <f>IF('חד גזעי'!$AM$2 = "לא",0,IF(F309&gt;9,W309,0))</f>
        <v>0</v>
      </c>
      <c r="Z309">
        <f>IF('חד גזעי'!$AM$7 = "לא",0,IF(C309 = "זית אירופי",IF('חד גזעי'!$AN$7 &lt;=סקר!F309,W309,0),IF(C309 = "חרוב מצוי",IF('חד גזעי'!$AN$7 &lt;=סקר!F309,W309,0),0)))</f>
        <v>0</v>
      </c>
      <c r="AB309">
        <f t="shared" si="305"/>
        <v>1</v>
      </c>
      <c r="AC309" s="72"/>
      <c r="AD309" t="e">
        <f t="shared" si="323"/>
        <v>#N/A</v>
      </c>
      <c r="AE309" s="72"/>
      <c r="AF309" s="72" t="e">
        <f t="shared" si="306"/>
        <v>#N/A</v>
      </c>
      <c r="AG309" s="72" t="e">
        <f>IF('חד גזעי'!$AM$5="לא",(VLOOKUP(C309,'חד גזעי'!$P$1:$S$589,3,FALSE)),(VLOOKUP(C309,'חד גזעי'!$P$1:$S$589,4,FALSE)))</f>
        <v>#N/A</v>
      </c>
      <c r="AH309" s="72">
        <f t="shared" si="307"/>
        <v>0</v>
      </c>
      <c r="AI309" s="72">
        <f t="shared" si="308"/>
        <v>0</v>
      </c>
      <c r="AJ309" s="72">
        <f t="shared" si="309"/>
        <v>0</v>
      </c>
      <c r="AK309" s="72" t="e">
        <f t="shared" si="310"/>
        <v>#N/A</v>
      </c>
      <c r="AL309" t="e">
        <f>VLOOKUP(C309,'חד גזעי'!$AH$8:$AI$33,2,FALSE)</f>
        <v>#N/A</v>
      </c>
      <c r="AM309" s="72" t="b">
        <f t="shared" si="311"/>
        <v>0</v>
      </c>
      <c r="AN309" s="72" t="b">
        <f t="shared" si="312"/>
        <v>0</v>
      </c>
      <c r="AO309" s="72" t="b">
        <f t="shared" si="313"/>
        <v>0</v>
      </c>
      <c r="AS309" s="72">
        <f t="shared" si="314"/>
        <v>0</v>
      </c>
      <c r="AT309" s="72">
        <f t="shared" si="315"/>
        <v>0</v>
      </c>
      <c r="AU309" s="72">
        <f t="shared" si="324"/>
        <v>0</v>
      </c>
      <c r="AV309" s="72">
        <f t="shared" si="316"/>
        <v>0</v>
      </c>
      <c r="AW309" s="72">
        <f t="shared" si="317"/>
        <v>0</v>
      </c>
      <c r="AX309" s="72">
        <f t="shared" si="318"/>
        <v>0</v>
      </c>
      <c r="AY309" s="72">
        <f t="shared" si="319"/>
        <v>0</v>
      </c>
      <c r="AZ309" s="72">
        <f t="shared" si="320"/>
        <v>0</v>
      </c>
      <c r="BA309" s="72" t="e">
        <f t="shared" si="321"/>
        <v>#N/A</v>
      </c>
      <c r="BB309" s="72" t="e">
        <f t="shared" si="322"/>
        <v>#N/A</v>
      </c>
      <c r="BC309" s="77"/>
      <c r="BE309">
        <f t="shared" si="302"/>
        <v>0</v>
      </c>
      <c r="BF309" s="196"/>
      <c r="BG309" s="196"/>
      <c r="BH309" s="196"/>
      <c r="BI309" s="196"/>
      <c r="BJ309" s="196"/>
      <c r="BK309" s="196"/>
    </row>
    <row r="310" spans="1:63" hidden="1">
      <c r="B310" s="72"/>
      <c r="C310" s="135"/>
      <c r="D310" s="73"/>
      <c r="E310" s="73"/>
      <c r="F310" s="72"/>
      <c r="G310" s="72"/>
      <c r="H310" s="72"/>
      <c r="I310" s="73">
        <f t="shared" si="304"/>
        <v>0</v>
      </c>
      <c r="J310" s="73"/>
      <c r="K310" s="73"/>
      <c r="L310" s="74" t="e">
        <f>_xlfn.IFNA(VLOOKUP(C310,'חד גזעי'!$U$3:$V$509,2,0),VLOOKUP(C310,'חד גזעי'!$U$3:$V$509,2))</f>
        <v>#N/A</v>
      </c>
      <c r="M310" s="73"/>
      <c r="N310" s="72" t="e">
        <f>_xlfn.IFNA(IF(VLOOKUP(C310,'חד גזעי'!$AH$2:$AH$7,1,FALSE)&gt;0,0,IF('חד גזעי'!$AM$5="כן",IF(_xlfn.IFNA(VLOOKUP(C310,'חד גזעי'!$AH$2:$AH$33,1,FALSE),SUM(J310:M310))&lt;21,_xlfn.IFNA(VLOOKUP(C310,'חד גזעי'!$AH$2:$AH$33,1,FALSE),SUM(J310:M310)),0),SUM(J310:M310))),IF('חד גזעי'!$AM$5="כן",IF(_xlfn.IFNA(VLOOKUP(C310,'חד גזעי'!$AH$2:$AH$33,1,FALSE),SUM(J310:M310))&lt;21,_xlfn.IFNA(VLOOKUP(C310,'חד גזעי'!$AH$2:$AH$33,1,FALSE),SUM(J310:M310)),0),SUM(J310:M310)))</f>
        <v>#N/A</v>
      </c>
      <c r="O310" s="72">
        <f>IF('חד גזעי'!$AM$3 = "כן",IF(T310&gt;4,4,T310),T310)</f>
        <v>0</v>
      </c>
      <c r="P310" s="80">
        <f>IF(E310&lt;2,0,IF(Z310&gt;0,Z310,IF(N310 = 0,0,IF('חד גזעי'!$AM$2 = "לא",IF(F310&gt;19,W310,0),IF(F310&gt;9,Y310,0)))))</f>
        <v>0</v>
      </c>
      <c r="Q310" s="77"/>
      <c r="R310" s="76"/>
      <c r="S310" t="e">
        <f>VLOOKUP(C310,'חד גזעי'!$Y$4:$Y$18,1,0)</f>
        <v>#N/A</v>
      </c>
      <c r="T310" s="72">
        <f>IF('חד גזעי'!$AM$6="לא",IF(P310=0,IF(BC310="שימור",IF('חד גזעי'!$AM$4="לא",IF(BC310="לא בוגר",0,IF(BC310="לא קיים",0,IF(J310=0,0,I310*0.1))),IF(BC310="לא בוגר",0,IF(BC310="לא קיים",0,IF(AB310=1,I310*0.1,E310*0.5)))),0),IF('חד גזעי'!$AM$4="לא",IF(BC310="לא בוגר",0,IF(BC310="לא קיים",0,IF(J310=0,0,I310*0.1))),IF(BC310="לא בוגר",0,IF(BC310="לא קיים",0,IF(AB310=1,I310*0.1,E310*0.5))))),IF(P310=0,IF(BC310="שימור",IF('חד גזעי'!$AM$4="לא",IF(BC310="לא בוגר",0,IF(BC310="לא קיים",0,IF(J310=0,0,I310*0.15))),IF(BC310="לא בוגר",0,IF(BC310="לא קיים",0,IF(AB310=1,I310*0.15,E310*0.5)))),0),IF('חד גזעי'!$AM$4="לא",IF(BC310="לא בוגר",0,IF(BC310="לא קיים",0,IF(J310=0,0,I310*0.15))),IF(BC310="לא בוגר",0,IF(BC310="לא קיים",0,IF(AB310=1,I310*0.15,E310*0.5))))))</f>
        <v>0</v>
      </c>
      <c r="V310" t="e">
        <f t="shared" si="277"/>
        <v>#N/A</v>
      </c>
      <c r="W310" t="e">
        <f t="shared" si="278"/>
        <v>#N/A</v>
      </c>
      <c r="X310" t="e">
        <f t="shared" si="279"/>
        <v>#N/A</v>
      </c>
      <c r="Y310">
        <f>IF('חד גזעי'!$AM$2 = "לא",0,IF(F310&gt;9,W310,0))</f>
        <v>0</v>
      </c>
      <c r="Z310">
        <f>IF('חד גזעי'!$AM$7 = "לא",0,IF(C310 = "זית אירופי",IF('חד גזעי'!$AN$7 &lt;=סקר!F310,W310,0),IF(C310 = "חרוב מצוי",IF('חד גזעי'!$AN$7 &lt;=סקר!F310,W310,0),0)))</f>
        <v>0</v>
      </c>
      <c r="AB310">
        <f t="shared" si="305"/>
        <v>1</v>
      </c>
      <c r="AC310" s="72"/>
      <c r="AD310" t="e">
        <f t="shared" si="323"/>
        <v>#N/A</v>
      </c>
      <c r="AE310" s="72"/>
      <c r="AF310" s="72" t="e">
        <f t="shared" si="306"/>
        <v>#N/A</v>
      </c>
      <c r="AG310" s="72" t="e">
        <f>IF('חד גזעי'!$AM$5="לא",(VLOOKUP(C310,'חד גזעי'!$P$1:$S$589,3,FALSE)),(VLOOKUP(C310,'חד גזעי'!$P$1:$S$589,4,FALSE)))</f>
        <v>#N/A</v>
      </c>
      <c r="AH310" s="72">
        <f t="shared" si="307"/>
        <v>0</v>
      </c>
      <c r="AI310" s="72">
        <f t="shared" si="308"/>
        <v>0</v>
      </c>
      <c r="AJ310" s="72">
        <f t="shared" si="309"/>
        <v>0</v>
      </c>
      <c r="AK310" s="72" t="e">
        <f t="shared" si="310"/>
        <v>#N/A</v>
      </c>
      <c r="AL310" t="e">
        <f>VLOOKUP(C310,'חד גזעי'!$AH$8:$AI$33,2,FALSE)</f>
        <v>#N/A</v>
      </c>
      <c r="AM310" s="72" t="b">
        <f t="shared" si="311"/>
        <v>0</v>
      </c>
      <c r="AN310" s="72" t="b">
        <f t="shared" si="312"/>
        <v>0</v>
      </c>
      <c r="AO310" s="72" t="b">
        <f t="shared" si="313"/>
        <v>0</v>
      </c>
      <c r="AS310" s="72">
        <f t="shared" si="314"/>
        <v>0</v>
      </c>
      <c r="AT310" s="72">
        <f t="shared" si="315"/>
        <v>0</v>
      </c>
      <c r="AU310" s="72">
        <f t="shared" si="324"/>
        <v>0</v>
      </c>
      <c r="AV310" s="72">
        <f t="shared" si="316"/>
        <v>0</v>
      </c>
      <c r="AW310" s="72">
        <f t="shared" si="317"/>
        <v>0</v>
      </c>
      <c r="AX310" s="72">
        <f t="shared" si="318"/>
        <v>0</v>
      </c>
      <c r="AY310" s="72">
        <f t="shared" si="319"/>
        <v>0</v>
      </c>
      <c r="AZ310" s="72">
        <f t="shared" si="320"/>
        <v>0</v>
      </c>
      <c r="BA310" s="72" t="e">
        <f t="shared" si="321"/>
        <v>#N/A</v>
      </c>
      <c r="BB310" s="72" t="e">
        <f t="shared" si="322"/>
        <v>#N/A</v>
      </c>
      <c r="BC310" s="77"/>
      <c r="BE310">
        <f t="shared" si="302"/>
        <v>0</v>
      </c>
      <c r="BF310" s="196"/>
      <c r="BG310" s="196"/>
      <c r="BH310" s="196"/>
      <c r="BI310" s="196"/>
      <c r="BJ310" s="196"/>
      <c r="BK310" s="196"/>
    </row>
    <row r="311" spans="1:63" hidden="1">
      <c r="B311" s="72"/>
      <c r="C311" s="135"/>
      <c r="D311" s="73"/>
      <c r="E311" s="73"/>
      <c r="F311" s="72"/>
      <c r="G311" s="72"/>
      <c r="H311" s="72"/>
      <c r="I311" s="73">
        <f t="shared" si="304"/>
        <v>0</v>
      </c>
      <c r="J311" s="73"/>
      <c r="K311" s="73"/>
      <c r="L311" s="74" t="e">
        <f>_xlfn.IFNA(VLOOKUP(C311,'חד גזעי'!$U$3:$V$509,2,0),VLOOKUP(C311,'חד גזעי'!$U$3:$V$509,2))</f>
        <v>#N/A</v>
      </c>
      <c r="M311" s="73"/>
      <c r="N311" s="72" t="e">
        <f>_xlfn.IFNA(IF(VLOOKUP(C311,'חד גזעי'!$AH$2:$AH$7,1,FALSE)&gt;0,0,IF('חד גזעי'!$AM$5="כן",IF(_xlfn.IFNA(VLOOKUP(C311,'חד גזעי'!$AH$2:$AH$33,1,FALSE),SUM(J311:M311))&lt;21,_xlfn.IFNA(VLOOKUP(C311,'חד גזעי'!$AH$2:$AH$33,1,FALSE),SUM(J311:M311)),0),SUM(J311:M311))),IF('חד גזעי'!$AM$5="כן",IF(_xlfn.IFNA(VLOOKUP(C311,'חד גזעי'!$AH$2:$AH$33,1,FALSE),SUM(J311:M311))&lt;21,_xlfn.IFNA(VLOOKUP(C311,'חד גזעי'!$AH$2:$AH$33,1,FALSE),SUM(J311:M311)),0),SUM(J311:M311)))</f>
        <v>#N/A</v>
      </c>
      <c r="O311" s="72">
        <f>IF('חד גזעי'!$AM$3 = "כן",IF(T311&gt;4,4,T311),T311)</f>
        <v>0</v>
      </c>
      <c r="P311" s="80">
        <f>IF(E311&lt;2,0,IF(Z311&gt;0,Z311,IF(N311 = 0,0,IF('חד גזעי'!$AM$2 = "לא",IF(F311&gt;19,W311,0),IF(F311&gt;9,Y311,0)))))</f>
        <v>0</v>
      </c>
      <c r="Q311" s="77"/>
      <c r="R311" s="76"/>
      <c r="S311" t="e">
        <f>VLOOKUP(C311,'חד גזעי'!$Y$4:$Y$18,1,0)</f>
        <v>#N/A</v>
      </c>
      <c r="T311" s="72">
        <f>IF('חד גזעי'!$AM$6="לא",IF(P311=0,IF(BC311="שימור",IF('חד גזעי'!$AM$4="לא",IF(BC311="לא בוגר",0,IF(BC311="לא קיים",0,IF(J311=0,0,I311*0.1))),IF(BC311="לא בוגר",0,IF(BC311="לא קיים",0,IF(AB311=1,I311*0.1,E311*0.5)))),0),IF('חד גזעי'!$AM$4="לא",IF(BC311="לא בוגר",0,IF(BC311="לא קיים",0,IF(J311=0,0,I311*0.1))),IF(BC311="לא בוגר",0,IF(BC311="לא קיים",0,IF(AB311=1,I311*0.1,E311*0.5))))),IF(P311=0,IF(BC311="שימור",IF('חד גזעי'!$AM$4="לא",IF(BC311="לא בוגר",0,IF(BC311="לא קיים",0,IF(J311=0,0,I311*0.15))),IF(BC311="לא בוגר",0,IF(BC311="לא קיים",0,IF(AB311=1,I311*0.15,E311*0.5)))),0),IF('חד גזעי'!$AM$4="לא",IF(BC311="לא בוגר",0,IF(BC311="לא קיים",0,IF(J311=0,0,I311*0.15))),IF(BC311="לא בוגר",0,IF(BC311="לא קיים",0,IF(AB311=1,I311*0.15,E311*0.5))))))</f>
        <v>0</v>
      </c>
      <c r="V311" t="e">
        <f t="shared" si="277"/>
        <v>#N/A</v>
      </c>
      <c r="W311" t="e">
        <f t="shared" si="278"/>
        <v>#N/A</v>
      </c>
      <c r="X311" t="e">
        <f t="shared" si="279"/>
        <v>#N/A</v>
      </c>
      <c r="Y311">
        <f>IF('חד גזעי'!$AM$2 = "לא",0,IF(F311&gt;9,W311,0))</f>
        <v>0</v>
      </c>
      <c r="Z311">
        <f>IF('חד גזעי'!$AM$7 = "לא",0,IF(C311 = "זית אירופי",IF('חד גזעי'!$AN$7 &lt;=סקר!F311,W311,0),IF(C311 = "חרוב מצוי",IF('חד גזעי'!$AN$7 &lt;=סקר!F311,W311,0),0)))</f>
        <v>0</v>
      </c>
      <c r="AB311">
        <f t="shared" si="305"/>
        <v>1</v>
      </c>
      <c r="AC311" s="72"/>
      <c r="AD311" t="e">
        <f t="shared" si="323"/>
        <v>#N/A</v>
      </c>
      <c r="AE311" s="72"/>
      <c r="AF311" s="72" t="e">
        <f t="shared" si="306"/>
        <v>#N/A</v>
      </c>
      <c r="AG311" s="72" t="e">
        <f>IF('חד גזעי'!$AM$5="לא",(VLOOKUP(C311,'חד גזעי'!$P$1:$S$589,3,FALSE)),(VLOOKUP(C311,'חד גזעי'!$P$1:$S$589,4,FALSE)))</f>
        <v>#N/A</v>
      </c>
      <c r="AH311" s="72">
        <f t="shared" si="307"/>
        <v>0</v>
      </c>
      <c r="AI311" s="72">
        <f t="shared" si="308"/>
        <v>0</v>
      </c>
      <c r="AJ311" s="72">
        <f t="shared" si="309"/>
        <v>0</v>
      </c>
      <c r="AK311" s="72" t="e">
        <f t="shared" si="310"/>
        <v>#N/A</v>
      </c>
      <c r="AL311" t="e">
        <f>VLOOKUP(C311,'חד גזעי'!$AH$8:$AI$33,2,FALSE)</f>
        <v>#N/A</v>
      </c>
      <c r="AM311" s="72" t="b">
        <f t="shared" si="311"/>
        <v>0</v>
      </c>
      <c r="AN311" s="72" t="b">
        <f t="shared" si="312"/>
        <v>0</v>
      </c>
      <c r="AO311" s="72" t="b">
        <f t="shared" si="313"/>
        <v>0</v>
      </c>
      <c r="AS311" s="72">
        <f t="shared" si="314"/>
        <v>0</v>
      </c>
      <c r="AT311" s="72">
        <f t="shared" si="315"/>
        <v>0</v>
      </c>
      <c r="AU311" s="72">
        <f t="shared" si="324"/>
        <v>0</v>
      </c>
      <c r="AV311" s="72">
        <f t="shared" si="316"/>
        <v>0</v>
      </c>
      <c r="AW311" s="72">
        <f t="shared" si="317"/>
        <v>0</v>
      </c>
      <c r="AX311" s="72">
        <f t="shared" si="318"/>
        <v>0</v>
      </c>
      <c r="AY311" s="72">
        <f t="shared" si="319"/>
        <v>0</v>
      </c>
      <c r="AZ311" s="72">
        <f t="shared" si="320"/>
        <v>0</v>
      </c>
      <c r="BA311" s="72" t="e">
        <f t="shared" si="321"/>
        <v>#N/A</v>
      </c>
      <c r="BB311" s="72" t="e">
        <f t="shared" si="322"/>
        <v>#N/A</v>
      </c>
      <c r="BC311" s="77"/>
      <c r="BE311">
        <f t="shared" si="302"/>
        <v>0</v>
      </c>
      <c r="BF311" s="196"/>
      <c r="BG311" s="196"/>
      <c r="BH311" s="196"/>
      <c r="BI311" s="196"/>
      <c r="BJ311" s="196"/>
      <c r="BK311" s="196"/>
    </row>
    <row r="312" spans="1:63" hidden="1">
      <c r="B312" s="72"/>
      <c r="C312" s="135"/>
      <c r="D312" s="73"/>
      <c r="E312" s="73"/>
      <c r="F312" s="72"/>
      <c r="G312" s="72"/>
      <c r="H312" s="72"/>
      <c r="I312" s="73">
        <f t="shared" si="304"/>
        <v>0</v>
      </c>
      <c r="J312" s="73"/>
      <c r="K312" s="73"/>
      <c r="L312" s="74" t="e">
        <f>_xlfn.IFNA(VLOOKUP(C312,'חד גזעי'!$U$3:$V$509,2,0),VLOOKUP(C312,'חד גזעי'!$U$3:$V$509,2))</f>
        <v>#N/A</v>
      </c>
      <c r="M312" s="73"/>
      <c r="N312" s="72" t="e">
        <f>_xlfn.IFNA(IF(VLOOKUP(C312,'חד גזעי'!$AH$2:$AH$7,1,FALSE)&gt;0,0,IF('חד גזעי'!$AM$5="כן",IF(_xlfn.IFNA(VLOOKUP(C312,'חד גזעי'!$AH$2:$AH$33,1,FALSE),SUM(J312:M312))&lt;21,_xlfn.IFNA(VLOOKUP(C312,'חד גזעי'!$AH$2:$AH$33,1,FALSE),SUM(J312:M312)),0),SUM(J312:M312))),IF('חד גזעי'!$AM$5="כן",IF(_xlfn.IFNA(VLOOKUP(C312,'חד גזעי'!$AH$2:$AH$33,1,FALSE),SUM(J312:M312))&lt;21,_xlfn.IFNA(VLOOKUP(C312,'חד גזעי'!$AH$2:$AH$33,1,FALSE),SUM(J312:M312)),0),SUM(J312:M312)))</f>
        <v>#N/A</v>
      </c>
      <c r="O312" s="72">
        <f>IF('חד גזעי'!$AM$3 = "כן",IF(T312&gt;4,4,T312),T312)</f>
        <v>0</v>
      </c>
      <c r="P312" s="80">
        <f>IF(E312&lt;2,0,IF(Z312&gt;0,Z312,IF(N312 = 0,0,IF('חד גזעי'!$AM$2 = "לא",IF(F312&gt;19,W312,0),IF(F312&gt;9,Y312,0)))))</f>
        <v>0</v>
      </c>
      <c r="Q312" s="77"/>
      <c r="R312" s="76"/>
      <c r="S312" t="e">
        <f>VLOOKUP(C312,'חד גזעי'!$Y$4:$Y$18,1,0)</f>
        <v>#N/A</v>
      </c>
      <c r="T312" s="72">
        <f>IF('חד גזעי'!$AM$6="לא",IF(P312=0,IF(BC312="שימור",IF('חד גזעי'!$AM$4="לא",IF(BC312="לא בוגר",0,IF(BC312="לא קיים",0,IF(J312=0,0,I312*0.1))),IF(BC312="לא בוגר",0,IF(BC312="לא קיים",0,IF(AB312=1,I312*0.1,E312*0.5)))),0),IF('חד גזעי'!$AM$4="לא",IF(BC312="לא בוגר",0,IF(BC312="לא קיים",0,IF(J312=0,0,I312*0.1))),IF(BC312="לא בוגר",0,IF(BC312="לא קיים",0,IF(AB312=1,I312*0.1,E312*0.5))))),IF(P312=0,IF(BC312="שימור",IF('חד גזעי'!$AM$4="לא",IF(BC312="לא בוגר",0,IF(BC312="לא קיים",0,IF(J312=0,0,I312*0.15))),IF(BC312="לא בוגר",0,IF(BC312="לא קיים",0,IF(AB312=1,I312*0.15,E312*0.5)))),0),IF('חד גזעי'!$AM$4="לא",IF(BC312="לא בוגר",0,IF(BC312="לא קיים",0,IF(J312=0,0,I312*0.15))),IF(BC312="לא בוגר",0,IF(BC312="לא קיים",0,IF(AB312=1,I312*0.15,E312*0.5))))))</f>
        <v>0</v>
      </c>
      <c r="V312" t="e">
        <f t="shared" si="277"/>
        <v>#N/A</v>
      </c>
      <c r="W312" t="e">
        <f t="shared" si="278"/>
        <v>#N/A</v>
      </c>
      <c r="X312" t="e">
        <f t="shared" si="279"/>
        <v>#N/A</v>
      </c>
      <c r="Y312">
        <f>IF('חד גזעי'!$AM$2 = "לא",0,IF(F312&gt;9,W312,0))</f>
        <v>0</v>
      </c>
      <c r="Z312">
        <f>IF('חד גזעי'!$AM$7 = "לא",0,IF(C312 = "זית אירופי",IF('חד גזעי'!$AN$7 &lt;=סקר!F312,W312,0),IF(C312 = "חרוב מצוי",IF('חד גזעי'!$AN$7 &lt;=סקר!F312,W312,0),0)))</f>
        <v>0</v>
      </c>
      <c r="AB312">
        <f t="shared" si="305"/>
        <v>1</v>
      </c>
      <c r="AC312" s="72"/>
      <c r="AD312" t="e">
        <f t="shared" si="323"/>
        <v>#N/A</v>
      </c>
      <c r="AE312" s="72"/>
      <c r="AF312" s="72" t="e">
        <f t="shared" si="306"/>
        <v>#N/A</v>
      </c>
      <c r="AG312" s="72" t="e">
        <f>IF('חד גזעי'!$AM$5="לא",(VLOOKUP(C312,'חד גזעי'!$P$1:$S$589,3,FALSE)),(VLOOKUP(C312,'חד גזעי'!$P$1:$S$589,4,FALSE)))</f>
        <v>#N/A</v>
      </c>
      <c r="AH312" s="72">
        <f t="shared" si="307"/>
        <v>0</v>
      </c>
      <c r="AI312" s="72">
        <f t="shared" si="308"/>
        <v>0</v>
      </c>
      <c r="AJ312" s="72">
        <f t="shared" si="309"/>
        <v>0</v>
      </c>
      <c r="AK312" s="72" t="e">
        <f t="shared" si="310"/>
        <v>#N/A</v>
      </c>
      <c r="AL312" t="e">
        <f>VLOOKUP(C312,'חד גזעי'!$AH$8:$AI$33,2,FALSE)</f>
        <v>#N/A</v>
      </c>
      <c r="AM312" s="72" t="b">
        <f t="shared" si="311"/>
        <v>0</v>
      </c>
      <c r="AN312" s="72" t="b">
        <f t="shared" si="312"/>
        <v>0</v>
      </c>
      <c r="AO312" s="72" t="b">
        <f t="shared" si="313"/>
        <v>0</v>
      </c>
      <c r="AS312" s="72">
        <f t="shared" si="314"/>
        <v>0</v>
      </c>
      <c r="AT312" s="72">
        <f t="shared" si="315"/>
        <v>0</v>
      </c>
      <c r="AU312" s="72">
        <f t="shared" si="324"/>
        <v>0</v>
      </c>
      <c r="AV312" s="72">
        <f t="shared" si="316"/>
        <v>0</v>
      </c>
      <c r="AW312" s="72">
        <f t="shared" si="317"/>
        <v>0</v>
      </c>
      <c r="AX312" s="72">
        <f t="shared" si="318"/>
        <v>0</v>
      </c>
      <c r="AY312" s="72">
        <f t="shared" si="319"/>
        <v>0</v>
      </c>
      <c r="AZ312" s="72">
        <f t="shared" si="320"/>
        <v>0</v>
      </c>
      <c r="BA312" s="72" t="e">
        <f t="shared" si="321"/>
        <v>#N/A</v>
      </c>
      <c r="BB312" s="72" t="e">
        <f t="shared" si="322"/>
        <v>#N/A</v>
      </c>
      <c r="BC312" s="77"/>
      <c r="BE312">
        <f t="shared" si="302"/>
        <v>0</v>
      </c>
      <c r="BF312" s="196"/>
      <c r="BG312" s="196"/>
      <c r="BH312" s="196"/>
      <c r="BI312" s="196"/>
      <c r="BJ312" s="196"/>
      <c r="BK312" s="196"/>
    </row>
    <row r="313" spans="1:63" hidden="1">
      <c r="B313" s="72"/>
      <c r="C313" s="135"/>
      <c r="D313" s="73"/>
      <c r="E313" s="73"/>
      <c r="F313" s="72"/>
      <c r="G313" s="72"/>
      <c r="H313" s="72"/>
      <c r="I313" s="73">
        <f t="shared" si="304"/>
        <v>0</v>
      </c>
      <c r="J313" s="73"/>
      <c r="K313" s="73"/>
      <c r="L313" s="74" t="e">
        <f>_xlfn.IFNA(VLOOKUP(C313,'חד גזעי'!$U$3:$V$509,2,0),VLOOKUP(C313,'חד גזעי'!$U$3:$V$509,2))</f>
        <v>#N/A</v>
      </c>
      <c r="M313" s="73"/>
      <c r="N313" s="72" t="e">
        <f>_xlfn.IFNA(IF(VLOOKUP(C313,'חד גזעי'!$AH$2:$AH$7,1,FALSE)&gt;0,0,IF('חד גזעי'!$AM$5="כן",IF(_xlfn.IFNA(VLOOKUP(C313,'חד גזעי'!$AH$2:$AH$33,1,FALSE),SUM(J313:M313))&lt;21,_xlfn.IFNA(VLOOKUP(C313,'חד גזעי'!$AH$2:$AH$33,1,FALSE),SUM(J313:M313)),0),SUM(J313:M313))),IF('חד גזעי'!$AM$5="כן",IF(_xlfn.IFNA(VLOOKUP(C313,'חד גזעי'!$AH$2:$AH$33,1,FALSE),SUM(J313:M313))&lt;21,_xlfn.IFNA(VLOOKUP(C313,'חד גזעי'!$AH$2:$AH$33,1,FALSE),SUM(J313:M313)),0),SUM(J313:M313)))</f>
        <v>#N/A</v>
      </c>
      <c r="O313" s="72">
        <f>IF('חד גזעי'!$AM$3 = "כן",IF(T313&gt;4,4,T313),T313)</f>
        <v>0</v>
      </c>
      <c r="P313" s="80">
        <f>IF(E313&lt;2,0,IF(Z313&gt;0,Z313,IF(N313 = 0,0,IF('חד גזעי'!$AM$2 = "לא",IF(F313&gt;19,W313,0),IF(F313&gt;9,Y313,0)))))</f>
        <v>0</v>
      </c>
      <c r="Q313" s="77"/>
      <c r="R313" s="76"/>
      <c r="S313" t="e">
        <f>VLOOKUP(C313,'חד גזעי'!$Y$4:$Y$18,1,0)</f>
        <v>#N/A</v>
      </c>
      <c r="T313" s="72">
        <f>IF('חד גזעי'!$AM$6="לא",IF(P313=0,IF(BC313="שימור",IF('חד גזעי'!$AM$4="לא",IF(BC313="לא בוגר",0,IF(BC313="לא קיים",0,IF(J313=0,0,I313*0.1))),IF(BC313="לא בוגר",0,IF(BC313="לא קיים",0,IF(AB313=1,I313*0.1,E313*0.5)))),0),IF('חד גזעי'!$AM$4="לא",IF(BC313="לא בוגר",0,IF(BC313="לא קיים",0,IF(J313=0,0,I313*0.1))),IF(BC313="לא בוגר",0,IF(BC313="לא קיים",0,IF(AB313=1,I313*0.1,E313*0.5))))),IF(P313=0,IF(BC313="שימור",IF('חד גזעי'!$AM$4="לא",IF(BC313="לא בוגר",0,IF(BC313="לא קיים",0,IF(J313=0,0,I313*0.15))),IF(BC313="לא בוגר",0,IF(BC313="לא קיים",0,IF(AB313=1,I313*0.15,E313*0.5)))),0),IF('חד גזעי'!$AM$4="לא",IF(BC313="לא בוגר",0,IF(BC313="לא קיים",0,IF(J313=0,0,I313*0.15))),IF(BC313="לא בוגר",0,IF(BC313="לא קיים",0,IF(AB313=1,I313*0.15,E313*0.5))))))</f>
        <v>0</v>
      </c>
      <c r="V313" t="e">
        <f t="shared" si="277"/>
        <v>#N/A</v>
      </c>
      <c r="W313" t="e">
        <f t="shared" si="278"/>
        <v>#N/A</v>
      </c>
      <c r="X313" t="e">
        <f t="shared" si="279"/>
        <v>#N/A</v>
      </c>
      <c r="Y313">
        <f>IF('חד גזעי'!$AM$2 = "לא",0,IF(F313&gt;9,W313,0))</f>
        <v>0</v>
      </c>
      <c r="Z313">
        <f>IF('חד גזעי'!$AM$7 = "לא",0,IF(C313 = "זית אירופי",IF('חד גזעי'!$AN$7 &lt;=סקר!F313,W313,0),IF(C313 = "חרוב מצוי",IF('חד גזעי'!$AN$7 &lt;=סקר!F313,W313,0),0)))</f>
        <v>0</v>
      </c>
      <c r="AB313">
        <f t="shared" si="305"/>
        <v>1</v>
      </c>
      <c r="AC313" s="72"/>
      <c r="AD313" t="e">
        <f t="shared" si="323"/>
        <v>#N/A</v>
      </c>
      <c r="AE313" s="72"/>
      <c r="AF313" s="72" t="e">
        <f t="shared" si="306"/>
        <v>#N/A</v>
      </c>
      <c r="AG313" s="72" t="e">
        <f>IF('חד גזעי'!$AM$5="לא",(VLOOKUP(C313,'חד גזעי'!$P$1:$S$589,3,FALSE)),(VLOOKUP(C313,'חד גזעי'!$P$1:$S$589,4,FALSE)))</f>
        <v>#N/A</v>
      </c>
      <c r="AH313" s="72">
        <f t="shared" si="307"/>
        <v>0</v>
      </c>
      <c r="AI313" s="72">
        <f t="shared" si="308"/>
        <v>0</v>
      </c>
      <c r="AJ313" s="72">
        <f t="shared" si="309"/>
        <v>0</v>
      </c>
      <c r="AK313" s="72" t="e">
        <f t="shared" si="310"/>
        <v>#N/A</v>
      </c>
      <c r="AL313" t="e">
        <f>VLOOKUP(C313,'חד גזעי'!$AH$8:$AI$33,2,FALSE)</f>
        <v>#N/A</v>
      </c>
      <c r="AM313" s="72" t="b">
        <f t="shared" si="311"/>
        <v>0</v>
      </c>
      <c r="AN313" s="72" t="b">
        <f t="shared" si="312"/>
        <v>0</v>
      </c>
      <c r="AO313" s="72" t="b">
        <f t="shared" si="313"/>
        <v>0</v>
      </c>
      <c r="AS313" s="72">
        <f t="shared" si="314"/>
        <v>0</v>
      </c>
      <c r="AT313" s="72">
        <f t="shared" si="315"/>
        <v>0</v>
      </c>
      <c r="AU313" s="72">
        <f t="shared" si="324"/>
        <v>0</v>
      </c>
      <c r="AV313" s="72">
        <f t="shared" si="316"/>
        <v>0</v>
      </c>
      <c r="AW313" s="72">
        <f t="shared" si="317"/>
        <v>0</v>
      </c>
      <c r="AX313" s="72">
        <f t="shared" si="318"/>
        <v>0</v>
      </c>
      <c r="AY313" s="72">
        <f t="shared" si="319"/>
        <v>0</v>
      </c>
      <c r="AZ313" s="72">
        <f t="shared" si="320"/>
        <v>0</v>
      </c>
      <c r="BA313" s="72" t="e">
        <f t="shared" si="321"/>
        <v>#N/A</v>
      </c>
      <c r="BB313" s="72" t="e">
        <f t="shared" si="322"/>
        <v>#N/A</v>
      </c>
      <c r="BC313" s="77"/>
      <c r="BE313">
        <f t="shared" si="302"/>
        <v>0</v>
      </c>
      <c r="BF313" s="196"/>
      <c r="BG313" s="196"/>
      <c r="BH313" s="196"/>
      <c r="BI313" s="196"/>
      <c r="BJ313" s="196"/>
      <c r="BK313" s="196"/>
    </row>
    <row r="314" spans="1:63" hidden="1">
      <c r="B314" s="72"/>
      <c r="C314" s="135"/>
      <c r="D314" s="73"/>
      <c r="E314" s="73"/>
      <c r="F314" s="72"/>
      <c r="G314" s="72"/>
      <c r="H314" s="72"/>
      <c r="I314" s="73">
        <f t="shared" si="304"/>
        <v>0</v>
      </c>
      <c r="J314" s="73"/>
      <c r="K314" s="73"/>
      <c r="L314" s="74" t="e">
        <f>_xlfn.IFNA(VLOOKUP(C314,'חד גזעי'!$U$3:$V$509,2,0),VLOOKUP(C314,'חד גזעי'!$U$3:$V$509,2))</f>
        <v>#N/A</v>
      </c>
      <c r="M314" s="73"/>
      <c r="N314" s="72" t="e">
        <f>_xlfn.IFNA(IF(VLOOKUP(C314,'חד גזעי'!$AH$2:$AH$7,1,FALSE)&gt;0,0,IF('חד גזעי'!$AM$5="כן",IF(_xlfn.IFNA(VLOOKUP(C314,'חד גזעי'!$AH$2:$AH$33,1,FALSE),SUM(J314:M314))&lt;21,_xlfn.IFNA(VLOOKUP(C314,'חד גזעי'!$AH$2:$AH$33,1,FALSE),SUM(J314:M314)),0),SUM(J314:M314))),IF('חד גזעי'!$AM$5="כן",IF(_xlfn.IFNA(VLOOKUP(C314,'חד גזעי'!$AH$2:$AH$33,1,FALSE),SUM(J314:M314))&lt;21,_xlfn.IFNA(VLOOKUP(C314,'חד גזעי'!$AH$2:$AH$33,1,FALSE),SUM(J314:M314)),0),SUM(J314:M314)))</f>
        <v>#N/A</v>
      </c>
      <c r="O314" s="72">
        <f>IF('חד גזעי'!$AM$3 = "כן",IF(T314&gt;4,4,T314),T314)</f>
        <v>0</v>
      </c>
      <c r="P314" s="80">
        <f>IF(E314&lt;2,0,IF(Z314&gt;0,Z314,IF(N314 = 0,0,IF('חד גזעי'!$AM$2 = "לא",IF(F314&gt;19,W314,0),IF(F314&gt;9,Y314,0)))))</f>
        <v>0</v>
      </c>
      <c r="Q314" s="77"/>
      <c r="R314" s="76"/>
      <c r="S314" t="e">
        <f>VLOOKUP(C314,'חד גזעי'!$Y$4:$Y$18,1,0)</f>
        <v>#N/A</v>
      </c>
      <c r="T314" s="72">
        <f>IF('חד גזעי'!$AM$6="לא",IF(P314=0,IF(BC314="שימור",IF('חד גזעי'!$AM$4="לא",IF(BC314="לא בוגר",0,IF(BC314="לא קיים",0,IF(J314=0,0,I314*0.1))),IF(BC314="לא בוגר",0,IF(BC314="לא קיים",0,IF(AB314=1,I314*0.1,E314*0.5)))),0),IF('חד גזעי'!$AM$4="לא",IF(BC314="לא בוגר",0,IF(BC314="לא קיים",0,IF(J314=0,0,I314*0.1))),IF(BC314="לא בוגר",0,IF(BC314="לא קיים",0,IF(AB314=1,I314*0.1,E314*0.5))))),IF(P314=0,IF(BC314="שימור",IF('חד גזעי'!$AM$4="לא",IF(BC314="לא בוגר",0,IF(BC314="לא קיים",0,IF(J314=0,0,I314*0.15))),IF(BC314="לא בוגר",0,IF(BC314="לא קיים",0,IF(AB314=1,I314*0.15,E314*0.5)))),0),IF('חד גזעי'!$AM$4="לא",IF(BC314="לא בוגר",0,IF(BC314="לא קיים",0,IF(J314=0,0,I314*0.15))),IF(BC314="לא בוגר",0,IF(BC314="לא קיים",0,IF(AB314=1,I314*0.15,E314*0.5))))))</f>
        <v>0</v>
      </c>
      <c r="V314" t="e">
        <f t="shared" si="277"/>
        <v>#N/A</v>
      </c>
      <c r="W314" t="e">
        <f t="shared" si="278"/>
        <v>#N/A</v>
      </c>
      <c r="X314" t="e">
        <f t="shared" si="279"/>
        <v>#N/A</v>
      </c>
      <c r="Y314">
        <f>IF('חד גזעי'!$AM$2 = "לא",0,IF(F314&gt;9,W314,0))</f>
        <v>0</v>
      </c>
      <c r="Z314">
        <f>IF('חד גזעי'!$AM$7 = "לא",0,IF(C314 = "זית אירופי",IF('חד גזעי'!$AN$7 &lt;=סקר!F314,W314,0),IF(C314 = "חרוב מצוי",IF('חד גזעי'!$AN$7 &lt;=סקר!F314,W314,0),0)))</f>
        <v>0</v>
      </c>
      <c r="AB314">
        <f t="shared" si="305"/>
        <v>1</v>
      </c>
      <c r="AC314" s="72"/>
      <c r="AD314" t="e">
        <f t="shared" si="323"/>
        <v>#N/A</v>
      </c>
      <c r="AE314" s="72"/>
      <c r="AF314" s="72" t="e">
        <f t="shared" si="306"/>
        <v>#N/A</v>
      </c>
      <c r="AG314" s="72" t="e">
        <f>IF('חד גזעי'!$AM$5="לא",(VLOOKUP(C314,'חד גזעי'!$P$1:$S$589,3,FALSE)),(VLOOKUP(C314,'חד גזעי'!$P$1:$S$589,4,FALSE)))</f>
        <v>#N/A</v>
      </c>
      <c r="AH314" s="72">
        <f t="shared" si="307"/>
        <v>0</v>
      </c>
      <c r="AI314" s="72">
        <f t="shared" si="308"/>
        <v>0</v>
      </c>
      <c r="AJ314" s="72">
        <f t="shared" si="309"/>
        <v>0</v>
      </c>
      <c r="AK314" s="72" t="e">
        <f t="shared" si="310"/>
        <v>#N/A</v>
      </c>
      <c r="AL314" t="e">
        <f>VLOOKUP(C314,'חד גזעי'!$AH$8:$AI$33,2,FALSE)</f>
        <v>#N/A</v>
      </c>
      <c r="AM314" s="72" t="b">
        <f t="shared" si="311"/>
        <v>0</v>
      </c>
      <c r="AN314" s="72" t="b">
        <f t="shared" si="312"/>
        <v>0</v>
      </c>
      <c r="AO314" s="72" t="b">
        <f t="shared" si="313"/>
        <v>0</v>
      </c>
      <c r="AS314" s="72">
        <f t="shared" si="314"/>
        <v>0</v>
      </c>
      <c r="AT314" s="72">
        <f t="shared" si="315"/>
        <v>0</v>
      </c>
      <c r="AU314" s="72">
        <f t="shared" si="324"/>
        <v>0</v>
      </c>
      <c r="AV314" s="72">
        <f t="shared" si="316"/>
        <v>0</v>
      </c>
      <c r="AW314" s="72">
        <f t="shared" si="317"/>
        <v>0</v>
      </c>
      <c r="AX314" s="72">
        <f t="shared" si="318"/>
        <v>0</v>
      </c>
      <c r="AY314" s="72">
        <f t="shared" si="319"/>
        <v>0</v>
      </c>
      <c r="AZ314" s="72">
        <f t="shared" si="320"/>
        <v>0</v>
      </c>
      <c r="BA314" s="72" t="e">
        <f t="shared" si="321"/>
        <v>#N/A</v>
      </c>
      <c r="BB314" s="72" t="e">
        <f t="shared" si="322"/>
        <v>#N/A</v>
      </c>
      <c r="BC314" s="77"/>
      <c r="BE314">
        <f t="shared" si="302"/>
        <v>0</v>
      </c>
      <c r="BF314" s="196"/>
      <c r="BG314" s="196"/>
      <c r="BH314" s="196"/>
      <c r="BI314" s="196"/>
      <c r="BJ314" s="196"/>
      <c r="BK314" s="196"/>
    </row>
    <row r="315" spans="1:63" ht="14.25" hidden="1">
      <c r="B315" s="71"/>
      <c r="C315" s="69"/>
      <c r="Q315" s="86"/>
      <c r="T315" s="72">
        <f>IF('חד גזעי'!$AM$6="לא",IF(P315=0,IF(BC315="שימור",IF('חד גזעי'!$AM$4="לא",IF(BC315="לא בוגר",0,IF(BC315="לא קיים",0,IF(J315=0,0,I315*0.1))),IF(BC315="לא בוגר",0,IF(BC315="לא קיים",0,IF(AB315=1,I315*0.1,E315*0.5)))),0),IF('חד גזעי'!$AM$4="לא",IF(BC315="לא בוגר",0,IF(BC315="לא קיים",0,IF(J315=0,0,I315*0.1))),IF(BC315="לא בוגר",0,IF(BC315="לא קיים",0,IF(AB315=1,I315*0.1,E315*0.5))))),IF(P315=0,IF(BC315="שימור",IF('חד גזעי'!$AM$4="לא",IF(BC315="לא בוגר",0,IF(BC315="לא קיים",0,IF(J315=0,0,I315*0.15))),IF(BC315="לא בוגר",0,IF(BC315="לא קיים",0,IF(AB315=1,I315*0.15,E315*0.5)))),0),IF('חד גזעי'!$AM$4="לא",IF(BC315="לא בוגר",0,IF(BC315="לא קיים",0,IF(J315=0,0,I315*0.15))),IF(BC315="לא בוגר",0,IF(BC315="לא קיים",0,IF(AB315=1,I315*0.15,E315*0.5))))))</f>
        <v>0</v>
      </c>
      <c r="V315">
        <f t="shared" si="277"/>
        <v>0</v>
      </c>
      <c r="W315">
        <f t="shared" si="278"/>
        <v>0</v>
      </c>
      <c r="X315">
        <f t="shared" si="279"/>
        <v>0</v>
      </c>
      <c r="Y315">
        <f>IF('חד גזעי'!$AM$2 = "לא",0,IF(F315&gt;9,W315,0))</f>
        <v>0</v>
      </c>
      <c r="Z315">
        <f>IF('חד גזעי'!$AM$7 = "לא",0,IF(C315 = "זית אירופי",IF('חד גזעי'!$AN$7 &lt;=סקר!F315,W315,0),IF(C315 = "חרוב מצוי",IF('חד גזעי'!$AN$7 &lt;=סקר!F315,W315,0),0)))</f>
        <v>0</v>
      </c>
      <c r="AD315" s="69" t="s">
        <v>807</v>
      </c>
      <c r="BE315">
        <f t="shared" si="302"/>
        <v>0</v>
      </c>
      <c r="BF315" s="196"/>
      <c r="BG315" s="196"/>
      <c r="BH315" s="196"/>
      <c r="BI315" s="196"/>
      <c r="BJ315" s="196"/>
      <c r="BK315" s="196"/>
    </row>
    <row r="316" spans="1:63" ht="14.25" hidden="1">
      <c r="A316" s="129"/>
      <c r="B316" s="132"/>
      <c r="C316" s="133"/>
      <c r="D316" s="129"/>
      <c r="E316" s="129"/>
      <c r="F316" s="129"/>
      <c r="G316" s="129"/>
      <c r="H316" s="129"/>
      <c r="I316" s="129"/>
      <c r="J316" s="129"/>
      <c r="K316" s="129"/>
      <c r="L316" s="129"/>
      <c r="M316" s="129"/>
      <c r="N316" s="129"/>
      <c r="O316" s="129"/>
      <c r="P316" s="129"/>
      <c r="Q316" s="134"/>
      <c r="R316" s="129"/>
      <c r="S316" s="129"/>
      <c r="T316" s="72">
        <f>IF('חד גזעי'!$AM$6="לא",IF(P316=0,IF(BC316="שימור",IF('חד גזעי'!$AM$4="לא",IF(BC316="לא בוגר",0,IF(BC316="לא קיים",0,IF(J316=0,0,I316*0.1))),IF(BC316="לא בוגר",0,IF(BC316="לא קיים",0,IF(AB316=1,I316*0.1,E316*0.5)))),0),IF('חד גזעי'!$AM$4="לא",IF(BC316="לא בוגר",0,IF(BC316="לא קיים",0,IF(J316=0,0,I316*0.1))),IF(BC316="לא בוגר",0,IF(BC316="לא קיים",0,IF(AB316=1,I316*0.1,E316*0.5))))),IF(P316=0,IF(BC316="שימור",IF('חד גזעי'!$AM$4="לא",IF(BC316="לא בוגר",0,IF(BC316="לא קיים",0,IF(J316=0,0,I316*0.15))),IF(BC316="לא בוגר",0,IF(BC316="לא קיים",0,IF(AB316=1,I316*0.15,E316*0.5)))),0),IF('חד גזעי'!$AM$4="לא",IF(BC316="לא בוגר",0,IF(BC316="לא קיים",0,IF(J316=0,0,I316*0.15))),IF(BC316="לא בוגר",0,IF(BC316="לא קיים",0,IF(AB316=1,I316*0.15,E316*0.5))))))</f>
        <v>0</v>
      </c>
      <c r="U316" s="129"/>
      <c r="V316">
        <f t="shared" si="277"/>
        <v>0</v>
      </c>
      <c r="W316">
        <f t="shared" si="278"/>
        <v>0</v>
      </c>
      <c r="X316">
        <f t="shared" si="279"/>
        <v>0</v>
      </c>
      <c r="Y316">
        <f>IF('חד גזעי'!$AM$2 = "לא",0,IF(F316&gt;9,W316,0))</f>
        <v>0</v>
      </c>
      <c r="Z316">
        <f>IF('חד גזעי'!$AM$7 = "לא",0,IF(C316 = "זית אירופי",IF('חד גזעי'!$AN$7 &lt;=סקר!F316,W316,0),IF(C316 = "חרוב מצוי",IF('חד גזעי'!$AN$7 &lt;=סקר!F316,W316,0),0)))</f>
        <v>0</v>
      </c>
      <c r="AA316" s="129"/>
      <c r="AB316" s="129"/>
      <c r="AC316" s="129"/>
      <c r="AD316" s="133"/>
      <c r="AE316" s="129"/>
      <c r="AF316" s="129"/>
      <c r="AG316" s="129"/>
      <c r="AH316" s="129"/>
      <c r="AI316" s="129"/>
      <c r="AJ316" s="129"/>
      <c r="AK316" s="129"/>
      <c r="AL316" s="129"/>
      <c r="AM316" s="129"/>
      <c r="AN316" s="129"/>
      <c r="AO316" s="129"/>
      <c r="AP316" s="129"/>
      <c r="AQ316" s="129"/>
      <c r="AR316" s="129"/>
      <c r="AS316" s="129"/>
      <c r="AT316" s="129"/>
      <c r="AU316" s="129"/>
      <c r="AV316" s="129"/>
      <c r="AW316" s="129"/>
      <c r="AX316" s="129"/>
      <c r="AY316" s="129"/>
      <c r="AZ316" s="129"/>
      <c r="BA316" s="129"/>
      <c r="BB316" s="129"/>
      <c r="BC316" s="129"/>
      <c r="BD316" s="129"/>
      <c r="BE316" s="129"/>
      <c r="BF316" s="129">
        <f>_xlfn.IFNA(_xlfn.IFNA(_xlfn.TEXTBEFORE(BF298,"--"),_xlfn.TEXTBEFORE(BF298,",")),BF298)</f>
        <v>0</v>
      </c>
      <c r="BG316" s="129">
        <f t="shared" ref="BG316:BK316" si="326">_xlfn.IFNA(_xlfn.IFNA(_xlfn.TEXTBEFORE(BG298,"--"),_xlfn.TEXTBEFORE(BG298,",")),BG298)</f>
        <v>0</v>
      </c>
      <c r="BH316" s="129">
        <f t="shared" si="326"/>
        <v>0</v>
      </c>
      <c r="BI316" s="129">
        <f>_xlfn.IFNA(_xlfn.IFNA(_xlfn.TEXTBEFORE(BI298,"--"),_xlfn.TEXTBEFORE(BI298,",")),BI298)</f>
        <v>0</v>
      </c>
      <c r="BJ316" s="129">
        <f t="shared" si="326"/>
        <v>0</v>
      </c>
      <c r="BK316" s="129">
        <f t="shared" si="326"/>
        <v>0</v>
      </c>
    </row>
    <row r="317" spans="1:63" ht="14.25" hidden="1">
      <c r="A317" s="129"/>
      <c r="B317" s="132"/>
      <c r="C317" s="133"/>
      <c r="D317" s="129"/>
      <c r="E317" s="129"/>
      <c r="F317" s="129"/>
      <c r="G317" s="129"/>
      <c r="H317" s="129"/>
      <c r="I317" s="129"/>
      <c r="J317" s="129"/>
      <c r="K317" s="129"/>
      <c r="L317" s="129"/>
      <c r="M317" s="129"/>
      <c r="N317" s="129"/>
      <c r="O317" s="129"/>
      <c r="P317" s="129"/>
      <c r="Q317" s="134"/>
      <c r="R317" s="129"/>
      <c r="S317" s="129"/>
      <c r="T317" s="72">
        <f>IF('חד גזעי'!$AM$6="לא",IF(P317=0,IF(BC317="שימור",IF('חד גזעי'!$AM$4="לא",IF(BC317="לא בוגר",0,IF(BC317="לא קיים",0,IF(J317=0,0,I317*0.1))),IF(BC317="לא בוגר",0,IF(BC317="לא קיים",0,IF(AB317=1,I317*0.1,E317*0.5)))),0),IF('חד גזעי'!$AM$4="לא",IF(BC317="לא בוגר",0,IF(BC317="לא קיים",0,IF(J317=0,0,I317*0.1))),IF(BC317="לא בוגר",0,IF(BC317="לא קיים",0,IF(AB317=1,I317*0.1,E317*0.5))))),IF(P317=0,IF(BC317="שימור",IF('חד גזעי'!$AM$4="לא",IF(BC317="לא בוגר",0,IF(BC317="לא קיים",0,IF(J317=0,0,I317*0.15))),IF(BC317="לא בוגר",0,IF(BC317="לא קיים",0,IF(AB317=1,I317*0.15,E317*0.5)))),0),IF('חד גזעי'!$AM$4="לא",IF(BC317="לא בוגר",0,IF(BC317="לא קיים",0,IF(J317=0,0,I317*0.15))),IF(BC317="לא בוגר",0,IF(BC317="לא קיים",0,IF(AB317=1,I317*0.15,E317*0.5))))))</f>
        <v>0</v>
      </c>
      <c r="U317" s="129"/>
      <c r="V317">
        <f t="shared" si="277"/>
        <v>0</v>
      </c>
      <c r="W317">
        <f t="shared" si="278"/>
        <v>0</v>
      </c>
      <c r="X317">
        <f t="shared" si="279"/>
        <v>0</v>
      </c>
      <c r="Y317">
        <f>IF('חד גזעי'!$AM$2 = "לא",0,IF(F317&gt;9,W317,0))</f>
        <v>0</v>
      </c>
      <c r="Z317">
        <f>IF('חד גזעי'!$AM$7 = "לא",0,IF(C317 = "זית אירופי",IF('חד גזעי'!$AN$7 &lt;=סקר!F317,W317,0),IF(C317 = "חרוב מצוי",IF('חד גזעי'!$AN$7 &lt;=סקר!F317,W317,0),0)))</f>
        <v>0</v>
      </c>
      <c r="AA317" s="129"/>
      <c r="AB317" s="129"/>
      <c r="AC317" s="129"/>
      <c r="AD317" s="133"/>
      <c r="AE317" s="129"/>
      <c r="AF317" s="129"/>
      <c r="AG317" s="129"/>
      <c r="AH317" s="129"/>
      <c r="AI317" s="129"/>
      <c r="AJ317" s="129"/>
      <c r="AK317" s="129"/>
      <c r="AL317" s="129"/>
      <c r="AM317" s="129"/>
      <c r="AN317" s="129"/>
      <c r="AO317" s="129"/>
      <c r="AP317" s="129"/>
      <c r="AQ317" s="129"/>
      <c r="AR317" s="129"/>
      <c r="AS317" s="129"/>
      <c r="AT317" s="129"/>
      <c r="AU317" s="129"/>
      <c r="AV317" s="129"/>
      <c r="AW317" s="129"/>
      <c r="AX317" s="129"/>
      <c r="AY317" s="129"/>
      <c r="AZ317" s="129"/>
      <c r="BA317" s="129"/>
      <c r="BB317" s="129"/>
      <c r="BC317" s="129"/>
      <c r="BD317" s="129"/>
      <c r="BE317" s="129"/>
      <c r="BF317" s="129" t="str">
        <f>"C:\Users\origr\Pictures\"&amp;BF316&amp;".jpg"</f>
        <v>C:\Users\origr\Pictures\0.jpg</v>
      </c>
      <c r="BG317" s="129" t="str">
        <f t="shared" ref="BG317" si="327">"C:\Users\origr\Pictures\"&amp;BG316&amp;".jpg"</f>
        <v>C:\Users\origr\Pictures\0.jpg</v>
      </c>
      <c r="BH317" s="129" t="str">
        <f t="shared" ref="BH317" si="328">"C:\Users\origr\Pictures\"&amp;BH316&amp;".jpg"</f>
        <v>C:\Users\origr\Pictures\0.jpg</v>
      </c>
      <c r="BI317" s="129" t="str">
        <f t="shared" ref="BI317" si="329">"C:\Users\origr\Pictures\"&amp;BI316&amp;".jpg"</f>
        <v>C:\Users\origr\Pictures\0.jpg</v>
      </c>
      <c r="BJ317" s="129" t="str">
        <f t="shared" ref="BJ317" si="330">"C:\Users\origr\Pictures\"&amp;BJ316&amp;".jpg"</f>
        <v>C:\Users\origr\Pictures\0.jpg</v>
      </c>
      <c r="BK317" s="129" t="str">
        <f t="shared" ref="BK317" si="331">"C:\Users\origr\Pictures\"&amp;BK316&amp;".jpg"</f>
        <v>C:\Users\origr\Pictures\0.jpg</v>
      </c>
    </row>
    <row r="318" spans="1:63" ht="14.25" hidden="1">
      <c r="A318" s="129"/>
      <c r="B318" s="132"/>
      <c r="C318" s="133"/>
      <c r="D318" s="129"/>
      <c r="E318" s="129"/>
      <c r="F318" s="129"/>
      <c r="G318" s="129"/>
      <c r="H318" s="129"/>
      <c r="I318" s="129"/>
      <c r="J318" s="129"/>
      <c r="K318" s="129"/>
      <c r="L318" s="129"/>
      <c r="M318" s="129"/>
      <c r="N318" s="129"/>
      <c r="O318" s="129"/>
      <c r="P318" s="129"/>
      <c r="Q318" s="134"/>
      <c r="R318" s="129"/>
      <c r="S318" s="129"/>
      <c r="T318" s="72">
        <f>IF('חד גזעי'!$AM$6="לא",IF(P318=0,IF(BC318="שימור",IF('חד גזעי'!$AM$4="לא",IF(BC318="לא בוגר",0,IF(BC318="לא קיים",0,IF(J318=0,0,I318*0.1))),IF(BC318="לא בוגר",0,IF(BC318="לא קיים",0,IF(AB318=1,I318*0.1,E318*0.5)))),0),IF('חד גזעי'!$AM$4="לא",IF(BC318="לא בוגר",0,IF(BC318="לא קיים",0,IF(J318=0,0,I318*0.1))),IF(BC318="לא בוגר",0,IF(BC318="לא קיים",0,IF(AB318=1,I318*0.1,E318*0.5))))),IF(P318=0,IF(BC318="שימור",IF('חד גזעי'!$AM$4="לא",IF(BC318="לא בוגר",0,IF(BC318="לא קיים",0,IF(J318=0,0,I318*0.15))),IF(BC318="לא בוגר",0,IF(BC318="לא קיים",0,IF(AB318=1,I318*0.15,E318*0.5)))),0),IF('חד גזעי'!$AM$4="לא",IF(BC318="לא בוגר",0,IF(BC318="לא קיים",0,IF(J318=0,0,I318*0.15))),IF(BC318="לא בוגר",0,IF(BC318="לא קיים",0,IF(AB318=1,I318*0.15,E318*0.5))))))</f>
        <v>0</v>
      </c>
      <c r="U318" s="129"/>
      <c r="V318">
        <f t="shared" si="277"/>
        <v>0</v>
      </c>
      <c r="W318">
        <f t="shared" si="278"/>
        <v>0</v>
      </c>
      <c r="X318">
        <f t="shared" si="279"/>
        <v>0</v>
      </c>
      <c r="Y318">
        <f>IF('חד גזעי'!$AM$2 = "לא",0,IF(F318&gt;9,W318,0))</f>
        <v>0</v>
      </c>
      <c r="Z318">
        <f>IF('חד גזעי'!$AM$7 = "לא",0,IF(C318 = "זית אירופי",IF('חד גזעי'!$AN$7 &lt;=סקר!F318,W318,0),IF(C318 = "חרוב מצוי",IF('חד גזעי'!$AN$7 &lt;=סקר!F318,W318,0),0)))</f>
        <v>0</v>
      </c>
      <c r="AA318" s="129"/>
      <c r="AB318" s="129"/>
      <c r="AC318" s="129"/>
      <c r="AD318" s="133"/>
      <c r="AE318" s="129"/>
      <c r="AF318" s="129"/>
      <c r="AG318" s="129"/>
      <c r="AH318" s="129"/>
      <c r="AI318" s="129"/>
      <c r="AJ318" s="129"/>
      <c r="AK318" s="129"/>
      <c r="AL318" s="129"/>
      <c r="AM318" s="129"/>
      <c r="AN318" s="129"/>
      <c r="AO318" s="129"/>
      <c r="AP318" s="129"/>
      <c r="AQ318" s="129"/>
      <c r="AR318" s="129"/>
      <c r="AS318" s="129"/>
      <c r="AT318" s="129"/>
      <c r="AU318" s="129"/>
      <c r="AV318" s="129"/>
      <c r="AW318" s="129"/>
      <c r="AX318" s="129"/>
      <c r="AY318" s="129"/>
      <c r="AZ318" s="129"/>
      <c r="BA318" s="129"/>
      <c r="BB318" s="129"/>
      <c r="BC318" s="129"/>
      <c r="BD318" s="129"/>
      <c r="BE318" s="129"/>
      <c r="BF318" s="129" t="str">
        <f>BF317</f>
        <v>C:\Users\origr\Pictures\0.jpg</v>
      </c>
      <c r="BG318" s="129" t="str">
        <f t="shared" ref="BG318" si="332">BG317</f>
        <v>C:\Users\origr\Pictures\0.jpg</v>
      </c>
      <c r="BH318" s="129" t="str">
        <f t="shared" ref="BH318" si="333">BH317</f>
        <v>C:\Users\origr\Pictures\0.jpg</v>
      </c>
      <c r="BI318" s="129" t="str">
        <f t="shared" ref="BI318" si="334">BI317</f>
        <v>C:\Users\origr\Pictures\0.jpg</v>
      </c>
      <c r="BJ318" s="129" t="str">
        <f t="shared" ref="BJ318" si="335">BJ317</f>
        <v>C:\Users\origr\Pictures\0.jpg</v>
      </c>
      <c r="BK318" s="129" t="str">
        <f t="shared" ref="BK318" si="336">BK317</f>
        <v>C:\Users\origr\Pictures\0.jpg</v>
      </c>
    </row>
    <row r="319" spans="1:63" hidden="1">
      <c r="T319" s="72">
        <f>IF('חד גזעי'!$AM$6="לא",IF(P319=0,IF(BC319="שימור",IF('חד גזעי'!$AM$4="לא",IF(BC319="לא בוגר",0,IF(BC319="לא קיים",0,IF(J319=0,0,I319*0.1))),IF(BC319="לא בוגר",0,IF(BC319="לא קיים",0,IF(AB319=1,I319*0.1,E319*0.5)))),0),IF('חד גזעי'!$AM$4="לא",IF(BC319="לא בוגר",0,IF(BC319="לא קיים",0,IF(J319=0,0,I319*0.1))),IF(BC319="לא בוגר",0,IF(BC319="לא קיים",0,IF(AB319=1,I319*0.1,E319*0.5))))),IF(P319=0,IF(BC319="שימור",IF('חד גזעי'!$AM$4="לא",IF(BC319="לא בוגר",0,IF(BC319="לא קיים",0,IF(J319=0,0,I319*0.15))),IF(BC319="לא בוגר",0,IF(BC319="לא קיים",0,IF(AB319=1,I319*0.15,E319*0.5)))),0),IF('חד גזעי'!$AM$4="לא",IF(BC319="לא בוגר",0,IF(BC319="לא קיים",0,IF(J319=0,0,I319*0.15))),IF(BC319="לא בוגר",0,IF(BC319="לא קיים",0,IF(AB319=1,I319*0.15,E319*0.5))))))</f>
        <v>0</v>
      </c>
      <c r="V319">
        <f t="shared" si="277"/>
        <v>0</v>
      </c>
      <c r="W319">
        <f t="shared" si="278"/>
        <v>0</v>
      </c>
      <c r="X319">
        <f t="shared" si="279"/>
        <v>0</v>
      </c>
      <c r="Y319">
        <f>IF('חד גזעי'!$AM$2 = "לא",0,IF(F319&gt;9,W319,0))</f>
        <v>0</v>
      </c>
      <c r="Z319">
        <f>IF('חד גזעי'!$AM$7 = "לא",0,IF(C319 = "זית אירופי",IF('חד גזעי'!$AN$7 &lt;=סקר!F319,W319,0),IF(C319 = "חרוב מצוי",IF('חד גזעי'!$AN$7 &lt;=סקר!F319,W319,0),0)))</f>
        <v>0</v>
      </c>
    </row>
    <row r="320" spans="1:63" hidden="1">
      <c r="T320" s="72">
        <f>IF('חד גזעי'!$AM$6="לא",IF(P320=0,IF(BC320="שימור",IF('חד גזעי'!$AM$4="לא",IF(BC320="לא בוגר",0,IF(BC320="לא קיים",0,IF(J320=0,0,I320*0.1))),IF(BC320="לא בוגר",0,IF(BC320="לא קיים",0,IF(AB320=1,I320*0.1,E320*0.5)))),0),IF('חד גזעי'!$AM$4="לא",IF(BC320="לא בוגר",0,IF(BC320="לא קיים",0,IF(J320=0,0,I320*0.1))),IF(BC320="לא בוגר",0,IF(BC320="לא קיים",0,IF(AB320=1,I320*0.1,E320*0.5))))),IF(P320=0,IF(BC320="שימור",IF('חד גזעי'!$AM$4="לא",IF(BC320="לא בוגר",0,IF(BC320="לא קיים",0,IF(J320=0,0,I320*0.15))),IF(BC320="לא בוגר",0,IF(BC320="לא קיים",0,IF(AB320=1,I320*0.15,E320*0.5)))),0),IF('חד גזעי'!$AM$4="לא",IF(BC320="לא בוגר",0,IF(BC320="לא קיים",0,IF(J320=0,0,I320*0.15))),IF(BC320="לא בוגר",0,IF(BC320="לא קיים",0,IF(AB320=1,I320*0.15,E320*0.5))))))</f>
        <v>0</v>
      </c>
      <c r="V320">
        <f t="shared" si="277"/>
        <v>0</v>
      </c>
      <c r="W320">
        <f t="shared" si="278"/>
        <v>0</v>
      </c>
      <c r="X320">
        <f t="shared" si="279"/>
        <v>0</v>
      </c>
      <c r="Y320">
        <f>IF('חד גזעי'!$AM$2 = "לא",0,IF(F320&gt;9,W320,0))</f>
        <v>0</v>
      </c>
      <c r="Z320">
        <f>IF('חד גזעי'!$AM$7 = "לא",0,IF(C320 = "זית אירופי",IF('חד גזעי'!$AN$7 &lt;=סקר!F320,W320,0),IF(C320 = "חרוב מצוי",IF('חד גזעי'!$AN$7 &lt;=סקר!F320,W320,0),0)))</f>
        <v>0</v>
      </c>
    </row>
    <row r="321" spans="1:63" hidden="1">
      <c r="T321" s="72">
        <f>IF('חד גזעי'!$AM$6="לא",IF(P321=0,IF(BC321="שימור",IF('חד גזעי'!$AM$4="לא",IF(BC321="לא בוגר",0,IF(BC321="לא קיים",0,IF(J321=0,0,I321*0.1))),IF(BC321="לא בוגר",0,IF(BC321="לא קיים",0,IF(AB321=1,I321*0.1,E321*0.5)))),0),IF('חד גזעי'!$AM$4="לא",IF(BC321="לא בוגר",0,IF(BC321="לא קיים",0,IF(J321=0,0,I321*0.1))),IF(BC321="לא בוגר",0,IF(BC321="לא קיים",0,IF(AB321=1,I321*0.1,E321*0.5))))),IF(P321=0,IF(BC321="שימור",IF('חד גזעי'!$AM$4="לא",IF(BC321="לא בוגר",0,IF(BC321="לא קיים",0,IF(J321=0,0,I321*0.15))),IF(BC321="לא בוגר",0,IF(BC321="לא קיים",0,IF(AB321=1,I321*0.15,E321*0.5)))),0),IF('חד גזעי'!$AM$4="לא",IF(BC321="לא בוגר",0,IF(BC321="לא קיים",0,IF(J321=0,0,I321*0.15))),IF(BC321="לא בוגר",0,IF(BC321="לא קיים",0,IF(AB321=1,I321*0.15,E321*0.5))))))</f>
        <v>0</v>
      </c>
      <c r="V321">
        <f t="shared" si="277"/>
        <v>0</v>
      </c>
      <c r="W321">
        <f t="shared" si="278"/>
        <v>0</v>
      </c>
      <c r="X321">
        <f t="shared" si="279"/>
        <v>0</v>
      </c>
      <c r="Y321">
        <f>IF('חד גזעי'!$AM$2 = "לא",0,IF(F321&gt;9,W321,0))</f>
        <v>0</v>
      </c>
      <c r="Z321">
        <f>IF('חד גזעי'!$AM$7 = "לא",0,IF(C321 = "זית אירופי",IF('חד גזעי'!$AN$7 &lt;=סקר!F321,W321,0),IF(C321 = "חרוב מצוי",IF('חד גזעי'!$AN$7 &lt;=סקר!F321,W321,0),0)))</f>
        <v>0</v>
      </c>
    </row>
    <row r="322" spans="1:63" hidden="1">
      <c r="A322" s="129"/>
      <c r="B322" s="129"/>
      <c r="C322" s="129"/>
      <c r="D322" s="129"/>
      <c r="E322" s="129"/>
      <c r="F322" s="129"/>
      <c r="G322" s="129"/>
      <c r="H322" s="129"/>
      <c r="I322" s="129"/>
      <c r="J322" s="129"/>
      <c r="K322" s="129"/>
      <c r="L322" s="129"/>
      <c r="M322" s="129"/>
      <c r="N322" s="129"/>
      <c r="O322" s="129"/>
      <c r="P322" s="129"/>
      <c r="Q322" s="129"/>
      <c r="R322" s="129"/>
      <c r="S322" s="129"/>
      <c r="T322" s="72">
        <f>IF('חד גזעי'!$AM$6="לא",IF(P322=0,IF(BC322="שימור",IF('חד גזעי'!$AM$4="לא",IF(BC322="לא בוגר",0,IF(BC322="לא קיים",0,IF(J322=0,0,I322*0.1))),IF(BC322="לא בוגר",0,IF(BC322="לא קיים",0,IF(AB322=1,I322*0.1,E322*0.5)))),0),IF('חד גזעי'!$AM$4="לא",IF(BC322="לא בוגר",0,IF(BC322="לא קיים",0,IF(J322=0,0,I322*0.1))),IF(BC322="לא בוגר",0,IF(BC322="לא קיים",0,IF(AB322=1,I322*0.1,E322*0.5))))),IF(P322=0,IF(BC322="שימור",IF('חד גזעי'!$AM$4="לא",IF(BC322="לא בוגר",0,IF(BC322="לא קיים",0,IF(J322=0,0,I322*0.15))),IF(BC322="לא בוגר",0,IF(BC322="לא קיים",0,IF(AB322=1,I322*0.15,E322*0.5)))),0),IF('חד גזעי'!$AM$4="לא",IF(BC322="לא בוגר",0,IF(BC322="לא קיים",0,IF(J322=0,0,I322*0.15))),IF(BC322="לא בוגר",0,IF(BC322="לא קיים",0,IF(AB322=1,I322*0.15,E322*0.5))))))</f>
        <v>0</v>
      </c>
      <c r="U322" s="129"/>
      <c r="V322">
        <f t="shared" si="277"/>
        <v>0</v>
      </c>
      <c r="W322">
        <f t="shared" si="278"/>
        <v>0</v>
      </c>
      <c r="X322">
        <f t="shared" si="279"/>
        <v>0</v>
      </c>
      <c r="Y322">
        <f>IF('חד גזעי'!$AM$2 = "לא",0,IF(F322&gt;9,W322,0))</f>
        <v>0</v>
      </c>
      <c r="Z322">
        <f>IF('חד גזעי'!$AM$7 = "לא",0,IF(C322 = "זית אירופי",IF('חד גזעי'!$AN$7 &lt;=סקר!F322,W322,0),IF(C322 = "חרוב מצוי",IF('חד גזעי'!$AN$7 &lt;=סקר!F322,W322,0),0)))</f>
        <v>0</v>
      </c>
      <c r="AA322" s="129"/>
      <c r="AB322" s="129"/>
      <c r="AC322" s="129"/>
      <c r="AD322" s="129"/>
      <c r="AE322" s="129"/>
      <c r="AF322" s="129"/>
      <c r="AG322" s="129"/>
      <c r="AH322" s="129"/>
      <c r="AI322" s="129"/>
      <c r="AJ322" s="129"/>
      <c r="AK322" s="129"/>
      <c r="AL322" s="129"/>
      <c r="AM322" s="129"/>
      <c r="AN322" s="129"/>
      <c r="AO322" s="129"/>
      <c r="AP322" s="129"/>
      <c r="AQ322" s="129"/>
      <c r="AR322" s="129"/>
      <c r="AS322" s="129"/>
      <c r="AT322" s="129"/>
      <c r="AU322" s="129"/>
      <c r="AV322" s="129"/>
      <c r="AW322" s="129"/>
      <c r="AX322" s="129"/>
      <c r="AY322" s="129"/>
      <c r="AZ322" s="129"/>
      <c r="BA322" s="129"/>
      <c r="BB322" s="129"/>
      <c r="BC322" s="129"/>
      <c r="BD322" s="129"/>
      <c r="BE322" s="129"/>
      <c r="BF322" s="129">
        <f>_xlfn.IFNA(_xlfn.IFNA(_xlfn.TEXTBEFORE(BF326,"--"),_xlfn.TEXTBEFORE(BF326,",")),BF326)</f>
        <v>0</v>
      </c>
      <c r="BG322" s="129">
        <f t="shared" ref="BG322:BK322" si="337">_xlfn.IFNA(_xlfn.IFNA(_xlfn.TEXTBEFORE(BG326,"--"),_xlfn.TEXTBEFORE(BG326,",")),BG326)</f>
        <v>0</v>
      </c>
      <c r="BH322" s="129">
        <f t="shared" si="337"/>
        <v>0</v>
      </c>
      <c r="BI322" s="129">
        <f>_xlfn.IFNA(_xlfn.IFNA(_xlfn.TEXTBEFORE(BI326,"--"),_xlfn.TEXTBEFORE(BI326,",")),BI326)</f>
        <v>0</v>
      </c>
      <c r="BJ322" s="129">
        <f t="shared" si="337"/>
        <v>0</v>
      </c>
      <c r="BK322" s="129">
        <f t="shared" si="337"/>
        <v>0</v>
      </c>
    </row>
    <row r="323" spans="1:63" hidden="1">
      <c r="A323" s="129"/>
      <c r="B323" s="129"/>
      <c r="C323" s="129"/>
      <c r="D323" s="129"/>
      <c r="E323" s="129"/>
      <c r="F323" s="129"/>
      <c r="G323" s="129"/>
      <c r="H323" s="129"/>
      <c r="I323" s="129"/>
      <c r="J323" s="129"/>
      <c r="K323" s="129"/>
      <c r="L323" s="129"/>
      <c r="M323" s="129"/>
      <c r="N323" s="129"/>
      <c r="O323" s="129"/>
      <c r="P323" s="129"/>
      <c r="Q323" s="129"/>
      <c r="R323" s="129"/>
      <c r="S323" s="129"/>
      <c r="T323" s="72">
        <f>IF('חד גזעי'!$AM$6="לא",IF(P323=0,IF(BC323="שימור",IF('חד גזעי'!$AM$4="לא",IF(BC323="לא בוגר",0,IF(BC323="לא קיים",0,IF(J323=0,0,I323*0.1))),IF(BC323="לא בוגר",0,IF(BC323="לא קיים",0,IF(AB323=1,I323*0.1,E323*0.5)))),0),IF('חד גזעי'!$AM$4="לא",IF(BC323="לא בוגר",0,IF(BC323="לא קיים",0,IF(J323=0,0,I323*0.1))),IF(BC323="לא בוגר",0,IF(BC323="לא קיים",0,IF(AB323=1,I323*0.1,E323*0.5))))),IF(P323=0,IF(BC323="שימור",IF('חד גזעי'!$AM$4="לא",IF(BC323="לא בוגר",0,IF(BC323="לא קיים",0,IF(J323=0,0,I323*0.15))),IF(BC323="לא בוגר",0,IF(BC323="לא קיים",0,IF(AB323=1,I323*0.15,E323*0.5)))),0),IF('חד גזעי'!$AM$4="לא",IF(BC323="לא בוגר",0,IF(BC323="לא קיים",0,IF(J323=0,0,I323*0.15))),IF(BC323="לא בוגר",0,IF(BC323="לא קיים",0,IF(AB323=1,I323*0.15,E323*0.5))))))</f>
        <v>0</v>
      </c>
      <c r="U323" s="129"/>
      <c r="V323">
        <f t="shared" si="277"/>
        <v>0</v>
      </c>
      <c r="W323">
        <f t="shared" si="278"/>
        <v>0</v>
      </c>
      <c r="X323">
        <f t="shared" si="279"/>
        <v>0</v>
      </c>
      <c r="Y323">
        <f>IF('חד גזעי'!$AM$2 = "לא",0,IF(F323&gt;9,W323,0))</f>
        <v>0</v>
      </c>
      <c r="Z323">
        <f>IF('חד גזעי'!$AM$7 = "לא",0,IF(C323 = "זית אירופי",IF('חד גזעי'!$AN$7 &lt;=סקר!F323,W323,0),IF(C323 = "חרוב מצוי",IF('חד גזעי'!$AN$7 &lt;=סקר!F323,W323,0),0)))</f>
        <v>0</v>
      </c>
      <c r="AA323" s="129"/>
      <c r="AB323" s="129"/>
      <c r="AC323" s="129"/>
      <c r="AD323" s="129"/>
      <c r="AE323" s="129"/>
      <c r="AF323" s="129"/>
      <c r="AG323" s="129"/>
      <c r="AH323" s="129"/>
      <c r="AI323" s="129"/>
      <c r="AJ323" s="129"/>
      <c r="AK323" s="129"/>
      <c r="AL323" s="129"/>
      <c r="AM323" s="129"/>
      <c r="AN323" s="129"/>
      <c r="AO323" s="129"/>
      <c r="AP323" s="129"/>
      <c r="AQ323" s="129"/>
      <c r="AR323" s="129"/>
      <c r="AS323" s="129"/>
      <c r="AT323" s="129"/>
      <c r="AU323" s="129"/>
      <c r="AV323" s="129"/>
      <c r="AW323" s="129"/>
      <c r="AX323" s="129"/>
      <c r="AY323" s="129"/>
      <c r="AZ323" s="129"/>
      <c r="BA323" s="129"/>
      <c r="BB323" s="129"/>
      <c r="BC323" s="129"/>
      <c r="BD323" s="129"/>
      <c r="BE323" s="129"/>
      <c r="BF323" s="129" t="str">
        <f>"C:\Users\origr\Pictures\"&amp;BF322&amp;".jpg"</f>
        <v>C:\Users\origr\Pictures\0.jpg</v>
      </c>
      <c r="BG323" s="129" t="str">
        <f t="shared" ref="BG323" si="338">"C:\Users\origr\Pictures\"&amp;BG322&amp;".jpg"</f>
        <v>C:\Users\origr\Pictures\0.jpg</v>
      </c>
      <c r="BH323" s="129" t="str">
        <f t="shared" ref="BH323" si="339">"C:\Users\origr\Pictures\"&amp;BH322&amp;".jpg"</f>
        <v>C:\Users\origr\Pictures\0.jpg</v>
      </c>
      <c r="BI323" s="129" t="str">
        <f t="shared" ref="BI323" si="340">"C:\Users\origr\Pictures\"&amp;BI322&amp;".jpg"</f>
        <v>C:\Users\origr\Pictures\0.jpg</v>
      </c>
      <c r="BJ323" s="129" t="str">
        <f t="shared" ref="BJ323" si="341">"C:\Users\origr\Pictures\"&amp;BJ322&amp;".jpg"</f>
        <v>C:\Users\origr\Pictures\0.jpg</v>
      </c>
      <c r="BK323" s="129" t="str">
        <f t="shared" ref="BK323" si="342">"C:\Users\origr\Pictures\"&amp;BK322&amp;".jpg"</f>
        <v>C:\Users\origr\Pictures\0.jpg</v>
      </c>
    </row>
    <row r="324" spans="1:63" hidden="1">
      <c r="A324" s="129"/>
      <c r="B324" s="129"/>
      <c r="C324" s="129"/>
      <c r="D324" s="129"/>
      <c r="E324" s="129"/>
      <c r="F324" s="129"/>
      <c r="G324" s="129"/>
      <c r="H324" s="129"/>
      <c r="I324" s="129"/>
      <c r="J324" s="129"/>
      <c r="K324" s="129"/>
      <c r="L324" s="129"/>
      <c r="M324" s="129"/>
      <c r="N324" s="129"/>
      <c r="O324" s="129"/>
      <c r="P324" s="129"/>
      <c r="Q324" s="129"/>
      <c r="R324" s="129"/>
      <c r="S324" s="129"/>
      <c r="T324" s="72">
        <f>IF('חד גזעי'!$AM$6="לא",IF(P324=0,IF(BC324="שימור",IF('חד גזעי'!$AM$4="לא",IF(BC324="לא בוגר",0,IF(BC324="לא קיים",0,IF(J324=0,0,I324*0.1))),IF(BC324="לא בוגר",0,IF(BC324="לא קיים",0,IF(AB324=1,I324*0.1,E324*0.5)))),0),IF('חד גזעי'!$AM$4="לא",IF(BC324="לא בוגר",0,IF(BC324="לא קיים",0,IF(J324=0,0,I324*0.1))),IF(BC324="לא בוגר",0,IF(BC324="לא קיים",0,IF(AB324=1,I324*0.1,E324*0.5))))),IF(P324=0,IF(BC324="שימור",IF('חד גזעי'!$AM$4="לא",IF(BC324="לא בוגר",0,IF(BC324="לא קיים",0,IF(J324=0,0,I324*0.15))),IF(BC324="לא בוגר",0,IF(BC324="לא קיים",0,IF(AB324=1,I324*0.15,E324*0.5)))),0),IF('חד גזעי'!$AM$4="לא",IF(BC324="לא בוגר",0,IF(BC324="לא קיים",0,IF(J324=0,0,I324*0.15))),IF(BC324="לא בוגר",0,IF(BC324="לא קיים",0,IF(AB324=1,I324*0.15,E324*0.5))))))</f>
        <v>0</v>
      </c>
      <c r="U324" s="129"/>
      <c r="V324">
        <f t="shared" si="277"/>
        <v>0</v>
      </c>
      <c r="W324">
        <f t="shared" si="278"/>
        <v>0</v>
      </c>
      <c r="X324">
        <f t="shared" si="279"/>
        <v>0</v>
      </c>
      <c r="Y324">
        <f>IF('חד גזעי'!$AM$2 = "לא",0,IF(F324&gt;9,W324,0))</f>
        <v>0</v>
      </c>
      <c r="Z324">
        <f>IF('חד גזעי'!$AM$7 = "לא",0,IF(C324 = "זית אירופי",IF('חד גזעי'!$AN$7 &lt;=סקר!F324,W324,0),IF(C324 = "חרוב מצוי",IF('חד גזעי'!$AN$7 &lt;=סקר!F324,W324,0),0)))</f>
        <v>0</v>
      </c>
      <c r="AA324" s="129"/>
      <c r="AB324" s="129"/>
      <c r="AC324" s="129"/>
      <c r="AD324" s="129"/>
      <c r="AE324" s="129"/>
      <c r="AF324" s="129"/>
      <c r="AG324" s="129"/>
      <c r="AH324" s="129"/>
      <c r="AI324" s="129"/>
      <c r="AJ324" s="129"/>
      <c r="AK324" s="129"/>
      <c r="AL324" s="129"/>
      <c r="AM324" s="129"/>
      <c r="AN324" s="129"/>
      <c r="AO324" s="129"/>
      <c r="AP324" s="129"/>
      <c r="AQ324" s="129"/>
      <c r="AR324" s="129"/>
      <c r="AS324" s="129"/>
      <c r="AT324" s="129"/>
      <c r="AU324" s="129"/>
      <c r="AV324" s="129"/>
      <c r="AW324" s="129"/>
      <c r="AX324" s="129"/>
      <c r="AY324" s="129"/>
      <c r="AZ324" s="129"/>
      <c r="BA324" s="129"/>
      <c r="BB324" s="129"/>
      <c r="BC324" s="129"/>
      <c r="BD324" s="129"/>
      <c r="BE324" s="129"/>
      <c r="BF324" s="129" t="str">
        <f>BF323</f>
        <v>C:\Users\origr\Pictures\0.jpg</v>
      </c>
      <c r="BG324" s="129" t="str">
        <f t="shared" ref="BG324" si="343">BG323</f>
        <v>C:\Users\origr\Pictures\0.jpg</v>
      </c>
      <c r="BH324" s="129" t="str">
        <f t="shared" ref="BH324" si="344">BH323</f>
        <v>C:\Users\origr\Pictures\0.jpg</v>
      </c>
      <c r="BI324" s="129" t="str">
        <f t="shared" ref="BI324" si="345">BI323</f>
        <v>C:\Users\origr\Pictures\0.jpg</v>
      </c>
      <c r="BJ324" s="129" t="str">
        <f t="shared" ref="BJ324" si="346">BJ323</f>
        <v>C:\Users\origr\Pictures\0.jpg</v>
      </c>
      <c r="BK324" s="129" t="str">
        <f t="shared" ref="BK324" si="347">BK323</f>
        <v>C:\Users\origr\Pictures\0.jpg</v>
      </c>
    </row>
    <row r="325" spans="1:63" ht="14.25" hidden="1">
      <c r="B325" s="71"/>
      <c r="C325" s="69"/>
      <c r="Q325" s="86"/>
      <c r="T325" s="72">
        <f>IF('חד גזעי'!$AM$6="לא",IF(P325=0,IF(BC325="שימור",IF('חד גזעי'!$AM$4="לא",IF(BC325="לא בוגר",0,IF(BC325="לא קיים",0,IF(J325=0,0,I325*0.1))),IF(BC325="לא בוגר",0,IF(BC325="לא קיים",0,IF(AB325=1,I325*0.1,E325*0.5)))),0),IF('חד גזעי'!$AM$4="לא",IF(BC325="לא בוגר",0,IF(BC325="לא קיים",0,IF(J325=0,0,I325*0.1))),IF(BC325="לא בוגר",0,IF(BC325="לא קיים",0,IF(AB325=1,I325*0.1,E325*0.5))))),IF(P325=0,IF(BC325="שימור",IF('חד גזעי'!$AM$4="לא",IF(BC325="לא בוגר",0,IF(BC325="לא קיים",0,IF(J325=0,0,I325*0.15))),IF(BC325="לא בוגר",0,IF(BC325="לא קיים",0,IF(AB325=1,I325*0.15,E325*0.5)))),0),IF('חד גזעי'!$AM$4="לא",IF(BC325="לא בוגר",0,IF(BC325="לא קיים",0,IF(J325=0,0,I325*0.15))),IF(BC325="לא בוגר",0,IF(BC325="לא קיים",0,IF(AB325=1,I325*0.15,E325*0.5))))))</f>
        <v>0</v>
      </c>
      <c r="V325">
        <f t="shared" si="277"/>
        <v>0</v>
      </c>
      <c r="W325">
        <f t="shared" si="278"/>
        <v>0</v>
      </c>
      <c r="X325">
        <f t="shared" si="279"/>
        <v>0</v>
      </c>
      <c r="Y325">
        <f>IF('חד גזעי'!$AM$2 = "לא",0,IF(F325&gt;9,W325,0))</f>
        <v>0</v>
      </c>
      <c r="Z325">
        <f>IF('חד גזעי'!$AM$7 = "לא",0,IF(C325 = "זית אירופי",IF('חד גזעי'!$AN$7 &lt;=סקר!F325,W325,0),IF(C325 = "חרוב מצוי",IF('חד גזעי'!$AN$7 &lt;=סקר!F325,W325,0),0)))</f>
        <v>0</v>
      </c>
      <c r="AD325" s="69" t="s">
        <v>807</v>
      </c>
    </row>
    <row r="326" spans="1:63" hidden="1">
      <c r="B326" s="197" t="s">
        <v>738</v>
      </c>
      <c r="C326" s="197" t="s">
        <v>739</v>
      </c>
      <c r="D326" s="197" t="s">
        <v>740</v>
      </c>
      <c r="E326" s="197" t="s">
        <v>741</v>
      </c>
      <c r="F326" s="200" t="s">
        <v>759</v>
      </c>
      <c r="G326" s="203" t="s">
        <v>760</v>
      </c>
      <c r="H326" s="203" t="s">
        <v>761</v>
      </c>
      <c r="I326" s="197" t="s">
        <v>742</v>
      </c>
      <c r="J326" s="197" t="s">
        <v>743</v>
      </c>
      <c r="K326" s="197" t="s">
        <v>744</v>
      </c>
      <c r="L326" s="197" t="s">
        <v>745</v>
      </c>
      <c r="M326" s="197" t="s">
        <v>746</v>
      </c>
      <c r="N326" s="197" t="s">
        <v>747</v>
      </c>
      <c r="O326" s="197" t="s">
        <v>748</v>
      </c>
      <c r="P326" s="197" t="s">
        <v>749</v>
      </c>
      <c r="Q326" s="197" t="s">
        <v>750</v>
      </c>
      <c r="R326" s="197" t="s">
        <v>751</v>
      </c>
      <c r="T326" s="72" t="e">
        <f>IF('חד גזעי'!$AM$6="לא",IF(P326=0,IF(BC326="שימור",IF('חד גזעי'!$AM$4="לא",IF(BC326="לא בוגר",0,IF(BC326="לא קיים",0,IF(J326=0,0,I326*0.1))),IF(BC326="לא בוגר",0,IF(BC326="לא קיים",0,IF(AB326=1,I326*0.1,E326*0.5)))),0),IF('חד גזעי'!$AM$4="לא",IF(BC326="לא בוגר",0,IF(BC326="לא קיים",0,IF(J326=0,0,I326*0.1))),IF(BC326="לא בוגר",0,IF(BC326="לא קיים",0,IF(AB326=1,I326*0.1,E326*0.5))))),IF(P326=0,IF(BC326="שימור",IF('חד גזעי'!$AM$4="לא",IF(BC326="לא בוגר",0,IF(BC326="לא קיים",0,IF(J326=0,0,I326*0.15))),IF(BC326="לא בוגר",0,IF(BC326="לא קיים",0,IF(AB326=1,I326*0.15,E326*0.5)))),0),IF('חד גזעי'!$AM$4="לא",IF(BC326="לא בוגר",0,IF(BC326="לא קיים",0,IF(J326=0,0,I326*0.15))),IF(BC326="לא בוגר",0,IF(BC326="לא קיים",0,IF(AB326=1,I326*0.15,E326*0.5))))))</f>
        <v>#VALUE!</v>
      </c>
      <c r="V326">
        <f t="shared" si="277"/>
        <v>0</v>
      </c>
      <c r="W326" t="e">
        <f t="shared" si="278"/>
        <v>#VALUE!</v>
      </c>
      <c r="X326">
        <f t="shared" si="279"/>
        <v>0</v>
      </c>
      <c r="Y326">
        <f>IF('חד גזעי'!$AM$2 = "לא",0,IF(F326&gt;9,W326,0))</f>
        <v>0</v>
      </c>
      <c r="Z326">
        <f>IF('חד גזעי'!$AM$7 = "לא",0,IF(C326 = "זית אירופי",IF('חד גזעי'!$AN$7 &lt;=סקר!F326,W326,0),IF(C326 = "חרוב מצוי",IF('חד גזעי'!$AN$7 &lt;=סקר!F326,W326,0),0)))</f>
        <v>0</v>
      </c>
      <c r="AC326" s="101"/>
      <c r="AD326" s="103"/>
      <c r="AE326" s="103"/>
      <c r="AF326" s="103"/>
      <c r="AG326" s="103"/>
      <c r="AH326" s="103"/>
      <c r="AI326" s="103"/>
      <c r="AJ326" s="103"/>
      <c r="AK326" s="83"/>
      <c r="AM326" s="73"/>
      <c r="AN326" s="73"/>
      <c r="AO326" s="73"/>
      <c r="AS326" s="197" t="s">
        <v>738</v>
      </c>
      <c r="AT326" s="197" t="s">
        <v>739</v>
      </c>
      <c r="AU326" s="197" t="s">
        <v>740</v>
      </c>
      <c r="AV326" s="197" t="s">
        <v>741</v>
      </c>
      <c r="AW326" s="203" t="s">
        <v>759</v>
      </c>
      <c r="AX326" s="203" t="s">
        <v>760</v>
      </c>
      <c r="AY326" s="203" t="s">
        <v>761</v>
      </c>
      <c r="AZ326" s="197" t="s">
        <v>812</v>
      </c>
      <c r="BA326" s="197" t="s">
        <v>817</v>
      </c>
      <c r="BB326" s="197" t="s">
        <v>805</v>
      </c>
      <c r="BC326" s="197" t="s">
        <v>806</v>
      </c>
      <c r="BE326">
        <f>IF(BC326="לא נדרש ברישיון",1,0)</f>
        <v>0</v>
      </c>
      <c r="BF326" s="72"/>
      <c r="BG326" s="72"/>
      <c r="BH326" s="72"/>
      <c r="BI326" s="72"/>
      <c r="BJ326" s="72"/>
      <c r="BK326" s="72"/>
    </row>
    <row r="327" spans="1:63" hidden="1">
      <c r="B327" s="198"/>
      <c r="C327" s="198"/>
      <c r="D327" s="198"/>
      <c r="E327" s="198"/>
      <c r="F327" s="201"/>
      <c r="G327" s="204"/>
      <c r="H327" s="204"/>
      <c r="I327" s="198"/>
      <c r="J327" s="198"/>
      <c r="K327" s="198"/>
      <c r="L327" s="198"/>
      <c r="M327" s="198"/>
      <c r="N327" s="198"/>
      <c r="O327" s="198"/>
      <c r="P327" s="198"/>
      <c r="Q327" s="198"/>
      <c r="R327" s="198"/>
      <c r="T327" s="72">
        <f>IF('חד גזעי'!$AM$6="לא",IF(P327=0,IF(BC327="שימור",IF('חד גזעי'!$AM$4="לא",IF(BC327="לא בוגר",0,IF(BC327="לא קיים",0,IF(J327=0,0,I327*0.1))),IF(BC327="לא בוגר",0,IF(BC327="לא קיים",0,IF(AB327=1,I327*0.1,E327*0.5)))),0),IF('חד גזעי'!$AM$4="לא",IF(BC327="לא בוגר",0,IF(BC327="לא קיים",0,IF(J327=0,0,I327*0.1))),IF(BC327="לא בוגר",0,IF(BC327="לא קיים",0,IF(AB327=1,I327*0.1,E327*0.5))))),IF(P327=0,IF(BC327="שימור",IF('חד גזעי'!$AM$4="לא",IF(BC327="לא בוגר",0,IF(BC327="לא קיים",0,IF(J327=0,0,I327*0.15))),IF(BC327="לא בוגר",0,IF(BC327="לא קיים",0,IF(AB327=1,I327*0.15,E327*0.5)))),0),IF('חד גזעי'!$AM$4="לא",IF(BC327="לא בוגר",0,IF(BC327="לא קיים",0,IF(J327=0,0,I327*0.15))),IF(BC327="לא בוגר",0,IF(BC327="לא קיים",0,IF(AB327=1,I327*0.15,E327*0.5))))))</f>
        <v>0</v>
      </c>
      <c r="V327">
        <f t="shared" si="277"/>
        <v>0</v>
      </c>
      <c r="W327">
        <f t="shared" si="278"/>
        <v>0</v>
      </c>
      <c r="X327">
        <f t="shared" si="279"/>
        <v>0</v>
      </c>
      <c r="Y327">
        <f>IF('חד גזעי'!$AM$2 = "לא",0,IF(F327&gt;9,W327,0))</f>
        <v>0</v>
      </c>
      <c r="Z327">
        <f>IF('חד גזעי'!$AM$7 = "לא",0,IF(C327 = "זית אירופי",IF('חד גזעי'!$AN$7 &lt;=סקר!F327,W327,0),IF(C327 = "חרוב מצוי",IF('חד גזעי'!$AN$7 &lt;=סקר!F327,W327,0),0)))</f>
        <v>0</v>
      </c>
      <c r="AC327" s="101"/>
      <c r="AD327" s="103"/>
      <c r="AE327" s="103"/>
      <c r="AF327" s="103"/>
      <c r="AG327" s="103"/>
      <c r="AH327" s="103"/>
      <c r="AI327" s="103"/>
      <c r="AJ327" s="103"/>
      <c r="AK327" s="83"/>
      <c r="AM327" s="73"/>
      <c r="AN327" s="73"/>
      <c r="AO327" s="73"/>
      <c r="AS327" s="198"/>
      <c r="AT327" s="198"/>
      <c r="AU327" s="198"/>
      <c r="AV327" s="198"/>
      <c r="AW327" s="204"/>
      <c r="AX327" s="204"/>
      <c r="AY327" s="204"/>
      <c r="AZ327" s="198"/>
      <c r="BA327" s="198"/>
      <c r="BB327" s="198"/>
      <c r="BC327" s="198"/>
      <c r="BE327">
        <f t="shared" ref="BE327:BE361" si="348">IF(BC327="לא נדרש ברישיון",1,0)</f>
        <v>0</v>
      </c>
      <c r="BF327" s="196" t="str">
        <f>BF324</f>
        <v>C:\Users\origr\Pictures\0.jpg</v>
      </c>
      <c r="BG327" s="196" t="str">
        <f t="shared" ref="BG327:BK327" si="349">BG324</f>
        <v>C:\Users\origr\Pictures\0.jpg</v>
      </c>
      <c r="BH327" s="196" t="str">
        <f t="shared" si="349"/>
        <v>C:\Users\origr\Pictures\0.jpg</v>
      </c>
      <c r="BI327" s="196" t="str">
        <f t="shared" si="349"/>
        <v>C:\Users\origr\Pictures\0.jpg</v>
      </c>
      <c r="BJ327" s="196" t="str">
        <f t="shared" si="349"/>
        <v>C:\Users\origr\Pictures\0.jpg</v>
      </c>
      <c r="BK327" s="196" t="str">
        <f t="shared" si="349"/>
        <v>C:\Users\origr\Pictures\0.jpg</v>
      </c>
    </row>
    <row r="328" spans="1:63" hidden="1">
      <c r="B328" s="199"/>
      <c r="C328" s="199"/>
      <c r="D328" s="199"/>
      <c r="E328" s="199"/>
      <c r="F328" s="202"/>
      <c r="G328" s="205"/>
      <c r="H328" s="205"/>
      <c r="I328" s="199"/>
      <c r="J328" s="199"/>
      <c r="K328" s="199"/>
      <c r="L328" s="199"/>
      <c r="M328" s="199"/>
      <c r="N328" s="199"/>
      <c r="O328" s="199"/>
      <c r="P328" s="199"/>
      <c r="Q328" s="199"/>
      <c r="R328" s="199"/>
      <c r="T328" s="72">
        <f>IF('חד גזעי'!$AM$6="לא",IF(P328=0,IF(BC328="שימור",IF('חד גזעי'!$AM$4="לא",IF(BC328="לא בוגר",0,IF(BC328="לא קיים",0,IF(J328=0,0,I328*0.1))),IF(BC328="לא בוגר",0,IF(BC328="לא קיים",0,IF(AB328=1,I328*0.1,E328*0.5)))),0),IF('חד גזעי'!$AM$4="לא",IF(BC328="לא בוגר",0,IF(BC328="לא קיים",0,IF(J328=0,0,I328*0.1))),IF(BC328="לא בוגר",0,IF(BC328="לא קיים",0,IF(AB328=1,I328*0.1,E328*0.5))))),IF(P328=0,IF(BC328="שימור",IF('חד גזעי'!$AM$4="לא",IF(BC328="לא בוגר",0,IF(BC328="לא קיים",0,IF(J328=0,0,I328*0.15))),IF(BC328="לא בוגר",0,IF(BC328="לא קיים",0,IF(AB328=1,I328*0.15,E328*0.5)))),0),IF('חד גזעי'!$AM$4="לא",IF(BC328="לא בוגר",0,IF(BC328="לא קיים",0,IF(J328=0,0,I328*0.15))),IF(BC328="לא בוגר",0,IF(BC328="לא קיים",0,IF(AB328=1,I328*0.15,E328*0.5))))))</f>
        <v>0</v>
      </c>
      <c r="V328" t="str">
        <f t="shared" si="277"/>
        <v>שווי דקל</v>
      </c>
      <c r="W328" t="str">
        <f t="shared" si="278"/>
        <v>שווי דקל</v>
      </c>
      <c r="X328">
        <f t="shared" si="279"/>
        <v>0</v>
      </c>
      <c r="Y328">
        <f>IF('חד גזעי'!$AM$2 = "לא",0,IF(F328&gt;9,W328,0))</f>
        <v>0</v>
      </c>
      <c r="Z328">
        <f>IF('חד גזעי'!$AM$7 = "לא",0,IF(C328 = "זית אירופי",IF('חד גזעי'!$AN$7 &lt;=סקר!F328,W328,0),IF(C328 = "חרוב מצוי",IF('חד גזעי'!$AN$7 &lt;=סקר!F328,W328,0),0)))</f>
        <v>0</v>
      </c>
      <c r="AC328" s="94"/>
      <c r="AD328" s="94"/>
      <c r="AE328" s="72"/>
      <c r="AF328" s="77" t="s">
        <v>767</v>
      </c>
      <c r="AG328" s="77" t="s">
        <v>768</v>
      </c>
      <c r="AH328" s="72" t="s">
        <v>762</v>
      </c>
      <c r="AI328" s="72" t="s">
        <v>763</v>
      </c>
      <c r="AJ328" s="72" t="s">
        <v>764</v>
      </c>
      <c r="AK328" s="77" t="s">
        <v>770</v>
      </c>
      <c r="AL328" t="s">
        <v>771</v>
      </c>
      <c r="AM328" s="77" t="s">
        <v>809</v>
      </c>
      <c r="AN328" s="77" t="s">
        <v>810</v>
      </c>
      <c r="AO328" s="77" t="s">
        <v>811</v>
      </c>
      <c r="AS328" s="199"/>
      <c r="AT328" s="199"/>
      <c r="AU328" s="199"/>
      <c r="AV328" s="199"/>
      <c r="AW328" s="205"/>
      <c r="AX328" s="205"/>
      <c r="AY328" s="205"/>
      <c r="AZ328" s="199"/>
      <c r="BA328" s="199"/>
      <c r="BB328" s="199"/>
      <c r="BC328" s="199"/>
      <c r="BE328">
        <f t="shared" si="348"/>
        <v>0</v>
      </c>
      <c r="BF328" s="196"/>
      <c r="BG328" s="196"/>
      <c r="BH328" s="196"/>
      <c r="BI328" s="196"/>
      <c r="BJ328" s="196"/>
      <c r="BK328" s="196"/>
    </row>
    <row r="329" spans="1:63" hidden="1">
      <c r="B329" s="72"/>
      <c r="C329" s="135"/>
      <c r="D329" s="73"/>
      <c r="E329" s="73"/>
      <c r="F329" s="72"/>
      <c r="G329" s="72"/>
      <c r="H329" s="72"/>
      <c r="I329" s="73">
        <f t="shared" ref="I329:I360" si="350">F329+(G329/2)+(H329/2)</f>
        <v>0</v>
      </c>
      <c r="J329" s="73"/>
      <c r="K329" s="73"/>
      <c r="L329" s="74" t="e">
        <f>_xlfn.IFNA(VLOOKUP(C329,'חד גזעי'!$U$3:$V$509,2,0),VLOOKUP(C329,'חד גזעי'!$U$3:$V$509,2))</f>
        <v>#N/A</v>
      </c>
      <c r="M329" s="73"/>
      <c r="N329" s="72" t="e">
        <f>_xlfn.IFNA(IF(VLOOKUP(C329,'חד גזעי'!$AH$2:$AH$7,1,FALSE)&gt;0,0,IF('חד גזעי'!$AM$5="כן",IF(_xlfn.IFNA(VLOOKUP(C329,'חד גזעי'!$AH$2:$AH$33,1,FALSE),SUM(J329:M329))&lt;21,_xlfn.IFNA(VLOOKUP(C329,'חד גזעי'!$AH$2:$AH$33,1,FALSE),SUM(J329:M329)),0),SUM(J329:M329))),IF('חד גזעי'!$AM$5="כן",IF(_xlfn.IFNA(VLOOKUP(C329,'חד גזעי'!$AH$2:$AH$33,1,FALSE),SUM(J329:M329))&lt;21,_xlfn.IFNA(VLOOKUP(C329,'חד גזעי'!$AH$2:$AH$33,1,FALSE),SUM(J329:M329)),0),SUM(J329:M329)))</f>
        <v>#N/A</v>
      </c>
      <c r="O329" s="72">
        <f>IF('חד גזעי'!$AM$3 = "כן",IF(T329&gt;4,4,T329),T329)</f>
        <v>0</v>
      </c>
      <c r="P329" s="80">
        <f>IF(E329&lt;2,0,IF(Z329&gt;0,Z329,IF(N329 = 0,0,IF('חד גזעי'!$AM$2 = "לא",IF(F329&gt;19,W329,0),IF(F329&gt;9,Y329,0)))))</f>
        <v>0</v>
      </c>
      <c r="Q329" s="77"/>
      <c r="R329" s="75"/>
      <c r="S329" t="e">
        <f>VLOOKUP(C329,'חד גזעי'!$Y$4:$Y$18,1,0)</f>
        <v>#N/A</v>
      </c>
      <c r="T329" s="72">
        <f>IF('חד גזעי'!$AM$6="לא",IF(P329=0,IF(BC329="שימור",IF('חד גזעי'!$AM$4="לא",IF(BC329="לא בוגר",0,IF(BC329="לא קיים",0,IF(J329=0,0,I329*0.1))),IF(BC329="לא בוגר",0,IF(BC329="לא קיים",0,IF(AB329=1,I329*0.1,E329*0.5)))),0),IF('חד גזעי'!$AM$4="לא",IF(BC329="לא בוגר",0,IF(BC329="לא קיים",0,IF(J329=0,0,I329*0.1))),IF(BC329="לא בוגר",0,IF(BC329="לא קיים",0,IF(AB329=1,I329*0.1,E329*0.5))))),IF(P329=0,IF(BC329="שימור",IF('חד גזעי'!$AM$4="לא",IF(BC329="לא בוגר",0,IF(BC329="לא קיים",0,IF(J329=0,0,I329*0.15))),IF(BC329="לא בוגר",0,IF(BC329="לא קיים",0,IF(AB329=1,I329*0.15,E329*0.5)))),0),IF('חד גזעי'!$AM$4="לא",IF(BC329="לא בוגר",0,IF(BC329="לא קיים",0,IF(J329=0,0,I329*0.15))),IF(BC329="לא בוגר",0,IF(BC329="לא קיים",0,IF(AB329=1,I329*0.15,E329*0.5))))))</f>
        <v>0</v>
      </c>
      <c r="V329" t="e">
        <f t="shared" si="277"/>
        <v>#N/A</v>
      </c>
      <c r="W329" t="e">
        <f t="shared" si="278"/>
        <v>#N/A</v>
      </c>
      <c r="X329" t="e">
        <f t="shared" si="279"/>
        <v>#N/A</v>
      </c>
      <c r="Y329">
        <f>IF('חד גזעי'!$AM$2 = "לא",0,IF(F329&gt;9,W329,0))</f>
        <v>0</v>
      </c>
      <c r="Z329">
        <f>IF('חד גזעי'!$AM$7 = "לא",0,IF(C329 = "זית אירופי",IF('חד גזעי'!$AN$7 &lt;=סקר!F329,W329,0),IF(C329 = "חרוב מצוי",IF('חד גזעי'!$AN$7 &lt;=סקר!F329,W329,0),0)))</f>
        <v>0</v>
      </c>
      <c r="AB329">
        <f t="shared" ref="AB329:AB360" si="351">_xlfn.IFNA(S329,1)</f>
        <v>1</v>
      </c>
      <c r="AC329" s="72"/>
      <c r="AD329" t="e">
        <f>IF(AK329&gt;0,AK329,AF329)</f>
        <v>#N/A</v>
      </c>
      <c r="AE329" s="72"/>
      <c r="AF329" s="72" t="e">
        <f t="shared" ref="AF329:AF360" si="352">((AJ329+AI329+AH329)*(AG329))*(J329*0.2)*(K329*0.2)*20</f>
        <v>#N/A</v>
      </c>
      <c r="AG329" s="72" t="e">
        <f>IF('חד גזעי'!$AM$5="לא",(VLOOKUP(C329,'חד גזעי'!$P$1:$S$589,3,FALSE)),(VLOOKUP(C329,'חד גזעי'!$P$1:$S$589,4,FALSE)))</f>
        <v>#N/A</v>
      </c>
      <c r="AH329" s="72">
        <f t="shared" ref="AH329:AH360" si="353">(3.14*((F329/2)^2))</f>
        <v>0</v>
      </c>
      <c r="AI329" s="72">
        <f t="shared" ref="AI329:AI360" si="354">3.14*(G329*G329/4)</f>
        <v>0</v>
      </c>
      <c r="AJ329" s="72">
        <f t="shared" ref="AJ329:AJ360" si="355">3.14*(H329*H329/4)</f>
        <v>0</v>
      </c>
      <c r="AK329" s="72" t="e">
        <f t="shared" ref="AK329:AK360" si="356">AL329*E329*(J329*0.2)*(0.2*K329)*1500</f>
        <v>#N/A</v>
      </c>
      <c r="AL329" t="e">
        <f>VLOOKUP(C329,'חד גזעי'!$AH$8:$AI$33,2,FALSE)</f>
        <v>#N/A</v>
      </c>
      <c r="AM329" s="72" t="b">
        <f t="shared" ref="AM329:AM360" si="357">IF(BC329="שימור",P329)</f>
        <v>0</v>
      </c>
      <c r="AN329" s="72" t="b">
        <f t="shared" ref="AN329:AN360" si="358">IF(BC329="כריתה",P329)</f>
        <v>0</v>
      </c>
      <c r="AO329" s="72" t="b">
        <f t="shared" ref="AO329:AO360" si="359">IF(BC329="העתקה",P329)</f>
        <v>0</v>
      </c>
      <c r="AS329" s="72">
        <f t="shared" ref="AS329:AS360" si="360">B329</f>
        <v>0</v>
      </c>
      <c r="AT329" s="72">
        <f t="shared" ref="AT329:AT360" si="361">C329</f>
        <v>0</v>
      </c>
      <c r="AU329" s="72">
        <f>IF(C329&gt;0,IF(D329&lt;2,1,D329),0)</f>
        <v>0</v>
      </c>
      <c r="AV329" s="72">
        <f t="shared" ref="AV329:AV360" si="362">E329</f>
        <v>0</v>
      </c>
      <c r="AW329" s="72">
        <f t="shared" ref="AW329:AW360" si="363">F329</f>
        <v>0</v>
      </c>
      <c r="AX329" s="72">
        <f t="shared" ref="AX329:AX360" si="364">G329</f>
        <v>0</v>
      </c>
      <c r="AY329" s="72">
        <f t="shared" ref="AY329:AY360" si="365">H329</f>
        <v>0</v>
      </c>
      <c r="AZ329" s="72">
        <f t="shared" ref="AZ329:AZ360" si="366">I329</f>
        <v>0</v>
      </c>
      <c r="BA329" s="72" t="e">
        <f t="shared" ref="BA329:BA360" si="367">N329</f>
        <v>#N/A</v>
      </c>
      <c r="BB329" s="72" t="e">
        <f t="shared" ref="BB329:BB360" si="368">IF(BA329&gt;6,IF(BA329&gt;13,IF(BA329&gt;16,"גבוה מאוד","גבוה"),"בינונית"),"נמוכה")</f>
        <v>#N/A</v>
      </c>
      <c r="BC329" s="77"/>
      <c r="BE329">
        <f t="shared" si="348"/>
        <v>0</v>
      </c>
      <c r="BF329" s="196"/>
      <c r="BG329" s="196"/>
      <c r="BH329" s="196"/>
      <c r="BI329" s="196"/>
      <c r="BJ329" s="196"/>
      <c r="BK329" s="196"/>
    </row>
    <row r="330" spans="1:63" hidden="1">
      <c r="B330" s="72"/>
      <c r="C330" s="135"/>
      <c r="D330" s="73"/>
      <c r="E330" s="73"/>
      <c r="F330" s="72"/>
      <c r="G330" s="72"/>
      <c r="H330" s="72"/>
      <c r="I330" s="73">
        <f t="shared" si="350"/>
        <v>0</v>
      </c>
      <c r="J330" s="73"/>
      <c r="K330" s="73"/>
      <c r="L330" s="74" t="e">
        <f>_xlfn.IFNA(VLOOKUP(C330,'חד גזעי'!$U$3:$V$509,2,0),VLOOKUP(C330,'חד גזעי'!$U$3:$V$509,2))</f>
        <v>#N/A</v>
      </c>
      <c r="M330" s="73"/>
      <c r="N330" s="72" t="e">
        <f>_xlfn.IFNA(IF(VLOOKUP(C330,'חד גזעי'!$AH$2:$AH$7,1,FALSE)&gt;0,0,IF('חד גזעי'!$AM$5="כן",IF(_xlfn.IFNA(VLOOKUP(C330,'חד גזעי'!$AH$2:$AH$33,1,FALSE),SUM(J330:M330))&lt;21,_xlfn.IFNA(VLOOKUP(C330,'חד גזעי'!$AH$2:$AH$33,1,FALSE),SUM(J330:M330)),0),SUM(J330:M330))),IF('חד גזעי'!$AM$5="כן",IF(_xlfn.IFNA(VLOOKUP(C330,'חד גזעי'!$AH$2:$AH$33,1,FALSE),SUM(J330:M330))&lt;21,_xlfn.IFNA(VLOOKUP(C330,'חד גזעי'!$AH$2:$AH$33,1,FALSE),SUM(J330:M330)),0),SUM(J330:M330)))</f>
        <v>#N/A</v>
      </c>
      <c r="O330" s="72">
        <f>IF('חד גזעי'!$AM$3 = "כן",IF(T330&gt;4,4,T330),T330)</f>
        <v>0</v>
      </c>
      <c r="P330" s="80">
        <f>IF(E330&lt;2,0,IF(Z330&gt;0,Z330,IF(N330 = 0,0,IF('חד גזעי'!$AM$2 = "לא",IF(F330&gt;19,W330,0),IF(F330&gt;9,Y330,0)))))</f>
        <v>0</v>
      </c>
      <c r="Q330" s="77"/>
      <c r="R330" s="75"/>
      <c r="S330" t="e">
        <f>VLOOKUP(C330,'חד גזעי'!$Y$4:$Y$18,1,0)</f>
        <v>#N/A</v>
      </c>
      <c r="T330" s="72">
        <f>IF('חד גזעי'!$AM$6="לא",IF(P330=0,IF(BC330="שימור",IF('חד גזעי'!$AM$4="לא",IF(BC330="לא בוגר",0,IF(BC330="לא קיים",0,IF(J330=0,0,I330*0.1))),IF(BC330="לא בוגר",0,IF(BC330="לא קיים",0,IF(AB330=1,I330*0.1,E330*0.5)))),0),IF('חד גזעי'!$AM$4="לא",IF(BC330="לא בוגר",0,IF(BC330="לא קיים",0,IF(J330=0,0,I330*0.1))),IF(BC330="לא בוגר",0,IF(BC330="לא קיים",0,IF(AB330=1,I330*0.1,E330*0.5))))),IF(P330=0,IF(BC330="שימור",IF('חד גזעי'!$AM$4="לא",IF(BC330="לא בוגר",0,IF(BC330="לא קיים",0,IF(J330=0,0,I330*0.15))),IF(BC330="לא בוגר",0,IF(BC330="לא קיים",0,IF(AB330=1,I330*0.15,E330*0.5)))),0),IF('חד גזעי'!$AM$4="לא",IF(BC330="לא בוגר",0,IF(BC330="לא קיים",0,IF(J330=0,0,I330*0.15))),IF(BC330="לא בוגר",0,IF(BC330="לא קיים",0,IF(AB330=1,I330*0.15,E330*0.5))))))</f>
        <v>0</v>
      </c>
      <c r="V330" t="e">
        <f t="shared" si="277"/>
        <v>#N/A</v>
      </c>
      <c r="W330" t="e">
        <f t="shared" si="278"/>
        <v>#N/A</v>
      </c>
      <c r="X330" t="e">
        <f t="shared" si="279"/>
        <v>#N/A</v>
      </c>
      <c r="Y330">
        <f>IF('חד גזעי'!$AM$2 = "לא",0,IF(F330&gt;9,W330,0))</f>
        <v>0</v>
      </c>
      <c r="Z330">
        <f>IF('חד גזעי'!$AM$7 = "לא",0,IF(C330 = "זית אירופי",IF('חד גזעי'!$AN$7 &lt;=סקר!F330,W330,0),IF(C330 = "חרוב מצוי",IF('חד גזעי'!$AN$7 &lt;=סקר!F330,W330,0),0)))</f>
        <v>0</v>
      </c>
      <c r="AB330">
        <f t="shared" si="351"/>
        <v>1</v>
      </c>
      <c r="AC330" s="72"/>
      <c r="AD330" t="e">
        <f t="shared" ref="AD330:AD360" si="369">IF(AK330&gt;0,AK330,AF330)</f>
        <v>#N/A</v>
      </c>
      <c r="AE330" s="72"/>
      <c r="AF330" s="72" t="e">
        <f t="shared" si="352"/>
        <v>#N/A</v>
      </c>
      <c r="AG330" s="72" t="e">
        <f>IF('חד גזעי'!$AM$5="לא",(VLOOKUP(C330,'חד גזעי'!$P$1:$S$589,3,FALSE)),(VLOOKUP(C330,'חד גזעי'!$P$1:$S$589,4,FALSE)))</f>
        <v>#N/A</v>
      </c>
      <c r="AH330" s="72">
        <f t="shared" si="353"/>
        <v>0</v>
      </c>
      <c r="AI330" s="72">
        <f t="shared" si="354"/>
        <v>0</v>
      </c>
      <c r="AJ330" s="72">
        <f t="shared" si="355"/>
        <v>0</v>
      </c>
      <c r="AK330" s="72" t="e">
        <f t="shared" si="356"/>
        <v>#N/A</v>
      </c>
      <c r="AL330" t="e">
        <f>VLOOKUP(C330,'חד גזעי'!$AH$8:$AI$33,2,FALSE)</f>
        <v>#N/A</v>
      </c>
      <c r="AM330" s="72" t="b">
        <f t="shared" si="357"/>
        <v>0</v>
      </c>
      <c r="AN330" s="72" t="b">
        <f t="shared" si="358"/>
        <v>0</v>
      </c>
      <c r="AO330" s="72" t="b">
        <f t="shared" si="359"/>
        <v>0</v>
      </c>
      <c r="AS330" s="72">
        <f t="shared" si="360"/>
        <v>0</v>
      </c>
      <c r="AT330" s="72">
        <f t="shared" si="361"/>
        <v>0</v>
      </c>
      <c r="AU330" s="72">
        <f t="shared" ref="AU330:AU360" si="370">IF(C330&gt;0,IF(D330&lt;2,1,D330),0)</f>
        <v>0</v>
      </c>
      <c r="AV330" s="72">
        <f t="shared" si="362"/>
        <v>0</v>
      </c>
      <c r="AW330" s="72">
        <f t="shared" si="363"/>
        <v>0</v>
      </c>
      <c r="AX330" s="72">
        <f t="shared" si="364"/>
        <v>0</v>
      </c>
      <c r="AY330" s="72">
        <f t="shared" si="365"/>
        <v>0</v>
      </c>
      <c r="AZ330" s="72">
        <f t="shared" si="366"/>
        <v>0</v>
      </c>
      <c r="BA330" s="72" t="e">
        <f t="shared" si="367"/>
        <v>#N/A</v>
      </c>
      <c r="BB330" s="72" t="e">
        <f t="shared" si="368"/>
        <v>#N/A</v>
      </c>
      <c r="BC330" s="77"/>
      <c r="BE330">
        <f t="shared" si="348"/>
        <v>0</v>
      </c>
      <c r="BF330" s="196"/>
      <c r="BG330" s="196"/>
      <c r="BH330" s="196"/>
      <c r="BI330" s="196"/>
      <c r="BJ330" s="196"/>
      <c r="BK330" s="196"/>
    </row>
    <row r="331" spans="1:63" hidden="1">
      <c r="B331" s="72"/>
      <c r="C331" s="135"/>
      <c r="D331" s="73"/>
      <c r="E331" s="73"/>
      <c r="F331" s="72"/>
      <c r="G331" s="72"/>
      <c r="H331" s="72"/>
      <c r="I331" s="73">
        <f t="shared" si="350"/>
        <v>0</v>
      </c>
      <c r="J331" s="73"/>
      <c r="K331" s="73"/>
      <c r="L331" s="74" t="e">
        <f>_xlfn.IFNA(VLOOKUP(C331,'חד גזעי'!$U$3:$V$509,2,0),VLOOKUP(C331,'חד גזעי'!$U$3:$V$509,2))</f>
        <v>#N/A</v>
      </c>
      <c r="M331" s="73"/>
      <c r="N331" s="72" t="e">
        <f>_xlfn.IFNA(IF(VLOOKUP(C331,'חד גזעי'!$AH$2:$AH$7,1,FALSE)&gt;0,0,IF('חד גזעי'!$AM$5="כן",IF(_xlfn.IFNA(VLOOKUP(C331,'חד גזעי'!$AH$2:$AH$33,1,FALSE),SUM(J331:M331))&lt;21,_xlfn.IFNA(VLOOKUP(C331,'חד גזעי'!$AH$2:$AH$33,1,FALSE),SUM(J331:M331)),0),SUM(J331:M331))),IF('חד גזעי'!$AM$5="כן",IF(_xlfn.IFNA(VLOOKUP(C331,'חד גזעי'!$AH$2:$AH$33,1,FALSE),SUM(J331:M331))&lt;21,_xlfn.IFNA(VLOOKUP(C331,'חד גזעי'!$AH$2:$AH$33,1,FALSE),SUM(J331:M331)),0),SUM(J331:M331)))</f>
        <v>#N/A</v>
      </c>
      <c r="O331" s="72">
        <f>IF('חד גזעי'!$AM$3 = "כן",IF(T331&gt;4,4,T331),T331)</f>
        <v>0</v>
      </c>
      <c r="P331" s="80">
        <f>IF(E331&lt;2,0,IF(Z331&gt;0,Z331,IF(N331 = 0,0,IF('חד גזעי'!$AM$2 = "לא",IF(F331&gt;19,W331,0),IF(F331&gt;9,Y331,0)))))</f>
        <v>0</v>
      </c>
      <c r="Q331" s="77"/>
      <c r="R331" s="75"/>
      <c r="S331" t="e">
        <f>VLOOKUP(C331,'חד גזעי'!$Y$4:$Y$18,1,0)</f>
        <v>#N/A</v>
      </c>
      <c r="T331" s="72">
        <f>IF('חד גזעי'!$AM$6="לא",IF(P331=0,IF(BC331="שימור",IF('חד גזעי'!$AM$4="לא",IF(BC331="לא בוגר",0,IF(BC331="לא קיים",0,IF(J331=0,0,I331*0.1))),IF(BC331="לא בוגר",0,IF(BC331="לא קיים",0,IF(AB331=1,I331*0.1,E331*0.5)))),0),IF('חד גזעי'!$AM$4="לא",IF(BC331="לא בוגר",0,IF(BC331="לא קיים",0,IF(J331=0,0,I331*0.1))),IF(BC331="לא בוגר",0,IF(BC331="לא קיים",0,IF(AB331=1,I331*0.1,E331*0.5))))),IF(P331=0,IF(BC331="שימור",IF('חד גזעי'!$AM$4="לא",IF(BC331="לא בוגר",0,IF(BC331="לא קיים",0,IF(J331=0,0,I331*0.15))),IF(BC331="לא בוגר",0,IF(BC331="לא קיים",0,IF(AB331=1,I331*0.15,E331*0.5)))),0),IF('חד גזעי'!$AM$4="לא",IF(BC331="לא בוגר",0,IF(BC331="לא קיים",0,IF(J331=0,0,I331*0.15))),IF(BC331="לא בוגר",0,IF(BC331="לא קיים",0,IF(AB331=1,I331*0.15,E331*0.5))))))</f>
        <v>0</v>
      </c>
      <c r="V331" t="e">
        <f t="shared" si="277"/>
        <v>#N/A</v>
      </c>
      <c r="W331" t="e">
        <f t="shared" si="278"/>
        <v>#N/A</v>
      </c>
      <c r="X331" t="e">
        <f t="shared" si="279"/>
        <v>#N/A</v>
      </c>
      <c r="Y331">
        <f>IF('חד גזעי'!$AM$2 = "לא",0,IF(F331&gt;9,W331,0))</f>
        <v>0</v>
      </c>
      <c r="Z331">
        <f>IF('חד גזעי'!$AM$7 = "לא",0,IF(C331 = "זית אירופי",IF('חד גזעי'!$AN$7 &lt;=סקר!F331,W331,0),IF(C331 = "חרוב מצוי",IF('חד גזעי'!$AN$7 &lt;=סקר!F331,W331,0),0)))</f>
        <v>0</v>
      </c>
      <c r="AB331">
        <f t="shared" si="351"/>
        <v>1</v>
      </c>
      <c r="AC331" s="72"/>
      <c r="AD331" t="e">
        <f t="shared" si="369"/>
        <v>#N/A</v>
      </c>
      <c r="AE331" s="72"/>
      <c r="AF331" s="72" t="e">
        <f t="shared" si="352"/>
        <v>#N/A</v>
      </c>
      <c r="AG331" s="72" t="e">
        <f>IF('חד גזעי'!$AM$5="לא",(VLOOKUP(C331,'חד גזעי'!$P$1:$S$589,3,FALSE)),(VLOOKUP(C331,'חד גזעי'!$P$1:$S$589,4,FALSE)))</f>
        <v>#N/A</v>
      </c>
      <c r="AH331" s="72">
        <f t="shared" si="353"/>
        <v>0</v>
      </c>
      <c r="AI331" s="72">
        <f t="shared" si="354"/>
        <v>0</v>
      </c>
      <c r="AJ331" s="72">
        <f t="shared" si="355"/>
        <v>0</v>
      </c>
      <c r="AK331" s="72" t="e">
        <f t="shared" si="356"/>
        <v>#N/A</v>
      </c>
      <c r="AL331" t="e">
        <f>VLOOKUP(C331,'חד גזעי'!$AH$8:$AI$33,2,FALSE)</f>
        <v>#N/A</v>
      </c>
      <c r="AM331" s="72" t="b">
        <f t="shared" si="357"/>
        <v>0</v>
      </c>
      <c r="AN331" s="72" t="b">
        <f t="shared" si="358"/>
        <v>0</v>
      </c>
      <c r="AO331" s="72" t="b">
        <f t="shared" si="359"/>
        <v>0</v>
      </c>
      <c r="AS331" s="72">
        <f t="shared" si="360"/>
        <v>0</v>
      </c>
      <c r="AT331" s="72">
        <f t="shared" si="361"/>
        <v>0</v>
      </c>
      <c r="AU331" s="72">
        <f t="shared" si="370"/>
        <v>0</v>
      </c>
      <c r="AV331" s="72">
        <f t="shared" si="362"/>
        <v>0</v>
      </c>
      <c r="AW331" s="72">
        <f t="shared" si="363"/>
        <v>0</v>
      </c>
      <c r="AX331" s="72">
        <f t="shared" si="364"/>
        <v>0</v>
      </c>
      <c r="AY331" s="72">
        <f t="shared" si="365"/>
        <v>0</v>
      </c>
      <c r="AZ331" s="72">
        <f t="shared" si="366"/>
        <v>0</v>
      </c>
      <c r="BA331" s="72" t="e">
        <f t="shared" si="367"/>
        <v>#N/A</v>
      </c>
      <c r="BB331" s="72" t="e">
        <f t="shared" si="368"/>
        <v>#N/A</v>
      </c>
      <c r="BC331" s="77"/>
      <c r="BE331">
        <f t="shared" si="348"/>
        <v>0</v>
      </c>
      <c r="BF331" s="196"/>
      <c r="BG331" s="196"/>
      <c r="BH331" s="196"/>
      <c r="BI331" s="196"/>
      <c r="BJ331" s="196"/>
      <c r="BK331" s="196"/>
    </row>
    <row r="332" spans="1:63" hidden="1">
      <c r="B332" s="72"/>
      <c r="C332" s="135"/>
      <c r="D332" s="73"/>
      <c r="E332" s="73"/>
      <c r="F332" s="72"/>
      <c r="G332" s="72"/>
      <c r="H332" s="72"/>
      <c r="I332" s="73">
        <f t="shared" si="350"/>
        <v>0</v>
      </c>
      <c r="J332" s="73"/>
      <c r="K332" s="73"/>
      <c r="L332" s="74" t="e">
        <f>_xlfn.IFNA(VLOOKUP(C332,'חד גזעי'!$U$3:$V$509,2,0),VLOOKUP(C332,'חד גזעי'!$U$3:$V$509,2))</f>
        <v>#N/A</v>
      </c>
      <c r="M332" s="73"/>
      <c r="N332" s="72" t="e">
        <f>_xlfn.IFNA(IF(VLOOKUP(C332,'חד גזעי'!$AH$2:$AH$7,1,FALSE)&gt;0,0,IF('חד גזעי'!$AM$5="כן",IF(_xlfn.IFNA(VLOOKUP(C332,'חד גזעי'!$AH$2:$AH$33,1,FALSE),SUM(J332:M332))&lt;21,_xlfn.IFNA(VLOOKUP(C332,'חד גזעי'!$AH$2:$AH$33,1,FALSE),SUM(J332:M332)),0),SUM(J332:M332))),IF('חד גזעי'!$AM$5="כן",IF(_xlfn.IFNA(VLOOKUP(C332,'חד גזעי'!$AH$2:$AH$33,1,FALSE),SUM(J332:M332))&lt;21,_xlfn.IFNA(VLOOKUP(C332,'חד גזעי'!$AH$2:$AH$33,1,FALSE),SUM(J332:M332)),0),SUM(J332:M332)))</f>
        <v>#N/A</v>
      </c>
      <c r="O332" s="72">
        <f>IF('חד גזעי'!$AM$3 = "כן",IF(T332&gt;4,4,T332),T332)</f>
        <v>0</v>
      </c>
      <c r="P332" s="80">
        <f>IF(E332&lt;2,0,IF(Z332&gt;0,Z332,IF(N332 = 0,0,IF('חד גזעי'!$AM$2 = "לא",IF(F332&gt;19,W332,0),IF(F332&gt;9,Y332,0)))))</f>
        <v>0</v>
      </c>
      <c r="Q332" s="77"/>
      <c r="R332" s="75"/>
      <c r="S332" t="e">
        <f>VLOOKUP(C332,'חד גזעי'!$Y$4:$Y$18,1,0)</f>
        <v>#N/A</v>
      </c>
      <c r="T332" s="72">
        <f>IF('חד גזעי'!$AM$6="לא",IF(P332=0,IF(BC332="שימור",IF('חד גזעי'!$AM$4="לא",IF(BC332="לא בוגר",0,IF(BC332="לא קיים",0,IF(J332=0,0,I332*0.1))),IF(BC332="לא בוגר",0,IF(BC332="לא קיים",0,IF(AB332=1,I332*0.1,E332*0.5)))),0),IF('חד גזעי'!$AM$4="לא",IF(BC332="לא בוגר",0,IF(BC332="לא קיים",0,IF(J332=0,0,I332*0.1))),IF(BC332="לא בוגר",0,IF(BC332="לא קיים",0,IF(AB332=1,I332*0.1,E332*0.5))))),IF(P332=0,IF(BC332="שימור",IF('חד גזעי'!$AM$4="לא",IF(BC332="לא בוגר",0,IF(BC332="לא קיים",0,IF(J332=0,0,I332*0.15))),IF(BC332="לא בוגר",0,IF(BC332="לא קיים",0,IF(AB332=1,I332*0.15,E332*0.5)))),0),IF('חד גזעי'!$AM$4="לא",IF(BC332="לא בוגר",0,IF(BC332="לא קיים",0,IF(J332=0,0,I332*0.15))),IF(BC332="לא בוגר",0,IF(BC332="לא קיים",0,IF(AB332=1,I332*0.15,E332*0.5))))))</f>
        <v>0</v>
      </c>
      <c r="V332" t="e">
        <f t="shared" ref="V332:V395" si="371">_xlfn.IFNA(AK332,AF332)</f>
        <v>#N/A</v>
      </c>
      <c r="W332" t="e">
        <f t="shared" ref="W332:W395" si="372">IF(D332=0,V332,D332*V332)</f>
        <v>#N/A</v>
      </c>
      <c r="X332" t="e">
        <f t="shared" ref="X332:X395" si="373">IF(N332 = 0,0,Y332)</f>
        <v>#N/A</v>
      </c>
      <c r="Y332">
        <f>IF('חד גזעי'!$AM$2 = "לא",0,IF(F332&gt;9,W332,0))</f>
        <v>0</v>
      </c>
      <c r="Z332">
        <f>IF('חד גזעי'!$AM$7 = "לא",0,IF(C332 = "זית אירופי",IF('חד גזעי'!$AN$7 &lt;=סקר!F332,W332,0),IF(C332 = "חרוב מצוי",IF('חד גזעי'!$AN$7 &lt;=סקר!F332,W332,0),0)))</f>
        <v>0</v>
      </c>
      <c r="AB332">
        <f t="shared" si="351"/>
        <v>1</v>
      </c>
      <c r="AC332" s="72"/>
      <c r="AD332" t="e">
        <f t="shared" si="369"/>
        <v>#N/A</v>
      </c>
      <c r="AE332" s="72"/>
      <c r="AF332" s="72" t="e">
        <f t="shared" si="352"/>
        <v>#N/A</v>
      </c>
      <c r="AG332" s="72" t="e">
        <f>IF('חד גזעי'!$AM$5="לא",(VLOOKUP(C332,'חד גזעי'!$P$1:$S$589,3,FALSE)),(VLOOKUP(C332,'חד גזעי'!$P$1:$S$589,4,FALSE)))</f>
        <v>#N/A</v>
      </c>
      <c r="AH332" s="72">
        <f t="shared" si="353"/>
        <v>0</v>
      </c>
      <c r="AI332" s="72">
        <f t="shared" si="354"/>
        <v>0</v>
      </c>
      <c r="AJ332" s="72">
        <f t="shared" si="355"/>
        <v>0</v>
      </c>
      <c r="AK332" s="72" t="e">
        <f t="shared" si="356"/>
        <v>#N/A</v>
      </c>
      <c r="AL332" t="e">
        <f>VLOOKUP(C332,'חד גזעי'!$AH$8:$AI$33,2,FALSE)</f>
        <v>#N/A</v>
      </c>
      <c r="AM332" s="72" t="b">
        <f t="shared" si="357"/>
        <v>0</v>
      </c>
      <c r="AN332" s="72" t="b">
        <f t="shared" si="358"/>
        <v>0</v>
      </c>
      <c r="AO332" s="72" t="b">
        <f t="shared" si="359"/>
        <v>0</v>
      </c>
      <c r="AS332" s="72">
        <f t="shared" si="360"/>
        <v>0</v>
      </c>
      <c r="AT332" s="72">
        <f t="shared" si="361"/>
        <v>0</v>
      </c>
      <c r="AU332" s="72">
        <f t="shared" si="370"/>
        <v>0</v>
      </c>
      <c r="AV332" s="72">
        <f t="shared" si="362"/>
        <v>0</v>
      </c>
      <c r="AW332" s="72">
        <f t="shared" si="363"/>
        <v>0</v>
      </c>
      <c r="AX332" s="72">
        <f t="shared" si="364"/>
        <v>0</v>
      </c>
      <c r="AY332" s="72">
        <f t="shared" si="365"/>
        <v>0</v>
      </c>
      <c r="AZ332" s="72">
        <f t="shared" si="366"/>
        <v>0</v>
      </c>
      <c r="BA332" s="72" t="e">
        <f t="shared" si="367"/>
        <v>#N/A</v>
      </c>
      <c r="BB332" s="72" t="e">
        <f t="shared" si="368"/>
        <v>#N/A</v>
      </c>
      <c r="BC332" s="77"/>
      <c r="BE332">
        <f t="shared" si="348"/>
        <v>0</v>
      </c>
      <c r="BF332" s="196"/>
      <c r="BG332" s="196"/>
      <c r="BH332" s="196"/>
      <c r="BI332" s="196"/>
      <c r="BJ332" s="196"/>
      <c r="BK332" s="196"/>
    </row>
    <row r="333" spans="1:63" hidden="1">
      <c r="B333" s="72"/>
      <c r="C333" s="135"/>
      <c r="D333" s="73"/>
      <c r="E333" s="73"/>
      <c r="F333" s="72"/>
      <c r="G333" s="72"/>
      <c r="H333" s="72"/>
      <c r="I333" s="73">
        <f t="shared" si="350"/>
        <v>0</v>
      </c>
      <c r="J333" s="73"/>
      <c r="K333" s="73"/>
      <c r="L333" s="74" t="e">
        <f>_xlfn.IFNA(VLOOKUP(C333,'חד גזעי'!$U$3:$V$509,2,0),VLOOKUP(C333,'חד גזעי'!$U$3:$V$509,2))</f>
        <v>#N/A</v>
      </c>
      <c r="M333" s="73"/>
      <c r="N333" s="72" t="e">
        <f>_xlfn.IFNA(IF(VLOOKUP(C333,'חד גזעי'!$AH$2:$AH$7,1,FALSE)&gt;0,0,IF('חד גזעי'!$AM$5="כן",IF(_xlfn.IFNA(VLOOKUP(C333,'חד גזעי'!$AH$2:$AH$33,1,FALSE),SUM(J333:M333))&lt;21,_xlfn.IFNA(VLOOKUP(C333,'חד גזעי'!$AH$2:$AH$33,1,FALSE),SUM(J333:M333)),0),SUM(J333:M333))),IF('חד גזעי'!$AM$5="כן",IF(_xlfn.IFNA(VLOOKUP(C333,'חד גזעי'!$AH$2:$AH$33,1,FALSE),SUM(J333:M333))&lt;21,_xlfn.IFNA(VLOOKUP(C333,'חד גזעי'!$AH$2:$AH$33,1,FALSE),SUM(J333:M333)),0),SUM(J333:M333)))</f>
        <v>#N/A</v>
      </c>
      <c r="O333" s="72">
        <f>IF('חד גזעי'!$AM$3 = "כן",IF(T333&gt;4,4,T333),T333)</f>
        <v>0</v>
      </c>
      <c r="P333" s="80">
        <f>IF(E333&lt;2,0,IF(Z333&gt;0,Z333,IF(N333 = 0,0,IF('חד גזעי'!$AM$2 = "לא",IF(F333&gt;19,W333,0),IF(F333&gt;9,Y333,0)))))</f>
        <v>0</v>
      </c>
      <c r="Q333" s="77"/>
      <c r="R333" s="75"/>
      <c r="S333" t="e">
        <f>VLOOKUP(C333,'חד גזעי'!$Y$4:$Y$18,1,0)</f>
        <v>#N/A</v>
      </c>
      <c r="T333" s="72">
        <f>IF('חד גזעי'!$AM$6="לא",IF(P333=0,IF(BC333="שימור",IF('חד גזעי'!$AM$4="לא",IF(BC333="לא בוגר",0,IF(BC333="לא קיים",0,IF(J333=0,0,I333*0.1))),IF(BC333="לא בוגר",0,IF(BC333="לא קיים",0,IF(AB333=1,I333*0.1,E333*0.5)))),0),IF('חד גזעי'!$AM$4="לא",IF(BC333="לא בוגר",0,IF(BC333="לא קיים",0,IF(J333=0,0,I333*0.1))),IF(BC333="לא בוגר",0,IF(BC333="לא קיים",0,IF(AB333=1,I333*0.1,E333*0.5))))),IF(P333=0,IF(BC333="שימור",IF('חד גזעי'!$AM$4="לא",IF(BC333="לא בוגר",0,IF(BC333="לא קיים",0,IF(J333=0,0,I333*0.15))),IF(BC333="לא בוגר",0,IF(BC333="לא קיים",0,IF(AB333=1,I333*0.15,E333*0.5)))),0),IF('חד גזעי'!$AM$4="לא",IF(BC333="לא בוגר",0,IF(BC333="לא קיים",0,IF(J333=0,0,I333*0.15))),IF(BC333="לא בוגר",0,IF(BC333="לא קיים",0,IF(AB333=1,I333*0.15,E333*0.5))))))</f>
        <v>0</v>
      </c>
      <c r="V333" t="e">
        <f t="shared" si="371"/>
        <v>#N/A</v>
      </c>
      <c r="W333" t="e">
        <f t="shared" si="372"/>
        <v>#N/A</v>
      </c>
      <c r="X333" t="e">
        <f t="shared" si="373"/>
        <v>#N/A</v>
      </c>
      <c r="Y333">
        <f>IF('חד גזעי'!$AM$2 = "לא",0,IF(F333&gt;9,W333,0))</f>
        <v>0</v>
      </c>
      <c r="Z333">
        <f>IF('חד גזעי'!$AM$7 = "לא",0,IF(C333 = "זית אירופי",IF('חד גזעי'!$AN$7 &lt;=סקר!F333,W333,0),IF(C333 = "חרוב מצוי",IF('חד גזעי'!$AN$7 &lt;=סקר!F333,W333,0),0)))</f>
        <v>0</v>
      </c>
      <c r="AB333">
        <f t="shared" si="351"/>
        <v>1</v>
      </c>
      <c r="AC333" s="72"/>
      <c r="AD333" t="e">
        <f t="shared" si="369"/>
        <v>#N/A</v>
      </c>
      <c r="AE333" s="72"/>
      <c r="AF333" s="72" t="e">
        <f t="shared" si="352"/>
        <v>#N/A</v>
      </c>
      <c r="AG333" s="72" t="e">
        <f>IF('חד גזעי'!$AM$5="לא",(VLOOKUP(C333,'חד גזעי'!$P$1:$S$589,3,FALSE)),(VLOOKUP(C333,'חד גזעי'!$P$1:$S$589,4,FALSE)))</f>
        <v>#N/A</v>
      </c>
      <c r="AH333" s="72">
        <f t="shared" si="353"/>
        <v>0</v>
      </c>
      <c r="AI333" s="72">
        <f t="shared" si="354"/>
        <v>0</v>
      </c>
      <c r="AJ333" s="72">
        <f t="shared" si="355"/>
        <v>0</v>
      </c>
      <c r="AK333" s="72" t="e">
        <f t="shared" si="356"/>
        <v>#N/A</v>
      </c>
      <c r="AL333" t="e">
        <f>VLOOKUP(C333,'חד גזעי'!$AH$8:$AI$33,2,FALSE)</f>
        <v>#N/A</v>
      </c>
      <c r="AM333" s="72" t="b">
        <f t="shared" si="357"/>
        <v>0</v>
      </c>
      <c r="AN333" s="72" t="b">
        <f t="shared" si="358"/>
        <v>0</v>
      </c>
      <c r="AO333" s="72" t="b">
        <f t="shared" si="359"/>
        <v>0</v>
      </c>
      <c r="AS333" s="72">
        <f t="shared" si="360"/>
        <v>0</v>
      </c>
      <c r="AT333" s="72">
        <f t="shared" si="361"/>
        <v>0</v>
      </c>
      <c r="AU333" s="72">
        <f t="shared" si="370"/>
        <v>0</v>
      </c>
      <c r="AV333" s="72">
        <f t="shared" si="362"/>
        <v>0</v>
      </c>
      <c r="AW333" s="72">
        <f t="shared" si="363"/>
        <v>0</v>
      </c>
      <c r="AX333" s="72">
        <f t="shared" si="364"/>
        <v>0</v>
      </c>
      <c r="AY333" s="72">
        <f t="shared" si="365"/>
        <v>0</v>
      </c>
      <c r="AZ333" s="72">
        <f t="shared" si="366"/>
        <v>0</v>
      </c>
      <c r="BA333" s="72" t="e">
        <f t="shared" si="367"/>
        <v>#N/A</v>
      </c>
      <c r="BB333" s="72" t="e">
        <f t="shared" si="368"/>
        <v>#N/A</v>
      </c>
      <c r="BC333" s="77"/>
      <c r="BE333">
        <f t="shared" si="348"/>
        <v>0</v>
      </c>
      <c r="BF333" s="196"/>
      <c r="BG333" s="196"/>
      <c r="BH333" s="196"/>
      <c r="BI333" s="196"/>
      <c r="BJ333" s="196"/>
      <c r="BK333" s="196"/>
    </row>
    <row r="334" spans="1:63" hidden="1">
      <c r="B334" s="72"/>
      <c r="C334" s="135"/>
      <c r="D334" s="78"/>
      <c r="E334" s="73"/>
      <c r="F334" s="72"/>
      <c r="G334" s="72"/>
      <c r="H334" s="72"/>
      <c r="I334" s="73">
        <f t="shared" si="350"/>
        <v>0</v>
      </c>
      <c r="J334" s="78"/>
      <c r="K334" s="73"/>
      <c r="L334" s="74" t="e">
        <f>_xlfn.IFNA(VLOOKUP(C334,'חד גזעי'!$U$3:$V$509,2,0),VLOOKUP(C334,'חד גזעי'!$U$3:$V$509,2))</f>
        <v>#N/A</v>
      </c>
      <c r="M334" s="73"/>
      <c r="N334" s="72" t="e">
        <f>_xlfn.IFNA(IF(VLOOKUP(C334,'חד גזעי'!$AH$2:$AH$7,1,FALSE)&gt;0,0,IF('חד גזעי'!$AM$5="כן",IF(_xlfn.IFNA(VLOOKUP(C334,'חד גזעי'!$AH$2:$AH$33,1,FALSE),SUM(J334:M334))&lt;21,_xlfn.IFNA(VLOOKUP(C334,'חד גזעי'!$AH$2:$AH$33,1,FALSE),SUM(J334:M334)),0),SUM(J334:M334))),IF('חד גזעי'!$AM$5="כן",IF(_xlfn.IFNA(VLOOKUP(C334,'חד גזעי'!$AH$2:$AH$33,1,FALSE),SUM(J334:M334))&lt;21,_xlfn.IFNA(VLOOKUP(C334,'חד גזעי'!$AH$2:$AH$33,1,FALSE),SUM(J334:M334)),0),SUM(J334:M334)))</f>
        <v>#N/A</v>
      </c>
      <c r="O334" s="72">
        <f>IF('חד גזעי'!$AM$3 = "כן",IF(T334&gt;4,4,T334),T334)</f>
        <v>0</v>
      </c>
      <c r="P334" s="80">
        <f>IF(E334&lt;2,0,IF(Z334&gt;0,Z334,IF(N334 = 0,0,IF('חד גזעי'!$AM$2 = "לא",IF(F334&gt;19,W334,0),IF(F334&gt;9,Y334,0)))))</f>
        <v>0</v>
      </c>
      <c r="Q334" s="77"/>
      <c r="R334" s="75"/>
      <c r="S334" t="e">
        <f>VLOOKUP(C334,'חד גזעי'!$Y$4:$Y$18,1,0)</f>
        <v>#N/A</v>
      </c>
      <c r="T334" s="72">
        <f>IF('חד גזעי'!$AM$6="לא",IF(P334=0,IF(BC334="שימור",IF('חד גזעי'!$AM$4="לא",IF(BC334="לא בוגר",0,IF(BC334="לא קיים",0,IF(J334=0,0,I334*0.1))),IF(BC334="לא בוגר",0,IF(BC334="לא קיים",0,IF(AB334=1,I334*0.1,E334*0.5)))),0),IF('חד גזעי'!$AM$4="לא",IF(BC334="לא בוגר",0,IF(BC334="לא קיים",0,IF(J334=0,0,I334*0.1))),IF(BC334="לא בוגר",0,IF(BC334="לא קיים",0,IF(AB334=1,I334*0.1,E334*0.5))))),IF(P334=0,IF(BC334="שימור",IF('חד גזעי'!$AM$4="לא",IF(BC334="לא בוגר",0,IF(BC334="לא קיים",0,IF(J334=0,0,I334*0.15))),IF(BC334="לא בוגר",0,IF(BC334="לא קיים",0,IF(AB334=1,I334*0.15,E334*0.5)))),0),IF('חד גזעי'!$AM$4="לא",IF(BC334="לא בוגר",0,IF(BC334="לא קיים",0,IF(J334=0,0,I334*0.15))),IF(BC334="לא בוגר",0,IF(BC334="לא קיים",0,IF(AB334=1,I334*0.15,E334*0.5))))))</f>
        <v>0</v>
      </c>
      <c r="V334" t="e">
        <f t="shared" si="371"/>
        <v>#N/A</v>
      </c>
      <c r="W334" t="e">
        <f t="shared" si="372"/>
        <v>#N/A</v>
      </c>
      <c r="X334" t="e">
        <f t="shared" si="373"/>
        <v>#N/A</v>
      </c>
      <c r="Y334">
        <f>IF('חד גזעי'!$AM$2 = "לא",0,IF(F334&gt;9,W334,0))</f>
        <v>0</v>
      </c>
      <c r="Z334">
        <f>IF('חד גזעי'!$AM$7 = "לא",0,IF(C334 = "זית אירופי",IF('חד גזעי'!$AN$7 &lt;=סקר!F334,W334,0),IF(C334 = "חרוב מצוי",IF('חד גזעי'!$AN$7 &lt;=סקר!F334,W334,0),0)))</f>
        <v>0</v>
      </c>
      <c r="AB334">
        <f t="shared" si="351"/>
        <v>1</v>
      </c>
      <c r="AC334" s="72"/>
      <c r="AD334" t="e">
        <f t="shared" si="369"/>
        <v>#N/A</v>
      </c>
      <c r="AE334" s="72"/>
      <c r="AF334" s="72" t="e">
        <f t="shared" si="352"/>
        <v>#N/A</v>
      </c>
      <c r="AG334" s="72" t="e">
        <f>IF('חד גזעי'!$AM$5="לא",(VLOOKUP(C334,'חד גזעי'!$P$1:$S$589,3,FALSE)),(VLOOKUP(C334,'חד גזעי'!$P$1:$S$589,4,FALSE)))</f>
        <v>#N/A</v>
      </c>
      <c r="AH334" s="72">
        <f t="shared" si="353"/>
        <v>0</v>
      </c>
      <c r="AI334" s="72">
        <f t="shared" si="354"/>
        <v>0</v>
      </c>
      <c r="AJ334" s="72">
        <f t="shared" si="355"/>
        <v>0</v>
      </c>
      <c r="AK334" s="72" t="e">
        <f t="shared" si="356"/>
        <v>#N/A</v>
      </c>
      <c r="AL334" t="e">
        <f>VLOOKUP(C334,'חד גזעי'!$AH$8:$AI$33,2,FALSE)</f>
        <v>#N/A</v>
      </c>
      <c r="AM334" s="72" t="b">
        <f t="shared" si="357"/>
        <v>0</v>
      </c>
      <c r="AN334" s="72" t="b">
        <f t="shared" si="358"/>
        <v>0</v>
      </c>
      <c r="AO334" s="72" t="b">
        <f t="shared" si="359"/>
        <v>0</v>
      </c>
      <c r="AS334" s="72">
        <f t="shared" si="360"/>
        <v>0</v>
      </c>
      <c r="AT334" s="72">
        <f t="shared" si="361"/>
        <v>0</v>
      </c>
      <c r="AU334" s="72">
        <f t="shared" si="370"/>
        <v>0</v>
      </c>
      <c r="AV334" s="72">
        <f t="shared" si="362"/>
        <v>0</v>
      </c>
      <c r="AW334" s="72">
        <f t="shared" si="363"/>
        <v>0</v>
      </c>
      <c r="AX334" s="72">
        <f t="shared" si="364"/>
        <v>0</v>
      </c>
      <c r="AY334" s="72">
        <f t="shared" si="365"/>
        <v>0</v>
      </c>
      <c r="AZ334" s="72">
        <f t="shared" si="366"/>
        <v>0</v>
      </c>
      <c r="BA334" s="72" t="e">
        <f t="shared" si="367"/>
        <v>#N/A</v>
      </c>
      <c r="BB334" s="72" t="e">
        <f t="shared" si="368"/>
        <v>#N/A</v>
      </c>
      <c r="BC334" s="77"/>
      <c r="BE334">
        <f t="shared" si="348"/>
        <v>0</v>
      </c>
      <c r="BF334" s="196"/>
      <c r="BG334" s="196"/>
      <c r="BH334" s="196"/>
      <c r="BI334" s="196"/>
      <c r="BJ334" s="196"/>
      <c r="BK334" s="196"/>
    </row>
    <row r="335" spans="1:63" hidden="1">
      <c r="B335" s="72"/>
      <c r="C335" s="135"/>
      <c r="D335" s="78"/>
      <c r="E335" s="73"/>
      <c r="F335" s="72"/>
      <c r="G335" s="72"/>
      <c r="H335" s="72"/>
      <c r="I335" s="73">
        <f t="shared" si="350"/>
        <v>0</v>
      </c>
      <c r="J335" s="78"/>
      <c r="K335" s="73"/>
      <c r="L335" s="74" t="e">
        <f>_xlfn.IFNA(VLOOKUP(C335,'חד גזעי'!$U$3:$V$509,2,0),VLOOKUP(C335,'חד גזעי'!$U$3:$V$509,2))</f>
        <v>#N/A</v>
      </c>
      <c r="M335" s="73"/>
      <c r="N335" s="72" t="e">
        <f>_xlfn.IFNA(IF(VLOOKUP(C335,'חד גזעי'!$AH$2:$AH$7,1,FALSE)&gt;0,0,IF('חד גזעי'!$AM$5="כן",IF(_xlfn.IFNA(VLOOKUP(C335,'חד גזעי'!$AH$2:$AH$33,1,FALSE),SUM(J335:M335))&lt;21,_xlfn.IFNA(VLOOKUP(C335,'חד גזעי'!$AH$2:$AH$33,1,FALSE),SUM(J335:M335)),0),SUM(J335:M335))),IF('חד גזעי'!$AM$5="כן",IF(_xlfn.IFNA(VLOOKUP(C335,'חד גזעי'!$AH$2:$AH$33,1,FALSE),SUM(J335:M335))&lt;21,_xlfn.IFNA(VLOOKUP(C335,'חד גזעי'!$AH$2:$AH$33,1,FALSE),SUM(J335:M335)),0),SUM(J335:M335)))</f>
        <v>#N/A</v>
      </c>
      <c r="O335" s="72">
        <f>IF('חד גזעי'!$AM$3 = "כן",IF(T335&gt;4,4,T335),T335)</f>
        <v>0</v>
      </c>
      <c r="P335" s="80">
        <f>IF(E335&lt;2,0,IF(Z335&gt;0,Z335,IF(N335 = 0,0,IF('חד גזעי'!$AM$2 = "לא",IF(F335&gt;19,W335,0),IF(F335&gt;9,Y335,0)))))</f>
        <v>0</v>
      </c>
      <c r="Q335" s="77"/>
      <c r="R335" s="75"/>
      <c r="S335" t="e">
        <f>VLOOKUP(C335,'חד גזעי'!$Y$4:$Y$18,1,0)</f>
        <v>#N/A</v>
      </c>
      <c r="T335" s="72">
        <f>IF('חד גזעי'!$AM$6="לא",IF(P335=0,IF(BC335="שימור",IF('חד גזעי'!$AM$4="לא",IF(BC335="לא בוגר",0,IF(BC335="לא קיים",0,IF(J335=0,0,I335*0.1))),IF(BC335="לא בוגר",0,IF(BC335="לא קיים",0,IF(AB335=1,I335*0.1,E335*0.5)))),0),IF('חד גזעי'!$AM$4="לא",IF(BC335="לא בוגר",0,IF(BC335="לא קיים",0,IF(J335=0,0,I335*0.1))),IF(BC335="לא בוגר",0,IF(BC335="לא קיים",0,IF(AB335=1,I335*0.1,E335*0.5))))),IF(P335=0,IF(BC335="שימור",IF('חד גזעי'!$AM$4="לא",IF(BC335="לא בוגר",0,IF(BC335="לא קיים",0,IF(J335=0,0,I335*0.15))),IF(BC335="לא בוגר",0,IF(BC335="לא קיים",0,IF(AB335=1,I335*0.15,E335*0.5)))),0),IF('חד גזעי'!$AM$4="לא",IF(BC335="לא בוגר",0,IF(BC335="לא קיים",0,IF(J335=0,0,I335*0.15))),IF(BC335="לא בוגר",0,IF(BC335="לא קיים",0,IF(AB335=1,I335*0.15,E335*0.5))))))</f>
        <v>0</v>
      </c>
      <c r="V335" t="e">
        <f t="shared" si="371"/>
        <v>#N/A</v>
      </c>
      <c r="W335" t="e">
        <f t="shared" si="372"/>
        <v>#N/A</v>
      </c>
      <c r="X335" t="e">
        <f t="shared" si="373"/>
        <v>#N/A</v>
      </c>
      <c r="Y335">
        <f>IF('חד גזעי'!$AM$2 = "לא",0,IF(F335&gt;9,W335,0))</f>
        <v>0</v>
      </c>
      <c r="Z335">
        <f>IF('חד גזעי'!$AM$7 = "לא",0,IF(C335 = "זית אירופי",IF('חד גזעי'!$AN$7 &lt;=סקר!F335,W335,0),IF(C335 = "חרוב מצוי",IF('חד גזעי'!$AN$7 &lt;=סקר!F335,W335,0),0)))</f>
        <v>0</v>
      </c>
      <c r="AB335">
        <f t="shared" si="351"/>
        <v>1</v>
      </c>
      <c r="AC335" s="72"/>
      <c r="AD335" t="e">
        <f t="shared" si="369"/>
        <v>#N/A</v>
      </c>
      <c r="AE335" s="72"/>
      <c r="AF335" s="72" t="e">
        <f t="shared" si="352"/>
        <v>#N/A</v>
      </c>
      <c r="AG335" s="72" t="e">
        <f>IF('חד גזעי'!$AM$5="לא",(VLOOKUP(C335,'חד גזעי'!$P$1:$S$589,3,FALSE)),(VLOOKUP(C335,'חד גזעי'!$P$1:$S$589,4,FALSE)))</f>
        <v>#N/A</v>
      </c>
      <c r="AH335" s="72">
        <f t="shared" si="353"/>
        <v>0</v>
      </c>
      <c r="AI335" s="72">
        <f t="shared" si="354"/>
        <v>0</v>
      </c>
      <c r="AJ335" s="72">
        <f t="shared" si="355"/>
        <v>0</v>
      </c>
      <c r="AK335" s="72" t="e">
        <f t="shared" si="356"/>
        <v>#N/A</v>
      </c>
      <c r="AL335" t="e">
        <f>VLOOKUP(C335,'חד גזעי'!$AH$8:$AI$33,2,FALSE)</f>
        <v>#N/A</v>
      </c>
      <c r="AM335" s="72" t="b">
        <f t="shared" si="357"/>
        <v>0</v>
      </c>
      <c r="AN335" s="72" t="b">
        <f t="shared" si="358"/>
        <v>0</v>
      </c>
      <c r="AO335" s="72" t="b">
        <f t="shared" si="359"/>
        <v>0</v>
      </c>
      <c r="AS335" s="72">
        <f t="shared" si="360"/>
        <v>0</v>
      </c>
      <c r="AT335" s="72">
        <f t="shared" si="361"/>
        <v>0</v>
      </c>
      <c r="AU335" s="72">
        <f t="shared" si="370"/>
        <v>0</v>
      </c>
      <c r="AV335" s="72">
        <f t="shared" si="362"/>
        <v>0</v>
      </c>
      <c r="AW335" s="72">
        <f t="shared" si="363"/>
        <v>0</v>
      </c>
      <c r="AX335" s="72">
        <f t="shared" si="364"/>
        <v>0</v>
      </c>
      <c r="AY335" s="72">
        <f t="shared" si="365"/>
        <v>0</v>
      </c>
      <c r="AZ335" s="72">
        <f t="shared" si="366"/>
        <v>0</v>
      </c>
      <c r="BA335" s="72" t="e">
        <f t="shared" si="367"/>
        <v>#N/A</v>
      </c>
      <c r="BB335" s="72" t="e">
        <f t="shared" si="368"/>
        <v>#N/A</v>
      </c>
      <c r="BC335" s="77"/>
      <c r="BE335">
        <f t="shared" si="348"/>
        <v>0</v>
      </c>
      <c r="BF335" s="196"/>
      <c r="BG335" s="196"/>
      <c r="BH335" s="196"/>
      <c r="BI335" s="196"/>
      <c r="BJ335" s="196"/>
      <c r="BK335" s="196"/>
    </row>
    <row r="336" spans="1:63" hidden="1">
      <c r="B336" s="72"/>
      <c r="C336" s="135"/>
      <c r="D336" s="78"/>
      <c r="E336" s="73"/>
      <c r="F336" s="72"/>
      <c r="G336" s="72"/>
      <c r="H336" s="72"/>
      <c r="I336" s="73">
        <f t="shared" si="350"/>
        <v>0</v>
      </c>
      <c r="J336" s="78"/>
      <c r="K336" s="73"/>
      <c r="L336" s="74" t="e">
        <f>_xlfn.IFNA(VLOOKUP(C336,'חד גזעי'!$U$3:$V$509,2,0),VLOOKUP(C336,'חד גזעי'!$U$3:$V$509,2))</f>
        <v>#N/A</v>
      </c>
      <c r="M336" s="73"/>
      <c r="N336" s="72" t="e">
        <f>_xlfn.IFNA(IF(VLOOKUP(C336,'חד גזעי'!$AH$2:$AH$7,1,FALSE)&gt;0,0,IF('חד גזעי'!$AM$5="כן",IF(_xlfn.IFNA(VLOOKUP(C336,'חד גזעי'!$AH$2:$AH$33,1,FALSE),SUM(J336:M336))&lt;21,_xlfn.IFNA(VLOOKUP(C336,'חד גזעי'!$AH$2:$AH$33,1,FALSE),SUM(J336:M336)),0),SUM(J336:M336))),IF('חד גזעי'!$AM$5="כן",IF(_xlfn.IFNA(VLOOKUP(C336,'חד גזעי'!$AH$2:$AH$33,1,FALSE),SUM(J336:M336))&lt;21,_xlfn.IFNA(VLOOKUP(C336,'חד גזעי'!$AH$2:$AH$33,1,FALSE),SUM(J336:M336)),0),SUM(J336:M336)))</f>
        <v>#N/A</v>
      </c>
      <c r="O336" s="72">
        <f>IF('חד גזעי'!$AM$3 = "כן",IF(T336&gt;4,4,T336),T336)</f>
        <v>0</v>
      </c>
      <c r="P336" s="80">
        <f>IF(E336&lt;2,0,IF(Z336&gt;0,Z336,IF(N336 = 0,0,IF('חד גזעי'!$AM$2 = "לא",IF(F336&gt;19,W336,0),IF(F336&gt;9,Y336,0)))))</f>
        <v>0</v>
      </c>
      <c r="Q336" s="77"/>
      <c r="R336" s="75"/>
      <c r="S336" t="e">
        <f>VLOOKUP(C336,'חד גזעי'!$Y$4:$Y$18,1,0)</f>
        <v>#N/A</v>
      </c>
      <c r="T336" s="72">
        <f>IF('חד גזעי'!$AM$6="לא",IF(P336=0,IF(BC336="שימור",IF('חד גזעי'!$AM$4="לא",IF(BC336="לא בוגר",0,IF(BC336="לא קיים",0,IF(J336=0,0,I336*0.1))),IF(BC336="לא בוגר",0,IF(BC336="לא קיים",0,IF(AB336=1,I336*0.1,E336*0.5)))),0),IF('חד גזעי'!$AM$4="לא",IF(BC336="לא בוגר",0,IF(BC336="לא קיים",0,IF(J336=0,0,I336*0.1))),IF(BC336="לא בוגר",0,IF(BC336="לא קיים",0,IF(AB336=1,I336*0.1,E336*0.5))))),IF(P336=0,IF(BC336="שימור",IF('חד גזעי'!$AM$4="לא",IF(BC336="לא בוגר",0,IF(BC336="לא קיים",0,IF(J336=0,0,I336*0.15))),IF(BC336="לא בוגר",0,IF(BC336="לא קיים",0,IF(AB336=1,I336*0.15,E336*0.5)))),0),IF('חד גזעי'!$AM$4="לא",IF(BC336="לא בוגר",0,IF(BC336="לא קיים",0,IF(J336=0,0,I336*0.15))),IF(BC336="לא בוגר",0,IF(BC336="לא קיים",0,IF(AB336=1,I336*0.15,E336*0.5))))))</f>
        <v>0</v>
      </c>
      <c r="V336" t="e">
        <f t="shared" si="371"/>
        <v>#N/A</v>
      </c>
      <c r="W336" t="e">
        <f t="shared" si="372"/>
        <v>#N/A</v>
      </c>
      <c r="X336" t="e">
        <f t="shared" si="373"/>
        <v>#N/A</v>
      </c>
      <c r="Y336">
        <f>IF('חד גזעי'!$AM$2 = "לא",0,IF(F336&gt;9,W336,0))</f>
        <v>0</v>
      </c>
      <c r="Z336">
        <f>IF('חד גזעי'!$AM$7 = "לא",0,IF(C336 = "זית אירופי",IF('חד גזעי'!$AN$7 &lt;=סקר!F336,W336,0),IF(C336 = "חרוב מצוי",IF('חד גזעי'!$AN$7 &lt;=סקר!F336,W336,0),0)))</f>
        <v>0</v>
      </c>
      <c r="AB336">
        <f t="shared" si="351"/>
        <v>1</v>
      </c>
      <c r="AC336" s="72"/>
      <c r="AD336" t="e">
        <f t="shared" si="369"/>
        <v>#N/A</v>
      </c>
      <c r="AE336" s="72"/>
      <c r="AF336" s="72" t="e">
        <f t="shared" si="352"/>
        <v>#N/A</v>
      </c>
      <c r="AG336" s="72" t="e">
        <f>IF('חד גזעי'!$AM$5="לא",(VLOOKUP(C336,'חד גזעי'!$P$1:$S$589,3,FALSE)),(VLOOKUP(C336,'חד גזעי'!$P$1:$S$589,4,FALSE)))</f>
        <v>#N/A</v>
      </c>
      <c r="AH336" s="72">
        <f t="shared" si="353"/>
        <v>0</v>
      </c>
      <c r="AI336" s="72">
        <f t="shared" si="354"/>
        <v>0</v>
      </c>
      <c r="AJ336" s="72">
        <f t="shared" si="355"/>
        <v>0</v>
      </c>
      <c r="AK336" s="72" t="e">
        <f t="shared" si="356"/>
        <v>#N/A</v>
      </c>
      <c r="AL336" t="e">
        <f>VLOOKUP(C336,'חד גזעי'!$AH$8:$AI$33,2,FALSE)</f>
        <v>#N/A</v>
      </c>
      <c r="AM336" s="72" t="b">
        <f t="shared" si="357"/>
        <v>0</v>
      </c>
      <c r="AN336" s="72" t="b">
        <f t="shared" si="358"/>
        <v>0</v>
      </c>
      <c r="AO336" s="72" t="b">
        <f t="shared" si="359"/>
        <v>0</v>
      </c>
      <c r="AS336" s="72">
        <f t="shared" si="360"/>
        <v>0</v>
      </c>
      <c r="AT336" s="72">
        <f t="shared" si="361"/>
        <v>0</v>
      </c>
      <c r="AU336" s="72">
        <f t="shared" si="370"/>
        <v>0</v>
      </c>
      <c r="AV336" s="72">
        <f t="shared" si="362"/>
        <v>0</v>
      </c>
      <c r="AW336" s="72">
        <f t="shared" si="363"/>
        <v>0</v>
      </c>
      <c r="AX336" s="72">
        <f t="shared" si="364"/>
        <v>0</v>
      </c>
      <c r="AY336" s="72">
        <f t="shared" si="365"/>
        <v>0</v>
      </c>
      <c r="AZ336" s="72">
        <f t="shared" si="366"/>
        <v>0</v>
      </c>
      <c r="BA336" s="72" t="e">
        <f t="shared" si="367"/>
        <v>#N/A</v>
      </c>
      <c r="BB336" s="72" t="e">
        <f t="shared" si="368"/>
        <v>#N/A</v>
      </c>
      <c r="BC336" s="77"/>
      <c r="BE336">
        <f t="shared" si="348"/>
        <v>0</v>
      </c>
      <c r="BF336" s="196"/>
      <c r="BG336" s="196"/>
      <c r="BH336" s="196"/>
      <c r="BI336" s="196"/>
      <c r="BJ336" s="196"/>
      <c r="BK336" s="196"/>
    </row>
    <row r="337" spans="2:63" ht="12.75" hidden="1" customHeight="1">
      <c r="B337" s="72"/>
      <c r="C337" s="135"/>
      <c r="D337" s="78"/>
      <c r="E337" s="73"/>
      <c r="F337" s="72"/>
      <c r="G337" s="72"/>
      <c r="H337" s="72"/>
      <c r="I337" s="73">
        <f t="shared" si="350"/>
        <v>0</v>
      </c>
      <c r="J337" s="78"/>
      <c r="K337" s="73"/>
      <c r="L337" s="74" t="e">
        <f>_xlfn.IFNA(VLOOKUP(C337,'חד גזעי'!$U$3:$V$509,2,0),VLOOKUP(C337,'חד גזעי'!$U$3:$V$509,2))</f>
        <v>#N/A</v>
      </c>
      <c r="M337" s="73"/>
      <c r="N337" s="72" t="e">
        <f>_xlfn.IFNA(IF(VLOOKUP(C337,'חד גזעי'!$AH$2:$AH$7,1,FALSE)&gt;0,0,IF('חד גזעי'!$AM$5="כן",IF(_xlfn.IFNA(VLOOKUP(C337,'חד גזעי'!$AH$2:$AH$33,1,FALSE),SUM(J337:M337))&lt;21,_xlfn.IFNA(VLOOKUP(C337,'חד גזעי'!$AH$2:$AH$33,1,FALSE),SUM(J337:M337)),0),SUM(J337:M337))),IF('חד גזעי'!$AM$5="כן",IF(_xlfn.IFNA(VLOOKUP(C337,'חד גזעי'!$AH$2:$AH$33,1,FALSE),SUM(J337:M337))&lt;21,_xlfn.IFNA(VLOOKUP(C337,'חד גזעי'!$AH$2:$AH$33,1,FALSE),SUM(J337:M337)),0),SUM(J337:M337)))</f>
        <v>#N/A</v>
      </c>
      <c r="O337" s="72">
        <f>IF('חד גזעי'!$AM$3 = "כן",IF(T337&gt;4,4,T337),T337)</f>
        <v>0</v>
      </c>
      <c r="P337" s="80">
        <f>IF(E337&lt;2,0,IF(Z337&gt;0,Z337,IF(N337 = 0,0,IF('חד גזעי'!$AM$2 = "לא",IF(F337&gt;19,W337,0),IF(F337&gt;9,Y337,0)))))</f>
        <v>0</v>
      </c>
      <c r="Q337" s="77"/>
      <c r="R337" s="75"/>
      <c r="S337" t="e">
        <f>VLOOKUP(C337,'חד גזעי'!$Y$4:$Y$18,1,0)</f>
        <v>#N/A</v>
      </c>
      <c r="T337" s="72">
        <f>IF('חד גזעי'!$AM$6="לא",IF(P337=0,IF(BC337="שימור",IF('חד גזעי'!$AM$4="לא",IF(BC337="לא בוגר",0,IF(BC337="לא קיים",0,IF(J337=0,0,I337*0.1))),IF(BC337="לא בוגר",0,IF(BC337="לא קיים",0,IF(AB337=1,I337*0.1,E337*0.5)))),0),IF('חד גזעי'!$AM$4="לא",IF(BC337="לא בוגר",0,IF(BC337="לא קיים",0,IF(J337=0,0,I337*0.1))),IF(BC337="לא בוגר",0,IF(BC337="לא קיים",0,IF(AB337=1,I337*0.1,E337*0.5))))),IF(P337=0,IF(BC337="שימור",IF('חד גזעי'!$AM$4="לא",IF(BC337="לא בוגר",0,IF(BC337="לא קיים",0,IF(J337=0,0,I337*0.15))),IF(BC337="לא בוגר",0,IF(BC337="לא קיים",0,IF(AB337=1,I337*0.15,E337*0.5)))),0),IF('חד גזעי'!$AM$4="לא",IF(BC337="לא בוגר",0,IF(BC337="לא קיים",0,IF(J337=0,0,I337*0.15))),IF(BC337="לא בוגר",0,IF(BC337="לא קיים",0,IF(AB337=1,I337*0.15,E337*0.5))))))</f>
        <v>0</v>
      </c>
      <c r="V337" t="e">
        <f t="shared" si="371"/>
        <v>#N/A</v>
      </c>
      <c r="W337" t="e">
        <f t="shared" si="372"/>
        <v>#N/A</v>
      </c>
      <c r="X337" t="e">
        <f t="shared" si="373"/>
        <v>#N/A</v>
      </c>
      <c r="Y337">
        <f>IF('חד גזעי'!$AM$2 = "לא",0,IF(F337&gt;9,W337,0))</f>
        <v>0</v>
      </c>
      <c r="Z337">
        <f>IF('חד גזעי'!$AM$7 = "לא",0,IF(C337 = "זית אירופי",IF('חד גזעי'!$AN$7 &lt;=סקר!F337,W337,0),IF(C337 = "חרוב מצוי",IF('חד גזעי'!$AN$7 &lt;=סקר!F337,W337,0),0)))</f>
        <v>0</v>
      </c>
      <c r="AB337">
        <f t="shared" si="351"/>
        <v>1</v>
      </c>
      <c r="AC337" s="72"/>
      <c r="AD337" t="e">
        <f t="shared" si="369"/>
        <v>#N/A</v>
      </c>
      <c r="AE337" s="72"/>
      <c r="AF337" s="72" t="e">
        <f t="shared" si="352"/>
        <v>#N/A</v>
      </c>
      <c r="AG337" s="72" t="e">
        <f>IF('חד גזעי'!$AM$5="לא",(VLOOKUP(C337,'חד גזעי'!$P$1:$S$589,3,FALSE)),(VLOOKUP(C337,'חד גזעי'!$P$1:$S$589,4,FALSE)))</f>
        <v>#N/A</v>
      </c>
      <c r="AH337" s="72">
        <f t="shared" si="353"/>
        <v>0</v>
      </c>
      <c r="AI337" s="72">
        <f t="shared" si="354"/>
        <v>0</v>
      </c>
      <c r="AJ337" s="72">
        <f t="shared" si="355"/>
        <v>0</v>
      </c>
      <c r="AK337" s="72" t="e">
        <f t="shared" si="356"/>
        <v>#N/A</v>
      </c>
      <c r="AL337" t="e">
        <f>VLOOKUP(C337,'חד גזעי'!$AH$8:$AI$33,2,FALSE)</f>
        <v>#N/A</v>
      </c>
      <c r="AM337" s="72" t="b">
        <f t="shared" si="357"/>
        <v>0</v>
      </c>
      <c r="AN337" s="72" t="b">
        <f t="shared" si="358"/>
        <v>0</v>
      </c>
      <c r="AO337" s="72" t="b">
        <f t="shared" si="359"/>
        <v>0</v>
      </c>
      <c r="AS337" s="72">
        <f t="shared" si="360"/>
        <v>0</v>
      </c>
      <c r="AT337" s="72">
        <f t="shared" si="361"/>
        <v>0</v>
      </c>
      <c r="AU337" s="72">
        <f t="shared" si="370"/>
        <v>0</v>
      </c>
      <c r="AV337" s="72">
        <f t="shared" si="362"/>
        <v>0</v>
      </c>
      <c r="AW337" s="72">
        <f t="shared" si="363"/>
        <v>0</v>
      </c>
      <c r="AX337" s="72">
        <f t="shared" si="364"/>
        <v>0</v>
      </c>
      <c r="AY337" s="72">
        <f t="shared" si="365"/>
        <v>0</v>
      </c>
      <c r="AZ337" s="72">
        <f t="shared" si="366"/>
        <v>0</v>
      </c>
      <c r="BA337" s="72" t="e">
        <f t="shared" si="367"/>
        <v>#N/A</v>
      </c>
      <c r="BB337" s="72" t="e">
        <f t="shared" si="368"/>
        <v>#N/A</v>
      </c>
      <c r="BC337" s="77"/>
      <c r="BE337">
        <f t="shared" si="348"/>
        <v>0</v>
      </c>
      <c r="BF337" s="196"/>
      <c r="BG337" s="196"/>
      <c r="BH337" s="196"/>
      <c r="BI337" s="196"/>
      <c r="BJ337" s="196"/>
      <c r="BK337" s="196"/>
    </row>
    <row r="338" spans="2:63" ht="12.75" hidden="1" customHeight="1">
      <c r="B338" s="72"/>
      <c r="C338" s="135"/>
      <c r="D338" s="78"/>
      <c r="E338" s="78"/>
      <c r="F338" s="72"/>
      <c r="G338" s="72"/>
      <c r="H338" s="72"/>
      <c r="I338" s="73">
        <f t="shared" si="350"/>
        <v>0</v>
      </c>
      <c r="J338" s="78"/>
      <c r="K338" s="73"/>
      <c r="L338" s="74" t="e">
        <f>_xlfn.IFNA(VLOOKUP(C338,'חד גזעי'!$U$3:$V$509,2,0),VLOOKUP(C338,'חד גזעי'!$U$3:$V$509,2))</f>
        <v>#N/A</v>
      </c>
      <c r="M338" s="73"/>
      <c r="N338" s="72" t="e">
        <f>_xlfn.IFNA(IF(VLOOKUP(C338,'חד גזעי'!$AH$2:$AH$7,1,FALSE)&gt;0,0,IF('חד גזעי'!$AM$5="כן",IF(_xlfn.IFNA(VLOOKUP(C338,'חד גזעי'!$AH$2:$AH$33,1,FALSE),SUM(J338:M338))&lt;21,_xlfn.IFNA(VLOOKUP(C338,'חד גזעי'!$AH$2:$AH$33,1,FALSE),SUM(J338:M338)),0),SUM(J338:M338))),IF('חד גזעי'!$AM$5="כן",IF(_xlfn.IFNA(VLOOKUP(C338,'חד גזעי'!$AH$2:$AH$33,1,FALSE),SUM(J338:M338))&lt;21,_xlfn.IFNA(VLOOKUP(C338,'חד גזעי'!$AH$2:$AH$33,1,FALSE),SUM(J338:M338)),0),SUM(J338:M338)))</f>
        <v>#N/A</v>
      </c>
      <c r="O338" s="72">
        <f>IF('חד גזעי'!$AM$3 = "כן",IF(T338&gt;4,4,T338),T338)</f>
        <v>0</v>
      </c>
      <c r="P338" s="80">
        <f>IF(E338&lt;2,0,IF(Z338&gt;0,Z338,IF(N338 = 0,0,IF('חד גזעי'!$AM$2 = "לא",IF(F338&gt;19,W338,0),IF(F338&gt;9,Y338,0)))))</f>
        <v>0</v>
      </c>
      <c r="Q338" s="77"/>
      <c r="R338" s="75"/>
      <c r="S338" t="e">
        <f>VLOOKUP(C338,'חד גזעי'!$Y$4:$Y$18,1,0)</f>
        <v>#N/A</v>
      </c>
      <c r="T338" s="72">
        <f>IF('חד גזעי'!$AM$6="לא",IF(P338=0,IF(BC338="שימור",IF('חד גזעי'!$AM$4="לא",IF(BC338="לא בוגר",0,IF(BC338="לא קיים",0,IF(J338=0,0,I338*0.1))),IF(BC338="לא בוגר",0,IF(BC338="לא קיים",0,IF(AB338=1,I338*0.1,E338*0.5)))),0),IF('חד גזעי'!$AM$4="לא",IF(BC338="לא בוגר",0,IF(BC338="לא קיים",0,IF(J338=0,0,I338*0.1))),IF(BC338="לא בוגר",0,IF(BC338="לא קיים",0,IF(AB338=1,I338*0.1,E338*0.5))))),IF(P338=0,IF(BC338="שימור",IF('חד גזעי'!$AM$4="לא",IF(BC338="לא בוגר",0,IF(BC338="לא קיים",0,IF(J338=0,0,I338*0.15))),IF(BC338="לא בוגר",0,IF(BC338="לא קיים",0,IF(AB338=1,I338*0.15,E338*0.5)))),0),IF('חד גזעי'!$AM$4="לא",IF(BC338="לא בוגר",0,IF(BC338="לא קיים",0,IF(J338=0,0,I338*0.15))),IF(BC338="לא בוגר",0,IF(BC338="לא קיים",0,IF(AB338=1,I338*0.15,E338*0.5))))))</f>
        <v>0</v>
      </c>
      <c r="V338" t="e">
        <f t="shared" si="371"/>
        <v>#N/A</v>
      </c>
      <c r="W338" t="e">
        <f t="shared" si="372"/>
        <v>#N/A</v>
      </c>
      <c r="X338" t="e">
        <f t="shared" si="373"/>
        <v>#N/A</v>
      </c>
      <c r="Y338">
        <f>IF('חד גזעי'!$AM$2 = "לא",0,IF(F338&gt;9,W338,0))</f>
        <v>0</v>
      </c>
      <c r="Z338">
        <f>IF('חד גזעי'!$AM$7 = "לא",0,IF(C338 = "זית אירופי",IF('חד גזעי'!$AN$7 &lt;=סקר!F338,W338,0),IF(C338 = "חרוב מצוי",IF('חד גזעי'!$AN$7 &lt;=סקר!F338,W338,0),0)))</f>
        <v>0</v>
      </c>
      <c r="AB338">
        <f t="shared" si="351"/>
        <v>1</v>
      </c>
      <c r="AC338" s="72"/>
      <c r="AD338" t="e">
        <f t="shared" si="369"/>
        <v>#N/A</v>
      </c>
      <c r="AE338" s="72"/>
      <c r="AF338" s="72" t="e">
        <f t="shared" si="352"/>
        <v>#N/A</v>
      </c>
      <c r="AG338" s="72" t="e">
        <f>IF('חד גזעי'!$AM$5="לא",(VLOOKUP(C338,'חד גזעי'!$P$1:$S$589,3,FALSE)),(VLOOKUP(C338,'חד גזעי'!$P$1:$S$589,4,FALSE)))</f>
        <v>#N/A</v>
      </c>
      <c r="AH338" s="72">
        <f t="shared" si="353"/>
        <v>0</v>
      </c>
      <c r="AI338" s="72">
        <f t="shared" si="354"/>
        <v>0</v>
      </c>
      <c r="AJ338" s="72">
        <f t="shared" si="355"/>
        <v>0</v>
      </c>
      <c r="AK338" s="72" t="e">
        <f t="shared" si="356"/>
        <v>#N/A</v>
      </c>
      <c r="AL338" t="e">
        <f>VLOOKUP(C338,'חד גזעי'!$AH$8:$AI$33,2,FALSE)</f>
        <v>#N/A</v>
      </c>
      <c r="AM338" s="72" t="b">
        <f t="shared" si="357"/>
        <v>0</v>
      </c>
      <c r="AN338" s="72" t="b">
        <f t="shared" si="358"/>
        <v>0</v>
      </c>
      <c r="AO338" s="72" t="b">
        <f t="shared" si="359"/>
        <v>0</v>
      </c>
      <c r="AS338" s="72">
        <f t="shared" si="360"/>
        <v>0</v>
      </c>
      <c r="AT338" s="72">
        <f t="shared" si="361"/>
        <v>0</v>
      </c>
      <c r="AU338" s="72">
        <f t="shared" si="370"/>
        <v>0</v>
      </c>
      <c r="AV338" s="72">
        <f t="shared" si="362"/>
        <v>0</v>
      </c>
      <c r="AW338" s="72">
        <f t="shared" si="363"/>
        <v>0</v>
      </c>
      <c r="AX338" s="72">
        <f t="shared" si="364"/>
        <v>0</v>
      </c>
      <c r="AY338" s="72">
        <f t="shared" si="365"/>
        <v>0</v>
      </c>
      <c r="AZ338" s="72">
        <f t="shared" si="366"/>
        <v>0</v>
      </c>
      <c r="BA338" s="72" t="e">
        <f t="shared" si="367"/>
        <v>#N/A</v>
      </c>
      <c r="BB338" s="72" t="e">
        <f t="shared" si="368"/>
        <v>#N/A</v>
      </c>
      <c r="BC338" s="77"/>
      <c r="BE338">
        <f t="shared" si="348"/>
        <v>0</v>
      </c>
      <c r="BF338" s="196"/>
      <c r="BG338" s="196"/>
      <c r="BH338" s="196"/>
      <c r="BI338" s="196"/>
      <c r="BJ338" s="196"/>
      <c r="BK338" s="196"/>
    </row>
    <row r="339" spans="2:63" ht="12.75" hidden="1" customHeight="1">
      <c r="B339" s="72"/>
      <c r="C339" s="135"/>
      <c r="D339" s="78"/>
      <c r="E339" s="78"/>
      <c r="F339" s="72"/>
      <c r="G339" s="72"/>
      <c r="H339" s="72"/>
      <c r="I339" s="73">
        <f t="shared" si="350"/>
        <v>0</v>
      </c>
      <c r="J339" s="78"/>
      <c r="K339" s="73"/>
      <c r="L339" s="74" t="e">
        <f>_xlfn.IFNA(VLOOKUP(C339,'חד גזעי'!$U$3:$V$509,2,0),VLOOKUP(C339,'חד גזעי'!$U$3:$V$509,2))</f>
        <v>#N/A</v>
      </c>
      <c r="M339" s="73"/>
      <c r="N339" s="72" t="e">
        <f>_xlfn.IFNA(IF(VLOOKUP(C339,'חד גזעי'!$AH$2:$AH$7,1,FALSE)&gt;0,0,IF('חד גזעי'!$AM$5="כן",IF(_xlfn.IFNA(VLOOKUP(C339,'חד גזעי'!$AH$2:$AH$33,1,FALSE),SUM(J339:M339))&lt;21,_xlfn.IFNA(VLOOKUP(C339,'חד גזעי'!$AH$2:$AH$33,1,FALSE),SUM(J339:M339)),0),SUM(J339:M339))),IF('חד גזעי'!$AM$5="כן",IF(_xlfn.IFNA(VLOOKUP(C339,'חד גזעי'!$AH$2:$AH$33,1,FALSE),SUM(J339:M339))&lt;21,_xlfn.IFNA(VLOOKUP(C339,'חד גזעי'!$AH$2:$AH$33,1,FALSE),SUM(J339:M339)),0),SUM(J339:M339)))</f>
        <v>#N/A</v>
      </c>
      <c r="O339" s="72">
        <f>IF('חד גזעי'!$AM$3 = "כן",IF(T339&gt;4,4,T339),T339)</f>
        <v>0</v>
      </c>
      <c r="P339" s="80">
        <f>IF(E339&lt;2,0,IF(Z339&gt;0,Z339,IF(N339 = 0,0,IF('חד גזעי'!$AM$2 = "לא",IF(F339&gt;19,W339,0),IF(F339&gt;9,Y339,0)))))</f>
        <v>0</v>
      </c>
      <c r="Q339" s="77"/>
      <c r="R339" s="75"/>
      <c r="S339" t="e">
        <f>VLOOKUP(C339,'חד גזעי'!$Y$4:$Y$18,1,0)</f>
        <v>#N/A</v>
      </c>
      <c r="T339" s="72">
        <f>IF('חד גזעי'!$AM$6="לא",IF(P339=0,IF(BC339="שימור",IF('חד גזעי'!$AM$4="לא",IF(BC339="לא בוגר",0,IF(BC339="לא קיים",0,IF(J339=0,0,I339*0.1))),IF(BC339="לא בוגר",0,IF(BC339="לא קיים",0,IF(AB339=1,I339*0.1,E339*0.5)))),0),IF('חד גזעי'!$AM$4="לא",IF(BC339="לא בוגר",0,IF(BC339="לא קיים",0,IF(J339=0,0,I339*0.1))),IF(BC339="לא בוגר",0,IF(BC339="לא קיים",0,IF(AB339=1,I339*0.1,E339*0.5))))),IF(P339=0,IF(BC339="שימור",IF('חד גזעי'!$AM$4="לא",IF(BC339="לא בוגר",0,IF(BC339="לא קיים",0,IF(J339=0,0,I339*0.15))),IF(BC339="לא בוגר",0,IF(BC339="לא קיים",0,IF(AB339=1,I339*0.15,E339*0.5)))),0),IF('חד גזעי'!$AM$4="לא",IF(BC339="לא בוגר",0,IF(BC339="לא קיים",0,IF(J339=0,0,I339*0.15))),IF(BC339="לא בוגר",0,IF(BC339="לא קיים",0,IF(AB339=1,I339*0.15,E339*0.5))))))</f>
        <v>0</v>
      </c>
      <c r="V339" t="e">
        <f t="shared" si="371"/>
        <v>#N/A</v>
      </c>
      <c r="W339" t="e">
        <f t="shared" si="372"/>
        <v>#N/A</v>
      </c>
      <c r="X339" t="e">
        <f t="shared" si="373"/>
        <v>#N/A</v>
      </c>
      <c r="Y339">
        <f>IF('חד גזעי'!$AM$2 = "לא",0,IF(F339&gt;9,W339,0))</f>
        <v>0</v>
      </c>
      <c r="Z339">
        <f>IF('חד גזעי'!$AM$7 = "לא",0,IF(C339 = "זית אירופי",IF('חד גזעי'!$AN$7 &lt;=סקר!F339,W339,0),IF(C339 = "חרוב מצוי",IF('חד גזעי'!$AN$7 &lt;=סקר!F339,W339,0),0)))</f>
        <v>0</v>
      </c>
      <c r="AB339">
        <f t="shared" si="351"/>
        <v>1</v>
      </c>
      <c r="AC339" s="72"/>
      <c r="AD339" t="e">
        <f t="shared" si="369"/>
        <v>#N/A</v>
      </c>
      <c r="AE339" s="72"/>
      <c r="AF339" s="72" t="e">
        <f t="shared" si="352"/>
        <v>#N/A</v>
      </c>
      <c r="AG339" s="72" t="e">
        <f>IF('חד גזעי'!$AM$5="לא",(VLOOKUP(C339,'חד גזעי'!$P$1:$S$589,3,FALSE)),(VLOOKUP(C339,'חד גזעי'!$P$1:$S$589,4,FALSE)))</f>
        <v>#N/A</v>
      </c>
      <c r="AH339" s="72">
        <f t="shared" si="353"/>
        <v>0</v>
      </c>
      <c r="AI339" s="72">
        <f t="shared" si="354"/>
        <v>0</v>
      </c>
      <c r="AJ339" s="72">
        <f t="shared" si="355"/>
        <v>0</v>
      </c>
      <c r="AK339" s="72" t="e">
        <f t="shared" si="356"/>
        <v>#N/A</v>
      </c>
      <c r="AL339" t="e">
        <f>VLOOKUP(C339,'חד גזעי'!$AH$8:$AI$33,2,FALSE)</f>
        <v>#N/A</v>
      </c>
      <c r="AM339" s="72" t="b">
        <f t="shared" si="357"/>
        <v>0</v>
      </c>
      <c r="AN339" s="72" t="b">
        <f t="shared" si="358"/>
        <v>0</v>
      </c>
      <c r="AO339" s="72" t="b">
        <f t="shared" si="359"/>
        <v>0</v>
      </c>
      <c r="AS339" s="72">
        <f t="shared" si="360"/>
        <v>0</v>
      </c>
      <c r="AT339" s="72">
        <f t="shared" si="361"/>
        <v>0</v>
      </c>
      <c r="AU339" s="72">
        <f t="shared" si="370"/>
        <v>0</v>
      </c>
      <c r="AV339" s="72">
        <f t="shared" si="362"/>
        <v>0</v>
      </c>
      <c r="AW339" s="72">
        <f t="shared" si="363"/>
        <v>0</v>
      </c>
      <c r="AX339" s="72">
        <f t="shared" si="364"/>
        <v>0</v>
      </c>
      <c r="AY339" s="72">
        <f t="shared" si="365"/>
        <v>0</v>
      </c>
      <c r="AZ339" s="72">
        <f t="shared" si="366"/>
        <v>0</v>
      </c>
      <c r="BA339" s="72" t="e">
        <f t="shared" si="367"/>
        <v>#N/A</v>
      </c>
      <c r="BB339" s="72" t="e">
        <f t="shared" si="368"/>
        <v>#N/A</v>
      </c>
      <c r="BC339" s="77"/>
      <c r="BE339">
        <f t="shared" si="348"/>
        <v>0</v>
      </c>
      <c r="BF339" s="196"/>
      <c r="BG339" s="196"/>
      <c r="BH339" s="196"/>
      <c r="BI339" s="196"/>
      <c r="BJ339" s="196"/>
      <c r="BK339" s="196"/>
    </row>
    <row r="340" spans="2:63" ht="12.75" hidden="1" customHeight="1">
      <c r="B340" s="72"/>
      <c r="C340" s="135"/>
      <c r="D340" s="78"/>
      <c r="E340" s="78"/>
      <c r="F340" s="72"/>
      <c r="G340" s="72"/>
      <c r="H340" s="72"/>
      <c r="I340" s="73">
        <f t="shared" si="350"/>
        <v>0</v>
      </c>
      <c r="J340" s="78"/>
      <c r="K340" s="73"/>
      <c r="L340" s="74" t="e">
        <f>_xlfn.IFNA(VLOOKUP(C340,'חד גזעי'!$U$3:$V$509,2,0),VLOOKUP(C340,'חד גזעי'!$U$3:$V$509,2))</f>
        <v>#N/A</v>
      </c>
      <c r="M340" s="73"/>
      <c r="N340" s="72" t="e">
        <f>_xlfn.IFNA(IF(VLOOKUP(C340,'חד גזעי'!$AH$2:$AH$7,1,FALSE)&gt;0,0,IF('חד גזעי'!$AM$5="כן",IF(_xlfn.IFNA(VLOOKUP(C340,'חד גזעי'!$AH$2:$AH$33,1,FALSE),SUM(J340:M340))&lt;21,_xlfn.IFNA(VLOOKUP(C340,'חד גזעי'!$AH$2:$AH$33,1,FALSE),SUM(J340:M340)),0),SUM(J340:M340))),IF('חד גזעי'!$AM$5="כן",IF(_xlfn.IFNA(VLOOKUP(C340,'חד גזעי'!$AH$2:$AH$33,1,FALSE),SUM(J340:M340))&lt;21,_xlfn.IFNA(VLOOKUP(C340,'חד גזעי'!$AH$2:$AH$33,1,FALSE),SUM(J340:M340)),0),SUM(J340:M340)))</f>
        <v>#N/A</v>
      </c>
      <c r="O340" s="72">
        <f>IF('חד גזעי'!$AM$3 = "כן",IF(T340&gt;4,4,T340),T340)</f>
        <v>0</v>
      </c>
      <c r="P340" s="80">
        <f>IF(E340&lt;2,0,IF(Z340&gt;0,Z340,IF(N340 = 0,0,IF('חד גזעי'!$AM$2 = "לא",IF(F340&gt;19,W340,0),IF(F340&gt;9,Y340,0)))))</f>
        <v>0</v>
      </c>
      <c r="Q340" s="77"/>
      <c r="R340" s="75"/>
      <c r="S340" t="e">
        <f>VLOOKUP(C340,'חד גזעי'!$Y$4:$Y$18,1,0)</f>
        <v>#N/A</v>
      </c>
      <c r="T340" s="72">
        <f>IF('חד גזעי'!$AM$6="לא",IF(P340=0,IF(BC340="שימור",IF('חד גזעי'!$AM$4="לא",IF(BC340="לא בוגר",0,IF(BC340="לא קיים",0,IF(J340=0,0,I340*0.1))),IF(BC340="לא בוגר",0,IF(BC340="לא קיים",0,IF(AB340=1,I340*0.1,E340*0.5)))),0),IF('חד גזעי'!$AM$4="לא",IF(BC340="לא בוגר",0,IF(BC340="לא קיים",0,IF(J340=0,0,I340*0.1))),IF(BC340="לא בוגר",0,IF(BC340="לא קיים",0,IF(AB340=1,I340*0.1,E340*0.5))))),IF(P340=0,IF(BC340="שימור",IF('חד גזעי'!$AM$4="לא",IF(BC340="לא בוגר",0,IF(BC340="לא קיים",0,IF(J340=0,0,I340*0.15))),IF(BC340="לא בוגר",0,IF(BC340="לא קיים",0,IF(AB340=1,I340*0.15,E340*0.5)))),0),IF('חד גזעי'!$AM$4="לא",IF(BC340="לא בוגר",0,IF(BC340="לא קיים",0,IF(J340=0,0,I340*0.15))),IF(BC340="לא בוגר",0,IF(BC340="לא קיים",0,IF(AB340=1,I340*0.15,E340*0.5))))))</f>
        <v>0</v>
      </c>
      <c r="V340" t="e">
        <f t="shared" si="371"/>
        <v>#N/A</v>
      </c>
      <c r="W340" t="e">
        <f t="shared" si="372"/>
        <v>#N/A</v>
      </c>
      <c r="X340" t="e">
        <f t="shared" si="373"/>
        <v>#N/A</v>
      </c>
      <c r="Y340">
        <f>IF('חד גזעי'!$AM$2 = "לא",0,IF(F340&gt;9,W340,0))</f>
        <v>0</v>
      </c>
      <c r="Z340">
        <f>IF('חד גזעי'!$AM$7 = "לא",0,IF(C340 = "זית אירופי",IF('חד גזעי'!$AN$7 &lt;=סקר!F340,W340,0),IF(C340 = "חרוב מצוי",IF('חד גזעי'!$AN$7 &lt;=סקר!F340,W340,0),0)))</f>
        <v>0</v>
      </c>
      <c r="AB340">
        <f t="shared" si="351"/>
        <v>1</v>
      </c>
      <c r="AC340" s="72"/>
      <c r="AD340" t="e">
        <f t="shared" si="369"/>
        <v>#N/A</v>
      </c>
      <c r="AE340" s="72"/>
      <c r="AF340" s="72" t="e">
        <f t="shared" si="352"/>
        <v>#N/A</v>
      </c>
      <c r="AG340" s="72" t="e">
        <f>IF('חד גזעי'!$AM$5="לא",(VLOOKUP(C340,'חד גזעי'!$P$1:$S$589,3,FALSE)),(VLOOKUP(C340,'חד גזעי'!$P$1:$S$589,4,FALSE)))</f>
        <v>#N/A</v>
      </c>
      <c r="AH340" s="72">
        <f t="shared" si="353"/>
        <v>0</v>
      </c>
      <c r="AI340" s="72">
        <f t="shared" si="354"/>
        <v>0</v>
      </c>
      <c r="AJ340" s="72">
        <f t="shared" si="355"/>
        <v>0</v>
      </c>
      <c r="AK340" s="72" t="e">
        <f t="shared" si="356"/>
        <v>#N/A</v>
      </c>
      <c r="AL340" t="e">
        <f>VLOOKUP(C340,'חד גזעי'!$AH$8:$AI$33,2,FALSE)</f>
        <v>#N/A</v>
      </c>
      <c r="AM340" s="72" t="b">
        <f t="shared" si="357"/>
        <v>0</v>
      </c>
      <c r="AN340" s="72" t="b">
        <f t="shared" si="358"/>
        <v>0</v>
      </c>
      <c r="AO340" s="72" t="b">
        <f t="shared" si="359"/>
        <v>0</v>
      </c>
      <c r="AS340" s="72">
        <f t="shared" si="360"/>
        <v>0</v>
      </c>
      <c r="AT340" s="72">
        <f t="shared" si="361"/>
        <v>0</v>
      </c>
      <c r="AU340" s="72">
        <f t="shared" si="370"/>
        <v>0</v>
      </c>
      <c r="AV340" s="72">
        <f t="shared" si="362"/>
        <v>0</v>
      </c>
      <c r="AW340" s="72">
        <f t="shared" si="363"/>
        <v>0</v>
      </c>
      <c r="AX340" s="72">
        <f t="shared" si="364"/>
        <v>0</v>
      </c>
      <c r="AY340" s="72">
        <f t="shared" si="365"/>
        <v>0</v>
      </c>
      <c r="AZ340" s="72">
        <f t="shared" si="366"/>
        <v>0</v>
      </c>
      <c r="BA340" s="72" t="e">
        <f t="shared" si="367"/>
        <v>#N/A</v>
      </c>
      <c r="BB340" s="72" t="e">
        <f t="shared" si="368"/>
        <v>#N/A</v>
      </c>
      <c r="BC340" s="77"/>
      <c r="BE340">
        <f t="shared" si="348"/>
        <v>0</v>
      </c>
      <c r="BF340" s="196"/>
      <c r="BG340" s="196"/>
      <c r="BH340" s="196"/>
      <c r="BI340" s="196"/>
      <c r="BJ340" s="196"/>
      <c r="BK340" s="196"/>
    </row>
    <row r="341" spans="2:63" ht="12.75" hidden="1" customHeight="1">
      <c r="B341" s="72"/>
      <c r="C341" s="135"/>
      <c r="D341" s="78"/>
      <c r="E341" s="78"/>
      <c r="F341" s="72"/>
      <c r="G341" s="72"/>
      <c r="H341" s="72"/>
      <c r="I341" s="73">
        <f t="shared" si="350"/>
        <v>0</v>
      </c>
      <c r="J341" s="78"/>
      <c r="K341" s="73"/>
      <c r="L341" s="74" t="e">
        <f>_xlfn.IFNA(VLOOKUP(C341,'חד גזעי'!$U$3:$V$509,2,0),VLOOKUP(C341,'חד גזעי'!$U$3:$V$509,2))</f>
        <v>#N/A</v>
      </c>
      <c r="M341" s="73"/>
      <c r="N341" s="72" t="e">
        <f>_xlfn.IFNA(IF(VLOOKUP(C341,'חד גזעי'!$AH$2:$AH$7,1,FALSE)&gt;0,0,IF('חד גזעי'!$AM$5="כן",IF(_xlfn.IFNA(VLOOKUP(C341,'חד גזעי'!$AH$2:$AH$33,1,FALSE),SUM(J341:M341))&lt;21,_xlfn.IFNA(VLOOKUP(C341,'חד גזעי'!$AH$2:$AH$33,1,FALSE),SUM(J341:M341)),0),SUM(J341:M341))),IF('חד גזעי'!$AM$5="כן",IF(_xlfn.IFNA(VLOOKUP(C341,'חד גזעי'!$AH$2:$AH$33,1,FALSE),SUM(J341:M341))&lt;21,_xlfn.IFNA(VLOOKUP(C341,'חד גזעי'!$AH$2:$AH$33,1,FALSE),SUM(J341:M341)),0),SUM(J341:M341)))</f>
        <v>#N/A</v>
      </c>
      <c r="O341" s="72">
        <f>IF('חד גזעי'!$AM$3 = "כן",IF(T341&gt;4,4,T341),T341)</f>
        <v>0</v>
      </c>
      <c r="P341" s="80">
        <f>IF(E341&lt;2,0,IF(Z341&gt;0,Z341,IF(N341 = 0,0,IF('חד גזעי'!$AM$2 = "לא",IF(F341&gt;19,W341,0),IF(F341&gt;9,Y341,0)))))</f>
        <v>0</v>
      </c>
      <c r="Q341" s="77"/>
      <c r="R341" s="75"/>
      <c r="S341" t="e">
        <f>VLOOKUP(C341,'חד גזעי'!$Y$4:$Y$18,1,0)</f>
        <v>#N/A</v>
      </c>
      <c r="T341" s="72">
        <f>IF('חד גזעי'!$AM$6="לא",IF(P341=0,IF(BC341="שימור",IF('חד גזעי'!$AM$4="לא",IF(BC341="לא בוגר",0,IF(BC341="לא קיים",0,IF(J341=0,0,I341*0.1))),IF(BC341="לא בוגר",0,IF(BC341="לא קיים",0,IF(AB341=1,I341*0.1,E341*0.5)))),0),IF('חד גזעי'!$AM$4="לא",IF(BC341="לא בוגר",0,IF(BC341="לא קיים",0,IF(J341=0,0,I341*0.1))),IF(BC341="לא בוגר",0,IF(BC341="לא קיים",0,IF(AB341=1,I341*0.1,E341*0.5))))),IF(P341=0,IF(BC341="שימור",IF('חד גזעי'!$AM$4="לא",IF(BC341="לא בוגר",0,IF(BC341="לא קיים",0,IF(J341=0,0,I341*0.15))),IF(BC341="לא בוגר",0,IF(BC341="לא קיים",0,IF(AB341=1,I341*0.15,E341*0.5)))),0),IF('חד גזעי'!$AM$4="לא",IF(BC341="לא בוגר",0,IF(BC341="לא קיים",0,IF(J341=0,0,I341*0.15))),IF(BC341="לא בוגר",0,IF(BC341="לא קיים",0,IF(AB341=1,I341*0.15,E341*0.5))))))</f>
        <v>0</v>
      </c>
      <c r="V341" t="e">
        <f t="shared" si="371"/>
        <v>#N/A</v>
      </c>
      <c r="W341" t="e">
        <f t="shared" si="372"/>
        <v>#N/A</v>
      </c>
      <c r="X341" t="e">
        <f t="shared" si="373"/>
        <v>#N/A</v>
      </c>
      <c r="Y341">
        <f>IF('חד גזעי'!$AM$2 = "לא",0,IF(F341&gt;9,W341,0))</f>
        <v>0</v>
      </c>
      <c r="Z341">
        <f>IF('חד גזעי'!$AM$7 = "לא",0,IF(C341 = "זית אירופי",IF('חד גזעי'!$AN$7 &lt;=סקר!F341,W341,0),IF(C341 = "חרוב מצוי",IF('חד גזעי'!$AN$7 &lt;=סקר!F341,W341,0),0)))</f>
        <v>0</v>
      </c>
      <c r="AB341">
        <f t="shared" si="351"/>
        <v>1</v>
      </c>
      <c r="AC341" s="72"/>
      <c r="AD341" t="e">
        <f t="shared" si="369"/>
        <v>#N/A</v>
      </c>
      <c r="AE341" s="72"/>
      <c r="AF341" s="72" t="e">
        <f t="shared" si="352"/>
        <v>#N/A</v>
      </c>
      <c r="AG341" s="72" t="e">
        <f>IF('חד גזעי'!$AM$5="לא",(VLOOKUP(C341,'חד גזעי'!$P$1:$S$589,3,FALSE)),(VLOOKUP(C341,'חד גזעי'!$P$1:$S$589,4,FALSE)))</f>
        <v>#N/A</v>
      </c>
      <c r="AH341" s="72">
        <f t="shared" si="353"/>
        <v>0</v>
      </c>
      <c r="AI341" s="72">
        <f t="shared" si="354"/>
        <v>0</v>
      </c>
      <c r="AJ341" s="72">
        <f t="shared" si="355"/>
        <v>0</v>
      </c>
      <c r="AK341" s="72" t="e">
        <f t="shared" si="356"/>
        <v>#N/A</v>
      </c>
      <c r="AL341" t="e">
        <f>VLOOKUP(C341,'חד גזעי'!$AH$8:$AI$33,2,FALSE)</f>
        <v>#N/A</v>
      </c>
      <c r="AM341" s="72" t="b">
        <f t="shared" si="357"/>
        <v>0</v>
      </c>
      <c r="AN341" s="72" t="b">
        <f t="shared" si="358"/>
        <v>0</v>
      </c>
      <c r="AO341" s="72" t="b">
        <f t="shared" si="359"/>
        <v>0</v>
      </c>
      <c r="AS341" s="72">
        <f t="shared" si="360"/>
        <v>0</v>
      </c>
      <c r="AT341" s="72">
        <f t="shared" si="361"/>
        <v>0</v>
      </c>
      <c r="AU341" s="72">
        <f t="shared" si="370"/>
        <v>0</v>
      </c>
      <c r="AV341" s="72">
        <f t="shared" si="362"/>
        <v>0</v>
      </c>
      <c r="AW341" s="72">
        <f t="shared" si="363"/>
        <v>0</v>
      </c>
      <c r="AX341" s="72">
        <f t="shared" si="364"/>
        <v>0</v>
      </c>
      <c r="AY341" s="72">
        <f t="shared" si="365"/>
        <v>0</v>
      </c>
      <c r="AZ341" s="72">
        <f t="shared" si="366"/>
        <v>0</v>
      </c>
      <c r="BA341" s="72" t="e">
        <f t="shared" si="367"/>
        <v>#N/A</v>
      </c>
      <c r="BB341" s="72" t="e">
        <f t="shared" si="368"/>
        <v>#N/A</v>
      </c>
      <c r="BC341" s="77"/>
      <c r="BE341">
        <f t="shared" si="348"/>
        <v>0</v>
      </c>
      <c r="BF341" s="196"/>
      <c r="BG341" s="196"/>
      <c r="BH341" s="196"/>
      <c r="BI341" s="196"/>
      <c r="BJ341" s="196"/>
      <c r="BK341" s="196"/>
    </row>
    <row r="342" spans="2:63" hidden="1">
      <c r="B342" s="72"/>
      <c r="C342" s="135"/>
      <c r="D342" s="78"/>
      <c r="E342" s="78"/>
      <c r="F342" s="72"/>
      <c r="G342" s="72"/>
      <c r="H342" s="72"/>
      <c r="I342" s="73">
        <f t="shared" si="350"/>
        <v>0</v>
      </c>
      <c r="J342" s="78"/>
      <c r="K342" s="73"/>
      <c r="L342" s="74" t="e">
        <f>_xlfn.IFNA(VLOOKUP(C342,'חד גזעי'!$U$3:$V$509,2,0),VLOOKUP(C342,'חד גזעי'!$U$3:$V$509,2))</f>
        <v>#N/A</v>
      </c>
      <c r="M342" s="73"/>
      <c r="N342" s="72" t="e">
        <f>_xlfn.IFNA(IF(VLOOKUP(C342,'חד גזעי'!$AH$2:$AH$7,1,FALSE)&gt;0,0,IF('חד גזעי'!$AM$5="כן",IF(_xlfn.IFNA(VLOOKUP(C342,'חד גזעי'!$AH$2:$AH$33,1,FALSE),SUM(J342:M342))&lt;21,_xlfn.IFNA(VLOOKUP(C342,'חד גזעי'!$AH$2:$AH$33,1,FALSE),SUM(J342:M342)),0),SUM(J342:M342))),IF('חד גזעי'!$AM$5="כן",IF(_xlfn.IFNA(VLOOKUP(C342,'חד גזעי'!$AH$2:$AH$33,1,FALSE),SUM(J342:M342))&lt;21,_xlfn.IFNA(VLOOKUP(C342,'חד גזעי'!$AH$2:$AH$33,1,FALSE),SUM(J342:M342)),0),SUM(J342:M342)))</f>
        <v>#N/A</v>
      </c>
      <c r="O342" s="72">
        <f>IF('חד גזעי'!$AM$3 = "כן",IF(T342&gt;4,4,T342),T342)</f>
        <v>0</v>
      </c>
      <c r="P342" s="80">
        <f>IF(E342&lt;2,0,IF(Z342&gt;0,Z342,IF(N342 = 0,0,IF('חד גזעי'!$AM$2 = "לא",IF(F342&gt;19,W342,0),IF(F342&gt;9,Y342,0)))))</f>
        <v>0</v>
      </c>
      <c r="Q342" s="77"/>
      <c r="R342" s="76"/>
      <c r="S342" t="e">
        <f>VLOOKUP(C342,'חד גזעי'!$Y$4:$Y$18,1,0)</f>
        <v>#N/A</v>
      </c>
      <c r="T342" s="72">
        <f>IF('חד גזעי'!$AM$6="לא",IF(P342=0,IF(BC342="שימור",IF('חד גזעי'!$AM$4="לא",IF(BC342="לא בוגר",0,IF(BC342="לא קיים",0,IF(J342=0,0,I342*0.1))),IF(BC342="לא בוגר",0,IF(BC342="לא קיים",0,IF(AB342=1,I342*0.1,E342*0.5)))),0),IF('חד גזעי'!$AM$4="לא",IF(BC342="לא בוגר",0,IF(BC342="לא קיים",0,IF(J342=0,0,I342*0.1))),IF(BC342="לא בוגר",0,IF(BC342="לא קיים",0,IF(AB342=1,I342*0.1,E342*0.5))))),IF(P342=0,IF(BC342="שימור",IF('חד גזעי'!$AM$4="לא",IF(BC342="לא בוגר",0,IF(BC342="לא קיים",0,IF(J342=0,0,I342*0.15))),IF(BC342="לא בוגר",0,IF(BC342="לא קיים",0,IF(AB342=1,I342*0.15,E342*0.5)))),0),IF('חד גזעי'!$AM$4="לא",IF(BC342="לא בוגר",0,IF(BC342="לא קיים",0,IF(J342=0,0,I342*0.15))),IF(BC342="לא בוגר",0,IF(BC342="לא קיים",0,IF(AB342=1,I342*0.15,E342*0.5))))))</f>
        <v>0</v>
      </c>
      <c r="V342" t="e">
        <f t="shared" si="371"/>
        <v>#N/A</v>
      </c>
      <c r="W342" t="e">
        <f t="shared" si="372"/>
        <v>#N/A</v>
      </c>
      <c r="X342" t="e">
        <f t="shared" si="373"/>
        <v>#N/A</v>
      </c>
      <c r="Y342">
        <f>IF('חד גזעי'!$AM$2 = "לא",0,IF(F342&gt;9,W342,0))</f>
        <v>0</v>
      </c>
      <c r="Z342">
        <f>IF('חד גזעי'!$AM$7 = "לא",0,IF(C342 = "זית אירופי",IF('חד גזעי'!$AN$7 &lt;=סקר!F342,W342,0),IF(C342 = "חרוב מצוי",IF('חד גזעי'!$AN$7 &lt;=סקר!F342,W342,0),0)))</f>
        <v>0</v>
      </c>
      <c r="AB342">
        <f t="shared" si="351"/>
        <v>1</v>
      </c>
      <c r="AC342" s="72"/>
      <c r="AD342" t="e">
        <f t="shared" si="369"/>
        <v>#N/A</v>
      </c>
      <c r="AE342" s="72"/>
      <c r="AF342" s="72" t="e">
        <f t="shared" si="352"/>
        <v>#N/A</v>
      </c>
      <c r="AG342" s="72" t="e">
        <f>IF('חד גזעי'!$AM$5="לא",(VLOOKUP(C342,'חד גזעי'!$P$1:$S$589,3,FALSE)),(VLOOKUP(C342,'חד גזעי'!$P$1:$S$589,4,FALSE)))</f>
        <v>#N/A</v>
      </c>
      <c r="AH342" s="72">
        <f t="shared" si="353"/>
        <v>0</v>
      </c>
      <c r="AI342" s="72">
        <f t="shared" si="354"/>
        <v>0</v>
      </c>
      <c r="AJ342" s="72">
        <f t="shared" si="355"/>
        <v>0</v>
      </c>
      <c r="AK342" s="72" t="e">
        <f t="shared" si="356"/>
        <v>#N/A</v>
      </c>
      <c r="AL342" t="e">
        <f>VLOOKUP(C342,'חד גזעי'!$AH$8:$AI$33,2,FALSE)</f>
        <v>#N/A</v>
      </c>
      <c r="AM342" s="72" t="b">
        <f t="shared" si="357"/>
        <v>0</v>
      </c>
      <c r="AN342" s="72" t="b">
        <f t="shared" si="358"/>
        <v>0</v>
      </c>
      <c r="AO342" s="72" t="b">
        <f t="shared" si="359"/>
        <v>0</v>
      </c>
      <c r="AS342" s="72">
        <f t="shared" si="360"/>
        <v>0</v>
      </c>
      <c r="AT342" s="72">
        <f t="shared" si="361"/>
        <v>0</v>
      </c>
      <c r="AU342" s="72">
        <f t="shared" si="370"/>
        <v>0</v>
      </c>
      <c r="AV342" s="72">
        <f t="shared" si="362"/>
        <v>0</v>
      </c>
      <c r="AW342" s="72">
        <f t="shared" si="363"/>
        <v>0</v>
      </c>
      <c r="AX342" s="72">
        <f t="shared" si="364"/>
        <v>0</v>
      </c>
      <c r="AY342" s="72">
        <f t="shared" si="365"/>
        <v>0</v>
      </c>
      <c r="AZ342" s="72">
        <f t="shared" si="366"/>
        <v>0</v>
      </c>
      <c r="BA342" s="72" t="e">
        <f t="shared" si="367"/>
        <v>#N/A</v>
      </c>
      <c r="BB342" s="72" t="e">
        <f t="shared" si="368"/>
        <v>#N/A</v>
      </c>
      <c r="BC342" s="77"/>
      <c r="BE342">
        <f t="shared" si="348"/>
        <v>0</v>
      </c>
      <c r="BF342" s="196"/>
      <c r="BG342" s="196"/>
      <c r="BH342" s="196"/>
      <c r="BI342" s="196"/>
      <c r="BJ342" s="196"/>
      <c r="BK342" s="196"/>
    </row>
    <row r="343" spans="2:63" hidden="1">
      <c r="B343" s="72"/>
      <c r="C343" s="135"/>
      <c r="D343" s="78"/>
      <c r="E343" s="78"/>
      <c r="F343" s="72"/>
      <c r="G343" s="72"/>
      <c r="H343" s="72"/>
      <c r="I343" s="73">
        <f t="shared" si="350"/>
        <v>0</v>
      </c>
      <c r="J343" s="78"/>
      <c r="K343" s="73"/>
      <c r="L343" s="74" t="e">
        <f>_xlfn.IFNA(VLOOKUP(C343,'חד גזעי'!$U$3:$V$509,2,0),VLOOKUP(C343,'חד גזעי'!$U$3:$V$509,2))</f>
        <v>#N/A</v>
      </c>
      <c r="M343" s="73"/>
      <c r="N343" s="72" t="e">
        <f>_xlfn.IFNA(IF(VLOOKUP(C343,'חד גזעי'!$AH$2:$AH$7,1,FALSE)&gt;0,0,IF('חד גזעי'!$AM$5="כן",IF(_xlfn.IFNA(VLOOKUP(C343,'חד גזעי'!$AH$2:$AH$33,1,FALSE),SUM(J343:M343))&lt;21,_xlfn.IFNA(VLOOKUP(C343,'חד גזעי'!$AH$2:$AH$33,1,FALSE),SUM(J343:M343)),0),SUM(J343:M343))),IF('חד גזעי'!$AM$5="כן",IF(_xlfn.IFNA(VLOOKUP(C343,'חד גזעי'!$AH$2:$AH$33,1,FALSE),SUM(J343:M343))&lt;21,_xlfn.IFNA(VLOOKUP(C343,'חד גזעי'!$AH$2:$AH$33,1,FALSE),SUM(J343:M343)),0),SUM(J343:M343)))</f>
        <v>#N/A</v>
      </c>
      <c r="O343" s="72">
        <f>IF('חד גזעי'!$AM$3 = "כן",IF(T343&gt;4,4,T343),T343)</f>
        <v>0</v>
      </c>
      <c r="P343" s="80">
        <f>IF(E343&lt;2,0,IF(Z343&gt;0,Z343,IF(N343 = 0,0,IF('חד גזעי'!$AM$2 = "לא",IF(F343&gt;19,W343,0),IF(F343&gt;9,Y343,0)))))</f>
        <v>0</v>
      </c>
      <c r="Q343" s="77"/>
      <c r="R343" s="76"/>
      <c r="S343" t="e">
        <f>VLOOKUP(C343,'חד גזעי'!$Y$4:$Y$18,1,0)</f>
        <v>#N/A</v>
      </c>
      <c r="T343" s="72">
        <f>IF('חד גזעי'!$AM$6="לא",IF(P343=0,IF(BC343="שימור",IF('חד גזעי'!$AM$4="לא",IF(BC343="לא בוגר",0,IF(BC343="לא קיים",0,IF(J343=0,0,I343*0.1))),IF(BC343="לא בוגר",0,IF(BC343="לא קיים",0,IF(AB343=1,I343*0.1,E343*0.5)))),0),IF('חד גזעי'!$AM$4="לא",IF(BC343="לא בוגר",0,IF(BC343="לא קיים",0,IF(J343=0,0,I343*0.1))),IF(BC343="לא בוגר",0,IF(BC343="לא קיים",0,IF(AB343=1,I343*0.1,E343*0.5))))),IF(P343=0,IF(BC343="שימור",IF('חד גזעי'!$AM$4="לא",IF(BC343="לא בוגר",0,IF(BC343="לא קיים",0,IF(J343=0,0,I343*0.15))),IF(BC343="לא בוגר",0,IF(BC343="לא קיים",0,IF(AB343=1,I343*0.15,E343*0.5)))),0),IF('חד גזעי'!$AM$4="לא",IF(BC343="לא בוגר",0,IF(BC343="לא קיים",0,IF(J343=0,0,I343*0.15))),IF(BC343="לא בוגר",0,IF(BC343="לא קיים",0,IF(AB343=1,I343*0.15,E343*0.5))))))</f>
        <v>0</v>
      </c>
      <c r="V343" t="e">
        <f t="shared" si="371"/>
        <v>#N/A</v>
      </c>
      <c r="W343" t="e">
        <f t="shared" si="372"/>
        <v>#N/A</v>
      </c>
      <c r="X343" t="e">
        <f t="shared" si="373"/>
        <v>#N/A</v>
      </c>
      <c r="Y343">
        <f>IF('חד גזעי'!$AM$2 = "לא",0,IF(F343&gt;9,W343,0))</f>
        <v>0</v>
      </c>
      <c r="Z343">
        <f>IF('חד גזעי'!$AM$7 = "לא",0,IF(C343 = "זית אירופי",IF('חד גזעי'!$AN$7 &lt;=סקר!F343,W343,0),IF(C343 = "חרוב מצוי",IF('חד גזעי'!$AN$7 &lt;=סקר!F343,W343,0),0)))</f>
        <v>0</v>
      </c>
      <c r="AB343">
        <f t="shared" si="351"/>
        <v>1</v>
      </c>
      <c r="AC343" s="72"/>
      <c r="AD343" t="e">
        <f t="shared" si="369"/>
        <v>#N/A</v>
      </c>
      <c r="AE343" s="72"/>
      <c r="AF343" s="72" t="e">
        <f t="shared" si="352"/>
        <v>#N/A</v>
      </c>
      <c r="AG343" s="72" t="e">
        <f>IF('חד גזעי'!$AM$5="לא",(VLOOKUP(C343,'חד גזעי'!$P$1:$S$589,3,FALSE)),(VLOOKUP(C343,'חד גזעי'!$P$1:$S$589,4,FALSE)))</f>
        <v>#N/A</v>
      </c>
      <c r="AH343" s="72">
        <f t="shared" si="353"/>
        <v>0</v>
      </c>
      <c r="AI343" s="72">
        <f t="shared" si="354"/>
        <v>0</v>
      </c>
      <c r="AJ343" s="72">
        <f t="shared" si="355"/>
        <v>0</v>
      </c>
      <c r="AK343" s="72" t="e">
        <f t="shared" si="356"/>
        <v>#N/A</v>
      </c>
      <c r="AL343" t="e">
        <f>VLOOKUP(C343,'חד גזעי'!$AH$8:$AI$33,2,FALSE)</f>
        <v>#N/A</v>
      </c>
      <c r="AM343" s="72" t="b">
        <f t="shared" si="357"/>
        <v>0</v>
      </c>
      <c r="AN343" s="72" t="b">
        <f t="shared" si="358"/>
        <v>0</v>
      </c>
      <c r="AO343" s="72" t="b">
        <f t="shared" si="359"/>
        <v>0</v>
      </c>
      <c r="AS343" s="72">
        <f t="shared" si="360"/>
        <v>0</v>
      </c>
      <c r="AT343" s="72">
        <f t="shared" si="361"/>
        <v>0</v>
      </c>
      <c r="AU343" s="72">
        <f t="shared" si="370"/>
        <v>0</v>
      </c>
      <c r="AV343" s="72">
        <f t="shared" si="362"/>
        <v>0</v>
      </c>
      <c r="AW343" s="72">
        <f t="shared" si="363"/>
        <v>0</v>
      </c>
      <c r="AX343" s="72">
        <f t="shared" si="364"/>
        <v>0</v>
      </c>
      <c r="AY343" s="72">
        <f t="shared" si="365"/>
        <v>0</v>
      </c>
      <c r="AZ343" s="72">
        <f t="shared" si="366"/>
        <v>0</v>
      </c>
      <c r="BA343" s="72" t="e">
        <f t="shared" si="367"/>
        <v>#N/A</v>
      </c>
      <c r="BB343" s="72" t="e">
        <f t="shared" si="368"/>
        <v>#N/A</v>
      </c>
      <c r="BC343" s="77"/>
      <c r="BE343">
        <f t="shared" si="348"/>
        <v>0</v>
      </c>
      <c r="BF343" s="196"/>
      <c r="BG343" s="196"/>
      <c r="BH343" s="196"/>
      <c r="BI343" s="196"/>
      <c r="BJ343" s="196"/>
      <c r="BK343" s="196"/>
    </row>
    <row r="344" spans="2:63" hidden="1">
      <c r="B344" s="72"/>
      <c r="C344" s="135"/>
      <c r="D344" s="78"/>
      <c r="E344" s="78"/>
      <c r="F344" s="72"/>
      <c r="G344" s="72"/>
      <c r="H344" s="72"/>
      <c r="I344" s="73">
        <f t="shared" si="350"/>
        <v>0</v>
      </c>
      <c r="J344" s="78"/>
      <c r="K344" s="73"/>
      <c r="L344" s="74" t="e">
        <f>_xlfn.IFNA(VLOOKUP(C344,'חד גזעי'!$U$3:$V$509,2,0),VLOOKUP(C344,'חד גזעי'!$U$3:$V$509,2))</f>
        <v>#N/A</v>
      </c>
      <c r="M344" s="73"/>
      <c r="N344" s="72" t="e">
        <f>_xlfn.IFNA(IF(VLOOKUP(C344,'חד גזעי'!$AH$2:$AH$7,1,FALSE)&gt;0,0,IF('חד גזעי'!$AM$5="כן",IF(_xlfn.IFNA(VLOOKUP(C344,'חד גזעי'!$AH$2:$AH$33,1,FALSE),SUM(J344:M344))&lt;21,_xlfn.IFNA(VLOOKUP(C344,'חד גזעי'!$AH$2:$AH$33,1,FALSE),SUM(J344:M344)),0),SUM(J344:M344))),IF('חד גזעי'!$AM$5="כן",IF(_xlfn.IFNA(VLOOKUP(C344,'חד גזעי'!$AH$2:$AH$33,1,FALSE),SUM(J344:M344))&lt;21,_xlfn.IFNA(VLOOKUP(C344,'חד גזעי'!$AH$2:$AH$33,1,FALSE),SUM(J344:M344)),0),SUM(J344:M344)))</f>
        <v>#N/A</v>
      </c>
      <c r="O344" s="72">
        <f>IF('חד גזעי'!$AM$3 = "כן",IF(T344&gt;4,4,T344),T344)</f>
        <v>0</v>
      </c>
      <c r="P344" s="80">
        <f>IF(E344&lt;2,0,IF(Z344&gt;0,Z344,IF(N344 = 0,0,IF('חד גזעי'!$AM$2 = "לא",IF(F344&gt;19,W344,0),IF(F344&gt;9,Y344,0)))))</f>
        <v>0</v>
      </c>
      <c r="Q344" s="77"/>
      <c r="R344" s="76"/>
      <c r="S344" t="e">
        <f>VLOOKUP(C344,'חד גזעי'!$Y$4:$Y$18,1,0)</f>
        <v>#N/A</v>
      </c>
      <c r="T344" s="72">
        <f>IF('חד גזעי'!$AM$6="לא",IF(P344=0,IF(BC344="שימור",IF('חד גזעי'!$AM$4="לא",IF(BC344="לא בוגר",0,IF(BC344="לא קיים",0,IF(J344=0,0,I344*0.1))),IF(BC344="לא בוגר",0,IF(BC344="לא קיים",0,IF(AB344=1,I344*0.1,E344*0.5)))),0),IF('חד גזעי'!$AM$4="לא",IF(BC344="לא בוגר",0,IF(BC344="לא קיים",0,IF(J344=0,0,I344*0.1))),IF(BC344="לא בוגר",0,IF(BC344="לא קיים",0,IF(AB344=1,I344*0.1,E344*0.5))))),IF(P344=0,IF(BC344="שימור",IF('חד גזעי'!$AM$4="לא",IF(BC344="לא בוגר",0,IF(BC344="לא קיים",0,IF(J344=0,0,I344*0.15))),IF(BC344="לא בוגר",0,IF(BC344="לא קיים",0,IF(AB344=1,I344*0.15,E344*0.5)))),0),IF('חד גזעי'!$AM$4="לא",IF(BC344="לא בוגר",0,IF(BC344="לא קיים",0,IF(J344=0,0,I344*0.15))),IF(BC344="לא בוגר",0,IF(BC344="לא קיים",0,IF(AB344=1,I344*0.15,E344*0.5))))))</f>
        <v>0</v>
      </c>
      <c r="V344" t="e">
        <f t="shared" si="371"/>
        <v>#N/A</v>
      </c>
      <c r="W344" t="e">
        <f t="shared" si="372"/>
        <v>#N/A</v>
      </c>
      <c r="X344" t="e">
        <f t="shared" si="373"/>
        <v>#N/A</v>
      </c>
      <c r="Y344">
        <f>IF('חד גזעי'!$AM$2 = "לא",0,IF(F344&gt;9,W344,0))</f>
        <v>0</v>
      </c>
      <c r="Z344">
        <f>IF('חד גזעי'!$AM$7 = "לא",0,IF(C344 = "זית אירופי",IF('חד גזעי'!$AN$7 &lt;=סקר!F344,W344,0),IF(C344 = "חרוב מצוי",IF('חד גזעי'!$AN$7 &lt;=סקר!F344,W344,0),0)))</f>
        <v>0</v>
      </c>
      <c r="AB344">
        <f t="shared" si="351"/>
        <v>1</v>
      </c>
      <c r="AC344" s="72"/>
      <c r="AD344" t="e">
        <f t="shared" si="369"/>
        <v>#N/A</v>
      </c>
      <c r="AE344" s="72"/>
      <c r="AF344" s="72" t="e">
        <f t="shared" si="352"/>
        <v>#N/A</v>
      </c>
      <c r="AG344" s="72" t="e">
        <f>IF('חד גזעי'!$AM$5="לא",(VLOOKUP(C344,'חד גזעי'!$P$1:$S$589,3,FALSE)),(VLOOKUP(C344,'חד גזעי'!$P$1:$S$589,4,FALSE)))</f>
        <v>#N/A</v>
      </c>
      <c r="AH344" s="72">
        <f t="shared" si="353"/>
        <v>0</v>
      </c>
      <c r="AI344" s="72">
        <f t="shared" si="354"/>
        <v>0</v>
      </c>
      <c r="AJ344" s="72">
        <f t="shared" si="355"/>
        <v>0</v>
      </c>
      <c r="AK344" s="72" t="e">
        <f t="shared" si="356"/>
        <v>#N/A</v>
      </c>
      <c r="AL344" t="e">
        <f>VLOOKUP(C344,'חד גזעי'!$AH$8:$AI$33,2,FALSE)</f>
        <v>#N/A</v>
      </c>
      <c r="AM344" s="72" t="b">
        <f t="shared" si="357"/>
        <v>0</v>
      </c>
      <c r="AN344" s="72" t="b">
        <f t="shared" si="358"/>
        <v>0</v>
      </c>
      <c r="AO344" s="72" t="b">
        <f t="shared" si="359"/>
        <v>0</v>
      </c>
      <c r="AS344" s="72">
        <f t="shared" si="360"/>
        <v>0</v>
      </c>
      <c r="AT344" s="72">
        <f t="shared" si="361"/>
        <v>0</v>
      </c>
      <c r="AU344" s="72">
        <f t="shared" si="370"/>
        <v>0</v>
      </c>
      <c r="AV344" s="72">
        <f t="shared" si="362"/>
        <v>0</v>
      </c>
      <c r="AW344" s="72">
        <f t="shared" si="363"/>
        <v>0</v>
      </c>
      <c r="AX344" s="72">
        <f t="shared" si="364"/>
        <v>0</v>
      </c>
      <c r="AY344" s="72">
        <f t="shared" si="365"/>
        <v>0</v>
      </c>
      <c r="AZ344" s="72">
        <f t="shared" si="366"/>
        <v>0</v>
      </c>
      <c r="BA344" s="72" t="e">
        <f t="shared" si="367"/>
        <v>#N/A</v>
      </c>
      <c r="BB344" s="72" t="e">
        <f t="shared" si="368"/>
        <v>#N/A</v>
      </c>
      <c r="BC344" s="77"/>
      <c r="BE344">
        <f t="shared" si="348"/>
        <v>0</v>
      </c>
      <c r="BF344" s="72"/>
      <c r="BG344" s="72"/>
      <c r="BH344" s="72"/>
      <c r="BI344" s="72"/>
      <c r="BJ344" s="72"/>
      <c r="BK344" s="72"/>
    </row>
    <row r="345" spans="2:63" hidden="1">
      <c r="B345" s="72"/>
      <c r="C345" s="135"/>
      <c r="D345" s="78"/>
      <c r="E345" s="78"/>
      <c r="F345" s="72"/>
      <c r="G345" s="72"/>
      <c r="H345" s="72"/>
      <c r="I345" s="73">
        <f t="shared" si="350"/>
        <v>0</v>
      </c>
      <c r="J345" s="78"/>
      <c r="K345" s="73"/>
      <c r="L345" s="74" t="e">
        <f>_xlfn.IFNA(VLOOKUP(C345,'חד גזעי'!$U$3:$V$509,2,0),VLOOKUP(C345,'חד גזעי'!$U$3:$V$509,2))</f>
        <v>#N/A</v>
      </c>
      <c r="M345" s="73"/>
      <c r="N345" s="72" t="e">
        <f>_xlfn.IFNA(IF(VLOOKUP(C345,'חד גזעי'!$AH$2:$AH$7,1,FALSE)&gt;0,0,IF('חד גזעי'!$AM$5="כן",IF(_xlfn.IFNA(VLOOKUP(C345,'חד גזעי'!$AH$2:$AH$33,1,FALSE),SUM(J345:M345))&lt;21,_xlfn.IFNA(VLOOKUP(C345,'חד גזעי'!$AH$2:$AH$33,1,FALSE),SUM(J345:M345)),0),SUM(J345:M345))),IF('חד גזעי'!$AM$5="כן",IF(_xlfn.IFNA(VLOOKUP(C345,'חד גזעי'!$AH$2:$AH$33,1,FALSE),SUM(J345:M345))&lt;21,_xlfn.IFNA(VLOOKUP(C345,'חד גזעי'!$AH$2:$AH$33,1,FALSE),SUM(J345:M345)),0),SUM(J345:M345)))</f>
        <v>#N/A</v>
      </c>
      <c r="O345" s="72">
        <f>IF('חד גזעי'!$AM$3 = "כן",IF(T345&gt;4,4,T345),T345)</f>
        <v>0</v>
      </c>
      <c r="P345" s="80">
        <f>IF(E345&lt;2,0,IF(Z345&gt;0,Z345,IF(N345 = 0,0,IF('חד גזעי'!$AM$2 = "לא",IF(F345&gt;19,W345,0),IF(F345&gt;9,Y345,0)))))</f>
        <v>0</v>
      </c>
      <c r="Q345" s="77"/>
      <c r="R345" s="75"/>
      <c r="S345" t="e">
        <f>VLOOKUP(C345,'חד גזעי'!$Y$4:$Y$18,1,0)</f>
        <v>#N/A</v>
      </c>
      <c r="T345" s="72">
        <f>IF('חד גזעי'!$AM$6="לא",IF(P345=0,IF(BC345="שימור",IF('חד גזעי'!$AM$4="לא",IF(BC345="לא בוגר",0,IF(BC345="לא קיים",0,IF(J345=0,0,I345*0.1))),IF(BC345="לא בוגר",0,IF(BC345="לא קיים",0,IF(AB345=1,I345*0.1,E345*0.5)))),0),IF('חד גזעי'!$AM$4="לא",IF(BC345="לא בוגר",0,IF(BC345="לא קיים",0,IF(J345=0,0,I345*0.1))),IF(BC345="לא בוגר",0,IF(BC345="לא קיים",0,IF(AB345=1,I345*0.1,E345*0.5))))),IF(P345=0,IF(BC345="שימור",IF('חד גזעי'!$AM$4="לא",IF(BC345="לא בוגר",0,IF(BC345="לא קיים",0,IF(J345=0,0,I345*0.15))),IF(BC345="לא בוגר",0,IF(BC345="לא קיים",0,IF(AB345=1,I345*0.15,E345*0.5)))),0),IF('חד גזעי'!$AM$4="לא",IF(BC345="לא בוגר",0,IF(BC345="לא קיים",0,IF(J345=0,0,I345*0.15))),IF(BC345="לא בוגר",0,IF(BC345="לא קיים",0,IF(AB345=1,I345*0.15,E345*0.5))))))</f>
        <v>0</v>
      </c>
      <c r="V345" t="e">
        <f t="shared" si="371"/>
        <v>#N/A</v>
      </c>
      <c r="W345" t="e">
        <f t="shared" si="372"/>
        <v>#N/A</v>
      </c>
      <c r="X345" t="e">
        <f t="shared" si="373"/>
        <v>#N/A</v>
      </c>
      <c r="Y345">
        <f>IF('חד גזעי'!$AM$2 = "לא",0,IF(F345&gt;9,W345,0))</f>
        <v>0</v>
      </c>
      <c r="Z345">
        <f>IF('חד גזעי'!$AM$7 = "לא",0,IF(C345 = "זית אירופי",IF('חד גזעי'!$AN$7 &lt;=סקר!F345,W345,0),IF(C345 = "חרוב מצוי",IF('חד גזעי'!$AN$7 &lt;=סקר!F345,W345,0),0)))</f>
        <v>0</v>
      </c>
      <c r="AB345">
        <f t="shared" si="351"/>
        <v>1</v>
      </c>
      <c r="AC345" s="72"/>
      <c r="AD345" t="e">
        <f t="shared" si="369"/>
        <v>#N/A</v>
      </c>
      <c r="AE345" s="72"/>
      <c r="AF345" s="72" t="e">
        <f t="shared" si="352"/>
        <v>#N/A</v>
      </c>
      <c r="AG345" s="72" t="e">
        <f>IF('חד גזעי'!$AM$5="לא",(VLOOKUP(C345,'חד גזעי'!$P$1:$S$589,3,FALSE)),(VLOOKUP(C345,'חד גזעי'!$P$1:$S$589,4,FALSE)))</f>
        <v>#N/A</v>
      </c>
      <c r="AH345" s="72">
        <f t="shared" si="353"/>
        <v>0</v>
      </c>
      <c r="AI345" s="72">
        <f t="shared" si="354"/>
        <v>0</v>
      </c>
      <c r="AJ345" s="72">
        <f t="shared" si="355"/>
        <v>0</v>
      </c>
      <c r="AK345" s="72" t="e">
        <f t="shared" si="356"/>
        <v>#N/A</v>
      </c>
      <c r="AL345" t="e">
        <f>VLOOKUP(C345,'חד גזעי'!$AH$8:$AI$33,2,FALSE)</f>
        <v>#N/A</v>
      </c>
      <c r="AM345" s="72" t="b">
        <f t="shared" si="357"/>
        <v>0</v>
      </c>
      <c r="AN345" s="72" t="b">
        <f t="shared" si="358"/>
        <v>0</v>
      </c>
      <c r="AO345" s="72" t="b">
        <f t="shared" si="359"/>
        <v>0</v>
      </c>
      <c r="AS345" s="72">
        <f t="shared" si="360"/>
        <v>0</v>
      </c>
      <c r="AT345" s="72">
        <f t="shared" si="361"/>
        <v>0</v>
      </c>
      <c r="AU345" s="72">
        <f t="shared" si="370"/>
        <v>0</v>
      </c>
      <c r="AV345" s="72">
        <f t="shared" si="362"/>
        <v>0</v>
      </c>
      <c r="AW345" s="72">
        <f t="shared" si="363"/>
        <v>0</v>
      </c>
      <c r="AX345" s="72">
        <f t="shared" si="364"/>
        <v>0</v>
      </c>
      <c r="AY345" s="72">
        <f t="shared" si="365"/>
        <v>0</v>
      </c>
      <c r="AZ345" s="72">
        <f t="shared" si="366"/>
        <v>0</v>
      </c>
      <c r="BA345" s="72" t="e">
        <f t="shared" si="367"/>
        <v>#N/A</v>
      </c>
      <c r="BB345" s="72" t="e">
        <f t="shared" si="368"/>
        <v>#N/A</v>
      </c>
      <c r="BC345" s="77"/>
      <c r="BE345">
        <f t="shared" si="348"/>
        <v>0</v>
      </c>
      <c r="BF345" s="196" t="str">
        <f>BF364</f>
        <v>C:\Users\origr\Pictures\0.jpg</v>
      </c>
      <c r="BG345" s="196" t="str">
        <f t="shared" ref="BG345:BK345" si="374">BG364</f>
        <v>C:\Users\origr\Pictures\0.jpg</v>
      </c>
      <c r="BH345" s="196" t="str">
        <f t="shared" si="374"/>
        <v>C:\Users\origr\Pictures\0.jpg</v>
      </c>
      <c r="BI345" s="196" t="str">
        <f t="shared" si="374"/>
        <v>C:\Users\origr\Pictures\0.jpg</v>
      </c>
      <c r="BJ345" s="196" t="str">
        <f t="shared" si="374"/>
        <v>C:\Users\origr\Pictures\0.jpg</v>
      </c>
      <c r="BK345" s="196" t="str">
        <f t="shared" si="374"/>
        <v>C:\Users\origr\Pictures\0.jpg</v>
      </c>
    </row>
    <row r="346" spans="2:63" hidden="1">
      <c r="B346" s="72"/>
      <c r="C346" s="135"/>
      <c r="D346" s="78"/>
      <c r="E346" s="78"/>
      <c r="F346" s="72"/>
      <c r="G346" s="72"/>
      <c r="H346" s="72"/>
      <c r="I346" s="73">
        <f t="shared" si="350"/>
        <v>0</v>
      </c>
      <c r="J346" s="78"/>
      <c r="K346" s="73"/>
      <c r="L346" s="74" t="e">
        <f>_xlfn.IFNA(VLOOKUP(C346,'חד גזעי'!$U$3:$V$509,2,0),VLOOKUP(C346,'חד גזעי'!$U$3:$V$509,2))</f>
        <v>#N/A</v>
      </c>
      <c r="M346" s="73"/>
      <c r="N346" s="72" t="e">
        <f>_xlfn.IFNA(IF(VLOOKUP(C346,'חד גזעי'!$AH$2:$AH$7,1,FALSE)&gt;0,0,IF('חד גזעי'!$AM$5="כן",IF(_xlfn.IFNA(VLOOKUP(C346,'חד גזעי'!$AH$2:$AH$33,1,FALSE),SUM(J346:M346))&lt;21,_xlfn.IFNA(VLOOKUP(C346,'חד גזעי'!$AH$2:$AH$33,1,FALSE),SUM(J346:M346)),0),SUM(J346:M346))),IF('חד גזעי'!$AM$5="כן",IF(_xlfn.IFNA(VLOOKUP(C346,'חד גזעי'!$AH$2:$AH$33,1,FALSE),SUM(J346:M346))&lt;21,_xlfn.IFNA(VLOOKUP(C346,'חד גזעי'!$AH$2:$AH$33,1,FALSE),SUM(J346:M346)),0),SUM(J346:M346)))</f>
        <v>#N/A</v>
      </c>
      <c r="O346" s="72">
        <f>IF('חד גזעי'!$AM$3 = "כן",IF(T346&gt;4,4,T346),T346)</f>
        <v>0</v>
      </c>
      <c r="P346" s="80">
        <f>IF(E346&lt;2,0,IF(Z346&gt;0,Z346,IF(N346 = 0,0,IF('חד גזעי'!$AM$2 = "לא",IF(F346&gt;19,W346,0),IF(F346&gt;9,Y346,0)))))</f>
        <v>0</v>
      </c>
      <c r="Q346" s="77"/>
      <c r="R346" s="76"/>
      <c r="S346" t="e">
        <f>VLOOKUP(C346,'חד גזעי'!$Y$4:$Y$18,1,0)</f>
        <v>#N/A</v>
      </c>
      <c r="T346" s="72">
        <f>IF('חד גזעי'!$AM$6="לא",IF(P346=0,IF(BC346="שימור",IF('חד גזעי'!$AM$4="לא",IF(BC346="לא בוגר",0,IF(BC346="לא קיים",0,IF(J346=0,0,I346*0.1))),IF(BC346="לא בוגר",0,IF(BC346="לא קיים",0,IF(AB346=1,I346*0.1,E346*0.5)))),0),IF('חד גזעי'!$AM$4="לא",IF(BC346="לא בוגר",0,IF(BC346="לא קיים",0,IF(J346=0,0,I346*0.1))),IF(BC346="לא בוגר",0,IF(BC346="לא קיים",0,IF(AB346=1,I346*0.1,E346*0.5))))),IF(P346=0,IF(BC346="שימור",IF('חד גזעי'!$AM$4="לא",IF(BC346="לא בוגר",0,IF(BC346="לא קיים",0,IF(J346=0,0,I346*0.15))),IF(BC346="לא בוגר",0,IF(BC346="לא קיים",0,IF(AB346=1,I346*0.15,E346*0.5)))),0),IF('חד גזעי'!$AM$4="לא",IF(BC346="לא בוגר",0,IF(BC346="לא קיים",0,IF(J346=0,0,I346*0.15))),IF(BC346="לא בוגר",0,IF(BC346="לא קיים",0,IF(AB346=1,I346*0.15,E346*0.5))))))</f>
        <v>0</v>
      </c>
      <c r="V346" t="e">
        <f t="shared" si="371"/>
        <v>#N/A</v>
      </c>
      <c r="W346" t="e">
        <f t="shared" si="372"/>
        <v>#N/A</v>
      </c>
      <c r="X346" t="e">
        <f t="shared" si="373"/>
        <v>#N/A</v>
      </c>
      <c r="Y346">
        <f>IF('חד גזעי'!$AM$2 = "לא",0,IF(F346&gt;9,W346,0))</f>
        <v>0</v>
      </c>
      <c r="Z346">
        <f>IF('חד גזעי'!$AM$7 = "לא",0,IF(C346 = "זית אירופי",IF('חד גזעי'!$AN$7 &lt;=סקר!F346,W346,0),IF(C346 = "חרוב מצוי",IF('חד גזעי'!$AN$7 &lt;=סקר!F346,W346,0),0)))</f>
        <v>0</v>
      </c>
      <c r="AB346">
        <f t="shared" si="351"/>
        <v>1</v>
      </c>
      <c r="AC346" s="72"/>
      <c r="AD346" t="e">
        <f t="shared" si="369"/>
        <v>#N/A</v>
      </c>
      <c r="AE346" s="72"/>
      <c r="AF346" s="72" t="e">
        <f t="shared" si="352"/>
        <v>#N/A</v>
      </c>
      <c r="AG346" s="72" t="e">
        <f>IF('חד גזעי'!$AM$5="לא",(VLOOKUP(C346,'חד גזעי'!$P$1:$S$589,3,FALSE)),(VLOOKUP(C346,'חד גזעי'!$P$1:$S$589,4,FALSE)))</f>
        <v>#N/A</v>
      </c>
      <c r="AH346" s="72">
        <f t="shared" si="353"/>
        <v>0</v>
      </c>
      <c r="AI346" s="72">
        <f t="shared" si="354"/>
        <v>0</v>
      </c>
      <c r="AJ346" s="72">
        <f t="shared" si="355"/>
        <v>0</v>
      </c>
      <c r="AK346" s="72" t="e">
        <f t="shared" si="356"/>
        <v>#N/A</v>
      </c>
      <c r="AL346" t="e">
        <f>VLOOKUP(C346,'חד גזעי'!$AH$8:$AI$33,2,FALSE)</f>
        <v>#N/A</v>
      </c>
      <c r="AM346" s="72" t="b">
        <f t="shared" si="357"/>
        <v>0</v>
      </c>
      <c r="AN346" s="72" t="b">
        <f t="shared" si="358"/>
        <v>0</v>
      </c>
      <c r="AO346" s="72" t="b">
        <f t="shared" si="359"/>
        <v>0</v>
      </c>
      <c r="AS346" s="72">
        <f t="shared" si="360"/>
        <v>0</v>
      </c>
      <c r="AT346" s="72">
        <f t="shared" si="361"/>
        <v>0</v>
      </c>
      <c r="AU346" s="72">
        <f t="shared" si="370"/>
        <v>0</v>
      </c>
      <c r="AV346" s="72">
        <f t="shared" si="362"/>
        <v>0</v>
      </c>
      <c r="AW346" s="72">
        <f t="shared" si="363"/>
        <v>0</v>
      </c>
      <c r="AX346" s="72">
        <f t="shared" si="364"/>
        <v>0</v>
      </c>
      <c r="AY346" s="72">
        <f t="shared" si="365"/>
        <v>0</v>
      </c>
      <c r="AZ346" s="72">
        <f t="shared" si="366"/>
        <v>0</v>
      </c>
      <c r="BA346" s="72" t="e">
        <f t="shared" si="367"/>
        <v>#N/A</v>
      </c>
      <c r="BB346" s="72" t="e">
        <f t="shared" si="368"/>
        <v>#N/A</v>
      </c>
      <c r="BC346" s="77"/>
      <c r="BE346">
        <f t="shared" si="348"/>
        <v>0</v>
      </c>
      <c r="BF346" s="196"/>
      <c r="BG346" s="196"/>
      <c r="BH346" s="196"/>
      <c r="BI346" s="196"/>
      <c r="BJ346" s="196"/>
      <c r="BK346" s="196"/>
    </row>
    <row r="347" spans="2:63" hidden="1">
      <c r="B347" s="72"/>
      <c r="C347" s="135"/>
      <c r="D347" s="78"/>
      <c r="E347" s="78"/>
      <c r="F347" s="72"/>
      <c r="G347" s="72"/>
      <c r="H347" s="72"/>
      <c r="I347" s="73">
        <f t="shared" si="350"/>
        <v>0</v>
      </c>
      <c r="J347" s="78"/>
      <c r="K347" s="73"/>
      <c r="L347" s="74" t="e">
        <f>_xlfn.IFNA(VLOOKUP(C347,'חד גזעי'!$U$3:$V$509,2,0),VLOOKUP(C347,'חד גזעי'!$U$3:$V$509,2))</f>
        <v>#N/A</v>
      </c>
      <c r="M347" s="73"/>
      <c r="N347" s="72" t="e">
        <f>_xlfn.IFNA(IF(VLOOKUP(C347,'חד גזעי'!$AH$2:$AH$7,1,FALSE)&gt;0,0,IF('חד גזעי'!$AM$5="כן",IF(_xlfn.IFNA(VLOOKUP(C347,'חד גזעי'!$AH$2:$AH$33,1,FALSE),SUM(J347:M347))&lt;21,_xlfn.IFNA(VLOOKUP(C347,'חד גזעי'!$AH$2:$AH$33,1,FALSE),SUM(J347:M347)),0),SUM(J347:M347))),IF('חד גזעי'!$AM$5="כן",IF(_xlfn.IFNA(VLOOKUP(C347,'חד גזעי'!$AH$2:$AH$33,1,FALSE),SUM(J347:M347))&lt;21,_xlfn.IFNA(VLOOKUP(C347,'חד גזעי'!$AH$2:$AH$33,1,FALSE),SUM(J347:M347)),0),SUM(J347:M347)))</f>
        <v>#N/A</v>
      </c>
      <c r="O347" s="72">
        <f>IF('חד גזעי'!$AM$3 = "כן",IF(T347&gt;4,4,T347),T347)</f>
        <v>0</v>
      </c>
      <c r="P347" s="80">
        <f>IF(E347&lt;2,0,IF(Z347&gt;0,Z347,IF(N347 = 0,0,IF('חד גזעי'!$AM$2 = "לא",IF(F347&gt;19,W347,0),IF(F347&gt;9,Y347,0)))))</f>
        <v>0</v>
      </c>
      <c r="Q347" s="77"/>
      <c r="R347" s="76"/>
      <c r="S347" t="e">
        <f>VLOOKUP(C347,'חד גזעי'!$Y$4:$Y$18,1,0)</f>
        <v>#N/A</v>
      </c>
      <c r="T347" s="72">
        <f>IF('חד גזעי'!$AM$6="לא",IF(P347=0,IF(BC347="שימור",IF('חד גזעי'!$AM$4="לא",IF(BC347="לא בוגר",0,IF(BC347="לא קיים",0,IF(J347=0,0,I347*0.1))),IF(BC347="לא בוגר",0,IF(BC347="לא קיים",0,IF(AB347=1,I347*0.1,E347*0.5)))),0),IF('חד גזעי'!$AM$4="לא",IF(BC347="לא בוגר",0,IF(BC347="לא קיים",0,IF(J347=0,0,I347*0.1))),IF(BC347="לא בוגר",0,IF(BC347="לא קיים",0,IF(AB347=1,I347*0.1,E347*0.5))))),IF(P347=0,IF(BC347="שימור",IF('חד גזעי'!$AM$4="לא",IF(BC347="לא בוגר",0,IF(BC347="לא קיים",0,IF(J347=0,0,I347*0.15))),IF(BC347="לא בוגר",0,IF(BC347="לא קיים",0,IF(AB347=1,I347*0.15,E347*0.5)))),0),IF('חד גזעי'!$AM$4="לא",IF(BC347="לא בוגר",0,IF(BC347="לא קיים",0,IF(J347=0,0,I347*0.15))),IF(BC347="לא בוגר",0,IF(BC347="לא קיים",0,IF(AB347=1,I347*0.15,E347*0.5))))))</f>
        <v>0</v>
      </c>
      <c r="V347" t="e">
        <f t="shared" si="371"/>
        <v>#N/A</v>
      </c>
      <c r="W347" t="e">
        <f t="shared" si="372"/>
        <v>#N/A</v>
      </c>
      <c r="X347" t="e">
        <f t="shared" si="373"/>
        <v>#N/A</v>
      </c>
      <c r="Y347">
        <f>IF('חד גזעי'!$AM$2 = "לא",0,IF(F347&gt;9,W347,0))</f>
        <v>0</v>
      </c>
      <c r="Z347">
        <f>IF('חד גזעי'!$AM$7 = "לא",0,IF(C347 = "זית אירופי",IF('חד גזעי'!$AN$7 &lt;=סקר!F347,W347,0),IF(C347 = "חרוב מצוי",IF('חד גזעי'!$AN$7 &lt;=סקר!F347,W347,0),0)))</f>
        <v>0</v>
      </c>
      <c r="AB347">
        <f t="shared" si="351"/>
        <v>1</v>
      </c>
      <c r="AC347" s="72"/>
      <c r="AD347" t="e">
        <f t="shared" si="369"/>
        <v>#N/A</v>
      </c>
      <c r="AE347" s="72"/>
      <c r="AF347" s="72" t="e">
        <f t="shared" si="352"/>
        <v>#N/A</v>
      </c>
      <c r="AG347" s="72" t="e">
        <f>IF('חד גזעי'!$AM$5="לא",(VLOOKUP(C347,'חד גזעי'!$P$1:$S$589,3,FALSE)),(VLOOKUP(C347,'חד גזעי'!$P$1:$S$589,4,FALSE)))</f>
        <v>#N/A</v>
      </c>
      <c r="AH347" s="72">
        <f t="shared" si="353"/>
        <v>0</v>
      </c>
      <c r="AI347" s="72">
        <f t="shared" si="354"/>
        <v>0</v>
      </c>
      <c r="AJ347" s="72">
        <f t="shared" si="355"/>
        <v>0</v>
      </c>
      <c r="AK347" s="72" t="e">
        <f t="shared" si="356"/>
        <v>#N/A</v>
      </c>
      <c r="AL347" t="e">
        <f>VLOOKUP(C347,'חד גזעי'!$AH$8:$AI$33,2,FALSE)</f>
        <v>#N/A</v>
      </c>
      <c r="AM347" s="72" t="b">
        <f t="shared" si="357"/>
        <v>0</v>
      </c>
      <c r="AN347" s="72" t="b">
        <f t="shared" si="358"/>
        <v>0</v>
      </c>
      <c r="AO347" s="72" t="b">
        <f t="shared" si="359"/>
        <v>0</v>
      </c>
      <c r="AS347" s="72">
        <f t="shared" si="360"/>
        <v>0</v>
      </c>
      <c r="AT347" s="72">
        <f t="shared" si="361"/>
        <v>0</v>
      </c>
      <c r="AU347" s="72">
        <f t="shared" si="370"/>
        <v>0</v>
      </c>
      <c r="AV347" s="72">
        <f t="shared" si="362"/>
        <v>0</v>
      </c>
      <c r="AW347" s="72">
        <f t="shared" si="363"/>
        <v>0</v>
      </c>
      <c r="AX347" s="72">
        <f t="shared" si="364"/>
        <v>0</v>
      </c>
      <c r="AY347" s="72">
        <f t="shared" si="365"/>
        <v>0</v>
      </c>
      <c r="AZ347" s="72">
        <f t="shared" si="366"/>
        <v>0</v>
      </c>
      <c r="BA347" s="72" t="e">
        <f t="shared" si="367"/>
        <v>#N/A</v>
      </c>
      <c r="BB347" s="72" t="e">
        <f t="shared" si="368"/>
        <v>#N/A</v>
      </c>
      <c r="BC347" s="77"/>
      <c r="BE347">
        <f t="shared" si="348"/>
        <v>0</v>
      </c>
      <c r="BF347" s="196"/>
      <c r="BG347" s="196"/>
      <c r="BH347" s="196"/>
      <c r="BI347" s="196"/>
      <c r="BJ347" s="196"/>
      <c r="BK347" s="196"/>
    </row>
    <row r="348" spans="2:63" hidden="1">
      <c r="B348" s="72"/>
      <c r="C348" s="135"/>
      <c r="D348" s="78"/>
      <c r="E348" s="78"/>
      <c r="F348" s="72"/>
      <c r="G348" s="72"/>
      <c r="H348" s="72"/>
      <c r="I348" s="73">
        <f t="shared" si="350"/>
        <v>0</v>
      </c>
      <c r="J348" s="78"/>
      <c r="K348" s="73"/>
      <c r="L348" s="74" t="e">
        <f>_xlfn.IFNA(VLOOKUP(C348,'חד גזעי'!$U$3:$V$509,2,0),VLOOKUP(C348,'חד גזעי'!$U$3:$V$509,2))</f>
        <v>#N/A</v>
      </c>
      <c r="M348" s="73"/>
      <c r="N348" s="72" t="e">
        <f>_xlfn.IFNA(IF(VLOOKUP(C348,'חד גזעי'!$AH$2:$AH$7,1,FALSE)&gt;0,0,IF('חד גזעי'!$AM$5="כן",IF(_xlfn.IFNA(VLOOKUP(C348,'חד גזעי'!$AH$2:$AH$33,1,FALSE),SUM(J348:M348))&lt;21,_xlfn.IFNA(VLOOKUP(C348,'חד גזעי'!$AH$2:$AH$33,1,FALSE),SUM(J348:M348)),0),SUM(J348:M348))),IF('חד גזעי'!$AM$5="כן",IF(_xlfn.IFNA(VLOOKUP(C348,'חד גזעי'!$AH$2:$AH$33,1,FALSE),SUM(J348:M348))&lt;21,_xlfn.IFNA(VLOOKUP(C348,'חד גזעי'!$AH$2:$AH$33,1,FALSE),SUM(J348:M348)),0),SUM(J348:M348)))</f>
        <v>#N/A</v>
      </c>
      <c r="O348" s="72">
        <f>IF('חד גזעי'!$AM$3 = "כן",IF(T348&gt;4,4,T348),T348)</f>
        <v>0</v>
      </c>
      <c r="P348" s="80">
        <f>IF(E348&lt;2,0,IF(Z348&gt;0,Z348,IF(N348 = 0,0,IF('חד גזעי'!$AM$2 = "לא",IF(F348&gt;19,W348,0),IF(F348&gt;9,Y348,0)))))</f>
        <v>0</v>
      </c>
      <c r="Q348" s="77"/>
      <c r="R348" s="75"/>
      <c r="S348" t="e">
        <f>VLOOKUP(C348,'חד גזעי'!$Y$4:$Y$18,1,0)</f>
        <v>#N/A</v>
      </c>
      <c r="T348" s="72">
        <f>IF('חד גזעי'!$AM$6="לא",IF(P348=0,IF(BC348="שימור",IF('חד גזעי'!$AM$4="לא",IF(BC348="לא בוגר",0,IF(BC348="לא קיים",0,IF(J348=0,0,I348*0.1))),IF(BC348="לא בוגר",0,IF(BC348="לא קיים",0,IF(AB348=1,I348*0.1,E348*0.5)))),0),IF('חד גזעי'!$AM$4="לא",IF(BC348="לא בוגר",0,IF(BC348="לא קיים",0,IF(J348=0,0,I348*0.1))),IF(BC348="לא בוגר",0,IF(BC348="לא קיים",0,IF(AB348=1,I348*0.1,E348*0.5))))),IF(P348=0,IF(BC348="שימור",IF('חד גזעי'!$AM$4="לא",IF(BC348="לא בוגר",0,IF(BC348="לא קיים",0,IF(J348=0,0,I348*0.15))),IF(BC348="לא בוגר",0,IF(BC348="לא קיים",0,IF(AB348=1,I348*0.15,E348*0.5)))),0),IF('חד גזעי'!$AM$4="לא",IF(BC348="לא בוגר",0,IF(BC348="לא קיים",0,IF(J348=0,0,I348*0.15))),IF(BC348="לא בוגר",0,IF(BC348="לא קיים",0,IF(AB348=1,I348*0.15,E348*0.5))))))</f>
        <v>0</v>
      </c>
      <c r="V348" t="e">
        <f t="shared" si="371"/>
        <v>#N/A</v>
      </c>
      <c r="W348" t="e">
        <f t="shared" si="372"/>
        <v>#N/A</v>
      </c>
      <c r="X348" t="e">
        <f t="shared" si="373"/>
        <v>#N/A</v>
      </c>
      <c r="Y348">
        <f>IF('חד גזעי'!$AM$2 = "לא",0,IF(F348&gt;9,W348,0))</f>
        <v>0</v>
      </c>
      <c r="Z348">
        <f>IF('חד גזעי'!$AM$7 = "לא",0,IF(C348 = "זית אירופי",IF('חד גזעי'!$AN$7 &lt;=סקר!F348,W348,0),IF(C348 = "חרוב מצוי",IF('חד גזעי'!$AN$7 &lt;=סקר!F348,W348,0),0)))</f>
        <v>0</v>
      </c>
      <c r="AB348">
        <f t="shared" si="351"/>
        <v>1</v>
      </c>
      <c r="AC348" s="72"/>
      <c r="AD348" t="e">
        <f t="shared" si="369"/>
        <v>#N/A</v>
      </c>
      <c r="AE348" s="72"/>
      <c r="AF348" s="72" t="e">
        <f t="shared" si="352"/>
        <v>#N/A</v>
      </c>
      <c r="AG348" s="72" t="e">
        <f>IF('חד גזעי'!$AM$5="לא",(VLOOKUP(C348,'חד גזעי'!$P$1:$S$589,3,FALSE)),(VLOOKUP(C348,'חד גזעי'!$P$1:$S$589,4,FALSE)))</f>
        <v>#N/A</v>
      </c>
      <c r="AH348" s="72">
        <f t="shared" si="353"/>
        <v>0</v>
      </c>
      <c r="AI348" s="72">
        <f t="shared" si="354"/>
        <v>0</v>
      </c>
      <c r="AJ348" s="72">
        <f t="shared" si="355"/>
        <v>0</v>
      </c>
      <c r="AK348" s="72" t="e">
        <f t="shared" si="356"/>
        <v>#N/A</v>
      </c>
      <c r="AL348" t="e">
        <f>VLOOKUP(C348,'חד גזעי'!$AH$8:$AI$33,2,FALSE)</f>
        <v>#N/A</v>
      </c>
      <c r="AM348" s="72" t="b">
        <f t="shared" si="357"/>
        <v>0</v>
      </c>
      <c r="AN348" s="72" t="b">
        <f t="shared" si="358"/>
        <v>0</v>
      </c>
      <c r="AO348" s="72" t="b">
        <f t="shared" si="359"/>
        <v>0</v>
      </c>
      <c r="AS348" s="72">
        <f t="shared" si="360"/>
        <v>0</v>
      </c>
      <c r="AT348" s="72">
        <f t="shared" si="361"/>
        <v>0</v>
      </c>
      <c r="AU348" s="72">
        <f t="shared" si="370"/>
        <v>0</v>
      </c>
      <c r="AV348" s="72">
        <f t="shared" si="362"/>
        <v>0</v>
      </c>
      <c r="AW348" s="72">
        <f t="shared" si="363"/>
        <v>0</v>
      </c>
      <c r="AX348" s="72">
        <f t="shared" si="364"/>
        <v>0</v>
      </c>
      <c r="AY348" s="72">
        <f t="shared" si="365"/>
        <v>0</v>
      </c>
      <c r="AZ348" s="72">
        <f t="shared" si="366"/>
        <v>0</v>
      </c>
      <c r="BA348" s="72" t="e">
        <f t="shared" si="367"/>
        <v>#N/A</v>
      </c>
      <c r="BB348" s="72" t="e">
        <f t="shared" si="368"/>
        <v>#N/A</v>
      </c>
      <c r="BC348" s="77"/>
      <c r="BE348">
        <f t="shared" si="348"/>
        <v>0</v>
      </c>
      <c r="BF348" s="196"/>
      <c r="BG348" s="196"/>
      <c r="BH348" s="196"/>
      <c r="BI348" s="196"/>
      <c r="BJ348" s="196"/>
      <c r="BK348" s="196"/>
    </row>
    <row r="349" spans="2:63" hidden="1">
      <c r="B349" s="72"/>
      <c r="C349" s="135"/>
      <c r="D349" s="78"/>
      <c r="E349" s="78"/>
      <c r="F349" s="72"/>
      <c r="G349" s="72"/>
      <c r="H349" s="72"/>
      <c r="I349" s="73">
        <f t="shared" si="350"/>
        <v>0</v>
      </c>
      <c r="J349" s="78"/>
      <c r="K349" s="73"/>
      <c r="L349" s="74" t="e">
        <f>_xlfn.IFNA(VLOOKUP(C349,'חד גזעי'!$U$3:$V$509,2,0),VLOOKUP(C349,'חד גזעי'!$U$3:$V$509,2))</f>
        <v>#N/A</v>
      </c>
      <c r="M349" s="73"/>
      <c r="N349" s="72" t="e">
        <f>_xlfn.IFNA(IF(VLOOKUP(C349,'חד גזעי'!$AH$2:$AH$7,1,FALSE)&gt;0,0,IF('חד גזעי'!$AM$5="כן",IF(_xlfn.IFNA(VLOOKUP(C349,'חד גזעי'!$AH$2:$AH$33,1,FALSE),SUM(J349:M349))&lt;21,_xlfn.IFNA(VLOOKUP(C349,'חד גזעי'!$AH$2:$AH$33,1,FALSE),SUM(J349:M349)),0),SUM(J349:M349))),IF('חד גזעי'!$AM$5="כן",IF(_xlfn.IFNA(VLOOKUP(C349,'חד גזעי'!$AH$2:$AH$33,1,FALSE),SUM(J349:M349))&lt;21,_xlfn.IFNA(VLOOKUP(C349,'חד גזעי'!$AH$2:$AH$33,1,FALSE),SUM(J349:M349)),0),SUM(J349:M349)))</f>
        <v>#N/A</v>
      </c>
      <c r="O349" s="72">
        <f>IF('חד גזעי'!$AM$3 = "כן",IF(T349&gt;4,4,T349),T349)</f>
        <v>0</v>
      </c>
      <c r="P349" s="80">
        <f>IF(E349&lt;2,0,IF(Z349&gt;0,Z349,IF(N349 = 0,0,IF('חד גזעי'!$AM$2 = "לא",IF(F349&gt;19,W349,0),IF(F349&gt;9,Y349,0)))))</f>
        <v>0</v>
      </c>
      <c r="Q349" s="77"/>
      <c r="R349" s="76"/>
      <c r="S349" t="e">
        <f>VLOOKUP(C349,'חד גזעי'!$Y$4:$Y$18,1,0)</f>
        <v>#N/A</v>
      </c>
      <c r="T349" s="72">
        <f>IF('חד גזעי'!$AM$6="לא",IF(P349=0,IF(BC349="שימור",IF('חד גזעי'!$AM$4="לא",IF(BC349="לא בוגר",0,IF(BC349="לא קיים",0,IF(J349=0,0,I349*0.1))),IF(BC349="לא בוגר",0,IF(BC349="לא קיים",0,IF(AB349=1,I349*0.1,E349*0.5)))),0),IF('חד גזעי'!$AM$4="לא",IF(BC349="לא בוגר",0,IF(BC349="לא קיים",0,IF(J349=0,0,I349*0.1))),IF(BC349="לא בוגר",0,IF(BC349="לא קיים",0,IF(AB349=1,I349*0.1,E349*0.5))))),IF(P349=0,IF(BC349="שימור",IF('חד גזעי'!$AM$4="לא",IF(BC349="לא בוגר",0,IF(BC349="לא קיים",0,IF(J349=0,0,I349*0.15))),IF(BC349="לא בוגר",0,IF(BC349="לא קיים",0,IF(AB349=1,I349*0.15,E349*0.5)))),0),IF('חד גזעי'!$AM$4="לא",IF(BC349="לא בוגר",0,IF(BC349="לא קיים",0,IF(J349=0,0,I349*0.15))),IF(BC349="לא בוגר",0,IF(BC349="לא קיים",0,IF(AB349=1,I349*0.15,E349*0.5))))))</f>
        <v>0</v>
      </c>
      <c r="V349" t="e">
        <f t="shared" si="371"/>
        <v>#N/A</v>
      </c>
      <c r="W349" t="e">
        <f t="shared" si="372"/>
        <v>#N/A</v>
      </c>
      <c r="X349" t="e">
        <f t="shared" si="373"/>
        <v>#N/A</v>
      </c>
      <c r="Y349">
        <f>IF('חד גזעי'!$AM$2 = "לא",0,IF(F349&gt;9,W349,0))</f>
        <v>0</v>
      </c>
      <c r="Z349">
        <f>IF('חד גזעי'!$AM$7 = "לא",0,IF(C349 = "זית אירופי",IF('חד גזעי'!$AN$7 &lt;=סקר!F349,W349,0),IF(C349 = "חרוב מצוי",IF('חד גזעי'!$AN$7 &lt;=סקר!F349,W349,0),0)))</f>
        <v>0</v>
      </c>
      <c r="AB349">
        <f t="shared" si="351"/>
        <v>1</v>
      </c>
      <c r="AC349" s="72"/>
      <c r="AD349" t="e">
        <f t="shared" si="369"/>
        <v>#N/A</v>
      </c>
      <c r="AE349" s="72"/>
      <c r="AF349" s="72" t="e">
        <f t="shared" si="352"/>
        <v>#N/A</v>
      </c>
      <c r="AG349" s="72" t="e">
        <f>IF('חד גזעי'!$AM$5="לא",(VLOOKUP(C349,'חד גזעי'!$P$1:$S$589,3,FALSE)),(VLOOKUP(C349,'חד גזעי'!$P$1:$S$589,4,FALSE)))</f>
        <v>#N/A</v>
      </c>
      <c r="AH349" s="72">
        <f t="shared" si="353"/>
        <v>0</v>
      </c>
      <c r="AI349" s="72">
        <f t="shared" si="354"/>
        <v>0</v>
      </c>
      <c r="AJ349" s="72">
        <f t="shared" si="355"/>
        <v>0</v>
      </c>
      <c r="AK349" s="72" t="e">
        <f t="shared" si="356"/>
        <v>#N/A</v>
      </c>
      <c r="AL349" t="e">
        <f>VLOOKUP(C349,'חד גזעי'!$AH$8:$AI$33,2,FALSE)</f>
        <v>#N/A</v>
      </c>
      <c r="AM349" s="72" t="b">
        <f t="shared" si="357"/>
        <v>0</v>
      </c>
      <c r="AN349" s="72" t="b">
        <f t="shared" si="358"/>
        <v>0</v>
      </c>
      <c r="AO349" s="72" t="b">
        <f t="shared" si="359"/>
        <v>0</v>
      </c>
      <c r="AS349" s="72">
        <f t="shared" si="360"/>
        <v>0</v>
      </c>
      <c r="AT349" s="72">
        <f t="shared" si="361"/>
        <v>0</v>
      </c>
      <c r="AU349" s="72">
        <f t="shared" si="370"/>
        <v>0</v>
      </c>
      <c r="AV349" s="72">
        <f t="shared" si="362"/>
        <v>0</v>
      </c>
      <c r="AW349" s="72">
        <f t="shared" si="363"/>
        <v>0</v>
      </c>
      <c r="AX349" s="72">
        <f t="shared" si="364"/>
        <v>0</v>
      </c>
      <c r="AY349" s="72">
        <f t="shared" si="365"/>
        <v>0</v>
      </c>
      <c r="AZ349" s="72">
        <f t="shared" si="366"/>
        <v>0</v>
      </c>
      <c r="BA349" s="72" t="e">
        <f t="shared" si="367"/>
        <v>#N/A</v>
      </c>
      <c r="BB349" s="72" t="e">
        <f t="shared" si="368"/>
        <v>#N/A</v>
      </c>
      <c r="BC349" s="77"/>
      <c r="BE349">
        <f t="shared" si="348"/>
        <v>0</v>
      </c>
      <c r="BF349" s="196"/>
      <c r="BG349" s="196"/>
      <c r="BH349" s="196"/>
      <c r="BI349" s="196"/>
      <c r="BJ349" s="196"/>
      <c r="BK349" s="196"/>
    </row>
    <row r="350" spans="2:63" hidden="1">
      <c r="B350" s="72"/>
      <c r="C350" s="135"/>
      <c r="D350" s="78"/>
      <c r="E350" s="78"/>
      <c r="F350" s="72"/>
      <c r="G350" s="72"/>
      <c r="H350" s="72"/>
      <c r="I350" s="73">
        <f t="shared" si="350"/>
        <v>0</v>
      </c>
      <c r="J350" s="78"/>
      <c r="K350" s="73"/>
      <c r="L350" s="74" t="e">
        <f>_xlfn.IFNA(VLOOKUP(C350,'חד גזעי'!$U$3:$V$509,2,0),VLOOKUP(C350,'חד גזעי'!$U$3:$V$509,2))</f>
        <v>#N/A</v>
      </c>
      <c r="M350" s="102"/>
      <c r="N350" s="72" t="e">
        <f>_xlfn.IFNA(IF(VLOOKUP(C350,'חד גזעי'!$AH$2:$AH$7,1,FALSE)&gt;0,0,IF('חד גזעי'!$AM$5="כן",IF(_xlfn.IFNA(VLOOKUP(C350,'חד גזעי'!$AH$2:$AH$33,1,FALSE),SUM(J350:M350))&lt;21,_xlfn.IFNA(VLOOKUP(C350,'חד גזעי'!$AH$2:$AH$33,1,FALSE),SUM(J350:M350)),0),SUM(J350:M350))),IF('חד גזעי'!$AM$5="כן",IF(_xlfn.IFNA(VLOOKUP(C350,'חד גזעי'!$AH$2:$AH$33,1,FALSE),SUM(J350:M350))&lt;21,_xlfn.IFNA(VLOOKUP(C350,'חד גזעי'!$AH$2:$AH$33,1,FALSE),SUM(J350:M350)),0),SUM(J350:M350)))</f>
        <v>#N/A</v>
      </c>
      <c r="O350" s="72">
        <f>IF('חד גזעי'!$AM$3 = "כן",IF(T350&gt;4,4,T350),T350)</f>
        <v>0</v>
      </c>
      <c r="P350" s="80">
        <f>IF(E350&lt;2,0,IF(Z350&gt;0,Z350,IF(N350 = 0,0,IF('חד גזעי'!$AM$2 = "לא",IF(F350&gt;19,W350,0),IF(F350&gt;9,Y350,0)))))</f>
        <v>0</v>
      </c>
      <c r="Q350" s="77"/>
      <c r="R350" s="76"/>
      <c r="S350" t="e">
        <f>VLOOKUP(C350,'חד גזעי'!$Y$4:$Y$18,1,0)</f>
        <v>#N/A</v>
      </c>
      <c r="T350" s="72">
        <f>IF('חד גזעי'!$AM$6="לא",IF(P350=0,IF(BC350="שימור",IF('חד גזעי'!$AM$4="לא",IF(BC350="לא בוגר",0,IF(BC350="לא קיים",0,IF(J350=0,0,I350*0.1))),IF(BC350="לא בוגר",0,IF(BC350="לא קיים",0,IF(AB350=1,I350*0.1,E350*0.5)))),0),IF('חד גזעי'!$AM$4="לא",IF(BC350="לא בוגר",0,IF(BC350="לא קיים",0,IF(J350=0,0,I350*0.1))),IF(BC350="לא בוגר",0,IF(BC350="לא קיים",0,IF(AB350=1,I350*0.1,E350*0.5))))),IF(P350=0,IF(BC350="שימור",IF('חד גזעי'!$AM$4="לא",IF(BC350="לא בוגר",0,IF(BC350="לא קיים",0,IF(J350=0,0,I350*0.15))),IF(BC350="לא בוגר",0,IF(BC350="לא קיים",0,IF(AB350=1,I350*0.15,E350*0.5)))),0),IF('חד גזעי'!$AM$4="לא",IF(BC350="לא בוגר",0,IF(BC350="לא קיים",0,IF(J350=0,0,I350*0.15))),IF(BC350="לא בוגר",0,IF(BC350="לא קיים",0,IF(AB350=1,I350*0.15,E350*0.5))))))</f>
        <v>0</v>
      </c>
      <c r="V350" t="e">
        <f t="shared" si="371"/>
        <v>#N/A</v>
      </c>
      <c r="W350" t="e">
        <f t="shared" si="372"/>
        <v>#N/A</v>
      </c>
      <c r="X350" t="e">
        <f t="shared" si="373"/>
        <v>#N/A</v>
      </c>
      <c r="Y350">
        <f>IF('חד גזעי'!$AM$2 = "לא",0,IF(F350&gt;9,W350,0))</f>
        <v>0</v>
      </c>
      <c r="Z350">
        <f>IF('חד גזעי'!$AM$7 = "לא",0,IF(C350 = "זית אירופי",IF('חד גזעי'!$AN$7 &lt;=סקר!F350,W350,0),IF(C350 = "חרוב מצוי",IF('חד גזעי'!$AN$7 &lt;=סקר!F350,W350,0),0)))</f>
        <v>0</v>
      </c>
      <c r="AB350">
        <f t="shared" si="351"/>
        <v>1</v>
      </c>
      <c r="AC350" s="72"/>
      <c r="AD350" t="e">
        <f t="shared" si="369"/>
        <v>#N/A</v>
      </c>
      <c r="AE350" s="72"/>
      <c r="AF350" s="72" t="e">
        <f t="shared" si="352"/>
        <v>#N/A</v>
      </c>
      <c r="AG350" s="72" t="e">
        <f>IF('חד גזעי'!$AM$5="לא",(VLOOKUP(C350,'חד גזעי'!$P$1:$S$589,3,FALSE)),(VLOOKUP(C350,'חד גזעי'!$P$1:$S$589,4,FALSE)))</f>
        <v>#N/A</v>
      </c>
      <c r="AH350" s="72">
        <f t="shared" si="353"/>
        <v>0</v>
      </c>
      <c r="AI350" s="72">
        <f t="shared" si="354"/>
        <v>0</v>
      </c>
      <c r="AJ350" s="72">
        <f t="shared" si="355"/>
        <v>0</v>
      </c>
      <c r="AK350" s="72" t="e">
        <f t="shared" si="356"/>
        <v>#N/A</v>
      </c>
      <c r="AL350" t="e">
        <f>VLOOKUP(C350,'חד גזעי'!$AH$8:$AI$33,2,FALSE)</f>
        <v>#N/A</v>
      </c>
      <c r="AM350" s="72" t="b">
        <f t="shared" si="357"/>
        <v>0</v>
      </c>
      <c r="AN350" s="72" t="b">
        <f t="shared" si="358"/>
        <v>0</v>
      </c>
      <c r="AO350" s="72" t="b">
        <f t="shared" si="359"/>
        <v>0</v>
      </c>
      <c r="AS350" s="72">
        <f t="shared" si="360"/>
        <v>0</v>
      </c>
      <c r="AT350" s="72">
        <f t="shared" si="361"/>
        <v>0</v>
      </c>
      <c r="AU350" s="72">
        <f t="shared" si="370"/>
        <v>0</v>
      </c>
      <c r="AV350" s="72">
        <f t="shared" si="362"/>
        <v>0</v>
      </c>
      <c r="AW350" s="72">
        <f t="shared" si="363"/>
        <v>0</v>
      </c>
      <c r="AX350" s="72">
        <f t="shared" si="364"/>
        <v>0</v>
      </c>
      <c r="AY350" s="72">
        <f t="shared" si="365"/>
        <v>0</v>
      </c>
      <c r="AZ350" s="72">
        <f t="shared" si="366"/>
        <v>0</v>
      </c>
      <c r="BA350" s="72" t="e">
        <f t="shared" si="367"/>
        <v>#N/A</v>
      </c>
      <c r="BB350" s="72" t="e">
        <f t="shared" si="368"/>
        <v>#N/A</v>
      </c>
      <c r="BC350" s="77"/>
      <c r="BE350">
        <f t="shared" si="348"/>
        <v>0</v>
      </c>
      <c r="BF350" s="196"/>
      <c r="BG350" s="196"/>
      <c r="BH350" s="196"/>
      <c r="BI350" s="196"/>
      <c r="BJ350" s="196"/>
      <c r="BK350" s="196"/>
    </row>
    <row r="351" spans="2:63" hidden="1">
      <c r="B351" s="72"/>
      <c r="C351" s="135"/>
      <c r="D351" s="73"/>
      <c r="E351" s="73"/>
      <c r="F351" s="72"/>
      <c r="G351" s="72"/>
      <c r="H351" s="72"/>
      <c r="I351" s="73">
        <f t="shared" si="350"/>
        <v>0</v>
      </c>
      <c r="J351" s="73"/>
      <c r="K351" s="73"/>
      <c r="L351" s="74" t="e">
        <f>_xlfn.IFNA(VLOOKUP(C351,'חד גזעי'!$U$3:$V$509,2,0),VLOOKUP(C351,'חד גזעי'!$U$3:$V$509,2))</f>
        <v>#N/A</v>
      </c>
      <c r="M351" s="73"/>
      <c r="N351" s="72" t="e">
        <f>_xlfn.IFNA(IF(VLOOKUP(C351,'חד גזעי'!$AH$2:$AH$7,1,FALSE)&gt;0,0,IF('חד גזעי'!$AM$5="כן",IF(_xlfn.IFNA(VLOOKUP(C351,'חד גזעי'!$AH$2:$AH$33,1,FALSE),SUM(J351:M351))&lt;21,_xlfn.IFNA(VLOOKUP(C351,'חד גזעי'!$AH$2:$AH$33,1,FALSE),SUM(J351:M351)),0),SUM(J351:M351))),IF('חד גזעי'!$AM$5="כן",IF(_xlfn.IFNA(VLOOKUP(C351,'חד גזעי'!$AH$2:$AH$33,1,FALSE),SUM(J351:M351))&lt;21,_xlfn.IFNA(VLOOKUP(C351,'חד גזעי'!$AH$2:$AH$33,1,FALSE),SUM(J351:M351)),0),SUM(J351:M351)))</f>
        <v>#N/A</v>
      </c>
      <c r="O351" s="72">
        <f>IF('חד גזעי'!$AM$3 = "כן",IF(T351&gt;4,4,T351),T351)</f>
        <v>0</v>
      </c>
      <c r="P351" s="80">
        <f>IF(E351&lt;2,0,IF(Z351&gt;0,Z351,IF(N351 = 0,0,IF('חד גזעי'!$AM$2 = "לא",IF(F351&gt;19,W351,0),IF(F351&gt;9,Y351,0)))))</f>
        <v>0</v>
      </c>
      <c r="Q351" s="77"/>
      <c r="R351" s="76"/>
      <c r="S351" t="e">
        <f>VLOOKUP(C351,'חד גזעי'!$Y$4:$Y$18,1,0)</f>
        <v>#N/A</v>
      </c>
      <c r="T351" s="72">
        <f>IF('חד גזעי'!$AM$6="לא",IF(P351=0,IF(BC351="שימור",IF('חד גזעי'!$AM$4="לא",IF(BC351="לא בוגר",0,IF(BC351="לא קיים",0,IF(J351=0,0,I351*0.1))),IF(BC351="לא בוגר",0,IF(BC351="לא קיים",0,IF(AB351=1,I351*0.1,E351*0.5)))),0),IF('חד גזעי'!$AM$4="לא",IF(BC351="לא בוגר",0,IF(BC351="לא קיים",0,IF(J351=0,0,I351*0.1))),IF(BC351="לא בוגר",0,IF(BC351="לא קיים",0,IF(AB351=1,I351*0.1,E351*0.5))))),IF(P351=0,IF(BC351="שימור",IF('חד גזעי'!$AM$4="לא",IF(BC351="לא בוגר",0,IF(BC351="לא קיים",0,IF(J351=0,0,I351*0.15))),IF(BC351="לא בוגר",0,IF(BC351="לא קיים",0,IF(AB351=1,I351*0.15,E351*0.5)))),0),IF('חד גזעי'!$AM$4="לא",IF(BC351="לא בוגר",0,IF(BC351="לא קיים",0,IF(J351=0,0,I351*0.15))),IF(BC351="לא בוגר",0,IF(BC351="לא קיים",0,IF(AB351=1,I351*0.15,E351*0.5))))))</f>
        <v>0</v>
      </c>
      <c r="V351" t="e">
        <f t="shared" si="371"/>
        <v>#N/A</v>
      </c>
      <c r="W351" t="e">
        <f t="shared" si="372"/>
        <v>#N/A</v>
      </c>
      <c r="X351" t="e">
        <f t="shared" si="373"/>
        <v>#N/A</v>
      </c>
      <c r="Y351">
        <f>IF('חד גזעי'!$AM$2 = "לא",0,IF(F351&gt;9,W351,0))</f>
        <v>0</v>
      </c>
      <c r="Z351">
        <f>IF('חד גזעי'!$AM$7 = "לא",0,IF(C351 = "זית אירופי",IF('חד גזעי'!$AN$7 &lt;=סקר!F351,W351,0),IF(C351 = "חרוב מצוי",IF('חד גזעי'!$AN$7 &lt;=סקר!F351,W351,0),0)))</f>
        <v>0</v>
      </c>
      <c r="AB351">
        <f t="shared" si="351"/>
        <v>1</v>
      </c>
      <c r="AC351" s="72"/>
      <c r="AD351" t="e">
        <f t="shared" si="369"/>
        <v>#N/A</v>
      </c>
      <c r="AE351" s="72"/>
      <c r="AF351" s="72" t="e">
        <f t="shared" si="352"/>
        <v>#N/A</v>
      </c>
      <c r="AG351" s="72" t="e">
        <f>IF('חד גזעי'!$AM$5="לא",(VLOOKUP(C351,'חד גזעי'!$P$1:$S$589,3,FALSE)),(VLOOKUP(C351,'חד גזעי'!$P$1:$S$589,4,FALSE)))</f>
        <v>#N/A</v>
      </c>
      <c r="AH351" s="72">
        <f t="shared" si="353"/>
        <v>0</v>
      </c>
      <c r="AI351" s="72">
        <f t="shared" si="354"/>
        <v>0</v>
      </c>
      <c r="AJ351" s="72">
        <f t="shared" si="355"/>
        <v>0</v>
      </c>
      <c r="AK351" s="72" t="e">
        <f t="shared" si="356"/>
        <v>#N/A</v>
      </c>
      <c r="AL351" t="e">
        <f>VLOOKUP(C351,'חד גזעי'!$AH$8:$AI$33,2,FALSE)</f>
        <v>#N/A</v>
      </c>
      <c r="AM351" s="72" t="b">
        <f t="shared" si="357"/>
        <v>0</v>
      </c>
      <c r="AN351" s="72" t="b">
        <f t="shared" si="358"/>
        <v>0</v>
      </c>
      <c r="AO351" s="72" t="b">
        <f t="shared" si="359"/>
        <v>0</v>
      </c>
      <c r="AS351" s="72">
        <f t="shared" si="360"/>
        <v>0</v>
      </c>
      <c r="AT351" s="72">
        <f t="shared" si="361"/>
        <v>0</v>
      </c>
      <c r="AU351" s="72">
        <f t="shared" si="370"/>
        <v>0</v>
      </c>
      <c r="AV351" s="72">
        <f t="shared" si="362"/>
        <v>0</v>
      </c>
      <c r="AW351" s="72">
        <f t="shared" si="363"/>
        <v>0</v>
      </c>
      <c r="AX351" s="72">
        <f t="shared" si="364"/>
        <v>0</v>
      </c>
      <c r="AY351" s="72">
        <f t="shared" si="365"/>
        <v>0</v>
      </c>
      <c r="AZ351" s="72">
        <f t="shared" si="366"/>
        <v>0</v>
      </c>
      <c r="BA351" s="72" t="e">
        <f t="shared" si="367"/>
        <v>#N/A</v>
      </c>
      <c r="BB351" s="72" t="e">
        <f t="shared" si="368"/>
        <v>#N/A</v>
      </c>
      <c r="BC351" s="77"/>
      <c r="BE351">
        <f t="shared" si="348"/>
        <v>0</v>
      </c>
      <c r="BF351" s="196"/>
      <c r="BG351" s="196"/>
      <c r="BH351" s="196"/>
      <c r="BI351" s="196"/>
      <c r="BJ351" s="196"/>
      <c r="BK351" s="196"/>
    </row>
    <row r="352" spans="2:63" hidden="1">
      <c r="B352" s="72"/>
      <c r="C352" s="135"/>
      <c r="D352" s="73"/>
      <c r="E352" s="73"/>
      <c r="F352" s="72"/>
      <c r="G352" s="72"/>
      <c r="H352" s="72"/>
      <c r="I352" s="73">
        <f t="shared" si="350"/>
        <v>0</v>
      </c>
      <c r="J352" s="73"/>
      <c r="K352" s="73"/>
      <c r="L352" s="74" t="e">
        <f>_xlfn.IFNA(VLOOKUP(C352,'חד גזעי'!$U$3:$V$509,2,0),VLOOKUP(C352,'חד גזעי'!$U$3:$V$509,2))</f>
        <v>#N/A</v>
      </c>
      <c r="M352" s="73"/>
      <c r="N352" s="72" t="e">
        <f>_xlfn.IFNA(IF(VLOOKUP(C352,'חד גזעי'!$AH$2:$AH$7,1,FALSE)&gt;0,0,IF('חד גזעי'!$AM$5="כן",IF(_xlfn.IFNA(VLOOKUP(C352,'חד גזעי'!$AH$2:$AH$33,1,FALSE),SUM(J352:M352))&lt;21,_xlfn.IFNA(VLOOKUP(C352,'חד גזעי'!$AH$2:$AH$33,1,FALSE),SUM(J352:M352)),0),SUM(J352:M352))),IF('חד גזעי'!$AM$5="כן",IF(_xlfn.IFNA(VLOOKUP(C352,'חד גזעי'!$AH$2:$AH$33,1,FALSE),SUM(J352:M352))&lt;21,_xlfn.IFNA(VLOOKUP(C352,'חד גזעי'!$AH$2:$AH$33,1,FALSE),SUM(J352:M352)),0),SUM(J352:M352)))</f>
        <v>#N/A</v>
      </c>
      <c r="O352" s="72">
        <f>IF('חד גזעי'!$AM$3 = "כן",IF(T352&gt;4,4,T352),T352)</f>
        <v>0</v>
      </c>
      <c r="P352" s="80">
        <f>IF(E352&lt;2,0,IF(Z352&gt;0,Z352,IF(N352 = 0,0,IF('חד גזעי'!$AM$2 = "לא",IF(F352&gt;19,W352,0),IF(F352&gt;9,Y352,0)))))</f>
        <v>0</v>
      </c>
      <c r="Q352" s="77"/>
      <c r="R352" s="76"/>
      <c r="S352" t="e">
        <f>VLOOKUP(C352,'חד גזעי'!$Y$4:$Y$18,1,0)</f>
        <v>#N/A</v>
      </c>
      <c r="T352" s="72">
        <f>IF('חד גזעי'!$AM$6="לא",IF(P352=0,IF(BC352="שימור",IF('חד גזעי'!$AM$4="לא",IF(BC352="לא בוגר",0,IF(BC352="לא קיים",0,IF(J352=0,0,I352*0.1))),IF(BC352="לא בוגר",0,IF(BC352="לא קיים",0,IF(AB352=1,I352*0.1,E352*0.5)))),0),IF('חד גזעי'!$AM$4="לא",IF(BC352="לא בוגר",0,IF(BC352="לא קיים",0,IF(J352=0,0,I352*0.1))),IF(BC352="לא בוגר",0,IF(BC352="לא קיים",0,IF(AB352=1,I352*0.1,E352*0.5))))),IF(P352=0,IF(BC352="שימור",IF('חד גזעי'!$AM$4="לא",IF(BC352="לא בוגר",0,IF(BC352="לא קיים",0,IF(J352=0,0,I352*0.15))),IF(BC352="לא בוגר",0,IF(BC352="לא קיים",0,IF(AB352=1,I352*0.15,E352*0.5)))),0),IF('חד גזעי'!$AM$4="לא",IF(BC352="לא בוגר",0,IF(BC352="לא קיים",0,IF(J352=0,0,I352*0.15))),IF(BC352="לא בוגר",0,IF(BC352="לא קיים",0,IF(AB352=1,I352*0.15,E352*0.5))))))</f>
        <v>0</v>
      </c>
      <c r="V352" t="e">
        <f t="shared" si="371"/>
        <v>#N/A</v>
      </c>
      <c r="W352" t="e">
        <f t="shared" si="372"/>
        <v>#N/A</v>
      </c>
      <c r="X352" t="e">
        <f t="shared" si="373"/>
        <v>#N/A</v>
      </c>
      <c r="Y352">
        <f>IF('חד גזעי'!$AM$2 = "לא",0,IF(F352&gt;9,W352,0))</f>
        <v>0</v>
      </c>
      <c r="Z352">
        <f>IF('חד גזעי'!$AM$7 = "לא",0,IF(C352 = "זית אירופי",IF('חד גזעי'!$AN$7 &lt;=סקר!F352,W352,0),IF(C352 = "חרוב מצוי",IF('חד גזעי'!$AN$7 &lt;=סקר!F352,W352,0),0)))</f>
        <v>0</v>
      </c>
      <c r="AB352">
        <f t="shared" si="351"/>
        <v>1</v>
      </c>
      <c r="AC352" s="72"/>
      <c r="AD352" t="e">
        <f t="shared" si="369"/>
        <v>#N/A</v>
      </c>
      <c r="AE352" s="72"/>
      <c r="AF352" s="72" t="e">
        <f t="shared" si="352"/>
        <v>#N/A</v>
      </c>
      <c r="AG352" s="72" t="e">
        <f>IF('חד גזעי'!$AM$5="לא",(VLOOKUP(C352,'חד גזעי'!$P$1:$S$589,3,FALSE)),(VLOOKUP(C352,'חד גזעי'!$P$1:$S$589,4,FALSE)))</f>
        <v>#N/A</v>
      </c>
      <c r="AH352" s="72">
        <f t="shared" si="353"/>
        <v>0</v>
      </c>
      <c r="AI352" s="72">
        <f t="shared" si="354"/>
        <v>0</v>
      </c>
      <c r="AJ352" s="72">
        <f t="shared" si="355"/>
        <v>0</v>
      </c>
      <c r="AK352" s="72" t="e">
        <f t="shared" si="356"/>
        <v>#N/A</v>
      </c>
      <c r="AL352" t="e">
        <f>VLOOKUP(C352,'חד גזעי'!$AH$8:$AI$33,2,FALSE)</f>
        <v>#N/A</v>
      </c>
      <c r="AM352" s="72" t="b">
        <f t="shared" si="357"/>
        <v>0</v>
      </c>
      <c r="AN352" s="72" t="b">
        <f t="shared" si="358"/>
        <v>0</v>
      </c>
      <c r="AO352" s="72" t="b">
        <f t="shared" si="359"/>
        <v>0</v>
      </c>
      <c r="AS352" s="72">
        <f t="shared" si="360"/>
        <v>0</v>
      </c>
      <c r="AT352" s="72">
        <f t="shared" si="361"/>
        <v>0</v>
      </c>
      <c r="AU352" s="72">
        <f t="shared" si="370"/>
        <v>0</v>
      </c>
      <c r="AV352" s="72">
        <f t="shared" si="362"/>
        <v>0</v>
      </c>
      <c r="AW352" s="72">
        <f t="shared" si="363"/>
        <v>0</v>
      </c>
      <c r="AX352" s="72">
        <f t="shared" si="364"/>
        <v>0</v>
      </c>
      <c r="AY352" s="72">
        <f t="shared" si="365"/>
        <v>0</v>
      </c>
      <c r="AZ352" s="72">
        <f t="shared" si="366"/>
        <v>0</v>
      </c>
      <c r="BA352" s="72" t="e">
        <f t="shared" si="367"/>
        <v>#N/A</v>
      </c>
      <c r="BB352" s="72" t="e">
        <f t="shared" si="368"/>
        <v>#N/A</v>
      </c>
      <c r="BC352" s="77"/>
      <c r="BE352">
        <f t="shared" si="348"/>
        <v>0</v>
      </c>
      <c r="BF352" s="196"/>
      <c r="BG352" s="196"/>
      <c r="BH352" s="196"/>
      <c r="BI352" s="196"/>
      <c r="BJ352" s="196"/>
      <c r="BK352" s="196"/>
    </row>
    <row r="353" spans="1:63" hidden="1">
      <c r="B353" s="72"/>
      <c r="C353" s="135"/>
      <c r="D353" s="73"/>
      <c r="E353" s="73"/>
      <c r="F353" s="72"/>
      <c r="G353" s="72"/>
      <c r="H353" s="72"/>
      <c r="I353" s="73">
        <f t="shared" si="350"/>
        <v>0</v>
      </c>
      <c r="J353" s="73"/>
      <c r="K353" s="73"/>
      <c r="L353" s="74" t="e">
        <f>_xlfn.IFNA(VLOOKUP(C353,'חד גזעי'!$U$3:$V$509,2,0),VLOOKUP(C353,'חד גזעי'!$U$3:$V$509,2))</f>
        <v>#N/A</v>
      </c>
      <c r="M353" s="73"/>
      <c r="N353" s="72" t="e">
        <f>_xlfn.IFNA(IF(VLOOKUP(C353,'חד גזעי'!$AH$2:$AH$7,1,FALSE)&gt;0,0,IF('חד גזעי'!$AM$5="כן",IF(_xlfn.IFNA(VLOOKUP(C353,'חד גזעי'!$AH$2:$AH$33,1,FALSE),SUM(J353:M353))&lt;21,_xlfn.IFNA(VLOOKUP(C353,'חד גזעי'!$AH$2:$AH$33,1,FALSE),SUM(J353:M353)),0),SUM(J353:M353))),IF('חד גזעי'!$AM$5="כן",IF(_xlfn.IFNA(VLOOKUP(C353,'חד גזעי'!$AH$2:$AH$33,1,FALSE),SUM(J353:M353))&lt;21,_xlfn.IFNA(VLOOKUP(C353,'חד גזעי'!$AH$2:$AH$33,1,FALSE),SUM(J353:M353)),0),SUM(J353:M353)))</f>
        <v>#N/A</v>
      </c>
      <c r="O353" s="72">
        <f>IF('חד גזעי'!$AM$3 = "כן",IF(T353&gt;4,4,T353),T353)</f>
        <v>0</v>
      </c>
      <c r="P353" s="80">
        <f>IF(E353&lt;2,0,IF(Z353&gt;0,Z353,IF(N353 = 0,0,IF('חד גזעי'!$AM$2 = "לא",IF(F353&gt;19,W353,0),IF(F353&gt;9,Y353,0)))))</f>
        <v>0</v>
      </c>
      <c r="Q353" s="77"/>
      <c r="R353" s="76"/>
      <c r="S353" t="e">
        <f>VLOOKUP(C353,'חד גזעי'!$Y$4:$Y$18,1,0)</f>
        <v>#N/A</v>
      </c>
      <c r="T353" s="72">
        <f>IF('חד גזעי'!$AM$6="לא",IF(P353=0,IF(BC353="שימור",IF('חד גזעי'!$AM$4="לא",IF(BC353="לא בוגר",0,IF(BC353="לא קיים",0,IF(J353=0,0,I353*0.1))),IF(BC353="לא בוגר",0,IF(BC353="לא קיים",0,IF(AB353=1,I353*0.1,E353*0.5)))),0),IF('חד גזעי'!$AM$4="לא",IF(BC353="לא בוגר",0,IF(BC353="לא קיים",0,IF(J353=0,0,I353*0.1))),IF(BC353="לא בוגר",0,IF(BC353="לא קיים",0,IF(AB353=1,I353*0.1,E353*0.5))))),IF(P353=0,IF(BC353="שימור",IF('חד גזעי'!$AM$4="לא",IF(BC353="לא בוגר",0,IF(BC353="לא קיים",0,IF(J353=0,0,I353*0.15))),IF(BC353="לא בוגר",0,IF(BC353="לא קיים",0,IF(AB353=1,I353*0.15,E353*0.5)))),0),IF('חד גזעי'!$AM$4="לא",IF(BC353="לא בוגר",0,IF(BC353="לא קיים",0,IF(J353=0,0,I353*0.15))),IF(BC353="לא בוגר",0,IF(BC353="לא קיים",0,IF(AB353=1,I353*0.15,E353*0.5))))))</f>
        <v>0</v>
      </c>
      <c r="V353" t="e">
        <f t="shared" si="371"/>
        <v>#N/A</v>
      </c>
      <c r="W353" t="e">
        <f t="shared" si="372"/>
        <v>#N/A</v>
      </c>
      <c r="X353" t="e">
        <f t="shared" si="373"/>
        <v>#N/A</v>
      </c>
      <c r="Y353">
        <f>IF('חד גזעי'!$AM$2 = "לא",0,IF(F353&gt;9,W353,0))</f>
        <v>0</v>
      </c>
      <c r="Z353">
        <f>IF('חד גזעי'!$AM$7 = "לא",0,IF(C353 = "זית אירופי",IF('חד גזעי'!$AN$7 &lt;=סקר!F353,W353,0),IF(C353 = "חרוב מצוי",IF('חד גזעי'!$AN$7 &lt;=סקר!F353,W353,0),0)))</f>
        <v>0</v>
      </c>
      <c r="AB353">
        <f t="shared" si="351"/>
        <v>1</v>
      </c>
      <c r="AC353" s="72"/>
      <c r="AD353" t="e">
        <f t="shared" si="369"/>
        <v>#N/A</v>
      </c>
      <c r="AE353" s="72"/>
      <c r="AF353" s="72" t="e">
        <f t="shared" si="352"/>
        <v>#N/A</v>
      </c>
      <c r="AG353" s="72" t="e">
        <f>IF('חד גזעי'!$AM$5="לא",(VLOOKUP(C353,'חד גזעי'!$P$1:$S$589,3,FALSE)),(VLOOKUP(C353,'חד גזעי'!$P$1:$S$589,4,FALSE)))</f>
        <v>#N/A</v>
      </c>
      <c r="AH353" s="72">
        <f t="shared" si="353"/>
        <v>0</v>
      </c>
      <c r="AI353" s="72">
        <f t="shared" si="354"/>
        <v>0</v>
      </c>
      <c r="AJ353" s="72">
        <f t="shared" si="355"/>
        <v>0</v>
      </c>
      <c r="AK353" s="72" t="e">
        <f t="shared" si="356"/>
        <v>#N/A</v>
      </c>
      <c r="AL353" t="e">
        <f>VLOOKUP(C353,'חד גזעי'!$AH$8:$AI$33,2,FALSE)</f>
        <v>#N/A</v>
      </c>
      <c r="AM353" s="72" t="b">
        <f t="shared" si="357"/>
        <v>0</v>
      </c>
      <c r="AN353" s="72" t="b">
        <f t="shared" si="358"/>
        <v>0</v>
      </c>
      <c r="AO353" s="72" t="b">
        <f t="shared" si="359"/>
        <v>0</v>
      </c>
      <c r="AS353" s="72">
        <f t="shared" si="360"/>
        <v>0</v>
      </c>
      <c r="AT353" s="72">
        <f t="shared" si="361"/>
        <v>0</v>
      </c>
      <c r="AU353" s="72">
        <f t="shared" si="370"/>
        <v>0</v>
      </c>
      <c r="AV353" s="72">
        <f t="shared" si="362"/>
        <v>0</v>
      </c>
      <c r="AW353" s="72">
        <f t="shared" si="363"/>
        <v>0</v>
      </c>
      <c r="AX353" s="72">
        <f t="shared" si="364"/>
        <v>0</v>
      </c>
      <c r="AY353" s="72">
        <f t="shared" si="365"/>
        <v>0</v>
      </c>
      <c r="AZ353" s="72">
        <f t="shared" si="366"/>
        <v>0</v>
      </c>
      <c r="BA353" s="72" t="e">
        <f t="shared" si="367"/>
        <v>#N/A</v>
      </c>
      <c r="BB353" s="72" t="e">
        <f t="shared" si="368"/>
        <v>#N/A</v>
      </c>
      <c r="BC353" s="77"/>
      <c r="BE353">
        <f t="shared" si="348"/>
        <v>0</v>
      </c>
      <c r="BF353" s="196"/>
      <c r="BG353" s="196"/>
      <c r="BH353" s="196"/>
      <c r="BI353" s="196"/>
      <c r="BJ353" s="196"/>
      <c r="BK353" s="196"/>
    </row>
    <row r="354" spans="1:63" hidden="1">
      <c r="B354" s="72"/>
      <c r="C354" s="135"/>
      <c r="D354" s="73"/>
      <c r="E354" s="73"/>
      <c r="F354" s="72"/>
      <c r="G354" s="72"/>
      <c r="H354" s="72"/>
      <c r="I354" s="73">
        <f t="shared" si="350"/>
        <v>0</v>
      </c>
      <c r="J354" s="73"/>
      <c r="K354" s="73"/>
      <c r="L354" s="74" t="e">
        <f>_xlfn.IFNA(VLOOKUP(C354,'חד גזעי'!$U$3:$V$509,2,0),VLOOKUP(C354,'חד גזעי'!$U$3:$V$509,2))</f>
        <v>#N/A</v>
      </c>
      <c r="M354" s="73"/>
      <c r="N354" s="72" t="e">
        <f>_xlfn.IFNA(IF(VLOOKUP(C354,'חד גזעי'!$AH$2:$AH$7,1,FALSE)&gt;0,0,IF('חד גזעי'!$AM$5="כן",IF(_xlfn.IFNA(VLOOKUP(C354,'חד גזעי'!$AH$2:$AH$33,1,FALSE),SUM(J354:M354))&lt;21,_xlfn.IFNA(VLOOKUP(C354,'חד גזעי'!$AH$2:$AH$33,1,FALSE),SUM(J354:M354)),0),SUM(J354:M354))),IF('חד גזעי'!$AM$5="כן",IF(_xlfn.IFNA(VLOOKUP(C354,'חד גזעי'!$AH$2:$AH$33,1,FALSE),SUM(J354:M354))&lt;21,_xlfn.IFNA(VLOOKUP(C354,'חד גזעי'!$AH$2:$AH$33,1,FALSE),SUM(J354:M354)),0),SUM(J354:M354)))</f>
        <v>#N/A</v>
      </c>
      <c r="O354" s="72">
        <f>IF('חד גזעי'!$AM$3 = "כן",IF(T354&gt;4,4,T354),T354)</f>
        <v>0</v>
      </c>
      <c r="P354" s="80">
        <f>IF(E354&lt;2,0,IF(Z354&gt;0,Z354,IF(N354 = 0,0,IF('חד גזעי'!$AM$2 = "לא",IF(F354&gt;19,W354,0),IF(F354&gt;9,Y354,0)))))</f>
        <v>0</v>
      </c>
      <c r="Q354" s="77"/>
      <c r="R354" s="76"/>
      <c r="S354" t="e">
        <f>VLOOKUP(C354,'חד גזעי'!$Y$4:$Y$18,1,0)</f>
        <v>#N/A</v>
      </c>
      <c r="T354" s="72">
        <f>IF('חד גזעי'!$AM$6="לא",IF(P354=0,IF(BC354="שימור",IF('חד גזעי'!$AM$4="לא",IF(BC354="לא בוגר",0,IF(BC354="לא קיים",0,IF(J354=0,0,I354*0.1))),IF(BC354="לא בוגר",0,IF(BC354="לא קיים",0,IF(AB354=1,I354*0.1,E354*0.5)))),0),IF('חד גזעי'!$AM$4="לא",IF(BC354="לא בוגר",0,IF(BC354="לא קיים",0,IF(J354=0,0,I354*0.1))),IF(BC354="לא בוגר",0,IF(BC354="לא קיים",0,IF(AB354=1,I354*0.1,E354*0.5))))),IF(P354=0,IF(BC354="שימור",IF('חד גזעי'!$AM$4="לא",IF(BC354="לא בוגר",0,IF(BC354="לא קיים",0,IF(J354=0,0,I354*0.15))),IF(BC354="לא בוגר",0,IF(BC354="לא קיים",0,IF(AB354=1,I354*0.15,E354*0.5)))),0),IF('חד גזעי'!$AM$4="לא",IF(BC354="לא בוגר",0,IF(BC354="לא קיים",0,IF(J354=0,0,I354*0.15))),IF(BC354="לא בוגר",0,IF(BC354="לא קיים",0,IF(AB354=1,I354*0.15,E354*0.5))))))</f>
        <v>0</v>
      </c>
      <c r="V354" t="e">
        <f t="shared" si="371"/>
        <v>#N/A</v>
      </c>
      <c r="W354" t="e">
        <f t="shared" si="372"/>
        <v>#N/A</v>
      </c>
      <c r="X354" t="e">
        <f t="shared" si="373"/>
        <v>#N/A</v>
      </c>
      <c r="Y354">
        <f>IF('חד גזעי'!$AM$2 = "לא",0,IF(F354&gt;9,W354,0))</f>
        <v>0</v>
      </c>
      <c r="Z354">
        <f>IF('חד גזעי'!$AM$7 = "לא",0,IF(C354 = "זית אירופי",IF('חד גזעי'!$AN$7 &lt;=סקר!F354,W354,0),IF(C354 = "חרוב מצוי",IF('חד גזעי'!$AN$7 &lt;=סקר!F354,W354,0),0)))</f>
        <v>0</v>
      </c>
      <c r="AB354">
        <f t="shared" si="351"/>
        <v>1</v>
      </c>
      <c r="AC354" s="72"/>
      <c r="AD354" t="e">
        <f>IF(AK354&gt;0,AK354,AF354)</f>
        <v>#N/A</v>
      </c>
      <c r="AE354" s="72"/>
      <c r="AF354" s="72" t="e">
        <f t="shared" si="352"/>
        <v>#N/A</v>
      </c>
      <c r="AG354" s="72" t="e">
        <f>IF('חד גזעי'!$AM$5="לא",(VLOOKUP(C354,'חד גזעי'!$P$1:$S$589,3,FALSE)),(VLOOKUP(C354,'חד גזעי'!$P$1:$S$589,4,FALSE)))</f>
        <v>#N/A</v>
      </c>
      <c r="AH354" s="72">
        <f t="shared" si="353"/>
        <v>0</v>
      </c>
      <c r="AI354" s="72">
        <f t="shared" si="354"/>
        <v>0</v>
      </c>
      <c r="AJ354" s="72">
        <f t="shared" si="355"/>
        <v>0</v>
      </c>
      <c r="AK354" s="72" t="e">
        <f t="shared" si="356"/>
        <v>#N/A</v>
      </c>
      <c r="AL354" t="e">
        <f>VLOOKUP(C354,'חד גזעי'!$AH$8:$AI$33,2,FALSE)</f>
        <v>#N/A</v>
      </c>
      <c r="AM354" s="72" t="b">
        <f t="shared" si="357"/>
        <v>0</v>
      </c>
      <c r="AN354" s="72" t="b">
        <f t="shared" si="358"/>
        <v>0</v>
      </c>
      <c r="AO354" s="72" t="b">
        <f t="shared" si="359"/>
        <v>0</v>
      </c>
      <c r="AS354" s="72">
        <f t="shared" si="360"/>
        <v>0</v>
      </c>
      <c r="AT354" s="72">
        <f t="shared" si="361"/>
        <v>0</v>
      </c>
      <c r="AU354" s="72">
        <f>IF(C354&gt;0,IF(D354&lt;2,1,D354),0)</f>
        <v>0</v>
      </c>
      <c r="AV354" s="72">
        <f t="shared" si="362"/>
        <v>0</v>
      </c>
      <c r="AW354" s="72">
        <f t="shared" si="363"/>
        <v>0</v>
      </c>
      <c r="AX354" s="72">
        <f t="shared" si="364"/>
        <v>0</v>
      </c>
      <c r="AY354" s="72">
        <f t="shared" si="365"/>
        <v>0</v>
      </c>
      <c r="AZ354" s="72">
        <f t="shared" si="366"/>
        <v>0</v>
      </c>
      <c r="BA354" s="72" t="e">
        <f t="shared" si="367"/>
        <v>#N/A</v>
      </c>
      <c r="BB354" s="72" t="e">
        <f t="shared" si="368"/>
        <v>#N/A</v>
      </c>
      <c r="BC354" s="77"/>
      <c r="BE354">
        <f t="shared" si="348"/>
        <v>0</v>
      </c>
      <c r="BF354" s="196"/>
      <c r="BG354" s="196"/>
      <c r="BH354" s="196"/>
      <c r="BI354" s="196"/>
      <c r="BJ354" s="196"/>
      <c r="BK354" s="196"/>
    </row>
    <row r="355" spans="1:63" hidden="1">
      <c r="B355" s="72"/>
      <c r="C355" s="135"/>
      <c r="D355" s="73"/>
      <c r="E355" s="73"/>
      <c r="F355" s="72"/>
      <c r="G355" s="72"/>
      <c r="H355" s="72"/>
      <c r="I355" s="73">
        <f t="shared" si="350"/>
        <v>0</v>
      </c>
      <c r="J355" s="73"/>
      <c r="K355" s="73"/>
      <c r="L355" s="74" t="e">
        <f>_xlfn.IFNA(VLOOKUP(C355,'חד גזעי'!$U$3:$V$509,2,0),VLOOKUP(C355,'חד גזעי'!$U$3:$V$509,2))</f>
        <v>#N/A</v>
      </c>
      <c r="M355" s="73"/>
      <c r="N355" s="72" t="e">
        <f>_xlfn.IFNA(IF(VLOOKUP(C355,'חד גזעי'!$AH$2:$AH$7,1,FALSE)&gt;0,0,IF('חד גזעי'!$AM$5="כן",IF(_xlfn.IFNA(VLOOKUP(C355,'חד גזעי'!$AH$2:$AH$33,1,FALSE),SUM(J355:M355))&lt;21,_xlfn.IFNA(VLOOKUP(C355,'חד גזעי'!$AH$2:$AH$33,1,FALSE),SUM(J355:M355)),0),SUM(J355:M355))),IF('חד גזעי'!$AM$5="כן",IF(_xlfn.IFNA(VLOOKUP(C355,'חד גזעי'!$AH$2:$AH$33,1,FALSE),SUM(J355:M355))&lt;21,_xlfn.IFNA(VLOOKUP(C355,'חד גזעי'!$AH$2:$AH$33,1,FALSE),SUM(J355:M355)),0),SUM(J355:M355)))</f>
        <v>#N/A</v>
      </c>
      <c r="O355" s="72">
        <f>IF('חד גזעי'!$AM$3 = "כן",IF(T355&gt;4,4,T355),T355)</f>
        <v>0</v>
      </c>
      <c r="P355" s="80">
        <f>IF(E355&lt;2,0,IF(Z355&gt;0,Z355,IF(N355 = 0,0,IF('חד גזעי'!$AM$2 = "לא",IF(F355&gt;19,W355,0),IF(F355&gt;9,Y355,0)))))</f>
        <v>0</v>
      </c>
      <c r="Q355" s="77"/>
      <c r="R355" s="76"/>
      <c r="S355" t="e">
        <f>VLOOKUP(C355,'חד גזעי'!$Y$4:$Y$18,1,0)</f>
        <v>#N/A</v>
      </c>
      <c r="T355" s="72">
        <f>IF('חד גזעי'!$AM$6="לא",IF(P355=0,IF(BC355="שימור",IF('חד גזעי'!$AM$4="לא",IF(BC355="לא בוגר",0,IF(BC355="לא קיים",0,IF(J355=0,0,I355*0.1))),IF(BC355="לא בוגר",0,IF(BC355="לא קיים",0,IF(AB355=1,I355*0.1,E355*0.5)))),0),IF('חד גזעי'!$AM$4="לא",IF(BC355="לא בוגר",0,IF(BC355="לא קיים",0,IF(J355=0,0,I355*0.1))),IF(BC355="לא בוגר",0,IF(BC355="לא קיים",0,IF(AB355=1,I355*0.1,E355*0.5))))),IF(P355=0,IF(BC355="שימור",IF('חד גזעי'!$AM$4="לא",IF(BC355="לא בוגר",0,IF(BC355="לא קיים",0,IF(J355=0,0,I355*0.15))),IF(BC355="לא בוגר",0,IF(BC355="לא קיים",0,IF(AB355=1,I355*0.15,E355*0.5)))),0),IF('חד גזעי'!$AM$4="לא",IF(BC355="לא בוגר",0,IF(BC355="לא קיים",0,IF(J355=0,0,I355*0.15))),IF(BC355="לא בוגר",0,IF(BC355="לא קיים",0,IF(AB355=1,I355*0.15,E355*0.5))))))</f>
        <v>0</v>
      </c>
      <c r="V355" t="e">
        <f t="shared" si="371"/>
        <v>#N/A</v>
      </c>
      <c r="W355" t="e">
        <f t="shared" si="372"/>
        <v>#N/A</v>
      </c>
      <c r="X355" t="e">
        <f t="shared" si="373"/>
        <v>#N/A</v>
      </c>
      <c r="Y355">
        <f>IF('חד גזעי'!$AM$2 = "לא",0,IF(F355&gt;9,W355,0))</f>
        <v>0</v>
      </c>
      <c r="Z355">
        <f>IF('חד גזעי'!$AM$7 = "לא",0,IF(C355 = "זית אירופי",IF('חד גזעי'!$AN$7 &lt;=סקר!F355,W355,0),IF(C355 = "חרוב מצוי",IF('חד גזעי'!$AN$7 &lt;=סקר!F355,W355,0),0)))</f>
        <v>0</v>
      </c>
      <c r="AB355">
        <f t="shared" si="351"/>
        <v>1</v>
      </c>
      <c r="AC355" s="72"/>
      <c r="AD355" t="e">
        <f t="shared" si="369"/>
        <v>#N/A</v>
      </c>
      <c r="AE355" s="72"/>
      <c r="AF355" s="72" t="e">
        <f t="shared" si="352"/>
        <v>#N/A</v>
      </c>
      <c r="AG355" s="72" t="e">
        <f>IF('חד גזעי'!$AM$5="לא",(VLOOKUP(C355,'חד גזעי'!$P$1:$S$589,3,FALSE)),(VLOOKUP(C355,'חד גזעי'!$P$1:$S$589,4,FALSE)))</f>
        <v>#N/A</v>
      </c>
      <c r="AH355" s="72">
        <f t="shared" si="353"/>
        <v>0</v>
      </c>
      <c r="AI355" s="72">
        <f t="shared" si="354"/>
        <v>0</v>
      </c>
      <c r="AJ355" s="72">
        <f t="shared" si="355"/>
        <v>0</v>
      </c>
      <c r="AK355" s="72" t="e">
        <f t="shared" si="356"/>
        <v>#N/A</v>
      </c>
      <c r="AL355" t="e">
        <f>VLOOKUP(C355,'חד גזעי'!$AH$8:$AI$33,2,FALSE)</f>
        <v>#N/A</v>
      </c>
      <c r="AM355" s="72" t="b">
        <f t="shared" si="357"/>
        <v>0</v>
      </c>
      <c r="AN355" s="72" t="b">
        <f t="shared" si="358"/>
        <v>0</v>
      </c>
      <c r="AO355" s="72" t="b">
        <f t="shared" si="359"/>
        <v>0</v>
      </c>
      <c r="AS355" s="72">
        <f t="shared" si="360"/>
        <v>0</v>
      </c>
      <c r="AT355" s="72">
        <f t="shared" si="361"/>
        <v>0</v>
      </c>
      <c r="AU355" s="72">
        <f t="shared" si="370"/>
        <v>0</v>
      </c>
      <c r="AV355" s="72">
        <f t="shared" si="362"/>
        <v>0</v>
      </c>
      <c r="AW355" s="72">
        <f t="shared" si="363"/>
        <v>0</v>
      </c>
      <c r="AX355" s="72">
        <f t="shared" si="364"/>
        <v>0</v>
      </c>
      <c r="AY355" s="72">
        <f t="shared" si="365"/>
        <v>0</v>
      </c>
      <c r="AZ355" s="72">
        <f t="shared" si="366"/>
        <v>0</v>
      </c>
      <c r="BA355" s="72" t="e">
        <f t="shared" si="367"/>
        <v>#N/A</v>
      </c>
      <c r="BB355" s="72" t="e">
        <f t="shared" si="368"/>
        <v>#N/A</v>
      </c>
      <c r="BC355" s="77"/>
      <c r="BE355">
        <f t="shared" si="348"/>
        <v>0</v>
      </c>
      <c r="BF355" s="196"/>
      <c r="BG355" s="196"/>
      <c r="BH355" s="196"/>
      <c r="BI355" s="196"/>
      <c r="BJ355" s="196"/>
      <c r="BK355" s="196"/>
    </row>
    <row r="356" spans="1:63" hidden="1">
      <c r="B356" s="72"/>
      <c r="C356" s="135"/>
      <c r="D356" s="73"/>
      <c r="E356" s="73"/>
      <c r="F356" s="72"/>
      <c r="G356" s="72"/>
      <c r="H356" s="72"/>
      <c r="I356" s="73">
        <f t="shared" si="350"/>
        <v>0</v>
      </c>
      <c r="J356" s="73"/>
      <c r="K356" s="73"/>
      <c r="L356" s="74" t="e">
        <f>_xlfn.IFNA(VLOOKUP(C356,'חד גזעי'!$U$3:$V$509,2,0),VLOOKUP(C356,'חד גזעי'!$U$3:$V$509,2))</f>
        <v>#N/A</v>
      </c>
      <c r="M356" s="73"/>
      <c r="N356" s="72" t="e">
        <f>_xlfn.IFNA(IF(VLOOKUP(C356,'חד גזעי'!$AH$2:$AH$7,1,FALSE)&gt;0,0,IF('חד גזעי'!$AM$5="כן",IF(_xlfn.IFNA(VLOOKUP(C356,'חד גזעי'!$AH$2:$AH$33,1,FALSE),SUM(J356:M356))&lt;21,_xlfn.IFNA(VLOOKUP(C356,'חד גזעי'!$AH$2:$AH$33,1,FALSE),SUM(J356:M356)),0),SUM(J356:M356))),IF('חד גזעי'!$AM$5="כן",IF(_xlfn.IFNA(VLOOKUP(C356,'חד גזעי'!$AH$2:$AH$33,1,FALSE),SUM(J356:M356))&lt;21,_xlfn.IFNA(VLOOKUP(C356,'חד גזעי'!$AH$2:$AH$33,1,FALSE),SUM(J356:M356)),0),SUM(J356:M356)))</f>
        <v>#N/A</v>
      </c>
      <c r="O356" s="72">
        <f>IF('חד גזעי'!$AM$3 = "כן",IF(T356&gt;4,4,T356),T356)</f>
        <v>0</v>
      </c>
      <c r="P356" s="80">
        <f>IF(E356&lt;2,0,IF(Z356&gt;0,Z356,IF(N356 = 0,0,IF('חד גזעי'!$AM$2 = "לא",IF(F356&gt;19,W356,0),IF(F356&gt;9,Y356,0)))))</f>
        <v>0</v>
      </c>
      <c r="Q356" s="77"/>
      <c r="R356" s="76"/>
      <c r="S356" t="e">
        <f>VLOOKUP(C356,'חד גזעי'!$Y$4:$Y$18,1,0)</f>
        <v>#N/A</v>
      </c>
      <c r="T356" s="72">
        <f>IF('חד גזעי'!$AM$6="לא",IF(P356=0,IF(BC356="שימור",IF('חד גזעי'!$AM$4="לא",IF(BC356="לא בוגר",0,IF(BC356="לא קיים",0,IF(J356=0,0,I356*0.1))),IF(BC356="לא בוגר",0,IF(BC356="לא קיים",0,IF(AB356=1,I356*0.1,E356*0.5)))),0),IF('חד גזעי'!$AM$4="לא",IF(BC356="לא בוגר",0,IF(BC356="לא קיים",0,IF(J356=0,0,I356*0.1))),IF(BC356="לא בוגר",0,IF(BC356="לא קיים",0,IF(AB356=1,I356*0.1,E356*0.5))))),IF(P356=0,IF(BC356="שימור",IF('חד גזעי'!$AM$4="לא",IF(BC356="לא בוגר",0,IF(BC356="לא קיים",0,IF(J356=0,0,I356*0.15))),IF(BC356="לא בוגר",0,IF(BC356="לא קיים",0,IF(AB356=1,I356*0.15,E356*0.5)))),0),IF('חד גזעי'!$AM$4="לא",IF(BC356="לא בוגר",0,IF(BC356="לא קיים",0,IF(J356=0,0,I356*0.15))),IF(BC356="לא בוגר",0,IF(BC356="לא קיים",0,IF(AB356=1,I356*0.15,E356*0.5))))))</f>
        <v>0</v>
      </c>
      <c r="V356" t="e">
        <f t="shared" si="371"/>
        <v>#N/A</v>
      </c>
      <c r="W356" t="e">
        <f t="shared" si="372"/>
        <v>#N/A</v>
      </c>
      <c r="X356" t="e">
        <f t="shared" si="373"/>
        <v>#N/A</v>
      </c>
      <c r="Y356">
        <f>IF('חד גזעי'!$AM$2 = "לא",0,IF(F356&gt;9,W356,0))</f>
        <v>0</v>
      </c>
      <c r="Z356">
        <f>IF('חד גזעי'!$AM$7 = "לא",0,IF(C356 = "זית אירופי",IF('חד גזעי'!$AN$7 &lt;=סקר!F356,W356,0),IF(C356 = "חרוב מצוי",IF('חד גזעי'!$AN$7 &lt;=סקר!F356,W356,0),0)))</f>
        <v>0</v>
      </c>
      <c r="AB356">
        <f t="shared" si="351"/>
        <v>1</v>
      </c>
      <c r="AC356" s="72"/>
      <c r="AD356" t="e">
        <f t="shared" si="369"/>
        <v>#N/A</v>
      </c>
      <c r="AE356" s="72"/>
      <c r="AF356" s="72" t="e">
        <f t="shared" si="352"/>
        <v>#N/A</v>
      </c>
      <c r="AG356" s="72" t="e">
        <f>IF('חד גזעי'!$AM$5="לא",(VLOOKUP(C356,'חד גזעי'!$P$1:$S$589,3,FALSE)),(VLOOKUP(C356,'חד גזעי'!$P$1:$S$589,4,FALSE)))</f>
        <v>#N/A</v>
      </c>
      <c r="AH356" s="72">
        <f t="shared" si="353"/>
        <v>0</v>
      </c>
      <c r="AI356" s="72">
        <f t="shared" si="354"/>
        <v>0</v>
      </c>
      <c r="AJ356" s="72">
        <f t="shared" si="355"/>
        <v>0</v>
      </c>
      <c r="AK356" s="72" t="e">
        <f t="shared" si="356"/>
        <v>#N/A</v>
      </c>
      <c r="AL356" t="e">
        <f>VLOOKUP(C356,'חד גזעי'!$AH$8:$AI$33,2,FALSE)</f>
        <v>#N/A</v>
      </c>
      <c r="AM356" s="72" t="b">
        <f t="shared" si="357"/>
        <v>0</v>
      </c>
      <c r="AN356" s="72" t="b">
        <f t="shared" si="358"/>
        <v>0</v>
      </c>
      <c r="AO356" s="72" t="b">
        <f t="shared" si="359"/>
        <v>0</v>
      </c>
      <c r="AS356" s="72">
        <f t="shared" si="360"/>
        <v>0</v>
      </c>
      <c r="AT356" s="72">
        <f t="shared" si="361"/>
        <v>0</v>
      </c>
      <c r="AU356" s="72">
        <f t="shared" si="370"/>
        <v>0</v>
      </c>
      <c r="AV356" s="72">
        <f t="shared" si="362"/>
        <v>0</v>
      </c>
      <c r="AW356" s="72">
        <f t="shared" si="363"/>
        <v>0</v>
      </c>
      <c r="AX356" s="72">
        <f t="shared" si="364"/>
        <v>0</v>
      </c>
      <c r="AY356" s="72">
        <f t="shared" si="365"/>
        <v>0</v>
      </c>
      <c r="AZ356" s="72">
        <f t="shared" si="366"/>
        <v>0</v>
      </c>
      <c r="BA356" s="72" t="e">
        <f t="shared" si="367"/>
        <v>#N/A</v>
      </c>
      <c r="BB356" s="72" t="e">
        <f t="shared" si="368"/>
        <v>#N/A</v>
      </c>
      <c r="BC356" s="77"/>
      <c r="BE356">
        <f t="shared" si="348"/>
        <v>0</v>
      </c>
      <c r="BF356" s="196"/>
      <c r="BG356" s="196"/>
      <c r="BH356" s="196"/>
      <c r="BI356" s="196"/>
      <c r="BJ356" s="196"/>
      <c r="BK356" s="196"/>
    </row>
    <row r="357" spans="1:63" hidden="1">
      <c r="B357" s="72"/>
      <c r="C357" s="135"/>
      <c r="D357" s="73"/>
      <c r="E357" s="73"/>
      <c r="F357" s="72"/>
      <c r="G357" s="72"/>
      <c r="H357" s="72"/>
      <c r="I357" s="73">
        <f t="shared" si="350"/>
        <v>0</v>
      </c>
      <c r="J357" s="73"/>
      <c r="K357" s="73"/>
      <c r="L357" s="74" t="e">
        <f>_xlfn.IFNA(VLOOKUP(C357,'חד גזעי'!$U$3:$V$509,2,0),VLOOKUP(C357,'חד גזעי'!$U$3:$V$509,2))</f>
        <v>#N/A</v>
      </c>
      <c r="M357" s="73"/>
      <c r="N357" s="72" t="e">
        <f>_xlfn.IFNA(IF(VLOOKUP(C357,'חד גזעי'!$AH$2:$AH$7,1,FALSE)&gt;0,0,IF('חד גזעי'!$AM$5="כן",IF(_xlfn.IFNA(VLOOKUP(C357,'חד גזעי'!$AH$2:$AH$33,1,FALSE),SUM(J357:M357))&lt;21,_xlfn.IFNA(VLOOKUP(C357,'חד גזעי'!$AH$2:$AH$33,1,FALSE),SUM(J357:M357)),0),SUM(J357:M357))),IF('חד גזעי'!$AM$5="כן",IF(_xlfn.IFNA(VLOOKUP(C357,'חד גזעי'!$AH$2:$AH$33,1,FALSE),SUM(J357:M357))&lt;21,_xlfn.IFNA(VLOOKUP(C357,'חד גזעי'!$AH$2:$AH$33,1,FALSE),SUM(J357:M357)),0),SUM(J357:M357)))</f>
        <v>#N/A</v>
      </c>
      <c r="O357" s="72">
        <f>IF('חד גזעי'!$AM$3 = "כן",IF(T357&gt;4,4,T357),T357)</f>
        <v>0</v>
      </c>
      <c r="P357" s="80">
        <f>IF(E357&lt;2,0,IF(Z357&gt;0,Z357,IF(N357 = 0,0,IF('חד גזעי'!$AM$2 = "לא",IF(F357&gt;19,W357,0),IF(F357&gt;9,Y357,0)))))</f>
        <v>0</v>
      </c>
      <c r="Q357" s="77"/>
      <c r="R357" s="76"/>
      <c r="S357" t="e">
        <f>VLOOKUP(C357,'חד גזעי'!$Y$4:$Y$18,1,0)</f>
        <v>#N/A</v>
      </c>
      <c r="T357" s="72">
        <f>IF('חד גזעי'!$AM$6="לא",IF(P357=0,IF(BC357="שימור",IF('חד גזעי'!$AM$4="לא",IF(BC357="לא בוגר",0,IF(BC357="לא קיים",0,IF(J357=0,0,I357*0.1))),IF(BC357="לא בוגר",0,IF(BC357="לא קיים",0,IF(AB357=1,I357*0.1,E357*0.5)))),0),IF('חד גזעי'!$AM$4="לא",IF(BC357="לא בוגר",0,IF(BC357="לא קיים",0,IF(J357=0,0,I357*0.1))),IF(BC357="לא בוגר",0,IF(BC357="לא קיים",0,IF(AB357=1,I357*0.1,E357*0.5))))),IF(P357=0,IF(BC357="שימור",IF('חד גזעי'!$AM$4="לא",IF(BC357="לא בוגר",0,IF(BC357="לא קיים",0,IF(J357=0,0,I357*0.15))),IF(BC357="לא בוגר",0,IF(BC357="לא קיים",0,IF(AB357=1,I357*0.15,E357*0.5)))),0),IF('חד גזעי'!$AM$4="לא",IF(BC357="לא בוגר",0,IF(BC357="לא קיים",0,IF(J357=0,0,I357*0.15))),IF(BC357="לא בוגר",0,IF(BC357="לא קיים",0,IF(AB357=1,I357*0.15,E357*0.5))))))</f>
        <v>0</v>
      </c>
      <c r="V357" t="e">
        <f t="shared" si="371"/>
        <v>#N/A</v>
      </c>
      <c r="W357" t="e">
        <f t="shared" si="372"/>
        <v>#N/A</v>
      </c>
      <c r="X357" t="e">
        <f t="shared" si="373"/>
        <v>#N/A</v>
      </c>
      <c r="Y357">
        <f>IF('חד גזעי'!$AM$2 = "לא",0,IF(F357&gt;9,W357,0))</f>
        <v>0</v>
      </c>
      <c r="Z357">
        <f>IF('חד גזעי'!$AM$7 = "לא",0,IF(C357 = "זית אירופי",IF('חד גזעי'!$AN$7 &lt;=סקר!F357,W357,0),IF(C357 = "חרוב מצוי",IF('חד גזעי'!$AN$7 &lt;=סקר!F357,W357,0),0)))</f>
        <v>0</v>
      </c>
      <c r="AB357">
        <f t="shared" si="351"/>
        <v>1</v>
      </c>
      <c r="AC357" s="72"/>
      <c r="AD357" t="e">
        <f t="shared" si="369"/>
        <v>#N/A</v>
      </c>
      <c r="AE357" s="72"/>
      <c r="AF357" s="72" t="e">
        <f t="shared" si="352"/>
        <v>#N/A</v>
      </c>
      <c r="AG357" s="72" t="e">
        <f>IF('חד גזעי'!$AM$5="לא",(VLOOKUP(C357,'חד גזעי'!$P$1:$S$589,3,FALSE)),(VLOOKUP(C357,'חד גזעי'!$P$1:$S$589,4,FALSE)))</f>
        <v>#N/A</v>
      </c>
      <c r="AH357" s="72">
        <f t="shared" si="353"/>
        <v>0</v>
      </c>
      <c r="AI357" s="72">
        <f t="shared" si="354"/>
        <v>0</v>
      </c>
      <c r="AJ357" s="72">
        <f t="shared" si="355"/>
        <v>0</v>
      </c>
      <c r="AK357" s="72" t="e">
        <f t="shared" si="356"/>
        <v>#N/A</v>
      </c>
      <c r="AL357" t="e">
        <f>VLOOKUP(C357,'חד גזעי'!$AH$8:$AI$33,2,FALSE)</f>
        <v>#N/A</v>
      </c>
      <c r="AM357" s="72" t="b">
        <f t="shared" si="357"/>
        <v>0</v>
      </c>
      <c r="AN357" s="72" t="b">
        <f t="shared" si="358"/>
        <v>0</v>
      </c>
      <c r="AO357" s="72" t="b">
        <f t="shared" si="359"/>
        <v>0</v>
      </c>
      <c r="AS357" s="72">
        <f t="shared" si="360"/>
        <v>0</v>
      </c>
      <c r="AT357" s="72">
        <f t="shared" si="361"/>
        <v>0</v>
      </c>
      <c r="AU357" s="72">
        <f t="shared" si="370"/>
        <v>0</v>
      </c>
      <c r="AV357" s="72">
        <f t="shared" si="362"/>
        <v>0</v>
      </c>
      <c r="AW357" s="72">
        <f t="shared" si="363"/>
        <v>0</v>
      </c>
      <c r="AX357" s="72">
        <f t="shared" si="364"/>
        <v>0</v>
      </c>
      <c r="AY357" s="72">
        <f t="shared" si="365"/>
        <v>0</v>
      </c>
      <c r="AZ357" s="72">
        <f t="shared" si="366"/>
        <v>0</v>
      </c>
      <c r="BA357" s="72" t="e">
        <f t="shared" si="367"/>
        <v>#N/A</v>
      </c>
      <c r="BB357" s="72" t="e">
        <f t="shared" si="368"/>
        <v>#N/A</v>
      </c>
      <c r="BC357" s="77"/>
      <c r="BE357">
        <f t="shared" si="348"/>
        <v>0</v>
      </c>
      <c r="BF357" s="196"/>
      <c r="BG357" s="196"/>
      <c r="BH357" s="196"/>
      <c r="BI357" s="196"/>
      <c r="BJ357" s="196"/>
      <c r="BK357" s="196"/>
    </row>
    <row r="358" spans="1:63" hidden="1">
      <c r="B358" s="72"/>
      <c r="C358" s="135"/>
      <c r="D358" s="73"/>
      <c r="E358" s="73"/>
      <c r="F358" s="72"/>
      <c r="G358" s="72"/>
      <c r="H358" s="72"/>
      <c r="I358" s="73">
        <f t="shared" si="350"/>
        <v>0</v>
      </c>
      <c r="J358" s="73"/>
      <c r="K358" s="73"/>
      <c r="L358" s="74" t="e">
        <f>_xlfn.IFNA(VLOOKUP(C358,'חד גזעי'!$U$3:$V$509,2,0),VLOOKUP(C358,'חד גזעי'!$U$3:$V$509,2))</f>
        <v>#N/A</v>
      </c>
      <c r="M358" s="73"/>
      <c r="N358" s="72" t="e">
        <f>_xlfn.IFNA(IF(VLOOKUP(C358,'חד גזעי'!$AH$2:$AH$7,1,FALSE)&gt;0,0,IF('חד גזעי'!$AM$5="כן",IF(_xlfn.IFNA(VLOOKUP(C358,'חד גזעי'!$AH$2:$AH$33,1,FALSE),SUM(J358:M358))&lt;21,_xlfn.IFNA(VLOOKUP(C358,'חד גזעי'!$AH$2:$AH$33,1,FALSE),SUM(J358:M358)),0),SUM(J358:M358))),IF('חד גזעי'!$AM$5="כן",IF(_xlfn.IFNA(VLOOKUP(C358,'חד גזעי'!$AH$2:$AH$33,1,FALSE),SUM(J358:M358))&lt;21,_xlfn.IFNA(VLOOKUP(C358,'חד גזעי'!$AH$2:$AH$33,1,FALSE),SUM(J358:M358)),0),SUM(J358:M358)))</f>
        <v>#N/A</v>
      </c>
      <c r="O358" s="72">
        <f>IF('חד גזעי'!$AM$3 = "כן",IF(T358&gt;4,4,T358),T358)</f>
        <v>0</v>
      </c>
      <c r="P358" s="80">
        <f>IF(E358&lt;2,0,IF(Z358&gt;0,Z358,IF(N358 = 0,0,IF('חד גזעי'!$AM$2 = "לא",IF(F358&gt;19,W358,0),IF(F358&gt;9,Y358,0)))))</f>
        <v>0</v>
      </c>
      <c r="Q358" s="77"/>
      <c r="R358" s="76"/>
      <c r="S358" t="e">
        <f>VLOOKUP(C358,'חד גזעי'!$Y$4:$Y$18,1,0)</f>
        <v>#N/A</v>
      </c>
      <c r="T358" s="72">
        <f>IF('חד גזעי'!$AM$6="לא",IF(P358=0,IF(BC358="שימור",IF('חד גזעי'!$AM$4="לא",IF(BC358="לא בוגר",0,IF(BC358="לא קיים",0,IF(J358=0,0,I358*0.1))),IF(BC358="לא בוגר",0,IF(BC358="לא קיים",0,IF(AB358=1,I358*0.1,E358*0.5)))),0),IF('חד גזעי'!$AM$4="לא",IF(BC358="לא בוגר",0,IF(BC358="לא קיים",0,IF(J358=0,0,I358*0.1))),IF(BC358="לא בוגר",0,IF(BC358="לא קיים",0,IF(AB358=1,I358*0.1,E358*0.5))))),IF(P358=0,IF(BC358="שימור",IF('חד גזעי'!$AM$4="לא",IF(BC358="לא בוגר",0,IF(BC358="לא קיים",0,IF(J358=0,0,I358*0.15))),IF(BC358="לא בוגר",0,IF(BC358="לא קיים",0,IF(AB358=1,I358*0.15,E358*0.5)))),0),IF('חד גזעי'!$AM$4="לא",IF(BC358="לא בוגר",0,IF(BC358="לא קיים",0,IF(J358=0,0,I358*0.15))),IF(BC358="לא בוגר",0,IF(BC358="לא קיים",0,IF(AB358=1,I358*0.15,E358*0.5))))))</f>
        <v>0</v>
      </c>
      <c r="V358" t="e">
        <f t="shared" si="371"/>
        <v>#N/A</v>
      </c>
      <c r="W358" t="e">
        <f t="shared" si="372"/>
        <v>#N/A</v>
      </c>
      <c r="X358" t="e">
        <f t="shared" si="373"/>
        <v>#N/A</v>
      </c>
      <c r="Y358">
        <f>IF('חד גזעי'!$AM$2 = "לא",0,IF(F358&gt;9,W358,0))</f>
        <v>0</v>
      </c>
      <c r="Z358">
        <f>IF('חד גזעי'!$AM$7 = "לא",0,IF(C358 = "זית אירופי",IF('חד גזעי'!$AN$7 &lt;=סקר!F358,W358,0),IF(C358 = "חרוב מצוי",IF('חד גזעי'!$AN$7 &lt;=סקר!F358,W358,0),0)))</f>
        <v>0</v>
      </c>
      <c r="AB358">
        <f t="shared" si="351"/>
        <v>1</v>
      </c>
      <c r="AC358" s="72"/>
      <c r="AD358" t="e">
        <f t="shared" si="369"/>
        <v>#N/A</v>
      </c>
      <c r="AE358" s="72"/>
      <c r="AF358" s="72" t="e">
        <f t="shared" si="352"/>
        <v>#N/A</v>
      </c>
      <c r="AG358" s="72" t="e">
        <f>IF('חד גזעי'!$AM$5="לא",(VLOOKUP(C358,'חד גזעי'!$P$1:$S$589,3,FALSE)),(VLOOKUP(C358,'חד גזעי'!$P$1:$S$589,4,FALSE)))</f>
        <v>#N/A</v>
      </c>
      <c r="AH358" s="72">
        <f t="shared" si="353"/>
        <v>0</v>
      </c>
      <c r="AI358" s="72">
        <f t="shared" si="354"/>
        <v>0</v>
      </c>
      <c r="AJ358" s="72">
        <f t="shared" si="355"/>
        <v>0</v>
      </c>
      <c r="AK358" s="72" t="e">
        <f t="shared" si="356"/>
        <v>#N/A</v>
      </c>
      <c r="AL358" t="e">
        <f>VLOOKUP(C358,'חד גזעי'!$AH$8:$AI$33,2,FALSE)</f>
        <v>#N/A</v>
      </c>
      <c r="AM358" s="72" t="b">
        <f t="shared" si="357"/>
        <v>0</v>
      </c>
      <c r="AN358" s="72" t="b">
        <f t="shared" si="358"/>
        <v>0</v>
      </c>
      <c r="AO358" s="72" t="b">
        <f t="shared" si="359"/>
        <v>0</v>
      </c>
      <c r="AS358" s="72">
        <f t="shared" si="360"/>
        <v>0</v>
      </c>
      <c r="AT358" s="72">
        <f t="shared" si="361"/>
        <v>0</v>
      </c>
      <c r="AU358" s="72">
        <f t="shared" si="370"/>
        <v>0</v>
      </c>
      <c r="AV358" s="72">
        <f t="shared" si="362"/>
        <v>0</v>
      </c>
      <c r="AW358" s="72">
        <f t="shared" si="363"/>
        <v>0</v>
      </c>
      <c r="AX358" s="72">
        <f t="shared" si="364"/>
        <v>0</v>
      </c>
      <c r="AY358" s="72">
        <f t="shared" si="365"/>
        <v>0</v>
      </c>
      <c r="AZ358" s="72">
        <f t="shared" si="366"/>
        <v>0</v>
      </c>
      <c r="BA358" s="72" t="e">
        <f t="shared" si="367"/>
        <v>#N/A</v>
      </c>
      <c r="BB358" s="72" t="e">
        <f t="shared" si="368"/>
        <v>#N/A</v>
      </c>
      <c r="BC358" s="77"/>
      <c r="BE358">
        <f t="shared" si="348"/>
        <v>0</v>
      </c>
      <c r="BF358" s="196"/>
      <c r="BG358" s="196"/>
      <c r="BH358" s="196"/>
      <c r="BI358" s="196"/>
      <c r="BJ358" s="196"/>
      <c r="BK358" s="196"/>
    </row>
    <row r="359" spans="1:63" hidden="1">
      <c r="B359" s="72"/>
      <c r="C359" s="135"/>
      <c r="D359" s="73"/>
      <c r="E359" s="73"/>
      <c r="F359" s="72"/>
      <c r="G359" s="72"/>
      <c r="H359" s="72"/>
      <c r="I359" s="73">
        <f t="shared" si="350"/>
        <v>0</v>
      </c>
      <c r="J359" s="73"/>
      <c r="K359" s="73"/>
      <c r="L359" s="74" t="e">
        <f>_xlfn.IFNA(VLOOKUP(C359,'חד גזעי'!$U$3:$V$509,2,0),VLOOKUP(C359,'חד גזעי'!$U$3:$V$509,2))</f>
        <v>#N/A</v>
      </c>
      <c r="M359" s="73"/>
      <c r="N359" s="72" t="e">
        <f>_xlfn.IFNA(IF(VLOOKUP(C359,'חד גזעי'!$AH$2:$AH$7,1,FALSE)&gt;0,0,IF('חד גזעי'!$AM$5="כן",IF(_xlfn.IFNA(VLOOKUP(C359,'חד גזעי'!$AH$2:$AH$33,1,FALSE),SUM(J359:M359))&lt;21,_xlfn.IFNA(VLOOKUP(C359,'חד גזעי'!$AH$2:$AH$33,1,FALSE),SUM(J359:M359)),0),SUM(J359:M359))),IF('חד גזעי'!$AM$5="כן",IF(_xlfn.IFNA(VLOOKUP(C359,'חד גזעי'!$AH$2:$AH$33,1,FALSE),SUM(J359:M359))&lt;21,_xlfn.IFNA(VLOOKUP(C359,'חד גזעי'!$AH$2:$AH$33,1,FALSE),SUM(J359:M359)),0),SUM(J359:M359)))</f>
        <v>#N/A</v>
      </c>
      <c r="O359" s="72">
        <f>IF('חד גזעי'!$AM$3 = "כן",IF(T359&gt;4,4,T359),T359)</f>
        <v>0</v>
      </c>
      <c r="P359" s="80">
        <f>IF(E359&lt;2,0,IF(Z359&gt;0,Z359,IF(N359 = 0,0,IF('חד גזעי'!$AM$2 = "לא",IF(F359&gt;19,W359,0),IF(F359&gt;9,Y359,0)))))</f>
        <v>0</v>
      </c>
      <c r="Q359" s="77"/>
      <c r="R359" s="76"/>
      <c r="S359" t="e">
        <f>VLOOKUP(C359,'חד גזעי'!$Y$4:$Y$18,1,0)</f>
        <v>#N/A</v>
      </c>
      <c r="T359" s="72">
        <f>IF('חד גזעי'!$AM$6="לא",IF(P359=0,IF(BC359="שימור",IF('חד גזעי'!$AM$4="לא",IF(BC359="לא בוגר",0,IF(BC359="לא קיים",0,IF(J359=0,0,I359*0.1))),IF(BC359="לא בוגר",0,IF(BC359="לא קיים",0,IF(AB359=1,I359*0.1,E359*0.5)))),0),IF('חד גזעי'!$AM$4="לא",IF(BC359="לא בוגר",0,IF(BC359="לא קיים",0,IF(J359=0,0,I359*0.1))),IF(BC359="לא בוגר",0,IF(BC359="לא קיים",0,IF(AB359=1,I359*0.1,E359*0.5))))),IF(P359=0,IF(BC359="שימור",IF('חד גזעי'!$AM$4="לא",IF(BC359="לא בוגר",0,IF(BC359="לא קיים",0,IF(J359=0,0,I359*0.15))),IF(BC359="לא בוגר",0,IF(BC359="לא קיים",0,IF(AB359=1,I359*0.15,E359*0.5)))),0),IF('חד גזעי'!$AM$4="לא",IF(BC359="לא בוגר",0,IF(BC359="לא קיים",0,IF(J359=0,0,I359*0.15))),IF(BC359="לא בוגר",0,IF(BC359="לא קיים",0,IF(AB359=1,I359*0.15,E359*0.5))))))</f>
        <v>0</v>
      </c>
      <c r="V359" t="e">
        <f t="shared" si="371"/>
        <v>#N/A</v>
      </c>
      <c r="W359" t="e">
        <f t="shared" si="372"/>
        <v>#N/A</v>
      </c>
      <c r="X359" t="e">
        <f t="shared" si="373"/>
        <v>#N/A</v>
      </c>
      <c r="Y359">
        <f>IF('חד גזעי'!$AM$2 = "לא",0,IF(F359&gt;9,W359,0))</f>
        <v>0</v>
      </c>
      <c r="Z359">
        <f>IF('חד גזעי'!$AM$7 = "לא",0,IF(C359 = "זית אירופי",IF('חד גזעי'!$AN$7 &lt;=סקר!F359,W359,0),IF(C359 = "חרוב מצוי",IF('חד גזעי'!$AN$7 &lt;=סקר!F359,W359,0),0)))</f>
        <v>0</v>
      </c>
      <c r="AB359">
        <f t="shared" si="351"/>
        <v>1</v>
      </c>
      <c r="AC359" s="72"/>
      <c r="AD359" t="e">
        <f t="shared" si="369"/>
        <v>#N/A</v>
      </c>
      <c r="AE359" s="72"/>
      <c r="AF359" s="72" t="e">
        <f t="shared" si="352"/>
        <v>#N/A</v>
      </c>
      <c r="AG359" s="72" t="e">
        <f>IF('חד גזעי'!$AM$5="לא",(VLOOKUP(C359,'חד גזעי'!$P$1:$S$589,3,FALSE)),(VLOOKUP(C359,'חד גזעי'!$P$1:$S$589,4,FALSE)))</f>
        <v>#N/A</v>
      </c>
      <c r="AH359" s="72">
        <f t="shared" si="353"/>
        <v>0</v>
      </c>
      <c r="AI359" s="72">
        <f t="shared" si="354"/>
        <v>0</v>
      </c>
      <c r="AJ359" s="72">
        <f t="shared" si="355"/>
        <v>0</v>
      </c>
      <c r="AK359" s="72" t="e">
        <f t="shared" si="356"/>
        <v>#N/A</v>
      </c>
      <c r="AL359" t="e">
        <f>VLOOKUP(C359,'חד גזעי'!$AH$8:$AI$33,2,FALSE)</f>
        <v>#N/A</v>
      </c>
      <c r="AM359" s="72" t="b">
        <f t="shared" si="357"/>
        <v>0</v>
      </c>
      <c r="AN359" s="72" t="b">
        <f t="shared" si="358"/>
        <v>0</v>
      </c>
      <c r="AO359" s="72" t="b">
        <f t="shared" si="359"/>
        <v>0</v>
      </c>
      <c r="AS359" s="72">
        <f t="shared" si="360"/>
        <v>0</v>
      </c>
      <c r="AT359" s="72">
        <f t="shared" si="361"/>
        <v>0</v>
      </c>
      <c r="AU359" s="72">
        <f t="shared" si="370"/>
        <v>0</v>
      </c>
      <c r="AV359" s="72">
        <f t="shared" si="362"/>
        <v>0</v>
      </c>
      <c r="AW359" s="72">
        <f t="shared" si="363"/>
        <v>0</v>
      </c>
      <c r="AX359" s="72">
        <f t="shared" si="364"/>
        <v>0</v>
      </c>
      <c r="AY359" s="72">
        <f t="shared" si="365"/>
        <v>0</v>
      </c>
      <c r="AZ359" s="72">
        <f t="shared" si="366"/>
        <v>0</v>
      </c>
      <c r="BA359" s="72" t="e">
        <f t="shared" si="367"/>
        <v>#N/A</v>
      </c>
      <c r="BB359" s="72" t="e">
        <f t="shared" si="368"/>
        <v>#N/A</v>
      </c>
      <c r="BC359" s="77"/>
      <c r="BE359">
        <f t="shared" si="348"/>
        <v>0</v>
      </c>
      <c r="BF359" s="196"/>
      <c r="BG359" s="196"/>
      <c r="BH359" s="196"/>
      <c r="BI359" s="196"/>
      <c r="BJ359" s="196"/>
      <c r="BK359" s="196"/>
    </row>
    <row r="360" spans="1:63" hidden="1">
      <c r="B360" s="72"/>
      <c r="C360" s="135"/>
      <c r="D360" s="73"/>
      <c r="E360" s="73"/>
      <c r="F360" s="72"/>
      <c r="G360" s="72"/>
      <c r="H360" s="72"/>
      <c r="I360" s="73">
        <f t="shared" si="350"/>
        <v>0</v>
      </c>
      <c r="J360" s="73"/>
      <c r="K360" s="73"/>
      <c r="L360" s="74" t="e">
        <f>_xlfn.IFNA(VLOOKUP(C360,'חד גזעי'!$U$3:$V$509,2,0),VLOOKUP(C360,'חד גזעי'!$U$3:$V$509,2))</f>
        <v>#N/A</v>
      </c>
      <c r="M360" s="73"/>
      <c r="N360" s="72" t="e">
        <f>_xlfn.IFNA(IF(VLOOKUP(C360,'חד גזעי'!$AH$2:$AH$7,1,FALSE)&gt;0,0,IF('חד גזעי'!$AM$5="כן",IF(_xlfn.IFNA(VLOOKUP(C360,'חד גזעי'!$AH$2:$AH$33,1,FALSE),SUM(J360:M360))&lt;21,_xlfn.IFNA(VLOOKUP(C360,'חד גזעי'!$AH$2:$AH$33,1,FALSE),SUM(J360:M360)),0),SUM(J360:M360))),IF('חד גזעי'!$AM$5="כן",IF(_xlfn.IFNA(VLOOKUP(C360,'חד גזעי'!$AH$2:$AH$33,1,FALSE),SUM(J360:M360))&lt;21,_xlfn.IFNA(VLOOKUP(C360,'חד גזעי'!$AH$2:$AH$33,1,FALSE),SUM(J360:M360)),0),SUM(J360:M360)))</f>
        <v>#N/A</v>
      </c>
      <c r="O360" s="72">
        <f>IF('חד גזעי'!$AM$3 = "כן",IF(T360&gt;4,4,T360),T360)</f>
        <v>0</v>
      </c>
      <c r="P360" s="80">
        <f>IF(E360&lt;2,0,IF(Z360&gt;0,Z360,IF(N360 = 0,0,IF('חד גזעי'!$AM$2 = "לא",IF(F360&gt;19,W360,0),IF(F360&gt;9,Y360,0)))))</f>
        <v>0</v>
      </c>
      <c r="Q360" s="77"/>
      <c r="R360" s="76"/>
      <c r="S360" t="e">
        <f>VLOOKUP(C360,'חד גזעי'!$Y$4:$Y$18,1,0)</f>
        <v>#N/A</v>
      </c>
      <c r="T360" s="72">
        <f>IF('חד גזעי'!$AM$6="לא",IF(P360=0,IF(BC360="שימור",IF('חד גזעי'!$AM$4="לא",IF(BC360="לא בוגר",0,IF(BC360="לא קיים",0,IF(J360=0,0,I360*0.1))),IF(BC360="לא בוגר",0,IF(BC360="לא קיים",0,IF(AB360=1,I360*0.1,E360*0.5)))),0),IF('חד גזעי'!$AM$4="לא",IF(BC360="לא בוגר",0,IF(BC360="לא קיים",0,IF(J360=0,0,I360*0.1))),IF(BC360="לא בוגר",0,IF(BC360="לא קיים",0,IF(AB360=1,I360*0.1,E360*0.5))))),IF(P360=0,IF(BC360="שימור",IF('חד גזעי'!$AM$4="לא",IF(BC360="לא בוגר",0,IF(BC360="לא קיים",0,IF(J360=0,0,I360*0.15))),IF(BC360="לא בוגר",0,IF(BC360="לא קיים",0,IF(AB360=1,I360*0.15,E360*0.5)))),0),IF('חד גזעי'!$AM$4="לא",IF(BC360="לא בוגר",0,IF(BC360="לא קיים",0,IF(J360=0,0,I360*0.15))),IF(BC360="לא בוגר",0,IF(BC360="לא קיים",0,IF(AB360=1,I360*0.15,E360*0.5))))))</f>
        <v>0</v>
      </c>
      <c r="V360" t="e">
        <f t="shared" si="371"/>
        <v>#N/A</v>
      </c>
      <c r="W360" t="e">
        <f t="shared" si="372"/>
        <v>#N/A</v>
      </c>
      <c r="X360" t="e">
        <f t="shared" si="373"/>
        <v>#N/A</v>
      </c>
      <c r="Y360">
        <f>IF('חד גזעי'!$AM$2 = "לא",0,IF(F360&gt;9,W360,0))</f>
        <v>0</v>
      </c>
      <c r="Z360">
        <f>IF('חד גזעי'!$AM$7 = "לא",0,IF(C360 = "זית אירופי",IF('חד גזעי'!$AN$7 &lt;=סקר!F360,W360,0),IF(C360 = "חרוב מצוי",IF('חד גזעי'!$AN$7 &lt;=סקר!F360,W360,0),0)))</f>
        <v>0</v>
      </c>
      <c r="AB360">
        <f t="shared" si="351"/>
        <v>1</v>
      </c>
      <c r="AC360" s="72"/>
      <c r="AD360" t="e">
        <f t="shared" si="369"/>
        <v>#N/A</v>
      </c>
      <c r="AE360" s="72"/>
      <c r="AF360" s="72" t="e">
        <f t="shared" si="352"/>
        <v>#N/A</v>
      </c>
      <c r="AG360" s="72" t="e">
        <f>IF('חד גזעי'!$AM$5="לא",(VLOOKUP(C360,'חד גזעי'!$P$1:$S$589,3,FALSE)),(VLOOKUP(C360,'חד גזעי'!$P$1:$S$589,4,FALSE)))</f>
        <v>#N/A</v>
      </c>
      <c r="AH360" s="72">
        <f t="shared" si="353"/>
        <v>0</v>
      </c>
      <c r="AI360" s="72">
        <f t="shared" si="354"/>
        <v>0</v>
      </c>
      <c r="AJ360" s="72">
        <f t="shared" si="355"/>
        <v>0</v>
      </c>
      <c r="AK360" s="72" t="e">
        <f t="shared" si="356"/>
        <v>#N/A</v>
      </c>
      <c r="AL360" t="e">
        <f>VLOOKUP(C360,'חד גזעי'!$AH$8:$AI$33,2,FALSE)</f>
        <v>#N/A</v>
      </c>
      <c r="AM360" s="72" t="b">
        <f t="shared" si="357"/>
        <v>0</v>
      </c>
      <c r="AN360" s="72" t="b">
        <f t="shared" si="358"/>
        <v>0</v>
      </c>
      <c r="AO360" s="72" t="b">
        <f t="shared" si="359"/>
        <v>0</v>
      </c>
      <c r="AS360" s="72">
        <f t="shared" si="360"/>
        <v>0</v>
      </c>
      <c r="AT360" s="72">
        <f t="shared" si="361"/>
        <v>0</v>
      </c>
      <c r="AU360" s="72">
        <f t="shared" si="370"/>
        <v>0</v>
      </c>
      <c r="AV360" s="72">
        <f t="shared" si="362"/>
        <v>0</v>
      </c>
      <c r="AW360" s="72">
        <f t="shared" si="363"/>
        <v>0</v>
      </c>
      <c r="AX360" s="72">
        <f t="shared" si="364"/>
        <v>0</v>
      </c>
      <c r="AY360" s="72">
        <f t="shared" si="365"/>
        <v>0</v>
      </c>
      <c r="AZ360" s="72">
        <f t="shared" si="366"/>
        <v>0</v>
      </c>
      <c r="BA360" s="72" t="e">
        <f t="shared" si="367"/>
        <v>#N/A</v>
      </c>
      <c r="BB360" s="72" t="e">
        <f t="shared" si="368"/>
        <v>#N/A</v>
      </c>
      <c r="BC360" s="77"/>
      <c r="BE360">
        <f t="shared" si="348"/>
        <v>0</v>
      </c>
      <c r="BF360" s="196"/>
      <c r="BG360" s="196"/>
      <c r="BH360" s="196"/>
      <c r="BI360" s="196"/>
      <c r="BJ360" s="196"/>
      <c r="BK360" s="196"/>
    </row>
    <row r="361" spans="1:63" ht="14.25" hidden="1">
      <c r="B361" s="71"/>
      <c r="C361" s="69"/>
      <c r="Q361" s="86"/>
      <c r="T361" s="72">
        <f>IF('חד גזעי'!$AM$6="לא",IF(P361=0,IF(BC361="שימור",IF('חד גזעי'!$AM$4="לא",IF(BC361="לא בוגר",0,IF(BC361="לא קיים",0,IF(J361=0,0,I361*0.1))),IF(BC361="לא בוגר",0,IF(BC361="לא קיים",0,IF(AB361=1,I361*0.1,E361*0.5)))),0),IF('חד גזעי'!$AM$4="לא",IF(BC361="לא בוגר",0,IF(BC361="לא קיים",0,IF(J361=0,0,I361*0.1))),IF(BC361="לא בוגר",0,IF(BC361="לא קיים",0,IF(AB361=1,I361*0.1,E361*0.5))))),IF(P361=0,IF(BC361="שימור",IF('חד גזעי'!$AM$4="לא",IF(BC361="לא בוגר",0,IF(BC361="לא קיים",0,IF(J361=0,0,I361*0.15))),IF(BC361="לא בוגר",0,IF(BC361="לא קיים",0,IF(AB361=1,I361*0.15,E361*0.5)))),0),IF('חד גזעי'!$AM$4="לא",IF(BC361="לא בוגר",0,IF(BC361="לא קיים",0,IF(J361=0,0,I361*0.15))),IF(BC361="לא בוגר",0,IF(BC361="לא קיים",0,IF(AB361=1,I361*0.15,E361*0.5))))))</f>
        <v>0</v>
      </c>
      <c r="V361">
        <f t="shared" si="371"/>
        <v>0</v>
      </c>
      <c r="W361">
        <f t="shared" si="372"/>
        <v>0</v>
      </c>
      <c r="X361">
        <f t="shared" si="373"/>
        <v>0</v>
      </c>
      <c r="Y361">
        <f>IF('חד גזעי'!$AM$2 = "לא",0,IF(F361&gt;9,W361,0))</f>
        <v>0</v>
      </c>
      <c r="Z361">
        <f>IF('חד גזעי'!$AM$7 = "לא",0,IF(C361 = "זית אירופי",IF('חד גזעי'!$AN$7 &lt;=סקר!F361,W361,0),IF(C361 = "חרוב מצוי",IF('חד גזעי'!$AN$7 &lt;=סקר!F361,W361,0),0)))</f>
        <v>0</v>
      </c>
      <c r="AD361" s="69" t="s">
        <v>807</v>
      </c>
      <c r="BE361">
        <f t="shared" si="348"/>
        <v>0</v>
      </c>
      <c r="BF361" s="196"/>
      <c r="BG361" s="196"/>
      <c r="BH361" s="196"/>
      <c r="BI361" s="196"/>
      <c r="BJ361" s="196"/>
      <c r="BK361" s="196"/>
    </row>
    <row r="362" spans="1:63" ht="14.25" hidden="1">
      <c r="A362" s="129"/>
      <c r="B362" s="132"/>
      <c r="C362" s="133"/>
      <c r="D362" s="129"/>
      <c r="E362" s="129"/>
      <c r="F362" s="129"/>
      <c r="G362" s="129"/>
      <c r="H362" s="129"/>
      <c r="I362" s="129"/>
      <c r="J362" s="129"/>
      <c r="K362" s="129"/>
      <c r="L362" s="129"/>
      <c r="M362" s="129"/>
      <c r="N362" s="129"/>
      <c r="O362" s="129"/>
      <c r="P362" s="129"/>
      <c r="Q362" s="134"/>
      <c r="R362" s="129"/>
      <c r="S362" s="129"/>
      <c r="T362" s="72">
        <f>IF('חד גזעי'!$AM$6="לא",IF(P362=0,IF(BC362="שימור",IF('חד גזעי'!$AM$4="לא",IF(BC362="לא בוגר",0,IF(BC362="לא קיים",0,IF(J362=0,0,I362*0.1))),IF(BC362="לא בוגר",0,IF(BC362="לא קיים",0,IF(AB362=1,I362*0.1,E362*0.5)))),0),IF('חד גזעי'!$AM$4="לא",IF(BC362="לא בוגר",0,IF(BC362="לא קיים",0,IF(J362=0,0,I362*0.1))),IF(BC362="לא בוגר",0,IF(BC362="לא קיים",0,IF(AB362=1,I362*0.1,E362*0.5))))),IF(P362=0,IF(BC362="שימור",IF('חד גזעי'!$AM$4="לא",IF(BC362="לא בוגר",0,IF(BC362="לא קיים",0,IF(J362=0,0,I362*0.15))),IF(BC362="לא בוגר",0,IF(BC362="לא קיים",0,IF(AB362=1,I362*0.15,E362*0.5)))),0),IF('חד גזעי'!$AM$4="לא",IF(BC362="לא בוגר",0,IF(BC362="לא קיים",0,IF(J362=0,0,I362*0.15))),IF(BC362="לא בוגר",0,IF(BC362="לא קיים",0,IF(AB362=1,I362*0.15,E362*0.5))))))</f>
        <v>0</v>
      </c>
      <c r="U362" s="129"/>
      <c r="V362">
        <f t="shared" si="371"/>
        <v>0</v>
      </c>
      <c r="W362">
        <f t="shared" si="372"/>
        <v>0</v>
      </c>
      <c r="X362">
        <f t="shared" si="373"/>
        <v>0</v>
      </c>
      <c r="Y362">
        <f>IF('חד גזעי'!$AM$2 = "לא",0,IF(F362&gt;9,W362,0))</f>
        <v>0</v>
      </c>
      <c r="Z362">
        <f>IF('חד גזעי'!$AM$7 = "לא",0,IF(C362 = "זית אירופי",IF('חד גזעי'!$AN$7 &lt;=סקר!F362,W362,0),IF(C362 = "חרוב מצוי",IF('חד גזעי'!$AN$7 &lt;=סקר!F362,W362,0),0)))</f>
        <v>0</v>
      </c>
      <c r="AA362" s="129"/>
      <c r="AB362" s="129"/>
      <c r="AC362" s="129"/>
      <c r="AD362" s="133"/>
      <c r="AE362" s="129"/>
      <c r="AF362" s="129"/>
      <c r="AG362" s="129"/>
      <c r="AH362" s="129"/>
      <c r="AI362" s="129"/>
      <c r="AJ362" s="129"/>
      <c r="AK362" s="129"/>
      <c r="AL362" s="129"/>
      <c r="AM362" s="129"/>
      <c r="AN362" s="129"/>
      <c r="AO362" s="129"/>
      <c r="AP362" s="129"/>
      <c r="AQ362" s="129"/>
      <c r="AR362" s="129"/>
      <c r="AS362" s="129"/>
      <c r="AT362" s="129"/>
      <c r="AU362" s="129"/>
      <c r="AV362" s="129"/>
      <c r="AW362" s="129"/>
      <c r="AX362" s="129"/>
      <c r="AY362" s="129"/>
      <c r="AZ362" s="129"/>
      <c r="BA362" s="129"/>
      <c r="BB362" s="129"/>
      <c r="BC362" s="129"/>
      <c r="BD362" s="129"/>
      <c r="BE362" s="129"/>
      <c r="BF362" s="129">
        <f>_xlfn.IFNA(_xlfn.IFNA(_xlfn.TEXTBEFORE(BF344,"--"),_xlfn.TEXTBEFORE(BF344,",")),BF344)</f>
        <v>0</v>
      </c>
      <c r="BG362" s="129">
        <f t="shared" ref="BG362:BK362" si="375">_xlfn.IFNA(_xlfn.IFNA(_xlfn.TEXTBEFORE(BG344,"--"),_xlfn.TEXTBEFORE(BG344,",")),BG344)</f>
        <v>0</v>
      </c>
      <c r="BH362" s="129">
        <f t="shared" si="375"/>
        <v>0</v>
      </c>
      <c r="BI362" s="129">
        <f>_xlfn.IFNA(_xlfn.IFNA(_xlfn.TEXTBEFORE(BI344,"--"),_xlfn.TEXTBEFORE(BI344,",")),BI344)</f>
        <v>0</v>
      </c>
      <c r="BJ362" s="129">
        <f t="shared" si="375"/>
        <v>0</v>
      </c>
      <c r="BK362" s="129">
        <f t="shared" si="375"/>
        <v>0</v>
      </c>
    </row>
    <row r="363" spans="1:63" ht="14.25" hidden="1">
      <c r="A363" s="129"/>
      <c r="B363" s="132"/>
      <c r="C363" s="133"/>
      <c r="D363" s="129"/>
      <c r="E363" s="129"/>
      <c r="F363" s="129"/>
      <c r="G363" s="129"/>
      <c r="H363" s="129"/>
      <c r="I363" s="129"/>
      <c r="J363" s="129"/>
      <c r="K363" s="129"/>
      <c r="L363" s="129"/>
      <c r="M363" s="129"/>
      <c r="N363" s="129"/>
      <c r="O363" s="129"/>
      <c r="P363" s="129"/>
      <c r="Q363" s="134"/>
      <c r="R363" s="129"/>
      <c r="S363" s="129"/>
      <c r="T363" s="72">
        <f>IF('חד גזעי'!$AM$6="לא",IF(P363=0,IF(BC363="שימור",IF('חד גזעי'!$AM$4="לא",IF(BC363="לא בוגר",0,IF(BC363="לא קיים",0,IF(J363=0,0,I363*0.1))),IF(BC363="לא בוגר",0,IF(BC363="לא קיים",0,IF(AB363=1,I363*0.1,E363*0.5)))),0),IF('חד גזעי'!$AM$4="לא",IF(BC363="לא בוגר",0,IF(BC363="לא קיים",0,IF(J363=0,0,I363*0.1))),IF(BC363="לא בוגר",0,IF(BC363="לא קיים",0,IF(AB363=1,I363*0.1,E363*0.5))))),IF(P363=0,IF(BC363="שימור",IF('חד גזעי'!$AM$4="לא",IF(BC363="לא בוגר",0,IF(BC363="לא קיים",0,IF(J363=0,0,I363*0.15))),IF(BC363="לא בוגר",0,IF(BC363="לא קיים",0,IF(AB363=1,I363*0.15,E363*0.5)))),0),IF('חד גזעי'!$AM$4="לא",IF(BC363="לא בוגר",0,IF(BC363="לא קיים",0,IF(J363=0,0,I363*0.15))),IF(BC363="לא בוגר",0,IF(BC363="לא קיים",0,IF(AB363=1,I363*0.15,E363*0.5))))))</f>
        <v>0</v>
      </c>
      <c r="U363" s="129"/>
      <c r="V363">
        <f t="shared" si="371"/>
        <v>0</v>
      </c>
      <c r="W363">
        <f t="shared" si="372"/>
        <v>0</v>
      </c>
      <c r="X363">
        <f t="shared" si="373"/>
        <v>0</v>
      </c>
      <c r="Y363">
        <f>IF('חד גזעי'!$AM$2 = "לא",0,IF(F363&gt;9,W363,0))</f>
        <v>0</v>
      </c>
      <c r="Z363">
        <f>IF('חד גזעי'!$AM$7 = "לא",0,IF(C363 = "זית אירופי",IF('חד גזעי'!$AN$7 &lt;=סקר!F363,W363,0),IF(C363 = "חרוב מצוי",IF('חד גזעי'!$AN$7 &lt;=סקר!F363,W363,0),0)))</f>
        <v>0</v>
      </c>
      <c r="AA363" s="129"/>
      <c r="AB363" s="129"/>
      <c r="AC363" s="129"/>
      <c r="AD363" s="133"/>
      <c r="AE363" s="129"/>
      <c r="AF363" s="129"/>
      <c r="AG363" s="129"/>
      <c r="AH363" s="129"/>
      <c r="AI363" s="129"/>
      <c r="AJ363" s="129"/>
      <c r="AK363" s="129"/>
      <c r="AL363" s="129"/>
      <c r="AM363" s="129"/>
      <c r="AN363" s="129"/>
      <c r="AO363" s="129"/>
      <c r="AP363" s="129"/>
      <c r="AQ363" s="129"/>
      <c r="AR363" s="129"/>
      <c r="AS363" s="129"/>
      <c r="AT363" s="129"/>
      <c r="AU363" s="129"/>
      <c r="AV363" s="129"/>
      <c r="AW363" s="129"/>
      <c r="AX363" s="129"/>
      <c r="AY363" s="129"/>
      <c r="AZ363" s="129"/>
      <c r="BA363" s="129"/>
      <c r="BB363" s="129"/>
      <c r="BC363" s="129"/>
      <c r="BD363" s="129"/>
      <c r="BE363" s="129"/>
      <c r="BF363" s="129" t="str">
        <f>"C:\Users\origr\Pictures\"&amp;BF362&amp;".jpg"</f>
        <v>C:\Users\origr\Pictures\0.jpg</v>
      </c>
      <c r="BG363" s="129" t="str">
        <f t="shared" ref="BG363" si="376">"C:\Users\origr\Pictures\"&amp;BG362&amp;".jpg"</f>
        <v>C:\Users\origr\Pictures\0.jpg</v>
      </c>
      <c r="BH363" s="129" t="str">
        <f t="shared" ref="BH363" si="377">"C:\Users\origr\Pictures\"&amp;BH362&amp;".jpg"</f>
        <v>C:\Users\origr\Pictures\0.jpg</v>
      </c>
      <c r="BI363" s="129" t="str">
        <f t="shared" ref="BI363" si="378">"C:\Users\origr\Pictures\"&amp;BI362&amp;".jpg"</f>
        <v>C:\Users\origr\Pictures\0.jpg</v>
      </c>
      <c r="BJ363" s="129" t="str">
        <f t="shared" ref="BJ363" si="379">"C:\Users\origr\Pictures\"&amp;BJ362&amp;".jpg"</f>
        <v>C:\Users\origr\Pictures\0.jpg</v>
      </c>
      <c r="BK363" s="129" t="str">
        <f t="shared" ref="BK363" si="380">"C:\Users\origr\Pictures\"&amp;BK362&amp;".jpg"</f>
        <v>C:\Users\origr\Pictures\0.jpg</v>
      </c>
    </row>
    <row r="364" spans="1:63" ht="14.25" hidden="1">
      <c r="A364" s="129"/>
      <c r="B364" s="132"/>
      <c r="C364" s="133"/>
      <c r="D364" s="129"/>
      <c r="E364" s="129"/>
      <c r="F364" s="129"/>
      <c r="G364" s="129"/>
      <c r="H364" s="129"/>
      <c r="I364" s="129"/>
      <c r="J364" s="129"/>
      <c r="K364" s="129"/>
      <c r="L364" s="129"/>
      <c r="M364" s="129"/>
      <c r="N364" s="129"/>
      <c r="O364" s="129"/>
      <c r="P364" s="129"/>
      <c r="Q364" s="134"/>
      <c r="R364" s="129"/>
      <c r="S364" s="129"/>
      <c r="T364" s="72">
        <f>IF('חד גזעי'!$AM$6="לא",IF(P364=0,IF(BC364="שימור",IF('חד גזעי'!$AM$4="לא",IF(BC364="לא בוגר",0,IF(BC364="לא קיים",0,IF(J364=0,0,I364*0.1))),IF(BC364="לא בוגר",0,IF(BC364="לא קיים",0,IF(AB364=1,I364*0.1,E364*0.5)))),0),IF('חד גזעי'!$AM$4="לא",IF(BC364="לא בוגר",0,IF(BC364="לא קיים",0,IF(J364=0,0,I364*0.1))),IF(BC364="לא בוגר",0,IF(BC364="לא קיים",0,IF(AB364=1,I364*0.1,E364*0.5))))),IF(P364=0,IF(BC364="שימור",IF('חד גזעי'!$AM$4="לא",IF(BC364="לא בוגר",0,IF(BC364="לא קיים",0,IF(J364=0,0,I364*0.15))),IF(BC364="לא בוגר",0,IF(BC364="לא קיים",0,IF(AB364=1,I364*0.15,E364*0.5)))),0),IF('חד גזעי'!$AM$4="לא",IF(BC364="לא בוגר",0,IF(BC364="לא קיים",0,IF(J364=0,0,I364*0.15))),IF(BC364="לא בוגר",0,IF(BC364="לא קיים",0,IF(AB364=1,I364*0.15,E364*0.5))))))</f>
        <v>0</v>
      </c>
      <c r="U364" s="129"/>
      <c r="V364">
        <f t="shared" si="371"/>
        <v>0</v>
      </c>
      <c r="W364">
        <f t="shared" si="372"/>
        <v>0</v>
      </c>
      <c r="X364">
        <f t="shared" si="373"/>
        <v>0</v>
      </c>
      <c r="Y364">
        <f>IF('חד גזעי'!$AM$2 = "לא",0,IF(F364&gt;9,W364,0))</f>
        <v>0</v>
      </c>
      <c r="Z364">
        <f>IF('חד גזעי'!$AM$7 = "לא",0,IF(C364 = "זית אירופי",IF('חד גזעי'!$AN$7 &lt;=סקר!F364,W364,0),IF(C364 = "חרוב מצוי",IF('חד גזעי'!$AN$7 &lt;=סקר!F364,W364,0),0)))</f>
        <v>0</v>
      </c>
      <c r="AA364" s="129"/>
      <c r="AB364" s="129"/>
      <c r="AC364" s="129"/>
      <c r="AD364" s="133"/>
      <c r="AE364" s="129"/>
      <c r="AF364" s="129"/>
      <c r="AG364" s="129"/>
      <c r="AH364" s="129"/>
      <c r="AI364" s="129"/>
      <c r="AJ364" s="129"/>
      <c r="AK364" s="129"/>
      <c r="AL364" s="129"/>
      <c r="AM364" s="129"/>
      <c r="AN364" s="129"/>
      <c r="AO364" s="129"/>
      <c r="AP364" s="129"/>
      <c r="AQ364" s="129"/>
      <c r="AR364" s="129"/>
      <c r="AS364" s="129"/>
      <c r="AT364" s="129"/>
      <c r="AU364" s="129"/>
      <c r="AV364" s="129"/>
      <c r="AW364" s="129"/>
      <c r="AX364" s="129"/>
      <c r="AY364" s="129"/>
      <c r="AZ364" s="129"/>
      <c r="BA364" s="129"/>
      <c r="BB364" s="129"/>
      <c r="BC364" s="129"/>
      <c r="BD364" s="129"/>
      <c r="BE364" s="129"/>
      <c r="BF364" s="129" t="str">
        <f>BF363</f>
        <v>C:\Users\origr\Pictures\0.jpg</v>
      </c>
      <c r="BG364" s="129" t="str">
        <f t="shared" ref="BG364" si="381">BG363</f>
        <v>C:\Users\origr\Pictures\0.jpg</v>
      </c>
      <c r="BH364" s="129" t="str">
        <f t="shared" ref="BH364" si="382">BH363</f>
        <v>C:\Users\origr\Pictures\0.jpg</v>
      </c>
      <c r="BI364" s="129" t="str">
        <f t="shared" ref="BI364" si="383">BI363</f>
        <v>C:\Users\origr\Pictures\0.jpg</v>
      </c>
      <c r="BJ364" s="129" t="str">
        <f t="shared" ref="BJ364" si="384">BJ363</f>
        <v>C:\Users\origr\Pictures\0.jpg</v>
      </c>
      <c r="BK364" s="129" t="str">
        <f t="shared" ref="BK364" si="385">BK363</f>
        <v>C:\Users\origr\Pictures\0.jpg</v>
      </c>
    </row>
    <row r="365" spans="1:63" hidden="1">
      <c r="T365" s="72">
        <f>IF('חד גזעי'!$AM$6="לא",IF(P365=0,IF(BC365="שימור",IF('חד גזעי'!$AM$4="לא",IF(BC365="לא בוגר",0,IF(BC365="לא קיים",0,IF(J365=0,0,I365*0.1))),IF(BC365="לא בוגר",0,IF(BC365="לא קיים",0,IF(AB365=1,I365*0.1,E365*0.5)))),0),IF('חד גזעי'!$AM$4="לא",IF(BC365="לא בוגר",0,IF(BC365="לא קיים",0,IF(J365=0,0,I365*0.1))),IF(BC365="לא בוגר",0,IF(BC365="לא קיים",0,IF(AB365=1,I365*0.1,E365*0.5))))),IF(P365=0,IF(BC365="שימור",IF('חד גזעי'!$AM$4="לא",IF(BC365="לא בוגר",0,IF(BC365="לא קיים",0,IF(J365=0,0,I365*0.15))),IF(BC365="לא בוגר",0,IF(BC365="לא קיים",0,IF(AB365=1,I365*0.15,E365*0.5)))),0),IF('חד גזעי'!$AM$4="לא",IF(BC365="לא בוגר",0,IF(BC365="לא קיים",0,IF(J365=0,0,I365*0.15))),IF(BC365="לא בוגר",0,IF(BC365="לא קיים",0,IF(AB365=1,I365*0.15,E365*0.5))))))</f>
        <v>0</v>
      </c>
      <c r="V365">
        <f t="shared" si="371"/>
        <v>0</v>
      </c>
      <c r="W365">
        <f t="shared" si="372"/>
        <v>0</v>
      </c>
      <c r="X365">
        <f t="shared" si="373"/>
        <v>0</v>
      </c>
      <c r="Y365">
        <f>IF('חד גזעי'!$AM$2 = "לא",0,IF(F365&gt;9,W365,0))</f>
        <v>0</v>
      </c>
      <c r="Z365">
        <f>IF('חד גזעי'!$AM$7 = "לא",0,IF(C365 = "זית אירופי",IF('חד גזעי'!$AN$7 &lt;=סקר!F365,W365,0),IF(C365 = "חרוב מצוי",IF('חד גזעי'!$AN$7 &lt;=סקר!F365,W365,0),0)))</f>
        <v>0</v>
      </c>
    </row>
    <row r="366" spans="1:63" hidden="1">
      <c r="T366" s="72">
        <f>IF('חד גזעי'!$AM$6="לא",IF(P366=0,IF(BC366="שימור",IF('חד גזעי'!$AM$4="לא",IF(BC366="לא בוגר",0,IF(BC366="לא קיים",0,IF(J366=0,0,I366*0.1))),IF(BC366="לא בוגר",0,IF(BC366="לא קיים",0,IF(AB366=1,I366*0.1,E366*0.5)))),0),IF('חד גזעי'!$AM$4="לא",IF(BC366="לא בוגר",0,IF(BC366="לא קיים",0,IF(J366=0,0,I366*0.1))),IF(BC366="לא בוגר",0,IF(BC366="לא קיים",0,IF(AB366=1,I366*0.1,E366*0.5))))),IF(P366=0,IF(BC366="שימור",IF('חד גזעי'!$AM$4="לא",IF(BC366="לא בוגר",0,IF(BC366="לא קיים",0,IF(J366=0,0,I366*0.15))),IF(BC366="לא בוגר",0,IF(BC366="לא קיים",0,IF(AB366=1,I366*0.15,E366*0.5)))),0),IF('חד גזעי'!$AM$4="לא",IF(BC366="לא בוגר",0,IF(BC366="לא קיים",0,IF(J366=0,0,I366*0.15))),IF(BC366="לא בוגר",0,IF(BC366="לא קיים",0,IF(AB366=1,I366*0.15,E366*0.5))))))</f>
        <v>0</v>
      </c>
      <c r="V366">
        <f t="shared" si="371"/>
        <v>0</v>
      </c>
      <c r="W366">
        <f t="shared" si="372"/>
        <v>0</v>
      </c>
      <c r="X366">
        <f t="shared" si="373"/>
        <v>0</v>
      </c>
      <c r="Y366">
        <f>IF('חד גזעי'!$AM$2 = "לא",0,IF(F366&gt;9,W366,0))</f>
        <v>0</v>
      </c>
      <c r="Z366">
        <f>IF('חד גזעי'!$AM$7 = "לא",0,IF(C366 = "זית אירופי",IF('חד גזעי'!$AN$7 &lt;=סקר!F366,W366,0),IF(C366 = "חרוב מצוי",IF('חד גזעי'!$AN$7 &lt;=סקר!F366,W366,0),0)))</f>
        <v>0</v>
      </c>
    </row>
    <row r="367" spans="1:63" hidden="1">
      <c r="T367" s="72">
        <f>IF('חד גזעי'!$AM$6="לא",IF(P367=0,IF(BC367="שימור",IF('חד גזעי'!$AM$4="לא",IF(BC367="לא בוגר",0,IF(BC367="לא קיים",0,IF(J367=0,0,I367*0.1))),IF(BC367="לא בוגר",0,IF(BC367="לא קיים",0,IF(AB367=1,I367*0.1,E367*0.5)))),0),IF('חד גזעי'!$AM$4="לא",IF(BC367="לא בוגר",0,IF(BC367="לא קיים",0,IF(J367=0,0,I367*0.1))),IF(BC367="לא בוגר",0,IF(BC367="לא קיים",0,IF(AB367=1,I367*0.1,E367*0.5))))),IF(P367=0,IF(BC367="שימור",IF('חד גזעי'!$AM$4="לא",IF(BC367="לא בוגר",0,IF(BC367="לא קיים",0,IF(J367=0,0,I367*0.15))),IF(BC367="לא בוגר",0,IF(BC367="לא קיים",0,IF(AB367=1,I367*0.15,E367*0.5)))),0),IF('חד גזעי'!$AM$4="לא",IF(BC367="לא בוגר",0,IF(BC367="לא קיים",0,IF(J367=0,0,I367*0.15))),IF(BC367="לא בוגר",0,IF(BC367="לא קיים",0,IF(AB367=1,I367*0.15,E367*0.5))))))</f>
        <v>0</v>
      </c>
      <c r="V367">
        <f t="shared" si="371"/>
        <v>0</v>
      </c>
      <c r="W367">
        <f t="shared" si="372"/>
        <v>0</v>
      </c>
      <c r="X367">
        <f t="shared" si="373"/>
        <v>0</v>
      </c>
      <c r="Y367">
        <f>IF('חד גזעי'!$AM$2 = "לא",0,IF(F367&gt;9,W367,0))</f>
        <v>0</v>
      </c>
      <c r="Z367">
        <f>IF('חד גזעי'!$AM$7 = "לא",0,IF(C367 = "זית אירופי",IF('חד גזעי'!$AN$7 &lt;=סקר!F367,W367,0),IF(C367 = "חרוב מצוי",IF('חד גזעי'!$AN$7 &lt;=סקר!F367,W367,0),0)))</f>
        <v>0</v>
      </c>
    </row>
    <row r="368" spans="1:63" hidden="1">
      <c r="A368" s="129"/>
      <c r="B368" s="129"/>
      <c r="C368" s="129"/>
      <c r="D368" s="129"/>
      <c r="E368" s="129"/>
      <c r="F368" s="129"/>
      <c r="G368" s="129"/>
      <c r="H368" s="129"/>
      <c r="I368" s="129"/>
      <c r="J368" s="129"/>
      <c r="K368" s="129"/>
      <c r="L368" s="129"/>
      <c r="M368" s="129"/>
      <c r="N368" s="129"/>
      <c r="O368" s="129"/>
      <c r="P368" s="129"/>
      <c r="Q368" s="129"/>
      <c r="R368" s="129"/>
      <c r="S368" s="129"/>
      <c r="T368" s="72">
        <f>IF('חד גזעי'!$AM$6="לא",IF(P368=0,IF(BC368="שימור",IF('חד גזעי'!$AM$4="לא",IF(BC368="לא בוגר",0,IF(BC368="לא קיים",0,IF(J368=0,0,I368*0.1))),IF(BC368="לא בוגר",0,IF(BC368="לא קיים",0,IF(AB368=1,I368*0.1,E368*0.5)))),0),IF('חד גזעי'!$AM$4="לא",IF(BC368="לא בוגר",0,IF(BC368="לא קיים",0,IF(J368=0,0,I368*0.1))),IF(BC368="לא בוגר",0,IF(BC368="לא קיים",0,IF(AB368=1,I368*0.1,E368*0.5))))),IF(P368=0,IF(BC368="שימור",IF('חד גזעי'!$AM$4="לא",IF(BC368="לא בוגר",0,IF(BC368="לא קיים",0,IF(J368=0,0,I368*0.15))),IF(BC368="לא בוגר",0,IF(BC368="לא קיים",0,IF(AB368=1,I368*0.15,E368*0.5)))),0),IF('חד גזעי'!$AM$4="לא",IF(BC368="לא בוגר",0,IF(BC368="לא קיים",0,IF(J368=0,0,I368*0.15))),IF(BC368="לא בוגר",0,IF(BC368="לא קיים",0,IF(AB368=1,I368*0.15,E368*0.5))))))</f>
        <v>0</v>
      </c>
      <c r="U368" s="129"/>
      <c r="V368">
        <f t="shared" si="371"/>
        <v>0</v>
      </c>
      <c r="W368">
        <f t="shared" si="372"/>
        <v>0</v>
      </c>
      <c r="X368">
        <f t="shared" si="373"/>
        <v>0</v>
      </c>
      <c r="Y368">
        <f>IF('חד גזעי'!$AM$2 = "לא",0,IF(F368&gt;9,W368,0))</f>
        <v>0</v>
      </c>
      <c r="Z368">
        <f>IF('חד גזעי'!$AM$7 = "לא",0,IF(C368 = "זית אירופי",IF('חד גזעי'!$AN$7 &lt;=סקר!F368,W368,0),IF(C368 = "חרוב מצוי",IF('חד גזעי'!$AN$7 &lt;=סקר!F368,W368,0),0)))</f>
        <v>0</v>
      </c>
      <c r="AA368" s="129"/>
      <c r="AB368" s="129"/>
      <c r="AC368" s="129"/>
      <c r="AD368" s="129"/>
      <c r="AE368" s="129"/>
      <c r="AF368" s="129"/>
      <c r="AG368" s="129"/>
      <c r="AH368" s="129"/>
      <c r="AI368" s="129"/>
      <c r="AJ368" s="129"/>
      <c r="AK368" s="129"/>
      <c r="AL368" s="129"/>
      <c r="AM368" s="129"/>
      <c r="AN368" s="129"/>
      <c r="AO368" s="129"/>
      <c r="AP368" s="129"/>
      <c r="AQ368" s="129"/>
      <c r="AR368" s="129"/>
      <c r="AS368" s="129"/>
      <c r="AT368" s="129"/>
      <c r="AU368" s="129"/>
      <c r="AV368" s="129"/>
      <c r="AW368" s="129"/>
      <c r="AX368" s="129"/>
      <c r="AY368" s="129"/>
      <c r="AZ368" s="129"/>
      <c r="BA368" s="129"/>
      <c r="BB368" s="129"/>
      <c r="BC368" s="129"/>
      <c r="BD368" s="129"/>
      <c r="BE368" s="129"/>
      <c r="BF368" s="129">
        <f>_xlfn.IFNA(_xlfn.IFNA(_xlfn.TEXTBEFORE(BF372,"--"),_xlfn.TEXTBEFORE(BF372,",")),BF372)</f>
        <v>0</v>
      </c>
      <c r="BG368" s="129">
        <f t="shared" ref="BG368:BK368" si="386">_xlfn.IFNA(_xlfn.IFNA(_xlfn.TEXTBEFORE(BG372,"--"),_xlfn.TEXTBEFORE(BG372,",")),BG372)</f>
        <v>0</v>
      </c>
      <c r="BH368" s="129">
        <f t="shared" si="386"/>
        <v>0</v>
      </c>
      <c r="BI368" s="129">
        <f>_xlfn.IFNA(_xlfn.IFNA(_xlfn.TEXTBEFORE(BI372,"--"),_xlfn.TEXTBEFORE(BI372,",")),BI372)</f>
        <v>0</v>
      </c>
      <c r="BJ368" s="129">
        <f t="shared" si="386"/>
        <v>0</v>
      </c>
      <c r="BK368" s="129">
        <f t="shared" si="386"/>
        <v>0</v>
      </c>
    </row>
    <row r="369" spans="1:63" hidden="1">
      <c r="A369" s="129"/>
      <c r="B369" s="129"/>
      <c r="C369" s="129"/>
      <c r="D369" s="129"/>
      <c r="E369" s="129"/>
      <c r="F369" s="129"/>
      <c r="G369" s="129"/>
      <c r="H369" s="129"/>
      <c r="I369" s="129"/>
      <c r="J369" s="129"/>
      <c r="K369" s="129"/>
      <c r="L369" s="129"/>
      <c r="M369" s="129"/>
      <c r="N369" s="129"/>
      <c r="O369" s="129"/>
      <c r="P369" s="129"/>
      <c r="Q369" s="129"/>
      <c r="R369" s="129"/>
      <c r="S369" s="129"/>
      <c r="T369" s="72">
        <f>IF('חד גזעי'!$AM$6="לא",IF(P369=0,IF(BC369="שימור",IF('חד גזעי'!$AM$4="לא",IF(BC369="לא בוגר",0,IF(BC369="לא קיים",0,IF(J369=0,0,I369*0.1))),IF(BC369="לא בוגר",0,IF(BC369="לא קיים",0,IF(AB369=1,I369*0.1,E369*0.5)))),0),IF('חד גזעי'!$AM$4="לא",IF(BC369="לא בוגר",0,IF(BC369="לא קיים",0,IF(J369=0,0,I369*0.1))),IF(BC369="לא בוגר",0,IF(BC369="לא קיים",0,IF(AB369=1,I369*0.1,E369*0.5))))),IF(P369=0,IF(BC369="שימור",IF('חד גזעי'!$AM$4="לא",IF(BC369="לא בוגר",0,IF(BC369="לא קיים",0,IF(J369=0,0,I369*0.15))),IF(BC369="לא בוגר",0,IF(BC369="לא קיים",0,IF(AB369=1,I369*0.15,E369*0.5)))),0),IF('חד גזעי'!$AM$4="לא",IF(BC369="לא בוגר",0,IF(BC369="לא קיים",0,IF(J369=0,0,I369*0.15))),IF(BC369="לא בוגר",0,IF(BC369="לא קיים",0,IF(AB369=1,I369*0.15,E369*0.5))))))</f>
        <v>0</v>
      </c>
      <c r="U369" s="129"/>
      <c r="V369">
        <f t="shared" si="371"/>
        <v>0</v>
      </c>
      <c r="W369">
        <f t="shared" si="372"/>
        <v>0</v>
      </c>
      <c r="X369">
        <f t="shared" si="373"/>
        <v>0</v>
      </c>
      <c r="Y369">
        <f>IF('חד גזעי'!$AM$2 = "לא",0,IF(F369&gt;9,W369,0))</f>
        <v>0</v>
      </c>
      <c r="Z369">
        <f>IF('חד גזעי'!$AM$7 = "לא",0,IF(C369 = "זית אירופי",IF('חד גזעי'!$AN$7 &lt;=סקר!F369,W369,0),IF(C369 = "חרוב מצוי",IF('חד גזעי'!$AN$7 &lt;=סקר!F369,W369,0),0)))</f>
        <v>0</v>
      </c>
      <c r="AA369" s="129"/>
      <c r="AB369" s="129"/>
      <c r="AC369" s="129"/>
      <c r="AD369" s="129"/>
      <c r="AE369" s="129"/>
      <c r="AF369" s="129"/>
      <c r="AG369" s="129"/>
      <c r="AH369" s="129"/>
      <c r="AI369" s="129"/>
      <c r="AJ369" s="129"/>
      <c r="AK369" s="129"/>
      <c r="AL369" s="129"/>
      <c r="AM369" s="129"/>
      <c r="AN369" s="129"/>
      <c r="AO369" s="129"/>
      <c r="AP369" s="129"/>
      <c r="AQ369" s="129"/>
      <c r="AR369" s="129"/>
      <c r="AS369" s="129"/>
      <c r="AT369" s="129"/>
      <c r="AU369" s="129"/>
      <c r="AV369" s="129"/>
      <c r="AW369" s="129"/>
      <c r="AX369" s="129"/>
      <c r="AY369" s="129"/>
      <c r="AZ369" s="129"/>
      <c r="BA369" s="129"/>
      <c r="BB369" s="129"/>
      <c r="BC369" s="129"/>
      <c r="BD369" s="129"/>
      <c r="BE369" s="129"/>
      <c r="BF369" s="129" t="str">
        <f>"C:\Users\origr\Pictures\"&amp;BF368&amp;".jpg"</f>
        <v>C:\Users\origr\Pictures\0.jpg</v>
      </c>
      <c r="BG369" s="129" t="str">
        <f t="shared" ref="BG369" si="387">"C:\Users\origr\Pictures\"&amp;BG368&amp;".jpg"</f>
        <v>C:\Users\origr\Pictures\0.jpg</v>
      </c>
      <c r="BH369" s="129" t="str">
        <f t="shared" ref="BH369" si="388">"C:\Users\origr\Pictures\"&amp;BH368&amp;".jpg"</f>
        <v>C:\Users\origr\Pictures\0.jpg</v>
      </c>
      <c r="BI369" s="129" t="str">
        <f t="shared" ref="BI369" si="389">"C:\Users\origr\Pictures\"&amp;BI368&amp;".jpg"</f>
        <v>C:\Users\origr\Pictures\0.jpg</v>
      </c>
      <c r="BJ369" s="129" t="str">
        <f t="shared" ref="BJ369" si="390">"C:\Users\origr\Pictures\"&amp;BJ368&amp;".jpg"</f>
        <v>C:\Users\origr\Pictures\0.jpg</v>
      </c>
      <c r="BK369" s="129" t="str">
        <f t="shared" ref="BK369" si="391">"C:\Users\origr\Pictures\"&amp;BK368&amp;".jpg"</f>
        <v>C:\Users\origr\Pictures\0.jpg</v>
      </c>
    </row>
    <row r="370" spans="1:63" hidden="1">
      <c r="A370" s="129"/>
      <c r="B370" s="129"/>
      <c r="C370" s="129"/>
      <c r="D370" s="129"/>
      <c r="E370" s="129"/>
      <c r="F370" s="129"/>
      <c r="G370" s="129"/>
      <c r="H370" s="129"/>
      <c r="I370" s="129"/>
      <c r="J370" s="129"/>
      <c r="K370" s="129"/>
      <c r="L370" s="129"/>
      <c r="M370" s="129"/>
      <c r="N370" s="129"/>
      <c r="O370" s="129"/>
      <c r="P370" s="129"/>
      <c r="Q370" s="129"/>
      <c r="R370" s="129"/>
      <c r="S370" s="129"/>
      <c r="T370" s="72">
        <f>IF('חד גזעי'!$AM$6="לא",IF(P370=0,IF(BC370="שימור",IF('חד גזעי'!$AM$4="לא",IF(BC370="לא בוגר",0,IF(BC370="לא קיים",0,IF(J370=0,0,I370*0.1))),IF(BC370="לא בוגר",0,IF(BC370="לא קיים",0,IF(AB370=1,I370*0.1,E370*0.5)))),0),IF('חד גזעי'!$AM$4="לא",IF(BC370="לא בוגר",0,IF(BC370="לא קיים",0,IF(J370=0,0,I370*0.1))),IF(BC370="לא בוגר",0,IF(BC370="לא קיים",0,IF(AB370=1,I370*0.1,E370*0.5))))),IF(P370=0,IF(BC370="שימור",IF('חד גזעי'!$AM$4="לא",IF(BC370="לא בוגר",0,IF(BC370="לא קיים",0,IF(J370=0,0,I370*0.15))),IF(BC370="לא בוגר",0,IF(BC370="לא קיים",0,IF(AB370=1,I370*0.15,E370*0.5)))),0),IF('חד גזעי'!$AM$4="לא",IF(BC370="לא בוגר",0,IF(BC370="לא קיים",0,IF(J370=0,0,I370*0.15))),IF(BC370="לא בוגר",0,IF(BC370="לא קיים",0,IF(AB370=1,I370*0.15,E370*0.5))))))</f>
        <v>0</v>
      </c>
      <c r="U370" s="129"/>
      <c r="V370">
        <f t="shared" si="371"/>
        <v>0</v>
      </c>
      <c r="W370">
        <f t="shared" si="372"/>
        <v>0</v>
      </c>
      <c r="X370">
        <f t="shared" si="373"/>
        <v>0</v>
      </c>
      <c r="Y370">
        <f>IF('חד גזעי'!$AM$2 = "לא",0,IF(F370&gt;9,W370,0))</f>
        <v>0</v>
      </c>
      <c r="Z370">
        <f>IF('חד גזעי'!$AM$7 = "לא",0,IF(C370 = "זית אירופי",IF('חד גזעי'!$AN$7 &lt;=סקר!F370,W370,0),IF(C370 = "חרוב מצוי",IF('חד גזעי'!$AN$7 &lt;=סקר!F370,W370,0),0)))</f>
        <v>0</v>
      </c>
      <c r="AA370" s="129"/>
      <c r="AB370" s="129"/>
      <c r="AC370" s="129"/>
      <c r="AD370" s="129"/>
      <c r="AE370" s="129"/>
      <c r="AF370" s="129"/>
      <c r="AG370" s="129"/>
      <c r="AH370" s="129"/>
      <c r="AI370" s="129"/>
      <c r="AJ370" s="129"/>
      <c r="AK370" s="129"/>
      <c r="AL370" s="129"/>
      <c r="AM370" s="129"/>
      <c r="AN370" s="129"/>
      <c r="AO370" s="129"/>
      <c r="AP370" s="129"/>
      <c r="AQ370" s="129"/>
      <c r="AR370" s="129"/>
      <c r="AS370" s="129"/>
      <c r="AT370" s="129"/>
      <c r="AU370" s="129"/>
      <c r="AV370" s="129"/>
      <c r="AW370" s="129"/>
      <c r="AX370" s="129"/>
      <c r="AY370" s="129"/>
      <c r="AZ370" s="129"/>
      <c r="BA370" s="129"/>
      <c r="BB370" s="129"/>
      <c r="BC370" s="129"/>
      <c r="BD370" s="129"/>
      <c r="BE370" s="129"/>
      <c r="BF370" s="129" t="str">
        <f>BF369</f>
        <v>C:\Users\origr\Pictures\0.jpg</v>
      </c>
      <c r="BG370" s="129" t="str">
        <f t="shared" ref="BG370" si="392">BG369</f>
        <v>C:\Users\origr\Pictures\0.jpg</v>
      </c>
      <c r="BH370" s="129" t="str">
        <f t="shared" ref="BH370" si="393">BH369</f>
        <v>C:\Users\origr\Pictures\0.jpg</v>
      </c>
      <c r="BI370" s="129" t="str">
        <f t="shared" ref="BI370" si="394">BI369</f>
        <v>C:\Users\origr\Pictures\0.jpg</v>
      </c>
      <c r="BJ370" s="129" t="str">
        <f t="shared" ref="BJ370" si="395">BJ369</f>
        <v>C:\Users\origr\Pictures\0.jpg</v>
      </c>
      <c r="BK370" s="129" t="str">
        <f t="shared" ref="BK370" si="396">BK369</f>
        <v>C:\Users\origr\Pictures\0.jpg</v>
      </c>
    </row>
    <row r="371" spans="1:63" ht="14.25" hidden="1">
      <c r="B371" s="71"/>
      <c r="C371" s="69"/>
      <c r="Q371" s="86"/>
      <c r="T371" s="72">
        <f>IF('חד גזעי'!$AM$6="לא",IF(P371=0,IF(BC371="שימור",IF('חד גזעי'!$AM$4="לא",IF(BC371="לא בוגר",0,IF(BC371="לא קיים",0,IF(J371=0,0,I371*0.1))),IF(BC371="לא בוגר",0,IF(BC371="לא קיים",0,IF(AB371=1,I371*0.1,E371*0.5)))),0),IF('חד גזעי'!$AM$4="לא",IF(BC371="לא בוגר",0,IF(BC371="לא קיים",0,IF(J371=0,0,I371*0.1))),IF(BC371="לא בוגר",0,IF(BC371="לא קיים",0,IF(AB371=1,I371*0.1,E371*0.5))))),IF(P371=0,IF(BC371="שימור",IF('חד גזעי'!$AM$4="לא",IF(BC371="לא בוגר",0,IF(BC371="לא קיים",0,IF(J371=0,0,I371*0.15))),IF(BC371="לא בוגר",0,IF(BC371="לא קיים",0,IF(AB371=1,I371*0.15,E371*0.5)))),0),IF('חד גזעי'!$AM$4="לא",IF(BC371="לא בוגר",0,IF(BC371="לא קיים",0,IF(J371=0,0,I371*0.15))),IF(BC371="לא בוגר",0,IF(BC371="לא קיים",0,IF(AB371=1,I371*0.15,E371*0.5))))))</f>
        <v>0</v>
      </c>
      <c r="V371">
        <f t="shared" si="371"/>
        <v>0</v>
      </c>
      <c r="W371">
        <f t="shared" si="372"/>
        <v>0</v>
      </c>
      <c r="X371">
        <f t="shared" si="373"/>
        <v>0</v>
      </c>
      <c r="Y371">
        <f>IF('חד גזעי'!$AM$2 = "לא",0,IF(F371&gt;9,W371,0))</f>
        <v>0</v>
      </c>
      <c r="Z371">
        <f>IF('חד גזעי'!$AM$7 = "לא",0,IF(C371 = "זית אירופי",IF('חד גזעי'!$AN$7 &lt;=סקר!F371,W371,0),IF(C371 = "חרוב מצוי",IF('חד גזעי'!$AN$7 &lt;=סקר!F371,W371,0),0)))</f>
        <v>0</v>
      </c>
      <c r="AD371" s="69" t="s">
        <v>807</v>
      </c>
    </row>
    <row r="372" spans="1:63" hidden="1">
      <c r="B372" s="197" t="s">
        <v>738</v>
      </c>
      <c r="C372" s="197" t="s">
        <v>739</v>
      </c>
      <c r="D372" s="197" t="s">
        <v>740</v>
      </c>
      <c r="E372" s="197" t="s">
        <v>741</v>
      </c>
      <c r="F372" s="200" t="s">
        <v>759</v>
      </c>
      <c r="G372" s="203" t="s">
        <v>760</v>
      </c>
      <c r="H372" s="203" t="s">
        <v>761</v>
      </c>
      <c r="I372" s="197" t="s">
        <v>742</v>
      </c>
      <c r="J372" s="197" t="s">
        <v>743</v>
      </c>
      <c r="K372" s="197" t="s">
        <v>744</v>
      </c>
      <c r="L372" s="197" t="s">
        <v>745</v>
      </c>
      <c r="M372" s="197" t="s">
        <v>746</v>
      </c>
      <c r="N372" s="197" t="s">
        <v>747</v>
      </c>
      <c r="O372" s="197" t="s">
        <v>748</v>
      </c>
      <c r="P372" s="197" t="s">
        <v>749</v>
      </c>
      <c r="Q372" s="197" t="s">
        <v>750</v>
      </c>
      <c r="R372" s="197" t="s">
        <v>751</v>
      </c>
      <c r="T372" s="72" t="e">
        <f>IF('חד גזעי'!$AM$6="לא",IF(P372=0,IF(BC372="שימור",IF('חד גזעי'!$AM$4="לא",IF(BC372="לא בוגר",0,IF(BC372="לא קיים",0,IF(J372=0,0,I372*0.1))),IF(BC372="לא בוגר",0,IF(BC372="לא קיים",0,IF(AB372=1,I372*0.1,E372*0.5)))),0),IF('חד גזעי'!$AM$4="לא",IF(BC372="לא בוגר",0,IF(BC372="לא קיים",0,IF(J372=0,0,I372*0.1))),IF(BC372="לא בוגר",0,IF(BC372="לא קיים",0,IF(AB372=1,I372*0.1,E372*0.5))))),IF(P372=0,IF(BC372="שימור",IF('חד גזעי'!$AM$4="לא",IF(BC372="לא בוגר",0,IF(BC372="לא קיים",0,IF(J372=0,0,I372*0.15))),IF(BC372="לא בוגר",0,IF(BC372="לא קיים",0,IF(AB372=1,I372*0.15,E372*0.5)))),0),IF('חד גזעי'!$AM$4="לא",IF(BC372="לא בוגר",0,IF(BC372="לא קיים",0,IF(J372=0,0,I372*0.15))),IF(BC372="לא בוגר",0,IF(BC372="לא קיים",0,IF(AB372=1,I372*0.15,E372*0.5))))))</f>
        <v>#VALUE!</v>
      </c>
      <c r="V372">
        <f t="shared" si="371"/>
        <v>0</v>
      </c>
      <c r="W372" t="e">
        <f t="shared" si="372"/>
        <v>#VALUE!</v>
      </c>
      <c r="X372">
        <f t="shared" si="373"/>
        <v>0</v>
      </c>
      <c r="Y372">
        <f>IF('חד גזעי'!$AM$2 = "לא",0,IF(F372&gt;9,W372,0))</f>
        <v>0</v>
      </c>
      <c r="Z372">
        <f>IF('חד גזעי'!$AM$7 = "לא",0,IF(C372 = "זית אירופי",IF('חד גזעי'!$AN$7 &lt;=סקר!F372,W372,0),IF(C372 = "חרוב מצוי",IF('חד גזעי'!$AN$7 &lt;=סקר!F372,W372,0),0)))</f>
        <v>0</v>
      </c>
      <c r="AC372" s="101"/>
      <c r="AD372" s="103"/>
      <c r="AE372" s="103"/>
      <c r="AF372" s="103"/>
      <c r="AG372" s="103"/>
      <c r="AH372" s="103"/>
      <c r="AI372" s="103"/>
      <c r="AJ372" s="103"/>
      <c r="AK372" s="83"/>
      <c r="AM372" s="73"/>
      <c r="AN372" s="73"/>
      <c r="AO372" s="73"/>
      <c r="AS372" s="197" t="s">
        <v>738</v>
      </c>
      <c r="AT372" s="197" t="s">
        <v>739</v>
      </c>
      <c r="AU372" s="197" t="s">
        <v>740</v>
      </c>
      <c r="AV372" s="197" t="s">
        <v>741</v>
      </c>
      <c r="AW372" s="203" t="s">
        <v>759</v>
      </c>
      <c r="AX372" s="203" t="s">
        <v>760</v>
      </c>
      <c r="AY372" s="203" t="s">
        <v>761</v>
      </c>
      <c r="AZ372" s="197" t="s">
        <v>812</v>
      </c>
      <c r="BA372" s="197" t="s">
        <v>817</v>
      </c>
      <c r="BB372" s="197" t="s">
        <v>805</v>
      </c>
      <c r="BC372" s="197" t="s">
        <v>806</v>
      </c>
      <c r="BE372">
        <f>IF(BC372="לא נדרש ברישיון",1,0)</f>
        <v>0</v>
      </c>
      <c r="BF372" s="72"/>
      <c r="BG372" s="72"/>
      <c r="BH372" s="72"/>
      <c r="BI372" s="72"/>
      <c r="BJ372" s="72"/>
      <c r="BK372" s="72"/>
    </row>
    <row r="373" spans="1:63" hidden="1">
      <c r="B373" s="198"/>
      <c r="C373" s="198"/>
      <c r="D373" s="198"/>
      <c r="E373" s="198"/>
      <c r="F373" s="201"/>
      <c r="G373" s="204"/>
      <c r="H373" s="204"/>
      <c r="I373" s="198"/>
      <c r="J373" s="198"/>
      <c r="K373" s="198"/>
      <c r="L373" s="198"/>
      <c r="M373" s="198"/>
      <c r="N373" s="198"/>
      <c r="O373" s="198"/>
      <c r="P373" s="198"/>
      <c r="Q373" s="198"/>
      <c r="R373" s="198"/>
      <c r="T373" s="72">
        <f>IF('חד גזעי'!$AM$6="לא",IF(P373=0,IF(BC373="שימור",IF('חד גזעי'!$AM$4="לא",IF(BC373="לא בוגר",0,IF(BC373="לא קיים",0,IF(J373=0,0,I373*0.1))),IF(BC373="לא בוגר",0,IF(BC373="לא קיים",0,IF(AB373=1,I373*0.1,E373*0.5)))),0),IF('חד גזעי'!$AM$4="לא",IF(BC373="לא בוגר",0,IF(BC373="לא קיים",0,IF(J373=0,0,I373*0.1))),IF(BC373="לא בוגר",0,IF(BC373="לא קיים",0,IF(AB373=1,I373*0.1,E373*0.5))))),IF(P373=0,IF(BC373="שימור",IF('חד גזעי'!$AM$4="לא",IF(BC373="לא בוגר",0,IF(BC373="לא קיים",0,IF(J373=0,0,I373*0.15))),IF(BC373="לא בוגר",0,IF(BC373="לא קיים",0,IF(AB373=1,I373*0.15,E373*0.5)))),0),IF('חד גזעי'!$AM$4="לא",IF(BC373="לא בוגר",0,IF(BC373="לא קיים",0,IF(J373=0,0,I373*0.15))),IF(BC373="לא בוגר",0,IF(BC373="לא קיים",0,IF(AB373=1,I373*0.15,E373*0.5))))))</f>
        <v>0</v>
      </c>
      <c r="V373">
        <f t="shared" si="371"/>
        <v>0</v>
      </c>
      <c r="W373">
        <f t="shared" si="372"/>
        <v>0</v>
      </c>
      <c r="X373">
        <f t="shared" si="373"/>
        <v>0</v>
      </c>
      <c r="Y373">
        <f>IF('חד גזעי'!$AM$2 = "לא",0,IF(F373&gt;9,W373,0))</f>
        <v>0</v>
      </c>
      <c r="Z373">
        <f>IF('חד גזעי'!$AM$7 = "לא",0,IF(C373 = "זית אירופי",IF('חד גזעי'!$AN$7 &lt;=סקר!F373,W373,0),IF(C373 = "חרוב מצוי",IF('חד גזעי'!$AN$7 &lt;=סקר!F373,W373,0),0)))</f>
        <v>0</v>
      </c>
      <c r="AC373" s="101"/>
      <c r="AD373" s="103"/>
      <c r="AE373" s="103"/>
      <c r="AF373" s="103"/>
      <c r="AG373" s="103"/>
      <c r="AH373" s="103"/>
      <c r="AI373" s="103"/>
      <c r="AJ373" s="103"/>
      <c r="AK373" s="83"/>
      <c r="AM373" s="73"/>
      <c r="AN373" s="73"/>
      <c r="AO373" s="73"/>
      <c r="AS373" s="198"/>
      <c r="AT373" s="198"/>
      <c r="AU373" s="198"/>
      <c r="AV373" s="198"/>
      <c r="AW373" s="204"/>
      <c r="AX373" s="204"/>
      <c r="AY373" s="204"/>
      <c r="AZ373" s="198"/>
      <c r="BA373" s="198"/>
      <c r="BB373" s="198"/>
      <c r="BC373" s="198"/>
      <c r="BE373">
        <f t="shared" ref="BE373:BE407" si="397">IF(BC373="לא נדרש ברישיון",1,0)</f>
        <v>0</v>
      </c>
      <c r="BF373" s="196" t="str">
        <f>BF370</f>
        <v>C:\Users\origr\Pictures\0.jpg</v>
      </c>
      <c r="BG373" s="196" t="str">
        <f t="shared" ref="BG373:BK373" si="398">BG370</f>
        <v>C:\Users\origr\Pictures\0.jpg</v>
      </c>
      <c r="BH373" s="196" t="str">
        <f t="shared" si="398"/>
        <v>C:\Users\origr\Pictures\0.jpg</v>
      </c>
      <c r="BI373" s="196" t="str">
        <f t="shared" si="398"/>
        <v>C:\Users\origr\Pictures\0.jpg</v>
      </c>
      <c r="BJ373" s="196" t="str">
        <f t="shared" si="398"/>
        <v>C:\Users\origr\Pictures\0.jpg</v>
      </c>
      <c r="BK373" s="196" t="str">
        <f t="shared" si="398"/>
        <v>C:\Users\origr\Pictures\0.jpg</v>
      </c>
    </row>
    <row r="374" spans="1:63" hidden="1">
      <c r="B374" s="199"/>
      <c r="C374" s="199"/>
      <c r="D374" s="199"/>
      <c r="E374" s="199"/>
      <c r="F374" s="202"/>
      <c r="G374" s="205"/>
      <c r="H374" s="205"/>
      <c r="I374" s="199"/>
      <c r="J374" s="199"/>
      <c r="K374" s="199"/>
      <c r="L374" s="199"/>
      <c r="M374" s="199"/>
      <c r="N374" s="199"/>
      <c r="O374" s="199"/>
      <c r="P374" s="199"/>
      <c r="Q374" s="199"/>
      <c r="R374" s="199"/>
      <c r="T374" s="72">
        <f>IF('חד גזעי'!$AM$6="לא",IF(P374=0,IF(BC374="שימור",IF('חד גזעי'!$AM$4="לא",IF(BC374="לא בוגר",0,IF(BC374="לא קיים",0,IF(J374=0,0,I374*0.1))),IF(BC374="לא בוגר",0,IF(BC374="לא קיים",0,IF(AB374=1,I374*0.1,E374*0.5)))),0),IF('חד גזעי'!$AM$4="לא",IF(BC374="לא בוגר",0,IF(BC374="לא קיים",0,IF(J374=0,0,I374*0.1))),IF(BC374="לא בוגר",0,IF(BC374="לא קיים",0,IF(AB374=1,I374*0.1,E374*0.5))))),IF(P374=0,IF(BC374="שימור",IF('חד גזעי'!$AM$4="לא",IF(BC374="לא בוגר",0,IF(BC374="לא קיים",0,IF(J374=0,0,I374*0.15))),IF(BC374="לא בוגר",0,IF(BC374="לא קיים",0,IF(AB374=1,I374*0.15,E374*0.5)))),0),IF('חד גזעי'!$AM$4="לא",IF(BC374="לא בוגר",0,IF(BC374="לא קיים",0,IF(J374=0,0,I374*0.15))),IF(BC374="לא בוגר",0,IF(BC374="לא קיים",0,IF(AB374=1,I374*0.15,E374*0.5))))))</f>
        <v>0</v>
      </c>
      <c r="V374" t="str">
        <f t="shared" si="371"/>
        <v>שווי דקל</v>
      </c>
      <c r="W374" t="str">
        <f t="shared" si="372"/>
        <v>שווי דקל</v>
      </c>
      <c r="X374">
        <f t="shared" si="373"/>
        <v>0</v>
      </c>
      <c r="Y374">
        <f>IF('חד גזעי'!$AM$2 = "לא",0,IF(F374&gt;9,W374,0))</f>
        <v>0</v>
      </c>
      <c r="Z374">
        <f>IF('חד גזעי'!$AM$7 = "לא",0,IF(C374 = "זית אירופי",IF('חד גזעי'!$AN$7 &lt;=סקר!F374,W374,0),IF(C374 = "חרוב מצוי",IF('חד גזעי'!$AN$7 &lt;=סקר!F374,W374,0),0)))</f>
        <v>0</v>
      </c>
      <c r="AC374" s="94"/>
      <c r="AD374" s="94"/>
      <c r="AE374" s="72"/>
      <c r="AF374" s="77" t="s">
        <v>767</v>
      </c>
      <c r="AG374" s="77" t="s">
        <v>768</v>
      </c>
      <c r="AH374" s="72" t="s">
        <v>762</v>
      </c>
      <c r="AI374" s="72" t="s">
        <v>763</v>
      </c>
      <c r="AJ374" s="72" t="s">
        <v>764</v>
      </c>
      <c r="AK374" s="77" t="s">
        <v>770</v>
      </c>
      <c r="AL374" t="s">
        <v>771</v>
      </c>
      <c r="AM374" s="77" t="s">
        <v>809</v>
      </c>
      <c r="AN374" s="77" t="s">
        <v>810</v>
      </c>
      <c r="AO374" s="77" t="s">
        <v>811</v>
      </c>
      <c r="AS374" s="199"/>
      <c r="AT374" s="199"/>
      <c r="AU374" s="199"/>
      <c r="AV374" s="199"/>
      <c r="AW374" s="205"/>
      <c r="AX374" s="205"/>
      <c r="AY374" s="205"/>
      <c r="AZ374" s="199"/>
      <c r="BA374" s="199"/>
      <c r="BB374" s="199"/>
      <c r="BC374" s="199"/>
      <c r="BE374">
        <f t="shared" si="397"/>
        <v>0</v>
      </c>
      <c r="BF374" s="196"/>
      <c r="BG374" s="196"/>
      <c r="BH374" s="196"/>
      <c r="BI374" s="196"/>
      <c r="BJ374" s="196"/>
      <c r="BK374" s="196"/>
    </row>
    <row r="375" spans="1:63" hidden="1">
      <c r="B375" s="72"/>
      <c r="C375" s="135"/>
      <c r="D375" s="73"/>
      <c r="E375" s="73"/>
      <c r="F375" s="72"/>
      <c r="G375" s="72"/>
      <c r="H375" s="72"/>
      <c r="I375" s="73">
        <f t="shared" ref="I375:I406" si="399">F375+(G375/2)+(H375/2)</f>
        <v>0</v>
      </c>
      <c r="J375" s="73"/>
      <c r="K375" s="73"/>
      <c r="L375" s="74" t="e">
        <f>_xlfn.IFNA(VLOOKUP(C375,'חד גזעי'!$U$3:$V$509,2,0),VLOOKUP(C375,'חד גזעי'!$U$3:$V$509,2))</f>
        <v>#N/A</v>
      </c>
      <c r="M375" s="73"/>
      <c r="N375" s="72" t="e">
        <f>_xlfn.IFNA(IF(VLOOKUP(C375,'חד גזעי'!$AH$2:$AH$7,1,FALSE)&gt;0,0,IF('חד גזעי'!$AM$5="כן",IF(_xlfn.IFNA(VLOOKUP(C375,'חד גזעי'!$AH$2:$AH$33,1,FALSE),SUM(J375:M375))&lt;21,_xlfn.IFNA(VLOOKUP(C375,'חד גזעי'!$AH$2:$AH$33,1,FALSE),SUM(J375:M375)),0),SUM(J375:M375))),IF('חד גזעי'!$AM$5="כן",IF(_xlfn.IFNA(VLOOKUP(C375,'חד גזעי'!$AH$2:$AH$33,1,FALSE),SUM(J375:M375))&lt;21,_xlfn.IFNA(VLOOKUP(C375,'חד גזעי'!$AH$2:$AH$33,1,FALSE),SUM(J375:M375)),0),SUM(J375:M375)))</f>
        <v>#N/A</v>
      </c>
      <c r="O375" s="72">
        <f>IF('חד גזעי'!$AM$3 = "כן",IF(T375&gt;4,4,T375),T375)</f>
        <v>0</v>
      </c>
      <c r="P375" s="80">
        <f>IF(E375&lt;2,0,IF(Z375&gt;0,Z375,IF(N375 = 0,0,IF('חד גזעי'!$AM$2 = "לא",IF(F375&gt;19,W375,0),IF(F375&gt;9,Y375,0)))))</f>
        <v>0</v>
      </c>
      <c r="Q375" s="77"/>
      <c r="R375" s="75"/>
      <c r="S375" t="e">
        <f>VLOOKUP(C375,'חד גזעי'!$Y$4:$Y$18,1,0)</f>
        <v>#N/A</v>
      </c>
      <c r="T375" s="72">
        <f>IF('חד גזעי'!$AM$6="לא",IF(P375=0,IF(BC375="שימור",IF('חד גזעי'!$AM$4="לא",IF(BC375="לא בוגר",0,IF(BC375="לא קיים",0,IF(J375=0,0,I375*0.1))),IF(BC375="לא בוגר",0,IF(BC375="לא קיים",0,IF(AB375=1,I375*0.1,E375*0.5)))),0),IF('חד גזעי'!$AM$4="לא",IF(BC375="לא בוגר",0,IF(BC375="לא קיים",0,IF(J375=0,0,I375*0.1))),IF(BC375="לא בוגר",0,IF(BC375="לא קיים",0,IF(AB375=1,I375*0.1,E375*0.5))))),IF(P375=0,IF(BC375="שימור",IF('חד גזעי'!$AM$4="לא",IF(BC375="לא בוגר",0,IF(BC375="לא קיים",0,IF(J375=0,0,I375*0.15))),IF(BC375="לא בוגר",0,IF(BC375="לא קיים",0,IF(AB375=1,I375*0.15,E375*0.5)))),0),IF('חד גזעי'!$AM$4="לא",IF(BC375="לא בוגר",0,IF(BC375="לא קיים",0,IF(J375=0,0,I375*0.15))),IF(BC375="לא בוגר",0,IF(BC375="לא קיים",0,IF(AB375=1,I375*0.15,E375*0.5))))))</f>
        <v>0</v>
      </c>
      <c r="V375" t="e">
        <f t="shared" si="371"/>
        <v>#N/A</v>
      </c>
      <c r="W375" t="e">
        <f t="shared" si="372"/>
        <v>#N/A</v>
      </c>
      <c r="X375" t="e">
        <f t="shared" si="373"/>
        <v>#N/A</v>
      </c>
      <c r="Y375">
        <f>IF('חד גזעי'!$AM$2 = "לא",0,IF(F375&gt;9,W375,0))</f>
        <v>0</v>
      </c>
      <c r="Z375">
        <f>IF('חד גזעי'!$AM$7 = "לא",0,IF(C375 = "זית אירופי",IF('חד גזעי'!$AN$7 &lt;=סקר!F375,W375,0),IF(C375 = "חרוב מצוי",IF('חד גזעי'!$AN$7 &lt;=סקר!F375,W375,0),0)))</f>
        <v>0</v>
      </c>
      <c r="AB375">
        <f t="shared" ref="AB375:AB406" si="400">_xlfn.IFNA(S375,1)</f>
        <v>1</v>
      </c>
      <c r="AC375" s="72"/>
      <c r="AD375" t="e">
        <f>IF(AK375&gt;0,AK375,AF375)</f>
        <v>#N/A</v>
      </c>
      <c r="AE375" s="72"/>
      <c r="AF375" s="72" t="e">
        <f t="shared" ref="AF375:AF406" si="401">((AJ375+AI375+AH375)*(AG375))*(J375*0.2)*(K375*0.2)*20</f>
        <v>#N/A</v>
      </c>
      <c r="AG375" s="72" t="e">
        <f>IF('חד גזעי'!$AM$5="לא",(VLOOKUP(C375,'חד גזעי'!$P$1:$S$589,3,FALSE)),(VLOOKUP(C375,'חד גזעי'!$P$1:$S$589,4,FALSE)))</f>
        <v>#N/A</v>
      </c>
      <c r="AH375" s="72">
        <f t="shared" ref="AH375:AH406" si="402">(3.14*((F375/2)^2))</f>
        <v>0</v>
      </c>
      <c r="AI375" s="72">
        <f t="shared" ref="AI375:AI406" si="403">3.14*(G375*G375/4)</f>
        <v>0</v>
      </c>
      <c r="AJ375" s="72">
        <f t="shared" ref="AJ375:AJ406" si="404">3.14*(H375*H375/4)</f>
        <v>0</v>
      </c>
      <c r="AK375" s="72" t="e">
        <f t="shared" ref="AK375:AK406" si="405">AL375*E375*(J375*0.2)*(0.2*K375)*1500</f>
        <v>#N/A</v>
      </c>
      <c r="AL375" t="e">
        <f>VLOOKUP(C375,'חד גזעי'!$AH$8:$AI$33,2,FALSE)</f>
        <v>#N/A</v>
      </c>
      <c r="AM375" s="72" t="b">
        <f t="shared" ref="AM375:AM406" si="406">IF(BC375="שימור",P375)</f>
        <v>0</v>
      </c>
      <c r="AN375" s="72" t="b">
        <f t="shared" ref="AN375:AN406" si="407">IF(BC375="כריתה",P375)</f>
        <v>0</v>
      </c>
      <c r="AO375" s="72" t="b">
        <f t="shared" ref="AO375:AO406" si="408">IF(BC375="העתקה",P375)</f>
        <v>0</v>
      </c>
      <c r="AS375" s="72">
        <f t="shared" ref="AS375:AS406" si="409">B375</f>
        <v>0</v>
      </c>
      <c r="AT375" s="72">
        <f t="shared" ref="AT375:AT406" si="410">C375</f>
        <v>0</v>
      </c>
      <c r="AU375" s="72">
        <f>IF(C375&gt;0,IF(D375&lt;2,1,D375),0)</f>
        <v>0</v>
      </c>
      <c r="AV375" s="72">
        <f t="shared" ref="AV375:AV406" si="411">E375</f>
        <v>0</v>
      </c>
      <c r="AW375" s="72">
        <f t="shared" ref="AW375:AW406" si="412">F375</f>
        <v>0</v>
      </c>
      <c r="AX375" s="72">
        <f t="shared" ref="AX375:AX406" si="413">G375</f>
        <v>0</v>
      </c>
      <c r="AY375" s="72">
        <f t="shared" ref="AY375:AY406" si="414">H375</f>
        <v>0</v>
      </c>
      <c r="AZ375" s="72">
        <f t="shared" ref="AZ375:AZ406" si="415">I375</f>
        <v>0</v>
      </c>
      <c r="BA375" s="72" t="e">
        <f t="shared" ref="BA375:BA406" si="416">N375</f>
        <v>#N/A</v>
      </c>
      <c r="BB375" s="72" t="e">
        <f t="shared" ref="BB375:BB406" si="417">IF(BA375&gt;6,IF(BA375&gt;13,IF(BA375&gt;16,"גבוה מאוד","גבוה"),"בינונית"),"נמוכה")</f>
        <v>#N/A</v>
      </c>
      <c r="BC375" s="77"/>
      <c r="BE375">
        <f t="shared" si="397"/>
        <v>0</v>
      </c>
      <c r="BF375" s="196"/>
      <c r="BG375" s="196"/>
      <c r="BH375" s="196"/>
      <c r="BI375" s="196"/>
      <c r="BJ375" s="196"/>
      <c r="BK375" s="196"/>
    </row>
    <row r="376" spans="1:63" ht="12.75" hidden="1" customHeight="1">
      <c r="B376" s="72"/>
      <c r="C376" s="135"/>
      <c r="D376" s="73"/>
      <c r="E376" s="73"/>
      <c r="F376" s="72"/>
      <c r="G376" s="72"/>
      <c r="H376" s="72"/>
      <c r="I376" s="73">
        <f t="shared" si="399"/>
        <v>0</v>
      </c>
      <c r="J376" s="73"/>
      <c r="K376" s="73"/>
      <c r="L376" s="74" t="e">
        <f>_xlfn.IFNA(VLOOKUP(C376,'חד גזעי'!$U$3:$V$509,2,0),VLOOKUP(C376,'חד גזעי'!$U$3:$V$509,2))</f>
        <v>#N/A</v>
      </c>
      <c r="M376" s="73"/>
      <c r="N376" s="72" t="e">
        <f>_xlfn.IFNA(IF(VLOOKUP(C376,'חד גזעי'!$AH$2:$AH$7,1,FALSE)&gt;0,0,IF('חד גזעי'!$AM$5="כן",IF(_xlfn.IFNA(VLOOKUP(C376,'חד גזעי'!$AH$2:$AH$33,1,FALSE),SUM(J376:M376))&lt;21,_xlfn.IFNA(VLOOKUP(C376,'חד גזעי'!$AH$2:$AH$33,1,FALSE),SUM(J376:M376)),0),SUM(J376:M376))),IF('חד גזעי'!$AM$5="כן",IF(_xlfn.IFNA(VLOOKUP(C376,'חד גזעי'!$AH$2:$AH$33,1,FALSE),SUM(J376:M376))&lt;21,_xlfn.IFNA(VLOOKUP(C376,'חד גזעי'!$AH$2:$AH$33,1,FALSE),SUM(J376:M376)),0),SUM(J376:M376)))</f>
        <v>#N/A</v>
      </c>
      <c r="O376" s="72">
        <f>IF('חד גזעי'!$AM$3 = "כן",IF(T376&gt;4,4,T376),T376)</f>
        <v>0</v>
      </c>
      <c r="P376" s="80">
        <f>IF(E376&lt;2,0,IF(Z376&gt;0,Z376,IF(N376 = 0,0,IF('חד גזעי'!$AM$2 = "לא",IF(F376&gt;19,W376,0),IF(F376&gt;9,Y376,0)))))</f>
        <v>0</v>
      </c>
      <c r="Q376" s="77"/>
      <c r="R376" s="75"/>
      <c r="S376" t="e">
        <f>VLOOKUP(C376,'חד גזעי'!$Y$4:$Y$18,1,0)</f>
        <v>#N/A</v>
      </c>
      <c r="T376" s="72">
        <f>IF('חד גזעי'!$AM$6="לא",IF(P376=0,IF(BC376="שימור",IF('חד גזעי'!$AM$4="לא",IF(BC376="לא בוגר",0,IF(BC376="לא קיים",0,IF(J376=0,0,I376*0.1))),IF(BC376="לא בוגר",0,IF(BC376="לא קיים",0,IF(AB376=1,I376*0.1,E376*0.5)))),0),IF('חד גזעי'!$AM$4="לא",IF(BC376="לא בוגר",0,IF(BC376="לא קיים",0,IF(J376=0,0,I376*0.1))),IF(BC376="לא בוגר",0,IF(BC376="לא קיים",0,IF(AB376=1,I376*0.1,E376*0.5))))),IF(P376=0,IF(BC376="שימור",IF('חד גזעי'!$AM$4="לא",IF(BC376="לא בוגר",0,IF(BC376="לא קיים",0,IF(J376=0,0,I376*0.15))),IF(BC376="לא בוגר",0,IF(BC376="לא קיים",0,IF(AB376=1,I376*0.15,E376*0.5)))),0),IF('חד גזעי'!$AM$4="לא",IF(BC376="לא בוגר",0,IF(BC376="לא קיים",0,IF(J376=0,0,I376*0.15))),IF(BC376="לא בוגר",0,IF(BC376="לא קיים",0,IF(AB376=1,I376*0.15,E376*0.5))))))</f>
        <v>0</v>
      </c>
      <c r="V376" t="e">
        <f t="shared" si="371"/>
        <v>#N/A</v>
      </c>
      <c r="W376" t="e">
        <f t="shared" si="372"/>
        <v>#N/A</v>
      </c>
      <c r="X376" t="e">
        <f t="shared" si="373"/>
        <v>#N/A</v>
      </c>
      <c r="Y376">
        <f>IF('חד גזעי'!$AM$2 = "לא",0,IF(F376&gt;9,W376,0))</f>
        <v>0</v>
      </c>
      <c r="Z376">
        <f>IF('חד גזעי'!$AM$7 = "לא",0,IF(C376 = "זית אירופי",IF('חד גזעי'!$AN$7 &lt;=סקר!F376,W376,0),IF(C376 = "חרוב מצוי",IF('חד גזעי'!$AN$7 &lt;=סקר!F376,W376,0),0)))</f>
        <v>0</v>
      </c>
      <c r="AB376">
        <f t="shared" si="400"/>
        <v>1</v>
      </c>
      <c r="AC376" s="72"/>
      <c r="AD376" t="e">
        <f t="shared" ref="AD376:AD406" si="418">IF(AK376&gt;0,AK376,AF376)</f>
        <v>#N/A</v>
      </c>
      <c r="AE376" s="72"/>
      <c r="AF376" s="72" t="e">
        <f t="shared" si="401"/>
        <v>#N/A</v>
      </c>
      <c r="AG376" s="72" t="e">
        <f>IF('חד גזעי'!$AM$5="לא",(VLOOKUP(C376,'חד גזעי'!$P$1:$S$589,3,FALSE)),(VLOOKUP(C376,'חד גזעי'!$P$1:$S$589,4,FALSE)))</f>
        <v>#N/A</v>
      </c>
      <c r="AH376" s="72">
        <f t="shared" si="402"/>
        <v>0</v>
      </c>
      <c r="AI376" s="72">
        <f t="shared" si="403"/>
        <v>0</v>
      </c>
      <c r="AJ376" s="72">
        <f t="shared" si="404"/>
        <v>0</v>
      </c>
      <c r="AK376" s="72" t="e">
        <f t="shared" si="405"/>
        <v>#N/A</v>
      </c>
      <c r="AL376" t="e">
        <f>VLOOKUP(C376,'חד גזעי'!$AH$8:$AI$33,2,FALSE)</f>
        <v>#N/A</v>
      </c>
      <c r="AM376" s="72" t="b">
        <f t="shared" si="406"/>
        <v>0</v>
      </c>
      <c r="AN376" s="72" t="b">
        <f t="shared" si="407"/>
        <v>0</v>
      </c>
      <c r="AO376" s="72" t="b">
        <f t="shared" si="408"/>
        <v>0</v>
      </c>
      <c r="AS376" s="72">
        <f t="shared" si="409"/>
        <v>0</v>
      </c>
      <c r="AT376" s="72">
        <f t="shared" si="410"/>
        <v>0</v>
      </c>
      <c r="AU376" s="72">
        <f t="shared" ref="AU376:AU406" si="419">IF(C376&gt;0,IF(D376&lt;2,1,D376),0)</f>
        <v>0</v>
      </c>
      <c r="AV376" s="72">
        <f t="shared" si="411"/>
        <v>0</v>
      </c>
      <c r="AW376" s="72">
        <f t="shared" si="412"/>
        <v>0</v>
      </c>
      <c r="AX376" s="72">
        <f t="shared" si="413"/>
        <v>0</v>
      </c>
      <c r="AY376" s="72">
        <f t="shared" si="414"/>
        <v>0</v>
      </c>
      <c r="AZ376" s="72">
        <f t="shared" si="415"/>
        <v>0</v>
      </c>
      <c r="BA376" s="72" t="e">
        <f t="shared" si="416"/>
        <v>#N/A</v>
      </c>
      <c r="BB376" s="72" t="e">
        <f t="shared" si="417"/>
        <v>#N/A</v>
      </c>
      <c r="BC376" s="77"/>
      <c r="BE376">
        <f t="shared" si="397"/>
        <v>0</v>
      </c>
      <c r="BF376" s="196"/>
      <c r="BG376" s="196"/>
      <c r="BH376" s="196"/>
      <c r="BI376" s="196"/>
      <c r="BJ376" s="196"/>
      <c r="BK376" s="196"/>
    </row>
    <row r="377" spans="1:63" ht="12.75" hidden="1" customHeight="1">
      <c r="B377" s="72"/>
      <c r="C377" s="135"/>
      <c r="D377" s="73"/>
      <c r="E377" s="73"/>
      <c r="F377" s="72"/>
      <c r="G377" s="72"/>
      <c r="H377" s="72"/>
      <c r="I377" s="73">
        <f t="shared" si="399"/>
        <v>0</v>
      </c>
      <c r="J377" s="73"/>
      <c r="K377" s="73"/>
      <c r="L377" s="74" t="e">
        <f>_xlfn.IFNA(VLOOKUP(C377,'חד גזעי'!$U$3:$V$509,2,0),VLOOKUP(C377,'חד גזעי'!$U$3:$V$509,2))</f>
        <v>#N/A</v>
      </c>
      <c r="M377" s="73"/>
      <c r="N377" s="72" t="e">
        <f>_xlfn.IFNA(IF(VLOOKUP(C377,'חד גזעי'!$AH$2:$AH$7,1,FALSE)&gt;0,0,IF('חד גזעי'!$AM$5="כן",IF(_xlfn.IFNA(VLOOKUP(C377,'חד גזעי'!$AH$2:$AH$33,1,FALSE),SUM(J377:M377))&lt;21,_xlfn.IFNA(VLOOKUP(C377,'חד גזעי'!$AH$2:$AH$33,1,FALSE),SUM(J377:M377)),0),SUM(J377:M377))),IF('חד גזעי'!$AM$5="כן",IF(_xlfn.IFNA(VLOOKUP(C377,'חד גזעי'!$AH$2:$AH$33,1,FALSE),SUM(J377:M377))&lt;21,_xlfn.IFNA(VLOOKUP(C377,'חד גזעי'!$AH$2:$AH$33,1,FALSE),SUM(J377:M377)),0),SUM(J377:M377)))</f>
        <v>#N/A</v>
      </c>
      <c r="O377" s="72">
        <f>IF('חד גזעי'!$AM$3 = "כן",IF(T377&gt;4,4,T377),T377)</f>
        <v>0</v>
      </c>
      <c r="P377" s="80">
        <f>IF(E377&lt;2,0,IF(Z377&gt;0,Z377,IF(N377 = 0,0,IF('חד גזעי'!$AM$2 = "לא",IF(F377&gt;19,W377,0),IF(F377&gt;9,Y377,0)))))</f>
        <v>0</v>
      </c>
      <c r="Q377" s="77"/>
      <c r="R377" s="75"/>
      <c r="S377" t="e">
        <f>VLOOKUP(C377,'חד גזעי'!$Y$4:$Y$18,1,0)</f>
        <v>#N/A</v>
      </c>
      <c r="T377" s="72">
        <f>IF('חד גזעי'!$AM$6="לא",IF(P377=0,IF(BC377="שימור",IF('חד גזעי'!$AM$4="לא",IF(BC377="לא בוגר",0,IF(BC377="לא קיים",0,IF(J377=0,0,I377*0.1))),IF(BC377="לא בוגר",0,IF(BC377="לא קיים",0,IF(AB377=1,I377*0.1,E377*0.5)))),0),IF('חד גזעי'!$AM$4="לא",IF(BC377="לא בוגר",0,IF(BC377="לא קיים",0,IF(J377=0,0,I377*0.1))),IF(BC377="לא בוגר",0,IF(BC377="לא קיים",0,IF(AB377=1,I377*0.1,E377*0.5))))),IF(P377=0,IF(BC377="שימור",IF('חד גזעי'!$AM$4="לא",IF(BC377="לא בוגר",0,IF(BC377="לא קיים",0,IF(J377=0,0,I377*0.15))),IF(BC377="לא בוגר",0,IF(BC377="לא קיים",0,IF(AB377=1,I377*0.15,E377*0.5)))),0),IF('חד גזעי'!$AM$4="לא",IF(BC377="לא בוגר",0,IF(BC377="לא קיים",0,IF(J377=0,0,I377*0.15))),IF(BC377="לא בוגר",0,IF(BC377="לא קיים",0,IF(AB377=1,I377*0.15,E377*0.5))))))</f>
        <v>0</v>
      </c>
      <c r="V377" t="e">
        <f t="shared" si="371"/>
        <v>#N/A</v>
      </c>
      <c r="W377" t="e">
        <f t="shared" si="372"/>
        <v>#N/A</v>
      </c>
      <c r="X377" t="e">
        <f t="shared" si="373"/>
        <v>#N/A</v>
      </c>
      <c r="Y377">
        <f>IF('חד גזעי'!$AM$2 = "לא",0,IF(F377&gt;9,W377,0))</f>
        <v>0</v>
      </c>
      <c r="Z377">
        <f>IF('חד גזעי'!$AM$7 = "לא",0,IF(C377 = "זית אירופי",IF('חד גזעי'!$AN$7 &lt;=סקר!F377,W377,0),IF(C377 = "חרוב מצוי",IF('חד גזעי'!$AN$7 &lt;=סקר!F377,W377,0),0)))</f>
        <v>0</v>
      </c>
      <c r="AB377">
        <f t="shared" si="400"/>
        <v>1</v>
      </c>
      <c r="AC377" s="72"/>
      <c r="AD377" t="e">
        <f t="shared" si="418"/>
        <v>#N/A</v>
      </c>
      <c r="AE377" s="72"/>
      <c r="AF377" s="72" t="e">
        <f t="shared" si="401"/>
        <v>#N/A</v>
      </c>
      <c r="AG377" s="72" t="e">
        <f>IF('חד גזעי'!$AM$5="לא",(VLOOKUP(C377,'חד גזעי'!$P$1:$S$589,3,FALSE)),(VLOOKUP(C377,'חד גזעי'!$P$1:$S$589,4,FALSE)))</f>
        <v>#N/A</v>
      </c>
      <c r="AH377" s="72">
        <f t="shared" si="402"/>
        <v>0</v>
      </c>
      <c r="AI377" s="72">
        <f t="shared" si="403"/>
        <v>0</v>
      </c>
      <c r="AJ377" s="72">
        <f t="shared" si="404"/>
        <v>0</v>
      </c>
      <c r="AK377" s="72" t="e">
        <f t="shared" si="405"/>
        <v>#N/A</v>
      </c>
      <c r="AL377" t="e">
        <f>VLOOKUP(C377,'חד גזעי'!$AH$8:$AI$33,2,FALSE)</f>
        <v>#N/A</v>
      </c>
      <c r="AM377" s="72" t="b">
        <f t="shared" si="406"/>
        <v>0</v>
      </c>
      <c r="AN377" s="72" t="b">
        <f t="shared" si="407"/>
        <v>0</v>
      </c>
      <c r="AO377" s="72" t="b">
        <f t="shared" si="408"/>
        <v>0</v>
      </c>
      <c r="AS377" s="72">
        <f t="shared" si="409"/>
        <v>0</v>
      </c>
      <c r="AT377" s="72">
        <f t="shared" si="410"/>
        <v>0</v>
      </c>
      <c r="AU377" s="72">
        <f t="shared" si="419"/>
        <v>0</v>
      </c>
      <c r="AV377" s="72">
        <f t="shared" si="411"/>
        <v>0</v>
      </c>
      <c r="AW377" s="72">
        <f t="shared" si="412"/>
        <v>0</v>
      </c>
      <c r="AX377" s="72">
        <f t="shared" si="413"/>
        <v>0</v>
      </c>
      <c r="AY377" s="72">
        <f t="shared" si="414"/>
        <v>0</v>
      </c>
      <c r="AZ377" s="72">
        <f t="shared" si="415"/>
        <v>0</v>
      </c>
      <c r="BA377" s="72" t="e">
        <f t="shared" si="416"/>
        <v>#N/A</v>
      </c>
      <c r="BB377" s="72" t="e">
        <f t="shared" si="417"/>
        <v>#N/A</v>
      </c>
      <c r="BC377" s="77"/>
      <c r="BE377">
        <f t="shared" si="397"/>
        <v>0</v>
      </c>
      <c r="BF377" s="196"/>
      <c r="BG377" s="196"/>
      <c r="BH377" s="196"/>
      <c r="BI377" s="196"/>
      <c r="BJ377" s="196"/>
      <c r="BK377" s="196"/>
    </row>
    <row r="378" spans="1:63" ht="12.75" hidden="1" customHeight="1">
      <c r="B378" s="72"/>
      <c r="C378" s="135"/>
      <c r="D378" s="73"/>
      <c r="E378" s="73"/>
      <c r="F378" s="72"/>
      <c r="G378" s="72"/>
      <c r="H378" s="72"/>
      <c r="I378" s="73">
        <f t="shared" si="399"/>
        <v>0</v>
      </c>
      <c r="J378" s="73"/>
      <c r="K378" s="73"/>
      <c r="L378" s="74" t="e">
        <f>_xlfn.IFNA(VLOOKUP(C378,'חד גזעי'!$U$3:$V$509,2,0),VLOOKUP(C378,'חד גזעי'!$U$3:$V$509,2))</f>
        <v>#N/A</v>
      </c>
      <c r="M378" s="73"/>
      <c r="N378" s="72" t="e">
        <f>_xlfn.IFNA(IF(VLOOKUP(C378,'חד גזעי'!$AH$2:$AH$7,1,FALSE)&gt;0,0,IF('חד גזעי'!$AM$5="כן",IF(_xlfn.IFNA(VLOOKUP(C378,'חד גזעי'!$AH$2:$AH$33,1,FALSE),SUM(J378:M378))&lt;21,_xlfn.IFNA(VLOOKUP(C378,'חד גזעי'!$AH$2:$AH$33,1,FALSE),SUM(J378:M378)),0),SUM(J378:M378))),IF('חד גזעי'!$AM$5="כן",IF(_xlfn.IFNA(VLOOKUP(C378,'חד גזעי'!$AH$2:$AH$33,1,FALSE),SUM(J378:M378))&lt;21,_xlfn.IFNA(VLOOKUP(C378,'חד גזעי'!$AH$2:$AH$33,1,FALSE),SUM(J378:M378)),0),SUM(J378:M378)))</f>
        <v>#N/A</v>
      </c>
      <c r="O378" s="72">
        <f>IF('חד גזעי'!$AM$3 = "כן",IF(T378&gt;4,4,T378),T378)</f>
        <v>0</v>
      </c>
      <c r="P378" s="80">
        <f>IF(E378&lt;2,0,IF(Z378&gt;0,Z378,IF(N378 = 0,0,IF('חד גזעי'!$AM$2 = "לא",IF(F378&gt;19,W378,0),IF(F378&gt;9,Y378,0)))))</f>
        <v>0</v>
      </c>
      <c r="Q378" s="77"/>
      <c r="R378" s="75"/>
      <c r="S378" t="e">
        <f>VLOOKUP(C378,'חד גזעי'!$Y$4:$Y$18,1,0)</f>
        <v>#N/A</v>
      </c>
      <c r="T378" s="72">
        <f>IF('חד גזעי'!$AM$6="לא",IF(P378=0,IF(BC378="שימור",IF('חד גזעי'!$AM$4="לא",IF(BC378="לא בוגר",0,IF(BC378="לא קיים",0,IF(J378=0,0,I378*0.1))),IF(BC378="לא בוגר",0,IF(BC378="לא קיים",0,IF(AB378=1,I378*0.1,E378*0.5)))),0),IF('חד גזעי'!$AM$4="לא",IF(BC378="לא בוגר",0,IF(BC378="לא קיים",0,IF(J378=0,0,I378*0.1))),IF(BC378="לא בוגר",0,IF(BC378="לא קיים",0,IF(AB378=1,I378*0.1,E378*0.5))))),IF(P378=0,IF(BC378="שימור",IF('חד גזעי'!$AM$4="לא",IF(BC378="לא בוגר",0,IF(BC378="לא קיים",0,IF(J378=0,0,I378*0.15))),IF(BC378="לא בוגר",0,IF(BC378="לא קיים",0,IF(AB378=1,I378*0.15,E378*0.5)))),0),IF('חד גזעי'!$AM$4="לא",IF(BC378="לא בוגר",0,IF(BC378="לא קיים",0,IF(J378=0,0,I378*0.15))),IF(BC378="לא בוגר",0,IF(BC378="לא קיים",0,IF(AB378=1,I378*0.15,E378*0.5))))))</f>
        <v>0</v>
      </c>
      <c r="V378" t="e">
        <f t="shared" si="371"/>
        <v>#N/A</v>
      </c>
      <c r="W378" t="e">
        <f t="shared" si="372"/>
        <v>#N/A</v>
      </c>
      <c r="X378" t="e">
        <f t="shared" si="373"/>
        <v>#N/A</v>
      </c>
      <c r="Y378">
        <f>IF('חד גזעי'!$AM$2 = "לא",0,IF(F378&gt;9,W378,0))</f>
        <v>0</v>
      </c>
      <c r="Z378">
        <f>IF('חד גזעי'!$AM$7 = "לא",0,IF(C378 = "זית אירופי",IF('חד גזעי'!$AN$7 &lt;=סקר!F378,W378,0),IF(C378 = "חרוב מצוי",IF('חד גזעי'!$AN$7 &lt;=סקר!F378,W378,0),0)))</f>
        <v>0</v>
      </c>
      <c r="AB378">
        <f t="shared" si="400"/>
        <v>1</v>
      </c>
      <c r="AC378" s="72"/>
      <c r="AD378" t="e">
        <f t="shared" si="418"/>
        <v>#N/A</v>
      </c>
      <c r="AE378" s="72"/>
      <c r="AF378" s="72" t="e">
        <f t="shared" si="401"/>
        <v>#N/A</v>
      </c>
      <c r="AG378" s="72" t="e">
        <f>IF('חד גזעי'!$AM$5="לא",(VLOOKUP(C378,'חד גזעי'!$P$1:$S$589,3,FALSE)),(VLOOKUP(C378,'חד גזעי'!$P$1:$S$589,4,FALSE)))</f>
        <v>#N/A</v>
      </c>
      <c r="AH378" s="72">
        <f t="shared" si="402"/>
        <v>0</v>
      </c>
      <c r="AI378" s="72">
        <f t="shared" si="403"/>
        <v>0</v>
      </c>
      <c r="AJ378" s="72">
        <f t="shared" si="404"/>
        <v>0</v>
      </c>
      <c r="AK378" s="72" t="e">
        <f t="shared" si="405"/>
        <v>#N/A</v>
      </c>
      <c r="AL378" t="e">
        <f>VLOOKUP(C378,'חד גזעי'!$AH$8:$AI$33,2,FALSE)</f>
        <v>#N/A</v>
      </c>
      <c r="AM378" s="72" t="b">
        <f t="shared" si="406"/>
        <v>0</v>
      </c>
      <c r="AN378" s="72" t="b">
        <f t="shared" si="407"/>
        <v>0</v>
      </c>
      <c r="AO378" s="72" t="b">
        <f t="shared" si="408"/>
        <v>0</v>
      </c>
      <c r="AS378" s="72">
        <f t="shared" si="409"/>
        <v>0</v>
      </c>
      <c r="AT378" s="72">
        <f t="shared" si="410"/>
        <v>0</v>
      </c>
      <c r="AU378" s="72">
        <f t="shared" si="419"/>
        <v>0</v>
      </c>
      <c r="AV378" s="72">
        <f t="shared" si="411"/>
        <v>0</v>
      </c>
      <c r="AW378" s="72">
        <f t="shared" si="412"/>
        <v>0</v>
      </c>
      <c r="AX378" s="72">
        <f t="shared" si="413"/>
        <v>0</v>
      </c>
      <c r="AY378" s="72">
        <f t="shared" si="414"/>
        <v>0</v>
      </c>
      <c r="AZ378" s="72">
        <f t="shared" si="415"/>
        <v>0</v>
      </c>
      <c r="BA378" s="72" t="e">
        <f t="shared" si="416"/>
        <v>#N/A</v>
      </c>
      <c r="BB378" s="72" t="e">
        <f t="shared" si="417"/>
        <v>#N/A</v>
      </c>
      <c r="BC378" s="77"/>
      <c r="BE378">
        <f t="shared" si="397"/>
        <v>0</v>
      </c>
      <c r="BF378" s="196"/>
      <c r="BG378" s="196"/>
      <c r="BH378" s="196"/>
      <c r="BI378" s="196"/>
      <c r="BJ378" s="196"/>
      <c r="BK378" s="196"/>
    </row>
    <row r="379" spans="1:63" ht="12.75" hidden="1" customHeight="1">
      <c r="B379" s="72"/>
      <c r="C379" s="135"/>
      <c r="D379" s="73"/>
      <c r="E379" s="73"/>
      <c r="F379" s="72"/>
      <c r="G379" s="72"/>
      <c r="H379" s="72"/>
      <c r="I379" s="73">
        <f t="shared" si="399"/>
        <v>0</v>
      </c>
      <c r="J379" s="73"/>
      <c r="K379" s="73"/>
      <c r="L379" s="74" t="e">
        <f>_xlfn.IFNA(VLOOKUP(C379,'חד גזעי'!$U$3:$V$509,2,0),VLOOKUP(C379,'חד גזעי'!$U$3:$V$509,2))</f>
        <v>#N/A</v>
      </c>
      <c r="M379" s="73"/>
      <c r="N379" s="72" t="e">
        <f>_xlfn.IFNA(IF(VLOOKUP(C379,'חד גזעי'!$AH$2:$AH$7,1,FALSE)&gt;0,0,IF('חד גזעי'!$AM$5="כן",IF(_xlfn.IFNA(VLOOKUP(C379,'חד גזעי'!$AH$2:$AH$33,1,FALSE),SUM(J379:M379))&lt;21,_xlfn.IFNA(VLOOKUP(C379,'חד גזעי'!$AH$2:$AH$33,1,FALSE),SUM(J379:M379)),0),SUM(J379:M379))),IF('חד גזעי'!$AM$5="כן",IF(_xlfn.IFNA(VLOOKUP(C379,'חד גזעי'!$AH$2:$AH$33,1,FALSE),SUM(J379:M379))&lt;21,_xlfn.IFNA(VLOOKUP(C379,'חד גזעי'!$AH$2:$AH$33,1,FALSE),SUM(J379:M379)),0),SUM(J379:M379)))</f>
        <v>#N/A</v>
      </c>
      <c r="O379" s="72">
        <f>IF('חד גזעי'!$AM$3 = "כן",IF(T379&gt;4,4,T379),T379)</f>
        <v>0</v>
      </c>
      <c r="P379" s="80">
        <f>IF(E379&lt;2,0,IF(Z379&gt;0,Z379,IF(N379 = 0,0,IF('חד גזעי'!$AM$2 = "לא",IF(F379&gt;19,W379,0),IF(F379&gt;9,Y379,0)))))</f>
        <v>0</v>
      </c>
      <c r="Q379" s="77"/>
      <c r="R379" s="75"/>
      <c r="S379" t="e">
        <f>VLOOKUP(C379,'חד גזעי'!$Y$4:$Y$18,1,0)</f>
        <v>#N/A</v>
      </c>
      <c r="T379" s="72">
        <f>IF('חד גזעי'!$AM$6="לא",IF(P379=0,IF(BC379="שימור",IF('חד גזעי'!$AM$4="לא",IF(BC379="לא בוגר",0,IF(BC379="לא קיים",0,IF(J379=0,0,I379*0.1))),IF(BC379="לא בוגר",0,IF(BC379="לא קיים",0,IF(AB379=1,I379*0.1,E379*0.5)))),0),IF('חד גזעי'!$AM$4="לא",IF(BC379="לא בוגר",0,IF(BC379="לא קיים",0,IF(J379=0,0,I379*0.1))),IF(BC379="לא בוגר",0,IF(BC379="לא קיים",0,IF(AB379=1,I379*0.1,E379*0.5))))),IF(P379=0,IF(BC379="שימור",IF('חד גזעי'!$AM$4="לא",IF(BC379="לא בוגר",0,IF(BC379="לא קיים",0,IF(J379=0,0,I379*0.15))),IF(BC379="לא בוגר",0,IF(BC379="לא קיים",0,IF(AB379=1,I379*0.15,E379*0.5)))),0),IF('חד גזעי'!$AM$4="לא",IF(BC379="לא בוגר",0,IF(BC379="לא קיים",0,IF(J379=0,0,I379*0.15))),IF(BC379="לא בוגר",0,IF(BC379="לא קיים",0,IF(AB379=1,I379*0.15,E379*0.5))))))</f>
        <v>0</v>
      </c>
      <c r="V379" t="e">
        <f t="shared" si="371"/>
        <v>#N/A</v>
      </c>
      <c r="W379" t="e">
        <f t="shared" si="372"/>
        <v>#N/A</v>
      </c>
      <c r="X379" t="e">
        <f t="shared" si="373"/>
        <v>#N/A</v>
      </c>
      <c r="Y379">
        <f>IF('חד גזעי'!$AM$2 = "לא",0,IF(F379&gt;9,W379,0))</f>
        <v>0</v>
      </c>
      <c r="Z379">
        <f>IF('חד גזעי'!$AM$7 = "לא",0,IF(C379 = "זית אירופי",IF('חד גזעי'!$AN$7 &lt;=סקר!F379,W379,0),IF(C379 = "חרוב מצוי",IF('חד גזעי'!$AN$7 &lt;=סקר!F379,W379,0),0)))</f>
        <v>0</v>
      </c>
      <c r="AB379">
        <f t="shared" si="400"/>
        <v>1</v>
      </c>
      <c r="AC379" s="72"/>
      <c r="AD379" t="e">
        <f t="shared" si="418"/>
        <v>#N/A</v>
      </c>
      <c r="AE379" s="72"/>
      <c r="AF379" s="72" t="e">
        <f t="shared" si="401"/>
        <v>#N/A</v>
      </c>
      <c r="AG379" s="72" t="e">
        <f>IF('חד גזעי'!$AM$5="לא",(VLOOKUP(C379,'חד גזעי'!$P$1:$S$589,3,FALSE)),(VLOOKUP(C379,'חד גזעי'!$P$1:$S$589,4,FALSE)))</f>
        <v>#N/A</v>
      </c>
      <c r="AH379" s="72">
        <f t="shared" si="402"/>
        <v>0</v>
      </c>
      <c r="AI379" s="72">
        <f t="shared" si="403"/>
        <v>0</v>
      </c>
      <c r="AJ379" s="72">
        <f t="shared" si="404"/>
        <v>0</v>
      </c>
      <c r="AK379" s="72" t="e">
        <f t="shared" si="405"/>
        <v>#N/A</v>
      </c>
      <c r="AL379" t="e">
        <f>VLOOKUP(C379,'חד גזעי'!$AH$8:$AI$33,2,FALSE)</f>
        <v>#N/A</v>
      </c>
      <c r="AM379" s="72" t="b">
        <f t="shared" si="406"/>
        <v>0</v>
      </c>
      <c r="AN379" s="72" t="b">
        <f t="shared" si="407"/>
        <v>0</v>
      </c>
      <c r="AO379" s="72" t="b">
        <f t="shared" si="408"/>
        <v>0</v>
      </c>
      <c r="AS379" s="72">
        <f t="shared" si="409"/>
        <v>0</v>
      </c>
      <c r="AT379" s="72">
        <f t="shared" si="410"/>
        <v>0</v>
      </c>
      <c r="AU379" s="72">
        <f t="shared" si="419"/>
        <v>0</v>
      </c>
      <c r="AV379" s="72">
        <f t="shared" si="411"/>
        <v>0</v>
      </c>
      <c r="AW379" s="72">
        <f t="shared" si="412"/>
        <v>0</v>
      </c>
      <c r="AX379" s="72">
        <f t="shared" si="413"/>
        <v>0</v>
      </c>
      <c r="AY379" s="72">
        <f t="shared" si="414"/>
        <v>0</v>
      </c>
      <c r="AZ379" s="72">
        <f t="shared" si="415"/>
        <v>0</v>
      </c>
      <c r="BA379" s="72" t="e">
        <f t="shared" si="416"/>
        <v>#N/A</v>
      </c>
      <c r="BB379" s="72" t="e">
        <f t="shared" si="417"/>
        <v>#N/A</v>
      </c>
      <c r="BC379" s="77"/>
      <c r="BE379">
        <f t="shared" si="397"/>
        <v>0</v>
      </c>
      <c r="BF379" s="196"/>
      <c r="BG379" s="196"/>
      <c r="BH379" s="196"/>
      <c r="BI379" s="196"/>
      <c r="BJ379" s="196"/>
      <c r="BK379" s="196"/>
    </row>
    <row r="380" spans="1:63" ht="12.75" hidden="1" customHeight="1">
      <c r="B380" s="72"/>
      <c r="C380" s="135"/>
      <c r="D380" s="78"/>
      <c r="E380" s="73"/>
      <c r="F380" s="72"/>
      <c r="G380" s="72"/>
      <c r="H380" s="72"/>
      <c r="I380" s="73">
        <f t="shared" si="399"/>
        <v>0</v>
      </c>
      <c r="J380" s="78"/>
      <c r="K380" s="73"/>
      <c r="L380" s="74" t="e">
        <f>_xlfn.IFNA(VLOOKUP(C380,'חד גזעי'!$U$3:$V$509,2,0),VLOOKUP(C380,'חד גזעי'!$U$3:$V$509,2))</f>
        <v>#N/A</v>
      </c>
      <c r="M380" s="73"/>
      <c r="N380" s="72" t="e">
        <f>_xlfn.IFNA(IF(VLOOKUP(C380,'חד גזעי'!$AH$2:$AH$7,1,FALSE)&gt;0,0,IF('חד גזעי'!$AM$5="כן",IF(_xlfn.IFNA(VLOOKUP(C380,'חד גזעי'!$AH$2:$AH$33,1,FALSE),SUM(J380:M380))&lt;21,_xlfn.IFNA(VLOOKUP(C380,'חד גזעי'!$AH$2:$AH$33,1,FALSE),SUM(J380:M380)),0),SUM(J380:M380))),IF('חד גזעי'!$AM$5="כן",IF(_xlfn.IFNA(VLOOKUP(C380,'חד גזעי'!$AH$2:$AH$33,1,FALSE),SUM(J380:M380))&lt;21,_xlfn.IFNA(VLOOKUP(C380,'חד גזעי'!$AH$2:$AH$33,1,FALSE),SUM(J380:M380)),0),SUM(J380:M380)))</f>
        <v>#N/A</v>
      </c>
      <c r="O380" s="72">
        <f>IF('חד גזעי'!$AM$3 = "כן",IF(T380&gt;4,4,T380),T380)</f>
        <v>0</v>
      </c>
      <c r="P380" s="80">
        <f>IF(E380&lt;2,0,IF(Z380&gt;0,Z380,IF(N380 = 0,0,IF('חד גזעי'!$AM$2 = "לא",IF(F380&gt;19,W380,0),IF(F380&gt;9,Y380,0)))))</f>
        <v>0</v>
      </c>
      <c r="Q380" s="77"/>
      <c r="R380" s="75"/>
      <c r="S380" t="e">
        <f>VLOOKUP(C380,'חד גזעי'!$Y$4:$Y$18,1,0)</f>
        <v>#N/A</v>
      </c>
      <c r="T380" s="72">
        <f>IF('חד גזעי'!$AM$6="לא",IF(P380=0,IF(BC380="שימור",IF('חד גזעי'!$AM$4="לא",IF(BC380="לא בוגר",0,IF(BC380="לא קיים",0,IF(J380=0,0,I380*0.1))),IF(BC380="לא בוגר",0,IF(BC380="לא קיים",0,IF(AB380=1,I380*0.1,E380*0.5)))),0),IF('חד גזעי'!$AM$4="לא",IF(BC380="לא בוגר",0,IF(BC380="לא קיים",0,IF(J380=0,0,I380*0.1))),IF(BC380="לא בוגר",0,IF(BC380="לא קיים",0,IF(AB380=1,I380*0.1,E380*0.5))))),IF(P380=0,IF(BC380="שימור",IF('חד גזעי'!$AM$4="לא",IF(BC380="לא בוגר",0,IF(BC380="לא קיים",0,IF(J380=0,0,I380*0.15))),IF(BC380="לא בוגר",0,IF(BC380="לא קיים",0,IF(AB380=1,I380*0.15,E380*0.5)))),0),IF('חד גזעי'!$AM$4="לא",IF(BC380="לא בוגר",0,IF(BC380="לא קיים",0,IF(J380=0,0,I380*0.15))),IF(BC380="לא בוגר",0,IF(BC380="לא קיים",0,IF(AB380=1,I380*0.15,E380*0.5))))))</f>
        <v>0</v>
      </c>
      <c r="V380" t="e">
        <f t="shared" si="371"/>
        <v>#N/A</v>
      </c>
      <c r="W380" t="e">
        <f t="shared" si="372"/>
        <v>#N/A</v>
      </c>
      <c r="X380" t="e">
        <f t="shared" si="373"/>
        <v>#N/A</v>
      </c>
      <c r="Y380">
        <f>IF('חד גזעי'!$AM$2 = "לא",0,IF(F380&gt;9,W380,0))</f>
        <v>0</v>
      </c>
      <c r="Z380">
        <f>IF('חד גזעי'!$AM$7 = "לא",0,IF(C380 = "זית אירופי",IF('חד גזעי'!$AN$7 &lt;=סקר!F380,W380,0),IF(C380 = "חרוב מצוי",IF('חד גזעי'!$AN$7 &lt;=סקר!F380,W380,0),0)))</f>
        <v>0</v>
      </c>
      <c r="AB380">
        <f t="shared" si="400"/>
        <v>1</v>
      </c>
      <c r="AC380" s="72"/>
      <c r="AD380" t="e">
        <f t="shared" si="418"/>
        <v>#N/A</v>
      </c>
      <c r="AE380" s="72"/>
      <c r="AF380" s="72" t="e">
        <f t="shared" si="401"/>
        <v>#N/A</v>
      </c>
      <c r="AG380" s="72" t="e">
        <f>IF('חד גזעי'!$AM$5="לא",(VLOOKUP(C380,'חד גזעי'!$P$1:$S$589,3,FALSE)),(VLOOKUP(C380,'חד גזעי'!$P$1:$S$589,4,FALSE)))</f>
        <v>#N/A</v>
      </c>
      <c r="AH380" s="72">
        <f t="shared" si="402"/>
        <v>0</v>
      </c>
      <c r="AI380" s="72">
        <f t="shared" si="403"/>
        <v>0</v>
      </c>
      <c r="AJ380" s="72">
        <f t="shared" si="404"/>
        <v>0</v>
      </c>
      <c r="AK380" s="72" t="e">
        <f t="shared" si="405"/>
        <v>#N/A</v>
      </c>
      <c r="AL380" t="e">
        <f>VLOOKUP(C380,'חד גזעי'!$AH$8:$AI$33,2,FALSE)</f>
        <v>#N/A</v>
      </c>
      <c r="AM380" s="72" t="b">
        <f t="shared" si="406"/>
        <v>0</v>
      </c>
      <c r="AN380" s="72" t="b">
        <f t="shared" si="407"/>
        <v>0</v>
      </c>
      <c r="AO380" s="72" t="b">
        <f t="shared" si="408"/>
        <v>0</v>
      </c>
      <c r="AS380" s="72">
        <f t="shared" si="409"/>
        <v>0</v>
      </c>
      <c r="AT380" s="72">
        <f t="shared" si="410"/>
        <v>0</v>
      </c>
      <c r="AU380" s="72">
        <f t="shared" si="419"/>
        <v>0</v>
      </c>
      <c r="AV380" s="72">
        <f t="shared" si="411"/>
        <v>0</v>
      </c>
      <c r="AW380" s="72">
        <f t="shared" si="412"/>
        <v>0</v>
      </c>
      <c r="AX380" s="72">
        <f t="shared" si="413"/>
        <v>0</v>
      </c>
      <c r="AY380" s="72">
        <f t="shared" si="414"/>
        <v>0</v>
      </c>
      <c r="AZ380" s="72">
        <f t="shared" si="415"/>
        <v>0</v>
      </c>
      <c r="BA380" s="72" t="e">
        <f t="shared" si="416"/>
        <v>#N/A</v>
      </c>
      <c r="BB380" s="72" t="e">
        <f t="shared" si="417"/>
        <v>#N/A</v>
      </c>
      <c r="BC380" s="77"/>
      <c r="BE380">
        <f t="shared" si="397"/>
        <v>0</v>
      </c>
      <c r="BF380" s="196"/>
      <c r="BG380" s="196"/>
      <c r="BH380" s="196"/>
      <c r="BI380" s="196"/>
      <c r="BJ380" s="196"/>
      <c r="BK380" s="196"/>
    </row>
    <row r="381" spans="1:63" hidden="1">
      <c r="B381" s="72"/>
      <c r="C381" s="135"/>
      <c r="D381" s="78"/>
      <c r="E381" s="73"/>
      <c r="F381" s="72"/>
      <c r="G381" s="72"/>
      <c r="H381" s="72"/>
      <c r="I381" s="73">
        <f t="shared" si="399"/>
        <v>0</v>
      </c>
      <c r="J381" s="78"/>
      <c r="K381" s="73"/>
      <c r="L381" s="74" t="e">
        <f>_xlfn.IFNA(VLOOKUP(C381,'חד גזעי'!$U$3:$V$509,2,0),VLOOKUP(C381,'חד גזעי'!$U$3:$V$509,2))</f>
        <v>#N/A</v>
      </c>
      <c r="M381" s="73"/>
      <c r="N381" s="72" t="e">
        <f>_xlfn.IFNA(IF(VLOOKUP(C381,'חד גזעי'!$AH$2:$AH$7,1,FALSE)&gt;0,0,IF('חד גזעי'!$AM$5="כן",IF(_xlfn.IFNA(VLOOKUP(C381,'חד גזעי'!$AH$2:$AH$33,1,FALSE),SUM(J381:M381))&lt;21,_xlfn.IFNA(VLOOKUP(C381,'חד גזעי'!$AH$2:$AH$33,1,FALSE),SUM(J381:M381)),0),SUM(J381:M381))),IF('חד גזעי'!$AM$5="כן",IF(_xlfn.IFNA(VLOOKUP(C381,'חד גזעי'!$AH$2:$AH$33,1,FALSE),SUM(J381:M381))&lt;21,_xlfn.IFNA(VLOOKUP(C381,'חד גזעי'!$AH$2:$AH$33,1,FALSE),SUM(J381:M381)),0),SUM(J381:M381)))</f>
        <v>#N/A</v>
      </c>
      <c r="O381" s="72">
        <f>IF('חד גזעי'!$AM$3 = "כן",IF(T381&gt;4,4,T381),T381)</f>
        <v>0</v>
      </c>
      <c r="P381" s="80">
        <f>IF(E381&lt;2,0,IF(Z381&gt;0,Z381,IF(N381 = 0,0,IF('חד גזעי'!$AM$2 = "לא",IF(F381&gt;19,W381,0),IF(F381&gt;9,Y381,0)))))</f>
        <v>0</v>
      </c>
      <c r="Q381" s="77"/>
      <c r="R381" s="75"/>
      <c r="S381" t="e">
        <f>VLOOKUP(C381,'חד גזעי'!$Y$4:$Y$18,1,0)</f>
        <v>#N/A</v>
      </c>
      <c r="T381" s="72">
        <f>IF('חד גזעי'!$AM$6="לא",IF(P381=0,IF(BC381="שימור",IF('חד גזעי'!$AM$4="לא",IF(BC381="לא בוגר",0,IF(BC381="לא קיים",0,IF(J381=0,0,I381*0.1))),IF(BC381="לא בוגר",0,IF(BC381="לא קיים",0,IF(AB381=1,I381*0.1,E381*0.5)))),0),IF('חד גזעי'!$AM$4="לא",IF(BC381="לא בוגר",0,IF(BC381="לא קיים",0,IF(J381=0,0,I381*0.1))),IF(BC381="לא בוגר",0,IF(BC381="לא קיים",0,IF(AB381=1,I381*0.1,E381*0.5))))),IF(P381=0,IF(BC381="שימור",IF('חד גזעי'!$AM$4="לא",IF(BC381="לא בוגר",0,IF(BC381="לא קיים",0,IF(J381=0,0,I381*0.15))),IF(BC381="לא בוגר",0,IF(BC381="לא קיים",0,IF(AB381=1,I381*0.15,E381*0.5)))),0),IF('חד גזעי'!$AM$4="לא",IF(BC381="לא בוגר",0,IF(BC381="לא קיים",0,IF(J381=0,0,I381*0.15))),IF(BC381="לא בוגר",0,IF(BC381="לא קיים",0,IF(AB381=1,I381*0.15,E381*0.5))))))</f>
        <v>0</v>
      </c>
      <c r="V381" t="e">
        <f t="shared" si="371"/>
        <v>#N/A</v>
      </c>
      <c r="W381" t="e">
        <f t="shared" si="372"/>
        <v>#N/A</v>
      </c>
      <c r="X381" t="e">
        <f t="shared" si="373"/>
        <v>#N/A</v>
      </c>
      <c r="Y381">
        <f>IF('חד גזעי'!$AM$2 = "לא",0,IF(F381&gt;9,W381,0))</f>
        <v>0</v>
      </c>
      <c r="Z381">
        <f>IF('חד גזעי'!$AM$7 = "לא",0,IF(C381 = "זית אירופי",IF('חד גזעי'!$AN$7 &lt;=סקר!F381,W381,0),IF(C381 = "חרוב מצוי",IF('חד גזעי'!$AN$7 &lt;=סקר!F381,W381,0),0)))</f>
        <v>0</v>
      </c>
      <c r="AB381">
        <f t="shared" si="400"/>
        <v>1</v>
      </c>
      <c r="AC381" s="72"/>
      <c r="AD381" t="e">
        <f t="shared" si="418"/>
        <v>#N/A</v>
      </c>
      <c r="AE381" s="72"/>
      <c r="AF381" s="72" t="e">
        <f t="shared" si="401"/>
        <v>#N/A</v>
      </c>
      <c r="AG381" s="72" t="e">
        <f>IF('חד גזעי'!$AM$5="לא",(VLOOKUP(C381,'חד גזעי'!$P$1:$S$589,3,FALSE)),(VLOOKUP(C381,'חד גזעי'!$P$1:$S$589,4,FALSE)))</f>
        <v>#N/A</v>
      </c>
      <c r="AH381" s="72">
        <f t="shared" si="402"/>
        <v>0</v>
      </c>
      <c r="AI381" s="72">
        <f t="shared" si="403"/>
        <v>0</v>
      </c>
      <c r="AJ381" s="72">
        <f t="shared" si="404"/>
        <v>0</v>
      </c>
      <c r="AK381" s="72" t="e">
        <f t="shared" si="405"/>
        <v>#N/A</v>
      </c>
      <c r="AL381" t="e">
        <f>VLOOKUP(C381,'חד גזעי'!$AH$8:$AI$33,2,FALSE)</f>
        <v>#N/A</v>
      </c>
      <c r="AM381" s="72" t="b">
        <f t="shared" si="406"/>
        <v>0</v>
      </c>
      <c r="AN381" s="72" t="b">
        <f t="shared" si="407"/>
        <v>0</v>
      </c>
      <c r="AO381" s="72" t="b">
        <f t="shared" si="408"/>
        <v>0</v>
      </c>
      <c r="AS381" s="72">
        <f t="shared" si="409"/>
        <v>0</v>
      </c>
      <c r="AT381" s="72">
        <f t="shared" si="410"/>
        <v>0</v>
      </c>
      <c r="AU381" s="72">
        <f t="shared" si="419"/>
        <v>0</v>
      </c>
      <c r="AV381" s="72">
        <f t="shared" si="411"/>
        <v>0</v>
      </c>
      <c r="AW381" s="72">
        <f t="shared" si="412"/>
        <v>0</v>
      </c>
      <c r="AX381" s="72">
        <f t="shared" si="413"/>
        <v>0</v>
      </c>
      <c r="AY381" s="72">
        <f t="shared" si="414"/>
        <v>0</v>
      </c>
      <c r="AZ381" s="72">
        <f t="shared" si="415"/>
        <v>0</v>
      </c>
      <c r="BA381" s="72" t="e">
        <f t="shared" si="416"/>
        <v>#N/A</v>
      </c>
      <c r="BB381" s="72" t="e">
        <f t="shared" si="417"/>
        <v>#N/A</v>
      </c>
      <c r="BC381" s="77"/>
      <c r="BE381">
        <f t="shared" si="397"/>
        <v>0</v>
      </c>
      <c r="BF381" s="196"/>
      <c r="BG381" s="196"/>
      <c r="BH381" s="196"/>
      <c r="BI381" s="196"/>
      <c r="BJ381" s="196"/>
      <c r="BK381" s="196"/>
    </row>
    <row r="382" spans="1:63" hidden="1">
      <c r="B382" s="72"/>
      <c r="C382" s="135"/>
      <c r="D382" s="78"/>
      <c r="E382" s="73"/>
      <c r="F382" s="72"/>
      <c r="G382" s="72"/>
      <c r="H382" s="72"/>
      <c r="I382" s="73">
        <f t="shared" si="399"/>
        <v>0</v>
      </c>
      <c r="J382" s="78"/>
      <c r="K382" s="73"/>
      <c r="L382" s="74" t="e">
        <f>_xlfn.IFNA(VLOOKUP(C382,'חד גזעי'!$U$3:$V$509,2,0),VLOOKUP(C382,'חד גזעי'!$U$3:$V$509,2))</f>
        <v>#N/A</v>
      </c>
      <c r="M382" s="73"/>
      <c r="N382" s="72" t="e">
        <f>_xlfn.IFNA(IF(VLOOKUP(C382,'חד גזעי'!$AH$2:$AH$7,1,FALSE)&gt;0,0,IF('חד גזעי'!$AM$5="כן",IF(_xlfn.IFNA(VLOOKUP(C382,'חד גזעי'!$AH$2:$AH$33,1,FALSE),SUM(J382:M382))&lt;21,_xlfn.IFNA(VLOOKUP(C382,'חד גזעי'!$AH$2:$AH$33,1,FALSE),SUM(J382:M382)),0),SUM(J382:M382))),IF('חד גזעי'!$AM$5="כן",IF(_xlfn.IFNA(VLOOKUP(C382,'חד גזעי'!$AH$2:$AH$33,1,FALSE),SUM(J382:M382))&lt;21,_xlfn.IFNA(VLOOKUP(C382,'חד גזעי'!$AH$2:$AH$33,1,FALSE),SUM(J382:M382)),0),SUM(J382:M382)))</f>
        <v>#N/A</v>
      </c>
      <c r="O382" s="72">
        <f>IF('חד גזעי'!$AM$3 = "כן",IF(T382&gt;4,4,T382),T382)</f>
        <v>0</v>
      </c>
      <c r="P382" s="80">
        <f>IF(E382&lt;2,0,IF(Z382&gt;0,Z382,IF(N382 = 0,0,IF('חד גזעי'!$AM$2 = "לא",IF(F382&gt;19,W382,0),IF(F382&gt;9,Y382,0)))))</f>
        <v>0</v>
      </c>
      <c r="Q382" s="77"/>
      <c r="R382" s="75"/>
      <c r="S382" t="e">
        <f>VLOOKUP(C382,'חד גזעי'!$Y$4:$Y$18,1,0)</f>
        <v>#N/A</v>
      </c>
      <c r="T382" s="72">
        <f>IF('חד גזעי'!$AM$6="לא",IF(P382=0,IF(BC382="שימור",IF('חד גזעי'!$AM$4="לא",IF(BC382="לא בוגר",0,IF(BC382="לא קיים",0,IF(J382=0,0,I382*0.1))),IF(BC382="לא בוגר",0,IF(BC382="לא קיים",0,IF(AB382=1,I382*0.1,E382*0.5)))),0),IF('חד גזעי'!$AM$4="לא",IF(BC382="לא בוגר",0,IF(BC382="לא קיים",0,IF(J382=0,0,I382*0.1))),IF(BC382="לא בוגר",0,IF(BC382="לא קיים",0,IF(AB382=1,I382*0.1,E382*0.5))))),IF(P382=0,IF(BC382="שימור",IF('חד גזעי'!$AM$4="לא",IF(BC382="לא בוגר",0,IF(BC382="לא קיים",0,IF(J382=0,0,I382*0.15))),IF(BC382="לא בוגר",0,IF(BC382="לא קיים",0,IF(AB382=1,I382*0.15,E382*0.5)))),0),IF('חד גזעי'!$AM$4="לא",IF(BC382="לא בוגר",0,IF(BC382="לא קיים",0,IF(J382=0,0,I382*0.15))),IF(BC382="לא בוגר",0,IF(BC382="לא קיים",0,IF(AB382=1,I382*0.15,E382*0.5))))))</f>
        <v>0</v>
      </c>
      <c r="V382" t="e">
        <f t="shared" si="371"/>
        <v>#N/A</v>
      </c>
      <c r="W382" t="e">
        <f t="shared" si="372"/>
        <v>#N/A</v>
      </c>
      <c r="X382" t="e">
        <f t="shared" si="373"/>
        <v>#N/A</v>
      </c>
      <c r="Y382">
        <f>IF('חד גזעי'!$AM$2 = "לא",0,IF(F382&gt;9,W382,0))</f>
        <v>0</v>
      </c>
      <c r="Z382">
        <f>IF('חד גזעי'!$AM$7 = "לא",0,IF(C382 = "זית אירופי",IF('חד גזעי'!$AN$7 &lt;=סקר!F382,W382,0),IF(C382 = "חרוב מצוי",IF('חד גזעי'!$AN$7 &lt;=סקר!F382,W382,0),0)))</f>
        <v>0</v>
      </c>
      <c r="AB382">
        <f t="shared" si="400"/>
        <v>1</v>
      </c>
      <c r="AC382" s="72"/>
      <c r="AD382" t="e">
        <f t="shared" si="418"/>
        <v>#N/A</v>
      </c>
      <c r="AE382" s="72"/>
      <c r="AF382" s="72" t="e">
        <f t="shared" si="401"/>
        <v>#N/A</v>
      </c>
      <c r="AG382" s="72" t="e">
        <f>IF('חד גזעי'!$AM$5="לא",(VLOOKUP(C382,'חד גזעי'!$P$1:$S$589,3,FALSE)),(VLOOKUP(C382,'חד גזעי'!$P$1:$S$589,4,FALSE)))</f>
        <v>#N/A</v>
      </c>
      <c r="AH382" s="72">
        <f t="shared" si="402"/>
        <v>0</v>
      </c>
      <c r="AI382" s="72">
        <f t="shared" si="403"/>
        <v>0</v>
      </c>
      <c r="AJ382" s="72">
        <f t="shared" si="404"/>
        <v>0</v>
      </c>
      <c r="AK382" s="72" t="e">
        <f t="shared" si="405"/>
        <v>#N/A</v>
      </c>
      <c r="AL382" t="e">
        <f>VLOOKUP(C382,'חד גזעי'!$AH$8:$AI$33,2,FALSE)</f>
        <v>#N/A</v>
      </c>
      <c r="AM382" s="72" t="b">
        <f t="shared" si="406"/>
        <v>0</v>
      </c>
      <c r="AN382" s="72" t="b">
        <f t="shared" si="407"/>
        <v>0</v>
      </c>
      <c r="AO382" s="72" t="b">
        <f t="shared" si="408"/>
        <v>0</v>
      </c>
      <c r="AS382" s="72">
        <f t="shared" si="409"/>
        <v>0</v>
      </c>
      <c r="AT382" s="72">
        <f t="shared" si="410"/>
        <v>0</v>
      </c>
      <c r="AU382" s="72">
        <f t="shared" si="419"/>
        <v>0</v>
      </c>
      <c r="AV382" s="72">
        <f t="shared" si="411"/>
        <v>0</v>
      </c>
      <c r="AW382" s="72">
        <f t="shared" si="412"/>
        <v>0</v>
      </c>
      <c r="AX382" s="72">
        <f t="shared" si="413"/>
        <v>0</v>
      </c>
      <c r="AY382" s="72">
        <f t="shared" si="414"/>
        <v>0</v>
      </c>
      <c r="AZ382" s="72">
        <f t="shared" si="415"/>
        <v>0</v>
      </c>
      <c r="BA382" s="72" t="e">
        <f t="shared" si="416"/>
        <v>#N/A</v>
      </c>
      <c r="BB382" s="72" t="e">
        <f t="shared" si="417"/>
        <v>#N/A</v>
      </c>
      <c r="BC382" s="77"/>
      <c r="BE382">
        <f t="shared" si="397"/>
        <v>0</v>
      </c>
      <c r="BF382" s="196"/>
      <c r="BG382" s="196"/>
      <c r="BH382" s="196"/>
      <c r="BI382" s="196"/>
      <c r="BJ382" s="196"/>
      <c r="BK382" s="196"/>
    </row>
    <row r="383" spans="1:63" hidden="1">
      <c r="B383" s="72"/>
      <c r="C383" s="135"/>
      <c r="D383" s="78"/>
      <c r="E383" s="73"/>
      <c r="F383" s="72"/>
      <c r="G383" s="72"/>
      <c r="H383" s="72"/>
      <c r="I383" s="73">
        <f t="shared" si="399"/>
        <v>0</v>
      </c>
      <c r="J383" s="78"/>
      <c r="K383" s="73"/>
      <c r="L383" s="74" t="e">
        <f>_xlfn.IFNA(VLOOKUP(C383,'חד גזעי'!$U$3:$V$509,2,0),VLOOKUP(C383,'חד גזעי'!$U$3:$V$509,2))</f>
        <v>#N/A</v>
      </c>
      <c r="M383" s="73"/>
      <c r="N383" s="72" t="e">
        <f>_xlfn.IFNA(IF(VLOOKUP(C383,'חד גזעי'!$AH$2:$AH$7,1,FALSE)&gt;0,0,IF('חד גזעי'!$AM$5="כן",IF(_xlfn.IFNA(VLOOKUP(C383,'חד גזעי'!$AH$2:$AH$33,1,FALSE),SUM(J383:M383))&lt;21,_xlfn.IFNA(VLOOKUP(C383,'חד גזעי'!$AH$2:$AH$33,1,FALSE),SUM(J383:M383)),0),SUM(J383:M383))),IF('חד גזעי'!$AM$5="כן",IF(_xlfn.IFNA(VLOOKUP(C383,'חד גזעי'!$AH$2:$AH$33,1,FALSE),SUM(J383:M383))&lt;21,_xlfn.IFNA(VLOOKUP(C383,'חד גזעי'!$AH$2:$AH$33,1,FALSE),SUM(J383:M383)),0),SUM(J383:M383)))</f>
        <v>#N/A</v>
      </c>
      <c r="O383" s="72">
        <f>IF('חד גזעי'!$AM$3 = "כן",IF(T383&gt;4,4,T383),T383)</f>
        <v>0</v>
      </c>
      <c r="P383" s="80">
        <f>IF(E383&lt;2,0,IF(Z383&gt;0,Z383,IF(N383 = 0,0,IF('חד גזעי'!$AM$2 = "לא",IF(F383&gt;19,W383,0),IF(F383&gt;9,Y383,0)))))</f>
        <v>0</v>
      </c>
      <c r="Q383" s="77"/>
      <c r="R383" s="75"/>
      <c r="S383" t="e">
        <f>VLOOKUP(C383,'חד גזעי'!$Y$4:$Y$18,1,0)</f>
        <v>#N/A</v>
      </c>
      <c r="T383" s="72">
        <f>IF('חד גזעי'!$AM$6="לא",IF(P383=0,IF(BC383="שימור",IF('חד גזעי'!$AM$4="לא",IF(BC383="לא בוגר",0,IF(BC383="לא קיים",0,IF(J383=0,0,I383*0.1))),IF(BC383="לא בוגר",0,IF(BC383="לא קיים",0,IF(AB383=1,I383*0.1,E383*0.5)))),0),IF('חד גזעי'!$AM$4="לא",IF(BC383="לא בוגר",0,IF(BC383="לא קיים",0,IF(J383=0,0,I383*0.1))),IF(BC383="לא בוגר",0,IF(BC383="לא קיים",0,IF(AB383=1,I383*0.1,E383*0.5))))),IF(P383=0,IF(BC383="שימור",IF('חד גזעי'!$AM$4="לא",IF(BC383="לא בוגר",0,IF(BC383="לא קיים",0,IF(J383=0,0,I383*0.15))),IF(BC383="לא בוגר",0,IF(BC383="לא קיים",0,IF(AB383=1,I383*0.15,E383*0.5)))),0),IF('חד גזעי'!$AM$4="לא",IF(BC383="לא בוגר",0,IF(BC383="לא קיים",0,IF(J383=0,0,I383*0.15))),IF(BC383="לא בוגר",0,IF(BC383="לא קיים",0,IF(AB383=1,I383*0.15,E383*0.5))))))</f>
        <v>0</v>
      </c>
      <c r="V383" t="e">
        <f t="shared" si="371"/>
        <v>#N/A</v>
      </c>
      <c r="W383" t="e">
        <f t="shared" si="372"/>
        <v>#N/A</v>
      </c>
      <c r="X383" t="e">
        <f t="shared" si="373"/>
        <v>#N/A</v>
      </c>
      <c r="Y383">
        <f>IF('חד גזעי'!$AM$2 = "לא",0,IF(F383&gt;9,W383,0))</f>
        <v>0</v>
      </c>
      <c r="Z383">
        <f>IF('חד גזעי'!$AM$7 = "לא",0,IF(C383 = "זית אירופי",IF('חד גזעי'!$AN$7 &lt;=סקר!F383,W383,0),IF(C383 = "חרוב מצוי",IF('חד גזעי'!$AN$7 &lt;=סקר!F383,W383,0),0)))</f>
        <v>0</v>
      </c>
      <c r="AB383">
        <f t="shared" si="400"/>
        <v>1</v>
      </c>
      <c r="AC383" s="72"/>
      <c r="AD383" t="e">
        <f t="shared" si="418"/>
        <v>#N/A</v>
      </c>
      <c r="AE383" s="72"/>
      <c r="AF383" s="72" t="e">
        <f t="shared" si="401"/>
        <v>#N/A</v>
      </c>
      <c r="AG383" s="72" t="e">
        <f>IF('חד גזעי'!$AM$5="לא",(VLOOKUP(C383,'חד גזעי'!$P$1:$S$589,3,FALSE)),(VLOOKUP(C383,'חד גזעי'!$P$1:$S$589,4,FALSE)))</f>
        <v>#N/A</v>
      </c>
      <c r="AH383" s="72">
        <f t="shared" si="402"/>
        <v>0</v>
      </c>
      <c r="AI383" s="72">
        <f t="shared" si="403"/>
        <v>0</v>
      </c>
      <c r="AJ383" s="72">
        <f t="shared" si="404"/>
        <v>0</v>
      </c>
      <c r="AK383" s="72" t="e">
        <f t="shared" si="405"/>
        <v>#N/A</v>
      </c>
      <c r="AL383" t="e">
        <f>VLOOKUP(C383,'חד גזעי'!$AH$8:$AI$33,2,FALSE)</f>
        <v>#N/A</v>
      </c>
      <c r="AM383" s="72" t="b">
        <f t="shared" si="406"/>
        <v>0</v>
      </c>
      <c r="AN383" s="72" t="b">
        <f t="shared" si="407"/>
        <v>0</v>
      </c>
      <c r="AO383" s="72" t="b">
        <f t="shared" si="408"/>
        <v>0</v>
      </c>
      <c r="AS383" s="72">
        <f t="shared" si="409"/>
        <v>0</v>
      </c>
      <c r="AT383" s="72">
        <f t="shared" si="410"/>
        <v>0</v>
      </c>
      <c r="AU383" s="72">
        <f t="shared" si="419"/>
        <v>0</v>
      </c>
      <c r="AV383" s="72">
        <f t="shared" si="411"/>
        <v>0</v>
      </c>
      <c r="AW383" s="72">
        <f t="shared" si="412"/>
        <v>0</v>
      </c>
      <c r="AX383" s="72">
        <f t="shared" si="413"/>
        <v>0</v>
      </c>
      <c r="AY383" s="72">
        <f t="shared" si="414"/>
        <v>0</v>
      </c>
      <c r="AZ383" s="72">
        <f t="shared" si="415"/>
        <v>0</v>
      </c>
      <c r="BA383" s="72" t="e">
        <f t="shared" si="416"/>
        <v>#N/A</v>
      </c>
      <c r="BB383" s="72" t="e">
        <f t="shared" si="417"/>
        <v>#N/A</v>
      </c>
      <c r="BC383" s="77"/>
      <c r="BE383">
        <f t="shared" si="397"/>
        <v>0</v>
      </c>
      <c r="BF383" s="196"/>
      <c r="BG383" s="196"/>
      <c r="BH383" s="196"/>
      <c r="BI383" s="196"/>
      <c r="BJ383" s="196"/>
      <c r="BK383" s="196"/>
    </row>
    <row r="384" spans="1:63" hidden="1">
      <c r="B384" s="72"/>
      <c r="C384" s="135"/>
      <c r="D384" s="78"/>
      <c r="E384" s="78"/>
      <c r="F384" s="72"/>
      <c r="G384" s="72"/>
      <c r="H384" s="72"/>
      <c r="I384" s="73">
        <f t="shared" si="399"/>
        <v>0</v>
      </c>
      <c r="J384" s="78"/>
      <c r="K384" s="73"/>
      <c r="L384" s="74" t="e">
        <f>_xlfn.IFNA(VLOOKUP(C384,'חד גזעי'!$U$3:$V$509,2,0),VLOOKUP(C384,'חד גזעי'!$U$3:$V$509,2))</f>
        <v>#N/A</v>
      </c>
      <c r="M384" s="73"/>
      <c r="N384" s="72" t="e">
        <f>_xlfn.IFNA(IF(VLOOKUP(C384,'חד גזעי'!$AH$2:$AH$7,1,FALSE)&gt;0,0,IF('חד גזעי'!$AM$5="כן",IF(_xlfn.IFNA(VLOOKUP(C384,'חד גזעי'!$AH$2:$AH$33,1,FALSE),SUM(J384:M384))&lt;21,_xlfn.IFNA(VLOOKUP(C384,'חד גזעי'!$AH$2:$AH$33,1,FALSE),SUM(J384:M384)),0),SUM(J384:M384))),IF('חד גזעי'!$AM$5="כן",IF(_xlfn.IFNA(VLOOKUP(C384,'חד גזעי'!$AH$2:$AH$33,1,FALSE),SUM(J384:M384))&lt;21,_xlfn.IFNA(VLOOKUP(C384,'חד גזעי'!$AH$2:$AH$33,1,FALSE),SUM(J384:M384)),0),SUM(J384:M384)))</f>
        <v>#N/A</v>
      </c>
      <c r="O384" s="72">
        <f>IF('חד גזעי'!$AM$3 = "כן",IF(T384&gt;4,4,T384),T384)</f>
        <v>0</v>
      </c>
      <c r="P384" s="80">
        <f>IF(E384&lt;2,0,IF(Z384&gt;0,Z384,IF(N384 = 0,0,IF('חד גזעי'!$AM$2 = "לא",IF(F384&gt;19,W384,0),IF(F384&gt;9,Y384,0)))))</f>
        <v>0</v>
      </c>
      <c r="Q384" s="77"/>
      <c r="R384" s="75"/>
      <c r="S384" t="e">
        <f>VLOOKUP(C384,'חד גזעי'!$Y$4:$Y$18,1,0)</f>
        <v>#N/A</v>
      </c>
      <c r="T384" s="72">
        <f>IF('חד גזעי'!$AM$6="לא",IF(P384=0,IF(BC384="שימור",IF('חד גזעי'!$AM$4="לא",IF(BC384="לא בוגר",0,IF(BC384="לא קיים",0,IF(J384=0,0,I384*0.1))),IF(BC384="לא בוגר",0,IF(BC384="לא קיים",0,IF(AB384=1,I384*0.1,E384*0.5)))),0),IF('חד גזעי'!$AM$4="לא",IF(BC384="לא בוגר",0,IF(BC384="לא קיים",0,IF(J384=0,0,I384*0.1))),IF(BC384="לא בוגר",0,IF(BC384="לא קיים",0,IF(AB384=1,I384*0.1,E384*0.5))))),IF(P384=0,IF(BC384="שימור",IF('חד גזעי'!$AM$4="לא",IF(BC384="לא בוגר",0,IF(BC384="לא קיים",0,IF(J384=0,0,I384*0.15))),IF(BC384="לא בוגר",0,IF(BC384="לא קיים",0,IF(AB384=1,I384*0.15,E384*0.5)))),0),IF('חד גזעי'!$AM$4="לא",IF(BC384="לא בוגר",0,IF(BC384="לא קיים",0,IF(J384=0,0,I384*0.15))),IF(BC384="לא בוגר",0,IF(BC384="לא קיים",0,IF(AB384=1,I384*0.15,E384*0.5))))))</f>
        <v>0</v>
      </c>
      <c r="V384" t="e">
        <f t="shared" si="371"/>
        <v>#N/A</v>
      </c>
      <c r="W384" t="e">
        <f t="shared" si="372"/>
        <v>#N/A</v>
      </c>
      <c r="X384" t="e">
        <f t="shared" si="373"/>
        <v>#N/A</v>
      </c>
      <c r="Y384">
        <f>IF('חד גזעי'!$AM$2 = "לא",0,IF(F384&gt;9,W384,0))</f>
        <v>0</v>
      </c>
      <c r="Z384">
        <f>IF('חד גזעי'!$AM$7 = "לא",0,IF(C384 = "זית אירופי",IF('חד גזעי'!$AN$7 &lt;=סקר!F384,W384,0),IF(C384 = "חרוב מצוי",IF('חד גזעי'!$AN$7 &lt;=סקר!F384,W384,0),0)))</f>
        <v>0</v>
      </c>
      <c r="AB384">
        <f t="shared" si="400"/>
        <v>1</v>
      </c>
      <c r="AC384" s="72"/>
      <c r="AD384" t="e">
        <f t="shared" si="418"/>
        <v>#N/A</v>
      </c>
      <c r="AE384" s="72"/>
      <c r="AF384" s="72" t="e">
        <f t="shared" si="401"/>
        <v>#N/A</v>
      </c>
      <c r="AG384" s="72" t="e">
        <f>IF('חד גזעי'!$AM$5="לא",(VLOOKUP(C384,'חד גזעי'!$P$1:$S$589,3,FALSE)),(VLOOKUP(C384,'חד גזעי'!$P$1:$S$589,4,FALSE)))</f>
        <v>#N/A</v>
      </c>
      <c r="AH384" s="72">
        <f t="shared" si="402"/>
        <v>0</v>
      </c>
      <c r="AI384" s="72">
        <f t="shared" si="403"/>
        <v>0</v>
      </c>
      <c r="AJ384" s="72">
        <f t="shared" si="404"/>
        <v>0</v>
      </c>
      <c r="AK384" s="72" t="e">
        <f t="shared" si="405"/>
        <v>#N/A</v>
      </c>
      <c r="AL384" t="e">
        <f>VLOOKUP(C384,'חד גזעי'!$AH$8:$AI$33,2,FALSE)</f>
        <v>#N/A</v>
      </c>
      <c r="AM384" s="72" t="b">
        <f t="shared" si="406"/>
        <v>0</v>
      </c>
      <c r="AN384" s="72" t="b">
        <f t="shared" si="407"/>
        <v>0</v>
      </c>
      <c r="AO384" s="72" t="b">
        <f t="shared" si="408"/>
        <v>0</v>
      </c>
      <c r="AS384" s="72">
        <f t="shared" si="409"/>
        <v>0</v>
      </c>
      <c r="AT384" s="72">
        <f t="shared" si="410"/>
        <v>0</v>
      </c>
      <c r="AU384" s="72">
        <f t="shared" si="419"/>
        <v>0</v>
      </c>
      <c r="AV384" s="72">
        <f t="shared" si="411"/>
        <v>0</v>
      </c>
      <c r="AW384" s="72">
        <f t="shared" si="412"/>
        <v>0</v>
      </c>
      <c r="AX384" s="72">
        <f t="shared" si="413"/>
        <v>0</v>
      </c>
      <c r="AY384" s="72">
        <f t="shared" si="414"/>
        <v>0</v>
      </c>
      <c r="AZ384" s="72">
        <f t="shared" si="415"/>
        <v>0</v>
      </c>
      <c r="BA384" s="72" t="e">
        <f t="shared" si="416"/>
        <v>#N/A</v>
      </c>
      <c r="BB384" s="72" t="e">
        <f t="shared" si="417"/>
        <v>#N/A</v>
      </c>
      <c r="BC384" s="77"/>
      <c r="BE384">
        <f t="shared" si="397"/>
        <v>0</v>
      </c>
      <c r="BF384" s="196"/>
      <c r="BG384" s="196"/>
      <c r="BH384" s="196"/>
      <c r="BI384" s="196"/>
      <c r="BJ384" s="196"/>
      <c r="BK384" s="196"/>
    </row>
    <row r="385" spans="2:63" hidden="1">
      <c r="B385" s="72"/>
      <c r="C385" s="135"/>
      <c r="D385" s="78"/>
      <c r="E385" s="78"/>
      <c r="F385" s="72"/>
      <c r="G385" s="72"/>
      <c r="H385" s="72"/>
      <c r="I385" s="73">
        <f t="shared" si="399"/>
        <v>0</v>
      </c>
      <c r="J385" s="78"/>
      <c r="K385" s="73"/>
      <c r="L385" s="74" t="e">
        <f>_xlfn.IFNA(VLOOKUP(C385,'חד גזעי'!$U$3:$V$509,2,0),VLOOKUP(C385,'חד גזעי'!$U$3:$V$509,2))</f>
        <v>#N/A</v>
      </c>
      <c r="M385" s="73"/>
      <c r="N385" s="72" t="e">
        <f>_xlfn.IFNA(IF(VLOOKUP(C385,'חד גזעי'!$AH$2:$AH$7,1,FALSE)&gt;0,0,IF('חד גזעי'!$AM$5="כן",IF(_xlfn.IFNA(VLOOKUP(C385,'חד גזעי'!$AH$2:$AH$33,1,FALSE),SUM(J385:M385))&lt;21,_xlfn.IFNA(VLOOKUP(C385,'חד גזעי'!$AH$2:$AH$33,1,FALSE),SUM(J385:M385)),0),SUM(J385:M385))),IF('חד גזעי'!$AM$5="כן",IF(_xlfn.IFNA(VLOOKUP(C385,'חד גזעי'!$AH$2:$AH$33,1,FALSE),SUM(J385:M385))&lt;21,_xlfn.IFNA(VLOOKUP(C385,'חד גזעי'!$AH$2:$AH$33,1,FALSE),SUM(J385:M385)),0),SUM(J385:M385)))</f>
        <v>#N/A</v>
      </c>
      <c r="O385" s="72">
        <f>IF('חד גזעי'!$AM$3 = "כן",IF(T385&gt;4,4,T385),T385)</f>
        <v>0</v>
      </c>
      <c r="P385" s="80">
        <f>IF(E385&lt;2,0,IF(Z385&gt;0,Z385,IF(N385 = 0,0,IF('חד גזעי'!$AM$2 = "לא",IF(F385&gt;19,W385,0),IF(F385&gt;9,Y385,0)))))</f>
        <v>0</v>
      </c>
      <c r="Q385" s="77"/>
      <c r="R385" s="75"/>
      <c r="S385" t="e">
        <f>VLOOKUP(C385,'חד גזעי'!$Y$4:$Y$18,1,0)</f>
        <v>#N/A</v>
      </c>
      <c r="T385" s="72">
        <f>IF('חד גזעי'!$AM$6="לא",IF(P385=0,IF(BC385="שימור",IF('חד גזעי'!$AM$4="לא",IF(BC385="לא בוגר",0,IF(BC385="לא קיים",0,IF(J385=0,0,I385*0.1))),IF(BC385="לא בוגר",0,IF(BC385="לא קיים",0,IF(AB385=1,I385*0.1,E385*0.5)))),0),IF('חד גזעי'!$AM$4="לא",IF(BC385="לא בוגר",0,IF(BC385="לא קיים",0,IF(J385=0,0,I385*0.1))),IF(BC385="לא בוגר",0,IF(BC385="לא קיים",0,IF(AB385=1,I385*0.1,E385*0.5))))),IF(P385=0,IF(BC385="שימור",IF('חד גזעי'!$AM$4="לא",IF(BC385="לא בוגר",0,IF(BC385="לא קיים",0,IF(J385=0,0,I385*0.15))),IF(BC385="לא בוגר",0,IF(BC385="לא קיים",0,IF(AB385=1,I385*0.15,E385*0.5)))),0),IF('חד גזעי'!$AM$4="לא",IF(BC385="לא בוגר",0,IF(BC385="לא קיים",0,IF(J385=0,0,I385*0.15))),IF(BC385="לא בוגר",0,IF(BC385="לא קיים",0,IF(AB385=1,I385*0.15,E385*0.5))))))</f>
        <v>0</v>
      </c>
      <c r="V385" t="e">
        <f t="shared" si="371"/>
        <v>#N/A</v>
      </c>
      <c r="W385" t="e">
        <f t="shared" si="372"/>
        <v>#N/A</v>
      </c>
      <c r="X385" t="e">
        <f t="shared" si="373"/>
        <v>#N/A</v>
      </c>
      <c r="Y385">
        <f>IF('חד גזעי'!$AM$2 = "לא",0,IF(F385&gt;9,W385,0))</f>
        <v>0</v>
      </c>
      <c r="Z385">
        <f>IF('חד גזעי'!$AM$7 = "לא",0,IF(C385 = "זית אירופי",IF('חד גזעי'!$AN$7 &lt;=סקר!F385,W385,0),IF(C385 = "חרוב מצוי",IF('חד גזעי'!$AN$7 &lt;=סקר!F385,W385,0),0)))</f>
        <v>0</v>
      </c>
      <c r="AB385">
        <f t="shared" si="400"/>
        <v>1</v>
      </c>
      <c r="AC385" s="72"/>
      <c r="AD385" t="e">
        <f t="shared" si="418"/>
        <v>#N/A</v>
      </c>
      <c r="AE385" s="72"/>
      <c r="AF385" s="72" t="e">
        <f t="shared" si="401"/>
        <v>#N/A</v>
      </c>
      <c r="AG385" s="72" t="e">
        <f>IF('חד גזעי'!$AM$5="לא",(VLOOKUP(C385,'חד גזעי'!$P$1:$S$589,3,FALSE)),(VLOOKUP(C385,'חד גזעי'!$P$1:$S$589,4,FALSE)))</f>
        <v>#N/A</v>
      </c>
      <c r="AH385" s="72">
        <f t="shared" si="402"/>
        <v>0</v>
      </c>
      <c r="AI385" s="72">
        <f t="shared" si="403"/>
        <v>0</v>
      </c>
      <c r="AJ385" s="72">
        <f t="shared" si="404"/>
        <v>0</v>
      </c>
      <c r="AK385" s="72" t="e">
        <f t="shared" si="405"/>
        <v>#N/A</v>
      </c>
      <c r="AL385" t="e">
        <f>VLOOKUP(C385,'חד גזעי'!$AH$8:$AI$33,2,FALSE)</f>
        <v>#N/A</v>
      </c>
      <c r="AM385" s="72" t="b">
        <f t="shared" si="406"/>
        <v>0</v>
      </c>
      <c r="AN385" s="72" t="b">
        <f t="shared" si="407"/>
        <v>0</v>
      </c>
      <c r="AO385" s="72" t="b">
        <f t="shared" si="408"/>
        <v>0</v>
      </c>
      <c r="AS385" s="72">
        <f t="shared" si="409"/>
        <v>0</v>
      </c>
      <c r="AT385" s="72">
        <f t="shared" si="410"/>
        <v>0</v>
      </c>
      <c r="AU385" s="72">
        <f t="shared" si="419"/>
        <v>0</v>
      </c>
      <c r="AV385" s="72">
        <f t="shared" si="411"/>
        <v>0</v>
      </c>
      <c r="AW385" s="72">
        <f t="shared" si="412"/>
        <v>0</v>
      </c>
      <c r="AX385" s="72">
        <f t="shared" si="413"/>
        <v>0</v>
      </c>
      <c r="AY385" s="72">
        <f t="shared" si="414"/>
        <v>0</v>
      </c>
      <c r="AZ385" s="72">
        <f t="shared" si="415"/>
        <v>0</v>
      </c>
      <c r="BA385" s="72" t="e">
        <f t="shared" si="416"/>
        <v>#N/A</v>
      </c>
      <c r="BB385" s="72" t="e">
        <f t="shared" si="417"/>
        <v>#N/A</v>
      </c>
      <c r="BC385" s="77"/>
      <c r="BE385">
        <f t="shared" si="397"/>
        <v>0</v>
      </c>
      <c r="BF385" s="196"/>
      <c r="BG385" s="196"/>
      <c r="BH385" s="196"/>
      <c r="BI385" s="196"/>
      <c r="BJ385" s="196"/>
      <c r="BK385" s="196"/>
    </row>
    <row r="386" spans="2:63" hidden="1">
      <c r="B386" s="72"/>
      <c r="C386" s="135"/>
      <c r="D386" s="78"/>
      <c r="E386" s="78"/>
      <c r="F386" s="72"/>
      <c r="G386" s="72"/>
      <c r="H386" s="72"/>
      <c r="I386" s="73">
        <f t="shared" si="399"/>
        <v>0</v>
      </c>
      <c r="J386" s="78"/>
      <c r="K386" s="73"/>
      <c r="L386" s="74" t="e">
        <f>_xlfn.IFNA(VLOOKUP(C386,'חד גזעי'!$U$3:$V$509,2,0),VLOOKUP(C386,'חד גזעי'!$U$3:$V$509,2))</f>
        <v>#N/A</v>
      </c>
      <c r="M386" s="73"/>
      <c r="N386" s="72" t="e">
        <f>_xlfn.IFNA(IF(VLOOKUP(C386,'חד גזעי'!$AH$2:$AH$7,1,FALSE)&gt;0,0,IF('חד גזעי'!$AM$5="כן",IF(_xlfn.IFNA(VLOOKUP(C386,'חד גזעי'!$AH$2:$AH$33,1,FALSE),SUM(J386:M386))&lt;21,_xlfn.IFNA(VLOOKUP(C386,'חד גזעי'!$AH$2:$AH$33,1,FALSE),SUM(J386:M386)),0),SUM(J386:M386))),IF('חד גזעי'!$AM$5="כן",IF(_xlfn.IFNA(VLOOKUP(C386,'חד גזעי'!$AH$2:$AH$33,1,FALSE),SUM(J386:M386))&lt;21,_xlfn.IFNA(VLOOKUP(C386,'חד גזעי'!$AH$2:$AH$33,1,FALSE),SUM(J386:M386)),0),SUM(J386:M386)))</f>
        <v>#N/A</v>
      </c>
      <c r="O386" s="72">
        <f>IF('חד גזעי'!$AM$3 = "כן",IF(T386&gt;4,4,T386),T386)</f>
        <v>0</v>
      </c>
      <c r="P386" s="80">
        <f>IF(E386&lt;2,0,IF(Z386&gt;0,Z386,IF(N386 = 0,0,IF('חד גזעי'!$AM$2 = "לא",IF(F386&gt;19,W386,0),IF(F386&gt;9,Y386,0)))))</f>
        <v>0</v>
      </c>
      <c r="Q386" s="77"/>
      <c r="R386" s="75"/>
      <c r="S386" t="e">
        <f>VLOOKUP(C386,'חד גזעי'!$Y$4:$Y$18,1,0)</f>
        <v>#N/A</v>
      </c>
      <c r="T386" s="72">
        <f>IF('חד גזעי'!$AM$6="לא",IF(P386=0,IF(BC386="שימור",IF('חד גזעי'!$AM$4="לא",IF(BC386="לא בוגר",0,IF(BC386="לא קיים",0,IF(J386=0,0,I386*0.1))),IF(BC386="לא בוגר",0,IF(BC386="לא קיים",0,IF(AB386=1,I386*0.1,E386*0.5)))),0),IF('חד גזעי'!$AM$4="לא",IF(BC386="לא בוגר",0,IF(BC386="לא קיים",0,IF(J386=0,0,I386*0.1))),IF(BC386="לא בוגר",0,IF(BC386="לא קיים",0,IF(AB386=1,I386*0.1,E386*0.5))))),IF(P386=0,IF(BC386="שימור",IF('חד גזעי'!$AM$4="לא",IF(BC386="לא בוגר",0,IF(BC386="לא קיים",0,IF(J386=0,0,I386*0.15))),IF(BC386="לא בוגר",0,IF(BC386="לא קיים",0,IF(AB386=1,I386*0.15,E386*0.5)))),0),IF('חד גזעי'!$AM$4="לא",IF(BC386="לא בוגר",0,IF(BC386="לא קיים",0,IF(J386=0,0,I386*0.15))),IF(BC386="לא בוגר",0,IF(BC386="לא קיים",0,IF(AB386=1,I386*0.15,E386*0.5))))))</f>
        <v>0</v>
      </c>
      <c r="V386" t="e">
        <f t="shared" si="371"/>
        <v>#N/A</v>
      </c>
      <c r="W386" t="e">
        <f t="shared" si="372"/>
        <v>#N/A</v>
      </c>
      <c r="X386" t="e">
        <f t="shared" si="373"/>
        <v>#N/A</v>
      </c>
      <c r="Y386">
        <f>IF('חד גזעי'!$AM$2 = "לא",0,IF(F386&gt;9,W386,0))</f>
        <v>0</v>
      </c>
      <c r="Z386">
        <f>IF('חד גזעי'!$AM$7 = "לא",0,IF(C386 = "זית אירופי",IF('חד גזעי'!$AN$7 &lt;=סקר!F386,W386,0),IF(C386 = "חרוב מצוי",IF('חד גזעי'!$AN$7 &lt;=סקר!F386,W386,0),0)))</f>
        <v>0</v>
      </c>
      <c r="AB386">
        <f t="shared" si="400"/>
        <v>1</v>
      </c>
      <c r="AC386" s="72"/>
      <c r="AD386" t="e">
        <f t="shared" si="418"/>
        <v>#N/A</v>
      </c>
      <c r="AE386" s="72"/>
      <c r="AF386" s="72" t="e">
        <f t="shared" si="401"/>
        <v>#N/A</v>
      </c>
      <c r="AG386" s="72" t="e">
        <f>IF('חד גזעי'!$AM$5="לא",(VLOOKUP(C386,'חד גזעי'!$P$1:$S$589,3,FALSE)),(VLOOKUP(C386,'חד גזעי'!$P$1:$S$589,4,FALSE)))</f>
        <v>#N/A</v>
      </c>
      <c r="AH386" s="72">
        <f t="shared" si="402"/>
        <v>0</v>
      </c>
      <c r="AI386" s="72">
        <f t="shared" si="403"/>
        <v>0</v>
      </c>
      <c r="AJ386" s="72">
        <f t="shared" si="404"/>
        <v>0</v>
      </c>
      <c r="AK386" s="72" t="e">
        <f t="shared" si="405"/>
        <v>#N/A</v>
      </c>
      <c r="AL386" t="e">
        <f>VLOOKUP(C386,'חד גזעי'!$AH$8:$AI$33,2,FALSE)</f>
        <v>#N/A</v>
      </c>
      <c r="AM386" s="72" t="b">
        <f t="shared" si="406"/>
        <v>0</v>
      </c>
      <c r="AN386" s="72" t="b">
        <f t="shared" si="407"/>
        <v>0</v>
      </c>
      <c r="AO386" s="72" t="b">
        <f t="shared" si="408"/>
        <v>0</v>
      </c>
      <c r="AS386" s="72">
        <f t="shared" si="409"/>
        <v>0</v>
      </c>
      <c r="AT386" s="72">
        <f t="shared" si="410"/>
        <v>0</v>
      </c>
      <c r="AU386" s="72">
        <f t="shared" si="419"/>
        <v>0</v>
      </c>
      <c r="AV386" s="72">
        <f t="shared" si="411"/>
        <v>0</v>
      </c>
      <c r="AW386" s="72">
        <f t="shared" si="412"/>
        <v>0</v>
      </c>
      <c r="AX386" s="72">
        <f t="shared" si="413"/>
        <v>0</v>
      </c>
      <c r="AY386" s="72">
        <f t="shared" si="414"/>
        <v>0</v>
      </c>
      <c r="AZ386" s="72">
        <f t="shared" si="415"/>
        <v>0</v>
      </c>
      <c r="BA386" s="72" t="e">
        <f t="shared" si="416"/>
        <v>#N/A</v>
      </c>
      <c r="BB386" s="72" t="e">
        <f t="shared" si="417"/>
        <v>#N/A</v>
      </c>
      <c r="BC386" s="77"/>
      <c r="BE386">
        <f t="shared" si="397"/>
        <v>0</v>
      </c>
      <c r="BF386" s="196"/>
      <c r="BG386" s="196"/>
      <c r="BH386" s="196"/>
      <c r="BI386" s="196"/>
      <c r="BJ386" s="196"/>
      <c r="BK386" s="196"/>
    </row>
    <row r="387" spans="2:63" hidden="1">
      <c r="B387" s="72"/>
      <c r="C387" s="135"/>
      <c r="D387" s="78"/>
      <c r="E387" s="78"/>
      <c r="F387" s="72"/>
      <c r="G387" s="72"/>
      <c r="H387" s="72"/>
      <c r="I387" s="73">
        <f t="shared" si="399"/>
        <v>0</v>
      </c>
      <c r="J387" s="78"/>
      <c r="K387" s="73"/>
      <c r="L387" s="74" t="e">
        <f>_xlfn.IFNA(VLOOKUP(C387,'חד גזעי'!$U$3:$V$509,2,0),VLOOKUP(C387,'חד גזעי'!$U$3:$V$509,2))</f>
        <v>#N/A</v>
      </c>
      <c r="M387" s="73"/>
      <c r="N387" s="72" t="e">
        <f>_xlfn.IFNA(IF(VLOOKUP(C387,'חד גזעי'!$AH$2:$AH$7,1,FALSE)&gt;0,0,IF('חד גזעי'!$AM$5="כן",IF(_xlfn.IFNA(VLOOKUP(C387,'חד גזעי'!$AH$2:$AH$33,1,FALSE),SUM(J387:M387))&lt;21,_xlfn.IFNA(VLOOKUP(C387,'חד גזעי'!$AH$2:$AH$33,1,FALSE),SUM(J387:M387)),0),SUM(J387:M387))),IF('חד גזעי'!$AM$5="כן",IF(_xlfn.IFNA(VLOOKUP(C387,'חד גזעי'!$AH$2:$AH$33,1,FALSE),SUM(J387:M387))&lt;21,_xlfn.IFNA(VLOOKUP(C387,'חד גזעי'!$AH$2:$AH$33,1,FALSE),SUM(J387:M387)),0),SUM(J387:M387)))</f>
        <v>#N/A</v>
      </c>
      <c r="O387" s="72">
        <f>IF('חד גזעי'!$AM$3 = "כן",IF(T387&gt;4,4,T387),T387)</f>
        <v>0</v>
      </c>
      <c r="P387" s="80">
        <f>IF(E387&lt;2,0,IF(Z387&gt;0,Z387,IF(N387 = 0,0,IF('חד גזעי'!$AM$2 = "לא",IF(F387&gt;19,W387,0),IF(F387&gt;9,Y387,0)))))</f>
        <v>0</v>
      </c>
      <c r="Q387" s="77"/>
      <c r="R387" s="75"/>
      <c r="S387" t="e">
        <f>VLOOKUP(C387,'חד גזעי'!$Y$4:$Y$18,1,0)</f>
        <v>#N/A</v>
      </c>
      <c r="T387" s="72">
        <f>IF('חד גזעי'!$AM$6="לא",IF(P387=0,IF(BC387="שימור",IF('חד גזעי'!$AM$4="לא",IF(BC387="לא בוגר",0,IF(BC387="לא קיים",0,IF(J387=0,0,I387*0.1))),IF(BC387="לא בוגר",0,IF(BC387="לא קיים",0,IF(AB387=1,I387*0.1,E387*0.5)))),0),IF('חד גזעי'!$AM$4="לא",IF(BC387="לא בוגר",0,IF(BC387="לא קיים",0,IF(J387=0,0,I387*0.1))),IF(BC387="לא בוגר",0,IF(BC387="לא קיים",0,IF(AB387=1,I387*0.1,E387*0.5))))),IF(P387=0,IF(BC387="שימור",IF('חד גזעי'!$AM$4="לא",IF(BC387="לא בוגר",0,IF(BC387="לא קיים",0,IF(J387=0,0,I387*0.15))),IF(BC387="לא בוגר",0,IF(BC387="לא קיים",0,IF(AB387=1,I387*0.15,E387*0.5)))),0),IF('חד גזעי'!$AM$4="לא",IF(BC387="לא בוגר",0,IF(BC387="לא קיים",0,IF(J387=0,0,I387*0.15))),IF(BC387="לא בוגר",0,IF(BC387="לא קיים",0,IF(AB387=1,I387*0.15,E387*0.5))))))</f>
        <v>0</v>
      </c>
      <c r="V387" t="e">
        <f t="shared" si="371"/>
        <v>#N/A</v>
      </c>
      <c r="W387" t="e">
        <f t="shared" si="372"/>
        <v>#N/A</v>
      </c>
      <c r="X387" t="e">
        <f t="shared" si="373"/>
        <v>#N/A</v>
      </c>
      <c r="Y387">
        <f>IF('חד גזעי'!$AM$2 = "לא",0,IF(F387&gt;9,W387,0))</f>
        <v>0</v>
      </c>
      <c r="Z387">
        <f>IF('חד גזעי'!$AM$7 = "לא",0,IF(C387 = "זית אירופי",IF('חד גזעי'!$AN$7 &lt;=סקר!F387,W387,0),IF(C387 = "חרוב מצוי",IF('חד גזעי'!$AN$7 &lt;=סקר!F387,W387,0),0)))</f>
        <v>0</v>
      </c>
      <c r="AB387">
        <f t="shared" si="400"/>
        <v>1</v>
      </c>
      <c r="AC387" s="72"/>
      <c r="AD387" t="e">
        <f t="shared" si="418"/>
        <v>#N/A</v>
      </c>
      <c r="AE387" s="72"/>
      <c r="AF387" s="72" t="e">
        <f t="shared" si="401"/>
        <v>#N/A</v>
      </c>
      <c r="AG387" s="72" t="e">
        <f>IF('חד גזעי'!$AM$5="לא",(VLOOKUP(C387,'חד גזעי'!$P$1:$S$589,3,FALSE)),(VLOOKUP(C387,'חד גזעי'!$P$1:$S$589,4,FALSE)))</f>
        <v>#N/A</v>
      </c>
      <c r="AH387" s="72">
        <f t="shared" si="402"/>
        <v>0</v>
      </c>
      <c r="AI387" s="72">
        <f t="shared" si="403"/>
        <v>0</v>
      </c>
      <c r="AJ387" s="72">
        <f t="shared" si="404"/>
        <v>0</v>
      </c>
      <c r="AK387" s="72" t="e">
        <f t="shared" si="405"/>
        <v>#N/A</v>
      </c>
      <c r="AL387" t="e">
        <f>VLOOKUP(C387,'חד גזעי'!$AH$8:$AI$33,2,FALSE)</f>
        <v>#N/A</v>
      </c>
      <c r="AM387" s="72" t="b">
        <f t="shared" si="406"/>
        <v>0</v>
      </c>
      <c r="AN387" s="72" t="b">
        <f t="shared" si="407"/>
        <v>0</v>
      </c>
      <c r="AO387" s="72" t="b">
        <f t="shared" si="408"/>
        <v>0</v>
      </c>
      <c r="AS387" s="72">
        <f t="shared" si="409"/>
        <v>0</v>
      </c>
      <c r="AT387" s="72">
        <f t="shared" si="410"/>
        <v>0</v>
      </c>
      <c r="AU387" s="72">
        <f t="shared" si="419"/>
        <v>0</v>
      </c>
      <c r="AV387" s="72">
        <f t="shared" si="411"/>
        <v>0</v>
      </c>
      <c r="AW387" s="72">
        <f t="shared" si="412"/>
        <v>0</v>
      </c>
      <c r="AX387" s="72">
        <f t="shared" si="413"/>
        <v>0</v>
      </c>
      <c r="AY387" s="72">
        <f t="shared" si="414"/>
        <v>0</v>
      </c>
      <c r="AZ387" s="72">
        <f t="shared" si="415"/>
        <v>0</v>
      </c>
      <c r="BA387" s="72" t="e">
        <f t="shared" si="416"/>
        <v>#N/A</v>
      </c>
      <c r="BB387" s="72" t="e">
        <f t="shared" si="417"/>
        <v>#N/A</v>
      </c>
      <c r="BC387" s="77"/>
      <c r="BE387">
        <f t="shared" si="397"/>
        <v>0</v>
      </c>
      <c r="BF387" s="196"/>
      <c r="BG387" s="196"/>
      <c r="BH387" s="196"/>
      <c r="BI387" s="196"/>
      <c r="BJ387" s="196"/>
      <c r="BK387" s="196"/>
    </row>
    <row r="388" spans="2:63" hidden="1">
      <c r="B388" s="72"/>
      <c r="C388" s="135"/>
      <c r="D388" s="78"/>
      <c r="E388" s="78"/>
      <c r="F388" s="72"/>
      <c r="G388" s="72"/>
      <c r="H388" s="72"/>
      <c r="I388" s="73">
        <f t="shared" si="399"/>
        <v>0</v>
      </c>
      <c r="J388" s="78"/>
      <c r="K388" s="73"/>
      <c r="L388" s="74" t="e">
        <f>_xlfn.IFNA(VLOOKUP(C388,'חד גזעי'!$U$3:$V$509,2,0),VLOOKUP(C388,'חד גזעי'!$U$3:$V$509,2))</f>
        <v>#N/A</v>
      </c>
      <c r="M388" s="73"/>
      <c r="N388" s="72" t="e">
        <f>_xlfn.IFNA(IF(VLOOKUP(C388,'חד גזעי'!$AH$2:$AH$7,1,FALSE)&gt;0,0,IF('חד גזעי'!$AM$5="כן",IF(_xlfn.IFNA(VLOOKUP(C388,'חד גזעי'!$AH$2:$AH$33,1,FALSE),SUM(J388:M388))&lt;21,_xlfn.IFNA(VLOOKUP(C388,'חד גזעי'!$AH$2:$AH$33,1,FALSE),SUM(J388:M388)),0),SUM(J388:M388))),IF('חד גזעי'!$AM$5="כן",IF(_xlfn.IFNA(VLOOKUP(C388,'חד גזעי'!$AH$2:$AH$33,1,FALSE),SUM(J388:M388))&lt;21,_xlfn.IFNA(VLOOKUP(C388,'חד גזעי'!$AH$2:$AH$33,1,FALSE),SUM(J388:M388)),0),SUM(J388:M388)))</f>
        <v>#N/A</v>
      </c>
      <c r="O388" s="72">
        <f>IF('חד גזעי'!$AM$3 = "כן",IF(T388&gt;4,4,T388),T388)</f>
        <v>0</v>
      </c>
      <c r="P388" s="80">
        <f>IF(E388&lt;2,0,IF(Z388&gt;0,Z388,IF(N388 = 0,0,IF('חד גזעי'!$AM$2 = "לא",IF(F388&gt;19,W388,0),IF(F388&gt;9,Y388,0)))))</f>
        <v>0</v>
      </c>
      <c r="Q388" s="77"/>
      <c r="R388" s="76"/>
      <c r="S388" t="e">
        <f>VLOOKUP(C388,'חד גזעי'!$Y$4:$Y$18,1,0)</f>
        <v>#N/A</v>
      </c>
      <c r="T388" s="72">
        <f>IF('חד גזעי'!$AM$6="לא",IF(P388=0,IF(BC388="שימור",IF('חד גזעי'!$AM$4="לא",IF(BC388="לא בוגר",0,IF(BC388="לא קיים",0,IF(J388=0,0,I388*0.1))),IF(BC388="לא בוגר",0,IF(BC388="לא קיים",0,IF(AB388=1,I388*0.1,E388*0.5)))),0),IF('חד גזעי'!$AM$4="לא",IF(BC388="לא בוגר",0,IF(BC388="לא קיים",0,IF(J388=0,0,I388*0.1))),IF(BC388="לא בוגר",0,IF(BC388="לא קיים",0,IF(AB388=1,I388*0.1,E388*0.5))))),IF(P388=0,IF(BC388="שימור",IF('חד גזעי'!$AM$4="לא",IF(BC388="לא בוגר",0,IF(BC388="לא קיים",0,IF(J388=0,0,I388*0.15))),IF(BC388="לא בוגר",0,IF(BC388="לא קיים",0,IF(AB388=1,I388*0.15,E388*0.5)))),0),IF('חד גזעי'!$AM$4="לא",IF(BC388="לא בוגר",0,IF(BC388="לא קיים",0,IF(J388=0,0,I388*0.15))),IF(BC388="לא בוגר",0,IF(BC388="לא קיים",0,IF(AB388=1,I388*0.15,E388*0.5))))))</f>
        <v>0</v>
      </c>
      <c r="V388" t="e">
        <f t="shared" si="371"/>
        <v>#N/A</v>
      </c>
      <c r="W388" t="e">
        <f t="shared" si="372"/>
        <v>#N/A</v>
      </c>
      <c r="X388" t="e">
        <f t="shared" si="373"/>
        <v>#N/A</v>
      </c>
      <c r="Y388">
        <f>IF('חד גזעי'!$AM$2 = "לא",0,IF(F388&gt;9,W388,0))</f>
        <v>0</v>
      </c>
      <c r="Z388">
        <f>IF('חד גזעי'!$AM$7 = "לא",0,IF(C388 = "זית אירופי",IF('חד גזעי'!$AN$7 &lt;=סקר!F388,W388,0),IF(C388 = "חרוב מצוי",IF('חד גזעי'!$AN$7 &lt;=סקר!F388,W388,0),0)))</f>
        <v>0</v>
      </c>
      <c r="AB388">
        <f t="shared" si="400"/>
        <v>1</v>
      </c>
      <c r="AC388" s="72"/>
      <c r="AD388" t="e">
        <f t="shared" si="418"/>
        <v>#N/A</v>
      </c>
      <c r="AE388" s="72"/>
      <c r="AF388" s="72" t="e">
        <f t="shared" si="401"/>
        <v>#N/A</v>
      </c>
      <c r="AG388" s="72" t="e">
        <f>IF('חד גזעי'!$AM$5="לא",(VLOOKUP(C388,'חד גזעי'!$P$1:$S$589,3,FALSE)),(VLOOKUP(C388,'חד גזעי'!$P$1:$S$589,4,FALSE)))</f>
        <v>#N/A</v>
      </c>
      <c r="AH388" s="72">
        <f t="shared" si="402"/>
        <v>0</v>
      </c>
      <c r="AI388" s="72">
        <f t="shared" si="403"/>
        <v>0</v>
      </c>
      <c r="AJ388" s="72">
        <f t="shared" si="404"/>
        <v>0</v>
      </c>
      <c r="AK388" s="72" t="e">
        <f t="shared" si="405"/>
        <v>#N/A</v>
      </c>
      <c r="AL388" t="e">
        <f>VLOOKUP(C388,'חד גזעי'!$AH$8:$AI$33,2,FALSE)</f>
        <v>#N/A</v>
      </c>
      <c r="AM388" s="72" t="b">
        <f t="shared" si="406"/>
        <v>0</v>
      </c>
      <c r="AN388" s="72" t="b">
        <f t="shared" si="407"/>
        <v>0</v>
      </c>
      <c r="AO388" s="72" t="b">
        <f t="shared" si="408"/>
        <v>0</v>
      </c>
      <c r="AS388" s="72">
        <f t="shared" si="409"/>
        <v>0</v>
      </c>
      <c r="AT388" s="72">
        <f t="shared" si="410"/>
        <v>0</v>
      </c>
      <c r="AU388" s="72">
        <f t="shared" si="419"/>
        <v>0</v>
      </c>
      <c r="AV388" s="72">
        <f t="shared" si="411"/>
        <v>0</v>
      </c>
      <c r="AW388" s="72">
        <f t="shared" si="412"/>
        <v>0</v>
      </c>
      <c r="AX388" s="72">
        <f t="shared" si="413"/>
        <v>0</v>
      </c>
      <c r="AY388" s="72">
        <f t="shared" si="414"/>
        <v>0</v>
      </c>
      <c r="AZ388" s="72">
        <f t="shared" si="415"/>
        <v>0</v>
      </c>
      <c r="BA388" s="72" t="e">
        <f t="shared" si="416"/>
        <v>#N/A</v>
      </c>
      <c r="BB388" s="72" t="e">
        <f t="shared" si="417"/>
        <v>#N/A</v>
      </c>
      <c r="BC388" s="77"/>
      <c r="BE388">
        <f t="shared" si="397"/>
        <v>0</v>
      </c>
      <c r="BF388" s="196"/>
      <c r="BG388" s="196"/>
      <c r="BH388" s="196"/>
      <c r="BI388" s="196"/>
      <c r="BJ388" s="196"/>
      <c r="BK388" s="196"/>
    </row>
    <row r="389" spans="2:63" hidden="1">
      <c r="B389" s="72"/>
      <c r="C389" s="135"/>
      <c r="D389" s="78"/>
      <c r="E389" s="78"/>
      <c r="F389" s="72"/>
      <c r="G389" s="72"/>
      <c r="H389" s="72"/>
      <c r="I389" s="73">
        <f t="shared" si="399"/>
        <v>0</v>
      </c>
      <c r="J389" s="78"/>
      <c r="K389" s="73"/>
      <c r="L389" s="74" t="e">
        <f>_xlfn.IFNA(VLOOKUP(C389,'חד גזעי'!$U$3:$V$509,2,0),VLOOKUP(C389,'חד גזעי'!$U$3:$V$509,2))</f>
        <v>#N/A</v>
      </c>
      <c r="M389" s="73"/>
      <c r="N389" s="72" t="e">
        <f>_xlfn.IFNA(IF(VLOOKUP(C389,'חד גזעי'!$AH$2:$AH$7,1,FALSE)&gt;0,0,IF('חד גזעי'!$AM$5="כן",IF(_xlfn.IFNA(VLOOKUP(C389,'חד גזעי'!$AH$2:$AH$33,1,FALSE),SUM(J389:M389))&lt;21,_xlfn.IFNA(VLOOKUP(C389,'חד גזעי'!$AH$2:$AH$33,1,FALSE),SUM(J389:M389)),0),SUM(J389:M389))),IF('חד גזעי'!$AM$5="כן",IF(_xlfn.IFNA(VLOOKUP(C389,'חד גזעי'!$AH$2:$AH$33,1,FALSE),SUM(J389:M389))&lt;21,_xlfn.IFNA(VLOOKUP(C389,'חד גזעי'!$AH$2:$AH$33,1,FALSE),SUM(J389:M389)),0),SUM(J389:M389)))</f>
        <v>#N/A</v>
      </c>
      <c r="O389" s="72">
        <f>IF('חד גזעי'!$AM$3 = "כן",IF(T389&gt;4,4,T389),T389)</f>
        <v>0</v>
      </c>
      <c r="P389" s="80">
        <f>IF(E389&lt;2,0,IF(Z389&gt;0,Z389,IF(N389 = 0,0,IF('חד גזעי'!$AM$2 = "לא",IF(F389&gt;19,W389,0),IF(F389&gt;9,Y389,0)))))</f>
        <v>0</v>
      </c>
      <c r="Q389" s="77"/>
      <c r="R389" s="76"/>
      <c r="S389" t="e">
        <f>VLOOKUP(C389,'חד גזעי'!$Y$4:$Y$18,1,0)</f>
        <v>#N/A</v>
      </c>
      <c r="T389" s="72">
        <f>IF('חד גזעי'!$AM$6="לא",IF(P389=0,IF(BC389="שימור",IF('חד גזעי'!$AM$4="לא",IF(BC389="לא בוגר",0,IF(BC389="לא קיים",0,IF(J389=0,0,I389*0.1))),IF(BC389="לא בוגר",0,IF(BC389="לא קיים",0,IF(AB389=1,I389*0.1,E389*0.5)))),0),IF('חד גזעי'!$AM$4="לא",IF(BC389="לא בוגר",0,IF(BC389="לא קיים",0,IF(J389=0,0,I389*0.1))),IF(BC389="לא בוגר",0,IF(BC389="לא קיים",0,IF(AB389=1,I389*0.1,E389*0.5))))),IF(P389=0,IF(BC389="שימור",IF('חד גזעי'!$AM$4="לא",IF(BC389="לא בוגר",0,IF(BC389="לא קיים",0,IF(J389=0,0,I389*0.15))),IF(BC389="לא בוגר",0,IF(BC389="לא קיים",0,IF(AB389=1,I389*0.15,E389*0.5)))),0),IF('חד גזעי'!$AM$4="לא",IF(BC389="לא בוגר",0,IF(BC389="לא קיים",0,IF(J389=0,0,I389*0.15))),IF(BC389="לא בוגר",0,IF(BC389="לא קיים",0,IF(AB389=1,I389*0.15,E389*0.5))))))</f>
        <v>0</v>
      </c>
      <c r="V389" t="e">
        <f t="shared" si="371"/>
        <v>#N/A</v>
      </c>
      <c r="W389" t="e">
        <f t="shared" si="372"/>
        <v>#N/A</v>
      </c>
      <c r="X389" t="e">
        <f t="shared" si="373"/>
        <v>#N/A</v>
      </c>
      <c r="Y389">
        <f>IF('חד גזעי'!$AM$2 = "לא",0,IF(F389&gt;9,W389,0))</f>
        <v>0</v>
      </c>
      <c r="Z389">
        <f>IF('חד גזעי'!$AM$7 = "לא",0,IF(C389 = "זית אירופי",IF('חד גזעי'!$AN$7 &lt;=סקר!F389,W389,0),IF(C389 = "חרוב מצוי",IF('חד גזעי'!$AN$7 &lt;=סקר!F389,W389,0),0)))</f>
        <v>0</v>
      </c>
      <c r="AB389">
        <f t="shared" si="400"/>
        <v>1</v>
      </c>
      <c r="AC389" s="72"/>
      <c r="AD389" t="e">
        <f t="shared" si="418"/>
        <v>#N/A</v>
      </c>
      <c r="AE389" s="72"/>
      <c r="AF389" s="72" t="e">
        <f t="shared" si="401"/>
        <v>#N/A</v>
      </c>
      <c r="AG389" s="72" t="e">
        <f>IF('חד גזעי'!$AM$5="לא",(VLOOKUP(C389,'חד גזעי'!$P$1:$S$589,3,FALSE)),(VLOOKUP(C389,'חד גזעי'!$P$1:$S$589,4,FALSE)))</f>
        <v>#N/A</v>
      </c>
      <c r="AH389" s="72">
        <f t="shared" si="402"/>
        <v>0</v>
      </c>
      <c r="AI389" s="72">
        <f t="shared" si="403"/>
        <v>0</v>
      </c>
      <c r="AJ389" s="72">
        <f t="shared" si="404"/>
        <v>0</v>
      </c>
      <c r="AK389" s="72" t="e">
        <f t="shared" si="405"/>
        <v>#N/A</v>
      </c>
      <c r="AL389" t="e">
        <f>VLOOKUP(C389,'חד גזעי'!$AH$8:$AI$33,2,FALSE)</f>
        <v>#N/A</v>
      </c>
      <c r="AM389" s="72" t="b">
        <f t="shared" si="406"/>
        <v>0</v>
      </c>
      <c r="AN389" s="72" t="b">
        <f t="shared" si="407"/>
        <v>0</v>
      </c>
      <c r="AO389" s="72" t="b">
        <f t="shared" si="408"/>
        <v>0</v>
      </c>
      <c r="AS389" s="72">
        <f t="shared" si="409"/>
        <v>0</v>
      </c>
      <c r="AT389" s="72">
        <f t="shared" si="410"/>
        <v>0</v>
      </c>
      <c r="AU389" s="72">
        <f t="shared" si="419"/>
        <v>0</v>
      </c>
      <c r="AV389" s="72">
        <f t="shared" si="411"/>
        <v>0</v>
      </c>
      <c r="AW389" s="72">
        <f t="shared" si="412"/>
        <v>0</v>
      </c>
      <c r="AX389" s="72">
        <f t="shared" si="413"/>
        <v>0</v>
      </c>
      <c r="AY389" s="72">
        <f t="shared" si="414"/>
        <v>0</v>
      </c>
      <c r="AZ389" s="72">
        <f t="shared" si="415"/>
        <v>0</v>
      </c>
      <c r="BA389" s="72" t="e">
        <f t="shared" si="416"/>
        <v>#N/A</v>
      </c>
      <c r="BB389" s="72" t="e">
        <f t="shared" si="417"/>
        <v>#N/A</v>
      </c>
      <c r="BC389" s="77"/>
      <c r="BE389">
        <f t="shared" si="397"/>
        <v>0</v>
      </c>
      <c r="BF389" s="196"/>
      <c r="BG389" s="196"/>
      <c r="BH389" s="196"/>
      <c r="BI389" s="196"/>
      <c r="BJ389" s="196"/>
      <c r="BK389" s="196"/>
    </row>
    <row r="390" spans="2:63" hidden="1">
      <c r="B390" s="72"/>
      <c r="C390" s="135"/>
      <c r="D390" s="78"/>
      <c r="E390" s="78"/>
      <c r="F390" s="72"/>
      <c r="G390" s="72"/>
      <c r="H390" s="72"/>
      <c r="I390" s="73">
        <f t="shared" si="399"/>
        <v>0</v>
      </c>
      <c r="J390" s="78"/>
      <c r="K390" s="73"/>
      <c r="L390" s="74" t="e">
        <f>_xlfn.IFNA(VLOOKUP(C390,'חד גזעי'!$U$3:$V$509,2,0),VLOOKUP(C390,'חד גזעי'!$U$3:$V$509,2))</f>
        <v>#N/A</v>
      </c>
      <c r="M390" s="73"/>
      <c r="N390" s="72" t="e">
        <f>_xlfn.IFNA(IF(VLOOKUP(C390,'חד גזעי'!$AH$2:$AH$7,1,FALSE)&gt;0,0,IF('חד גזעי'!$AM$5="כן",IF(_xlfn.IFNA(VLOOKUP(C390,'חד גזעי'!$AH$2:$AH$33,1,FALSE),SUM(J390:M390))&lt;21,_xlfn.IFNA(VLOOKUP(C390,'חד גזעי'!$AH$2:$AH$33,1,FALSE),SUM(J390:M390)),0),SUM(J390:M390))),IF('חד גזעי'!$AM$5="כן",IF(_xlfn.IFNA(VLOOKUP(C390,'חד גזעי'!$AH$2:$AH$33,1,FALSE),SUM(J390:M390))&lt;21,_xlfn.IFNA(VLOOKUP(C390,'חד גזעי'!$AH$2:$AH$33,1,FALSE),SUM(J390:M390)),0),SUM(J390:M390)))</f>
        <v>#N/A</v>
      </c>
      <c r="O390" s="72">
        <f>IF('חד גזעי'!$AM$3 = "כן",IF(T390&gt;4,4,T390),T390)</f>
        <v>0</v>
      </c>
      <c r="P390" s="80">
        <f>IF(E390&lt;2,0,IF(Z390&gt;0,Z390,IF(N390 = 0,0,IF('חד גזעי'!$AM$2 = "לא",IF(F390&gt;19,W390,0),IF(F390&gt;9,Y390,0)))))</f>
        <v>0</v>
      </c>
      <c r="Q390" s="77"/>
      <c r="R390" s="76"/>
      <c r="S390" t="e">
        <f>VLOOKUP(C390,'חד גזעי'!$Y$4:$Y$18,1,0)</f>
        <v>#N/A</v>
      </c>
      <c r="T390" s="72">
        <f>IF('חד גזעי'!$AM$6="לא",IF(P390=0,IF(BC390="שימור",IF('חד גזעי'!$AM$4="לא",IF(BC390="לא בוגר",0,IF(BC390="לא קיים",0,IF(J390=0,0,I390*0.1))),IF(BC390="לא בוגר",0,IF(BC390="לא קיים",0,IF(AB390=1,I390*0.1,E390*0.5)))),0),IF('חד גזעי'!$AM$4="לא",IF(BC390="לא בוגר",0,IF(BC390="לא קיים",0,IF(J390=0,0,I390*0.1))),IF(BC390="לא בוגר",0,IF(BC390="לא קיים",0,IF(AB390=1,I390*0.1,E390*0.5))))),IF(P390=0,IF(BC390="שימור",IF('חד גזעי'!$AM$4="לא",IF(BC390="לא בוגר",0,IF(BC390="לא קיים",0,IF(J390=0,0,I390*0.15))),IF(BC390="לא בוגר",0,IF(BC390="לא קיים",0,IF(AB390=1,I390*0.15,E390*0.5)))),0),IF('חד גזעי'!$AM$4="לא",IF(BC390="לא בוגר",0,IF(BC390="לא קיים",0,IF(J390=0,0,I390*0.15))),IF(BC390="לא בוגר",0,IF(BC390="לא קיים",0,IF(AB390=1,I390*0.15,E390*0.5))))))</f>
        <v>0</v>
      </c>
      <c r="V390" t="e">
        <f t="shared" si="371"/>
        <v>#N/A</v>
      </c>
      <c r="W390" t="e">
        <f t="shared" si="372"/>
        <v>#N/A</v>
      </c>
      <c r="X390" t="e">
        <f t="shared" si="373"/>
        <v>#N/A</v>
      </c>
      <c r="Y390">
        <f>IF('חד גזעי'!$AM$2 = "לא",0,IF(F390&gt;9,W390,0))</f>
        <v>0</v>
      </c>
      <c r="Z390">
        <f>IF('חד גזעי'!$AM$7 = "לא",0,IF(C390 = "זית אירופי",IF('חד גזעי'!$AN$7 &lt;=סקר!F390,W390,0),IF(C390 = "חרוב מצוי",IF('חד גזעי'!$AN$7 &lt;=סקר!F390,W390,0),0)))</f>
        <v>0</v>
      </c>
      <c r="AB390">
        <f t="shared" si="400"/>
        <v>1</v>
      </c>
      <c r="AC390" s="72"/>
      <c r="AD390" t="e">
        <f t="shared" si="418"/>
        <v>#N/A</v>
      </c>
      <c r="AE390" s="72"/>
      <c r="AF390" s="72" t="e">
        <f t="shared" si="401"/>
        <v>#N/A</v>
      </c>
      <c r="AG390" s="72" t="e">
        <f>IF('חד גזעי'!$AM$5="לא",(VLOOKUP(C390,'חד גזעי'!$P$1:$S$589,3,FALSE)),(VLOOKUP(C390,'חד גזעי'!$P$1:$S$589,4,FALSE)))</f>
        <v>#N/A</v>
      </c>
      <c r="AH390" s="72">
        <f t="shared" si="402"/>
        <v>0</v>
      </c>
      <c r="AI390" s="72">
        <f t="shared" si="403"/>
        <v>0</v>
      </c>
      <c r="AJ390" s="72">
        <f t="shared" si="404"/>
        <v>0</v>
      </c>
      <c r="AK390" s="72" t="e">
        <f t="shared" si="405"/>
        <v>#N/A</v>
      </c>
      <c r="AL390" t="e">
        <f>VLOOKUP(C390,'חד גזעי'!$AH$8:$AI$33,2,FALSE)</f>
        <v>#N/A</v>
      </c>
      <c r="AM390" s="72" t="b">
        <f t="shared" si="406"/>
        <v>0</v>
      </c>
      <c r="AN390" s="72" t="b">
        <f t="shared" si="407"/>
        <v>0</v>
      </c>
      <c r="AO390" s="72" t="b">
        <f t="shared" si="408"/>
        <v>0</v>
      </c>
      <c r="AS390" s="72">
        <f t="shared" si="409"/>
        <v>0</v>
      </c>
      <c r="AT390" s="72">
        <f t="shared" si="410"/>
        <v>0</v>
      </c>
      <c r="AU390" s="72">
        <f t="shared" si="419"/>
        <v>0</v>
      </c>
      <c r="AV390" s="72">
        <f t="shared" si="411"/>
        <v>0</v>
      </c>
      <c r="AW390" s="72">
        <f t="shared" si="412"/>
        <v>0</v>
      </c>
      <c r="AX390" s="72">
        <f t="shared" si="413"/>
        <v>0</v>
      </c>
      <c r="AY390" s="72">
        <f t="shared" si="414"/>
        <v>0</v>
      </c>
      <c r="AZ390" s="72">
        <f t="shared" si="415"/>
        <v>0</v>
      </c>
      <c r="BA390" s="72" t="e">
        <f t="shared" si="416"/>
        <v>#N/A</v>
      </c>
      <c r="BB390" s="72" t="e">
        <f t="shared" si="417"/>
        <v>#N/A</v>
      </c>
      <c r="BC390" s="77"/>
      <c r="BE390">
        <f t="shared" si="397"/>
        <v>0</v>
      </c>
      <c r="BF390" s="72"/>
      <c r="BG390" s="72"/>
      <c r="BH390" s="72"/>
      <c r="BI390" s="72"/>
      <c r="BJ390" s="72"/>
      <c r="BK390" s="72"/>
    </row>
    <row r="391" spans="2:63" hidden="1">
      <c r="B391" s="72"/>
      <c r="C391" s="135"/>
      <c r="D391" s="78"/>
      <c r="E391" s="78"/>
      <c r="F391" s="72"/>
      <c r="G391" s="72"/>
      <c r="H391" s="72"/>
      <c r="I391" s="73">
        <f t="shared" si="399"/>
        <v>0</v>
      </c>
      <c r="J391" s="78"/>
      <c r="K391" s="73"/>
      <c r="L391" s="74" t="e">
        <f>_xlfn.IFNA(VLOOKUP(C391,'חד גזעי'!$U$3:$V$509,2,0),VLOOKUP(C391,'חד גזעי'!$U$3:$V$509,2))</f>
        <v>#N/A</v>
      </c>
      <c r="M391" s="73"/>
      <c r="N391" s="72" t="e">
        <f>_xlfn.IFNA(IF(VLOOKUP(C391,'חד גזעי'!$AH$2:$AH$7,1,FALSE)&gt;0,0,IF('חד גזעי'!$AM$5="כן",IF(_xlfn.IFNA(VLOOKUP(C391,'חד גזעי'!$AH$2:$AH$33,1,FALSE),SUM(J391:M391))&lt;21,_xlfn.IFNA(VLOOKUP(C391,'חד גזעי'!$AH$2:$AH$33,1,FALSE),SUM(J391:M391)),0),SUM(J391:M391))),IF('חד גזעי'!$AM$5="כן",IF(_xlfn.IFNA(VLOOKUP(C391,'חד גזעי'!$AH$2:$AH$33,1,FALSE),SUM(J391:M391))&lt;21,_xlfn.IFNA(VLOOKUP(C391,'חד גזעי'!$AH$2:$AH$33,1,FALSE),SUM(J391:M391)),0),SUM(J391:M391)))</f>
        <v>#N/A</v>
      </c>
      <c r="O391" s="72">
        <f>IF('חד גזעי'!$AM$3 = "כן",IF(T391&gt;4,4,T391),T391)</f>
        <v>0</v>
      </c>
      <c r="P391" s="80">
        <f>IF(E391&lt;2,0,IF(Z391&gt;0,Z391,IF(N391 = 0,0,IF('חד גזעי'!$AM$2 = "לא",IF(F391&gt;19,W391,0),IF(F391&gt;9,Y391,0)))))</f>
        <v>0</v>
      </c>
      <c r="Q391" s="77"/>
      <c r="R391" s="75"/>
      <c r="S391" t="e">
        <f>VLOOKUP(C391,'חד גזעי'!$Y$4:$Y$18,1,0)</f>
        <v>#N/A</v>
      </c>
      <c r="T391" s="72">
        <f>IF('חד גזעי'!$AM$6="לא",IF(P391=0,IF(BC391="שימור",IF('חד גזעי'!$AM$4="לא",IF(BC391="לא בוגר",0,IF(BC391="לא קיים",0,IF(J391=0,0,I391*0.1))),IF(BC391="לא בוגר",0,IF(BC391="לא קיים",0,IF(AB391=1,I391*0.1,E391*0.5)))),0),IF('חד גזעי'!$AM$4="לא",IF(BC391="לא בוגר",0,IF(BC391="לא קיים",0,IF(J391=0,0,I391*0.1))),IF(BC391="לא בוגר",0,IF(BC391="לא קיים",0,IF(AB391=1,I391*0.1,E391*0.5))))),IF(P391=0,IF(BC391="שימור",IF('חד גזעי'!$AM$4="לא",IF(BC391="לא בוגר",0,IF(BC391="לא קיים",0,IF(J391=0,0,I391*0.15))),IF(BC391="לא בוגר",0,IF(BC391="לא קיים",0,IF(AB391=1,I391*0.15,E391*0.5)))),0),IF('חד גזעי'!$AM$4="לא",IF(BC391="לא בוגר",0,IF(BC391="לא קיים",0,IF(J391=0,0,I391*0.15))),IF(BC391="לא בוגר",0,IF(BC391="לא קיים",0,IF(AB391=1,I391*0.15,E391*0.5))))))</f>
        <v>0</v>
      </c>
      <c r="V391" t="e">
        <f t="shared" si="371"/>
        <v>#N/A</v>
      </c>
      <c r="W391" t="e">
        <f t="shared" si="372"/>
        <v>#N/A</v>
      </c>
      <c r="X391" t="e">
        <f t="shared" si="373"/>
        <v>#N/A</v>
      </c>
      <c r="Y391">
        <f>IF('חד גזעי'!$AM$2 = "לא",0,IF(F391&gt;9,W391,0))</f>
        <v>0</v>
      </c>
      <c r="Z391">
        <f>IF('חד גזעי'!$AM$7 = "לא",0,IF(C391 = "זית אירופי",IF('חד גזעי'!$AN$7 &lt;=סקר!F391,W391,0),IF(C391 = "חרוב מצוי",IF('חד גזעי'!$AN$7 &lt;=סקר!F391,W391,0),0)))</f>
        <v>0</v>
      </c>
      <c r="AB391">
        <f t="shared" si="400"/>
        <v>1</v>
      </c>
      <c r="AC391" s="72"/>
      <c r="AD391" t="e">
        <f t="shared" si="418"/>
        <v>#N/A</v>
      </c>
      <c r="AE391" s="72"/>
      <c r="AF391" s="72" t="e">
        <f t="shared" si="401"/>
        <v>#N/A</v>
      </c>
      <c r="AG391" s="72" t="e">
        <f>IF('חד גזעי'!$AM$5="לא",(VLOOKUP(C391,'חד גזעי'!$P$1:$S$589,3,FALSE)),(VLOOKUP(C391,'חד גזעי'!$P$1:$S$589,4,FALSE)))</f>
        <v>#N/A</v>
      </c>
      <c r="AH391" s="72">
        <f t="shared" si="402"/>
        <v>0</v>
      </c>
      <c r="AI391" s="72">
        <f t="shared" si="403"/>
        <v>0</v>
      </c>
      <c r="AJ391" s="72">
        <f t="shared" si="404"/>
        <v>0</v>
      </c>
      <c r="AK391" s="72" t="e">
        <f t="shared" si="405"/>
        <v>#N/A</v>
      </c>
      <c r="AL391" t="e">
        <f>VLOOKUP(C391,'חד גזעי'!$AH$8:$AI$33,2,FALSE)</f>
        <v>#N/A</v>
      </c>
      <c r="AM391" s="72" t="b">
        <f t="shared" si="406"/>
        <v>0</v>
      </c>
      <c r="AN391" s="72" t="b">
        <f t="shared" si="407"/>
        <v>0</v>
      </c>
      <c r="AO391" s="72" t="b">
        <f t="shared" si="408"/>
        <v>0</v>
      </c>
      <c r="AS391" s="72">
        <f t="shared" si="409"/>
        <v>0</v>
      </c>
      <c r="AT391" s="72">
        <f t="shared" si="410"/>
        <v>0</v>
      </c>
      <c r="AU391" s="72">
        <f t="shared" si="419"/>
        <v>0</v>
      </c>
      <c r="AV391" s="72">
        <f t="shared" si="411"/>
        <v>0</v>
      </c>
      <c r="AW391" s="72">
        <f t="shared" si="412"/>
        <v>0</v>
      </c>
      <c r="AX391" s="72">
        <f t="shared" si="413"/>
        <v>0</v>
      </c>
      <c r="AY391" s="72">
        <f t="shared" si="414"/>
        <v>0</v>
      </c>
      <c r="AZ391" s="72">
        <f t="shared" si="415"/>
        <v>0</v>
      </c>
      <c r="BA391" s="72" t="e">
        <f t="shared" si="416"/>
        <v>#N/A</v>
      </c>
      <c r="BB391" s="72" t="e">
        <f t="shared" si="417"/>
        <v>#N/A</v>
      </c>
      <c r="BC391" s="77"/>
      <c r="BE391">
        <f t="shared" si="397"/>
        <v>0</v>
      </c>
      <c r="BF391" s="196" t="str">
        <f>BF410</f>
        <v>C:\Users\origr\Pictures\0.jpg</v>
      </c>
      <c r="BG391" s="196" t="str">
        <f t="shared" ref="BG391:BK391" si="420">BG410</f>
        <v>C:\Users\origr\Pictures\0.jpg</v>
      </c>
      <c r="BH391" s="196" t="str">
        <f t="shared" si="420"/>
        <v>C:\Users\origr\Pictures\0.jpg</v>
      </c>
      <c r="BI391" s="196" t="str">
        <f t="shared" si="420"/>
        <v>C:\Users\origr\Pictures\0.jpg</v>
      </c>
      <c r="BJ391" s="196" t="str">
        <f t="shared" si="420"/>
        <v>C:\Users\origr\Pictures\0.jpg</v>
      </c>
      <c r="BK391" s="196" t="str">
        <f t="shared" si="420"/>
        <v>C:\Users\origr\Pictures\0.jpg</v>
      </c>
    </row>
    <row r="392" spans="2:63" hidden="1">
      <c r="B392" s="72"/>
      <c r="C392" s="135"/>
      <c r="D392" s="78"/>
      <c r="E392" s="78"/>
      <c r="F392" s="72"/>
      <c r="G392" s="72"/>
      <c r="H392" s="72"/>
      <c r="I392" s="73">
        <f t="shared" si="399"/>
        <v>0</v>
      </c>
      <c r="J392" s="78"/>
      <c r="K392" s="73"/>
      <c r="L392" s="74" t="e">
        <f>_xlfn.IFNA(VLOOKUP(C392,'חד גזעי'!$U$3:$V$509,2,0),VLOOKUP(C392,'חד גזעי'!$U$3:$V$509,2))</f>
        <v>#N/A</v>
      </c>
      <c r="M392" s="73"/>
      <c r="N392" s="72" t="e">
        <f>_xlfn.IFNA(IF(VLOOKUP(C392,'חד גזעי'!$AH$2:$AH$7,1,FALSE)&gt;0,0,IF('חד גזעי'!$AM$5="כן",IF(_xlfn.IFNA(VLOOKUP(C392,'חד גזעי'!$AH$2:$AH$33,1,FALSE),SUM(J392:M392))&lt;21,_xlfn.IFNA(VLOOKUP(C392,'חד גזעי'!$AH$2:$AH$33,1,FALSE),SUM(J392:M392)),0),SUM(J392:M392))),IF('חד גזעי'!$AM$5="כן",IF(_xlfn.IFNA(VLOOKUP(C392,'חד גזעי'!$AH$2:$AH$33,1,FALSE),SUM(J392:M392))&lt;21,_xlfn.IFNA(VLOOKUP(C392,'חד גזעי'!$AH$2:$AH$33,1,FALSE),SUM(J392:M392)),0),SUM(J392:M392)))</f>
        <v>#N/A</v>
      </c>
      <c r="O392" s="72">
        <f>IF('חד גזעי'!$AM$3 = "כן",IF(T392&gt;4,4,T392),T392)</f>
        <v>0</v>
      </c>
      <c r="P392" s="80">
        <f>IF(E392&lt;2,0,IF(Z392&gt;0,Z392,IF(N392 = 0,0,IF('חד גזעי'!$AM$2 = "לא",IF(F392&gt;19,W392,0),IF(F392&gt;9,Y392,0)))))</f>
        <v>0</v>
      </c>
      <c r="Q392" s="77"/>
      <c r="R392" s="76"/>
      <c r="S392" t="e">
        <f>VLOOKUP(C392,'חד גזעי'!$Y$4:$Y$18,1,0)</f>
        <v>#N/A</v>
      </c>
      <c r="T392" s="72">
        <f>IF('חד גזעי'!$AM$6="לא",IF(P392=0,IF(BC392="שימור",IF('חד גזעי'!$AM$4="לא",IF(BC392="לא בוגר",0,IF(BC392="לא קיים",0,IF(J392=0,0,I392*0.1))),IF(BC392="לא בוגר",0,IF(BC392="לא קיים",0,IF(AB392=1,I392*0.1,E392*0.5)))),0),IF('חד גזעי'!$AM$4="לא",IF(BC392="לא בוגר",0,IF(BC392="לא קיים",0,IF(J392=0,0,I392*0.1))),IF(BC392="לא בוגר",0,IF(BC392="לא קיים",0,IF(AB392=1,I392*0.1,E392*0.5))))),IF(P392=0,IF(BC392="שימור",IF('חד גזעי'!$AM$4="לא",IF(BC392="לא בוגר",0,IF(BC392="לא קיים",0,IF(J392=0,0,I392*0.15))),IF(BC392="לא בוגר",0,IF(BC392="לא קיים",0,IF(AB392=1,I392*0.15,E392*0.5)))),0),IF('חד גזעי'!$AM$4="לא",IF(BC392="לא בוגר",0,IF(BC392="לא קיים",0,IF(J392=0,0,I392*0.15))),IF(BC392="לא בוגר",0,IF(BC392="לא קיים",0,IF(AB392=1,I392*0.15,E392*0.5))))))</f>
        <v>0</v>
      </c>
      <c r="V392" t="e">
        <f t="shared" si="371"/>
        <v>#N/A</v>
      </c>
      <c r="W392" t="e">
        <f t="shared" si="372"/>
        <v>#N/A</v>
      </c>
      <c r="X392" t="e">
        <f t="shared" si="373"/>
        <v>#N/A</v>
      </c>
      <c r="Y392">
        <f>IF('חד גזעי'!$AM$2 = "לא",0,IF(F392&gt;9,W392,0))</f>
        <v>0</v>
      </c>
      <c r="Z392">
        <f>IF('חד גזעי'!$AM$7 = "לא",0,IF(C392 = "זית אירופי",IF('חד גזעי'!$AN$7 &lt;=סקר!F392,W392,0),IF(C392 = "חרוב מצוי",IF('חד גזעי'!$AN$7 &lt;=סקר!F392,W392,0),0)))</f>
        <v>0</v>
      </c>
      <c r="AB392">
        <f t="shared" si="400"/>
        <v>1</v>
      </c>
      <c r="AC392" s="72"/>
      <c r="AD392" t="e">
        <f t="shared" si="418"/>
        <v>#N/A</v>
      </c>
      <c r="AE392" s="72"/>
      <c r="AF392" s="72" t="e">
        <f t="shared" si="401"/>
        <v>#N/A</v>
      </c>
      <c r="AG392" s="72" t="e">
        <f>IF('חד גזעי'!$AM$5="לא",(VLOOKUP(C392,'חד גזעי'!$P$1:$S$589,3,FALSE)),(VLOOKUP(C392,'חד גזעי'!$P$1:$S$589,4,FALSE)))</f>
        <v>#N/A</v>
      </c>
      <c r="AH392" s="72">
        <f t="shared" si="402"/>
        <v>0</v>
      </c>
      <c r="AI392" s="72">
        <f t="shared" si="403"/>
        <v>0</v>
      </c>
      <c r="AJ392" s="72">
        <f t="shared" si="404"/>
        <v>0</v>
      </c>
      <c r="AK392" s="72" t="e">
        <f t="shared" si="405"/>
        <v>#N/A</v>
      </c>
      <c r="AL392" t="e">
        <f>VLOOKUP(C392,'חד גזעי'!$AH$8:$AI$33,2,FALSE)</f>
        <v>#N/A</v>
      </c>
      <c r="AM392" s="72" t="b">
        <f t="shared" si="406"/>
        <v>0</v>
      </c>
      <c r="AN392" s="72" t="b">
        <f t="shared" si="407"/>
        <v>0</v>
      </c>
      <c r="AO392" s="72" t="b">
        <f t="shared" si="408"/>
        <v>0</v>
      </c>
      <c r="AS392" s="72">
        <f t="shared" si="409"/>
        <v>0</v>
      </c>
      <c r="AT392" s="72">
        <f t="shared" si="410"/>
        <v>0</v>
      </c>
      <c r="AU392" s="72">
        <f t="shared" si="419"/>
        <v>0</v>
      </c>
      <c r="AV392" s="72">
        <f t="shared" si="411"/>
        <v>0</v>
      </c>
      <c r="AW392" s="72">
        <f t="shared" si="412"/>
        <v>0</v>
      </c>
      <c r="AX392" s="72">
        <f t="shared" si="413"/>
        <v>0</v>
      </c>
      <c r="AY392" s="72">
        <f t="shared" si="414"/>
        <v>0</v>
      </c>
      <c r="AZ392" s="72">
        <f t="shared" si="415"/>
        <v>0</v>
      </c>
      <c r="BA392" s="72" t="e">
        <f t="shared" si="416"/>
        <v>#N/A</v>
      </c>
      <c r="BB392" s="72" t="e">
        <f t="shared" si="417"/>
        <v>#N/A</v>
      </c>
      <c r="BC392" s="77"/>
      <c r="BE392">
        <f t="shared" si="397"/>
        <v>0</v>
      </c>
      <c r="BF392" s="196"/>
      <c r="BG392" s="196"/>
      <c r="BH392" s="196"/>
      <c r="BI392" s="196"/>
      <c r="BJ392" s="196"/>
      <c r="BK392" s="196"/>
    </row>
    <row r="393" spans="2:63" hidden="1">
      <c r="B393" s="72"/>
      <c r="C393" s="135"/>
      <c r="D393" s="78"/>
      <c r="E393" s="78"/>
      <c r="F393" s="72"/>
      <c r="G393" s="72"/>
      <c r="H393" s="72"/>
      <c r="I393" s="73">
        <f t="shared" si="399"/>
        <v>0</v>
      </c>
      <c r="J393" s="78"/>
      <c r="K393" s="73"/>
      <c r="L393" s="74" t="e">
        <f>_xlfn.IFNA(VLOOKUP(C393,'חד גזעי'!$U$3:$V$509,2,0),VLOOKUP(C393,'חד גזעי'!$U$3:$V$509,2))</f>
        <v>#N/A</v>
      </c>
      <c r="M393" s="73"/>
      <c r="N393" s="72" t="e">
        <f>_xlfn.IFNA(IF(VLOOKUP(C393,'חד גזעי'!$AH$2:$AH$7,1,FALSE)&gt;0,0,IF('חד גזעי'!$AM$5="כן",IF(_xlfn.IFNA(VLOOKUP(C393,'חד גזעי'!$AH$2:$AH$33,1,FALSE),SUM(J393:M393))&lt;21,_xlfn.IFNA(VLOOKUP(C393,'חד גזעי'!$AH$2:$AH$33,1,FALSE),SUM(J393:M393)),0),SUM(J393:M393))),IF('חד גזעי'!$AM$5="כן",IF(_xlfn.IFNA(VLOOKUP(C393,'חד גזעי'!$AH$2:$AH$33,1,FALSE),SUM(J393:M393))&lt;21,_xlfn.IFNA(VLOOKUP(C393,'חד גזעי'!$AH$2:$AH$33,1,FALSE),SUM(J393:M393)),0),SUM(J393:M393)))</f>
        <v>#N/A</v>
      </c>
      <c r="O393" s="72">
        <f>IF('חד גזעי'!$AM$3 = "כן",IF(T393&gt;4,4,T393),T393)</f>
        <v>0</v>
      </c>
      <c r="P393" s="80">
        <f>IF(E393&lt;2,0,IF(Z393&gt;0,Z393,IF(N393 = 0,0,IF('חד גזעי'!$AM$2 = "לא",IF(F393&gt;19,W393,0),IF(F393&gt;9,Y393,0)))))</f>
        <v>0</v>
      </c>
      <c r="Q393" s="77"/>
      <c r="R393" s="76"/>
      <c r="S393" t="e">
        <f>VLOOKUP(C393,'חד גזעי'!$Y$4:$Y$18,1,0)</f>
        <v>#N/A</v>
      </c>
      <c r="T393" s="72">
        <f>IF('חד גזעי'!$AM$6="לא",IF(P393=0,IF(BC393="שימור",IF('חד גזעי'!$AM$4="לא",IF(BC393="לא בוגר",0,IF(BC393="לא קיים",0,IF(J393=0,0,I393*0.1))),IF(BC393="לא בוגר",0,IF(BC393="לא קיים",0,IF(AB393=1,I393*0.1,E393*0.5)))),0),IF('חד גזעי'!$AM$4="לא",IF(BC393="לא בוגר",0,IF(BC393="לא קיים",0,IF(J393=0,0,I393*0.1))),IF(BC393="לא בוגר",0,IF(BC393="לא קיים",0,IF(AB393=1,I393*0.1,E393*0.5))))),IF(P393=0,IF(BC393="שימור",IF('חד גזעי'!$AM$4="לא",IF(BC393="לא בוגר",0,IF(BC393="לא קיים",0,IF(J393=0,0,I393*0.15))),IF(BC393="לא בוגר",0,IF(BC393="לא קיים",0,IF(AB393=1,I393*0.15,E393*0.5)))),0),IF('חד גזעי'!$AM$4="לא",IF(BC393="לא בוגר",0,IF(BC393="לא קיים",0,IF(J393=0,0,I393*0.15))),IF(BC393="לא בוגר",0,IF(BC393="לא קיים",0,IF(AB393=1,I393*0.15,E393*0.5))))))</f>
        <v>0</v>
      </c>
      <c r="V393" t="e">
        <f t="shared" si="371"/>
        <v>#N/A</v>
      </c>
      <c r="W393" t="e">
        <f t="shared" si="372"/>
        <v>#N/A</v>
      </c>
      <c r="X393" t="e">
        <f t="shared" si="373"/>
        <v>#N/A</v>
      </c>
      <c r="Y393">
        <f>IF('חד גזעי'!$AM$2 = "לא",0,IF(F393&gt;9,W393,0))</f>
        <v>0</v>
      </c>
      <c r="Z393">
        <f>IF('חד גזעי'!$AM$7 = "לא",0,IF(C393 = "זית אירופי",IF('חד גזעי'!$AN$7 &lt;=סקר!F393,W393,0),IF(C393 = "חרוב מצוי",IF('חד גזעי'!$AN$7 &lt;=סקר!F393,W393,0),0)))</f>
        <v>0</v>
      </c>
      <c r="AB393">
        <f t="shared" si="400"/>
        <v>1</v>
      </c>
      <c r="AC393" s="72"/>
      <c r="AD393" t="e">
        <f t="shared" si="418"/>
        <v>#N/A</v>
      </c>
      <c r="AE393" s="72"/>
      <c r="AF393" s="72" t="e">
        <f t="shared" si="401"/>
        <v>#N/A</v>
      </c>
      <c r="AG393" s="72" t="e">
        <f>IF('חד גזעי'!$AM$5="לא",(VLOOKUP(C393,'חד גזעי'!$P$1:$S$589,3,FALSE)),(VLOOKUP(C393,'חד גזעי'!$P$1:$S$589,4,FALSE)))</f>
        <v>#N/A</v>
      </c>
      <c r="AH393" s="72">
        <f t="shared" si="402"/>
        <v>0</v>
      </c>
      <c r="AI393" s="72">
        <f t="shared" si="403"/>
        <v>0</v>
      </c>
      <c r="AJ393" s="72">
        <f t="shared" si="404"/>
        <v>0</v>
      </c>
      <c r="AK393" s="72" t="e">
        <f t="shared" si="405"/>
        <v>#N/A</v>
      </c>
      <c r="AL393" t="e">
        <f>VLOOKUP(C393,'חד גזעי'!$AH$8:$AI$33,2,FALSE)</f>
        <v>#N/A</v>
      </c>
      <c r="AM393" s="72" t="b">
        <f t="shared" si="406"/>
        <v>0</v>
      </c>
      <c r="AN393" s="72" t="b">
        <f t="shared" si="407"/>
        <v>0</v>
      </c>
      <c r="AO393" s="72" t="b">
        <f t="shared" si="408"/>
        <v>0</v>
      </c>
      <c r="AS393" s="72">
        <f t="shared" si="409"/>
        <v>0</v>
      </c>
      <c r="AT393" s="72">
        <f t="shared" si="410"/>
        <v>0</v>
      </c>
      <c r="AU393" s="72">
        <f t="shared" si="419"/>
        <v>0</v>
      </c>
      <c r="AV393" s="72">
        <f t="shared" si="411"/>
        <v>0</v>
      </c>
      <c r="AW393" s="72">
        <f t="shared" si="412"/>
        <v>0</v>
      </c>
      <c r="AX393" s="72">
        <f t="shared" si="413"/>
        <v>0</v>
      </c>
      <c r="AY393" s="72">
        <f t="shared" si="414"/>
        <v>0</v>
      </c>
      <c r="AZ393" s="72">
        <f t="shared" si="415"/>
        <v>0</v>
      </c>
      <c r="BA393" s="72" t="e">
        <f t="shared" si="416"/>
        <v>#N/A</v>
      </c>
      <c r="BB393" s="72" t="e">
        <f t="shared" si="417"/>
        <v>#N/A</v>
      </c>
      <c r="BC393" s="77"/>
      <c r="BE393">
        <f t="shared" si="397"/>
        <v>0</v>
      </c>
      <c r="BF393" s="196"/>
      <c r="BG393" s="196"/>
      <c r="BH393" s="196"/>
      <c r="BI393" s="196"/>
      <c r="BJ393" s="196"/>
      <c r="BK393" s="196"/>
    </row>
    <row r="394" spans="2:63" hidden="1">
      <c r="B394" s="72"/>
      <c r="C394" s="135"/>
      <c r="D394" s="78"/>
      <c r="E394" s="78"/>
      <c r="F394" s="72"/>
      <c r="G394" s="72"/>
      <c r="H394" s="72"/>
      <c r="I394" s="73">
        <f t="shared" si="399"/>
        <v>0</v>
      </c>
      <c r="J394" s="78"/>
      <c r="K394" s="73"/>
      <c r="L394" s="74" t="e">
        <f>_xlfn.IFNA(VLOOKUP(C394,'חד גזעי'!$U$3:$V$509,2,0),VLOOKUP(C394,'חד גזעי'!$U$3:$V$509,2))</f>
        <v>#N/A</v>
      </c>
      <c r="M394" s="73"/>
      <c r="N394" s="72" t="e">
        <f>_xlfn.IFNA(IF(VLOOKUP(C394,'חד גזעי'!$AH$2:$AH$7,1,FALSE)&gt;0,0,IF('חד גזעי'!$AM$5="כן",IF(_xlfn.IFNA(VLOOKUP(C394,'חד גזעי'!$AH$2:$AH$33,1,FALSE),SUM(J394:M394))&lt;21,_xlfn.IFNA(VLOOKUP(C394,'חד גזעי'!$AH$2:$AH$33,1,FALSE),SUM(J394:M394)),0),SUM(J394:M394))),IF('חד גזעי'!$AM$5="כן",IF(_xlfn.IFNA(VLOOKUP(C394,'חד גזעי'!$AH$2:$AH$33,1,FALSE),SUM(J394:M394))&lt;21,_xlfn.IFNA(VLOOKUP(C394,'חד גזעי'!$AH$2:$AH$33,1,FALSE),SUM(J394:M394)),0),SUM(J394:M394)))</f>
        <v>#N/A</v>
      </c>
      <c r="O394" s="72">
        <f>IF('חד גזעי'!$AM$3 = "כן",IF(T394&gt;4,4,T394),T394)</f>
        <v>0</v>
      </c>
      <c r="P394" s="80">
        <f>IF(E394&lt;2,0,IF(Z394&gt;0,Z394,IF(N394 = 0,0,IF('חד גזעי'!$AM$2 = "לא",IF(F394&gt;19,W394,0),IF(F394&gt;9,Y394,0)))))</f>
        <v>0</v>
      </c>
      <c r="Q394" s="77"/>
      <c r="R394" s="75"/>
      <c r="S394" t="e">
        <f>VLOOKUP(C394,'חד גזעי'!$Y$4:$Y$18,1,0)</f>
        <v>#N/A</v>
      </c>
      <c r="T394" s="72">
        <f>IF('חד גזעי'!$AM$6="לא",IF(P394=0,IF(BC394="שימור",IF('חד גזעי'!$AM$4="לא",IF(BC394="לא בוגר",0,IF(BC394="לא קיים",0,IF(J394=0,0,I394*0.1))),IF(BC394="לא בוגר",0,IF(BC394="לא קיים",0,IF(AB394=1,I394*0.1,E394*0.5)))),0),IF('חד גזעי'!$AM$4="לא",IF(BC394="לא בוגר",0,IF(BC394="לא קיים",0,IF(J394=0,0,I394*0.1))),IF(BC394="לא בוגר",0,IF(BC394="לא קיים",0,IF(AB394=1,I394*0.1,E394*0.5))))),IF(P394=0,IF(BC394="שימור",IF('חד גזעי'!$AM$4="לא",IF(BC394="לא בוגר",0,IF(BC394="לא קיים",0,IF(J394=0,0,I394*0.15))),IF(BC394="לא בוגר",0,IF(BC394="לא קיים",0,IF(AB394=1,I394*0.15,E394*0.5)))),0),IF('חד גזעי'!$AM$4="לא",IF(BC394="לא בוגר",0,IF(BC394="לא קיים",0,IF(J394=0,0,I394*0.15))),IF(BC394="לא בוגר",0,IF(BC394="לא קיים",0,IF(AB394=1,I394*0.15,E394*0.5))))))</f>
        <v>0</v>
      </c>
      <c r="V394" t="e">
        <f t="shared" si="371"/>
        <v>#N/A</v>
      </c>
      <c r="W394" t="e">
        <f t="shared" si="372"/>
        <v>#N/A</v>
      </c>
      <c r="X394" t="e">
        <f t="shared" si="373"/>
        <v>#N/A</v>
      </c>
      <c r="Y394">
        <f>IF('חד גזעי'!$AM$2 = "לא",0,IF(F394&gt;9,W394,0))</f>
        <v>0</v>
      </c>
      <c r="Z394">
        <f>IF('חד גזעי'!$AM$7 = "לא",0,IF(C394 = "זית אירופי",IF('חד גזעי'!$AN$7 &lt;=סקר!F394,W394,0),IF(C394 = "חרוב מצוי",IF('חד גזעי'!$AN$7 &lt;=סקר!F394,W394,0),0)))</f>
        <v>0</v>
      </c>
      <c r="AB394">
        <f t="shared" si="400"/>
        <v>1</v>
      </c>
      <c r="AC394" s="72"/>
      <c r="AD394" t="e">
        <f t="shared" si="418"/>
        <v>#N/A</v>
      </c>
      <c r="AE394" s="72"/>
      <c r="AF394" s="72" t="e">
        <f t="shared" si="401"/>
        <v>#N/A</v>
      </c>
      <c r="AG394" s="72" t="e">
        <f>IF('חד גזעי'!$AM$5="לא",(VLOOKUP(C394,'חד גזעי'!$P$1:$S$589,3,FALSE)),(VLOOKUP(C394,'חד גזעי'!$P$1:$S$589,4,FALSE)))</f>
        <v>#N/A</v>
      </c>
      <c r="AH394" s="72">
        <f t="shared" si="402"/>
        <v>0</v>
      </c>
      <c r="AI394" s="72">
        <f t="shared" si="403"/>
        <v>0</v>
      </c>
      <c r="AJ394" s="72">
        <f t="shared" si="404"/>
        <v>0</v>
      </c>
      <c r="AK394" s="72" t="e">
        <f t="shared" si="405"/>
        <v>#N/A</v>
      </c>
      <c r="AL394" t="e">
        <f>VLOOKUP(C394,'חד גזעי'!$AH$8:$AI$33,2,FALSE)</f>
        <v>#N/A</v>
      </c>
      <c r="AM394" s="72" t="b">
        <f t="shared" si="406"/>
        <v>0</v>
      </c>
      <c r="AN394" s="72" t="b">
        <f t="shared" si="407"/>
        <v>0</v>
      </c>
      <c r="AO394" s="72" t="b">
        <f t="shared" si="408"/>
        <v>0</v>
      </c>
      <c r="AS394" s="72">
        <f t="shared" si="409"/>
        <v>0</v>
      </c>
      <c r="AT394" s="72">
        <f t="shared" si="410"/>
        <v>0</v>
      </c>
      <c r="AU394" s="72">
        <f t="shared" si="419"/>
        <v>0</v>
      </c>
      <c r="AV394" s="72">
        <f t="shared" si="411"/>
        <v>0</v>
      </c>
      <c r="AW394" s="72">
        <f t="shared" si="412"/>
        <v>0</v>
      </c>
      <c r="AX394" s="72">
        <f t="shared" si="413"/>
        <v>0</v>
      </c>
      <c r="AY394" s="72">
        <f t="shared" si="414"/>
        <v>0</v>
      </c>
      <c r="AZ394" s="72">
        <f t="shared" si="415"/>
        <v>0</v>
      </c>
      <c r="BA394" s="72" t="e">
        <f t="shared" si="416"/>
        <v>#N/A</v>
      </c>
      <c r="BB394" s="72" t="e">
        <f t="shared" si="417"/>
        <v>#N/A</v>
      </c>
      <c r="BC394" s="77"/>
      <c r="BE394">
        <f t="shared" si="397"/>
        <v>0</v>
      </c>
      <c r="BF394" s="196"/>
      <c r="BG394" s="196"/>
      <c r="BH394" s="196"/>
      <c r="BI394" s="196"/>
      <c r="BJ394" s="196"/>
      <c r="BK394" s="196"/>
    </row>
    <row r="395" spans="2:63" hidden="1">
      <c r="B395" s="72"/>
      <c r="C395" s="135"/>
      <c r="D395" s="78"/>
      <c r="E395" s="78"/>
      <c r="F395" s="72"/>
      <c r="G395" s="72"/>
      <c r="H395" s="72"/>
      <c r="I395" s="73">
        <f t="shared" si="399"/>
        <v>0</v>
      </c>
      <c r="J395" s="78"/>
      <c r="K395" s="73"/>
      <c r="L395" s="74" t="e">
        <f>_xlfn.IFNA(VLOOKUP(C395,'חד גזעי'!$U$3:$V$509,2,0),VLOOKUP(C395,'חד גזעי'!$U$3:$V$509,2))</f>
        <v>#N/A</v>
      </c>
      <c r="M395" s="73"/>
      <c r="N395" s="72" t="e">
        <f>_xlfn.IFNA(IF(VLOOKUP(C395,'חד גזעי'!$AH$2:$AH$7,1,FALSE)&gt;0,0,IF('חד גזעי'!$AM$5="כן",IF(_xlfn.IFNA(VLOOKUP(C395,'חד גזעי'!$AH$2:$AH$33,1,FALSE),SUM(J395:M395))&lt;21,_xlfn.IFNA(VLOOKUP(C395,'חד גזעי'!$AH$2:$AH$33,1,FALSE),SUM(J395:M395)),0),SUM(J395:M395))),IF('חד גזעי'!$AM$5="כן",IF(_xlfn.IFNA(VLOOKUP(C395,'חד גזעי'!$AH$2:$AH$33,1,FALSE),SUM(J395:M395))&lt;21,_xlfn.IFNA(VLOOKUP(C395,'חד גזעי'!$AH$2:$AH$33,1,FALSE),SUM(J395:M395)),0),SUM(J395:M395)))</f>
        <v>#N/A</v>
      </c>
      <c r="O395" s="72">
        <f>IF('חד גזעי'!$AM$3 = "כן",IF(T395&gt;4,4,T395),T395)</f>
        <v>0</v>
      </c>
      <c r="P395" s="80">
        <f>IF(E395&lt;2,0,IF(Z395&gt;0,Z395,IF(N395 = 0,0,IF('חד גזעי'!$AM$2 = "לא",IF(F395&gt;19,W395,0),IF(F395&gt;9,Y395,0)))))</f>
        <v>0</v>
      </c>
      <c r="Q395" s="77"/>
      <c r="R395" s="76"/>
      <c r="S395" t="e">
        <f>VLOOKUP(C395,'חד גזעי'!$Y$4:$Y$18,1,0)</f>
        <v>#N/A</v>
      </c>
      <c r="T395" s="72">
        <f>IF('חד גזעי'!$AM$6="לא",IF(P395=0,IF(BC395="שימור",IF('חד גזעי'!$AM$4="לא",IF(BC395="לא בוגר",0,IF(BC395="לא קיים",0,IF(J395=0,0,I395*0.1))),IF(BC395="לא בוגר",0,IF(BC395="לא קיים",0,IF(AB395=1,I395*0.1,E395*0.5)))),0),IF('חד גזעי'!$AM$4="לא",IF(BC395="לא בוגר",0,IF(BC395="לא קיים",0,IF(J395=0,0,I395*0.1))),IF(BC395="לא בוגר",0,IF(BC395="לא קיים",0,IF(AB395=1,I395*0.1,E395*0.5))))),IF(P395=0,IF(BC395="שימור",IF('חד גזעי'!$AM$4="לא",IF(BC395="לא בוגר",0,IF(BC395="לא קיים",0,IF(J395=0,0,I395*0.15))),IF(BC395="לא בוגר",0,IF(BC395="לא קיים",0,IF(AB395=1,I395*0.15,E395*0.5)))),0),IF('חד גזעי'!$AM$4="לא",IF(BC395="לא בוגר",0,IF(BC395="לא קיים",0,IF(J395=0,0,I395*0.15))),IF(BC395="לא בוגר",0,IF(BC395="לא קיים",0,IF(AB395=1,I395*0.15,E395*0.5))))))</f>
        <v>0</v>
      </c>
      <c r="V395" t="e">
        <f t="shared" si="371"/>
        <v>#N/A</v>
      </c>
      <c r="W395" t="e">
        <f t="shared" si="372"/>
        <v>#N/A</v>
      </c>
      <c r="X395" t="e">
        <f t="shared" si="373"/>
        <v>#N/A</v>
      </c>
      <c r="Y395">
        <f>IF('חד גזעי'!$AM$2 = "לא",0,IF(F395&gt;9,W395,0))</f>
        <v>0</v>
      </c>
      <c r="Z395">
        <f>IF('חד גזעי'!$AM$7 = "לא",0,IF(C395 = "זית אירופי",IF('חד גזעי'!$AN$7 &lt;=סקר!F395,W395,0),IF(C395 = "חרוב מצוי",IF('חד גזעי'!$AN$7 &lt;=סקר!F395,W395,0),0)))</f>
        <v>0</v>
      </c>
      <c r="AB395">
        <f t="shared" si="400"/>
        <v>1</v>
      </c>
      <c r="AC395" s="72"/>
      <c r="AD395" t="e">
        <f t="shared" si="418"/>
        <v>#N/A</v>
      </c>
      <c r="AE395" s="72"/>
      <c r="AF395" s="72" t="e">
        <f t="shared" si="401"/>
        <v>#N/A</v>
      </c>
      <c r="AG395" s="72" t="e">
        <f>IF('חד גזעי'!$AM$5="לא",(VLOOKUP(C395,'חד גזעי'!$P$1:$S$589,3,FALSE)),(VLOOKUP(C395,'חד גזעי'!$P$1:$S$589,4,FALSE)))</f>
        <v>#N/A</v>
      </c>
      <c r="AH395" s="72">
        <f t="shared" si="402"/>
        <v>0</v>
      </c>
      <c r="AI395" s="72">
        <f t="shared" si="403"/>
        <v>0</v>
      </c>
      <c r="AJ395" s="72">
        <f t="shared" si="404"/>
        <v>0</v>
      </c>
      <c r="AK395" s="72" t="e">
        <f t="shared" si="405"/>
        <v>#N/A</v>
      </c>
      <c r="AL395" t="e">
        <f>VLOOKUP(C395,'חד גזעי'!$AH$8:$AI$33,2,FALSE)</f>
        <v>#N/A</v>
      </c>
      <c r="AM395" s="72" t="b">
        <f t="shared" si="406"/>
        <v>0</v>
      </c>
      <c r="AN395" s="72" t="b">
        <f t="shared" si="407"/>
        <v>0</v>
      </c>
      <c r="AO395" s="72" t="b">
        <f t="shared" si="408"/>
        <v>0</v>
      </c>
      <c r="AS395" s="72">
        <f t="shared" si="409"/>
        <v>0</v>
      </c>
      <c r="AT395" s="72">
        <f t="shared" si="410"/>
        <v>0</v>
      </c>
      <c r="AU395" s="72">
        <f t="shared" si="419"/>
        <v>0</v>
      </c>
      <c r="AV395" s="72">
        <f t="shared" si="411"/>
        <v>0</v>
      </c>
      <c r="AW395" s="72">
        <f t="shared" si="412"/>
        <v>0</v>
      </c>
      <c r="AX395" s="72">
        <f t="shared" si="413"/>
        <v>0</v>
      </c>
      <c r="AY395" s="72">
        <f t="shared" si="414"/>
        <v>0</v>
      </c>
      <c r="AZ395" s="72">
        <f t="shared" si="415"/>
        <v>0</v>
      </c>
      <c r="BA395" s="72" t="e">
        <f t="shared" si="416"/>
        <v>#N/A</v>
      </c>
      <c r="BB395" s="72" t="e">
        <f t="shared" si="417"/>
        <v>#N/A</v>
      </c>
      <c r="BC395" s="77"/>
      <c r="BE395">
        <f t="shared" si="397"/>
        <v>0</v>
      </c>
      <c r="BF395" s="196"/>
      <c r="BG395" s="196"/>
      <c r="BH395" s="196"/>
      <c r="BI395" s="196"/>
      <c r="BJ395" s="196"/>
      <c r="BK395" s="196"/>
    </row>
    <row r="396" spans="2:63" hidden="1">
      <c r="B396" s="72"/>
      <c r="C396" s="135"/>
      <c r="D396" s="78"/>
      <c r="E396" s="78"/>
      <c r="F396" s="72"/>
      <c r="G396" s="72"/>
      <c r="H396" s="72"/>
      <c r="I396" s="73">
        <f t="shared" si="399"/>
        <v>0</v>
      </c>
      <c r="J396" s="78"/>
      <c r="K396" s="73"/>
      <c r="L396" s="74" t="e">
        <f>_xlfn.IFNA(VLOOKUP(C396,'חד גזעי'!$U$3:$V$509,2,0),VLOOKUP(C396,'חד גזעי'!$U$3:$V$509,2))</f>
        <v>#N/A</v>
      </c>
      <c r="M396" s="102"/>
      <c r="N396" s="72" t="e">
        <f>_xlfn.IFNA(IF(VLOOKUP(C396,'חד גזעי'!$AH$2:$AH$7,1,FALSE)&gt;0,0,IF('חד גזעי'!$AM$5="כן",IF(_xlfn.IFNA(VLOOKUP(C396,'חד גזעי'!$AH$2:$AH$33,1,FALSE),SUM(J396:M396))&lt;21,_xlfn.IFNA(VLOOKUP(C396,'חד גזעי'!$AH$2:$AH$33,1,FALSE),SUM(J396:M396)),0),SUM(J396:M396))),IF('חד גזעי'!$AM$5="כן",IF(_xlfn.IFNA(VLOOKUP(C396,'חד גזעי'!$AH$2:$AH$33,1,FALSE),SUM(J396:M396))&lt;21,_xlfn.IFNA(VLOOKUP(C396,'חד גזעי'!$AH$2:$AH$33,1,FALSE),SUM(J396:M396)),0),SUM(J396:M396)))</f>
        <v>#N/A</v>
      </c>
      <c r="O396" s="72">
        <f>IF('חד גזעי'!$AM$3 = "כן",IF(T396&gt;4,4,T396),T396)</f>
        <v>0</v>
      </c>
      <c r="P396" s="80">
        <f>IF(E396&lt;2,0,IF(Z396&gt;0,Z396,IF(N396 = 0,0,IF('חד גזעי'!$AM$2 = "לא",IF(F396&gt;19,W396,0),IF(F396&gt;9,Y396,0)))))</f>
        <v>0</v>
      </c>
      <c r="Q396" s="77"/>
      <c r="R396" s="76"/>
      <c r="S396" t="e">
        <f>VLOOKUP(C396,'חד גזעי'!$Y$4:$Y$18,1,0)</f>
        <v>#N/A</v>
      </c>
      <c r="T396" s="72">
        <f>IF('חד גזעי'!$AM$6="לא",IF(P396=0,IF(BC396="שימור",IF('חד גזעי'!$AM$4="לא",IF(BC396="לא בוגר",0,IF(BC396="לא קיים",0,IF(J396=0,0,I396*0.1))),IF(BC396="לא בוגר",0,IF(BC396="לא קיים",0,IF(AB396=1,I396*0.1,E396*0.5)))),0),IF('חד גזעי'!$AM$4="לא",IF(BC396="לא בוגר",0,IF(BC396="לא קיים",0,IF(J396=0,0,I396*0.1))),IF(BC396="לא בוגר",0,IF(BC396="לא קיים",0,IF(AB396=1,I396*0.1,E396*0.5))))),IF(P396=0,IF(BC396="שימור",IF('חד גזעי'!$AM$4="לא",IF(BC396="לא בוגר",0,IF(BC396="לא קיים",0,IF(J396=0,0,I396*0.15))),IF(BC396="לא בוגר",0,IF(BC396="לא קיים",0,IF(AB396=1,I396*0.15,E396*0.5)))),0),IF('חד גזעי'!$AM$4="לא",IF(BC396="לא בוגר",0,IF(BC396="לא קיים",0,IF(J396=0,0,I396*0.15))),IF(BC396="לא בוגר",0,IF(BC396="לא קיים",0,IF(AB396=1,I396*0.15,E396*0.5))))))</f>
        <v>0</v>
      </c>
      <c r="V396" t="e">
        <f t="shared" ref="V396:V459" si="421">_xlfn.IFNA(AK396,AF396)</f>
        <v>#N/A</v>
      </c>
      <c r="W396" t="e">
        <f t="shared" ref="W396:W459" si="422">IF(D396=0,V396,D396*V396)</f>
        <v>#N/A</v>
      </c>
      <c r="X396" t="e">
        <f t="shared" ref="X396:X459" si="423">IF(N396 = 0,0,Y396)</f>
        <v>#N/A</v>
      </c>
      <c r="Y396">
        <f>IF('חד גזעי'!$AM$2 = "לא",0,IF(F396&gt;9,W396,0))</f>
        <v>0</v>
      </c>
      <c r="Z396">
        <f>IF('חד גזעי'!$AM$7 = "לא",0,IF(C396 = "זית אירופי",IF('חד גזעי'!$AN$7 &lt;=סקר!F396,W396,0),IF(C396 = "חרוב מצוי",IF('חד גזעי'!$AN$7 &lt;=סקר!F396,W396,0),0)))</f>
        <v>0</v>
      </c>
      <c r="AB396">
        <f t="shared" si="400"/>
        <v>1</v>
      </c>
      <c r="AC396" s="72"/>
      <c r="AD396" t="e">
        <f t="shared" si="418"/>
        <v>#N/A</v>
      </c>
      <c r="AE396" s="72"/>
      <c r="AF396" s="72" t="e">
        <f t="shared" si="401"/>
        <v>#N/A</v>
      </c>
      <c r="AG396" s="72" t="e">
        <f>IF('חד גזעי'!$AM$5="לא",(VLOOKUP(C396,'חד גזעי'!$P$1:$S$589,3,FALSE)),(VLOOKUP(C396,'חד גזעי'!$P$1:$S$589,4,FALSE)))</f>
        <v>#N/A</v>
      </c>
      <c r="AH396" s="72">
        <f t="shared" si="402"/>
        <v>0</v>
      </c>
      <c r="AI396" s="72">
        <f t="shared" si="403"/>
        <v>0</v>
      </c>
      <c r="AJ396" s="72">
        <f t="shared" si="404"/>
        <v>0</v>
      </c>
      <c r="AK396" s="72" t="e">
        <f t="shared" si="405"/>
        <v>#N/A</v>
      </c>
      <c r="AL396" t="e">
        <f>VLOOKUP(C396,'חד גזעי'!$AH$8:$AI$33,2,FALSE)</f>
        <v>#N/A</v>
      </c>
      <c r="AM396" s="72" t="b">
        <f t="shared" si="406"/>
        <v>0</v>
      </c>
      <c r="AN396" s="72" t="b">
        <f t="shared" si="407"/>
        <v>0</v>
      </c>
      <c r="AO396" s="72" t="b">
        <f t="shared" si="408"/>
        <v>0</v>
      </c>
      <c r="AS396" s="72">
        <f t="shared" si="409"/>
        <v>0</v>
      </c>
      <c r="AT396" s="72">
        <f t="shared" si="410"/>
        <v>0</v>
      </c>
      <c r="AU396" s="72">
        <f t="shared" si="419"/>
        <v>0</v>
      </c>
      <c r="AV396" s="72">
        <f t="shared" si="411"/>
        <v>0</v>
      </c>
      <c r="AW396" s="72">
        <f t="shared" si="412"/>
        <v>0</v>
      </c>
      <c r="AX396" s="72">
        <f t="shared" si="413"/>
        <v>0</v>
      </c>
      <c r="AY396" s="72">
        <f t="shared" si="414"/>
        <v>0</v>
      </c>
      <c r="AZ396" s="72">
        <f t="shared" si="415"/>
        <v>0</v>
      </c>
      <c r="BA396" s="72" t="e">
        <f t="shared" si="416"/>
        <v>#N/A</v>
      </c>
      <c r="BB396" s="72" t="e">
        <f t="shared" si="417"/>
        <v>#N/A</v>
      </c>
      <c r="BC396" s="77"/>
      <c r="BE396">
        <f t="shared" si="397"/>
        <v>0</v>
      </c>
      <c r="BF396" s="196"/>
      <c r="BG396" s="196"/>
      <c r="BH396" s="196"/>
      <c r="BI396" s="196"/>
      <c r="BJ396" s="196"/>
      <c r="BK396" s="196"/>
    </row>
    <row r="397" spans="2:63" hidden="1">
      <c r="B397" s="72"/>
      <c r="C397" s="135"/>
      <c r="D397" s="73"/>
      <c r="E397" s="73"/>
      <c r="F397" s="72"/>
      <c r="G397" s="72"/>
      <c r="H397" s="72"/>
      <c r="I397" s="73">
        <f t="shared" si="399"/>
        <v>0</v>
      </c>
      <c r="J397" s="73"/>
      <c r="K397" s="73"/>
      <c r="L397" s="74" t="e">
        <f>_xlfn.IFNA(VLOOKUP(C397,'חד גזעי'!$U$3:$V$509,2,0),VLOOKUP(C397,'חד גזעי'!$U$3:$V$509,2))</f>
        <v>#N/A</v>
      </c>
      <c r="M397" s="73"/>
      <c r="N397" s="72" t="e">
        <f>_xlfn.IFNA(IF(VLOOKUP(C397,'חד גזעי'!$AH$2:$AH$7,1,FALSE)&gt;0,0,IF('חד גזעי'!$AM$5="כן",IF(_xlfn.IFNA(VLOOKUP(C397,'חד גזעי'!$AH$2:$AH$33,1,FALSE),SUM(J397:M397))&lt;21,_xlfn.IFNA(VLOOKUP(C397,'חד גזעי'!$AH$2:$AH$33,1,FALSE),SUM(J397:M397)),0),SUM(J397:M397))),IF('חד גזעי'!$AM$5="כן",IF(_xlfn.IFNA(VLOOKUP(C397,'חד גזעי'!$AH$2:$AH$33,1,FALSE),SUM(J397:M397))&lt;21,_xlfn.IFNA(VLOOKUP(C397,'חד גזעי'!$AH$2:$AH$33,1,FALSE),SUM(J397:M397)),0),SUM(J397:M397)))</f>
        <v>#N/A</v>
      </c>
      <c r="O397" s="72">
        <f>IF('חד גזעי'!$AM$3 = "כן",IF(T397&gt;4,4,T397),T397)</f>
        <v>0</v>
      </c>
      <c r="P397" s="80">
        <f>IF(E397&lt;2,0,IF(Z397&gt;0,Z397,IF(N397 = 0,0,IF('חד גזעי'!$AM$2 = "לא",IF(F397&gt;19,W397,0),IF(F397&gt;9,Y397,0)))))</f>
        <v>0</v>
      </c>
      <c r="Q397" s="77"/>
      <c r="R397" s="76"/>
      <c r="S397" t="e">
        <f>VLOOKUP(C397,'חד גזעי'!$Y$4:$Y$18,1,0)</f>
        <v>#N/A</v>
      </c>
      <c r="T397" s="72">
        <f>IF('חד גזעי'!$AM$6="לא",IF(P397=0,IF(BC397="שימור",IF('חד גזעי'!$AM$4="לא",IF(BC397="לא בוגר",0,IF(BC397="לא קיים",0,IF(J397=0,0,I397*0.1))),IF(BC397="לא בוגר",0,IF(BC397="לא קיים",0,IF(AB397=1,I397*0.1,E397*0.5)))),0),IF('חד גזעי'!$AM$4="לא",IF(BC397="לא בוגר",0,IF(BC397="לא קיים",0,IF(J397=0,0,I397*0.1))),IF(BC397="לא בוגר",0,IF(BC397="לא קיים",0,IF(AB397=1,I397*0.1,E397*0.5))))),IF(P397=0,IF(BC397="שימור",IF('חד גזעי'!$AM$4="לא",IF(BC397="לא בוגר",0,IF(BC397="לא קיים",0,IF(J397=0,0,I397*0.15))),IF(BC397="לא בוגר",0,IF(BC397="לא קיים",0,IF(AB397=1,I397*0.15,E397*0.5)))),0),IF('חד גזעי'!$AM$4="לא",IF(BC397="לא בוגר",0,IF(BC397="לא קיים",0,IF(J397=0,0,I397*0.15))),IF(BC397="לא בוגר",0,IF(BC397="לא קיים",0,IF(AB397=1,I397*0.15,E397*0.5))))))</f>
        <v>0</v>
      </c>
      <c r="V397" t="e">
        <f t="shared" si="421"/>
        <v>#N/A</v>
      </c>
      <c r="W397" t="e">
        <f t="shared" si="422"/>
        <v>#N/A</v>
      </c>
      <c r="X397" t="e">
        <f t="shared" si="423"/>
        <v>#N/A</v>
      </c>
      <c r="Y397">
        <f>IF('חד גזעי'!$AM$2 = "לא",0,IF(F397&gt;9,W397,0))</f>
        <v>0</v>
      </c>
      <c r="Z397">
        <f>IF('חד גזעי'!$AM$7 = "לא",0,IF(C397 = "זית אירופי",IF('חד גזעי'!$AN$7 &lt;=סקר!F397,W397,0),IF(C397 = "חרוב מצוי",IF('חד גזעי'!$AN$7 &lt;=סקר!F397,W397,0),0)))</f>
        <v>0</v>
      </c>
      <c r="AB397">
        <f t="shared" si="400"/>
        <v>1</v>
      </c>
      <c r="AC397" s="72"/>
      <c r="AD397" t="e">
        <f t="shared" si="418"/>
        <v>#N/A</v>
      </c>
      <c r="AE397" s="72"/>
      <c r="AF397" s="72" t="e">
        <f t="shared" si="401"/>
        <v>#N/A</v>
      </c>
      <c r="AG397" s="72" t="e">
        <f>IF('חד גזעי'!$AM$5="לא",(VLOOKUP(C397,'חד גזעי'!$P$1:$S$589,3,FALSE)),(VLOOKUP(C397,'חד גזעי'!$P$1:$S$589,4,FALSE)))</f>
        <v>#N/A</v>
      </c>
      <c r="AH397" s="72">
        <f t="shared" si="402"/>
        <v>0</v>
      </c>
      <c r="AI397" s="72">
        <f t="shared" si="403"/>
        <v>0</v>
      </c>
      <c r="AJ397" s="72">
        <f t="shared" si="404"/>
        <v>0</v>
      </c>
      <c r="AK397" s="72" t="e">
        <f t="shared" si="405"/>
        <v>#N/A</v>
      </c>
      <c r="AL397" t="e">
        <f>VLOOKUP(C397,'חד גזעי'!$AH$8:$AI$33,2,FALSE)</f>
        <v>#N/A</v>
      </c>
      <c r="AM397" s="72" t="b">
        <f t="shared" si="406"/>
        <v>0</v>
      </c>
      <c r="AN397" s="72" t="b">
        <f t="shared" si="407"/>
        <v>0</v>
      </c>
      <c r="AO397" s="72" t="b">
        <f t="shared" si="408"/>
        <v>0</v>
      </c>
      <c r="AS397" s="72">
        <f t="shared" si="409"/>
        <v>0</v>
      </c>
      <c r="AT397" s="72">
        <f t="shared" si="410"/>
        <v>0</v>
      </c>
      <c r="AU397" s="72">
        <f t="shared" si="419"/>
        <v>0</v>
      </c>
      <c r="AV397" s="72">
        <f t="shared" si="411"/>
        <v>0</v>
      </c>
      <c r="AW397" s="72">
        <f t="shared" si="412"/>
        <v>0</v>
      </c>
      <c r="AX397" s="72">
        <f t="shared" si="413"/>
        <v>0</v>
      </c>
      <c r="AY397" s="72">
        <f t="shared" si="414"/>
        <v>0</v>
      </c>
      <c r="AZ397" s="72">
        <f t="shared" si="415"/>
        <v>0</v>
      </c>
      <c r="BA397" s="72" t="e">
        <f t="shared" si="416"/>
        <v>#N/A</v>
      </c>
      <c r="BB397" s="72" t="e">
        <f t="shared" si="417"/>
        <v>#N/A</v>
      </c>
      <c r="BC397" s="77"/>
      <c r="BE397">
        <f t="shared" si="397"/>
        <v>0</v>
      </c>
      <c r="BF397" s="196"/>
      <c r="BG397" s="196"/>
      <c r="BH397" s="196"/>
      <c r="BI397" s="196"/>
      <c r="BJ397" s="196"/>
      <c r="BK397" s="196"/>
    </row>
    <row r="398" spans="2:63" hidden="1">
      <c r="B398" s="72"/>
      <c r="C398" s="135"/>
      <c r="D398" s="73"/>
      <c r="E398" s="73"/>
      <c r="F398" s="72"/>
      <c r="G398" s="72"/>
      <c r="H398" s="72"/>
      <c r="I398" s="73">
        <f t="shared" si="399"/>
        <v>0</v>
      </c>
      <c r="J398" s="73"/>
      <c r="K398" s="73"/>
      <c r="L398" s="74" t="e">
        <f>_xlfn.IFNA(VLOOKUP(C398,'חד גזעי'!$U$3:$V$509,2,0),VLOOKUP(C398,'חד גזעי'!$U$3:$V$509,2))</f>
        <v>#N/A</v>
      </c>
      <c r="M398" s="73"/>
      <c r="N398" s="72" t="e">
        <f>_xlfn.IFNA(IF(VLOOKUP(C398,'חד גזעי'!$AH$2:$AH$7,1,FALSE)&gt;0,0,IF('חד גזעי'!$AM$5="כן",IF(_xlfn.IFNA(VLOOKUP(C398,'חד גזעי'!$AH$2:$AH$33,1,FALSE),SUM(J398:M398))&lt;21,_xlfn.IFNA(VLOOKUP(C398,'חד גזעי'!$AH$2:$AH$33,1,FALSE),SUM(J398:M398)),0),SUM(J398:M398))),IF('חד גזעי'!$AM$5="כן",IF(_xlfn.IFNA(VLOOKUP(C398,'חד גזעי'!$AH$2:$AH$33,1,FALSE),SUM(J398:M398))&lt;21,_xlfn.IFNA(VLOOKUP(C398,'חד גזעי'!$AH$2:$AH$33,1,FALSE),SUM(J398:M398)),0),SUM(J398:M398)))</f>
        <v>#N/A</v>
      </c>
      <c r="O398" s="72">
        <f>IF('חד גזעי'!$AM$3 = "כן",IF(T398&gt;4,4,T398),T398)</f>
        <v>0</v>
      </c>
      <c r="P398" s="80">
        <f>IF(E398&lt;2,0,IF(Z398&gt;0,Z398,IF(N398 = 0,0,IF('חד גזעי'!$AM$2 = "לא",IF(F398&gt;19,W398,0),IF(F398&gt;9,Y398,0)))))</f>
        <v>0</v>
      </c>
      <c r="Q398" s="77"/>
      <c r="R398" s="76"/>
      <c r="S398" t="e">
        <f>VLOOKUP(C398,'חד גזעי'!$Y$4:$Y$18,1,0)</f>
        <v>#N/A</v>
      </c>
      <c r="T398" s="72">
        <f>IF('חד גזעי'!$AM$6="לא",IF(P398=0,IF(BC398="שימור",IF('חד גזעי'!$AM$4="לא",IF(BC398="לא בוגר",0,IF(BC398="לא קיים",0,IF(J398=0,0,I398*0.1))),IF(BC398="לא בוגר",0,IF(BC398="לא קיים",0,IF(AB398=1,I398*0.1,E398*0.5)))),0),IF('חד גזעי'!$AM$4="לא",IF(BC398="לא בוגר",0,IF(BC398="לא קיים",0,IF(J398=0,0,I398*0.1))),IF(BC398="לא בוגר",0,IF(BC398="לא קיים",0,IF(AB398=1,I398*0.1,E398*0.5))))),IF(P398=0,IF(BC398="שימור",IF('חד גזעי'!$AM$4="לא",IF(BC398="לא בוגר",0,IF(BC398="לא קיים",0,IF(J398=0,0,I398*0.15))),IF(BC398="לא בוגר",0,IF(BC398="לא קיים",0,IF(AB398=1,I398*0.15,E398*0.5)))),0),IF('חד גזעי'!$AM$4="לא",IF(BC398="לא בוגר",0,IF(BC398="לא קיים",0,IF(J398=0,0,I398*0.15))),IF(BC398="לא בוגר",0,IF(BC398="לא קיים",0,IF(AB398=1,I398*0.15,E398*0.5))))))</f>
        <v>0</v>
      </c>
      <c r="V398" t="e">
        <f t="shared" si="421"/>
        <v>#N/A</v>
      </c>
      <c r="W398" t="e">
        <f t="shared" si="422"/>
        <v>#N/A</v>
      </c>
      <c r="X398" t="e">
        <f t="shared" si="423"/>
        <v>#N/A</v>
      </c>
      <c r="Y398">
        <f>IF('חד גזעי'!$AM$2 = "לא",0,IF(F398&gt;9,W398,0))</f>
        <v>0</v>
      </c>
      <c r="Z398">
        <f>IF('חד גזעי'!$AM$7 = "לא",0,IF(C398 = "זית אירופי",IF('חד גזעי'!$AN$7 &lt;=סקר!F398,W398,0),IF(C398 = "חרוב מצוי",IF('חד גזעי'!$AN$7 &lt;=סקר!F398,W398,0),0)))</f>
        <v>0</v>
      </c>
      <c r="AB398">
        <f t="shared" si="400"/>
        <v>1</v>
      </c>
      <c r="AC398" s="72"/>
      <c r="AD398" t="e">
        <f t="shared" si="418"/>
        <v>#N/A</v>
      </c>
      <c r="AE398" s="72"/>
      <c r="AF398" s="72" t="e">
        <f t="shared" si="401"/>
        <v>#N/A</v>
      </c>
      <c r="AG398" s="72" t="e">
        <f>IF('חד גזעי'!$AM$5="לא",(VLOOKUP(C398,'חד גזעי'!$P$1:$S$589,3,FALSE)),(VLOOKUP(C398,'חד גזעי'!$P$1:$S$589,4,FALSE)))</f>
        <v>#N/A</v>
      </c>
      <c r="AH398" s="72">
        <f t="shared" si="402"/>
        <v>0</v>
      </c>
      <c r="AI398" s="72">
        <f t="shared" si="403"/>
        <v>0</v>
      </c>
      <c r="AJ398" s="72">
        <f t="shared" si="404"/>
        <v>0</v>
      </c>
      <c r="AK398" s="72" t="e">
        <f t="shared" si="405"/>
        <v>#N/A</v>
      </c>
      <c r="AL398" t="e">
        <f>VLOOKUP(C398,'חד גזעי'!$AH$8:$AI$33,2,FALSE)</f>
        <v>#N/A</v>
      </c>
      <c r="AM398" s="72" t="b">
        <f t="shared" si="406"/>
        <v>0</v>
      </c>
      <c r="AN398" s="72" t="b">
        <f t="shared" si="407"/>
        <v>0</v>
      </c>
      <c r="AO398" s="72" t="b">
        <f t="shared" si="408"/>
        <v>0</v>
      </c>
      <c r="AS398" s="72">
        <f t="shared" si="409"/>
        <v>0</v>
      </c>
      <c r="AT398" s="72">
        <f t="shared" si="410"/>
        <v>0</v>
      </c>
      <c r="AU398" s="72">
        <f t="shared" si="419"/>
        <v>0</v>
      </c>
      <c r="AV398" s="72">
        <f t="shared" si="411"/>
        <v>0</v>
      </c>
      <c r="AW398" s="72">
        <f t="shared" si="412"/>
        <v>0</v>
      </c>
      <c r="AX398" s="72">
        <f t="shared" si="413"/>
        <v>0</v>
      </c>
      <c r="AY398" s="72">
        <f t="shared" si="414"/>
        <v>0</v>
      </c>
      <c r="AZ398" s="72">
        <f t="shared" si="415"/>
        <v>0</v>
      </c>
      <c r="BA398" s="72" t="e">
        <f t="shared" si="416"/>
        <v>#N/A</v>
      </c>
      <c r="BB398" s="72" t="e">
        <f t="shared" si="417"/>
        <v>#N/A</v>
      </c>
      <c r="BC398" s="77"/>
      <c r="BE398">
        <f t="shared" si="397"/>
        <v>0</v>
      </c>
      <c r="BF398" s="196"/>
      <c r="BG398" s="196"/>
      <c r="BH398" s="196"/>
      <c r="BI398" s="196"/>
      <c r="BJ398" s="196"/>
      <c r="BK398" s="196"/>
    </row>
    <row r="399" spans="2:63" hidden="1">
      <c r="B399" s="72"/>
      <c r="C399" s="135"/>
      <c r="D399" s="73"/>
      <c r="E399" s="73"/>
      <c r="F399" s="72"/>
      <c r="G399" s="72"/>
      <c r="H399" s="72"/>
      <c r="I399" s="73">
        <f t="shared" si="399"/>
        <v>0</v>
      </c>
      <c r="J399" s="73"/>
      <c r="K399" s="73"/>
      <c r="L399" s="74" t="e">
        <f>_xlfn.IFNA(VLOOKUP(C399,'חד גזעי'!$U$3:$V$509,2,0),VLOOKUP(C399,'חד גזעי'!$U$3:$V$509,2))</f>
        <v>#N/A</v>
      </c>
      <c r="M399" s="73"/>
      <c r="N399" s="72" t="e">
        <f>_xlfn.IFNA(IF(VLOOKUP(C399,'חד גזעי'!$AH$2:$AH$7,1,FALSE)&gt;0,0,IF('חד גזעי'!$AM$5="כן",IF(_xlfn.IFNA(VLOOKUP(C399,'חד גזעי'!$AH$2:$AH$33,1,FALSE),SUM(J399:M399))&lt;21,_xlfn.IFNA(VLOOKUP(C399,'חד גזעי'!$AH$2:$AH$33,1,FALSE),SUM(J399:M399)),0),SUM(J399:M399))),IF('חד גזעי'!$AM$5="כן",IF(_xlfn.IFNA(VLOOKUP(C399,'חד גזעי'!$AH$2:$AH$33,1,FALSE),SUM(J399:M399))&lt;21,_xlfn.IFNA(VLOOKUP(C399,'חד גזעי'!$AH$2:$AH$33,1,FALSE),SUM(J399:M399)),0),SUM(J399:M399)))</f>
        <v>#N/A</v>
      </c>
      <c r="O399" s="72">
        <f>IF('חד גזעי'!$AM$3 = "כן",IF(T399&gt;4,4,T399),T399)</f>
        <v>0</v>
      </c>
      <c r="P399" s="80">
        <f>IF(E399&lt;2,0,IF(Z399&gt;0,Z399,IF(N399 = 0,0,IF('חד גזעי'!$AM$2 = "לא",IF(F399&gt;19,W399,0),IF(F399&gt;9,Y399,0)))))</f>
        <v>0</v>
      </c>
      <c r="Q399" s="77"/>
      <c r="R399" s="76"/>
      <c r="S399" t="e">
        <f>VLOOKUP(C399,'חד גזעי'!$Y$4:$Y$18,1,0)</f>
        <v>#N/A</v>
      </c>
      <c r="T399" s="72">
        <f>IF('חד גזעי'!$AM$6="לא",IF(P399=0,IF(BC399="שימור",IF('חד גזעי'!$AM$4="לא",IF(BC399="לא בוגר",0,IF(BC399="לא קיים",0,IF(J399=0,0,I399*0.1))),IF(BC399="לא בוגר",0,IF(BC399="לא קיים",0,IF(AB399=1,I399*0.1,E399*0.5)))),0),IF('חד גזעי'!$AM$4="לא",IF(BC399="לא בוגר",0,IF(BC399="לא קיים",0,IF(J399=0,0,I399*0.1))),IF(BC399="לא בוגר",0,IF(BC399="לא קיים",0,IF(AB399=1,I399*0.1,E399*0.5))))),IF(P399=0,IF(BC399="שימור",IF('חד גזעי'!$AM$4="לא",IF(BC399="לא בוגר",0,IF(BC399="לא קיים",0,IF(J399=0,0,I399*0.15))),IF(BC399="לא בוגר",0,IF(BC399="לא קיים",0,IF(AB399=1,I399*0.15,E399*0.5)))),0),IF('חד גזעי'!$AM$4="לא",IF(BC399="לא בוגר",0,IF(BC399="לא קיים",0,IF(J399=0,0,I399*0.15))),IF(BC399="לא בוגר",0,IF(BC399="לא קיים",0,IF(AB399=1,I399*0.15,E399*0.5))))))</f>
        <v>0</v>
      </c>
      <c r="V399" t="e">
        <f t="shared" si="421"/>
        <v>#N/A</v>
      </c>
      <c r="W399" t="e">
        <f t="shared" si="422"/>
        <v>#N/A</v>
      </c>
      <c r="X399" t="e">
        <f t="shared" si="423"/>
        <v>#N/A</v>
      </c>
      <c r="Y399">
        <f>IF('חד גזעי'!$AM$2 = "לא",0,IF(F399&gt;9,W399,0))</f>
        <v>0</v>
      </c>
      <c r="Z399">
        <f>IF('חד גזעי'!$AM$7 = "לא",0,IF(C399 = "זית אירופי",IF('חד גזעי'!$AN$7 &lt;=סקר!F399,W399,0),IF(C399 = "חרוב מצוי",IF('חד גזעי'!$AN$7 &lt;=סקר!F399,W399,0),0)))</f>
        <v>0</v>
      </c>
      <c r="AB399">
        <f t="shared" si="400"/>
        <v>1</v>
      </c>
      <c r="AC399" s="72"/>
      <c r="AD399" t="e">
        <f t="shared" si="418"/>
        <v>#N/A</v>
      </c>
      <c r="AE399" s="72"/>
      <c r="AF399" s="72" t="e">
        <f t="shared" si="401"/>
        <v>#N/A</v>
      </c>
      <c r="AG399" s="72" t="e">
        <f>IF('חד גזעי'!$AM$5="לא",(VLOOKUP(C399,'חד גזעי'!$P$1:$S$589,3,FALSE)),(VLOOKUP(C399,'חד גזעי'!$P$1:$S$589,4,FALSE)))</f>
        <v>#N/A</v>
      </c>
      <c r="AH399" s="72">
        <f t="shared" si="402"/>
        <v>0</v>
      </c>
      <c r="AI399" s="72">
        <f t="shared" si="403"/>
        <v>0</v>
      </c>
      <c r="AJ399" s="72">
        <f t="shared" si="404"/>
        <v>0</v>
      </c>
      <c r="AK399" s="72" t="e">
        <f t="shared" si="405"/>
        <v>#N/A</v>
      </c>
      <c r="AL399" t="e">
        <f>VLOOKUP(C399,'חד גזעי'!$AH$8:$AI$33,2,FALSE)</f>
        <v>#N/A</v>
      </c>
      <c r="AM399" s="72" t="b">
        <f t="shared" si="406"/>
        <v>0</v>
      </c>
      <c r="AN399" s="72" t="b">
        <f t="shared" si="407"/>
        <v>0</v>
      </c>
      <c r="AO399" s="72" t="b">
        <f t="shared" si="408"/>
        <v>0</v>
      </c>
      <c r="AS399" s="72">
        <f t="shared" si="409"/>
        <v>0</v>
      </c>
      <c r="AT399" s="72">
        <f t="shared" si="410"/>
        <v>0</v>
      </c>
      <c r="AU399" s="72">
        <f t="shared" si="419"/>
        <v>0</v>
      </c>
      <c r="AV399" s="72">
        <f t="shared" si="411"/>
        <v>0</v>
      </c>
      <c r="AW399" s="72">
        <f t="shared" si="412"/>
        <v>0</v>
      </c>
      <c r="AX399" s="72">
        <f t="shared" si="413"/>
        <v>0</v>
      </c>
      <c r="AY399" s="72">
        <f t="shared" si="414"/>
        <v>0</v>
      </c>
      <c r="AZ399" s="72">
        <f t="shared" si="415"/>
        <v>0</v>
      </c>
      <c r="BA399" s="72" t="e">
        <f t="shared" si="416"/>
        <v>#N/A</v>
      </c>
      <c r="BB399" s="72" t="e">
        <f t="shared" si="417"/>
        <v>#N/A</v>
      </c>
      <c r="BC399" s="77"/>
      <c r="BE399">
        <f t="shared" si="397"/>
        <v>0</v>
      </c>
      <c r="BF399" s="196"/>
      <c r="BG399" s="196"/>
      <c r="BH399" s="196"/>
      <c r="BI399" s="196"/>
      <c r="BJ399" s="196"/>
      <c r="BK399" s="196"/>
    </row>
    <row r="400" spans="2:63" hidden="1">
      <c r="B400" s="72"/>
      <c r="C400" s="135"/>
      <c r="D400" s="73"/>
      <c r="E400" s="73"/>
      <c r="F400" s="72"/>
      <c r="G400" s="72"/>
      <c r="H400" s="72"/>
      <c r="I400" s="73">
        <f t="shared" si="399"/>
        <v>0</v>
      </c>
      <c r="J400" s="73"/>
      <c r="K400" s="73"/>
      <c r="L400" s="74" t="e">
        <f>_xlfn.IFNA(VLOOKUP(C400,'חד גזעי'!$U$3:$V$509,2,0),VLOOKUP(C400,'חד גזעי'!$U$3:$V$509,2))</f>
        <v>#N/A</v>
      </c>
      <c r="M400" s="73"/>
      <c r="N400" s="72" t="e">
        <f>_xlfn.IFNA(IF(VLOOKUP(C400,'חד גזעי'!$AH$2:$AH$7,1,FALSE)&gt;0,0,IF('חד גזעי'!$AM$5="כן",IF(_xlfn.IFNA(VLOOKUP(C400,'חד גזעי'!$AH$2:$AH$33,1,FALSE),SUM(J400:M400))&lt;21,_xlfn.IFNA(VLOOKUP(C400,'חד גזעי'!$AH$2:$AH$33,1,FALSE),SUM(J400:M400)),0),SUM(J400:M400))),IF('חד גזעי'!$AM$5="כן",IF(_xlfn.IFNA(VLOOKUP(C400,'חד גזעי'!$AH$2:$AH$33,1,FALSE),SUM(J400:M400))&lt;21,_xlfn.IFNA(VLOOKUP(C400,'חד גזעי'!$AH$2:$AH$33,1,FALSE),SUM(J400:M400)),0),SUM(J400:M400)))</f>
        <v>#N/A</v>
      </c>
      <c r="O400" s="72">
        <f>IF('חד גזעי'!$AM$3 = "כן",IF(T400&gt;4,4,T400),T400)</f>
        <v>0</v>
      </c>
      <c r="P400" s="80">
        <f>IF(E400&lt;2,0,IF(Z400&gt;0,Z400,IF(N400 = 0,0,IF('חד גזעי'!$AM$2 = "לא",IF(F400&gt;19,W400,0),IF(F400&gt;9,Y400,0)))))</f>
        <v>0</v>
      </c>
      <c r="Q400" s="77"/>
      <c r="R400" s="76"/>
      <c r="S400" t="e">
        <f>VLOOKUP(C400,'חד גזעי'!$Y$4:$Y$18,1,0)</f>
        <v>#N/A</v>
      </c>
      <c r="T400" s="72">
        <f>IF('חד גזעי'!$AM$6="לא",IF(P400=0,IF(BC400="שימור",IF('חד גזעי'!$AM$4="לא",IF(BC400="לא בוגר",0,IF(BC400="לא קיים",0,IF(J400=0,0,I400*0.1))),IF(BC400="לא בוגר",0,IF(BC400="לא קיים",0,IF(AB400=1,I400*0.1,E400*0.5)))),0),IF('חד גזעי'!$AM$4="לא",IF(BC400="לא בוגר",0,IF(BC400="לא קיים",0,IF(J400=0,0,I400*0.1))),IF(BC400="לא בוגר",0,IF(BC400="לא קיים",0,IF(AB400=1,I400*0.1,E400*0.5))))),IF(P400=0,IF(BC400="שימור",IF('חד גזעי'!$AM$4="לא",IF(BC400="לא בוגר",0,IF(BC400="לא קיים",0,IF(J400=0,0,I400*0.15))),IF(BC400="לא בוגר",0,IF(BC400="לא קיים",0,IF(AB400=1,I400*0.15,E400*0.5)))),0),IF('חד גזעי'!$AM$4="לא",IF(BC400="לא בוגר",0,IF(BC400="לא קיים",0,IF(J400=0,0,I400*0.15))),IF(BC400="לא בוגר",0,IF(BC400="לא קיים",0,IF(AB400=1,I400*0.15,E400*0.5))))))</f>
        <v>0</v>
      </c>
      <c r="V400" t="e">
        <f t="shared" si="421"/>
        <v>#N/A</v>
      </c>
      <c r="W400" t="e">
        <f t="shared" si="422"/>
        <v>#N/A</v>
      </c>
      <c r="X400" t="e">
        <f t="shared" si="423"/>
        <v>#N/A</v>
      </c>
      <c r="Y400">
        <f>IF('חד גזעי'!$AM$2 = "לא",0,IF(F400&gt;9,W400,0))</f>
        <v>0</v>
      </c>
      <c r="Z400">
        <f>IF('חד גזעי'!$AM$7 = "לא",0,IF(C400 = "זית אירופי",IF('חד גזעי'!$AN$7 &lt;=סקר!F400,W400,0),IF(C400 = "חרוב מצוי",IF('חד גזעי'!$AN$7 &lt;=סקר!F400,W400,0),0)))</f>
        <v>0</v>
      </c>
      <c r="AB400">
        <f t="shared" si="400"/>
        <v>1</v>
      </c>
      <c r="AC400" s="72"/>
      <c r="AD400" t="e">
        <f>IF(AK400&gt;0,AK400,AF400)</f>
        <v>#N/A</v>
      </c>
      <c r="AE400" s="72"/>
      <c r="AF400" s="72" t="e">
        <f t="shared" si="401"/>
        <v>#N/A</v>
      </c>
      <c r="AG400" s="72" t="e">
        <f>IF('חד גזעי'!$AM$5="לא",(VLOOKUP(C400,'חד גזעי'!$P$1:$S$589,3,FALSE)),(VLOOKUP(C400,'חד גזעי'!$P$1:$S$589,4,FALSE)))</f>
        <v>#N/A</v>
      </c>
      <c r="AH400" s="72">
        <f t="shared" si="402"/>
        <v>0</v>
      </c>
      <c r="AI400" s="72">
        <f t="shared" si="403"/>
        <v>0</v>
      </c>
      <c r="AJ400" s="72">
        <f t="shared" si="404"/>
        <v>0</v>
      </c>
      <c r="AK400" s="72" t="e">
        <f t="shared" si="405"/>
        <v>#N/A</v>
      </c>
      <c r="AL400" t="e">
        <f>VLOOKUP(C400,'חד גזעי'!$AH$8:$AI$33,2,FALSE)</f>
        <v>#N/A</v>
      </c>
      <c r="AM400" s="72" t="b">
        <f t="shared" si="406"/>
        <v>0</v>
      </c>
      <c r="AN400" s="72" t="b">
        <f t="shared" si="407"/>
        <v>0</v>
      </c>
      <c r="AO400" s="72" t="b">
        <f t="shared" si="408"/>
        <v>0</v>
      </c>
      <c r="AS400" s="72">
        <f t="shared" si="409"/>
        <v>0</v>
      </c>
      <c r="AT400" s="72">
        <f t="shared" si="410"/>
        <v>0</v>
      </c>
      <c r="AU400" s="72">
        <f>IF(C400&gt;0,IF(D400&lt;2,1,D400),0)</f>
        <v>0</v>
      </c>
      <c r="AV400" s="72">
        <f t="shared" si="411"/>
        <v>0</v>
      </c>
      <c r="AW400" s="72">
        <f t="shared" si="412"/>
        <v>0</v>
      </c>
      <c r="AX400" s="72">
        <f t="shared" si="413"/>
        <v>0</v>
      </c>
      <c r="AY400" s="72">
        <f t="shared" si="414"/>
        <v>0</v>
      </c>
      <c r="AZ400" s="72">
        <f t="shared" si="415"/>
        <v>0</v>
      </c>
      <c r="BA400" s="72" t="e">
        <f t="shared" si="416"/>
        <v>#N/A</v>
      </c>
      <c r="BB400" s="72" t="e">
        <f t="shared" si="417"/>
        <v>#N/A</v>
      </c>
      <c r="BC400" s="77"/>
      <c r="BE400">
        <f t="shared" si="397"/>
        <v>0</v>
      </c>
      <c r="BF400" s="196"/>
      <c r="BG400" s="196"/>
      <c r="BH400" s="196"/>
      <c r="BI400" s="196"/>
      <c r="BJ400" s="196"/>
      <c r="BK400" s="196"/>
    </row>
    <row r="401" spans="1:63" hidden="1">
      <c r="B401" s="72"/>
      <c r="C401" s="135"/>
      <c r="D401" s="73"/>
      <c r="E401" s="73"/>
      <c r="F401" s="72"/>
      <c r="G401" s="72"/>
      <c r="H401" s="72"/>
      <c r="I401" s="73">
        <f t="shared" si="399"/>
        <v>0</v>
      </c>
      <c r="J401" s="73"/>
      <c r="K401" s="73"/>
      <c r="L401" s="74" t="e">
        <f>_xlfn.IFNA(VLOOKUP(C401,'חד גזעי'!$U$3:$V$509,2,0),VLOOKUP(C401,'חד גזעי'!$U$3:$V$509,2))</f>
        <v>#N/A</v>
      </c>
      <c r="M401" s="73"/>
      <c r="N401" s="72" t="e">
        <f>_xlfn.IFNA(IF(VLOOKUP(C401,'חד גזעי'!$AH$2:$AH$7,1,FALSE)&gt;0,0,IF('חד גזעי'!$AM$5="כן",IF(_xlfn.IFNA(VLOOKUP(C401,'חד גזעי'!$AH$2:$AH$33,1,FALSE),SUM(J401:M401))&lt;21,_xlfn.IFNA(VLOOKUP(C401,'חד גזעי'!$AH$2:$AH$33,1,FALSE),SUM(J401:M401)),0),SUM(J401:M401))),IF('חד גזעי'!$AM$5="כן",IF(_xlfn.IFNA(VLOOKUP(C401,'חד גזעי'!$AH$2:$AH$33,1,FALSE),SUM(J401:M401))&lt;21,_xlfn.IFNA(VLOOKUP(C401,'חד גזעי'!$AH$2:$AH$33,1,FALSE),SUM(J401:M401)),0),SUM(J401:M401)))</f>
        <v>#N/A</v>
      </c>
      <c r="O401" s="72">
        <f>IF('חד גזעי'!$AM$3 = "כן",IF(T401&gt;4,4,T401),T401)</f>
        <v>0</v>
      </c>
      <c r="P401" s="80">
        <f>IF(E401&lt;2,0,IF(Z401&gt;0,Z401,IF(N401 = 0,0,IF('חד גזעי'!$AM$2 = "לא",IF(F401&gt;19,W401,0),IF(F401&gt;9,Y401,0)))))</f>
        <v>0</v>
      </c>
      <c r="Q401" s="77"/>
      <c r="R401" s="76"/>
      <c r="S401" t="e">
        <f>VLOOKUP(C401,'חד גזעי'!$Y$4:$Y$18,1,0)</f>
        <v>#N/A</v>
      </c>
      <c r="T401" s="72">
        <f>IF('חד גזעי'!$AM$6="לא",IF(P401=0,IF(BC401="שימור",IF('חד גזעי'!$AM$4="לא",IF(BC401="לא בוגר",0,IF(BC401="לא קיים",0,IF(J401=0,0,I401*0.1))),IF(BC401="לא בוגר",0,IF(BC401="לא קיים",0,IF(AB401=1,I401*0.1,E401*0.5)))),0),IF('חד גזעי'!$AM$4="לא",IF(BC401="לא בוגר",0,IF(BC401="לא קיים",0,IF(J401=0,0,I401*0.1))),IF(BC401="לא בוגר",0,IF(BC401="לא קיים",0,IF(AB401=1,I401*0.1,E401*0.5))))),IF(P401=0,IF(BC401="שימור",IF('חד גזעי'!$AM$4="לא",IF(BC401="לא בוגר",0,IF(BC401="לא קיים",0,IF(J401=0,0,I401*0.15))),IF(BC401="לא בוגר",0,IF(BC401="לא קיים",0,IF(AB401=1,I401*0.15,E401*0.5)))),0),IF('חד גזעי'!$AM$4="לא",IF(BC401="לא בוגר",0,IF(BC401="לא קיים",0,IF(J401=0,0,I401*0.15))),IF(BC401="לא בוגר",0,IF(BC401="לא קיים",0,IF(AB401=1,I401*0.15,E401*0.5))))))</f>
        <v>0</v>
      </c>
      <c r="V401" t="e">
        <f t="shared" si="421"/>
        <v>#N/A</v>
      </c>
      <c r="W401" t="e">
        <f t="shared" si="422"/>
        <v>#N/A</v>
      </c>
      <c r="X401" t="e">
        <f t="shared" si="423"/>
        <v>#N/A</v>
      </c>
      <c r="Y401">
        <f>IF('חד גזעי'!$AM$2 = "לא",0,IF(F401&gt;9,W401,0))</f>
        <v>0</v>
      </c>
      <c r="Z401">
        <f>IF('חד גזעי'!$AM$7 = "לא",0,IF(C401 = "זית אירופי",IF('חד גזעי'!$AN$7 &lt;=סקר!F401,W401,0),IF(C401 = "חרוב מצוי",IF('חד גזעי'!$AN$7 &lt;=סקר!F401,W401,0),0)))</f>
        <v>0</v>
      </c>
      <c r="AB401">
        <f t="shared" si="400"/>
        <v>1</v>
      </c>
      <c r="AC401" s="72"/>
      <c r="AD401" t="e">
        <f t="shared" si="418"/>
        <v>#N/A</v>
      </c>
      <c r="AE401" s="72"/>
      <c r="AF401" s="72" t="e">
        <f t="shared" si="401"/>
        <v>#N/A</v>
      </c>
      <c r="AG401" s="72" t="e">
        <f>IF('חד גזעי'!$AM$5="לא",(VLOOKUP(C401,'חד גזעי'!$P$1:$S$589,3,FALSE)),(VLOOKUP(C401,'חד גזעי'!$P$1:$S$589,4,FALSE)))</f>
        <v>#N/A</v>
      </c>
      <c r="AH401" s="72">
        <f t="shared" si="402"/>
        <v>0</v>
      </c>
      <c r="AI401" s="72">
        <f t="shared" si="403"/>
        <v>0</v>
      </c>
      <c r="AJ401" s="72">
        <f t="shared" si="404"/>
        <v>0</v>
      </c>
      <c r="AK401" s="72" t="e">
        <f t="shared" si="405"/>
        <v>#N/A</v>
      </c>
      <c r="AL401" t="e">
        <f>VLOOKUP(C401,'חד גזעי'!$AH$8:$AI$33,2,FALSE)</f>
        <v>#N/A</v>
      </c>
      <c r="AM401" s="72" t="b">
        <f t="shared" si="406"/>
        <v>0</v>
      </c>
      <c r="AN401" s="72" t="b">
        <f t="shared" si="407"/>
        <v>0</v>
      </c>
      <c r="AO401" s="72" t="b">
        <f t="shared" si="408"/>
        <v>0</v>
      </c>
      <c r="AS401" s="72">
        <f t="shared" si="409"/>
        <v>0</v>
      </c>
      <c r="AT401" s="72">
        <f t="shared" si="410"/>
        <v>0</v>
      </c>
      <c r="AU401" s="72">
        <f t="shared" si="419"/>
        <v>0</v>
      </c>
      <c r="AV401" s="72">
        <f t="shared" si="411"/>
        <v>0</v>
      </c>
      <c r="AW401" s="72">
        <f t="shared" si="412"/>
        <v>0</v>
      </c>
      <c r="AX401" s="72">
        <f t="shared" si="413"/>
        <v>0</v>
      </c>
      <c r="AY401" s="72">
        <f t="shared" si="414"/>
        <v>0</v>
      </c>
      <c r="AZ401" s="72">
        <f t="shared" si="415"/>
        <v>0</v>
      </c>
      <c r="BA401" s="72" t="e">
        <f t="shared" si="416"/>
        <v>#N/A</v>
      </c>
      <c r="BB401" s="72" t="e">
        <f t="shared" si="417"/>
        <v>#N/A</v>
      </c>
      <c r="BC401" s="77"/>
      <c r="BE401">
        <f t="shared" si="397"/>
        <v>0</v>
      </c>
      <c r="BF401" s="196"/>
      <c r="BG401" s="196"/>
      <c r="BH401" s="196"/>
      <c r="BI401" s="196"/>
      <c r="BJ401" s="196"/>
      <c r="BK401" s="196"/>
    </row>
    <row r="402" spans="1:63" hidden="1">
      <c r="B402" s="72"/>
      <c r="C402" s="135"/>
      <c r="D402" s="73"/>
      <c r="E402" s="73"/>
      <c r="F402" s="72"/>
      <c r="G402" s="72"/>
      <c r="H402" s="72"/>
      <c r="I402" s="73">
        <f t="shared" si="399"/>
        <v>0</v>
      </c>
      <c r="J402" s="73"/>
      <c r="K402" s="73"/>
      <c r="L402" s="74" t="e">
        <f>_xlfn.IFNA(VLOOKUP(C402,'חד גזעי'!$U$3:$V$509,2,0),VLOOKUP(C402,'חד גזעי'!$U$3:$V$509,2))</f>
        <v>#N/A</v>
      </c>
      <c r="M402" s="73"/>
      <c r="N402" s="72" t="e">
        <f>_xlfn.IFNA(IF(VLOOKUP(C402,'חד גזעי'!$AH$2:$AH$7,1,FALSE)&gt;0,0,IF('חד גזעי'!$AM$5="כן",IF(_xlfn.IFNA(VLOOKUP(C402,'חד גזעי'!$AH$2:$AH$33,1,FALSE),SUM(J402:M402))&lt;21,_xlfn.IFNA(VLOOKUP(C402,'חד גזעי'!$AH$2:$AH$33,1,FALSE),SUM(J402:M402)),0),SUM(J402:M402))),IF('חד גזעי'!$AM$5="כן",IF(_xlfn.IFNA(VLOOKUP(C402,'חד גזעי'!$AH$2:$AH$33,1,FALSE),SUM(J402:M402))&lt;21,_xlfn.IFNA(VLOOKUP(C402,'חד גזעי'!$AH$2:$AH$33,1,FALSE),SUM(J402:M402)),0),SUM(J402:M402)))</f>
        <v>#N/A</v>
      </c>
      <c r="O402" s="72">
        <f>IF('חד גזעי'!$AM$3 = "כן",IF(T402&gt;4,4,T402),T402)</f>
        <v>0</v>
      </c>
      <c r="P402" s="80">
        <f>IF(E402&lt;2,0,IF(Z402&gt;0,Z402,IF(N402 = 0,0,IF('חד גזעי'!$AM$2 = "לא",IF(F402&gt;19,W402,0),IF(F402&gt;9,Y402,0)))))</f>
        <v>0</v>
      </c>
      <c r="Q402" s="77"/>
      <c r="R402" s="76"/>
      <c r="S402" t="e">
        <f>VLOOKUP(C402,'חד גזעי'!$Y$4:$Y$18,1,0)</f>
        <v>#N/A</v>
      </c>
      <c r="T402" s="72">
        <f>IF('חד גזעי'!$AM$6="לא",IF(P402=0,IF(BC402="שימור",IF('חד גזעי'!$AM$4="לא",IF(BC402="לא בוגר",0,IF(BC402="לא קיים",0,IF(J402=0,0,I402*0.1))),IF(BC402="לא בוגר",0,IF(BC402="לא קיים",0,IF(AB402=1,I402*0.1,E402*0.5)))),0),IF('חד גזעי'!$AM$4="לא",IF(BC402="לא בוגר",0,IF(BC402="לא קיים",0,IF(J402=0,0,I402*0.1))),IF(BC402="לא בוגר",0,IF(BC402="לא קיים",0,IF(AB402=1,I402*0.1,E402*0.5))))),IF(P402=0,IF(BC402="שימור",IF('חד גזעי'!$AM$4="לא",IF(BC402="לא בוגר",0,IF(BC402="לא קיים",0,IF(J402=0,0,I402*0.15))),IF(BC402="לא בוגר",0,IF(BC402="לא קיים",0,IF(AB402=1,I402*0.15,E402*0.5)))),0),IF('חד גזעי'!$AM$4="לא",IF(BC402="לא בוגר",0,IF(BC402="לא קיים",0,IF(J402=0,0,I402*0.15))),IF(BC402="לא בוגר",0,IF(BC402="לא קיים",0,IF(AB402=1,I402*0.15,E402*0.5))))))</f>
        <v>0</v>
      </c>
      <c r="V402" t="e">
        <f t="shared" si="421"/>
        <v>#N/A</v>
      </c>
      <c r="W402" t="e">
        <f t="shared" si="422"/>
        <v>#N/A</v>
      </c>
      <c r="X402" t="e">
        <f t="shared" si="423"/>
        <v>#N/A</v>
      </c>
      <c r="Y402">
        <f>IF('חד גזעי'!$AM$2 = "לא",0,IF(F402&gt;9,W402,0))</f>
        <v>0</v>
      </c>
      <c r="Z402">
        <f>IF('חד גזעי'!$AM$7 = "לא",0,IF(C402 = "זית אירופי",IF('חד גזעי'!$AN$7 &lt;=סקר!F402,W402,0),IF(C402 = "חרוב מצוי",IF('חד גזעי'!$AN$7 &lt;=סקר!F402,W402,0),0)))</f>
        <v>0</v>
      </c>
      <c r="AB402">
        <f t="shared" si="400"/>
        <v>1</v>
      </c>
      <c r="AC402" s="72"/>
      <c r="AD402" t="e">
        <f t="shared" si="418"/>
        <v>#N/A</v>
      </c>
      <c r="AE402" s="72"/>
      <c r="AF402" s="72" t="e">
        <f t="shared" si="401"/>
        <v>#N/A</v>
      </c>
      <c r="AG402" s="72" t="e">
        <f>IF('חד גזעי'!$AM$5="לא",(VLOOKUP(C402,'חד גזעי'!$P$1:$S$589,3,FALSE)),(VLOOKUP(C402,'חד גזעי'!$P$1:$S$589,4,FALSE)))</f>
        <v>#N/A</v>
      </c>
      <c r="AH402" s="72">
        <f t="shared" si="402"/>
        <v>0</v>
      </c>
      <c r="AI402" s="72">
        <f t="shared" si="403"/>
        <v>0</v>
      </c>
      <c r="AJ402" s="72">
        <f t="shared" si="404"/>
        <v>0</v>
      </c>
      <c r="AK402" s="72" t="e">
        <f t="shared" si="405"/>
        <v>#N/A</v>
      </c>
      <c r="AL402" t="e">
        <f>VLOOKUP(C402,'חד גזעי'!$AH$8:$AI$33,2,FALSE)</f>
        <v>#N/A</v>
      </c>
      <c r="AM402" s="72" t="b">
        <f t="shared" si="406"/>
        <v>0</v>
      </c>
      <c r="AN402" s="72" t="b">
        <f t="shared" si="407"/>
        <v>0</v>
      </c>
      <c r="AO402" s="72" t="b">
        <f t="shared" si="408"/>
        <v>0</v>
      </c>
      <c r="AS402" s="72">
        <f t="shared" si="409"/>
        <v>0</v>
      </c>
      <c r="AT402" s="72">
        <f t="shared" si="410"/>
        <v>0</v>
      </c>
      <c r="AU402" s="72">
        <f t="shared" si="419"/>
        <v>0</v>
      </c>
      <c r="AV402" s="72">
        <f t="shared" si="411"/>
        <v>0</v>
      </c>
      <c r="AW402" s="72">
        <f t="shared" si="412"/>
        <v>0</v>
      </c>
      <c r="AX402" s="72">
        <f t="shared" si="413"/>
        <v>0</v>
      </c>
      <c r="AY402" s="72">
        <f t="shared" si="414"/>
        <v>0</v>
      </c>
      <c r="AZ402" s="72">
        <f t="shared" si="415"/>
        <v>0</v>
      </c>
      <c r="BA402" s="72" t="e">
        <f t="shared" si="416"/>
        <v>#N/A</v>
      </c>
      <c r="BB402" s="72" t="e">
        <f t="shared" si="417"/>
        <v>#N/A</v>
      </c>
      <c r="BC402" s="77"/>
      <c r="BE402">
        <f t="shared" si="397"/>
        <v>0</v>
      </c>
      <c r="BF402" s="196"/>
      <c r="BG402" s="196"/>
      <c r="BH402" s="196"/>
      <c r="BI402" s="196"/>
      <c r="BJ402" s="196"/>
      <c r="BK402" s="196"/>
    </row>
    <row r="403" spans="1:63" hidden="1">
      <c r="B403" s="72"/>
      <c r="C403" s="135"/>
      <c r="D403" s="73"/>
      <c r="E403" s="73"/>
      <c r="F403" s="72"/>
      <c r="G403" s="72"/>
      <c r="H403" s="72"/>
      <c r="I403" s="73">
        <f t="shared" si="399"/>
        <v>0</v>
      </c>
      <c r="J403" s="73"/>
      <c r="K403" s="73"/>
      <c r="L403" s="74" t="e">
        <f>_xlfn.IFNA(VLOOKUP(C403,'חד גזעי'!$U$3:$V$509,2,0),VLOOKUP(C403,'חד גזעי'!$U$3:$V$509,2))</f>
        <v>#N/A</v>
      </c>
      <c r="M403" s="73"/>
      <c r="N403" s="72" t="e">
        <f>_xlfn.IFNA(IF(VLOOKUP(C403,'חד גזעי'!$AH$2:$AH$7,1,FALSE)&gt;0,0,IF('חד גזעי'!$AM$5="כן",IF(_xlfn.IFNA(VLOOKUP(C403,'חד גזעי'!$AH$2:$AH$33,1,FALSE),SUM(J403:M403))&lt;21,_xlfn.IFNA(VLOOKUP(C403,'חד גזעי'!$AH$2:$AH$33,1,FALSE),SUM(J403:M403)),0),SUM(J403:M403))),IF('חד גזעי'!$AM$5="כן",IF(_xlfn.IFNA(VLOOKUP(C403,'חד גזעי'!$AH$2:$AH$33,1,FALSE),SUM(J403:M403))&lt;21,_xlfn.IFNA(VLOOKUP(C403,'חד גזעי'!$AH$2:$AH$33,1,FALSE),SUM(J403:M403)),0),SUM(J403:M403)))</f>
        <v>#N/A</v>
      </c>
      <c r="O403" s="72">
        <f>IF('חד גזעי'!$AM$3 = "כן",IF(T403&gt;4,4,T403),T403)</f>
        <v>0</v>
      </c>
      <c r="P403" s="80">
        <f>IF(E403&lt;2,0,IF(Z403&gt;0,Z403,IF(N403 = 0,0,IF('חד גזעי'!$AM$2 = "לא",IF(F403&gt;19,W403,0),IF(F403&gt;9,Y403,0)))))</f>
        <v>0</v>
      </c>
      <c r="Q403" s="77"/>
      <c r="R403" s="76"/>
      <c r="S403" t="e">
        <f>VLOOKUP(C403,'חד גזעי'!$Y$4:$Y$18,1,0)</f>
        <v>#N/A</v>
      </c>
      <c r="T403" s="72">
        <f>IF('חד גזעי'!$AM$6="לא",IF(P403=0,IF(BC403="שימור",IF('חד גזעי'!$AM$4="לא",IF(BC403="לא בוגר",0,IF(BC403="לא קיים",0,IF(J403=0,0,I403*0.1))),IF(BC403="לא בוגר",0,IF(BC403="לא קיים",0,IF(AB403=1,I403*0.1,E403*0.5)))),0),IF('חד גזעי'!$AM$4="לא",IF(BC403="לא בוגר",0,IF(BC403="לא קיים",0,IF(J403=0,0,I403*0.1))),IF(BC403="לא בוגר",0,IF(BC403="לא קיים",0,IF(AB403=1,I403*0.1,E403*0.5))))),IF(P403=0,IF(BC403="שימור",IF('חד גזעי'!$AM$4="לא",IF(BC403="לא בוגר",0,IF(BC403="לא קיים",0,IF(J403=0,0,I403*0.15))),IF(BC403="לא בוגר",0,IF(BC403="לא קיים",0,IF(AB403=1,I403*0.15,E403*0.5)))),0),IF('חד גזעי'!$AM$4="לא",IF(BC403="לא בוגר",0,IF(BC403="לא קיים",0,IF(J403=0,0,I403*0.15))),IF(BC403="לא בוגר",0,IF(BC403="לא קיים",0,IF(AB403=1,I403*0.15,E403*0.5))))))</f>
        <v>0</v>
      </c>
      <c r="V403" t="e">
        <f t="shared" si="421"/>
        <v>#N/A</v>
      </c>
      <c r="W403" t="e">
        <f t="shared" si="422"/>
        <v>#N/A</v>
      </c>
      <c r="X403" t="e">
        <f t="shared" si="423"/>
        <v>#N/A</v>
      </c>
      <c r="Y403">
        <f>IF('חד גזעי'!$AM$2 = "לא",0,IF(F403&gt;9,W403,0))</f>
        <v>0</v>
      </c>
      <c r="Z403">
        <f>IF('חד גזעי'!$AM$7 = "לא",0,IF(C403 = "זית אירופי",IF('חד גזעי'!$AN$7 &lt;=סקר!F403,W403,0),IF(C403 = "חרוב מצוי",IF('חד גזעי'!$AN$7 &lt;=סקר!F403,W403,0),0)))</f>
        <v>0</v>
      </c>
      <c r="AB403">
        <f t="shared" si="400"/>
        <v>1</v>
      </c>
      <c r="AC403" s="72"/>
      <c r="AD403" t="e">
        <f t="shared" si="418"/>
        <v>#N/A</v>
      </c>
      <c r="AE403" s="72"/>
      <c r="AF403" s="72" t="e">
        <f t="shared" si="401"/>
        <v>#N/A</v>
      </c>
      <c r="AG403" s="72" t="e">
        <f>IF('חד גזעי'!$AM$5="לא",(VLOOKUP(C403,'חד גזעי'!$P$1:$S$589,3,FALSE)),(VLOOKUP(C403,'חד גזעי'!$P$1:$S$589,4,FALSE)))</f>
        <v>#N/A</v>
      </c>
      <c r="AH403" s="72">
        <f t="shared" si="402"/>
        <v>0</v>
      </c>
      <c r="AI403" s="72">
        <f t="shared" si="403"/>
        <v>0</v>
      </c>
      <c r="AJ403" s="72">
        <f t="shared" si="404"/>
        <v>0</v>
      </c>
      <c r="AK403" s="72" t="e">
        <f t="shared" si="405"/>
        <v>#N/A</v>
      </c>
      <c r="AL403" t="e">
        <f>VLOOKUP(C403,'חד גזעי'!$AH$8:$AI$33,2,FALSE)</f>
        <v>#N/A</v>
      </c>
      <c r="AM403" s="72" t="b">
        <f t="shared" si="406"/>
        <v>0</v>
      </c>
      <c r="AN403" s="72" t="b">
        <f t="shared" si="407"/>
        <v>0</v>
      </c>
      <c r="AO403" s="72" t="b">
        <f t="shared" si="408"/>
        <v>0</v>
      </c>
      <c r="AS403" s="72">
        <f t="shared" si="409"/>
        <v>0</v>
      </c>
      <c r="AT403" s="72">
        <f t="shared" si="410"/>
        <v>0</v>
      </c>
      <c r="AU403" s="72">
        <f t="shared" si="419"/>
        <v>0</v>
      </c>
      <c r="AV403" s="72">
        <f t="shared" si="411"/>
        <v>0</v>
      </c>
      <c r="AW403" s="72">
        <f t="shared" si="412"/>
        <v>0</v>
      </c>
      <c r="AX403" s="72">
        <f t="shared" si="413"/>
        <v>0</v>
      </c>
      <c r="AY403" s="72">
        <f t="shared" si="414"/>
        <v>0</v>
      </c>
      <c r="AZ403" s="72">
        <f t="shared" si="415"/>
        <v>0</v>
      </c>
      <c r="BA403" s="72" t="e">
        <f t="shared" si="416"/>
        <v>#N/A</v>
      </c>
      <c r="BB403" s="72" t="e">
        <f t="shared" si="417"/>
        <v>#N/A</v>
      </c>
      <c r="BC403" s="77"/>
      <c r="BE403">
        <f t="shared" si="397"/>
        <v>0</v>
      </c>
      <c r="BF403" s="196"/>
      <c r="BG403" s="196"/>
      <c r="BH403" s="196"/>
      <c r="BI403" s="196"/>
      <c r="BJ403" s="196"/>
      <c r="BK403" s="196"/>
    </row>
    <row r="404" spans="1:63" hidden="1">
      <c r="B404" s="72"/>
      <c r="C404" s="135"/>
      <c r="D404" s="73"/>
      <c r="E404" s="73"/>
      <c r="F404" s="72"/>
      <c r="G404" s="72"/>
      <c r="H404" s="72"/>
      <c r="I404" s="73">
        <f t="shared" si="399"/>
        <v>0</v>
      </c>
      <c r="J404" s="73"/>
      <c r="K404" s="73"/>
      <c r="L404" s="74" t="e">
        <f>_xlfn.IFNA(VLOOKUP(C404,'חד גזעי'!$U$3:$V$509,2,0),VLOOKUP(C404,'חד גזעי'!$U$3:$V$509,2))</f>
        <v>#N/A</v>
      </c>
      <c r="M404" s="73"/>
      <c r="N404" s="72" t="e">
        <f>_xlfn.IFNA(IF(VLOOKUP(C404,'חד גזעי'!$AH$2:$AH$7,1,FALSE)&gt;0,0,IF('חד גזעי'!$AM$5="כן",IF(_xlfn.IFNA(VLOOKUP(C404,'חד גזעי'!$AH$2:$AH$33,1,FALSE),SUM(J404:M404))&lt;21,_xlfn.IFNA(VLOOKUP(C404,'חד גזעי'!$AH$2:$AH$33,1,FALSE),SUM(J404:M404)),0),SUM(J404:M404))),IF('חד גזעי'!$AM$5="כן",IF(_xlfn.IFNA(VLOOKUP(C404,'חד גזעי'!$AH$2:$AH$33,1,FALSE),SUM(J404:M404))&lt;21,_xlfn.IFNA(VLOOKUP(C404,'חד גזעי'!$AH$2:$AH$33,1,FALSE),SUM(J404:M404)),0),SUM(J404:M404)))</f>
        <v>#N/A</v>
      </c>
      <c r="O404" s="72">
        <f>IF('חד גזעי'!$AM$3 = "כן",IF(T404&gt;4,4,T404),T404)</f>
        <v>0</v>
      </c>
      <c r="P404" s="80">
        <f>IF(E404&lt;2,0,IF(Z404&gt;0,Z404,IF(N404 = 0,0,IF('חד גזעי'!$AM$2 = "לא",IF(F404&gt;19,W404,0),IF(F404&gt;9,Y404,0)))))</f>
        <v>0</v>
      </c>
      <c r="Q404" s="77"/>
      <c r="R404" s="76"/>
      <c r="S404" t="e">
        <f>VLOOKUP(C404,'חד גזעי'!$Y$4:$Y$18,1,0)</f>
        <v>#N/A</v>
      </c>
      <c r="T404" s="72">
        <f>IF('חד גזעי'!$AM$6="לא",IF(P404=0,IF(BC404="שימור",IF('חד גזעי'!$AM$4="לא",IF(BC404="לא בוגר",0,IF(BC404="לא קיים",0,IF(J404=0,0,I404*0.1))),IF(BC404="לא בוגר",0,IF(BC404="לא קיים",0,IF(AB404=1,I404*0.1,E404*0.5)))),0),IF('חד גזעי'!$AM$4="לא",IF(BC404="לא בוגר",0,IF(BC404="לא קיים",0,IF(J404=0,0,I404*0.1))),IF(BC404="לא בוגר",0,IF(BC404="לא קיים",0,IF(AB404=1,I404*0.1,E404*0.5))))),IF(P404=0,IF(BC404="שימור",IF('חד גזעי'!$AM$4="לא",IF(BC404="לא בוגר",0,IF(BC404="לא קיים",0,IF(J404=0,0,I404*0.15))),IF(BC404="לא בוגר",0,IF(BC404="לא קיים",0,IF(AB404=1,I404*0.15,E404*0.5)))),0),IF('חד גזעי'!$AM$4="לא",IF(BC404="לא בוגר",0,IF(BC404="לא קיים",0,IF(J404=0,0,I404*0.15))),IF(BC404="לא בוגר",0,IF(BC404="לא קיים",0,IF(AB404=1,I404*0.15,E404*0.5))))))</f>
        <v>0</v>
      </c>
      <c r="V404" t="e">
        <f t="shared" si="421"/>
        <v>#N/A</v>
      </c>
      <c r="W404" t="e">
        <f t="shared" si="422"/>
        <v>#N/A</v>
      </c>
      <c r="X404" t="e">
        <f t="shared" si="423"/>
        <v>#N/A</v>
      </c>
      <c r="Y404">
        <f>IF('חד גזעי'!$AM$2 = "לא",0,IF(F404&gt;9,W404,0))</f>
        <v>0</v>
      </c>
      <c r="Z404">
        <f>IF('חד גזעי'!$AM$7 = "לא",0,IF(C404 = "זית אירופי",IF('חד גזעי'!$AN$7 &lt;=סקר!F404,W404,0),IF(C404 = "חרוב מצוי",IF('חד גזעי'!$AN$7 &lt;=סקר!F404,W404,0),0)))</f>
        <v>0</v>
      </c>
      <c r="AB404">
        <f t="shared" si="400"/>
        <v>1</v>
      </c>
      <c r="AC404" s="72"/>
      <c r="AD404" t="e">
        <f t="shared" si="418"/>
        <v>#N/A</v>
      </c>
      <c r="AE404" s="72"/>
      <c r="AF404" s="72" t="e">
        <f t="shared" si="401"/>
        <v>#N/A</v>
      </c>
      <c r="AG404" s="72" t="e">
        <f>IF('חד גזעי'!$AM$5="לא",(VLOOKUP(C404,'חד גזעי'!$P$1:$S$589,3,FALSE)),(VLOOKUP(C404,'חד גזעי'!$P$1:$S$589,4,FALSE)))</f>
        <v>#N/A</v>
      </c>
      <c r="AH404" s="72">
        <f t="shared" si="402"/>
        <v>0</v>
      </c>
      <c r="AI404" s="72">
        <f t="shared" si="403"/>
        <v>0</v>
      </c>
      <c r="AJ404" s="72">
        <f t="shared" si="404"/>
        <v>0</v>
      </c>
      <c r="AK404" s="72" t="e">
        <f t="shared" si="405"/>
        <v>#N/A</v>
      </c>
      <c r="AL404" t="e">
        <f>VLOOKUP(C404,'חד גזעי'!$AH$8:$AI$33,2,FALSE)</f>
        <v>#N/A</v>
      </c>
      <c r="AM404" s="72" t="b">
        <f t="shared" si="406"/>
        <v>0</v>
      </c>
      <c r="AN404" s="72" t="b">
        <f t="shared" si="407"/>
        <v>0</v>
      </c>
      <c r="AO404" s="72" t="b">
        <f t="shared" si="408"/>
        <v>0</v>
      </c>
      <c r="AS404" s="72">
        <f t="shared" si="409"/>
        <v>0</v>
      </c>
      <c r="AT404" s="72">
        <f t="shared" si="410"/>
        <v>0</v>
      </c>
      <c r="AU404" s="72">
        <f t="shared" si="419"/>
        <v>0</v>
      </c>
      <c r="AV404" s="72">
        <f t="shared" si="411"/>
        <v>0</v>
      </c>
      <c r="AW404" s="72">
        <f t="shared" si="412"/>
        <v>0</v>
      </c>
      <c r="AX404" s="72">
        <f t="shared" si="413"/>
        <v>0</v>
      </c>
      <c r="AY404" s="72">
        <f t="shared" si="414"/>
        <v>0</v>
      </c>
      <c r="AZ404" s="72">
        <f t="shared" si="415"/>
        <v>0</v>
      </c>
      <c r="BA404" s="72" t="e">
        <f t="shared" si="416"/>
        <v>#N/A</v>
      </c>
      <c r="BB404" s="72" t="e">
        <f t="shared" si="417"/>
        <v>#N/A</v>
      </c>
      <c r="BC404" s="77"/>
      <c r="BE404">
        <f t="shared" si="397"/>
        <v>0</v>
      </c>
      <c r="BF404" s="196"/>
      <c r="BG404" s="196"/>
      <c r="BH404" s="196"/>
      <c r="BI404" s="196"/>
      <c r="BJ404" s="196"/>
      <c r="BK404" s="196"/>
    </row>
    <row r="405" spans="1:63" hidden="1">
      <c r="B405" s="72"/>
      <c r="C405" s="135"/>
      <c r="D405" s="73"/>
      <c r="E405" s="73"/>
      <c r="F405" s="72"/>
      <c r="G405" s="72"/>
      <c r="H405" s="72"/>
      <c r="I405" s="73">
        <f t="shared" si="399"/>
        <v>0</v>
      </c>
      <c r="J405" s="73"/>
      <c r="K405" s="73"/>
      <c r="L405" s="74" t="e">
        <f>_xlfn.IFNA(VLOOKUP(C405,'חד גזעי'!$U$3:$V$509,2,0),VLOOKUP(C405,'חד גזעי'!$U$3:$V$509,2))</f>
        <v>#N/A</v>
      </c>
      <c r="M405" s="73"/>
      <c r="N405" s="72" t="e">
        <f>_xlfn.IFNA(IF(VLOOKUP(C405,'חד גזעי'!$AH$2:$AH$7,1,FALSE)&gt;0,0,IF('חד גזעי'!$AM$5="כן",IF(_xlfn.IFNA(VLOOKUP(C405,'חד גזעי'!$AH$2:$AH$33,1,FALSE),SUM(J405:M405))&lt;21,_xlfn.IFNA(VLOOKUP(C405,'חד גזעי'!$AH$2:$AH$33,1,FALSE),SUM(J405:M405)),0),SUM(J405:M405))),IF('חד גזעי'!$AM$5="כן",IF(_xlfn.IFNA(VLOOKUP(C405,'חד גזעי'!$AH$2:$AH$33,1,FALSE),SUM(J405:M405))&lt;21,_xlfn.IFNA(VLOOKUP(C405,'חד גזעי'!$AH$2:$AH$33,1,FALSE),SUM(J405:M405)),0),SUM(J405:M405)))</f>
        <v>#N/A</v>
      </c>
      <c r="O405" s="72">
        <f>IF('חד גזעי'!$AM$3 = "כן",IF(T405&gt;4,4,T405),T405)</f>
        <v>0</v>
      </c>
      <c r="P405" s="80">
        <f>IF(E405&lt;2,0,IF(Z405&gt;0,Z405,IF(N405 = 0,0,IF('חד גזעי'!$AM$2 = "לא",IF(F405&gt;19,W405,0),IF(F405&gt;9,Y405,0)))))</f>
        <v>0</v>
      </c>
      <c r="Q405" s="77"/>
      <c r="R405" s="76"/>
      <c r="S405" t="e">
        <f>VLOOKUP(C405,'חד גזעי'!$Y$4:$Y$18,1,0)</f>
        <v>#N/A</v>
      </c>
      <c r="T405" s="72">
        <f>IF('חד גזעי'!$AM$6="לא",IF(P405=0,IF(BC405="שימור",IF('חד גזעי'!$AM$4="לא",IF(BC405="לא בוגר",0,IF(BC405="לא קיים",0,IF(J405=0,0,I405*0.1))),IF(BC405="לא בוגר",0,IF(BC405="לא קיים",0,IF(AB405=1,I405*0.1,E405*0.5)))),0),IF('חד גזעי'!$AM$4="לא",IF(BC405="לא בוגר",0,IF(BC405="לא קיים",0,IF(J405=0,0,I405*0.1))),IF(BC405="לא בוגר",0,IF(BC405="לא קיים",0,IF(AB405=1,I405*0.1,E405*0.5))))),IF(P405=0,IF(BC405="שימור",IF('חד גזעי'!$AM$4="לא",IF(BC405="לא בוגר",0,IF(BC405="לא קיים",0,IF(J405=0,0,I405*0.15))),IF(BC405="לא בוגר",0,IF(BC405="לא קיים",0,IF(AB405=1,I405*0.15,E405*0.5)))),0),IF('חד גזעי'!$AM$4="לא",IF(BC405="לא בוגר",0,IF(BC405="לא קיים",0,IF(J405=0,0,I405*0.15))),IF(BC405="לא בוגר",0,IF(BC405="לא קיים",0,IF(AB405=1,I405*0.15,E405*0.5))))))</f>
        <v>0</v>
      </c>
      <c r="V405" t="e">
        <f t="shared" si="421"/>
        <v>#N/A</v>
      </c>
      <c r="W405" t="e">
        <f t="shared" si="422"/>
        <v>#N/A</v>
      </c>
      <c r="X405" t="e">
        <f t="shared" si="423"/>
        <v>#N/A</v>
      </c>
      <c r="Y405">
        <f>IF('חד גזעי'!$AM$2 = "לא",0,IF(F405&gt;9,W405,0))</f>
        <v>0</v>
      </c>
      <c r="Z405">
        <f>IF('חד גזעי'!$AM$7 = "לא",0,IF(C405 = "זית אירופי",IF('חד גזעי'!$AN$7 &lt;=סקר!F405,W405,0),IF(C405 = "חרוב מצוי",IF('חד גזעי'!$AN$7 &lt;=סקר!F405,W405,0),0)))</f>
        <v>0</v>
      </c>
      <c r="AB405">
        <f t="shared" si="400"/>
        <v>1</v>
      </c>
      <c r="AC405" s="72"/>
      <c r="AD405" t="e">
        <f t="shared" si="418"/>
        <v>#N/A</v>
      </c>
      <c r="AE405" s="72"/>
      <c r="AF405" s="72" t="e">
        <f t="shared" si="401"/>
        <v>#N/A</v>
      </c>
      <c r="AG405" s="72" t="e">
        <f>IF('חד גזעי'!$AM$5="לא",(VLOOKUP(C405,'חד גזעי'!$P$1:$S$589,3,FALSE)),(VLOOKUP(C405,'חד גזעי'!$P$1:$S$589,4,FALSE)))</f>
        <v>#N/A</v>
      </c>
      <c r="AH405" s="72">
        <f t="shared" si="402"/>
        <v>0</v>
      </c>
      <c r="AI405" s="72">
        <f t="shared" si="403"/>
        <v>0</v>
      </c>
      <c r="AJ405" s="72">
        <f t="shared" si="404"/>
        <v>0</v>
      </c>
      <c r="AK405" s="72" t="e">
        <f t="shared" si="405"/>
        <v>#N/A</v>
      </c>
      <c r="AL405" t="e">
        <f>VLOOKUP(C405,'חד גזעי'!$AH$8:$AI$33,2,FALSE)</f>
        <v>#N/A</v>
      </c>
      <c r="AM405" s="72" t="b">
        <f t="shared" si="406"/>
        <v>0</v>
      </c>
      <c r="AN405" s="72" t="b">
        <f t="shared" si="407"/>
        <v>0</v>
      </c>
      <c r="AO405" s="72" t="b">
        <f t="shared" si="408"/>
        <v>0</v>
      </c>
      <c r="AS405" s="72">
        <f t="shared" si="409"/>
        <v>0</v>
      </c>
      <c r="AT405" s="72">
        <f t="shared" si="410"/>
        <v>0</v>
      </c>
      <c r="AU405" s="72">
        <f t="shared" si="419"/>
        <v>0</v>
      </c>
      <c r="AV405" s="72">
        <f t="shared" si="411"/>
        <v>0</v>
      </c>
      <c r="AW405" s="72">
        <f t="shared" si="412"/>
        <v>0</v>
      </c>
      <c r="AX405" s="72">
        <f t="shared" si="413"/>
        <v>0</v>
      </c>
      <c r="AY405" s="72">
        <f t="shared" si="414"/>
        <v>0</v>
      </c>
      <c r="AZ405" s="72">
        <f t="shared" si="415"/>
        <v>0</v>
      </c>
      <c r="BA405" s="72" t="e">
        <f t="shared" si="416"/>
        <v>#N/A</v>
      </c>
      <c r="BB405" s="72" t="e">
        <f t="shared" si="417"/>
        <v>#N/A</v>
      </c>
      <c r="BC405" s="77"/>
      <c r="BE405">
        <f t="shared" si="397"/>
        <v>0</v>
      </c>
      <c r="BF405" s="196"/>
      <c r="BG405" s="196"/>
      <c r="BH405" s="196"/>
      <c r="BI405" s="196"/>
      <c r="BJ405" s="196"/>
      <c r="BK405" s="196"/>
    </row>
    <row r="406" spans="1:63" hidden="1">
      <c r="B406" s="72"/>
      <c r="C406" s="135"/>
      <c r="D406" s="73"/>
      <c r="E406" s="73"/>
      <c r="F406" s="72"/>
      <c r="G406" s="72"/>
      <c r="H406" s="72"/>
      <c r="I406" s="73">
        <f t="shared" si="399"/>
        <v>0</v>
      </c>
      <c r="J406" s="73"/>
      <c r="K406" s="73"/>
      <c r="L406" s="74" t="e">
        <f>_xlfn.IFNA(VLOOKUP(C406,'חד גזעי'!$U$3:$V$509,2,0),VLOOKUP(C406,'חד גזעי'!$U$3:$V$509,2))</f>
        <v>#N/A</v>
      </c>
      <c r="M406" s="73"/>
      <c r="N406" s="72" t="e">
        <f>_xlfn.IFNA(IF(VLOOKUP(C406,'חד גזעי'!$AH$2:$AH$7,1,FALSE)&gt;0,0,IF('חד גזעי'!$AM$5="כן",IF(_xlfn.IFNA(VLOOKUP(C406,'חד גזעי'!$AH$2:$AH$33,1,FALSE),SUM(J406:M406))&lt;21,_xlfn.IFNA(VLOOKUP(C406,'חד גזעי'!$AH$2:$AH$33,1,FALSE),SUM(J406:M406)),0),SUM(J406:M406))),IF('חד גזעי'!$AM$5="כן",IF(_xlfn.IFNA(VLOOKUP(C406,'חד גזעי'!$AH$2:$AH$33,1,FALSE),SUM(J406:M406))&lt;21,_xlfn.IFNA(VLOOKUP(C406,'חד גזעי'!$AH$2:$AH$33,1,FALSE),SUM(J406:M406)),0),SUM(J406:M406)))</f>
        <v>#N/A</v>
      </c>
      <c r="O406" s="72">
        <f>IF('חד גזעי'!$AM$3 = "כן",IF(T406&gt;4,4,T406),T406)</f>
        <v>0</v>
      </c>
      <c r="P406" s="80">
        <f>IF(E406&lt;2,0,IF(Z406&gt;0,Z406,IF(N406 = 0,0,IF('חד גזעי'!$AM$2 = "לא",IF(F406&gt;19,W406,0),IF(F406&gt;9,Y406,0)))))</f>
        <v>0</v>
      </c>
      <c r="Q406" s="77"/>
      <c r="R406" s="76"/>
      <c r="S406" t="e">
        <f>VLOOKUP(C406,'חד גזעי'!$Y$4:$Y$18,1,0)</f>
        <v>#N/A</v>
      </c>
      <c r="T406" s="72">
        <f>IF('חד גזעי'!$AM$6="לא",IF(P406=0,IF(BC406="שימור",IF('חד גזעי'!$AM$4="לא",IF(BC406="לא בוגר",0,IF(BC406="לא קיים",0,IF(J406=0,0,I406*0.1))),IF(BC406="לא בוגר",0,IF(BC406="לא קיים",0,IF(AB406=1,I406*0.1,E406*0.5)))),0),IF('חד גזעי'!$AM$4="לא",IF(BC406="לא בוגר",0,IF(BC406="לא קיים",0,IF(J406=0,0,I406*0.1))),IF(BC406="לא בוגר",0,IF(BC406="לא קיים",0,IF(AB406=1,I406*0.1,E406*0.5))))),IF(P406=0,IF(BC406="שימור",IF('חד גזעי'!$AM$4="לא",IF(BC406="לא בוגר",0,IF(BC406="לא קיים",0,IF(J406=0,0,I406*0.15))),IF(BC406="לא בוגר",0,IF(BC406="לא קיים",0,IF(AB406=1,I406*0.15,E406*0.5)))),0),IF('חד גזעי'!$AM$4="לא",IF(BC406="לא בוגר",0,IF(BC406="לא קיים",0,IF(J406=0,0,I406*0.15))),IF(BC406="לא בוגר",0,IF(BC406="לא קיים",0,IF(AB406=1,I406*0.15,E406*0.5))))))</f>
        <v>0</v>
      </c>
      <c r="V406" t="e">
        <f t="shared" si="421"/>
        <v>#N/A</v>
      </c>
      <c r="W406" t="e">
        <f t="shared" si="422"/>
        <v>#N/A</v>
      </c>
      <c r="X406" t="e">
        <f t="shared" si="423"/>
        <v>#N/A</v>
      </c>
      <c r="Y406">
        <f>IF('חד גזעי'!$AM$2 = "לא",0,IF(F406&gt;9,W406,0))</f>
        <v>0</v>
      </c>
      <c r="Z406">
        <f>IF('חד גזעי'!$AM$7 = "לא",0,IF(C406 = "זית אירופי",IF('חד גזעי'!$AN$7 &lt;=סקר!F406,W406,0),IF(C406 = "חרוב מצוי",IF('חד גזעי'!$AN$7 &lt;=סקר!F406,W406,0),0)))</f>
        <v>0</v>
      </c>
      <c r="AB406">
        <f t="shared" si="400"/>
        <v>1</v>
      </c>
      <c r="AC406" s="72"/>
      <c r="AD406" t="e">
        <f t="shared" si="418"/>
        <v>#N/A</v>
      </c>
      <c r="AE406" s="72"/>
      <c r="AF406" s="72" t="e">
        <f t="shared" si="401"/>
        <v>#N/A</v>
      </c>
      <c r="AG406" s="72" t="e">
        <f>IF('חד גזעי'!$AM$5="לא",(VLOOKUP(C406,'חד גזעי'!$P$1:$S$589,3,FALSE)),(VLOOKUP(C406,'חד גזעי'!$P$1:$S$589,4,FALSE)))</f>
        <v>#N/A</v>
      </c>
      <c r="AH406" s="72">
        <f t="shared" si="402"/>
        <v>0</v>
      </c>
      <c r="AI406" s="72">
        <f t="shared" si="403"/>
        <v>0</v>
      </c>
      <c r="AJ406" s="72">
        <f t="shared" si="404"/>
        <v>0</v>
      </c>
      <c r="AK406" s="72" t="e">
        <f t="shared" si="405"/>
        <v>#N/A</v>
      </c>
      <c r="AL406" t="e">
        <f>VLOOKUP(C406,'חד גזעי'!$AH$8:$AI$33,2,FALSE)</f>
        <v>#N/A</v>
      </c>
      <c r="AM406" s="72" t="b">
        <f t="shared" si="406"/>
        <v>0</v>
      </c>
      <c r="AN406" s="72" t="b">
        <f t="shared" si="407"/>
        <v>0</v>
      </c>
      <c r="AO406" s="72" t="b">
        <f t="shared" si="408"/>
        <v>0</v>
      </c>
      <c r="AS406" s="72">
        <f t="shared" si="409"/>
        <v>0</v>
      </c>
      <c r="AT406" s="72">
        <f t="shared" si="410"/>
        <v>0</v>
      </c>
      <c r="AU406" s="72">
        <f t="shared" si="419"/>
        <v>0</v>
      </c>
      <c r="AV406" s="72">
        <f t="shared" si="411"/>
        <v>0</v>
      </c>
      <c r="AW406" s="72">
        <f t="shared" si="412"/>
        <v>0</v>
      </c>
      <c r="AX406" s="72">
        <f t="shared" si="413"/>
        <v>0</v>
      </c>
      <c r="AY406" s="72">
        <f t="shared" si="414"/>
        <v>0</v>
      </c>
      <c r="AZ406" s="72">
        <f t="shared" si="415"/>
        <v>0</v>
      </c>
      <c r="BA406" s="72" t="e">
        <f t="shared" si="416"/>
        <v>#N/A</v>
      </c>
      <c r="BB406" s="72" t="e">
        <f t="shared" si="417"/>
        <v>#N/A</v>
      </c>
      <c r="BC406" s="77"/>
      <c r="BE406">
        <f t="shared" si="397"/>
        <v>0</v>
      </c>
      <c r="BF406" s="196"/>
      <c r="BG406" s="196"/>
      <c r="BH406" s="196"/>
      <c r="BI406" s="196"/>
      <c r="BJ406" s="196"/>
      <c r="BK406" s="196"/>
    </row>
    <row r="407" spans="1:63" ht="14.25" hidden="1">
      <c r="B407" s="71"/>
      <c r="C407" s="69"/>
      <c r="Q407" s="86"/>
      <c r="T407" s="72">
        <f>IF('חד גזעי'!$AM$6="לא",IF(P407=0,IF(BC407="שימור",IF('חד גזעי'!$AM$4="לא",IF(BC407="לא בוגר",0,IF(BC407="לא קיים",0,IF(J407=0,0,I407*0.1))),IF(BC407="לא בוגר",0,IF(BC407="לא קיים",0,IF(AB407=1,I407*0.1,E407*0.5)))),0),IF('חד גזעי'!$AM$4="לא",IF(BC407="לא בוגר",0,IF(BC407="לא קיים",0,IF(J407=0,0,I407*0.1))),IF(BC407="לא בוגר",0,IF(BC407="לא קיים",0,IF(AB407=1,I407*0.1,E407*0.5))))),IF(P407=0,IF(BC407="שימור",IF('חד גזעי'!$AM$4="לא",IF(BC407="לא בוגר",0,IF(BC407="לא קיים",0,IF(J407=0,0,I407*0.15))),IF(BC407="לא בוגר",0,IF(BC407="לא קיים",0,IF(AB407=1,I407*0.15,E407*0.5)))),0),IF('חד גזעי'!$AM$4="לא",IF(BC407="לא בוגר",0,IF(BC407="לא קיים",0,IF(J407=0,0,I407*0.15))),IF(BC407="לא בוגר",0,IF(BC407="לא קיים",0,IF(AB407=1,I407*0.15,E407*0.5))))))</f>
        <v>0</v>
      </c>
      <c r="V407">
        <f t="shared" si="421"/>
        <v>0</v>
      </c>
      <c r="W407">
        <f t="shared" si="422"/>
        <v>0</v>
      </c>
      <c r="X407">
        <f t="shared" si="423"/>
        <v>0</v>
      </c>
      <c r="Y407">
        <f>IF('חד גזעי'!$AM$2 = "לא",0,IF(F407&gt;9,W407,0))</f>
        <v>0</v>
      </c>
      <c r="Z407">
        <f>IF('חד גזעי'!$AM$7 = "לא",0,IF(C407 = "זית אירופי",IF('חד גזעי'!$AN$7 &lt;=סקר!F407,W407,0),IF(C407 = "חרוב מצוי",IF('חד גזעי'!$AN$7 &lt;=סקר!F407,W407,0),0)))</f>
        <v>0</v>
      </c>
      <c r="AD407" s="69" t="s">
        <v>807</v>
      </c>
      <c r="BE407">
        <f t="shared" si="397"/>
        <v>0</v>
      </c>
      <c r="BF407" s="196"/>
      <c r="BG407" s="196"/>
      <c r="BH407" s="196"/>
      <c r="BI407" s="196"/>
      <c r="BJ407" s="196"/>
      <c r="BK407" s="196"/>
    </row>
    <row r="408" spans="1:63" ht="14.25" hidden="1">
      <c r="A408" s="129"/>
      <c r="B408" s="132"/>
      <c r="C408" s="133"/>
      <c r="D408" s="129"/>
      <c r="E408" s="129"/>
      <c r="F408" s="129"/>
      <c r="G408" s="129"/>
      <c r="H408" s="129"/>
      <c r="I408" s="129"/>
      <c r="J408" s="129"/>
      <c r="K408" s="129"/>
      <c r="L408" s="129"/>
      <c r="M408" s="129"/>
      <c r="N408" s="129"/>
      <c r="O408" s="129"/>
      <c r="P408" s="129"/>
      <c r="Q408" s="134"/>
      <c r="R408" s="129"/>
      <c r="S408" s="129"/>
      <c r="T408" s="72">
        <f>IF('חד גזעי'!$AM$6="לא",IF(P408=0,IF(BC408="שימור",IF('חד גזעי'!$AM$4="לא",IF(BC408="לא בוגר",0,IF(BC408="לא קיים",0,IF(J408=0,0,I408*0.1))),IF(BC408="לא בוגר",0,IF(BC408="לא קיים",0,IF(AB408=1,I408*0.1,E408*0.5)))),0),IF('חד גזעי'!$AM$4="לא",IF(BC408="לא בוגר",0,IF(BC408="לא קיים",0,IF(J408=0,0,I408*0.1))),IF(BC408="לא בוגר",0,IF(BC408="לא קיים",0,IF(AB408=1,I408*0.1,E408*0.5))))),IF(P408=0,IF(BC408="שימור",IF('חד גזעי'!$AM$4="לא",IF(BC408="לא בוגר",0,IF(BC408="לא קיים",0,IF(J408=0,0,I408*0.15))),IF(BC408="לא בוגר",0,IF(BC408="לא קיים",0,IF(AB408=1,I408*0.15,E408*0.5)))),0),IF('חד גזעי'!$AM$4="לא",IF(BC408="לא בוגר",0,IF(BC408="לא קיים",0,IF(J408=0,0,I408*0.15))),IF(BC408="לא בוגר",0,IF(BC408="לא קיים",0,IF(AB408=1,I408*0.15,E408*0.5))))))</f>
        <v>0</v>
      </c>
      <c r="U408" s="129"/>
      <c r="V408">
        <f t="shared" si="421"/>
        <v>0</v>
      </c>
      <c r="W408">
        <f t="shared" si="422"/>
        <v>0</v>
      </c>
      <c r="X408">
        <f t="shared" si="423"/>
        <v>0</v>
      </c>
      <c r="Y408">
        <f>IF('חד גזעי'!$AM$2 = "לא",0,IF(F408&gt;9,W408,0))</f>
        <v>0</v>
      </c>
      <c r="Z408">
        <f>IF('חד גזעי'!$AM$7 = "לא",0,IF(C408 = "זית אירופי",IF('חד גזעי'!$AN$7 &lt;=סקר!F408,W408,0),IF(C408 = "חרוב מצוי",IF('חד גזעי'!$AN$7 &lt;=סקר!F408,W408,0),0)))</f>
        <v>0</v>
      </c>
      <c r="AA408" s="129"/>
      <c r="AB408" s="129"/>
      <c r="AC408" s="129"/>
      <c r="AD408" s="133"/>
      <c r="AE408" s="129"/>
      <c r="AF408" s="129"/>
      <c r="AG408" s="129"/>
      <c r="AH408" s="129"/>
      <c r="AI408" s="129"/>
      <c r="AJ408" s="129"/>
      <c r="AK408" s="129"/>
      <c r="AL408" s="129"/>
      <c r="AM408" s="129"/>
      <c r="AN408" s="129"/>
      <c r="AO408" s="129"/>
      <c r="AP408" s="129"/>
      <c r="AQ408" s="129"/>
      <c r="AR408" s="129"/>
      <c r="AS408" s="129"/>
      <c r="AT408" s="129"/>
      <c r="AU408" s="129"/>
      <c r="AV408" s="129"/>
      <c r="AW408" s="129"/>
      <c r="AX408" s="129"/>
      <c r="AY408" s="129"/>
      <c r="AZ408" s="129"/>
      <c r="BA408" s="129"/>
      <c r="BB408" s="129"/>
      <c r="BC408" s="129"/>
      <c r="BD408" s="129"/>
      <c r="BE408" s="129"/>
      <c r="BF408" s="129">
        <f>_xlfn.IFNA(_xlfn.IFNA(_xlfn.TEXTBEFORE(BF390,"--"),_xlfn.TEXTBEFORE(BF390,",")),BF390)</f>
        <v>0</v>
      </c>
      <c r="BG408" s="129">
        <f t="shared" ref="BG408:BK408" si="424">_xlfn.IFNA(_xlfn.IFNA(_xlfn.TEXTBEFORE(BG390,"--"),_xlfn.TEXTBEFORE(BG390,",")),BG390)</f>
        <v>0</v>
      </c>
      <c r="BH408" s="129">
        <f t="shared" si="424"/>
        <v>0</v>
      </c>
      <c r="BI408" s="129">
        <f>_xlfn.IFNA(_xlfn.IFNA(_xlfn.TEXTBEFORE(BI390,"--"),_xlfn.TEXTBEFORE(BI390,",")),BI390)</f>
        <v>0</v>
      </c>
      <c r="BJ408" s="129">
        <f t="shared" si="424"/>
        <v>0</v>
      </c>
      <c r="BK408" s="129">
        <f t="shared" si="424"/>
        <v>0</v>
      </c>
    </row>
    <row r="409" spans="1:63" ht="14.25" hidden="1">
      <c r="A409" s="129"/>
      <c r="B409" s="132"/>
      <c r="C409" s="133"/>
      <c r="D409" s="129"/>
      <c r="E409" s="129"/>
      <c r="F409" s="129"/>
      <c r="G409" s="129"/>
      <c r="H409" s="129"/>
      <c r="I409" s="129"/>
      <c r="J409" s="129"/>
      <c r="K409" s="129"/>
      <c r="L409" s="129"/>
      <c r="M409" s="129"/>
      <c r="N409" s="129"/>
      <c r="O409" s="129"/>
      <c r="P409" s="129"/>
      <c r="Q409" s="134"/>
      <c r="R409" s="129"/>
      <c r="S409" s="129"/>
      <c r="T409" s="72">
        <f>IF('חד גזעי'!$AM$6="לא",IF(P409=0,IF(BC409="שימור",IF('חד גזעי'!$AM$4="לא",IF(BC409="לא בוגר",0,IF(BC409="לא קיים",0,IF(J409=0,0,I409*0.1))),IF(BC409="לא בוגר",0,IF(BC409="לא קיים",0,IF(AB409=1,I409*0.1,E409*0.5)))),0),IF('חד גזעי'!$AM$4="לא",IF(BC409="לא בוגר",0,IF(BC409="לא קיים",0,IF(J409=0,0,I409*0.1))),IF(BC409="לא בוגר",0,IF(BC409="לא קיים",0,IF(AB409=1,I409*0.1,E409*0.5))))),IF(P409=0,IF(BC409="שימור",IF('חד גזעי'!$AM$4="לא",IF(BC409="לא בוגר",0,IF(BC409="לא קיים",0,IF(J409=0,0,I409*0.15))),IF(BC409="לא בוגר",0,IF(BC409="לא קיים",0,IF(AB409=1,I409*0.15,E409*0.5)))),0),IF('חד גזעי'!$AM$4="לא",IF(BC409="לא בוגר",0,IF(BC409="לא קיים",0,IF(J409=0,0,I409*0.15))),IF(BC409="לא בוגר",0,IF(BC409="לא קיים",0,IF(AB409=1,I409*0.15,E409*0.5))))))</f>
        <v>0</v>
      </c>
      <c r="U409" s="129"/>
      <c r="V409">
        <f t="shared" si="421"/>
        <v>0</v>
      </c>
      <c r="W409">
        <f t="shared" si="422"/>
        <v>0</v>
      </c>
      <c r="X409">
        <f t="shared" si="423"/>
        <v>0</v>
      </c>
      <c r="Y409">
        <f>IF('חד גזעי'!$AM$2 = "לא",0,IF(F409&gt;9,W409,0))</f>
        <v>0</v>
      </c>
      <c r="Z409">
        <f>IF('חד גזעי'!$AM$7 = "לא",0,IF(C409 = "זית אירופי",IF('חד גזעי'!$AN$7 &lt;=סקר!F409,W409,0),IF(C409 = "חרוב מצוי",IF('חד גזעי'!$AN$7 &lt;=סקר!F409,W409,0),0)))</f>
        <v>0</v>
      </c>
      <c r="AA409" s="129"/>
      <c r="AB409" s="129"/>
      <c r="AC409" s="129"/>
      <c r="AD409" s="133"/>
      <c r="AE409" s="129"/>
      <c r="AF409" s="129"/>
      <c r="AG409" s="129"/>
      <c r="AH409" s="129"/>
      <c r="AI409" s="129"/>
      <c r="AJ409" s="129"/>
      <c r="AK409" s="129"/>
      <c r="AL409" s="129"/>
      <c r="AM409" s="129"/>
      <c r="AN409" s="129"/>
      <c r="AO409" s="129"/>
      <c r="AP409" s="129"/>
      <c r="AQ409" s="129"/>
      <c r="AR409" s="129"/>
      <c r="AS409" s="129"/>
      <c r="AT409" s="129"/>
      <c r="AU409" s="129"/>
      <c r="AV409" s="129"/>
      <c r="AW409" s="129"/>
      <c r="AX409" s="129"/>
      <c r="AY409" s="129"/>
      <c r="AZ409" s="129"/>
      <c r="BA409" s="129"/>
      <c r="BB409" s="129"/>
      <c r="BC409" s="129"/>
      <c r="BD409" s="129"/>
      <c r="BE409" s="129"/>
      <c r="BF409" s="129" t="str">
        <f>"C:\Users\origr\Pictures\"&amp;BF408&amp;".jpg"</f>
        <v>C:\Users\origr\Pictures\0.jpg</v>
      </c>
      <c r="BG409" s="129" t="str">
        <f t="shared" ref="BG409" si="425">"C:\Users\origr\Pictures\"&amp;BG408&amp;".jpg"</f>
        <v>C:\Users\origr\Pictures\0.jpg</v>
      </c>
      <c r="BH409" s="129" t="str">
        <f t="shared" ref="BH409" si="426">"C:\Users\origr\Pictures\"&amp;BH408&amp;".jpg"</f>
        <v>C:\Users\origr\Pictures\0.jpg</v>
      </c>
      <c r="BI409" s="129" t="str">
        <f t="shared" ref="BI409" si="427">"C:\Users\origr\Pictures\"&amp;BI408&amp;".jpg"</f>
        <v>C:\Users\origr\Pictures\0.jpg</v>
      </c>
      <c r="BJ409" s="129" t="str">
        <f t="shared" ref="BJ409" si="428">"C:\Users\origr\Pictures\"&amp;BJ408&amp;".jpg"</f>
        <v>C:\Users\origr\Pictures\0.jpg</v>
      </c>
      <c r="BK409" s="129" t="str">
        <f t="shared" ref="BK409" si="429">"C:\Users\origr\Pictures\"&amp;BK408&amp;".jpg"</f>
        <v>C:\Users\origr\Pictures\0.jpg</v>
      </c>
    </row>
    <row r="410" spans="1:63" ht="14.25" hidden="1">
      <c r="A410" s="129"/>
      <c r="B410" s="132"/>
      <c r="C410" s="133"/>
      <c r="D410" s="129"/>
      <c r="E410" s="129"/>
      <c r="F410" s="129"/>
      <c r="G410" s="129"/>
      <c r="H410" s="129"/>
      <c r="I410" s="129"/>
      <c r="J410" s="129"/>
      <c r="K410" s="129"/>
      <c r="L410" s="129"/>
      <c r="M410" s="129"/>
      <c r="N410" s="129"/>
      <c r="O410" s="129"/>
      <c r="P410" s="129"/>
      <c r="Q410" s="134"/>
      <c r="R410" s="129"/>
      <c r="S410" s="129"/>
      <c r="T410" s="72">
        <f>IF('חד גזעי'!$AM$6="לא",IF(P410=0,IF(BC410="שימור",IF('חד גזעי'!$AM$4="לא",IF(BC410="לא בוגר",0,IF(BC410="לא קיים",0,IF(J410=0,0,I410*0.1))),IF(BC410="לא בוגר",0,IF(BC410="לא קיים",0,IF(AB410=1,I410*0.1,E410*0.5)))),0),IF('חד גזעי'!$AM$4="לא",IF(BC410="לא בוגר",0,IF(BC410="לא קיים",0,IF(J410=0,0,I410*0.1))),IF(BC410="לא בוגר",0,IF(BC410="לא קיים",0,IF(AB410=1,I410*0.1,E410*0.5))))),IF(P410=0,IF(BC410="שימור",IF('חד גזעי'!$AM$4="לא",IF(BC410="לא בוגר",0,IF(BC410="לא קיים",0,IF(J410=0,0,I410*0.15))),IF(BC410="לא בוגר",0,IF(BC410="לא קיים",0,IF(AB410=1,I410*0.15,E410*0.5)))),0),IF('חד גזעי'!$AM$4="לא",IF(BC410="לא בוגר",0,IF(BC410="לא קיים",0,IF(J410=0,0,I410*0.15))),IF(BC410="לא בוגר",0,IF(BC410="לא קיים",0,IF(AB410=1,I410*0.15,E410*0.5))))))</f>
        <v>0</v>
      </c>
      <c r="U410" s="129"/>
      <c r="V410">
        <f t="shared" si="421"/>
        <v>0</v>
      </c>
      <c r="W410">
        <f t="shared" si="422"/>
        <v>0</v>
      </c>
      <c r="X410">
        <f t="shared" si="423"/>
        <v>0</v>
      </c>
      <c r="Y410">
        <f>IF('חד גזעי'!$AM$2 = "לא",0,IF(F410&gt;9,W410,0))</f>
        <v>0</v>
      </c>
      <c r="Z410">
        <f>IF('חד גזעי'!$AM$7 = "לא",0,IF(C410 = "זית אירופי",IF('חד גזעי'!$AN$7 &lt;=סקר!F410,W410,0),IF(C410 = "חרוב מצוי",IF('חד גזעי'!$AN$7 &lt;=סקר!F410,W410,0),0)))</f>
        <v>0</v>
      </c>
      <c r="AA410" s="129"/>
      <c r="AB410" s="129"/>
      <c r="AC410" s="129"/>
      <c r="AD410" s="133"/>
      <c r="AE410" s="129"/>
      <c r="AF410" s="129"/>
      <c r="AG410" s="129"/>
      <c r="AH410" s="129"/>
      <c r="AI410" s="129"/>
      <c r="AJ410" s="129"/>
      <c r="AK410" s="129"/>
      <c r="AL410" s="129"/>
      <c r="AM410" s="129"/>
      <c r="AN410" s="129"/>
      <c r="AO410" s="129"/>
      <c r="AP410" s="129"/>
      <c r="AQ410" s="129"/>
      <c r="AR410" s="129"/>
      <c r="AS410" s="129"/>
      <c r="AT410" s="129"/>
      <c r="AU410" s="129"/>
      <c r="AV410" s="129"/>
      <c r="AW410" s="129"/>
      <c r="AX410" s="129"/>
      <c r="AY410" s="129"/>
      <c r="AZ410" s="129"/>
      <c r="BA410" s="129"/>
      <c r="BB410" s="129"/>
      <c r="BC410" s="129"/>
      <c r="BD410" s="129"/>
      <c r="BE410" s="129"/>
      <c r="BF410" s="129" t="str">
        <f>BF409</f>
        <v>C:\Users\origr\Pictures\0.jpg</v>
      </c>
      <c r="BG410" s="129" t="str">
        <f t="shared" ref="BG410" si="430">BG409</f>
        <v>C:\Users\origr\Pictures\0.jpg</v>
      </c>
      <c r="BH410" s="129" t="str">
        <f t="shared" ref="BH410" si="431">BH409</f>
        <v>C:\Users\origr\Pictures\0.jpg</v>
      </c>
      <c r="BI410" s="129" t="str">
        <f t="shared" ref="BI410" si="432">BI409</f>
        <v>C:\Users\origr\Pictures\0.jpg</v>
      </c>
      <c r="BJ410" s="129" t="str">
        <f t="shared" ref="BJ410" si="433">BJ409</f>
        <v>C:\Users\origr\Pictures\0.jpg</v>
      </c>
      <c r="BK410" s="129" t="str">
        <f t="shared" ref="BK410" si="434">BK409</f>
        <v>C:\Users\origr\Pictures\0.jpg</v>
      </c>
    </row>
    <row r="411" spans="1:63" hidden="1">
      <c r="T411" s="72">
        <f>IF('חד גזעי'!$AM$6="לא",IF(P411=0,IF(BC411="שימור",IF('חד גזעי'!$AM$4="לא",IF(BC411="לא בוגר",0,IF(BC411="לא קיים",0,IF(J411=0,0,I411*0.1))),IF(BC411="לא בוגר",0,IF(BC411="לא קיים",0,IF(AB411=1,I411*0.1,E411*0.5)))),0),IF('חד גזעי'!$AM$4="לא",IF(BC411="לא בוגר",0,IF(BC411="לא קיים",0,IF(J411=0,0,I411*0.1))),IF(BC411="לא בוגר",0,IF(BC411="לא קיים",0,IF(AB411=1,I411*0.1,E411*0.5))))),IF(P411=0,IF(BC411="שימור",IF('חד גזעי'!$AM$4="לא",IF(BC411="לא בוגר",0,IF(BC411="לא קיים",0,IF(J411=0,0,I411*0.15))),IF(BC411="לא בוגר",0,IF(BC411="לא קיים",0,IF(AB411=1,I411*0.15,E411*0.5)))),0),IF('חד גזעי'!$AM$4="לא",IF(BC411="לא בוגר",0,IF(BC411="לא קיים",0,IF(J411=0,0,I411*0.15))),IF(BC411="לא בוגר",0,IF(BC411="לא קיים",0,IF(AB411=1,I411*0.15,E411*0.5))))))</f>
        <v>0</v>
      </c>
      <c r="V411">
        <f t="shared" si="421"/>
        <v>0</v>
      </c>
      <c r="W411">
        <f t="shared" si="422"/>
        <v>0</v>
      </c>
      <c r="X411">
        <f t="shared" si="423"/>
        <v>0</v>
      </c>
      <c r="Y411">
        <f>IF('חד גזעי'!$AM$2 = "לא",0,IF(F411&gt;9,W411,0))</f>
        <v>0</v>
      </c>
      <c r="Z411">
        <f>IF('חד גזעי'!$AM$7 = "לא",0,IF(C411 = "זית אירופי",IF('חד גזעי'!$AN$7 &lt;=סקר!F411,W411,0),IF(C411 = "חרוב מצוי",IF('חד גזעי'!$AN$7 &lt;=סקר!F411,W411,0),0)))</f>
        <v>0</v>
      </c>
    </row>
    <row r="412" spans="1:63" hidden="1">
      <c r="T412" s="72">
        <f>IF('חד גזעי'!$AM$6="לא",IF(P412=0,IF(BC412="שימור",IF('חד גזעי'!$AM$4="לא",IF(BC412="לא בוגר",0,IF(BC412="לא קיים",0,IF(J412=0,0,I412*0.1))),IF(BC412="לא בוגר",0,IF(BC412="לא קיים",0,IF(AB412=1,I412*0.1,E412*0.5)))),0),IF('חד גזעי'!$AM$4="לא",IF(BC412="לא בוגר",0,IF(BC412="לא קיים",0,IF(J412=0,0,I412*0.1))),IF(BC412="לא בוגר",0,IF(BC412="לא קיים",0,IF(AB412=1,I412*0.1,E412*0.5))))),IF(P412=0,IF(BC412="שימור",IF('חד גזעי'!$AM$4="לא",IF(BC412="לא בוגר",0,IF(BC412="לא קיים",0,IF(J412=0,0,I412*0.15))),IF(BC412="לא בוגר",0,IF(BC412="לא קיים",0,IF(AB412=1,I412*0.15,E412*0.5)))),0),IF('חד גזעי'!$AM$4="לא",IF(BC412="לא בוגר",0,IF(BC412="לא קיים",0,IF(J412=0,0,I412*0.15))),IF(BC412="לא בוגר",0,IF(BC412="לא קיים",0,IF(AB412=1,I412*0.15,E412*0.5))))))</f>
        <v>0</v>
      </c>
      <c r="V412">
        <f t="shared" si="421"/>
        <v>0</v>
      </c>
      <c r="W412">
        <f t="shared" si="422"/>
        <v>0</v>
      </c>
      <c r="X412">
        <f t="shared" si="423"/>
        <v>0</v>
      </c>
      <c r="Y412">
        <f>IF('חד גזעי'!$AM$2 = "לא",0,IF(F412&gt;9,W412,0))</f>
        <v>0</v>
      </c>
      <c r="Z412">
        <f>IF('חד גזעי'!$AM$7 = "לא",0,IF(C412 = "זית אירופי",IF('חד גזעי'!$AN$7 &lt;=סקר!F412,W412,0),IF(C412 = "חרוב מצוי",IF('חד גזעי'!$AN$7 &lt;=סקר!F412,W412,0),0)))</f>
        <v>0</v>
      </c>
    </row>
    <row r="413" spans="1:63" hidden="1">
      <c r="T413" s="72">
        <f>IF('חד גזעי'!$AM$6="לא",IF(P413=0,IF(BC413="שימור",IF('חד גזעי'!$AM$4="לא",IF(BC413="לא בוגר",0,IF(BC413="לא קיים",0,IF(J413=0,0,I413*0.1))),IF(BC413="לא בוגר",0,IF(BC413="לא קיים",0,IF(AB413=1,I413*0.1,E413*0.5)))),0),IF('חד גזעי'!$AM$4="לא",IF(BC413="לא בוגר",0,IF(BC413="לא קיים",0,IF(J413=0,0,I413*0.1))),IF(BC413="לא בוגר",0,IF(BC413="לא קיים",0,IF(AB413=1,I413*0.1,E413*0.5))))),IF(P413=0,IF(BC413="שימור",IF('חד גזעי'!$AM$4="לא",IF(BC413="לא בוגר",0,IF(BC413="לא קיים",0,IF(J413=0,0,I413*0.15))),IF(BC413="לא בוגר",0,IF(BC413="לא קיים",0,IF(AB413=1,I413*0.15,E413*0.5)))),0),IF('חד גזעי'!$AM$4="לא",IF(BC413="לא בוגר",0,IF(BC413="לא קיים",0,IF(J413=0,0,I413*0.15))),IF(BC413="לא בוגר",0,IF(BC413="לא קיים",0,IF(AB413=1,I413*0.15,E413*0.5))))))</f>
        <v>0</v>
      </c>
      <c r="V413">
        <f t="shared" si="421"/>
        <v>0</v>
      </c>
      <c r="W413">
        <f t="shared" si="422"/>
        <v>0</v>
      </c>
      <c r="X413">
        <f t="shared" si="423"/>
        <v>0</v>
      </c>
      <c r="Y413">
        <f>IF('חד גזעי'!$AM$2 = "לא",0,IF(F413&gt;9,W413,0))</f>
        <v>0</v>
      </c>
      <c r="Z413">
        <f>IF('חד גזעי'!$AM$7 = "לא",0,IF(C413 = "זית אירופי",IF('חד גזעי'!$AN$7 &lt;=סקר!F413,W413,0),IF(C413 = "חרוב מצוי",IF('חד גזעי'!$AN$7 &lt;=סקר!F413,W413,0),0)))</f>
        <v>0</v>
      </c>
    </row>
    <row r="414" spans="1:63" hidden="1">
      <c r="A414" s="129"/>
      <c r="B414" s="129"/>
      <c r="C414" s="129"/>
      <c r="D414" s="129"/>
      <c r="E414" s="129"/>
      <c r="F414" s="129"/>
      <c r="G414" s="129"/>
      <c r="H414" s="129"/>
      <c r="I414" s="129"/>
      <c r="J414" s="129"/>
      <c r="K414" s="129"/>
      <c r="L414" s="129"/>
      <c r="M414" s="129"/>
      <c r="N414" s="129"/>
      <c r="O414" s="129"/>
      <c r="P414" s="129"/>
      <c r="Q414" s="129"/>
      <c r="R414" s="129"/>
      <c r="S414" s="129"/>
      <c r="T414" s="72">
        <f>IF('חד גזעי'!$AM$6="לא",IF(P414=0,IF(BC414="שימור",IF('חד גזעי'!$AM$4="לא",IF(BC414="לא בוגר",0,IF(BC414="לא קיים",0,IF(J414=0,0,I414*0.1))),IF(BC414="לא בוגר",0,IF(BC414="לא קיים",0,IF(AB414=1,I414*0.1,E414*0.5)))),0),IF('חד גזעי'!$AM$4="לא",IF(BC414="לא בוגר",0,IF(BC414="לא קיים",0,IF(J414=0,0,I414*0.1))),IF(BC414="לא בוגר",0,IF(BC414="לא קיים",0,IF(AB414=1,I414*0.1,E414*0.5))))),IF(P414=0,IF(BC414="שימור",IF('חד גזעי'!$AM$4="לא",IF(BC414="לא בוגר",0,IF(BC414="לא קיים",0,IF(J414=0,0,I414*0.15))),IF(BC414="לא בוגר",0,IF(BC414="לא קיים",0,IF(AB414=1,I414*0.15,E414*0.5)))),0),IF('חד גזעי'!$AM$4="לא",IF(BC414="לא בוגר",0,IF(BC414="לא קיים",0,IF(J414=0,0,I414*0.15))),IF(BC414="לא בוגר",0,IF(BC414="לא קיים",0,IF(AB414=1,I414*0.15,E414*0.5))))))</f>
        <v>0</v>
      </c>
      <c r="U414" s="129"/>
      <c r="V414">
        <f t="shared" si="421"/>
        <v>0</v>
      </c>
      <c r="W414">
        <f t="shared" si="422"/>
        <v>0</v>
      </c>
      <c r="X414">
        <f t="shared" si="423"/>
        <v>0</v>
      </c>
      <c r="Y414">
        <f>IF('חד גזעי'!$AM$2 = "לא",0,IF(F414&gt;9,W414,0))</f>
        <v>0</v>
      </c>
      <c r="Z414">
        <f>IF('חד גזעי'!$AM$7 = "לא",0,IF(C414 = "זית אירופי",IF('חד גזעי'!$AN$7 &lt;=סקר!F414,W414,0),IF(C414 = "חרוב מצוי",IF('חד גזעי'!$AN$7 &lt;=סקר!F414,W414,0),0)))</f>
        <v>0</v>
      </c>
      <c r="AA414" s="129"/>
      <c r="AB414" s="129"/>
      <c r="AC414" s="129"/>
      <c r="AD414" s="129"/>
      <c r="AE414" s="129"/>
      <c r="AF414" s="129"/>
      <c r="AG414" s="129"/>
      <c r="AH414" s="129"/>
      <c r="AI414" s="129"/>
      <c r="AJ414" s="129"/>
      <c r="AK414" s="129"/>
      <c r="AL414" s="129"/>
      <c r="AM414" s="129"/>
      <c r="AN414" s="129"/>
      <c r="AO414" s="129"/>
      <c r="AP414" s="129"/>
      <c r="AQ414" s="129"/>
      <c r="AR414" s="129"/>
      <c r="AS414" s="129"/>
      <c r="AT414" s="129"/>
      <c r="AU414" s="129"/>
      <c r="AV414" s="129"/>
      <c r="AW414" s="129"/>
      <c r="AX414" s="129"/>
      <c r="AY414" s="129"/>
      <c r="AZ414" s="129"/>
      <c r="BA414" s="129"/>
      <c r="BB414" s="129"/>
      <c r="BC414" s="129"/>
      <c r="BD414" s="129"/>
      <c r="BE414" s="129"/>
      <c r="BF414" s="129">
        <f>_xlfn.IFNA(_xlfn.IFNA(_xlfn.TEXTBEFORE(BF418,"--"),_xlfn.TEXTBEFORE(BF418,",")),BF418)</f>
        <v>0</v>
      </c>
      <c r="BG414" s="129">
        <f t="shared" ref="BG414:BK414" si="435">_xlfn.IFNA(_xlfn.IFNA(_xlfn.TEXTBEFORE(BG418,"--"),_xlfn.TEXTBEFORE(BG418,",")),BG418)</f>
        <v>0</v>
      </c>
      <c r="BH414" s="129">
        <f t="shared" si="435"/>
        <v>0</v>
      </c>
      <c r="BI414" s="129">
        <f>_xlfn.IFNA(_xlfn.IFNA(_xlfn.TEXTBEFORE(BI418,"--"),_xlfn.TEXTBEFORE(BI418,",")),BI418)</f>
        <v>0</v>
      </c>
      <c r="BJ414" s="129">
        <f t="shared" si="435"/>
        <v>0</v>
      </c>
      <c r="BK414" s="129">
        <f t="shared" si="435"/>
        <v>0</v>
      </c>
    </row>
    <row r="415" spans="1:63" ht="12.75" hidden="1" customHeight="1">
      <c r="A415" s="129"/>
      <c r="B415" s="129"/>
      <c r="C415" s="129"/>
      <c r="D415" s="129"/>
      <c r="E415" s="129"/>
      <c r="F415" s="129"/>
      <c r="G415" s="129"/>
      <c r="H415" s="129"/>
      <c r="I415" s="129"/>
      <c r="J415" s="129"/>
      <c r="K415" s="129"/>
      <c r="L415" s="129"/>
      <c r="M415" s="129"/>
      <c r="N415" s="129"/>
      <c r="O415" s="129"/>
      <c r="P415" s="129"/>
      <c r="Q415" s="129"/>
      <c r="R415" s="129"/>
      <c r="S415" s="129"/>
      <c r="T415" s="72">
        <f>IF('חד גזעי'!$AM$6="לא",IF(P415=0,IF(BC415="שימור",IF('חד גזעי'!$AM$4="לא",IF(BC415="לא בוגר",0,IF(BC415="לא קיים",0,IF(J415=0,0,I415*0.1))),IF(BC415="לא בוגר",0,IF(BC415="לא קיים",0,IF(AB415=1,I415*0.1,E415*0.5)))),0),IF('חד גזעי'!$AM$4="לא",IF(BC415="לא בוגר",0,IF(BC415="לא קיים",0,IF(J415=0,0,I415*0.1))),IF(BC415="לא בוגר",0,IF(BC415="לא קיים",0,IF(AB415=1,I415*0.1,E415*0.5))))),IF(P415=0,IF(BC415="שימור",IF('חד גזעי'!$AM$4="לא",IF(BC415="לא בוגר",0,IF(BC415="לא קיים",0,IF(J415=0,0,I415*0.15))),IF(BC415="לא בוגר",0,IF(BC415="לא קיים",0,IF(AB415=1,I415*0.15,E415*0.5)))),0),IF('חד גזעי'!$AM$4="לא",IF(BC415="לא בוגר",0,IF(BC415="לא קיים",0,IF(J415=0,0,I415*0.15))),IF(BC415="לא בוגר",0,IF(BC415="לא קיים",0,IF(AB415=1,I415*0.15,E415*0.5))))))</f>
        <v>0</v>
      </c>
      <c r="U415" s="129"/>
      <c r="V415">
        <f t="shared" si="421"/>
        <v>0</v>
      </c>
      <c r="W415">
        <f t="shared" si="422"/>
        <v>0</v>
      </c>
      <c r="X415">
        <f t="shared" si="423"/>
        <v>0</v>
      </c>
      <c r="Y415">
        <f>IF('חד גזעי'!$AM$2 = "לא",0,IF(F415&gt;9,W415,0))</f>
        <v>0</v>
      </c>
      <c r="Z415">
        <f>IF('חד גזעי'!$AM$7 = "לא",0,IF(C415 = "זית אירופי",IF('חד גזעי'!$AN$7 &lt;=סקר!F415,W415,0),IF(C415 = "חרוב מצוי",IF('חד גזעי'!$AN$7 &lt;=סקר!F415,W415,0),0)))</f>
        <v>0</v>
      </c>
      <c r="AA415" s="129"/>
      <c r="AB415" s="129"/>
      <c r="AC415" s="129"/>
      <c r="AD415" s="129"/>
      <c r="AE415" s="129"/>
      <c r="AF415" s="129"/>
      <c r="AG415" s="129"/>
      <c r="AH415" s="129"/>
      <c r="AI415" s="129"/>
      <c r="AJ415" s="129"/>
      <c r="AK415" s="129"/>
      <c r="AL415" s="129"/>
      <c r="AM415" s="129"/>
      <c r="AN415" s="129"/>
      <c r="AO415" s="129"/>
      <c r="AP415" s="129"/>
      <c r="AQ415" s="129"/>
      <c r="AR415" s="129"/>
      <c r="AS415" s="129"/>
      <c r="AT415" s="129"/>
      <c r="AU415" s="129"/>
      <c r="AV415" s="129"/>
      <c r="AW415" s="129"/>
      <c r="AX415" s="129"/>
      <c r="AY415" s="129"/>
      <c r="AZ415" s="129"/>
      <c r="BA415" s="129"/>
      <c r="BB415" s="129"/>
      <c r="BC415" s="129"/>
      <c r="BD415" s="129"/>
      <c r="BE415" s="129"/>
      <c r="BF415" s="129" t="str">
        <f>"C:\Users\origr\Pictures\"&amp;BF414&amp;".jpg"</f>
        <v>C:\Users\origr\Pictures\0.jpg</v>
      </c>
      <c r="BG415" s="129" t="str">
        <f t="shared" ref="BG415" si="436">"C:\Users\origr\Pictures\"&amp;BG414&amp;".jpg"</f>
        <v>C:\Users\origr\Pictures\0.jpg</v>
      </c>
      <c r="BH415" s="129" t="str">
        <f t="shared" ref="BH415" si="437">"C:\Users\origr\Pictures\"&amp;BH414&amp;".jpg"</f>
        <v>C:\Users\origr\Pictures\0.jpg</v>
      </c>
      <c r="BI415" s="129" t="str">
        <f t="shared" ref="BI415" si="438">"C:\Users\origr\Pictures\"&amp;BI414&amp;".jpg"</f>
        <v>C:\Users\origr\Pictures\0.jpg</v>
      </c>
      <c r="BJ415" s="129" t="str">
        <f t="shared" ref="BJ415" si="439">"C:\Users\origr\Pictures\"&amp;BJ414&amp;".jpg"</f>
        <v>C:\Users\origr\Pictures\0.jpg</v>
      </c>
      <c r="BK415" s="129" t="str">
        <f t="shared" ref="BK415" si="440">"C:\Users\origr\Pictures\"&amp;BK414&amp;".jpg"</f>
        <v>C:\Users\origr\Pictures\0.jpg</v>
      </c>
    </row>
    <row r="416" spans="1:63" ht="12.75" hidden="1" customHeight="1">
      <c r="A416" s="129"/>
      <c r="B416" s="129"/>
      <c r="C416" s="129"/>
      <c r="D416" s="129"/>
      <c r="E416" s="129"/>
      <c r="F416" s="129"/>
      <c r="G416" s="129"/>
      <c r="H416" s="129"/>
      <c r="I416" s="129"/>
      <c r="J416" s="129"/>
      <c r="K416" s="129"/>
      <c r="L416" s="129"/>
      <c r="M416" s="129"/>
      <c r="N416" s="129"/>
      <c r="O416" s="129"/>
      <c r="P416" s="129"/>
      <c r="Q416" s="129"/>
      <c r="R416" s="129"/>
      <c r="S416" s="129"/>
      <c r="T416" s="72">
        <f>IF('חד גזעי'!$AM$6="לא",IF(P416=0,IF(BC416="שימור",IF('חד גזעי'!$AM$4="לא",IF(BC416="לא בוגר",0,IF(BC416="לא קיים",0,IF(J416=0,0,I416*0.1))),IF(BC416="לא בוגר",0,IF(BC416="לא קיים",0,IF(AB416=1,I416*0.1,E416*0.5)))),0),IF('חד גזעי'!$AM$4="לא",IF(BC416="לא בוגר",0,IF(BC416="לא קיים",0,IF(J416=0,0,I416*0.1))),IF(BC416="לא בוגר",0,IF(BC416="לא קיים",0,IF(AB416=1,I416*0.1,E416*0.5))))),IF(P416=0,IF(BC416="שימור",IF('חד גזעי'!$AM$4="לא",IF(BC416="לא בוגר",0,IF(BC416="לא קיים",0,IF(J416=0,0,I416*0.15))),IF(BC416="לא בוגר",0,IF(BC416="לא קיים",0,IF(AB416=1,I416*0.15,E416*0.5)))),0),IF('חד גזעי'!$AM$4="לא",IF(BC416="לא בוגר",0,IF(BC416="לא קיים",0,IF(J416=0,0,I416*0.15))),IF(BC416="לא בוגר",0,IF(BC416="לא קיים",0,IF(AB416=1,I416*0.15,E416*0.5))))))</f>
        <v>0</v>
      </c>
      <c r="U416" s="129"/>
      <c r="V416">
        <f t="shared" si="421"/>
        <v>0</v>
      </c>
      <c r="W416">
        <f t="shared" si="422"/>
        <v>0</v>
      </c>
      <c r="X416">
        <f t="shared" si="423"/>
        <v>0</v>
      </c>
      <c r="Y416">
        <f>IF('חד גזעי'!$AM$2 = "לא",0,IF(F416&gt;9,W416,0))</f>
        <v>0</v>
      </c>
      <c r="Z416">
        <f>IF('חד גזעי'!$AM$7 = "לא",0,IF(C416 = "זית אירופי",IF('חד גזעי'!$AN$7 &lt;=סקר!F416,W416,0),IF(C416 = "חרוב מצוי",IF('חד גזעי'!$AN$7 &lt;=סקר!F416,W416,0),0)))</f>
        <v>0</v>
      </c>
      <c r="AA416" s="129"/>
      <c r="AB416" s="129"/>
      <c r="AC416" s="129"/>
      <c r="AD416" s="129"/>
      <c r="AE416" s="129"/>
      <c r="AF416" s="129"/>
      <c r="AG416" s="129"/>
      <c r="AH416" s="129"/>
      <c r="AI416" s="129"/>
      <c r="AJ416" s="129"/>
      <c r="AK416" s="129"/>
      <c r="AL416" s="129"/>
      <c r="AM416" s="129"/>
      <c r="AN416" s="129"/>
      <c r="AO416" s="129"/>
      <c r="AP416" s="129"/>
      <c r="AQ416" s="129"/>
      <c r="AR416" s="129"/>
      <c r="AS416" s="129"/>
      <c r="AT416" s="129"/>
      <c r="AU416" s="129"/>
      <c r="AV416" s="129"/>
      <c r="AW416" s="129"/>
      <c r="AX416" s="129"/>
      <c r="AY416" s="129"/>
      <c r="AZ416" s="129"/>
      <c r="BA416" s="129"/>
      <c r="BB416" s="129"/>
      <c r="BC416" s="129"/>
      <c r="BD416" s="129"/>
      <c r="BE416" s="129"/>
      <c r="BF416" s="129" t="str">
        <f>BF415</f>
        <v>C:\Users\origr\Pictures\0.jpg</v>
      </c>
      <c r="BG416" s="129" t="str">
        <f t="shared" ref="BG416" si="441">BG415</f>
        <v>C:\Users\origr\Pictures\0.jpg</v>
      </c>
      <c r="BH416" s="129" t="str">
        <f t="shared" ref="BH416" si="442">BH415</f>
        <v>C:\Users\origr\Pictures\0.jpg</v>
      </c>
      <c r="BI416" s="129" t="str">
        <f t="shared" ref="BI416" si="443">BI415</f>
        <v>C:\Users\origr\Pictures\0.jpg</v>
      </c>
      <c r="BJ416" s="129" t="str">
        <f t="shared" ref="BJ416" si="444">BJ415</f>
        <v>C:\Users\origr\Pictures\0.jpg</v>
      </c>
      <c r="BK416" s="129" t="str">
        <f t="shared" ref="BK416" si="445">BK415</f>
        <v>C:\Users\origr\Pictures\0.jpg</v>
      </c>
    </row>
    <row r="417" spans="2:63" ht="12.75" hidden="1" customHeight="1">
      <c r="B417" s="71"/>
      <c r="C417" s="69"/>
      <c r="Q417" s="86"/>
      <c r="T417" s="72">
        <f>IF('חד גזעי'!$AM$6="לא",IF(P417=0,IF(BC417="שימור",IF('חד גזעי'!$AM$4="לא",IF(BC417="לא בוגר",0,IF(BC417="לא קיים",0,IF(J417=0,0,I417*0.1))),IF(BC417="לא בוגר",0,IF(BC417="לא קיים",0,IF(AB417=1,I417*0.1,E417*0.5)))),0),IF('חד גזעי'!$AM$4="לא",IF(BC417="לא בוגר",0,IF(BC417="לא קיים",0,IF(J417=0,0,I417*0.1))),IF(BC417="לא בוגר",0,IF(BC417="לא קיים",0,IF(AB417=1,I417*0.1,E417*0.5))))),IF(P417=0,IF(BC417="שימור",IF('חד גזעי'!$AM$4="לא",IF(BC417="לא בוגר",0,IF(BC417="לא קיים",0,IF(J417=0,0,I417*0.15))),IF(BC417="לא בוגר",0,IF(BC417="לא קיים",0,IF(AB417=1,I417*0.15,E417*0.5)))),0),IF('חד גזעי'!$AM$4="לא",IF(BC417="לא בוגר",0,IF(BC417="לא קיים",0,IF(J417=0,0,I417*0.15))),IF(BC417="לא בוגר",0,IF(BC417="לא קיים",0,IF(AB417=1,I417*0.15,E417*0.5))))))</f>
        <v>0</v>
      </c>
      <c r="V417">
        <f t="shared" si="421"/>
        <v>0</v>
      </c>
      <c r="W417">
        <f t="shared" si="422"/>
        <v>0</v>
      </c>
      <c r="X417">
        <f t="shared" si="423"/>
        <v>0</v>
      </c>
      <c r="Y417">
        <f>IF('חד גזעי'!$AM$2 = "לא",0,IF(F417&gt;9,W417,0))</f>
        <v>0</v>
      </c>
      <c r="Z417">
        <f>IF('חד גזעי'!$AM$7 = "לא",0,IF(C417 = "זית אירופי",IF('חד גזעי'!$AN$7 &lt;=סקר!F417,W417,0),IF(C417 = "חרוב מצוי",IF('חד גזעי'!$AN$7 &lt;=סקר!F417,W417,0),0)))</f>
        <v>0</v>
      </c>
      <c r="AD417" s="69" t="s">
        <v>807</v>
      </c>
    </row>
    <row r="418" spans="2:63" ht="12.75" hidden="1" customHeight="1">
      <c r="B418" s="197" t="s">
        <v>738</v>
      </c>
      <c r="C418" s="197" t="s">
        <v>739</v>
      </c>
      <c r="D418" s="197" t="s">
        <v>740</v>
      </c>
      <c r="E418" s="197" t="s">
        <v>741</v>
      </c>
      <c r="F418" s="200" t="s">
        <v>759</v>
      </c>
      <c r="G418" s="203" t="s">
        <v>760</v>
      </c>
      <c r="H418" s="203" t="s">
        <v>761</v>
      </c>
      <c r="I418" s="197" t="s">
        <v>742</v>
      </c>
      <c r="J418" s="197" t="s">
        <v>743</v>
      </c>
      <c r="K418" s="197" t="s">
        <v>744</v>
      </c>
      <c r="L418" s="197" t="s">
        <v>745</v>
      </c>
      <c r="M418" s="197" t="s">
        <v>746</v>
      </c>
      <c r="N418" s="197" t="s">
        <v>747</v>
      </c>
      <c r="O418" s="197" t="s">
        <v>748</v>
      </c>
      <c r="P418" s="197" t="s">
        <v>749</v>
      </c>
      <c r="Q418" s="197" t="s">
        <v>750</v>
      </c>
      <c r="R418" s="197" t="s">
        <v>751</v>
      </c>
      <c r="T418" s="72" t="e">
        <f>IF('חד גזעי'!$AM$6="לא",IF(P418=0,IF(BC418="שימור",IF('חד גזעי'!$AM$4="לא",IF(BC418="לא בוגר",0,IF(BC418="לא קיים",0,IF(J418=0,0,I418*0.1))),IF(BC418="לא בוגר",0,IF(BC418="לא קיים",0,IF(AB418=1,I418*0.1,E418*0.5)))),0),IF('חד גזעי'!$AM$4="לא",IF(BC418="לא בוגר",0,IF(BC418="לא קיים",0,IF(J418=0,0,I418*0.1))),IF(BC418="לא בוגר",0,IF(BC418="לא קיים",0,IF(AB418=1,I418*0.1,E418*0.5))))),IF(P418=0,IF(BC418="שימור",IF('חד גזעי'!$AM$4="לא",IF(BC418="לא בוגר",0,IF(BC418="לא קיים",0,IF(J418=0,0,I418*0.15))),IF(BC418="לא בוגר",0,IF(BC418="לא קיים",0,IF(AB418=1,I418*0.15,E418*0.5)))),0),IF('חד גזעי'!$AM$4="לא",IF(BC418="לא בוגר",0,IF(BC418="לא קיים",0,IF(J418=0,0,I418*0.15))),IF(BC418="לא בוגר",0,IF(BC418="לא קיים",0,IF(AB418=1,I418*0.15,E418*0.5))))))</f>
        <v>#VALUE!</v>
      </c>
      <c r="V418">
        <f t="shared" si="421"/>
        <v>0</v>
      </c>
      <c r="W418" t="e">
        <f t="shared" si="422"/>
        <v>#VALUE!</v>
      </c>
      <c r="X418">
        <f t="shared" si="423"/>
        <v>0</v>
      </c>
      <c r="Y418">
        <f>IF('חד גזעי'!$AM$2 = "לא",0,IF(F418&gt;9,W418,0))</f>
        <v>0</v>
      </c>
      <c r="Z418">
        <f>IF('חד גזעי'!$AM$7 = "לא",0,IF(C418 = "זית אירופי",IF('חד גזעי'!$AN$7 &lt;=סקר!F418,W418,0),IF(C418 = "חרוב מצוי",IF('חד גזעי'!$AN$7 &lt;=סקר!F418,W418,0),0)))</f>
        <v>0</v>
      </c>
      <c r="AC418" s="101"/>
      <c r="AD418" s="103"/>
      <c r="AE418" s="103"/>
      <c r="AF418" s="103"/>
      <c r="AG418" s="103"/>
      <c r="AH418" s="103"/>
      <c r="AI418" s="103"/>
      <c r="AJ418" s="103"/>
      <c r="AK418" s="83"/>
      <c r="AM418" s="73"/>
      <c r="AN418" s="73"/>
      <c r="AO418" s="73"/>
      <c r="AS418" s="197" t="s">
        <v>738</v>
      </c>
      <c r="AT418" s="197" t="s">
        <v>739</v>
      </c>
      <c r="AU418" s="197" t="s">
        <v>740</v>
      </c>
      <c r="AV418" s="197" t="s">
        <v>741</v>
      </c>
      <c r="AW418" s="203" t="s">
        <v>759</v>
      </c>
      <c r="AX418" s="203" t="s">
        <v>760</v>
      </c>
      <c r="AY418" s="203" t="s">
        <v>761</v>
      </c>
      <c r="AZ418" s="197" t="s">
        <v>812</v>
      </c>
      <c r="BA418" s="197" t="s">
        <v>817</v>
      </c>
      <c r="BB418" s="197" t="s">
        <v>805</v>
      </c>
      <c r="BC418" s="197" t="s">
        <v>806</v>
      </c>
      <c r="BE418">
        <f>IF(BC418="לא נדרש ברישיון",1,0)</f>
        <v>0</v>
      </c>
      <c r="BF418" s="72"/>
      <c r="BG418" s="72"/>
      <c r="BH418" s="72"/>
      <c r="BI418" s="72"/>
      <c r="BJ418" s="72"/>
      <c r="BK418" s="72"/>
    </row>
    <row r="419" spans="2:63" ht="12.75" hidden="1" customHeight="1">
      <c r="B419" s="198"/>
      <c r="C419" s="198"/>
      <c r="D419" s="198"/>
      <c r="E419" s="198"/>
      <c r="F419" s="201"/>
      <c r="G419" s="204"/>
      <c r="H419" s="204"/>
      <c r="I419" s="198"/>
      <c r="J419" s="198"/>
      <c r="K419" s="198"/>
      <c r="L419" s="198"/>
      <c r="M419" s="198"/>
      <c r="N419" s="198"/>
      <c r="O419" s="198"/>
      <c r="P419" s="198"/>
      <c r="Q419" s="198"/>
      <c r="R419" s="198"/>
      <c r="T419" s="72">
        <f>IF('חד גזעי'!$AM$6="לא",IF(P419=0,IF(BC419="שימור",IF('חד גזעי'!$AM$4="לא",IF(BC419="לא בוגר",0,IF(BC419="לא קיים",0,IF(J419=0,0,I419*0.1))),IF(BC419="לא בוגר",0,IF(BC419="לא קיים",0,IF(AB419=1,I419*0.1,E419*0.5)))),0),IF('חד גזעי'!$AM$4="לא",IF(BC419="לא בוגר",0,IF(BC419="לא קיים",0,IF(J419=0,0,I419*0.1))),IF(BC419="לא בוגר",0,IF(BC419="לא קיים",0,IF(AB419=1,I419*0.1,E419*0.5))))),IF(P419=0,IF(BC419="שימור",IF('חד גזעי'!$AM$4="לא",IF(BC419="לא בוגר",0,IF(BC419="לא קיים",0,IF(J419=0,0,I419*0.15))),IF(BC419="לא בוגר",0,IF(BC419="לא קיים",0,IF(AB419=1,I419*0.15,E419*0.5)))),0),IF('חד גזעי'!$AM$4="לא",IF(BC419="לא בוגר",0,IF(BC419="לא קיים",0,IF(J419=0,0,I419*0.15))),IF(BC419="לא בוגר",0,IF(BC419="לא קיים",0,IF(AB419=1,I419*0.15,E419*0.5))))))</f>
        <v>0</v>
      </c>
      <c r="V419">
        <f t="shared" si="421"/>
        <v>0</v>
      </c>
      <c r="W419">
        <f t="shared" si="422"/>
        <v>0</v>
      </c>
      <c r="X419">
        <f t="shared" si="423"/>
        <v>0</v>
      </c>
      <c r="Y419">
        <f>IF('חד גזעי'!$AM$2 = "לא",0,IF(F419&gt;9,W419,0))</f>
        <v>0</v>
      </c>
      <c r="Z419">
        <f>IF('חד גזעי'!$AM$7 = "לא",0,IF(C419 = "זית אירופי",IF('חד גזעי'!$AN$7 &lt;=סקר!F419,W419,0),IF(C419 = "חרוב מצוי",IF('חד גזעי'!$AN$7 &lt;=סקר!F419,W419,0),0)))</f>
        <v>0</v>
      </c>
      <c r="AC419" s="101"/>
      <c r="AD419" s="103"/>
      <c r="AE419" s="103"/>
      <c r="AF419" s="103"/>
      <c r="AG419" s="103"/>
      <c r="AH419" s="103"/>
      <c r="AI419" s="103"/>
      <c r="AJ419" s="103"/>
      <c r="AK419" s="83"/>
      <c r="AM419" s="73"/>
      <c r="AN419" s="73"/>
      <c r="AO419" s="73"/>
      <c r="AS419" s="198"/>
      <c r="AT419" s="198"/>
      <c r="AU419" s="198"/>
      <c r="AV419" s="198"/>
      <c r="AW419" s="204"/>
      <c r="AX419" s="204"/>
      <c r="AY419" s="204"/>
      <c r="AZ419" s="198"/>
      <c r="BA419" s="198"/>
      <c r="BB419" s="198"/>
      <c r="BC419" s="198"/>
      <c r="BE419">
        <f t="shared" ref="BE419:BE453" si="446">IF(BC419="לא נדרש ברישיון",1,0)</f>
        <v>0</v>
      </c>
      <c r="BF419" s="196" t="str">
        <f>BF416</f>
        <v>C:\Users\origr\Pictures\0.jpg</v>
      </c>
      <c r="BG419" s="196" t="str">
        <f t="shared" ref="BG419:BK419" si="447">BG416</f>
        <v>C:\Users\origr\Pictures\0.jpg</v>
      </c>
      <c r="BH419" s="196" t="str">
        <f t="shared" si="447"/>
        <v>C:\Users\origr\Pictures\0.jpg</v>
      </c>
      <c r="BI419" s="196" t="str">
        <f t="shared" si="447"/>
        <v>C:\Users\origr\Pictures\0.jpg</v>
      </c>
      <c r="BJ419" s="196" t="str">
        <f t="shared" si="447"/>
        <v>C:\Users\origr\Pictures\0.jpg</v>
      </c>
      <c r="BK419" s="196" t="str">
        <f t="shared" si="447"/>
        <v>C:\Users\origr\Pictures\0.jpg</v>
      </c>
    </row>
    <row r="420" spans="2:63" hidden="1">
      <c r="B420" s="199"/>
      <c r="C420" s="199"/>
      <c r="D420" s="199"/>
      <c r="E420" s="199"/>
      <c r="F420" s="202"/>
      <c r="G420" s="205"/>
      <c r="H420" s="205"/>
      <c r="I420" s="199"/>
      <c r="J420" s="199"/>
      <c r="K420" s="199"/>
      <c r="L420" s="199"/>
      <c r="M420" s="199"/>
      <c r="N420" s="199"/>
      <c r="O420" s="199"/>
      <c r="P420" s="199"/>
      <c r="Q420" s="199"/>
      <c r="R420" s="199"/>
      <c r="T420" s="72">
        <f>IF('חד גזעי'!$AM$6="לא",IF(P420=0,IF(BC420="שימור",IF('חד גזעי'!$AM$4="לא",IF(BC420="לא בוגר",0,IF(BC420="לא קיים",0,IF(J420=0,0,I420*0.1))),IF(BC420="לא בוגר",0,IF(BC420="לא קיים",0,IF(AB420=1,I420*0.1,E420*0.5)))),0),IF('חד גזעי'!$AM$4="לא",IF(BC420="לא בוגר",0,IF(BC420="לא קיים",0,IF(J420=0,0,I420*0.1))),IF(BC420="לא בוגר",0,IF(BC420="לא קיים",0,IF(AB420=1,I420*0.1,E420*0.5))))),IF(P420=0,IF(BC420="שימור",IF('חד גזעי'!$AM$4="לא",IF(BC420="לא בוגר",0,IF(BC420="לא קיים",0,IF(J420=0,0,I420*0.15))),IF(BC420="לא בוגר",0,IF(BC420="לא קיים",0,IF(AB420=1,I420*0.15,E420*0.5)))),0),IF('חד גזעי'!$AM$4="לא",IF(BC420="לא בוגר",0,IF(BC420="לא קיים",0,IF(J420=0,0,I420*0.15))),IF(BC420="לא בוגר",0,IF(BC420="לא קיים",0,IF(AB420=1,I420*0.15,E420*0.5))))))</f>
        <v>0</v>
      </c>
      <c r="V420" t="str">
        <f t="shared" si="421"/>
        <v>שווי דקל</v>
      </c>
      <c r="W420" t="str">
        <f t="shared" si="422"/>
        <v>שווי דקל</v>
      </c>
      <c r="X420">
        <f t="shared" si="423"/>
        <v>0</v>
      </c>
      <c r="Y420">
        <f>IF('חד גזעי'!$AM$2 = "לא",0,IF(F420&gt;9,W420,0))</f>
        <v>0</v>
      </c>
      <c r="Z420">
        <f>IF('חד גזעי'!$AM$7 = "לא",0,IF(C420 = "זית אירופי",IF('חד גזעי'!$AN$7 &lt;=סקר!F420,W420,0),IF(C420 = "חרוב מצוי",IF('חד גזעי'!$AN$7 &lt;=סקר!F420,W420,0),0)))</f>
        <v>0</v>
      </c>
      <c r="AC420" s="94"/>
      <c r="AD420" s="94"/>
      <c r="AE420" s="72"/>
      <c r="AF420" s="77" t="s">
        <v>767</v>
      </c>
      <c r="AG420" s="77" t="s">
        <v>768</v>
      </c>
      <c r="AH420" s="72" t="s">
        <v>762</v>
      </c>
      <c r="AI420" s="72" t="s">
        <v>763</v>
      </c>
      <c r="AJ420" s="72" t="s">
        <v>764</v>
      </c>
      <c r="AK420" s="77" t="s">
        <v>770</v>
      </c>
      <c r="AL420" t="s">
        <v>771</v>
      </c>
      <c r="AM420" s="77" t="s">
        <v>809</v>
      </c>
      <c r="AN420" s="77" t="s">
        <v>810</v>
      </c>
      <c r="AO420" s="77" t="s">
        <v>811</v>
      </c>
      <c r="AS420" s="199"/>
      <c r="AT420" s="199"/>
      <c r="AU420" s="199"/>
      <c r="AV420" s="199"/>
      <c r="AW420" s="205"/>
      <c r="AX420" s="205"/>
      <c r="AY420" s="205"/>
      <c r="AZ420" s="199"/>
      <c r="BA420" s="199"/>
      <c r="BB420" s="199"/>
      <c r="BC420" s="199"/>
      <c r="BE420">
        <f t="shared" si="446"/>
        <v>0</v>
      </c>
      <c r="BF420" s="196"/>
      <c r="BG420" s="196"/>
      <c r="BH420" s="196"/>
      <c r="BI420" s="196"/>
      <c r="BJ420" s="196"/>
      <c r="BK420" s="196"/>
    </row>
    <row r="421" spans="2:63" hidden="1">
      <c r="B421" s="72"/>
      <c r="C421" s="135"/>
      <c r="D421" s="73"/>
      <c r="E421" s="73"/>
      <c r="F421" s="72"/>
      <c r="G421" s="72"/>
      <c r="H421" s="72"/>
      <c r="I421" s="73">
        <f t="shared" ref="I421:I452" si="448">F421+(G421/2)+(H421/2)</f>
        <v>0</v>
      </c>
      <c r="J421" s="73"/>
      <c r="K421" s="73"/>
      <c r="L421" s="74" t="e">
        <f>_xlfn.IFNA(VLOOKUP(C421,'חד גזעי'!$U$3:$V$509,2,0),VLOOKUP(C421,'חד גזעי'!$U$3:$V$509,2))</f>
        <v>#N/A</v>
      </c>
      <c r="M421" s="73"/>
      <c r="N421" s="72" t="e">
        <f>_xlfn.IFNA(IF(VLOOKUP(C421,'חד גזעי'!$AH$2:$AH$7,1,FALSE)&gt;0,0,IF('חד גזעי'!$AM$5="כן",IF(_xlfn.IFNA(VLOOKUP(C421,'חד גזעי'!$AH$2:$AH$33,1,FALSE),SUM(J421:M421))&lt;21,_xlfn.IFNA(VLOOKUP(C421,'חד גזעי'!$AH$2:$AH$33,1,FALSE),SUM(J421:M421)),0),SUM(J421:M421))),IF('חד גזעי'!$AM$5="כן",IF(_xlfn.IFNA(VLOOKUP(C421,'חד גזעי'!$AH$2:$AH$33,1,FALSE),SUM(J421:M421))&lt;21,_xlfn.IFNA(VLOOKUP(C421,'חד גזעי'!$AH$2:$AH$33,1,FALSE),SUM(J421:M421)),0),SUM(J421:M421)))</f>
        <v>#N/A</v>
      </c>
      <c r="O421" s="72">
        <f>IF('חד גזעי'!$AM$3 = "כן",IF(T421&gt;4,4,T421),T421)</f>
        <v>0</v>
      </c>
      <c r="P421" s="80">
        <f>IF(E421&lt;2,0,IF(Z421&gt;0,Z421,IF(N421 = 0,0,IF('חד גזעי'!$AM$2 = "לא",IF(F421&gt;19,W421,0),IF(F421&gt;9,Y421,0)))))</f>
        <v>0</v>
      </c>
      <c r="Q421" s="77"/>
      <c r="R421" s="75"/>
      <c r="S421" t="e">
        <f>VLOOKUP(C421,'חד גזעי'!$Y$4:$Y$18,1,0)</f>
        <v>#N/A</v>
      </c>
      <c r="T421" s="72">
        <f>IF('חד גזעי'!$AM$6="לא",IF(P421=0,IF(BC421="שימור",IF('חד גזעי'!$AM$4="לא",IF(BC421="לא בוגר",0,IF(BC421="לא קיים",0,IF(J421=0,0,I421*0.1))),IF(BC421="לא בוגר",0,IF(BC421="לא קיים",0,IF(AB421=1,I421*0.1,E421*0.5)))),0),IF('חד גזעי'!$AM$4="לא",IF(BC421="לא בוגר",0,IF(BC421="לא קיים",0,IF(J421=0,0,I421*0.1))),IF(BC421="לא בוגר",0,IF(BC421="לא קיים",0,IF(AB421=1,I421*0.1,E421*0.5))))),IF(P421=0,IF(BC421="שימור",IF('חד גזעי'!$AM$4="לא",IF(BC421="לא בוגר",0,IF(BC421="לא קיים",0,IF(J421=0,0,I421*0.15))),IF(BC421="לא בוגר",0,IF(BC421="לא קיים",0,IF(AB421=1,I421*0.15,E421*0.5)))),0),IF('חד גזעי'!$AM$4="לא",IF(BC421="לא בוגר",0,IF(BC421="לא קיים",0,IF(J421=0,0,I421*0.15))),IF(BC421="לא בוגר",0,IF(BC421="לא קיים",0,IF(AB421=1,I421*0.15,E421*0.5))))))</f>
        <v>0</v>
      </c>
      <c r="V421" t="e">
        <f t="shared" si="421"/>
        <v>#N/A</v>
      </c>
      <c r="W421" t="e">
        <f t="shared" si="422"/>
        <v>#N/A</v>
      </c>
      <c r="X421" t="e">
        <f t="shared" si="423"/>
        <v>#N/A</v>
      </c>
      <c r="Y421">
        <f>IF('חד גזעי'!$AM$2 = "לא",0,IF(F421&gt;9,W421,0))</f>
        <v>0</v>
      </c>
      <c r="Z421">
        <f>IF('חד גזעי'!$AM$7 = "לא",0,IF(C421 = "זית אירופי",IF('חד גזעי'!$AN$7 &lt;=סקר!F421,W421,0),IF(C421 = "חרוב מצוי",IF('חד גזעי'!$AN$7 &lt;=סקר!F421,W421,0),0)))</f>
        <v>0</v>
      </c>
      <c r="AB421">
        <f t="shared" ref="AB421:AB452" si="449">_xlfn.IFNA(S421,1)</f>
        <v>1</v>
      </c>
      <c r="AC421" s="72"/>
      <c r="AD421" t="e">
        <f>IF(AK421&gt;0,AK421,AF421)</f>
        <v>#N/A</v>
      </c>
      <c r="AE421" s="72"/>
      <c r="AF421" s="72" t="e">
        <f t="shared" ref="AF421:AF452" si="450">((AJ421+AI421+AH421)*(AG421))*(J421*0.2)*(K421*0.2)*20</f>
        <v>#N/A</v>
      </c>
      <c r="AG421" s="72" t="e">
        <f>IF('חד גזעי'!$AM$5="לא",(VLOOKUP(C421,'חד גזעי'!$P$1:$S$589,3,FALSE)),(VLOOKUP(C421,'חד גזעי'!$P$1:$S$589,4,FALSE)))</f>
        <v>#N/A</v>
      </c>
      <c r="AH421" s="72">
        <f t="shared" ref="AH421:AH452" si="451">(3.14*((F421/2)^2))</f>
        <v>0</v>
      </c>
      <c r="AI421" s="72">
        <f t="shared" ref="AI421:AI452" si="452">3.14*(G421*G421/4)</f>
        <v>0</v>
      </c>
      <c r="AJ421" s="72">
        <f t="shared" ref="AJ421:AJ452" si="453">3.14*(H421*H421/4)</f>
        <v>0</v>
      </c>
      <c r="AK421" s="72" t="e">
        <f t="shared" ref="AK421:AK452" si="454">AL421*E421*(J421*0.2)*(0.2*K421)*1500</f>
        <v>#N/A</v>
      </c>
      <c r="AL421" t="e">
        <f>VLOOKUP(C421,'חד גזעי'!$AH$8:$AI$33,2,FALSE)</f>
        <v>#N/A</v>
      </c>
      <c r="AM421" s="72" t="b">
        <f t="shared" ref="AM421:AM452" si="455">IF(BC421="שימור",P421)</f>
        <v>0</v>
      </c>
      <c r="AN421" s="72" t="b">
        <f t="shared" ref="AN421:AN452" si="456">IF(BC421="כריתה",P421)</f>
        <v>0</v>
      </c>
      <c r="AO421" s="72" t="b">
        <f t="shared" ref="AO421:AO452" si="457">IF(BC421="העתקה",P421)</f>
        <v>0</v>
      </c>
      <c r="AS421" s="72">
        <f t="shared" ref="AS421:AS452" si="458">B421</f>
        <v>0</v>
      </c>
      <c r="AT421" s="72">
        <f t="shared" ref="AT421:AT452" si="459">C421</f>
        <v>0</v>
      </c>
      <c r="AU421" s="72">
        <f>IF(C421&gt;0,IF(D421&lt;2,1,D421),0)</f>
        <v>0</v>
      </c>
      <c r="AV421" s="72">
        <f t="shared" ref="AV421:AV452" si="460">E421</f>
        <v>0</v>
      </c>
      <c r="AW421" s="72">
        <f t="shared" ref="AW421:AW452" si="461">F421</f>
        <v>0</v>
      </c>
      <c r="AX421" s="72">
        <f t="shared" ref="AX421:AX452" si="462">G421</f>
        <v>0</v>
      </c>
      <c r="AY421" s="72">
        <f t="shared" ref="AY421:AY452" si="463">H421</f>
        <v>0</v>
      </c>
      <c r="AZ421" s="72">
        <f t="shared" ref="AZ421:AZ452" si="464">I421</f>
        <v>0</v>
      </c>
      <c r="BA421" s="72" t="e">
        <f t="shared" ref="BA421:BA452" si="465">N421</f>
        <v>#N/A</v>
      </c>
      <c r="BB421" s="72" t="e">
        <f t="shared" ref="BB421:BB452" si="466">IF(BA421&gt;6,IF(BA421&gt;13,IF(BA421&gt;16,"גבוה מאוד","גבוה"),"בינונית"),"נמוכה")</f>
        <v>#N/A</v>
      </c>
      <c r="BC421" s="77"/>
      <c r="BE421">
        <f t="shared" si="446"/>
        <v>0</v>
      </c>
      <c r="BF421" s="196"/>
      <c r="BG421" s="196"/>
      <c r="BH421" s="196"/>
      <c r="BI421" s="196"/>
      <c r="BJ421" s="196"/>
      <c r="BK421" s="196"/>
    </row>
    <row r="422" spans="2:63" hidden="1">
      <c r="B422" s="72"/>
      <c r="C422" s="135"/>
      <c r="D422" s="73"/>
      <c r="E422" s="73"/>
      <c r="F422" s="72"/>
      <c r="G422" s="72"/>
      <c r="H422" s="72"/>
      <c r="I422" s="73">
        <f t="shared" si="448"/>
        <v>0</v>
      </c>
      <c r="J422" s="73"/>
      <c r="K422" s="73"/>
      <c r="L422" s="74" t="e">
        <f>_xlfn.IFNA(VLOOKUP(C422,'חד גזעי'!$U$3:$V$509,2,0),VLOOKUP(C422,'חד גזעי'!$U$3:$V$509,2))</f>
        <v>#N/A</v>
      </c>
      <c r="M422" s="73"/>
      <c r="N422" s="72" t="e">
        <f>_xlfn.IFNA(IF(VLOOKUP(C422,'חד גזעי'!$AH$2:$AH$7,1,FALSE)&gt;0,0,IF('חד גזעי'!$AM$5="כן",IF(_xlfn.IFNA(VLOOKUP(C422,'חד גזעי'!$AH$2:$AH$33,1,FALSE),SUM(J422:M422))&lt;21,_xlfn.IFNA(VLOOKUP(C422,'חד גזעי'!$AH$2:$AH$33,1,FALSE),SUM(J422:M422)),0),SUM(J422:M422))),IF('חד גזעי'!$AM$5="כן",IF(_xlfn.IFNA(VLOOKUP(C422,'חד גזעי'!$AH$2:$AH$33,1,FALSE),SUM(J422:M422))&lt;21,_xlfn.IFNA(VLOOKUP(C422,'חד גזעי'!$AH$2:$AH$33,1,FALSE),SUM(J422:M422)),0),SUM(J422:M422)))</f>
        <v>#N/A</v>
      </c>
      <c r="O422" s="72">
        <f>IF('חד גזעי'!$AM$3 = "כן",IF(T422&gt;4,4,T422),T422)</f>
        <v>0</v>
      </c>
      <c r="P422" s="80">
        <f>IF(E422&lt;2,0,IF(Z422&gt;0,Z422,IF(N422 = 0,0,IF('חד גזעי'!$AM$2 = "לא",IF(F422&gt;19,W422,0),IF(F422&gt;9,Y422,0)))))</f>
        <v>0</v>
      </c>
      <c r="Q422" s="77"/>
      <c r="R422" s="75"/>
      <c r="S422" t="e">
        <f>VLOOKUP(C422,'חד גזעי'!$Y$4:$Y$18,1,0)</f>
        <v>#N/A</v>
      </c>
      <c r="T422" s="72">
        <f>IF('חד גזעי'!$AM$6="לא",IF(P422=0,IF(BC422="שימור",IF('חד גזעי'!$AM$4="לא",IF(BC422="לא בוגר",0,IF(BC422="לא קיים",0,IF(J422=0,0,I422*0.1))),IF(BC422="לא בוגר",0,IF(BC422="לא קיים",0,IF(AB422=1,I422*0.1,E422*0.5)))),0),IF('חד גזעי'!$AM$4="לא",IF(BC422="לא בוגר",0,IF(BC422="לא קיים",0,IF(J422=0,0,I422*0.1))),IF(BC422="לא בוגר",0,IF(BC422="לא קיים",0,IF(AB422=1,I422*0.1,E422*0.5))))),IF(P422=0,IF(BC422="שימור",IF('חד גזעי'!$AM$4="לא",IF(BC422="לא בוגר",0,IF(BC422="לא קיים",0,IF(J422=0,0,I422*0.15))),IF(BC422="לא בוגר",0,IF(BC422="לא קיים",0,IF(AB422=1,I422*0.15,E422*0.5)))),0),IF('חד גזעי'!$AM$4="לא",IF(BC422="לא בוגר",0,IF(BC422="לא קיים",0,IF(J422=0,0,I422*0.15))),IF(BC422="לא בוגר",0,IF(BC422="לא קיים",0,IF(AB422=1,I422*0.15,E422*0.5))))))</f>
        <v>0</v>
      </c>
      <c r="V422" t="e">
        <f t="shared" si="421"/>
        <v>#N/A</v>
      </c>
      <c r="W422" t="e">
        <f t="shared" si="422"/>
        <v>#N/A</v>
      </c>
      <c r="X422" t="e">
        <f t="shared" si="423"/>
        <v>#N/A</v>
      </c>
      <c r="Y422">
        <f>IF('חד גזעי'!$AM$2 = "לא",0,IF(F422&gt;9,W422,0))</f>
        <v>0</v>
      </c>
      <c r="Z422">
        <f>IF('חד גזעי'!$AM$7 = "לא",0,IF(C422 = "זית אירופי",IF('חד גזעי'!$AN$7 &lt;=סקר!F422,W422,0),IF(C422 = "חרוב מצוי",IF('חד גזעי'!$AN$7 &lt;=סקר!F422,W422,0),0)))</f>
        <v>0</v>
      </c>
      <c r="AB422">
        <f t="shared" si="449"/>
        <v>1</v>
      </c>
      <c r="AC422" s="72"/>
      <c r="AD422" t="e">
        <f t="shared" ref="AD422:AD452" si="467">IF(AK422&gt;0,AK422,AF422)</f>
        <v>#N/A</v>
      </c>
      <c r="AE422" s="72"/>
      <c r="AF422" s="72" t="e">
        <f t="shared" si="450"/>
        <v>#N/A</v>
      </c>
      <c r="AG422" s="72" t="e">
        <f>IF('חד גזעי'!$AM$5="לא",(VLOOKUP(C422,'חד גזעי'!$P$1:$S$589,3,FALSE)),(VLOOKUP(C422,'חד גזעי'!$P$1:$S$589,4,FALSE)))</f>
        <v>#N/A</v>
      </c>
      <c r="AH422" s="72">
        <f t="shared" si="451"/>
        <v>0</v>
      </c>
      <c r="AI422" s="72">
        <f t="shared" si="452"/>
        <v>0</v>
      </c>
      <c r="AJ422" s="72">
        <f t="shared" si="453"/>
        <v>0</v>
      </c>
      <c r="AK422" s="72" t="e">
        <f t="shared" si="454"/>
        <v>#N/A</v>
      </c>
      <c r="AL422" t="e">
        <f>VLOOKUP(C422,'חד גזעי'!$AH$8:$AI$33,2,FALSE)</f>
        <v>#N/A</v>
      </c>
      <c r="AM422" s="72" t="b">
        <f t="shared" si="455"/>
        <v>0</v>
      </c>
      <c r="AN422" s="72" t="b">
        <f t="shared" si="456"/>
        <v>0</v>
      </c>
      <c r="AO422" s="72" t="b">
        <f t="shared" si="457"/>
        <v>0</v>
      </c>
      <c r="AS422" s="72">
        <f t="shared" si="458"/>
        <v>0</v>
      </c>
      <c r="AT422" s="72">
        <f t="shared" si="459"/>
        <v>0</v>
      </c>
      <c r="AU422" s="72">
        <f t="shared" ref="AU422:AU452" si="468">IF(C422&gt;0,IF(D422&lt;2,1,D422),0)</f>
        <v>0</v>
      </c>
      <c r="AV422" s="72">
        <f t="shared" si="460"/>
        <v>0</v>
      </c>
      <c r="AW422" s="72">
        <f t="shared" si="461"/>
        <v>0</v>
      </c>
      <c r="AX422" s="72">
        <f t="shared" si="462"/>
        <v>0</v>
      </c>
      <c r="AY422" s="72">
        <f t="shared" si="463"/>
        <v>0</v>
      </c>
      <c r="AZ422" s="72">
        <f t="shared" si="464"/>
        <v>0</v>
      </c>
      <c r="BA422" s="72" t="e">
        <f t="shared" si="465"/>
        <v>#N/A</v>
      </c>
      <c r="BB422" s="72" t="e">
        <f t="shared" si="466"/>
        <v>#N/A</v>
      </c>
      <c r="BC422" s="77"/>
      <c r="BE422">
        <f t="shared" si="446"/>
        <v>0</v>
      </c>
      <c r="BF422" s="196"/>
      <c r="BG422" s="196"/>
      <c r="BH422" s="196"/>
      <c r="BI422" s="196"/>
      <c r="BJ422" s="196"/>
      <c r="BK422" s="196"/>
    </row>
    <row r="423" spans="2:63" hidden="1">
      <c r="B423" s="72"/>
      <c r="C423" s="135"/>
      <c r="D423" s="73"/>
      <c r="E423" s="73"/>
      <c r="F423" s="72"/>
      <c r="G423" s="72"/>
      <c r="H423" s="72"/>
      <c r="I423" s="73">
        <f t="shared" si="448"/>
        <v>0</v>
      </c>
      <c r="J423" s="73"/>
      <c r="K423" s="73"/>
      <c r="L423" s="74" t="e">
        <f>_xlfn.IFNA(VLOOKUP(C423,'חד גזעי'!$U$3:$V$509,2,0),VLOOKUP(C423,'חד גזעי'!$U$3:$V$509,2))</f>
        <v>#N/A</v>
      </c>
      <c r="M423" s="73"/>
      <c r="N423" s="72" t="e">
        <f>_xlfn.IFNA(IF(VLOOKUP(C423,'חד גזעי'!$AH$2:$AH$7,1,FALSE)&gt;0,0,IF('חד גזעי'!$AM$5="כן",IF(_xlfn.IFNA(VLOOKUP(C423,'חד גזעי'!$AH$2:$AH$33,1,FALSE),SUM(J423:M423))&lt;21,_xlfn.IFNA(VLOOKUP(C423,'חד גזעי'!$AH$2:$AH$33,1,FALSE),SUM(J423:M423)),0),SUM(J423:M423))),IF('חד גזעי'!$AM$5="כן",IF(_xlfn.IFNA(VLOOKUP(C423,'חד גזעי'!$AH$2:$AH$33,1,FALSE),SUM(J423:M423))&lt;21,_xlfn.IFNA(VLOOKUP(C423,'חד גזעי'!$AH$2:$AH$33,1,FALSE),SUM(J423:M423)),0),SUM(J423:M423)))</f>
        <v>#N/A</v>
      </c>
      <c r="O423" s="72">
        <f>IF('חד גזעי'!$AM$3 = "כן",IF(T423&gt;4,4,T423),T423)</f>
        <v>0</v>
      </c>
      <c r="P423" s="80">
        <f>IF(E423&lt;2,0,IF(Z423&gt;0,Z423,IF(N423 = 0,0,IF('חד גזעי'!$AM$2 = "לא",IF(F423&gt;19,W423,0),IF(F423&gt;9,Y423,0)))))</f>
        <v>0</v>
      </c>
      <c r="Q423" s="77"/>
      <c r="R423" s="75"/>
      <c r="S423" t="e">
        <f>VLOOKUP(C423,'חד גזעי'!$Y$4:$Y$18,1,0)</f>
        <v>#N/A</v>
      </c>
      <c r="T423" s="72">
        <f>IF('חד גזעי'!$AM$6="לא",IF(P423=0,IF(BC423="שימור",IF('חד גזעי'!$AM$4="לא",IF(BC423="לא בוגר",0,IF(BC423="לא קיים",0,IF(J423=0,0,I423*0.1))),IF(BC423="לא בוגר",0,IF(BC423="לא קיים",0,IF(AB423=1,I423*0.1,E423*0.5)))),0),IF('חד גזעי'!$AM$4="לא",IF(BC423="לא בוגר",0,IF(BC423="לא קיים",0,IF(J423=0,0,I423*0.1))),IF(BC423="לא בוגר",0,IF(BC423="לא קיים",0,IF(AB423=1,I423*0.1,E423*0.5))))),IF(P423=0,IF(BC423="שימור",IF('חד גזעי'!$AM$4="לא",IF(BC423="לא בוגר",0,IF(BC423="לא קיים",0,IF(J423=0,0,I423*0.15))),IF(BC423="לא בוגר",0,IF(BC423="לא קיים",0,IF(AB423=1,I423*0.15,E423*0.5)))),0),IF('חד גזעי'!$AM$4="לא",IF(BC423="לא בוגר",0,IF(BC423="לא קיים",0,IF(J423=0,0,I423*0.15))),IF(BC423="לא בוגר",0,IF(BC423="לא קיים",0,IF(AB423=1,I423*0.15,E423*0.5))))))</f>
        <v>0</v>
      </c>
      <c r="V423" t="e">
        <f t="shared" si="421"/>
        <v>#N/A</v>
      </c>
      <c r="W423" t="e">
        <f t="shared" si="422"/>
        <v>#N/A</v>
      </c>
      <c r="X423" t="e">
        <f t="shared" si="423"/>
        <v>#N/A</v>
      </c>
      <c r="Y423">
        <f>IF('חד גזעי'!$AM$2 = "לא",0,IF(F423&gt;9,W423,0))</f>
        <v>0</v>
      </c>
      <c r="Z423">
        <f>IF('חד גזעי'!$AM$7 = "לא",0,IF(C423 = "זית אירופי",IF('חד גזעי'!$AN$7 &lt;=סקר!F423,W423,0),IF(C423 = "חרוב מצוי",IF('חד גזעי'!$AN$7 &lt;=סקר!F423,W423,0),0)))</f>
        <v>0</v>
      </c>
      <c r="AB423">
        <f t="shared" si="449"/>
        <v>1</v>
      </c>
      <c r="AC423" s="72"/>
      <c r="AD423" t="e">
        <f t="shared" si="467"/>
        <v>#N/A</v>
      </c>
      <c r="AE423" s="72"/>
      <c r="AF423" s="72" t="e">
        <f t="shared" si="450"/>
        <v>#N/A</v>
      </c>
      <c r="AG423" s="72" t="e">
        <f>IF('חד גזעי'!$AM$5="לא",(VLOOKUP(C423,'חד גזעי'!$P$1:$S$589,3,FALSE)),(VLOOKUP(C423,'חד גזעי'!$P$1:$S$589,4,FALSE)))</f>
        <v>#N/A</v>
      </c>
      <c r="AH423" s="72">
        <f t="shared" si="451"/>
        <v>0</v>
      </c>
      <c r="AI423" s="72">
        <f t="shared" si="452"/>
        <v>0</v>
      </c>
      <c r="AJ423" s="72">
        <f t="shared" si="453"/>
        <v>0</v>
      </c>
      <c r="AK423" s="72" t="e">
        <f t="shared" si="454"/>
        <v>#N/A</v>
      </c>
      <c r="AL423" t="e">
        <f>VLOOKUP(C423,'חד גזעי'!$AH$8:$AI$33,2,FALSE)</f>
        <v>#N/A</v>
      </c>
      <c r="AM423" s="72" t="b">
        <f t="shared" si="455"/>
        <v>0</v>
      </c>
      <c r="AN423" s="72" t="b">
        <f t="shared" si="456"/>
        <v>0</v>
      </c>
      <c r="AO423" s="72" t="b">
        <f t="shared" si="457"/>
        <v>0</v>
      </c>
      <c r="AS423" s="72">
        <f t="shared" si="458"/>
        <v>0</v>
      </c>
      <c r="AT423" s="72">
        <f t="shared" si="459"/>
        <v>0</v>
      </c>
      <c r="AU423" s="72">
        <f t="shared" si="468"/>
        <v>0</v>
      </c>
      <c r="AV423" s="72">
        <f t="shared" si="460"/>
        <v>0</v>
      </c>
      <c r="AW423" s="72">
        <f t="shared" si="461"/>
        <v>0</v>
      </c>
      <c r="AX423" s="72">
        <f t="shared" si="462"/>
        <v>0</v>
      </c>
      <c r="AY423" s="72">
        <f t="shared" si="463"/>
        <v>0</v>
      </c>
      <c r="AZ423" s="72">
        <f t="shared" si="464"/>
        <v>0</v>
      </c>
      <c r="BA423" s="72" t="e">
        <f t="shared" si="465"/>
        <v>#N/A</v>
      </c>
      <c r="BB423" s="72" t="e">
        <f t="shared" si="466"/>
        <v>#N/A</v>
      </c>
      <c r="BC423" s="77"/>
      <c r="BE423">
        <f t="shared" si="446"/>
        <v>0</v>
      </c>
      <c r="BF423" s="196"/>
      <c r="BG423" s="196"/>
      <c r="BH423" s="196"/>
      <c r="BI423" s="196"/>
      <c r="BJ423" s="196"/>
      <c r="BK423" s="196"/>
    </row>
    <row r="424" spans="2:63" hidden="1">
      <c r="B424" s="72"/>
      <c r="C424" s="135"/>
      <c r="D424" s="73"/>
      <c r="E424" s="73"/>
      <c r="F424" s="72"/>
      <c r="G424" s="72"/>
      <c r="H424" s="72"/>
      <c r="I424" s="73">
        <f t="shared" si="448"/>
        <v>0</v>
      </c>
      <c r="J424" s="73"/>
      <c r="K424" s="73"/>
      <c r="L424" s="74" t="e">
        <f>_xlfn.IFNA(VLOOKUP(C424,'חד גזעי'!$U$3:$V$509,2,0),VLOOKUP(C424,'חד גזעי'!$U$3:$V$509,2))</f>
        <v>#N/A</v>
      </c>
      <c r="M424" s="73"/>
      <c r="N424" s="72" t="e">
        <f>_xlfn.IFNA(IF(VLOOKUP(C424,'חד גזעי'!$AH$2:$AH$7,1,FALSE)&gt;0,0,IF('חד גזעי'!$AM$5="כן",IF(_xlfn.IFNA(VLOOKUP(C424,'חד גזעי'!$AH$2:$AH$33,1,FALSE),SUM(J424:M424))&lt;21,_xlfn.IFNA(VLOOKUP(C424,'חד גזעי'!$AH$2:$AH$33,1,FALSE),SUM(J424:M424)),0),SUM(J424:M424))),IF('חד גזעי'!$AM$5="כן",IF(_xlfn.IFNA(VLOOKUP(C424,'חד גזעי'!$AH$2:$AH$33,1,FALSE),SUM(J424:M424))&lt;21,_xlfn.IFNA(VLOOKUP(C424,'חד גזעי'!$AH$2:$AH$33,1,FALSE),SUM(J424:M424)),0),SUM(J424:M424)))</f>
        <v>#N/A</v>
      </c>
      <c r="O424" s="72">
        <f>IF('חד גזעי'!$AM$3 = "כן",IF(T424&gt;4,4,T424),T424)</f>
        <v>0</v>
      </c>
      <c r="P424" s="80">
        <f>IF(E424&lt;2,0,IF(Z424&gt;0,Z424,IF(N424 = 0,0,IF('חד גזעי'!$AM$2 = "לא",IF(F424&gt;19,W424,0),IF(F424&gt;9,Y424,0)))))</f>
        <v>0</v>
      </c>
      <c r="Q424" s="77"/>
      <c r="R424" s="75"/>
      <c r="S424" t="e">
        <f>VLOOKUP(C424,'חד גזעי'!$Y$4:$Y$18,1,0)</f>
        <v>#N/A</v>
      </c>
      <c r="T424" s="72">
        <f>IF('חד גזעי'!$AM$6="לא",IF(P424=0,IF(BC424="שימור",IF('חד גזעי'!$AM$4="לא",IF(BC424="לא בוגר",0,IF(BC424="לא קיים",0,IF(J424=0,0,I424*0.1))),IF(BC424="לא בוגר",0,IF(BC424="לא קיים",0,IF(AB424=1,I424*0.1,E424*0.5)))),0),IF('חד גזעי'!$AM$4="לא",IF(BC424="לא בוגר",0,IF(BC424="לא קיים",0,IF(J424=0,0,I424*0.1))),IF(BC424="לא בוגר",0,IF(BC424="לא קיים",0,IF(AB424=1,I424*0.1,E424*0.5))))),IF(P424=0,IF(BC424="שימור",IF('חד גזעי'!$AM$4="לא",IF(BC424="לא בוגר",0,IF(BC424="לא קיים",0,IF(J424=0,0,I424*0.15))),IF(BC424="לא בוגר",0,IF(BC424="לא קיים",0,IF(AB424=1,I424*0.15,E424*0.5)))),0),IF('חד גזעי'!$AM$4="לא",IF(BC424="לא בוגר",0,IF(BC424="לא קיים",0,IF(J424=0,0,I424*0.15))),IF(BC424="לא בוגר",0,IF(BC424="לא קיים",0,IF(AB424=1,I424*0.15,E424*0.5))))))</f>
        <v>0</v>
      </c>
      <c r="V424" t="e">
        <f t="shared" si="421"/>
        <v>#N/A</v>
      </c>
      <c r="W424" t="e">
        <f t="shared" si="422"/>
        <v>#N/A</v>
      </c>
      <c r="X424" t="e">
        <f t="shared" si="423"/>
        <v>#N/A</v>
      </c>
      <c r="Y424">
        <f>IF('חד גזעי'!$AM$2 = "לא",0,IF(F424&gt;9,W424,0))</f>
        <v>0</v>
      </c>
      <c r="Z424">
        <f>IF('חד גזעי'!$AM$7 = "לא",0,IF(C424 = "זית אירופי",IF('חד גזעי'!$AN$7 &lt;=סקר!F424,W424,0),IF(C424 = "חרוב מצוי",IF('חד גזעי'!$AN$7 &lt;=סקר!F424,W424,0),0)))</f>
        <v>0</v>
      </c>
      <c r="AB424">
        <f t="shared" si="449"/>
        <v>1</v>
      </c>
      <c r="AC424" s="72"/>
      <c r="AD424" t="e">
        <f t="shared" si="467"/>
        <v>#N/A</v>
      </c>
      <c r="AE424" s="72"/>
      <c r="AF424" s="72" t="e">
        <f t="shared" si="450"/>
        <v>#N/A</v>
      </c>
      <c r="AG424" s="72" t="e">
        <f>IF('חד גזעי'!$AM$5="לא",(VLOOKUP(C424,'חד גזעי'!$P$1:$S$589,3,FALSE)),(VLOOKUP(C424,'חד גזעי'!$P$1:$S$589,4,FALSE)))</f>
        <v>#N/A</v>
      </c>
      <c r="AH424" s="72">
        <f t="shared" si="451"/>
        <v>0</v>
      </c>
      <c r="AI424" s="72">
        <f t="shared" si="452"/>
        <v>0</v>
      </c>
      <c r="AJ424" s="72">
        <f t="shared" si="453"/>
        <v>0</v>
      </c>
      <c r="AK424" s="72" t="e">
        <f t="shared" si="454"/>
        <v>#N/A</v>
      </c>
      <c r="AL424" t="e">
        <f>VLOOKUP(C424,'חד גזעי'!$AH$8:$AI$33,2,FALSE)</f>
        <v>#N/A</v>
      </c>
      <c r="AM424" s="72" t="b">
        <f t="shared" si="455"/>
        <v>0</v>
      </c>
      <c r="AN424" s="72" t="b">
        <f t="shared" si="456"/>
        <v>0</v>
      </c>
      <c r="AO424" s="72" t="b">
        <f t="shared" si="457"/>
        <v>0</v>
      </c>
      <c r="AS424" s="72">
        <f t="shared" si="458"/>
        <v>0</v>
      </c>
      <c r="AT424" s="72">
        <f t="shared" si="459"/>
        <v>0</v>
      </c>
      <c r="AU424" s="72">
        <f t="shared" si="468"/>
        <v>0</v>
      </c>
      <c r="AV424" s="72">
        <f t="shared" si="460"/>
        <v>0</v>
      </c>
      <c r="AW424" s="72">
        <f t="shared" si="461"/>
        <v>0</v>
      </c>
      <c r="AX424" s="72">
        <f t="shared" si="462"/>
        <v>0</v>
      </c>
      <c r="AY424" s="72">
        <f t="shared" si="463"/>
        <v>0</v>
      </c>
      <c r="AZ424" s="72">
        <f t="shared" si="464"/>
        <v>0</v>
      </c>
      <c r="BA424" s="72" t="e">
        <f t="shared" si="465"/>
        <v>#N/A</v>
      </c>
      <c r="BB424" s="72" t="e">
        <f t="shared" si="466"/>
        <v>#N/A</v>
      </c>
      <c r="BC424" s="77"/>
      <c r="BE424">
        <f t="shared" si="446"/>
        <v>0</v>
      </c>
      <c r="BF424" s="196"/>
      <c r="BG424" s="196"/>
      <c r="BH424" s="196"/>
      <c r="BI424" s="196"/>
      <c r="BJ424" s="196"/>
      <c r="BK424" s="196"/>
    </row>
    <row r="425" spans="2:63" hidden="1">
      <c r="B425" s="72"/>
      <c r="C425" s="135"/>
      <c r="D425" s="73"/>
      <c r="E425" s="73"/>
      <c r="F425" s="72"/>
      <c r="G425" s="72"/>
      <c r="H425" s="72"/>
      <c r="I425" s="73">
        <f t="shared" si="448"/>
        <v>0</v>
      </c>
      <c r="J425" s="73"/>
      <c r="K425" s="73"/>
      <c r="L425" s="74" t="e">
        <f>_xlfn.IFNA(VLOOKUP(C425,'חד גזעי'!$U$3:$V$509,2,0),VLOOKUP(C425,'חד גזעי'!$U$3:$V$509,2))</f>
        <v>#N/A</v>
      </c>
      <c r="M425" s="73"/>
      <c r="N425" s="72" t="e">
        <f>_xlfn.IFNA(IF(VLOOKUP(C425,'חד גזעי'!$AH$2:$AH$7,1,FALSE)&gt;0,0,IF('חד גזעי'!$AM$5="כן",IF(_xlfn.IFNA(VLOOKUP(C425,'חד גזעי'!$AH$2:$AH$33,1,FALSE),SUM(J425:M425))&lt;21,_xlfn.IFNA(VLOOKUP(C425,'חד גזעי'!$AH$2:$AH$33,1,FALSE),SUM(J425:M425)),0),SUM(J425:M425))),IF('חד גזעי'!$AM$5="כן",IF(_xlfn.IFNA(VLOOKUP(C425,'חד גזעי'!$AH$2:$AH$33,1,FALSE),SUM(J425:M425))&lt;21,_xlfn.IFNA(VLOOKUP(C425,'חד גזעי'!$AH$2:$AH$33,1,FALSE),SUM(J425:M425)),0),SUM(J425:M425)))</f>
        <v>#N/A</v>
      </c>
      <c r="O425" s="72">
        <f>IF('חד גזעי'!$AM$3 = "כן",IF(T425&gt;4,4,T425),T425)</f>
        <v>0</v>
      </c>
      <c r="P425" s="80">
        <f>IF(E425&lt;2,0,IF(Z425&gt;0,Z425,IF(N425 = 0,0,IF('חד גזעי'!$AM$2 = "לא",IF(F425&gt;19,W425,0),IF(F425&gt;9,Y425,0)))))</f>
        <v>0</v>
      </c>
      <c r="Q425" s="77"/>
      <c r="R425" s="75"/>
      <c r="S425" t="e">
        <f>VLOOKUP(C425,'חד גזעי'!$Y$4:$Y$18,1,0)</f>
        <v>#N/A</v>
      </c>
      <c r="T425" s="72">
        <f>IF('חד גזעי'!$AM$6="לא",IF(P425=0,IF(BC425="שימור",IF('חד גזעי'!$AM$4="לא",IF(BC425="לא בוגר",0,IF(BC425="לא קיים",0,IF(J425=0,0,I425*0.1))),IF(BC425="לא בוגר",0,IF(BC425="לא קיים",0,IF(AB425=1,I425*0.1,E425*0.5)))),0),IF('חד גזעי'!$AM$4="לא",IF(BC425="לא בוגר",0,IF(BC425="לא קיים",0,IF(J425=0,0,I425*0.1))),IF(BC425="לא בוגר",0,IF(BC425="לא קיים",0,IF(AB425=1,I425*0.1,E425*0.5))))),IF(P425=0,IF(BC425="שימור",IF('חד גזעי'!$AM$4="לא",IF(BC425="לא בוגר",0,IF(BC425="לא קיים",0,IF(J425=0,0,I425*0.15))),IF(BC425="לא בוגר",0,IF(BC425="לא קיים",0,IF(AB425=1,I425*0.15,E425*0.5)))),0),IF('חד גזעי'!$AM$4="לא",IF(BC425="לא בוגר",0,IF(BC425="לא קיים",0,IF(J425=0,0,I425*0.15))),IF(BC425="לא בוגר",0,IF(BC425="לא קיים",0,IF(AB425=1,I425*0.15,E425*0.5))))))</f>
        <v>0</v>
      </c>
      <c r="V425" t="e">
        <f t="shared" si="421"/>
        <v>#N/A</v>
      </c>
      <c r="W425" t="e">
        <f t="shared" si="422"/>
        <v>#N/A</v>
      </c>
      <c r="X425" t="e">
        <f t="shared" si="423"/>
        <v>#N/A</v>
      </c>
      <c r="Y425">
        <f>IF('חד גזעי'!$AM$2 = "לא",0,IF(F425&gt;9,W425,0))</f>
        <v>0</v>
      </c>
      <c r="Z425">
        <f>IF('חד גזעי'!$AM$7 = "לא",0,IF(C425 = "זית אירופי",IF('חד גזעי'!$AN$7 &lt;=סקר!F425,W425,0),IF(C425 = "חרוב מצוי",IF('חד גזעי'!$AN$7 &lt;=סקר!F425,W425,0),0)))</f>
        <v>0</v>
      </c>
      <c r="AB425">
        <f t="shared" si="449"/>
        <v>1</v>
      </c>
      <c r="AC425" s="72"/>
      <c r="AD425" t="e">
        <f t="shared" si="467"/>
        <v>#N/A</v>
      </c>
      <c r="AE425" s="72"/>
      <c r="AF425" s="72" t="e">
        <f t="shared" si="450"/>
        <v>#N/A</v>
      </c>
      <c r="AG425" s="72" t="e">
        <f>IF('חד גזעי'!$AM$5="לא",(VLOOKUP(C425,'חד גזעי'!$P$1:$S$589,3,FALSE)),(VLOOKUP(C425,'חד גזעי'!$P$1:$S$589,4,FALSE)))</f>
        <v>#N/A</v>
      </c>
      <c r="AH425" s="72">
        <f t="shared" si="451"/>
        <v>0</v>
      </c>
      <c r="AI425" s="72">
        <f t="shared" si="452"/>
        <v>0</v>
      </c>
      <c r="AJ425" s="72">
        <f t="shared" si="453"/>
        <v>0</v>
      </c>
      <c r="AK425" s="72" t="e">
        <f t="shared" si="454"/>
        <v>#N/A</v>
      </c>
      <c r="AL425" t="e">
        <f>VLOOKUP(C425,'חד גזעי'!$AH$8:$AI$33,2,FALSE)</f>
        <v>#N/A</v>
      </c>
      <c r="AM425" s="72" t="b">
        <f t="shared" si="455"/>
        <v>0</v>
      </c>
      <c r="AN425" s="72" t="b">
        <f t="shared" si="456"/>
        <v>0</v>
      </c>
      <c r="AO425" s="72" t="b">
        <f t="shared" si="457"/>
        <v>0</v>
      </c>
      <c r="AS425" s="72">
        <f t="shared" si="458"/>
        <v>0</v>
      </c>
      <c r="AT425" s="72">
        <f t="shared" si="459"/>
        <v>0</v>
      </c>
      <c r="AU425" s="72">
        <f t="shared" si="468"/>
        <v>0</v>
      </c>
      <c r="AV425" s="72">
        <f t="shared" si="460"/>
        <v>0</v>
      </c>
      <c r="AW425" s="72">
        <f t="shared" si="461"/>
        <v>0</v>
      </c>
      <c r="AX425" s="72">
        <f t="shared" si="462"/>
        <v>0</v>
      </c>
      <c r="AY425" s="72">
        <f t="shared" si="463"/>
        <v>0</v>
      </c>
      <c r="AZ425" s="72">
        <f t="shared" si="464"/>
        <v>0</v>
      </c>
      <c r="BA425" s="72" t="e">
        <f t="shared" si="465"/>
        <v>#N/A</v>
      </c>
      <c r="BB425" s="72" t="e">
        <f t="shared" si="466"/>
        <v>#N/A</v>
      </c>
      <c r="BC425" s="77"/>
      <c r="BE425">
        <f t="shared" si="446"/>
        <v>0</v>
      </c>
      <c r="BF425" s="196"/>
      <c r="BG425" s="196"/>
      <c r="BH425" s="196"/>
      <c r="BI425" s="196"/>
      <c r="BJ425" s="196"/>
      <c r="BK425" s="196"/>
    </row>
    <row r="426" spans="2:63" hidden="1">
      <c r="B426" s="72"/>
      <c r="C426" s="135"/>
      <c r="D426" s="78"/>
      <c r="E426" s="73"/>
      <c r="F426" s="72"/>
      <c r="G426" s="72"/>
      <c r="H426" s="72"/>
      <c r="I426" s="73">
        <f t="shared" si="448"/>
        <v>0</v>
      </c>
      <c r="J426" s="78"/>
      <c r="K426" s="73"/>
      <c r="L426" s="74" t="e">
        <f>_xlfn.IFNA(VLOOKUP(C426,'חד גזעי'!$U$3:$V$509,2,0),VLOOKUP(C426,'חד גזעי'!$U$3:$V$509,2))</f>
        <v>#N/A</v>
      </c>
      <c r="M426" s="73"/>
      <c r="N426" s="72" t="e">
        <f>_xlfn.IFNA(IF(VLOOKUP(C426,'חד גזעי'!$AH$2:$AH$7,1,FALSE)&gt;0,0,IF('חד גזעי'!$AM$5="כן",IF(_xlfn.IFNA(VLOOKUP(C426,'חד גזעי'!$AH$2:$AH$33,1,FALSE),SUM(J426:M426))&lt;21,_xlfn.IFNA(VLOOKUP(C426,'חד גזעי'!$AH$2:$AH$33,1,FALSE),SUM(J426:M426)),0),SUM(J426:M426))),IF('חד גזעי'!$AM$5="כן",IF(_xlfn.IFNA(VLOOKUP(C426,'חד גזעי'!$AH$2:$AH$33,1,FALSE),SUM(J426:M426))&lt;21,_xlfn.IFNA(VLOOKUP(C426,'חד גזעי'!$AH$2:$AH$33,1,FALSE),SUM(J426:M426)),0),SUM(J426:M426)))</f>
        <v>#N/A</v>
      </c>
      <c r="O426" s="72">
        <f>IF('חד גזעי'!$AM$3 = "כן",IF(T426&gt;4,4,T426),T426)</f>
        <v>0</v>
      </c>
      <c r="P426" s="80">
        <f>IF(E426&lt;2,0,IF(Z426&gt;0,Z426,IF(N426 = 0,0,IF('חד גזעי'!$AM$2 = "לא",IF(F426&gt;19,W426,0),IF(F426&gt;9,Y426,0)))))</f>
        <v>0</v>
      </c>
      <c r="Q426" s="77"/>
      <c r="R426" s="75"/>
      <c r="S426" t="e">
        <f>VLOOKUP(C426,'חד גזעי'!$Y$4:$Y$18,1,0)</f>
        <v>#N/A</v>
      </c>
      <c r="T426" s="72">
        <f>IF('חד גזעי'!$AM$6="לא",IF(P426=0,IF(BC426="שימור",IF('חד גזעי'!$AM$4="לא",IF(BC426="לא בוגר",0,IF(BC426="לא קיים",0,IF(J426=0,0,I426*0.1))),IF(BC426="לא בוגר",0,IF(BC426="לא קיים",0,IF(AB426=1,I426*0.1,E426*0.5)))),0),IF('חד גזעי'!$AM$4="לא",IF(BC426="לא בוגר",0,IF(BC426="לא קיים",0,IF(J426=0,0,I426*0.1))),IF(BC426="לא בוגר",0,IF(BC426="לא קיים",0,IF(AB426=1,I426*0.1,E426*0.5))))),IF(P426=0,IF(BC426="שימור",IF('חד גזעי'!$AM$4="לא",IF(BC426="לא בוגר",0,IF(BC426="לא קיים",0,IF(J426=0,0,I426*0.15))),IF(BC426="לא בוגר",0,IF(BC426="לא קיים",0,IF(AB426=1,I426*0.15,E426*0.5)))),0),IF('חד גזעי'!$AM$4="לא",IF(BC426="לא בוגר",0,IF(BC426="לא קיים",0,IF(J426=0,0,I426*0.15))),IF(BC426="לא בוגר",0,IF(BC426="לא קיים",0,IF(AB426=1,I426*0.15,E426*0.5))))))</f>
        <v>0</v>
      </c>
      <c r="V426" t="e">
        <f t="shared" si="421"/>
        <v>#N/A</v>
      </c>
      <c r="W426" t="e">
        <f t="shared" si="422"/>
        <v>#N/A</v>
      </c>
      <c r="X426" t="e">
        <f t="shared" si="423"/>
        <v>#N/A</v>
      </c>
      <c r="Y426">
        <f>IF('חד גזעי'!$AM$2 = "לא",0,IF(F426&gt;9,W426,0))</f>
        <v>0</v>
      </c>
      <c r="Z426">
        <f>IF('חד גזעי'!$AM$7 = "לא",0,IF(C426 = "זית אירופי",IF('חד גזעי'!$AN$7 &lt;=סקר!F426,W426,0),IF(C426 = "חרוב מצוי",IF('חד גזעי'!$AN$7 &lt;=סקר!F426,W426,0),0)))</f>
        <v>0</v>
      </c>
      <c r="AB426">
        <f t="shared" si="449"/>
        <v>1</v>
      </c>
      <c r="AC426" s="72"/>
      <c r="AD426" t="e">
        <f t="shared" si="467"/>
        <v>#N/A</v>
      </c>
      <c r="AE426" s="72"/>
      <c r="AF426" s="72" t="e">
        <f t="shared" si="450"/>
        <v>#N/A</v>
      </c>
      <c r="AG426" s="72" t="e">
        <f>IF('חד גזעי'!$AM$5="לא",(VLOOKUP(C426,'חד גזעי'!$P$1:$S$589,3,FALSE)),(VLOOKUP(C426,'חד גזעי'!$P$1:$S$589,4,FALSE)))</f>
        <v>#N/A</v>
      </c>
      <c r="AH426" s="72">
        <f t="shared" si="451"/>
        <v>0</v>
      </c>
      <c r="AI426" s="72">
        <f t="shared" si="452"/>
        <v>0</v>
      </c>
      <c r="AJ426" s="72">
        <f t="shared" si="453"/>
        <v>0</v>
      </c>
      <c r="AK426" s="72" t="e">
        <f t="shared" si="454"/>
        <v>#N/A</v>
      </c>
      <c r="AL426" t="e">
        <f>VLOOKUP(C426,'חד גזעי'!$AH$8:$AI$33,2,FALSE)</f>
        <v>#N/A</v>
      </c>
      <c r="AM426" s="72" t="b">
        <f t="shared" si="455"/>
        <v>0</v>
      </c>
      <c r="AN426" s="72" t="b">
        <f t="shared" si="456"/>
        <v>0</v>
      </c>
      <c r="AO426" s="72" t="b">
        <f t="shared" si="457"/>
        <v>0</v>
      </c>
      <c r="AS426" s="72">
        <f t="shared" si="458"/>
        <v>0</v>
      </c>
      <c r="AT426" s="72">
        <f t="shared" si="459"/>
        <v>0</v>
      </c>
      <c r="AU426" s="72">
        <f t="shared" si="468"/>
        <v>0</v>
      </c>
      <c r="AV426" s="72">
        <f t="shared" si="460"/>
        <v>0</v>
      </c>
      <c r="AW426" s="72">
        <f t="shared" si="461"/>
        <v>0</v>
      </c>
      <c r="AX426" s="72">
        <f t="shared" si="462"/>
        <v>0</v>
      </c>
      <c r="AY426" s="72">
        <f t="shared" si="463"/>
        <v>0</v>
      </c>
      <c r="AZ426" s="72">
        <f t="shared" si="464"/>
        <v>0</v>
      </c>
      <c r="BA426" s="72" t="e">
        <f t="shared" si="465"/>
        <v>#N/A</v>
      </c>
      <c r="BB426" s="72" t="e">
        <f t="shared" si="466"/>
        <v>#N/A</v>
      </c>
      <c r="BC426" s="77"/>
      <c r="BE426">
        <f t="shared" si="446"/>
        <v>0</v>
      </c>
      <c r="BF426" s="196"/>
      <c r="BG426" s="196"/>
      <c r="BH426" s="196"/>
      <c r="BI426" s="196"/>
      <c r="BJ426" s="196"/>
      <c r="BK426" s="196"/>
    </row>
    <row r="427" spans="2:63" hidden="1">
      <c r="B427" s="72"/>
      <c r="C427" s="135"/>
      <c r="D427" s="78"/>
      <c r="E427" s="73"/>
      <c r="F427" s="72"/>
      <c r="G427" s="72"/>
      <c r="H427" s="72"/>
      <c r="I427" s="73">
        <f t="shared" si="448"/>
        <v>0</v>
      </c>
      <c r="J427" s="78"/>
      <c r="K427" s="73"/>
      <c r="L427" s="74" t="e">
        <f>_xlfn.IFNA(VLOOKUP(C427,'חד גזעי'!$U$3:$V$509,2,0),VLOOKUP(C427,'חד גזעי'!$U$3:$V$509,2))</f>
        <v>#N/A</v>
      </c>
      <c r="M427" s="73"/>
      <c r="N427" s="72" t="e">
        <f>_xlfn.IFNA(IF(VLOOKUP(C427,'חד גזעי'!$AH$2:$AH$7,1,FALSE)&gt;0,0,IF('חד גזעי'!$AM$5="כן",IF(_xlfn.IFNA(VLOOKUP(C427,'חד גזעי'!$AH$2:$AH$33,1,FALSE),SUM(J427:M427))&lt;21,_xlfn.IFNA(VLOOKUP(C427,'חד גזעי'!$AH$2:$AH$33,1,FALSE),SUM(J427:M427)),0),SUM(J427:M427))),IF('חד גזעי'!$AM$5="כן",IF(_xlfn.IFNA(VLOOKUP(C427,'חד גזעי'!$AH$2:$AH$33,1,FALSE),SUM(J427:M427))&lt;21,_xlfn.IFNA(VLOOKUP(C427,'חד גזעי'!$AH$2:$AH$33,1,FALSE),SUM(J427:M427)),0),SUM(J427:M427)))</f>
        <v>#N/A</v>
      </c>
      <c r="O427" s="72">
        <f>IF('חד גזעי'!$AM$3 = "כן",IF(T427&gt;4,4,T427),T427)</f>
        <v>0</v>
      </c>
      <c r="P427" s="80">
        <f>IF(E427&lt;2,0,IF(Z427&gt;0,Z427,IF(N427 = 0,0,IF('חד גזעי'!$AM$2 = "לא",IF(F427&gt;19,W427,0),IF(F427&gt;9,Y427,0)))))</f>
        <v>0</v>
      </c>
      <c r="Q427" s="77"/>
      <c r="R427" s="75"/>
      <c r="S427" t="e">
        <f>VLOOKUP(C427,'חד גזעי'!$Y$4:$Y$18,1,0)</f>
        <v>#N/A</v>
      </c>
      <c r="T427" s="72">
        <f>IF('חד גזעי'!$AM$6="לא",IF(P427=0,IF(BC427="שימור",IF('חד גזעי'!$AM$4="לא",IF(BC427="לא בוגר",0,IF(BC427="לא קיים",0,IF(J427=0,0,I427*0.1))),IF(BC427="לא בוגר",0,IF(BC427="לא קיים",0,IF(AB427=1,I427*0.1,E427*0.5)))),0),IF('חד גזעי'!$AM$4="לא",IF(BC427="לא בוגר",0,IF(BC427="לא קיים",0,IF(J427=0,0,I427*0.1))),IF(BC427="לא בוגר",0,IF(BC427="לא קיים",0,IF(AB427=1,I427*0.1,E427*0.5))))),IF(P427=0,IF(BC427="שימור",IF('חד גזעי'!$AM$4="לא",IF(BC427="לא בוגר",0,IF(BC427="לא קיים",0,IF(J427=0,0,I427*0.15))),IF(BC427="לא בוגר",0,IF(BC427="לא קיים",0,IF(AB427=1,I427*0.15,E427*0.5)))),0),IF('חד גזעי'!$AM$4="לא",IF(BC427="לא בוגר",0,IF(BC427="לא קיים",0,IF(J427=0,0,I427*0.15))),IF(BC427="לא בוגר",0,IF(BC427="לא קיים",0,IF(AB427=1,I427*0.15,E427*0.5))))))</f>
        <v>0</v>
      </c>
      <c r="V427" t="e">
        <f t="shared" si="421"/>
        <v>#N/A</v>
      </c>
      <c r="W427" t="e">
        <f t="shared" si="422"/>
        <v>#N/A</v>
      </c>
      <c r="X427" t="e">
        <f t="shared" si="423"/>
        <v>#N/A</v>
      </c>
      <c r="Y427">
        <f>IF('חד גזעי'!$AM$2 = "לא",0,IF(F427&gt;9,W427,0))</f>
        <v>0</v>
      </c>
      <c r="Z427">
        <f>IF('חד גזעי'!$AM$7 = "לא",0,IF(C427 = "זית אירופי",IF('חד גזעי'!$AN$7 &lt;=סקר!F427,W427,0),IF(C427 = "חרוב מצוי",IF('חד גזעי'!$AN$7 &lt;=סקר!F427,W427,0),0)))</f>
        <v>0</v>
      </c>
      <c r="AB427">
        <f t="shared" si="449"/>
        <v>1</v>
      </c>
      <c r="AC427" s="72"/>
      <c r="AD427" t="e">
        <f t="shared" si="467"/>
        <v>#N/A</v>
      </c>
      <c r="AE427" s="72"/>
      <c r="AF427" s="72" t="e">
        <f t="shared" si="450"/>
        <v>#N/A</v>
      </c>
      <c r="AG427" s="72" t="e">
        <f>IF('חד גזעי'!$AM$5="לא",(VLOOKUP(C427,'חד גזעי'!$P$1:$S$589,3,FALSE)),(VLOOKUP(C427,'חד גזעי'!$P$1:$S$589,4,FALSE)))</f>
        <v>#N/A</v>
      </c>
      <c r="AH427" s="72">
        <f t="shared" si="451"/>
        <v>0</v>
      </c>
      <c r="AI427" s="72">
        <f t="shared" si="452"/>
        <v>0</v>
      </c>
      <c r="AJ427" s="72">
        <f t="shared" si="453"/>
        <v>0</v>
      </c>
      <c r="AK427" s="72" t="e">
        <f t="shared" si="454"/>
        <v>#N/A</v>
      </c>
      <c r="AL427" t="e">
        <f>VLOOKUP(C427,'חד גזעי'!$AH$8:$AI$33,2,FALSE)</f>
        <v>#N/A</v>
      </c>
      <c r="AM427" s="72" t="b">
        <f t="shared" si="455"/>
        <v>0</v>
      </c>
      <c r="AN427" s="72" t="b">
        <f t="shared" si="456"/>
        <v>0</v>
      </c>
      <c r="AO427" s="72" t="b">
        <f t="shared" si="457"/>
        <v>0</v>
      </c>
      <c r="AS427" s="72">
        <f t="shared" si="458"/>
        <v>0</v>
      </c>
      <c r="AT427" s="72">
        <f t="shared" si="459"/>
        <v>0</v>
      </c>
      <c r="AU427" s="72">
        <f t="shared" si="468"/>
        <v>0</v>
      </c>
      <c r="AV427" s="72">
        <f t="shared" si="460"/>
        <v>0</v>
      </c>
      <c r="AW427" s="72">
        <f t="shared" si="461"/>
        <v>0</v>
      </c>
      <c r="AX427" s="72">
        <f t="shared" si="462"/>
        <v>0</v>
      </c>
      <c r="AY427" s="72">
        <f t="shared" si="463"/>
        <v>0</v>
      </c>
      <c r="AZ427" s="72">
        <f t="shared" si="464"/>
        <v>0</v>
      </c>
      <c r="BA427" s="72" t="e">
        <f t="shared" si="465"/>
        <v>#N/A</v>
      </c>
      <c r="BB427" s="72" t="e">
        <f t="shared" si="466"/>
        <v>#N/A</v>
      </c>
      <c r="BC427" s="77"/>
      <c r="BE427">
        <f t="shared" si="446"/>
        <v>0</v>
      </c>
      <c r="BF427" s="196"/>
      <c r="BG427" s="196"/>
      <c r="BH427" s="196"/>
      <c r="BI427" s="196"/>
      <c r="BJ427" s="196"/>
      <c r="BK427" s="196"/>
    </row>
    <row r="428" spans="2:63" hidden="1">
      <c r="B428" s="72"/>
      <c r="C428" s="135"/>
      <c r="D428" s="78"/>
      <c r="E428" s="73"/>
      <c r="F428" s="72"/>
      <c r="G428" s="72"/>
      <c r="H428" s="72"/>
      <c r="I428" s="73">
        <f t="shared" si="448"/>
        <v>0</v>
      </c>
      <c r="J428" s="78"/>
      <c r="K428" s="73"/>
      <c r="L428" s="74" t="e">
        <f>_xlfn.IFNA(VLOOKUP(C428,'חד גזעי'!$U$3:$V$509,2,0),VLOOKUP(C428,'חד גזעי'!$U$3:$V$509,2))</f>
        <v>#N/A</v>
      </c>
      <c r="M428" s="73"/>
      <c r="N428" s="72" t="e">
        <f>_xlfn.IFNA(IF(VLOOKUP(C428,'חד גזעי'!$AH$2:$AH$7,1,FALSE)&gt;0,0,IF('חד גזעי'!$AM$5="כן",IF(_xlfn.IFNA(VLOOKUP(C428,'חד גזעי'!$AH$2:$AH$33,1,FALSE),SUM(J428:M428))&lt;21,_xlfn.IFNA(VLOOKUP(C428,'חד גזעי'!$AH$2:$AH$33,1,FALSE),SUM(J428:M428)),0),SUM(J428:M428))),IF('חד גזעי'!$AM$5="כן",IF(_xlfn.IFNA(VLOOKUP(C428,'חד גזעי'!$AH$2:$AH$33,1,FALSE),SUM(J428:M428))&lt;21,_xlfn.IFNA(VLOOKUP(C428,'חד גזעי'!$AH$2:$AH$33,1,FALSE),SUM(J428:M428)),0),SUM(J428:M428)))</f>
        <v>#N/A</v>
      </c>
      <c r="O428" s="72">
        <f>IF('חד גזעי'!$AM$3 = "כן",IF(T428&gt;4,4,T428),T428)</f>
        <v>0</v>
      </c>
      <c r="P428" s="80">
        <f>IF(E428&lt;2,0,IF(Z428&gt;0,Z428,IF(N428 = 0,0,IF('חד גזעי'!$AM$2 = "לא",IF(F428&gt;19,W428,0),IF(F428&gt;9,Y428,0)))))</f>
        <v>0</v>
      </c>
      <c r="Q428" s="77"/>
      <c r="R428" s="75"/>
      <c r="S428" t="e">
        <f>VLOOKUP(C428,'חד גזעי'!$Y$4:$Y$18,1,0)</f>
        <v>#N/A</v>
      </c>
      <c r="T428" s="72">
        <f>IF('חד גזעי'!$AM$6="לא",IF(P428=0,IF(BC428="שימור",IF('חד גזעי'!$AM$4="לא",IF(BC428="לא בוגר",0,IF(BC428="לא קיים",0,IF(J428=0,0,I428*0.1))),IF(BC428="לא בוגר",0,IF(BC428="לא קיים",0,IF(AB428=1,I428*0.1,E428*0.5)))),0),IF('חד גזעי'!$AM$4="לא",IF(BC428="לא בוגר",0,IF(BC428="לא קיים",0,IF(J428=0,0,I428*0.1))),IF(BC428="לא בוגר",0,IF(BC428="לא קיים",0,IF(AB428=1,I428*0.1,E428*0.5))))),IF(P428=0,IF(BC428="שימור",IF('חד גזעי'!$AM$4="לא",IF(BC428="לא בוגר",0,IF(BC428="לא קיים",0,IF(J428=0,0,I428*0.15))),IF(BC428="לא בוגר",0,IF(BC428="לא קיים",0,IF(AB428=1,I428*0.15,E428*0.5)))),0),IF('חד גזעי'!$AM$4="לא",IF(BC428="לא בוגר",0,IF(BC428="לא קיים",0,IF(J428=0,0,I428*0.15))),IF(BC428="לא בוגר",0,IF(BC428="לא קיים",0,IF(AB428=1,I428*0.15,E428*0.5))))))</f>
        <v>0</v>
      </c>
      <c r="V428" t="e">
        <f t="shared" si="421"/>
        <v>#N/A</v>
      </c>
      <c r="W428" t="e">
        <f t="shared" si="422"/>
        <v>#N/A</v>
      </c>
      <c r="X428" t="e">
        <f t="shared" si="423"/>
        <v>#N/A</v>
      </c>
      <c r="Y428">
        <f>IF('חד גזעי'!$AM$2 = "לא",0,IF(F428&gt;9,W428,0))</f>
        <v>0</v>
      </c>
      <c r="Z428">
        <f>IF('חד גזעי'!$AM$7 = "לא",0,IF(C428 = "זית אירופי",IF('חד גזעי'!$AN$7 &lt;=סקר!F428,W428,0),IF(C428 = "חרוב מצוי",IF('חד גזעי'!$AN$7 &lt;=סקר!F428,W428,0),0)))</f>
        <v>0</v>
      </c>
      <c r="AB428">
        <f t="shared" si="449"/>
        <v>1</v>
      </c>
      <c r="AC428" s="72"/>
      <c r="AD428" t="e">
        <f t="shared" si="467"/>
        <v>#N/A</v>
      </c>
      <c r="AE428" s="72"/>
      <c r="AF428" s="72" t="e">
        <f t="shared" si="450"/>
        <v>#N/A</v>
      </c>
      <c r="AG428" s="72" t="e">
        <f>IF('חד גזעי'!$AM$5="לא",(VLOOKUP(C428,'חד גזעי'!$P$1:$S$589,3,FALSE)),(VLOOKUP(C428,'חד גזעי'!$P$1:$S$589,4,FALSE)))</f>
        <v>#N/A</v>
      </c>
      <c r="AH428" s="72">
        <f t="shared" si="451"/>
        <v>0</v>
      </c>
      <c r="AI428" s="72">
        <f t="shared" si="452"/>
        <v>0</v>
      </c>
      <c r="AJ428" s="72">
        <f t="shared" si="453"/>
        <v>0</v>
      </c>
      <c r="AK428" s="72" t="e">
        <f t="shared" si="454"/>
        <v>#N/A</v>
      </c>
      <c r="AL428" t="e">
        <f>VLOOKUP(C428,'חד גזעי'!$AH$8:$AI$33,2,FALSE)</f>
        <v>#N/A</v>
      </c>
      <c r="AM428" s="72" t="b">
        <f t="shared" si="455"/>
        <v>0</v>
      </c>
      <c r="AN428" s="72" t="b">
        <f t="shared" si="456"/>
        <v>0</v>
      </c>
      <c r="AO428" s="72" t="b">
        <f t="shared" si="457"/>
        <v>0</v>
      </c>
      <c r="AS428" s="72">
        <f t="shared" si="458"/>
        <v>0</v>
      </c>
      <c r="AT428" s="72">
        <f t="shared" si="459"/>
        <v>0</v>
      </c>
      <c r="AU428" s="72">
        <f t="shared" si="468"/>
        <v>0</v>
      </c>
      <c r="AV428" s="72">
        <f t="shared" si="460"/>
        <v>0</v>
      </c>
      <c r="AW428" s="72">
        <f t="shared" si="461"/>
        <v>0</v>
      </c>
      <c r="AX428" s="72">
        <f t="shared" si="462"/>
        <v>0</v>
      </c>
      <c r="AY428" s="72">
        <f t="shared" si="463"/>
        <v>0</v>
      </c>
      <c r="AZ428" s="72">
        <f t="shared" si="464"/>
        <v>0</v>
      </c>
      <c r="BA428" s="72" t="e">
        <f t="shared" si="465"/>
        <v>#N/A</v>
      </c>
      <c r="BB428" s="72" t="e">
        <f t="shared" si="466"/>
        <v>#N/A</v>
      </c>
      <c r="BC428" s="77"/>
      <c r="BE428">
        <f t="shared" si="446"/>
        <v>0</v>
      </c>
      <c r="BF428" s="196"/>
      <c r="BG428" s="196"/>
      <c r="BH428" s="196"/>
      <c r="BI428" s="196"/>
      <c r="BJ428" s="196"/>
      <c r="BK428" s="196"/>
    </row>
    <row r="429" spans="2:63" hidden="1">
      <c r="B429" s="72"/>
      <c r="C429" s="135"/>
      <c r="D429" s="78"/>
      <c r="E429" s="73"/>
      <c r="F429" s="72"/>
      <c r="G429" s="72"/>
      <c r="H429" s="72"/>
      <c r="I429" s="73">
        <f t="shared" si="448"/>
        <v>0</v>
      </c>
      <c r="J429" s="78"/>
      <c r="K429" s="73"/>
      <c r="L429" s="74" t="e">
        <f>_xlfn.IFNA(VLOOKUP(C429,'חד גזעי'!$U$3:$V$509,2,0),VLOOKUP(C429,'חד גזעי'!$U$3:$V$509,2))</f>
        <v>#N/A</v>
      </c>
      <c r="M429" s="73"/>
      <c r="N429" s="72" t="e">
        <f>_xlfn.IFNA(IF(VLOOKUP(C429,'חד גזעי'!$AH$2:$AH$7,1,FALSE)&gt;0,0,IF('חד גזעי'!$AM$5="כן",IF(_xlfn.IFNA(VLOOKUP(C429,'חד גזעי'!$AH$2:$AH$33,1,FALSE),SUM(J429:M429))&lt;21,_xlfn.IFNA(VLOOKUP(C429,'חד גזעי'!$AH$2:$AH$33,1,FALSE),SUM(J429:M429)),0),SUM(J429:M429))),IF('חד גזעי'!$AM$5="כן",IF(_xlfn.IFNA(VLOOKUP(C429,'חד גזעי'!$AH$2:$AH$33,1,FALSE),SUM(J429:M429))&lt;21,_xlfn.IFNA(VLOOKUP(C429,'חד גזעי'!$AH$2:$AH$33,1,FALSE),SUM(J429:M429)),0),SUM(J429:M429)))</f>
        <v>#N/A</v>
      </c>
      <c r="O429" s="72">
        <f>IF('חד גזעי'!$AM$3 = "כן",IF(T429&gt;4,4,T429),T429)</f>
        <v>0</v>
      </c>
      <c r="P429" s="80">
        <f>IF(E429&lt;2,0,IF(Z429&gt;0,Z429,IF(N429 = 0,0,IF('חד גזעי'!$AM$2 = "לא",IF(F429&gt;19,W429,0),IF(F429&gt;9,Y429,0)))))</f>
        <v>0</v>
      </c>
      <c r="Q429" s="77"/>
      <c r="R429" s="75"/>
      <c r="S429" t="e">
        <f>VLOOKUP(C429,'חד גזעי'!$Y$4:$Y$18,1,0)</f>
        <v>#N/A</v>
      </c>
      <c r="T429" s="72">
        <f>IF('חד גזעי'!$AM$6="לא",IF(P429=0,IF(BC429="שימור",IF('חד גזעי'!$AM$4="לא",IF(BC429="לא בוגר",0,IF(BC429="לא קיים",0,IF(J429=0,0,I429*0.1))),IF(BC429="לא בוגר",0,IF(BC429="לא קיים",0,IF(AB429=1,I429*0.1,E429*0.5)))),0),IF('חד גזעי'!$AM$4="לא",IF(BC429="לא בוגר",0,IF(BC429="לא קיים",0,IF(J429=0,0,I429*0.1))),IF(BC429="לא בוגר",0,IF(BC429="לא קיים",0,IF(AB429=1,I429*0.1,E429*0.5))))),IF(P429=0,IF(BC429="שימור",IF('חד גזעי'!$AM$4="לא",IF(BC429="לא בוגר",0,IF(BC429="לא קיים",0,IF(J429=0,0,I429*0.15))),IF(BC429="לא בוגר",0,IF(BC429="לא קיים",0,IF(AB429=1,I429*0.15,E429*0.5)))),0),IF('חד גזעי'!$AM$4="לא",IF(BC429="לא בוגר",0,IF(BC429="לא קיים",0,IF(J429=0,0,I429*0.15))),IF(BC429="לא בוגר",0,IF(BC429="לא קיים",0,IF(AB429=1,I429*0.15,E429*0.5))))))</f>
        <v>0</v>
      </c>
      <c r="V429" t="e">
        <f t="shared" si="421"/>
        <v>#N/A</v>
      </c>
      <c r="W429" t="e">
        <f t="shared" si="422"/>
        <v>#N/A</v>
      </c>
      <c r="X429" t="e">
        <f t="shared" si="423"/>
        <v>#N/A</v>
      </c>
      <c r="Y429">
        <f>IF('חד גזעי'!$AM$2 = "לא",0,IF(F429&gt;9,W429,0))</f>
        <v>0</v>
      </c>
      <c r="Z429">
        <f>IF('חד גזעי'!$AM$7 = "לא",0,IF(C429 = "זית אירופי",IF('חד גזעי'!$AN$7 &lt;=סקר!F429,W429,0),IF(C429 = "חרוב מצוי",IF('חד גזעי'!$AN$7 &lt;=סקר!F429,W429,0),0)))</f>
        <v>0</v>
      </c>
      <c r="AB429">
        <f t="shared" si="449"/>
        <v>1</v>
      </c>
      <c r="AC429" s="72"/>
      <c r="AD429" t="e">
        <f t="shared" si="467"/>
        <v>#N/A</v>
      </c>
      <c r="AE429" s="72"/>
      <c r="AF429" s="72" t="e">
        <f t="shared" si="450"/>
        <v>#N/A</v>
      </c>
      <c r="AG429" s="72" t="e">
        <f>IF('חד גזעי'!$AM$5="לא",(VLOOKUP(C429,'חד גזעי'!$P$1:$S$589,3,FALSE)),(VLOOKUP(C429,'חד גזעי'!$P$1:$S$589,4,FALSE)))</f>
        <v>#N/A</v>
      </c>
      <c r="AH429" s="72">
        <f t="shared" si="451"/>
        <v>0</v>
      </c>
      <c r="AI429" s="72">
        <f t="shared" si="452"/>
        <v>0</v>
      </c>
      <c r="AJ429" s="72">
        <f t="shared" si="453"/>
        <v>0</v>
      </c>
      <c r="AK429" s="72" t="e">
        <f t="shared" si="454"/>
        <v>#N/A</v>
      </c>
      <c r="AL429" t="e">
        <f>VLOOKUP(C429,'חד גזעי'!$AH$8:$AI$33,2,FALSE)</f>
        <v>#N/A</v>
      </c>
      <c r="AM429" s="72" t="b">
        <f t="shared" si="455"/>
        <v>0</v>
      </c>
      <c r="AN429" s="72" t="b">
        <f t="shared" si="456"/>
        <v>0</v>
      </c>
      <c r="AO429" s="72" t="b">
        <f t="shared" si="457"/>
        <v>0</v>
      </c>
      <c r="AS429" s="72">
        <f t="shared" si="458"/>
        <v>0</v>
      </c>
      <c r="AT429" s="72">
        <f t="shared" si="459"/>
        <v>0</v>
      </c>
      <c r="AU429" s="72">
        <f t="shared" si="468"/>
        <v>0</v>
      </c>
      <c r="AV429" s="72">
        <f t="shared" si="460"/>
        <v>0</v>
      </c>
      <c r="AW429" s="72">
        <f t="shared" si="461"/>
        <v>0</v>
      </c>
      <c r="AX429" s="72">
        <f t="shared" si="462"/>
        <v>0</v>
      </c>
      <c r="AY429" s="72">
        <f t="shared" si="463"/>
        <v>0</v>
      </c>
      <c r="AZ429" s="72">
        <f t="shared" si="464"/>
        <v>0</v>
      </c>
      <c r="BA429" s="72" t="e">
        <f t="shared" si="465"/>
        <v>#N/A</v>
      </c>
      <c r="BB429" s="72" t="e">
        <f t="shared" si="466"/>
        <v>#N/A</v>
      </c>
      <c r="BC429" s="77"/>
      <c r="BE429">
        <f t="shared" si="446"/>
        <v>0</v>
      </c>
      <c r="BF429" s="196"/>
      <c r="BG429" s="196"/>
      <c r="BH429" s="196"/>
      <c r="BI429" s="196"/>
      <c r="BJ429" s="196"/>
      <c r="BK429" s="196"/>
    </row>
    <row r="430" spans="2:63" hidden="1">
      <c r="B430" s="72"/>
      <c r="C430" s="135"/>
      <c r="D430" s="78"/>
      <c r="E430" s="78"/>
      <c r="F430" s="72"/>
      <c r="G430" s="72"/>
      <c r="H430" s="72"/>
      <c r="I430" s="73">
        <f t="shared" si="448"/>
        <v>0</v>
      </c>
      <c r="J430" s="78"/>
      <c r="K430" s="73"/>
      <c r="L430" s="74" t="e">
        <f>_xlfn.IFNA(VLOOKUP(C430,'חד גזעי'!$U$3:$V$509,2,0),VLOOKUP(C430,'חד גזעי'!$U$3:$V$509,2))</f>
        <v>#N/A</v>
      </c>
      <c r="M430" s="73"/>
      <c r="N430" s="72" t="e">
        <f>_xlfn.IFNA(IF(VLOOKUP(C430,'חד גזעי'!$AH$2:$AH$7,1,FALSE)&gt;0,0,IF('חד גזעי'!$AM$5="כן",IF(_xlfn.IFNA(VLOOKUP(C430,'חד גזעי'!$AH$2:$AH$33,1,FALSE),SUM(J430:M430))&lt;21,_xlfn.IFNA(VLOOKUP(C430,'חד גזעי'!$AH$2:$AH$33,1,FALSE),SUM(J430:M430)),0),SUM(J430:M430))),IF('חד גזעי'!$AM$5="כן",IF(_xlfn.IFNA(VLOOKUP(C430,'חד גזעי'!$AH$2:$AH$33,1,FALSE),SUM(J430:M430))&lt;21,_xlfn.IFNA(VLOOKUP(C430,'חד גזעי'!$AH$2:$AH$33,1,FALSE),SUM(J430:M430)),0),SUM(J430:M430)))</f>
        <v>#N/A</v>
      </c>
      <c r="O430" s="72">
        <f>IF('חד גזעי'!$AM$3 = "כן",IF(T430&gt;4,4,T430),T430)</f>
        <v>0</v>
      </c>
      <c r="P430" s="80">
        <f>IF(E430&lt;2,0,IF(Z430&gt;0,Z430,IF(N430 = 0,0,IF('חד גזעי'!$AM$2 = "לא",IF(F430&gt;19,W430,0),IF(F430&gt;9,Y430,0)))))</f>
        <v>0</v>
      </c>
      <c r="Q430" s="77"/>
      <c r="R430" s="75"/>
      <c r="S430" t="e">
        <f>VLOOKUP(C430,'חד גזעי'!$Y$4:$Y$18,1,0)</f>
        <v>#N/A</v>
      </c>
      <c r="T430" s="72">
        <f>IF('חד גזעי'!$AM$6="לא",IF(P430=0,IF(BC430="שימור",IF('חד גזעי'!$AM$4="לא",IF(BC430="לא בוגר",0,IF(BC430="לא קיים",0,IF(J430=0,0,I430*0.1))),IF(BC430="לא בוגר",0,IF(BC430="לא קיים",0,IF(AB430=1,I430*0.1,E430*0.5)))),0),IF('חד גזעי'!$AM$4="לא",IF(BC430="לא בוגר",0,IF(BC430="לא קיים",0,IF(J430=0,0,I430*0.1))),IF(BC430="לא בוגר",0,IF(BC430="לא קיים",0,IF(AB430=1,I430*0.1,E430*0.5))))),IF(P430=0,IF(BC430="שימור",IF('חד גזעי'!$AM$4="לא",IF(BC430="לא בוגר",0,IF(BC430="לא קיים",0,IF(J430=0,0,I430*0.15))),IF(BC430="לא בוגר",0,IF(BC430="לא קיים",0,IF(AB430=1,I430*0.15,E430*0.5)))),0),IF('חד גזעי'!$AM$4="לא",IF(BC430="לא בוגר",0,IF(BC430="לא קיים",0,IF(J430=0,0,I430*0.15))),IF(BC430="לא בוגר",0,IF(BC430="לא קיים",0,IF(AB430=1,I430*0.15,E430*0.5))))))</f>
        <v>0</v>
      </c>
      <c r="V430" t="e">
        <f t="shared" si="421"/>
        <v>#N/A</v>
      </c>
      <c r="W430" t="e">
        <f t="shared" si="422"/>
        <v>#N/A</v>
      </c>
      <c r="X430" t="e">
        <f t="shared" si="423"/>
        <v>#N/A</v>
      </c>
      <c r="Y430">
        <f>IF('חד גזעי'!$AM$2 = "לא",0,IF(F430&gt;9,W430,0))</f>
        <v>0</v>
      </c>
      <c r="Z430">
        <f>IF('חד גזעי'!$AM$7 = "לא",0,IF(C430 = "זית אירופי",IF('חד גזעי'!$AN$7 &lt;=סקר!F430,W430,0),IF(C430 = "חרוב מצוי",IF('חד גזעי'!$AN$7 &lt;=סקר!F430,W430,0),0)))</f>
        <v>0</v>
      </c>
      <c r="AB430">
        <f t="shared" si="449"/>
        <v>1</v>
      </c>
      <c r="AC430" s="72"/>
      <c r="AD430" t="e">
        <f t="shared" si="467"/>
        <v>#N/A</v>
      </c>
      <c r="AE430" s="72"/>
      <c r="AF430" s="72" t="e">
        <f t="shared" si="450"/>
        <v>#N/A</v>
      </c>
      <c r="AG430" s="72" t="e">
        <f>IF('חד גזעי'!$AM$5="לא",(VLOOKUP(C430,'חד גזעי'!$P$1:$S$589,3,FALSE)),(VLOOKUP(C430,'חד גזעי'!$P$1:$S$589,4,FALSE)))</f>
        <v>#N/A</v>
      </c>
      <c r="AH430" s="72">
        <f t="shared" si="451"/>
        <v>0</v>
      </c>
      <c r="AI430" s="72">
        <f t="shared" si="452"/>
        <v>0</v>
      </c>
      <c r="AJ430" s="72">
        <f t="shared" si="453"/>
        <v>0</v>
      </c>
      <c r="AK430" s="72" t="e">
        <f t="shared" si="454"/>
        <v>#N/A</v>
      </c>
      <c r="AL430" t="e">
        <f>VLOOKUP(C430,'חד גזעי'!$AH$8:$AI$33,2,FALSE)</f>
        <v>#N/A</v>
      </c>
      <c r="AM430" s="72" t="b">
        <f t="shared" si="455"/>
        <v>0</v>
      </c>
      <c r="AN430" s="72" t="b">
        <f t="shared" si="456"/>
        <v>0</v>
      </c>
      <c r="AO430" s="72" t="b">
        <f t="shared" si="457"/>
        <v>0</v>
      </c>
      <c r="AS430" s="72">
        <f t="shared" si="458"/>
        <v>0</v>
      </c>
      <c r="AT430" s="72">
        <f t="shared" si="459"/>
        <v>0</v>
      </c>
      <c r="AU430" s="72">
        <f t="shared" si="468"/>
        <v>0</v>
      </c>
      <c r="AV430" s="72">
        <f t="shared" si="460"/>
        <v>0</v>
      </c>
      <c r="AW430" s="72">
        <f t="shared" si="461"/>
        <v>0</v>
      </c>
      <c r="AX430" s="72">
        <f t="shared" si="462"/>
        <v>0</v>
      </c>
      <c r="AY430" s="72">
        <f t="shared" si="463"/>
        <v>0</v>
      </c>
      <c r="AZ430" s="72">
        <f t="shared" si="464"/>
        <v>0</v>
      </c>
      <c r="BA430" s="72" t="e">
        <f t="shared" si="465"/>
        <v>#N/A</v>
      </c>
      <c r="BB430" s="72" t="e">
        <f t="shared" si="466"/>
        <v>#N/A</v>
      </c>
      <c r="BC430" s="77"/>
      <c r="BE430">
        <f t="shared" si="446"/>
        <v>0</v>
      </c>
      <c r="BF430" s="196"/>
      <c r="BG430" s="196"/>
      <c r="BH430" s="196"/>
      <c r="BI430" s="196"/>
      <c r="BJ430" s="196"/>
      <c r="BK430" s="196"/>
    </row>
    <row r="431" spans="2:63" hidden="1">
      <c r="B431" s="72"/>
      <c r="C431" s="135"/>
      <c r="D431" s="78"/>
      <c r="E431" s="78"/>
      <c r="F431" s="72"/>
      <c r="G431" s="72"/>
      <c r="H431" s="72"/>
      <c r="I431" s="73">
        <f t="shared" si="448"/>
        <v>0</v>
      </c>
      <c r="J431" s="78"/>
      <c r="K431" s="73"/>
      <c r="L431" s="74" t="e">
        <f>_xlfn.IFNA(VLOOKUP(C431,'חד גזעי'!$U$3:$V$509,2,0),VLOOKUP(C431,'חד גזעי'!$U$3:$V$509,2))</f>
        <v>#N/A</v>
      </c>
      <c r="M431" s="73"/>
      <c r="N431" s="72" t="e">
        <f>_xlfn.IFNA(IF(VLOOKUP(C431,'חד גזעי'!$AH$2:$AH$7,1,FALSE)&gt;0,0,IF('חד גזעי'!$AM$5="כן",IF(_xlfn.IFNA(VLOOKUP(C431,'חד גזעי'!$AH$2:$AH$33,1,FALSE),SUM(J431:M431))&lt;21,_xlfn.IFNA(VLOOKUP(C431,'חד גזעי'!$AH$2:$AH$33,1,FALSE),SUM(J431:M431)),0),SUM(J431:M431))),IF('חד גזעי'!$AM$5="כן",IF(_xlfn.IFNA(VLOOKUP(C431,'חד גזעי'!$AH$2:$AH$33,1,FALSE),SUM(J431:M431))&lt;21,_xlfn.IFNA(VLOOKUP(C431,'חד גזעי'!$AH$2:$AH$33,1,FALSE),SUM(J431:M431)),0),SUM(J431:M431)))</f>
        <v>#N/A</v>
      </c>
      <c r="O431" s="72">
        <f>IF('חד גזעי'!$AM$3 = "כן",IF(T431&gt;4,4,T431),T431)</f>
        <v>0</v>
      </c>
      <c r="P431" s="80">
        <f>IF(E431&lt;2,0,IF(Z431&gt;0,Z431,IF(N431 = 0,0,IF('חד גזעי'!$AM$2 = "לא",IF(F431&gt;19,W431,0),IF(F431&gt;9,Y431,0)))))</f>
        <v>0</v>
      </c>
      <c r="Q431" s="77"/>
      <c r="R431" s="75"/>
      <c r="S431" t="e">
        <f>VLOOKUP(C431,'חד גזעי'!$Y$4:$Y$18,1,0)</f>
        <v>#N/A</v>
      </c>
      <c r="T431" s="72">
        <f>IF('חד גזעי'!$AM$6="לא",IF(P431=0,IF(BC431="שימור",IF('חד גזעי'!$AM$4="לא",IF(BC431="לא בוגר",0,IF(BC431="לא קיים",0,IF(J431=0,0,I431*0.1))),IF(BC431="לא בוגר",0,IF(BC431="לא קיים",0,IF(AB431=1,I431*0.1,E431*0.5)))),0),IF('חד גזעי'!$AM$4="לא",IF(BC431="לא בוגר",0,IF(BC431="לא קיים",0,IF(J431=0,0,I431*0.1))),IF(BC431="לא בוגר",0,IF(BC431="לא קיים",0,IF(AB431=1,I431*0.1,E431*0.5))))),IF(P431=0,IF(BC431="שימור",IF('חד גזעי'!$AM$4="לא",IF(BC431="לא בוגר",0,IF(BC431="לא קיים",0,IF(J431=0,0,I431*0.15))),IF(BC431="לא בוגר",0,IF(BC431="לא קיים",0,IF(AB431=1,I431*0.15,E431*0.5)))),0),IF('חד גזעי'!$AM$4="לא",IF(BC431="לא בוגר",0,IF(BC431="לא קיים",0,IF(J431=0,0,I431*0.15))),IF(BC431="לא בוגר",0,IF(BC431="לא קיים",0,IF(AB431=1,I431*0.15,E431*0.5))))))</f>
        <v>0</v>
      </c>
      <c r="V431" t="e">
        <f t="shared" si="421"/>
        <v>#N/A</v>
      </c>
      <c r="W431" t="e">
        <f t="shared" si="422"/>
        <v>#N/A</v>
      </c>
      <c r="X431" t="e">
        <f t="shared" si="423"/>
        <v>#N/A</v>
      </c>
      <c r="Y431">
        <f>IF('חד גזעי'!$AM$2 = "לא",0,IF(F431&gt;9,W431,0))</f>
        <v>0</v>
      </c>
      <c r="Z431">
        <f>IF('חד גזעי'!$AM$7 = "לא",0,IF(C431 = "זית אירופי",IF('חד גזעי'!$AN$7 &lt;=סקר!F431,W431,0),IF(C431 = "חרוב מצוי",IF('חד גזעי'!$AN$7 &lt;=סקר!F431,W431,0),0)))</f>
        <v>0</v>
      </c>
      <c r="AB431">
        <f t="shared" si="449"/>
        <v>1</v>
      </c>
      <c r="AC431" s="72"/>
      <c r="AD431" t="e">
        <f t="shared" si="467"/>
        <v>#N/A</v>
      </c>
      <c r="AE431" s="72"/>
      <c r="AF431" s="72" t="e">
        <f t="shared" si="450"/>
        <v>#N/A</v>
      </c>
      <c r="AG431" s="72" t="e">
        <f>IF('חד גזעי'!$AM$5="לא",(VLOOKUP(C431,'חד גזעי'!$P$1:$S$589,3,FALSE)),(VLOOKUP(C431,'חד גזעי'!$P$1:$S$589,4,FALSE)))</f>
        <v>#N/A</v>
      </c>
      <c r="AH431" s="72">
        <f t="shared" si="451"/>
        <v>0</v>
      </c>
      <c r="AI431" s="72">
        <f t="shared" si="452"/>
        <v>0</v>
      </c>
      <c r="AJ431" s="72">
        <f t="shared" si="453"/>
        <v>0</v>
      </c>
      <c r="AK431" s="72" t="e">
        <f t="shared" si="454"/>
        <v>#N/A</v>
      </c>
      <c r="AL431" t="e">
        <f>VLOOKUP(C431,'חד גזעי'!$AH$8:$AI$33,2,FALSE)</f>
        <v>#N/A</v>
      </c>
      <c r="AM431" s="72" t="b">
        <f t="shared" si="455"/>
        <v>0</v>
      </c>
      <c r="AN431" s="72" t="b">
        <f t="shared" si="456"/>
        <v>0</v>
      </c>
      <c r="AO431" s="72" t="b">
        <f t="shared" si="457"/>
        <v>0</v>
      </c>
      <c r="AS431" s="72">
        <f t="shared" si="458"/>
        <v>0</v>
      </c>
      <c r="AT431" s="72">
        <f t="shared" si="459"/>
        <v>0</v>
      </c>
      <c r="AU431" s="72">
        <f t="shared" si="468"/>
        <v>0</v>
      </c>
      <c r="AV431" s="72">
        <f t="shared" si="460"/>
        <v>0</v>
      </c>
      <c r="AW431" s="72">
        <f t="shared" si="461"/>
        <v>0</v>
      </c>
      <c r="AX431" s="72">
        <f t="shared" si="462"/>
        <v>0</v>
      </c>
      <c r="AY431" s="72">
        <f t="shared" si="463"/>
        <v>0</v>
      </c>
      <c r="AZ431" s="72">
        <f t="shared" si="464"/>
        <v>0</v>
      </c>
      <c r="BA431" s="72" t="e">
        <f t="shared" si="465"/>
        <v>#N/A</v>
      </c>
      <c r="BB431" s="72" t="e">
        <f t="shared" si="466"/>
        <v>#N/A</v>
      </c>
      <c r="BC431" s="77"/>
      <c r="BE431">
        <f t="shared" si="446"/>
        <v>0</v>
      </c>
      <c r="BF431" s="196"/>
      <c r="BG431" s="196"/>
      <c r="BH431" s="196"/>
      <c r="BI431" s="196"/>
      <c r="BJ431" s="196"/>
      <c r="BK431" s="196"/>
    </row>
    <row r="432" spans="2:63" hidden="1">
      <c r="B432" s="72"/>
      <c r="C432" s="135"/>
      <c r="D432" s="78"/>
      <c r="E432" s="78"/>
      <c r="F432" s="72"/>
      <c r="G432" s="72"/>
      <c r="H432" s="72"/>
      <c r="I432" s="73">
        <f t="shared" si="448"/>
        <v>0</v>
      </c>
      <c r="J432" s="78"/>
      <c r="K432" s="73"/>
      <c r="L432" s="74" t="e">
        <f>_xlfn.IFNA(VLOOKUP(C432,'חד גזעי'!$U$3:$V$509,2,0),VLOOKUP(C432,'חד גזעי'!$U$3:$V$509,2))</f>
        <v>#N/A</v>
      </c>
      <c r="M432" s="73"/>
      <c r="N432" s="72" t="e">
        <f>_xlfn.IFNA(IF(VLOOKUP(C432,'חד גזעי'!$AH$2:$AH$7,1,FALSE)&gt;0,0,IF('חד גזעי'!$AM$5="כן",IF(_xlfn.IFNA(VLOOKUP(C432,'חד גזעי'!$AH$2:$AH$33,1,FALSE),SUM(J432:M432))&lt;21,_xlfn.IFNA(VLOOKUP(C432,'חד גזעי'!$AH$2:$AH$33,1,FALSE),SUM(J432:M432)),0),SUM(J432:M432))),IF('חד גזעי'!$AM$5="כן",IF(_xlfn.IFNA(VLOOKUP(C432,'חד גזעי'!$AH$2:$AH$33,1,FALSE),SUM(J432:M432))&lt;21,_xlfn.IFNA(VLOOKUP(C432,'חד גזעי'!$AH$2:$AH$33,1,FALSE),SUM(J432:M432)),0),SUM(J432:M432)))</f>
        <v>#N/A</v>
      </c>
      <c r="O432" s="72">
        <f>IF('חד גזעי'!$AM$3 = "כן",IF(T432&gt;4,4,T432),T432)</f>
        <v>0</v>
      </c>
      <c r="P432" s="80">
        <f>IF(E432&lt;2,0,IF(Z432&gt;0,Z432,IF(N432 = 0,0,IF('חד גזעי'!$AM$2 = "לא",IF(F432&gt;19,W432,0),IF(F432&gt;9,Y432,0)))))</f>
        <v>0</v>
      </c>
      <c r="Q432" s="77"/>
      <c r="R432" s="75"/>
      <c r="S432" t="e">
        <f>VLOOKUP(C432,'חד גזעי'!$Y$4:$Y$18,1,0)</f>
        <v>#N/A</v>
      </c>
      <c r="T432" s="72">
        <f>IF('חד גזעי'!$AM$6="לא",IF(P432=0,IF(BC432="שימור",IF('חד גזעי'!$AM$4="לא",IF(BC432="לא בוגר",0,IF(BC432="לא קיים",0,IF(J432=0,0,I432*0.1))),IF(BC432="לא בוגר",0,IF(BC432="לא קיים",0,IF(AB432=1,I432*0.1,E432*0.5)))),0),IF('חד גזעי'!$AM$4="לא",IF(BC432="לא בוגר",0,IF(BC432="לא קיים",0,IF(J432=0,0,I432*0.1))),IF(BC432="לא בוגר",0,IF(BC432="לא קיים",0,IF(AB432=1,I432*0.1,E432*0.5))))),IF(P432=0,IF(BC432="שימור",IF('חד גזעי'!$AM$4="לא",IF(BC432="לא בוגר",0,IF(BC432="לא קיים",0,IF(J432=0,0,I432*0.15))),IF(BC432="לא בוגר",0,IF(BC432="לא קיים",0,IF(AB432=1,I432*0.15,E432*0.5)))),0),IF('חד גזעי'!$AM$4="לא",IF(BC432="לא בוגר",0,IF(BC432="לא קיים",0,IF(J432=0,0,I432*0.15))),IF(BC432="לא בוגר",0,IF(BC432="לא קיים",0,IF(AB432=1,I432*0.15,E432*0.5))))))</f>
        <v>0</v>
      </c>
      <c r="V432" t="e">
        <f t="shared" si="421"/>
        <v>#N/A</v>
      </c>
      <c r="W432" t="e">
        <f t="shared" si="422"/>
        <v>#N/A</v>
      </c>
      <c r="X432" t="e">
        <f t="shared" si="423"/>
        <v>#N/A</v>
      </c>
      <c r="Y432">
        <f>IF('חד גזעי'!$AM$2 = "לא",0,IF(F432&gt;9,W432,0))</f>
        <v>0</v>
      </c>
      <c r="Z432">
        <f>IF('חד גזעי'!$AM$7 = "לא",0,IF(C432 = "זית אירופי",IF('חד גזעי'!$AN$7 &lt;=סקר!F432,W432,0),IF(C432 = "חרוב מצוי",IF('חד גזעי'!$AN$7 &lt;=סקר!F432,W432,0),0)))</f>
        <v>0</v>
      </c>
      <c r="AB432">
        <f t="shared" si="449"/>
        <v>1</v>
      </c>
      <c r="AC432" s="72"/>
      <c r="AD432" t="e">
        <f t="shared" si="467"/>
        <v>#N/A</v>
      </c>
      <c r="AE432" s="72"/>
      <c r="AF432" s="72" t="e">
        <f t="shared" si="450"/>
        <v>#N/A</v>
      </c>
      <c r="AG432" s="72" t="e">
        <f>IF('חד גזעי'!$AM$5="לא",(VLOOKUP(C432,'חד גזעי'!$P$1:$S$589,3,FALSE)),(VLOOKUP(C432,'חד גזעי'!$P$1:$S$589,4,FALSE)))</f>
        <v>#N/A</v>
      </c>
      <c r="AH432" s="72">
        <f t="shared" si="451"/>
        <v>0</v>
      </c>
      <c r="AI432" s="72">
        <f t="shared" si="452"/>
        <v>0</v>
      </c>
      <c r="AJ432" s="72">
        <f t="shared" si="453"/>
        <v>0</v>
      </c>
      <c r="AK432" s="72" t="e">
        <f t="shared" si="454"/>
        <v>#N/A</v>
      </c>
      <c r="AL432" t="e">
        <f>VLOOKUP(C432,'חד גזעי'!$AH$8:$AI$33,2,FALSE)</f>
        <v>#N/A</v>
      </c>
      <c r="AM432" s="72" t="b">
        <f t="shared" si="455"/>
        <v>0</v>
      </c>
      <c r="AN432" s="72" t="b">
        <f t="shared" si="456"/>
        <v>0</v>
      </c>
      <c r="AO432" s="72" t="b">
        <f t="shared" si="457"/>
        <v>0</v>
      </c>
      <c r="AS432" s="72">
        <f t="shared" si="458"/>
        <v>0</v>
      </c>
      <c r="AT432" s="72">
        <f t="shared" si="459"/>
        <v>0</v>
      </c>
      <c r="AU432" s="72">
        <f t="shared" si="468"/>
        <v>0</v>
      </c>
      <c r="AV432" s="72">
        <f t="shared" si="460"/>
        <v>0</v>
      </c>
      <c r="AW432" s="72">
        <f t="shared" si="461"/>
        <v>0</v>
      </c>
      <c r="AX432" s="72">
        <f t="shared" si="462"/>
        <v>0</v>
      </c>
      <c r="AY432" s="72">
        <f t="shared" si="463"/>
        <v>0</v>
      </c>
      <c r="AZ432" s="72">
        <f t="shared" si="464"/>
        <v>0</v>
      </c>
      <c r="BA432" s="72" t="e">
        <f t="shared" si="465"/>
        <v>#N/A</v>
      </c>
      <c r="BB432" s="72" t="e">
        <f t="shared" si="466"/>
        <v>#N/A</v>
      </c>
      <c r="BC432" s="77"/>
      <c r="BE432">
        <f t="shared" si="446"/>
        <v>0</v>
      </c>
      <c r="BF432" s="196"/>
      <c r="BG432" s="196"/>
      <c r="BH432" s="196"/>
      <c r="BI432" s="196"/>
      <c r="BJ432" s="196"/>
      <c r="BK432" s="196"/>
    </row>
    <row r="433" spans="2:63" hidden="1">
      <c r="B433" s="72"/>
      <c r="C433" s="135"/>
      <c r="D433" s="78"/>
      <c r="E433" s="78"/>
      <c r="F433" s="72"/>
      <c r="G433" s="72"/>
      <c r="H433" s="72"/>
      <c r="I433" s="73">
        <f t="shared" si="448"/>
        <v>0</v>
      </c>
      <c r="J433" s="78"/>
      <c r="K433" s="73"/>
      <c r="L433" s="74" t="e">
        <f>_xlfn.IFNA(VLOOKUP(C433,'חד גזעי'!$U$3:$V$509,2,0),VLOOKUP(C433,'חד גזעי'!$U$3:$V$509,2))</f>
        <v>#N/A</v>
      </c>
      <c r="M433" s="73"/>
      <c r="N433" s="72" t="e">
        <f>_xlfn.IFNA(IF(VLOOKUP(C433,'חד גזעי'!$AH$2:$AH$7,1,FALSE)&gt;0,0,IF('חד גזעי'!$AM$5="כן",IF(_xlfn.IFNA(VLOOKUP(C433,'חד גזעי'!$AH$2:$AH$33,1,FALSE),SUM(J433:M433))&lt;21,_xlfn.IFNA(VLOOKUP(C433,'חד גזעי'!$AH$2:$AH$33,1,FALSE),SUM(J433:M433)),0),SUM(J433:M433))),IF('חד גזעי'!$AM$5="כן",IF(_xlfn.IFNA(VLOOKUP(C433,'חד גזעי'!$AH$2:$AH$33,1,FALSE),SUM(J433:M433))&lt;21,_xlfn.IFNA(VLOOKUP(C433,'חד גזעי'!$AH$2:$AH$33,1,FALSE),SUM(J433:M433)),0),SUM(J433:M433)))</f>
        <v>#N/A</v>
      </c>
      <c r="O433" s="72">
        <f>IF('חד גזעי'!$AM$3 = "כן",IF(T433&gt;4,4,T433),T433)</f>
        <v>0</v>
      </c>
      <c r="P433" s="80">
        <f>IF(E433&lt;2,0,IF(Z433&gt;0,Z433,IF(N433 = 0,0,IF('חד גזעי'!$AM$2 = "לא",IF(F433&gt;19,W433,0),IF(F433&gt;9,Y433,0)))))</f>
        <v>0</v>
      </c>
      <c r="Q433" s="77"/>
      <c r="R433" s="75"/>
      <c r="S433" t="e">
        <f>VLOOKUP(C433,'חד גזעי'!$Y$4:$Y$18,1,0)</f>
        <v>#N/A</v>
      </c>
      <c r="T433" s="72">
        <f>IF('חד גזעי'!$AM$6="לא",IF(P433=0,IF(BC433="שימור",IF('חד גזעי'!$AM$4="לא",IF(BC433="לא בוגר",0,IF(BC433="לא קיים",0,IF(J433=0,0,I433*0.1))),IF(BC433="לא בוגר",0,IF(BC433="לא קיים",0,IF(AB433=1,I433*0.1,E433*0.5)))),0),IF('חד גזעי'!$AM$4="לא",IF(BC433="לא בוגר",0,IF(BC433="לא קיים",0,IF(J433=0,0,I433*0.1))),IF(BC433="לא בוגר",0,IF(BC433="לא קיים",0,IF(AB433=1,I433*0.1,E433*0.5))))),IF(P433=0,IF(BC433="שימור",IF('חד גזעי'!$AM$4="לא",IF(BC433="לא בוגר",0,IF(BC433="לא קיים",0,IF(J433=0,0,I433*0.15))),IF(BC433="לא בוגר",0,IF(BC433="לא קיים",0,IF(AB433=1,I433*0.15,E433*0.5)))),0),IF('חד גזעי'!$AM$4="לא",IF(BC433="לא בוגר",0,IF(BC433="לא קיים",0,IF(J433=0,0,I433*0.15))),IF(BC433="לא בוגר",0,IF(BC433="לא קיים",0,IF(AB433=1,I433*0.15,E433*0.5))))))</f>
        <v>0</v>
      </c>
      <c r="V433" t="e">
        <f t="shared" si="421"/>
        <v>#N/A</v>
      </c>
      <c r="W433" t="e">
        <f t="shared" si="422"/>
        <v>#N/A</v>
      </c>
      <c r="X433" t="e">
        <f t="shared" si="423"/>
        <v>#N/A</v>
      </c>
      <c r="Y433">
        <f>IF('חד גזעי'!$AM$2 = "לא",0,IF(F433&gt;9,W433,0))</f>
        <v>0</v>
      </c>
      <c r="Z433">
        <f>IF('חד גזעי'!$AM$7 = "לא",0,IF(C433 = "זית אירופי",IF('חד גזעי'!$AN$7 &lt;=סקר!F433,W433,0),IF(C433 = "חרוב מצוי",IF('חד גזעי'!$AN$7 &lt;=סקר!F433,W433,0),0)))</f>
        <v>0</v>
      </c>
      <c r="AB433">
        <f t="shared" si="449"/>
        <v>1</v>
      </c>
      <c r="AC433" s="72"/>
      <c r="AD433" t="e">
        <f t="shared" si="467"/>
        <v>#N/A</v>
      </c>
      <c r="AE433" s="72"/>
      <c r="AF433" s="72" t="e">
        <f t="shared" si="450"/>
        <v>#N/A</v>
      </c>
      <c r="AG433" s="72" t="e">
        <f>IF('חד גזעי'!$AM$5="לא",(VLOOKUP(C433,'חד גזעי'!$P$1:$S$589,3,FALSE)),(VLOOKUP(C433,'חד גזעי'!$P$1:$S$589,4,FALSE)))</f>
        <v>#N/A</v>
      </c>
      <c r="AH433" s="72">
        <f t="shared" si="451"/>
        <v>0</v>
      </c>
      <c r="AI433" s="72">
        <f t="shared" si="452"/>
        <v>0</v>
      </c>
      <c r="AJ433" s="72">
        <f t="shared" si="453"/>
        <v>0</v>
      </c>
      <c r="AK433" s="72" t="e">
        <f t="shared" si="454"/>
        <v>#N/A</v>
      </c>
      <c r="AL433" t="e">
        <f>VLOOKUP(C433,'חד גזעי'!$AH$8:$AI$33,2,FALSE)</f>
        <v>#N/A</v>
      </c>
      <c r="AM433" s="72" t="b">
        <f t="shared" si="455"/>
        <v>0</v>
      </c>
      <c r="AN433" s="72" t="b">
        <f t="shared" si="456"/>
        <v>0</v>
      </c>
      <c r="AO433" s="72" t="b">
        <f t="shared" si="457"/>
        <v>0</v>
      </c>
      <c r="AS433" s="72">
        <f t="shared" si="458"/>
        <v>0</v>
      </c>
      <c r="AT433" s="72">
        <f t="shared" si="459"/>
        <v>0</v>
      </c>
      <c r="AU433" s="72">
        <f t="shared" si="468"/>
        <v>0</v>
      </c>
      <c r="AV433" s="72">
        <f t="shared" si="460"/>
        <v>0</v>
      </c>
      <c r="AW433" s="72">
        <f t="shared" si="461"/>
        <v>0</v>
      </c>
      <c r="AX433" s="72">
        <f t="shared" si="462"/>
        <v>0</v>
      </c>
      <c r="AY433" s="72">
        <f t="shared" si="463"/>
        <v>0</v>
      </c>
      <c r="AZ433" s="72">
        <f t="shared" si="464"/>
        <v>0</v>
      </c>
      <c r="BA433" s="72" t="e">
        <f t="shared" si="465"/>
        <v>#N/A</v>
      </c>
      <c r="BB433" s="72" t="e">
        <f t="shared" si="466"/>
        <v>#N/A</v>
      </c>
      <c r="BC433" s="77"/>
      <c r="BE433">
        <f t="shared" si="446"/>
        <v>0</v>
      </c>
      <c r="BF433" s="196"/>
      <c r="BG433" s="196"/>
      <c r="BH433" s="196"/>
      <c r="BI433" s="196"/>
      <c r="BJ433" s="196"/>
      <c r="BK433" s="196"/>
    </row>
    <row r="434" spans="2:63" hidden="1">
      <c r="B434" s="72"/>
      <c r="C434" s="135"/>
      <c r="D434" s="78"/>
      <c r="E434" s="78"/>
      <c r="F434" s="72"/>
      <c r="G434" s="72"/>
      <c r="H434" s="72"/>
      <c r="I434" s="73">
        <f t="shared" si="448"/>
        <v>0</v>
      </c>
      <c r="J434" s="78"/>
      <c r="K434" s="73"/>
      <c r="L434" s="74" t="e">
        <f>_xlfn.IFNA(VLOOKUP(C434,'חד גזעי'!$U$3:$V$509,2,0),VLOOKUP(C434,'חד גזעי'!$U$3:$V$509,2))</f>
        <v>#N/A</v>
      </c>
      <c r="M434" s="73"/>
      <c r="N434" s="72" t="e">
        <f>_xlfn.IFNA(IF(VLOOKUP(C434,'חד גזעי'!$AH$2:$AH$7,1,FALSE)&gt;0,0,IF('חד גזעי'!$AM$5="כן",IF(_xlfn.IFNA(VLOOKUP(C434,'חד גזעי'!$AH$2:$AH$33,1,FALSE),SUM(J434:M434))&lt;21,_xlfn.IFNA(VLOOKUP(C434,'חד גזעי'!$AH$2:$AH$33,1,FALSE),SUM(J434:M434)),0),SUM(J434:M434))),IF('חד גזעי'!$AM$5="כן",IF(_xlfn.IFNA(VLOOKUP(C434,'חד גזעי'!$AH$2:$AH$33,1,FALSE),SUM(J434:M434))&lt;21,_xlfn.IFNA(VLOOKUP(C434,'חד גזעי'!$AH$2:$AH$33,1,FALSE),SUM(J434:M434)),0),SUM(J434:M434)))</f>
        <v>#N/A</v>
      </c>
      <c r="O434" s="72">
        <f>IF('חד גזעי'!$AM$3 = "כן",IF(T434&gt;4,4,T434),T434)</f>
        <v>0</v>
      </c>
      <c r="P434" s="80">
        <f>IF(E434&lt;2,0,IF(Z434&gt;0,Z434,IF(N434 = 0,0,IF('חד גזעי'!$AM$2 = "לא",IF(F434&gt;19,W434,0),IF(F434&gt;9,Y434,0)))))</f>
        <v>0</v>
      </c>
      <c r="Q434" s="77"/>
      <c r="R434" s="76"/>
      <c r="S434" t="e">
        <f>VLOOKUP(C434,'חד גזעי'!$Y$4:$Y$18,1,0)</f>
        <v>#N/A</v>
      </c>
      <c r="T434" s="72">
        <f>IF('חד גזעי'!$AM$6="לא",IF(P434=0,IF(BC434="שימור",IF('חד גזעי'!$AM$4="לא",IF(BC434="לא בוגר",0,IF(BC434="לא קיים",0,IF(J434=0,0,I434*0.1))),IF(BC434="לא בוגר",0,IF(BC434="לא קיים",0,IF(AB434=1,I434*0.1,E434*0.5)))),0),IF('חד גזעי'!$AM$4="לא",IF(BC434="לא בוגר",0,IF(BC434="לא קיים",0,IF(J434=0,0,I434*0.1))),IF(BC434="לא בוגר",0,IF(BC434="לא קיים",0,IF(AB434=1,I434*0.1,E434*0.5))))),IF(P434=0,IF(BC434="שימור",IF('חד גזעי'!$AM$4="לא",IF(BC434="לא בוגר",0,IF(BC434="לא קיים",0,IF(J434=0,0,I434*0.15))),IF(BC434="לא בוגר",0,IF(BC434="לא קיים",0,IF(AB434=1,I434*0.15,E434*0.5)))),0),IF('חד גזעי'!$AM$4="לא",IF(BC434="לא בוגר",0,IF(BC434="לא קיים",0,IF(J434=0,0,I434*0.15))),IF(BC434="לא בוגר",0,IF(BC434="לא קיים",0,IF(AB434=1,I434*0.15,E434*0.5))))))</f>
        <v>0</v>
      </c>
      <c r="V434" t="e">
        <f t="shared" si="421"/>
        <v>#N/A</v>
      </c>
      <c r="W434" t="e">
        <f t="shared" si="422"/>
        <v>#N/A</v>
      </c>
      <c r="X434" t="e">
        <f t="shared" si="423"/>
        <v>#N/A</v>
      </c>
      <c r="Y434">
        <f>IF('חד גזעי'!$AM$2 = "לא",0,IF(F434&gt;9,W434,0))</f>
        <v>0</v>
      </c>
      <c r="Z434">
        <f>IF('חד גזעי'!$AM$7 = "לא",0,IF(C434 = "זית אירופי",IF('חד גזעי'!$AN$7 &lt;=סקר!F434,W434,0),IF(C434 = "חרוב מצוי",IF('חד גזעי'!$AN$7 &lt;=סקר!F434,W434,0),0)))</f>
        <v>0</v>
      </c>
      <c r="AB434">
        <f t="shared" si="449"/>
        <v>1</v>
      </c>
      <c r="AC434" s="72"/>
      <c r="AD434" t="e">
        <f t="shared" si="467"/>
        <v>#N/A</v>
      </c>
      <c r="AE434" s="72"/>
      <c r="AF434" s="72" t="e">
        <f t="shared" si="450"/>
        <v>#N/A</v>
      </c>
      <c r="AG434" s="72" t="e">
        <f>IF('חד גזעי'!$AM$5="לא",(VLOOKUP(C434,'חד גזעי'!$P$1:$S$589,3,FALSE)),(VLOOKUP(C434,'חד גזעי'!$P$1:$S$589,4,FALSE)))</f>
        <v>#N/A</v>
      </c>
      <c r="AH434" s="72">
        <f t="shared" si="451"/>
        <v>0</v>
      </c>
      <c r="AI434" s="72">
        <f t="shared" si="452"/>
        <v>0</v>
      </c>
      <c r="AJ434" s="72">
        <f t="shared" si="453"/>
        <v>0</v>
      </c>
      <c r="AK434" s="72" t="e">
        <f t="shared" si="454"/>
        <v>#N/A</v>
      </c>
      <c r="AL434" t="e">
        <f>VLOOKUP(C434,'חד גזעי'!$AH$8:$AI$33,2,FALSE)</f>
        <v>#N/A</v>
      </c>
      <c r="AM434" s="72" t="b">
        <f t="shared" si="455"/>
        <v>0</v>
      </c>
      <c r="AN434" s="72" t="b">
        <f t="shared" si="456"/>
        <v>0</v>
      </c>
      <c r="AO434" s="72" t="b">
        <f t="shared" si="457"/>
        <v>0</v>
      </c>
      <c r="AS434" s="72">
        <f t="shared" si="458"/>
        <v>0</v>
      </c>
      <c r="AT434" s="72">
        <f t="shared" si="459"/>
        <v>0</v>
      </c>
      <c r="AU434" s="72">
        <f t="shared" si="468"/>
        <v>0</v>
      </c>
      <c r="AV434" s="72">
        <f t="shared" si="460"/>
        <v>0</v>
      </c>
      <c r="AW434" s="72">
        <f t="shared" si="461"/>
        <v>0</v>
      </c>
      <c r="AX434" s="72">
        <f t="shared" si="462"/>
        <v>0</v>
      </c>
      <c r="AY434" s="72">
        <f t="shared" si="463"/>
        <v>0</v>
      </c>
      <c r="AZ434" s="72">
        <f t="shared" si="464"/>
        <v>0</v>
      </c>
      <c r="BA434" s="72" t="e">
        <f t="shared" si="465"/>
        <v>#N/A</v>
      </c>
      <c r="BB434" s="72" t="e">
        <f t="shared" si="466"/>
        <v>#N/A</v>
      </c>
      <c r="BC434" s="77"/>
      <c r="BE434">
        <f t="shared" si="446"/>
        <v>0</v>
      </c>
      <c r="BF434" s="196"/>
      <c r="BG434" s="196"/>
      <c r="BH434" s="196"/>
      <c r="BI434" s="196"/>
      <c r="BJ434" s="196"/>
      <c r="BK434" s="196"/>
    </row>
    <row r="435" spans="2:63" hidden="1">
      <c r="B435" s="72"/>
      <c r="C435" s="135"/>
      <c r="D435" s="78"/>
      <c r="E435" s="78"/>
      <c r="F435" s="72"/>
      <c r="G435" s="72"/>
      <c r="H435" s="72"/>
      <c r="I435" s="73">
        <f t="shared" si="448"/>
        <v>0</v>
      </c>
      <c r="J435" s="78"/>
      <c r="K435" s="73"/>
      <c r="L435" s="74" t="e">
        <f>_xlfn.IFNA(VLOOKUP(C435,'חד גזעי'!$U$3:$V$509,2,0),VLOOKUP(C435,'חד גזעי'!$U$3:$V$509,2))</f>
        <v>#N/A</v>
      </c>
      <c r="M435" s="73"/>
      <c r="N435" s="72" t="e">
        <f>_xlfn.IFNA(IF(VLOOKUP(C435,'חד גזעי'!$AH$2:$AH$7,1,FALSE)&gt;0,0,IF('חד גזעי'!$AM$5="כן",IF(_xlfn.IFNA(VLOOKUP(C435,'חד גזעי'!$AH$2:$AH$33,1,FALSE),SUM(J435:M435))&lt;21,_xlfn.IFNA(VLOOKUP(C435,'חד גזעי'!$AH$2:$AH$33,1,FALSE),SUM(J435:M435)),0),SUM(J435:M435))),IF('חד גזעי'!$AM$5="כן",IF(_xlfn.IFNA(VLOOKUP(C435,'חד גזעי'!$AH$2:$AH$33,1,FALSE),SUM(J435:M435))&lt;21,_xlfn.IFNA(VLOOKUP(C435,'חד גזעי'!$AH$2:$AH$33,1,FALSE),SUM(J435:M435)),0),SUM(J435:M435)))</f>
        <v>#N/A</v>
      </c>
      <c r="O435" s="72">
        <f>IF('חד גזעי'!$AM$3 = "כן",IF(T435&gt;4,4,T435),T435)</f>
        <v>0</v>
      </c>
      <c r="P435" s="80">
        <f>IF(E435&lt;2,0,IF(Z435&gt;0,Z435,IF(N435 = 0,0,IF('חד גזעי'!$AM$2 = "לא",IF(F435&gt;19,W435,0),IF(F435&gt;9,Y435,0)))))</f>
        <v>0</v>
      </c>
      <c r="Q435" s="77"/>
      <c r="R435" s="76"/>
      <c r="S435" t="e">
        <f>VLOOKUP(C435,'חד גזעי'!$Y$4:$Y$18,1,0)</f>
        <v>#N/A</v>
      </c>
      <c r="T435" s="72">
        <f>IF('חד גזעי'!$AM$6="לא",IF(P435=0,IF(BC435="שימור",IF('חד גזעי'!$AM$4="לא",IF(BC435="לא בוגר",0,IF(BC435="לא קיים",0,IF(J435=0,0,I435*0.1))),IF(BC435="לא בוגר",0,IF(BC435="לא קיים",0,IF(AB435=1,I435*0.1,E435*0.5)))),0),IF('חד גזעי'!$AM$4="לא",IF(BC435="לא בוגר",0,IF(BC435="לא קיים",0,IF(J435=0,0,I435*0.1))),IF(BC435="לא בוגר",0,IF(BC435="לא קיים",0,IF(AB435=1,I435*0.1,E435*0.5))))),IF(P435=0,IF(BC435="שימור",IF('חד גזעי'!$AM$4="לא",IF(BC435="לא בוגר",0,IF(BC435="לא קיים",0,IF(J435=0,0,I435*0.15))),IF(BC435="לא בוגר",0,IF(BC435="לא קיים",0,IF(AB435=1,I435*0.15,E435*0.5)))),0),IF('חד גזעי'!$AM$4="לא",IF(BC435="לא בוגר",0,IF(BC435="לא קיים",0,IF(J435=0,0,I435*0.15))),IF(BC435="לא בוגר",0,IF(BC435="לא קיים",0,IF(AB435=1,I435*0.15,E435*0.5))))))</f>
        <v>0</v>
      </c>
      <c r="V435" t="e">
        <f t="shared" si="421"/>
        <v>#N/A</v>
      </c>
      <c r="W435" t="e">
        <f t="shared" si="422"/>
        <v>#N/A</v>
      </c>
      <c r="X435" t="e">
        <f t="shared" si="423"/>
        <v>#N/A</v>
      </c>
      <c r="Y435">
        <f>IF('חד גזעי'!$AM$2 = "לא",0,IF(F435&gt;9,W435,0))</f>
        <v>0</v>
      </c>
      <c r="Z435">
        <f>IF('חד גזעי'!$AM$7 = "לא",0,IF(C435 = "זית אירופי",IF('חד גזעי'!$AN$7 &lt;=סקר!F435,W435,0),IF(C435 = "חרוב מצוי",IF('חד גזעי'!$AN$7 &lt;=סקר!F435,W435,0),0)))</f>
        <v>0</v>
      </c>
      <c r="AB435">
        <f t="shared" si="449"/>
        <v>1</v>
      </c>
      <c r="AC435" s="72"/>
      <c r="AD435" t="e">
        <f t="shared" si="467"/>
        <v>#N/A</v>
      </c>
      <c r="AE435" s="72"/>
      <c r="AF435" s="72" t="e">
        <f t="shared" si="450"/>
        <v>#N/A</v>
      </c>
      <c r="AG435" s="72" t="e">
        <f>IF('חד גזעי'!$AM$5="לא",(VLOOKUP(C435,'חד גזעי'!$P$1:$S$589,3,FALSE)),(VLOOKUP(C435,'חד גזעי'!$P$1:$S$589,4,FALSE)))</f>
        <v>#N/A</v>
      </c>
      <c r="AH435" s="72">
        <f t="shared" si="451"/>
        <v>0</v>
      </c>
      <c r="AI435" s="72">
        <f t="shared" si="452"/>
        <v>0</v>
      </c>
      <c r="AJ435" s="72">
        <f t="shared" si="453"/>
        <v>0</v>
      </c>
      <c r="AK435" s="72" t="e">
        <f t="shared" si="454"/>
        <v>#N/A</v>
      </c>
      <c r="AL435" t="e">
        <f>VLOOKUP(C435,'חד גזעי'!$AH$8:$AI$33,2,FALSE)</f>
        <v>#N/A</v>
      </c>
      <c r="AM435" s="72" t="b">
        <f t="shared" si="455"/>
        <v>0</v>
      </c>
      <c r="AN435" s="72" t="b">
        <f t="shared" si="456"/>
        <v>0</v>
      </c>
      <c r="AO435" s="72" t="b">
        <f t="shared" si="457"/>
        <v>0</v>
      </c>
      <c r="AS435" s="72">
        <f t="shared" si="458"/>
        <v>0</v>
      </c>
      <c r="AT435" s="72">
        <f t="shared" si="459"/>
        <v>0</v>
      </c>
      <c r="AU435" s="72">
        <f t="shared" si="468"/>
        <v>0</v>
      </c>
      <c r="AV435" s="72">
        <f t="shared" si="460"/>
        <v>0</v>
      </c>
      <c r="AW435" s="72">
        <f t="shared" si="461"/>
        <v>0</v>
      </c>
      <c r="AX435" s="72">
        <f t="shared" si="462"/>
        <v>0</v>
      </c>
      <c r="AY435" s="72">
        <f t="shared" si="463"/>
        <v>0</v>
      </c>
      <c r="AZ435" s="72">
        <f t="shared" si="464"/>
        <v>0</v>
      </c>
      <c r="BA435" s="72" t="e">
        <f t="shared" si="465"/>
        <v>#N/A</v>
      </c>
      <c r="BB435" s="72" t="e">
        <f t="shared" si="466"/>
        <v>#N/A</v>
      </c>
      <c r="BC435" s="77"/>
      <c r="BE435">
        <f t="shared" si="446"/>
        <v>0</v>
      </c>
      <c r="BF435" s="196"/>
      <c r="BG435" s="196"/>
      <c r="BH435" s="196"/>
      <c r="BI435" s="196"/>
      <c r="BJ435" s="196"/>
      <c r="BK435" s="196"/>
    </row>
    <row r="436" spans="2:63" hidden="1">
      <c r="B436" s="72"/>
      <c r="C436" s="135"/>
      <c r="D436" s="78"/>
      <c r="E436" s="78"/>
      <c r="F436" s="72"/>
      <c r="G436" s="72"/>
      <c r="H436" s="72"/>
      <c r="I436" s="73">
        <f t="shared" si="448"/>
        <v>0</v>
      </c>
      <c r="J436" s="78"/>
      <c r="K436" s="73"/>
      <c r="L436" s="74" t="e">
        <f>_xlfn.IFNA(VLOOKUP(C436,'חד גזעי'!$U$3:$V$509,2,0),VLOOKUP(C436,'חד גזעי'!$U$3:$V$509,2))</f>
        <v>#N/A</v>
      </c>
      <c r="M436" s="73"/>
      <c r="N436" s="72" t="e">
        <f>_xlfn.IFNA(IF(VLOOKUP(C436,'חד גזעי'!$AH$2:$AH$7,1,FALSE)&gt;0,0,IF('חד גזעי'!$AM$5="כן",IF(_xlfn.IFNA(VLOOKUP(C436,'חד גזעי'!$AH$2:$AH$33,1,FALSE),SUM(J436:M436))&lt;21,_xlfn.IFNA(VLOOKUP(C436,'חד גזעי'!$AH$2:$AH$33,1,FALSE),SUM(J436:M436)),0),SUM(J436:M436))),IF('חד גזעי'!$AM$5="כן",IF(_xlfn.IFNA(VLOOKUP(C436,'חד גזעי'!$AH$2:$AH$33,1,FALSE),SUM(J436:M436))&lt;21,_xlfn.IFNA(VLOOKUP(C436,'חד גזעי'!$AH$2:$AH$33,1,FALSE),SUM(J436:M436)),0),SUM(J436:M436)))</f>
        <v>#N/A</v>
      </c>
      <c r="O436" s="72">
        <f>IF('חד גזעי'!$AM$3 = "כן",IF(T436&gt;4,4,T436),T436)</f>
        <v>0</v>
      </c>
      <c r="P436" s="80">
        <f>IF(E436&lt;2,0,IF(Z436&gt;0,Z436,IF(N436 = 0,0,IF('חד גזעי'!$AM$2 = "לא",IF(F436&gt;19,W436,0),IF(F436&gt;9,Y436,0)))))</f>
        <v>0</v>
      </c>
      <c r="Q436" s="77"/>
      <c r="R436" s="76"/>
      <c r="S436" t="e">
        <f>VLOOKUP(C436,'חד גזעי'!$Y$4:$Y$18,1,0)</f>
        <v>#N/A</v>
      </c>
      <c r="T436" s="72">
        <f>IF('חד גזעי'!$AM$6="לא",IF(P436=0,IF(BC436="שימור",IF('חד גזעי'!$AM$4="לא",IF(BC436="לא בוגר",0,IF(BC436="לא קיים",0,IF(J436=0,0,I436*0.1))),IF(BC436="לא בוגר",0,IF(BC436="לא קיים",0,IF(AB436=1,I436*0.1,E436*0.5)))),0),IF('חד גזעי'!$AM$4="לא",IF(BC436="לא בוגר",0,IF(BC436="לא קיים",0,IF(J436=0,0,I436*0.1))),IF(BC436="לא בוגר",0,IF(BC436="לא קיים",0,IF(AB436=1,I436*0.1,E436*0.5))))),IF(P436=0,IF(BC436="שימור",IF('חד גזעי'!$AM$4="לא",IF(BC436="לא בוגר",0,IF(BC436="לא קיים",0,IF(J436=0,0,I436*0.15))),IF(BC436="לא בוגר",0,IF(BC436="לא קיים",0,IF(AB436=1,I436*0.15,E436*0.5)))),0),IF('חד גזעי'!$AM$4="לא",IF(BC436="לא בוגר",0,IF(BC436="לא קיים",0,IF(J436=0,0,I436*0.15))),IF(BC436="לא בוגר",0,IF(BC436="לא קיים",0,IF(AB436=1,I436*0.15,E436*0.5))))))</f>
        <v>0</v>
      </c>
      <c r="V436" t="e">
        <f t="shared" si="421"/>
        <v>#N/A</v>
      </c>
      <c r="W436" t="e">
        <f t="shared" si="422"/>
        <v>#N/A</v>
      </c>
      <c r="X436" t="e">
        <f t="shared" si="423"/>
        <v>#N/A</v>
      </c>
      <c r="Y436">
        <f>IF('חד גזעי'!$AM$2 = "לא",0,IF(F436&gt;9,W436,0))</f>
        <v>0</v>
      </c>
      <c r="Z436">
        <f>IF('חד גזעי'!$AM$7 = "לא",0,IF(C436 = "זית אירופי",IF('חד גזעי'!$AN$7 &lt;=סקר!F436,W436,0),IF(C436 = "חרוב מצוי",IF('חד גזעי'!$AN$7 &lt;=סקר!F436,W436,0),0)))</f>
        <v>0</v>
      </c>
      <c r="AB436">
        <f t="shared" si="449"/>
        <v>1</v>
      </c>
      <c r="AC436" s="72"/>
      <c r="AD436" t="e">
        <f t="shared" si="467"/>
        <v>#N/A</v>
      </c>
      <c r="AE436" s="72"/>
      <c r="AF436" s="72" t="e">
        <f t="shared" si="450"/>
        <v>#N/A</v>
      </c>
      <c r="AG436" s="72" t="e">
        <f>IF('חד גזעי'!$AM$5="לא",(VLOOKUP(C436,'חד גזעי'!$P$1:$S$589,3,FALSE)),(VLOOKUP(C436,'חד גזעי'!$P$1:$S$589,4,FALSE)))</f>
        <v>#N/A</v>
      </c>
      <c r="AH436" s="72">
        <f t="shared" si="451"/>
        <v>0</v>
      </c>
      <c r="AI436" s="72">
        <f t="shared" si="452"/>
        <v>0</v>
      </c>
      <c r="AJ436" s="72">
        <f t="shared" si="453"/>
        <v>0</v>
      </c>
      <c r="AK436" s="72" t="e">
        <f t="shared" si="454"/>
        <v>#N/A</v>
      </c>
      <c r="AL436" t="e">
        <f>VLOOKUP(C436,'חד גזעי'!$AH$8:$AI$33,2,FALSE)</f>
        <v>#N/A</v>
      </c>
      <c r="AM436" s="72" t="b">
        <f t="shared" si="455"/>
        <v>0</v>
      </c>
      <c r="AN436" s="72" t="b">
        <f t="shared" si="456"/>
        <v>0</v>
      </c>
      <c r="AO436" s="72" t="b">
        <f t="shared" si="457"/>
        <v>0</v>
      </c>
      <c r="AS436" s="72">
        <f t="shared" si="458"/>
        <v>0</v>
      </c>
      <c r="AT436" s="72">
        <f t="shared" si="459"/>
        <v>0</v>
      </c>
      <c r="AU436" s="72">
        <f t="shared" si="468"/>
        <v>0</v>
      </c>
      <c r="AV436" s="72">
        <f t="shared" si="460"/>
        <v>0</v>
      </c>
      <c r="AW436" s="72">
        <f t="shared" si="461"/>
        <v>0</v>
      </c>
      <c r="AX436" s="72">
        <f t="shared" si="462"/>
        <v>0</v>
      </c>
      <c r="AY436" s="72">
        <f t="shared" si="463"/>
        <v>0</v>
      </c>
      <c r="AZ436" s="72">
        <f t="shared" si="464"/>
        <v>0</v>
      </c>
      <c r="BA436" s="72" t="e">
        <f t="shared" si="465"/>
        <v>#N/A</v>
      </c>
      <c r="BB436" s="72" t="e">
        <f t="shared" si="466"/>
        <v>#N/A</v>
      </c>
      <c r="BC436" s="77"/>
      <c r="BE436">
        <f t="shared" si="446"/>
        <v>0</v>
      </c>
      <c r="BF436" s="72"/>
      <c r="BG436" s="72"/>
      <c r="BH436" s="72"/>
      <c r="BI436" s="72"/>
      <c r="BJ436" s="72"/>
      <c r="BK436" s="72"/>
    </row>
    <row r="437" spans="2:63" hidden="1">
      <c r="B437" s="72"/>
      <c r="C437" s="135"/>
      <c r="D437" s="78"/>
      <c r="E437" s="78"/>
      <c r="F437" s="72"/>
      <c r="G437" s="72"/>
      <c r="H437" s="72"/>
      <c r="I437" s="73">
        <f t="shared" si="448"/>
        <v>0</v>
      </c>
      <c r="J437" s="78"/>
      <c r="K437" s="73"/>
      <c r="L437" s="74" t="e">
        <f>_xlfn.IFNA(VLOOKUP(C437,'חד גזעי'!$U$3:$V$509,2,0),VLOOKUP(C437,'חד גזעי'!$U$3:$V$509,2))</f>
        <v>#N/A</v>
      </c>
      <c r="M437" s="73"/>
      <c r="N437" s="72" t="e">
        <f>_xlfn.IFNA(IF(VLOOKUP(C437,'חד גזעי'!$AH$2:$AH$7,1,FALSE)&gt;0,0,IF('חד גזעי'!$AM$5="כן",IF(_xlfn.IFNA(VLOOKUP(C437,'חד גזעי'!$AH$2:$AH$33,1,FALSE),SUM(J437:M437))&lt;21,_xlfn.IFNA(VLOOKUP(C437,'חד גזעי'!$AH$2:$AH$33,1,FALSE),SUM(J437:M437)),0),SUM(J437:M437))),IF('חד גזעי'!$AM$5="כן",IF(_xlfn.IFNA(VLOOKUP(C437,'חד גזעי'!$AH$2:$AH$33,1,FALSE),SUM(J437:M437))&lt;21,_xlfn.IFNA(VLOOKUP(C437,'חד גזעי'!$AH$2:$AH$33,1,FALSE),SUM(J437:M437)),0),SUM(J437:M437)))</f>
        <v>#N/A</v>
      </c>
      <c r="O437" s="72">
        <f>IF('חד גזעי'!$AM$3 = "כן",IF(T437&gt;4,4,T437),T437)</f>
        <v>0</v>
      </c>
      <c r="P437" s="80">
        <f>IF(E437&lt;2,0,IF(Z437&gt;0,Z437,IF(N437 = 0,0,IF('חד גזעי'!$AM$2 = "לא",IF(F437&gt;19,W437,0),IF(F437&gt;9,Y437,0)))))</f>
        <v>0</v>
      </c>
      <c r="Q437" s="77"/>
      <c r="R437" s="75"/>
      <c r="S437" t="e">
        <f>VLOOKUP(C437,'חד גזעי'!$Y$4:$Y$18,1,0)</f>
        <v>#N/A</v>
      </c>
      <c r="T437" s="72">
        <f>IF('חד גזעי'!$AM$6="לא",IF(P437=0,IF(BC437="שימור",IF('חד גזעי'!$AM$4="לא",IF(BC437="לא בוגר",0,IF(BC437="לא קיים",0,IF(J437=0,0,I437*0.1))),IF(BC437="לא בוגר",0,IF(BC437="לא קיים",0,IF(AB437=1,I437*0.1,E437*0.5)))),0),IF('חד גזעי'!$AM$4="לא",IF(BC437="לא בוגר",0,IF(BC437="לא קיים",0,IF(J437=0,0,I437*0.1))),IF(BC437="לא בוגר",0,IF(BC437="לא קיים",0,IF(AB437=1,I437*0.1,E437*0.5))))),IF(P437=0,IF(BC437="שימור",IF('חד גזעי'!$AM$4="לא",IF(BC437="לא בוגר",0,IF(BC437="לא קיים",0,IF(J437=0,0,I437*0.15))),IF(BC437="לא בוגר",0,IF(BC437="לא קיים",0,IF(AB437=1,I437*0.15,E437*0.5)))),0),IF('חד גזעי'!$AM$4="לא",IF(BC437="לא בוגר",0,IF(BC437="לא קיים",0,IF(J437=0,0,I437*0.15))),IF(BC437="לא בוגר",0,IF(BC437="לא קיים",0,IF(AB437=1,I437*0.15,E437*0.5))))))</f>
        <v>0</v>
      </c>
      <c r="V437" t="e">
        <f t="shared" si="421"/>
        <v>#N/A</v>
      </c>
      <c r="W437" t="e">
        <f t="shared" si="422"/>
        <v>#N/A</v>
      </c>
      <c r="X437" t="e">
        <f t="shared" si="423"/>
        <v>#N/A</v>
      </c>
      <c r="Y437">
        <f>IF('חד גזעי'!$AM$2 = "לא",0,IF(F437&gt;9,W437,0))</f>
        <v>0</v>
      </c>
      <c r="Z437">
        <f>IF('חד גזעי'!$AM$7 = "לא",0,IF(C437 = "זית אירופי",IF('חד גזעי'!$AN$7 &lt;=סקר!F437,W437,0),IF(C437 = "חרוב מצוי",IF('חד גזעי'!$AN$7 &lt;=סקר!F437,W437,0),0)))</f>
        <v>0</v>
      </c>
      <c r="AB437">
        <f t="shared" si="449"/>
        <v>1</v>
      </c>
      <c r="AC437" s="72"/>
      <c r="AD437" t="e">
        <f t="shared" si="467"/>
        <v>#N/A</v>
      </c>
      <c r="AE437" s="72"/>
      <c r="AF437" s="72" t="e">
        <f t="shared" si="450"/>
        <v>#N/A</v>
      </c>
      <c r="AG437" s="72" t="e">
        <f>IF('חד גזעי'!$AM$5="לא",(VLOOKUP(C437,'חד גזעי'!$P$1:$S$589,3,FALSE)),(VLOOKUP(C437,'חד גזעי'!$P$1:$S$589,4,FALSE)))</f>
        <v>#N/A</v>
      </c>
      <c r="AH437" s="72">
        <f t="shared" si="451"/>
        <v>0</v>
      </c>
      <c r="AI437" s="72">
        <f t="shared" si="452"/>
        <v>0</v>
      </c>
      <c r="AJ437" s="72">
        <f t="shared" si="453"/>
        <v>0</v>
      </c>
      <c r="AK437" s="72" t="e">
        <f t="shared" si="454"/>
        <v>#N/A</v>
      </c>
      <c r="AL437" t="e">
        <f>VLOOKUP(C437,'חד גזעי'!$AH$8:$AI$33,2,FALSE)</f>
        <v>#N/A</v>
      </c>
      <c r="AM437" s="72" t="b">
        <f t="shared" si="455"/>
        <v>0</v>
      </c>
      <c r="AN437" s="72" t="b">
        <f t="shared" si="456"/>
        <v>0</v>
      </c>
      <c r="AO437" s="72" t="b">
        <f t="shared" si="457"/>
        <v>0</v>
      </c>
      <c r="AS437" s="72">
        <f t="shared" si="458"/>
        <v>0</v>
      </c>
      <c r="AT437" s="72">
        <f t="shared" si="459"/>
        <v>0</v>
      </c>
      <c r="AU437" s="72">
        <f t="shared" si="468"/>
        <v>0</v>
      </c>
      <c r="AV437" s="72">
        <f t="shared" si="460"/>
        <v>0</v>
      </c>
      <c r="AW437" s="72">
        <f t="shared" si="461"/>
        <v>0</v>
      </c>
      <c r="AX437" s="72">
        <f t="shared" si="462"/>
        <v>0</v>
      </c>
      <c r="AY437" s="72">
        <f t="shared" si="463"/>
        <v>0</v>
      </c>
      <c r="AZ437" s="72">
        <f t="shared" si="464"/>
        <v>0</v>
      </c>
      <c r="BA437" s="72" t="e">
        <f t="shared" si="465"/>
        <v>#N/A</v>
      </c>
      <c r="BB437" s="72" t="e">
        <f t="shared" si="466"/>
        <v>#N/A</v>
      </c>
      <c r="BC437" s="77"/>
      <c r="BE437">
        <f t="shared" si="446"/>
        <v>0</v>
      </c>
      <c r="BF437" s="196" t="str">
        <f>BF456</f>
        <v>C:\Users\origr\Pictures\0.jpg</v>
      </c>
      <c r="BG437" s="196" t="str">
        <f t="shared" ref="BG437:BK437" si="469">BG456</f>
        <v>C:\Users\origr\Pictures\0.jpg</v>
      </c>
      <c r="BH437" s="196" t="str">
        <f t="shared" si="469"/>
        <v>C:\Users\origr\Pictures\0.jpg</v>
      </c>
      <c r="BI437" s="196" t="str">
        <f t="shared" si="469"/>
        <v>C:\Users\origr\Pictures\0.jpg</v>
      </c>
      <c r="BJ437" s="196" t="str">
        <f t="shared" si="469"/>
        <v>C:\Users\origr\Pictures\0.jpg</v>
      </c>
      <c r="BK437" s="196" t="str">
        <f t="shared" si="469"/>
        <v>C:\Users\origr\Pictures\0.jpg</v>
      </c>
    </row>
    <row r="438" spans="2:63" hidden="1">
      <c r="B438" s="72"/>
      <c r="C438" s="135"/>
      <c r="D438" s="78"/>
      <c r="E438" s="78"/>
      <c r="F438" s="72"/>
      <c r="G438" s="72"/>
      <c r="H438" s="72"/>
      <c r="I438" s="73">
        <f t="shared" si="448"/>
        <v>0</v>
      </c>
      <c r="J438" s="78"/>
      <c r="K438" s="73"/>
      <c r="L438" s="74" t="e">
        <f>_xlfn.IFNA(VLOOKUP(C438,'חד גזעי'!$U$3:$V$509,2,0),VLOOKUP(C438,'חד גזעי'!$U$3:$V$509,2))</f>
        <v>#N/A</v>
      </c>
      <c r="M438" s="73"/>
      <c r="N438" s="72" t="e">
        <f>_xlfn.IFNA(IF(VLOOKUP(C438,'חד גזעי'!$AH$2:$AH$7,1,FALSE)&gt;0,0,IF('חד גזעי'!$AM$5="כן",IF(_xlfn.IFNA(VLOOKUP(C438,'חד גזעי'!$AH$2:$AH$33,1,FALSE),SUM(J438:M438))&lt;21,_xlfn.IFNA(VLOOKUP(C438,'חד גזעי'!$AH$2:$AH$33,1,FALSE),SUM(J438:M438)),0),SUM(J438:M438))),IF('חד גזעי'!$AM$5="כן",IF(_xlfn.IFNA(VLOOKUP(C438,'חד גזעי'!$AH$2:$AH$33,1,FALSE),SUM(J438:M438))&lt;21,_xlfn.IFNA(VLOOKUP(C438,'חד גזעי'!$AH$2:$AH$33,1,FALSE),SUM(J438:M438)),0),SUM(J438:M438)))</f>
        <v>#N/A</v>
      </c>
      <c r="O438" s="72">
        <f>IF('חד גזעי'!$AM$3 = "כן",IF(T438&gt;4,4,T438),T438)</f>
        <v>0</v>
      </c>
      <c r="P438" s="80">
        <f>IF(E438&lt;2,0,IF(Z438&gt;0,Z438,IF(N438 = 0,0,IF('חד גזעי'!$AM$2 = "לא",IF(F438&gt;19,W438,0),IF(F438&gt;9,Y438,0)))))</f>
        <v>0</v>
      </c>
      <c r="Q438" s="77"/>
      <c r="R438" s="76"/>
      <c r="S438" t="e">
        <f>VLOOKUP(C438,'חד גזעי'!$Y$4:$Y$18,1,0)</f>
        <v>#N/A</v>
      </c>
      <c r="T438" s="72">
        <f>IF('חד גזעי'!$AM$6="לא",IF(P438=0,IF(BC438="שימור",IF('חד גזעי'!$AM$4="לא",IF(BC438="לא בוגר",0,IF(BC438="לא קיים",0,IF(J438=0,0,I438*0.1))),IF(BC438="לא בוגר",0,IF(BC438="לא קיים",0,IF(AB438=1,I438*0.1,E438*0.5)))),0),IF('חד גזעי'!$AM$4="לא",IF(BC438="לא בוגר",0,IF(BC438="לא קיים",0,IF(J438=0,0,I438*0.1))),IF(BC438="לא בוגר",0,IF(BC438="לא קיים",0,IF(AB438=1,I438*0.1,E438*0.5))))),IF(P438=0,IF(BC438="שימור",IF('חד גזעי'!$AM$4="לא",IF(BC438="לא בוגר",0,IF(BC438="לא קיים",0,IF(J438=0,0,I438*0.15))),IF(BC438="לא בוגר",0,IF(BC438="לא קיים",0,IF(AB438=1,I438*0.15,E438*0.5)))),0),IF('חד גזעי'!$AM$4="לא",IF(BC438="לא בוגר",0,IF(BC438="לא קיים",0,IF(J438=0,0,I438*0.15))),IF(BC438="לא בוגר",0,IF(BC438="לא קיים",0,IF(AB438=1,I438*0.15,E438*0.5))))))</f>
        <v>0</v>
      </c>
      <c r="V438" t="e">
        <f t="shared" si="421"/>
        <v>#N/A</v>
      </c>
      <c r="W438" t="e">
        <f t="shared" si="422"/>
        <v>#N/A</v>
      </c>
      <c r="X438" t="e">
        <f t="shared" si="423"/>
        <v>#N/A</v>
      </c>
      <c r="Y438">
        <f>IF('חד גזעי'!$AM$2 = "לא",0,IF(F438&gt;9,W438,0))</f>
        <v>0</v>
      </c>
      <c r="Z438">
        <f>IF('חד גזעי'!$AM$7 = "לא",0,IF(C438 = "זית אירופי",IF('חד גזעי'!$AN$7 &lt;=סקר!F438,W438,0),IF(C438 = "חרוב מצוי",IF('חד גזעי'!$AN$7 &lt;=סקר!F438,W438,0),0)))</f>
        <v>0</v>
      </c>
      <c r="AB438">
        <f t="shared" si="449"/>
        <v>1</v>
      </c>
      <c r="AC438" s="72"/>
      <c r="AD438" t="e">
        <f t="shared" si="467"/>
        <v>#N/A</v>
      </c>
      <c r="AE438" s="72"/>
      <c r="AF438" s="72" t="e">
        <f t="shared" si="450"/>
        <v>#N/A</v>
      </c>
      <c r="AG438" s="72" t="e">
        <f>IF('חד גזעי'!$AM$5="לא",(VLOOKUP(C438,'חד גזעי'!$P$1:$S$589,3,FALSE)),(VLOOKUP(C438,'חד גזעי'!$P$1:$S$589,4,FALSE)))</f>
        <v>#N/A</v>
      </c>
      <c r="AH438" s="72">
        <f t="shared" si="451"/>
        <v>0</v>
      </c>
      <c r="AI438" s="72">
        <f t="shared" si="452"/>
        <v>0</v>
      </c>
      <c r="AJ438" s="72">
        <f t="shared" si="453"/>
        <v>0</v>
      </c>
      <c r="AK438" s="72" t="e">
        <f t="shared" si="454"/>
        <v>#N/A</v>
      </c>
      <c r="AL438" t="e">
        <f>VLOOKUP(C438,'חד גזעי'!$AH$8:$AI$33,2,FALSE)</f>
        <v>#N/A</v>
      </c>
      <c r="AM438" s="72" t="b">
        <f t="shared" si="455"/>
        <v>0</v>
      </c>
      <c r="AN438" s="72" t="b">
        <f t="shared" si="456"/>
        <v>0</v>
      </c>
      <c r="AO438" s="72" t="b">
        <f t="shared" si="457"/>
        <v>0</v>
      </c>
      <c r="AS438" s="72">
        <f t="shared" si="458"/>
        <v>0</v>
      </c>
      <c r="AT438" s="72">
        <f t="shared" si="459"/>
        <v>0</v>
      </c>
      <c r="AU438" s="72">
        <f t="shared" si="468"/>
        <v>0</v>
      </c>
      <c r="AV438" s="72">
        <f t="shared" si="460"/>
        <v>0</v>
      </c>
      <c r="AW438" s="72">
        <f t="shared" si="461"/>
        <v>0</v>
      </c>
      <c r="AX438" s="72">
        <f t="shared" si="462"/>
        <v>0</v>
      </c>
      <c r="AY438" s="72">
        <f t="shared" si="463"/>
        <v>0</v>
      </c>
      <c r="AZ438" s="72">
        <f t="shared" si="464"/>
        <v>0</v>
      </c>
      <c r="BA438" s="72" t="e">
        <f t="shared" si="465"/>
        <v>#N/A</v>
      </c>
      <c r="BB438" s="72" t="e">
        <f t="shared" si="466"/>
        <v>#N/A</v>
      </c>
      <c r="BC438" s="77"/>
      <c r="BE438">
        <f t="shared" si="446"/>
        <v>0</v>
      </c>
      <c r="BF438" s="196"/>
      <c r="BG438" s="196"/>
      <c r="BH438" s="196"/>
      <c r="BI438" s="196"/>
      <c r="BJ438" s="196"/>
      <c r="BK438" s="196"/>
    </row>
    <row r="439" spans="2:63" hidden="1">
      <c r="B439" s="72"/>
      <c r="C439" s="135"/>
      <c r="D439" s="78"/>
      <c r="E439" s="78"/>
      <c r="F439" s="72"/>
      <c r="G439" s="72"/>
      <c r="H439" s="72"/>
      <c r="I439" s="73">
        <f t="shared" si="448"/>
        <v>0</v>
      </c>
      <c r="J439" s="78"/>
      <c r="K439" s="73"/>
      <c r="L439" s="74" t="e">
        <f>_xlfn.IFNA(VLOOKUP(C439,'חד גזעי'!$U$3:$V$509,2,0),VLOOKUP(C439,'חד גזעי'!$U$3:$V$509,2))</f>
        <v>#N/A</v>
      </c>
      <c r="M439" s="73"/>
      <c r="N439" s="72" t="e">
        <f>_xlfn.IFNA(IF(VLOOKUP(C439,'חד גזעי'!$AH$2:$AH$7,1,FALSE)&gt;0,0,IF('חד גזעי'!$AM$5="כן",IF(_xlfn.IFNA(VLOOKUP(C439,'חד גזעי'!$AH$2:$AH$33,1,FALSE),SUM(J439:M439))&lt;21,_xlfn.IFNA(VLOOKUP(C439,'חד גזעי'!$AH$2:$AH$33,1,FALSE),SUM(J439:M439)),0),SUM(J439:M439))),IF('חד גזעי'!$AM$5="כן",IF(_xlfn.IFNA(VLOOKUP(C439,'חד גזעי'!$AH$2:$AH$33,1,FALSE),SUM(J439:M439))&lt;21,_xlfn.IFNA(VLOOKUP(C439,'חד גזעי'!$AH$2:$AH$33,1,FALSE),SUM(J439:M439)),0),SUM(J439:M439)))</f>
        <v>#N/A</v>
      </c>
      <c r="O439" s="72">
        <f>IF('חד גזעי'!$AM$3 = "כן",IF(T439&gt;4,4,T439),T439)</f>
        <v>0</v>
      </c>
      <c r="P439" s="80">
        <f>IF(E439&lt;2,0,IF(Z439&gt;0,Z439,IF(N439 = 0,0,IF('חד גזעי'!$AM$2 = "לא",IF(F439&gt;19,W439,0),IF(F439&gt;9,Y439,0)))))</f>
        <v>0</v>
      </c>
      <c r="Q439" s="77"/>
      <c r="R439" s="76"/>
      <c r="S439" t="e">
        <f>VLOOKUP(C439,'חד גזעי'!$Y$4:$Y$18,1,0)</f>
        <v>#N/A</v>
      </c>
      <c r="T439" s="72">
        <f>IF('חד גזעי'!$AM$6="לא",IF(P439=0,IF(BC439="שימור",IF('חד גזעי'!$AM$4="לא",IF(BC439="לא בוגר",0,IF(BC439="לא קיים",0,IF(J439=0,0,I439*0.1))),IF(BC439="לא בוגר",0,IF(BC439="לא קיים",0,IF(AB439=1,I439*0.1,E439*0.5)))),0),IF('חד גזעי'!$AM$4="לא",IF(BC439="לא בוגר",0,IF(BC439="לא קיים",0,IF(J439=0,0,I439*0.1))),IF(BC439="לא בוגר",0,IF(BC439="לא קיים",0,IF(AB439=1,I439*0.1,E439*0.5))))),IF(P439=0,IF(BC439="שימור",IF('חד גזעי'!$AM$4="לא",IF(BC439="לא בוגר",0,IF(BC439="לא קיים",0,IF(J439=0,0,I439*0.15))),IF(BC439="לא בוגר",0,IF(BC439="לא קיים",0,IF(AB439=1,I439*0.15,E439*0.5)))),0),IF('חד גזעי'!$AM$4="לא",IF(BC439="לא בוגר",0,IF(BC439="לא קיים",0,IF(J439=0,0,I439*0.15))),IF(BC439="לא בוגר",0,IF(BC439="לא קיים",0,IF(AB439=1,I439*0.15,E439*0.5))))))</f>
        <v>0</v>
      </c>
      <c r="V439" t="e">
        <f t="shared" si="421"/>
        <v>#N/A</v>
      </c>
      <c r="W439" t="e">
        <f t="shared" si="422"/>
        <v>#N/A</v>
      </c>
      <c r="X439" t="e">
        <f t="shared" si="423"/>
        <v>#N/A</v>
      </c>
      <c r="Y439">
        <f>IF('חד גזעי'!$AM$2 = "לא",0,IF(F439&gt;9,W439,0))</f>
        <v>0</v>
      </c>
      <c r="Z439">
        <f>IF('חד גזעי'!$AM$7 = "לא",0,IF(C439 = "זית אירופי",IF('חד גזעי'!$AN$7 &lt;=סקר!F439,W439,0),IF(C439 = "חרוב מצוי",IF('חד גזעי'!$AN$7 &lt;=סקר!F439,W439,0),0)))</f>
        <v>0</v>
      </c>
      <c r="AB439">
        <f t="shared" si="449"/>
        <v>1</v>
      </c>
      <c r="AC439" s="72"/>
      <c r="AD439" t="e">
        <f t="shared" si="467"/>
        <v>#N/A</v>
      </c>
      <c r="AE439" s="72"/>
      <c r="AF439" s="72" t="e">
        <f t="shared" si="450"/>
        <v>#N/A</v>
      </c>
      <c r="AG439" s="72" t="e">
        <f>IF('חד גזעי'!$AM$5="לא",(VLOOKUP(C439,'חד גזעי'!$P$1:$S$589,3,FALSE)),(VLOOKUP(C439,'חד גזעי'!$P$1:$S$589,4,FALSE)))</f>
        <v>#N/A</v>
      </c>
      <c r="AH439" s="72">
        <f t="shared" si="451"/>
        <v>0</v>
      </c>
      <c r="AI439" s="72">
        <f t="shared" si="452"/>
        <v>0</v>
      </c>
      <c r="AJ439" s="72">
        <f t="shared" si="453"/>
        <v>0</v>
      </c>
      <c r="AK439" s="72" t="e">
        <f t="shared" si="454"/>
        <v>#N/A</v>
      </c>
      <c r="AL439" t="e">
        <f>VLOOKUP(C439,'חד גזעי'!$AH$8:$AI$33,2,FALSE)</f>
        <v>#N/A</v>
      </c>
      <c r="AM439" s="72" t="b">
        <f t="shared" si="455"/>
        <v>0</v>
      </c>
      <c r="AN439" s="72" t="b">
        <f t="shared" si="456"/>
        <v>0</v>
      </c>
      <c r="AO439" s="72" t="b">
        <f t="shared" si="457"/>
        <v>0</v>
      </c>
      <c r="AS439" s="72">
        <f t="shared" si="458"/>
        <v>0</v>
      </c>
      <c r="AT439" s="72">
        <f t="shared" si="459"/>
        <v>0</v>
      </c>
      <c r="AU439" s="72">
        <f t="shared" si="468"/>
        <v>0</v>
      </c>
      <c r="AV439" s="72">
        <f t="shared" si="460"/>
        <v>0</v>
      </c>
      <c r="AW439" s="72">
        <f t="shared" si="461"/>
        <v>0</v>
      </c>
      <c r="AX439" s="72">
        <f t="shared" si="462"/>
        <v>0</v>
      </c>
      <c r="AY439" s="72">
        <f t="shared" si="463"/>
        <v>0</v>
      </c>
      <c r="AZ439" s="72">
        <f t="shared" si="464"/>
        <v>0</v>
      </c>
      <c r="BA439" s="72" t="e">
        <f t="shared" si="465"/>
        <v>#N/A</v>
      </c>
      <c r="BB439" s="72" t="e">
        <f t="shared" si="466"/>
        <v>#N/A</v>
      </c>
      <c r="BC439" s="77"/>
      <c r="BE439">
        <f t="shared" si="446"/>
        <v>0</v>
      </c>
      <c r="BF439" s="196"/>
      <c r="BG439" s="196"/>
      <c r="BH439" s="196"/>
      <c r="BI439" s="196"/>
      <c r="BJ439" s="196"/>
      <c r="BK439" s="196"/>
    </row>
    <row r="440" spans="2:63" hidden="1">
      <c r="B440" s="72"/>
      <c r="C440" s="135"/>
      <c r="D440" s="78"/>
      <c r="E440" s="78"/>
      <c r="F440" s="72"/>
      <c r="G440" s="72"/>
      <c r="H440" s="72"/>
      <c r="I440" s="73">
        <f t="shared" si="448"/>
        <v>0</v>
      </c>
      <c r="J440" s="78"/>
      <c r="K440" s="73"/>
      <c r="L440" s="74" t="e">
        <f>_xlfn.IFNA(VLOOKUP(C440,'חד גזעי'!$U$3:$V$509,2,0),VLOOKUP(C440,'חד גזעי'!$U$3:$V$509,2))</f>
        <v>#N/A</v>
      </c>
      <c r="M440" s="73"/>
      <c r="N440" s="72" t="e">
        <f>_xlfn.IFNA(IF(VLOOKUP(C440,'חד גזעי'!$AH$2:$AH$7,1,FALSE)&gt;0,0,IF('חד גזעי'!$AM$5="כן",IF(_xlfn.IFNA(VLOOKUP(C440,'חד גזעי'!$AH$2:$AH$33,1,FALSE),SUM(J440:M440))&lt;21,_xlfn.IFNA(VLOOKUP(C440,'חד גזעי'!$AH$2:$AH$33,1,FALSE),SUM(J440:M440)),0),SUM(J440:M440))),IF('חד גזעי'!$AM$5="כן",IF(_xlfn.IFNA(VLOOKUP(C440,'חד גזעי'!$AH$2:$AH$33,1,FALSE),SUM(J440:M440))&lt;21,_xlfn.IFNA(VLOOKUP(C440,'חד גזעי'!$AH$2:$AH$33,1,FALSE),SUM(J440:M440)),0),SUM(J440:M440)))</f>
        <v>#N/A</v>
      </c>
      <c r="O440" s="72">
        <f>IF('חד גזעי'!$AM$3 = "כן",IF(T440&gt;4,4,T440),T440)</f>
        <v>0</v>
      </c>
      <c r="P440" s="80">
        <f>IF(E440&lt;2,0,IF(Z440&gt;0,Z440,IF(N440 = 0,0,IF('חד גזעי'!$AM$2 = "לא",IF(F440&gt;19,W440,0),IF(F440&gt;9,Y440,0)))))</f>
        <v>0</v>
      </c>
      <c r="Q440" s="77"/>
      <c r="R440" s="75"/>
      <c r="S440" t="e">
        <f>VLOOKUP(C440,'חד גזעי'!$Y$4:$Y$18,1,0)</f>
        <v>#N/A</v>
      </c>
      <c r="T440" s="72">
        <f>IF('חד גזעי'!$AM$6="לא",IF(P440=0,IF(BC440="שימור",IF('חד גזעי'!$AM$4="לא",IF(BC440="לא בוגר",0,IF(BC440="לא קיים",0,IF(J440=0,0,I440*0.1))),IF(BC440="לא בוגר",0,IF(BC440="לא קיים",0,IF(AB440=1,I440*0.1,E440*0.5)))),0),IF('חד גזעי'!$AM$4="לא",IF(BC440="לא בוגר",0,IF(BC440="לא קיים",0,IF(J440=0,0,I440*0.1))),IF(BC440="לא בוגר",0,IF(BC440="לא קיים",0,IF(AB440=1,I440*0.1,E440*0.5))))),IF(P440=0,IF(BC440="שימור",IF('חד גזעי'!$AM$4="לא",IF(BC440="לא בוגר",0,IF(BC440="לא קיים",0,IF(J440=0,0,I440*0.15))),IF(BC440="לא בוגר",0,IF(BC440="לא קיים",0,IF(AB440=1,I440*0.15,E440*0.5)))),0),IF('חד גזעי'!$AM$4="לא",IF(BC440="לא בוגר",0,IF(BC440="לא קיים",0,IF(J440=0,0,I440*0.15))),IF(BC440="לא בוגר",0,IF(BC440="לא קיים",0,IF(AB440=1,I440*0.15,E440*0.5))))))</f>
        <v>0</v>
      </c>
      <c r="V440" t="e">
        <f t="shared" si="421"/>
        <v>#N/A</v>
      </c>
      <c r="W440" t="e">
        <f t="shared" si="422"/>
        <v>#N/A</v>
      </c>
      <c r="X440" t="e">
        <f t="shared" si="423"/>
        <v>#N/A</v>
      </c>
      <c r="Y440">
        <f>IF('חד גזעי'!$AM$2 = "לא",0,IF(F440&gt;9,W440,0))</f>
        <v>0</v>
      </c>
      <c r="Z440">
        <f>IF('חד גזעי'!$AM$7 = "לא",0,IF(C440 = "זית אירופי",IF('חד גזעי'!$AN$7 &lt;=סקר!F440,W440,0),IF(C440 = "חרוב מצוי",IF('חד גזעי'!$AN$7 &lt;=סקר!F440,W440,0),0)))</f>
        <v>0</v>
      </c>
      <c r="AB440">
        <f t="shared" si="449"/>
        <v>1</v>
      </c>
      <c r="AC440" s="72"/>
      <c r="AD440" t="e">
        <f t="shared" si="467"/>
        <v>#N/A</v>
      </c>
      <c r="AE440" s="72"/>
      <c r="AF440" s="72" t="e">
        <f t="shared" si="450"/>
        <v>#N/A</v>
      </c>
      <c r="AG440" s="72" t="e">
        <f>IF('חד גזעי'!$AM$5="לא",(VLOOKUP(C440,'חד גזעי'!$P$1:$S$589,3,FALSE)),(VLOOKUP(C440,'חד גזעי'!$P$1:$S$589,4,FALSE)))</f>
        <v>#N/A</v>
      </c>
      <c r="AH440" s="72">
        <f t="shared" si="451"/>
        <v>0</v>
      </c>
      <c r="AI440" s="72">
        <f t="shared" si="452"/>
        <v>0</v>
      </c>
      <c r="AJ440" s="72">
        <f t="shared" si="453"/>
        <v>0</v>
      </c>
      <c r="AK440" s="72" t="e">
        <f t="shared" si="454"/>
        <v>#N/A</v>
      </c>
      <c r="AL440" t="e">
        <f>VLOOKUP(C440,'חד גזעי'!$AH$8:$AI$33,2,FALSE)</f>
        <v>#N/A</v>
      </c>
      <c r="AM440" s="72" t="b">
        <f t="shared" si="455"/>
        <v>0</v>
      </c>
      <c r="AN440" s="72" t="b">
        <f t="shared" si="456"/>
        <v>0</v>
      </c>
      <c r="AO440" s="72" t="b">
        <f t="shared" si="457"/>
        <v>0</v>
      </c>
      <c r="AS440" s="72">
        <f t="shared" si="458"/>
        <v>0</v>
      </c>
      <c r="AT440" s="72">
        <f t="shared" si="459"/>
        <v>0</v>
      </c>
      <c r="AU440" s="72">
        <f t="shared" si="468"/>
        <v>0</v>
      </c>
      <c r="AV440" s="72">
        <f t="shared" si="460"/>
        <v>0</v>
      </c>
      <c r="AW440" s="72">
        <f t="shared" si="461"/>
        <v>0</v>
      </c>
      <c r="AX440" s="72">
        <f t="shared" si="462"/>
        <v>0</v>
      </c>
      <c r="AY440" s="72">
        <f t="shared" si="463"/>
        <v>0</v>
      </c>
      <c r="AZ440" s="72">
        <f t="shared" si="464"/>
        <v>0</v>
      </c>
      <c r="BA440" s="72" t="e">
        <f t="shared" si="465"/>
        <v>#N/A</v>
      </c>
      <c r="BB440" s="72" t="e">
        <f t="shared" si="466"/>
        <v>#N/A</v>
      </c>
      <c r="BC440" s="77"/>
      <c r="BE440">
        <f t="shared" si="446"/>
        <v>0</v>
      </c>
      <c r="BF440" s="196"/>
      <c r="BG440" s="196"/>
      <c r="BH440" s="196"/>
      <c r="BI440" s="196"/>
      <c r="BJ440" s="196"/>
      <c r="BK440" s="196"/>
    </row>
    <row r="441" spans="2:63" hidden="1">
      <c r="B441" s="72"/>
      <c r="C441" s="135"/>
      <c r="D441" s="78"/>
      <c r="E441" s="78"/>
      <c r="F441" s="72"/>
      <c r="G441" s="72"/>
      <c r="H441" s="72"/>
      <c r="I441" s="73">
        <f t="shared" si="448"/>
        <v>0</v>
      </c>
      <c r="J441" s="78"/>
      <c r="K441" s="73"/>
      <c r="L441" s="74" t="e">
        <f>_xlfn.IFNA(VLOOKUP(C441,'חד גזעי'!$U$3:$V$509,2,0),VLOOKUP(C441,'חד גזעי'!$U$3:$V$509,2))</f>
        <v>#N/A</v>
      </c>
      <c r="M441" s="73"/>
      <c r="N441" s="72" t="e">
        <f>_xlfn.IFNA(IF(VLOOKUP(C441,'חד גזעי'!$AH$2:$AH$7,1,FALSE)&gt;0,0,IF('חד גזעי'!$AM$5="כן",IF(_xlfn.IFNA(VLOOKUP(C441,'חד גזעי'!$AH$2:$AH$33,1,FALSE),SUM(J441:M441))&lt;21,_xlfn.IFNA(VLOOKUP(C441,'חד גזעי'!$AH$2:$AH$33,1,FALSE),SUM(J441:M441)),0),SUM(J441:M441))),IF('חד גזעי'!$AM$5="כן",IF(_xlfn.IFNA(VLOOKUP(C441,'חד גזעי'!$AH$2:$AH$33,1,FALSE),SUM(J441:M441))&lt;21,_xlfn.IFNA(VLOOKUP(C441,'חד גזעי'!$AH$2:$AH$33,1,FALSE),SUM(J441:M441)),0),SUM(J441:M441)))</f>
        <v>#N/A</v>
      </c>
      <c r="O441" s="72">
        <f>IF('חד גזעי'!$AM$3 = "כן",IF(T441&gt;4,4,T441),T441)</f>
        <v>0</v>
      </c>
      <c r="P441" s="80">
        <f>IF(E441&lt;2,0,IF(Z441&gt;0,Z441,IF(N441 = 0,0,IF('חד גזעי'!$AM$2 = "לא",IF(F441&gt;19,W441,0),IF(F441&gt;9,Y441,0)))))</f>
        <v>0</v>
      </c>
      <c r="Q441" s="77"/>
      <c r="R441" s="76"/>
      <c r="S441" t="e">
        <f>VLOOKUP(C441,'חד גזעי'!$Y$4:$Y$18,1,0)</f>
        <v>#N/A</v>
      </c>
      <c r="T441" s="72">
        <f>IF('חד גזעי'!$AM$6="לא",IF(P441=0,IF(BC441="שימור",IF('חד גזעי'!$AM$4="לא",IF(BC441="לא בוגר",0,IF(BC441="לא קיים",0,IF(J441=0,0,I441*0.1))),IF(BC441="לא בוגר",0,IF(BC441="לא קיים",0,IF(AB441=1,I441*0.1,E441*0.5)))),0),IF('חד גזעי'!$AM$4="לא",IF(BC441="לא בוגר",0,IF(BC441="לא קיים",0,IF(J441=0,0,I441*0.1))),IF(BC441="לא בוגר",0,IF(BC441="לא קיים",0,IF(AB441=1,I441*0.1,E441*0.5))))),IF(P441=0,IF(BC441="שימור",IF('חד גזעי'!$AM$4="לא",IF(BC441="לא בוגר",0,IF(BC441="לא קיים",0,IF(J441=0,0,I441*0.15))),IF(BC441="לא בוגר",0,IF(BC441="לא קיים",0,IF(AB441=1,I441*0.15,E441*0.5)))),0),IF('חד גזעי'!$AM$4="לא",IF(BC441="לא בוגר",0,IF(BC441="לא קיים",0,IF(J441=0,0,I441*0.15))),IF(BC441="לא בוגר",0,IF(BC441="לא קיים",0,IF(AB441=1,I441*0.15,E441*0.5))))))</f>
        <v>0</v>
      </c>
      <c r="V441" t="e">
        <f t="shared" si="421"/>
        <v>#N/A</v>
      </c>
      <c r="W441" t="e">
        <f t="shared" si="422"/>
        <v>#N/A</v>
      </c>
      <c r="X441" t="e">
        <f t="shared" si="423"/>
        <v>#N/A</v>
      </c>
      <c r="Y441">
        <f>IF('חד גזעי'!$AM$2 = "לא",0,IF(F441&gt;9,W441,0))</f>
        <v>0</v>
      </c>
      <c r="Z441">
        <f>IF('חד גזעי'!$AM$7 = "לא",0,IF(C441 = "זית אירופי",IF('חד גזעי'!$AN$7 &lt;=סקר!F441,W441,0),IF(C441 = "חרוב מצוי",IF('חד גזעי'!$AN$7 &lt;=סקר!F441,W441,0),0)))</f>
        <v>0</v>
      </c>
      <c r="AB441">
        <f t="shared" si="449"/>
        <v>1</v>
      </c>
      <c r="AC441" s="72"/>
      <c r="AD441" t="e">
        <f t="shared" si="467"/>
        <v>#N/A</v>
      </c>
      <c r="AE441" s="72"/>
      <c r="AF441" s="72" t="e">
        <f t="shared" si="450"/>
        <v>#N/A</v>
      </c>
      <c r="AG441" s="72" t="e">
        <f>IF('חד גזעי'!$AM$5="לא",(VLOOKUP(C441,'חד גזעי'!$P$1:$S$589,3,FALSE)),(VLOOKUP(C441,'חד גזעי'!$P$1:$S$589,4,FALSE)))</f>
        <v>#N/A</v>
      </c>
      <c r="AH441" s="72">
        <f t="shared" si="451"/>
        <v>0</v>
      </c>
      <c r="AI441" s="72">
        <f t="shared" si="452"/>
        <v>0</v>
      </c>
      <c r="AJ441" s="72">
        <f t="shared" si="453"/>
        <v>0</v>
      </c>
      <c r="AK441" s="72" t="e">
        <f t="shared" si="454"/>
        <v>#N/A</v>
      </c>
      <c r="AL441" t="e">
        <f>VLOOKUP(C441,'חד גזעי'!$AH$8:$AI$33,2,FALSE)</f>
        <v>#N/A</v>
      </c>
      <c r="AM441" s="72" t="b">
        <f t="shared" si="455"/>
        <v>0</v>
      </c>
      <c r="AN441" s="72" t="b">
        <f t="shared" si="456"/>
        <v>0</v>
      </c>
      <c r="AO441" s="72" t="b">
        <f t="shared" si="457"/>
        <v>0</v>
      </c>
      <c r="AS441" s="72">
        <f t="shared" si="458"/>
        <v>0</v>
      </c>
      <c r="AT441" s="72">
        <f t="shared" si="459"/>
        <v>0</v>
      </c>
      <c r="AU441" s="72">
        <f t="shared" si="468"/>
        <v>0</v>
      </c>
      <c r="AV441" s="72">
        <f t="shared" si="460"/>
        <v>0</v>
      </c>
      <c r="AW441" s="72">
        <f t="shared" si="461"/>
        <v>0</v>
      </c>
      <c r="AX441" s="72">
        <f t="shared" si="462"/>
        <v>0</v>
      </c>
      <c r="AY441" s="72">
        <f t="shared" si="463"/>
        <v>0</v>
      </c>
      <c r="AZ441" s="72">
        <f t="shared" si="464"/>
        <v>0</v>
      </c>
      <c r="BA441" s="72" t="e">
        <f t="shared" si="465"/>
        <v>#N/A</v>
      </c>
      <c r="BB441" s="72" t="e">
        <f t="shared" si="466"/>
        <v>#N/A</v>
      </c>
      <c r="BC441" s="77"/>
      <c r="BE441">
        <f t="shared" si="446"/>
        <v>0</v>
      </c>
      <c r="BF441" s="196"/>
      <c r="BG441" s="196"/>
      <c r="BH441" s="196"/>
      <c r="BI441" s="196"/>
      <c r="BJ441" s="196"/>
      <c r="BK441" s="196"/>
    </row>
    <row r="442" spans="2:63" hidden="1">
      <c r="B442" s="72"/>
      <c r="C442" s="135"/>
      <c r="D442" s="78"/>
      <c r="E442" s="78"/>
      <c r="F442" s="72"/>
      <c r="G442" s="72"/>
      <c r="H442" s="72"/>
      <c r="I442" s="73">
        <f t="shared" si="448"/>
        <v>0</v>
      </c>
      <c r="J442" s="78"/>
      <c r="K442" s="73"/>
      <c r="L442" s="74" t="e">
        <f>_xlfn.IFNA(VLOOKUP(C442,'חד גזעי'!$U$3:$V$509,2,0),VLOOKUP(C442,'חד גזעי'!$U$3:$V$509,2))</f>
        <v>#N/A</v>
      </c>
      <c r="M442" s="102"/>
      <c r="N442" s="72" t="e">
        <f>_xlfn.IFNA(IF(VLOOKUP(C442,'חד גזעי'!$AH$2:$AH$7,1,FALSE)&gt;0,0,IF('חד גזעי'!$AM$5="כן",IF(_xlfn.IFNA(VLOOKUP(C442,'חד גזעי'!$AH$2:$AH$33,1,FALSE),SUM(J442:M442))&lt;21,_xlfn.IFNA(VLOOKUP(C442,'חד גזעי'!$AH$2:$AH$33,1,FALSE),SUM(J442:M442)),0),SUM(J442:M442))),IF('חד גזעי'!$AM$5="כן",IF(_xlfn.IFNA(VLOOKUP(C442,'חד גזעי'!$AH$2:$AH$33,1,FALSE),SUM(J442:M442))&lt;21,_xlfn.IFNA(VLOOKUP(C442,'חד גזעי'!$AH$2:$AH$33,1,FALSE),SUM(J442:M442)),0),SUM(J442:M442)))</f>
        <v>#N/A</v>
      </c>
      <c r="O442" s="72">
        <f>IF('חד גזעי'!$AM$3 = "כן",IF(T442&gt;4,4,T442),T442)</f>
        <v>0</v>
      </c>
      <c r="P442" s="80">
        <f>IF(E442&lt;2,0,IF(Z442&gt;0,Z442,IF(N442 = 0,0,IF('חד גזעי'!$AM$2 = "לא",IF(F442&gt;19,W442,0),IF(F442&gt;9,Y442,0)))))</f>
        <v>0</v>
      </c>
      <c r="Q442" s="77"/>
      <c r="R442" s="76"/>
      <c r="S442" t="e">
        <f>VLOOKUP(C442,'חד גזעי'!$Y$4:$Y$18,1,0)</f>
        <v>#N/A</v>
      </c>
      <c r="T442" s="72">
        <f>IF('חד גזעי'!$AM$6="לא",IF(P442=0,IF(BC442="שימור",IF('חד גזעי'!$AM$4="לא",IF(BC442="לא בוגר",0,IF(BC442="לא קיים",0,IF(J442=0,0,I442*0.1))),IF(BC442="לא בוגר",0,IF(BC442="לא קיים",0,IF(AB442=1,I442*0.1,E442*0.5)))),0),IF('חד גזעי'!$AM$4="לא",IF(BC442="לא בוגר",0,IF(BC442="לא קיים",0,IF(J442=0,0,I442*0.1))),IF(BC442="לא בוגר",0,IF(BC442="לא קיים",0,IF(AB442=1,I442*0.1,E442*0.5))))),IF(P442=0,IF(BC442="שימור",IF('חד גזעי'!$AM$4="לא",IF(BC442="לא בוגר",0,IF(BC442="לא קיים",0,IF(J442=0,0,I442*0.15))),IF(BC442="לא בוגר",0,IF(BC442="לא קיים",0,IF(AB442=1,I442*0.15,E442*0.5)))),0),IF('חד גזעי'!$AM$4="לא",IF(BC442="לא בוגר",0,IF(BC442="לא קיים",0,IF(J442=0,0,I442*0.15))),IF(BC442="לא בוגר",0,IF(BC442="לא קיים",0,IF(AB442=1,I442*0.15,E442*0.5))))))</f>
        <v>0</v>
      </c>
      <c r="V442" t="e">
        <f t="shared" si="421"/>
        <v>#N/A</v>
      </c>
      <c r="W442" t="e">
        <f t="shared" si="422"/>
        <v>#N/A</v>
      </c>
      <c r="X442" t="e">
        <f t="shared" si="423"/>
        <v>#N/A</v>
      </c>
      <c r="Y442">
        <f>IF('חד גזעי'!$AM$2 = "לא",0,IF(F442&gt;9,W442,0))</f>
        <v>0</v>
      </c>
      <c r="Z442">
        <f>IF('חד גזעי'!$AM$7 = "לא",0,IF(C442 = "זית אירופי",IF('חד גזעי'!$AN$7 &lt;=סקר!F442,W442,0),IF(C442 = "חרוב מצוי",IF('חד גזעי'!$AN$7 &lt;=סקר!F442,W442,0),0)))</f>
        <v>0</v>
      </c>
      <c r="AB442">
        <f t="shared" si="449"/>
        <v>1</v>
      </c>
      <c r="AC442" s="72"/>
      <c r="AD442" t="e">
        <f t="shared" si="467"/>
        <v>#N/A</v>
      </c>
      <c r="AE442" s="72"/>
      <c r="AF442" s="72" t="e">
        <f t="shared" si="450"/>
        <v>#N/A</v>
      </c>
      <c r="AG442" s="72" t="e">
        <f>IF('חד גזעי'!$AM$5="לא",(VLOOKUP(C442,'חד גזעי'!$P$1:$S$589,3,FALSE)),(VLOOKUP(C442,'חד גזעי'!$P$1:$S$589,4,FALSE)))</f>
        <v>#N/A</v>
      </c>
      <c r="AH442" s="72">
        <f t="shared" si="451"/>
        <v>0</v>
      </c>
      <c r="AI442" s="72">
        <f t="shared" si="452"/>
        <v>0</v>
      </c>
      <c r="AJ442" s="72">
        <f t="shared" si="453"/>
        <v>0</v>
      </c>
      <c r="AK442" s="72" t="e">
        <f t="shared" si="454"/>
        <v>#N/A</v>
      </c>
      <c r="AL442" t="e">
        <f>VLOOKUP(C442,'חד גזעי'!$AH$8:$AI$33,2,FALSE)</f>
        <v>#N/A</v>
      </c>
      <c r="AM442" s="72" t="b">
        <f t="shared" si="455"/>
        <v>0</v>
      </c>
      <c r="AN442" s="72" t="b">
        <f t="shared" si="456"/>
        <v>0</v>
      </c>
      <c r="AO442" s="72" t="b">
        <f t="shared" si="457"/>
        <v>0</v>
      </c>
      <c r="AS442" s="72">
        <f t="shared" si="458"/>
        <v>0</v>
      </c>
      <c r="AT442" s="72">
        <f t="shared" si="459"/>
        <v>0</v>
      </c>
      <c r="AU442" s="72">
        <f t="shared" si="468"/>
        <v>0</v>
      </c>
      <c r="AV442" s="72">
        <f t="shared" si="460"/>
        <v>0</v>
      </c>
      <c r="AW442" s="72">
        <f t="shared" si="461"/>
        <v>0</v>
      </c>
      <c r="AX442" s="72">
        <f t="shared" si="462"/>
        <v>0</v>
      </c>
      <c r="AY442" s="72">
        <f t="shared" si="463"/>
        <v>0</v>
      </c>
      <c r="AZ442" s="72">
        <f t="shared" si="464"/>
        <v>0</v>
      </c>
      <c r="BA442" s="72" t="e">
        <f t="shared" si="465"/>
        <v>#N/A</v>
      </c>
      <c r="BB442" s="72" t="e">
        <f t="shared" si="466"/>
        <v>#N/A</v>
      </c>
      <c r="BC442" s="77"/>
      <c r="BE442">
        <f t="shared" si="446"/>
        <v>0</v>
      </c>
      <c r="BF442" s="196"/>
      <c r="BG442" s="196"/>
      <c r="BH442" s="196"/>
      <c r="BI442" s="196"/>
      <c r="BJ442" s="196"/>
      <c r="BK442" s="196"/>
    </row>
    <row r="443" spans="2:63" hidden="1">
      <c r="B443" s="72"/>
      <c r="C443" s="135"/>
      <c r="D443" s="73"/>
      <c r="E443" s="73"/>
      <c r="F443" s="72"/>
      <c r="G443" s="72"/>
      <c r="H443" s="72"/>
      <c r="I443" s="73">
        <f t="shared" si="448"/>
        <v>0</v>
      </c>
      <c r="J443" s="73"/>
      <c r="K443" s="73"/>
      <c r="L443" s="74" t="e">
        <f>_xlfn.IFNA(VLOOKUP(C443,'חד גזעי'!$U$3:$V$509,2,0),VLOOKUP(C443,'חד גזעי'!$U$3:$V$509,2))</f>
        <v>#N/A</v>
      </c>
      <c r="M443" s="73"/>
      <c r="N443" s="72" t="e">
        <f>_xlfn.IFNA(IF(VLOOKUP(C443,'חד גזעי'!$AH$2:$AH$7,1,FALSE)&gt;0,0,IF('חד גזעי'!$AM$5="כן",IF(_xlfn.IFNA(VLOOKUP(C443,'חד גזעי'!$AH$2:$AH$33,1,FALSE),SUM(J443:M443))&lt;21,_xlfn.IFNA(VLOOKUP(C443,'חד גזעי'!$AH$2:$AH$33,1,FALSE),SUM(J443:M443)),0),SUM(J443:M443))),IF('חד גזעי'!$AM$5="כן",IF(_xlfn.IFNA(VLOOKUP(C443,'חד גזעי'!$AH$2:$AH$33,1,FALSE),SUM(J443:M443))&lt;21,_xlfn.IFNA(VLOOKUP(C443,'חד גזעי'!$AH$2:$AH$33,1,FALSE),SUM(J443:M443)),0),SUM(J443:M443)))</f>
        <v>#N/A</v>
      </c>
      <c r="O443" s="72">
        <f>IF('חד גזעי'!$AM$3 = "כן",IF(T443&gt;4,4,T443),T443)</f>
        <v>0</v>
      </c>
      <c r="P443" s="80">
        <f>IF(E443&lt;2,0,IF(Z443&gt;0,Z443,IF(N443 = 0,0,IF('חד גזעי'!$AM$2 = "לא",IF(F443&gt;19,W443,0),IF(F443&gt;9,Y443,0)))))</f>
        <v>0</v>
      </c>
      <c r="Q443" s="77"/>
      <c r="R443" s="76"/>
      <c r="S443" t="e">
        <f>VLOOKUP(C443,'חד גזעי'!$Y$4:$Y$18,1,0)</f>
        <v>#N/A</v>
      </c>
      <c r="T443" s="72">
        <f>IF('חד גזעי'!$AM$6="לא",IF(P443=0,IF(BC443="שימור",IF('חד גזעי'!$AM$4="לא",IF(BC443="לא בוגר",0,IF(BC443="לא קיים",0,IF(J443=0,0,I443*0.1))),IF(BC443="לא בוגר",0,IF(BC443="לא קיים",0,IF(AB443=1,I443*0.1,E443*0.5)))),0),IF('חד גזעי'!$AM$4="לא",IF(BC443="לא בוגר",0,IF(BC443="לא קיים",0,IF(J443=0,0,I443*0.1))),IF(BC443="לא בוגר",0,IF(BC443="לא קיים",0,IF(AB443=1,I443*0.1,E443*0.5))))),IF(P443=0,IF(BC443="שימור",IF('חד גזעי'!$AM$4="לא",IF(BC443="לא בוגר",0,IF(BC443="לא קיים",0,IF(J443=0,0,I443*0.15))),IF(BC443="לא בוגר",0,IF(BC443="לא קיים",0,IF(AB443=1,I443*0.15,E443*0.5)))),0),IF('חד גזעי'!$AM$4="לא",IF(BC443="לא בוגר",0,IF(BC443="לא קיים",0,IF(J443=0,0,I443*0.15))),IF(BC443="לא בוגר",0,IF(BC443="לא קיים",0,IF(AB443=1,I443*0.15,E443*0.5))))))</f>
        <v>0</v>
      </c>
      <c r="V443" t="e">
        <f t="shared" si="421"/>
        <v>#N/A</v>
      </c>
      <c r="W443" t="e">
        <f t="shared" si="422"/>
        <v>#N/A</v>
      </c>
      <c r="X443" t="e">
        <f t="shared" si="423"/>
        <v>#N/A</v>
      </c>
      <c r="Y443">
        <f>IF('חד גזעי'!$AM$2 = "לא",0,IF(F443&gt;9,W443,0))</f>
        <v>0</v>
      </c>
      <c r="Z443">
        <f>IF('חד גזעי'!$AM$7 = "לא",0,IF(C443 = "זית אירופי",IF('חד גזעי'!$AN$7 &lt;=סקר!F443,W443,0),IF(C443 = "חרוב מצוי",IF('חד גזעי'!$AN$7 &lt;=סקר!F443,W443,0),0)))</f>
        <v>0</v>
      </c>
      <c r="AB443">
        <f t="shared" si="449"/>
        <v>1</v>
      </c>
      <c r="AC443" s="72"/>
      <c r="AD443" t="e">
        <f t="shared" si="467"/>
        <v>#N/A</v>
      </c>
      <c r="AE443" s="72"/>
      <c r="AF443" s="72" t="e">
        <f t="shared" si="450"/>
        <v>#N/A</v>
      </c>
      <c r="AG443" s="72" t="e">
        <f>IF('חד גזעי'!$AM$5="לא",(VLOOKUP(C443,'חד גזעי'!$P$1:$S$589,3,FALSE)),(VLOOKUP(C443,'חד גזעי'!$P$1:$S$589,4,FALSE)))</f>
        <v>#N/A</v>
      </c>
      <c r="AH443" s="72">
        <f t="shared" si="451"/>
        <v>0</v>
      </c>
      <c r="AI443" s="72">
        <f t="shared" si="452"/>
        <v>0</v>
      </c>
      <c r="AJ443" s="72">
        <f t="shared" si="453"/>
        <v>0</v>
      </c>
      <c r="AK443" s="72" t="e">
        <f t="shared" si="454"/>
        <v>#N/A</v>
      </c>
      <c r="AL443" t="e">
        <f>VLOOKUP(C443,'חד גזעי'!$AH$8:$AI$33,2,FALSE)</f>
        <v>#N/A</v>
      </c>
      <c r="AM443" s="72" t="b">
        <f t="shared" si="455"/>
        <v>0</v>
      </c>
      <c r="AN443" s="72" t="b">
        <f t="shared" si="456"/>
        <v>0</v>
      </c>
      <c r="AO443" s="72" t="b">
        <f t="shared" si="457"/>
        <v>0</v>
      </c>
      <c r="AS443" s="72">
        <f t="shared" si="458"/>
        <v>0</v>
      </c>
      <c r="AT443" s="72">
        <f t="shared" si="459"/>
        <v>0</v>
      </c>
      <c r="AU443" s="72">
        <f t="shared" si="468"/>
        <v>0</v>
      </c>
      <c r="AV443" s="72">
        <f t="shared" si="460"/>
        <v>0</v>
      </c>
      <c r="AW443" s="72">
        <f t="shared" si="461"/>
        <v>0</v>
      </c>
      <c r="AX443" s="72">
        <f t="shared" si="462"/>
        <v>0</v>
      </c>
      <c r="AY443" s="72">
        <f t="shared" si="463"/>
        <v>0</v>
      </c>
      <c r="AZ443" s="72">
        <f t="shared" si="464"/>
        <v>0</v>
      </c>
      <c r="BA443" s="72" t="e">
        <f t="shared" si="465"/>
        <v>#N/A</v>
      </c>
      <c r="BB443" s="72" t="e">
        <f t="shared" si="466"/>
        <v>#N/A</v>
      </c>
      <c r="BC443" s="77"/>
      <c r="BE443">
        <f t="shared" si="446"/>
        <v>0</v>
      </c>
      <c r="BF443" s="196"/>
      <c r="BG443" s="196"/>
      <c r="BH443" s="196"/>
      <c r="BI443" s="196"/>
      <c r="BJ443" s="196"/>
      <c r="BK443" s="196"/>
    </row>
    <row r="444" spans="2:63" hidden="1">
      <c r="B444" s="72"/>
      <c r="C444" s="135"/>
      <c r="D444" s="73"/>
      <c r="E444" s="73"/>
      <c r="F444" s="72"/>
      <c r="G444" s="72"/>
      <c r="H444" s="72"/>
      <c r="I444" s="73">
        <f t="shared" si="448"/>
        <v>0</v>
      </c>
      <c r="J444" s="73"/>
      <c r="K444" s="73"/>
      <c r="L444" s="74" t="e">
        <f>_xlfn.IFNA(VLOOKUP(C444,'חד גזעי'!$U$3:$V$509,2,0),VLOOKUP(C444,'חד גזעי'!$U$3:$V$509,2))</f>
        <v>#N/A</v>
      </c>
      <c r="M444" s="73"/>
      <c r="N444" s="72" t="e">
        <f>_xlfn.IFNA(IF(VLOOKUP(C444,'חד גזעי'!$AH$2:$AH$7,1,FALSE)&gt;0,0,IF('חד גזעי'!$AM$5="כן",IF(_xlfn.IFNA(VLOOKUP(C444,'חד גזעי'!$AH$2:$AH$33,1,FALSE),SUM(J444:M444))&lt;21,_xlfn.IFNA(VLOOKUP(C444,'חד גזעי'!$AH$2:$AH$33,1,FALSE),SUM(J444:M444)),0),SUM(J444:M444))),IF('חד גזעי'!$AM$5="כן",IF(_xlfn.IFNA(VLOOKUP(C444,'חד גזעי'!$AH$2:$AH$33,1,FALSE),SUM(J444:M444))&lt;21,_xlfn.IFNA(VLOOKUP(C444,'חד גזעי'!$AH$2:$AH$33,1,FALSE),SUM(J444:M444)),0),SUM(J444:M444)))</f>
        <v>#N/A</v>
      </c>
      <c r="O444" s="72">
        <f>IF('חד גזעי'!$AM$3 = "כן",IF(T444&gt;4,4,T444),T444)</f>
        <v>0</v>
      </c>
      <c r="P444" s="80">
        <f>IF(E444&lt;2,0,IF(Z444&gt;0,Z444,IF(N444 = 0,0,IF('חד גזעי'!$AM$2 = "לא",IF(F444&gt;19,W444,0),IF(F444&gt;9,Y444,0)))))</f>
        <v>0</v>
      </c>
      <c r="Q444" s="77"/>
      <c r="R444" s="76"/>
      <c r="S444" t="e">
        <f>VLOOKUP(C444,'חד גזעי'!$Y$4:$Y$18,1,0)</f>
        <v>#N/A</v>
      </c>
      <c r="T444" s="72">
        <f>IF('חד גזעי'!$AM$6="לא",IF(P444=0,IF(BC444="שימור",IF('חד גזעי'!$AM$4="לא",IF(BC444="לא בוגר",0,IF(BC444="לא קיים",0,IF(J444=0,0,I444*0.1))),IF(BC444="לא בוגר",0,IF(BC444="לא קיים",0,IF(AB444=1,I444*0.1,E444*0.5)))),0),IF('חד גזעי'!$AM$4="לא",IF(BC444="לא בוגר",0,IF(BC444="לא קיים",0,IF(J444=0,0,I444*0.1))),IF(BC444="לא בוגר",0,IF(BC444="לא קיים",0,IF(AB444=1,I444*0.1,E444*0.5))))),IF(P444=0,IF(BC444="שימור",IF('חד גזעי'!$AM$4="לא",IF(BC444="לא בוגר",0,IF(BC444="לא קיים",0,IF(J444=0,0,I444*0.15))),IF(BC444="לא בוגר",0,IF(BC444="לא קיים",0,IF(AB444=1,I444*0.15,E444*0.5)))),0),IF('חד גזעי'!$AM$4="לא",IF(BC444="לא בוגר",0,IF(BC444="לא קיים",0,IF(J444=0,0,I444*0.15))),IF(BC444="לא בוגר",0,IF(BC444="לא קיים",0,IF(AB444=1,I444*0.15,E444*0.5))))))</f>
        <v>0</v>
      </c>
      <c r="V444" t="e">
        <f t="shared" si="421"/>
        <v>#N/A</v>
      </c>
      <c r="W444" t="e">
        <f t="shared" si="422"/>
        <v>#N/A</v>
      </c>
      <c r="X444" t="e">
        <f t="shared" si="423"/>
        <v>#N/A</v>
      </c>
      <c r="Y444">
        <f>IF('חד גזעי'!$AM$2 = "לא",0,IF(F444&gt;9,W444,0))</f>
        <v>0</v>
      </c>
      <c r="Z444">
        <f>IF('חד גזעי'!$AM$7 = "לא",0,IF(C444 = "זית אירופי",IF('חד גזעי'!$AN$7 &lt;=סקר!F444,W444,0),IF(C444 = "חרוב מצוי",IF('חד גזעי'!$AN$7 &lt;=סקר!F444,W444,0),0)))</f>
        <v>0</v>
      </c>
      <c r="AB444">
        <f t="shared" si="449"/>
        <v>1</v>
      </c>
      <c r="AC444" s="72"/>
      <c r="AD444" t="e">
        <f t="shared" si="467"/>
        <v>#N/A</v>
      </c>
      <c r="AE444" s="72"/>
      <c r="AF444" s="72" t="e">
        <f t="shared" si="450"/>
        <v>#N/A</v>
      </c>
      <c r="AG444" s="72" t="e">
        <f>IF('חד גזעי'!$AM$5="לא",(VLOOKUP(C444,'חד גזעי'!$P$1:$S$589,3,FALSE)),(VLOOKUP(C444,'חד גזעי'!$P$1:$S$589,4,FALSE)))</f>
        <v>#N/A</v>
      </c>
      <c r="AH444" s="72">
        <f t="shared" si="451"/>
        <v>0</v>
      </c>
      <c r="AI444" s="72">
        <f t="shared" si="452"/>
        <v>0</v>
      </c>
      <c r="AJ444" s="72">
        <f t="shared" si="453"/>
        <v>0</v>
      </c>
      <c r="AK444" s="72" t="e">
        <f t="shared" si="454"/>
        <v>#N/A</v>
      </c>
      <c r="AL444" t="e">
        <f>VLOOKUP(C444,'חד גזעי'!$AH$8:$AI$33,2,FALSE)</f>
        <v>#N/A</v>
      </c>
      <c r="AM444" s="72" t="b">
        <f t="shared" si="455"/>
        <v>0</v>
      </c>
      <c r="AN444" s="72" t="b">
        <f t="shared" si="456"/>
        <v>0</v>
      </c>
      <c r="AO444" s="72" t="b">
        <f t="shared" si="457"/>
        <v>0</v>
      </c>
      <c r="AS444" s="72">
        <f t="shared" si="458"/>
        <v>0</v>
      </c>
      <c r="AT444" s="72">
        <f t="shared" si="459"/>
        <v>0</v>
      </c>
      <c r="AU444" s="72">
        <f t="shared" si="468"/>
        <v>0</v>
      </c>
      <c r="AV444" s="72">
        <f t="shared" si="460"/>
        <v>0</v>
      </c>
      <c r="AW444" s="72">
        <f t="shared" si="461"/>
        <v>0</v>
      </c>
      <c r="AX444" s="72">
        <f t="shared" si="462"/>
        <v>0</v>
      </c>
      <c r="AY444" s="72">
        <f t="shared" si="463"/>
        <v>0</v>
      </c>
      <c r="AZ444" s="72">
        <f t="shared" si="464"/>
        <v>0</v>
      </c>
      <c r="BA444" s="72" t="e">
        <f t="shared" si="465"/>
        <v>#N/A</v>
      </c>
      <c r="BB444" s="72" t="e">
        <f t="shared" si="466"/>
        <v>#N/A</v>
      </c>
      <c r="BC444" s="77"/>
      <c r="BE444">
        <f t="shared" si="446"/>
        <v>0</v>
      </c>
      <c r="BF444" s="196"/>
      <c r="BG444" s="196"/>
      <c r="BH444" s="196"/>
      <c r="BI444" s="196"/>
      <c r="BJ444" s="196"/>
      <c r="BK444" s="196"/>
    </row>
    <row r="445" spans="2:63" hidden="1">
      <c r="B445" s="72"/>
      <c r="C445" s="135"/>
      <c r="D445" s="73"/>
      <c r="E445" s="73"/>
      <c r="F445" s="72"/>
      <c r="G445" s="72"/>
      <c r="H445" s="72"/>
      <c r="I445" s="73">
        <f t="shared" si="448"/>
        <v>0</v>
      </c>
      <c r="J445" s="73"/>
      <c r="K445" s="73"/>
      <c r="L445" s="74" t="e">
        <f>_xlfn.IFNA(VLOOKUP(C445,'חד גזעי'!$U$3:$V$509,2,0),VLOOKUP(C445,'חד גזעי'!$U$3:$V$509,2))</f>
        <v>#N/A</v>
      </c>
      <c r="M445" s="73"/>
      <c r="N445" s="72" t="e">
        <f>_xlfn.IFNA(IF(VLOOKUP(C445,'חד גזעי'!$AH$2:$AH$7,1,FALSE)&gt;0,0,IF('חד גזעי'!$AM$5="כן",IF(_xlfn.IFNA(VLOOKUP(C445,'חד גזעי'!$AH$2:$AH$33,1,FALSE),SUM(J445:M445))&lt;21,_xlfn.IFNA(VLOOKUP(C445,'חד גזעי'!$AH$2:$AH$33,1,FALSE),SUM(J445:M445)),0),SUM(J445:M445))),IF('חד גזעי'!$AM$5="כן",IF(_xlfn.IFNA(VLOOKUP(C445,'חד גזעי'!$AH$2:$AH$33,1,FALSE),SUM(J445:M445))&lt;21,_xlfn.IFNA(VLOOKUP(C445,'חד גזעי'!$AH$2:$AH$33,1,FALSE),SUM(J445:M445)),0),SUM(J445:M445)))</f>
        <v>#N/A</v>
      </c>
      <c r="O445" s="72">
        <f>IF('חד גזעי'!$AM$3 = "כן",IF(T445&gt;4,4,T445),T445)</f>
        <v>0</v>
      </c>
      <c r="P445" s="80">
        <f>IF(E445&lt;2,0,IF(Z445&gt;0,Z445,IF(N445 = 0,0,IF('חד גזעי'!$AM$2 = "לא",IF(F445&gt;19,W445,0),IF(F445&gt;9,Y445,0)))))</f>
        <v>0</v>
      </c>
      <c r="Q445" s="77"/>
      <c r="R445" s="76"/>
      <c r="S445" t="e">
        <f>VLOOKUP(C445,'חד גזעי'!$Y$4:$Y$18,1,0)</f>
        <v>#N/A</v>
      </c>
      <c r="T445" s="72">
        <f>IF('חד גזעי'!$AM$6="לא",IF(P445=0,IF(BC445="שימור",IF('חד גזעי'!$AM$4="לא",IF(BC445="לא בוגר",0,IF(BC445="לא קיים",0,IF(J445=0,0,I445*0.1))),IF(BC445="לא בוגר",0,IF(BC445="לא קיים",0,IF(AB445=1,I445*0.1,E445*0.5)))),0),IF('חד גזעי'!$AM$4="לא",IF(BC445="לא בוגר",0,IF(BC445="לא קיים",0,IF(J445=0,0,I445*0.1))),IF(BC445="לא בוגר",0,IF(BC445="לא קיים",0,IF(AB445=1,I445*0.1,E445*0.5))))),IF(P445=0,IF(BC445="שימור",IF('חד גזעי'!$AM$4="לא",IF(BC445="לא בוגר",0,IF(BC445="לא קיים",0,IF(J445=0,0,I445*0.15))),IF(BC445="לא בוגר",0,IF(BC445="לא קיים",0,IF(AB445=1,I445*0.15,E445*0.5)))),0),IF('חד גזעי'!$AM$4="לא",IF(BC445="לא בוגר",0,IF(BC445="לא קיים",0,IF(J445=0,0,I445*0.15))),IF(BC445="לא בוגר",0,IF(BC445="לא קיים",0,IF(AB445=1,I445*0.15,E445*0.5))))))</f>
        <v>0</v>
      </c>
      <c r="V445" t="e">
        <f t="shared" si="421"/>
        <v>#N/A</v>
      </c>
      <c r="W445" t="e">
        <f t="shared" si="422"/>
        <v>#N/A</v>
      </c>
      <c r="X445" t="e">
        <f t="shared" si="423"/>
        <v>#N/A</v>
      </c>
      <c r="Y445">
        <f>IF('חד גזעי'!$AM$2 = "לא",0,IF(F445&gt;9,W445,0))</f>
        <v>0</v>
      </c>
      <c r="Z445">
        <f>IF('חד גזעי'!$AM$7 = "לא",0,IF(C445 = "זית אירופי",IF('חד גזעי'!$AN$7 &lt;=סקר!F445,W445,0),IF(C445 = "חרוב מצוי",IF('חד גזעי'!$AN$7 &lt;=סקר!F445,W445,0),0)))</f>
        <v>0</v>
      </c>
      <c r="AB445">
        <f t="shared" si="449"/>
        <v>1</v>
      </c>
      <c r="AC445" s="72"/>
      <c r="AD445" t="e">
        <f t="shared" si="467"/>
        <v>#N/A</v>
      </c>
      <c r="AE445" s="72"/>
      <c r="AF445" s="72" t="e">
        <f t="shared" si="450"/>
        <v>#N/A</v>
      </c>
      <c r="AG445" s="72" t="e">
        <f>IF('חד גזעי'!$AM$5="לא",(VLOOKUP(C445,'חד גזעי'!$P$1:$S$589,3,FALSE)),(VLOOKUP(C445,'חד גזעי'!$P$1:$S$589,4,FALSE)))</f>
        <v>#N/A</v>
      </c>
      <c r="AH445" s="72">
        <f t="shared" si="451"/>
        <v>0</v>
      </c>
      <c r="AI445" s="72">
        <f t="shared" si="452"/>
        <v>0</v>
      </c>
      <c r="AJ445" s="72">
        <f t="shared" si="453"/>
        <v>0</v>
      </c>
      <c r="AK445" s="72" t="e">
        <f t="shared" si="454"/>
        <v>#N/A</v>
      </c>
      <c r="AL445" t="e">
        <f>VLOOKUP(C445,'חד גזעי'!$AH$8:$AI$33,2,FALSE)</f>
        <v>#N/A</v>
      </c>
      <c r="AM445" s="72" t="b">
        <f t="shared" si="455"/>
        <v>0</v>
      </c>
      <c r="AN445" s="72" t="b">
        <f t="shared" si="456"/>
        <v>0</v>
      </c>
      <c r="AO445" s="72" t="b">
        <f t="shared" si="457"/>
        <v>0</v>
      </c>
      <c r="AS445" s="72">
        <f t="shared" si="458"/>
        <v>0</v>
      </c>
      <c r="AT445" s="72">
        <f t="shared" si="459"/>
        <v>0</v>
      </c>
      <c r="AU445" s="72">
        <f t="shared" si="468"/>
        <v>0</v>
      </c>
      <c r="AV445" s="72">
        <f t="shared" si="460"/>
        <v>0</v>
      </c>
      <c r="AW445" s="72">
        <f t="shared" si="461"/>
        <v>0</v>
      </c>
      <c r="AX445" s="72">
        <f t="shared" si="462"/>
        <v>0</v>
      </c>
      <c r="AY445" s="72">
        <f t="shared" si="463"/>
        <v>0</v>
      </c>
      <c r="AZ445" s="72">
        <f t="shared" si="464"/>
        <v>0</v>
      </c>
      <c r="BA445" s="72" t="e">
        <f t="shared" si="465"/>
        <v>#N/A</v>
      </c>
      <c r="BB445" s="72" t="e">
        <f t="shared" si="466"/>
        <v>#N/A</v>
      </c>
      <c r="BC445" s="77"/>
      <c r="BE445">
        <f t="shared" si="446"/>
        <v>0</v>
      </c>
      <c r="BF445" s="196"/>
      <c r="BG445" s="196"/>
      <c r="BH445" s="196"/>
      <c r="BI445" s="196"/>
      <c r="BJ445" s="196"/>
      <c r="BK445" s="196"/>
    </row>
    <row r="446" spans="2:63" hidden="1">
      <c r="B446" s="72"/>
      <c r="C446" s="135"/>
      <c r="D446" s="73"/>
      <c r="E446" s="73"/>
      <c r="F446" s="72"/>
      <c r="G446" s="72"/>
      <c r="H446" s="72"/>
      <c r="I446" s="73">
        <f t="shared" si="448"/>
        <v>0</v>
      </c>
      <c r="J446" s="73"/>
      <c r="K446" s="73"/>
      <c r="L446" s="74" t="e">
        <f>_xlfn.IFNA(VLOOKUP(C446,'חד גזעי'!$U$3:$V$509,2,0),VLOOKUP(C446,'חד גזעי'!$U$3:$V$509,2))</f>
        <v>#N/A</v>
      </c>
      <c r="M446" s="73"/>
      <c r="N446" s="72" t="e">
        <f>_xlfn.IFNA(IF(VLOOKUP(C446,'חד גזעי'!$AH$2:$AH$7,1,FALSE)&gt;0,0,IF('חד גזעי'!$AM$5="כן",IF(_xlfn.IFNA(VLOOKUP(C446,'חד גזעי'!$AH$2:$AH$33,1,FALSE),SUM(J446:M446))&lt;21,_xlfn.IFNA(VLOOKUP(C446,'חד גזעי'!$AH$2:$AH$33,1,FALSE),SUM(J446:M446)),0),SUM(J446:M446))),IF('חד גזעי'!$AM$5="כן",IF(_xlfn.IFNA(VLOOKUP(C446,'חד גזעי'!$AH$2:$AH$33,1,FALSE),SUM(J446:M446))&lt;21,_xlfn.IFNA(VLOOKUP(C446,'חד גזעי'!$AH$2:$AH$33,1,FALSE),SUM(J446:M446)),0),SUM(J446:M446)))</f>
        <v>#N/A</v>
      </c>
      <c r="O446" s="72">
        <f>IF('חד גזעי'!$AM$3 = "כן",IF(T446&gt;4,4,T446),T446)</f>
        <v>0</v>
      </c>
      <c r="P446" s="80">
        <f>IF(E446&lt;2,0,IF(Z446&gt;0,Z446,IF(N446 = 0,0,IF('חד גזעי'!$AM$2 = "לא",IF(F446&gt;19,W446,0),IF(F446&gt;9,Y446,0)))))</f>
        <v>0</v>
      </c>
      <c r="Q446" s="77"/>
      <c r="R446" s="76"/>
      <c r="S446" t="e">
        <f>VLOOKUP(C446,'חד גזעי'!$Y$4:$Y$18,1,0)</f>
        <v>#N/A</v>
      </c>
      <c r="T446" s="72">
        <f>IF('חד גזעי'!$AM$6="לא",IF(P446=0,IF(BC446="שימור",IF('חד גזעי'!$AM$4="לא",IF(BC446="לא בוגר",0,IF(BC446="לא קיים",0,IF(J446=0,0,I446*0.1))),IF(BC446="לא בוגר",0,IF(BC446="לא קיים",0,IF(AB446=1,I446*0.1,E446*0.5)))),0),IF('חד גזעי'!$AM$4="לא",IF(BC446="לא בוגר",0,IF(BC446="לא קיים",0,IF(J446=0,0,I446*0.1))),IF(BC446="לא בוגר",0,IF(BC446="לא קיים",0,IF(AB446=1,I446*0.1,E446*0.5))))),IF(P446=0,IF(BC446="שימור",IF('חד גזעי'!$AM$4="לא",IF(BC446="לא בוגר",0,IF(BC446="לא קיים",0,IF(J446=0,0,I446*0.15))),IF(BC446="לא בוגר",0,IF(BC446="לא קיים",0,IF(AB446=1,I446*0.15,E446*0.5)))),0),IF('חד גזעי'!$AM$4="לא",IF(BC446="לא בוגר",0,IF(BC446="לא קיים",0,IF(J446=0,0,I446*0.15))),IF(BC446="לא בוגר",0,IF(BC446="לא קיים",0,IF(AB446=1,I446*0.15,E446*0.5))))))</f>
        <v>0</v>
      </c>
      <c r="V446" t="e">
        <f t="shared" si="421"/>
        <v>#N/A</v>
      </c>
      <c r="W446" t="e">
        <f t="shared" si="422"/>
        <v>#N/A</v>
      </c>
      <c r="X446" t="e">
        <f t="shared" si="423"/>
        <v>#N/A</v>
      </c>
      <c r="Y446">
        <f>IF('חד גזעי'!$AM$2 = "לא",0,IF(F446&gt;9,W446,0))</f>
        <v>0</v>
      </c>
      <c r="Z446">
        <f>IF('חד גזעי'!$AM$7 = "לא",0,IF(C446 = "זית אירופי",IF('חד גזעי'!$AN$7 &lt;=סקר!F446,W446,0),IF(C446 = "חרוב מצוי",IF('חד גזעי'!$AN$7 &lt;=סקר!F446,W446,0),0)))</f>
        <v>0</v>
      </c>
      <c r="AB446">
        <f t="shared" si="449"/>
        <v>1</v>
      </c>
      <c r="AC446" s="72"/>
      <c r="AD446" t="e">
        <f>IF(AK446&gt;0,AK446,AF446)</f>
        <v>#N/A</v>
      </c>
      <c r="AE446" s="72"/>
      <c r="AF446" s="72" t="e">
        <f t="shared" si="450"/>
        <v>#N/A</v>
      </c>
      <c r="AG446" s="72" t="e">
        <f>IF('חד גזעי'!$AM$5="לא",(VLOOKUP(C446,'חד גזעי'!$P$1:$S$589,3,FALSE)),(VLOOKUP(C446,'חד גזעי'!$P$1:$S$589,4,FALSE)))</f>
        <v>#N/A</v>
      </c>
      <c r="AH446" s="72">
        <f t="shared" si="451"/>
        <v>0</v>
      </c>
      <c r="AI446" s="72">
        <f t="shared" si="452"/>
        <v>0</v>
      </c>
      <c r="AJ446" s="72">
        <f t="shared" si="453"/>
        <v>0</v>
      </c>
      <c r="AK446" s="72" t="e">
        <f t="shared" si="454"/>
        <v>#N/A</v>
      </c>
      <c r="AL446" t="e">
        <f>VLOOKUP(C446,'חד גזעי'!$AH$8:$AI$33,2,FALSE)</f>
        <v>#N/A</v>
      </c>
      <c r="AM446" s="72" t="b">
        <f t="shared" si="455"/>
        <v>0</v>
      </c>
      <c r="AN446" s="72" t="b">
        <f t="shared" si="456"/>
        <v>0</v>
      </c>
      <c r="AO446" s="72" t="b">
        <f t="shared" si="457"/>
        <v>0</v>
      </c>
      <c r="AS446" s="72">
        <f t="shared" si="458"/>
        <v>0</v>
      </c>
      <c r="AT446" s="72">
        <f t="shared" si="459"/>
        <v>0</v>
      </c>
      <c r="AU446" s="72">
        <f>IF(C446&gt;0,IF(D446&lt;2,1,D446),0)</f>
        <v>0</v>
      </c>
      <c r="AV446" s="72">
        <f t="shared" si="460"/>
        <v>0</v>
      </c>
      <c r="AW446" s="72">
        <f t="shared" si="461"/>
        <v>0</v>
      </c>
      <c r="AX446" s="72">
        <f t="shared" si="462"/>
        <v>0</v>
      </c>
      <c r="AY446" s="72">
        <f t="shared" si="463"/>
        <v>0</v>
      </c>
      <c r="AZ446" s="72">
        <f t="shared" si="464"/>
        <v>0</v>
      </c>
      <c r="BA446" s="72" t="e">
        <f t="shared" si="465"/>
        <v>#N/A</v>
      </c>
      <c r="BB446" s="72" t="e">
        <f t="shared" si="466"/>
        <v>#N/A</v>
      </c>
      <c r="BC446" s="77"/>
      <c r="BE446">
        <f t="shared" si="446"/>
        <v>0</v>
      </c>
      <c r="BF446" s="196"/>
      <c r="BG446" s="196"/>
      <c r="BH446" s="196"/>
      <c r="BI446" s="196"/>
      <c r="BJ446" s="196"/>
      <c r="BK446" s="196"/>
    </row>
    <row r="447" spans="2:63" hidden="1">
      <c r="B447" s="72"/>
      <c r="C447" s="135"/>
      <c r="D447" s="73"/>
      <c r="E447" s="73"/>
      <c r="F447" s="72"/>
      <c r="G447" s="72"/>
      <c r="H447" s="72"/>
      <c r="I447" s="73">
        <f t="shared" si="448"/>
        <v>0</v>
      </c>
      <c r="J447" s="73"/>
      <c r="K447" s="73"/>
      <c r="L447" s="74" t="e">
        <f>_xlfn.IFNA(VLOOKUP(C447,'חד גזעי'!$U$3:$V$509,2,0),VLOOKUP(C447,'חד גזעי'!$U$3:$V$509,2))</f>
        <v>#N/A</v>
      </c>
      <c r="M447" s="73"/>
      <c r="N447" s="72" t="e">
        <f>_xlfn.IFNA(IF(VLOOKUP(C447,'חד גזעי'!$AH$2:$AH$7,1,FALSE)&gt;0,0,IF('חד גזעי'!$AM$5="כן",IF(_xlfn.IFNA(VLOOKUP(C447,'חד גזעי'!$AH$2:$AH$33,1,FALSE),SUM(J447:M447))&lt;21,_xlfn.IFNA(VLOOKUP(C447,'חד גזעי'!$AH$2:$AH$33,1,FALSE),SUM(J447:M447)),0),SUM(J447:M447))),IF('חד גזעי'!$AM$5="כן",IF(_xlfn.IFNA(VLOOKUP(C447,'חד גזעי'!$AH$2:$AH$33,1,FALSE),SUM(J447:M447))&lt;21,_xlfn.IFNA(VLOOKUP(C447,'חד גזעי'!$AH$2:$AH$33,1,FALSE),SUM(J447:M447)),0),SUM(J447:M447)))</f>
        <v>#N/A</v>
      </c>
      <c r="O447" s="72">
        <f>IF('חד גזעי'!$AM$3 = "כן",IF(T447&gt;4,4,T447),T447)</f>
        <v>0</v>
      </c>
      <c r="P447" s="80">
        <f>IF(E447&lt;2,0,IF(Z447&gt;0,Z447,IF(N447 = 0,0,IF('חד גזעי'!$AM$2 = "לא",IF(F447&gt;19,W447,0),IF(F447&gt;9,Y447,0)))))</f>
        <v>0</v>
      </c>
      <c r="Q447" s="77"/>
      <c r="R447" s="76"/>
      <c r="S447" t="e">
        <f>VLOOKUP(C447,'חד גזעי'!$Y$4:$Y$18,1,0)</f>
        <v>#N/A</v>
      </c>
      <c r="T447" s="72">
        <f>IF('חד גזעי'!$AM$6="לא",IF(P447=0,IF(BC447="שימור",IF('חד גזעי'!$AM$4="לא",IF(BC447="לא בוגר",0,IF(BC447="לא קיים",0,IF(J447=0,0,I447*0.1))),IF(BC447="לא בוגר",0,IF(BC447="לא קיים",0,IF(AB447=1,I447*0.1,E447*0.5)))),0),IF('חד גזעי'!$AM$4="לא",IF(BC447="לא בוגר",0,IF(BC447="לא קיים",0,IF(J447=0,0,I447*0.1))),IF(BC447="לא בוגר",0,IF(BC447="לא קיים",0,IF(AB447=1,I447*0.1,E447*0.5))))),IF(P447=0,IF(BC447="שימור",IF('חד גזעי'!$AM$4="לא",IF(BC447="לא בוגר",0,IF(BC447="לא קיים",0,IF(J447=0,0,I447*0.15))),IF(BC447="לא בוגר",0,IF(BC447="לא קיים",0,IF(AB447=1,I447*0.15,E447*0.5)))),0),IF('חד גזעי'!$AM$4="לא",IF(BC447="לא בוגר",0,IF(BC447="לא קיים",0,IF(J447=0,0,I447*0.15))),IF(BC447="לא בוגר",0,IF(BC447="לא קיים",0,IF(AB447=1,I447*0.15,E447*0.5))))))</f>
        <v>0</v>
      </c>
      <c r="V447" t="e">
        <f t="shared" si="421"/>
        <v>#N/A</v>
      </c>
      <c r="W447" t="e">
        <f t="shared" si="422"/>
        <v>#N/A</v>
      </c>
      <c r="X447" t="e">
        <f t="shared" si="423"/>
        <v>#N/A</v>
      </c>
      <c r="Y447">
        <f>IF('חד גזעי'!$AM$2 = "לא",0,IF(F447&gt;9,W447,0))</f>
        <v>0</v>
      </c>
      <c r="Z447">
        <f>IF('חד גזעי'!$AM$7 = "לא",0,IF(C447 = "זית אירופי",IF('חד גזעי'!$AN$7 &lt;=סקר!F447,W447,0),IF(C447 = "חרוב מצוי",IF('חד גזעי'!$AN$7 &lt;=סקר!F447,W447,0),0)))</f>
        <v>0</v>
      </c>
      <c r="AB447">
        <f t="shared" si="449"/>
        <v>1</v>
      </c>
      <c r="AC447" s="72"/>
      <c r="AD447" t="e">
        <f t="shared" si="467"/>
        <v>#N/A</v>
      </c>
      <c r="AE447" s="72"/>
      <c r="AF447" s="72" t="e">
        <f t="shared" si="450"/>
        <v>#N/A</v>
      </c>
      <c r="AG447" s="72" t="e">
        <f>IF('חד גזעי'!$AM$5="לא",(VLOOKUP(C447,'חד גזעי'!$P$1:$S$589,3,FALSE)),(VLOOKUP(C447,'חד גזעי'!$P$1:$S$589,4,FALSE)))</f>
        <v>#N/A</v>
      </c>
      <c r="AH447" s="72">
        <f t="shared" si="451"/>
        <v>0</v>
      </c>
      <c r="AI447" s="72">
        <f t="shared" si="452"/>
        <v>0</v>
      </c>
      <c r="AJ447" s="72">
        <f t="shared" si="453"/>
        <v>0</v>
      </c>
      <c r="AK447" s="72" t="e">
        <f t="shared" si="454"/>
        <v>#N/A</v>
      </c>
      <c r="AL447" t="e">
        <f>VLOOKUP(C447,'חד גזעי'!$AH$8:$AI$33,2,FALSE)</f>
        <v>#N/A</v>
      </c>
      <c r="AM447" s="72" t="b">
        <f t="shared" si="455"/>
        <v>0</v>
      </c>
      <c r="AN447" s="72" t="b">
        <f t="shared" si="456"/>
        <v>0</v>
      </c>
      <c r="AO447" s="72" t="b">
        <f t="shared" si="457"/>
        <v>0</v>
      </c>
      <c r="AS447" s="72">
        <f t="shared" si="458"/>
        <v>0</v>
      </c>
      <c r="AT447" s="72">
        <f t="shared" si="459"/>
        <v>0</v>
      </c>
      <c r="AU447" s="72">
        <f t="shared" si="468"/>
        <v>0</v>
      </c>
      <c r="AV447" s="72">
        <f t="shared" si="460"/>
        <v>0</v>
      </c>
      <c r="AW447" s="72">
        <f t="shared" si="461"/>
        <v>0</v>
      </c>
      <c r="AX447" s="72">
        <f t="shared" si="462"/>
        <v>0</v>
      </c>
      <c r="AY447" s="72">
        <f t="shared" si="463"/>
        <v>0</v>
      </c>
      <c r="AZ447" s="72">
        <f t="shared" si="464"/>
        <v>0</v>
      </c>
      <c r="BA447" s="72" t="e">
        <f t="shared" si="465"/>
        <v>#N/A</v>
      </c>
      <c r="BB447" s="72" t="e">
        <f t="shared" si="466"/>
        <v>#N/A</v>
      </c>
      <c r="BC447" s="77"/>
      <c r="BE447">
        <f t="shared" si="446"/>
        <v>0</v>
      </c>
      <c r="BF447" s="196"/>
      <c r="BG447" s="196"/>
      <c r="BH447" s="196"/>
      <c r="BI447" s="196"/>
      <c r="BJ447" s="196"/>
      <c r="BK447" s="196"/>
    </row>
    <row r="448" spans="2:63" hidden="1">
      <c r="B448" s="72"/>
      <c r="C448" s="135"/>
      <c r="D448" s="73"/>
      <c r="E448" s="73"/>
      <c r="F448" s="72"/>
      <c r="G448" s="72"/>
      <c r="H448" s="72"/>
      <c r="I448" s="73">
        <f t="shared" si="448"/>
        <v>0</v>
      </c>
      <c r="J448" s="73"/>
      <c r="K448" s="73"/>
      <c r="L448" s="74" t="e">
        <f>_xlfn.IFNA(VLOOKUP(C448,'חד גזעי'!$U$3:$V$509,2,0),VLOOKUP(C448,'חד גזעי'!$U$3:$V$509,2))</f>
        <v>#N/A</v>
      </c>
      <c r="M448" s="73"/>
      <c r="N448" s="72" t="e">
        <f>_xlfn.IFNA(IF(VLOOKUP(C448,'חד גזעי'!$AH$2:$AH$7,1,FALSE)&gt;0,0,IF('חד גזעי'!$AM$5="כן",IF(_xlfn.IFNA(VLOOKUP(C448,'חד גזעי'!$AH$2:$AH$33,1,FALSE),SUM(J448:M448))&lt;21,_xlfn.IFNA(VLOOKUP(C448,'חד גזעי'!$AH$2:$AH$33,1,FALSE),SUM(J448:M448)),0),SUM(J448:M448))),IF('חד גזעי'!$AM$5="כן",IF(_xlfn.IFNA(VLOOKUP(C448,'חד גזעי'!$AH$2:$AH$33,1,FALSE),SUM(J448:M448))&lt;21,_xlfn.IFNA(VLOOKUP(C448,'חד גזעי'!$AH$2:$AH$33,1,FALSE),SUM(J448:M448)),0),SUM(J448:M448)))</f>
        <v>#N/A</v>
      </c>
      <c r="O448" s="72">
        <f>IF('חד גזעי'!$AM$3 = "כן",IF(T448&gt;4,4,T448),T448)</f>
        <v>0</v>
      </c>
      <c r="P448" s="80">
        <f>IF(E448&lt;2,0,IF(Z448&gt;0,Z448,IF(N448 = 0,0,IF('חד גזעי'!$AM$2 = "לא",IF(F448&gt;19,W448,0),IF(F448&gt;9,Y448,0)))))</f>
        <v>0</v>
      </c>
      <c r="Q448" s="77"/>
      <c r="R448" s="76"/>
      <c r="S448" t="e">
        <f>VLOOKUP(C448,'חד גזעי'!$Y$4:$Y$18,1,0)</f>
        <v>#N/A</v>
      </c>
      <c r="T448" s="72">
        <f>IF('חד גזעי'!$AM$6="לא",IF(P448=0,IF(BC448="שימור",IF('חד גזעי'!$AM$4="לא",IF(BC448="לא בוגר",0,IF(BC448="לא קיים",0,IF(J448=0,0,I448*0.1))),IF(BC448="לא בוגר",0,IF(BC448="לא קיים",0,IF(AB448=1,I448*0.1,E448*0.5)))),0),IF('חד גזעי'!$AM$4="לא",IF(BC448="לא בוגר",0,IF(BC448="לא קיים",0,IF(J448=0,0,I448*0.1))),IF(BC448="לא בוגר",0,IF(BC448="לא קיים",0,IF(AB448=1,I448*0.1,E448*0.5))))),IF(P448=0,IF(BC448="שימור",IF('חד גזעי'!$AM$4="לא",IF(BC448="לא בוגר",0,IF(BC448="לא קיים",0,IF(J448=0,0,I448*0.15))),IF(BC448="לא בוגר",0,IF(BC448="לא קיים",0,IF(AB448=1,I448*0.15,E448*0.5)))),0),IF('חד גזעי'!$AM$4="לא",IF(BC448="לא בוגר",0,IF(BC448="לא קיים",0,IF(J448=0,0,I448*0.15))),IF(BC448="לא בוגר",0,IF(BC448="לא קיים",0,IF(AB448=1,I448*0.15,E448*0.5))))))</f>
        <v>0</v>
      </c>
      <c r="V448" t="e">
        <f t="shared" si="421"/>
        <v>#N/A</v>
      </c>
      <c r="W448" t="e">
        <f t="shared" si="422"/>
        <v>#N/A</v>
      </c>
      <c r="X448" t="e">
        <f t="shared" si="423"/>
        <v>#N/A</v>
      </c>
      <c r="Y448">
        <f>IF('חד גזעי'!$AM$2 = "לא",0,IF(F448&gt;9,W448,0))</f>
        <v>0</v>
      </c>
      <c r="Z448">
        <f>IF('חד גזעי'!$AM$7 = "לא",0,IF(C448 = "זית אירופי",IF('חד גזעי'!$AN$7 &lt;=סקר!F448,W448,0),IF(C448 = "חרוב מצוי",IF('חד גזעי'!$AN$7 &lt;=סקר!F448,W448,0),0)))</f>
        <v>0</v>
      </c>
      <c r="AB448">
        <f t="shared" si="449"/>
        <v>1</v>
      </c>
      <c r="AC448" s="72"/>
      <c r="AD448" t="e">
        <f t="shared" si="467"/>
        <v>#N/A</v>
      </c>
      <c r="AE448" s="72"/>
      <c r="AF448" s="72" t="e">
        <f t="shared" si="450"/>
        <v>#N/A</v>
      </c>
      <c r="AG448" s="72" t="e">
        <f>IF('חד גזעי'!$AM$5="לא",(VLOOKUP(C448,'חד גזעי'!$P$1:$S$589,3,FALSE)),(VLOOKUP(C448,'חד גזעי'!$P$1:$S$589,4,FALSE)))</f>
        <v>#N/A</v>
      </c>
      <c r="AH448" s="72">
        <f t="shared" si="451"/>
        <v>0</v>
      </c>
      <c r="AI448" s="72">
        <f t="shared" si="452"/>
        <v>0</v>
      </c>
      <c r="AJ448" s="72">
        <f t="shared" si="453"/>
        <v>0</v>
      </c>
      <c r="AK448" s="72" t="e">
        <f t="shared" si="454"/>
        <v>#N/A</v>
      </c>
      <c r="AL448" t="e">
        <f>VLOOKUP(C448,'חד גזעי'!$AH$8:$AI$33,2,FALSE)</f>
        <v>#N/A</v>
      </c>
      <c r="AM448" s="72" t="b">
        <f t="shared" si="455"/>
        <v>0</v>
      </c>
      <c r="AN448" s="72" t="b">
        <f t="shared" si="456"/>
        <v>0</v>
      </c>
      <c r="AO448" s="72" t="b">
        <f t="shared" si="457"/>
        <v>0</v>
      </c>
      <c r="AS448" s="72">
        <f t="shared" si="458"/>
        <v>0</v>
      </c>
      <c r="AT448" s="72">
        <f t="shared" si="459"/>
        <v>0</v>
      </c>
      <c r="AU448" s="72">
        <f t="shared" si="468"/>
        <v>0</v>
      </c>
      <c r="AV448" s="72">
        <f t="shared" si="460"/>
        <v>0</v>
      </c>
      <c r="AW448" s="72">
        <f t="shared" si="461"/>
        <v>0</v>
      </c>
      <c r="AX448" s="72">
        <f t="shared" si="462"/>
        <v>0</v>
      </c>
      <c r="AY448" s="72">
        <f t="shared" si="463"/>
        <v>0</v>
      </c>
      <c r="AZ448" s="72">
        <f t="shared" si="464"/>
        <v>0</v>
      </c>
      <c r="BA448" s="72" t="e">
        <f t="shared" si="465"/>
        <v>#N/A</v>
      </c>
      <c r="BB448" s="72" t="e">
        <f t="shared" si="466"/>
        <v>#N/A</v>
      </c>
      <c r="BC448" s="77"/>
      <c r="BE448">
        <f t="shared" si="446"/>
        <v>0</v>
      </c>
      <c r="BF448" s="196"/>
      <c r="BG448" s="196"/>
      <c r="BH448" s="196"/>
      <c r="BI448" s="196"/>
      <c r="BJ448" s="196"/>
      <c r="BK448" s="196"/>
    </row>
    <row r="449" spans="1:63" hidden="1">
      <c r="B449" s="72"/>
      <c r="C449" s="135"/>
      <c r="D449" s="73"/>
      <c r="E449" s="73"/>
      <c r="F449" s="72"/>
      <c r="G449" s="72"/>
      <c r="H449" s="72"/>
      <c r="I449" s="73">
        <f t="shared" si="448"/>
        <v>0</v>
      </c>
      <c r="J449" s="73"/>
      <c r="K449" s="73"/>
      <c r="L449" s="74" t="e">
        <f>_xlfn.IFNA(VLOOKUP(C449,'חד גזעי'!$U$3:$V$509,2,0),VLOOKUP(C449,'חד גזעי'!$U$3:$V$509,2))</f>
        <v>#N/A</v>
      </c>
      <c r="M449" s="73"/>
      <c r="N449" s="72" t="e">
        <f>_xlfn.IFNA(IF(VLOOKUP(C449,'חד גזעי'!$AH$2:$AH$7,1,FALSE)&gt;0,0,IF('חד גזעי'!$AM$5="כן",IF(_xlfn.IFNA(VLOOKUP(C449,'חד גזעי'!$AH$2:$AH$33,1,FALSE),SUM(J449:M449))&lt;21,_xlfn.IFNA(VLOOKUP(C449,'חד גזעי'!$AH$2:$AH$33,1,FALSE),SUM(J449:M449)),0),SUM(J449:M449))),IF('חד גזעי'!$AM$5="כן",IF(_xlfn.IFNA(VLOOKUP(C449,'חד גזעי'!$AH$2:$AH$33,1,FALSE),SUM(J449:M449))&lt;21,_xlfn.IFNA(VLOOKUP(C449,'חד גזעי'!$AH$2:$AH$33,1,FALSE),SUM(J449:M449)),0),SUM(J449:M449)))</f>
        <v>#N/A</v>
      </c>
      <c r="O449" s="72">
        <f>IF('חד גזעי'!$AM$3 = "כן",IF(T449&gt;4,4,T449),T449)</f>
        <v>0</v>
      </c>
      <c r="P449" s="80">
        <f>IF(E449&lt;2,0,IF(Z449&gt;0,Z449,IF(N449 = 0,0,IF('חד גזעי'!$AM$2 = "לא",IF(F449&gt;19,W449,0),IF(F449&gt;9,Y449,0)))))</f>
        <v>0</v>
      </c>
      <c r="Q449" s="77"/>
      <c r="R449" s="76"/>
      <c r="S449" t="e">
        <f>VLOOKUP(C449,'חד גזעי'!$Y$4:$Y$18,1,0)</f>
        <v>#N/A</v>
      </c>
      <c r="T449" s="72">
        <f>IF('חד גזעי'!$AM$6="לא",IF(P449=0,IF(BC449="שימור",IF('חד גזעי'!$AM$4="לא",IF(BC449="לא בוגר",0,IF(BC449="לא קיים",0,IF(J449=0,0,I449*0.1))),IF(BC449="לא בוגר",0,IF(BC449="לא קיים",0,IF(AB449=1,I449*0.1,E449*0.5)))),0),IF('חד גזעי'!$AM$4="לא",IF(BC449="לא בוגר",0,IF(BC449="לא קיים",0,IF(J449=0,0,I449*0.1))),IF(BC449="לא בוגר",0,IF(BC449="לא קיים",0,IF(AB449=1,I449*0.1,E449*0.5))))),IF(P449=0,IF(BC449="שימור",IF('חד גזעי'!$AM$4="לא",IF(BC449="לא בוגר",0,IF(BC449="לא קיים",0,IF(J449=0,0,I449*0.15))),IF(BC449="לא בוגר",0,IF(BC449="לא קיים",0,IF(AB449=1,I449*0.15,E449*0.5)))),0),IF('חד גזעי'!$AM$4="לא",IF(BC449="לא בוגר",0,IF(BC449="לא קיים",0,IF(J449=0,0,I449*0.15))),IF(BC449="לא בוגר",0,IF(BC449="לא קיים",0,IF(AB449=1,I449*0.15,E449*0.5))))))</f>
        <v>0</v>
      </c>
      <c r="V449" t="e">
        <f t="shared" si="421"/>
        <v>#N/A</v>
      </c>
      <c r="W449" t="e">
        <f t="shared" si="422"/>
        <v>#N/A</v>
      </c>
      <c r="X449" t="e">
        <f t="shared" si="423"/>
        <v>#N/A</v>
      </c>
      <c r="Y449">
        <f>IF('חד גזעי'!$AM$2 = "לא",0,IF(F449&gt;9,W449,0))</f>
        <v>0</v>
      </c>
      <c r="Z449">
        <f>IF('חד גזעי'!$AM$7 = "לא",0,IF(C449 = "זית אירופי",IF('חד גזעי'!$AN$7 &lt;=סקר!F449,W449,0),IF(C449 = "חרוב מצוי",IF('חד גזעי'!$AN$7 &lt;=סקר!F449,W449,0),0)))</f>
        <v>0</v>
      </c>
      <c r="AB449">
        <f t="shared" si="449"/>
        <v>1</v>
      </c>
      <c r="AC449" s="72"/>
      <c r="AD449" t="e">
        <f t="shared" si="467"/>
        <v>#N/A</v>
      </c>
      <c r="AE449" s="72"/>
      <c r="AF449" s="72" t="e">
        <f t="shared" si="450"/>
        <v>#N/A</v>
      </c>
      <c r="AG449" s="72" t="e">
        <f>IF('חד גזעי'!$AM$5="לא",(VLOOKUP(C449,'חד גזעי'!$P$1:$S$589,3,FALSE)),(VLOOKUP(C449,'חד גזעי'!$P$1:$S$589,4,FALSE)))</f>
        <v>#N/A</v>
      </c>
      <c r="AH449" s="72">
        <f t="shared" si="451"/>
        <v>0</v>
      </c>
      <c r="AI449" s="72">
        <f t="shared" si="452"/>
        <v>0</v>
      </c>
      <c r="AJ449" s="72">
        <f t="shared" si="453"/>
        <v>0</v>
      </c>
      <c r="AK449" s="72" t="e">
        <f t="shared" si="454"/>
        <v>#N/A</v>
      </c>
      <c r="AL449" t="e">
        <f>VLOOKUP(C449,'חד גזעי'!$AH$8:$AI$33,2,FALSE)</f>
        <v>#N/A</v>
      </c>
      <c r="AM449" s="72" t="b">
        <f t="shared" si="455"/>
        <v>0</v>
      </c>
      <c r="AN449" s="72" t="b">
        <f t="shared" si="456"/>
        <v>0</v>
      </c>
      <c r="AO449" s="72" t="b">
        <f t="shared" si="457"/>
        <v>0</v>
      </c>
      <c r="AS449" s="72">
        <f t="shared" si="458"/>
        <v>0</v>
      </c>
      <c r="AT449" s="72">
        <f t="shared" si="459"/>
        <v>0</v>
      </c>
      <c r="AU449" s="72">
        <f t="shared" si="468"/>
        <v>0</v>
      </c>
      <c r="AV449" s="72">
        <f t="shared" si="460"/>
        <v>0</v>
      </c>
      <c r="AW449" s="72">
        <f t="shared" si="461"/>
        <v>0</v>
      </c>
      <c r="AX449" s="72">
        <f t="shared" si="462"/>
        <v>0</v>
      </c>
      <c r="AY449" s="72">
        <f t="shared" si="463"/>
        <v>0</v>
      </c>
      <c r="AZ449" s="72">
        <f t="shared" si="464"/>
        <v>0</v>
      </c>
      <c r="BA449" s="72" t="e">
        <f t="shared" si="465"/>
        <v>#N/A</v>
      </c>
      <c r="BB449" s="72" t="e">
        <f t="shared" si="466"/>
        <v>#N/A</v>
      </c>
      <c r="BC449" s="77"/>
      <c r="BE449">
        <f t="shared" si="446"/>
        <v>0</v>
      </c>
      <c r="BF449" s="196"/>
      <c r="BG449" s="196"/>
      <c r="BH449" s="196"/>
      <c r="BI449" s="196"/>
      <c r="BJ449" s="196"/>
      <c r="BK449" s="196"/>
    </row>
    <row r="450" spans="1:63" hidden="1">
      <c r="B450" s="72"/>
      <c r="C450" s="135"/>
      <c r="D450" s="73"/>
      <c r="E450" s="73"/>
      <c r="F450" s="72"/>
      <c r="G450" s="72"/>
      <c r="H450" s="72"/>
      <c r="I450" s="73">
        <f t="shared" si="448"/>
        <v>0</v>
      </c>
      <c r="J450" s="73"/>
      <c r="K450" s="73"/>
      <c r="L450" s="74" t="e">
        <f>_xlfn.IFNA(VLOOKUP(C450,'חד גזעי'!$U$3:$V$509,2,0),VLOOKUP(C450,'חד גזעי'!$U$3:$V$509,2))</f>
        <v>#N/A</v>
      </c>
      <c r="M450" s="73"/>
      <c r="N450" s="72" t="e">
        <f>_xlfn.IFNA(IF(VLOOKUP(C450,'חד גזעי'!$AH$2:$AH$7,1,FALSE)&gt;0,0,IF('חד גזעי'!$AM$5="כן",IF(_xlfn.IFNA(VLOOKUP(C450,'חד גזעי'!$AH$2:$AH$33,1,FALSE),SUM(J450:M450))&lt;21,_xlfn.IFNA(VLOOKUP(C450,'חד גזעי'!$AH$2:$AH$33,1,FALSE),SUM(J450:M450)),0),SUM(J450:M450))),IF('חד גזעי'!$AM$5="כן",IF(_xlfn.IFNA(VLOOKUP(C450,'חד גזעי'!$AH$2:$AH$33,1,FALSE),SUM(J450:M450))&lt;21,_xlfn.IFNA(VLOOKUP(C450,'חד גזעי'!$AH$2:$AH$33,1,FALSE),SUM(J450:M450)),0),SUM(J450:M450)))</f>
        <v>#N/A</v>
      </c>
      <c r="O450" s="72">
        <f>IF('חד גזעי'!$AM$3 = "כן",IF(T450&gt;4,4,T450),T450)</f>
        <v>0</v>
      </c>
      <c r="P450" s="80">
        <f>IF(E450&lt;2,0,IF(Z450&gt;0,Z450,IF(N450 = 0,0,IF('חד גזעי'!$AM$2 = "לא",IF(F450&gt;19,W450,0),IF(F450&gt;9,Y450,0)))))</f>
        <v>0</v>
      </c>
      <c r="Q450" s="77"/>
      <c r="R450" s="76"/>
      <c r="S450" t="e">
        <f>VLOOKUP(C450,'חד גזעי'!$Y$4:$Y$18,1,0)</f>
        <v>#N/A</v>
      </c>
      <c r="T450" s="72">
        <f>IF('חד גזעי'!$AM$6="לא",IF(P450=0,IF(BC450="שימור",IF('חד גזעי'!$AM$4="לא",IF(BC450="לא בוגר",0,IF(BC450="לא קיים",0,IF(J450=0,0,I450*0.1))),IF(BC450="לא בוגר",0,IF(BC450="לא קיים",0,IF(AB450=1,I450*0.1,E450*0.5)))),0),IF('חד גזעי'!$AM$4="לא",IF(BC450="לא בוגר",0,IF(BC450="לא קיים",0,IF(J450=0,0,I450*0.1))),IF(BC450="לא בוגר",0,IF(BC450="לא קיים",0,IF(AB450=1,I450*0.1,E450*0.5))))),IF(P450=0,IF(BC450="שימור",IF('חד גזעי'!$AM$4="לא",IF(BC450="לא בוגר",0,IF(BC450="לא קיים",0,IF(J450=0,0,I450*0.15))),IF(BC450="לא בוגר",0,IF(BC450="לא קיים",0,IF(AB450=1,I450*0.15,E450*0.5)))),0),IF('חד גזעי'!$AM$4="לא",IF(BC450="לא בוגר",0,IF(BC450="לא קיים",0,IF(J450=0,0,I450*0.15))),IF(BC450="לא בוגר",0,IF(BC450="לא קיים",0,IF(AB450=1,I450*0.15,E450*0.5))))))</f>
        <v>0</v>
      </c>
      <c r="V450" t="e">
        <f t="shared" si="421"/>
        <v>#N/A</v>
      </c>
      <c r="W450" t="e">
        <f t="shared" si="422"/>
        <v>#N/A</v>
      </c>
      <c r="X450" t="e">
        <f t="shared" si="423"/>
        <v>#N/A</v>
      </c>
      <c r="Y450">
        <f>IF('חד גזעי'!$AM$2 = "לא",0,IF(F450&gt;9,W450,0))</f>
        <v>0</v>
      </c>
      <c r="Z450">
        <f>IF('חד גזעי'!$AM$7 = "לא",0,IF(C450 = "זית אירופי",IF('חד גזעי'!$AN$7 &lt;=סקר!F450,W450,0),IF(C450 = "חרוב מצוי",IF('חד גזעי'!$AN$7 &lt;=סקר!F450,W450,0),0)))</f>
        <v>0</v>
      </c>
      <c r="AB450">
        <f t="shared" si="449"/>
        <v>1</v>
      </c>
      <c r="AC450" s="72"/>
      <c r="AD450" t="e">
        <f t="shared" si="467"/>
        <v>#N/A</v>
      </c>
      <c r="AE450" s="72"/>
      <c r="AF450" s="72" t="e">
        <f t="shared" si="450"/>
        <v>#N/A</v>
      </c>
      <c r="AG450" s="72" t="e">
        <f>IF('חד גזעי'!$AM$5="לא",(VLOOKUP(C450,'חד גזעי'!$P$1:$S$589,3,FALSE)),(VLOOKUP(C450,'חד גזעי'!$P$1:$S$589,4,FALSE)))</f>
        <v>#N/A</v>
      </c>
      <c r="AH450" s="72">
        <f t="shared" si="451"/>
        <v>0</v>
      </c>
      <c r="AI450" s="72">
        <f t="shared" si="452"/>
        <v>0</v>
      </c>
      <c r="AJ450" s="72">
        <f t="shared" si="453"/>
        <v>0</v>
      </c>
      <c r="AK450" s="72" t="e">
        <f t="shared" si="454"/>
        <v>#N/A</v>
      </c>
      <c r="AL450" t="e">
        <f>VLOOKUP(C450,'חד גזעי'!$AH$8:$AI$33,2,FALSE)</f>
        <v>#N/A</v>
      </c>
      <c r="AM450" s="72" t="b">
        <f t="shared" si="455"/>
        <v>0</v>
      </c>
      <c r="AN450" s="72" t="b">
        <f t="shared" si="456"/>
        <v>0</v>
      </c>
      <c r="AO450" s="72" t="b">
        <f t="shared" si="457"/>
        <v>0</v>
      </c>
      <c r="AS450" s="72">
        <f t="shared" si="458"/>
        <v>0</v>
      </c>
      <c r="AT450" s="72">
        <f t="shared" si="459"/>
        <v>0</v>
      </c>
      <c r="AU450" s="72">
        <f t="shared" si="468"/>
        <v>0</v>
      </c>
      <c r="AV450" s="72">
        <f t="shared" si="460"/>
        <v>0</v>
      </c>
      <c r="AW450" s="72">
        <f t="shared" si="461"/>
        <v>0</v>
      </c>
      <c r="AX450" s="72">
        <f t="shared" si="462"/>
        <v>0</v>
      </c>
      <c r="AY450" s="72">
        <f t="shared" si="463"/>
        <v>0</v>
      </c>
      <c r="AZ450" s="72">
        <f t="shared" si="464"/>
        <v>0</v>
      </c>
      <c r="BA450" s="72" t="e">
        <f t="shared" si="465"/>
        <v>#N/A</v>
      </c>
      <c r="BB450" s="72" t="e">
        <f t="shared" si="466"/>
        <v>#N/A</v>
      </c>
      <c r="BC450" s="77"/>
      <c r="BE450">
        <f t="shared" si="446"/>
        <v>0</v>
      </c>
      <c r="BF450" s="196"/>
      <c r="BG450" s="196"/>
      <c r="BH450" s="196"/>
      <c r="BI450" s="196"/>
      <c r="BJ450" s="196"/>
      <c r="BK450" s="196"/>
    </row>
    <row r="451" spans="1:63" hidden="1">
      <c r="B451" s="72"/>
      <c r="C451" s="135"/>
      <c r="D451" s="73"/>
      <c r="E451" s="73"/>
      <c r="F451" s="72"/>
      <c r="G451" s="72"/>
      <c r="H451" s="72"/>
      <c r="I451" s="73">
        <f t="shared" si="448"/>
        <v>0</v>
      </c>
      <c r="J451" s="73"/>
      <c r="K451" s="73"/>
      <c r="L451" s="74" t="e">
        <f>_xlfn.IFNA(VLOOKUP(C451,'חד גזעי'!$U$3:$V$509,2,0),VLOOKUP(C451,'חד גזעי'!$U$3:$V$509,2))</f>
        <v>#N/A</v>
      </c>
      <c r="M451" s="73"/>
      <c r="N451" s="72" t="e">
        <f>_xlfn.IFNA(IF(VLOOKUP(C451,'חד גזעי'!$AH$2:$AH$7,1,FALSE)&gt;0,0,IF('חד גזעי'!$AM$5="כן",IF(_xlfn.IFNA(VLOOKUP(C451,'חד גזעי'!$AH$2:$AH$33,1,FALSE),SUM(J451:M451))&lt;21,_xlfn.IFNA(VLOOKUP(C451,'חד גזעי'!$AH$2:$AH$33,1,FALSE),SUM(J451:M451)),0),SUM(J451:M451))),IF('חד גזעי'!$AM$5="כן",IF(_xlfn.IFNA(VLOOKUP(C451,'חד גזעי'!$AH$2:$AH$33,1,FALSE),SUM(J451:M451))&lt;21,_xlfn.IFNA(VLOOKUP(C451,'חד גזעי'!$AH$2:$AH$33,1,FALSE),SUM(J451:M451)),0),SUM(J451:M451)))</f>
        <v>#N/A</v>
      </c>
      <c r="O451" s="72">
        <f>IF('חד גזעי'!$AM$3 = "כן",IF(T451&gt;4,4,T451),T451)</f>
        <v>0</v>
      </c>
      <c r="P451" s="80">
        <f>IF(E451&lt;2,0,IF(Z451&gt;0,Z451,IF(N451 = 0,0,IF('חד גזעי'!$AM$2 = "לא",IF(F451&gt;19,W451,0),IF(F451&gt;9,Y451,0)))))</f>
        <v>0</v>
      </c>
      <c r="Q451" s="77"/>
      <c r="R451" s="76"/>
      <c r="S451" t="e">
        <f>VLOOKUP(C451,'חד גזעי'!$Y$4:$Y$18,1,0)</f>
        <v>#N/A</v>
      </c>
      <c r="T451" s="72">
        <f>IF('חד גזעי'!$AM$6="לא",IF(P451=0,IF(BC451="שימור",IF('חד גזעי'!$AM$4="לא",IF(BC451="לא בוגר",0,IF(BC451="לא קיים",0,IF(J451=0,0,I451*0.1))),IF(BC451="לא בוגר",0,IF(BC451="לא קיים",0,IF(AB451=1,I451*0.1,E451*0.5)))),0),IF('חד גזעי'!$AM$4="לא",IF(BC451="לא בוגר",0,IF(BC451="לא קיים",0,IF(J451=0,0,I451*0.1))),IF(BC451="לא בוגר",0,IF(BC451="לא קיים",0,IF(AB451=1,I451*0.1,E451*0.5))))),IF(P451=0,IF(BC451="שימור",IF('חד גזעי'!$AM$4="לא",IF(BC451="לא בוגר",0,IF(BC451="לא קיים",0,IF(J451=0,0,I451*0.15))),IF(BC451="לא בוגר",0,IF(BC451="לא קיים",0,IF(AB451=1,I451*0.15,E451*0.5)))),0),IF('חד גזעי'!$AM$4="לא",IF(BC451="לא בוגר",0,IF(BC451="לא קיים",0,IF(J451=0,0,I451*0.15))),IF(BC451="לא בוגר",0,IF(BC451="לא קיים",0,IF(AB451=1,I451*0.15,E451*0.5))))))</f>
        <v>0</v>
      </c>
      <c r="V451" t="e">
        <f t="shared" si="421"/>
        <v>#N/A</v>
      </c>
      <c r="W451" t="e">
        <f t="shared" si="422"/>
        <v>#N/A</v>
      </c>
      <c r="X451" t="e">
        <f t="shared" si="423"/>
        <v>#N/A</v>
      </c>
      <c r="Y451">
        <f>IF('חד גזעי'!$AM$2 = "לא",0,IF(F451&gt;9,W451,0))</f>
        <v>0</v>
      </c>
      <c r="Z451">
        <f>IF('חד גזעי'!$AM$7 = "לא",0,IF(C451 = "זית אירופי",IF('חד גזעי'!$AN$7 &lt;=סקר!F451,W451,0),IF(C451 = "חרוב מצוי",IF('חד גזעי'!$AN$7 &lt;=סקר!F451,W451,0),0)))</f>
        <v>0</v>
      </c>
      <c r="AB451">
        <f t="shared" si="449"/>
        <v>1</v>
      </c>
      <c r="AC451" s="72"/>
      <c r="AD451" t="e">
        <f t="shared" si="467"/>
        <v>#N/A</v>
      </c>
      <c r="AE451" s="72"/>
      <c r="AF451" s="72" t="e">
        <f t="shared" si="450"/>
        <v>#N/A</v>
      </c>
      <c r="AG451" s="72" t="e">
        <f>IF('חד גזעי'!$AM$5="לא",(VLOOKUP(C451,'חד גזעי'!$P$1:$S$589,3,FALSE)),(VLOOKUP(C451,'חד גזעי'!$P$1:$S$589,4,FALSE)))</f>
        <v>#N/A</v>
      </c>
      <c r="AH451" s="72">
        <f t="shared" si="451"/>
        <v>0</v>
      </c>
      <c r="AI451" s="72">
        <f t="shared" si="452"/>
        <v>0</v>
      </c>
      <c r="AJ451" s="72">
        <f t="shared" si="453"/>
        <v>0</v>
      </c>
      <c r="AK451" s="72" t="e">
        <f t="shared" si="454"/>
        <v>#N/A</v>
      </c>
      <c r="AL451" t="e">
        <f>VLOOKUP(C451,'חד גזעי'!$AH$8:$AI$33,2,FALSE)</f>
        <v>#N/A</v>
      </c>
      <c r="AM451" s="72" t="b">
        <f t="shared" si="455"/>
        <v>0</v>
      </c>
      <c r="AN451" s="72" t="b">
        <f t="shared" si="456"/>
        <v>0</v>
      </c>
      <c r="AO451" s="72" t="b">
        <f t="shared" si="457"/>
        <v>0</v>
      </c>
      <c r="AS451" s="72">
        <f t="shared" si="458"/>
        <v>0</v>
      </c>
      <c r="AT451" s="72">
        <f t="shared" si="459"/>
        <v>0</v>
      </c>
      <c r="AU451" s="72">
        <f t="shared" si="468"/>
        <v>0</v>
      </c>
      <c r="AV451" s="72">
        <f t="shared" si="460"/>
        <v>0</v>
      </c>
      <c r="AW451" s="72">
        <f t="shared" si="461"/>
        <v>0</v>
      </c>
      <c r="AX451" s="72">
        <f t="shared" si="462"/>
        <v>0</v>
      </c>
      <c r="AY451" s="72">
        <f t="shared" si="463"/>
        <v>0</v>
      </c>
      <c r="AZ451" s="72">
        <f t="shared" si="464"/>
        <v>0</v>
      </c>
      <c r="BA451" s="72" t="e">
        <f t="shared" si="465"/>
        <v>#N/A</v>
      </c>
      <c r="BB451" s="72" t="e">
        <f t="shared" si="466"/>
        <v>#N/A</v>
      </c>
      <c r="BC451" s="77"/>
      <c r="BE451">
        <f t="shared" si="446"/>
        <v>0</v>
      </c>
      <c r="BF451" s="196"/>
      <c r="BG451" s="196"/>
      <c r="BH451" s="196"/>
      <c r="BI451" s="196"/>
      <c r="BJ451" s="196"/>
      <c r="BK451" s="196"/>
    </row>
    <row r="452" spans="1:63" hidden="1">
      <c r="B452" s="72"/>
      <c r="C452" s="135"/>
      <c r="D452" s="73"/>
      <c r="E452" s="73"/>
      <c r="F452" s="72"/>
      <c r="G452" s="72"/>
      <c r="H452" s="72"/>
      <c r="I452" s="73">
        <f t="shared" si="448"/>
        <v>0</v>
      </c>
      <c r="J452" s="73"/>
      <c r="K452" s="73"/>
      <c r="L452" s="74" t="e">
        <f>_xlfn.IFNA(VLOOKUP(C452,'חד גזעי'!$U$3:$V$509,2,0),VLOOKUP(C452,'חד גזעי'!$U$3:$V$509,2))</f>
        <v>#N/A</v>
      </c>
      <c r="M452" s="73"/>
      <c r="N452" s="72" t="e">
        <f>_xlfn.IFNA(IF(VLOOKUP(C452,'חד גזעי'!$AH$2:$AH$7,1,FALSE)&gt;0,0,IF('חד גזעי'!$AM$5="כן",IF(_xlfn.IFNA(VLOOKUP(C452,'חד גזעי'!$AH$2:$AH$33,1,FALSE),SUM(J452:M452))&lt;21,_xlfn.IFNA(VLOOKUP(C452,'חד גזעי'!$AH$2:$AH$33,1,FALSE),SUM(J452:M452)),0),SUM(J452:M452))),IF('חד גזעי'!$AM$5="כן",IF(_xlfn.IFNA(VLOOKUP(C452,'חד גזעי'!$AH$2:$AH$33,1,FALSE),SUM(J452:M452))&lt;21,_xlfn.IFNA(VLOOKUP(C452,'חד גזעי'!$AH$2:$AH$33,1,FALSE),SUM(J452:M452)),0),SUM(J452:M452)))</f>
        <v>#N/A</v>
      </c>
      <c r="O452" s="72">
        <f>IF('חד גזעי'!$AM$3 = "כן",IF(T452&gt;4,4,T452),T452)</f>
        <v>0</v>
      </c>
      <c r="P452" s="80">
        <f>IF(E452&lt;2,0,IF(Z452&gt;0,Z452,IF(N452 = 0,0,IF('חד גזעי'!$AM$2 = "לא",IF(F452&gt;19,W452,0),IF(F452&gt;9,Y452,0)))))</f>
        <v>0</v>
      </c>
      <c r="Q452" s="77"/>
      <c r="R452" s="76"/>
      <c r="S452" t="e">
        <f>VLOOKUP(C452,'חד גזעי'!$Y$4:$Y$18,1,0)</f>
        <v>#N/A</v>
      </c>
      <c r="T452" s="72">
        <f>IF('חד גזעי'!$AM$6="לא",IF(P452=0,IF(BC452="שימור",IF('חד גזעי'!$AM$4="לא",IF(BC452="לא בוגר",0,IF(BC452="לא קיים",0,IF(J452=0,0,I452*0.1))),IF(BC452="לא בוגר",0,IF(BC452="לא קיים",0,IF(AB452=1,I452*0.1,E452*0.5)))),0),IF('חד גזעי'!$AM$4="לא",IF(BC452="לא בוגר",0,IF(BC452="לא קיים",0,IF(J452=0,0,I452*0.1))),IF(BC452="לא בוגר",0,IF(BC452="לא קיים",0,IF(AB452=1,I452*0.1,E452*0.5))))),IF(P452=0,IF(BC452="שימור",IF('חד גזעי'!$AM$4="לא",IF(BC452="לא בוגר",0,IF(BC452="לא קיים",0,IF(J452=0,0,I452*0.15))),IF(BC452="לא בוגר",0,IF(BC452="לא קיים",0,IF(AB452=1,I452*0.15,E452*0.5)))),0),IF('חד גזעי'!$AM$4="לא",IF(BC452="לא בוגר",0,IF(BC452="לא קיים",0,IF(J452=0,0,I452*0.15))),IF(BC452="לא בוגר",0,IF(BC452="לא קיים",0,IF(AB452=1,I452*0.15,E452*0.5))))))</f>
        <v>0</v>
      </c>
      <c r="V452" t="e">
        <f t="shared" si="421"/>
        <v>#N/A</v>
      </c>
      <c r="W452" t="e">
        <f t="shared" si="422"/>
        <v>#N/A</v>
      </c>
      <c r="X452" t="e">
        <f t="shared" si="423"/>
        <v>#N/A</v>
      </c>
      <c r="Y452">
        <f>IF('חד גזעי'!$AM$2 = "לא",0,IF(F452&gt;9,W452,0))</f>
        <v>0</v>
      </c>
      <c r="Z452">
        <f>IF('חד גזעי'!$AM$7 = "לא",0,IF(C452 = "זית אירופי",IF('חד גזעי'!$AN$7 &lt;=סקר!F452,W452,0),IF(C452 = "חרוב מצוי",IF('חד גזעי'!$AN$7 &lt;=סקר!F452,W452,0),0)))</f>
        <v>0</v>
      </c>
      <c r="AB452">
        <f t="shared" si="449"/>
        <v>1</v>
      </c>
      <c r="AC452" s="72"/>
      <c r="AD452" t="e">
        <f t="shared" si="467"/>
        <v>#N/A</v>
      </c>
      <c r="AE452" s="72"/>
      <c r="AF452" s="72" t="e">
        <f t="shared" si="450"/>
        <v>#N/A</v>
      </c>
      <c r="AG452" s="72" t="e">
        <f>IF('חד גזעי'!$AM$5="לא",(VLOOKUP(C452,'חד גזעי'!$P$1:$S$589,3,FALSE)),(VLOOKUP(C452,'חד גזעי'!$P$1:$S$589,4,FALSE)))</f>
        <v>#N/A</v>
      </c>
      <c r="AH452" s="72">
        <f t="shared" si="451"/>
        <v>0</v>
      </c>
      <c r="AI452" s="72">
        <f t="shared" si="452"/>
        <v>0</v>
      </c>
      <c r="AJ452" s="72">
        <f t="shared" si="453"/>
        <v>0</v>
      </c>
      <c r="AK452" s="72" t="e">
        <f t="shared" si="454"/>
        <v>#N/A</v>
      </c>
      <c r="AL452" t="e">
        <f>VLOOKUP(C452,'חד גזעי'!$AH$8:$AI$33,2,FALSE)</f>
        <v>#N/A</v>
      </c>
      <c r="AM452" s="72" t="b">
        <f t="shared" si="455"/>
        <v>0</v>
      </c>
      <c r="AN452" s="72" t="b">
        <f t="shared" si="456"/>
        <v>0</v>
      </c>
      <c r="AO452" s="72" t="b">
        <f t="shared" si="457"/>
        <v>0</v>
      </c>
      <c r="AS452" s="72">
        <f t="shared" si="458"/>
        <v>0</v>
      </c>
      <c r="AT452" s="72">
        <f t="shared" si="459"/>
        <v>0</v>
      </c>
      <c r="AU452" s="72">
        <f t="shared" si="468"/>
        <v>0</v>
      </c>
      <c r="AV452" s="72">
        <f t="shared" si="460"/>
        <v>0</v>
      </c>
      <c r="AW452" s="72">
        <f t="shared" si="461"/>
        <v>0</v>
      </c>
      <c r="AX452" s="72">
        <f t="shared" si="462"/>
        <v>0</v>
      </c>
      <c r="AY452" s="72">
        <f t="shared" si="463"/>
        <v>0</v>
      </c>
      <c r="AZ452" s="72">
        <f t="shared" si="464"/>
        <v>0</v>
      </c>
      <c r="BA452" s="72" t="e">
        <f t="shared" si="465"/>
        <v>#N/A</v>
      </c>
      <c r="BB452" s="72" t="e">
        <f t="shared" si="466"/>
        <v>#N/A</v>
      </c>
      <c r="BC452" s="77"/>
      <c r="BE452">
        <f t="shared" si="446"/>
        <v>0</v>
      </c>
      <c r="BF452" s="196"/>
      <c r="BG452" s="196"/>
      <c r="BH452" s="196"/>
      <c r="BI452" s="196"/>
      <c r="BJ452" s="196"/>
      <c r="BK452" s="196"/>
    </row>
    <row r="453" spans="1:63" ht="14.25" hidden="1">
      <c r="B453" s="71"/>
      <c r="C453" s="69"/>
      <c r="Q453" s="86"/>
      <c r="T453" s="72">
        <f>IF('חד גזעי'!$AM$6="לא",IF(P453=0,IF(BC453="שימור",IF('חד גזעי'!$AM$4="לא",IF(BC453="לא בוגר",0,IF(BC453="לא קיים",0,IF(J453=0,0,I453*0.1))),IF(BC453="לא בוגר",0,IF(BC453="לא קיים",0,IF(AB453=1,I453*0.1,E453*0.5)))),0),IF('חד גזעי'!$AM$4="לא",IF(BC453="לא בוגר",0,IF(BC453="לא קיים",0,IF(J453=0,0,I453*0.1))),IF(BC453="לא בוגר",0,IF(BC453="לא קיים",0,IF(AB453=1,I453*0.1,E453*0.5))))),IF(P453=0,IF(BC453="שימור",IF('חד גזעי'!$AM$4="לא",IF(BC453="לא בוגר",0,IF(BC453="לא קיים",0,IF(J453=0,0,I453*0.15))),IF(BC453="לא בוגר",0,IF(BC453="לא קיים",0,IF(AB453=1,I453*0.15,E453*0.5)))),0),IF('חד גזעי'!$AM$4="לא",IF(BC453="לא בוגר",0,IF(BC453="לא קיים",0,IF(J453=0,0,I453*0.15))),IF(BC453="לא בוגר",0,IF(BC453="לא קיים",0,IF(AB453=1,I453*0.15,E453*0.5))))))</f>
        <v>0</v>
      </c>
      <c r="V453">
        <f t="shared" si="421"/>
        <v>0</v>
      </c>
      <c r="W453">
        <f t="shared" si="422"/>
        <v>0</v>
      </c>
      <c r="X453">
        <f t="shared" si="423"/>
        <v>0</v>
      </c>
      <c r="Y453">
        <f>IF('חד גזעי'!$AM$2 = "לא",0,IF(F453&gt;9,W453,0))</f>
        <v>0</v>
      </c>
      <c r="Z453">
        <f>IF('חד גזעי'!$AM$7 = "לא",0,IF(C453 = "זית אירופי",IF('חד גזעי'!$AN$7 &lt;=סקר!F453,W453,0),IF(C453 = "חרוב מצוי",IF('חד גזעי'!$AN$7 &lt;=סקר!F453,W453,0),0)))</f>
        <v>0</v>
      </c>
      <c r="AD453" s="69" t="s">
        <v>807</v>
      </c>
      <c r="BE453">
        <f t="shared" si="446"/>
        <v>0</v>
      </c>
      <c r="BF453" s="196"/>
      <c r="BG453" s="196"/>
      <c r="BH453" s="196"/>
      <c r="BI453" s="196"/>
      <c r="BJ453" s="196"/>
      <c r="BK453" s="196"/>
    </row>
    <row r="454" spans="1:63" ht="12.75" hidden="1" customHeight="1">
      <c r="A454" s="129"/>
      <c r="B454" s="132"/>
      <c r="C454" s="133"/>
      <c r="D454" s="129"/>
      <c r="E454" s="129"/>
      <c r="F454" s="129"/>
      <c r="G454" s="129"/>
      <c r="H454" s="129"/>
      <c r="I454" s="129"/>
      <c r="J454" s="129"/>
      <c r="K454" s="129"/>
      <c r="L454" s="129"/>
      <c r="M454" s="129"/>
      <c r="N454" s="129"/>
      <c r="O454" s="129"/>
      <c r="P454" s="129"/>
      <c r="Q454" s="134"/>
      <c r="R454" s="129"/>
      <c r="S454" s="129"/>
      <c r="T454" s="72">
        <f>IF('חד גזעי'!$AM$6="לא",IF(P454=0,IF(BC454="שימור",IF('חד גזעי'!$AM$4="לא",IF(BC454="לא בוגר",0,IF(BC454="לא קיים",0,IF(J454=0,0,I454*0.1))),IF(BC454="לא בוגר",0,IF(BC454="לא קיים",0,IF(AB454=1,I454*0.1,E454*0.5)))),0),IF('חד גזעי'!$AM$4="לא",IF(BC454="לא בוגר",0,IF(BC454="לא קיים",0,IF(J454=0,0,I454*0.1))),IF(BC454="לא בוגר",0,IF(BC454="לא קיים",0,IF(AB454=1,I454*0.1,E454*0.5))))),IF(P454=0,IF(BC454="שימור",IF('חד גזעי'!$AM$4="לא",IF(BC454="לא בוגר",0,IF(BC454="לא קיים",0,IF(J454=0,0,I454*0.15))),IF(BC454="לא בוגר",0,IF(BC454="לא קיים",0,IF(AB454=1,I454*0.15,E454*0.5)))),0),IF('חד גזעי'!$AM$4="לא",IF(BC454="לא בוגר",0,IF(BC454="לא קיים",0,IF(J454=0,0,I454*0.15))),IF(BC454="לא בוגר",0,IF(BC454="לא קיים",0,IF(AB454=1,I454*0.15,E454*0.5))))))</f>
        <v>0</v>
      </c>
      <c r="U454" s="129"/>
      <c r="V454">
        <f t="shared" si="421"/>
        <v>0</v>
      </c>
      <c r="W454">
        <f t="shared" si="422"/>
        <v>0</v>
      </c>
      <c r="X454">
        <f t="shared" si="423"/>
        <v>0</v>
      </c>
      <c r="Y454">
        <f>IF('חד גזעי'!$AM$2 = "לא",0,IF(F454&gt;9,W454,0))</f>
        <v>0</v>
      </c>
      <c r="Z454">
        <f>IF('חד גזעי'!$AM$7 = "לא",0,IF(C454 = "זית אירופי",IF('חד גזעי'!$AN$7 &lt;=סקר!F454,W454,0),IF(C454 = "חרוב מצוי",IF('חד גזעי'!$AN$7 &lt;=סקר!F454,W454,0),0)))</f>
        <v>0</v>
      </c>
      <c r="AA454" s="129"/>
      <c r="AB454" s="129"/>
      <c r="AC454" s="129"/>
      <c r="AD454" s="133"/>
      <c r="AE454" s="129"/>
      <c r="AF454" s="129"/>
      <c r="AG454" s="129"/>
      <c r="AH454" s="129"/>
      <c r="AI454" s="129"/>
      <c r="AJ454" s="129"/>
      <c r="AK454" s="129"/>
      <c r="AL454" s="129"/>
      <c r="AM454" s="129"/>
      <c r="AN454" s="129"/>
      <c r="AO454" s="129"/>
      <c r="AP454" s="129"/>
      <c r="AQ454" s="129"/>
      <c r="AR454" s="129"/>
      <c r="AS454" s="129"/>
      <c r="AT454" s="129"/>
      <c r="AU454" s="129"/>
      <c r="AV454" s="129"/>
      <c r="AW454" s="129"/>
      <c r="AX454" s="129"/>
      <c r="AY454" s="129"/>
      <c r="AZ454" s="129"/>
      <c r="BA454" s="129"/>
      <c r="BB454" s="129"/>
      <c r="BC454" s="129"/>
      <c r="BD454" s="129"/>
      <c r="BE454" s="129"/>
      <c r="BF454" s="129">
        <f>_xlfn.IFNA(_xlfn.IFNA(_xlfn.TEXTBEFORE(BF436,"--"),_xlfn.TEXTBEFORE(BF436,",")),BF436)</f>
        <v>0</v>
      </c>
      <c r="BG454" s="129">
        <f t="shared" ref="BG454:BK454" si="470">_xlfn.IFNA(_xlfn.IFNA(_xlfn.TEXTBEFORE(BG436,"--"),_xlfn.TEXTBEFORE(BG436,",")),BG436)</f>
        <v>0</v>
      </c>
      <c r="BH454" s="129">
        <f t="shared" si="470"/>
        <v>0</v>
      </c>
      <c r="BI454" s="129">
        <f>_xlfn.IFNA(_xlfn.IFNA(_xlfn.TEXTBEFORE(BI436,"--"),_xlfn.TEXTBEFORE(BI436,",")),BI436)</f>
        <v>0</v>
      </c>
      <c r="BJ454" s="129">
        <f t="shared" si="470"/>
        <v>0</v>
      </c>
      <c r="BK454" s="129">
        <f t="shared" si="470"/>
        <v>0</v>
      </c>
    </row>
    <row r="455" spans="1:63" ht="12.75" hidden="1" customHeight="1">
      <c r="A455" s="129"/>
      <c r="B455" s="132"/>
      <c r="C455" s="133"/>
      <c r="D455" s="129"/>
      <c r="E455" s="129"/>
      <c r="F455" s="129"/>
      <c r="G455" s="129"/>
      <c r="H455" s="129"/>
      <c r="I455" s="129"/>
      <c r="J455" s="129"/>
      <c r="K455" s="129"/>
      <c r="L455" s="129"/>
      <c r="M455" s="129"/>
      <c r="N455" s="129"/>
      <c r="O455" s="129"/>
      <c r="P455" s="129"/>
      <c r="Q455" s="134"/>
      <c r="R455" s="129"/>
      <c r="S455" s="129"/>
      <c r="T455" s="72">
        <f>IF('חד גזעי'!$AM$6="לא",IF(P455=0,IF(BC455="שימור",IF('חד גזעי'!$AM$4="לא",IF(BC455="לא בוגר",0,IF(BC455="לא קיים",0,IF(J455=0,0,I455*0.1))),IF(BC455="לא בוגר",0,IF(BC455="לא קיים",0,IF(AB455=1,I455*0.1,E455*0.5)))),0),IF('חד גזעי'!$AM$4="לא",IF(BC455="לא בוגר",0,IF(BC455="לא קיים",0,IF(J455=0,0,I455*0.1))),IF(BC455="לא בוגר",0,IF(BC455="לא קיים",0,IF(AB455=1,I455*0.1,E455*0.5))))),IF(P455=0,IF(BC455="שימור",IF('חד גזעי'!$AM$4="לא",IF(BC455="לא בוגר",0,IF(BC455="לא קיים",0,IF(J455=0,0,I455*0.15))),IF(BC455="לא בוגר",0,IF(BC455="לא קיים",0,IF(AB455=1,I455*0.15,E455*0.5)))),0),IF('חד גזעי'!$AM$4="לא",IF(BC455="לא בוגר",0,IF(BC455="לא קיים",0,IF(J455=0,0,I455*0.15))),IF(BC455="לא בוגר",0,IF(BC455="לא קיים",0,IF(AB455=1,I455*0.15,E455*0.5))))))</f>
        <v>0</v>
      </c>
      <c r="U455" s="129"/>
      <c r="V455">
        <f t="shared" si="421"/>
        <v>0</v>
      </c>
      <c r="W455">
        <f t="shared" si="422"/>
        <v>0</v>
      </c>
      <c r="X455">
        <f t="shared" si="423"/>
        <v>0</v>
      </c>
      <c r="Y455">
        <f>IF('חד גזעי'!$AM$2 = "לא",0,IF(F455&gt;9,W455,0))</f>
        <v>0</v>
      </c>
      <c r="Z455">
        <f>IF('חד גזעי'!$AM$7 = "לא",0,IF(C455 = "זית אירופי",IF('חד גזעי'!$AN$7 &lt;=סקר!F455,W455,0),IF(C455 = "חרוב מצוי",IF('חד גזעי'!$AN$7 &lt;=סקר!F455,W455,0),0)))</f>
        <v>0</v>
      </c>
      <c r="AA455" s="129"/>
      <c r="AB455" s="129"/>
      <c r="AC455" s="129"/>
      <c r="AD455" s="133"/>
      <c r="AE455" s="129"/>
      <c r="AF455" s="129"/>
      <c r="AG455" s="129"/>
      <c r="AH455" s="129"/>
      <c r="AI455" s="129"/>
      <c r="AJ455" s="129"/>
      <c r="AK455" s="129"/>
      <c r="AL455" s="129"/>
      <c r="AM455" s="129"/>
      <c r="AN455" s="129"/>
      <c r="AO455" s="129"/>
      <c r="AP455" s="129"/>
      <c r="AQ455" s="129"/>
      <c r="AR455" s="129"/>
      <c r="AS455" s="129"/>
      <c r="AT455" s="129"/>
      <c r="AU455" s="129"/>
      <c r="AV455" s="129"/>
      <c r="AW455" s="129"/>
      <c r="AX455" s="129"/>
      <c r="AY455" s="129"/>
      <c r="AZ455" s="129"/>
      <c r="BA455" s="129"/>
      <c r="BB455" s="129"/>
      <c r="BC455" s="129"/>
      <c r="BD455" s="129"/>
      <c r="BE455" s="129"/>
      <c r="BF455" s="129" t="str">
        <f>"C:\Users\origr\Pictures\"&amp;BF454&amp;".jpg"</f>
        <v>C:\Users\origr\Pictures\0.jpg</v>
      </c>
      <c r="BG455" s="129" t="str">
        <f t="shared" ref="BG455" si="471">"C:\Users\origr\Pictures\"&amp;BG454&amp;".jpg"</f>
        <v>C:\Users\origr\Pictures\0.jpg</v>
      </c>
      <c r="BH455" s="129" t="str">
        <f t="shared" ref="BH455" si="472">"C:\Users\origr\Pictures\"&amp;BH454&amp;".jpg"</f>
        <v>C:\Users\origr\Pictures\0.jpg</v>
      </c>
      <c r="BI455" s="129" t="str">
        <f t="shared" ref="BI455" si="473">"C:\Users\origr\Pictures\"&amp;BI454&amp;".jpg"</f>
        <v>C:\Users\origr\Pictures\0.jpg</v>
      </c>
      <c r="BJ455" s="129" t="str">
        <f t="shared" ref="BJ455" si="474">"C:\Users\origr\Pictures\"&amp;BJ454&amp;".jpg"</f>
        <v>C:\Users\origr\Pictures\0.jpg</v>
      </c>
      <c r="BK455" s="129" t="str">
        <f t="shared" ref="BK455" si="475">"C:\Users\origr\Pictures\"&amp;BK454&amp;".jpg"</f>
        <v>C:\Users\origr\Pictures\0.jpg</v>
      </c>
    </row>
    <row r="456" spans="1:63" ht="12.75" hidden="1" customHeight="1">
      <c r="A456" s="129"/>
      <c r="B456" s="132"/>
      <c r="C456" s="133"/>
      <c r="D456" s="129"/>
      <c r="E456" s="129"/>
      <c r="F456" s="129"/>
      <c r="G456" s="129"/>
      <c r="H456" s="129"/>
      <c r="I456" s="129"/>
      <c r="J456" s="129"/>
      <c r="K456" s="129"/>
      <c r="L456" s="129"/>
      <c r="M456" s="129"/>
      <c r="N456" s="129"/>
      <c r="O456" s="129"/>
      <c r="P456" s="129"/>
      <c r="Q456" s="134"/>
      <c r="R456" s="129"/>
      <c r="S456" s="129"/>
      <c r="T456" s="72">
        <f>IF('חד גזעי'!$AM$6="לא",IF(P456=0,IF(BC456="שימור",IF('חד גזעי'!$AM$4="לא",IF(BC456="לא בוגר",0,IF(BC456="לא קיים",0,IF(J456=0,0,I456*0.1))),IF(BC456="לא בוגר",0,IF(BC456="לא קיים",0,IF(AB456=1,I456*0.1,E456*0.5)))),0),IF('חד גזעי'!$AM$4="לא",IF(BC456="לא בוגר",0,IF(BC456="לא קיים",0,IF(J456=0,0,I456*0.1))),IF(BC456="לא בוגר",0,IF(BC456="לא קיים",0,IF(AB456=1,I456*0.1,E456*0.5))))),IF(P456=0,IF(BC456="שימור",IF('חד גזעי'!$AM$4="לא",IF(BC456="לא בוגר",0,IF(BC456="לא קיים",0,IF(J456=0,0,I456*0.15))),IF(BC456="לא בוגר",0,IF(BC456="לא קיים",0,IF(AB456=1,I456*0.15,E456*0.5)))),0),IF('חד גזעי'!$AM$4="לא",IF(BC456="לא בוגר",0,IF(BC456="לא קיים",0,IF(J456=0,0,I456*0.15))),IF(BC456="לא בוגר",0,IF(BC456="לא קיים",0,IF(AB456=1,I456*0.15,E456*0.5))))))</f>
        <v>0</v>
      </c>
      <c r="U456" s="129"/>
      <c r="V456">
        <f t="shared" si="421"/>
        <v>0</v>
      </c>
      <c r="W456">
        <f t="shared" si="422"/>
        <v>0</v>
      </c>
      <c r="X456">
        <f t="shared" si="423"/>
        <v>0</v>
      </c>
      <c r="Y456">
        <f>IF('חד גזעי'!$AM$2 = "לא",0,IF(F456&gt;9,W456,0))</f>
        <v>0</v>
      </c>
      <c r="Z456">
        <f>IF('חד גזעי'!$AM$7 = "לא",0,IF(C456 = "זית אירופי",IF('חד גזעי'!$AN$7 &lt;=סקר!F456,W456,0),IF(C456 = "חרוב מצוי",IF('חד גזעי'!$AN$7 &lt;=סקר!F456,W456,0),0)))</f>
        <v>0</v>
      </c>
      <c r="AA456" s="129"/>
      <c r="AB456" s="129"/>
      <c r="AC456" s="129"/>
      <c r="AD456" s="133"/>
      <c r="AE456" s="129"/>
      <c r="AF456" s="129"/>
      <c r="AG456" s="129"/>
      <c r="AH456" s="129"/>
      <c r="AI456" s="129"/>
      <c r="AJ456" s="129"/>
      <c r="AK456" s="129"/>
      <c r="AL456" s="129"/>
      <c r="AM456" s="129"/>
      <c r="AN456" s="129"/>
      <c r="AO456" s="129"/>
      <c r="AP456" s="129"/>
      <c r="AQ456" s="129"/>
      <c r="AR456" s="129"/>
      <c r="AS456" s="129"/>
      <c r="AT456" s="129"/>
      <c r="AU456" s="129"/>
      <c r="AV456" s="129"/>
      <c r="AW456" s="129"/>
      <c r="AX456" s="129"/>
      <c r="AY456" s="129"/>
      <c r="AZ456" s="129"/>
      <c r="BA456" s="129"/>
      <c r="BB456" s="129"/>
      <c r="BC456" s="129"/>
      <c r="BD456" s="129"/>
      <c r="BE456" s="129"/>
      <c r="BF456" s="129" t="str">
        <f>BF455</f>
        <v>C:\Users\origr\Pictures\0.jpg</v>
      </c>
      <c r="BG456" s="129" t="str">
        <f t="shared" ref="BG456" si="476">BG455</f>
        <v>C:\Users\origr\Pictures\0.jpg</v>
      </c>
      <c r="BH456" s="129" t="str">
        <f t="shared" ref="BH456" si="477">BH455</f>
        <v>C:\Users\origr\Pictures\0.jpg</v>
      </c>
      <c r="BI456" s="129" t="str">
        <f t="shared" ref="BI456" si="478">BI455</f>
        <v>C:\Users\origr\Pictures\0.jpg</v>
      </c>
      <c r="BJ456" s="129" t="str">
        <f t="shared" ref="BJ456" si="479">BJ455</f>
        <v>C:\Users\origr\Pictures\0.jpg</v>
      </c>
      <c r="BK456" s="129" t="str">
        <f t="shared" ref="BK456" si="480">BK455</f>
        <v>C:\Users\origr\Pictures\0.jpg</v>
      </c>
    </row>
    <row r="457" spans="1:63" ht="12.75" hidden="1" customHeight="1">
      <c r="T457" s="72">
        <f>IF('חד גזעי'!$AM$6="לא",IF(P457=0,IF(BC457="שימור",IF('חד גזעי'!$AM$4="לא",IF(BC457="לא בוגר",0,IF(BC457="לא קיים",0,IF(J457=0,0,I457*0.1))),IF(BC457="לא בוגר",0,IF(BC457="לא קיים",0,IF(AB457=1,I457*0.1,E457*0.5)))),0),IF('חד גזעי'!$AM$4="לא",IF(BC457="לא בוגר",0,IF(BC457="לא קיים",0,IF(J457=0,0,I457*0.1))),IF(BC457="לא בוגר",0,IF(BC457="לא קיים",0,IF(AB457=1,I457*0.1,E457*0.5))))),IF(P457=0,IF(BC457="שימור",IF('חד גזעי'!$AM$4="לא",IF(BC457="לא בוגר",0,IF(BC457="לא קיים",0,IF(J457=0,0,I457*0.15))),IF(BC457="לא בוגר",0,IF(BC457="לא קיים",0,IF(AB457=1,I457*0.15,E457*0.5)))),0),IF('חד גזעי'!$AM$4="לא",IF(BC457="לא בוגר",0,IF(BC457="לא קיים",0,IF(J457=0,0,I457*0.15))),IF(BC457="לא בוגר",0,IF(BC457="לא קיים",0,IF(AB457=1,I457*0.15,E457*0.5))))))</f>
        <v>0</v>
      </c>
      <c r="V457">
        <f t="shared" si="421"/>
        <v>0</v>
      </c>
      <c r="W457">
        <f t="shared" si="422"/>
        <v>0</v>
      </c>
      <c r="X457">
        <f t="shared" si="423"/>
        <v>0</v>
      </c>
      <c r="Y457">
        <f>IF('חד גזעי'!$AM$2 = "לא",0,IF(F457&gt;9,W457,0))</f>
        <v>0</v>
      </c>
      <c r="Z457">
        <f>IF('חד גזעי'!$AM$7 = "לא",0,IF(C457 = "זית אירופי",IF('חד גזעי'!$AN$7 &lt;=סקר!F457,W457,0),IF(C457 = "חרוב מצוי",IF('חד גזעי'!$AN$7 &lt;=סקר!F457,W457,0),0)))</f>
        <v>0</v>
      </c>
    </row>
    <row r="458" spans="1:63" ht="12.75" hidden="1" customHeight="1">
      <c r="T458" s="72">
        <f>IF('חד גזעי'!$AM$6="לא",IF(P458=0,IF(BC458="שימור",IF('חד גזעי'!$AM$4="לא",IF(BC458="לא בוגר",0,IF(BC458="לא קיים",0,IF(J458=0,0,I458*0.1))),IF(BC458="לא בוגר",0,IF(BC458="לא קיים",0,IF(AB458=1,I458*0.1,E458*0.5)))),0),IF('חד גזעי'!$AM$4="לא",IF(BC458="לא בוגר",0,IF(BC458="לא קיים",0,IF(J458=0,0,I458*0.1))),IF(BC458="לא בוגר",0,IF(BC458="לא קיים",0,IF(AB458=1,I458*0.1,E458*0.5))))),IF(P458=0,IF(BC458="שימור",IF('חד גזעי'!$AM$4="לא",IF(BC458="לא בוגר",0,IF(BC458="לא קיים",0,IF(J458=0,0,I458*0.15))),IF(BC458="לא בוגר",0,IF(BC458="לא קיים",0,IF(AB458=1,I458*0.15,E458*0.5)))),0),IF('חד גזעי'!$AM$4="לא",IF(BC458="לא בוגר",0,IF(BC458="לא קיים",0,IF(J458=0,0,I458*0.15))),IF(BC458="לא בוגר",0,IF(BC458="לא קיים",0,IF(AB458=1,I458*0.15,E458*0.5))))))</f>
        <v>0</v>
      </c>
      <c r="V458">
        <f t="shared" si="421"/>
        <v>0</v>
      </c>
      <c r="W458">
        <f t="shared" si="422"/>
        <v>0</v>
      </c>
      <c r="X458">
        <f t="shared" si="423"/>
        <v>0</v>
      </c>
      <c r="Y458">
        <f>IF('חד גזעי'!$AM$2 = "לא",0,IF(F458&gt;9,W458,0))</f>
        <v>0</v>
      </c>
      <c r="Z458">
        <f>IF('חד גזעי'!$AM$7 = "לא",0,IF(C458 = "זית אירופי",IF('חד גזעי'!$AN$7 &lt;=סקר!F458,W458,0),IF(C458 = "חרוב מצוי",IF('חד גזעי'!$AN$7 &lt;=סקר!F458,W458,0),0)))</f>
        <v>0</v>
      </c>
    </row>
    <row r="459" spans="1:63" hidden="1">
      <c r="T459" s="72">
        <f>IF('חד גזעי'!$AM$6="לא",IF(P459=0,IF(BC459="שימור",IF('חד גזעי'!$AM$4="לא",IF(BC459="לא בוגר",0,IF(BC459="לא קיים",0,IF(J459=0,0,I459*0.1))),IF(BC459="לא בוגר",0,IF(BC459="לא קיים",0,IF(AB459=1,I459*0.1,E459*0.5)))),0),IF('חד גזעי'!$AM$4="לא",IF(BC459="לא בוגר",0,IF(BC459="לא קיים",0,IF(J459=0,0,I459*0.1))),IF(BC459="לא בוגר",0,IF(BC459="לא קיים",0,IF(AB459=1,I459*0.1,E459*0.5))))),IF(P459=0,IF(BC459="שימור",IF('חד גזעי'!$AM$4="לא",IF(BC459="לא בוגר",0,IF(BC459="לא קיים",0,IF(J459=0,0,I459*0.15))),IF(BC459="לא בוגר",0,IF(BC459="לא קיים",0,IF(AB459=1,I459*0.15,E459*0.5)))),0),IF('חד גזעי'!$AM$4="לא",IF(BC459="לא בוגר",0,IF(BC459="לא קיים",0,IF(J459=0,0,I459*0.15))),IF(BC459="לא בוגר",0,IF(BC459="לא קיים",0,IF(AB459=1,I459*0.15,E459*0.5))))))</f>
        <v>0</v>
      </c>
      <c r="V459">
        <f t="shared" si="421"/>
        <v>0</v>
      </c>
      <c r="W459">
        <f t="shared" si="422"/>
        <v>0</v>
      </c>
      <c r="X459">
        <f t="shared" si="423"/>
        <v>0</v>
      </c>
      <c r="Y459">
        <f>IF('חד גזעי'!$AM$2 = "לא",0,IF(F459&gt;9,W459,0))</f>
        <v>0</v>
      </c>
      <c r="Z459">
        <f>IF('חד גזעי'!$AM$7 = "לא",0,IF(C459 = "זית אירופי",IF('חד גזעי'!$AN$7 &lt;=סקר!F459,W459,0),IF(C459 = "חרוב מצוי",IF('חד גזעי'!$AN$7 &lt;=סקר!F459,W459,0),0)))</f>
        <v>0</v>
      </c>
    </row>
    <row r="460" spans="1:63" hidden="1">
      <c r="A460" s="129"/>
      <c r="B460" s="129"/>
      <c r="C460" s="129"/>
      <c r="D460" s="129"/>
      <c r="E460" s="129"/>
      <c r="F460" s="129"/>
      <c r="G460" s="129"/>
      <c r="H460" s="129"/>
      <c r="I460" s="129"/>
      <c r="J460" s="129"/>
      <c r="K460" s="129"/>
      <c r="L460" s="129"/>
      <c r="M460" s="129"/>
      <c r="N460" s="129"/>
      <c r="O460" s="129"/>
      <c r="P460" s="129"/>
      <c r="Q460" s="129"/>
      <c r="R460" s="129"/>
      <c r="S460" s="129"/>
      <c r="T460" s="72">
        <f>IF('חד גזעי'!$AM$6="לא",IF(P460=0,IF(BC460="שימור",IF('חד גזעי'!$AM$4="לא",IF(BC460="לא בוגר",0,IF(BC460="לא קיים",0,IF(J460=0,0,I460*0.1))),IF(BC460="לא בוגר",0,IF(BC460="לא קיים",0,IF(AB460=1,I460*0.1,E460*0.5)))),0),IF('חד גזעי'!$AM$4="לא",IF(BC460="לא בוגר",0,IF(BC460="לא קיים",0,IF(J460=0,0,I460*0.1))),IF(BC460="לא בוגר",0,IF(BC460="לא קיים",0,IF(AB460=1,I460*0.1,E460*0.5))))),IF(P460=0,IF(BC460="שימור",IF('חד גזעי'!$AM$4="לא",IF(BC460="לא בוגר",0,IF(BC460="לא קיים",0,IF(J460=0,0,I460*0.15))),IF(BC460="לא בוגר",0,IF(BC460="לא קיים",0,IF(AB460=1,I460*0.15,E460*0.5)))),0),IF('חד גזעי'!$AM$4="לא",IF(BC460="לא בוגר",0,IF(BC460="לא קיים",0,IF(J460=0,0,I460*0.15))),IF(BC460="לא בוגר",0,IF(BC460="לא קיים",0,IF(AB460=1,I460*0.15,E460*0.5))))))</f>
        <v>0</v>
      </c>
      <c r="U460" s="129"/>
      <c r="V460">
        <f t="shared" ref="V460:V523" si="481">_xlfn.IFNA(AK460,AF460)</f>
        <v>0</v>
      </c>
      <c r="W460">
        <f t="shared" ref="W460:W523" si="482">IF(D460=0,V460,D460*V460)</f>
        <v>0</v>
      </c>
      <c r="X460">
        <f t="shared" ref="X460:X523" si="483">IF(N460 = 0,0,Y460)</f>
        <v>0</v>
      </c>
      <c r="Y460">
        <f>IF('חד גזעי'!$AM$2 = "לא",0,IF(F460&gt;9,W460,0))</f>
        <v>0</v>
      </c>
      <c r="Z460">
        <f>IF('חד גזעי'!$AM$7 = "לא",0,IF(C460 = "זית אירופי",IF('חד גזעי'!$AN$7 &lt;=סקר!F460,W460,0),IF(C460 = "חרוב מצוי",IF('חד גזעי'!$AN$7 &lt;=סקר!F460,W460,0),0)))</f>
        <v>0</v>
      </c>
      <c r="AA460" s="129"/>
      <c r="AB460" s="129"/>
      <c r="AC460" s="129"/>
      <c r="AD460" s="129"/>
      <c r="AE460" s="129"/>
      <c r="AF460" s="129"/>
      <c r="AG460" s="129"/>
      <c r="AH460" s="129"/>
      <c r="AI460" s="129"/>
      <c r="AJ460" s="129"/>
      <c r="AK460" s="129"/>
      <c r="AL460" s="129"/>
      <c r="AM460" s="129"/>
      <c r="AN460" s="129"/>
      <c r="AO460" s="129"/>
      <c r="AP460" s="129"/>
      <c r="AQ460" s="129"/>
      <c r="AR460" s="129"/>
      <c r="AS460" s="129"/>
      <c r="AT460" s="129"/>
      <c r="AU460" s="129"/>
      <c r="AV460" s="129"/>
      <c r="AW460" s="129"/>
      <c r="AX460" s="129"/>
      <c r="AY460" s="129"/>
      <c r="AZ460" s="129"/>
      <c r="BA460" s="129"/>
      <c r="BB460" s="129"/>
      <c r="BC460" s="129"/>
      <c r="BD460" s="129"/>
      <c r="BE460" s="129"/>
      <c r="BF460" s="129">
        <f>_xlfn.IFNA(_xlfn.IFNA(_xlfn.TEXTBEFORE(BF464,"--"),_xlfn.TEXTBEFORE(BF464,",")),BF464)</f>
        <v>0</v>
      </c>
      <c r="BG460" s="129">
        <f t="shared" ref="BG460:BK460" si="484">_xlfn.IFNA(_xlfn.IFNA(_xlfn.TEXTBEFORE(BG464,"--"),_xlfn.TEXTBEFORE(BG464,",")),BG464)</f>
        <v>0</v>
      </c>
      <c r="BH460" s="129">
        <f t="shared" si="484"/>
        <v>0</v>
      </c>
      <c r="BI460" s="129">
        <f>_xlfn.IFNA(_xlfn.IFNA(_xlfn.TEXTBEFORE(BI464,"--"),_xlfn.TEXTBEFORE(BI464,",")),BI464)</f>
        <v>0</v>
      </c>
      <c r="BJ460" s="129">
        <f t="shared" si="484"/>
        <v>0</v>
      </c>
      <c r="BK460" s="129">
        <f t="shared" si="484"/>
        <v>0</v>
      </c>
    </row>
    <row r="461" spans="1:63" hidden="1">
      <c r="A461" s="129"/>
      <c r="B461" s="129"/>
      <c r="C461" s="129"/>
      <c r="D461" s="129"/>
      <c r="E461" s="129"/>
      <c r="F461" s="129"/>
      <c r="G461" s="129"/>
      <c r="H461" s="129"/>
      <c r="I461" s="129"/>
      <c r="J461" s="129"/>
      <c r="K461" s="129"/>
      <c r="L461" s="129"/>
      <c r="M461" s="129"/>
      <c r="N461" s="129"/>
      <c r="O461" s="129"/>
      <c r="P461" s="129"/>
      <c r="Q461" s="129"/>
      <c r="R461" s="129"/>
      <c r="S461" s="129"/>
      <c r="T461" s="72">
        <f>IF('חד גזעי'!$AM$6="לא",IF(P461=0,IF(BC461="שימור",IF('חד גזעי'!$AM$4="לא",IF(BC461="לא בוגר",0,IF(BC461="לא קיים",0,IF(J461=0,0,I461*0.1))),IF(BC461="לא בוגר",0,IF(BC461="לא קיים",0,IF(AB461=1,I461*0.1,E461*0.5)))),0),IF('חד גזעי'!$AM$4="לא",IF(BC461="לא בוגר",0,IF(BC461="לא קיים",0,IF(J461=0,0,I461*0.1))),IF(BC461="לא בוגר",0,IF(BC461="לא קיים",0,IF(AB461=1,I461*0.1,E461*0.5))))),IF(P461=0,IF(BC461="שימור",IF('חד גזעי'!$AM$4="לא",IF(BC461="לא בוגר",0,IF(BC461="לא קיים",0,IF(J461=0,0,I461*0.15))),IF(BC461="לא בוגר",0,IF(BC461="לא קיים",0,IF(AB461=1,I461*0.15,E461*0.5)))),0),IF('חד גזעי'!$AM$4="לא",IF(BC461="לא בוגר",0,IF(BC461="לא קיים",0,IF(J461=0,0,I461*0.15))),IF(BC461="לא בוגר",0,IF(BC461="לא קיים",0,IF(AB461=1,I461*0.15,E461*0.5))))))</f>
        <v>0</v>
      </c>
      <c r="U461" s="129"/>
      <c r="V461">
        <f t="shared" si="481"/>
        <v>0</v>
      </c>
      <c r="W461">
        <f t="shared" si="482"/>
        <v>0</v>
      </c>
      <c r="X461">
        <f t="shared" si="483"/>
        <v>0</v>
      </c>
      <c r="Y461">
        <f>IF('חד גזעי'!$AM$2 = "לא",0,IF(F461&gt;9,W461,0))</f>
        <v>0</v>
      </c>
      <c r="Z461">
        <f>IF('חד גזעי'!$AM$7 = "לא",0,IF(C461 = "זית אירופי",IF('חד גזעי'!$AN$7 &lt;=סקר!F461,W461,0),IF(C461 = "חרוב מצוי",IF('חד גזעי'!$AN$7 &lt;=סקר!F461,W461,0),0)))</f>
        <v>0</v>
      </c>
      <c r="AA461" s="129"/>
      <c r="AB461" s="129"/>
      <c r="AC461" s="129"/>
      <c r="AD461" s="129"/>
      <c r="AE461" s="129"/>
      <c r="AF461" s="129"/>
      <c r="AG461" s="129"/>
      <c r="AH461" s="129"/>
      <c r="AI461" s="129"/>
      <c r="AJ461" s="129"/>
      <c r="AK461" s="129"/>
      <c r="AL461" s="129"/>
      <c r="AM461" s="129"/>
      <c r="AN461" s="129"/>
      <c r="AO461" s="129"/>
      <c r="AP461" s="129"/>
      <c r="AQ461" s="129"/>
      <c r="AR461" s="129"/>
      <c r="AS461" s="129"/>
      <c r="AT461" s="129"/>
      <c r="AU461" s="129"/>
      <c r="AV461" s="129"/>
      <c r="AW461" s="129"/>
      <c r="AX461" s="129"/>
      <c r="AY461" s="129"/>
      <c r="AZ461" s="129"/>
      <c r="BA461" s="129"/>
      <c r="BB461" s="129"/>
      <c r="BC461" s="129"/>
      <c r="BD461" s="129"/>
      <c r="BE461" s="129"/>
      <c r="BF461" s="129" t="str">
        <f>"C:\Users\origr\Pictures\"&amp;BF460&amp;".jpg"</f>
        <v>C:\Users\origr\Pictures\0.jpg</v>
      </c>
      <c r="BG461" s="129" t="str">
        <f t="shared" ref="BG461" si="485">"C:\Users\origr\Pictures\"&amp;BG460&amp;".jpg"</f>
        <v>C:\Users\origr\Pictures\0.jpg</v>
      </c>
      <c r="BH461" s="129" t="str">
        <f t="shared" ref="BH461" si="486">"C:\Users\origr\Pictures\"&amp;BH460&amp;".jpg"</f>
        <v>C:\Users\origr\Pictures\0.jpg</v>
      </c>
      <c r="BI461" s="129" t="str">
        <f t="shared" ref="BI461" si="487">"C:\Users\origr\Pictures\"&amp;BI460&amp;".jpg"</f>
        <v>C:\Users\origr\Pictures\0.jpg</v>
      </c>
      <c r="BJ461" s="129" t="str">
        <f t="shared" ref="BJ461" si="488">"C:\Users\origr\Pictures\"&amp;BJ460&amp;".jpg"</f>
        <v>C:\Users\origr\Pictures\0.jpg</v>
      </c>
      <c r="BK461" s="129" t="str">
        <f t="shared" ref="BK461" si="489">"C:\Users\origr\Pictures\"&amp;BK460&amp;".jpg"</f>
        <v>C:\Users\origr\Pictures\0.jpg</v>
      </c>
    </row>
    <row r="462" spans="1:63" hidden="1">
      <c r="A462" s="129"/>
      <c r="B462" s="129"/>
      <c r="C462" s="129"/>
      <c r="D462" s="129"/>
      <c r="E462" s="129"/>
      <c r="F462" s="129"/>
      <c r="G462" s="129"/>
      <c r="H462" s="129"/>
      <c r="I462" s="129"/>
      <c r="J462" s="129"/>
      <c r="K462" s="129"/>
      <c r="L462" s="129"/>
      <c r="M462" s="129"/>
      <c r="N462" s="129"/>
      <c r="O462" s="129"/>
      <c r="P462" s="129"/>
      <c r="Q462" s="129"/>
      <c r="R462" s="129"/>
      <c r="S462" s="129"/>
      <c r="T462" s="72">
        <f>IF('חד גזעי'!$AM$6="לא",IF(P462=0,IF(BC462="שימור",IF('חד גזעי'!$AM$4="לא",IF(BC462="לא בוגר",0,IF(BC462="לא קיים",0,IF(J462=0,0,I462*0.1))),IF(BC462="לא בוגר",0,IF(BC462="לא קיים",0,IF(AB462=1,I462*0.1,E462*0.5)))),0),IF('חד גזעי'!$AM$4="לא",IF(BC462="לא בוגר",0,IF(BC462="לא קיים",0,IF(J462=0,0,I462*0.1))),IF(BC462="לא בוגר",0,IF(BC462="לא קיים",0,IF(AB462=1,I462*0.1,E462*0.5))))),IF(P462=0,IF(BC462="שימור",IF('חד גזעי'!$AM$4="לא",IF(BC462="לא בוגר",0,IF(BC462="לא קיים",0,IF(J462=0,0,I462*0.15))),IF(BC462="לא בוגר",0,IF(BC462="לא קיים",0,IF(AB462=1,I462*0.15,E462*0.5)))),0),IF('חד גזעי'!$AM$4="לא",IF(BC462="לא בוגר",0,IF(BC462="לא קיים",0,IF(J462=0,0,I462*0.15))),IF(BC462="לא בוגר",0,IF(BC462="לא קיים",0,IF(AB462=1,I462*0.15,E462*0.5))))))</f>
        <v>0</v>
      </c>
      <c r="U462" s="129"/>
      <c r="V462">
        <f t="shared" si="481"/>
        <v>0</v>
      </c>
      <c r="W462">
        <f t="shared" si="482"/>
        <v>0</v>
      </c>
      <c r="X462">
        <f t="shared" si="483"/>
        <v>0</v>
      </c>
      <c r="Y462">
        <f>IF('חד גזעי'!$AM$2 = "לא",0,IF(F462&gt;9,W462,0))</f>
        <v>0</v>
      </c>
      <c r="Z462">
        <f>IF('חד גזעי'!$AM$7 = "לא",0,IF(C462 = "זית אירופי",IF('חד גזעי'!$AN$7 &lt;=סקר!F462,W462,0),IF(C462 = "חרוב מצוי",IF('חד גזעי'!$AN$7 &lt;=סקר!F462,W462,0),0)))</f>
        <v>0</v>
      </c>
      <c r="AA462" s="129"/>
      <c r="AB462" s="129"/>
      <c r="AC462" s="129"/>
      <c r="AD462" s="129"/>
      <c r="AE462" s="129"/>
      <c r="AF462" s="129"/>
      <c r="AG462" s="129"/>
      <c r="AH462" s="129"/>
      <c r="AI462" s="129"/>
      <c r="AJ462" s="129"/>
      <c r="AK462" s="129"/>
      <c r="AL462" s="129"/>
      <c r="AM462" s="129"/>
      <c r="AN462" s="129"/>
      <c r="AO462" s="129"/>
      <c r="AP462" s="129"/>
      <c r="AQ462" s="129"/>
      <c r="AR462" s="129"/>
      <c r="AS462" s="129"/>
      <c r="AT462" s="129"/>
      <c r="AU462" s="129"/>
      <c r="AV462" s="129"/>
      <c r="AW462" s="129"/>
      <c r="AX462" s="129"/>
      <c r="AY462" s="129"/>
      <c r="AZ462" s="129"/>
      <c r="BA462" s="129"/>
      <c r="BB462" s="129"/>
      <c r="BC462" s="129"/>
      <c r="BD462" s="129"/>
      <c r="BE462" s="129"/>
      <c r="BF462" s="129" t="str">
        <f>BF461</f>
        <v>C:\Users\origr\Pictures\0.jpg</v>
      </c>
      <c r="BG462" s="129" t="str">
        <f t="shared" ref="BG462" si="490">BG461</f>
        <v>C:\Users\origr\Pictures\0.jpg</v>
      </c>
      <c r="BH462" s="129" t="str">
        <f t="shared" ref="BH462" si="491">BH461</f>
        <v>C:\Users\origr\Pictures\0.jpg</v>
      </c>
      <c r="BI462" s="129" t="str">
        <f t="shared" ref="BI462" si="492">BI461</f>
        <v>C:\Users\origr\Pictures\0.jpg</v>
      </c>
      <c r="BJ462" s="129" t="str">
        <f t="shared" ref="BJ462" si="493">BJ461</f>
        <v>C:\Users\origr\Pictures\0.jpg</v>
      </c>
      <c r="BK462" s="129" t="str">
        <f t="shared" ref="BK462" si="494">BK461</f>
        <v>C:\Users\origr\Pictures\0.jpg</v>
      </c>
    </row>
    <row r="463" spans="1:63" ht="14.25" hidden="1">
      <c r="B463" s="71"/>
      <c r="C463" s="69"/>
      <c r="Q463" s="86"/>
      <c r="T463" s="72">
        <f>IF('חד גזעי'!$AM$6="לא",IF(P463=0,IF(BC463="שימור",IF('חד גזעי'!$AM$4="לא",IF(BC463="לא בוגר",0,IF(BC463="לא קיים",0,IF(J463=0,0,I463*0.1))),IF(BC463="לא בוגר",0,IF(BC463="לא קיים",0,IF(AB463=1,I463*0.1,E463*0.5)))),0),IF('חד גזעי'!$AM$4="לא",IF(BC463="לא בוגר",0,IF(BC463="לא קיים",0,IF(J463=0,0,I463*0.1))),IF(BC463="לא בוגר",0,IF(BC463="לא קיים",0,IF(AB463=1,I463*0.1,E463*0.5))))),IF(P463=0,IF(BC463="שימור",IF('חד גזעי'!$AM$4="לא",IF(BC463="לא בוגר",0,IF(BC463="לא קיים",0,IF(J463=0,0,I463*0.15))),IF(BC463="לא בוגר",0,IF(BC463="לא קיים",0,IF(AB463=1,I463*0.15,E463*0.5)))),0),IF('חד גזעי'!$AM$4="לא",IF(BC463="לא בוגר",0,IF(BC463="לא קיים",0,IF(J463=0,0,I463*0.15))),IF(BC463="לא בוגר",0,IF(BC463="לא קיים",0,IF(AB463=1,I463*0.15,E463*0.5))))))</f>
        <v>0</v>
      </c>
      <c r="V463">
        <f t="shared" si="481"/>
        <v>0</v>
      </c>
      <c r="W463">
        <f t="shared" si="482"/>
        <v>0</v>
      </c>
      <c r="X463">
        <f t="shared" si="483"/>
        <v>0</v>
      </c>
      <c r="Y463">
        <f>IF('חד גזעי'!$AM$2 = "לא",0,IF(F463&gt;9,W463,0))</f>
        <v>0</v>
      </c>
      <c r="Z463">
        <f>IF('חד גזעי'!$AM$7 = "לא",0,IF(C463 = "זית אירופי",IF('חד גזעי'!$AN$7 &lt;=סקר!F463,W463,0),IF(C463 = "חרוב מצוי",IF('חד גזעי'!$AN$7 &lt;=סקר!F463,W463,0),0)))</f>
        <v>0</v>
      </c>
      <c r="AD463" s="69" t="s">
        <v>807</v>
      </c>
    </row>
    <row r="464" spans="1:63" hidden="1">
      <c r="B464" s="197" t="s">
        <v>738</v>
      </c>
      <c r="C464" s="197" t="s">
        <v>739</v>
      </c>
      <c r="D464" s="197" t="s">
        <v>740</v>
      </c>
      <c r="E464" s="197" t="s">
        <v>741</v>
      </c>
      <c r="F464" s="200" t="s">
        <v>759</v>
      </c>
      <c r="G464" s="203" t="s">
        <v>760</v>
      </c>
      <c r="H464" s="203" t="s">
        <v>761</v>
      </c>
      <c r="I464" s="197" t="s">
        <v>742</v>
      </c>
      <c r="J464" s="197" t="s">
        <v>743</v>
      </c>
      <c r="K464" s="197" t="s">
        <v>744</v>
      </c>
      <c r="L464" s="197" t="s">
        <v>745</v>
      </c>
      <c r="M464" s="197" t="s">
        <v>746</v>
      </c>
      <c r="N464" s="197" t="s">
        <v>747</v>
      </c>
      <c r="O464" s="197" t="s">
        <v>748</v>
      </c>
      <c r="P464" s="197" t="s">
        <v>749</v>
      </c>
      <c r="Q464" s="197" t="s">
        <v>750</v>
      </c>
      <c r="R464" s="197" t="s">
        <v>751</v>
      </c>
      <c r="T464" s="72" t="e">
        <f>IF('חד גזעי'!$AM$6="לא",IF(P464=0,IF(BC464="שימור",IF('חד גזעי'!$AM$4="לא",IF(BC464="לא בוגר",0,IF(BC464="לא קיים",0,IF(J464=0,0,I464*0.1))),IF(BC464="לא בוגר",0,IF(BC464="לא קיים",0,IF(AB464=1,I464*0.1,E464*0.5)))),0),IF('חד גזעי'!$AM$4="לא",IF(BC464="לא בוגר",0,IF(BC464="לא קיים",0,IF(J464=0,0,I464*0.1))),IF(BC464="לא בוגר",0,IF(BC464="לא קיים",0,IF(AB464=1,I464*0.1,E464*0.5))))),IF(P464=0,IF(BC464="שימור",IF('חד גזעי'!$AM$4="לא",IF(BC464="לא בוגר",0,IF(BC464="לא קיים",0,IF(J464=0,0,I464*0.15))),IF(BC464="לא בוגר",0,IF(BC464="לא קיים",0,IF(AB464=1,I464*0.15,E464*0.5)))),0),IF('חד גזעי'!$AM$4="לא",IF(BC464="לא בוגר",0,IF(BC464="לא קיים",0,IF(J464=0,0,I464*0.15))),IF(BC464="לא בוגר",0,IF(BC464="לא קיים",0,IF(AB464=1,I464*0.15,E464*0.5))))))</f>
        <v>#VALUE!</v>
      </c>
      <c r="V464">
        <f t="shared" si="481"/>
        <v>0</v>
      </c>
      <c r="W464" t="e">
        <f t="shared" si="482"/>
        <v>#VALUE!</v>
      </c>
      <c r="X464">
        <f t="shared" si="483"/>
        <v>0</v>
      </c>
      <c r="Y464">
        <f>IF('חד גזעי'!$AM$2 = "לא",0,IF(F464&gt;9,W464,0))</f>
        <v>0</v>
      </c>
      <c r="Z464">
        <f>IF('חד גזעי'!$AM$7 = "לא",0,IF(C464 = "זית אירופי",IF('חד גזעי'!$AN$7 &lt;=סקר!F464,W464,0),IF(C464 = "חרוב מצוי",IF('חד גזעי'!$AN$7 &lt;=סקר!F464,W464,0),0)))</f>
        <v>0</v>
      </c>
      <c r="AC464" s="101"/>
      <c r="AD464" s="103"/>
      <c r="AE464" s="103"/>
      <c r="AF464" s="103"/>
      <c r="AG464" s="103"/>
      <c r="AH464" s="103"/>
      <c r="AI464" s="103"/>
      <c r="AJ464" s="103"/>
      <c r="AK464" s="83"/>
      <c r="AM464" s="73"/>
      <c r="AN464" s="73"/>
      <c r="AO464" s="73"/>
      <c r="AS464" s="197" t="s">
        <v>738</v>
      </c>
      <c r="AT464" s="197" t="s">
        <v>739</v>
      </c>
      <c r="AU464" s="197" t="s">
        <v>740</v>
      </c>
      <c r="AV464" s="197" t="s">
        <v>741</v>
      </c>
      <c r="AW464" s="203" t="s">
        <v>759</v>
      </c>
      <c r="AX464" s="203" t="s">
        <v>760</v>
      </c>
      <c r="AY464" s="203" t="s">
        <v>761</v>
      </c>
      <c r="AZ464" s="197" t="s">
        <v>812</v>
      </c>
      <c r="BA464" s="197" t="s">
        <v>817</v>
      </c>
      <c r="BB464" s="197" t="s">
        <v>805</v>
      </c>
      <c r="BC464" s="197" t="s">
        <v>806</v>
      </c>
      <c r="BE464">
        <f>IF(BC464="לא נדרש ברישיון",1,0)</f>
        <v>0</v>
      </c>
      <c r="BF464" s="72"/>
      <c r="BG464" s="72"/>
      <c r="BH464" s="72"/>
      <c r="BI464" s="72"/>
      <c r="BJ464" s="72"/>
      <c r="BK464" s="72"/>
    </row>
    <row r="465" spans="2:63" hidden="1">
      <c r="B465" s="198"/>
      <c r="C465" s="198"/>
      <c r="D465" s="198"/>
      <c r="E465" s="198"/>
      <c r="F465" s="201"/>
      <c r="G465" s="204"/>
      <c r="H465" s="204"/>
      <c r="I465" s="198"/>
      <c r="J465" s="198"/>
      <c r="K465" s="198"/>
      <c r="L465" s="198"/>
      <c r="M465" s="198"/>
      <c r="N465" s="198"/>
      <c r="O465" s="198"/>
      <c r="P465" s="198"/>
      <c r="Q465" s="198"/>
      <c r="R465" s="198"/>
      <c r="T465" s="72">
        <f>IF('חד גזעי'!$AM$6="לא",IF(P465=0,IF(BC465="שימור",IF('חד גזעי'!$AM$4="לא",IF(BC465="לא בוגר",0,IF(BC465="לא קיים",0,IF(J465=0,0,I465*0.1))),IF(BC465="לא בוגר",0,IF(BC465="לא קיים",0,IF(AB465=1,I465*0.1,E465*0.5)))),0),IF('חד גזעי'!$AM$4="לא",IF(BC465="לא בוגר",0,IF(BC465="לא קיים",0,IF(J465=0,0,I465*0.1))),IF(BC465="לא בוגר",0,IF(BC465="לא קיים",0,IF(AB465=1,I465*0.1,E465*0.5))))),IF(P465=0,IF(BC465="שימור",IF('חד גזעי'!$AM$4="לא",IF(BC465="לא בוגר",0,IF(BC465="לא קיים",0,IF(J465=0,0,I465*0.15))),IF(BC465="לא בוגר",0,IF(BC465="לא קיים",0,IF(AB465=1,I465*0.15,E465*0.5)))),0),IF('חד גזעי'!$AM$4="לא",IF(BC465="לא בוגר",0,IF(BC465="לא קיים",0,IF(J465=0,0,I465*0.15))),IF(BC465="לא בוגר",0,IF(BC465="לא קיים",0,IF(AB465=1,I465*0.15,E465*0.5))))))</f>
        <v>0</v>
      </c>
      <c r="V465">
        <f t="shared" si="481"/>
        <v>0</v>
      </c>
      <c r="W465">
        <f t="shared" si="482"/>
        <v>0</v>
      </c>
      <c r="X465">
        <f t="shared" si="483"/>
        <v>0</v>
      </c>
      <c r="Y465">
        <f>IF('חד גזעי'!$AM$2 = "לא",0,IF(F465&gt;9,W465,0))</f>
        <v>0</v>
      </c>
      <c r="Z465">
        <f>IF('חד גזעי'!$AM$7 = "לא",0,IF(C465 = "זית אירופי",IF('חד גזעי'!$AN$7 &lt;=סקר!F465,W465,0),IF(C465 = "חרוב מצוי",IF('חד גזעי'!$AN$7 &lt;=סקר!F465,W465,0),0)))</f>
        <v>0</v>
      </c>
      <c r="AC465" s="101"/>
      <c r="AD465" s="103"/>
      <c r="AE465" s="103"/>
      <c r="AF465" s="103"/>
      <c r="AG465" s="103"/>
      <c r="AH465" s="103"/>
      <c r="AI465" s="103"/>
      <c r="AJ465" s="103"/>
      <c r="AK465" s="83"/>
      <c r="AM465" s="73"/>
      <c r="AN465" s="73"/>
      <c r="AO465" s="73"/>
      <c r="AS465" s="198"/>
      <c r="AT465" s="198"/>
      <c r="AU465" s="198"/>
      <c r="AV465" s="198"/>
      <c r="AW465" s="204"/>
      <c r="AX465" s="204"/>
      <c r="AY465" s="204"/>
      <c r="AZ465" s="198"/>
      <c r="BA465" s="198"/>
      <c r="BB465" s="198"/>
      <c r="BC465" s="198"/>
      <c r="BE465">
        <f t="shared" ref="BE465:BE499" si="495">IF(BC465="לא נדרש ברישיון",1,0)</f>
        <v>0</v>
      </c>
      <c r="BF465" s="196" t="str">
        <f>BF462</f>
        <v>C:\Users\origr\Pictures\0.jpg</v>
      </c>
      <c r="BG465" s="196" t="str">
        <f t="shared" ref="BG465:BK465" si="496">BG462</f>
        <v>C:\Users\origr\Pictures\0.jpg</v>
      </c>
      <c r="BH465" s="196" t="str">
        <f t="shared" si="496"/>
        <v>C:\Users\origr\Pictures\0.jpg</v>
      </c>
      <c r="BI465" s="196" t="str">
        <f t="shared" si="496"/>
        <v>C:\Users\origr\Pictures\0.jpg</v>
      </c>
      <c r="BJ465" s="196" t="str">
        <f t="shared" si="496"/>
        <v>C:\Users\origr\Pictures\0.jpg</v>
      </c>
      <c r="BK465" s="196" t="str">
        <f t="shared" si="496"/>
        <v>C:\Users\origr\Pictures\0.jpg</v>
      </c>
    </row>
    <row r="466" spans="2:63" hidden="1">
      <c r="B466" s="199"/>
      <c r="C466" s="199"/>
      <c r="D466" s="199"/>
      <c r="E466" s="199"/>
      <c r="F466" s="202"/>
      <c r="G466" s="205"/>
      <c r="H466" s="205"/>
      <c r="I466" s="199"/>
      <c r="J466" s="199"/>
      <c r="K466" s="199"/>
      <c r="L466" s="199"/>
      <c r="M466" s="199"/>
      <c r="N466" s="199"/>
      <c r="O466" s="199"/>
      <c r="P466" s="199"/>
      <c r="Q466" s="199"/>
      <c r="R466" s="199"/>
      <c r="T466" s="72">
        <f>IF('חד גזעי'!$AM$6="לא",IF(P466=0,IF(BC466="שימור",IF('חד גזעי'!$AM$4="לא",IF(BC466="לא בוגר",0,IF(BC466="לא קיים",0,IF(J466=0,0,I466*0.1))),IF(BC466="לא בוגר",0,IF(BC466="לא קיים",0,IF(AB466=1,I466*0.1,E466*0.5)))),0),IF('חד גזעי'!$AM$4="לא",IF(BC466="לא בוגר",0,IF(BC466="לא קיים",0,IF(J466=0,0,I466*0.1))),IF(BC466="לא בוגר",0,IF(BC466="לא קיים",0,IF(AB466=1,I466*0.1,E466*0.5))))),IF(P466=0,IF(BC466="שימור",IF('חד גזעי'!$AM$4="לא",IF(BC466="לא בוגר",0,IF(BC466="לא קיים",0,IF(J466=0,0,I466*0.15))),IF(BC466="לא בוגר",0,IF(BC466="לא קיים",0,IF(AB466=1,I466*0.15,E466*0.5)))),0),IF('חד גזעי'!$AM$4="לא",IF(BC466="לא בוגר",0,IF(BC466="לא קיים",0,IF(J466=0,0,I466*0.15))),IF(BC466="לא בוגר",0,IF(BC466="לא קיים",0,IF(AB466=1,I466*0.15,E466*0.5))))))</f>
        <v>0</v>
      </c>
      <c r="V466" t="str">
        <f t="shared" si="481"/>
        <v>שווי דקל</v>
      </c>
      <c r="W466" t="str">
        <f t="shared" si="482"/>
        <v>שווי דקל</v>
      </c>
      <c r="X466">
        <f t="shared" si="483"/>
        <v>0</v>
      </c>
      <c r="Y466">
        <f>IF('חד גזעי'!$AM$2 = "לא",0,IF(F466&gt;9,W466,0))</f>
        <v>0</v>
      </c>
      <c r="Z466">
        <f>IF('חד גזעי'!$AM$7 = "לא",0,IF(C466 = "זית אירופי",IF('חד גזעי'!$AN$7 &lt;=סקר!F466,W466,0),IF(C466 = "חרוב מצוי",IF('חד גזעי'!$AN$7 &lt;=סקר!F466,W466,0),0)))</f>
        <v>0</v>
      </c>
      <c r="AC466" s="94"/>
      <c r="AD466" s="94"/>
      <c r="AE466" s="72"/>
      <c r="AF466" s="77" t="s">
        <v>767</v>
      </c>
      <c r="AG466" s="77" t="s">
        <v>768</v>
      </c>
      <c r="AH466" s="72" t="s">
        <v>762</v>
      </c>
      <c r="AI466" s="72" t="s">
        <v>763</v>
      </c>
      <c r="AJ466" s="72" t="s">
        <v>764</v>
      </c>
      <c r="AK466" s="77" t="s">
        <v>770</v>
      </c>
      <c r="AL466" t="s">
        <v>771</v>
      </c>
      <c r="AM466" s="77" t="s">
        <v>809</v>
      </c>
      <c r="AN466" s="77" t="s">
        <v>810</v>
      </c>
      <c r="AO466" s="77" t="s">
        <v>811</v>
      </c>
      <c r="AS466" s="199"/>
      <c r="AT466" s="199"/>
      <c r="AU466" s="199"/>
      <c r="AV466" s="199"/>
      <c r="AW466" s="205"/>
      <c r="AX466" s="205"/>
      <c r="AY466" s="205"/>
      <c r="AZ466" s="199"/>
      <c r="BA466" s="199"/>
      <c r="BB466" s="199"/>
      <c r="BC466" s="199"/>
      <c r="BE466">
        <f t="shared" si="495"/>
        <v>0</v>
      </c>
      <c r="BF466" s="196"/>
      <c r="BG466" s="196"/>
      <c r="BH466" s="196"/>
      <c r="BI466" s="196"/>
      <c r="BJ466" s="196"/>
      <c r="BK466" s="196"/>
    </row>
    <row r="467" spans="2:63" hidden="1">
      <c r="B467" s="72"/>
      <c r="C467" s="135"/>
      <c r="D467" s="73"/>
      <c r="E467" s="73"/>
      <c r="F467" s="72"/>
      <c r="G467" s="72"/>
      <c r="H467" s="72"/>
      <c r="I467" s="73">
        <f t="shared" ref="I467:I498" si="497">F467+(G467/2)+(H467/2)</f>
        <v>0</v>
      </c>
      <c r="J467" s="73"/>
      <c r="K467" s="73"/>
      <c r="L467" s="74" t="e">
        <f>_xlfn.IFNA(VLOOKUP(C467,'חד גזעי'!$U$3:$V$509,2,0),VLOOKUP(C467,'חד גזעי'!$U$3:$V$509,2))</f>
        <v>#N/A</v>
      </c>
      <c r="M467" s="73"/>
      <c r="N467" s="72" t="e">
        <f>_xlfn.IFNA(IF(VLOOKUP(C467,'חד גזעי'!$AH$2:$AH$7,1,FALSE)&gt;0,0,IF('חד גזעי'!$AM$5="כן",IF(_xlfn.IFNA(VLOOKUP(C467,'חד גזעי'!$AH$2:$AH$33,1,FALSE),SUM(J467:M467))&lt;21,_xlfn.IFNA(VLOOKUP(C467,'חד גזעי'!$AH$2:$AH$33,1,FALSE),SUM(J467:M467)),0),SUM(J467:M467))),IF('חד גזעי'!$AM$5="כן",IF(_xlfn.IFNA(VLOOKUP(C467,'חד גזעי'!$AH$2:$AH$33,1,FALSE),SUM(J467:M467))&lt;21,_xlfn.IFNA(VLOOKUP(C467,'חד גזעי'!$AH$2:$AH$33,1,FALSE),SUM(J467:M467)),0),SUM(J467:M467)))</f>
        <v>#N/A</v>
      </c>
      <c r="O467" s="72">
        <f>IF('חד גזעי'!$AM$3 = "כן",IF(T467&gt;4,4,T467),T467)</f>
        <v>0</v>
      </c>
      <c r="P467" s="80">
        <f>IF(E467&lt;2,0,IF(Z467&gt;0,Z467,IF(N467 = 0,0,IF('חד גזעי'!$AM$2 = "לא",IF(F467&gt;19,W467,0),IF(F467&gt;9,Y467,0)))))</f>
        <v>0</v>
      </c>
      <c r="Q467" s="77"/>
      <c r="R467" s="75"/>
      <c r="S467" t="e">
        <f>VLOOKUP(C467,'חד גזעי'!$Y$4:$Y$18,1,0)</f>
        <v>#N/A</v>
      </c>
      <c r="T467" s="72">
        <f>IF('חד גזעי'!$AM$6="לא",IF(P467=0,IF(BC467="שימור",IF('חד גזעי'!$AM$4="לא",IF(BC467="לא בוגר",0,IF(BC467="לא קיים",0,IF(J467=0,0,I467*0.1))),IF(BC467="לא בוגר",0,IF(BC467="לא קיים",0,IF(AB467=1,I467*0.1,E467*0.5)))),0),IF('חד גזעי'!$AM$4="לא",IF(BC467="לא בוגר",0,IF(BC467="לא קיים",0,IF(J467=0,0,I467*0.1))),IF(BC467="לא בוגר",0,IF(BC467="לא קיים",0,IF(AB467=1,I467*0.1,E467*0.5))))),IF(P467=0,IF(BC467="שימור",IF('חד גזעי'!$AM$4="לא",IF(BC467="לא בוגר",0,IF(BC467="לא קיים",0,IF(J467=0,0,I467*0.15))),IF(BC467="לא בוגר",0,IF(BC467="לא קיים",0,IF(AB467=1,I467*0.15,E467*0.5)))),0),IF('חד גזעי'!$AM$4="לא",IF(BC467="לא בוגר",0,IF(BC467="לא קיים",0,IF(J467=0,0,I467*0.15))),IF(BC467="לא בוגר",0,IF(BC467="לא קיים",0,IF(AB467=1,I467*0.15,E467*0.5))))))</f>
        <v>0</v>
      </c>
      <c r="V467" t="e">
        <f t="shared" si="481"/>
        <v>#N/A</v>
      </c>
      <c r="W467" t="e">
        <f t="shared" si="482"/>
        <v>#N/A</v>
      </c>
      <c r="X467" t="e">
        <f t="shared" si="483"/>
        <v>#N/A</v>
      </c>
      <c r="Y467">
        <f>IF('חד גזעי'!$AM$2 = "לא",0,IF(F467&gt;9,W467,0))</f>
        <v>0</v>
      </c>
      <c r="Z467">
        <f>IF('חד גזעי'!$AM$7 = "לא",0,IF(C467 = "זית אירופי",IF('חד גזעי'!$AN$7 &lt;=סקר!F467,W467,0),IF(C467 = "חרוב מצוי",IF('חד גזעי'!$AN$7 &lt;=סקר!F467,W467,0),0)))</f>
        <v>0</v>
      </c>
      <c r="AB467">
        <f t="shared" ref="AB467:AB498" si="498">_xlfn.IFNA(S467,1)</f>
        <v>1</v>
      </c>
      <c r="AC467" s="72"/>
      <c r="AD467" t="e">
        <f>IF(AK467&gt;0,AK467,AF467)</f>
        <v>#N/A</v>
      </c>
      <c r="AE467" s="72"/>
      <c r="AF467" s="72" t="e">
        <f t="shared" ref="AF467:AF498" si="499">((AJ467+AI467+AH467)*(AG467))*(J467*0.2)*(K467*0.2)*20</f>
        <v>#N/A</v>
      </c>
      <c r="AG467" s="72" t="e">
        <f>IF('חד גזעי'!$AM$5="לא",(VLOOKUP(C467,'חד גזעי'!$P$1:$S$589,3,FALSE)),(VLOOKUP(C467,'חד גזעי'!$P$1:$S$589,4,FALSE)))</f>
        <v>#N/A</v>
      </c>
      <c r="AH467" s="72">
        <f t="shared" ref="AH467:AH498" si="500">(3.14*((F467/2)^2))</f>
        <v>0</v>
      </c>
      <c r="AI467" s="72">
        <f t="shared" ref="AI467:AI498" si="501">3.14*(G467*G467/4)</f>
        <v>0</v>
      </c>
      <c r="AJ467" s="72">
        <f t="shared" ref="AJ467:AJ498" si="502">3.14*(H467*H467/4)</f>
        <v>0</v>
      </c>
      <c r="AK467" s="72" t="e">
        <f t="shared" ref="AK467:AK498" si="503">AL467*E467*(J467*0.2)*(0.2*K467)*1500</f>
        <v>#N/A</v>
      </c>
      <c r="AL467" t="e">
        <f>VLOOKUP(C467,'חד גזעי'!$AH$8:$AI$33,2,FALSE)</f>
        <v>#N/A</v>
      </c>
      <c r="AM467" s="72" t="b">
        <f t="shared" ref="AM467:AM498" si="504">IF(BC467="שימור",P467)</f>
        <v>0</v>
      </c>
      <c r="AN467" s="72" t="b">
        <f t="shared" ref="AN467:AN498" si="505">IF(BC467="כריתה",P467)</f>
        <v>0</v>
      </c>
      <c r="AO467" s="72" t="b">
        <f t="shared" ref="AO467:AO498" si="506">IF(BC467="העתקה",P467)</f>
        <v>0</v>
      </c>
      <c r="AS467" s="72">
        <f t="shared" ref="AS467:AS498" si="507">B467</f>
        <v>0</v>
      </c>
      <c r="AT467" s="72">
        <f t="shared" ref="AT467:AT498" si="508">C467</f>
        <v>0</v>
      </c>
      <c r="AU467" s="72">
        <f>IF(C467&gt;0,IF(D467&lt;2,1,D467),0)</f>
        <v>0</v>
      </c>
      <c r="AV467" s="72">
        <f t="shared" ref="AV467:AV498" si="509">E467</f>
        <v>0</v>
      </c>
      <c r="AW467" s="72">
        <f t="shared" ref="AW467:AW498" si="510">F467</f>
        <v>0</v>
      </c>
      <c r="AX467" s="72">
        <f t="shared" ref="AX467:AX498" si="511">G467</f>
        <v>0</v>
      </c>
      <c r="AY467" s="72">
        <f t="shared" ref="AY467:AY498" si="512">H467</f>
        <v>0</v>
      </c>
      <c r="AZ467" s="72">
        <f t="shared" ref="AZ467:AZ498" si="513">I467</f>
        <v>0</v>
      </c>
      <c r="BA467" s="72" t="e">
        <f t="shared" ref="BA467:BA498" si="514">N467</f>
        <v>#N/A</v>
      </c>
      <c r="BB467" s="72" t="e">
        <f t="shared" ref="BB467:BB498" si="515">IF(BA467&gt;6,IF(BA467&gt;13,IF(BA467&gt;16,"גבוה מאוד","גבוה"),"בינונית"),"נמוכה")</f>
        <v>#N/A</v>
      </c>
      <c r="BC467" s="77"/>
      <c r="BE467">
        <f t="shared" si="495"/>
        <v>0</v>
      </c>
      <c r="BF467" s="196"/>
      <c r="BG467" s="196"/>
      <c r="BH467" s="196"/>
      <c r="BI467" s="196"/>
      <c r="BJ467" s="196"/>
      <c r="BK467" s="196"/>
    </row>
    <row r="468" spans="2:63" hidden="1">
      <c r="B468" s="72"/>
      <c r="C468" s="135"/>
      <c r="D468" s="73"/>
      <c r="E468" s="73"/>
      <c r="F468" s="72"/>
      <c r="G468" s="72"/>
      <c r="H468" s="72"/>
      <c r="I468" s="73">
        <f t="shared" si="497"/>
        <v>0</v>
      </c>
      <c r="J468" s="73"/>
      <c r="K468" s="73"/>
      <c r="L468" s="74" t="e">
        <f>_xlfn.IFNA(VLOOKUP(C468,'חד גזעי'!$U$3:$V$509,2,0),VLOOKUP(C468,'חד גזעי'!$U$3:$V$509,2))</f>
        <v>#N/A</v>
      </c>
      <c r="M468" s="73"/>
      <c r="N468" s="72" t="e">
        <f>_xlfn.IFNA(IF(VLOOKUP(C468,'חד גזעי'!$AH$2:$AH$7,1,FALSE)&gt;0,0,IF('חד גזעי'!$AM$5="כן",IF(_xlfn.IFNA(VLOOKUP(C468,'חד גזעי'!$AH$2:$AH$33,1,FALSE),SUM(J468:M468))&lt;21,_xlfn.IFNA(VLOOKUP(C468,'חד גזעי'!$AH$2:$AH$33,1,FALSE),SUM(J468:M468)),0),SUM(J468:M468))),IF('חד גזעי'!$AM$5="כן",IF(_xlfn.IFNA(VLOOKUP(C468,'חד גזעי'!$AH$2:$AH$33,1,FALSE),SUM(J468:M468))&lt;21,_xlfn.IFNA(VLOOKUP(C468,'חד גזעי'!$AH$2:$AH$33,1,FALSE),SUM(J468:M468)),0),SUM(J468:M468)))</f>
        <v>#N/A</v>
      </c>
      <c r="O468" s="72">
        <f>IF('חד גזעי'!$AM$3 = "כן",IF(T468&gt;4,4,T468),T468)</f>
        <v>0</v>
      </c>
      <c r="P468" s="80">
        <f>IF(E468&lt;2,0,IF(Z468&gt;0,Z468,IF(N468 = 0,0,IF('חד גזעי'!$AM$2 = "לא",IF(F468&gt;19,W468,0),IF(F468&gt;9,Y468,0)))))</f>
        <v>0</v>
      </c>
      <c r="Q468" s="77"/>
      <c r="R468" s="75"/>
      <c r="S468" t="e">
        <f>VLOOKUP(C468,'חד גזעי'!$Y$4:$Y$18,1,0)</f>
        <v>#N/A</v>
      </c>
      <c r="T468" s="72">
        <f>IF('חד גזעי'!$AM$6="לא",IF(P468=0,IF(BC468="שימור",IF('חד גזעי'!$AM$4="לא",IF(BC468="לא בוגר",0,IF(BC468="לא קיים",0,IF(J468=0,0,I468*0.1))),IF(BC468="לא בוגר",0,IF(BC468="לא קיים",0,IF(AB468=1,I468*0.1,E468*0.5)))),0),IF('חד גזעי'!$AM$4="לא",IF(BC468="לא בוגר",0,IF(BC468="לא קיים",0,IF(J468=0,0,I468*0.1))),IF(BC468="לא בוגר",0,IF(BC468="לא קיים",0,IF(AB468=1,I468*0.1,E468*0.5))))),IF(P468=0,IF(BC468="שימור",IF('חד גזעי'!$AM$4="לא",IF(BC468="לא בוגר",0,IF(BC468="לא קיים",0,IF(J468=0,0,I468*0.15))),IF(BC468="לא בוגר",0,IF(BC468="לא קיים",0,IF(AB468=1,I468*0.15,E468*0.5)))),0),IF('חד גזעי'!$AM$4="לא",IF(BC468="לא בוגר",0,IF(BC468="לא קיים",0,IF(J468=0,0,I468*0.15))),IF(BC468="לא בוגר",0,IF(BC468="לא קיים",0,IF(AB468=1,I468*0.15,E468*0.5))))))</f>
        <v>0</v>
      </c>
      <c r="V468" t="e">
        <f t="shared" si="481"/>
        <v>#N/A</v>
      </c>
      <c r="W468" t="e">
        <f t="shared" si="482"/>
        <v>#N/A</v>
      </c>
      <c r="X468" t="e">
        <f t="shared" si="483"/>
        <v>#N/A</v>
      </c>
      <c r="Y468">
        <f>IF('חד גזעי'!$AM$2 = "לא",0,IF(F468&gt;9,W468,0))</f>
        <v>0</v>
      </c>
      <c r="Z468">
        <f>IF('חד גזעי'!$AM$7 = "לא",0,IF(C468 = "זית אירופי",IF('חד גזעי'!$AN$7 &lt;=סקר!F468,W468,0),IF(C468 = "חרוב מצוי",IF('חד גזעי'!$AN$7 &lt;=סקר!F468,W468,0),0)))</f>
        <v>0</v>
      </c>
      <c r="AB468">
        <f t="shared" si="498"/>
        <v>1</v>
      </c>
      <c r="AC468" s="72"/>
      <c r="AD468" t="e">
        <f t="shared" ref="AD468:AD498" si="516">IF(AK468&gt;0,AK468,AF468)</f>
        <v>#N/A</v>
      </c>
      <c r="AE468" s="72"/>
      <c r="AF468" s="72" t="e">
        <f t="shared" si="499"/>
        <v>#N/A</v>
      </c>
      <c r="AG468" s="72" t="e">
        <f>IF('חד גזעי'!$AM$5="לא",(VLOOKUP(C468,'חד גזעי'!$P$1:$S$589,3,FALSE)),(VLOOKUP(C468,'חד גזעי'!$P$1:$S$589,4,FALSE)))</f>
        <v>#N/A</v>
      </c>
      <c r="AH468" s="72">
        <f t="shared" si="500"/>
        <v>0</v>
      </c>
      <c r="AI468" s="72">
        <f t="shared" si="501"/>
        <v>0</v>
      </c>
      <c r="AJ468" s="72">
        <f t="shared" si="502"/>
        <v>0</v>
      </c>
      <c r="AK468" s="72" t="e">
        <f t="shared" si="503"/>
        <v>#N/A</v>
      </c>
      <c r="AL468" t="e">
        <f>VLOOKUP(C468,'חד גזעי'!$AH$8:$AI$33,2,FALSE)</f>
        <v>#N/A</v>
      </c>
      <c r="AM468" s="72" t="b">
        <f t="shared" si="504"/>
        <v>0</v>
      </c>
      <c r="AN468" s="72" t="b">
        <f t="shared" si="505"/>
        <v>0</v>
      </c>
      <c r="AO468" s="72" t="b">
        <f t="shared" si="506"/>
        <v>0</v>
      </c>
      <c r="AS468" s="72">
        <f t="shared" si="507"/>
        <v>0</v>
      </c>
      <c r="AT468" s="72">
        <f t="shared" si="508"/>
        <v>0</v>
      </c>
      <c r="AU468" s="72">
        <f t="shared" ref="AU468:AU498" si="517">IF(C468&gt;0,IF(D468&lt;2,1,D468),0)</f>
        <v>0</v>
      </c>
      <c r="AV468" s="72">
        <f t="shared" si="509"/>
        <v>0</v>
      </c>
      <c r="AW468" s="72">
        <f t="shared" si="510"/>
        <v>0</v>
      </c>
      <c r="AX468" s="72">
        <f t="shared" si="511"/>
        <v>0</v>
      </c>
      <c r="AY468" s="72">
        <f t="shared" si="512"/>
        <v>0</v>
      </c>
      <c r="AZ468" s="72">
        <f t="shared" si="513"/>
        <v>0</v>
      </c>
      <c r="BA468" s="72" t="e">
        <f t="shared" si="514"/>
        <v>#N/A</v>
      </c>
      <c r="BB468" s="72" t="e">
        <f t="shared" si="515"/>
        <v>#N/A</v>
      </c>
      <c r="BC468" s="77"/>
      <c r="BE468">
        <f t="shared" si="495"/>
        <v>0</v>
      </c>
      <c r="BF468" s="196"/>
      <c r="BG468" s="196"/>
      <c r="BH468" s="196"/>
      <c r="BI468" s="196"/>
      <c r="BJ468" s="196"/>
      <c r="BK468" s="196"/>
    </row>
    <row r="469" spans="2:63" hidden="1">
      <c r="B469" s="72"/>
      <c r="C469" s="135"/>
      <c r="D469" s="73"/>
      <c r="E469" s="73"/>
      <c r="F469" s="72"/>
      <c r="G469" s="72"/>
      <c r="H469" s="72"/>
      <c r="I469" s="73">
        <f t="shared" si="497"/>
        <v>0</v>
      </c>
      <c r="J469" s="73"/>
      <c r="K469" s="73"/>
      <c r="L469" s="74" t="e">
        <f>_xlfn.IFNA(VLOOKUP(C469,'חד גזעי'!$U$3:$V$509,2,0),VLOOKUP(C469,'חד גזעי'!$U$3:$V$509,2))</f>
        <v>#N/A</v>
      </c>
      <c r="M469" s="73"/>
      <c r="N469" s="72" t="e">
        <f>_xlfn.IFNA(IF(VLOOKUP(C469,'חד גזעי'!$AH$2:$AH$7,1,FALSE)&gt;0,0,IF('חד גזעי'!$AM$5="כן",IF(_xlfn.IFNA(VLOOKUP(C469,'חד גזעי'!$AH$2:$AH$33,1,FALSE),SUM(J469:M469))&lt;21,_xlfn.IFNA(VLOOKUP(C469,'חד גזעי'!$AH$2:$AH$33,1,FALSE),SUM(J469:M469)),0),SUM(J469:M469))),IF('חד גזעי'!$AM$5="כן",IF(_xlfn.IFNA(VLOOKUP(C469,'חד גזעי'!$AH$2:$AH$33,1,FALSE),SUM(J469:M469))&lt;21,_xlfn.IFNA(VLOOKUP(C469,'חד גזעי'!$AH$2:$AH$33,1,FALSE),SUM(J469:M469)),0),SUM(J469:M469)))</f>
        <v>#N/A</v>
      </c>
      <c r="O469" s="72">
        <f>IF('חד גזעי'!$AM$3 = "כן",IF(T469&gt;4,4,T469),T469)</f>
        <v>0</v>
      </c>
      <c r="P469" s="80">
        <f>IF(E469&lt;2,0,IF(Z469&gt;0,Z469,IF(N469 = 0,0,IF('חד גזעי'!$AM$2 = "לא",IF(F469&gt;19,W469,0),IF(F469&gt;9,Y469,0)))))</f>
        <v>0</v>
      </c>
      <c r="Q469" s="77"/>
      <c r="R469" s="75"/>
      <c r="S469" t="e">
        <f>VLOOKUP(C469,'חד גזעי'!$Y$4:$Y$18,1,0)</f>
        <v>#N/A</v>
      </c>
      <c r="T469" s="72">
        <f>IF('חד גזעי'!$AM$6="לא",IF(P469=0,IF(BC469="שימור",IF('חד גזעי'!$AM$4="לא",IF(BC469="לא בוגר",0,IF(BC469="לא קיים",0,IF(J469=0,0,I469*0.1))),IF(BC469="לא בוגר",0,IF(BC469="לא קיים",0,IF(AB469=1,I469*0.1,E469*0.5)))),0),IF('חד גזעי'!$AM$4="לא",IF(BC469="לא בוגר",0,IF(BC469="לא קיים",0,IF(J469=0,0,I469*0.1))),IF(BC469="לא בוגר",0,IF(BC469="לא קיים",0,IF(AB469=1,I469*0.1,E469*0.5))))),IF(P469=0,IF(BC469="שימור",IF('חד גזעי'!$AM$4="לא",IF(BC469="לא בוגר",0,IF(BC469="לא קיים",0,IF(J469=0,0,I469*0.15))),IF(BC469="לא בוגר",0,IF(BC469="לא קיים",0,IF(AB469=1,I469*0.15,E469*0.5)))),0),IF('חד גזעי'!$AM$4="לא",IF(BC469="לא בוגר",0,IF(BC469="לא קיים",0,IF(J469=0,0,I469*0.15))),IF(BC469="לא בוגר",0,IF(BC469="לא קיים",0,IF(AB469=1,I469*0.15,E469*0.5))))))</f>
        <v>0</v>
      </c>
      <c r="V469" t="e">
        <f t="shared" si="481"/>
        <v>#N/A</v>
      </c>
      <c r="W469" t="e">
        <f t="shared" si="482"/>
        <v>#N/A</v>
      </c>
      <c r="X469" t="e">
        <f t="shared" si="483"/>
        <v>#N/A</v>
      </c>
      <c r="Y469">
        <f>IF('חד גזעי'!$AM$2 = "לא",0,IF(F469&gt;9,W469,0))</f>
        <v>0</v>
      </c>
      <c r="Z469">
        <f>IF('חד גזעי'!$AM$7 = "לא",0,IF(C469 = "זית אירופי",IF('חד גזעי'!$AN$7 &lt;=סקר!F469,W469,0),IF(C469 = "חרוב מצוי",IF('חד גזעי'!$AN$7 &lt;=סקר!F469,W469,0),0)))</f>
        <v>0</v>
      </c>
      <c r="AB469">
        <f t="shared" si="498"/>
        <v>1</v>
      </c>
      <c r="AC469" s="72"/>
      <c r="AD469" t="e">
        <f t="shared" si="516"/>
        <v>#N/A</v>
      </c>
      <c r="AE469" s="72"/>
      <c r="AF469" s="72" t="e">
        <f t="shared" si="499"/>
        <v>#N/A</v>
      </c>
      <c r="AG469" s="72" t="e">
        <f>IF('חד גזעי'!$AM$5="לא",(VLOOKUP(C469,'חד גזעי'!$P$1:$S$589,3,FALSE)),(VLOOKUP(C469,'חד גזעי'!$P$1:$S$589,4,FALSE)))</f>
        <v>#N/A</v>
      </c>
      <c r="AH469" s="72">
        <f t="shared" si="500"/>
        <v>0</v>
      </c>
      <c r="AI469" s="72">
        <f t="shared" si="501"/>
        <v>0</v>
      </c>
      <c r="AJ469" s="72">
        <f t="shared" si="502"/>
        <v>0</v>
      </c>
      <c r="AK469" s="72" t="e">
        <f t="shared" si="503"/>
        <v>#N/A</v>
      </c>
      <c r="AL469" t="e">
        <f>VLOOKUP(C469,'חד גזעי'!$AH$8:$AI$33,2,FALSE)</f>
        <v>#N/A</v>
      </c>
      <c r="AM469" s="72" t="b">
        <f t="shared" si="504"/>
        <v>0</v>
      </c>
      <c r="AN469" s="72" t="b">
        <f t="shared" si="505"/>
        <v>0</v>
      </c>
      <c r="AO469" s="72" t="b">
        <f t="shared" si="506"/>
        <v>0</v>
      </c>
      <c r="AS469" s="72">
        <f t="shared" si="507"/>
        <v>0</v>
      </c>
      <c r="AT469" s="72">
        <f t="shared" si="508"/>
        <v>0</v>
      </c>
      <c r="AU469" s="72">
        <f t="shared" si="517"/>
        <v>0</v>
      </c>
      <c r="AV469" s="72">
        <f t="shared" si="509"/>
        <v>0</v>
      </c>
      <c r="AW469" s="72">
        <f t="shared" si="510"/>
        <v>0</v>
      </c>
      <c r="AX469" s="72">
        <f t="shared" si="511"/>
        <v>0</v>
      </c>
      <c r="AY469" s="72">
        <f t="shared" si="512"/>
        <v>0</v>
      </c>
      <c r="AZ469" s="72">
        <f t="shared" si="513"/>
        <v>0</v>
      </c>
      <c r="BA469" s="72" t="e">
        <f t="shared" si="514"/>
        <v>#N/A</v>
      </c>
      <c r="BB469" s="72" t="e">
        <f t="shared" si="515"/>
        <v>#N/A</v>
      </c>
      <c r="BC469" s="77"/>
      <c r="BE469">
        <f t="shared" si="495"/>
        <v>0</v>
      </c>
      <c r="BF469" s="196"/>
      <c r="BG469" s="196"/>
      <c r="BH469" s="196"/>
      <c r="BI469" s="196"/>
      <c r="BJ469" s="196"/>
      <c r="BK469" s="196"/>
    </row>
    <row r="470" spans="2:63" hidden="1">
      <c r="B470" s="72"/>
      <c r="C470" s="135"/>
      <c r="D470" s="73"/>
      <c r="E470" s="73"/>
      <c r="F470" s="72"/>
      <c r="G470" s="72"/>
      <c r="H470" s="72"/>
      <c r="I470" s="73">
        <f t="shared" si="497"/>
        <v>0</v>
      </c>
      <c r="J470" s="73"/>
      <c r="K470" s="73"/>
      <c r="L470" s="74" t="e">
        <f>_xlfn.IFNA(VLOOKUP(C470,'חד גזעי'!$U$3:$V$509,2,0),VLOOKUP(C470,'חד גזעי'!$U$3:$V$509,2))</f>
        <v>#N/A</v>
      </c>
      <c r="M470" s="73"/>
      <c r="N470" s="72" t="e">
        <f>_xlfn.IFNA(IF(VLOOKUP(C470,'חד גזעי'!$AH$2:$AH$7,1,FALSE)&gt;0,0,IF('חד גזעי'!$AM$5="כן",IF(_xlfn.IFNA(VLOOKUP(C470,'חד גזעי'!$AH$2:$AH$33,1,FALSE),SUM(J470:M470))&lt;21,_xlfn.IFNA(VLOOKUP(C470,'חד גזעי'!$AH$2:$AH$33,1,FALSE),SUM(J470:M470)),0),SUM(J470:M470))),IF('חד גזעי'!$AM$5="כן",IF(_xlfn.IFNA(VLOOKUP(C470,'חד גזעי'!$AH$2:$AH$33,1,FALSE),SUM(J470:M470))&lt;21,_xlfn.IFNA(VLOOKUP(C470,'חד גזעי'!$AH$2:$AH$33,1,FALSE),SUM(J470:M470)),0),SUM(J470:M470)))</f>
        <v>#N/A</v>
      </c>
      <c r="O470" s="72">
        <f>IF('חד גזעי'!$AM$3 = "כן",IF(T470&gt;4,4,T470),T470)</f>
        <v>0</v>
      </c>
      <c r="P470" s="80">
        <f>IF(E470&lt;2,0,IF(Z470&gt;0,Z470,IF(N470 = 0,0,IF('חד גזעי'!$AM$2 = "לא",IF(F470&gt;19,W470,0),IF(F470&gt;9,Y470,0)))))</f>
        <v>0</v>
      </c>
      <c r="Q470" s="77"/>
      <c r="R470" s="75"/>
      <c r="S470" t="e">
        <f>VLOOKUP(C470,'חד גזעי'!$Y$4:$Y$18,1,0)</f>
        <v>#N/A</v>
      </c>
      <c r="T470" s="72">
        <f>IF('חד גזעי'!$AM$6="לא",IF(P470=0,IF(BC470="שימור",IF('חד גזעי'!$AM$4="לא",IF(BC470="לא בוגר",0,IF(BC470="לא קיים",0,IF(J470=0,0,I470*0.1))),IF(BC470="לא בוגר",0,IF(BC470="לא קיים",0,IF(AB470=1,I470*0.1,E470*0.5)))),0),IF('חד גזעי'!$AM$4="לא",IF(BC470="לא בוגר",0,IF(BC470="לא קיים",0,IF(J470=0,0,I470*0.1))),IF(BC470="לא בוגר",0,IF(BC470="לא קיים",0,IF(AB470=1,I470*0.1,E470*0.5))))),IF(P470=0,IF(BC470="שימור",IF('חד גזעי'!$AM$4="לא",IF(BC470="לא בוגר",0,IF(BC470="לא קיים",0,IF(J470=0,0,I470*0.15))),IF(BC470="לא בוגר",0,IF(BC470="לא קיים",0,IF(AB470=1,I470*0.15,E470*0.5)))),0),IF('חד גזעי'!$AM$4="לא",IF(BC470="לא בוגר",0,IF(BC470="לא קיים",0,IF(J470=0,0,I470*0.15))),IF(BC470="לא בוגר",0,IF(BC470="לא קיים",0,IF(AB470=1,I470*0.15,E470*0.5))))))</f>
        <v>0</v>
      </c>
      <c r="V470" t="e">
        <f t="shared" si="481"/>
        <v>#N/A</v>
      </c>
      <c r="W470" t="e">
        <f t="shared" si="482"/>
        <v>#N/A</v>
      </c>
      <c r="X470" t="e">
        <f t="shared" si="483"/>
        <v>#N/A</v>
      </c>
      <c r="Y470">
        <f>IF('חד גזעי'!$AM$2 = "לא",0,IF(F470&gt;9,W470,0))</f>
        <v>0</v>
      </c>
      <c r="Z470">
        <f>IF('חד גזעי'!$AM$7 = "לא",0,IF(C470 = "זית אירופי",IF('חד גזעי'!$AN$7 &lt;=סקר!F470,W470,0),IF(C470 = "חרוב מצוי",IF('חד גזעי'!$AN$7 &lt;=סקר!F470,W470,0),0)))</f>
        <v>0</v>
      </c>
      <c r="AB470">
        <f t="shared" si="498"/>
        <v>1</v>
      </c>
      <c r="AC470" s="72"/>
      <c r="AD470" t="e">
        <f t="shared" si="516"/>
        <v>#N/A</v>
      </c>
      <c r="AE470" s="72"/>
      <c r="AF470" s="72" t="e">
        <f t="shared" si="499"/>
        <v>#N/A</v>
      </c>
      <c r="AG470" s="72" t="e">
        <f>IF('חד גזעי'!$AM$5="לא",(VLOOKUP(C470,'חד גזעי'!$P$1:$S$589,3,FALSE)),(VLOOKUP(C470,'חד גזעי'!$P$1:$S$589,4,FALSE)))</f>
        <v>#N/A</v>
      </c>
      <c r="AH470" s="72">
        <f t="shared" si="500"/>
        <v>0</v>
      </c>
      <c r="AI470" s="72">
        <f t="shared" si="501"/>
        <v>0</v>
      </c>
      <c r="AJ470" s="72">
        <f t="shared" si="502"/>
        <v>0</v>
      </c>
      <c r="AK470" s="72" t="e">
        <f t="shared" si="503"/>
        <v>#N/A</v>
      </c>
      <c r="AL470" t="e">
        <f>VLOOKUP(C470,'חד גזעי'!$AH$8:$AI$33,2,FALSE)</f>
        <v>#N/A</v>
      </c>
      <c r="AM470" s="72" t="b">
        <f t="shared" si="504"/>
        <v>0</v>
      </c>
      <c r="AN470" s="72" t="b">
        <f t="shared" si="505"/>
        <v>0</v>
      </c>
      <c r="AO470" s="72" t="b">
        <f t="shared" si="506"/>
        <v>0</v>
      </c>
      <c r="AS470" s="72">
        <f t="shared" si="507"/>
        <v>0</v>
      </c>
      <c r="AT470" s="72">
        <f t="shared" si="508"/>
        <v>0</v>
      </c>
      <c r="AU470" s="72">
        <f t="shared" si="517"/>
        <v>0</v>
      </c>
      <c r="AV470" s="72">
        <f t="shared" si="509"/>
        <v>0</v>
      </c>
      <c r="AW470" s="72">
        <f t="shared" si="510"/>
        <v>0</v>
      </c>
      <c r="AX470" s="72">
        <f t="shared" si="511"/>
        <v>0</v>
      </c>
      <c r="AY470" s="72">
        <f t="shared" si="512"/>
        <v>0</v>
      </c>
      <c r="AZ470" s="72">
        <f t="shared" si="513"/>
        <v>0</v>
      </c>
      <c r="BA470" s="72" t="e">
        <f t="shared" si="514"/>
        <v>#N/A</v>
      </c>
      <c r="BB470" s="72" t="e">
        <f t="shared" si="515"/>
        <v>#N/A</v>
      </c>
      <c r="BC470" s="77"/>
      <c r="BE470">
        <f t="shared" si="495"/>
        <v>0</v>
      </c>
      <c r="BF470" s="196"/>
      <c r="BG470" s="196"/>
      <c r="BH470" s="196"/>
      <c r="BI470" s="196"/>
      <c r="BJ470" s="196"/>
      <c r="BK470" s="196"/>
    </row>
    <row r="471" spans="2:63" hidden="1">
      <c r="B471" s="72"/>
      <c r="C471" s="135"/>
      <c r="D471" s="73"/>
      <c r="E471" s="73"/>
      <c r="F471" s="72"/>
      <c r="G471" s="72"/>
      <c r="H471" s="72"/>
      <c r="I471" s="73">
        <f t="shared" si="497"/>
        <v>0</v>
      </c>
      <c r="J471" s="73"/>
      <c r="K471" s="73"/>
      <c r="L471" s="74" t="e">
        <f>_xlfn.IFNA(VLOOKUP(C471,'חד גזעי'!$U$3:$V$509,2,0),VLOOKUP(C471,'חד גזעי'!$U$3:$V$509,2))</f>
        <v>#N/A</v>
      </c>
      <c r="M471" s="73"/>
      <c r="N471" s="72" t="e">
        <f>_xlfn.IFNA(IF(VLOOKUP(C471,'חד גזעי'!$AH$2:$AH$7,1,FALSE)&gt;0,0,IF('חד גזעי'!$AM$5="כן",IF(_xlfn.IFNA(VLOOKUP(C471,'חד גזעי'!$AH$2:$AH$33,1,FALSE),SUM(J471:M471))&lt;21,_xlfn.IFNA(VLOOKUP(C471,'חד גזעי'!$AH$2:$AH$33,1,FALSE),SUM(J471:M471)),0),SUM(J471:M471))),IF('חד גזעי'!$AM$5="כן",IF(_xlfn.IFNA(VLOOKUP(C471,'חד גזעי'!$AH$2:$AH$33,1,FALSE),SUM(J471:M471))&lt;21,_xlfn.IFNA(VLOOKUP(C471,'חד גזעי'!$AH$2:$AH$33,1,FALSE),SUM(J471:M471)),0),SUM(J471:M471)))</f>
        <v>#N/A</v>
      </c>
      <c r="O471" s="72">
        <f>IF('חד גזעי'!$AM$3 = "כן",IF(T471&gt;4,4,T471),T471)</f>
        <v>0</v>
      </c>
      <c r="P471" s="80">
        <f>IF(E471&lt;2,0,IF(Z471&gt;0,Z471,IF(N471 = 0,0,IF('חד גזעי'!$AM$2 = "לא",IF(F471&gt;19,W471,0),IF(F471&gt;9,Y471,0)))))</f>
        <v>0</v>
      </c>
      <c r="Q471" s="77"/>
      <c r="R471" s="75"/>
      <c r="S471" t="e">
        <f>VLOOKUP(C471,'חד גזעי'!$Y$4:$Y$18,1,0)</f>
        <v>#N/A</v>
      </c>
      <c r="T471" s="72">
        <f>IF('חד גזעי'!$AM$6="לא",IF(P471=0,IF(BC471="שימור",IF('חד גזעי'!$AM$4="לא",IF(BC471="לא בוגר",0,IF(BC471="לא קיים",0,IF(J471=0,0,I471*0.1))),IF(BC471="לא בוגר",0,IF(BC471="לא קיים",0,IF(AB471=1,I471*0.1,E471*0.5)))),0),IF('חד גזעי'!$AM$4="לא",IF(BC471="לא בוגר",0,IF(BC471="לא קיים",0,IF(J471=0,0,I471*0.1))),IF(BC471="לא בוגר",0,IF(BC471="לא קיים",0,IF(AB471=1,I471*0.1,E471*0.5))))),IF(P471=0,IF(BC471="שימור",IF('חד גזעי'!$AM$4="לא",IF(BC471="לא בוגר",0,IF(BC471="לא קיים",0,IF(J471=0,0,I471*0.15))),IF(BC471="לא בוגר",0,IF(BC471="לא קיים",0,IF(AB471=1,I471*0.15,E471*0.5)))),0),IF('חד גזעי'!$AM$4="לא",IF(BC471="לא בוגר",0,IF(BC471="לא קיים",0,IF(J471=0,0,I471*0.15))),IF(BC471="לא בוגר",0,IF(BC471="לא קיים",0,IF(AB471=1,I471*0.15,E471*0.5))))))</f>
        <v>0</v>
      </c>
      <c r="V471" t="e">
        <f t="shared" si="481"/>
        <v>#N/A</v>
      </c>
      <c r="W471" t="e">
        <f t="shared" si="482"/>
        <v>#N/A</v>
      </c>
      <c r="X471" t="e">
        <f t="shared" si="483"/>
        <v>#N/A</v>
      </c>
      <c r="Y471">
        <f>IF('חד גזעי'!$AM$2 = "לא",0,IF(F471&gt;9,W471,0))</f>
        <v>0</v>
      </c>
      <c r="Z471">
        <f>IF('חד גזעי'!$AM$7 = "לא",0,IF(C471 = "זית אירופי",IF('חד גזעי'!$AN$7 &lt;=סקר!F471,W471,0),IF(C471 = "חרוב מצוי",IF('חד גזעי'!$AN$7 &lt;=סקר!F471,W471,0),0)))</f>
        <v>0</v>
      </c>
      <c r="AB471">
        <f t="shared" si="498"/>
        <v>1</v>
      </c>
      <c r="AC471" s="72"/>
      <c r="AD471" t="e">
        <f t="shared" si="516"/>
        <v>#N/A</v>
      </c>
      <c r="AE471" s="72"/>
      <c r="AF471" s="72" t="e">
        <f t="shared" si="499"/>
        <v>#N/A</v>
      </c>
      <c r="AG471" s="72" t="e">
        <f>IF('חד גזעי'!$AM$5="לא",(VLOOKUP(C471,'חד גזעי'!$P$1:$S$589,3,FALSE)),(VLOOKUP(C471,'חד גזעי'!$P$1:$S$589,4,FALSE)))</f>
        <v>#N/A</v>
      </c>
      <c r="AH471" s="72">
        <f t="shared" si="500"/>
        <v>0</v>
      </c>
      <c r="AI471" s="72">
        <f t="shared" si="501"/>
        <v>0</v>
      </c>
      <c r="AJ471" s="72">
        <f t="shared" si="502"/>
        <v>0</v>
      </c>
      <c r="AK471" s="72" t="e">
        <f t="shared" si="503"/>
        <v>#N/A</v>
      </c>
      <c r="AL471" t="e">
        <f>VLOOKUP(C471,'חד גזעי'!$AH$8:$AI$33,2,FALSE)</f>
        <v>#N/A</v>
      </c>
      <c r="AM471" s="72" t="b">
        <f t="shared" si="504"/>
        <v>0</v>
      </c>
      <c r="AN471" s="72" t="b">
        <f t="shared" si="505"/>
        <v>0</v>
      </c>
      <c r="AO471" s="72" t="b">
        <f t="shared" si="506"/>
        <v>0</v>
      </c>
      <c r="AS471" s="72">
        <f t="shared" si="507"/>
        <v>0</v>
      </c>
      <c r="AT471" s="72">
        <f t="shared" si="508"/>
        <v>0</v>
      </c>
      <c r="AU471" s="72">
        <f t="shared" si="517"/>
        <v>0</v>
      </c>
      <c r="AV471" s="72">
        <f t="shared" si="509"/>
        <v>0</v>
      </c>
      <c r="AW471" s="72">
        <f t="shared" si="510"/>
        <v>0</v>
      </c>
      <c r="AX471" s="72">
        <f t="shared" si="511"/>
        <v>0</v>
      </c>
      <c r="AY471" s="72">
        <f t="shared" si="512"/>
        <v>0</v>
      </c>
      <c r="AZ471" s="72">
        <f t="shared" si="513"/>
        <v>0</v>
      </c>
      <c r="BA471" s="72" t="e">
        <f t="shared" si="514"/>
        <v>#N/A</v>
      </c>
      <c r="BB471" s="72" t="e">
        <f t="shared" si="515"/>
        <v>#N/A</v>
      </c>
      <c r="BC471" s="77"/>
      <c r="BE471">
        <f t="shared" si="495"/>
        <v>0</v>
      </c>
      <c r="BF471" s="196"/>
      <c r="BG471" s="196"/>
      <c r="BH471" s="196"/>
      <c r="BI471" s="196"/>
      <c r="BJ471" s="196"/>
      <c r="BK471" s="196"/>
    </row>
    <row r="472" spans="2:63" hidden="1">
      <c r="B472" s="72"/>
      <c r="C472" s="135"/>
      <c r="D472" s="78"/>
      <c r="E472" s="73"/>
      <c r="F472" s="72"/>
      <c r="G472" s="72"/>
      <c r="H472" s="72"/>
      <c r="I472" s="73">
        <f t="shared" si="497"/>
        <v>0</v>
      </c>
      <c r="J472" s="78"/>
      <c r="K472" s="73"/>
      <c r="L472" s="74" t="e">
        <f>_xlfn.IFNA(VLOOKUP(C472,'חד גזעי'!$U$3:$V$509,2,0),VLOOKUP(C472,'חד גזעי'!$U$3:$V$509,2))</f>
        <v>#N/A</v>
      </c>
      <c r="M472" s="73"/>
      <c r="N472" s="72" t="e">
        <f>_xlfn.IFNA(IF(VLOOKUP(C472,'חד גזעי'!$AH$2:$AH$7,1,FALSE)&gt;0,0,IF('חד גזעי'!$AM$5="כן",IF(_xlfn.IFNA(VLOOKUP(C472,'חד גזעי'!$AH$2:$AH$33,1,FALSE),SUM(J472:M472))&lt;21,_xlfn.IFNA(VLOOKUP(C472,'חד גזעי'!$AH$2:$AH$33,1,FALSE),SUM(J472:M472)),0),SUM(J472:M472))),IF('חד גזעי'!$AM$5="כן",IF(_xlfn.IFNA(VLOOKUP(C472,'חד גזעי'!$AH$2:$AH$33,1,FALSE),SUM(J472:M472))&lt;21,_xlfn.IFNA(VLOOKUP(C472,'חד גזעי'!$AH$2:$AH$33,1,FALSE),SUM(J472:M472)),0),SUM(J472:M472)))</f>
        <v>#N/A</v>
      </c>
      <c r="O472" s="72">
        <f>IF('חד גזעי'!$AM$3 = "כן",IF(T472&gt;4,4,T472),T472)</f>
        <v>0</v>
      </c>
      <c r="P472" s="80">
        <f>IF(E472&lt;2,0,IF(Z472&gt;0,Z472,IF(N472 = 0,0,IF('חד גזעי'!$AM$2 = "לא",IF(F472&gt;19,W472,0),IF(F472&gt;9,Y472,0)))))</f>
        <v>0</v>
      </c>
      <c r="Q472" s="77"/>
      <c r="R472" s="75"/>
      <c r="S472" t="e">
        <f>VLOOKUP(C472,'חד גזעי'!$Y$4:$Y$18,1,0)</f>
        <v>#N/A</v>
      </c>
      <c r="T472" s="72">
        <f>IF('חד גזעי'!$AM$6="לא",IF(P472=0,IF(BC472="שימור",IF('חד גזעי'!$AM$4="לא",IF(BC472="לא בוגר",0,IF(BC472="לא קיים",0,IF(J472=0,0,I472*0.1))),IF(BC472="לא בוגר",0,IF(BC472="לא קיים",0,IF(AB472=1,I472*0.1,E472*0.5)))),0),IF('חד גזעי'!$AM$4="לא",IF(BC472="לא בוגר",0,IF(BC472="לא קיים",0,IF(J472=0,0,I472*0.1))),IF(BC472="לא בוגר",0,IF(BC472="לא קיים",0,IF(AB472=1,I472*0.1,E472*0.5))))),IF(P472=0,IF(BC472="שימור",IF('חד גזעי'!$AM$4="לא",IF(BC472="לא בוגר",0,IF(BC472="לא קיים",0,IF(J472=0,0,I472*0.15))),IF(BC472="לא בוגר",0,IF(BC472="לא קיים",0,IF(AB472=1,I472*0.15,E472*0.5)))),0),IF('חד גזעי'!$AM$4="לא",IF(BC472="לא בוגר",0,IF(BC472="לא קיים",0,IF(J472=0,0,I472*0.15))),IF(BC472="לא בוגר",0,IF(BC472="לא קיים",0,IF(AB472=1,I472*0.15,E472*0.5))))))</f>
        <v>0</v>
      </c>
      <c r="V472" t="e">
        <f t="shared" si="481"/>
        <v>#N/A</v>
      </c>
      <c r="W472" t="e">
        <f t="shared" si="482"/>
        <v>#N/A</v>
      </c>
      <c r="X472" t="e">
        <f t="shared" si="483"/>
        <v>#N/A</v>
      </c>
      <c r="Y472">
        <f>IF('חד גזעי'!$AM$2 = "לא",0,IF(F472&gt;9,W472,0))</f>
        <v>0</v>
      </c>
      <c r="Z472">
        <f>IF('חד גזעי'!$AM$7 = "לא",0,IF(C472 = "זית אירופי",IF('חד גזעי'!$AN$7 &lt;=סקר!F472,W472,0),IF(C472 = "חרוב מצוי",IF('חד גזעי'!$AN$7 &lt;=סקר!F472,W472,0),0)))</f>
        <v>0</v>
      </c>
      <c r="AB472">
        <f t="shared" si="498"/>
        <v>1</v>
      </c>
      <c r="AC472" s="72"/>
      <c r="AD472" t="e">
        <f t="shared" si="516"/>
        <v>#N/A</v>
      </c>
      <c r="AE472" s="72"/>
      <c r="AF472" s="72" t="e">
        <f t="shared" si="499"/>
        <v>#N/A</v>
      </c>
      <c r="AG472" s="72" t="e">
        <f>IF('חד גזעי'!$AM$5="לא",(VLOOKUP(C472,'חד גזעי'!$P$1:$S$589,3,FALSE)),(VLOOKUP(C472,'חד גזעי'!$P$1:$S$589,4,FALSE)))</f>
        <v>#N/A</v>
      </c>
      <c r="AH472" s="72">
        <f t="shared" si="500"/>
        <v>0</v>
      </c>
      <c r="AI472" s="72">
        <f t="shared" si="501"/>
        <v>0</v>
      </c>
      <c r="AJ472" s="72">
        <f t="shared" si="502"/>
        <v>0</v>
      </c>
      <c r="AK472" s="72" t="e">
        <f t="shared" si="503"/>
        <v>#N/A</v>
      </c>
      <c r="AL472" t="e">
        <f>VLOOKUP(C472,'חד גזעי'!$AH$8:$AI$33,2,FALSE)</f>
        <v>#N/A</v>
      </c>
      <c r="AM472" s="72" t="b">
        <f t="shared" si="504"/>
        <v>0</v>
      </c>
      <c r="AN472" s="72" t="b">
        <f t="shared" si="505"/>
        <v>0</v>
      </c>
      <c r="AO472" s="72" t="b">
        <f t="shared" si="506"/>
        <v>0</v>
      </c>
      <c r="AS472" s="72">
        <f t="shared" si="507"/>
        <v>0</v>
      </c>
      <c r="AT472" s="72">
        <f t="shared" si="508"/>
        <v>0</v>
      </c>
      <c r="AU472" s="72">
        <f t="shared" si="517"/>
        <v>0</v>
      </c>
      <c r="AV472" s="72">
        <f t="shared" si="509"/>
        <v>0</v>
      </c>
      <c r="AW472" s="72">
        <f t="shared" si="510"/>
        <v>0</v>
      </c>
      <c r="AX472" s="72">
        <f t="shared" si="511"/>
        <v>0</v>
      </c>
      <c r="AY472" s="72">
        <f t="shared" si="512"/>
        <v>0</v>
      </c>
      <c r="AZ472" s="72">
        <f t="shared" si="513"/>
        <v>0</v>
      </c>
      <c r="BA472" s="72" t="e">
        <f t="shared" si="514"/>
        <v>#N/A</v>
      </c>
      <c r="BB472" s="72" t="e">
        <f t="shared" si="515"/>
        <v>#N/A</v>
      </c>
      <c r="BC472" s="77"/>
      <c r="BE472">
        <f t="shared" si="495"/>
        <v>0</v>
      </c>
      <c r="BF472" s="196"/>
      <c r="BG472" s="196"/>
      <c r="BH472" s="196"/>
      <c r="BI472" s="196"/>
      <c r="BJ472" s="196"/>
      <c r="BK472" s="196"/>
    </row>
    <row r="473" spans="2:63" hidden="1">
      <c r="B473" s="72"/>
      <c r="C473" s="135"/>
      <c r="D473" s="78"/>
      <c r="E473" s="73"/>
      <c r="F473" s="72"/>
      <c r="G473" s="72"/>
      <c r="H473" s="72"/>
      <c r="I473" s="73">
        <f t="shared" si="497"/>
        <v>0</v>
      </c>
      <c r="J473" s="78"/>
      <c r="K473" s="73"/>
      <c r="L473" s="74" t="e">
        <f>_xlfn.IFNA(VLOOKUP(C473,'חד גזעי'!$U$3:$V$509,2,0),VLOOKUP(C473,'חד גזעי'!$U$3:$V$509,2))</f>
        <v>#N/A</v>
      </c>
      <c r="M473" s="73"/>
      <c r="N473" s="72" t="e">
        <f>_xlfn.IFNA(IF(VLOOKUP(C473,'חד גזעי'!$AH$2:$AH$7,1,FALSE)&gt;0,0,IF('חד גזעי'!$AM$5="כן",IF(_xlfn.IFNA(VLOOKUP(C473,'חד גזעי'!$AH$2:$AH$33,1,FALSE),SUM(J473:M473))&lt;21,_xlfn.IFNA(VLOOKUP(C473,'חד גזעי'!$AH$2:$AH$33,1,FALSE),SUM(J473:M473)),0),SUM(J473:M473))),IF('חד גזעי'!$AM$5="כן",IF(_xlfn.IFNA(VLOOKUP(C473,'חד גזעי'!$AH$2:$AH$33,1,FALSE),SUM(J473:M473))&lt;21,_xlfn.IFNA(VLOOKUP(C473,'חד גזעי'!$AH$2:$AH$33,1,FALSE),SUM(J473:M473)),0),SUM(J473:M473)))</f>
        <v>#N/A</v>
      </c>
      <c r="O473" s="72">
        <f>IF('חד גזעי'!$AM$3 = "כן",IF(T473&gt;4,4,T473),T473)</f>
        <v>0</v>
      </c>
      <c r="P473" s="80">
        <f>IF(E473&lt;2,0,IF(Z473&gt;0,Z473,IF(N473 = 0,0,IF('חד גזעי'!$AM$2 = "לא",IF(F473&gt;19,W473,0),IF(F473&gt;9,Y473,0)))))</f>
        <v>0</v>
      </c>
      <c r="Q473" s="77"/>
      <c r="R473" s="75"/>
      <c r="S473" t="e">
        <f>VLOOKUP(C473,'חד גזעי'!$Y$4:$Y$18,1,0)</f>
        <v>#N/A</v>
      </c>
      <c r="T473" s="72">
        <f>IF('חד גזעי'!$AM$6="לא",IF(P473=0,IF(BC473="שימור",IF('חד גזעי'!$AM$4="לא",IF(BC473="לא בוגר",0,IF(BC473="לא קיים",0,IF(J473=0,0,I473*0.1))),IF(BC473="לא בוגר",0,IF(BC473="לא קיים",0,IF(AB473=1,I473*0.1,E473*0.5)))),0),IF('חד גזעי'!$AM$4="לא",IF(BC473="לא בוגר",0,IF(BC473="לא קיים",0,IF(J473=0,0,I473*0.1))),IF(BC473="לא בוגר",0,IF(BC473="לא קיים",0,IF(AB473=1,I473*0.1,E473*0.5))))),IF(P473=0,IF(BC473="שימור",IF('חד גזעי'!$AM$4="לא",IF(BC473="לא בוגר",0,IF(BC473="לא קיים",0,IF(J473=0,0,I473*0.15))),IF(BC473="לא בוגר",0,IF(BC473="לא קיים",0,IF(AB473=1,I473*0.15,E473*0.5)))),0),IF('חד גזעי'!$AM$4="לא",IF(BC473="לא בוגר",0,IF(BC473="לא קיים",0,IF(J473=0,0,I473*0.15))),IF(BC473="לא בוגר",0,IF(BC473="לא קיים",0,IF(AB473=1,I473*0.15,E473*0.5))))))</f>
        <v>0</v>
      </c>
      <c r="V473" t="e">
        <f t="shared" si="481"/>
        <v>#N/A</v>
      </c>
      <c r="W473" t="e">
        <f t="shared" si="482"/>
        <v>#N/A</v>
      </c>
      <c r="X473" t="e">
        <f t="shared" si="483"/>
        <v>#N/A</v>
      </c>
      <c r="Y473">
        <f>IF('חד גזעי'!$AM$2 = "לא",0,IF(F473&gt;9,W473,0))</f>
        <v>0</v>
      </c>
      <c r="Z473">
        <f>IF('חד גזעי'!$AM$7 = "לא",0,IF(C473 = "זית אירופי",IF('חד גזעי'!$AN$7 &lt;=סקר!F473,W473,0),IF(C473 = "חרוב מצוי",IF('חד גזעי'!$AN$7 &lt;=סקר!F473,W473,0),0)))</f>
        <v>0</v>
      </c>
      <c r="AB473">
        <f t="shared" si="498"/>
        <v>1</v>
      </c>
      <c r="AC473" s="72"/>
      <c r="AD473" t="e">
        <f t="shared" si="516"/>
        <v>#N/A</v>
      </c>
      <c r="AE473" s="72"/>
      <c r="AF473" s="72" t="e">
        <f t="shared" si="499"/>
        <v>#N/A</v>
      </c>
      <c r="AG473" s="72" t="e">
        <f>IF('חד גזעי'!$AM$5="לא",(VLOOKUP(C473,'חד גזעי'!$P$1:$S$589,3,FALSE)),(VLOOKUP(C473,'חד גזעי'!$P$1:$S$589,4,FALSE)))</f>
        <v>#N/A</v>
      </c>
      <c r="AH473" s="72">
        <f t="shared" si="500"/>
        <v>0</v>
      </c>
      <c r="AI473" s="72">
        <f t="shared" si="501"/>
        <v>0</v>
      </c>
      <c r="AJ473" s="72">
        <f t="shared" si="502"/>
        <v>0</v>
      </c>
      <c r="AK473" s="72" t="e">
        <f t="shared" si="503"/>
        <v>#N/A</v>
      </c>
      <c r="AL473" t="e">
        <f>VLOOKUP(C473,'חד גזעי'!$AH$8:$AI$33,2,FALSE)</f>
        <v>#N/A</v>
      </c>
      <c r="AM473" s="72" t="b">
        <f t="shared" si="504"/>
        <v>0</v>
      </c>
      <c r="AN473" s="72" t="b">
        <f t="shared" si="505"/>
        <v>0</v>
      </c>
      <c r="AO473" s="72" t="b">
        <f t="shared" si="506"/>
        <v>0</v>
      </c>
      <c r="AS473" s="72">
        <f t="shared" si="507"/>
        <v>0</v>
      </c>
      <c r="AT473" s="72">
        <f t="shared" si="508"/>
        <v>0</v>
      </c>
      <c r="AU473" s="72">
        <f t="shared" si="517"/>
        <v>0</v>
      </c>
      <c r="AV473" s="72">
        <f t="shared" si="509"/>
        <v>0</v>
      </c>
      <c r="AW473" s="72">
        <f t="shared" si="510"/>
        <v>0</v>
      </c>
      <c r="AX473" s="72">
        <f t="shared" si="511"/>
        <v>0</v>
      </c>
      <c r="AY473" s="72">
        <f t="shared" si="512"/>
        <v>0</v>
      </c>
      <c r="AZ473" s="72">
        <f t="shared" si="513"/>
        <v>0</v>
      </c>
      <c r="BA473" s="72" t="e">
        <f t="shared" si="514"/>
        <v>#N/A</v>
      </c>
      <c r="BB473" s="72" t="e">
        <f t="shared" si="515"/>
        <v>#N/A</v>
      </c>
      <c r="BC473" s="77"/>
      <c r="BE473">
        <f t="shared" si="495"/>
        <v>0</v>
      </c>
      <c r="BF473" s="196"/>
      <c r="BG473" s="196"/>
      <c r="BH473" s="196"/>
      <c r="BI473" s="196"/>
      <c r="BJ473" s="196"/>
      <c r="BK473" s="196"/>
    </row>
    <row r="474" spans="2:63" hidden="1">
      <c r="B474" s="72"/>
      <c r="C474" s="135"/>
      <c r="D474" s="78"/>
      <c r="E474" s="73"/>
      <c r="F474" s="72"/>
      <c r="G474" s="72"/>
      <c r="H474" s="72"/>
      <c r="I474" s="73">
        <f t="shared" si="497"/>
        <v>0</v>
      </c>
      <c r="J474" s="78"/>
      <c r="K474" s="73"/>
      <c r="L474" s="74" t="e">
        <f>_xlfn.IFNA(VLOOKUP(C474,'חד גזעי'!$U$3:$V$509,2,0),VLOOKUP(C474,'חד גזעי'!$U$3:$V$509,2))</f>
        <v>#N/A</v>
      </c>
      <c r="M474" s="73"/>
      <c r="N474" s="72" t="e">
        <f>_xlfn.IFNA(IF(VLOOKUP(C474,'חד גזעי'!$AH$2:$AH$7,1,FALSE)&gt;0,0,IF('חד גזעי'!$AM$5="כן",IF(_xlfn.IFNA(VLOOKUP(C474,'חד גזעי'!$AH$2:$AH$33,1,FALSE),SUM(J474:M474))&lt;21,_xlfn.IFNA(VLOOKUP(C474,'חד גזעי'!$AH$2:$AH$33,1,FALSE),SUM(J474:M474)),0),SUM(J474:M474))),IF('חד גזעי'!$AM$5="כן",IF(_xlfn.IFNA(VLOOKUP(C474,'חד גזעי'!$AH$2:$AH$33,1,FALSE),SUM(J474:M474))&lt;21,_xlfn.IFNA(VLOOKUP(C474,'חד גזעי'!$AH$2:$AH$33,1,FALSE),SUM(J474:M474)),0),SUM(J474:M474)))</f>
        <v>#N/A</v>
      </c>
      <c r="O474" s="72">
        <f>IF('חד גזעי'!$AM$3 = "כן",IF(T474&gt;4,4,T474),T474)</f>
        <v>0</v>
      </c>
      <c r="P474" s="80">
        <f>IF(E474&lt;2,0,IF(Z474&gt;0,Z474,IF(N474 = 0,0,IF('חד גזעי'!$AM$2 = "לא",IF(F474&gt;19,W474,0),IF(F474&gt;9,Y474,0)))))</f>
        <v>0</v>
      </c>
      <c r="Q474" s="77"/>
      <c r="R474" s="75"/>
      <c r="S474" t="e">
        <f>VLOOKUP(C474,'חד גזעי'!$Y$4:$Y$18,1,0)</f>
        <v>#N/A</v>
      </c>
      <c r="T474" s="72">
        <f>IF('חד גזעי'!$AM$6="לא",IF(P474=0,IF(BC474="שימור",IF('חד גזעי'!$AM$4="לא",IF(BC474="לא בוגר",0,IF(BC474="לא קיים",0,IF(J474=0,0,I474*0.1))),IF(BC474="לא בוגר",0,IF(BC474="לא קיים",0,IF(AB474=1,I474*0.1,E474*0.5)))),0),IF('חד גזעי'!$AM$4="לא",IF(BC474="לא בוגר",0,IF(BC474="לא קיים",0,IF(J474=0,0,I474*0.1))),IF(BC474="לא בוגר",0,IF(BC474="לא קיים",0,IF(AB474=1,I474*0.1,E474*0.5))))),IF(P474=0,IF(BC474="שימור",IF('חד גזעי'!$AM$4="לא",IF(BC474="לא בוגר",0,IF(BC474="לא קיים",0,IF(J474=0,0,I474*0.15))),IF(BC474="לא בוגר",0,IF(BC474="לא קיים",0,IF(AB474=1,I474*0.15,E474*0.5)))),0),IF('חד גזעי'!$AM$4="לא",IF(BC474="לא בוגר",0,IF(BC474="לא קיים",0,IF(J474=0,0,I474*0.15))),IF(BC474="לא בוגר",0,IF(BC474="לא קיים",0,IF(AB474=1,I474*0.15,E474*0.5))))))</f>
        <v>0</v>
      </c>
      <c r="V474" t="e">
        <f t="shared" si="481"/>
        <v>#N/A</v>
      </c>
      <c r="W474" t="e">
        <f t="shared" si="482"/>
        <v>#N/A</v>
      </c>
      <c r="X474" t="e">
        <f t="shared" si="483"/>
        <v>#N/A</v>
      </c>
      <c r="Y474">
        <f>IF('חד גזעי'!$AM$2 = "לא",0,IF(F474&gt;9,W474,0))</f>
        <v>0</v>
      </c>
      <c r="Z474">
        <f>IF('חד גזעי'!$AM$7 = "לא",0,IF(C474 = "זית אירופי",IF('חד גזעי'!$AN$7 &lt;=סקר!F474,W474,0),IF(C474 = "חרוב מצוי",IF('חד גזעי'!$AN$7 &lt;=סקר!F474,W474,0),0)))</f>
        <v>0</v>
      </c>
      <c r="AB474">
        <f t="shared" si="498"/>
        <v>1</v>
      </c>
      <c r="AC474" s="72"/>
      <c r="AD474" t="e">
        <f t="shared" si="516"/>
        <v>#N/A</v>
      </c>
      <c r="AE474" s="72"/>
      <c r="AF474" s="72" t="e">
        <f t="shared" si="499"/>
        <v>#N/A</v>
      </c>
      <c r="AG474" s="72" t="e">
        <f>IF('חד גזעי'!$AM$5="לא",(VLOOKUP(C474,'חד גזעי'!$P$1:$S$589,3,FALSE)),(VLOOKUP(C474,'חד גזעי'!$P$1:$S$589,4,FALSE)))</f>
        <v>#N/A</v>
      </c>
      <c r="AH474" s="72">
        <f t="shared" si="500"/>
        <v>0</v>
      </c>
      <c r="AI474" s="72">
        <f t="shared" si="501"/>
        <v>0</v>
      </c>
      <c r="AJ474" s="72">
        <f t="shared" si="502"/>
        <v>0</v>
      </c>
      <c r="AK474" s="72" t="e">
        <f t="shared" si="503"/>
        <v>#N/A</v>
      </c>
      <c r="AL474" t="e">
        <f>VLOOKUP(C474,'חד גזעי'!$AH$8:$AI$33,2,FALSE)</f>
        <v>#N/A</v>
      </c>
      <c r="AM474" s="72" t="b">
        <f t="shared" si="504"/>
        <v>0</v>
      </c>
      <c r="AN474" s="72" t="b">
        <f t="shared" si="505"/>
        <v>0</v>
      </c>
      <c r="AO474" s="72" t="b">
        <f t="shared" si="506"/>
        <v>0</v>
      </c>
      <c r="AS474" s="72">
        <f t="shared" si="507"/>
        <v>0</v>
      </c>
      <c r="AT474" s="72">
        <f t="shared" si="508"/>
        <v>0</v>
      </c>
      <c r="AU474" s="72">
        <f t="shared" si="517"/>
        <v>0</v>
      </c>
      <c r="AV474" s="72">
        <f t="shared" si="509"/>
        <v>0</v>
      </c>
      <c r="AW474" s="72">
        <f t="shared" si="510"/>
        <v>0</v>
      </c>
      <c r="AX474" s="72">
        <f t="shared" si="511"/>
        <v>0</v>
      </c>
      <c r="AY474" s="72">
        <f t="shared" si="512"/>
        <v>0</v>
      </c>
      <c r="AZ474" s="72">
        <f t="shared" si="513"/>
        <v>0</v>
      </c>
      <c r="BA474" s="72" t="e">
        <f t="shared" si="514"/>
        <v>#N/A</v>
      </c>
      <c r="BB474" s="72" t="e">
        <f t="shared" si="515"/>
        <v>#N/A</v>
      </c>
      <c r="BC474" s="77"/>
      <c r="BE474">
        <f t="shared" si="495"/>
        <v>0</v>
      </c>
      <c r="BF474" s="196"/>
      <c r="BG474" s="196"/>
      <c r="BH474" s="196"/>
      <c r="BI474" s="196"/>
      <c r="BJ474" s="196"/>
      <c r="BK474" s="196"/>
    </row>
    <row r="475" spans="2:63" hidden="1">
      <c r="B475" s="72"/>
      <c r="C475" s="135"/>
      <c r="D475" s="78"/>
      <c r="E475" s="73"/>
      <c r="F475" s="72"/>
      <c r="G475" s="72"/>
      <c r="H475" s="72"/>
      <c r="I475" s="73">
        <f t="shared" si="497"/>
        <v>0</v>
      </c>
      <c r="J475" s="78"/>
      <c r="K475" s="73"/>
      <c r="L475" s="74" t="e">
        <f>_xlfn.IFNA(VLOOKUP(C475,'חד גזעי'!$U$3:$V$509,2,0),VLOOKUP(C475,'חד גזעי'!$U$3:$V$509,2))</f>
        <v>#N/A</v>
      </c>
      <c r="M475" s="73"/>
      <c r="N475" s="72" t="e">
        <f>_xlfn.IFNA(IF(VLOOKUP(C475,'חד גזעי'!$AH$2:$AH$7,1,FALSE)&gt;0,0,IF('חד גזעי'!$AM$5="כן",IF(_xlfn.IFNA(VLOOKUP(C475,'חד גזעי'!$AH$2:$AH$33,1,FALSE),SUM(J475:M475))&lt;21,_xlfn.IFNA(VLOOKUP(C475,'חד גזעי'!$AH$2:$AH$33,1,FALSE),SUM(J475:M475)),0),SUM(J475:M475))),IF('חד גזעי'!$AM$5="כן",IF(_xlfn.IFNA(VLOOKUP(C475,'חד גזעי'!$AH$2:$AH$33,1,FALSE),SUM(J475:M475))&lt;21,_xlfn.IFNA(VLOOKUP(C475,'חד גזעי'!$AH$2:$AH$33,1,FALSE),SUM(J475:M475)),0),SUM(J475:M475)))</f>
        <v>#N/A</v>
      </c>
      <c r="O475" s="72">
        <f>IF('חד גזעי'!$AM$3 = "כן",IF(T475&gt;4,4,T475),T475)</f>
        <v>0</v>
      </c>
      <c r="P475" s="80">
        <f>IF(E475&lt;2,0,IF(Z475&gt;0,Z475,IF(N475 = 0,0,IF('חד גזעי'!$AM$2 = "לא",IF(F475&gt;19,W475,0),IF(F475&gt;9,Y475,0)))))</f>
        <v>0</v>
      </c>
      <c r="Q475" s="77"/>
      <c r="R475" s="75"/>
      <c r="S475" t="e">
        <f>VLOOKUP(C475,'חד גזעי'!$Y$4:$Y$18,1,0)</f>
        <v>#N/A</v>
      </c>
      <c r="T475" s="72">
        <f>IF('חד גזעי'!$AM$6="לא",IF(P475=0,IF(BC475="שימור",IF('חד גזעי'!$AM$4="לא",IF(BC475="לא בוגר",0,IF(BC475="לא קיים",0,IF(J475=0,0,I475*0.1))),IF(BC475="לא בוגר",0,IF(BC475="לא קיים",0,IF(AB475=1,I475*0.1,E475*0.5)))),0),IF('חד גזעי'!$AM$4="לא",IF(BC475="לא בוגר",0,IF(BC475="לא קיים",0,IF(J475=0,0,I475*0.1))),IF(BC475="לא בוגר",0,IF(BC475="לא קיים",0,IF(AB475=1,I475*0.1,E475*0.5))))),IF(P475=0,IF(BC475="שימור",IF('חד גזעי'!$AM$4="לא",IF(BC475="לא בוגר",0,IF(BC475="לא קיים",0,IF(J475=0,0,I475*0.15))),IF(BC475="לא בוגר",0,IF(BC475="לא קיים",0,IF(AB475=1,I475*0.15,E475*0.5)))),0),IF('חד גזעי'!$AM$4="לא",IF(BC475="לא בוגר",0,IF(BC475="לא קיים",0,IF(J475=0,0,I475*0.15))),IF(BC475="לא בוגר",0,IF(BC475="לא קיים",0,IF(AB475=1,I475*0.15,E475*0.5))))))</f>
        <v>0</v>
      </c>
      <c r="V475" t="e">
        <f t="shared" si="481"/>
        <v>#N/A</v>
      </c>
      <c r="W475" t="e">
        <f t="shared" si="482"/>
        <v>#N/A</v>
      </c>
      <c r="X475" t="e">
        <f t="shared" si="483"/>
        <v>#N/A</v>
      </c>
      <c r="Y475">
        <f>IF('חד גזעי'!$AM$2 = "לא",0,IF(F475&gt;9,W475,0))</f>
        <v>0</v>
      </c>
      <c r="Z475">
        <f>IF('חד גזעי'!$AM$7 = "לא",0,IF(C475 = "זית אירופי",IF('חד גזעי'!$AN$7 &lt;=סקר!F475,W475,0),IF(C475 = "חרוב מצוי",IF('חד גזעי'!$AN$7 &lt;=סקר!F475,W475,0),0)))</f>
        <v>0</v>
      </c>
      <c r="AB475">
        <f t="shared" si="498"/>
        <v>1</v>
      </c>
      <c r="AC475" s="72"/>
      <c r="AD475" t="e">
        <f t="shared" si="516"/>
        <v>#N/A</v>
      </c>
      <c r="AE475" s="72"/>
      <c r="AF475" s="72" t="e">
        <f t="shared" si="499"/>
        <v>#N/A</v>
      </c>
      <c r="AG475" s="72" t="e">
        <f>IF('חד גזעי'!$AM$5="לא",(VLOOKUP(C475,'חד גזעי'!$P$1:$S$589,3,FALSE)),(VLOOKUP(C475,'חד גזעי'!$P$1:$S$589,4,FALSE)))</f>
        <v>#N/A</v>
      </c>
      <c r="AH475" s="72">
        <f t="shared" si="500"/>
        <v>0</v>
      </c>
      <c r="AI475" s="72">
        <f t="shared" si="501"/>
        <v>0</v>
      </c>
      <c r="AJ475" s="72">
        <f t="shared" si="502"/>
        <v>0</v>
      </c>
      <c r="AK475" s="72" t="e">
        <f t="shared" si="503"/>
        <v>#N/A</v>
      </c>
      <c r="AL475" t="e">
        <f>VLOOKUP(C475,'חד גזעי'!$AH$8:$AI$33,2,FALSE)</f>
        <v>#N/A</v>
      </c>
      <c r="AM475" s="72" t="b">
        <f t="shared" si="504"/>
        <v>0</v>
      </c>
      <c r="AN475" s="72" t="b">
        <f t="shared" si="505"/>
        <v>0</v>
      </c>
      <c r="AO475" s="72" t="b">
        <f t="shared" si="506"/>
        <v>0</v>
      </c>
      <c r="AS475" s="72">
        <f t="shared" si="507"/>
        <v>0</v>
      </c>
      <c r="AT475" s="72">
        <f t="shared" si="508"/>
        <v>0</v>
      </c>
      <c r="AU475" s="72">
        <f t="shared" si="517"/>
        <v>0</v>
      </c>
      <c r="AV475" s="72">
        <f t="shared" si="509"/>
        <v>0</v>
      </c>
      <c r="AW475" s="72">
        <f t="shared" si="510"/>
        <v>0</v>
      </c>
      <c r="AX475" s="72">
        <f t="shared" si="511"/>
        <v>0</v>
      </c>
      <c r="AY475" s="72">
        <f t="shared" si="512"/>
        <v>0</v>
      </c>
      <c r="AZ475" s="72">
        <f t="shared" si="513"/>
        <v>0</v>
      </c>
      <c r="BA475" s="72" t="e">
        <f t="shared" si="514"/>
        <v>#N/A</v>
      </c>
      <c r="BB475" s="72" t="e">
        <f t="shared" si="515"/>
        <v>#N/A</v>
      </c>
      <c r="BC475" s="77"/>
      <c r="BE475">
        <f t="shared" si="495"/>
        <v>0</v>
      </c>
      <c r="BF475" s="196"/>
      <c r="BG475" s="196"/>
      <c r="BH475" s="196"/>
      <c r="BI475" s="196"/>
      <c r="BJ475" s="196"/>
      <c r="BK475" s="196"/>
    </row>
    <row r="476" spans="2:63" hidden="1">
      <c r="B476" s="72"/>
      <c r="C476" s="135"/>
      <c r="D476" s="78"/>
      <c r="E476" s="78"/>
      <c r="F476" s="72"/>
      <c r="G476" s="72"/>
      <c r="H476" s="72"/>
      <c r="I476" s="73">
        <f t="shared" si="497"/>
        <v>0</v>
      </c>
      <c r="J476" s="78"/>
      <c r="K476" s="73"/>
      <c r="L476" s="74" t="e">
        <f>_xlfn.IFNA(VLOOKUP(C476,'חד גזעי'!$U$3:$V$509,2,0),VLOOKUP(C476,'חד גזעי'!$U$3:$V$509,2))</f>
        <v>#N/A</v>
      </c>
      <c r="M476" s="73"/>
      <c r="N476" s="72" t="e">
        <f>_xlfn.IFNA(IF(VLOOKUP(C476,'חד גזעי'!$AH$2:$AH$7,1,FALSE)&gt;0,0,IF('חד גזעי'!$AM$5="כן",IF(_xlfn.IFNA(VLOOKUP(C476,'חד גזעי'!$AH$2:$AH$33,1,FALSE),SUM(J476:M476))&lt;21,_xlfn.IFNA(VLOOKUP(C476,'חד גזעי'!$AH$2:$AH$33,1,FALSE),SUM(J476:M476)),0),SUM(J476:M476))),IF('חד גזעי'!$AM$5="כן",IF(_xlfn.IFNA(VLOOKUP(C476,'חד גזעי'!$AH$2:$AH$33,1,FALSE),SUM(J476:M476))&lt;21,_xlfn.IFNA(VLOOKUP(C476,'חד גזעי'!$AH$2:$AH$33,1,FALSE),SUM(J476:M476)),0),SUM(J476:M476)))</f>
        <v>#N/A</v>
      </c>
      <c r="O476" s="72">
        <f>IF('חד גזעי'!$AM$3 = "כן",IF(T476&gt;4,4,T476),T476)</f>
        <v>0</v>
      </c>
      <c r="P476" s="80">
        <f>IF(E476&lt;2,0,IF(Z476&gt;0,Z476,IF(N476 = 0,0,IF('חד גזעי'!$AM$2 = "לא",IF(F476&gt;19,W476,0),IF(F476&gt;9,Y476,0)))))</f>
        <v>0</v>
      </c>
      <c r="Q476" s="77"/>
      <c r="R476" s="75"/>
      <c r="S476" t="e">
        <f>VLOOKUP(C476,'חד גזעי'!$Y$4:$Y$18,1,0)</f>
        <v>#N/A</v>
      </c>
      <c r="T476" s="72">
        <f>IF('חד גזעי'!$AM$6="לא",IF(P476=0,IF(BC476="שימור",IF('חד גזעי'!$AM$4="לא",IF(BC476="לא בוגר",0,IF(BC476="לא קיים",0,IF(J476=0,0,I476*0.1))),IF(BC476="לא בוגר",0,IF(BC476="לא קיים",0,IF(AB476=1,I476*0.1,E476*0.5)))),0),IF('חד גזעי'!$AM$4="לא",IF(BC476="לא בוגר",0,IF(BC476="לא קיים",0,IF(J476=0,0,I476*0.1))),IF(BC476="לא בוגר",0,IF(BC476="לא קיים",0,IF(AB476=1,I476*0.1,E476*0.5))))),IF(P476=0,IF(BC476="שימור",IF('חד גזעי'!$AM$4="לא",IF(BC476="לא בוגר",0,IF(BC476="לא קיים",0,IF(J476=0,0,I476*0.15))),IF(BC476="לא בוגר",0,IF(BC476="לא קיים",0,IF(AB476=1,I476*0.15,E476*0.5)))),0),IF('חד גזעי'!$AM$4="לא",IF(BC476="לא בוגר",0,IF(BC476="לא קיים",0,IF(J476=0,0,I476*0.15))),IF(BC476="לא בוגר",0,IF(BC476="לא קיים",0,IF(AB476=1,I476*0.15,E476*0.5))))))</f>
        <v>0</v>
      </c>
      <c r="V476" t="e">
        <f t="shared" si="481"/>
        <v>#N/A</v>
      </c>
      <c r="W476" t="e">
        <f t="shared" si="482"/>
        <v>#N/A</v>
      </c>
      <c r="X476" t="e">
        <f t="shared" si="483"/>
        <v>#N/A</v>
      </c>
      <c r="Y476">
        <f>IF('חד גזעי'!$AM$2 = "לא",0,IF(F476&gt;9,W476,0))</f>
        <v>0</v>
      </c>
      <c r="Z476">
        <f>IF('חד גזעי'!$AM$7 = "לא",0,IF(C476 = "זית אירופי",IF('חד גזעי'!$AN$7 &lt;=סקר!F476,W476,0),IF(C476 = "חרוב מצוי",IF('חד גזעי'!$AN$7 &lt;=סקר!F476,W476,0),0)))</f>
        <v>0</v>
      </c>
      <c r="AB476">
        <f t="shared" si="498"/>
        <v>1</v>
      </c>
      <c r="AC476" s="72"/>
      <c r="AD476" t="e">
        <f t="shared" si="516"/>
        <v>#N/A</v>
      </c>
      <c r="AE476" s="72"/>
      <c r="AF476" s="72" t="e">
        <f t="shared" si="499"/>
        <v>#N/A</v>
      </c>
      <c r="AG476" s="72" t="e">
        <f>IF('חד גזעי'!$AM$5="לא",(VLOOKUP(C476,'חד גזעי'!$P$1:$S$589,3,FALSE)),(VLOOKUP(C476,'חד גזעי'!$P$1:$S$589,4,FALSE)))</f>
        <v>#N/A</v>
      </c>
      <c r="AH476" s="72">
        <f t="shared" si="500"/>
        <v>0</v>
      </c>
      <c r="AI476" s="72">
        <f t="shared" si="501"/>
        <v>0</v>
      </c>
      <c r="AJ476" s="72">
        <f t="shared" si="502"/>
        <v>0</v>
      </c>
      <c r="AK476" s="72" t="e">
        <f t="shared" si="503"/>
        <v>#N/A</v>
      </c>
      <c r="AL476" t="e">
        <f>VLOOKUP(C476,'חד גזעי'!$AH$8:$AI$33,2,FALSE)</f>
        <v>#N/A</v>
      </c>
      <c r="AM476" s="72" t="b">
        <f t="shared" si="504"/>
        <v>0</v>
      </c>
      <c r="AN476" s="72" t="b">
        <f t="shared" si="505"/>
        <v>0</v>
      </c>
      <c r="AO476" s="72" t="b">
        <f t="shared" si="506"/>
        <v>0</v>
      </c>
      <c r="AS476" s="72">
        <f t="shared" si="507"/>
        <v>0</v>
      </c>
      <c r="AT476" s="72">
        <f t="shared" si="508"/>
        <v>0</v>
      </c>
      <c r="AU476" s="72">
        <f t="shared" si="517"/>
        <v>0</v>
      </c>
      <c r="AV476" s="72">
        <f t="shared" si="509"/>
        <v>0</v>
      </c>
      <c r="AW476" s="72">
        <f t="shared" si="510"/>
        <v>0</v>
      </c>
      <c r="AX476" s="72">
        <f t="shared" si="511"/>
        <v>0</v>
      </c>
      <c r="AY476" s="72">
        <f t="shared" si="512"/>
        <v>0</v>
      </c>
      <c r="AZ476" s="72">
        <f t="shared" si="513"/>
        <v>0</v>
      </c>
      <c r="BA476" s="72" t="e">
        <f t="shared" si="514"/>
        <v>#N/A</v>
      </c>
      <c r="BB476" s="72" t="e">
        <f t="shared" si="515"/>
        <v>#N/A</v>
      </c>
      <c r="BC476" s="77"/>
      <c r="BE476">
        <f t="shared" si="495"/>
        <v>0</v>
      </c>
      <c r="BF476" s="196"/>
      <c r="BG476" s="196"/>
      <c r="BH476" s="196"/>
      <c r="BI476" s="196"/>
      <c r="BJ476" s="196"/>
      <c r="BK476" s="196"/>
    </row>
    <row r="477" spans="2:63" hidden="1">
      <c r="B477" s="72"/>
      <c r="C477" s="135"/>
      <c r="D477" s="78"/>
      <c r="E477" s="78"/>
      <c r="F477" s="72"/>
      <c r="G477" s="72"/>
      <c r="H477" s="72"/>
      <c r="I477" s="73">
        <f t="shared" si="497"/>
        <v>0</v>
      </c>
      <c r="J477" s="78"/>
      <c r="K477" s="73"/>
      <c r="L477" s="74" t="e">
        <f>_xlfn.IFNA(VLOOKUP(C477,'חד גזעי'!$U$3:$V$509,2,0),VLOOKUP(C477,'חד גזעי'!$U$3:$V$509,2))</f>
        <v>#N/A</v>
      </c>
      <c r="M477" s="73"/>
      <c r="N477" s="72" t="e">
        <f>_xlfn.IFNA(IF(VLOOKUP(C477,'חד גזעי'!$AH$2:$AH$7,1,FALSE)&gt;0,0,IF('חד גזעי'!$AM$5="כן",IF(_xlfn.IFNA(VLOOKUP(C477,'חד גזעי'!$AH$2:$AH$33,1,FALSE),SUM(J477:M477))&lt;21,_xlfn.IFNA(VLOOKUP(C477,'חד גזעי'!$AH$2:$AH$33,1,FALSE),SUM(J477:M477)),0),SUM(J477:M477))),IF('חד גזעי'!$AM$5="כן",IF(_xlfn.IFNA(VLOOKUP(C477,'חד גזעי'!$AH$2:$AH$33,1,FALSE),SUM(J477:M477))&lt;21,_xlfn.IFNA(VLOOKUP(C477,'חד גזעי'!$AH$2:$AH$33,1,FALSE),SUM(J477:M477)),0),SUM(J477:M477)))</f>
        <v>#N/A</v>
      </c>
      <c r="O477" s="72">
        <f>IF('חד גזעי'!$AM$3 = "כן",IF(T477&gt;4,4,T477),T477)</f>
        <v>0</v>
      </c>
      <c r="P477" s="80">
        <f>IF(E477&lt;2,0,IF(Z477&gt;0,Z477,IF(N477 = 0,0,IF('חד גזעי'!$AM$2 = "לא",IF(F477&gt;19,W477,0),IF(F477&gt;9,Y477,0)))))</f>
        <v>0</v>
      </c>
      <c r="Q477" s="77"/>
      <c r="R477" s="75"/>
      <c r="S477" t="e">
        <f>VLOOKUP(C477,'חד גזעי'!$Y$4:$Y$18,1,0)</f>
        <v>#N/A</v>
      </c>
      <c r="T477" s="72">
        <f>IF('חד גזעי'!$AM$6="לא",IF(P477=0,IF(BC477="שימור",IF('חד גזעי'!$AM$4="לא",IF(BC477="לא בוגר",0,IF(BC477="לא קיים",0,IF(J477=0,0,I477*0.1))),IF(BC477="לא בוגר",0,IF(BC477="לא קיים",0,IF(AB477=1,I477*0.1,E477*0.5)))),0),IF('חד גזעי'!$AM$4="לא",IF(BC477="לא בוגר",0,IF(BC477="לא קיים",0,IF(J477=0,0,I477*0.1))),IF(BC477="לא בוגר",0,IF(BC477="לא קיים",0,IF(AB477=1,I477*0.1,E477*0.5))))),IF(P477=0,IF(BC477="שימור",IF('חד גזעי'!$AM$4="לא",IF(BC477="לא בוגר",0,IF(BC477="לא קיים",0,IF(J477=0,0,I477*0.15))),IF(BC477="לא בוגר",0,IF(BC477="לא קיים",0,IF(AB477=1,I477*0.15,E477*0.5)))),0),IF('חד גזעי'!$AM$4="לא",IF(BC477="לא בוגר",0,IF(BC477="לא קיים",0,IF(J477=0,0,I477*0.15))),IF(BC477="לא בוגר",0,IF(BC477="לא קיים",0,IF(AB477=1,I477*0.15,E477*0.5))))))</f>
        <v>0</v>
      </c>
      <c r="V477" t="e">
        <f t="shared" si="481"/>
        <v>#N/A</v>
      </c>
      <c r="W477" t="e">
        <f t="shared" si="482"/>
        <v>#N/A</v>
      </c>
      <c r="X477" t="e">
        <f t="shared" si="483"/>
        <v>#N/A</v>
      </c>
      <c r="Y477">
        <f>IF('חד גזעי'!$AM$2 = "לא",0,IF(F477&gt;9,W477,0))</f>
        <v>0</v>
      </c>
      <c r="Z477">
        <f>IF('חד גזעי'!$AM$7 = "לא",0,IF(C477 = "זית אירופי",IF('חד גזעי'!$AN$7 &lt;=סקר!F477,W477,0),IF(C477 = "חרוב מצוי",IF('חד גזעי'!$AN$7 &lt;=סקר!F477,W477,0),0)))</f>
        <v>0</v>
      </c>
      <c r="AB477">
        <f t="shared" si="498"/>
        <v>1</v>
      </c>
      <c r="AC477" s="72"/>
      <c r="AD477" t="e">
        <f t="shared" si="516"/>
        <v>#N/A</v>
      </c>
      <c r="AE477" s="72"/>
      <c r="AF477" s="72" t="e">
        <f t="shared" si="499"/>
        <v>#N/A</v>
      </c>
      <c r="AG477" s="72" t="e">
        <f>IF('חד גזעי'!$AM$5="לא",(VLOOKUP(C477,'חד גזעי'!$P$1:$S$589,3,FALSE)),(VLOOKUP(C477,'חד גזעי'!$P$1:$S$589,4,FALSE)))</f>
        <v>#N/A</v>
      </c>
      <c r="AH477" s="72">
        <f t="shared" si="500"/>
        <v>0</v>
      </c>
      <c r="AI477" s="72">
        <f t="shared" si="501"/>
        <v>0</v>
      </c>
      <c r="AJ477" s="72">
        <f t="shared" si="502"/>
        <v>0</v>
      </c>
      <c r="AK477" s="72" t="e">
        <f t="shared" si="503"/>
        <v>#N/A</v>
      </c>
      <c r="AL477" t="e">
        <f>VLOOKUP(C477,'חד גזעי'!$AH$8:$AI$33,2,FALSE)</f>
        <v>#N/A</v>
      </c>
      <c r="AM477" s="72" t="b">
        <f t="shared" si="504"/>
        <v>0</v>
      </c>
      <c r="AN477" s="72" t="b">
        <f t="shared" si="505"/>
        <v>0</v>
      </c>
      <c r="AO477" s="72" t="b">
        <f t="shared" si="506"/>
        <v>0</v>
      </c>
      <c r="AS477" s="72">
        <f t="shared" si="507"/>
        <v>0</v>
      </c>
      <c r="AT477" s="72">
        <f t="shared" si="508"/>
        <v>0</v>
      </c>
      <c r="AU477" s="72">
        <f t="shared" si="517"/>
        <v>0</v>
      </c>
      <c r="AV477" s="72">
        <f t="shared" si="509"/>
        <v>0</v>
      </c>
      <c r="AW477" s="72">
        <f t="shared" si="510"/>
        <v>0</v>
      </c>
      <c r="AX477" s="72">
        <f t="shared" si="511"/>
        <v>0</v>
      </c>
      <c r="AY477" s="72">
        <f t="shared" si="512"/>
        <v>0</v>
      </c>
      <c r="AZ477" s="72">
        <f t="shared" si="513"/>
        <v>0</v>
      </c>
      <c r="BA477" s="72" t="e">
        <f t="shared" si="514"/>
        <v>#N/A</v>
      </c>
      <c r="BB477" s="72" t="e">
        <f t="shared" si="515"/>
        <v>#N/A</v>
      </c>
      <c r="BC477" s="77"/>
      <c r="BE477">
        <f t="shared" si="495"/>
        <v>0</v>
      </c>
      <c r="BF477" s="196"/>
      <c r="BG477" s="196"/>
      <c r="BH477" s="196"/>
      <c r="BI477" s="196"/>
      <c r="BJ477" s="196"/>
      <c r="BK477" s="196"/>
    </row>
    <row r="478" spans="2:63" hidden="1">
      <c r="B478" s="72"/>
      <c r="C478" s="135"/>
      <c r="D478" s="78"/>
      <c r="E478" s="78"/>
      <c r="F478" s="72"/>
      <c r="G478" s="72"/>
      <c r="H478" s="72"/>
      <c r="I478" s="73">
        <f t="shared" si="497"/>
        <v>0</v>
      </c>
      <c r="J478" s="78"/>
      <c r="K478" s="73"/>
      <c r="L478" s="74" t="e">
        <f>_xlfn.IFNA(VLOOKUP(C478,'חד גזעי'!$U$3:$V$509,2,0),VLOOKUP(C478,'חד גזעי'!$U$3:$V$509,2))</f>
        <v>#N/A</v>
      </c>
      <c r="M478" s="73"/>
      <c r="N478" s="72" t="e">
        <f>_xlfn.IFNA(IF(VLOOKUP(C478,'חד גזעי'!$AH$2:$AH$7,1,FALSE)&gt;0,0,IF('חד גזעי'!$AM$5="כן",IF(_xlfn.IFNA(VLOOKUP(C478,'חד גזעי'!$AH$2:$AH$33,1,FALSE),SUM(J478:M478))&lt;21,_xlfn.IFNA(VLOOKUP(C478,'חד גזעי'!$AH$2:$AH$33,1,FALSE),SUM(J478:M478)),0),SUM(J478:M478))),IF('חד גזעי'!$AM$5="כן",IF(_xlfn.IFNA(VLOOKUP(C478,'חד גזעי'!$AH$2:$AH$33,1,FALSE),SUM(J478:M478))&lt;21,_xlfn.IFNA(VLOOKUP(C478,'חד גזעי'!$AH$2:$AH$33,1,FALSE),SUM(J478:M478)),0),SUM(J478:M478)))</f>
        <v>#N/A</v>
      </c>
      <c r="O478" s="72">
        <f>IF('חד גזעי'!$AM$3 = "כן",IF(T478&gt;4,4,T478),T478)</f>
        <v>0</v>
      </c>
      <c r="P478" s="80">
        <f>IF(E478&lt;2,0,IF(Z478&gt;0,Z478,IF(N478 = 0,0,IF('חד גזעי'!$AM$2 = "לא",IF(F478&gt;19,W478,0),IF(F478&gt;9,Y478,0)))))</f>
        <v>0</v>
      </c>
      <c r="Q478" s="77"/>
      <c r="R478" s="75"/>
      <c r="S478" t="e">
        <f>VLOOKUP(C478,'חד גזעי'!$Y$4:$Y$18,1,0)</f>
        <v>#N/A</v>
      </c>
      <c r="T478" s="72">
        <f>IF('חד גזעי'!$AM$6="לא",IF(P478=0,IF(BC478="שימור",IF('חד גזעי'!$AM$4="לא",IF(BC478="לא בוגר",0,IF(BC478="לא קיים",0,IF(J478=0,0,I478*0.1))),IF(BC478="לא בוגר",0,IF(BC478="לא קיים",0,IF(AB478=1,I478*0.1,E478*0.5)))),0),IF('חד גזעי'!$AM$4="לא",IF(BC478="לא בוגר",0,IF(BC478="לא קיים",0,IF(J478=0,0,I478*0.1))),IF(BC478="לא בוגר",0,IF(BC478="לא קיים",0,IF(AB478=1,I478*0.1,E478*0.5))))),IF(P478=0,IF(BC478="שימור",IF('חד גזעי'!$AM$4="לא",IF(BC478="לא בוגר",0,IF(BC478="לא קיים",0,IF(J478=0,0,I478*0.15))),IF(BC478="לא בוגר",0,IF(BC478="לא קיים",0,IF(AB478=1,I478*0.15,E478*0.5)))),0),IF('חד גזעי'!$AM$4="לא",IF(BC478="לא בוגר",0,IF(BC478="לא קיים",0,IF(J478=0,0,I478*0.15))),IF(BC478="לא בוגר",0,IF(BC478="לא קיים",0,IF(AB478=1,I478*0.15,E478*0.5))))))</f>
        <v>0</v>
      </c>
      <c r="V478" t="e">
        <f t="shared" si="481"/>
        <v>#N/A</v>
      </c>
      <c r="W478" t="e">
        <f t="shared" si="482"/>
        <v>#N/A</v>
      </c>
      <c r="X478" t="e">
        <f t="shared" si="483"/>
        <v>#N/A</v>
      </c>
      <c r="Y478">
        <f>IF('חד גזעי'!$AM$2 = "לא",0,IF(F478&gt;9,W478,0))</f>
        <v>0</v>
      </c>
      <c r="Z478">
        <f>IF('חד גזעי'!$AM$7 = "לא",0,IF(C478 = "זית אירופי",IF('חד גזעי'!$AN$7 &lt;=סקר!F478,W478,0),IF(C478 = "חרוב מצוי",IF('חד גזעי'!$AN$7 &lt;=סקר!F478,W478,0),0)))</f>
        <v>0</v>
      </c>
      <c r="AB478">
        <f t="shared" si="498"/>
        <v>1</v>
      </c>
      <c r="AC478" s="72"/>
      <c r="AD478" t="e">
        <f t="shared" si="516"/>
        <v>#N/A</v>
      </c>
      <c r="AE478" s="72"/>
      <c r="AF478" s="72" t="e">
        <f t="shared" si="499"/>
        <v>#N/A</v>
      </c>
      <c r="AG478" s="72" t="e">
        <f>IF('חד גזעי'!$AM$5="לא",(VLOOKUP(C478,'חד גזעי'!$P$1:$S$589,3,FALSE)),(VLOOKUP(C478,'חד גזעי'!$P$1:$S$589,4,FALSE)))</f>
        <v>#N/A</v>
      </c>
      <c r="AH478" s="72">
        <f t="shared" si="500"/>
        <v>0</v>
      </c>
      <c r="AI478" s="72">
        <f t="shared" si="501"/>
        <v>0</v>
      </c>
      <c r="AJ478" s="72">
        <f t="shared" si="502"/>
        <v>0</v>
      </c>
      <c r="AK478" s="72" t="e">
        <f t="shared" si="503"/>
        <v>#N/A</v>
      </c>
      <c r="AL478" t="e">
        <f>VLOOKUP(C478,'חד גזעי'!$AH$8:$AI$33,2,FALSE)</f>
        <v>#N/A</v>
      </c>
      <c r="AM478" s="72" t="b">
        <f t="shared" si="504"/>
        <v>0</v>
      </c>
      <c r="AN478" s="72" t="b">
        <f t="shared" si="505"/>
        <v>0</v>
      </c>
      <c r="AO478" s="72" t="b">
        <f t="shared" si="506"/>
        <v>0</v>
      </c>
      <c r="AS478" s="72">
        <f t="shared" si="507"/>
        <v>0</v>
      </c>
      <c r="AT478" s="72">
        <f t="shared" si="508"/>
        <v>0</v>
      </c>
      <c r="AU478" s="72">
        <f t="shared" si="517"/>
        <v>0</v>
      </c>
      <c r="AV478" s="72">
        <f t="shared" si="509"/>
        <v>0</v>
      </c>
      <c r="AW478" s="72">
        <f t="shared" si="510"/>
        <v>0</v>
      </c>
      <c r="AX478" s="72">
        <f t="shared" si="511"/>
        <v>0</v>
      </c>
      <c r="AY478" s="72">
        <f t="shared" si="512"/>
        <v>0</v>
      </c>
      <c r="AZ478" s="72">
        <f t="shared" si="513"/>
        <v>0</v>
      </c>
      <c r="BA478" s="72" t="e">
        <f t="shared" si="514"/>
        <v>#N/A</v>
      </c>
      <c r="BB478" s="72" t="e">
        <f t="shared" si="515"/>
        <v>#N/A</v>
      </c>
      <c r="BC478" s="77"/>
      <c r="BE478">
        <f t="shared" si="495"/>
        <v>0</v>
      </c>
      <c r="BF478" s="196"/>
      <c r="BG478" s="196"/>
      <c r="BH478" s="196"/>
      <c r="BI478" s="196"/>
      <c r="BJ478" s="196"/>
      <c r="BK478" s="196"/>
    </row>
    <row r="479" spans="2:63" hidden="1">
      <c r="B479" s="72"/>
      <c r="C479" s="135"/>
      <c r="D479" s="78"/>
      <c r="E479" s="78"/>
      <c r="F479" s="72"/>
      <c r="G479" s="72"/>
      <c r="H479" s="72"/>
      <c r="I479" s="73">
        <f t="shared" si="497"/>
        <v>0</v>
      </c>
      <c r="J479" s="78"/>
      <c r="K479" s="73"/>
      <c r="L479" s="74" t="e">
        <f>_xlfn.IFNA(VLOOKUP(C479,'חד גזעי'!$U$3:$V$509,2,0),VLOOKUP(C479,'חד גזעי'!$U$3:$V$509,2))</f>
        <v>#N/A</v>
      </c>
      <c r="M479" s="73"/>
      <c r="N479" s="72" t="e">
        <f>_xlfn.IFNA(IF(VLOOKUP(C479,'חד גזעי'!$AH$2:$AH$7,1,FALSE)&gt;0,0,IF('חד גזעי'!$AM$5="כן",IF(_xlfn.IFNA(VLOOKUP(C479,'חד גזעי'!$AH$2:$AH$33,1,FALSE),SUM(J479:M479))&lt;21,_xlfn.IFNA(VLOOKUP(C479,'חד גזעי'!$AH$2:$AH$33,1,FALSE),SUM(J479:M479)),0),SUM(J479:M479))),IF('חד גזעי'!$AM$5="כן",IF(_xlfn.IFNA(VLOOKUP(C479,'חד גזעי'!$AH$2:$AH$33,1,FALSE),SUM(J479:M479))&lt;21,_xlfn.IFNA(VLOOKUP(C479,'חד גזעי'!$AH$2:$AH$33,1,FALSE),SUM(J479:M479)),0),SUM(J479:M479)))</f>
        <v>#N/A</v>
      </c>
      <c r="O479" s="72">
        <f>IF('חד גזעי'!$AM$3 = "כן",IF(T479&gt;4,4,T479),T479)</f>
        <v>0</v>
      </c>
      <c r="P479" s="80">
        <f>IF(E479&lt;2,0,IF(Z479&gt;0,Z479,IF(N479 = 0,0,IF('חד גזעי'!$AM$2 = "לא",IF(F479&gt;19,W479,0),IF(F479&gt;9,Y479,0)))))</f>
        <v>0</v>
      </c>
      <c r="Q479" s="77"/>
      <c r="R479" s="75"/>
      <c r="S479" t="e">
        <f>VLOOKUP(C479,'חד גזעי'!$Y$4:$Y$18,1,0)</f>
        <v>#N/A</v>
      </c>
      <c r="T479" s="72">
        <f>IF('חד גזעי'!$AM$6="לא",IF(P479=0,IF(BC479="שימור",IF('חד גזעי'!$AM$4="לא",IF(BC479="לא בוגר",0,IF(BC479="לא קיים",0,IF(J479=0,0,I479*0.1))),IF(BC479="לא בוגר",0,IF(BC479="לא קיים",0,IF(AB479=1,I479*0.1,E479*0.5)))),0),IF('חד גזעי'!$AM$4="לא",IF(BC479="לא בוגר",0,IF(BC479="לא קיים",0,IF(J479=0,0,I479*0.1))),IF(BC479="לא בוגר",0,IF(BC479="לא קיים",0,IF(AB479=1,I479*0.1,E479*0.5))))),IF(P479=0,IF(BC479="שימור",IF('חד גזעי'!$AM$4="לא",IF(BC479="לא בוגר",0,IF(BC479="לא קיים",0,IF(J479=0,0,I479*0.15))),IF(BC479="לא בוגר",0,IF(BC479="לא קיים",0,IF(AB479=1,I479*0.15,E479*0.5)))),0),IF('חד גזעי'!$AM$4="לא",IF(BC479="לא בוגר",0,IF(BC479="לא קיים",0,IF(J479=0,0,I479*0.15))),IF(BC479="לא בוגר",0,IF(BC479="לא קיים",0,IF(AB479=1,I479*0.15,E479*0.5))))))</f>
        <v>0</v>
      </c>
      <c r="V479" t="e">
        <f t="shared" si="481"/>
        <v>#N/A</v>
      </c>
      <c r="W479" t="e">
        <f t="shared" si="482"/>
        <v>#N/A</v>
      </c>
      <c r="X479" t="e">
        <f t="shared" si="483"/>
        <v>#N/A</v>
      </c>
      <c r="Y479">
        <f>IF('חד גזעי'!$AM$2 = "לא",0,IF(F479&gt;9,W479,0))</f>
        <v>0</v>
      </c>
      <c r="Z479">
        <f>IF('חד גזעי'!$AM$7 = "לא",0,IF(C479 = "זית אירופי",IF('חד גזעי'!$AN$7 &lt;=סקר!F479,W479,0),IF(C479 = "חרוב מצוי",IF('חד גזעי'!$AN$7 &lt;=סקר!F479,W479,0),0)))</f>
        <v>0</v>
      </c>
      <c r="AB479">
        <f t="shared" si="498"/>
        <v>1</v>
      </c>
      <c r="AC479" s="72"/>
      <c r="AD479" t="e">
        <f t="shared" si="516"/>
        <v>#N/A</v>
      </c>
      <c r="AE479" s="72"/>
      <c r="AF479" s="72" t="e">
        <f t="shared" si="499"/>
        <v>#N/A</v>
      </c>
      <c r="AG479" s="72" t="e">
        <f>IF('חד גזעי'!$AM$5="לא",(VLOOKUP(C479,'חד גזעי'!$P$1:$S$589,3,FALSE)),(VLOOKUP(C479,'חד גזעי'!$P$1:$S$589,4,FALSE)))</f>
        <v>#N/A</v>
      </c>
      <c r="AH479" s="72">
        <f t="shared" si="500"/>
        <v>0</v>
      </c>
      <c r="AI479" s="72">
        <f t="shared" si="501"/>
        <v>0</v>
      </c>
      <c r="AJ479" s="72">
        <f t="shared" si="502"/>
        <v>0</v>
      </c>
      <c r="AK479" s="72" t="e">
        <f t="shared" si="503"/>
        <v>#N/A</v>
      </c>
      <c r="AL479" t="e">
        <f>VLOOKUP(C479,'חד גזעי'!$AH$8:$AI$33,2,FALSE)</f>
        <v>#N/A</v>
      </c>
      <c r="AM479" s="72" t="b">
        <f t="shared" si="504"/>
        <v>0</v>
      </c>
      <c r="AN479" s="72" t="b">
        <f t="shared" si="505"/>
        <v>0</v>
      </c>
      <c r="AO479" s="72" t="b">
        <f t="shared" si="506"/>
        <v>0</v>
      </c>
      <c r="AS479" s="72">
        <f t="shared" si="507"/>
        <v>0</v>
      </c>
      <c r="AT479" s="72">
        <f t="shared" si="508"/>
        <v>0</v>
      </c>
      <c r="AU479" s="72">
        <f t="shared" si="517"/>
        <v>0</v>
      </c>
      <c r="AV479" s="72">
        <f t="shared" si="509"/>
        <v>0</v>
      </c>
      <c r="AW479" s="72">
        <f t="shared" si="510"/>
        <v>0</v>
      </c>
      <c r="AX479" s="72">
        <f t="shared" si="511"/>
        <v>0</v>
      </c>
      <c r="AY479" s="72">
        <f t="shared" si="512"/>
        <v>0</v>
      </c>
      <c r="AZ479" s="72">
        <f t="shared" si="513"/>
        <v>0</v>
      </c>
      <c r="BA479" s="72" t="e">
        <f t="shared" si="514"/>
        <v>#N/A</v>
      </c>
      <c r="BB479" s="72" t="e">
        <f t="shared" si="515"/>
        <v>#N/A</v>
      </c>
      <c r="BC479" s="77"/>
      <c r="BE479">
        <f t="shared" si="495"/>
        <v>0</v>
      </c>
      <c r="BF479" s="196"/>
      <c r="BG479" s="196"/>
      <c r="BH479" s="196"/>
      <c r="BI479" s="196"/>
      <c r="BJ479" s="196"/>
      <c r="BK479" s="196"/>
    </row>
    <row r="480" spans="2:63" hidden="1">
      <c r="B480" s="72"/>
      <c r="C480" s="135"/>
      <c r="D480" s="78"/>
      <c r="E480" s="78"/>
      <c r="F480" s="72"/>
      <c r="G480" s="72"/>
      <c r="H480" s="72"/>
      <c r="I480" s="73">
        <f t="shared" si="497"/>
        <v>0</v>
      </c>
      <c r="J480" s="78"/>
      <c r="K480" s="73"/>
      <c r="L480" s="74" t="e">
        <f>_xlfn.IFNA(VLOOKUP(C480,'חד גזעי'!$U$3:$V$509,2,0),VLOOKUP(C480,'חד גזעי'!$U$3:$V$509,2))</f>
        <v>#N/A</v>
      </c>
      <c r="M480" s="73"/>
      <c r="N480" s="72" t="e">
        <f>_xlfn.IFNA(IF(VLOOKUP(C480,'חד גזעי'!$AH$2:$AH$7,1,FALSE)&gt;0,0,IF('חד גזעי'!$AM$5="כן",IF(_xlfn.IFNA(VLOOKUP(C480,'חד גזעי'!$AH$2:$AH$33,1,FALSE),SUM(J480:M480))&lt;21,_xlfn.IFNA(VLOOKUP(C480,'חד גזעי'!$AH$2:$AH$33,1,FALSE),SUM(J480:M480)),0),SUM(J480:M480))),IF('חד גזעי'!$AM$5="כן",IF(_xlfn.IFNA(VLOOKUP(C480,'חד גזעי'!$AH$2:$AH$33,1,FALSE),SUM(J480:M480))&lt;21,_xlfn.IFNA(VLOOKUP(C480,'חד גזעי'!$AH$2:$AH$33,1,FALSE),SUM(J480:M480)),0),SUM(J480:M480)))</f>
        <v>#N/A</v>
      </c>
      <c r="O480" s="72">
        <f>IF('חד גזעי'!$AM$3 = "כן",IF(T480&gt;4,4,T480),T480)</f>
        <v>0</v>
      </c>
      <c r="P480" s="80">
        <f>IF(E480&lt;2,0,IF(Z480&gt;0,Z480,IF(N480 = 0,0,IF('חד גזעי'!$AM$2 = "לא",IF(F480&gt;19,W480,0),IF(F480&gt;9,Y480,0)))))</f>
        <v>0</v>
      </c>
      <c r="Q480" s="77"/>
      <c r="R480" s="76"/>
      <c r="S480" t="e">
        <f>VLOOKUP(C480,'חד גזעי'!$Y$4:$Y$18,1,0)</f>
        <v>#N/A</v>
      </c>
      <c r="T480" s="72">
        <f>IF('חד גזעי'!$AM$6="לא",IF(P480=0,IF(BC480="שימור",IF('חד גזעי'!$AM$4="לא",IF(BC480="לא בוגר",0,IF(BC480="לא קיים",0,IF(J480=0,0,I480*0.1))),IF(BC480="לא בוגר",0,IF(BC480="לא קיים",0,IF(AB480=1,I480*0.1,E480*0.5)))),0),IF('חד גזעי'!$AM$4="לא",IF(BC480="לא בוגר",0,IF(BC480="לא קיים",0,IF(J480=0,0,I480*0.1))),IF(BC480="לא בוגר",0,IF(BC480="לא קיים",0,IF(AB480=1,I480*0.1,E480*0.5))))),IF(P480=0,IF(BC480="שימור",IF('חד גזעי'!$AM$4="לא",IF(BC480="לא בוגר",0,IF(BC480="לא קיים",0,IF(J480=0,0,I480*0.15))),IF(BC480="לא בוגר",0,IF(BC480="לא קיים",0,IF(AB480=1,I480*0.15,E480*0.5)))),0),IF('חד גזעי'!$AM$4="לא",IF(BC480="לא בוגר",0,IF(BC480="לא קיים",0,IF(J480=0,0,I480*0.15))),IF(BC480="לא בוגר",0,IF(BC480="לא קיים",0,IF(AB480=1,I480*0.15,E480*0.5))))))</f>
        <v>0</v>
      </c>
      <c r="V480" t="e">
        <f t="shared" si="481"/>
        <v>#N/A</v>
      </c>
      <c r="W480" t="e">
        <f t="shared" si="482"/>
        <v>#N/A</v>
      </c>
      <c r="X480" t="e">
        <f t="shared" si="483"/>
        <v>#N/A</v>
      </c>
      <c r="Y480">
        <f>IF('חד גזעי'!$AM$2 = "לא",0,IF(F480&gt;9,W480,0))</f>
        <v>0</v>
      </c>
      <c r="Z480">
        <f>IF('חד גזעי'!$AM$7 = "לא",0,IF(C480 = "זית אירופי",IF('חד גזעי'!$AN$7 &lt;=סקר!F480,W480,0),IF(C480 = "חרוב מצוי",IF('חד גזעי'!$AN$7 &lt;=סקר!F480,W480,0),0)))</f>
        <v>0</v>
      </c>
      <c r="AB480">
        <f t="shared" si="498"/>
        <v>1</v>
      </c>
      <c r="AC480" s="72"/>
      <c r="AD480" t="e">
        <f t="shared" si="516"/>
        <v>#N/A</v>
      </c>
      <c r="AE480" s="72"/>
      <c r="AF480" s="72" t="e">
        <f t="shared" si="499"/>
        <v>#N/A</v>
      </c>
      <c r="AG480" s="72" t="e">
        <f>IF('חד גזעי'!$AM$5="לא",(VLOOKUP(C480,'חד גזעי'!$P$1:$S$589,3,FALSE)),(VLOOKUP(C480,'חד גזעי'!$P$1:$S$589,4,FALSE)))</f>
        <v>#N/A</v>
      </c>
      <c r="AH480" s="72">
        <f t="shared" si="500"/>
        <v>0</v>
      </c>
      <c r="AI480" s="72">
        <f t="shared" si="501"/>
        <v>0</v>
      </c>
      <c r="AJ480" s="72">
        <f t="shared" si="502"/>
        <v>0</v>
      </c>
      <c r="AK480" s="72" t="e">
        <f t="shared" si="503"/>
        <v>#N/A</v>
      </c>
      <c r="AL480" t="e">
        <f>VLOOKUP(C480,'חד גזעי'!$AH$8:$AI$33,2,FALSE)</f>
        <v>#N/A</v>
      </c>
      <c r="AM480" s="72" t="b">
        <f t="shared" si="504"/>
        <v>0</v>
      </c>
      <c r="AN480" s="72" t="b">
        <f t="shared" si="505"/>
        <v>0</v>
      </c>
      <c r="AO480" s="72" t="b">
        <f t="shared" si="506"/>
        <v>0</v>
      </c>
      <c r="AS480" s="72">
        <f t="shared" si="507"/>
        <v>0</v>
      </c>
      <c r="AT480" s="72">
        <f t="shared" si="508"/>
        <v>0</v>
      </c>
      <c r="AU480" s="72">
        <f t="shared" si="517"/>
        <v>0</v>
      </c>
      <c r="AV480" s="72">
        <f t="shared" si="509"/>
        <v>0</v>
      </c>
      <c r="AW480" s="72">
        <f t="shared" si="510"/>
        <v>0</v>
      </c>
      <c r="AX480" s="72">
        <f t="shared" si="511"/>
        <v>0</v>
      </c>
      <c r="AY480" s="72">
        <f t="shared" si="512"/>
        <v>0</v>
      </c>
      <c r="AZ480" s="72">
        <f t="shared" si="513"/>
        <v>0</v>
      </c>
      <c r="BA480" s="72" t="e">
        <f t="shared" si="514"/>
        <v>#N/A</v>
      </c>
      <c r="BB480" s="72" t="e">
        <f t="shared" si="515"/>
        <v>#N/A</v>
      </c>
      <c r="BC480" s="77"/>
      <c r="BE480">
        <f t="shared" si="495"/>
        <v>0</v>
      </c>
      <c r="BF480" s="196"/>
      <c r="BG480" s="196"/>
      <c r="BH480" s="196"/>
      <c r="BI480" s="196"/>
      <c r="BJ480" s="196"/>
      <c r="BK480" s="196"/>
    </row>
    <row r="481" spans="2:63" hidden="1">
      <c r="B481" s="72"/>
      <c r="C481" s="135"/>
      <c r="D481" s="78"/>
      <c r="E481" s="78"/>
      <c r="F481" s="72"/>
      <c r="G481" s="72"/>
      <c r="H481" s="72"/>
      <c r="I481" s="73">
        <f t="shared" si="497"/>
        <v>0</v>
      </c>
      <c r="J481" s="78"/>
      <c r="K481" s="73"/>
      <c r="L481" s="74" t="e">
        <f>_xlfn.IFNA(VLOOKUP(C481,'חד גזעי'!$U$3:$V$509,2,0),VLOOKUP(C481,'חד גזעי'!$U$3:$V$509,2))</f>
        <v>#N/A</v>
      </c>
      <c r="M481" s="73"/>
      <c r="N481" s="72" t="e">
        <f>_xlfn.IFNA(IF(VLOOKUP(C481,'חד גזעי'!$AH$2:$AH$7,1,FALSE)&gt;0,0,IF('חד גזעי'!$AM$5="כן",IF(_xlfn.IFNA(VLOOKUP(C481,'חד גזעי'!$AH$2:$AH$33,1,FALSE),SUM(J481:M481))&lt;21,_xlfn.IFNA(VLOOKUP(C481,'חד גזעי'!$AH$2:$AH$33,1,FALSE),SUM(J481:M481)),0),SUM(J481:M481))),IF('חד גזעי'!$AM$5="כן",IF(_xlfn.IFNA(VLOOKUP(C481,'חד גזעי'!$AH$2:$AH$33,1,FALSE),SUM(J481:M481))&lt;21,_xlfn.IFNA(VLOOKUP(C481,'חד גזעי'!$AH$2:$AH$33,1,FALSE),SUM(J481:M481)),0),SUM(J481:M481)))</f>
        <v>#N/A</v>
      </c>
      <c r="O481" s="72">
        <f>IF('חד גזעי'!$AM$3 = "כן",IF(T481&gt;4,4,T481),T481)</f>
        <v>0</v>
      </c>
      <c r="P481" s="80">
        <f>IF(E481&lt;2,0,IF(Z481&gt;0,Z481,IF(N481 = 0,0,IF('חד גזעי'!$AM$2 = "לא",IF(F481&gt;19,W481,0),IF(F481&gt;9,Y481,0)))))</f>
        <v>0</v>
      </c>
      <c r="Q481" s="77"/>
      <c r="R481" s="76"/>
      <c r="S481" t="e">
        <f>VLOOKUP(C481,'חד גזעי'!$Y$4:$Y$18,1,0)</f>
        <v>#N/A</v>
      </c>
      <c r="T481" s="72">
        <f>IF('חד גזעי'!$AM$6="לא",IF(P481=0,IF(BC481="שימור",IF('חד גזעי'!$AM$4="לא",IF(BC481="לא בוגר",0,IF(BC481="לא קיים",0,IF(J481=0,0,I481*0.1))),IF(BC481="לא בוגר",0,IF(BC481="לא קיים",0,IF(AB481=1,I481*0.1,E481*0.5)))),0),IF('חד גזעי'!$AM$4="לא",IF(BC481="לא בוגר",0,IF(BC481="לא קיים",0,IF(J481=0,0,I481*0.1))),IF(BC481="לא בוגר",0,IF(BC481="לא קיים",0,IF(AB481=1,I481*0.1,E481*0.5))))),IF(P481=0,IF(BC481="שימור",IF('חד גזעי'!$AM$4="לא",IF(BC481="לא בוגר",0,IF(BC481="לא קיים",0,IF(J481=0,0,I481*0.15))),IF(BC481="לא בוגר",0,IF(BC481="לא קיים",0,IF(AB481=1,I481*0.15,E481*0.5)))),0),IF('חד גזעי'!$AM$4="לא",IF(BC481="לא בוגר",0,IF(BC481="לא קיים",0,IF(J481=0,0,I481*0.15))),IF(BC481="לא בוגר",0,IF(BC481="לא קיים",0,IF(AB481=1,I481*0.15,E481*0.5))))))</f>
        <v>0</v>
      </c>
      <c r="V481" t="e">
        <f t="shared" si="481"/>
        <v>#N/A</v>
      </c>
      <c r="W481" t="e">
        <f t="shared" si="482"/>
        <v>#N/A</v>
      </c>
      <c r="X481" t="e">
        <f t="shared" si="483"/>
        <v>#N/A</v>
      </c>
      <c r="Y481">
        <f>IF('חד גזעי'!$AM$2 = "לא",0,IF(F481&gt;9,W481,0))</f>
        <v>0</v>
      </c>
      <c r="Z481">
        <f>IF('חד גזעי'!$AM$7 = "לא",0,IF(C481 = "זית אירופי",IF('חד גזעי'!$AN$7 &lt;=סקר!F481,W481,0),IF(C481 = "חרוב מצוי",IF('חד גזעי'!$AN$7 &lt;=סקר!F481,W481,0),0)))</f>
        <v>0</v>
      </c>
      <c r="AB481">
        <f t="shared" si="498"/>
        <v>1</v>
      </c>
      <c r="AC481" s="72"/>
      <c r="AD481" t="e">
        <f t="shared" si="516"/>
        <v>#N/A</v>
      </c>
      <c r="AE481" s="72"/>
      <c r="AF481" s="72" t="e">
        <f t="shared" si="499"/>
        <v>#N/A</v>
      </c>
      <c r="AG481" s="72" t="e">
        <f>IF('חד גזעי'!$AM$5="לא",(VLOOKUP(C481,'חד גזעי'!$P$1:$S$589,3,FALSE)),(VLOOKUP(C481,'חד גזעי'!$P$1:$S$589,4,FALSE)))</f>
        <v>#N/A</v>
      </c>
      <c r="AH481" s="72">
        <f t="shared" si="500"/>
        <v>0</v>
      </c>
      <c r="AI481" s="72">
        <f t="shared" si="501"/>
        <v>0</v>
      </c>
      <c r="AJ481" s="72">
        <f t="shared" si="502"/>
        <v>0</v>
      </c>
      <c r="AK481" s="72" t="e">
        <f t="shared" si="503"/>
        <v>#N/A</v>
      </c>
      <c r="AL481" t="e">
        <f>VLOOKUP(C481,'חד גזעי'!$AH$8:$AI$33,2,FALSE)</f>
        <v>#N/A</v>
      </c>
      <c r="AM481" s="72" t="b">
        <f t="shared" si="504"/>
        <v>0</v>
      </c>
      <c r="AN481" s="72" t="b">
        <f t="shared" si="505"/>
        <v>0</v>
      </c>
      <c r="AO481" s="72" t="b">
        <f t="shared" si="506"/>
        <v>0</v>
      </c>
      <c r="AS481" s="72">
        <f t="shared" si="507"/>
        <v>0</v>
      </c>
      <c r="AT481" s="72">
        <f t="shared" si="508"/>
        <v>0</v>
      </c>
      <c r="AU481" s="72">
        <f t="shared" si="517"/>
        <v>0</v>
      </c>
      <c r="AV481" s="72">
        <f t="shared" si="509"/>
        <v>0</v>
      </c>
      <c r="AW481" s="72">
        <f t="shared" si="510"/>
        <v>0</v>
      </c>
      <c r="AX481" s="72">
        <f t="shared" si="511"/>
        <v>0</v>
      </c>
      <c r="AY481" s="72">
        <f t="shared" si="512"/>
        <v>0</v>
      </c>
      <c r="AZ481" s="72">
        <f t="shared" si="513"/>
        <v>0</v>
      </c>
      <c r="BA481" s="72" t="e">
        <f t="shared" si="514"/>
        <v>#N/A</v>
      </c>
      <c r="BB481" s="72" t="e">
        <f t="shared" si="515"/>
        <v>#N/A</v>
      </c>
      <c r="BC481" s="77"/>
      <c r="BE481">
        <f t="shared" si="495"/>
        <v>0</v>
      </c>
      <c r="BF481" s="196"/>
      <c r="BG481" s="196"/>
      <c r="BH481" s="196"/>
      <c r="BI481" s="196"/>
      <c r="BJ481" s="196"/>
      <c r="BK481" s="196"/>
    </row>
    <row r="482" spans="2:63" hidden="1">
      <c r="B482" s="72"/>
      <c r="C482" s="135"/>
      <c r="D482" s="78"/>
      <c r="E482" s="78"/>
      <c r="F482" s="72"/>
      <c r="G482" s="72"/>
      <c r="H482" s="72"/>
      <c r="I482" s="73">
        <f t="shared" si="497"/>
        <v>0</v>
      </c>
      <c r="J482" s="78"/>
      <c r="K482" s="73"/>
      <c r="L482" s="74" t="e">
        <f>_xlfn.IFNA(VLOOKUP(C482,'חד גזעי'!$U$3:$V$509,2,0),VLOOKUP(C482,'חד גזעי'!$U$3:$V$509,2))</f>
        <v>#N/A</v>
      </c>
      <c r="M482" s="73"/>
      <c r="N482" s="72" t="e">
        <f>_xlfn.IFNA(IF(VLOOKUP(C482,'חד גזעי'!$AH$2:$AH$7,1,FALSE)&gt;0,0,IF('חד גזעי'!$AM$5="כן",IF(_xlfn.IFNA(VLOOKUP(C482,'חד גזעי'!$AH$2:$AH$33,1,FALSE),SUM(J482:M482))&lt;21,_xlfn.IFNA(VLOOKUP(C482,'חד גזעי'!$AH$2:$AH$33,1,FALSE),SUM(J482:M482)),0),SUM(J482:M482))),IF('חד גזעי'!$AM$5="כן",IF(_xlfn.IFNA(VLOOKUP(C482,'חד גזעי'!$AH$2:$AH$33,1,FALSE),SUM(J482:M482))&lt;21,_xlfn.IFNA(VLOOKUP(C482,'חד גזעי'!$AH$2:$AH$33,1,FALSE),SUM(J482:M482)),0),SUM(J482:M482)))</f>
        <v>#N/A</v>
      </c>
      <c r="O482" s="72">
        <f>IF('חד גזעי'!$AM$3 = "כן",IF(T482&gt;4,4,T482),T482)</f>
        <v>0</v>
      </c>
      <c r="P482" s="80">
        <f>IF(E482&lt;2,0,IF(Z482&gt;0,Z482,IF(N482 = 0,0,IF('חד גזעי'!$AM$2 = "לא",IF(F482&gt;19,W482,0),IF(F482&gt;9,Y482,0)))))</f>
        <v>0</v>
      </c>
      <c r="Q482" s="77"/>
      <c r="R482" s="76"/>
      <c r="S482" t="e">
        <f>VLOOKUP(C482,'חד גזעי'!$Y$4:$Y$18,1,0)</f>
        <v>#N/A</v>
      </c>
      <c r="T482" s="72">
        <f>IF('חד גזעי'!$AM$6="לא",IF(P482=0,IF(BC482="שימור",IF('חד גזעי'!$AM$4="לא",IF(BC482="לא בוגר",0,IF(BC482="לא קיים",0,IF(J482=0,0,I482*0.1))),IF(BC482="לא בוגר",0,IF(BC482="לא קיים",0,IF(AB482=1,I482*0.1,E482*0.5)))),0),IF('חד גזעי'!$AM$4="לא",IF(BC482="לא בוגר",0,IF(BC482="לא קיים",0,IF(J482=0,0,I482*0.1))),IF(BC482="לא בוגר",0,IF(BC482="לא קיים",0,IF(AB482=1,I482*0.1,E482*0.5))))),IF(P482=0,IF(BC482="שימור",IF('חד גזעי'!$AM$4="לא",IF(BC482="לא בוגר",0,IF(BC482="לא קיים",0,IF(J482=0,0,I482*0.15))),IF(BC482="לא בוגר",0,IF(BC482="לא קיים",0,IF(AB482=1,I482*0.15,E482*0.5)))),0),IF('חד גזעי'!$AM$4="לא",IF(BC482="לא בוגר",0,IF(BC482="לא קיים",0,IF(J482=0,0,I482*0.15))),IF(BC482="לא בוגר",0,IF(BC482="לא קיים",0,IF(AB482=1,I482*0.15,E482*0.5))))))</f>
        <v>0</v>
      </c>
      <c r="V482" t="e">
        <f t="shared" si="481"/>
        <v>#N/A</v>
      </c>
      <c r="W482" t="e">
        <f t="shared" si="482"/>
        <v>#N/A</v>
      </c>
      <c r="X482" t="e">
        <f t="shared" si="483"/>
        <v>#N/A</v>
      </c>
      <c r="Y482">
        <f>IF('חד גזעי'!$AM$2 = "לא",0,IF(F482&gt;9,W482,0))</f>
        <v>0</v>
      </c>
      <c r="Z482">
        <f>IF('חד גזעי'!$AM$7 = "לא",0,IF(C482 = "זית אירופי",IF('חד גזעי'!$AN$7 &lt;=סקר!F482,W482,0),IF(C482 = "חרוב מצוי",IF('חד גזעי'!$AN$7 &lt;=סקר!F482,W482,0),0)))</f>
        <v>0</v>
      </c>
      <c r="AB482">
        <f t="shared" si="498"/>
        <v>1</v>
      </c>
      <c r="AC482" s="72"/>
      <c r="AD482" t="e">
        <f t="shared" si="516"/>
        <v>#N/A</v>
      </c>
      <c r="AE482" s="72"/>
      <c r="AF482" s="72" t="e">
        <f t="shared" si="499"/>
        <v>#N/A</v>
      </c>
      <c r="AG482" s="72" t="e">
        <f>IF('חד גזעי'!$AM$5="לא",(VLOOKUP(C482,'חד גזעי'!$P$1:$S$589,3,FALSE)),(VLOOKUP(C482,'חד גזעי'!$P$1:$S$589,4,FALSE)))</f>
        <v>#N/A</v>
      </c>
      <c r="AH482" s="72">
        <f t="shared" si="500"/>
        <v>0</v>
      </c>
      <c r="AI482" s="72">
        <f t="shared" si="501"/>
        <v>0</v>
      </c>
      <c r="AJ482" s="72">
        <f t="shared" si="502"/>
        <v>0</v>
      </c>
      <c r="AK482" s="72" t="e">
        <f t="shared" si="503"/>
        <v>#N/A</v>
      </c>
      <c r="AL482" t="e">
        <f>VLOOKUP(C482,'חד גזעי'!$AH$8:$AI$33,2,FALSE)</f>
        <v>#N/A</v>
      </c>
      <c r="AM482" s="72" t="b">
        <f t="shared" si="504"/>
        <v>0</v>
      </c>
      <c r="AN482" s="72" t="b">
        <f t="shared" si="505"/>
        <v>0</v>
      </c>
      <c r="AO482" s="72" t="b">
        <f t="shared" si="506"/>
        <v>0</v>
      </c>
      <c r="AS482" s="72">
        <f t="shared" si="507"/>
        <v>0</v>
      </c>
      <c r="AT482" s="72">
        <f t="shared" si="508"/>
        <v>0</v>
      </c>
      <c r="AU482" s="72">
        <f t="shared" si="517"/>
        <v>0</v>
      </c>
      <c r="AV482" s="72">
        <f t="shared" si="509"/>
        <v>0</v>
      </c>
      <c r="AW482" s="72">
        <f t="shared" si="510"/>
        <v>0</v>
      </c>
      <c r="AX482" s="72">
        <f t="shared" si="511"/>
        <v>0</v>
      </c>
      <c r="AY482" s="72">
        <f t="shared" si="512"/>
        <v>0</v>
      </c>
      <c r="AZ482" s="72">
        <f t="shared" si="513"/>
        <v>0</v>
      </c>
      <c r="BA482" s="72" t="e">
        <f t="shared" si="514"/>
        <v>#N/A</v>
      </c>
      <c r="BB482" s="72" t="e">
        <f t="shared" si="515"/>
        <v>#N/A</v>
      </c>
      <c r="BC482" s="77"/>
      <c r="BE482">
        <f t="shared" si="495"/>
        <v>0</v>
      </c>
      <c r="BF482" s="72"/>
      <c r="BG482" s="72"/>
      <c r="BH482" s="72"/>
      <c r="BI482" s="72"/>
      <c r="BJ482" s="72"/>
      <c r="BK482" s="72"/>
    </row>
    <row r="483" spans="2:63" hidden="1">
      <c r="B483" s="72"/>
      <c r="C483" s="135"/>
      <c r="D483" s="78"/>
      <c r="E483" s="78"/>
      <c r="F483" s="72"/>
      <c r="G483" s="72"/>
      <c r="H483" s="72"/>
      <c r="I483" s="73">
        <f t="shared" si="497"/>
        <v>0</v>
      </c>
      <c r="J483" s="78"/>
      <c r="K483" s="73"/>
      <c r="L483" s="74" t="e">
        <f>_xlfn.IFNA(VLOOKUP(C483,'חד גזעי'!$U$3:$V$509,2,0),VLOOKUP(C483,'חד גזעי'!$U$3:$V$509,2))</f>
        <v>#N/A</v>
      </c>
      <c r="M483" s="73"/>
      <c r="N483" s="72" t="e">
        <f>_xlfn.IFNA(IF(VLOOKUP(C483,'חד גזעי'!$AH$2:$AH$7,1,FALSE)&gt;0,0,IF('חד גזעי'!$AM$5="כן",IF(_xlfn.IFNA(VLOOKUP(C483,'חד גזעי'!$AH$2:$AH$33,1,FALSE),SUM(J483:M483))&lt;21,_xlfn.IFNA(VLOOKUP(C483,'חד גזעי'!$AH$2:$AH$33,1,FALSE),SUM(J483:M483)),0),SUM(J483:M483))),IF('חד גזעי'!$AM$5="כן",IF(_xlfn.IFNA(VLOOKUP(C483,'חד גזעי'!$AH$2:$AH$33,1,FALSE),SUM(J483:M483))&lt;21,_xlfn.IFNA(VLOOKUP(C483,'חד גזעי'!$AH$2:$AH$33,1,FALSE),SUM(J483:M483)),0),SUM(J483:M483)))</f>
        <v>#N/A</v>
      </c>
      <c r="O483" s="72">
        <f>IF('חד גזעי'!$AM$3 = "כן",IF(T483&gt;4,4,T483),T483)</f>
        <v>0</v>
      </c>
      <c r="P483" s="80">
        <f>IF(E483&lt;2,0,IF(Z483&gt;0,Z483,IF(N483 = 0,0,IF('חד גזעי'!$AM$2 = "לא",IF(F483&gt;19,W483,0),IF(F483&gt;9,Y483,0)))))</f>
        <v>0</v>
      </c>
      <c r="Q483" s="77"/>
      <c r="R483" s="75"/>
      <c r="S483" t="e">
        <f>VLOOKUP(C483,'חד גזעי'!$Y$4:$Y$18,1,0)</f>
        <v>#N/A</v>
      </c>
      <c r="T483" s="72">
        <f>IF('חד גזעי'!$AM$6="לא",IF(P483=0,IF(BC483="שימור",IF('חד גזעי'!$AM$4="לא",IF(BC483="לא בוגר",0,IF(BC483="לא קיים",0,IF(J483=0,0,I483*0.1))),IF(BC483="לא בוגר",0,IF(BC483="לא קיים",0,IF(AB483=1,I483*0.1,E483*0.5)))),0),IF('חד גזעי'!$AM$4="לא",IF(BC483="לא בוגר",0,IF(BC483="לא קיים",0,IF(J483=0,0,I483*0.1))),IF(BC483="לא בוגר",0,IF(BC483="לא קיים",0,IF(AB483=1,I483*0.1,E483*0.5))))),IF(P483=0,IF(BC483="שימור",IF('חד גזעי'!$AM$4="לא",IF(BC483="לא בוגר",0,IF(BC483="לא קיים",0,IF(J483=0,0,I483*0.15))),IF(BC483="לא בוגר",0,IF(BC483="לא קיים",0,IF(AB483=1,I483*0.15,E483*0.5)))),0),IF('חד גזעי'!$AM$4="לא",IF(BC483="לא בוגר",0,IF(BC483="לא קיים",0,IF(J483=0,0,I483*0.15))),IF(BC483="לא בוגר",0,IF(BC483="לא קיים",0,IF(AB483=1,I483*0.15,E483*0.5))))))</f>
        <v>0</v>
      </c>
      <c r="V483" t="e">
        <f t="shared" si="481"/>
        <v>#N/A</v>
      </c>
      <c r="W483" t="e">
        <f t="shared" si="482"/>
        <v>#N/A</v>
      </c>
      <c r="X483" t="e">
        <f t="shared" si="483"/>
        <v>#N/A</v>
      </c>
      <c r="Y483">
        <f>IF('חד גזעי'!$AM$2 = "לא",0,IF(F483&gt;9,W483,0))</f>
        <v>0</v>
      </c>
      <c r="Z483">
        <f>IF('חד גזעי'!$AM$7 = "לא",0,IF(C483 = "זית אירופי",IF('חד גזעי'!$AN$7 &lt;=סקר!F483,W483,0),IF(C483 = "חרוב מצוי",IF('חד גזעי'!$AN$7 &lt;=סקר!F483,W483,0),0)))</f>
        <v>0</v>
      </c>
      <c r="AB483">
        <f t="shared" si="498"/>
        <v>1</v>
      </c>
      <c r="AC483" s="72"/>
      <c r="AD483" t="e">
        <f t="shared" si="516"/>
        <v>#N/A</v>
      </c>
      <c r="AE483" s="72"/>
      <c r="AF483" s="72" t="e">
        <f t="shared" si="499"/>
        <v>#N/A</v>
      </c>
      <c r="AG483" s="72" t="e">
        <f>IF('חד גזעי'!$AM$5="לא",(VLOOKUP(C483,'חד גזעי'!$P$1:$S$589,3,FALSE)),(VLOOKUP(C483,'חד גזעי'!$P$1:$S$589,4,FALSE)))</f>
        <v>#N/A</v>
      </c>
      <c r="AH483" s="72">
        <f t="shared" si="500"/>
        <v>0</v>
      </c>
      <c r="AI483" s="72">
        <f t="shared" si="501"/>
        <v>0</v>
      </c>
      <c r="AJ483" s="72">
        <f t="shared" si="502"/>
        <v>0</v>
      </c>
      <c r="AK483" s="72" t="e">
        <f t="shared" si="503"/>
        <v>#N/A</v>
      </c>
      <c r="AL483" t="e">
        <f>VLOOKUP(C483,'חד גזעי'!$AH$8:$AI$33,2,FALSE)</f>
        <v>#N/A</v>
      </c>
      <c r="AM483" s="72" t="b">
        <f t="shared" si="504"/>
        <v>0</v>
      </c>
      <c r="AN483" s="72" t="b">
        <f t="shared" si="505"/>
        <v>0</v>
      </c>
      <c r="AO483" s="72" t="b">
        <f t="shared" si="506"/>
        <v>0</v>
      </c>
      <c r="AS483" s="72">
        <f t="shared" si="507"/>
        <v>0</v>
      </c>
      <c r="AT483" s="72">
        <f t="shared" si="508"/>
        <v>0</v>
      </c>
      <c r="AU483" s="72">
        <f t="shared" si="517"/>
        <v>0</v>
      </c>
      <c r="AV483" s="72">
        <f t="shared" si="509"/>
        <v>0</v>
      </c>
      <c r="AW483" s="72">
        <f t="shared" si="510"/>
        <v>0</v>
      </c>
      <c r="AX483" s="72">
        <f t="shared" si="511"/>
        <v>0</v>
      </c>
      <c r="AY483" s="72">
        <f t="shared" si="512"/>
        <v>0</v>
      </c>
      <c r="AZ483" s="72">
        <f t="shared" si="513"/>
        <v>0</v>
      </c>
      <c r="BA483" s="72" t="e">
        <f t="shared" si="514"/>
        <v>#N/A</v>
      </c>
      <c r="BB483" s="72" t="e">
        <f t="shared" si="515"/>
        <v>#N/A</v>
      </c>
      <c r="BC483" s="77"/>
      <c r="BE483">
        <f t="shared" si="495"/>
        <v>0</v>
      </c>
      <c r="BF483" s="196" t="str">
        <f>BF502</f>
        <v>C:\Users\origr\Pictures\0.jpg</v>
      </c>
      <c r="BG483" s="196" t="str">
        <f t="shared" ref="BG483:BK483" si="518">BG502</f>
        <v>C:\Users\origr\Pictures\0.jpg</v>
      </c>
      <c r="BH483" s="196" t="str">
        <f t="shared" si="518"/>
        <v>C:\Users\origr\Pictures\0.jpg</v>
      </c>
      <c r="BI483" s="196" t="str">
        <f t="shared" si="518"/>
        <v>C:\Users\origr\Pictures\0.jpg</v>
      </c>
      <c r="BJ483" s="196" t="str">
        <f t="shared" si="518"/>
        <v>C:\Users\origr\Pictures\0.jpg</v>
      </c>
      <c r="BK483" s="196" t="str">
        <f t="shared" si="518"/>
        <v>C:\Users\origr\Pictures\0.jpg</v>
      </c>
    </row>
    <row r="484" spans="2:63" hidden="1">
      <c r="B484" s="72"/>
      <c r="C484" s="135"/>
      <c r="D484" s="78"/>
      <c r="E484" s="78"/>
      <c r="F484" s="72"/>
      <c r="G484" s="72"/>
      <c r="H484" s="72"/>
      <c r="I484" s="73">
        <f t="shared" si="497"/>
        <v>0</v>
      </c>
      <c r="J484" s="78"/>
      <c r="K484" s="73"/>
      <c r="L484" s="74" t="e">
        <f>_xlfn.IFNA(VLOOKUP(C484,'חד גזעי'!$U$3:$V$509,2,0),VLOOKUP(C484,'חד גזעי'!$U$3:$V$509,2))</f>
        <v>#N/A</v>
      </c>
      <c r="M484" s="73"/>
      <c r="N484" s="72" t="e">
        <f>_xlfn.IFNA(IF(VLOOKUP(C484,'חד גזעי'!$AH$2:$AH$7,1,FALSE)&gt;0,0,IF('חד גזעי'!$AM$5="כן",IF(_xlfn.IFNA(VLOOKUP(C484,'חד גזעי'!$AH$2:$AH$33,1,FALSE),SUM(J484:M484))&lt;21,_xlfn.IFNA(VLOOKUP(C484,'חד גזעי'!$AH$2:$AH$33,1,FALSE),SUM(J484:M484)),0),SUM(J484:M484))),IF('חד גזעי'!$AM$5="כן",IF(_xlfn.IFNA(VLOOKUP(C484,'חד גזעי'!$AH$2:$AH$33,1,FALSE),SUM(J484:M484))&lt;21,_xlfn.IFNA(VLOOKUP(C484,'חד גזעי'!$AH$2:$AH$33,1,FALSE),SUM(J484:M484)),0),SUM(J484:M484)))</f>
        <v>#N/A</v>
      </c>
      <c r="O484" s="72">
        <f>IF('חד גזעי'!$AM$3 = "כן",IF(T484&gt;4,4,T484),T484)</f>
        <v>0</v>
      </c>
      <c r="P484" s="80">
        <f>IF(E484&lt;2,0,IF(Z484&gt;0,Z484,IF(N484 = 0,0,IF('חד גזעי'!$AM$2 = "לא",IF(F484&gt;19,W484,0),IF(F484&gt;9,Y484,0)))))</f>
        <v>0</v>
      </c>
      <c r="Q484" s="77"/>
      <c r="R484" s="76"/>
      <c r="S484" t="e">
        <f>VLOOKUP(C484,'חד גזעי'!$Y$4:$Y$18,1,0)</f>
        <v>#N/A</v>
      </c>
      <c r="T484" s="72">
        <f>IF('חד גזעי'!$AM$6="לא",IF(P484=0,IF(BC484="שימור",IF('חד גזעי'!$AM$4="לא",IF(BC484="לא בוגר",0,IF(BC484="לא קיים",0,IF(J484=0,0,I484*0.1))),IF(BC484="לא בוגר",0,IF(BC484="לא קיים",0,IF(AB484=1,I484*0.1,E484*0.5)))),0),IF('חד גזעי'!$AM$4="לא",IF(BC484="לא בוגר",0,IF(BC484="לא קיים",0,IF(J484=0,0,I484*0.1))),IF(BC484="לא בוגר",0,IF(BC484="לא קיים",0,IF(AB484=1,I484*0.1,E484*0.5))))),IF(P484=0,IF(BC484="שימור",IF('חד גזעי'!$AM$4="לא",IF(BC484="לא בוגר",0,IF(BC484="לא קיים",0,IF(J484=0,0,I484*0.15))),IF(BC484="לא בוגר",0,IF(BC484="לא קיים",0,IF(AB484=1,I484*0.15,E484*0.5)))),0),IF('חד גזעי'!$AM$4="לא",IF(BC484="לא בוגר",0,IF(BC484="לא קיים",0,IF(J484=0,0,I484*0.15))),IF(BC484="לא בוגר",0,IF(BC484="לא קיים",0,IF(AB484=1,I484*0.15,E484*0.5))))))</f>
        <v>0</v>
      </c>
      <c r="V484" t="e">
        <f t="shared" si="481"/>
        <v>#N/A</v>
      </c>
      <c r="W484" t="e">
        <f t="shared" si="482"/>
        <v>#N/A</v>
      </c>
      <c r="X484" t="e">
        <f t="shared" si="483"/>
        <v>#N/A</v>
      </c>
      <c r="Y484">
        <f>IF('חד גזעי'!$AM$2 = "לא",0,IF(F484&gt;9,W484,0))</f>
        <v>0</v>
      </c>
      <c r="Z484">
        <f>IF('חד גזעי'!$AM$7 = "לא",0,IF(C484 = "זית אירופי",IF('חד גזעי'!$AN$7 &lt;=סקר!F484,W484,0),IF(C484 = "חרוב מצוי",IF('חד גזעי'!$AN$7 &lt;=סקר!F484,W484,0),0)))</f>
        <v>0</v>
      </c>
      <c r="AB484">
        <f t="shared" si="498"/>
        <v>1</v>
      </c>
      <c r="AC484" s="72"/>
      <c r="AD484" t="e">
        <f t="shared" si="516"/>
        <v>#N/A</v>
      </c>
      <c r="AE484" s="72"/>
      <c r="AF484" s="72" t="e">
        <f t="shared" si="499"/>
        <v>#N/A</v>
      </c>
      <c r="AG484" s="72" t="e">
        <f>IF('חד גזעי'!$AM$5="לא",(VLOOKUP(C484,'חד גזעי'!$P$1:$S$589,3,FALSE)),(VLOOKUP(C484,'חד גזעי'!$P$1:$S$589,4,FALSE)))</f>
        <v>#N/A</v>
      </c>
      <c r="AH484" s="72">
        <f t="shared" si="500"/>
        <v>0</v>
      </c>
      <c r="AI484" s="72">
        <f t="shared" si="501"/>
        <v>0</v>
      </c>
      <c r="AJ484" s="72">
        <f t="shared" si="502"/>
        <v>0</v>
      </c>
      <c r="AK484" s="72" t="e">
        <f t="shared" si="503"/>
        <v>#N/A</v>
      </c>
      <c r="AL484" t="e">
        <f>VLOOKUP(C484,'חד גזעי'!$AH$8:$AI$33,2,FALSE)</f>
        <v>#N/A</v>
      </c>
      <c r="AM484" s="72" t="b">
        <f t="shared" si="504"/>
        <v>0</v>
      </c>
      <c r="AN484" s="72" t="b">
        <f t="shared" si="505"/>
        <v>0</v>
      </c>
      <c r="AO484" s="72" t="b">
        <f t="shared" si="506"/>
        <v>0</v>
      </c>
      <c r="AS484" s="72">
        <f t="shared" si="507"/>
        <v>0</v>
      </c>
      <c r="AT484" s="72">
        <f t="shared" si="508"/>
        <v>0</v>
      </c>
      <c r="AU484" s="72">
        <f t="shared" si="517"/>
        <v>0</v>
      </c>
      <c r="AV484" s="72">
        <f t="shared" si="509"/>
        <v>0</v>
      </c>
      <c r="AW484" s="72">
        <f t="shared" si="510"/>
        <v>0</v>
      </c>
      <c r="AX484" s="72">
        <f t="shared" si="511"/>
        <v>0</v>
      </c>
      <c r="AY484" s="72">
        <f t="shared" si="512"/>
        <v>0</v>
      </c>
      <c r="AZ484" s="72">
        <f t="shared" si="513"/>
        <v>0</v>
      </c>
      <c r="BA484" s="72" t="e">
        <f t="shared" si="514"/>
        <v>#N/A</v>
      </c>
      <c r="BB484" s="72" t="e">
        <f t="shared" si="515"/>
        <v>#N/A</v>
      </c>
      <c r="BC484" s="77"/>
      <c r="BE484">
        <f t="shared" si="495"/>
        <v>0</v>
      </c>
      <c r="BF484" s="196"/>
      <c r="BG484" s="196"/>
      <c r="BH484" s="196"/>
      <c r="BI484" s="196"/>
      <c r="BJ484" s="196"/>
      <c r="BK484" s="196"/>
    </row>
    <row r="485" spans="2:63" hidden="1">
      <c r="B485" s="72"/>
      <c r="C485" s="135"/>
      <c r="D485" s="78"/>
      <c r="E485" s="78"/>
      <c r="F485" s="72"/>
      <c r="G485" s="72"/>
      <c r="H485" s="72"/>
      <c r="I485" s="73">
        <f t="shared" si="497"/>
        <v>0</v>
      </c>
      <c r="J485" s="78"/>
      <c r="K485" s="73"/>
      <c r="L485" s="74" t="e">
        <f>_xlfn.IFNA(VLOOKUP(C485,'חד גזעי'!$U$3:$V$509,2,0),VLOOKUP(C485,'חד גזעי'!$U$3:$V$509,2))</f>
        <v>#N/A</v>
      </c>
      <c r="M485" s="73"/>
      <c r="N485" s="72" t="e">
        <f>_xlfn.IFNA(IF(VLOOKUP(C485,'חד גזעי'!$AH$2:$AH$7,1,FALSE)&gt;0,0,IF('חד גזעי'!$AM$5="כן",IF(_xlfn.IFNA(VLOOKUP(C485,'חד גזעי'!$AH$2:$AH$33,1,FALSE),SUM(J485:M485))&lt;21,_xlfn.IFNA(VLOOKUP(C485,'חד גזעי'!$AH$2:$AH$33,1,FALSE),SUM(J485:M485)),0),SUM(J485:M485))),IF('חד גזעי'!$AM$5="כן",IF(_xlfn.IFNA(VLOOKUP(C485,'חד גזעי'!$AH$2:$AH$33,1,FALSE),SUM(J485:M485))&lt;21,_xlfn.IFNA(VLOOKUP(C485,'חד גזעי'!$AH$2:$AH$33,1,FALSE),SUM(J485:M485)),0),SUM(J485:M485)))</f>
        <v>#N/A</v>
      </c>
      <c r="O485" s="72">
        <f>IF('חד גזעי'!$AM$3 = "כן",IF(T485&gt;4,4,T485),T485)</f>
        <v>0</v>
      </c>
      <c r="P485" s="80">
        <f>IF(E485&lt;2,0,IF(Z485&gt;0,Z485,IF(N485 = 0,0,IF('חד גזעי'!$AM$2 = "לא",IF(F485&gt;19,W485,0),IF(F485&gt;9,Y485,0)))))</f>
        <v>0</v>
      </c>
      <c r="Q485" s="77"/>
      <c r="R485" s="76"/>
      <c r="S485" t="e">
        <f>VLOOKUP(C485,'חד גזעי'!$Y$4:$Y$18,1,0)</f>
        <v>#N/A</v>
      </c>
      <c r="T485" s="72">
        <f>IF('חד גזעי'!$AM$6="לא",IF(P485=0,IF(BC485="שימור",IF('חד גזעי'!$AM$4="לא",IF(BC485="לא בוגר",0,IF(BC485="לא קיים",0,IF(J485=0,0,I485*0.1))),IF(BC485="לא בוגר",0,IF(BC485="לא קיים",0,IF(AB485=1,I485*0.1,E485*0.5)))),0),IF('חד גזעי'!$AM$4="לא",IF(BC485="לא בוגר",0,IF(BC485="לא קיים",0,IF(J485=0,0,I485*0.1))),IF(BC485="לא בוגר",0,IF(BC485="לא קיים",0,IF(AB485=1,I485*0.1,E485*0.5))))),IF(P485=0,IF(BC485="שימור",IF('חד גזעי'!$AM$4="לא",IF(BC485="לא בוגר",0,IF(BC485="לא קיים",0,IF(J485=0,0,I485*0.15))),IF(BC485="לא בוגר",0,IF(BC485="לא קיים",0,IF(AB485=1,I485*0.15,E485*0.5)))),0),IF('חד גזעי'!$AM$4="לא",IF(BC485="לא בוגר",0,IF(BC485="לא קיים",0,IF(J485=0,0,I485*0.15))),IF(BC485="לא בוגר",0,IF(BC485="לא קיים",0,IF(AB485=1,I485*0.15,E485*0.5))))))</f>
        <v>0</v>
      </c>
      <c r="V485" t="e">
        <f t="shared" si="481"/>
        <v>#N/A</v>
      </c>
      <c r="W485" t="e">
        <f t="shared" si="482"/>
        <v>#N/A</v>
      </c>
      <c r="X485" t="e">
        <f t="shared" si="483"/>
        <v>#N/A</v>
      </c>
      <c r="Y485">
        <f>IF('חד גזעי'!$AM$2 = "לא",0,IF(F485&gt;9,W485,0))</f>
        <v>0</v>
      </c>
      <c r="Z485">
        <f>IF('חד גזעי'!$AM$7 = "לא",0,IF(C485 = "זית אירופי",IF('חד גזעי'!$AN$7 &lt;=סקר!F485,W485,0),IF(C485 = "חרוב מצוי",IF('חד גזעי'!$AN$7 &lt;=סקר!F485,W485,0),0)))</f>
        <v>0</v>
      </c>
      <c r="AB485">
        <f t="shared" si="498"/>
        <v>1</v>
      </c>
      <c r="AC485" s="72"/>
      <c r="AD485" t="e">
        <f t="shared" si="516"/>
        <v>#N/A</v>
      </c>
      <c r="AE485" s="72"/>
      <c r="AF485" s="72" t="e">
        <f t="shared" si="499"/>
        <v>#N/A</v>
      </c>
      <c r="AG485" s="72" t="e">
        <f>IF('חד גזעי'!$AM$5="לא",(VLOOKUP(C485,'חד גזעי'!$P$1:$S$589,3,FALSE)),(VLOOKUP(C485,'חד גזעי'!$P$1:$S$589,4,FALSE)))</f>
        <v>#N/A</v>
      </c>
      <c r="AH485" s="72">
        <f t="shared" si="500"/>
        <v>0</v>
      </c>
      <c r="AI485" s="72">
        <f t="shared" si="501"/>
        <v>0</v>
      </c>
      <c r="AJ485" s="72">
        <f t="shared" si="502"/>
        <v>0</v>
      </c>
      <c r="AK485" s="72" t="e">
        <f t="shared" si="503"/>
        <v>#N/A</v>
      </c>
      <c r="AL485" t="e">
        <f>VLOOKUP(C485,'חד גזעי'!$AH$8:$AI$33,2,FALSE)</f>
        <v>#N/A</v>
      </c>
      <c r="AM485" s="72" t="b">
        <f t="shared" si="504"/>
        <v>0</v>
      </c>
      <c r="AN485" s="72" t="b">
        <f t="shared" si="505"/>
        <v>0</v>
      </c>
      <c r="AO485" s="72" t="b">
        <f t="shared" si="506"/>
        <v>0</v>
      </c>
      <c r="AS485" s="72">
        <f t="shared" si="507"/>
        <v>0</v>
      </c>
      <c r="AT485" s="72">
        <f t="shared" si="508"/>
        <v>0</v>
      </c>
      <c r="AU485" s="72">
        <f t="shared" si="517"/>
        <v>0</v>
      </c>
      <c r="AV485" s="72">
        <f t="shared" si="509"/>
        <v>0</v>
      </c>
      <c r="AW485" s="72">
        <f t="shared" si="510"/>
        <v>0</v>
      </c>
      <c r="AX485" s="72">
        <f t="shared" si="511"/>
        <v>0</v>
      </c>
      <c r="AY485" s="72">
        <f t="shared" si="512"/>
        <v>0</v>
      </c>
      <c r="AZ485" s="72">
        <f t="shared" si="513"/>
        <v>0</v>
      </c>
      <c r="BA485" s="72" t="e">
        <f t="shared" si="514"/>
        <v>#N/A</v>
      </c>
      <c r="BB485" s="72" t="e">
        <f t="shared" si="515"/>
        <v>#N/A</v>
      </c>
      <c r="BC485" s="77"/>
      <c r="BE485">
        <f t="shared" si="495"/>
        <v>0</v>
      </c>
      <c r="BF485" s="196"/>
      <c r="BG485" s="196"/>
      <c r="BH485" s="196"/>
      <c r="BI485" s="196"/>
      <c r="BJ485" s="196"/>
      <c r="BK485" s="196"/>
    </row>
    <row r="486" spans="2:63" hidden="1">
      <c r="B486" s="72"/>
      <c r="C486" s="135"/>
      <c r="D486" s="78"/>
      <c r="E486" s="78"/>
      <c r="F486" s="72"/>
      <c r="G486" s="72"/>
      <c r="H486" s="72"/>
      <c r="I486" s="73">
        <f t="shared" si="497"/>
        <v>0</v>
      </c>
      <c r="J486" s="78"/>
      <c r="K486" s="73"/>
      <c r="L486" s="74" t="e">
        <f>_xlfn.IFNA(VLOOKUP(C486,'חד גזעי'!$U$3:$V$509,2,0),VLOOKUP(C486,'חד גזעי'!$U$3:$V$509,2))</f>
        <v>#N/A</v>
      </c>
      <c r="M486" s="73"/>
      <c r="N486" s="72" t="e">
        <f>_xlfn.IFNA(IF(VLOOKUP(C486,'חד גזעי'!$AH$2:$AH$7,1,FALSE)&gt;0,0,IF('חד גזעי'!$AM$5="כן",IF(_xlfn.IFNA(VLOOKUP(C486,'חד גזעי'!$AH$2:$AH$33,1,FALSE),SUM(J486:M486))&lt;21,_xlfn.IFNA(VLOOKUP(C486,'חד גזעי'!$AH$2:$AH$33,1,FALSE),SUM(J486:M486)),0),SUM(J486:M486))),IF('חד גזעי'!$AM$5="כן",IF(_xlfn.IFNA(VLOOKUP(C486,'חד גזעי'!$AH$2:$AH$33,1,FALSE),SUM(J486:M486))&lt;21,_xlfn.IFNA(VLOOKUP(C486,'חד גזעי'!$AH$2:$AH$33,1,FALSE),SUM(J486:M486)),0),SUM(J486:M486)))</f>
        <v>#N/A</v>
      </c>
      <c r="O486" s="72">
        <f>IF('חד גזעי'!$AM$3 = "כן",IF(T486&gt;4,4,T486),T486)</f>
        <v>0</v>
      </c>
      <c r="P486" s="80">
        <f>IF(E486&lt;2,0,IF(Z486&gt;0,Z486,IF(N486 = 0,0,IF('חד גזעי'!$AM$2 = "לא",IF(F486&gt;19,W486,0),IF(F486&gt;9,Y486,0)))))</f>
        <v>0</v>
      </c>
      <c r="Q486" s="77"/>
      <c r="R486" s="75"/>
      <c r="S486" t="e">
        <f>VLOOKUP(C486,'חד גזעי'!$Y$4:$Y$18,1,0)</f>
        <v>#N/A</v>
      </c>
      <c r="T486" s="72">
        <f>IF('חד גזעי'!$AM$6="לא",IF(P486=0,IF(BC486="שימור",IF('חד גזעי'!$AM$4="לא",IF(BC486="לא בוגר",0,IF(BC486="לא קיים",0,IF(J486=0,0,I486*0.1))),IF(BC486="לא בוגר",0,IF(BC486="לא קיים",0,IF(AB486=1,I486*0.1,E486*0.5)))),0),IF('חד גזעי'!$AM$4="לא",IF(BC486="לא בוגר",0,IF(BC486="לא קיים",0,IF(J486=0,0,I486*0.1))),IF(BC486="לא בוגר",0,IF(BC486="לא קיים",0,IF(AB486=1,I486*0.1,E486*0.5))))),IF(P486=0,IF(BC486="שימור",IF('חד גזעי'!$AM$4="לא",IF(BC486="לא בוגר",0,IF(BC486="לא קיים",0,IF(J486=0,0,I486*0.15))),IF(BC486="לא בוגר",0,IF(BC486="לא קיים",0,IF(AB486=1,I486*0.15,E486*0.5)))),0),IF('חד גזעי'!$AM$4="לא",IF(BC486="לא בוגר",0,IF(BC486="לא קיים",0,IF(J486=0,0,I486*0.15))),IF(BC486="לא בוגר",0,IF(BC486="לא קיים",0,IF(AB486=1,I486*0.15,E486*0.5))))))</f>
        <v>0</v>
      </c>
      <c r="V486" t="e">
        <f t="shared" si="481"/>
        <v>#N/A</v>
      </c>
      <c r="W486" t="e">
        <f t="shared" si="482"/>
        <v>#N/A</v>
      </c>
      <c r="X486" t="e">
        <f t="shared" si="483"/>
        <v>#N/A</v>
      </c>
      <c r="Y486">
        <f>IF('חד גזעי'!$AM$2 = "לא",0,IF(F486&gt;9,W486,0))</f>
        <v>0</v>
      </c>
      <c r="Z486">
        <f>IF('חד גזעי'!$AM$7 = "לא",0,IF(C486 = "זית אירופי",IF('חד גזעי'!$AN$7 &lt;=סקר!F486,W486,0),IF(C486 = "חרוב מצוי",IF('חד גזעי'!$AN$7 &lt;=סקר!F486,W486,0),0)))</f>
        <v>0</v>
      </c>
      <c r="AB486">
        <f t="shared" si="498"/>
        <v>1</v>
      </c>
      <c r="AC486" s="72"/>
      <c r="AD486" t="e">
        <f t="shared" si="516"/>
        <v>#N/A</v>
      </c>
      <c r="AE486" s="72"/>
      <c r="AF486" s="72" t="e">
        <f t="shared" si="499"/>
        <v>#N/A</v>
      </c>
      <c r="AG486" s="72" t="e">
        <f>IF('חד גזעי'!$AM$5="לא",(VLOOKUP(C486,'חד גזעי'!$P$1:$S$589,3,FALSE)),(VLOOKUP(C486,'חד גזעי'!$P$1:$S$589,4,FALSE)))</f>
        <v>#N/A</v>
      </c>
      <c r="AH486" s="72">
        <f t="shared" si="500"/>
        <v>0</v>
      </c>
      <c r="AI486" s="72">
        <f t="shared" si="501"/>
        <v>0</v>
      </c>
      <c r="AJ486" s="72">
        <f t="shared" si="502"/>
        <v>0</v>
      </c>
      <c r="AK486" s="72" t="e">
        <f t="shared" si="503"/>
        <v>#N/A</v>
      </c>
      <c r="AL486" t="e">
        <f>VLOOKUP(C486,'חד גזעי'!$AH$8:$AI$33,2,FALSE)</f>
        <v>#N/A</v>
      </c>
      <c r="AM486" s="72" t="b">
        <f t="shared" si="504"/>
        <v>0</v>
      </c>
      <c r="AN486" s="72" t="b">
        <f t="shared" si="505"/>
        <v>0</v>
      </c>
      <c r="AO486" s="72" t="b">
        <f t="shared" si="506"/>
        <v>0</v>
      </c>
      <c r="AS486" s="72">
        <f t="shared" si="507"/>
        <v>0</v>
      </c>
      <c r="AT486" s="72">
        <f t="shared" si="508"/>
        <v>0</v>
      </c>
      <c r="AU486" s="72">
        <f t="shared" si="517"/>
        <v>0</v>
      </c>
      <c r="AV486" s="72">
        <f t="shared" si="509"/>
        <v>0</v>
      </c>
      <c r="AW486" s="72">
        <f t="shared" si="510"/>
        <v>0</v>
      </c>
      <c r="AX486" s="72">
        <f t="shared" si="511"/>
        <v>0</v>
      </c>
      <c r="AY486" s="72">
        <f t="shared" si="512"/>
        <v>0</v>
      </c>
      <c r="AZ486" s="72">
        <f t="shared" si="513"/>
        <v>0</v>
      </c>
      <c r="BA486" s="72" t="e">
        <f t="shared" si="514"/>
        <v>#N/A</v>
      </c>
      <c r="BB486" s="72" t="e">
        <f t="shared" si="515"/>
        <v>#N/A</v>
      </c>
      <c r="BC486" s="77"/>
      <c r="BE486">
        <f t="shared" si="495"/>
        <v>0</v>
      </c>
      <c r="BF486" s="196"/>
      <c r="BG486" s="196"/>
      <c r="BH486" s="196"/>
      <c r="BI486" s="196"/>
      <c r="BJ486" s="196"/>
      <c r="BK486" s="196"/>
    </row>
    <row r="487" spans="2:63" hidden="1">
      <c r="B487" s="72"/>
      <c r="C487" s="135"/>
      <c r="D487" s="78"/>
      <c r="E487" s="78"/>
      <c r="F487" s="72"/>
      <c r="G487" s="72"/>
      <c r="H487" s="72"/>
      <c r="I487" s="73">
        <f t="shared" si="497"/>
        <v>0</v>
      </c>
      <c r="J487" s="78"/>
      <c r="K487" s="73"/>
      <c r="L487" s="74" t="e">
        <f>_xlfn.IFNA(VLOOKUP(C487,'חד גזעי'!$U$3:$V$509,2,0),VLOOKUP(C487,'חד גזעי'!$U$3:$V$509,2))</f>
        <v>#N/A</v>
      </c>
      <c r="M487" s="73"/>
      <c r="N487" s="72" t="e">
        <f>_xlfn.IFNA(IF(VLOOKUP(C487,'חד גזעי'!$AH$2:$AH$7,1,FALSE)&gt;0,0,IF('חד גזעי'!$AM$5="כן",IF(_xlfn.IFNA(VLOOKUP(C487,'חד גזעי'!$AH$2:$AH$33,1,FALSE),SUM(J487:M487))&lt;21,_xlfn.IFNA(VLOOKUP(C487,'חד גזעי'!$AH$2:$AH$33,1,FALSE),SUM(J487:M487)),0),SUM(J487:M487))),IF('חד גזעי'!$AM$5="כן",IF(_xlfn.IFNA(VLOOKUP(C487,'חד גזעי'!$AH$2:$AH$33,1,FALSE),SUM(J487:M487))&lt;21,_xlfn.IFNA(VLOOKUP(C487,'חד גזעי'!$AH$2:$AH$33,1,FALSE),SUM(J487:M487)),0),SUM(J487:M487)))</f>
        <v>#N/A</v>
      </c>
      <c r="O487" s="72">
        <f>IF('חד גזעי'!$AM$3 = "כן",IF(T487&gt;4,4,T487),T487)</f>
        <v>0</v>
      </c>
      <c r="P487" s="80">
        <f>IF(E487&lt;2,0,IF(Z487&gt;0,Z487,IF(N487 = 0,0,IF('חד גזעי'!$AM$2 = "לא",IF(F487&gt;19,W487,0),IF(F487&gt;9,Y487,0)))))</f>
        <v>0</v>
      </c>
      <c r="Q487" s="77"/>
      <c r="R487" s="76"/>
      <c r="S487" t="e">
        <f>VLOOKUP(C487,'חד גזעי'!$Y$4:$Y$18,1,0)</f>
        <v>#N/A</v>
      </c>
      <c r="T487" s="72">
        <f>IF('חד גזעי'!$AM$6="לא",IF(P487=0,IF(BC487="שימור",IF('חד גזעי'!$AM$4="לא",IF(BC487="לא בוגר",0,IF(BC487="לא קיים",0,IF(J487=0,0,I487*0.1))),IF(BC487="לא בוגר",0,IF(BC487="לא קיים",0,IF(AB487=1,I487*0.1,E487*0.5)))),0),IF('חד גזעי'!$AM$4="לא",IF(BC487="לא בוגר",0,IF(BC487="לא קיים",0,IF(J487=0,0,I487*0.1))),IF(BC487="לא בוגר",0,IF(BC487="לא קיים",0,IF(AB487=1,I487*0.1,E487*0.5))))),IF(P487=0,IF(BC487="שימור",IF('חד גזעי'!$AM$4="לא",IF(BC487="לא בוגר",0,IF(BC487="לא קיים",0,IF(J487=0,0,I487*0.15))),IF(BC487="לא בוגר",0,IF(BC487="לא קיים",0,IF(AB487=1,I487*0.15,E487*0.5)))),0),IF('חד גזעי'!$AM$4="לא",IF(BC487="לא בוגר",0,IF(BC487="לא קיים",0,IF(J487=0,0,I487*0.15))),IF(BC487="לא בוגר",0,IF(BC487="לא קיים",0,IF(AB487=1,I487*0.15,E487*0.5))))))</f>
        <v>0</v>
      </c>
      <c r="V487" t="e">
        <f t="shared" si="481"/>
        <v>#N/A</v>
      </c>
      <c r="W487" t="e">
        <f t="shared" si="482"/>
        <v>#N/A</v>
      </c>
      <c r="X487" t="e">
        <f t="shared" si="483"/>
        <v>#N/A</v>
      </c>
      <c r="Y487">
        <f>IF('חד גזעי'!$AM$2 = "לא",0,IF(F487&gt;9,W487,0))</f>
        <v>0</v>
      </c>
      <c r="Z487">
        <f>IF('חד גזעי'!$AM$7 = "לא",0,IF(C487 = "זית אירופי",IF('חד גזעי'!$AN$7 &lt;=סקר!F487,W487,0),IF(C487 = "חרוב מצוי",IF('חד גזעי'!$AN$7 &lt;=סקר!F487,W487,0),0)))</f>
        <v>0</v>
      </c>
      <c r="AB487">
        <f t="shared" si="498"/>
        <v>1</v>
      </c>
      <c r="AC487" s="72"/>
      <c r="AD487" t="e">
        <f t="shared" si="516"/>
        <v>#N/A</v>
      </c>
      <c r="AE487" s="72"/>
      <c r="AF487" s="72" t="e">
        <f t="shared" si="499"/>
        <v>#N/A</v>
      </c>
      <c r="AG487" s="72" t="e">
        <f>IF('חד גזעי'!$AM$5="לא",(VLOOKUP(C487,'חד גזעי'!$P$1:$S$589,3,FALSE)),(VLOOKUP(C487,'חד גזעי'!$P$1:$S$589,4,FALSE)))</f>
        <v>#N/A</v>
      </c>
      <c r="AH487" s="72">
        <f t="shared" si="500"/>
        <v>0</v>
      </c>
      <c r="AI487" s="72">
        <f t="shared" si="501"/>
        <v>0</v>
      </c>
      <c r="AJ487" s="72">
        <f t="shared" si="502"/>
        <v>0</v>
      </c>
      <c r="AK487" s="72" t="e">
        <f t="shared" si="503"/>
        <v>#N/A</v>
      </c>
      <c r="AL487" t="e">
        <f>VLOOKUP(C487,'חד גזעי'!$AH$8:$AI$33,2,FALSE)</f>
        <v>#N/A</v>
      </c>
      <c r="AM487" s="72" t="b">
        <f t="shared" si="504"/>
        <v>0</v>
      </c>
      <c r="AN487" s="72" t="b">
        <f t="shared" si="505"/>
        <v>0</v>
      </c>
      <c r="AO487" s="72" t="b">
        <f t="shared" si="506"/>
        <v>0</v>
      </c>
      <c r="AS487" s="72">
        <f t="shared" si="507"/>
        <v>0</v>
      </c>
      <c r="AT487" s="72">
        <f t="shared" si="508"/>
        <v>0</v>
      </c>
      <c r="AU487" s="72">
        <f t="shared" si="517"/>
        <v>0</v>
      </c>
      <c r="AV487" s="72">
        <f t="shared" si="509"/>
        <v>0</v>
      </c>
      <c r="AW487" s="72">
        <f t="shared" si="510"/>
        <v>0</v>
      </c>
      <c r="AX487" s="72">
        <f t="shared" si="511"/>
        <v>0</v>
      </c>
      <c r="AY487" s="72">
        <f t="shared" si="512"/>
        <v>0</v>
      </c>
      <c r="AZ487" s="72">
        <f t="shared" si="513"/>
        <v>0</v>
      </c>
      <c r="BA487" s="72" t="e">
        <f t="shared" si="514"/>
        <v>#N/A</v>
      </c>
      <c r="BB487" s="72" t="e">
        <f t="shared" si="515"/>
        <v>#N/A</v>
      </c>
      <c r="BC487" s="77"/>
      <c r="BE487">
        <f t="shared" si="495"/>
        <v>0</v>
      </c>
      <c r="BF487" s="196"/>
      <c r="BG487" s="196"/>
      <c r="BH487" s="196"/>
      <c r="BI487" s="196"/>
      <c r="BJ487" s="196"/>
      <c r="BK487" s="196"/>
    </row>
    <row r="488" spans="2:63" hidden="1">
      <c r="B488" s="72"/>
      <c r="C488" s="135"/>
      <c r="D488" s="78"/>
      <c r="E488" s="78"/>
      <c r="F488" s="72"/>
      <c r="G488" s="72"/>
      <c r="H488" s="72"/>
      <c r="I488" s="73">
        <f t="shared" si="497"/>
        <v>0</v>
      </c>
      <c r="J488" s="78"/>
      <c r="K488" s="73"/>
      <c r="L488" s="74" t="e">
        <f>_xlfn.IFNA(VLOOKUP(C488,'חד גזעי'!$U$3:$V$509,2,0),VLOOKUP(C488,'חד גזעי'!$U$3:$V$509,2))</f>
        <v>#N/A</v>
      </c>
      <c r="M488" s="102"/>
      <c r="N488" s="72" t="e">
        <f>_xlfn.IFNA(IF(VLOOKUP(C488,'חד גזעי'!$AH$2:$AH$7,1,FALSE)&gt;0,0,IF('חד גזעי'!$AM$5="כן",IF(_xlfn.IFNA(VLOOKUP(C488,'חד גזעי'!$AH$2:$AH$33,1,FALSE),SUM(J488:M488))&lt;21,_xlfn.IFNA(VLOOKUP(C488,'חד גזעי'!$AH$2:$AH$33,1,FALSE),SUM(J488:M488)),0),SUM(J488:M488))),IF('חד גזעי'!$AM$5="כן",IF(_xlfn.IFNA(VLOOKUP(C488,'חד גזעי'!$AH$2:$AH$33,1,FALSE),SUM(J488:M488))&lt;21,_xlfn.IFNA(VLOOKUP(C488,'חד גזעי'!$AH$2:$AH$33,1,FALSE),SUM(J488:M488)),0),SUM(J488:M488)))</f>
        <v>#N/A</v>
      </c>
      <c r="O488" s="72">
        <f>IF('חד גזעי'!$AM$3 = "כן",IF(T488&gt;4,4,T488),T488)</f>
        <v>0</v>
      </c>
      <c r="P488" s="80">
        <f>IF(E488&lt;2,0,IF(Z488&gt;0,Z488,IF(N488 = 0,0,IF('חד גזעי'!$AM$2 = "לא",IF(F488&gt;19,W488,0),IF(F488&gt;9,Y488,0)))))</f>
        <v>0</v>
      </c>
      <c r="Q488" s="77"/>
      <c r="R488" s="76"/>
      <c r="S488" t="e">
        <f>VLOOKUP(C488,'חד גזעי'!$Y$4:$Y$18,1,0)</f>
        <v>#N/A</v>
      </c>
      <c r="T488" s="72">
        <f>IF('חד גזעי'!$AM$6="לא",IF(P488=0,IF(BC488="שימור",IF('חד גזעי'!$AM$4="לא",IF(BC488="לא בוגר",0,IF(BC488="לא קיים",0,IF(J488=0,0,I488*0.1))),IF(BC488="לא בוגר",0,IF(BC488="לא קיים",0,IF(AB488=1,I488*0.1,E488*0.5)))),0),IF('חד גזעי'!$AM$4="לא",IF(BC488="לא בוגר",0,IF(BC488="לא קיים",0,IF(J488=0,0,I488*0.1))),IF(BC488="לא בוגר",0,IF(BC488="לא קיים",0,IF(AB488=1,I488*0.1,E488*0.5))))),IF(P488=0,IF(BC488="שימור",IF('חד גזעי'!$AM$4="לא",IF(BC488="לא בוגר",0,IF(BC488="לא קיים",0,IF(J488=0,0,I488*0.15))),IF(BC488="לא בוגר",0,IF(BC488="לא קיים",0,IF(AB488=1,I488*0.15,E488*0.5)))),0),IF('חד גזעי'!$AM$4="לא",IF(BC488="לא בוגר",0,IF(BC488="לא קיים",0,IF(J488=0,0,I488*0.15))),IF(BC488="לא בוגר",0,IF(BC488="לא קיים",0,IF(AB488=1,I488*0.15,E488*0.5))))))</f>
        <v>0</v>
      </c>
      <c r="V488" t="e">
        <f t="shared" si="481"/>
        <v>#N/A</v>
      </c>
      <c r="W488" t="e">
        <f t="shared" si="482"/>
        <v>#N/A</v>
      </c>
      <c r="X488" t="e">
        <f t="shared" si="483"/>
        <v>#N/A</v>
      </c>
      <c r="Y488">
        <f>IF('חד גזעי'!$AM$2 = "לא",0,IF(F488&gt;9,W488,0))</f>
        <v>0</v>
      </c>
      <c r="Z488">
        <f>IF('חד גזעי'!$AM$7 = "לא",0,IF(C488 = "זית אירופי",IF('חד גזעי'!$AN$7 &lt;=סקר!F488,W488,0),IF(C488 = "חרוב מצוי",IF('חד גזעי'!$AN$7 &lt;=סקר!F488,W488,0),0)))</f>
        <v>0</v>
      </c>
      <c r="AB488">
        <f t="shared" si="498"/>
        <v>1</v>
      </c>
      <c r="AC488" s="72"/>
      <c r="AD488" t="e">
        <f t="shared" si="516"/>
        <v>#N/A</v>
      </c>
      <c r="AE488" s="72"/>
      <c r="AF488" s="72" t="e">
        <f t="shared" si="499"/>
        <v>#N/A</v>
      </c>
      <c r="AG488" s="72" t="e">
        <f>IF('חד גזעי'!$AM$5="לא",(VLOOKUP(C488,'חד גזעי'!$P$1:$S$589,3,FALSE)),(VLOOKUP(C488,'חד גזעי'!$P$1:$S$589,4,FALSE)))</f>
        <v>#N/A</v>
      </c>
      <c r="AH488" s="72">
        <f t="shared" si="500"/>
        <v>0</v>
      </c>
      <c r="AI488" s="72">
        <f t="shared" si="501"/>
        <v>0</v>
      </c>
      <c r="AJ488" s="72">
        <f t="shared" si="502"/>
        <v>0</v>
      </c>
      <c r="AK488" s="72" t="e">
        <f t="shared" si="503"/>
        <v>#N/A</v>
      </c>
      <c r="AL488" t="e">
        <f>VLOOKUP(C488,'חד גזעי'!$AH$8:$AI$33,2,FALSE)</f>
        <v>#N/A</v>
      </c>
      <c r="AM488" s="72" t="b">
        <f t="shared" si="504"/>
        <v>0</v>
      </c>
      <c r="AN488" s="72" t="b">
        <f t="shared" si="505"/>
        <v>0</v>
      </c>
      <c r="AO488" s="72" t="b">
        <f t="shared" si="506"/>
        <v>0</v>
      </c>
      <c r="AS488" s="72">
        <f t="shared" si="507"/>
        <v>0</v>
      </c>
      <c r="AT488" s="72">
        <f t="shared" si="508"/>
        <v>0</v>
      </c>
      <c r="AU488" s="72">
        <f t="shared" si="517"/>
        <v>0</v>
      </c>
      <c r="AV488" s="72">
        <f t="shared" si="509"/>
        <v>0</v>
      </c>
      <c r="AW488" s="72">
        <f t="shared" si="510"/>
        <v>0</v>
      </c>
      <c r="AX488" s="72">
        <f t="shared" si="511"/>
        <v>0</v>
      </c>
      <c r="AY488" s="72">
        <f t="shared" si="512"/>
        <v>0</v>
      </c>
      <c r="AZ488" s="72">
        <f t="shared" si="513"/>
        <v>0</v>
      </c>
      <c r="BA488" s="72" t="e">
        <f t="shared" si="514"/>
        <v>#N/A</v>
      </c>
      <c r="BB488" s="72" t="e">
        <f t="shared" si="515"/>
        <v>#N/A</v>
      </c>
      <c r="BC488" s="77"/>
      <c r="BE488">
        <f t="shared" si="495"/>
        <v>0</v>
      </c>
      <c r="BF488" s="196"/>
      <c r="BG488" s="196"/>
      <c r="BH488" s="196"/>
      <c r="BI488" s="196"/>
      <c r="BJ488" s="196"/>
      <c r="BK488" s="196"/>
    </row>
    <row r="489" spans="2:63" hidden="1">
      <c r="B489" s="72"/>
      <c r="C489" s="135"/>
      <c r="D489" s="73"/>
      <c r="E489" s="73"/>
      <c r="F489" s="72"/>
      <c r="G489" s="72"/>
      <c r="H489" s="72"/>
      <c r="I489" s="73">
        <f t="shared" si="497"/>
        <v>0</v>
      </c>
      <c r="J489" s="73"/>
      <c r="K489" s="73"/>
      <c r="L489" s="74" t="e">
        <f>_xlfn.IFNA(VLOOKUP(C489,'חד גזעי'!$U$3:$V$509,2,0),VLOOKUP(C489,'חד גזעי'!$U$3:$V$509,2))</f>
        <v>#N/A</v>
      </c>
      <c r="M489" s="73"/>
      <c r="N489" s="72" t="e">
        <f>_xlfn.IFNA(IF(VLOOKUP(C489,'חד גזעי'!$AH$2:$AH$7,1,FALSE)&gt;0,0,IF('חד גזעי'!$AM$5="כן",IF(_xlfn.IFNA(VLOOKUP(C489,'חד גזעי'!$AH$2:$AH$33,1,FALSE),SUM(J489:M489))&lt;21,_xlfn.IFNA(VLOOKUP(C489,'חד גזעי'!$AH$2:$AH$33,1,FALSE),SUM(J489:M489)),0),SUM(J489:M489))),IF('חד גזעי'!$AM$5="כן",IF(_xlfn.IFNA(VLOOKUP(C489,'חד גזעי'!$AH$2:$AH$33,1,FALSE),SUM(J489:M489))&lt;21,_xlfn.IFNA(VLOOKUP(C489,'חד גזעי'!$AH$2:$AH$33,1,FALSE),SUM(J489:M489)),0),SUM(J489:M489)))</f>
        <v>#N/A</v>
      </c>
      <c r="O489" s="72">
        <f>IF('חד גזעי'!$AM$3 = "כן",IF(T489&gt;4,4,T489),T489)</f>
        <v>0</v>
      </c>
      <c r="P489" s="80">
        <f>IF(E489&lt;2,0,IF(Z489&gt;0,Z489,IF(N489 = 0,0,IF('חד גזעי'!$AM$2 = "לא",IF(F489&gt;19,W489,0),IF(F489&gt;9,Y489,0)))))</f>
        <v>0</v>
      </c>
      <c r="Q489" s="77"/>
      <c r="R489" s="76"/>
      <c r="S489" t="e">
        <f>VLOOKUP(C489,'חד גזעי'!$Y$4:$Y$18,1,0)</f>
        <v>#N/A</v>
      </c>
      <c r="T489" s="72">
        <f>IF('חד גזעי'!$AM$6="לא",IF(P489=0,IF(BC489="שימור",IF('חד גזעי'!$AM$4="לא",IF(BC489="לא בוגר",0,IF(BC489="לא קיים",0,IF(J489=0,0,I489*0.1))),IF(BC489="לא בוגר",0,IF(BC489="לא קיים",0,IF(AB489=1,I489*0.1,E489*0.5)))),0),IF('חד גזעי'!$AM$4="לא",IF(BC489="לא בוגר",0,IF(BC489="לא קיים",0,IF(J489=0,0,I489*0.1))),IF(BC489="לא בוגר",0,IF(BC489="לא קיים",0,IF(AB489=1,I489*0.1,E489*0.5))))),IF(P489=0,IF(BC489="שימור",IF('חד גזעי'!$AM$4="לא",IF(BC489="לא בוגר",0,IF(BC489="לא קיים",0,IF(J489=0,0,I489*0.15))),IF(BC489="לא בוגר",0,IF(BC489="לא קיים",0,IF(AB489=1,I489*0.15,E489*0.5)))),0),IF('חד גזעי'!$AM$4="לא",IF(BC489="לא בוגר",0,IF(BC489="לא קיים",0,IF(J489=0,0,I489*0.15))),IF(BC489="לא בוגר",0,IF(BC489="לא קיים",0,IF(AB489=1,I489*0.15,E489*0.5))))))</f>
        <v>0</v>
      </c>
      <c r="V489" t="e">
        <f t="shared" si="481"/>
        <v>#N/A</v>
      </c>
      <c r="W489" t="e">
        <f t="shared" si="482"/>
        <v>#N/A</v>
      </c>
      <c r="X489" t="e">
        <f t="shared" si="483"/>
        <v>#N/A</v>
      </c>
      <c r="Y489">
        <f>IF('חד גזעי'!$AM$2 = "לא",0,IF(F489&gt;9,W489,0))</f>
        <v>0</v>
      </c>
      <c r="Z489">
        <f>IF('חד גזעי'!$AM$7 = "לא",0,IF(C489 = "זית אירופי",IF('חד גזעי'!$AN$7 &lt;=סקר!F489,W489,0),IF(C489 = "חרוב מצוי",IF('חד גזעי'!$AN$7 &lt;=סקר!F489,W489,0),0)))</f>
        <v>0</v>
      </c>
      <c r="AB489">
        <f t="shared" si="498"/>
        <v>1</v>
      </c>
      <c r="AC489" s="72"/>
      <c r="AD489" t="e">
        <f t="shared" si="516"/>
        <v>#N/A</v>
      </c>
      <c r="AE489" s="72"/>
      <c r="AF489" s="72" t="e">
        <f t="shared" si="499"/>
        <v>#N/A</v>
      </c>
      <c r="AG489" s="72" t="e">
        <f>IF('חד גזעי'!$AM$5="לא",(VLOOKUP(C489,'חד גזעי'!$P$1:$S$589,3,FALSE)),(VLOOKUP(C489,'חד גזעי'!$P$1:$S$589,4,FALSE)))</f>
        <v>#N/A</v>
      </c>
      <c r="AH489" s="72">
        <f t="shared" si="500"/>
        <v>0</v>
      </c>
      <c r="AI489" s="72">
        <f t="shared" si="501"/>
        <v>0</v>
      </c>
      <c r="AJ489" s="72">
        <f t="shared" si="502"/>
        <v>0</v>
      </c>
      <c r="AK489" s="72" t="e">
        <f t="shared" si="503"/>
        <v>#N/A</v>
      </c>
      <c r="AL489" t="e">
        <f>VLOOKUP(C489,'חד גזעי'!$AH$8:$AI$33,2,FALSE)</f>
        <v>#N/A</v>
      </c>
      <c r="AM489" s="72" t="b">
        <f t="shared" si="504"/>
        <v>0</v>
      </c>
      <c r="AN489" s="72" t="b">
        <f t="shared" si="505"/>
        <v>0</v>
      </c>
      <c r="AO489" s="72" t="b">
        <f t="shared" si="506"/>
        <v>0</v>
      </c>
      <c r="AS489" s="72">
        <f t="shared" si="507"/>
        <v>0</v>
      </c>
      <c r="AT489" s="72">
        <f t="shared" si="508"/>
        <v>0</v>
      </c>
      <c r="AU489" s="72">
        <f t="shared" si="517"/>
        <v>0</v>
      </c>
      <c r="AV489" s="72">
        <f t="shared" si="509"/>
        <v>0</v>
      </c>
      <c r="AW489" s="72">
        <f t="shared" si="510"/>
        <v>0</v>
      </c>
      <c r="AX489" s="72">
        <f t="shared" si="511"/>
        <v>0</v>
      </c>
      <c r="AY489" s="72">
        <f t="shared" si="512"/>
        <v>0</v>
      </c>
      <c r="AZ489" s="72">
        <f t="shared" si="513"/>
        <v>0</v>
      </c>
      <c r="BA489" s="72" t="e">
        <f t="shared" si="514"/>
        <v>#N/A</v>
      </c>
      <c r="BB489" s="72" t="e">
        <f t="shared" si="515"/>
        <v>#N/A</v>
      </c>
      <c r="BC489" s="77"/>
      <c r="BE489">
        <f t="shared" si="495"/>
        <v>0</v>
      </c>
      <c r="BF489" s="196"/>
      <c r="BG489" s="196"/>
      <c r="BH489" s="196"/>
      <c r="BI489" s="196"/>
      <c r="BJ489" s="196"/>
      <c r="BK489" s="196"/>
    </row>
    <row r="490" spans="2:63" hidden="1">
      <c r="B490" s="72"/>
      <c r="C490" s="135"/>
      <c r="D490" s="73"/>
      <c r="E490" s="73"/>
      <c r="F490" s="72"/>
      <c r="G490" s="72"/>
      <c r="H490" s="72"/>
      <c r="I490" s="73">
        <f t="shared" si="497"/>
        <v>0</v>
      </c>
      <c r="J490" s="73"/>
      <c r="K490" s="73"/>
      <c r="L490" s="74" t="e">
        <f>_xlfn.IFNA(VLOOKUP(C490,'חד גזעי'!$U$3:$V$509,2,0),VLOOKUP(C490,'חד גזעי'!$U$3:$V$509,2))</f>
        <v>#N/A</v>
      </c>
      <c r="M490" s="73"/>
      <c r="N490" s="72" t="e">
        <f>_xlfn.IFNA(IF(VLOOKUP(C490,'חד גזעי'!$AH$2:$AH$7,1,FALSE)&gt;0,0,IF('חד גזעי'!$AM$5="כן",IF(_xlfn.IFNA(VLOOKUP(C490,'חד גזעי'!$AH$2:$AH$33,1,FALSE),SUM(J490:M490))&lt;21,_xlfn.IFNA(VLOOKUP(C490,'חד גזעי'!$AH$2:$AH$33,1,FALSE),SUM(J490:M490)),0),SUM(J490:M490))),IF('חד גזעי'!$AM$5="כן",IF(_xlfn.IFNA(VLOOKUP(C490,'חד גזעי'!$AH$2:$AH$33,1,FALSE),SUM(J490:M490))&lt;21,_xlfn.IFNA(VLOOKUP(C490,'חד גזעי'!$AH$2:$AH$33,1,FALSE),SUM(J490:M490)),0),SUM(J490:M490)))</f>
        <v>#N/A</v>
      </c>
      <c r="O490" s="72">
        <f>IF('חד גזעי'!$AM$3 = "כן",IF(T490&gt;4,4,T490),T490)</f>
        <v>0</v>
      </c>
      <c r="P490" s="80">
        <f>IF(E490&lt;2,0,IF(Z490&gt;0,Z490,IF(N490 = 0,0,IF('חד גזעי'!$AM$2 = "לא",IF(F490&gt;19,W490,0),IF(F490&gt;9,Y490,0)))))</f>
        <v>0</v>
      </c>
      <c r="Q490" s="77"/>
      <c r="R490" s="76"/>
      <c r="S490" t="e">
        <f>VLOOKUP(C490,'חד גזעי'!$Y$4:$Y$18,1,0)</f>
        <v>#N/A</v>
      </c>
      <c r="T490" s="72">
        <f>IF('חד גזעי'!$AM$6="לא",IF(P490=0,IF(BC490="שימור",IF('חד גזעי'!$AM$4="לא",IF(BC490="לא בוגר",0,IF(BC490="לא קיים",0,IF(J490=0,0,I490*0.1))),IF(BC490="לא בוגר",0,IF(BC490="לא קיים",0,IF(AB490=1,I490*0.1,E490*0.5)))),0),IF('חד גזעי'!$AM$4="לא",IF(BC490="לא בוגר",0,IF(BC490="לא קיים",0,IF(J490=0,0,I490*0.1))),IF(BC490="לא בוגר",0,IF(BC490="לא קיים",0,IF(AB490=1,I490*0.1,E490*0.5))))),IF(P490=0,IF(BC490="שימור",IF('חד גזעי'!$AM$4="לא",IF(BC490="לא בוגר",0,IF(BC490="לא קיים",0,IF(J490=0,0,I490*0.15))),IF(BC490="לא בוגר",0,IF(BC490="לא קיים",0,IF(AB490=1,I490*0.15,E490*0.5)))),0),IF('חד גזעי'!$AM$4="לא",IF(BC490="לא בוגר",0,IF(BC490="לא קיים",0,IF(J490=0,0,I490*0.15))),IF(BC490="לא בוגר",0,IF(BC490="לא קיים",0,IF(AB490=1,I490*0.15,E490*0.5))))))</f>
        <v>0</v>
      </c>
      <c r="V490" t="e">
        <f t="shared" si="481"/>
        <v>#N/A</v>
      </c>
      <c r="W490" t="e">
        <f t="shared" si="482"/>
        <v>#N/A</v>
      </c>
      <c r="X490" t="e">
        <f t="shared" si="483"/>
        <v>#N/A</v>
      </c>
      <c r="Y490">
        <f>IF('חד גזעי'!$AM$2 = "לא",0,IF(F490&gt;9,W490,0))</f>
        <v>0</v>
      </c>
      <c r="Z490">
        <f>IF('חד גזעי'!$AM$7 = "לא",0,IF(C490 = "זית אירופי",IF('חד גזעי'!$AN$7 &lt;=סקר!F490,W490,0),IF(C490 = "חרוב מצוי",IF('חד גזעי'!$AN$7 &lt;=סקר!F490,W490,0),0)))</f>
        <v>0</v>
      </c>
      <c r="AB490">
        <f t="shared" si="498"/>
        <v>1</v>
      </c>
      <c r="AC490" s="72"/>
      <c r="AD490" t="e">
        <f t="shared" si="516"/>
        <v>#N/A</v>
      </c>
      <c r="AE490" s="72"/>
      <c r="AF490" s="72" t="e">
        <f t="shared" si="499"/>
        <v>#N/A</v>
      </c>
      <c r="AG490" s="72" t="e">
        <f>IF('חד גזעי'!$AM$5="לא",(VLOOKUP(C490,'חד גזעי'!$P$1:$S$589,3,FALSE)),(VLOOKUP(C490,'חד גזעי'!$P$1:$S$589,4,FALSE)))</f>
        <v>#N/A</v>
      </c>
      <c r="AH490" s="72">
        <f t="shared" si="500"/>
        <v>0</v>
      </c>
      <c r="AI490" s="72">
        <f t="shared" si="501"/>
        <v>0</v>
      </c>
      <c r="AJ490" s="72">
        <f t="shared" si="502"/>
        <v>0</v>
      </c>
      <c r="AK490" s="72" t="e">
        <f t="shared" si="503"/>
        <v>#N/A</v>
      </c>
      <c r="AL490" t="e">
        <f>VLOOKUP(C490,'חד גזעי'!$AH$8:$AI$33,2,FALSE)</f>
        <v>#N/A</v>
      </c>
      <c r="AM490" s="72" t="b">
        <f t="shared" si="504"/>
        <v>0</v>
      </c>
      <c r="AN490" s="72" t="b">
        <f t="shared" si="505"/>
        <v>0</v>
      </c>
      <c r="AO490" s="72" t="b">
        <f t="shared" si="506"/>
        <v>0</v>
      </c>
      <c r="AS490" s="72">
        <f t="shared" si="507"/>
        <v>0</v>
      </c>
      <c r="AT490" s="72">
        <f t="shared" si="508"/>
        <v>0</v>
      </c>
      <c r="AU490" s="72">
        <f t="shared" si="517"/>
        <v>0</v>
      </c>
      <c r="AV490" s="72">
        <f t="shared" si="509"/>
        <v>0</v>
      </c>
      <c r="AW490" s="72">
        <f t="shared" si="510"/>
        <v>0</v>
      </c>
      <c r="AX490" s="72">
        <f t="shared" si="511"/>
        <v>0</v>
      </c>
      <c r="AY490" s="72">
        <f t="shared" si="512"/>
        <v>0</v>
      </c>
      <c r="AZ490" s="72">
        <f t="shared" si="513"/>
        <v>0</v>
      </c>
      <c r="BA490" s="72" t="e">
        <f t="shared" si="514"/>
        <v>#N/A</v>
      </c>
      <c r="BB490" s="72" t="e">
        <f t="shared" si="515"/>
        <v>#N/A</v>
      </c>
      <c r="BC490" s="77"/>
      <c r="BE490">
        <f t="shared" si="495"/>
        <v>0</v>
      </c>
      <c r="BF490" s="196"/>
      <c r="BG490" s="196"/>
      <c r="BH490" s="196"/>
      <c r="BI490" s="196"/>
      <c r="BJ490" s="196"/>
      <c r="BK490" s="196"/>
    </row>
    <row r="491" spans="2:63" hidden="1">
      <c r="B491" s="72"/>
      <c r="C491" s="135"/>
      <c r="D491" s="73"/>
      <c r="E491" s="73"/>
      <c r="F491" s="72"/>
      <c r="G491" s="72"/>
      <c r="H491" s="72"/>
      <c r="I491" s="73">
        <f t="shared" si="497"/>
        <v>0</v>
      </c>
      <c r="J491" s="73"/>
      <c r="K491" s="73"/>
      <c r="L491" s="74" t="e">
        <f>_xlfn.IFNA(VLOOKUP(C491,'חד גזעי'!$U$3:$V$509,2,0),VLOOKUP(C491,'חד גזעי'!$U$3:$V$509,2))</f>
        <v>#N/A</v>
      </c>
      <c r="M491" s="73"/>
      <c r="N491" s="72" t="e">
        <f>_xlfn.IFNA(IF(VLOOKUP(C491,'חד גזעי'!$AH$2:$AH$7,1,FALSE)&gt;0,0,IF('חד גזעי'!$AM$5="כן",IF(_xlfn.IFNA(VLOOKUP(C491,'חד גזעי'!$AH$2:$AH$33,1,FALSE),SUM(J491:M491))&lt;21,_xlfn.IFNA(VLOOKUP(C491,'חד גזעי'!$AH$2:$AH$33,1,FALSE),SUM(J491:M491)),0),SUM(J491:M491))),IF('חד גזעי'!$AM$5="כן",IF(_xlfn.IFNA(VLOOKUP(C491,'חד גזעי'!$AH$2:$AH$33,1,FALSE),SUM(J491:M491))&lt;21,_xlfn.IFNA(VLOOKUP(C491,'חד גזעי'!$AH$2:$AH$33,1,FALSE),SUM(J491:M491)),0),SUM(J491:M491)))</f>
        <v>#N/A</v>
      </c>
      <c r="O491" s="72">
        <f>IF('חד גזעי'!$AM$3 = "כן",IF(T491&gt;4,4,T491),T491)</f>
        <v>0</v>
      </c>
      <c r="P491" s="80">
        <f>IF(E491&lt;2,0,IF(Z491&gt;0,Z491,IF(N491 = 0,0,IF('חד גזעי'!$AM$2 = "לא",IF(F491&gt;19,W491,0),IF(F491&gt;9,Y491,0)))))</f>
        <v>0</v>
      </c>
      <c r="Q491" s="77"/>
      <c r="R491" s="76"/>
      <c r="S491" t="e">
        <f>VLOOKUP(C491,'חד גזעי'!$Y$4:$Y$18,1,0)</f>
        <v>#N/A</v>
      </c>
      <c r="T491" s="72">
        <f>IF('חד גזעי'!$AM$6="לא",IF(P491=0,IF(BC491="שימור",IF('חד גזעי'!$AM$4="לא",IF(BC491="לא בוגר",0,IF(BC491="לא קיים",0,IF(J491=0,0,I491*0.1))),IF(BC491="לא בוגר",0,IF(BC491="לא קיים",0,IF(AB491=1,I491*0.1,E491*0.5)))),0),IF('חד גזעי'!$AM$4="לא",IF(BC491="לא בוגר",0,IF(BC491="לא קיים",0,IF(J491=0,0,I491*0.1))),IF(BC491="לא בוגר",0,IF(BC491="לא קיים",0,IF(AB491=1,I491*0.1,E491*0.5))))),IF(P491=0,IF(BC491="שימור",IF('חד גזעי'!$AM$4="לא",IF(BC491="לא בוגר",0,IF(BC491="לא קיים",0,IF(J491=0,0,I491*0.15))),IF(BC491="לא בוגר",0,IF(BC491="לא קיים",0,IF(AB491=1,I491*0.15,E491*0.5)))),0),IF('חד גזעי'!$AM$4="לא",IF(BC491="לא בוגר",0,IF(BC491="לא קיים",0,IF(J491=0,0,I491*0.15))),IF(BC491="לא בוגר",0,IF(BC491="לא קיים",0,IF(AB491=1,I491*0.15,E491*0.5))))))</f>
        <v>0</v>
      </c>
      <c r="V491" t="e">
        <f t="shared" si="481"/>
        <v>#N/A</v>
      </c>
      <c r="W491" t="e">
        <f t="shared" si="482"/>
        <v>#N/A</v>
      </c>
      <c r="X491" t="e">
        <f t="shared" si="483"/>
        <v>#N/A</v>
      </c>
      <c r="Y491">
        <f>IF('חד גזעי'!$AM$2 = "לא",0,IF(F491&gt;9,W491,0))</f>
        <v>0</v>
      </c>
      <c r="Z491">
        <f>IF('חד גזעי'!$AM$7 = "לא",0,IF(C491 = "זית אירופי",IF('חד גזעי'!$AN$7 &lt;=סקר!F491,W491,0),IF(C491 = "חרוב מצוי",IF('חד גזעי'!$AN$7 &lt;=סקר!F491,W491,0),0)))</f>
        <v>0</v>
      </c>
      <c r="AB491">
        <f t="shared" si="498"/>
        <v>1</v>
      </c>
      <c r="AC491" s="72"/>
      <c r="AD491" t="e">
        <f t="shared" si="516"/>
        <v>#N/A</v>
      </c>
      <c r="AE491" s="72"/>
      <c r="AF491" s="72" t="e">
        <f t="shared" si="499"/>
        <v>#N/A</v>
      </c>
      <c r="AG491" s="72" t="e">
        <f>IF('חד גזעי'!$AM$5="לא",(VLOOKUP(C491,'חד גזעי'!$P$1:$S$589,3,FALSE)),(VLOOKUP(C491,'חד גזעי'!$P$1:$S$589,4,FALSE)))</f>
        <v>#N/A</v>
      </c>
      <c r="AH491" s="72">
        <f t="shared" si="500"/>
        <v>0</v>
      </c>
      <c r="AI491" s="72">
        <f t="shared" si="501"/>
        <v>0</v>
      </c>
      <c r="AJ491" s="72">
        <f t="shared" si="502"/>
        <v>0</v>
      </c>
      <c r="AK491" s="72" t="e">
        <f t="shared" si="503"/>
        <v>#N/A</v>
      </c>
      <c r="AL491" t="e">
        <f>VLOOKUP(C491,'חד גזעי'!$AH$8:$AI$33,2,FALSE)</f>
        <v>#N/A</v>
      </c>
      <c r="AM491" s="72" t="b">
        <f t="shared" si="504"/>
        <v>0</v>
      </c>
      <c r="AN491" s="72" t="b">
        <f t="shared" si="505"/>
        <v>0</v>
      </c>
      <c r="AO491" s="72" t="b">
        <f t="shared" si="506"/>
        <v>0</v>
      </c>
      <c r="AS491" s="72">
        <f t="shared" si="507"/>
        <v>0</v>
      </c>
      <c r="AT491" s="72">
        <f t="shared" si="508"/>
        <v>0</v>
      </c>
      <c r="AU491" s="72">
        <f t="shared" si="517"/>
        <v>0</v>
      </c>
      <c r="AV491" s="72">
        <f t="shared" si="509"/>
        <v>0</v>
      </c>
      <c r="AW491" s="72">
        <f t="shared" si="510"/>
        <v>0</v>
      </c>
      <c r="AX491" s="72">
        <f t="shared" si="511"/>
        <v>0</v>
      </c>
      <c r="AY491" s="72">
        <f t="shared" si="512"/>
        <v>0</v>
      </c>
      <c r="AZ491" s="72">
        <f t="shared" si="513"/>
        <v>0</v>
      </c>
      <c r="BA491" s="72" t="e">
        <f t="shared" si="514"/>
        <v>#N/A</v>
      </c>
      <c r="BB491" s="72" t="e">
        <f t="shared" si="515"/>
        <v>#N/A</v>
      </c>
      <c r="BC491" s="77"/>
      <c r="BE491">
        <f t="shared" si="495"/>
        <v>0</v>
      </c>
      <c r="BF491" s="196"/>
      <c r="BG491" s="196"/>
      <c r="BH491" s="196"/>
      <c r="BI491" s="196"/>
      <c r="BJ491" s="196"/>
      <c r="BK491" s="196"/>
    </row>
    <row r="492" spans="2:63" hidden="1">
      <c r="B492" s="72"/>
      <c r="C492" s="135"/>
      <c r="D492" s="73"/>
      <c r="E492" s="73"/>
      <c r="F492" s="72"/>
      <c r="G492" s="72"/>
      <c r="H492" s="72"/>
      <c r="I492" s="73">
        <f t="shared" si="497"/>
        <v>0</v>
      </c>
      <c r="J492" s="73"/>
      <c r="K492" s="73"/>
      <c r="L492" s="74" t="e">
        <f>_xlfn.IFNA(VLOOKUP(C492,'חד גזעי'!$U$3:$V$509,2,0),VLOOKUP(C492,'חד גזעי'!$U$3:$V$509,2))</f>
        <v>#N/A</v>
      </c>
      <c r="M492" s="73"/>
      <c r="N492" s="72" t="e">
        <f>_xlfn.IFNA(IF(VLOOKUP(C492,'חד גזעי'!$AH$2:$AH$7,1,FALSE)&gt;0,0,IF('חד גזעי'!$AM$5="כן",IF(_xlfn.IFNA(VLOOKUP(C492,'חד גזעי'!$AH$2:$AH$33,1,FALSE),SUM(J492:M492))&lt;21,_xlfn.IFNA(VLOOKUP(C492,'חד גזעי'!$AH$2:$AH$33,1,FALSE),SUM(J492:M492)),0),SUM(J492:M492))),IF('חד גזעי'!$AM$5="כן",IF(_xlfn.IFNA(VLOOKUP(C492,'חד גזעי'!$AH$2:$AH$33,1,FALSE),SUM(J492:M492))&lt;21,_xlfn.IFNA(VLOOKUP(C492,'חד גזעי'!$AH$2:$AH$33,1,FALSE),SUM(J492:M492)),0),SUM(J492:M492)))</f>
        <v>#N/A</v>
      </c>
      <c r="O492" s="72">
        <f>IF('חד גזעי'!$AM$3 = "כן",IF(T492&gt;4,4,T492),T492)</f>
        <v>0</v>
      </c>
      <c r="P492" s="80">
        <f>IF(E492&lt;2,0,IF(Z492&gt;0,Z492,IF(N492 = 0,0,IF('חד גזעי'!$AM$2 = "לא",IF(F492&gt;19,W492,0),IF(F492&gt;9,Y492,0)))))</f>
        <v>0</v>
      </c>
      <c r="Q492" s="77"/>
      <c r="R492" s="76"/>
      <c r="S492" t="e">
        <f>VLOOKUP(C492,'חד גזעי'!$Y$4:$Y$18,1,0)</f>
        <v>#N/A</v>
      </c>
      <c r="T492" s="72">
        <f>IF('חד גזעי'!$AM$6="לא",IF(P492=0,IF(BC492="שימור",IF('חד גזעי'!$AM$4="לא",IF(BC492="לא בוגר",0,IF(BC492="לא קיים",0,IF(J492=0,0,I492*0.1))),IF(BC492="לא בוגר",0,IF(BC492="לא קיים",0,IF(AB492=1,I492*0.1,E492*0.5)))),0),IF('חד גזעי'!$AM$4="לא",IF(BC492="לא בוגר",0,IF(BC492="לא קיים",0,IF(J492=0,0,I492*0.1))),IF(BC492="לא בוגר",0,IF(BC492="לא קיים",0,IF(AB492=1,I492*0.1,E492*0.5))))),IF(P492=0,IF(BC492="שימור",IF('חד גזעי'!$AM$4="לא",IF(BC492="לא בוגר",0,IF(BC492="לא קיים",0,IF(J492=0,0,I492*0.15))),IF(BC492="לא בוגר",0,IF(BC492="לא קיים",0,IF(AB492=1,I492*0.15,E492*0.5)))),0),IF('חד גזעי'!$AM$4="לא",IF(BC492="לא בוגר",0,IF(BC492="לא קיים",0,IF(J492=0,0,I492*0.15))),IF(BC492="לא בוגר",0,IF(BC492="לא קיים",0,IF(AB492=1,I492*0.15,E492*0.5))))))</f>
        <v>0</v>
      </c>
      <c r="V492" t="e">
        <f t="shared" si="481"/>
        <v>#N/A</v>
      </c>
      <c r="W492" t="e">
        <f t="shared" si="482"/>
        <v>#N/A</v>
      </c>
      <c r="X492" t="e">
        <f t="shared" si="483"/>
        <v>#N/A</v>
      </c>
      <c r="Y492">
        <f>IF('חד גזעי'!$AM$2 = "לא",0,IF(F492&gt;9,W492,0))</f>
        <v>0</v>
      </c>
      <c r="Z492">
        <f>IF('חד גזעי'!$AM$7 = "לא",0,IF(C492 = "זית אירופי",IF('חד גזעי'!$AN$7 &lt;=סקר!F492,W492,0),IF(C492 = "חרוב מצוי",IF('חד גזעי'!$AN$7 &lt;=סקר!F492,W492,0),0)))</f>
        <v>0</v>
      </c>
      <c r="AB492">
        <f t="shared" si="498"/>
        <v>1</v>
      </c>
      <c r="AC492" s="72"/>
      <c r="AD492" t="e">
        <f>IF(AK492&gt;0,AK492,AF492)</f>
        <v>#N/A</v>
      </c>
      <c r="AE492" s="72"/>
      <c r="AF492" s="72" t="e">
        <f t="shared" si="499"/>
        <v>#N/A</v>
      </c>
      <c r="AG492" s="72" t="e">
        <f>IF('חד גזעי'!$AM$5="לא",(VLOOKUP(C492,'חד גזעי'!$P$1:$S$589,3,FALSE)),(VLOOKUP(C492,'חד גזעי'!$P$1:$S$589,4,FALSE)))</f>
        <v>#N/A</v>
      </c>
      <c r="AH492" s="72">
        <f t="shared" si="500"/>
        <v>0</v>
      </c>
      <c r="AI492" s="72">
        <f t="shared" si="501"/>
        <v>0</v>
      </c>
      <c r="AJ492" s="72">
        <f t="shared" si="502"/>
        <v>0</v>
      </c>
      <c r="AK492" s="72" t="e">
        <f t="shared" si="503"/>
        <v>#N/A</v>
      </c>
      <c r="AL492" t="e">
        <f>VLOOKUP(C492,'חד גזעי'!$AH$8:$AI$33,2,FALSE)</f>
        <v>#N/A</v>
      </c>
      <c r="AM492" s="72" t="b">
        <f t="shared" si="504"/>
        <v>0</v>
      </c>
      <c r="AN492" s="72" t="b">
        <f t="shared" si="505"/>
        <v>0</v>
      </c>
      <c r="AO492" s="72" t="b">
        <f t="shared" si="506"/>
        <v>0</v>
      </c>
      <c r="AS492" s="72">
        <f t="shared" si="507"/>
        <v>0</v>
      </c>
      <c r="AT492" s="72">
        <f t="shared" si="508"/>
        <v>0</v>
      </c>
      <c r="AU492" s="72">
        <f>IF(C492&gt;0,IF(D492&lt;2,1,D492),0)</f>
        <v>0</v>
      </c>
      <c r="AV492" s="72">
        <f t="shared" si="509"/>
        <v>0</v>
      </c>
      <c r="AW492" s="72">
        <f t="shared" si="510"/>
        <v>0</v>
      </c>
      <c r="AX492" s="72">
        <f t="shared" si="511"/>
        <v>0</v>
      </c>
      <c r="AY492" s="72">
        <f t="shared" si="512"/>
        <v>0</v>
      </c>
      <c r="AZ492" s="72">
        <f t="shared" si="513"/>
        <v>0</v>
      </c>
      <c r="BA492" s="72" t="e">
        <f t="shared" si="514"/>
        <v>#N/A</v>
      </c>
      <c r="BB492" s="72" t="e">
        <f t="shared" si="515"/>
        <v>#N/A</v>
      </c>
      <c r="BC492" s="77"/>
      <c r="BE492">
        <f t="shared" si="495"/>
        <v>0</v>
      </c>
      <c r="BF492" s="196"/>
      <c r="BG492" s="196"/>
      <c r="BH492" s="196"/>
      <c r="BI492" s="196"/>
      <c r="BJ492" s="196"/>
      <c r="BK492" s="196"/>
    </row>
    <row r="493" spans="2:63" ht="12.75" hidden="1" customHeight="1">
      <c r="B493" s="72"/>
      <c r="C493" s="135"/>
      <c r="D493" s="73"/>
      <c r="E493" s="73"/>
      <c r="F493" s="72"/>
      <c r="G493" s="72"/>
      <c r="H493" s="72"/>
      <c r="I493" s="73">
        <f t="shared" si="497"/>
        <v>0</v>
      </c>
      <c r="J493" s="73"/>
      <c r="K493" s="73"/>
      <c r="L493" s="74" t="e">
        <f>_xlfn.IFNA(VLOOKUP(C493,'חד גזעי'!$U$3:$V$509,2,0),VLOOKUP(C493,'חד גזעי'!$U$3:$V$509,2))</f>
        <v>#N/A</v>
      </c>
      <c r="M493" s="73"/>
      <c r="N493" s="72" t="e">
        <f>_xlfn.IFNA(IF(VLOOKUP(C493,'חד גזעי'!$AH$2:$AH$7,1,FALSE)&gt;0,0,IF('חד גזעי'!$AM$5="כן",IF(_xlfn.IFNA(VLOOKUP(C493,'חד גזעי'!$AH$2:$AH$33,1,FALSE),SUM(J493:M493))&lt;21,_xlfn.IFNA(VLOOKUP(C493,'חד גזעי'!$AH$2:$AH$33,1,FALSE),SUM(J493:M493)),0),SUM(J493:M493))),IF('חד גזעי'!$AM$5="כן",IF(_xlfn.IFNA(VLOOKUP(C493,'חד גזעי'!$AH$2:$AH$33,1,FALSE),SUM(J493:M493))&lt;21,_xlfn.IFNA(VLOOKUP(C493,'חד גזעי'!$AH$2:$AH$33,1,FALSE),SUM(J493:M493)),0),SUM(J493:M493)))</f>
        <v>#N/A</v>
      </c>
      <c r="O493" s="72">
        <f>IF('חד גזעי'!$AM$3 = "כן",IF(T493&gt;4,4,T493),T493)</f>
        <v>0</v>
      </c>
      <c r="P493" s="80">
        <f>IF(E493&lt;2,0,IF(Z493&gt;0,Z493,IF(N493 = 0,0,IF('חד גזעי'!$AM$2 = "לא",IF(F493&gt;19,W493,0),IF(F493&gt;9,Y493,0)))))</f>
        <v>0</v>
      </c>
      <c r="Q493" s="77"/>
      <c r="R493" s="76"/>
      <c r="S493" t="e">
        <f>VLOOKUP(C493,'חד גזעי'!$Y$4:$Y$18,1,0)</f>
        <v>#N/A</v>
      </c>
      <c r="T493" s="72">
        <f>IF('חד גזעי'!$AM$6="לא",IF(P493=0,IF(BC493="שימור",IF('חד גזעי'!$AM$4="לא",IF(BC493="לא בוגר",0,IF(BC493="לא קיים",0,IF(J493=0,0,I493*0.1))),IF(BC493="לא בוגר",0,IF(BC493="לא קיים",0,IF(AB493=1,I493*0.1,E493*0.5)))),0),IF('חד גזעי'!$AM$4="לא",IF(BC493="לא בוגר",0,IF(BC493="לא קיים",0,IF(J493=0,0,I493*0.1))),IF(BC493="לא בוגר",0,IF(BC493="לא קיים",0,IF(AB493=1,I493*0.1,E493*0.5))))),IF(P493=0,IF(BC493="שימור",IF('חד גזעי'!$AM$4="לא",IF(BC493="לא בוגר",0,IF(BC493="לא קיים",0,IF(J493=0,0,I493*0.15))),IF(BC493="לא בוגר",0,IF(BC493="לא קיים",0,IF(AB493=1,I493*0.15,E493*0.5)))),0),IF('חד גזעי'!$AM$4="לא",IF(BC493="לא בוגר",0,IF(BC493="לא קיים",0,IF(J493=0,0,I493*0.15))),IF(BC493="לא בוגר",0,IF(BC493="לא קיים",0,IF(AB493=1,I493*0.15,E493*0.5))))))</f>
        <v>0</v>
      </c>
      <c r="V493" t="e">
        <f t="shared" si="481"/>
        <v>#N/A</v>
      </c>
      <c r="W493" t="e">
        <f t="shared" si="482"/>
        <v>#N/A</v>
      </c>
      <c r="X493" t="e">
        <f t="shared" si="483"/>
        <v>#N/A</v>
      </c>
      <c r="Y493">
        <f>IF('חד גזעי'!$AM$2 = "לא",0,IF(F493&gt;9,W493,0))</f>
        <v>0</v>
      </c>
      <c r="Z493">
        <f>IF('חד גזעי'!$AM$7 = "לא",0,IF(C493 = "זית אירופי",IF('חד גזעי'!$AN$7 &lt;=סקר!F493,W493,0),IF(C493 = "חרוב מצוי",IF('חד גזעי'!$AN$7 &lt;=סקר!F493,W493,0),0)))</f>
        <v>0</v>
      </c>
      <c r="AB493">
        <f t="shared" si="498"/>
        <v>1</v>
      </c>
      <c r="AC493" s="72"/>
      <c r="AD493" t="e">
        <f t="shared" si="516"/>
        <v>#N/A</v>
      </c>
      <c r="AE493" s="72"/>
      <c r="AF493" s="72" t="e">
        <f t="shared" si="499"/>
        <v>#N/A</v>
      </c>
      <c r="AG493" s="72" t="e">
        <f>IF('חד גזעי'!$AM$5="לא",(VLOOKUP(C493,'חד גזעי'!$P$1:$S$589,3,FALSE)),(VLOOKUP(C493,'חד גזעי'!$P$1:$S$589,4,FALSE)))</f>
        <v>#N/A</v>
      </c>
      <c r="AH493" s="72">
        <f t="shared" si="500"/>
        <v>0</v>
      </c>
      <c r="AI493" s="72">
        <f t="shared" si="501"/>
        <v>0</v>
      </c>
      <c r="AJ493" s="72">
        <f t="shared" si="502"/>
        <v>0</v>
      </c>
      <c r="AK493" s="72" t="e">
        <f t="shared" si="503"/>
        <v>#N/A</v>
      </c>
      <c r="AL493" t="e">
        <f>VLOOKUP(C493,'חד גזעי'!$AH$8:$AI$33,2,FALSE)</f>
        <v>#N/A</v>
      </c>
      <c r="AM493" s="72" t="b">
        <f t="shared" si="504"/>
        <v>0</v>
      </c>
      <c r="AN493" s="72" t="b">
        <f t="shared" si="505"/>
        <v>0</v>
      </c>
      <c r="AO493" s="72" t="b">
        <f t="shared" si="506"/>
        <v>0</v>
      </c>
      <c r="AS493" s="72">
        <f t="shared" si="507"/>
        <v>0</v>
      </c>
      <c r="AT493" s="72">
        <f t="shared" si="508"/>
        <v>0</v>
      </c>
      <c r="AU493" s="72">
        <f t="shared" si="517"/>
        <v>0</v>
      </c>
      <c r="AV493" s="72">
        <f t="shared" si="509"/>
        <v>0</v>
      </c>
      <c r="AW493" s="72">
        <f t="shared" si="510"/>
        <v>0</v>
      </c>
      <c r="AX493" s="72">
        <f t="shared" si="511"/>
        <v>0</v>
      </c>
      <c r="AY493" s="72">
        <f t="shared" si="512"/>
        <v>0</v>
      </c>
      <c r="AZ493" s="72">
        <f t="shared" si="513"/>
        <v>0</v>
      </c>
      <c r="BA493" s="72" t="e">
        <f t="shared" si="514"/>
        <v>#N/A</v>
      </c>
      <c r="BB493" s="72" t="e">
        <f t="shared" si="515"/>
        <v>#N/A</v>
      </c>
      <c r="BC493" s="77"/>
      <c r="BE493">
        <f t="shared" si="495"/>
        <v>0</v>
      </c>
      <c r="BF493" s="196"/>
      <c r="BG493" s="196"/>
      <c r="BH493" s="196"/>
      <c r="BI493" s="196"/>
      <c r="BJ493" s="196"/>
      <c r="BK493" s="196"/>
    </row>
    <row r="494" spans="2:63" ht="12.75" hidden="1" customHeight="1">
      <c r="B494" s="72"/>
      <c r="C494" s="135"/>
      <c r="D494" s="73"/>
      <c r="E494" s="73"/>
      <c r="F494" s="72"/>
      <c r="G494" s="72"/>
      <c r="H494" s="72"/>
      <c r="I494" s="73">
        <f t="shared" si="497"/>
        <v>0</v>
      </c>
      <c r="J494" s="73"/>
      <c r="K494" s="73"/>
      <c r="L494" s="74" t="e">
        <f>_xlfn.IFNA(VLOOKUP(C494,'חד גזעי'!$U$3:$V$509,2,0),VLOOKUP(C494,'חד גזעי'!$U$3:$V$509,2))</f>
        <v>#N/A</v>
      </c>
      <c r="M494" s="73"/>
      <c r="N494" s="72" t="e">
        <f>_xlfn.IFNA(IF(VLOOKUP(C494,'חד גזעי'!$AH$2:$AH$7,1,FALSE)&gt;0,0,IF('חד גזעי'!$AM$5="כן",IF(_xlfn.IFNA(VLOOKUP(C494,'חד גזעי'!$AH$2:$AH$33,1,FALSE),SUM(J494:M494))&lt;21,_xlfn.IFNA(VLOOKUP(C494,'חד גזעי'!$AH$2:$AH$33,1,FALSE),SUM(J494:M494)),0),SUM(J494:M494))),IF('חד גזעי'!$AM$5="כן",IF(_xlfn.IFNA(VLOOKUP(C494,'חד גזעי'!$AH$2:$AH$33,1,FALSE),SUM(J494:M494))&lt;21,_xlfn.IFNA(VLOOKUP(C494,'חד גזעי'!$AH$2:$AH$33,1,FALSE),SUM(J494:M494)),0),SUM(J494:M494)))</f>
        <v>#N/A</v>
      </c>
      <c r="O494" s="72">
        <f>IF('חד גזעי'!$AM$3 = "כן",IF(T494&gt;4,4,T494),T494)</f>
        <v>0</v>
      </c>
      <c r="P494" s="80">
        <f>IF(E494&lt;2,0,IF(Z494&gt;0,Z494,IF(N494 = 0,0,IF('חד גזעי'!$AM$2 = "לא",IF(F494&gt;19,W494,0),IF(F494&gt;9,Y494,0)))))</f>
        <v>0</v>
      </c>
      <c r="Q494" s="77"/>
      <c r="R494" s="76"/>
      <c r="S494" t="e">
        <f>VLOOKUP(C494,'חד גזעי'!$Y$4:$Y$18,1,0)</f>
        <v>#N/A</v>
      </c>
      <c r="T494" s="72">
        <f>IF('חד גזעי'!$AM$6="לא",IF(P494=0,IF(BC494="שימור",IF('חד גזעי'!$AM$4="לא",IF(BC494="לא בוגר",0,IF(BC494="לא קיים",0,IF(J494=0,0,I494*0.1))),IF(BC494="לא בוגר",0,IF(BC494="לא קיים",0,IF(AB494=1,I494*0.1,E494*0.5)))),0),IF('חד גזעי'!$AM$4="לא",IF(BC494="לא בוגר",0,IF(BC494="לא קיים",0,IF(J494=0,0,I494*0.1))),IF(BC494="לא בוגר",0,IF(BC494="לא קיים",0,IF(AB494=1,I494*0.1,E494*0.5))))),IF(P494=0,IF(BC494="שימור",IF('חד גזעי'!$AM$4="לא",IF(BC494="לא בוגר",0,IF(BC494="לא קיים",0,IF(J494=0,0,I494*0.15))),IF(BC494="לא בוגר",0,IF(BC494="לא קיים",0,IF(AB494=1,I494*0.15,E494*0.5)))),0),IF('חד גזעי'!$AM$4="לא",IF(BC494="לא בוגר",0,IF(BC494="לא קיים",0,IF(J494=0,0,I494*0.15))),IF(BC494="לא בוגר",0,IF(BC494="לא קיים",0,IF(AB494=1,I494*0.15,E494*0.5))))))</f>
        <v>0</v>
      </c>
      <c r="V494" t="e">
        <f t="shared" si="481"/>
        <v>#N/A</v>
      </c>
      <c r="W494" t="e">
        <f t="shared" si="482"/>
        <v>#N/A</v>
      </c>
      <c r="X494" t="e">
        <f t="shared" si="483"/>
        <v>#N/A</v>
      </c>
      <c r="Y494">
        <f>IF('חד גזעי'!$AM$2 = "לא",0,IF(F494&gt;9,W494,0))</f>
        <v>0</v>
      </c>
      <c r="Z494">
        <f>IF('חד גזעי'!$AM$7 = "לא",0,IF(C494 = "זית אירופי",IF('חד גזעי'!$AN$7 &lt;=סקר!F494,W494,0),IF(C494 = "חרוב מצוי",IF('חד גזעי'!$AN$7 &lt;=סקר!F494,W494,0),0)))</f>
        <v>0</v>
      </c>
      <c r="AB494">
        <f t="shared" si="498"/>
        <v>1</v>
      </c>
      <c r="AC494" s="72"/>
      <c r="AD494" t="e">
        <f t="shared" si="516"/>
        <v>#N/A</v>
      </c>
      <c r="AE494" s="72"/>
      <c r="AF494" s="72" t="e">
        <f t="shared" si="499"/>
        <v>#N/A</v>
      </c>
      <c r="AG494" s="72" t="e">
        <f>IF('חד גזעי'!$AM$5="לא",(VLOOKUP(C494,'חד גזעי'!$P$1:$S$589,3,FALSE)),(VLOOKUP(C494,'חד גזעי'!$P$1:$S$589,4,FALSE)))</f>
        <v>#N/A</v>
      </c>
      <c r="AH494" s="72">
        <f t="shared" si="500"/>
        <v>0</v>
      </c>
      <c r="AI494" s="72">
        <f t="shared" si="501"/>
        <v>0</v>
      </c>
      <c r="AJ494" s="72">
        <f t="shared" si="502"/>
        <v>0</v>
      </c>
      <c r="AK494" s="72" t="e">
        <f t="shared" si="503"/>
        <v>#N/A</v>
      </c>
      <c r="AL494" t="e">
        <f>VLOOKUP(C494,'חד גזעי'!$AH$8:$AI$33,2,FALSE)</f>
        <v>#N/A</v>
      </c>
      <c r="AM494" s="72" t="b">
        <f t="shared" si="504"/>
        <v>0</v>
      </c>
      <c r="AN494" s="72" t="b">
        <f t="shared" si="505"/>
        <v>0</v>
      </c>
      <c r="AO494" s="72" t="b">
        <f t="shared" si="506"/>
        <v>0</v>
      </c>
      <c r="AS494" s="72">
        <f t="shared" si="507"/>
        <v>0</v>
      </c>
      <c r="AT494" s="72">
        <f t="shared" si="508"/>
        <v>0</v>
      </c>
      <c r="AU494" s="72">
        <f t="shared" si="517"/>
        <v>0</v>
      </c>
      <c r="AV494" s="72">
        <f t="shared" si="509"/>
        <v>0</v>
      </c>
      <c r="AW494" s="72">
        <f t="shared" si="510"/>
        <v>0</v>
      </c>
      <c r="AX494" s="72">
        <f t="shared" si="511"/>
        <v>0</v>
      </c>
      <c r="AY494" s="72">
        <f t="shared" si="512"/>
        <v>0</v>
      </c>
      <c r="AZ494" s="72">
        <f t="shared" si="513"/>
        <v>0</v>
      </c>
      <c r="BA494" s="72" t="e">
        <f t="shared" si="514"/>
        <v>#N/A</v>
      </c>
      <c r="BB494" s="72" t="e">
        <f t="shared" si="515"/>
        <v>#N/A</v>
      </c>
      <c r="BC494" s="77"/>
      <c r="BE494">
        <f t="shared" si="495"/>
        <v>0</v>
      </c>
      <c r="BF494" s="196"/>
      <c r="BG494" s="196"/>
      <c r="BH494" s="196"/>
      <c r="BI494" s="196"/>
      <c r="BJ494" s="196"/>
      <c r="BK494" s="196"/>
    </row>
    <row r="495" spans="2:63" ht="12.75" hidden="1" customHeight="1">
      <c r="B495" s="72"/>
      <c r="C495" s="135"/>
      <c r="D495" s="73"/>
      <c r="E495" s="73"/>
      <c r="F495" s="72"/>
      <c r="G495" s="72"/>
      <c r="H495" s="72"/>
      <c r="I495" s="73">
        <f t="shared" si="497"/>
        <v>0</v>
      </c>
      <c r="J495" s="73"/>
      <c r="K495" s="73"/>
      <c r="L495" s="74" t="e">
        <f>_xlfn.IFNA(VLOOKUP(C495,'חד גזעי'!$U$3:$V$509,2,0),VLOOKUP(C495,'חד גזעי'!$U$3:$V$509,2))</f>
        <v>#N/A</v>
      </c>
      <c r="M495" s="73"/>
      <c r="N495" s="72" t="e">
        <f>_xlfn.IFNA(IF(VLOOKUP(C495,'חד גזעי'!$AH$2:$AH$7,1,FALSE)&gt;0,0,IF('חד גזעי'!$AM$5="כן",IF(_xlfn.IFNA(VLOOKUP(C495,'חד גזעי'!$AH$2:$AH$33,1,FALSE),SUM(J495:M495))&lt;21,_xlfn.IFNA(VLOOKUP(C495,'חד גזעי'!$AH$2:$AH$33,1,FALSE),SUM(J495:M495)),0),SUM(J495:M495))),IF('חד גזעי'!$AM$5="כן",IF(_xlfn.IFNA(VLOOKUP(C495,'חד גזעי'!$AH$2:$AH$33,1,FALSE),SUM(J495:M495))&lt;21,_xlfn.IFNA(VLOOKUP(C495,'חד גזעי'!$AH$2:$AH$33,1,FALSE),SUM(J495:M495)),0),SUM(J495:M495)))</f>
        <v>#N/A</v>
      </c>
      <c r="O495" s="72">
        <f>IF('חד גזעי'!$AM$3 = "כן",IF(T495&gt;4,4,T495),T495)</f>
        <v>0</v>
      </c>
      <c r="P495" s="80">
        <f>IF(E495&lt;2,0,IF(Z495&gt;0,Z495,IF(N495 = 0,0,IF('חד גזעי'!$AM$2 = "לא",IF(F495&gt;19,W495,0),IF(F495&gt;9,Y495,0)))))</f>
        <v>0</v>
      </c>
      <c r="Q495" s="77"/>
      <c r="R495" s="76"/>
      <c r="S495" t="e">
        <f>VLOOKUP(C495,'חד גזעי'!$Y$4:$Y$18,1,0)</f>
        <v>#N/A</v>
      </c>
      <c r="T495" s="72">
        <f>IF('חד גזעי'!$AM$6="לא",IF(P495=0,IF(BC495="שימור",IF('חד גזעי'!$AM$4="לא",IF(BC495="לא בוגר",0,IF(BC495="לא קיים",0,IF(J495=0,0,I495*0.1))),IF(BC495="לא בוגר",0,IF(BC495="לא קיים",0,IF(AB495=1,I495*0.1,E495*0.5)))),0),IF('חד גזעי'!$AM$4="לא",IF(BC495="לא בוגר",0,IF(BC495="לא קיים",0,IF(J495=0,0,I495*0.1))),IF(BC495="לא בוגר",0,IF(BC495="לא קיים",0,IF(AB495=1,I495*0.1,E495*0.5))))),IF(P495=0,IF(BC495="שימור",IF('חד גזעי'!$AM$4="לא",IF(BC495="לא בוגר",0,IF(BC495="לא קיים",0,IF(J495=0,0,I495*0.15))),IF(BC495="לא בוגר",0,IF(BC495="לא קיים",0,IF(AB495=1,I495*0.15,E495*0.5)))),0),IF('חד גזעי'!$AM$4="לא",IF(BC495="לא בוגר",0,IF(BC495="לא קיים",0,IF(J495=0,0,I495*0.15))),IF(BC495="לא בוגר",0,IF(BC495="לא קיים",0,IF(AB495=1,I495*0.15,E495*0.5))))))</f>
        <v>0</v>
      </c>
      <c r="V495" t="e">
        <f t="shared" si="481"/>
        <v>#N/A</v>
      </c>
      <c r="W495" t="e">
        <f t="shared" si="482"/>
        <v>#N/A</v>
      </c>
      <c r="X495" t="e">
        <f t="shared" si="483"/>
        <v>#N/A</v>
      </c>
      <c r="Y495">
        <f>IF('חד גזעי'!$AM$2 = "לא",0,IF(F495&gt;9,W495,0))</f>
        <v>0</v>
      </c>
      <c r="Z495">
        <f>IF('חד גזעי'!$AM$7 = "לא",0,IF(C495 = "זית אירופי",IF('חד גזעי'!$AN$7 &lt;=סקר!F495,W495,0),IF(C495 = "חרוב מצוי",IF('חד גזעי'!$AN$7 &lt;=סקר!F495,W495,0),0)))</f>
        <v>0</v>
      </c>
      <c r="AB495">
        <f t="shared" si="498"/>
        <v>1</v>
      </c>
      <c r="AC495" s="72"/>
      <c r="AD495" t="e">
        <f t="shared" si="516"/>
        <v>#N/A</v>
      </c>
      <c r="AE495" s="72"/>
      <c r="AF495" s="72" t="e">
        <f t="shared" si="499"/>
        <v>#N/A</v>
      </c>
      <c r="AG495" s="72" t="e">
        <f>IF('חד גזעי'!$AM$5="לא",(VLOOKUP(C495,'חד גזעי'!$P$1:$S$589,3,FALSE)),(VLOOKUP(C495,'חד גזעי'!$P$1:$S$589,4,FALSE)))</f>
        <v>#N/A</v>
      </c>
      <c r="AH495" s="72">
        <f t="shared" si="500"/>
        <v>0</v>
      </c>
      <c r="AI495" s="72">
        <f t="shared" si="501"/>
        <v>0</v>
      </c>
      <c r="AJ495" s="72">
        <f t="shared" si="502"/>
        <v>0</v>
      </c>
      <c r="AK495" s="72" t="e">
        <f t="shared" si="503"/>
        <v>#N/A</v>
      </c>
      <c r="AL495" t="e">
        <f>VLOOKUP(C495,'חד גזעי'!$AH$8:$AI$33,2,FALSE)</f>
        <v>#N/A</v>
      </c>
      <c r="AM495" s="72" t="b">
        <f t="shared" si="504"/>
        <v>0</v>
      </c>
      <c r="AN495" s="72" t="b">
        <f t="shared" si="505"/>
        <v>0</v>
      </c>
      <c r="AO495" s="72" t="b">
        <f t="shared" si="506"/>
        <v>0</v>
      </c>
      <c r="AS495" s="72">
        <f t="shared" si="507"/>
        <v>0</v>
      </c>
      <c r="AT495" s="72">
        <f t="shared" si="508"/>
        <v>0</v>
      </c>
      <c r="AU495" s="72">
        <f t="shared" si="517"/>
        <v>0</v>
      </c>
      <c r="AV495" s="72">
        <f t="shared" si="509"/>
        <v>0</v>
      </c>
      <c r="AW495" s="72">
        <f t="shared" si="510"/>
        <v>0</v>
      </c>
      <c r="AX495" s="72">
        <f t="shared" si="511"/>
        <v>0</v>
      </c>
      <c r="AY495" s="72">
        <f t="shared" si="512"/>
        <v>0</v>
      </c>
      <c r="AZ495" s="72">
        <f t="shared" si="513"/>
        <v>0</v>
      </c>
      <c r="BA495" s="72" t="e">
        <f t="shared" si="514"/>
        <v>#N/A</v>
      </c>
      <c r="BB495" s="72" t="e">
        <f t="shared" si="515"/>
        <v>#N/A</v>
      </c>
      <c r="BC495" s="77"/>
      <c r="BE495">
        <f t="shared" si="495"/>
        <v>0</v>
      </c>
      <c r="BF495" s="196"/>
      <c r="BG495" s="196"/>
      <c r="BH495" s="196"/>
      <c r="BI495" s="196"/>
      <c r="BJ495" s="196"/>
      <c r="BK495" s="196"/>
    </row>
    <row r="496" spans="2:63" ht="12.75" hidden="1" customHeight="1">
      <c r="B496" s="72"/>
      <c r="C496" s="135"/>
      <c r="D496" s="73"/>
      <c r="E496" s="73"/>
      <c r="F496" s="72"/>
      <c r="G496" s="72"/>
      <c r="H496" s="72"/>
      <c r="I496" s="73">
        <f t="shared" si="497"/>
        <v>0</v>
      </c>
      <c r="J496" s="73"/>
      <c r="K496" s="73"/>
      <c r="L496" s="74" t="e">
        <f>_xlfn.IFNA(VLOOKUP(C496,'חד גזעי'!$U$3:$V$509,2,0),VLOOKUP(C496,'חד גזעי'!$U$3:$V$509,2))</f>
        <v>#N/A</v>
      </c>
      <c r="M496" s="73"/>
      <c r="N496" s="72" t="e">
        <f>_xlfn.IFNA(IF(VLOOKUP(C496,'חד גזעי'!$AH$2:$AH$7,1,FALSE)&gt;0,0,IF('חד גזעי'!$AM$5="כן",IF(_xlfn.IFNA(VLOOKUP(C496,'חד גזעי'!$AH$2:$AH$33,1,FALSE),SUM(J496:M496))&lt;21,_xlfn.IFNA(VLOOKUP(C496,'חד גזעי'!$AH$2:$AH$33,1,FALSE),SUM(J496:M496)),0),SUM(J496:M496))),IF('חד גזעי'!$AM$5="כן",IF(_xlfn.IFNA(VLOOKUP(C496,'חד גזעי'!$AH$2:$AH$33,1,FALSE),SUM(J496:M496))&lt;21,_xlfn.IFNA(VLOOKUP(C496,'חד גזעי'!$AH$2:$AH$33,1,FALSE),SUM(J496:M496)),0),SUM(J496:M496)))</f>
        <v>#N/A</v>
      </c>
      <c r="O496" s="72">
        <f>IF('חד גזעי'!$AM$3 = "כן",IF(T496&gt;4,4,T496),T496)</f>
        <v>0</v>
      </c>
      <c r="P496" s="80">
        <f>IF(E496&lt;2,0,IF(Z496&gt;0,Z496,IF(N496 = 0,0,IF('חד גזעי'!$AM$2 = "לא",IF(F496&gt;19,W496,0),IF(F496&gt;9,Y496,0)))))</f>
        <v>0</v>
      </c>
      <c r="Q496" s="77"/>
      <c r="R496" s="76"/>
      <c r="S496" t="e">
        <f>VLOOKUP(C496,'חד גזעי'!$Y$4:$Y$18,1,0)</f>
        <v>#N/A</v>
      </c>
      <c r="T496" s="72">
        <f>IF('חד גזעי'!$AM$6="לא",IF(P496=0,IF(BC496="שימור",IF('חד גזעי'!$AM$4="לא",IF(BC496="לא בוגר",0,IF(BC496="לא קיים",0,IF(J496=0,0,I496*0.1))),IF(BC496="לא בוגר",0,IF(BC496="לא קיים",0,IF(AB496=1,I496*0.1,E496*0.5)))),0),IF('חד גזעי'!$AM$4="לא",IF(BC496="לא בוגר",0,IF(BC496="לא קיים",0,IF(J496=0,0,I496*0.1))),IF(BC496="לא בוגר",0,IF(BC496="לא קיים",0,IF(AB496=1,I496*0.1,E496*0.5))))),IF(P496=0,IF(BC496="שימור",IF('חד גזעי'!$AM$4="לא",IF(BC496="לא בוגר",0,IF(BC496="לא קיים",0,IF(J496=0,0,I496*0.15))),IF(BC496="לא בוגר",0,IF(BC496="לא קיים",0,IF(AB496=1,I496*0.15,E496*0.5)))),0),IF('חד גזעי'!$AM$4="לא",IF(BC496="לא בוגר",0,IF(BC496="לא קיים",0,IF(J496=0,0,I496*0.15))),IF(BC496="לא בוגר",0,IF(BC496="לא קיים",0,IF(AB496=1,I496*0.15,E496*0.5))))))</f>
        <v>0</v>
      </c>
      <c r="V496" t="e">
        <f t="shared" si="481"/>
        <v>#N/A</v>
      </c>
      <c r="W496" t="e">
        <f t="shared" si="482"/>
        <v>#N/A</v>
      </c>
      <c r="X496" t="e">
        <f t="shared" si="483"/>
        <v>#N/A</v>
      </c>
      <c r="Y496">
        <f>IF('חד גזעי'!$AM$2 = "לא",0,IF(F496&gt;9,W496,0))</f>
        <v>0</v>
      </c>
      <c r="Z496">
        <f>IF('חד גזעי'!$AM$7 = "לא",0,IF(C496 = "זית אירופי",IF('חד גזעי'!$AN$7 &lt;=סקר!F496,W496,0),IF(C496 = "חרוב מצוי",IF('חד גזעי'!$AN$7 &lt;=סקר!F496,W496,0),0)))</f>
        <v>0</v>
      </c>
      <c r="AB496">
        <f t="shared" si="498"/>
        <v>1</v>
      </c>
      <c r="AC496" s="72"/>
      <c r="AD496" t="e">
        <f t="shared" si="516"/>
        <v>#N/A</v>
      </c>
      <c r="AE496" s="72"/>
      <c r="AF496" s="72" t="e">
        <f t="shared" si="499"/>
        <v>#N/A</v>
      </c>
      <c r="AG496" s="72" t="e">
        <f>IF('חד גזעי'!$AM$5="לא",(VLOOKUP(C496,'חד גזעי'!$P$1:$S$589,3,FALSE)),(VLOOKUP(C496,'חד גזעי'!$P$1:$S$589,4,FALSE)))</f>
        <v>#N/A</v>
      </c>
      <c r="AH496" s="72">
        <f t="shared" si="500"/>
        <v>0</v>
      </c>
      <c r="AI496" s="72">
        <f t="shared" si="501"/>
        <v>0</v>
      </c>
      <c r="AJ496" s="72">
        <f t="shared" si="502"/>
        <v>0</v>
      </c>
      <c r="AK496" s="72" t="e">
        <f t="shared" si="503"/>
        <v>#N/A</v>
      </c>
      <c r="AL496" t="e">
        <f>VLOOKUP(C496,'חד גזעי'!$AH$8:$AI$33,2,FALSE)</f>
        <v>#N/A</v>
      </c>
      <c r="AM496" s="72" t="b">
        <f t="shared" si="504"/>
        <v>0</v>
      </c>
      <c r="AN496" s="72" t="b">
        <f t="shared" si="505"/>
        <v>0</v>
      </c>
      <c r="AO496" s="72" t="b">
        <f t="shared" si="506"/>
        <v>0</v>
      </c>
      <c r="AS496" s="72">
        <f t="shared" si="507"/>
        <v>0</v>
      </c>
      <c r="AT496" s="72">
        <f t="shared" si="508"/>
        <v>0</v>
      </c>
      <c r="AU496" s="72">
        <f t="shared" si="517"/>
        <v>0</v>
      </c>
      <c r="AV496" s="72">
        <f t="shared" si="509"/>
        <v>0</v>
      </c>
      <c r="AW496" s="72">
        <f t="shared" si="510"/>
        <v>0</v>
      </c>
      <c r="AX496" s="72">
        <f t="shared" si="511"/>
        <v>0</v>
      </c>
      <c r="AY496" s="72">
        <f t="shared" si="512"/>
        <v>0</v>
      </c>
      <c r="AZ496" s="72">
        <f t="shared" si="513"/>
        <v>0</v>
      </c>
      <c r="BA496" s="72" t="e">
        <f t="shared" si="514"/>
        <v>#N/A</v>
      </c>
      <c r="BB496" s="72" t="e">
        <f t="shared" si="515"/>
        <v>#N/A</v>
      </c>
      <c r="BC496" s="77"/>
      <c r="BE496">
        <f t="shared" si="495"/>
        <v>0</v>
      </c>
      <c r="BF496" s="196"/>
      <c r="BG496" s="196"/>
      <c r="BH496" s="196"/>
      <c r="BI496" s="196"/>
      <c r="BJ496" s="196"/>
      <c r="BK496" s="196"/>
    </row>
    <row r="497" spans="1:63" ht="12.75" hidden="1" customHeight="1">
      <c r="B497" s="72"/>
      <c r="C497" s="135"/>
      <c r="D497" s="73"/>
      <c r="E497" s="73"/>
      <c r="F497" s="72"/>
      <c r="G497" s="72"/>
      <c r="H497" s="72"/>
      <c r="I497" s="73">
        <f t="shared" si="497"/>
        <v>0</v>
      </c>
      <c r="J497" s="73"/>
      <c r="K497" s="73"/>
      <c r="L497" s="74" t="e">
        <f>_xlfn.IFNA(VLOOKUP(C497,'חד גזעי'!$U$3:$V$509,2,0),VLOOKUP(C497,'חד גזעי'!$U$3:$V$509,2))</f>
        <v>#N/A</v>
      </c>
      <c r="M497" s="73"/>
      <c r="N497" s="72" t="e">
        <f>_xlfn.IFNA(IF(VLOOKUP(C497,'חד גזעי'!$AH$2:$AH$7,1,FALSE)&gt;0,0,IF('חד גזעי'!$AM$5="כן",IF(_xlfn.IFNA(VLOOKUP(C497,'חד גזעי'!$AH$2:$AH$33,1,FALSE),SUM(J497:M497))&lt;21,_xlfn.IFNA(VLOOKUP(C497,'חד גזעי'!$AH$2:$AH$33,1,FALSE),SUM(J497:M497)),0),SUM(J497:M497))),IF('חד גזעי'!$AM$5="כן",IF(_xlfn.IFNA(VLOOKUP(C497,'חד גזעי'!$AH$2:$AH$33,1,FALSE),SUM(J497:M497))&lt;21,_xlfn.IFNA(VLOOKUP(C497,'חד גזעי'!$AH$2:$AH$33,1,FALSE),SUM(J497:M497)),0),SUM(J497:M497)))</f>
        <v>#N/A</v>
      </c>
      <c r="O497" s="72">
        <f>IF('חד גזעי'!$AM$3 = "כן",IF(T497&gt;4,4,T497),T497)</f>
        <v>0</v>
      </c>
      <c r="P497" s="80">
        <f>IF(E497&lt;2,0,IF(Z497&gt;0,Z497,IF(N497 = 0,0,IF('חד גזעי'!$AM$2 = "לא",IF(F497&gt;19,W497,0),IF(F497&gt;9,Y497,0)))))</f>
        <v>0</v>
      </c>
      <c r="Q497" s="77"/>
      <c r="R497" s="76"/>
      <c r="S497" t="e">
        <f>VLOOKUP(C497,'חד גזעי'!$Y$4:$Y$18,1,0)</f>
        <v>#N/A</v>
      </c>
      <c r="T497" s="72">
        <f>IF('חד גזעי'!$AM$6="לא",IF(P497=0,IF(BC497="שימור",IF('חד גזעי'!$AM$4="לא",IF(BC497="לא בוגר",0,IF(BC497="לא קיים",0,IF(J497=0,0,I497*0.1))),IF(BC497="לא בוגר",0,IF(BC497="לא קיים",0,IF(AB497=1,I497*0.1,E497*0.5)))),0),IF('חד גזעי'!$AM$4="לא",IF(BC497="לא בוגר",0,IF(BC497="לא קיים",0,IF(J497=0,0,I497*0.1))),IF(BC497="לא בוגר",0,IF(BC497="לא קיים",0,IF(AB497=1,I497*0.1,E497*0.5))))),IF(P497=0,IF(BC497="שימור",IF('חד גזעי'!$AM$4="לא",IF(BC497="לא בוגר",0,IF(BC497="לא קיים",0,IF(J497=0,0,I497*0.15))),IF(BC497="לא בוגר",0,IF(BC497="לא קיים",0,IF(AB497=1,I497*0.15,E497*0.5)))),0),IF('חד גזעי'!$AM$4="לא",IF(BC497="לא בוגר",0,IF(BC497="לא קיים",0,IF(J497=0,0,I497*0.15))),IF(BC497="לא בוגר",0,IF(BC497="לא קיים",0,IF(AB497=1,I497*0.15,E497*0.5))))))</f>
        <v>0</v>
      </c>
      <c r="V497" t="e">
        <f t="shared" si="481"/>
        <v>#N/A</v>
      </c>
      <c r="W497" t="e">
        <f t="shared" si="482"/>
        <v>#N/A</v>
      </c>
      <c r="X497" t="e">
        <f t="shared" si="483"/>
        <v>#N/A</v>
      </c>
      <c r="Y497">
        <f>IF('חד גזעי'!$AM$2 = "לא",0,IF(F497&gt;9,W497,0))</f>
        <v>0</v>
      </c>
      <c r="Z497">
        <f>IF('חד גזעי'!$AM$7 = "לא",0,IF(C497 = "זית אירופי",IF('חד גזעי'!$AN$7 &lt;=סקר!F497,W497,0),IF(C497 = "חרוב מצוי",IF('חד גזעי'!$AN$7 &lt;=סקר!F497,W497,0),0)))</f>
        <v>0</v>
      </c>
      <c r="AB497">
        <f t="shared" si="498"/>
        <v>1</v>
      </c>
      <c r="AC497" s="72"/>
      <c r="AD497" t="e">
        <f t="shared" si="516"/>
        <v>#N/A</v>
      </c>
      <c r="AE497" s="72"/>
      <c r="AF497" s="72" t="e">
        <f t="shared" si="499"/>
        <v>#N/A</v>
      </c>
      <c r="AG497" s="72" t="e">
        <f>IF('חד גזעי'!$AM$5="לא",(VLOOKUP(C497,'חד גזעי'!$P$1:$S$589,3,FALSE)),(VLOOKUP(C497,'חד גזעי'!$P$1:$S$589,4,FALSE)))</f>
        <v>#N/A</v>
      </c>
      <c r="AH497" s="72">
        <f t="shared" si="500"/>
        <v>0</v>
      </c>
      <c r="AI497" s="72">
        <f t="shared" si="501"/>
        <v>0</v>
      </c>
      <c r="AJ497" s="72">
        <f t="shared" si="502"/>
        <v>0</v>
      </c>
      <c r="AK497" s="72" t="e">
        <f t="shared" si="503"/>
        <v>#N/A</v>
      </c>
      <c r="AL497" t="e">
        <f>VLOOKUP(C497,'חד גזעי'!$AH$8:$AI$33,2,FALSE)</f>
        <v>#N/A</v>
      </c>
      <c r="AM497" s="72" t="b">
        <f t="shared" si="504"/>
        <v>0</v>
      </c>
      <c r="AN497" s="72" t="b">
        <f t="shared" si="505"/>
        <v>0</v>
      </c>
      <c r="AO497" s="72" t="b">
        <f t="shared" si="506"/>
        <v>0</v>
      </c>
      <c r="AS497" s="72">
        <f t="shared" si="507"/>
        <v>0</v>
      </c>
      <c r="AT497" s="72">
        <f t="shared" si="508"/>
        <v>0</v>
      </c>
      <c r="AU497" s="72">
        <f t="shared" si="517"/>
        <v>0</v>
      </c>
      <c r="AV497" s="72">
        <f t="shared" si="509"/>
        <v>0</v>
      </c>
      <c r="AW497" s="72">
        <f t="shared" si="510"/>
        <v>0</v>
      </c>
      <c r="AX497" s="72">
        <f t="shared" si="511"/>
        <v>0</v>
      </c>
      <c r="AY497" s="72">
        <f t="shared" si="512"/>
        <v>0</v>
      </c>
      <c r="AZ497" s="72">
        <f t="shared" si="513"/>
        <v>0</v>
      </c>
      <c r="BA497" s="72" t="e">
        <f t="shared" si="514"/>
        <v>#N/A</v>
      </c>
      <c r="BB497" s="72" t="e">
        <f t="shared" si="515"/>
        <v>#N/A</v>
      </c>
      <c r="BC497" s="77"/>
      <c r="BE497">
        <f t="shared" si="495"/>
        <v>0</v>
      </c>
      <c r="BF497" s="196"/>
      <c r="BG497" s="196"/>
      <c r="BH497" s="196"/>
      <c r="BI497" s="196"/>
      <c r="BJ497" s="196"/>
      <c r="BK497" s="196"/>
    </row>
    <row r="498" spans="1:63" hidden="1">
      <c r="B498" s="72"/>
      <c r="C498" s="135"/>
      <c r="D498" s="73"/>
      <c r="E498" s="73"/>
      <c r="F498" s="72"/>
      <c r="G498" s="72"/>
      <c r="H498" s="72"/>
      <c r="I498" s="73">
        <f t="shared" si="497"/>
        <v>0</v>
      </c>
      <c r="J498" s="73"/>
      <c r="K498" s="73"/>
      <c r="L498" s="74" t="e">
        <f>_xlfn.IFNA(VLOOKUP(C498,'חד גזעי'!$U$3:$V$509,2,0),VLOOKUP(C498,'חד גזעי'!$U$3:$V$509,2))</f>
        <v>#N/A</v>
      </c>
      <c r="M498" s="73"/>
      <c r="N498" s="72" t="e">
        <f>_xlfn.IFNA(IF(VLOOKUP(C498,'חד גזעי'!$AH$2:$AH$7,1,FALSE)&gt;0,0,IF('חד גזעי'!$AM$5="כן",IF(_xlfn.IFNA(VLOOKUP(C498,'חד גזעי'!$AH$2:$AH$33,1,FALSE),SUM(J498:M498))&lt;21,_xlfn.IFNA(VLOOKUP(C498,'חד גזעי'!$AH$2:$AH$33,1,FALSE),SUM(J498:M498)),0),SUM(J498:M498))),IF('חד גזעי'!$AM$5="כן",IF(_xlfn.IFNA(VLOOKUP(C498,'חד גזעי'!$AH$2:$AH$33,1,FALSE),SUM(J498:M498))&lt;21,_xlfn.IFNA(VLOOKUP(C498,'חד גזעי'!$AH$2:$AH$33,1,FALSE),SUM(J498:M498)),0),SUM(J498:M498)))</f>
        <v>#N/A</v>
      </c>
      <c r="O498" s="72">
        <f>IF('חד גזעי'!$AM$3 = "כן",IF(T498&gt;4,4,T498),T498)</f>
        <v>0</v>
      </c>
      <c r="P498" s="80">
        <f>IF(E498&lt;2,0,IF(Z498&gt;0,Z498,IF(N498 = 0,0,IF('חד גזעי'!$AM$2 = "לא",IF(F498&gt;19,W498,0),IF(F498&gt;9,Y498,0)))))</f>
        <v>0</v>
      </c>
      <c r="Q498" s="77"/>
      <c r="R498" s="76"/>
      <c r="S498" t="e">
        <f>VLOOKUP(C498,'חד גזעי'!$Y$4:$Y$18,1,0)</f>
        <v>#N/A</v>
      </c>
      <c r="T498" s="72">
        <f>IF('חד גזעי'!$AM$6="לא",IF(P498=0,IF(BC498="שימור",IF('חד גזעי'!$AM$4="לא",IF(BC498="לא בוגר",0,IF(BC498="לא קיים",0,IF(J498=0,0,I498*0.1))),IF(BC498="לא בוגר",0,IF(BC498="לא קיים",0,IF(AB498=1,I498*0.1,E498*0.5)))),0),IF('חד גזעי'!$AM$4="לא",IF(BC498="לא בוגר",0,IF(BC498="לא קיים",0,IF(J498=0,0,I498*0.1))),IF(BC498="לא בוגר",0,IF(BC498="לא קיים",0,IF(AB498=1,I498*0.1,E498*0.5))))),IF(P498=0,IF(BC498="שימור",IF('חד גזעי'!$AM$4="לא",IF(BC498="לא בוגר",0,IF(BC498="לא קיים",0,IF(J498=0,0,I498*0.15))),IF(BC498="לא בוגר",0,IF(BC498="לא קיים",0,IF(AB498=1,I498*0.15,E498*0.5)))),0),IF('חד גזעי'!$AM$4="לא",IF(BC498="לא בוגר",0,IF(BC498="לא קיים",0,IF(J498=0,0,I498*0.15))),IF(BC498="לא בוגר",0,IF(BC498="לא קיים",0,IF(AB498=1,I498*0.15,E498*0.5))))))</f>
        <v>0</v>
      </c>
      <c r="V498" t="e">
        <f t="shared" si="481"/>
        <v>#N/A</v>
      </c>
      <c r="W498" t="e">
        <f t="shared" si="482"/>
        <v>#N/A</v>
      </c>
      <c r="X498" t="e">
        <f t="shared" si="483"/>
        <v>#N/A</v>
      </c>
      <c r="Y498">
        <f>IF('חד גזעי'!$AM$2 = "לא",0,IF(F498&gt;9,W498,0))</f>
        <v>0</v>
      </c>
      <c r="Z498">
        <f>IF('חד גזעי'!$AM$7 = "לא",0,IF(C498 = "זית אירופי",IF('חד גזעי'!$AN$7 &lt;=סקר!F498,W498,0),IF(C498 = "חרוב מצוי",IF('חד גזעי'!$AN$7 &lt;=סקר!F498,W498,0),0)))</f>
        <v>0</v>
      </c>
      <c r="AB498">
        <f t="shared" si="498"/>
        <v>1</v>
      </c>
      <c r="AC498" s="72"/>
      <c r="AD498" t="e">
        <f t="shared" si="516"/>
        <v>#N/A</v>
      </c>
      <c r="AE498" s="72"/>
      <c r="AF498" s="72" t="e">
        <f t="shared" si="499"/>
        <v>#N/A</v>
      </c>
      <c r="AG498" s="72" t="e">
        <f>IF('חד גזעי'!$AM$5="לא",(VLOOKUP(C498,'חד גזעי'!$P$1:$S$589,3,FALSE)),(VLOOKUP(C498,'חד גזעי'!$P$1:$S$589,4,FALSE)))</f>
        <v>#N/A</v>
      </c>
      <c r="AH498" s="72">
        <f t="shared" si="500"/>
        <v>0</v>
      </c>
      <c r="AI498" s="72">
        <f t="shared" si="501"/>
        <v>0</v>
      </c>
      <c r="AJ498" s="72">
        <f t="shared" si="502"/>
        <v>0</v>
      </c>
      <c r="AK498" s="72" t="e">
        <f t="shared" si="503"/>
        <v>#N/A</v>
      </c>
      <c r="AL498" t="e">
        <f>VLOOKUP(C498,'חד גזעי'!$AH$8:$AI$33,2,FALSE)</f>
        <v>#N/A</v>
      </c>
      <c r="AM498" s="72" t="b">
        <f t="shared" si="504"/>
        <v>0</v>
      </c>
      <c r="AN498" s="72" t="b">
        <f t="shared" si="505"/>
        <v>0</v>
      </c>
      <c r="AO498" s="72" t="b">
        <f t="shared" si="506"/>
        <v>0</v>
      </c>
      <c r="AS498" s="72">
        <f t="shared" si="507"/>
        <v>0</v>
      </c>
      <c r="AT498" s="72">
        <f t="shared" si="508"/>
        <v>0</v>
      </c>
      <c r="AU498" s="72">
        <f t="shared" si="517"/>
        <v>0</v>
      </c>
      <c r="AV498" s="72">
        <f t="shared" si="509"/>
        <v>0</v>
      </c>
      <c r="AW498" s="72">
        <f t="shared" si="510"/>
        <v>0</v>
      </c>
      <c r="AX498" s="72">
        <f t="shared" si="511"/>
        <v>0</v>
      </c>
      <c r="AY498" s="72">
        <f t="shared" si="512"/>
        <v>0</v>
      </c>
      <c r="AZ498" s="72">
        <f t="shared" si="513"/>
        <v>0</v>
      </c>
      <c r="BA498" s="72" t="e">
        <f t="shared" si="514"/>
        <v>#N/A</v>
      </c>
      <c r="BB498" s="72" t="e">
        <f t="shared" si="515"/>
        <v>#N/A</v>
      </c>
      <c r="BC498" s="77"/>
      <c r="BE498">
        <f t="shared" si="495"/>
        <v>0</v>
      </c>
      <c r="BF498" s="196"/>
      <c r="BG498" s="196"/>
      <c r="BH498" s="196"/>
      <c r="BI498" s="196"/>
      <c r="BJ498" s="196"/>
      <c r="BK498" s="196"/>
    </row>
    <row r="499" spans="1:63" ht="14.25" hidden="1">
      <c r="B499" s="71"/>
      <c r="C499" s="69"/>
      <c r="Q499" s="86"/>
      <c r="T499" s="72">
        <f>IF('חד גזעי'!$AM$6="לא",IF(P499=0,IF(BC499="שימור",IF('חד גזעי'!$AM$4="לא",IF(BC499="לא בוגר",0,IF(BC499="לא קיים",0,IF(J499=0,0,I499*0.1))),IF(BC499="לא בוגר",0,IF(BC499="לא קיים",0,IF(AB499=1,I499*0.1,E499*0.5)))),0),IF('חד גזעי'!$AM$4="לא",IF(BC499="לא בוגר",0,IF(BC499="לא קיים",0,IF(J499=0,0,I499*0.1))),IF(BC499="לא בוגר",0,IF(BC499="לא קיים",0,IF(AB499=1,I499*0.1,E499*0.5))))),IF(P499=0,IF(BC499="שימור",IF('חד גזעי'!$AM$4="לא",IF(BC499="לא בוגר",0,IF(BC499="לא קיים",0,IF(J499=0,0,I499*0.15))),IF(BC499="לא בוגר",0,IF(BC499="לא קיים",0,IF(AB499=1,I499*0.15,E499*0.5)))),0),IF('חד גזעי'!$AM$4="לא",IF(BC499="לא בוגר",0,IF(BC499="לא קיים",0,IF(J499=0,0,I499*0.15))),IF(BC499="לא בוגר",0,IF(BC499="לא קיים",0,IF(AB499=1,I499*0.15,E499*0.5))))))</f>
        <v>0</v>
      </c>
      <c r="V499">
        <f t="shared" si="481"/>
        <v>0</v>
      </c>
      <c r="W499">
        <f t="shared" si="482"/>
        <v>0</v>
      </c>
      <c r="X499">
        <f t="shared" si="483"/>
        <v>0</v>
      </c>
      <c r="Y499">
        <f>IF('חד גזעי'!$AM$2 = "לא",0,IF(F499&gt;9,W499,0))</f>
        <v>0</v>
      </c>
      <c r="Z499">
        <f>IF('חד גזעי'!$AM$7 = "לא",0,IF(C499 = "זית אירופי",IF('חד גזעי'!$AN$7 &lt;=סקר!F499,W499,0),IF(C499 = "חרוב מצוי",IF('חד גזעי'!$AN$7 &lt;=סקר!F499,W499,0),0)))</f>
        <v>0</v>
      </c>
      <c r="AD499" s="69" t="s">
        <v>807</v>
      </c>
      <c r="BE499">
        <f t="shared" si="495"/>
        <v>0</v>
      </c>
      <c r="BF499" s="196"/>
      <c r="BG499" s="196"/>
      <c r="BH499" s="196"/>
      <c r="BI499" s="196"/>
      <c r="BJ499" s="196"/>
      <c r="BK499" s="196"/>
    </row>
    <row r="500" spans="1:63" ht="14.25" hidden="1">
      <c r="A500" s="129"/>
      <c r="B500" s="132"/>
      <c r="C500" s="133"/>
      <c r="D500" s="129"/>
      <c r="E500" s="129"/>
      <c r="F500" s="129"/>
      <c r="G500" s="129"/>
      <c r="H500" s="129"/>
      <c r="I500" s="129"/>
      <c r="J500" s="129"/>
      <c r="K500" s="129"/>
      <c r="L500" s="129"/>
      <c r="M500" s="129"/>
      <c r="N500" s="129"/>
      <c r="O500" s="129"/>
      <c r="P500" s="129"/>
      <c r="Q500" s="134"/>
      <c r="R500" s="129"/>
      <c r="S500" s="129"/>
      <c r="T500" s="72">
        <f>IF('חד גזעי'!$AM$6="לא",IF(P500=0,IF(BC500="שימור",IF('חד גזעי'!$AM$4="לא",IF(BC500="לא בוגר",0,IF(BC500="לא קיים",0,IF(J500=0,0,I500*0.1))),IF(BC500="לא בוגר",0,IF(BC500="לא קיים",0,IF(AB500=1,I500*0.1,E500*0.5)))),0),IF('חד גזעי'!$AM$4="לא",IF(BC500="לא בוגר",0,IF(BC500="לא קיים",0,IF(J500=0,0,I500*0.1))),IF(BC500="לא בוגר",0,IF(BC500="לא קיים",0,IF(AB500=1,I500*0.1,E500*0.5))))),IF(P500=0,IF(BC500="שימור",IF('חד גזעי'!$AM$4="לא",IF(BC500="לא בוגר",0,IF(BC500="לא קיים",0,IF(J500=0,0,I500*0.15))),IF(BC500="לא בוגר",0,IF(BC500="לא קיים",0,IF(AB500=1,I500*0.15,E500*0.5)))),0),IF('חד גזעי'!$AM$4="לא",IF(BC500="לא בוגר",0,IF(BC500="לא קיים",0,IF(J500=0,0,I500*0.15))),IF(BC500="לא בוגר",0,IF(BC500="לא קיים",0,IF(AB500=1,I500*0.15,E500*0.5))))))</f>
        <v>0</v>
      </c>
      <c r="U500" s="129"/>
      <c r="V500">
        <f t="shared" si="481"/>
        <v>0</v>
      </c>
      <c r="W500">
        <f t="shared" si="482"/>
        <v>0</v>
      </c>
      <c r="X500">
        <f t="shared" si="483"/>
        <v>0</v>
      </c>
      <c r="Y500">
        <f>IF('חד גזעי'!$AM$2 = "לא",0,IF(F500&gt;9,W500,0))</f>
        <v>0</v>
      </c>
      <c r="Z500">
        <f>IF('חד גזעי'!$AM$7 = "לא",0,IF(C500 = "זית אירופי",IF('חד גזעי'!$AN$7 &lt;=סקר!F500,W500,0),IF(C500 = "חרוב מצוי",IF('חד גזעי'!$AN$7 &lt;=סקר!F500,W500,0),0)))</f>
        <v>0</v>
      </c>
      <c r="AA500" s="129"/>
      <c r="AB500" s="129"/>
      <c r="AC500" s="129"/>
      <c r="AD500" s="133"/>
      <c r="AE500" s="129"/>
      <c r="AF500" s="129"/>
      <c r="AG500" s="129"/>
      <c r="AH500" s="129"/>
      <c r="AI500" s="129"/>
      <c r="AJ500" s="129"/>
      <c r="AK500" s="129"/>
      <c r="AL500" s="129"/>
      <c r="AM500" s="129"/>
      <c r="AN500" s="129"/>
      <c r="AO500" s="129"/>
      <c r="AP500" s="129"/>
      <c r="AQ500" s="129"/>
      <c r="AR500" s="129"/>
      <c r="AS500" s="129"/>
      <c r="AT500" s="129"/>
      <c r="AU500" s="129"/>
      <c r="AV500" s="129"/>
      <c r="AW500" s="129"/>
      <c r="AX500" s="129"/>
      <c r="AY500" s="129"/>
      <c r="AZ500" s="129"/>
      <c r="BA500" s="129"/>
      <c r="BB500" s="129"/>
      <c r="BC500" s="129"/>
      <c r="BD500" s="129"/>
      <c r="BE500" s="129"/>
      <c r="BF500" s="129">
        <f>_xlfn.IFNA(_xlfn.IFNA(_xlfn.TEXTBEFORE(BF482,"--"),_xlfn.TEXTBEFORE(BF482,",")),BF482)</f>
        <v>0</v>
      </c>
      <c r="BG500" s="129">
        <f t="shared" ref="BG500:BK500" si="519">_xlfn.IFNA(_xlfn.IFNA(_xlfn.TEXTBEFORE(BG482,"--"),_xlfn.TEXTBEFORE(BG482,",")),BG482)</f>
        <v>0</v>
      </c>
      <c r="BH500" s="129">
        <f t="shared" si="519"/>
        <v>0</v>
      </c>
      <c r="BI500" s="129">
        <f>_xlfn.IFNA(_xlfn.IFNA(_xlfn.TEXTBEFORE(BI482,"--"),_xlfn.TEXTBEFORE(BI482,",")),BI482)</f>
        <v>0</v>
      </c>
      <c r="BJ500" s="129">
        <f t="shared" si="519"/>
        <v>0</v>
      </c>
      <c r="BK500" s="129">
        <f t="shared" si="519"/>
        <v>0</v>
      </c>
    </row>
    <row r="501" spans="1:63" ht="14.25" hidden="1">
      <c r="A501" s="129"/>
      <c r="B501" s="132"/>
      <c r="C501" s="133"/>
      <c r="D501" s="129"/>
      <c r="E501" s="129"/>
      <c r="F501" s="129"/>
      <c r="G501" s="129"/>
      <c r="H501" s="129"/>
      <c r="I501" s="129"/>
      <c r="J501" s="129"/>
      <c r="K501" s="129"/>
      <c r="L501" s="129"/>
      <c r="M501" s="129"/>
      <c r="N501" s="129"/>
      <c r="O501" s="129"/>
      <c r="P501" s="129"/>
      <c r="Q501" s="134"/>
      <c r="R501" s="129"/>
      <c r="S501" s="129"/>
      <c r="T501" s="72">
        <f>IF('חד גזעי'!$AM$6="לא",IF(P501=0,IF(BC501="שימור",IF('חד גזעי'!$AM$4="לא",IF(BC501="לא בוגר",0,IF(BC501="לא קיים",0,IF(J501=0,0,I501*0.1))),IF(BC501="לא בוגר",0,IF(BC501="לא קיים",0,IF(AB501=1,I501*0.1,E501*0.5)))),0),IF('חד גזעי'!$AM$4="לא",IF(BC501="לא בוגר",0,IF(BC501="לא קיים",0,IF(J501=0,0,I501*0.1))),IF(BC501="לא בוגר",0,IF(BC501="לא קיים",0,IF(AB501=1,I501*0.1,E501*0.5))))),IF(P501=0,IF(BC501="שימור",IF('חד גזעי'!$AM$4="לא",IF(BC501="לא בוגר",0,IF(BC501="לא קיים",0,IF(J501=0,0,I501*0.15))),IF(BC501="לא בוגר",0,IF(BC501="לא קיים",0,IF(AB501=1,I501*0.15,E501*0.5)))),0),IF('חד גזעי'!$AM$4="לא",IF(BC501="לא בוגר",0,IF(BC501="לא קיים",0,IF(J501=0,0,I501*0.15))),IF(BC501="לא בוגר",0,IF(BC501="לא קיים",0,IF(AB501=1,I501*0.15,E501*0.5))))))</f>
        <v>0</v>
      </c>
      <c r="U501" s="129"/>
      <c r="V501">
        <f t="shared" si="481"/>
        <v>0</v>
      </c>
      <c r="W501">
        <f t="shared" si="482"/>
        <v>0</v>
      </c>
      <c r="X501">
        <f t="shared" si="483"/>
        <v>0</v>
      </c>
      <c r="Y501">
        <f>IF('חד גזעי'!$AM$2 = "לא",0,IF(F501&gt;9,W501,0))</f>
        <v>0</v>
      </c>
      <c r="Z501">
        <f>IF('חד גזעי'!$AM$7 = "לא",0,IF(C501 = "זית אירופי",IF('חד גזעי'!$AN$7 &lt;=סקר!F501,W501,0),IF(C501 = "חרוב מצוי",IF('חד גזעי'!$AN$7 &lt;=סקר!F501,W501,0),0)))</f>
        <v>0</v>
      </c>
      <c r="AA501" s="129"/>
      <c r="AB501" s="129"/>
      <c r="AC501" s="129"/>
      <c r="AD501" s="133"/>
      <c r="AE501" s="129"/>
      <c r="AF501" s="129"/>
      <c r="AG501" s="129"/>
      <c r="AH501" s="129"/>
      <c r="AI501" s="129"/>
      <c r="AJ501" s="129"/>
      <c r="AK501" s="129"/>
      <c r="AL501" s="129"/>
      <c r="AM501" s="129"/>
      <c r="AN501" s="129"/>
      <c r="AO501" s="129"/>
      <c r="AP501" s="129"/>
      <c r="AQ501" s="129"/>
      <c r="AR501" s="129"/>
      <c r="AS501" s="129"/>
      <c r="AT501" s="129"/>
      <c r="AU501" s="129"/>
      <c r="AV501" s="129"/>
      <c r="AW501" s="129"/>
      <c r="AX501" s="129"/>
      <c r="AY501" s="129"/>
      <c r="AZ501" s="129"/>
      <c r="BA501" s="129"/>
      <c r="BB501" s="129"/>
      <c r="BC501" s="129"/>
      <c r="BD501" s="129"/>
      <c r="BE501" s="129"/>
      <c r="BF501" s="129" t="str">
        <f>"C:\Users\origr\Pictures\"&amp;BF500&amp;".jpg"</f>
        <v>C:\Users\origr\Pictures\0.jpg</v>
      </c>
      <c r="BG501" s="129" t="str">
        <f t="shared" ref="BG501" si="520">"C:\Users\origr\Pictures\"&amp;BG500&amp;".jpg"</f>
        <v>C:\Users\origr\Pictures\0.jpg</v>
      </c>
      <c r="BH501" s="129" t="str">
        <f t="shared" ref="BH501" si="521">"C:\Users\origr\Pictures\"&amp;BH500&amp;".jpg"</f>
        <v>C:\Users\origr\Pictures\0.jpg</v>
      </c>
      <c r="BI501" s="129" t="str">
        <f t="shared" ref="BI501" si="522">"C:\Users\origr\Pictures\"&amp;BI500&amp;".jpg"</f>
        <v>C:\Users\origr\Pictures\0.jpg</v>
      </c>
      <c r="BJ501" s="129" t="str">
        <f t="shared" ref="BJ501" si="523">"C:\Users\origr\Pictures\"&amp;BJ500&amp;".jpg"</f>
        <v>C:\Users\origr\Pictures\0.jpg</v>
      </c>
      <c r="BK501" s="129" t="str">
        <f t="shared" ref="BK501" si="524">"C:\Users\origr\Pictures\"&amp;BK500&amp;".jpg"</f>
        <v>C:\Users\origr\Pictures\0.jpg</v>
      </c>
    </row>
    <row r="502" spans="1:63" ht="14.25" hidden="1">
      <c r="A502" s="129"/>
      <c r="B502" s="132"/>
      <c r="C502" s="133"/>
      <c r="D502" s="129"/>
      <c r="E502" s="129"/>
      <c r="F502" s="129"/>
      <c r="G502" s="129"/>
      <c r="H502" s="129"/>
      <c r="I502" s="129"/>
      <c r="J502" s="129"/>
      <c r="K502" s="129"/>
      <c r="L502" s="129"/>
      <c r="M502" s="129"/>
      <c r="N502" s="129"/>
      <c r="O502" s="129"/>
      <c r="P502" s="129"/>
      <c r="Q502" s="134"/>
      <c r="R502" s="129"/>
      <c r="S502" s="129"/>
      <c r="T502" s="72">
        <f>IF('חד גזעי'!$AM$6="לא",IF(P502=0,IF(BC502="שימור",IF('חד גזעי'!$AM$4="לא",IF(BC502="לא בוגר",0,IF(BC502="לא קיים",0,IF(J502=0,0,I502*0.1))),IF(BC502="לא בוגר",0,IF(BC502="לא קיים",0,IF(AB502=1,I502*0.1,E502*0.5)))),0),IF('חד גזעי'!$AM$4="לא",IF(BC502="לא בוגר",0,IF(BC502="לא קיים",0,IF(J502=0,0,I502*0.1))),IF(BC502="לא בוגר",0,IF(BC502="לא קיים",0,IF(AB502=1,I502*0.1,E502*0.5))))),IF(P502=0,IF(BC502="שימור",IF('חד גזעי'!$AM$4="לא",IF(BC502="לא בוגר",0,IF(BC502="לא קיים",0,IF(J502=0,0,I502*0.15))),IF(BC502="לא בוגר",0,IF(BC502="לא קיים",0,IF(AB502=1,I502*0.15,E502*0.5)))),0),IF('חד גזעי'!$AM$4="לא",IF(BC502="לא בוגר",0,IF(BC502="לא קיים",0,IF(J502=0,0,I502*0.15))),IF(BC502="לא בוגר",0,IF(BC502="לא קיים",0,IF(AB502=1,I502*0.15,E502*0.5))))))</f>
        <v>0</v>
      </c>
      <c r="U502" s="129"/>
      <c r="V502">
        <f t="shared" si="481"/>
        <v>0</v>
      </c>
      <c r="W502">
        <f t="shared" si="482"/>
        <v>0</v>
      </c>
      <c r="X502">
        <f t="shared" si="483"/>
        <v>0</v>
      </c>
      <c r="Y502">
        <f>IF('חד גזעי'!$AM$2 = "לא",0,IF(F502&gt;9,W502,0))</f>
        <v>0</v>
      </c>
      <c r="Z502">
        <f>IF('חד גזעי'!$AM$7 = "לא",0,IF(C502 = "זית אירופי",IF('חד גזעי'!$AN$7 &lt;=סקר!F502,W502,0),IF(C502 = "חרוב מצוי",IF('חד גזעי'!$AN$7 &lt;=סקר!F502,W502,0),0)))</f>
        <v>0</v>
      </c>
      <c r="AA502" s="129"/>
      <c r="AB502" s="129"/>
      <c r="AC502" s="129"/>
      <c r="AD502" s="133"/>
      <c r="AE502" s="129"/>
      <c r="AF502" s="129"/>
      <c r="AG502" s="129"/>
      <c r="AH502" s="129"/>
      <c r="AI502" s="129"/>
      <c r="AJ502" s="129"/>
      <c r="AK502" s="129"/>
      <c r="AL502" s="129"/>
      <c r="AM502" s="129"/>
      <c r="AN502" s="129"/>
      <c r="AO502" s="129"/>
      <c r="AP502" s="129"/>
      <c r="AQ502" s="129"/>
      <c r="AR502" s="129"/>
      <c r="AS502" s="129"/>
      <c r="AT502" s="129"/>
      <c r="AU502" s="129"/>
      <c r="AV502" s="129"/>
      <c r="AW502" s="129"/>
      <c r="AX502" s="129"/>
      <c r="AY502" s="129"/>
      <c r="AZ502" s="129"/>
      <c r="BA502" s="129"/>
      <c r="BB502" s="129"/>
      <c r="BC502" s="129"/>
      <c r="BD502" s="129"/>
      <c r="BE502" s="129"/>
      <c r="BF502" s="129" t="str">
        <f>BF501</f>
        <v>C:\Users\origr\Pictures\0.jpg</v>
      </c>
      <c r="BG502" s="129" t="str">
        <f t="shared" ref="BG502" si="525">BG501</f>
        <v>C:\Users\origr\Pictures\0.jpg</v>
      </c>
      <c r="BH502" s="129" t="str">
        <f t="shared" ref="BH502" si="526">BH501</f>
        <v>C:\Users\origr\Pictures\0.jpg</v>
      </c>
      <c r="BI502" s="129" t="str">
        <f t="shared" ref="BI502" si="527">BI501</f>
        <v>C:\Users\origr\Pictures\0.jpg</v>
      </c>
      <c r="BJ502" s="129" t="str">
        <f t="shared" ref="BJ502" si="528">BJ501</f>
        <v>C:\Users\origr\Pictures\0.jpg</v>
      </c>
      <c r="BK502" s="129" t="str">
        <f t="shared" ref="BK502" si="529">BK501</f>
        <v>C:\Users\origr\Pictures\0.jpg</v>
      </c>
    </row>
    <row r="503" spans="1:63" hidden="1">
      <c r="T503" s="72">
        <f>IF('חד גזעי'!$AM$6="לא",IF(P503=0,IF(BC503="שימור",IF('חד גזעי'!$AM$4="לא",IF(BC503="לא בוגר",0,IF(BC503="לא קיים",0,IF(J503=0,0,I503*0.1))),IF(BC503="לא בוגר",0,IF(BC503="לא קיים",0,IF(AB503=1,I503*0.1,E503*0.5)))),0),IF('חד גזעי'!$AM$4="לא",IF(BC503="לא בוגר",0,IF(BC503="לא קיים",0,IF(J503=0,0,I503*0.1))),IF(BC503="לא בוגר",0,IF(BC503="לא קיים",0,IF(AB503=1,I503*0.1,E503*0.5))))),IF(P503=0,IF(BC503="שימור",IF('חד גזעי'!$AM$4="לא",IF(BC503="לא בוגר",0,IF(BC503="לא קיים",0,IF(J503=0,0,I503*0.15))),IF(BC503="לא בוגר",0,IF(BC503="לא קיים",0,IF(AB503=1,I503*0.15,E503*0.5)))),0),IF('חד גזעי'!$AM$4="לא",IF(BC503="לא בוגר",0,IF(BC503="לא קיים",0,IF(J503=0,0,I503*0.15))),IF(BC503="לא בוגר",0,IF(BC503="לא קיים",0,IF(AB503=1,I503*0.15,E503*0.5))))))</f>
        <v>0</v>
      </c>
      <c r="V503">
        <f t="shared" si="481"/>
        <v>0</v>
      </c>
      <c r="W503">
        <f t="shared" si="482"/>
        <v>0</v>
      </c>
      <c r="X503">
        <f t="shared" si="483"/>
        <v>0</v>
      </c>
      <c r="Y503">
        <f>IF('חד גזעי'!$AM$2 = "לא",0,IF(F503&gt;9,W503,0))</f>
        <v>0</v>
      </c>
      <c r="Z503">
        <f>IF('חד גזעי'!$AM$7 = "לא",0,IF(C503 = "זית אירופי",IF('חד גזעי'!$AN$7 &lt;=סקר!F503,W503,0),IF(C503 = "חרוב מצוי",IF('חד גזעי'!$AN$7 &lt;=סקר!F503,W503,0),0)))</f>
        <v>0</v>
      </c>
    </row>
    <row r="504" spans="1:63" hidden="1">
      <c r="T504" s="72">
        <f>IF('חד גזעי'!$AM$6="לא",IF(P504=0,IF(BC504="שימור",IF('חד גזעי'!$AM$4="לא",IF(BC504="לא בוגר",0,IF(BC504="לא קיים",0,IF(J504=0,0,I504*0.1))),IF(BC504="לא בוגר",0,IF(BC504="לא קיים",0,IF(AB504=1,I504*0.1,E504*0.5)))),0),IF('חד גזעי'!$AM$4="לא",IF(BC504="לא בוגר",0,IF(BC504="לא קיים",0,IF(J504=0,0,I504*0.1))),IF(BC504="לא בוגר",0,IF(BC504="לא קיים",0,IF(AB504=1,I504*0.1,E504*0.5))))),IF(P504=0,IF(BC504="שימור",IF('חד גזעי'!$AM$4="לא",IF(BC504="לא בוגר",0,IF(BC504="לא קיים",0,IF(J504=0,0,I504*0.15))),IF(BC504="לא בוגר",0,IF(BC504="לא קיים",0,IF(AB504=1,I504*0.15,E504*0.5)))),0),IF('חד גזעי'!$AM$4="לא",IF(BC504="לא בוגר",0,IF(BC504="לא קיים",0,IF(J504=0,0,I504*0.15))),IF(BC504="לא בוגר",0,IF(BC504="לא קיים",0,IF(AB504=1,I504*0.15,E504*0.5))))))</f>
        <v>0</v>
      </c>
      <c r="V504">
        <f t="shared" si="481"/>
        <v>0</v>
      </c>
      <c r="W504">
        <f t="shared" si="482"/>
        <v>0</v>
      </c>
      <c r="X504">
        <f t="shared" si="483"/>
        <v>0</v>
      </c>
      <c r="Y504">
        <f>IF('חד גזעי'!$AM$2 = "לא",0,IF(F504&gt;9,W504,0))</f>
        <v>0</v>
      </c>
      <c r="Z504">
        <f>IF('חד גזעי'!$AM$7 = "לא",0,IF(C504 = "זית אירופי",IF('חד גזעי'!$AN$7 &lt;=סקר!F504,W504,0),IF(C504 = "חרוב מצוי",IF('חד גזעי'!$AN$7 &lt;=סקר!F504,W504,0),0)))</f>
        <v>0</v>
      </c>
    </row>
    <row r="505" spans="1:63" hidden="1">
      <c r="T505" s="72">
        <f>IF('חד גזעי'!$AM$6="לא",IF(P505=0,IF(BC505="שימור",IF('חד גזעי'!$AM$4="לא",IF(BC505="לא בוגר",0,IF(BC505="לא קיים",0,IF(J505=0,0,I505*0.1))),IF(BC505="לא בוגר",0,IF(BC505="לא קיים",0,IF(AB505=1,I505*0.1,E505*0.5)))),0),IF('חד גזעי'!$AM$4="לא",IF(BC505="לא בוגר",0,IF(BC505="לא קיים",0,IF(J505=0,0,I505*0.1))),IF(BC505="לא בוגר",0,IF(BC505="לא קיים",0,IF(AB505=1,I505*0.1,E505*0.5))))),IF(P505=0,IF(BC505="שימור",IF('חד גזעי'!$AM$4="לא",IF(BC505="לא בוגר",0,IF(BC505="לא קיים",0,IF(J505=0,0,I505*0.15))),IF(BC505="לא בוגר",0,IF(BC505="לא קיים",0,IF(AB505=1,I505*0.15,E505*0.5)))),0),IF('חד גזעי'!$AM$4="לא",IF(BC505="לא בוגר",0,IF(BC505="לא קיים",0,IF(J505=0,0,I505*0.15))),IF(BC505="לא בוגר",0,IF(BC505="לא קיים",0,IF(AB505=1,I505*0.15,E505*0.5))))))</f>
        <v>0</v>
      </c>
      <c r="V505">
        <f t="shared" si="481"/>
        <v>0</v>
      </c>
      <c r="W505">
        <f t="shared" si="482"/>
        <v>0</v>
      </c>
      <c r="X505">
        <f t="shared" si="483"/>
        <v>0</v>
      </c>
      <c r="Y505">
        <f>IF('חד גזעי'!$AM$2 = "לא",0,IF(F505&gt;9,W505,0))</f>
        <v>0</v>
      </c>
      <c r="Z505">
        <f>IF('חד גזעי'!$AM$7 = "לא",0,IF(C505 = "זית אירופי",IF('חד גזעי'!$AN$7 &lt;=סקר!F505,W505,0),IF(C505 = "חרוב מצוי",IF('חד גזעי'!$AN$7 &lt;=סקר!F505,W505,0),0)))</f>
        <v>0</v>
      </c>
    </row>
    <row r="506" spans="1:63" hidden="1">
      <c r="A506" s="129"/>
      <c r="B506" s="129"/>
      <c r="C506" s="129"/>
      <c r="D506" s="129"/>
      <c r="E506" s="129"/>
      <c r="F506" s="129"/>
      <c r="G506" s="129"/>
      <c r="H506" s="129"/>
      <c r="I506" s="129"/>
      <c r="J506" s="129"/>
      <c r="K506" s="129"/>
      <c r="L506" s="129"/>
      <c r="M506" s="129"/>
      <c r="N506" s="129"/>
      <c r="O506" s="129"/>
      <c r="P506" s="129"/>
      <c r="Q506" s="129"/>
      <c r="R506" s="129"/>
      <c r="S506" s="129"/>
      <c r="T506" s="72">
        <f>IF('חד גזעי'!$AM$6="לא",IF(P506=0,IF(BC506="שימור",IF('חד גזעי'!$AM$4="לא",IF(BC506="לא בוגר",0,IF(BC506="לא קיים",0,IF(J506=0,0,I506*0.1))),IF(BC506="לא בוגר",0,IF(BC506="לא קיים",0,IF(AB506=1,I506*0.1,E506*0.5)))),0),IF('חד גזעי'!$AM$4="לא",IF(BC506="לא בוגר",0,IF(BC506="לא קיים",0,IF(J506=0,0,I506*0.1))),IF(BC506="לא בוגר",0,IF(BC506="לא קיים",0,IF(AB506=1,I506*0.1,E506*0.5))))),IF(P506=0,IF(BC506="שימור",IF('חד גזעי'!$AM$4="לא",IF(BC506="לא בוגר",0,IF(BC506="לא קיים",0,IF(J506=0,0,I506*0.15))),IF(BC506="לא בוגר",0,IF(BC506="לא קיים",0,IF(AB506=1,I506*0.15,E506*0.5)))),0),IF('חד גזעי'!$AM$4="לא",IF(BC506="לא בוגר",0,IF(BC506="לא קיים",0,IF(J506=0,0,I506*0.15))),IF(BC506="לא בוגר",0,IF(BC506="לא קיים",0,IF(AB506=1,I506*0.15,E506*0.5))))))</f>
        <v>0</v>
      </c>
      <c r="U506" s="129"/>
      <c r="V506">
        <f t="shared" si="481"/>
        <v>0</v>
      </c>
      <c r="W506">
        <f t="shared" si="482"/>
        <v>0</v>
      </c>
      <c r="X506">
        <f t="shared" si="483"/>
        <v>0</v>
      </c>
      <c r="Y506">
        <f>IF('חד גזעי'!$AM$2 = "לא",0,IF(F506&gt;9,W506,0))</f>
        <v>0</v>
      </c>
      <c r="Z506">
        <f>IF('חד גזעי'!$AM$7 = "לא",0,IF(C506 = "זית אירופי",IF('חד גזעי'!$AN$7 &lt;=סקר!F506,W506,0),IF(C506 = "חרוב מצוי",IF('חד גזעי'!$AN$7 &lt;=סקר!F506,W506,0),0)))</f>
        <v>0</v>
      </c>
      <c r="AA506" s="129"/>
      <c r="AB506" s="129"/>
      <c r="AC506" s="129"/>
      <c r="AD506" s="129"/>
      <c r="AE506" s="129"/>
      <c r="AF506" s="129"/>
      <c r="AG506" s="129"/>
      <c r="AH506" s="129"/>
      <c r="AI506" s="129"/>
      <c r="AJ506" s="129"/>
      <c r="AK506" s="129"/>
      <c r="AL506" s="129"/>
      <c r="AM506" s="129"/>
      <c r="AN506" s="129"/>
      <c r="AO506" s="129"/>
      <c r="AP506" s="129"/>
      <c r="AQ506" s="129"/>
      <c r="AR506" s="129"/>
      <c r="AS506" s="129"/>
      <c r="AT506" s="129"/>
      <c r="AU506" s="129"/>
      <c r="AV506" s="129"/>
      <c r="AW506" s="129"/>
      <c r="AX506" s="129"/>
      <c r="AY506" s="129"/>
      <c r="AZ506" s="129"/>
      <c r="BA506" s="129"/>
      <c r="BB506" s="129"/>
      <c r="BC506" s="129"/>
      <c r="BD506" s="129"/>
      <c r="BE506" s="129"/>
      <c r="BF506" s="129">
        <f>_xlfn.IFNA(_xlfn.IFNA(_xlfn.TEXTBEFORE(BF510,"--"),_xlfn.TEXTBEFORE(BF510,",")),BF510)</f>
        <v>0</v>
      </c>
      <c r="BG506" s="129">
        <f t="shared" ref="BG506:BK506" si="530">_xlfn.IFNA(_xlfn.IFNA(_xlfn.TEXTBEFORE(BG510,"--"),_xlfn.TEXTBEFORE(BG510,",")),BG510)</f>
        <v>0</v>
      </c>
      <c r="BH506" s="129">
        <f t="shared" si="530"/>
        <v>0</v>
      </c>
      <c r="BI506" s="129">
        <f>_xlfn.IFNA(_xlfn.IFNA(_xlfn.TEXTBEFORE(BI510,"--"),_xlfn.TEXTBEFORE(BI510,",")),BI510)</f>
        <v>0</v>
      </c>
      <c r="BJ506" s="129">
        <f t="shared" si="530"/>
        <v>0</v>
      </c>
      <c r="BK506" s="129">
        <f t="shared" si="530"/>
        <v>0</v>
      </c>
    </row>
    <row r="507" spans="1:63" hidden="1">
      <c r="A507" s="129"/>
      <c r="B507" s="129"/>
      <c r="C507" s="129"/>
      <c r="D507" s="129"/>
      <c r="E507" s="129"/>
      <c r="F507" s="129"/>
      <c r="G507" s="129"/>
      <c r="H507" s="129"/>
      <c r="I507" s="129"/>
      <c r="J507" s="129"/>
      <c r="K507" s="129"/>
      <c r="L507" s="129"/>
      <c r="M507" s="129"/>
      <c r="N507" s="129"/>
      <c r="O507" s="129"/>
      <c r="P507" s="129"/>
      <c r="Q507" s="129"/>
      <c r="R507" s="129"/>
      <c r="S507" s="129"/>
      <c r="T507" s="72">
        <f>IF('חד גזעי'!$AM$6="לא",IF(P507=0,IF(BC507="שימור",IF('חד גזעי'!$AM$4="לא",IF(BC507="לא בוגר",0,IF(BC507="לא קיים",0,IF(J507=0,0,I507*0.1))),IF(BC507="לא בוגר",0,IF(BC507="לא קיים",0,IF(AB507=1,I507*0.1,E507*0.5)))),0),IF('חד גזעי'!$AM$4="לא",IF(BC507="לא בוגר",0,IF(BC507="לא קיים",0,IF(J507=0,0,I507*0.1))),IF(BC507="לא בוגר",0,IF(BC507="לא קיים",0,IF(AB507=1,I507*0.1,E507*0.5))))),IF(P507=0,IF(BC507="שימור",IF('חד גזעי'!$AM$4="לא",IF(BC507="לא בוגר",0,IF(BC507="לא קיים",0,IF(J507=0,0,I507*0.15))),IF(BC507="לא בוגר",0,IF(BC507="לא קיים",0,IF(AB507=1,I507*0.15,E507*0.5)))),0),IF('חד גזעי'!$AM$4="לא",IF(BC507="לא בוגר",0,IF(BC507="לא קיים",0,IF(J507=0,0,I507*0.15))),IF(BC507="לא בוגר",0,IF(BC507="לא קיים",0,IF(AB507=1,I507*0.15,E507*0.5))))))</f>
        <v>0</v>
      </c>
      <c r="U507" s="129"/>
      <c r="V507">
        <f t="shared" si="481"/>
        <v>0</v>
      </c>
      <c r="W507">
        <f t="shared" si="482"/>
        <v>0</v>
      </c>
      <c r="X507">
        <f t="shared" si="483"/>
        <v>0</v>
      </c>
      <c r="Y507">
        <f>IF('חד גזעי'!$AM$2 = "לא",0,IF(F507&gt;9,W507,0))</f>
        <v>0</v>
      </c>
      <c r="Z507">
        <f>IF('חד גזעי'!$AM$7 = "לא",0,IF(C507 = "זית אירופי",IF('חד גזעי'!$AN$7 &lt;=סקר!F507,W507,0),IF(C507 = "חרוב מצוי",IF('חד גזעי'!$AN$7 &lt;=סקר!F507,W507,0),0)))</f>
        <v>0</v>
      </c>
      <c r="AA507" s="129"/>
      <c r="AB507" s="129"/>
      <c r="AC507" s="129"/>
      <c r="AD507" s="129"/>
      <c r="AE507" s="129"/>
      <c r="AF507" s="129"/>
      <c r="AG507" s="129"/>
      <c r="AH507" s="129"/>
      <c r="AI507" s="129"/>
      <c r="AJ507" s="129"/>
      <c r="AK507" s="129"/>
      <c r="AL507" s="129"/>
      <c r="AM507" s="129"/>
      <c r="AN507" s="129"/>
      <c r="AO507" s="129"/>
      <c r="AP507" s="129"/>
      <c r="AQ507" s="129"/>
      <c r="AR507" s="129"/>
      <c r="AS507" s="129"/>
      <c r="AT507" s="129"/>
      <c r="AU507" s="129"/>
      <c r="AV507" s="129"/>
      <c r="AW507" s="129"/>
      <c r="AX507" s="129"/>
      <c r="AY507" s="129"/>
      <c r="AZ507" s="129"/>
      <c r="BA507" s="129"/>
      <c r="BB507" s="129"/>
      <c r="BC507" s="129"/>
      <c r="BD507" s="129"/>
      <c r="BE507" s="129"/>
      <c r="BF507" s="129" t="str">
        <f>"C:\Users\origr\Pictures\"&amp;BF506&amp;".jpg"</f>
        <v>C:\Users\origr\Pictures\0.jpg</v>
      </c>
      <c r="BG507" s="129" t="str">
        <f t="shared" ref="BG507" si="531">"C:\Users\origr\Pictures\"&amp;BG506&amp;".jpg"</f>
        <v>C:\Users\origr\Pictures\0.jpg</v>
      </c>
      <c r="BH507" s="129" t="str">
        <f t="shared" ref="BH507" si="532">"C:\Users\origr\Pictures\"&amp;BH506&amp;".jpg"</f>
        <v>C:\Users\origr\Pictures\0.jpg</v>
      </c>
      <c r="BI507" s="129" t="str">
        <f t="shared" ref="BI507" si="533">"C:\Users\origr\Pictures\"&amp;BI506&amp;".jpg"</f>
        <v>C:\Users\origr\Pictures\0.jpg</v>
      </c>
      <c r="BJ507" s="129" t="str">
        <f t="shared" ref="BJ507" si="534">"C:\Users\origr\Pictures\"&amp;BJ506&amp;".jpg"</f>
        <v>C:\Users\origr\Pictures\0.jpg</v>
      </c>
      <c r="BK507" s="129" t="str">
        <f t="shared" ref="BK507" si="535">"C:\Users\origr\Pictures\"&amp;BK506&amp;".jpg"</f>
        <v>C:\Users\origr\Pictures\0.jpg</v>
      </c>
    </row>
    <row r="508" spans="1:63" hidden="1">
      <c r="A508" s="129"/>
      <c r="B508" s="129"/>
      <c r="C508" s="129"/>
      <c r="D508" s="129"/>
      <c r="E508" s="129"/>
      <c r="F508" s="129"/>
      <c r="G508" s="129"/>
      <c r="H508" s="129"/>
      <c r="I508" s="129"/>
      <c r="J508" s="129"/>
      <c r="K508" s="129"/>
      <c r="L508" s="129"/>
      <c r="M508" s="129"/>
      <c r="N508" s="129"/>
      <c r="O508" s="129"/>
      <c r="P508" s="129"/>
      <c r="Q508" s="129"/>
      <c r="R508" s="129"/>
      <c r="S508" s="129"/>
      <c r="T508" s="72">
        <f>IF('חד גזעי'!$AM$6="לא",IF(P508=0,IF(BC508="שימור",IF('חד גזעי'!$AM$4="לא",IF(BC508="לא בוגר",0,IF(BC508="לא קיים",0,IF(J508=0,0,I508*0.1))),IF(BC508="לא בוגר",0,IF(BC508="לא קיים",0,IF(AB508=1,I508*0.1,E508*0.5)))),0),IF('חד גזעי'!$AM$4="לא",IF(BC508="לא בוגר",0,IF(BC508="לא קיים",0,IF(J508=0,0,I508*0.1))),IF(BC508="לא בוגר",0,IF(BC508="לא קיים",0,IF(AB508=1,I508*0.1,E508*0.5))))),IF(P508=0,IF(BC508="שימור",IF('חד גזעי'!$AM$4="לא",IF(BC508="לא בוגר",0,IF(BC508="לא קיים",0,IF(J508=0,0,I508*0.15))),IF(BC508="לא בוגר",0,IF(BC508="לא קיים",0,IF(AB508=1,I508*0.15,E508*0.5)))),0),IF('חד גזעי'!$AM$4="לא",IF(BC508="לא בוגר",0,IF(BC508="לא קיים",0,IF(J508=0,0,I508*0.15))),IF(BC508="לא בוגר",0,IF(BC508="לא קיים",0,IF(AB508=1,I508*0.15,E508*0.5))))))</f>
        <v>0</v>
      </c>
      <c r="U508" s="129"/>
      <c r="V508">
        <f t="shared" si="481"/>
        <v>0</v>
      </c>
      <c r="W508">
        <f t="shared" si="482"/>
        <v>0</v>
      </c>
      <c r="X508">
        <f t="shared" si="483"/>
        <v>0</v>
      </c>
      <c r="Y508">
        <f>IF('חד גזעי'!$AM$2 = "לא",0,IF(F508&gt;9,W508,0))</f>
        <v>0</v>
      </c>
      <c r="Z508">
        <f>IF('חד גזעי'!$AM$7 = "לא",0,IF(C508 = "זית אירופי",IF('חד גזעי'!$AN$7 &lt;=סקר!F508,W508,0),IF(C508 = "חרוב מצוי",IF('חד גזעי'!$AN$7 &lt;=סקר!F508,W508,0),0)))</f>
        <v>0</v>
      </c>
      <c r="AA508" s="129"/>
      <c r="AB508" s="129"/>
      <c r="AC508" s="129"/>
      <c r="AD508" s="129"/>
      <c r="AE508" s="129"/>
      <c r="AF508" s="129"/>
      <c r="AG508" s="129"/>
      <c r="AH508" s="129"/>
      <c r="AI508" s="129"/>
      <c r="AJ508" s="129"/>
      <c r="AK508" s="129"/>
      <c r="AL508" s="129"/>
      <c r="AM508" s="129"/>
      <c r="AN508" s="129"/>
      <c r="AO508" s="129"/>
      <c r="AP508" s="129"/>
      <c r="AQ508" s="129"/>
      <c r="AR508" s="129"/>
      <c r="AS508" s="129"/>
      <c r="AT508" s="129"/>
      <c r="AU508" s="129"/>
      <c r="AV508" s="129"/>
      <c r="AW508" s="129"/>
      <c r="AX508" s="129"/>
      <c r="AY508" s="129"/>
      <c r="AZ508" s="129"/>
      <c r="BA508" s="129"/>
      <c r="BB508" s="129"/>
      <c r="BC508" s="129"/>
      <c r="BD508" s="129"/>
      <c r="BE508" s="129"/>
      <c r="BF508" s="129" t="str">
        <f>BF507</f>
        <v>C:\Users\origr\Pictures\0.jpg</v>
      </c>
      <c r="BG508" s="129" t="str">
        <f t="shared" ref="BG508" si="536">BG507</f>
        <v>C:\Users\origr\Pictures\0.jpg</v>
      </c>
      <c r="BH508" s="129" t="str">
        <f t="shared" ref="BH508" si="537">BH507</f>
        <v>C:\Users\origr\Pictures\0.jpg</v>
      </c>
      <c r="BI508" s="129" t="str">
        <f t="shared" ref="BI508" si="538">BI507</f>
        <v>C:\Users\origr\Pictures\0.jpg</v>
      </c>
      <c r="BJ508" s="129" t="str">
        <f t="shared" ref="BJ508" si="539">BJ507</f>
        <v>C:\Users\origr\Pictures\0.jpg</v>
      </c>
      <c r="BK508" s="129" t="str">
        <f t="shared" ref="BK508" si="540">BK507</f>
        <v>C:\Users\origr\Pictures\0.jpg</v>
      </c>
    </row>
    <row r="509" spans="1:63" ht="14.25" hidden="1">
      <c r="B509" s="71"/>
      <c r="C509" s="69"/>
      <c r="Q509" s="86"/>
      <c r="T509" s="72">
        <f>IF('חד גזעי'!$AM$6="לא",IF(P509=0,IF(BC509="שימור",IF('חד גזעי'!$AM$4="לא",IF(BC509="לא בוגר",0,IF(BC509="לא קיים",0,IF(J509=0,0,I509*0.1))),IF(BC509="לא בוגר",0,IF(BC509="לא קיים",0,IF(AB509=1,I509*0.1,E509*0.5)))),0),IF('חד גזעי'!$AM$4="לא",IF(BC509="לא בוגר",0,IF(BC509="לא קיים",0,IF(J509=0,0,I509*0.1))),IF(BC509="לא בוגר",0,IF(BC509="לא קיים",0,IF(AB509=1,I509*0.1,E509*0.5))))),IF(P509=0,IF(BC509="שימור",IF('חד גזעי'!$AM$4="לא",IF(BC509="לא בוגר",0,IF(BC509="לא קיים",0,IF(J509=0,0,I509*0.15))),IF(BC509="לא בוגר",0,IF(BC509="לא קיים",0,IF(AB509=1,I509*0.15,E509*0.5)))),0),IF('חד גזעי'!$AM$4="לא",IF(BC509="לא בוגר",0,IF(BC509="לא קיים",0,IF(J509=0,0,I509*0.15))),IF(BC509="לא בוגר",0,IF(BC509="לא קיים",0,IF(AB509=1,I509*0.15,E509*0.5))))))</f>
        <v>0</v>
      </c>
      <c r="V509">
        <f t="shared" si="481"/>
        <v>0</v>
      </c>
      <c r="W509">
        <f t="shared" si="482"/>
        <v>0</v>
      </c>
      <c r="X509">
        <f t="shared" si="483"/>
        <v>0</v>
      </c>
      <c r="Y509">
        <f>IF('חד גזעי'!$AM$2 = "לא",0,IF(F509&gt;9,W509,0))</f>
        <v>0</v>
      </c>
      <c r="Z509">
        <f>IF('חד גזעי'!$AM$7 = "לא",0,IF(C509 = "זית אירופי",IF('חד גזעי'!$AN$7 &lt;=סקר!F509,W509,0),IF(C509 = "חרוב מצוי",IF('חד גזעי'!$AN$7 &lt;=סקר!F509,W509,0),0)))</f>
        <v>0</v>
      </c>
      <c r="AD509" s="69" t="s">
        <v>807</v>
      </c>
    </row>
    <row r="510" spans="1:63" hidden="1">
      <c r="B510" s="197" t="s">
        <v>738</v>
      </c>
      <c r="C510" s="197" t="s">
        <v>739</v>
      </c>
      <c r="D510" s="197" t="s">
        <v>740</v>
      </c>
      <c r="E510" s="197" t="s">
        <v>741</v>
      </c>
      <c r="F510" s="200" t="s">
        <v>759</v>
      </c>
      <c r="G510" s="203" t="s">
        <v>760</v>
      </c>
      <c r="H510" s="203" t="s">
        <v>761</v>
      </c>
      <c r="I510" s="197" t="s">
        <v>742</v>
      </c>
      <c r="J510" s="197" t="s">
        <v>743</v>
      </c>
      <c r="K510" s="197" t="s">
        <v>744</v>
      </c>
      <c r="L510" s="197" t="s">
        <v>745</v>
      </c>
      <c r="M510" s="197" t="s">
        <v>746</v>
      </c>
      <c r="N510" s="197" t="s">
        <v>747</v>
      </c>
      <c r="O510" s="197" t="s">
        <v>748</v>
      </c>
      <c r="P510" s="197" t="s">
        <v>749</v>
      </c>
      <c r="Q510" s="197" t="s">
        <v>750</v>
      </c>
      <c r="R510" s="197" t="s">
        <v>751</v>
      </c>
      <c r="T510" s="72" t="e">
        <f>IF('חד גזעי'!$AM$6="לא",IF(P510=0,IF(BC510="שימור",IF('חד גזעי'!$AM$4="לא",IF(BC510="לא בוגר",0,IF(BC510="לא קיים",0,IF(J510=0,0,I510*0.1))),IF(BC510="לא בוגר",0,IF(BC510="לא קיים",0,IF(AB510=1,I510*0.1,E510*0.5)))),0),IF('חד גזעי'!$AM$4="לא",IF(BC510="לא בוגר",0,IF(BC510="לא קיים",0,IF(J510=0,0,I510*0.1))),IF(BC510="לא בוגר",0,IF(BC510="לא קיים",0,IF(AB510=1,I510*0.1,E510*0.5))))),IF(P510=0,IF(BC510="שימור",IF('חד גזעי'!$AM$4="לא",IF(BC510="לא בוגר",0,IF(BC510="לא קיים",0,IF(J510=0,0,I510*0.15))),IF(BC510="לא בוגר",0,IF(BC510="לא קיים",0,IF(AB510=1,I510*0.15,E510*0.5)))),0),IF('חד גזעי'!$AM$4="לא",IF(BC510="לא בוגר",0,IF(BC510="לא קיים",0,IF(J510=0,0,I510*0.15))),IF(BC510="לא בוגר",0,IF(BC510="לא קיים",0,IF(AB510=1,I510*0.15,E510*0.5))))))</f>
        <v>#VALUE!</v>
      </c>
      <c r="V510">
        <f t="shared" si="481"/>
        <v>0</v>
      </c>
      <c r="W510" t="e">
        <f t="shared" si="482"/>
        <v>#VALUE!</v>
      </c>
      <c r="X510">
        <f t="shared" si="483"/>
        <v>0</v>
      </c>
      <c r="Y510">
        <f>IF('חד גזעי'!$AM$2 = "לא",0,IF(F510&gt;9,W510,0))</f>
        <v>0</v>
      </c>
      <c r="Z510">
        <f>IF('חד גזעי'!$AM$7 = "לא",0,IF(C510 = "זית אירופי",IF('חד גזעי'!$AN$7 &lt;=סקר!F510,W510,0),IF(C510 = "חרוב מצוי",IF('חד גזעי'!$AN$7 &lt;=סקר!F510,W510,0),0)))</f>
        <v>0</v>
      </c>
      <c r="AC510" s="101"/>
      <c r="AD510" s="103"/>
      <c r="AE510" s="103"/>
      <c r="AF510" s="103"/>
      <c r="AG510" s="103"/>
      <c r="AH510" s="103"/>
      <c r="AI510" s="103"/>
      <c r="AJ510" s="103"/>
      <c r="AK510" s="83"/>
      <c r="AM510" s="73"/>
      <c r="AN510" s="73"/>
      <c r="AO510" s="73"/>
      <c r="AS510" s="197" t="s">
        <v>738</v>
      </c>
      <c r="AT510" s="197" t="s">
        <v>739</v>
      </c>
      <c r="AU510" s="197" t="s">
        <v>740</v>
      </c>
      <c r="AV510" s="197" t="s">
        <v>741</v>
      </c>
      <c r="AW510" s="203" t="s">
        <v>759</v>
      </c>
      <c r="AX510" s="203" t="s">
        <v>760</v>
      </c>
      <c r="AY510" s="203" t="s">
        <v>761</v>
      </c>
      <c r="AZ510" s="197" t="s">
        <v>812</v>
      </c>
      <c r="BA510" s="197" t="s">
        <v>817</v>
      </c>
      <c r="BB510" s="197" t="s">
        <v>805</v>
      </c>
      <c r="BC510" s="197" t="s">
        <v>806</v>
      </c>
      <c r="BE510">
        <f>IF(BC510="לא נדרש ברישיון",1,0)</f>
        <v>0</v>
      </c>
      <c r="BF510" s="72"/>
      <c r="BG510" s="72"/>
      <c r="BH510" s="72"/>
      <c r="BI510" s="72"/>
      <c r="BJ510" s="72"/>
      <c r="BK510" s="72"/>
    </row>
    <row r="511" spans="1:63" hidden="1">
      <c r="B511" s="198"/>
      <c r="C511" s="198"/>
      <c r="D511" s="198"/>
      <c r="E511" s="198"/>
      <c r="F511" s="201"/>
      <c r="G511" s="204"/>
      <c r="H511" s="204"/>
      <c r="I511" s="198"/>
      <c r="J511" s="198"/>
      <c r="K511" s="198"/>
      <c r="L511" s="198"/>
      <c r="M511" s="198"/>
      <c r="N511" s="198"/>
      <c r="O511" s="198"/>
      <c r="P511" s="198"/>
      <c r="Q511" s="198"/>
      <c r="R511" s="198"/>
      <c r="T511" s="72">
        <f>IF('חד גזעי'!$AM$6="לא",IF(P511=0,IF(BC511="שימור",IF('חד גזעי'!$AM$4="לא",IF(BC511="לא בוגר",0,IF(BC511="לא קיים",0,IF(J511=0,0,I511*0.1))),IF(BC511="לא בוגר",0,IF(BC511="לא קיים",0,IF(AB511=1,I511*0.1,E511*0.5)))),0),IF('חד גזעי'!$AM$4="לא",IF(BC511="לא בוגר",0,IF(BC511="לא קיים",0,IF(J511=0,0,I511*0.1))),IF(BC511="לא בוגר",0,IF(BC511="לא קיים",0,IF(AB511=1,I511*0.1,E511*0.5))))),IF(P511=0,IF(BC511="שימור",IF('חד גזעי'!$AM$4="לא",IF(BC511="לא בוגר",0,IF(BC511="לא קיים",0,IF(J511=0,0,I511*0.15))),IF(BC511="לא בוגר",0,IF(BC511="לא קיים",0,IF(AB511=1,I511*0.15,E511*0.5)))),0),IF('חד גזעי'!$AM$4="לא",IF(BC511="לא בוגר",0,IF(BC511="לא קיים",0,IF(J511=0,0,I511*0.15))),IF(BC511="לא בוגר",0,IF(BC511="לא קיים",0,IF(AB511=1,I511*0.15,E511*0.5))))))</f>
        <v>0</v>
      </c>
      <c r="V511">
        <f t="shared" si="481"/>
        <v>0</v>
      </c>
      <c r="W511">
        <f t="shared" si="482"/>
        <v>0</v>
      </c>
      <c r="X511">
        <f t="shared" si="483"/>
        <v>0</v>
      </c>
      <c r="Y511">
        <f>IF('חד גזעי'!$AM$2 = "לא",0,IF(F511&gt;9,W511,0))</f>
        <v>0</v>
      </c>
      <c r="Z511">
        <f>IF('חד גזעי'!$AM$7 = "לא",0,IF(C511 = "זית אירופי",IF('חד גזעי'!$AN$7 &lt;=סקר!F511,W511,0),IF(C511 = "חרוב מצוי",IF('חד גזעי'!$AN$7 &lt;=סקר!F511,W511,0),0)))</f>
        <v>0</v>
      </c>
      <c r="AC511" s="101"/>
      <c r="AD511" s="103"/>
      <c r="AE511" s="103"/>
      <c r="AF511" s="103"/>
      <c r="AG511" s="103"/>
      <c r="AH511" s="103"/>
      <c r="AI511" s="103"/>
      <c r="AJ511" s="103"/>
      <c r="AK511" s="83"/>
      <c r="AM511" s="73"/>
      <c r="AN511" s="73"/>
      <c r="AO511" s="73"/>
      <c r="AS511" s="198"/>
      <c r="AT511" s="198"/>
      <c r="AU511" s="198"/>
      <c r="AV511" s="198"/>
      <c r="AW511" s="204"/>
      <c r="AX511" s="204"/>
      <c r="AY511" s="204"/>
      <c r="AZ511" s="198"/>
      <c r="BA511" s="198"/>
      <c r="BB511" s="198"/>
      <c r="BC511" s="198"/>
      <c r="BE511">
        <f t="shared" ref="BE511:BE545" si="541">IF(BC511="לא נדרש ברישיון",1,0)</f>
        <v>0</v>
      </c>
      <c r="BF511" s="196" t="str">
        <f>BF508</f>
        <v>C:\Users\origr\Pictures\0.jpg</v>
      </c>
      <c r="BG511" s="196" t="str">
        <f t="shared" ref="BG511:BK511" si="542">BG508</f>
        <v>C:\Users\origr\Pictures\0.jpg</v>
      </c>
      <c r="BH511" s="196" t="str">
        <f t="shared" si="542"/>
        <v>C:\Users\origr\Pictures\0.jpg</v>
      </c>
      <c r="BI511" s="196" t="str">
        <f t="shared" si="542"/>
        <v>C:\Users\origr\Pictures\0.jpg</v>
      </c>
      <c r="BJ511" s="196" t="str">
        <f t="shared" si="542"/>
        <v>C:\Users\origr\Pictures\0.jpg</v>
      </c>
      <c r="BK511" s="196" t="str">
        <f t="shared" si="542"/>
        <v>C:\Users\origr\Pictures\0.jpg</v>
      </c>
    </row>
    <row r="512" spans="1:63" hidden="1">
      <c r="B512" s="199"/>
      <c r="C512" s="199"/>
      <c r="D512" s="199"/>
      <c r="E512" s="199"/>
      <c r="F512" s="202"/>
      <c r="G512" s="205"/>
      <c r="H512" s="205"/>
      <c r="I512" s="199"/>
      <c r="J512" s="199"/>
      <c r="K512" s="199"/>
      <c r="L512" s="199"/>
      <c r="M512" s="199"/>
      <c r="N512" s="199"/>
      <c r="O512" s="199"/>
      <c r="P512" s="199"/>
      <c r="Q512" s="199"/>
      <c r="R512" s="199"/>
      <c r="T512" s="72">
        <f>IF('חד גזעי'!$AM$6="לא",IF(P512=0,IF(BC512="שימור",IF('חד גזעי'!$AM$4="לא",IF(BC512="לא בוגר",0,IF(BC512="לא קיים",0,IF(J512=0,0,I512*0.1))),IF(BC512="לא בוגר",0,IF(BC512="לא קיים",0,IF(AB512=1,I512*0.1,E512*0.5)))),0),IF('חד גזעי'!$AM$4="לא",IF(BC512="לא בוגר",0,IF(BC512="לא קיים",0,IF(J512=0,0,I512*0.1))),IF(BC512="לא בוגר",0,IF(BC512="לא קיים",0,IF(AB512=1,I512*0.1,E512*0.5))))),IF(P512=0,IF(BC512="שימור",IF('חד גזעי'!$AM$4="לא",IF(BC512="לא בוגר",0,IF(BC512="לא קיים",0,IF(J512=0,0,I512*0.15))),IF(BC512="לא בוגר",0,IF(BC512="לא קיים",0,IF(AB512=1,I512*0.15,E512*0.5)))),0),IF('חד גזעי'!$AM$4="לא",IF(BC512="לא בוגר",0,IF(BC512="לא קיים",0,IF(J512=0,0,I512*0.15))),IF(BC512="לא בוגר",0,IF(BC512="לא קיים",0,IF(AB512=1,I512*0.15,E512*0.5))))))</f>
        <v>0</v>
      </c>
      <c r="V512" t="str">
        <f t="shared" si="481"/>
        <v>שווי דקל</v>
      </c>
      <c r="W512" t="str">
        <f t="shared" si="482"/>
        <v>שווי דקל</v>
      </c>
      <c r="X512">
        <f t="shared" si="483"/>
        <v>0</v>
      </c>
      <c r="Y512">
        <f>IF('חד גזעי'!$AM$2 = "לא",0,IF(F512&gt;9,W512,0))</f>
        <v>0</v>
      </c>
      <c r="Z512">
        <f>IF('חד גזעי'!$AM$7 = "לא",0,IF(C512 = "זית אירופי",IF('חד גזעי'!$AN$7 &lt;=סקר!F512,W512,0),IF(C512 = "חרוב מצוי",IF('חד גזעי'!$AN$7 &lt;=סקר!F512,W512,0),0)))</f>
        <v>0</v>
      </c>
      <c r="AC512" s="94"/>
      <c r="AD512" s="94"/>
      <c r="AE512" s="72"/>
      <c r="AF512" s="77" t="s">
        <v>767</v>
      </c>
      <c r="AG512" s="77" t="s">
        <v>768</v>
      </c>
      <c r="AH512" s="72" t="s">
        <v>762</v>
      </c>
      <c r="AI512" s="72" t="s">
        <v>763</v>
      </c>
      <c r="AJ512" s="72" t="s">
        <v>764</v>
      </c>
      <c r="AK512" s="77" t="s">
        <v>770</v>
      </c>
      <c r="AL512" t="s">
        <v>771</v>
      </c>
      <c r="AM512" s="77" t="s">
        <v>809</v>
      </c>
      <c r="AN512" s="77" t="s">
        <v>810</v>
      </c>
      <c r="AO512" s="77" t="s">
        <v>811</v>
      </c>
      <c r="AS512" s="199"/>
      <c r="AT512" s="199"/>
      <c r="AU512" s="199"/>
      <c r="AV512" s="199"/>
      <c r="AW512" s="205"/>
      <c r="AX512" s="205"/>
      <c r="AY512" s="205"/>
      <c r="AZ512" s="199"/>
      <c r="BA512" s="199"/>
      <c r="BB512" s="199"/>
      <c r="BC512" s="199"/>
      <c r="BE512">
        <f t="shared" si="541"/>
        <v>0</v>
      </c>
      <c r="BF512" s="196"/>
      <c r="BG512" s="196"/>
      <c r="BH512" s="196"/>
      <c r="BI512" s="196"/>
      <c r="BJ512" s="196"/>
      <c r="BK512" s="196"/>
    </row>
    <row r="513" spans="2:63" hidden="1">
      <c r="B513" s="72"/>
      <c r="C513" s="135"/>
      <c r="D513" s="73"/>
      <c r="E513" s="73"/>
      <c r="F513" s="72"/>
      <c r="G513" s="72"/>
      <c r="H513" s="72"/>
      <c r="I513" s="73">
        <f t="shared" ref="I513:I544" si="543">F513+(G513/2)+(H513/2)</f>
        <v>0</v>
      </c>
      <c r="J513" s="73"/>
      <c r="K513" s="73"/>
      <c r="L513" s="74" t="e">
        <f>_xlfn.IFNA(VLOOKUP(C513,'חד גזעי'!$U$3:$V$509,2,0),VLOOKUP(C513,'חד גזעי'!$U$3:$V$509,2))</f>
        <v>#N/A</v>
      </c>
      <c r="M513" s="73"/>
      <c r="N513" s="72" t="e">
        <f>_xlfn.IFNA(IF(VLOOKUP(C513,'חד גזעי'!$AH$2:$AH$7,1,FALSE)&gt;0,0,IF('חד גזעי'!$AM$5="כן",IF(_xlfn.IFNA(VLOOKUP(C513,'חד גזעי'!$AH$2:$AH$33,1,FALSE),SUM(J513:M513))&lt;21,_xlfn.IFNA(VLOOKUP(C513,'חד גזעי'!$AH$2:$AH$33,1,FALSE),SUM(J513:M513)),0),SUM(J513:M513))),IF('חד גזעי'!$AM$5="כן",IF(_xlfn.IFNA(VLOOKUP(C513,'חד גזעי'!$AH$2:$AH$33,1,FALSE),SUM(J513:M513))&lt;21,_xlfn.IFNA(VLOOKUP(C513,'חד גזעי'!$AH$2:$AH$33,1,FALSE),SUM(J513:M513)),0),SUM(J513:M513)))</f>
        <v>#N/A</v>
      </c>
      <c r="O513" s="72">
        <f>IF('חד גזעי'!$AM$3 = "כן",IF(T513&gt;4,4,T513),T513)</f>
        <v>0</v>
      </c>
      <c r="P513" s="80">
        <f>IF(E513&lt;2,0,IF(Z513&gt;0,Z513,IF(N513 = 0,0,IF('חד גזעי'!$AM$2 = "לא",IF(F513&gt;19,W513,0),IF(F513&gt;9,Y513,0)))))</f>
        <v>0</v>
      </c>
      <c r="Q513" s="77"/>
      <c r="R513" s="75"/>
      <c r="S513" t="e">
        <f>VLOOKUP(C513,'חד גזעי'!$Y$4:$Y$18,1,0)</f>
        <v>#N/A</v>
      </c>
      <c r="T513" s="72">
        <f>IF('חד גזעי'!$AM$6="לא",IF(P513=0,IF(BC513="שימור",IF('חד גזעי'!$AM$4="לא",IF(BC513="לא בוגר",0,IF(BC513="לא קיים",0,IF(J513=0,0,I513*0.1))),IF(BC513="לא בוגר",0,IF(BC513="לא קיים",0,IF(AB513=1,I513*0.1,E513*0.5)))),0),IF('חד גזעי'!$AM$4="לא",IF(BC513="לא בוגר",0,IF(BC513="לא קיים",0,IF(J513=0,0,I513*0.1))),IF(BC513="לא בוגר",0,IF(BC513="לא קיים",0,IF(AB513=1,I513*0.1,E513*0.5))))),IF(P513=0,IF(BC513="שימור",IF('חד גזעי'!$AM$4="לא",IF(BC513="לא בוגר",0,IF(BC513="לא קיים",0,IF(J513=0,0,I513*0.15))),IF(BC513="לא בוגר",0,IF(BC513="לא קיים",0,IF(AB513=1,I513*0.15,E513*0.5)))),0),IF('חד גזעי'!$AM$4="לא",IF(BC513="לא בוגר",0,IF(BC513="לא קיים",0,IF(J513=0,0,I513*0.15))),IF(BC513="לא בוגר",0,IF(BC513="לא קיים",0,IF(AB513=1,I513*0.15,E513*0.5))))))</f>
        <v>0</v>
      </c>
      <c r="V513" t="e">
        <f t="shared" si="481"/>
        <v>#N/A</v>
      </c>
      <c r="W513" t="e">
        <f t="shared" si="482"/>
        <v>#N/A</v>
      </c>
      <c r="X513" t="e">
        <f t="shared" si="483"/>
        <v>#N/A</v>
      </c>
      <c r="Y513">
        <f>IF('חד גזעי'!$AM$2 = "לא",0,IF(F513&gt;9,W513,0))</f>
        <v>0</v>
      </c>
      <c r="Z513">
        <f>IF('חד גזעי'!$AM$7 = "לא",0,IF(C513 = "זית אירופי",IF('חד גזעי'!$AN$7 &lt;=סקר!F513,W513,0),IF(C513 = "חרוב מצוי",IF('חד גזעי'!$AN$7 &lt;=סקר!F513,W513,0),0)))</f>
        <v>0</v>
      </c>
      <c r="AB513">
        <f t="shared" ref="AB513:AB544" si="544">_xlfn.IFNA(S513,1)</f>
        <v>1</v>
      </c>
      <c r="AC513" s="72"/>
      <c r="AD513" t="e">
        <f>IF(AK513&gt;0,AK513,AF513)</f>
        <v>#N/A</v>
      </c>
      <c r="AE513" s="72"/>
      <c r="AF513" s="72" t="e">
        <f t="shared" ref="AF513:AF544" si="545">((AJ513+AI513+AH513)*(AG513))*(J513*0.2)*(K513*0.2)*20</f>
        <v>#N/A</v>
      </c>
      <c r="AG513" s="72" t="e">
        <f>IF('חד גזעי'!$AM$5="לא",(VLOOKUP(C513,'חד גזעי'!$P$1:$S$589,3,FALSE)),(VLOOKUP(C513,'חד גזעי'!$P$1:$S$589,4,FALSE)))</f>
        <v>#N/A</v>
      </c>
      <c r="AH513" s="72">
        <f t="shared" ref="AH513:AH544" si="546">(3.14*((F513/2)^2))</f>
        <v>0</v>
      </c>
      <c r="AI513" s="72">
        <f t="shared" ref="AI513:AI544" si="547">3.14*(G513*G513/4)</f>
        <v>0</v>
      </c>
      <c r="AJ513" s="72">
        <f t="shared" ref="AJ513:AJ544" si="548">3.14*(H513*H513/4)</f>
        <v>0</v>
      </c>
      <c r="AK513" s="72" t="e">
        <f t="shared" ref="AK513:AK544" si="549">AL513*E513*(J513*0.2)*(0.2*K513)*1500</f>
        <v>#N/A</v>
      </c>
      <c r="AL513" t="e">
        <f>VLOOKUP(C513,'חד גזעי'!$AH$8:$AI$33,2,FALSE)</f>
        <v>#N/A</v>
      </c>
      <c r="AM513" s="72" t="b">
        <f t="shared" ref="AM513:AM544" si="550">IF(BC513="שימור",P513)</f>
        <v>0</v>
      </c>
      <c r="AN513" s="72" t="b">
        <f t="shared" ref="AN513:AN544" si="551">IF(BC513="כריתה",P513)</f>
        <v>0</v>
      </c>
      <c r="AO513" s="72" t="b">
        <f t="shared" ref="AO513:AO544" si="552">IF(BC513="העתקה",P513)</f>
        <v>0</v>
      </c>
      <c r="AS513" s="72">
        <f t="shared" ref="AS513:AS544" si="553">B513</f>
        <v>0</v>
      </c>
      <c r="AT513" s="72">
        <f t="shared" ref="AT513:AT544" si="554">C513</f>
        <v>0</v>
      </c>
      <c r="AU513" s="72">
        <f>IF(C513&gt;0,IF(D513&lt;2,1,D513),0)</f>
        <v>0</v>
      </c>
      <c r="AV513" s="72">
        <f t="shared" ref="AV513:AV544" si="555">E513</f>
        <v>0</v>
      </c>
      <c r="AW513" s="72">
        <f t="shared" ref="AW513:AW544" si="556">F513</f>
        <v>0</v>
      </c>
      <c r="AX513" s="72">
        <f t="shared" ref="AX513:AX544" si="557">G513</f>
        <v>0</v>
      </c>
      <c r="AY513" s="72">
        <f t="shared" ref="AY513:AY544" si="558">H513</f>
        <v>0</v>
      </c>
      <c r="AZ513" s="72">
        <f t="shared" ref="AZ513:AZ544" si="559">I513</f>
        <v>0</v>
      </c>
      <c r="BA513" s="72" t="e">
        <f t="shared" ref="BA513:BA544" si="560">N513</f>
        <v>#N/A</v>
      </c>
      <c r="BB513" s="72" t="e">
        <f t="shared" ref="BB513:BB544" si="561">IF(BA513&gt;6,IF(BA513&gt;13,IF(BA513&gt;16,"גבוה מאוד","גבוה"),"בינונית"),"נמוכה")</f>
        <v>#N/A</v>
      </c>
      <c r="BC513" s="77"/>
      <c r="BE513">
        <f t="shared" si="541"/>
        <v>0</v>
      </c>
      <c r="BF513" s="196"/>
      <c r="BG513" s="196"/>
      <c r="BH513" s="196"/>
      <c r="BI513" s="196"/>
      <c r="BJ513" s="196"/>
      <c r="BK513" s="196"/>
    </row>
    <row r="514" spans="2:63" hidden="1">
      <c r="B514" s="72"/>
      <c r="C514" s="135"/>
      <c r="D514" s="73"/>
      <c r="E514" s="73"/>
      <c r="F514" s="72"/>
      <c r="G514" s="72"/>
      <c r="H514" s="72"/>
      <c r="I514" s="73">
        <f t="shared" si="543"/>
        <v>0</v>
      </c>
      <c r="J514" s="73"/>
      <c r="K514" s="73"/>
      <c r="L514" s="74" t="e">
        <f>_xlfn.IFNA(VLOOKUP(C514,'חד גזעי'!$U$3:$V$509,2,0),VLOOKUP(C514,'חד גזעי'!$U$3:$V$509,2))</f>
        <v>#N/A</v>
      </c>
      <c r="M514" s="73"/>
      <c r="N514" s="72" t="e">
        <f>_xlfn.IFNA(IF(VLOOKUP(C514,'חד גזעי'!$AH$2:$AH$7,1,FALSE)&gt;0,0,IF('חד גזעי'!$AM$5="כן",IF(_xlfn.IFNA(VLOOKUP(C514,'חד גזעי'!$AH$2:$AH$33,1,FALSE),SUM(J514:M514))&lt;21,_xlfn.IFNA(VLOOKUP(C514,'חד גזעי'!$AH$2:$AH$33,1,FALSE),SUM(J514:M514)),0),SUM(J514:M514))),IF('חד גזעי'!$AM$5="כן",IF(_xlfn.IFNA(VLOOKUP(C514,'חד גזעי'!$AH$2:$AH$33,1,FALSE),SUM(J514:M514))&lt;21,_xlfn.IFNA(VLOOKUP(C514,'חד גזעי'!$AH$2:$AH$33,1,FALSE),SUM(J514:M514)),0),SUM(J514:M514)))</f>
        <v>#N/A</v>
      </c>
      <c r="O514" s="72">
        <f>IF('חד גזעי'!$AM$3 = "כן",IF(T514&gt;4,4,T514),T514)</f>
        <v>0</v>
      </c>
      <c r="P514" s="80">
        <f>IF(E514&lt;2,0,IF(Z514&gt;0,Z514,IF(N514 = 0,0,IF('חד גזעי'!$AM$2 = "לא",IF(F514&gt;19,W514,0),IF(F514&gt;9,Y514,0)))))</f>
        <v>0</v>
      </c>
      <c r="Q514" s="77"/>
      <c r="R514" s="75"/>
      <c r="S514" t="e">
        <f>VLOOKUP(C514,'חד גזעי'!$Y$4:$Y$18,1,0)</f>
        <v>#N/A</v>
      </c>
      <c r="T514" s="72">
        <f>IF('חד גזעי'!$AM$6="לא",IF(P514=0,IF(BC514="שימור",IF('חד גזעי'!$AM$4="לא",IF(BC514="לא בוגר",0,IF(BC514="לא קיים",0,IF(J514=0,0,I514*0.1))),IF(BC514="לא בוגר",0,IF(BC514="לא קיים",0,IF(AB514=1,I514*0.1,E514*0.5)))),0),IF('חד גזעי'!$AM$4="לא",IF(BC514="לא בוגר",0,IF(BC514="לא קיים",0,IF(J514=0,0,I514*0.1))),IF(BC514="לא בוגר",0,IF(BC514="לא קיים",0,IF(AB514=1,I514*0.1,E514*0.5))))),IF(P514=0,IF(BC514="שימור",IF('חד גזעי'!$AM$4="לא",IF(BC514="לא בוגר",0,IF(BC514="לא קיים",0,IF(J514=0,0,I514*0.15))),IF(BC514="לא בוגר",0,IF(BC514="לא קיים",0,IF(AB514=1,I514*0.15,E514*0.5)))),0),IF('חד גזעי'!$AM$4="לא",IF(BC514="לא בוגר",0,IF(BC514="לא קיים",0,IF(J514=0,0,I514*0.15))),IF(BC514="לא בוגר",0,IF(BC514="לא קיים",0,IF(AB514=1,I514*0.15,E514*0.5))))))</f>
        <v>0</v>
      </c>
      <c r="V514" t="e">
        <f t="shared" si="481"/>
        <v>#N/A</v>
      </c>
      <c r="W514" t="e">
        <f t="shared" si="482"/>
        <v>#N/A</v>
      </c>
      <c r="X514" t="e">
        <f t="shared" si="483"/>
        <v>#N/A</v>
      </c>
      <c r="Y514">
        <f>IF('חד גזעי'!$AM$2 = "לא",0,IF(F514&gt;9,W514,0))</f>
        <v>0</v>
      </c>
      <c r="Z514">
        <f>IF('חד גזעי'!$AM$7 = "לא",0,IF(C514 = "זית אירופי",IF('חד גזעי'!$AN$7 &lt;=סקר!F514,W514,0),IF(C514 = "חרוב מצוי",IF('חד גזעי'!$AN$7 &lt;=סקר!F514,W514,0),0)))</f>
        <v>0</v>
      </c>
      <c r="AB514">
        <f t="shared" si="544"/>
        <v>1</v>
      </c>
      <c r="AC514" s="72"/>
      <c r="AD514" t="e">
        <f t="shared" ref="AD514:AD544" si="562">IF(AK514&gt;0,AK514,AF514)</f>
        <v>#N/A</v>
      </c>
      <c r="AE514" s="72"/>
      <c r="AF514" s="72" t="e">
        <f t="shared" si="545"/>
        <v>#N/A</v>
      </c>
      <c r="AG514" s="72" t="e">
        <f>IF('חד גזעי'!$AM$5="לא",(VLOOKUP(C514,'חד גזעי'!$P$1:$S$589,3,FALSE)),(VLOOKUP(C514,'חד גזעי'!$P$1:$S$589,4,FALSE)))</f>
        <v>#N/A</v>
      </c>
      <c r="AH514" s="72">
        <f t="shared" si="546"/>
        <v>0</v>
      </c>
      <c r="AI514" s="72">
        <f t="shared" si="547"/>
        <v>0</v>
      </c>
      <c r="AJ514" s="72">
        <f t="shared" si="548"/>
        <v>0</v>
      </c>
      <c r="AK514" s="72" t="e">
        <f t="shared" si="549"/>
        <v>#N/A</v>
      </c>
      <c r="AL514" t="e">
        <f>VLOOKUP(C514,'חד גזעי'!$AH$8:$AI$33,2,FALSE)</f>
        <v>#N/A</v>
      </c>
      <c r="AM514" s="72" t="b">
        <f t="shared" si="550"/>
        <v>0</v>
      </c>
      <c r="AN514" s="72" t="b">
        <f t="shared" si="551"/>
        <v>0</v>
      </c>
      <c r="AO514" s="72" t="b">
        <f t="shared" si="552"/>
        <v>0</v>
      </c>
      <c r="AS514" s="72">
        <f t="shared" si="553"/>
        <v>0</v>
      </c>
      <c r="AT514" s="72">
        <f t="shared" si="554"/>
        <v>0</v>
      </c>
      <c r="AU514" s="72">
        <f t="shared" ref="AU514:AU544" si="563">IF(C514&gt;0,IF(D514&lt;2,1,D514),0)</f>
        <v>0</v>
      </c>
      <c r="AV514" s="72">
        <f t="shared" si="555"/>
        <v>0</v>
      </c>
      <c r="AW514" s="72">
        <f t="shared" si="556"/>
        <v>0</v>
      </c>
      <c r="AX514" s="72">
        <f t="shared" si="557"/>
        <v>0</v>
      </c>
      <c r="AY514" s="72">
        <f t="shared" si="558"/>
        <v>0</v>
      </c>
      <c r="AZ514" s="72">
        <f t="shared" si="559"/>
        <v>0</v>
      </c>
      <c r="BA514" s="72" t="e">
        <f t="shared" si="560"/>
        <v>#N/A</v>
      </c>
      <c r="BB514" s="72" t="e">
        <f t="shared" si="561"/>
        <v>#N/A</v>
      </c>
      <c r="BC514" s="77"/>
      <c r="BE514">
        <f t="shared" si="541"/>
        <v>0</v>
      </c>
      <c r="BF514" s="196"/>
      <c r="BG514" s="196"/>
      <c r="BH514" s="196"/>
      <c r="BI514" s="196"/>
      <c r="BJ514" s="196"/>
      <c r="BK514" s="196"/>
    </row>
    <row r="515" spans="2:63" hidden="1">
      <c r="B515" s="72"/>
      <c r="C515" s="135"/>
      <c r="D515" s="73"/>
      <c r="E515" s="73"/>
      <c r="F515" s="72"/>
      <c r="G515" s="72"/>
      <c r="H515" s="72"/>
      <c r="I515" s="73">
        <f t="shared" si="543"/>
        <v>0</v>
      </c>
      <c r="J515" s="73"/>
      <c r="K515" s="73"/>
      <c r="L515" s="74" t="e">
        <f>_xlfn.IFNA(VLOOKUP(C515,'חד גזעי'!$U$3:$V$509,2,0),VLOOKUP(C515,'חד גזעי'!$U$3:$V$509,2))</f>
        <v>#N/A</v>
      </c>
      <c r="M515" s="73"/>
      <c r="N515" s="72" t="e">
        <f>_xlfn.IFNA(IF(VLOOKUP(C515,'חד גזעי'!$AH$2:$AH$7,1,FALSE)&gt;0,0,IF('חד גזעי'!$AM$5="כן",IF(_xlfn.IFNA(VLOOKUP(C515,'חד גזעי'!$AH$2:$AH$33,1,FALSE),SUM(J515:M515))&lt;21,_xlfn.IFNA(VLOOKUP(C515,'חד גזעי'!$AH$2:$AH$33,1,FALSE),SUM(J515:M515)),0),SUM(J515:M515))),IF('חד גזעי'!$AM$5="כן",IF(_xlfn.IFNA(VLOOKUP(C515,'חד גזעי'!$AH$2:$AH$33,1,FALSE),SUM(J515:M515))&lt;21,_xlfn.IFNA(VLOOKUP(C515,'חד גזעי'!$AH$2:$AH$33,1,FALSE),SUM(J515:M515)),0),SUM(J515:M515)))</f>
        <v>#N/A</v>
      </c>
      <c r="O515" s="72">
        <f>IF('חד גזעי'!$AM$3 = "כן",IF(T515&gt;4,4,T515),T515)</f>
        <v>0</v>
      </c>
      <c r="P515" s="80">
        <f>IF(E515&lt;2,0,IF(Z515&gt;0,Z515,IF(N515 = 0,0,IF('חד גזעי'!$AM$2 = "לא",IF(F515&gt;19,W515,0),IF(F515&gt;9,Y515,0)))))</f>
        <v>0</v>
      </c>
      <c r="Q515" s="77"/>
      <c r="R515" s="75"/>
      <c r="S515" t="e">
        <f>VLOOKUP(C515,'חד גזעי'!$Y$4:$Y$18,1,0)</f>
        <v>#N/A</v>
      </c>
      <c r="T515" s="72">
        <f>IF('חד גזעי'!$AM$6="לא",IF(P515=0,IF(BC515="שימור",IF('חד גזעי'!$AM$4="לא",IF(BC515="לא בוגר",0,IF(BC515="לא קיים",0,IF(J515=0,0,I515*0.1))),IF(BC515="לא בוגר",0,IF(BC515="לא קיים",0,IF(AB515=1,I515*0.1,E515*0.5)))),0),IF('חד גזעי'!$AM$4="לא",IF(BC515="לא בוגר",0,IF(BC515="לא קיים",0,IF(J515=0,0,I515*0.1))),IF(BC515="לא בוגר",0,IF(BC515="לא קיים",0,IF(AB515=1,I515*0.1,E515*0.5))))),IF(P515=0,IF(BC515="שימור",IF('חד גזעי'!$AM$4="לא",IF(BC515="לא בוגר",0,IF(BC515="לא קיים",0,IF(J515=0,0,I515*0.15))),IF(BC515="לא בוגר",0,IF(BC515="לא קיים",0,IF(AB515=1,I515*0.15,E515*0.5)))),0),IF('חד גזעי'!$AM$4="לא",IF(BC515="לא בוגר",0,IF(BC515="לא קיים",0,IF(J515=0,0,I515*0.15))),IF(BC515="לא בוגר",0,IF(BC515="לא קיים",0,IF(AB515=1,I515*0.15,E515*0.5))))))</f>
        <v>0</v>
      </c>
      <c r="V515" t="e">
        <f t="shared" si="481"/>
        <v>#N/A</v>
      </c>
      <c r="W515" t="e">
        <f t="shared" si="482"/>
        <v>#N/A</v>
      </c>
      <c r="X515" t="e">
        <f t="shared" si="483"/>
        <v>#N/A</v>
      </c>
      <c r="Y515">
        <f>IF('חד גזעי'!$AM$2 = "לא",0,IF(F515&gt;9,W515,0))</f>
        <v>0</v>
      </c>
      <c r="Z515">
        <f>IF('חד גזעי'!$AM$7 = "לא",0,IF(C515 = "זית אירופי",IF('חד גזעי'!$AN$7 &lt;=סקר!F515,W515,0),IF(C515 = "חרוב מצוי",IF('חד גזעי'!$AN$7 &lt;=סקר!F515,W515,0),0)))</f>
        <v>0</v>
      </c>
      <c r="AB515">
        <f t="shared" si="544"/>
        <v>1</v>
      </c>
      <c r="AC515" s="72"/>
      <c r="AD515" t="e">
        <f t="shared" si="562"/>
        <v>#N/A</v>
      </c>
      <c r="AE515" s="72"/>
      <c r="AF515" s="72" t="e">
        <f t="shared" si="545"/>
        <v>#N/A</v>
      </c>
      <c r="AG515" s="72" t="e">
        <f>IF('חד גזעי'!$AM$5="לא",(VLOOKUP(C515,'חד גזעי'!$P$1:$S$589,3,FALSE)),(VLOOKUP(C515,'חד גזעי'!$P$1:$S$589,4,FALSE)))</f>
        <v>#N/A</v>
      </c>
      <c r="AH515" s="72">
        <f t="shared" si="546"/>
        <v>0</v>
      </c>
      <c r="AI515" s="72">
        <f t="shared" si="547"/>
        <v>0</v>
      </c>
      <c r="AJ515" s="72">
        <f t="shared" si="548"/>
        <v>0</v>
      </c>
      <c r="AK515" s="72" t="e">
        <f t="shared" si="549"/>
        <v>#N/A</v>
      </c>
      <c r="AL515" t="e">
        <f>VLOOKUP(C515,'חד גזעי'!$AH$8:$AI$33,2,FALSE)</f>
        <v>#N/A</v>
      </c>
      <c r="AM515" s="72" t="b">
        <f t="shared" si="550"/>
        <v>0</v>
      </c>
      <c r="AN515" s="72" t="b">
        <f t="shared" si="551"/>
        <v>0</v>
      </c>
      <c r="AO515" s="72" t="b">
        <f t="shared" si="552"/>
        <v>0</v>
      </c>
      <c r="AS515" s="72">
        <f t="shared" si="553"/>
        <v>0</v>
      </c>
      <c r="AT515" s="72">
        <f t="shared" si="554"/>
        <v>0</v>
      </c>
      <c r="AU515" s="72">
        <f t="shared" si="563"/>
        <v>0</v>
      </c>
      <c r="AV515" s="72">
        <f t="shared" si="555"/>
        <v>0</v>
      </c>
      <c r="AW515" s="72">
        <f t="shared" si="556"/>
        <v>0</v>
      </c>
      <c r="AX515" s="72">
        <f t="shared" si="557"/>
        <v>0</v>
      </c>
      <c r="AY515" s="72">
        <f t="shared" si="558"/>
        <v>0</v>
      </c>
      <c r="AZ515" s="72">
        <f t="shared" si="559"/>
        <v>0</v>
      </c>
      <c r="BA515" s="72" t="e">
        <f t="shared" si="560"/>
        <v>#N/A</v>
      </c>
      <c r="BB515" s="72" t="e">
        <f t="shared" si="561"/>
        <v>#N/A</v>
      </c>
      <c r="BC515" s="77"/>
      <c r="BE515">
        <f t="shared" si="541"/>
        <v>0</v>
      </c>
      <c r="BF515" s="196"/>
      <c r="BG515" s="196"/>
      <c r="BH515" s="196"/>
      <c r="BI515" s="196"/>
      <c r="BJ515" s="196"/>
      <c r="BK515" s="196"/>
    </row>
    <row r="516" spans="2:63" hidden="1">
      <c r="B516" s="72"/>
      <c r="C516" s="135"/>
      <c r="D516" s="73"/>
      <c r="E516" s="73"/>
      <c r="F516" s="72"/>
      <c r="G516" s="72"/>
      <c r="H516" s="72"/>
      <c r="I516" s="73">
        <f t="shared" si="543"/>
        <v>0</v>
      </c>
      <c r="J516" s="73"/>
      <c r="K516" s="73"/>
      <c r="L516" s="74" t="e">
        <f>_xlfn.IFNA(VLOOKUP(C516,'חד גזעי'!$U$3:$V$509,2,0),VLOOKUP(C516,'חד גזעי'!$U$3:$V$509,2))</f>
        <v>#N/A</v>
      </c>
      <c r="M516" s="73"/>
      <c r="N516" s="72" t="e">
        <f>_xlfn.IFNA(IF(VLOOKUP(C516,'חד גזעי'!$AH$2:$AH$7,1,FALSE)&gt;0,0,IF('חד גזעי'!$AM$5="כן",IF(_xlfn.IFNA(VLOOKUP(C516,'חד גזעי'!$AH$2:$AH$33,1,FALSE),SUM(J516:M516))&lt;21,_xlfn.IFNA(VLOOKUP(C516,'חד גזעי'!$AH$2:$AH$33,1,FALSE),SUM(J516:M516)),0),SUM(J516:M516))),IF('חד גזעי'!$AM$5="כן",IF(_xlfn.IFNA(VLOOKUP(C516,'חד גזעי'!$AH$2:$AH$33,1,FALSE),SUM(J516:M516))&lt;21,_xlfn.IFNA(VLOOKUP(C516,'חד גזעי'!$AH$2:$AH$33,1,FALSE),SUM(J516:M516)),0),SUM(J516:M516)))</f>
        <v>#N/A</v>
      </c>
      <c r="O516" s="72">
        <f>IF('חד גזעי'!$AM$3 = "כן",IF(T516&gt;4,4,T516),T516)</f>
        <v>0</v>
      </c>
      <c r="P516" s="80">
        <f>IF(E516&lt;2,0,IF(Z516&gt;0,Z516,IF(N516 = 0,0,IF('חד גזעי'!$AM$2 = "לא",IF(F516&gt;19,W516,0),IF(F516&gt;9,Y516,0)))))</f>
        <v>0</v>
      </c>
      <c r="Q516" s="77"/>
      <c r="R516" s="75"/>
      <c r="S516" t="e">
        <f>VLOOKUP(C516,'חד גזעי'!$Y$4:$Y$18,1,0)</f>
        <v>#N/A</v>
      </c>
      <c r="T516" s="72">
        <f>IF('חד גזעי'!$AM$6="לא",IF(P516=0,IF(BC516="שימור",IF('חד גזעי'!$AM$4="לא",IF(BC516="לא בוגר",0,IF(BC516="לא קיים",0,IF(J516=0,0,I516*0.1))),IF(BC516="לא בוגר",0,IF(BC516="לא קיים",0,IF(AB516=1,I516*0.1,E516*0.5)))),0),IF('חד גזעי'!$AM$4="לא",IF(BC516="לא בוגר",0,IF(BC516="לא קיים",0,IF(J516=0,0,I516*0.1))),IF(BC516="לא בוגר",0,IF(BC516="לא קיים",0,IF(AB516=1,I516*0.1,E516*0.5))))),IF(P516=0,IF(BC516="שימור",IF('חד גזעי'!$AM$4="לא",IF(BC516="לא בוגר",0,IF(BC516="לא קיים",0,IF(J516=0,0,I516*0.15))),IF(BC516="לא בוגר",0,IF(BC516="לא קיים",0,IF(AB516=1,I516*0.15,E516*0.5)))),0),IF('חד גזעי'!$AM$4="לא",IF(BC516="לא בוגר",0,IF(BC516="לא קיים",0,IF(J516=0,0,I516*0.15))),IF(BC516="לא בוגר",0,IF(BC516="לא קיים",0,IF(AB516=1,I516*0.15,E516*0.5))))))</f>
        <v>0</v>
      </c>
      <c r="V516" t="e">
        <f t="shared" si="481"/>
        <v>#N/A</v>
      </c>
      <c r="W516" t="e">
        <f t="shared" si="482"/>
        <v>#N/A</v>
      </c>
      <c r="X516" t="e">
        <f t="shared" si="483"/>
        <v>#N/A</v>
      </c>
      <c r="Y516">
        <f>IF('חד גזעי'!$AM$2 = "לא",0,IF(F516&gt;9,W516,0))</f>
        <v>0</v>
      </c>
      <c r="Z516">
        <f>IF('חד גזעי'!$AM$7 = "לא",0,IF(C516 = "זית אירופי",IF('חד גזעי'!$AN$7 &lt;=סקר!F516,W516,0),IF(C516 = "חרוב מצוי",IF('חד גזעי'!$AN$7 &lt;=סקר!F516,W516,0),0)))</f>
        <v>0</v>
      </c>
      <c r="AB516">
        <f t="shared" si="544"/>
        <v>1</v>
      </c>
      <c r="AC516" s="72"/>
      <c r="AD516" t="e">
        <f t="shared" si="562"/>
        <v>#N/A</v>
      </c>
      <c r="AE516" s="72"/>
      <c r="AF516" s="72" t="e">
        <f t="shared" si="545"/>
        <v>#N/A</v>
      </c>
      <c r="AG516" s="72" t="e">
        <f>IF('חד גזעי'!$AM$5="לא",(VLOOKUP(C516,'חד גזעי'!$P$1:$S$589,3,FALSE)),(VLOOKUP(C516,'חד גזעי'!$P$1:$S$589,4,FALSE)))</f>
        <v>#N/A</v>
      </c>
      <c r="AH516" s="72">
        <f t="shared" si="546"/>
        <v>0</v>
      </c>
      <c r="AI516" s="72">
        <f t="shared" si="547"/>
        <v>0</v>
      </c>
      <c r="AJ516" s="72">
        <f t="shared" si="548"/>
        <v>0</v>
      </c>
      <c r="AK516" s="72" t="e">
        <f t="shared" si="549"/>
        <v>#N/A</v>
      </c>
      <c r="AL516" t="e">
        <f>VLOOKUP(C516,'חד גזעי'!$AH$8:$AI$33,2,FALSE)</f>
        <v>#N/A</v>
      </c>
      <c r="AM516" s="72" t="b">
        <f t="shared" si="550"/>
        <v>0</v>
      </c>
      <c r="AN516" s="72" t="b">
        <f t="shared" si="551"/>
        <v>0</v>
      </c>
      <c r="AO516" s="72" t="b">
        <f t="shared" si="552"/>
        <v>0</v>
      </c>
      <c r="AS516" s="72">
        <f t="shared" si="553"/>
        <v>0</v>
      </c>
      <c r="AT516" s="72">
        <f t="shared" si="554"/>
        <v>0</v>
      </c>
      <c r="AU516" s="72">
        <f t="shared" si="563"/>
        <v>0</v>
      </c>
      <c r="AV516" s="72">
        <f t="shared" si="555"/>
        <v>0</v>
      </c>
      <c r="AW516" s="72">
        <f t="shared" si="556"/>
        <v>0</v>
      </c>
      <c r="AX516" s="72">
        <f t="shared" si="557"/>
        <v>0</v>
      </c>
      <c r="AY516" s="72">
        <f t="shared" si="558"/>
        <v>0</v>
      </c>
      <c r="AZ516" s="72">
        <f t="shared" si="559"/>
        <v>0</v>
      </c>
      <c r="BA516" s="72" t="e">
        <f t="shared" si="560"/>
        <v>#N/A</v>
      </c>
      <c r="BB516" s="72" t="e">
        <f t="shared" si="561"/>
        <v>#N/A</v>
      </c>
      <c r="BC516" s="77"/>
      <c r="BE516">
        <f t="shared" si="541"/>
        <v>0</v>
      </c>
      <c r="BF516" s="196"/>
      <c r="BG516" s="196"/>
      <c r="BH516" s="196"/>
      <c r="BI516" s="196"/>
      <c r="BJ516" s="196"/>
      <c r="BK516" s="196"/>
    </row>
    <row r="517" spans="2:63" hidden="1">
      <c r="B517" s="72"/>
      <c r="C517" s="135"/>
      <c r="D517" s="73"/>
      <c r="E517" s="73"/>
      <c r="F517" s="72"/>
      <c r="G517" s="72"/>
      <c r="H517" s="72"/>
      <c r="I517" s="73">
        <f t="shared" si="543"/>
        <v>0</v>
      </c>
      <c r="J517" s="73"/>
      <c r="K517" s="73"/>
      <c r="L517" s="74" t="e">
        <f>_xlfn.IFNA(VLOOKUP(C517,'חד גזעי'!$U$3:$V$509,2,0),VLOOKUP(C517,'חד גזעי'!$U$3:$V$509,2))</f>
        <v>#N/A</v>
      </c>
      <c r="M517" s="73"/>
      <c r="N517" s="72" t="e">
        <f>_xlfn.IFNA(IF(VLOOKUP(C517,'חד גזעי'!$AH$2:$AH$7,1,FALSE)&gt;0,0,IF('חד גזעי'!$AM$5="כן",IF(_xlfn.IFNA(VLOOKUP(C517,'חד גזעי'!$AH$2:$AH$33,1,FALSE),SUM(J517:M517))&lt;21,_xlfn.IFNA(VLOOKUP(C517,'חד גזעי'!$AH$2:$AH$33,1,FALSE),SUM(J517:M517)),0),SUM(J517:M517))),IF('חד גזעי'!$AM$5="כן",IF(_xlfn.IFNA(VLOOKUP(C517,'חד גזעי'!$AH$2:$AH$33,1,FALSE),SUM(J517:M517))&lt;21,_xlfn.IFNA(VLOOKUP(C517,'חד גזעי'!$AH$2:$AH$33,1,FALSE),SUM(J517:M517)),0),SUM(J517:M517)))</f>
        <v>#N/A</v>
      </c>
      <c r="O517" s="72">
        <f>IF('חד גזעי'!$AM$3 = "כן",IF(T517&gt;4,4,T517),T517)</f>
        <v>0</v>
      </c>
      <c r="P517" s="80">
        <f>IF(E517&lt;2,0,IF(Z517&gt;0,Z517,IF(N517 = 0,0,IF('חד גזעי'!$AM$2 = "לא",IF(F517&gt;19,W517,0),IF(F517&gt;9,Y517,0)))))</f>
        <v>0</v>
      </c>
      <c r="Q517" s="77"/>
      <c r="R517" s="75"/>
      <c r="S517" t="e">
        <f>VLOOKUP(C517,'חד גזעי'!$Y$4:$Y$18,1,0)</f>
        <v>#N/A</v>
      </c>
      <c r="T517" s="72">
        <f>IF('חד גזעי'!$AM$6="לא",IF(P517=0,IF(BC517="שימור",IF('חד גזעי'!$AM$4="לא",IF(BC517="לא בוגר",0,IF(BC517="לא קיים",0,IF(J517=0,0,I517*0.1))),IF(BC517="לא בוגר",0,IF(BC517="לא קיים",0,IF(AB517=1,I517*0.1,E517*0.5)))),0),IF('חד גזעי'!$AM$4="לא",IF(BC517="לא בוגר",0,IF(BC517="לא קיים",0,IF(J517=0,0,I517*0.1))),IF(BC517="לא בוגר",0,IF(BC517="לא קיים",0,IF(AB517=1,I517*0.1,E517*0.5))))),IF(P517=0,IF(BC517="שימור",IF('חד גזעי'!$AM$4="לא",IF(BC517="לא בוגר",0,IF(BC517="לא קיים",0,IF(J517=0,0,I517*0.15))),IF(BC517="לא בוגר",0,IF(BC517="לא קיים",0,IF(AB517=1,I517*0.15,E517*0.5)))),0),IF('חד גזעי'!$AM$4="לא",IF(BC517="לא בוגר",0,IF(BC517="לא קיים",0,IF(J517=0,0,I517*0.15))),IF(BC517="לא בוגר",0,IF(BC517="לא קיים",0,IF(AB517=1,I517*0.15,E517*0.5))))))</f>
        <v>0</v>
      </c>
      <c r="V517" t="e">
        <f t="shared" si="481"/>
        <v>#N/A</v>
      </c>
      <c r="W517" t="e">
        <f t="shared" si="482"/>
        <v>#N/A</v>
      </c>
      <c r="X517" t="e">
        <f t="shared" si="483"/>
        <v>#N/A</v>
      </c>
      <c r="Y517">
        <f>IF('חד גזעי'!$AM$2 = "לא",0,IF(F517&gt;9,W517,0))</f>
        <v>0</v>
      </c>
      <c r="Z517">
        <f>IF('חד גזעי'!$AM$7 = "לא",0,IF(C517 = "זית אירופי",IF('חד גזעי'!$AN$7 &lt;=סקר!F517,W517,0),IF(C517 = "חרוב מצוי",IF('חד גזעי'!$AN$7 &lt;=סקר!F517,W517,0),0)))</f>
        <v>0</v>
      </c>
      <c r="AB517">
        <f t="shared" si="544"/>
        <v>1</v>
      </c>
      <c r="AC517" s="72"/>
      <c r="AD517" t="e">
        <f t="shared" si="562"/>
        <v>#N/A</v>
      </c>
      <c r="AE517" s="72"/>
      <c r="AF517" s="72" t="e">
        <f t="shared" si="545"/>
        <v>#N/A</v>
      </c>
      <c r="AG517" s="72" t="e">
        <f>IF('חד גזעי'!$AM$5="לא",(VLOOKUP(C517,'חד גזעי'!$P$1:$S$589,3,FALSE)),(VLOOKUP(C517,'חד גזעי'!$P$1:$S$589,4,FALSE)))</f>
        <v>#N/A</v>
      </c>
      <c r="AH517" s="72">
        <f t="shared" si="546"/>
        <v>0</v>
      </c>
      <c r="AI517" s="72">
        <f t="shared" si="547"/>
        <v>0</v>
      </c>
      <c r="AJ517" s="72">
        <f t="shared" si="548"/>
        <v>0</v>
      </c>
      <c r="AK517" s="72" t="e">
        <f t="shared" si="549"/>
        <v>#N/A</v>
      </c>
      <c r="AL517" t="e">
        <f>VLOOKUP(C517,'חד גזעי'!$AH$8:$AI$33,2,FALSE)</f>
        <v>#N/A</v>
      </c>
      <c r="AM517" s="72" t="b">
        <f t="shared" si="550"/>
        <v>0</v>
      </c>
      <c r="AN517" s="72" t="b">
        <f t="shared" si="551"/>
        <v>0</v>
      </c>
      <c r="AO517" s="72" t="b">
        <f t="shared" si="552"/>
        <v>0</v>
      </c>
      <c r="AS517" s="72">
        <f t="shared" si="553"/>
        <v>0</v>
      </c>
      <c r="AT517" s="72">
        <f t="shared" si="554"/>
        <v>0</v>
      </c>
      <c r="AU517" s="72">
        <f t="shared" si="563"/>
        <v>0</v>
      </c>
      <c r="AV517" s="72">
        <f t="shared" si="555"/>
        <v>0</v>
      </c>
      <c r="AW517" s="72">
        <f t="shared" si="556"/>
        <v>0</v>
      </c>
      <c r="AX517" s="72">
        <f t="shared" si="557"/>
        <v>0</v>
      </c>
      <c r="AY517" s="72">
        <f t="shared" si="558"/>
        <v>0</v>
      </c>
      <c r="AZ517" s="72">
        <f t="shared" si="559"/>
        <v>0</v>
      </c>
      <c r="BA517" s="72" t="e">
        <f t="shared" si="560"/>
        <v>#N/A</v>
      </c>
      <c r="BB517" s="72" t="e">
        <f t="shared" si="561"/>
        <v>#N/A</v>
      </c>
      <c r="BC517" s="77"/>
      <c r="BE517">
        <f t="shared" si="541"/>
        <v>0</v>
      </c>
      <c r="BF517" s="196"/>
      <c r="BG517" s="196"/>
      <c r="BH517" s="196"/>
      <c r="BI517" s="196"/>
      <c r="BJ517" s="196"/>
      <c r="BK517" s="196"/>
    </row>
    <row r="518" spans="2:63" hidden="1">
      <c r="B518" s="72"/>
      <c r="C518" s="135"/>
      <c r="D518" s="78"/>
      <c r="E518" s="73"/>
      <c r="F518" s="72"/>
      <c r="G518" s="72"/>
      <c r="H518" s="72"/>
      <c r="I518" s="73">
        <f t="shared" si="543"/>
        <v>0</v>
      </c>
      <c r="J518" s="78"/>
      <c r="K518" s="73"/>
      <c r="L518" s="74" t="e">
        <f>_xlfn.IFNA(VLOOKUP(C518,'חד גזעי'!$U$3:$V$509,2,0),VLOOKUP(C518,'חד גזעי'!$U$3:$V$509,2))</f>
        <v>#N/A</v>
      </c>
      <c r="M518" s="73"/>
      <c r="N518" s="72" t="e">
        <f>_xlfn.IFNA(IF(VLOOKUP(C518,'חד גזעי'!$AH$2:$AH$7,1,FALSE)&gt;0,0,IF('חד גזעי'!$AM$5="כן",IF(_xlfn.IFNA(VLOOKUP(C518,'חד גזעי'!$AH$2:$AH$33,1,FALSE),SUM(J518:M518))&lt;21,_xlfn.IFNA(VLOOKUP(C518,'חד גזעי'!$AH$2:$AH$33,1,FALSE),SUM(J518:M518)),0),SUM(J518:M518))),IF('חד גזעי'!$AM$5="כן",IF(_xlfn.IFNA(VLOOKUP(C518,'חד גזעי'!$AH$2:$AH$33,1,FALSE),SUM(J518:M518))&lt;21,_xlfn.IFNA(VLOOKUP(C518,'חד גזעי'!$AH$2:$AH$33,1,FALSE),SUM(J518:M518)),0),SUM(J518:M518)))</f>
        <v>#N/A</v>
      </c>
      <c r="O518" s="72">
        <f>IF('חד גזעי'!$AM$3 = "כן",IF(T518&gt;4,4,T518),T518)</f>
        <v>0</v>
      </c>
      <c r="P518" s="80">
        <f>IF(E518&lt;2,0,IF(Z518&gt;0,Z518,IF(N518 = 0,0,IF('חד גזעי'!$AM$2 = "לא",IF(F518&gt;19,W518,0),IF(F518&gt;9,Y518,0)))))</f>
        <v>0</v>
      </c>
      <c r="Q518" s="77"/>
      <c r="R518" s="75"/>
      <c r="S518" t="e">
        <f>VLOOKUP(C518,'חד גזעי'!$Y$4:$Y$18,1,0)</f>
        <v>#N/A</v>
      </c>
      <c r="T518" s="72">
        <f>IF('חד גזעי'!$AM$6="לא",IF(P518=0,IF(BC518="שימור",IF('חד גזעי'!$AM$4="לא",IF(BC518="לא בוגר",0,IF(BC518="לא קיים",0,IF(J518=0,0,I518*0.1))),IF(BC518="לא בוגר",0,IF(BC518="לא קיים",0,IF(AB518=1,I518*0.1,E518*0.5)))),0),IF('חד גזעי'!$AM$4="לא",IF(BC518="לא בוגר",0,IF(BC518="לא קיים",0,IF(J518=0,0,I518*0.1))),IF(BC518="לא בוגר",0,IF(BC518="לא קיים",0,IF(AB518=1,I518*0.1,E518*0.5))))),IF(P518=0,IF(BC518="שימור",IF('חד גזעי'!$AM$4="לא",IF(BC518="לא בוגר",0,IF(BC518="לא קיים",0,IF(J518=0,0,I518*0.15))),IF(BC518="לא בוגר",0,IF(BC518="לא קיים",0,IF(AB518=1,I518*0.15,E518*0.5)))),0),IF('חד גזעי'!$AM$4="לא",IF(BC518="לא בוגר",0,IF(BC518="לא קיים",0,IF(J518=0,0,I518*0.15))),IF(BC518="לא בוגר",0,IF(BC518="לא קיים",0,IF(AB518=1,I518*0.15,E518*0.5))))))</f>
        <v>0</v>
      </c>
      <c r="V518" t="e">
        <f t="shared" si="481"/>
        <v>#N/A</v>
      </c>
      <c r="W518" t="e">
        <f t="shared" si="482"/>
        <v>#N/A</v>
      </c>
      <c r="X518" t="e">
        <f t="shared" si="483"/>
        <v>#N/A</v>
      </c>
      <c r="Y518">
        <f>IF('חד גזעי'!$AM$2 = "לא",0,IF(F518&gt;9,W518,0))</f>
        <v>0</v>
      </c>
      <c r="Z518">
        <f>IF('חד גזעי'!$AM$7 = "לא",0,IF(C518 = "זית אירופי",IF('חד גזעי'!$AN$7 &lt;=סקר!F518,W518,0),IF(C518 = "חרוב מצוי",IF('חד גזעי'!$AN$7 &lt;=סקר!F518,W518,0),0)))</f>
        <v>0</v>
      </c>
      <c r="AB518">
        <f t="shared" si="544"/>
        <v>1</v>
      </c>
      <c r="AC518" s="72"/>
      <c r="AD518" t="e">
        <f t="shared" si="562"/>
        <v>#N/A</v>
      </c>
      <c r="AE518" s="72"/>
      <c r="AF518" s="72" t="e">
        <f t="shared" si="545"/>
        <v>#N/A</v>
      </c>
      <c r="AG518" s="72" t="e">
        <f>IF('חד גזעי'!$AM$5="לא",(VLOOKUP(C518,'חד גזעי'!$P$1:$S$589,3,FALSE)),(VLOOKUP(C518,'חד גזעי'!$P$1:$S$589,4,FALSE)))</f>
        <v>#N/A</v>
      </c>
      <c r="AH518" s="72">
        <f t="shared" si="546"/>
        <v>0</v>
      </c>
      <c r="AI518" s="72">
        <f t="shared" si="547"/>
        <v>0</v>
      </c>
      <c r="AJ518" s="72">
        <f t="shared" si="548"/>
        <v>0</v>
      </c>
      <c r="AK518" s="72" t="e">
        <f t="shared" si="549"/>
        <v>#N/A</v>
      </c>
      <c r="AL518" t="e">
        <f>VLOOKUP(C518,'חד גזעי'!$AH$8:$AI$33,2,FALSE)</f>
        <v>#N/A</v>
      </c>
      <c r="AM518" s="72" t="b">
        <f t="shared" si="550"/>
        <v>0</v>
      </c>
      <c r="AN518" s="72" t="b">
        <f t="shared" si="551"/>
        <v>0</v>
      </c>
      <c r="AO518" s="72" t="b">
        <f t="shared" si="552"/>
        <v>0</v>
      </c>
      <c r="AS518" s="72">
        <f t="shared" si="553"/>
        <v>0</v>
      </c>
      <c r="AT518" s="72">
        <f t="shared" si="554"/>
        <v>0</v>
      </c>
      <c r="AU518" s="72">
        <f t="shared" si="563"/>
        <v>0</v>
      </c>
      <c r="AV518" s="72">
        <f t="shared" si="555"/>
        <v>0</v>
      </c>
      <c r="AW518" s="72">
        <f t="shared" si="556"/>
        <v>0</v>
      </c>
      <c r="AX518" s="72">
        <f t="shared" si="557"/>
        <v>0</v>
      </c>
      <c r="AY518" s="72">
        <f t="shared" si="558"/>
        <v>0</v>
      </c>
      <c r="AZ518" s="72">
        <f t="shared" si="559"/>
        <v>0</v>
      </c>
      <c r="BA518" s="72" t="e">
        <f t="shared" si="560"/>
        <v>#N/A</v>
      </c>
      <c r="BB518" s="72" t="e">
        <f t="shared" si="561"/>
        <v>#N/A</v>
      </c>
      <c r="BC518" s="77"/>
      <c r="BE518">
        <f t="shared" si="541"/>
        <v>0</v>
      </c>
      <c r="BF518" s="196"/>
      <c r="BG518" s="196"/>
      <c r="BH518" s="196"/>
      <c r="BI518" s="196"/>
      <c r="BJ518" s="196"/>
      <c r="BK518" s="196"/>
    </row>
    <row r="519" spans="2:63" hidden="1">
      <c r="B519" s="72"/>
      <c r="C519" s="135"/>
      <c r="D519" s="78"/>
      <c r="E519" s="73"/>
      <c r="F519" s="72"/>
      <c r="G519" s="72"/>
      <c r="H519" s="72"/>
      <c r="I519" s="73">
        <f t="shared" si="543"/>
        <v>0</v>
      </c>
      <c r="J519" s="78"/>
      <c r="K519" s="73"/>
      <c r="L519" s="74" t="e">
        <f>_xlfn.IFNA(VLOOKUP(C519,'חד גזעי'!$U$3:$V$509,2,0),VLOOKUP(C519,'חד גזעי'!$U$3:$V$509,2))</f>
        <v>#N/A</v>
      </c>
      <c r="M519" s="73"/>
      <c r="N519" s="72" t="e">
        <f>_xlfn.IFNA(IF(VLOOKUP(C519,'חד גזעי'!$AH$2:$AH$7,1,FALSE)&gt;0,0,IF('חד גזעי'!$AM$5="כן",IF(_xlfn.IFNA(VLOOKUP(C519,'חד גזעי'!$AH$2:$AH$33,1,FALSE),SUM(J519:M519))&lt;21,_xlfn.IFNA(VLOOKUP(C519,'חד גזעי'!$AH$2:$AH$33,1,FALSE),SUM(J519:M519)),0),SUM(J519:M519))),IF('חד גזעי'!$AM$5="כן",IF(_xlfn.IFNA(VLOOKUP(C519,'חד גזעי'!$AH$2:$AH$33,1,FALSE),SUM(J519:M519))&lt;21,_xlfn.IFNA(VLOOKUP(C519,'חד גזעי'!$AH$2:$AH$33,1,FALSE),SUM(J519:M519)),0),SUM(J519:M519)))</f>
        <v>#N/A</v>
      </c>
      <c r="O519" s="72">
        <f>IF('חד גזעי'!$AM$3 = "כן",IF(T519&gt;4,4,T519),T519)</f>
        <v>0</v>
      </c>
      <c r="P519" s="80">
        <f>IF(E519&lt;2,0,IF(Z519&gt;0,Z519,IF(N519 = 0,0,IF('חד גזעי'!$AM$2 = "לא",IF(F519&gt;19,W519,0),IF(F519&gt;9,Y519,0)))))</f>
        <v>0</v>
      </c>
      <c r="Q519" s="77"/>
      <c r="R519" s="75"/>
      <c r="S519" t="e">
        <f>VLOOKUP(C519,'חד גזעי'!$Y$4:$Y$18,1,0)</f>
        <v>#N/A</v>
      </c>
      <c r="T519" s="72">
        <f>IF('חד גזעי'!$AM$6="לא",IF(P519=0,IF(BC519="שימור",IF('חד גזעי'!$AM$4="לא",IF(BC519="לא בוגר",0,IF(BC519="לא קיים",0,IF(J519=0,0,I519*0.1))),IF(BC519="לא בוגר",0,IF(BC519="לא קיים",0,IF(AB519=1,I519*0.1,E519*0.5)))),0),IF('חד גזעי'!$AM$4="לא",IF(BC519="לא בוגר",0,IF(BC519="לא קיים",0,IF(J519=0,0,I519*0.1))),IF(BC519="לא בוגר",0,IF(BC519="לא קיים",0,IF(AB519=1,I519*0.1,E519*0.5))))),IF(P519=0,IF(BC519="שימור",IF('חד גזעי'!$AM$4="לא",IF(BC519="לא בוגר",0,IF(BC519="לא קיים",0,IF(J519=0,0,I519*0.15))),IF(BC519="לא בוגר",0,IF(BC519="לא קיים",0,IF(AB519=1,I519*0.15,E519*0.5)))),0),IF('חד גזעי'!$AM$4="לא",IF(BC519="לא בוגר",0,IF(BC519="לא קיים",0,IF(J519=0,0,I519*0.15))),IF(BC519="לא בוגר",0,IF(BC519="לא קיים",0,IF(AB519=1,I519*0.15,E519*0.5))))))</f>
        <v>0</v>
      </c>
      <c r="V519" t="e">
        <f t="shared" si="481"/>
        <v>#N/A</v>
      </c>
      <c r="W519" t="e">
        <f t="shared" si="482"/>
        <v>#N/A</v>
      </c>
      <c r="X519" t="e">
        <f t="shared" si="483"/>
        <v>#N/A</v>
      </c>
      <c r="Y519">
        <f>IF('חד גזעי'!$AM$2 = "לא",0,IF(F519&gt;9,W519,0))</f>
        <v>0</v>
      </c>
      <c r="Z519">
        <f>IF('חד גזעי'!$AM$7 = "לא",0,IF(C519 = "זית אירופי",IF('חד גזעי'!$AN$7 &lt;=סקר!F519,W519,0),IF(C519 = "חרוב מצוי",IF('חד גזעי'!$AN$7 &lt;=סקר!F519,W519,0),0)))</f>
        <v>0</v>
      </c>
      <c r="AB519">
        <f t="shared" si="544"/>
        <v>1</v>
      </c>
      <c r="AC519" s="72"/>
      <c r="AD519" t="e">
        <f t="shared" si="562"/>
        <v>#N/A</v>
      </c>
      <c r="AE519" s="72"/>
      <c r="AF519" s="72" t="e">
        <f t="shared" si="545"/>
        <v>#N/A</v>
      </c>
      <c r="AG519" s="72" t="e">
        <f>IF('חד גזעי'!$AM$5="לא",(VLOOKUP(C519,'חד גזעי'!$P$1:$S$589,3,FALSE)),(VLOOKUP(C519,'חד גזעי'!$P$1:$S$589,4,FALSE)))</f>
        <v>#N/A</v>
      </c>
      <c r="AH519" s="72">
        <f t="shared" si="546"/>
        <v>0</v>
      </c>
      <c r="AI519" s="72">
        <f t="shared" si="547"/>
        <v>0</v>
      </c>
      <c r="AJ519" s="72">
        <f t="shared" si="548"/>
        <v>0</v>
      </c>
      <c r="AK519" s="72" t="e">
        <f t="shared" si="549"/>
        <v>#N/A</v>
      </c>
      <c r="AL519" t="e">
        <f>VLOOKUP(C519,'חד גזעי'!$AH$8:$AI$33,2,FALSE)</f>
        <v>#N/A</v>
      </c>
      <c r="AM519" s="72" t="b">
        <f t="shared" si="550"/>
        <v>0</v>
      </c>
      <c r="AN519" s="72" t="b">
        <f t="shared" si="551"/>
        <v>0</v>
      </c>
      <c r="AO519" s="72" t="b">
        <f t="shared" si="552"/>
        <v>0</v>
      </c>
      <c r="AS519" s="72">
        <f t="shared" si="553"/>
        <v>0</v>
      </c>
      <c r="AT519" s="72">
        <f t="shared" si="554"/>
        <v>0</v>
      </c>
      <c r="AU519" s="72">
        <f t="shared" si="563"/>
        <v>0</v>
      </c>
      <c r="AV519" s="72">
        <f t="shared" si="555"/>
        <v>0</v>
      </c>
      <c r="AW519" s="72">
        <f t="shared" si="556"/>
        <v>0</v>
      </c>
      <c r="AX519" s="72">
        <f t="shared" si="557"/>
        <v>0</v>
      </c>
      <c r="AY519" s="72">
        <f t="shared" si="558"/>
        <v>0</v>
      </c>
      <c r="AZ519" s="72">
        <f t="shared" si="559"/>
        <v>0</v>
      </c>
      <c r="BA519" s="72" t="e">
        <f t="shared" si="560"/>
        <v>#N/A</v>
      </c>
      <c r="BB519" s="72" t="e">
        <f t="shared" si="561"/>
        <v>#N/A</v>
      </c>
      <c r="BC519" s="77"/>
      <c r="BE519">
        <f t="shared" si="541"/>
        <v>0</v>
      </c>
      <c r="BF519" s="196"/>
      <c r="BG519" s="196"/>
      <c r="BH519" s="196"/>
      <c r="BI519" s="196"/>
      <c r="BJ519" s="196"/>
      <c r="BK519" s="196"/>
    </row>
    <row r="520" spans="2:63" hidden="1">
      <c r="B520" s="72"/>
      <c r="C520" s="135"/>
      <c r="D520" s="78"/>
      <c r="E520" s="73"/>
      <c r="F520" s="72"/>
      <c r="G520" s="72"/>
      <c r="H520" s="72"/>
      <c r="I520" s="73">
        <f t="shared" si="543"/>
        <v>0</v>
      </c>
      <c r="J520" s="78"/>
      <c r="K520" s="73"/>
      <c r="L520" s="74" t="e">
        <f>_xlfn.IFNA(VLOOKUP(C520,'חד גזעי'!$U$3:$V$509,2,0),VLOOKUP(C520,'חד גזעי'!$U$3:$V$509,2))</f>
        <v>#N/A</v>
      </c>
      <c r="M520" s="73"/>
      <c r="N520" s="72" t="e">
        <f>_xlfn.IFNA(IF(VLOOKUP(C520,'חד גזעי'!$AH$2:$AH$7,1,FALSE)&gt;0,0,IF('חד גזעי'!$AM$5="כן",IF(_xlfn.IFNA(VLOOKUP(C520,'חד גזעי'!$AH$2:$AH$33,1,FALSE),SUM(J520:M520))&lt;21,_xlfn.IFNA(VLOOKUP(C520,'חד גזעי'!$AH$2:$AH$33,1,FALSE),SUM(J520:M520)),0),SUM(J520:M520))),IF('חד גזעי'!$AM$5="כן",IF(_xlfn.IFNA(VLOOKUP(C520,'חד גזעי'!$AH$2:$AH$33,1,FALSE),SUM(J520:M520))&lt;21,_xlfn.IFNA(VLOOKUP(C520,'חד גזעי'!$AH$2:$AH$33,1,FALSE),SUM(J520:M520)),0),SUM(J520:M520)))</f>
        <v>#N/A</v>
      </c>
      <c r="O520" s="72">
        <f>IF('חד גזעי'!$AM$3 = "כן",IF(T520&gt;4,4,T520),T520)</f>
        <v>0</v>
      </c>
      <c r="P520" s="80">
        <f>IF(E520&lt;2,0,IF(Z520&gt;0,Z520,IF(N520 = 0,0,IF('חד גזעי'!$AM$2 = "לא",IF(F520&gt;19,W520,0),IF(F520&gt;9,Y520,0)))))</f>
        <v>0</v>
      </c>
      <c r="Q520" s="77"/>
      <c r="R520" s="75"/>
      <c r="S520" t="e">
        <f>VLOOKUP(C520,'חד גזעי'!$Y$4:$Y$18,1,0)</f>
        <v>#N/A</v>
      </c>
      <c r="T520" s="72">
        <f>IF('חד גזעי'!$AM$6="לא",IF(P520=0,IF(BC520="שימור",IF('חד גזעי'!$AM$4="לא",IF(BC520="לא בוגר",0,IF(BC520="לא קיים",0,IF(J520=0,0,I520*0.1))),IF(BC520="לא בוגר",0,IF(BC520="לא קיים",0,IF(AB520=1,I520*0.1,E520*0.5)))),0),IF('חד גזעי'!$AM$4="לא",IF(BC520="לא בוגר",0,IF(BC520="לא קיים",0,IF(J520=0,0,I520*0.1))),IF(BC520="לא בוגר",0,IF(BC520="לא קיים",0,IF(AB520=1,I520*0.1,E520*0.5))))),IF(P520=0,IF(BC520="שימור",IF('חד גזעי'!$AM$4="לא",IF(BC520="לא בוגר",0,IF(BC520="לא קיים",0,IF(J520=0,0,I520*0.15))),IF(BC520="לא בוגר",0,IF(BC520="לא קיים",0,IF(AB520=1,I520*0.15,E520*0.5)))),0),IF('חד גזעי'!$AM$4="לא",IF(BC520="לא בוגר",0,IF(BC520="לא קיים",0,IF(J520=0,0,I520*0.15))),IF(BC520="לא בוגר",0,IF(BC520="לא קיים",0,IF(AB520=1,I520*0.15,E520*0.5))))))</f>
        <v>0</v>
      </c>
      <c r="V520" t="e">
        <f t="shared" si="481"/>
        <v>#N/A</v>
      </c>
      <c r="W520" t="e">
        <f t="shared" si="482"/>
        <v>#N/A</v>
      </c>
      <c r="X520" t="e">
        <f t="shared" si="483"/>
        <v>#N/A</v>
      </c>
      <c r="Y520">
        <f>IF('חד גזעי'!$AM$2 = "לא",0,IF(F520&gt;9,W520,0))</f>
        <v>0</v>
      </c>
      <c r="Z520">
        <f>IF('חד גזעי'!$AM$7 = "לא",0,IF(C520 = "זית אירופי",IF('חד גזעי'!$AN$7 &lt;=סקר!F520,W520,0),IF(C520 = "חרוב מצוי",IF('חד גזעי'!$AN$7 &lt;=סקר!F520,W520,0),0)))</f>
        <v>0</v>
      </c>
      <c r="AB520">
        <f t="shared" si="544"/>
        <v>1</v>
      </c>
      <c r="AC520" s="72"/>
      <c r="AD520" t="e">
        <f t="shared" si="562"/>
        <v>#N/A</v>
      </c>
      <c r="AE520" s="72"/>
      <c r="AF520" s="72" t="e">
        <f t="shared" si="545"/>
        <v>#N/A</v>
      </c>
      <c r="AG520" s="72" t="e">
        <f>IF('חד גזעי'!$AM$5="לא",(VLOOKUP(C520,'חד גזעי'!$P$1:$S$589,3,FALSE)),(VLOOKUP(C520,'חד גזעי'!$P$1:$S$589,4,FALSE)))</f>
        <v>#N/A</v>
      </c>
      <c r="AH520" s="72">
        <f t="shared" si="546"/>
        <v>0</v>
      </c>
      <c r="AI520" s="72">
        <f t="shared" si="547"/>
        <v>0</v>
      </c>
      <c r="AJ520" s="72">
        <f t="shared" si="548"/>
        <v>0</v>
      </c>
      <c r="AK520" s="72" t="e">
        <f t="shared" si="549"/>
        <v>#N/A</v>
      </c>
      <c r="AL520" t="e">
        <f>VLOOKUP(C520,'חד גזעי'!$AH$8:$AI$33,2,FALSE)</f>
        <v>#N/A</v>
      </c>
      <c r="AM520" s="72" t="b">
        <f t="shared" si="550"/>
        <v>0</v>
      </c>
      <c r="AN520" s="72" t="b">
        <f t="shared" si="551"/>
        <v>0</v>
      </c>
      <c r="AO520" s="72" t="b">
        <f t="shared" si="552"/>
        <v>0</v>
      </c>
      <c r="AS520" s="72">
        <f t="shared" si="553"/>
        <v>0</v>
      </c>
      <c r="AT520" s="72">
        <f t="shared" si="554"/>
        <v>0</v>
      </c>
      <c r="AU520" s="72">
        <f t="shared" si="563"/>
        <v>0</v>
      </c>
      <c r="AV520" s="72">
        <f t="shared" si="555"/>
        <v>0</v>
      </c>
      <c r="AW520" s="72">
        <f t="shared" si="556"/>
        <v>0</v>
      </c>
      <c r="AX520" s="72">
        <f t="shared" si="557"/>
        <v>0</v>
      </c>
      <c r="AY520" s="72">
        <f t="shared" si="558"/>
        <v>0</v>
      </c>
      <c r="AZ520" s="72">
        <f t="shared" si="559"/>
        <v>0</v>
      </c>
      <c r="BA520" s="72" t="e">
        <f t="shared" si="560"/>
        <v>#N/A</v>
      </c>
      <c r="BB520" s="72" t="e">
        <f t="shared" si="561"/>
        <v>#N/A</v>
      </c>
      <c r="BC520" s="77"/>
      <c r="BE520">
        <f t="shared" si="541"/>
        <v>0</v>
      </c>
      <c r="BF520" s="196"/>
      <c r="BG520" s="196"/>
      <c r="BH520" s="196"/>
      <c r="BI520" s="196"/>
      <c r="BJ520" s="196"/>
      <c r="BK520" s="196"/>
    </row>
    <row r="521" spans="2:63" hidden="1">
      <c r="B521" s="72"/>
      <c r="C521" s="135"/>
      <c r="D521" s="78"/>
      <c r="E521" s="73"/>
      <c r="F521" s="72"/>
      <c r="G521" s="72"/>
      <c r="H521" s="72"/>
      <c r="I521" s="73">
        <f t="shared" si="543"/>
        <v>0</v>
      </c>
      <c r="J521" s="78"/>
      <c r="K521" s="73"/>
      <c r="L521" s="74" t="e">
        <f>_xlfn.IFNA(VLOOKUP(C521,'חד גזעי'!$U$3:$V$509,2,0),VLOOKUP(C521,'חד גזעי'!$U$3:$V$509,2))</f>
        <v>#N/A</v>
      </c>
      <c r="M521" s="73"/>
      <c r="N521" s="72" t="e">
        <f>_xlfn.IFNA(IF(VLOOKUP(C521,'חד גזעי'!$AH$2:$AH$7,1,FALSE)&gt;0,0,IF('חד גזעי'!$AM$5="כן",IF(_xlfn.IFNA(VLOOKUP(C521,'חד גזעי'!$AH$2:$AH$33,1,FALSE),SUM(J521:M521))&lt;21,_xlfn.IFNA(VLOOKUP(C521,'חד גזעי'!$AH$2:$AH$33,1,FALSE),SUM(J521:M521)),0),SUM(J521:M521))),IF('חד גזעי'!$AM$5="כן",IF(_xlfn.IFNA(VLOOKUP(C521,'חד גזעי'!$AH$2:$AH$33,1,FALSE),SUM(J521:M521))&lt;21,_xlfn.IFNA(VLOOKUP(C521,'חד גזעי'!$AH$2:$AH$33,1,FALSE),SUM(J521:M521)),0),SUM(J521:M521)))</f>
        <v>#N/A</v>
      </c>
      <c r="O521" s="72">
        <f>IF('חד גזעי'!$AM$3 = "כן",IF(T521&gt;4,4,T521),T521)</f>
        <v>0</v>
      </c>
      <c r="P521" s="80">
        <f>IF(E521&lt;2,0,IF(Z521&gt;0,Z521,IF(N521 = 0,0,IF('חד גזעי'!$AM$2 = "לא",IF(F521&gt;19,W521,0),IF(F521&gt;9,Y521,0)))))</f>
        <v>0</v>
      </c>
      <c r="Q521" s="77"/>
      <c r="R521" s="75"/>
      <c r="S521" t="e">
        <f>VLOOKUP(C521,'חד גזעי'!$Y$4:$Y$18,1,0)</f>
        <v>#N/A</v>
      </c>
      <c r="T521" s="72">
        <f>IF('חד גזעי'!$AM$6="לא",IF(P521=0,IF(BC521="שימור",IF('חד גזעי'!$AM$4="לא",IF(BC521="לא בוגר",0,IF(BC521="לא קיים",0,IF(J521=0,0,I521*0.1))),IF(BC521="לא בוגר",0,IF(BC521="לא קיים",0,IF(AB521=1,I521*0.1,E521*0.5)))),0),IF('חד גזעי'!$AM$4="לא",IF(BC521="לא בוגר",0,IF(BC521="לא קיים",0,IF(J521=0,0,I521*0.1))),IF(BC521="לא בוגר",0,IF(BC521="לא קיים",0,IF(AB521=1,I521*0.1,E521*0.5))))),IF(P521=0,IF(BC521="שימור",IF('חד גזעי'!$AM$4="לא",IF(BC521="לא בוגר",0,IF(BC521="לא קיים",0,IF(J521=0,0,I521*0.15))),IF(BC521="לא בוגר",0,IF(BC521="לא קיים",0,IF(AB521=1,I521*0.15,E521*0.5)))),0),IF('חד גזעי'!$AM$4="לא",IF(BC521="לא בוגר",0,IF(BC521="לא קיים",0,IF(J521=0,0,I521*0.15))),IF(BC521="לא בוגר",0,IF(BC521="לא קיים",0,IF(AB521=1,I521*0.15,E521*0.5))))))</f>
        <v>0</v>
      </c>
      <c r="V521" t="e">
        <f t="shared" si="481"/>
        <v>#N/A</v>
      </c>
      <c r="W521" t="e">
        <f t="shared" si="482"/>
        <v>#N/A</v>
      </c>
      <c r="X521" t="e">
        <f t="shared" si="483"/>
        <v>#N/A</v>
      </c>
      <c r="Y521">
        <f>IF('חד גזעי'!$AM$2 = "לא",0,IF(F521&gt;9,W521,0))</f>
        <v>0</v>
      </c>
      <c r="Z521">
        <f>IF('חד גזעי'!$AM$7 = "לא",0,IF(C521 = "זית אירופי",IF('חד גזעי'!$AN$7 &lt;=סקר!F521,W521,0),IF(C521 = "חרוב מצוי",IF('חד גזעי'!$AN$7 &lt;=סקר!F521,W521,0),0)))</f>
        <v>0</v>
      </c>
      <c r="AB521">
        <f t="shared" si="544"/>
        <v>1</v>
      </c>
      <c r="AC521" s="72"/>
      <c r="AD521" t="e">
        <f t="shared" si="562"/>
        <v>#N/A</v>
      </c>
      <c r="AE521" s="72"/>
      <c r="AF521" s="72" t="e">
        <f t="shared" si="545"/>
        <v>#N/A</v>
      </c>
      <c r="AG521" s="72" t="e">
        <f>IF('חד גזעי'!$AM$5="לא",(VLOOKUP(C521,'חד גזעי'!$P$1:$S$589,3,FALSE)),(VLOOKUP(C521,'חד גזעי'!$P$1:$S$589,4,FALSE)))</f>
        <v>#N/A</v>
      </c>
      <c r="AH521" s="72">
        <f t="shared" si="546"/>
        <v>0</v>
      </c>
      <c r="AI521" s="72">
        <f t="shared" si="547"/>
        <v>0</v>
      </c>
      <c r="AJ521" s="72">
        <f t="shared" si="548"/>
        <v>0</v>
      </c>
      <c r="AK521" s="72" t="e">
        <f t="shared" si="549"/>
        <v>#N/A</v>
      </c>
      <c r="AL521" t="e">
        <f>VLOOKUP(C521,'חד גזעי'!$AH$8:$AI$33,2,FALSE)</f>
        <v>#N/A</v>
      </c>
      <c r="AM521" s="72" t="b">
        <f t="shared" si="550"/>
        <v>0</v>
      </c>
      <c r="AN521" s="72" t="b">
        <f t="shared" si="551"/>
        <v>0</v>
      </c>
      <c r="AO521" s="72" t="b">
        <f t="shared" si="552"/>
        <v>0</v>
      </c>
      <c r="AS521" s="72">
        <f t="shared" si="553"/>
        <v>0</v>
      </c>
      <c r="AT521" s="72">
        <f t="shared" si="554"/>
        <v>0</v>
      </c>
      <c r="AU521" s="72">
        <f t="shared" si="563"/>
        <v>0</v>
      </c>
      <c r="AV521" s="72">
        <f t="shared" si="555"/>
        <v>0</v>
      </c>
      <c r="AW521" s="72">
        <f t="shared" si="556"/>
        <v>0</v>
      </c>
      <c r="AX521" s="72">
        <f t="shared" si="557"/>
        <v>0</v>
      </c>
      <c r="AY521" s="72">
        <f t="shared" si="558"/>
        <v>0</v>
      </c>
      <c r="AZ521" s="72">
        <f t="shared" si="559"/>
        <v>0</v>
      </c>
      <c r="BA521" s="72" t="e">
        <f t="shared" si="560"/>
        <v>#N/A</v>
      </c>
      <c r="BB521" s="72" t="e">
        <f t="shared" si="561"/>
        <v>#N/A</v>
      </c>
      <c r="BC521" s="77"/>
      <c r="BE521">
        <f t="shared" si="541"/>
        <v>0</v>
      </c>
      <c r="BF521" s="196"/>
      <c r="BG521" s="196"/>
      <c r="BH521" s="196"/>
      <c r="BI521" s="196"/>
      <c r="BJ521" s="196"/>
      <c r="BK521" s="196"/>
    </row>
    <row r="522" spans="2:63" hidden="1">
      <c r="B522" s="72"/>
      <c r="C522" s="135"/>
      <c r="D522" s="78"/>
      <c r="E522" s="78"/>
      <c r="F522" s="72"/>
      <c r="G522" s="72"/>
      <c r="H522" s="72"/>
      <c r="I522" s="73">
        <f t="shared" si="543"/>
        <v>0</v>
      </c>
      <c r="J522" s="78"/>
      <c r="K522" s="73"/>
      <c r="L522" s="74" t="e">
        <f>_xlfn.IFNA(VLOOKUP(C522,'חד גזעי'!$U$3:$V$509,2,0),VLOOKUP(C522,'חד גזעי'!$U$3:$V$509,2))</f>
        <v>#N/A</v>
      </c>
      <c r="M522" s="73"/>
      <c r="N522" s="72" t="e">
        <f>_xlfn.IFNA(IF(VLOOKUP(C522,'חד גזעי'!$AH$2:$AH$7,1,FALSE)&gt;0,0,IF('חד גזעי'!$AM$5="כן",IF(_xlfn.IFNA(VLOOKUP(C522,'חד גזעי'!$AH$2:$AH$33,1,FALSE),SUM(J522:M522))&lt;21,_xlfn.IFNA(VLOOKUP(C522,'חד גזעי'!$AH$2:$AH$33,1,FALSE),SUM(J522:M522)),0),SUM(J522:M522))),IF('חד גזעי'!$AM$5="כן",IF(_xlfn.IFNA(VLOOKUP(C522,'חד גזעי'!$AH$2:$AH$33,1,FALSE),SUM(J522:M522))&lt;21,_xlfn.IFNA(VLOOKUP(C522,'חד גזעי'!$AH$2:$AH$33,1,FALSE),SUM(J522:M522)),0),SUM(J522:M522)))</f>
        <v>#N/A</v>
      </c>
      <c r="O522" s="72">
        <f>IF('חד גזעי'!$AM$3 = "כן",IF(T522&gt;4,4,T522),T522)</f>
        <v>0</v>
      </c>
      <c r="P522" s="80">
        <f>IF(E522&lt;2,0,IF(Z522&gt;0,Z522,IF(N522 = 0,0,IF('חד גזעי'!$AM$2 = "לא",IF(F522&gt;19,W522,0),IF(F522&gt;9,Y522,0)))))</f>
        <v>0</v>
      </c>
      <c r="Q522" s="77"/>
      <c r="R522" s="75"/>
      <c r="S522" t="e">
        <f>VLOOKUP(C522,'חד גזעי'!$Y$4:$Y$18,1,0)</f>
        <v>#N/A</v>
      </c>
      <c r="T522" s="72">
        <f>IF('חד גזעי'!$AM$6="לא",IF(P522=0,IF(BC522="שימור",IF('חד גזעי'!$AM$4="לא",IF(BC522="לא בוגר",0,IF(BC522="לא קיים",0,IF(J522=0,0,I522*0.1))),IF(BC522="לא בוגר",0,IF(BC522="לא קיים",0,IF(AB522=1,I522*0.1,E522*0.5)))),0),IF('חד גזעי'!$AM$4="לא",IF(BC522="לא בוגר",0,IF(BC522="לא קיים",0,IF(J522=0,0,I522*0.1))),IF(BC522="לא בוגר",0,IF(BC522="לא קיים",0,IF(AB522=1,I522*0.1,E522*0.5))))),IF(P522=0,IF(BC522="שימור",IF('חד גזעי'!$AM$4="לא",IF(BC522="לא בוגר",0,IF(BC522="לא קיים",0,IF(J522=0,0,I522*0.15))),IF(BC522="לא בוגר",0,IF(BC522="לא קיים",0,IF(AB522=1,I522*0.15,E522*0.5)))),0),IF('חד גזעי'!$AM$4="לא",IF(BC522="לא בוגר",0,IF(BC522="לא קיים",0,IF(J522=0,0,I522*0.15))),IF(BC522="לא בוגר",0,IF(BC522="לא קיים",0,IF(AB522=1,I522*0.15,E522*0.5))))))</f>
        <v>0</v>
      </c>
      <c r="V522" t="e">
        <f t="shared" si="481"/>
        <v>#N/A</v>
      </c>
      <c r="W522" t="e">
        <f t="shared" si="482"/>
        <v>#N/A</v>
      </c>
      <c r="X522" t="e">
        <f t="shared" si="483"/>
        <v>#N/A</v>
      </c>
      <c r="Y522">
        <f>IF('חד גזעי'!$AM$2 = "לא",0,IF(F522&gt;9,W522,0))</f>
        <v>0</v>
      </c>
      <c r="Z522">
        <f>IF('חד גזעי'!$AM$7 = "לא",0,IF(C522 = "זית אירופי",IF('חד גזעי'!$AN$7 &lt;=סקר!F522,W522,0),IF(C522 = "חרוב מצוי",IF('חד גזעי'!$AN$7 &lt;=סקר!F522,W522,0),0)))</f>
        <v>0</v>
      </c>
      <c r="AB522">
        <f t="shared" si="544"/>
        <v>1</v>
      </c>
      <c r="AC522" s="72"/>
      <c r="AD522" t="e">
        <f t="shared" si="562"/>
        <v>#N/A</v>
      </c>
      <c r="AE522" s="72"/>
      <c r="AF522" s="72" t="e">
        <f t="shared" si="545"/>
        <v>#N/A</v>
      </c>
      <c r="AG522" s="72" t="e">
        <f>IF('חד גזעי'!$AM$5="לא",(VLOOKUP(C522,'חד גזעי'!$P$1:$S$589,3,FALSE)),(VLOOKUP(C522,'חד גזעי'!$P$1:$S$589,4,FALSE)))</f>
        <v>#N/A</v>
      </c>
      <c r="AH522" s="72">
        <f t="shared" si="546"/>
        <v>0</v>
      </c>
      <c r="AI522" s="72">
        <f t="shared" si="547"/>
        <v>0</v>
      </c>
      <c r="AJ522" s="72">
        <f t="shared" si="548"/>
        <v>0</v>
      </c>
      <c r="AK522" s="72" t="e">
        <f t="shared" si="549"/>
        <v>#N/A</v>
      </c>
      <c r="AL522" t="e">
        <f>VLOOKUP(C522,'חד גזעי'!$AH$8:$AI$33,2,FALSE)</f>
        <v>#N/A</v>
      </c>
      <c r="AM522" s="72" t="b">
        <f t="shared" si="550"/>
        <v>0</v>
      </c>
      <c r="AN522" s="72" t="b">
        <f t="shared" si="551"/>
        <v>0</v>
      </c>
      <c r="AO522" s="72" t="b">
        <f t="shared" si="552"/>
        <v>0</v>
      </c>
      <c r="AS522" s="72">
        <f t="shared" si="553"/>
        <v>0</v>
      </c>
      <c r="AT522" s="72">
        <f t="shared" si="554"/>
        <v>0</v>
      </c>
      <c r="AU522" s="72">
        <f t="shared" si="563"/>
        <v>0</v>
      </c>
      <c r="AV522" s="72">
        <f t="shared" si="555"/>
        <v>0</v>
      </c>
      <c r="AW522" s="72">
        <f t="shared" si="556"/>
        <v>0</v>
      </c>
      <c r="AX522" s="72">
        <f t="shared" si="557"/>
        <v>0</v>
      </c>
      <c r="AY522" s="72">
        <f t="shared" si="558"/>
        <v>0</v>
      </c>
      <c r="AZ522" s="72">
        <f t="shared" si="559"/>
        <v>0</v>
      </c>
      <c r="BA522" s="72" t="e">
        <f t="shared" si="560"/>
        <v>#N/A</v>
      </c>
      <c r="BB522" s="72" t="e">
        <f t="shared" si="561"/>
        <v>#N/A</v>
      </c>
      <c r="BC522" s="77"/>
      <c r="BE522">
        <f t="shared" si="541"/>
        <v>0</v>
      </c>
      <c r="BF522" s="196"/>
      <c r="BG522" s="196"/>
      <c r="BH522" s="196"/>
      <c r="BI522" s="196"/>
      <c r="BJ522" s="196"/>
      <c r="BK522" s="196"/>
    </row>
    <row r="523" spans="2:63" hidden="1">
      <c r="B523" s="72"/>
      <c r="C523" s="135"/>
      <c r="D523" s="78"/>
      <c r="E523" s="78"/>
      <c r="F523" s="72"/>
      <c r="G523" s="72"/>
      <c r="H523" s="72"/>
      <c r="I523" s="73">
        <f t="shared" si="543"/>
        <v>0</v>
      </c>
      <c r="J523" s="78"/>
      <c r="K523" s="73"/>
      <c r="L523" s="74" t="e">
        <f>_xlfn.IFNA(VLOOKUP(C523,'חד גזעי'!$U$3:$V$509,2,0),VLOOKUP(C523,'חד גזעי'!$U$3:$V$509,2))</f>
        <v>#N/A</v>
      </c>
      <c r="M523" s="73"/>
      <c r="N523" s="72" t="e">
        <f>_xlfn.IFNA(IF(VLOOKUP(C523,'חד גזעי'!$AH$2:$AH$7,1,FALSE)&gt;0,0,IF('חד גזעי'!$AM$5="כן",IF(_xlfn.IFNA(VLOOKUP(C523,'חד גזעי'!$AH$2:$AH$33,1,FALSE),SUM(J523:M523))&lt;21,_xlfn.IFNA(VLOOKUP(C523,'חד גזעי'!$AH$2:$AH$33,1,FALSE),SUM(J523:M523)),0),SUM(J523:M523))),IF('חד גזעי'!$AM$5="כן",IF(_xlfn.IFNA(VLOOKUP(C523,'חד גזעי'!$AH$2:$AH$33,1,FALSE),SUM(J523:M523))&lt;21,_xlfn.IFNA(VLOOKUP(C523,'חד גזעי'!$AH$2:$AH$33,1,FALSE),SUM(J523:M523)),0),SUM(J523:M523)))</f>
        <v>#N/A</v>
      </c>
      <c r="O523" s="72">
        <f>IF('חד גזעי'!$AM$3 = "כן",IF(T523&gt;4,4,T523),T523)</f>
        <v>0</v>
      </c>
      <c r="P523" s="80">
        <f>IF(E523&lt;2,0,IF(Z523&gt;0,Z523,IF(N523 = 0,0,IF('חד גזעי'!$AM$2 = "לא",IF(F523&gt;19,W523,0),IF(F523&gt;9,Y523,0)))))</f>
        <v>0</v>
      </c>
      <c r="Q523" s="77"/>
      <c r="R523" s="75"/>
      <c r="S523" t="e">
        <f>VLOOKUP(C523,'חד גזעי'!$Y$4:$Y$18,1,0)</f>
        <v>#N/A</v>
      </c>
      <c r="T523" s="72">
        <f>IF('חד גזעי'!$AM$6="לא",IF(P523=0,IF(BC523="שימור",IF('חד גזעי'!$AM$4="לא",IF(BC523="לא בוגר",0,IF(BC523="לא קיים",0,IF(J523=0,0,I523*0.1))),IF(BC523="לא בוגר",0,IF(BC523="לא קיים",0,IF(AB523=1,I523*0.1,E523*0.5)))),0),IF('חד גזעי'!$AM$4="לא",IF(BC523="לא בוגר",0,IF(BC523="לא קיים",0,IF(J523=0,0,I523*0.1))),IF(BC523="לא בוגר",0,IF(BC523="לא קיים",0,IF(AB523=1,I523*0.1,E523*0.5))))),IF(P523=0,IF(BC523="שימור",IF('חד גזעי'!$AM$4="לא",IF(BC523="לא בוגר",0,IF(BC523="לא קיים",0,IF(J523=0,0,I523*0.15))),IF(BC523="לא בוגר",0,IF(BC523="לא קיים",0,IF(AB523=1,I523*0.15,E523*0.5)))),0),IF('חד גזעי'!$AM$4="לא",IF(BC523="לא בוגר",0,IF(BC523="לא קיים",0,IF(J523=0,0,I523*0.15))),IF(BC523="לא בוגר",0,IF(BC523="לא קיים",0,IF(AB523=1,I523*0.15,E523*0.5))))))</f>
        <v>0</v>
      </c>
      <c r="V523" t="e">
        <f t="shared" si="481"/>
        <v>#N/A</v>
      </c>
      <c r="W523" t="e">
        <f t="shared" si="482"/>
        <v>#N/A</v>
      </c>
      <c r="X523" t="e">
        <f t="shared" si="483"/>
        <v>#N/A</v>
      </c>
      <c r="Y523">
        <f>IF('חד גזעי'!$AM$2 = "לא",0,IF(F523&gt;9,W523,0))</f>
        <v>0</v>
      </c>
      <c r="Z523">
        <f>IF('חד גזעי'!$AM$7 = "לא",0,IF(C523 = "זית אירופי",IF('חד גזעי'!$AN$7 &lt;=סקר!F523,W523,0),IF(C523 = "חרוב מצוי",IF('חד גזעי'!$AN$7 &lt;=סקר!F523,W523,0),0)))</f>
        <v>0</v>
      </c>
      <c r="AB523">
        <f t="shared" si="544"/>
        <v>1</v>
      </c>
      <c r="AC523" s="72"/>
      <c r="AD523" t="e">
        <f t="shared" si="562"/>
        <v>#N/A</v>
      </c>
      <c r="AE523" s="72"/>
      <c r="AF523" s="72" t="e">
        <f t="shared" si="545"/>
        <v>#N/A</v>
      </c>
      <c r="AG523" s="72" t="e">
        <f>IF('חד גזעי'!$AM$5="לא",(VLOOKUP(C523,'חד גזעי'!$P$1:$S$589,3,FALSE)),(VLOOKUP(C523,'חד גזעי'!$P$1:$S$589,4,FALSE)))</f>
        <v>#N/A</v>
      </c>
      <c r="AH523" s="72">
        <f t="shared" si="546"/>
        <v>0</v>
      </c>
      <c r="AI523" s="72">
        <f t="shared" si="547"/>
        <v>0</v>
      </c>
      <c r="AJ523" s="72">
        <f t="shared" si="548"/>
        <v>0</v>
      </c>
      <c r="AK523" s="72" t="e">
        <f t="shared" si="549"/>
        <v>#N/A</v>
      </c>
      <c r="AL523" t="e">
        <f>VLOOKUP(C523,'חד גזעי'!$AH$8:$AI$33,2,FALSE)</f>
        <v>#N/A</v>
      </c>
      <c r="AM523" s="72" t="b">
        <f t="shared" si="550"/>
        <v>0</v>
      </c>
      <c r="AN523" s="72" t="b">
        <f t="shared" si="551"/>
        <v>0</v>
      </c>
      <c r="AO523" s="72" t="b">
        <f t="shared" si="552"/>
        <v>0</v>
      </c>
      <c r="AS523" s="72">
        <f t="shared" si="553"/>
        <v>0</v>
      </c>
      <c r="AT523" s="72">
        <f t="shared" si="554"/>
        <v>0</v>
      </c>
      <c r="AU523" s="72">
        <f t="shared" si="563"/>
        <v>0</v>
      </c>
      <c r="AV523" s="72">
        <f t="shared" si="555"/>
        <v>0</v>
      </c>
      <c r="AW523" s="72">
        <f t="shared" si="556"/>
        <v>0</v>
      </c>
      <c r="AX523" s="72">
        <f t="shared" si="557"/>
        <v>0</v>
      </c>
      <c r="AY523" s="72">
        <f t="shared" si="558"/>
        <v>0</v>
      </c>
      <c r="AZ523" s="72">
        <f t="shared" si="559"/>
        <v>0</v>
      </c>
      <c r="BA523" s="72" t="e">
        <f t="shared" si="560"/>
        <v>#N/A</v>
      </c>
      <c r="BB523" s="72" t="e">
        <f t="shared" si="561"/>
        <v>#N/A</v>
      </c>
      <c r="BC523" s="77"/>
      <c r="BE523">
        <f t="shared" si="541"/>
        <v>0</v>
      </c>
      <c r="BF523" s="196"/>
      <c r="BG523" s="196"/>
      <c r="BH523" s="196"/>
      <c r="BI523" s="196"/>
      <c r="BJ523" s="196"/>
      <c r="BK523" s="196"/>
    </row>
    <row r="524" spans="2:63" hidden="1">
      <c r="B524" s="72"/>
      <c r="C524" s="135"/>
      <c r="D524" s="78"/>
      <c r="E524" s="78"/>
      <c r="F524" s="72"/>
      <c r="G524" s="72"/>
      <c r="H524" s="72"/>
      <c r="I524" s="73">
        <f t="shared" si="543"/>
        <v>0</v>
      </c>
      <c r="J524" s="78"/>
      <c r="K524" s="73"/>
      <c r="L524" s="74" t="e">
        <f>_xlfn.IFNA(VLOOKUP(C524,'חד גזעי'!$U$3:$V$509,2,0),VLOOKUP(C524,'חד גזעי'!$U$3:$V$509,2))</f>
        <v>#N/A</v>
      </c>
      <c r="M524" s="73"/>
      <c r="N524" s="72" t="e">
        <f>_xlfn.IFNA(IF(VLOOKUP(C524,'חד גזעי'!$AH$2:$AH$7,1,FALSE)&gt;0,0,IF('חד גזעי'!$AM$5="כן",IF(_xlfn.IFNA(VLOOKUP(C524,'חד גזעי'!$AH$2:$AH$33,1,FALSE),SUM(J524:M524))&lt;21,_xlfn.IFNA(VLOOKUP(C524,'חד גזעי'!$AH$2:$AH$33,1,FALSE),SUM(J524:M524)),0),SUM(J524:M524))),IF('חד גזעי'!$AM$5="כן",IF(_xlfn.IFNA(VLOOKUP(C524,'חד גזעי'!$AH$2:$AH$33,1,FALSE),SUM(J524:M524))&lt;21,_xlfn.IFNA(VLOOKUP(C524,'חד גזעי'!$AH$2:$AH$33,1,FALSE),SUM(J524:M524)),0),SUM(J524:M524)))</f>
        <v>#N/A</v>
      </c>
      <c r="O524" s="72">
        <f>IF('חד גזעי'!$AM$3 = "כן",IF(T524&gt;4,4,T524),T524)</f>
        <v>0</v>
      </c>
      <c r="P524" s="80">
        <f>IF(E524&lt;2,0,IF(Z524&gt;0,Z524,IF(N524 = 0,0,IF('חד גזעי'!$AM$2 = "לא",IF(F524&gt;19,W524,0),IF(F524&gt;9,Y524,0)))))</f>
        <v>0</v>
      </c>
      <c r="Q524" s="77"/>
      <c r="R524" s="75"/>
      <c r="S524" t="e">
        <f>VLOOKUP(C524,'חד גזעי'!$Y$4:$Y$18,1,0)</f>
        <v>#N/A</v>
      </c>
      <c r="T524" s="72">
        <f>IF('חד גזעי'!$AM$6="לא",IF(P524=0,IF(BC524="שימור",IF('חד גזעי'!$AM$4="לא",IF(BC524="לא בוגר",0,IF(BC524="לא קיים",0,IF(J524=0,0,I524*0.1))),IF(BC524="לא בוגר",0,IF(BC524="לא קיים",0,IF(AB524=1,I524*0.1,E524*0.5)))),0),IF('חד גזעי'!$AM$4="לא",IF(BC524="לא בוגר",0,IF(BC524="לא קיים",0,IF(J524=0,0,I524*0.1))),IF(BC524="לא בוגר",0,IF(BC524="לא קיים",0,IF(AB524=1,I524*0.1,E524*0.5))))),IF(P524=0,IF(BC524="שימור",IF('חד גזעי'!$AM$4="לא",IF(BC524="לא בוגר",0,IF(BC524="לא קיים",0,IF(J524=0,0,I524*0.15))),IF(BC524="לא בוגר",0,IF(BC524="לא קיים",0,IF(AB524=1,I524*0.15,E524*0.5)))),0),IF('חד גזעי'!$AM$4="לא",IF(BC524="לא בוגר",0,IF(BC524="לא קיים",0,IF(J524=0,0,I524*0.15))),IF(BC524="לא בוגר",0,IF(BC524="לא קיים",0,IF(AB524=1,I524*0.15,E524*0.5))))))</f>
        <v>0</v>
      </c>
      <c r="V524" t="e">
        <f t="shared" ref="V524:V587" si="564">_xlfn.IFNA(AK524,AF524)</f>
        <v>#N/A</v>
      </c>
      <c r="W524" t="e">
        <f t="shared" ref="W524:W587" si="565">IF(D524=0,V524,D524*V524)</f>
        <v>#N/A</v>
      </c>
      <c r="X524" t="e">
        <f t="shared" ref="X524:X587" si="566">IF(N524 = 0,0,Y524)</f>
        <v>#N/A</v>
      </c>
      <c r="Y524">
        <f>IF('חד גזעי'!$AM$2 = "לא",0,IF(F524&gt;9,W524,0))</f>
        <v>0</v>
      </c>
      <c r="Z524">
        <f>IF('חד גזעי'!$AM$7 = "לא",0,IF(C524 = "זית אירופי",IF('חד גזעי'!$AN$7 &lt;=סקר!F524,W524,0),IF(C524 = "חרוב מצוי",IF('חד גזעי'!$AN$7 &lt;=סקר!F524,W524,0),0)))</f>
        <v>0</v>
      </c>
      <c r="AB524">
        <f t="shared" si="544"/>
        <v>1</v>
      </c>
      <c r="AC524" s="72"/>
      <c r="AD524" t="e">
        <f t="shared" si="562"/>
        <v>#N/A</v>
      </c>
      <c r="AE524" s="72"/>
      <c r="AF524" s="72" t="e">
        <f t="shared" si="545"/>
        <v>#N/A</v>
      </c>
      <c r="AG524" s="72" t="e">
        <f>IF('חד גזעי'!$AM$5="לא",(VLOOKUP(C524,'חד גזעי'!$P$1:$S$589,3,FALSE)),(VLOOKUP(C524,'חד גזעי'!$P$1:$S$589,4,FALSE)))</f>
        <v>#N/A</v>
      </c>
      <c r="AH524" s="72">
        <f t="shared" si="546"/>
        <v>0</v>
      </c>
      <c r="AI524" s="72">
        <f t="shared" si="547"/>
        <v>0</v>
      </c>
      <c r="AJ524" s="72">
        <f t="shared" si="548"/>
        <v>0</v>
      </c>
      <c r="AK524" s="72" t="e">
        <f t="shared" si="549"/>
        <v>#N/A</v>
      </c>
      <c r="AL524" t="e">
        <f>VLOOKUP(C524,'חד גזעי'!$AH$8:$AI$33,2,FALSE)</f>
        <v>#N/A</v>
      </c>
      <c r="AM524" s="72" t="b">
        <f t="shared" si="550"/>
        <v>0</v>
      </c>
      <c r="AN524" s="72" t="b">
        <f t="shared" si="551"/>
        <v>0</v>
      </c>
      <c r="AO524" s="72" t="b">
        <f t="shared" si="552"/>
        <v>0</v>
      </c>
      <c r="AS524" s="72">
        <f t="shared" si="553"/>
        <v>0</v>
      </c>
      <c r="AT524" s="72">
        <f t="shared" si="554"/>
        <v>0</v>
      </c>
      <c r="AU524" s="72">
        <f t="shared" si="563"/>
        <v>0</v>
      </c>
      <c r="AV524" s="72">
        <f t="shared" si="555"/>
        <v>0</v>
      </c>
      <c r="AW524" s="72">
        <f t="shared" si="556"/>
        <v>0</v>
      </c>
      <c r="AX524" s="72">
        <f t="shared" si="557"/>
        <v>0</v>
      </c>
      <c r="AY524" s="72">
        <f t="shared" si="558"/>
        <v>0</v>
      </c>
      <c r="AZ524" s="72">
        <f t="shared" si="559"/>
        <v>0</v>
      </c>
      <c r="BA524" s="72" t="e">
        <f t="shared" si="560"/>
        <v>#N/A</v>
      </c>
      <c r="BB524" s="72" t="e">
        <f t="shared" si="561"/>
        <v>#N/A</v>
      </c>
      <c r="BC524" s="77"/>
      <c r="BE524">
        <f t="shared" si="541"/>
        <v>0</v>
      </c>
      <c r="BF524" s="196"/>
      <c r="BG524" s="196"/>
      <c r="BH524" s="196"/>
      <c r="BI524" s="196"/>
      <c r="BJ524" s="196"/>
      <c r="BK524" s="196"/>
    </row>
    <row r="525" spans="2:63" hidden="1">
      <c r="B525" s="72"/>
      <c r="C525" s="135"/>
      <c r="D525" s="78"/>
      <c r="E525" s="78"/>
      <c r="F525" s="72"/>
      <c r="G525" s="72"/>
      <c r="H525" s="72"/>
      <c r="I525" s="73">
        <f t="shared" si="543"/>
        <v>0</v>
      </c>
      <c r="J525" s="78"/>
      <c r="K525" s="73"/>
      <c r="L525" s="74" t="e">
        <f>_xlfn.IFNA(VLOOKUP(C525,'חד גזעי'!$U$3:$V$509,2,0),VLOOKUP(C525,'חד גזעי'!$U$3:$V$509,2))</f>
        <v>#N/A</v>
      </c>
      <c r="M525" s="73"/>
      <c r="N525" s="72" t="e">
        <f>_xlfn.IFNA(IF(VLOOKUP(C525,'חד גזעי'!$AH$2:$AH$7,1,FALSE)&gt;0,0,IF('חד גזעי'!$AM$5="כן",IF(_xlfn.IFNA(VLOOKUP(C525,'חד גזעי'!$AH$2:$AH$33,1,FALSE),SUM(J525:M525))&lt;21,_xlfn.IFNA(VLOOKUP(C525,'חד גזעי'!$AH$2:$AH$33,1,FALSE),SUM(J525:M525)),0),SUM(J525:M525))),IF('חד גזעי'!$AM$5="כן",IF(_xlfn.IFNA(VLOOKUP(C525,'חד גזעי'!$AH$2:$AH$33,1,FALSE),SUM(J525:M525))&lt;21,_xlfn.IFNA(VLOOKUP(C525,'חד גזעי'!$AH$2:$AH$33,1,FALSE),SUM(J525:M525)),0),SUM(J525:M525)))</f>
        <v>#N/A</v>
      </c>
      <c r="O525" s="72">
        <f>IF('חד גזעי'!$AM$3 = "כן",IF(T525&gt;4,4,T525),T525)</f>
        <v>0</v>
      </c>
      <c r="P525" s="80">
        <f>IF(E525&lt;2,0,IF(Z525&gt;0,Z525,IF(N525 = 0,0,IF('חד גזעי'!$AM$2 = "לא",IF(F525&gt;19,W525,0),IF(F525&gt;9,Y525,0)))))</f>
        <v>0</v>
      </c>
      <c r="Q525" s="77"/>
      <c r="R525" s="75"/>
      <c r="S525" t="e">
        <f>VLOOKUP(C525,'חד גזעי'!$Y$4:$Y$18,1,0)</f>
        <v>#N/A</v>
      </c>
      <c r="T525" s="72">
        <f>IF('חד גזעי'!$AM$6="לא",IF(P525=0,IF(BC525="שימור",IF('חד גזעי'!$AM$4="לא",IF(BC525="לא בוגר",0,IF(BC525="לא קיים",0,IF(J525=0,0,I525*0.1))),IF(BC525="לא בוגר",0,IF(BC525="לא קיים",0,IF(AB525=1,I525*0.1,E525*0.5)))),0),IF('חד גזעי'!$AM$4="לא",IF(BC525="לא בוגר",0,IF(BC525="לא קיים",0,IF(J525=0,0,I525*0.1))),IF(BC525="לא בוגר",0,IF(BC525="לא קיים",0,IF(AB525=1,I525*0.1,E525*0.5))))),IF(P525=0,IF(BC525="שימור",IF('חד גזעי'!$AM$4="לא",IF(BC525="לא בוגר",0,IF(BC525="לא קיים",0,IF(J525=0,0,I525*0.15))),IF(BC525="לא בוגר",0,IF(BC525="לא קיים",0,IF(AB525=1,I525*0.15,E525*0.5)))),0),IF('חד גזעי'!$AM$4="לא",IF(BC525="לא בוגר",0,IF(BC525="לא קיים",0,IF(J525=0,0,I525*0.15))),IF(BC525="לא בוגר",0,IF(BC525="לא קיים",0,IF(AB525=1,I525*0.15,E525*0.5))))))</f>
        <v>0</v>
      </c>
      <c r="V525" t="e">
        <f t="shared" si="564"/>
        <v>#N/A</v>
      </c>
      <c r="W525" t="e">
        <f t="shared" si="565"/>
        <v>#N/A</v>
      </c>
      <c r="X525" t="e">
        <f t="shared" si="566"/>
        <v>#N/A</v>
      </c>
      <c r="Y525">
        <f>IF('חד גזעי'!$AM$2 = "לא",0,IF(F525&gt;9,W525,0))</f>
        <v>0</v>
      </c>
      <c r="Z525">
        <f>IF('חד גזעי'!$AM$7 = "לא",0,IF(C525 = "זית אירופי",IF('חד גזעי'!$AN$7 &lt;=סקר!F525,W525,0),IF(C525 = "חרוב מצוי",IF('חד גזעי'!$AN$7 &lt;=סקר!F525,W525,0),0)))</f>
        <v>0</v>
      </c>
      <c r="AB525">
        <f t="shared" si="544"/>
        <v>1</v>
      </c>
      <c r="AC525" s="72"/>
      <c r="AD525" t="e">
        <f t="shared" si="562"/>
        <v>#N/A</v>
      </c>
      <c r="AE525" s="72"/>
      <c r="AF525" s="72" t="e">
        <f t="shared" si="545"/>
        <v>#N/A</v>
      </c>
      <c r="AG525" s="72" t="e">
        <f>IF('חד גזעי'!$AM$5="לא",(VLOOKUP(C525,'חד גזעי'!$P$1:$S$589,3,FALSE)),(VLOOKUP(C525,'חד גזעי'!$P$1:$S$589,4,FALSE)))</f>
        <v>#N/A</v>
      </c>
      <c r="AH525" s="72">
        <f t="shared" si="546"/>
        <v>0</v>
      </c>
      <c r="AI525" s="72">
        <f t="shared" si="547"/>
        <v>0</v>
      </c>
      <c r="AJ525" s="72">
        <f t="shared" si="548"/>
        <v>0</v>
      </c>
      <c r="AK525" s="72" t="e">
        <f t="shared" si="549"/>
        <v>#N/A</v>
      </c>
      <c r="AL525" t="e">
        <f>VLOOKUP(C525,'חד גזעי'!$AH$8:$AI$33,2,FALSE)</f>
        <v>#N/A</v>
      </c>
      <c r="AM525" s="72" t="b">
        <f t="shared" si="550"/>
        <v>0</v>
      </c>
      <c r="AN525" s="72" t="b">
        <f t="shared" si="551"/>
        <v>0</v>
      </c>
      <c r="AO525" s="72" t="b">
        <f t="shared" si="552"/>
        <v>0</v>
      </c>
      <c r="AS525" s="72">
        <f t="shared" si="553"/>
        <v>0</v>
      </c>
      <c r="AT525" s="72">
        <f t="shared" si="554"/>
        <v>0</v>
      </c>
      <c r="AU525" s="72">
        <f t="shared" si="563"/>
        <v>0</v>
      </c>
      <c r="AV525" s="72">
        <f t="shared" si="555"/>
        <v>0</v>
      </c>
      <c r="AW525" s="72">
        <f t="shared" si="556"/>
        <v>0</v>
      </c>
      <c r="AX525" s="72">
        <f t="shared" si="557"/>
        <v>0</v>
      </c>
      <c r="AY525" s="72">
        <f t="shared" si="558"/>
        <v>0</v>
      </c>
      <c r="AZ525" s="72">
        <f t="shared" si="559"/>
        <v>0</v>
      </c>
      <c r="BA525" s="72" t="e">
        <f t="shared" si="560"/>
        <v>#N/A</v>
      </c>
      <c r="BB525" s="72" t="e">
        <f t="shared" si="561"/>
        <v>#N/A</v>
      </c>
      <c r="BC525" s="77"/>
      <c r="BE525">
        <f t="shared" si="541"/>
        <v>0</v>
      </c>
      <c r="BF525" s="196"/>
      <c r="BG525" s="196"/>
      <c r="BH525" s="196"/>
      <c r="BI525" s="196"/>
      <c r="BJ525" s="196"/>
      <c r="BK525" s="196"/>
    </row>
    <row r="526" spans="2:63" hidden="1">
      <c r="B526" s="72"/>
      <c r="C526" s="135"/>
      <c r="D526" s="78"/>
      <c r="E526" s="78"/>
      <c r="F526" s="72"/>
      <c r="G526" s="72"/>
      <c r="H526" s="72"/>
      <c r="I526" s="73">
        <f t="shared" si="543"/>
        <v>0</v>
      </c>
      <c r="J526" s="78"/>
      <c r="K526" s="73"/>
      <c r="L526" s="74" t="e">
        <f>_xlfn.IFNA(VLOOKUP(C526,'חד גזעי'!$U$3:$V$509,2,0),VLOOKUP(C526,'חד גזעי'!$U$3:$V$509,2))</f>
        <v>#N/A</v>
      </c>
      <c r="M526" s="73"/>
      <c r="N526" s="72" t="e">
        <f>_xlfn.IFNA(IF(VLOOKUP(C526,'חד גזעי'!$AH$2:$AH$7,1,FALSE)&gt;0,0,IF('חד גזעי'!$AM$5="כן",IF(_xlfn.IFNA(VLOOKUP(C526,'חד גזעי'!$AH$2:$AH$33,1,FALSE),SUM(J526:M526))&lt;21,_xlfn.IFNA(VLOOKUP(C526,'חד גזעי'!$AH$2:$AH$33,1,FALSE),SUM(J526:M526)),0),SUM(J526:M526))),IF('חד גזעי'!$AM$5="כן",IF(_xlfn.IFNA(VLOOKUP(C526,'חד גזעי'!$AH$2:$AH$33,1,FALSE),SUM(J526:M526))&lt;21,_xlfn.IFNA(VLOOKUP(C526,'חד גזעי'!$AH$2:$AH$33,1,FALSE),SUM(J526:M526)),0),SUM(J526:M526)))</f>
        <v>#N/A</v>
      </c>
      <c r="O526" s="72">
        <f>IF('חד גזעי'!$AM$3 = "כן",IF(T526&gt;4,4,T526),T526)</f>
        <v>0</v>
      </c>
      <c r="P526" s="80">
        <f>IF(E526&lt;2,0,IF(Z526&gt;0,Z526,IF(N526 = 0,0,IF('חד גזעי'!$AM$2 = "לא",IF(F526&gt;19,W526,0),IF(F526&gt;9,Y526,0)))))</f>
        <v>0</v>
      </c>
      <c r="Q526" s="77"/>
      <c r="R526" s="76"/>
      <c r="S526" t="e">
        <f>VLOOKUP(C526,'חד גזעי'!$Y$4:$Y$18,1,0)</f>
        <v>#N/A</v>
      </c>
      <c r="T526" s="72">
        <f>IF('חד גזעי'!$AM$6="לא",IF(P526=0,IF(BC526="שימור",IF('חד גזעי'!$AM$4="לא",IF(BC526="לא בוגר",0,IF(BC526="לא קיים",0,IF(J526=0,0,I526*0.1))),IF(BC526="לא בוגר",0,IF(BC526="לא קיים",0,IF(AB526=1,I526*0.1,E526*0.5)))),0),IF('חד גזעי'!$AM$4="לא",IF(BC526="לא בוגר",0,IF(BC526="לא קיים",0,IF(J526=0,0,I526*0.1))),IF(BC526="לא בוגר",0,IF(BC526="לא קיים",0,IF(AB526=1,I526*0.1,E526*0.5))))),IF(P526=0,IF(BC526="שימור",IF('חד גזעי'!$AM$4="לא",IF(BC526="לא בוגר",0,IF(BC526="לא קיים",0,IF(J526=0,0,I526*0.15))),IF(BC526="לא בוגר",0,IF(BC526="לא קיים",0,IF(AB526=1,I526*0.15,E526*0.5)))),0),IF('חד גזעי'!$AM$4="לא",IF(BC526="לא בוגר",0,IF(BC526="לא קיים",0,IF(J526=0,0,I526*0.15))),IF(BC526="לא בוגר",0,IF(BC526="לא קיים",0,IF(AB526=1,I526*0.15,E526*0.5))))))</f>
        <v>0</v>
      </c>
      <c r="V526" t="e">
        <f t="shared" si="564"/>
        <v>#N/A</v>
      </c>
      <c r="W526" t="e">
        <f t="shared" si="565"/>
        <v>#N/A</v>
      </c>
      <c r="X526" t="e">
        <f t="shared" si="566"/>
        <v>#N/A</v>
      </c>
      <c r="Y526">
        <f>IF('חד גזעי'!$AM$2 = "לא",0,IF(F526&gt;9,W526,0))</f>
        <v>0</v>
      </c>
      <c r="Z526">
        <f>IF('חד גזעי'!$AM$7 = "לא",0,IF(C526 = "זית אירופי",IF('חד גזעי'!$AN$7 &lt;=סקר!F526,W526,0),IF(C526 = "חרוב מצוי",IF('חד גזעי'!$AN$7 &lt;=סקר!F526,W526,0),0)))</f>
        <v>0</v>
      </c>
      <c r="AB526">
        <f t="shared" si="544"/>
        <v>1</v>
      </c>
      <c r="AC526" s="72"/>
      <c r="AD526" t="e">
        <f t="shared" si="562"/>
        <v>#N/A</v>
      </c>
      <c r="AE526" s="72"/>
      <c r="AF526" s="72" t="e">
        <f t="shared" si="545"/>
        <v>#N/A</v>
      </c>
      <c r="AG526" s="72" t="e">
        <f>IF('חד גזעי'!$AM$5="לא",(VLOOKUP(C526,'חד גזעי'!$P$1:$S$589,3,FALSE)),(VLOOKUP(C526,'חד גזעי'!$P$1:$S$589,4,FALSE)))</f>
        <v>#N/A</v>
      </c>
      <c r="AH526" s="72">
        <f t="shared" si="546"/>
        <v>0</v>
      </c>
      <c r="AI526" s="72">
        <f t="shared" si="547"/>
        <v>0</v>
      </c>
      <c r="AJ526" s="72">
        <f t="shared" si="548"/>
        <v>0</v>
      </c>
      <c r="AK526" s="72" t="e">
        <f t="shared" si="549"/>
        <v>#N/A</v>
      </c>
      <c r="AL526" t="e">
        <f>VLOOKUP(C526,'חד גזעי'!$AH$8:$AI$33,2,FALSE)</f>
        <v>#N/A</v>
      </c>
      <c r="AM526" s="72" t="b">
        <f t="shared" si="550"/>
        <v>0</v>
      </c>
      <c r="AN526" s="72" t="b">
        <f t="shared" si="551"/>
        <v>0</v>
      </c>
      <c r="AO526" s="72" t="b">
        <f t="shared" si="552"/>
        <v>0</v>
      </c>
      <c r="AS526" s="72">
        <f t="shared" si="553"/>
        <v>0</v>
      </c>
      <c r="AT526" s="72">
        <f t="shared" si="554"/>
        <v>0</v>
      </c>
      <c r="AU526" s="72">
        <f t="shared" si="563"/>
        <v>0</v>
      </c>
      <c r="AV526" s="72">
        <f t="shared" si="555"/>
        <v>0</v>
      </c>
      <c r="AW526" s="72">
        <f t="shared" si="556"/>
        <v>0</v>
      </c>
      <c r="AX526" s="72">
        <f t="shared" si="557"/>
        <v>0</v>
      </c>
      <c r="AY526" s="72">
        <f t="shared" si="558"/>
        <v>0</v>
      </c>
      <c r="AZ526" s="72">
        <f t="shared" si="559"/>
        <v>0</v>
      </c>
      <c r="BA526" s="72" t="e">
        <f t="shared" si="560"/>
        <v>#N/A</v>
      </c>
      <c r="BB526" s="72" t="e">
        <f t="shared" si="561"/>
        <v>#N/A</v>
      </c>
      <c r="BC526" s="77"/>
      <c r="BE526">
        <f t="shared" si="541"/>
        <v>0</v>
      </c>
      <c r="BF526" s="196"/>
      <c r="BG526" s="196"/>
      <c r="BH526" s="196"/>
      <c r="BI526" s="196"/>
      <c r="BJ526" s="196"/>
      <c r="BK526" s="196"/>
    </row>
    <row r="527" spans="2:63" hidden="1">
      <c r="B527" s="72"/>
      <c r="C527" s="135"/>
      <c r="D527" s="78"/>
      <c r="E527" s="78"/>
      <c r="F527" s="72"/>
      <c r="G527" s="72"/>
      <c r="H527" s="72"/>
      <c r="I527" s="73">
        <f t="shared" si="543"/>
        <v>0</v>
      </c>
      <c r="J527" s="78"/>
      <c r="K527" s="73"/>
      <c r="L527" s="74" t="e">
        <f>_xlfn.IFNA(VLOOKUP(C527,'חד גזעי'!$U$3:$V$509,2,0),VLOOKUP(C527,'חד גזעי'!$U$3:$V$509,2))</f>
        <v>#N/A</v>
      </c>
      <c r="M527" s="73"/>
      <c r="N527" s="72" t="e">
        <f>_xlfn.IFNA(IF(VLOOKUP(C527,'חד גזעי'!$AH$2:$AH$7,1,FALSE)&gt;0,0,IF('חד גזעי'!$AM$5="כן",IF(_xlfn.IFNA(VLOOKUP(C527,'חד גזעי'!$AH$2:$AH$33,1,FALSE),SUM(J527:M527))&lt;21,_xlfn.IFNA(VLOOKUP(C527,'חד גזעי'!$AH$2:$AH$33,1,FALSE),SUM(J527:M527)),0),SUM(J527:M527))),IF('חד גזעי'!$AM$5="כן",IF(_xlfn.IFNA(VLOOKUP(C527,'חד גזעי'!$AH$2:$AH$33,1,FALSE),SUM(J527:M527))&lt;21,_xlfn.IFNA(VLOOKUP(C527,'חד גזעי'!$AH$2:$AH$33,1,FALSE),SUM(J527:M527)),0),SUM(J527:M527)))</f>
        <v>#N/A</v>
      </c>
      <c r="O527" s="72">
        <f>IF('חד גזעי'!$AM$3 = "כן",IF(T527&gt;4,4,T527),T527)</f>
        <v>0</v>
      </c>
      <c r="P527" s="80">
        <f>IF(E527&lt;2,0,IF(Z527&gt;0,Z527,IF(N527 = 0,0,IF('חד גזעי'!$AM$2 = "לא",IF(F527&gt;19,W527,0),IF(F527&gt;9,Y527,0)))))</f>
        <v>0</v>
      </c>
      <c r="Q527" s="77"/>
      <c r="R527" s="76"/>
      <c r="S527" t="e">
        <f>VLOOKUP(C527,'חד גזעי'!$Y$4:$Y$18,1,0)</f>
        <v>#N/A</v>
      </c>
      <c r="T527" s="72">
        <f>IF('חד גזעי'!$AM$6="לא",IF(P527=0,IF(BC527="שימור",IF('חד גזעי'!$AM$4="לא",IF(BC527="לא בוגר",0,IF(BC527="לא קיים",0,IF(J527=0,0,I527*0.1))),IF(BC527="לא בוגר",0,IF(BC527="לא קיים",0,IF(AB527=1,I527*0.1,E527*0.5)))),0),IF('חד גזעי'!$AM$4="לא",IF(BC527="לא בוגר",0,IF(BC527="לא קיים",0,IF(J527=0,0,I527*0.1))),IF(BC527="לא בוגר",0,IF(BC527="לא קיים",0,IF(AB527=1,I527*0.1,E527*0.5))))),IF(P527=0,IF(BC527="שימור",IF('חד גזעי'!$AM$4="לא",IF(BC527="לא בוגר",0,IF(BC527="לא קיים",0,IF(J527=0,0,I527*0.15))),IF(BC527="לא בוגר",0,IF(BC527="לא קיים",0,IF(AB527=1,I527*0.15,E527*0.5)))),0),IF('חד גזעי'!$AM$4="לא",IF(BC527="לא בוגר",0,IF(BC527="לא קיים",0,IF(J527=0,0,I527*0.15))),IF(BC527="לא בוגר",0,IF(BC527="לא קיים",0,IF(AB527=1,I527*0.15,E527*0.5))))))</f>
        <v>0</v>
      </c>
      <c r="V527" t="e">
        <f t="shared" si="564"/>
        <v>#N/A</v>
      </c>
      <c r="W527" t="e">
        <f t="shared" si="565"/>
        <v>#N/A</v>
      </c>
      <c r="X527" t="e">
        <f t="shared" si="566"/>
        <v>#N/A</v>
      </c>
      <c r="Y527">
        <f>IF('חד גזעי'!$AM$2 = "לא",0,IF(F527&gt;9,W527,0))</f>
        <v>0</v>
      </c>
      <c r="Z527">
        <f>IF('חד גזעי'!$AM$7 = "לא",0,IF(C527 = "זית אירופי",IF('חד גזעי'!$AN$7 &lt;=סקר!F527,W527,0),IF(C527 = "חרוב מצוי",IF('חד גזעי'!$AN$7 &lt;=סקר!F527,W527,0),0)))</f>
        <v>0</v>
      </c>
      <c r="AB527">
        <f t="shared" si="544"/>
        <v>1</v>
      </c>
      <c r="AC527" s="72"/>
      <c r="AD527" t="e">
        <f t="shared" si="562"/>
        <v>#N/A</v>
      </c>
      <c r="AE527" s="72"/>
      <c r="AF527" s="72" t="e">
        <f t="shared" si="545"/>
        <v>#N/A</v>
      </c>
      <c r="AG527" s="72" t="e">
        <f>IF('חד גזעי'!$AM$5="לא",(VLOOKUP(C527,'חד גזעי'!$P$1:$S$589,3,FALSE)),(VLOOKUP(C527,'חד גזעי'!$P$1:$S$589,4,FALSE)))</f>
        <v>#N/A</v>
      </c>
      <c r="AH527" s="72">
        <f t="shared" si="546"/>
        <v>0</v>
      </c>
      <c r="AI527" s="72">
        <f t="shared" si="547"/>
        <v>0</v>
      </c>
      <c r="AJ527" s="72">
        <f t="shared" si="548"/>
        <v>0</v>
      </c>
      <c r="AK527" s="72" t="e">
        <f t="shared" si="549"/>
        <v>#N/A</v>
      </c>
      <c r="AL527" t="e">
        <f>VLOOKUP(C527,'חד גזעי'!$AH$8:$AI$33,2,FALSE)</f>
        <v>#N/A</v>
      </c>
      <c r="AM527" s="72" t="b">
        <f t="shared" si="550"/>
        <v>0</v>
      </c>
      <c r="AN527" s="72" t="b">
        <f t="shared" si="551"/>
        <v>0</v>
      </c>
      <c r="AO527" s="72" t="b">
        <f t="shared" si="552"/>
        <v>0</v>
      </c>
      <c r="AS527" s="72">
        <f t="shared" si="553"/>
        <v>0</v>
      </c>
      <c r="AT527" s="72">
        <f t="shared" si="554"/>
        <v>0</v>
      </c>
      <c r="AU527" s="72">
        <f t="shared" si="563"/>
        <v>0</v>
      </c>
      <c r="AV527" s="72">
        <f t="shared" si="555"/>
        <v>0</v>
      </c>
      <c r="AW527" s="72">
        <f t="shared" si="556"/>
        <v>0</v>
      </c>
      <c r="AX527" s="72">
        <f t="shared" si="557"/>
        <v>0</v>
      </c>
      <c r="AY527" s="72">
        <f t="shared" si="558"/>
        <v>0</v>
      </c>
      <c r="AZ527" s="72">
        <f t="shared" si="559"/>
        <v>0</v>
      </c>
      <c r="BA527" s="72" t="e">
        <f t="shared" si="560"/>
        <v>#N/A</v>
      </c>
      <c r="BB527" s="72" t="e">
        <f t="shared" si="561"/>
        <v>#N/A</v>
      </c>
      <c r="BC527" s="77"/>
      <c r="BE527">
        <f t="shared" si="541"/>
        <v>0</v>
      </c>
      <c r="BF527" s="196"/>
      <c r="BG527" s="196"/>
      <c r="BH527" s="196"/>
      <c r="BI527" s="196"/>
      <c r="BJ527" s="196"/>
      <c r="BK527" s="196"/>
    </row>
    <row r="528" spans="2:63" hidden="1">
      <c r="B528" s="72"/>
      <c r="C528" s="135"/>
      <c r="D528" s="78"/>
      <c r="E528" s="78"/>
      <c r="F528" s="72"/>
      <c r="G528" s="72"/>
      <c r="H528" s="72"/>
      <c r="I528" s="73">
        <f t="shared" si="543"/>
        <v>0</v>
      </c>
      <c r="J528" s="78"/>
      <c r="K528" s="73"/>
      <c r="L528" s="74" t="e">
        <f>_xlfn.IFNA(VLOOKUP(C528,'חד גזעי'!$U$3:$V$509,2,0),VLOOKUP(C528,'חד גזעי'!$U$3:$V$509,2))</f>
        <v>#N/A</v>
      </c>
      <c r="M528" s="73"/>
      <c r="N528" s="72" t="e">
        <f>_xlfn.IFNA(IF(VLOOKUP(C528,'חד גזעי'!$AH$2:$AH$7,1,FALSE)&gt;0,0,IF('חד גזעי'!$AM$5="כן",IF(_xlfn.IFNA(VLOOKUP(C528,'חד גזעי'!$AH$2:$AH$33,1,FALSE),SUM(J528:M528))&lt;21,_xlfn.IFNA(VLOOKUP(C528,'חד גזעי'!$AH$2:$AH$33,1,FALSE),SUM(J528:M528)),0),SUM(J528:M528))),IF('חד גזעי'!$AM$5="כן",IF(_xlfn.IFNA(VLOOKUP(C528,'חד גזעי'!$AH$2:$AH$33,1,FALSE),SUM(J528:M528))&lt;21,_xlfn.IFNA(VLOOKUP(C528,'חד גזעי'!$AH$2:$AH$33,1,FALSE),SUM(J528:M528)),0),SUM(J528:M528)))</f>
        <v>#N/A</v>
      </c>
      <c r="O528" s="72">
        <f>IF('חד גזעי'!$AM$3 = "כן",IF(T528&gt;4,4,T528),T528)</f>
        <v>0</v>
      </c>
      <c r="P528" s="80">
        <f>IF(E528&lt;2,0,IF(Z528&gt;0,Z528,IF(N528 = 0,0,IF('חד גזעי'!$AM$2 = "לא",IF(F528&gt;19,W528,0),IF(F528&gt;9,Y528,0)))))</f>
        <v>0</v>
      </c>
      <c r="Q528" s="77"/>
      <c r="R528" s="76"/>
      <c r="S528" t="e">
        <f>VLOOKUP(C528,'חד גזעי'!$Y$4:$Y$18,1,0)</f>
        <v>#N/A</v>
      </c>
      <c r="T528" s="72">
        <f>IF('חד גזעי'!$AM$6="לא",IF(P528=0,IF(BC528="שימור",IF('חד גזעי'!$AM$4="לא",IF(BC528="לא בוגר",0,IF(BC528="לא קיים",0,IF(J528=0,0,I528*0.1))),IF(BC528="לא בוגר",0,IF(BC528="לא קיים",0,IF(AB528=1,I528*0.1,E528*0.5)))),0),IF('חד גזעי'!$AM$4="לא",IF(BC528="לא בוגר",0,IF(BC528="לא קיים",0,IF(J528=0,0,I528*0.1))),IF(BC528="לא בוגר",0,IF(BC528="לא קיים",0,IF(AB528=1,I528*0.1,E528*0.5))))),IF(P528=0,IF(BC528="שימור",IF('חד גזעי'!$AM$4="לא",IF(BC528="לא בוגר",0,IF(BC528="לא קיים",0,IF(J528=0,0,I528*0.15))),IF(BC528="לא בוגר",0,IF(BC528="לא קיים",0,IF(AB528=1,I528*0.15,E528*0.5)))),0),IF('חד גזעי'!$AM$4="לא",IF(BC528="לא בוגר",0,IF(BC528="לא קיים",0,IF(J528=0,0,I528*0.15))),IF(BC528="לא בוגר",0,IF(BC528="לא קיים",0,IF(AB528=1,I528*0.15,E528*0.5))))))</f>
        <v>0</v>
      </c>
      <c r="V528" t="e">
        <f t="shared" si="564"/>
        <v>#N/A</v>
      </c>
      <c r="W528" t="e">
        <f t="shared" si="565"/>
        <v>#N/A</v>
      </c>
      <c r="X528" t="e">
        <f t="shared" si="566"/>
        <v>#N/A</v>
      </c>
      <c r="Y528">
        <f>IF('חד גזעי'!$AM$2 = "לא",0,IF(F528&gt;9,W528,0))</f>
        <v>0</v>
      </c>
      <c r="Z528">
        <f>IF('חד גזעי'!$AM$7 = "לא",0,IF(C528 = "זית אירופי",IF('חד גזעי'!$AN$7 &lt;=סקר!F528,W528,0),IF(C528 = "חרוב מצוי",IF('חד גזעי'!$AN$7 &lt;=סקר!F528,W528,0),0)))</f>
        <v>0</v>
      </c>
      <c r="AB528">
        <f t="shared" si="544"/>
        <v>1</v>
      </c>
      <c r="AC528" s="72"/>
      <c r="AD528" t="e">
        <f t="shared" si="562"/>
        <v>#N/A</v>
      </c>
      <c r="AE528" s="72"/>
      <c r="AF528" s="72" t="e">
        <f t="shared" si="545"/>
        <v>#N/A</v>
      </c>
      <c r="AG528" s="72" t="e">
        <f>IF('חד גזעי'!$AM$5="לא",(VLOOKUP(C528,'חד גזעי'!$P$1:$S$589,3,FALSE)),(VLOOKUP(C528,'חד גזעי'!$P$1:$S$589,4,FALSE)))</f>
        <v>#N/A</v>
      </c>
      <c r="AH528" s="72">
        <f t="shared" si="546"/>
        <v>0</v>
      </c>
      <c r="AI528" s="72">
        <f t="shared" si="547"/>
        <v>0</v>
      </c>
      <c r="AJ528" s="72">
        <f t="shared" si="548"/>
        <v>0</v>
      </c>
      <c r="AK528" s="72" t="e">
        <f t="shared" si="549"/>
        <v>#N/A</v>
      </c>
      <c r="AL528" t="e">
        <f>VLOOKUP(C528,'חד גזעי'!$AH$8:$AI$33,2,FALSE)</f>
        <v>#N/A</v>
      </c>
      <c r="AM528" s="72" t="b">
        <f t="shared" si="550"/>
        <v>0</v>
      </c>
      <c r="AN528" s="72" t="b">
        <f t="shared" si="551"/>
        <v>0</v>
      </c>
      <c r="AO528" s="72" t="b">
        <f t="shared" si="552"/>
        <v>0</v>
      </c>
      <c r="AS528" s="72">
        <f t="shared" si="553"/>
        <v>0</v>
      </c>
      <c r="AT528" s="72">
        <f t="shared" si="554"/>
        <v>0</v>
      </c>
      <c r="AU528" s="72">
        <f t="shared" si="563"/>
        <v>0</v>
      </c>
      <c r="AV528" s="72">
        <f t="shared" si="555"/>
        <v>0</v>
      </c>
      <c r="AW528" s="72">
        <f t="shared" si="556"/>
        <v>0</v>
      </c>
      <c r="AX528" s="72">
        <f t="shared" si="557"/>
        <v>0</v>
      </c>
      <c r="AY528" s="72">
        <f t="shared" si="558"/>
        <v>0</v>
      </c>
      <c r="AZ528" s="72">
        <f t="shared" si="559"/>
        <v>0</v>
      </c>
      <c r="BA528" s="72" t="e">
        <f t="shared" si="560"/>
        <v>#N/A</v>
      </c>
      <c r="BB528" s="72" t="e">
        <f t="shared" si="561"/>
        <v>#N/A</v>
      </c>
      <c r="BC528" s="77"/>
      <c r="BE528">
        <f t="shared" si="541"/>
        <v>0</v>
      </c>
      <c r="BF528" s="72"/>
      <c r="BG528" s="72"/>
      <c r="BH528" s="72"/>
      <c r="BI528" s="72"/>
      <c r="BJ528" s="72"/>
      <c r="BK528" s="72"/>
    </row>
    <row r="529" spans="2:63" hidden="1">
      <c r="B529" s="72"/>
      <c r="C529" s="135"/>
      <c r="D529" s="78"/>
      <c r="E529" s="78"/>
      <c r="F529" s="72"/>
      <c r="G529" s="72"/>
      <c r="H529" s="72"/>
      <c r="I529" s="73">
        <f t="shared" si="543"/>
        <v>0</v>
      </c>
      <c r="J529" s="78"/>
      <c r="K529" s="73"/>
      <c r="L529" s="74" t="e">
        <f>_xlfn.IFNA(VLOOKUP(C529,'חד גזעי'!$U$3:$V$509,2,0),VLOOKUP(C529,'חד גזעי'!$U$3:$V$509,2))</f>
        <v>#N/A</v>
      </c>
      <c r="M529" s="73"/>
      <c r="N529" s="72" t="e">
        <f>_xlfn.IFNA(IF(VLOOKUP(C529,'חד גזעי'!$AH$2:$AH$7,1,FALSE)&gt;0,0,IF('חד גזעי'!$AM$5="כן",IF(_xlfn.IFNA(VLOOKUP(C529,'חד גזעי'!$AH$2:$AH$33,1,FALSE),SUM(J529:M529))&lt;21,_xlfn.IFNA(VLOOKUP(C529,'חד גזעי'!$AH$2:$AH$33,1,FALSE),SUM(J529:M529)),0),SUM(J529:M529))),IF('חד גזעי'!$AM$5="כן",IF(_xlfn.IFNA(VLOOKUP(C529,'חד גזעי'!$AH$2:$AH$33,1,FALSE),SUM(J529:M529))&lt;21,_xlfn.IFNA(VLOOKUP(C529,'חד גזעי'!$AH$2:$AH$33,1,FALSE),SUM(J529:M529)),0),SUM(J529:M529)))</f>
        <v>#N/A</v>
      </c>
      <c r="O529" s="72">
        <f>IF('חד גזעי'!$AM$3 = "כן",IF(T529&gt;4,4,T529),T529)</f>
        <v>0</v>
      </c>
      <c r="P529" s="80">
        <f>IF(E529&lt;2,0,IF(Z529&gt;0,Z529,IF(N529 = 0,0,IF('חד גזעי'!$AM$2 = "לא",IF(F529&gt;19,W529,0),IF(F529&gt;9,Y529,0)))))</f>
        <v>0</v>
      </c>
      <c r="Q529" s="77"/>
      <c r="R529" s="75"/>
      <c r="S529" t="e">
        <f>VLOOKUP(C529,'חד גזעי'!$Y$4:$Y$18,1,0)</f>
        <v>#N/A</v>
      </c>
      <c r="T529" s="72">
        <f>IF('חד גזעי'!$AM$6="לא",IF(P529=0,IF(BC529="שימור",IF('חד גזעי'!$AM$4="לא",IF(BC529="לא בוגר",0,IF(BC529="לא קיים",0,IF(J529=0,0,I529*0.1))),IF(BC529="לא בוגר",0,IF(BC529="לא קיים",0,IF(AB529=1,I529*0.1,E529*0.5)))),0),IF('חד גזעי'!$AM$4="לא",IF(BC529="לא בוגר",0,IF(BC529="לא קיים",0,IF(J529=0,0,I529*0.1))),IF(BC529="לא בוגר",0,IF(BC529="לא קיים",0,IF(AB529=1,I529*0.1,E529*0.5))))),IF(P529=0,IF(BC529="שימור",IF('חד גזעי'!$AM$4="לא",IF(BC529="לא בוגר",0,IF(BC529="לא קיים",0,IF(J529=0,0,I529*0.15))),IF(BC529="לא בוגר",0,IF(BC529="לא קיים",0,IF(AB529=1,I529*0.15,E529*0.5)))),0),IF('חד גזעי'!$AM$4="לא",IF(BC529="לא בוגר",0,IF(BC529="לא קיים",0,IF(J529=0,0,I529*0.15))),IF(BC529="לא בוגר",0,IF(BC529="לא קיים",0,IF(AB529=1,I529*0.15,E529*0.5))))))</f>
        <v>0</v>
      </c>
      <c r="V529" t="e">
        <f t="shared" si="564"/>
        <v>#N/A</v>
      </c>
      <c r="W529" t="e">
        <f t="shared" si="565"/>
        <v>#N/A</v>
      </c>
      <c r="X529" t="e">
        <f t="shared" si="566"/>
        <v>#N/A</v>
      </c>
      <c r="Y529">
        <f>IF('חד גזעי'!$AM$2 = "לא",0,IF(F529&gt;9,W529,0))</f>
        <v>0</v>
      </c>
      <c r="Z529">
        <f>IF('חד גזעי'!$AM$7 = "לא",0,IF(C529 = "זית אירופי",IF('חד גזעי'!$AN$7 &lt;=סקר!F529,W529,0),IF(C529 = "חרוב מצוי",IF('חד גזעי'!$AN$7 &lt;=סקר!F529,W529,0),0)))</f>
        <v>0</v>
      </c>
      <c r="AB529">
        <f t="shared" si="544"/>
        <v>1</v>
      </c>
      <c r="AC529" s="72"/>
      <c r="AD529" t="e">
        <f t="shared" si="562"/>
        <v>#N/A</v>
      </c>
      <c r="AE529" s="72"/>
      <c r="AF529" s="72" t="e">
        <f t="shared" si="545"/>
        <v>#N/A</v>
      </c>
      <c r="AG529" s="72" t="e">
        <f>IF('חד גזעי'!$AM$5="לא",(VLOOKUP(C529,'חד גזעי'!$P$1:$S$589,3,FALSE)),(VLOOKUP(C529,'חד גזעי'!$P$1:$S$589,4,FALSE)))</f>
        <v>#N/A</v>
      </c>
      <c r="AH529" s="72">
        <f t="shared" si="546"/>
        <v>0</v>
      </c>
      <c r="AI529" s="72">
        <f t="shared" si="547"/>
        <v>0</v>
      </c>
      <c r="AJ529" s="72">
        <f t="shared" si="548"/>
        <v>0</v>
      </c>
      <c r="AK529" s="72" t="e">
        <f t="shared" si="549"/>
        <v>#N/A</v>
      </c>
      <c r="AL529" t="e">
        <f>VLOOKUP(C529,'חד גזעי'!$AH$8:$AI$33,2,FALSE)</f>
        <v>#N/A</v>
      </c>
      <c r="AM529" s="72" t="b">
        <f t="shared" si="550"/>
        <v>0</v>
      </c>
      <c r="AN529" s="72" t="b">
        <f t="shared" si="551"/>
        <v>0</v>
      </c>
      <c r="AO529" s="72" t="b">
        <f t="shared" si="552"/>
        <v>0</v>
      </c>
      <c r="AS529" s="72">
        <f t="shared" si="553"/>
        <v>0</v>
      </c>
      <c r="AT529" s="72">
        <f t="shared" si="554"/>
        <v>0</v>
      </c>
      <c r="AU529" s="72">
        <f t="shared" si="563"/>
        <v>0</v>
      </c>
      <c r="AV529" s="72">
        <f t="shared" si="555"/>
        <v>0</v>
      </c>
      <c r="AW529" s="72">
        <f t="shared" si="556"/>
        <v>0</v>
      </c>
      <c r="AX529" s="72">
        <f t="shared" si="557"/>
        <v>0</v>
      </c>
      <c r="AY529" s="72">
        <f t="shared" si="558"/>
        <v>0</v>
      </c>
      <c r="AZ529" s="72">
        <f t="shared" si="559"/>
        <v>0</v>
      </c>
      <c r="BA529" s="72" t="e">
        <f t="shared" si="560"/>
        <v>#N/A</v>
      </c>
      <c r="BB529" s="72" t="e">
        <f t="shared" si="561"/>
        <v>#N/A</v>
      </c>
      <c r="BC529" s="77"/>
      <c r="BE529">
        <f t="shared" si="541"/>
        <v>0</v>
      </c>
      <c r="BF529" s="196" t="str">
        <f>BF548</f>
        <v>C:\Users\origr\Pictures\0.jpg</v>
      </c>
      <c r="BG529" s="196" t="str">
        <f t="shared" ref="BG529:BK529" si="567">BG548</f>
        <v>C:\Users\origr\Pictures\0.jpg</v>
      </c>
      <c r="BH529" s="196" t="str">
        <f t="shared" si="567"/>
        <v>C:\Users\origr\Pictures\0.jpg</v>
      </c>
      <c r="BI529" s="196" t="str">
        <f t="shared" si="567"/>
        <v>C:\Users\origr\Pictures\0.jpg</v>
      </c>
      <c r="BJ529" s="196" t="str">
        <f t="shared" si="567"/>
        <v>C:\Users\origr\Pictures\0.jpg</v>
      </c>
      <c r="BK529" s="196" t="str">
        <f t="shared" si="567"/>
        <v>C:\Users\origr\Pictures\0.jpg</v>
      </c>
    </row>
    <row r="530" spans="2:63" hidden="1">
      <c r="B530" s="72"/>
      <c r="C530" s="135"/>
      <c r="D530" s="78"/>
      <c r="E530" s="78"/>
      <c r="F530" s="72"/>
      <c r="G530" s="72"/>
      <c r="H530" s="72"/>
      <c r="I530" s="73">
        <f t="shared" si="543"/>
        <v>0</v>
      </c>
      <c r="J530" s="78"/>
      <c r="K530" s="73"/>
      <c r="L530" s="74" t="e">
        <f>_xlfn.IFNA(VLOOKUP(C530,'חד גזעי'!$U$3:$V$509,2,0),VLOOKUP(C530,'חד גזעי'!$U$3:$V$509,2))</f>
        <v>#N/A</v>
      </c>
      <c r="M530" s="73"/>
      <c r="N530" s="72" t="e">
        <f>_xlfn.IFNA(IF(VLOOKUP(C530,'חד גזעי'!$AH$2:$AH$7,1,FALSE)&gt;0,0,IF('חד גזעי'!$AM$5="כן",IF(_xlfn.IFNA(VLOOKUP(C530,'חד גזעי'!$AH$2:$AH$33,1,FALSE),SUM(J530:M530))&lt;21,_xlfn.IFNA(VLOOKUP(C530,'חד גזעי'!$AH$2:$AH$33,1,FALSE),SUM(J530:M530)),0),SUM(J530:M530))),IF('חד גזעי'!$AM$5="כן",IF(_xlfn.IFNA(VLOOKUP(C530,'חד גזעי'!$AH$2:$AH$33,1,FALSE),SUM(J530:M530))&lt;21,_xlfn.IFNA(VLOOKUP(C530,'חד גזעי'!$AH$2:$AH$33,1,FALSE),SUM(J530:M530)),0),SUM(J530:M530)))</f>
        <v>#N/A</v>
      </c>
      <c r="O530" s="72">
        <f>IF('חד גזעי'!$AM$3 = "כן",IF(T530&gt;4,4,T530),T530)</f>
        <v>0</v>
      </c>
      <c r="P530" s="80">
        <f>IF(E530&lt;2,0,IF(Z530&gt;0,Z530,IF(N530 = 0,0,IF('חד גזעי'!$AM$2 = "לא",IF(F530&gt;19,W530,0),IF(F530&gt;9,Y530,0)))))</f>
        <v>0</v>
      </c>
      <c r="Q530" s="77"/>
      <c r="R530" s="76"/>
      <c r="S530" t="e">
        <f>VLOOKUP(C530,'חד גזעי'!$Y$4:$Y$18,1,0)</f>
        <v>#N/A</v>
      </c>
      <c r="T530" s="72">
        <f>IF('חד גזעי'!$AM$6="לא",IF(P530=0,IF(BC530="שימור",IF('חד גזעי'!$AM$4="לא",IF(BC530="לא בוגר",0,IF(BC530="לא קיים",0,IF(J530=0,0,I530*0.1))),IF(BC530="לא בוגר",0,IF(BC530="לא קיים",0,IF(AB530=1,I530*0.1,E530*0.5)))),0),IF('חד גזעי'!$AM$4="לא",IF(BC530="לא בוגר",0,IF(BC530="לא קיים",0,IF(J530=0,0,I530*0.1))),IF(BC530="לא בוגר",0,IF(BC530="לא קיים",0,IF(AB530=1,I530*0.1,E530*0.5))))),IF(P530=0,IF(BC530="שימור",IF('חד גזעי'!$AM$4="לא",IF(BC530="לא בוגר",0,IF(BC530="לא קיים",0,IF(J530=0,0,I530*0.15))),IF(BC530="לא בוגר",0,IF(BC530="לא קיים",0,IF(AB530=1,I530*0.15,E530*0.5)))),0),IF('חד גזעי'!$AM$4="לא",IF(BC530="לא בוגר",0,IF(BC530="לא קיים",0,IF(J530=0,0,I530*0.15))),IF(BC530="לא בוגר",0,IF(BC530="לא קיים",0,IF(AB530=1,I530*0.15,E530*0.5))))))</f>
        <v>0</v>
      </c>
      <c r="V530" t="e">
        <f t="shared" si="564"/>
        <v>#N/A</v>
      </c>
      <c r="W530" t="e">
        <f t="shared" si="565"/>
        <v>#N/A</v>
      </c>
      <c r="X530" t="e">
        <f t="shared" si="566"/>
        <v>#N/A</v>
      </c>
      <c r="Y530">
        <f>IF('חד גזעי'!$AM$2 = "לא",0,IF(F530&gt;9,W530,0))</f>
        <v>0</v>
      </c>
      <c r="Z530">
        <f>IF('חד גזעי'!$AM$7 = "לא",0,IF(C530 = "זית אירופי",IF('חד גזעי'!$AN$7 &lt;=סקר!F530,W530,0),IF(C530 = "חרוב מצוי",IF('חד גזעי'!$AN$7 &lt;=סקר!F530,W530,0),0)))</f>
        <v>0</v>
      </c>
      <c r="AB530">
        <f t="shared" si="544"/>
        <v>1</v>
      </c>
      <c r="AC530" s="72"/>
      <c r="AD530" t="e">
        <f t="shared" si="562"/>
        <v>#N/A</v>
      </c>
      <c r="AE530" s="72"/>
      <c r="AF530" s="72" t="e">
        <f t="shared" si="545"/>
        <v>#N/A</v>
      </c>
      <c r="AG530" s="72" t="e">
        <f>IF('חד גזעי'!$AM$5="לא",(VLOOKUP(C530,'חד גזעי'!$P$1:$S$589,3,FALSE)),(VLOOKUP(C530,'חד גזעי'!$P$1:$S$589,4,FALSE)))</f>
        <v>#N/A</v>
      </c>
      <c r="AH530" s="72">
        <f t="shared" si="546"/>
        <v>0</v>
      </c>
      <c r="AI530" s="72">
        <f t="shared" si="547"/>
        <v>0</v>
      </c>
      <c r="AJ530" s="72">
        <f t="shared" si="548"/>
        <v>0</v>
      </c>
      <c r="AK530" s="72" t="e">
        <f t="shared" si="549"/>
        <v>#N/A</v>
      </c>
      <c r="AL530" t="e">
        <f>VLOOKUP(C530,'חד גזעי'!$AH$8:$AI$33,2,FALSE)</f>
        <v>#N/A</v>
      </c>
      <c r="AM530" s="72" t="b">
        <f t="shared" si="550"/>
        <v>0</v>
      </c>
      <c r="AN530" s="72" t="b">
        <f t="shared" si="551"/>
        <v>0</v>
      </c>
      <c r="AO530" s="72" t="b">
        <f t="shared" si="552"/>
        <v>0</v>
      </c>
      <c r="AS530" s="72">
        <f t="shared" si="553"/>
        <v>0</v>
      </c>
      <c r="AT530" s="72">
        <f t="shared" si="554"/>
        <v>0</v>
      </c>
      <c r="AU530" s="72">
        <f t="shared" si="563"/>
        <v>0</v>
      </c>
      <c r="AV530" s="72">
        <f t="shared" si="555"/>
        <v>0</v>
      </c>
      <c r="AW530" s="72">
        <f t="shared" si="556"/>
        <v>0</v>
      </c>
      <c r="AX530" s="72">
        <f t="shared" si="557"/>
        <v>0</v>
      </c>
      <c r="AY530" s="72">
        <f t="shared" si="558"/>
        <v>0</v>
      </c>
      <c r="AZ530" s="72">
        <f t="shared" si="559"/>
        <v>0</v>
      </c>
      <c r="BA530" s="72" t="e">
        <f t="shared" si="560"/>
        <v>#N/A</v>
      </c>
      <c r="BB530" s="72" t="e">
        <f t="shared" si="561"/>
        <v>#N/A</v>
      </c>
      <c r="BC530" s="77"/>
      <c r="BE530">
        <f t="shared" si="541"/>
        <v>0</v>
      </c>
      <c r="BF530" s="196"/>
      <c r="BG530" s="196"/>
      <c r="BH530" s="196"/>
      <c r="BI530" s="196"/>
      <c r="BJ530" s="196"/>
      <c r="BK530" s="196"/>
    </row>
    <row r="531" spans="2:63" hidden="1">
      <c r="B531" s="72"/>
      <c r="C531" s="135"/>
      <c r="D531" s="78"/>
      <c r="E531" s="78"/>
      <c r="F531" s="72"/>
      <c r="G531" s="72"/>
      <c r="H531" s="72"/>
      <c r="I531" s="73">
        <f t="shared" si="543"/>
        <v>0</v>
      </c>
      <c r="J531" s="78"/>
      <c r="K531" s="73"/>
      <c r="L531" s="74" t="e">
        <f>_xlfn.IFNA(VLOOKUP(C531,'חד גזעי'!$U$3:$V$509,2,0),VLOOKUP(C531,'חד גזעי'!$U$3:$V$509,2))</f>
        <v>#N/A</v>
      </c>
      <c r="M531" s="73"/>
      <c r="N531" s="72" t="e">
        <f>_xlfn.IFNA(IF(VLOOKUP(C531,'חד גזעי'!$AH$2:$AH$7,1,FALSE)&gt;0,0,IF('חד גזעי'!$AM$5="כן",IF(_xlfn.IFNA(VLOOKUP(C531,'חד גזעי'!$AH$2:$AH$33,1,FALSE),SUM(J531:M531))&lt;21,_xlfn.IFNA(VLOOKUP(C531,'חד גזעי'!$AH$2:$AH$33,1,FALSE),SUM(J531:M531)),0),SUM(J531:M531))),IF('חד גזעי'!$AM$5="כן",IF(_xlfn.IFNA(VLOOKUP(C531,'חד גזעי'!$AH$2:$AH$33,1,FALSE),SUM(J531:M531))&lt;21,_xlfn.IFNA(VLOOKUP(C531,'חד גזעי'!$AH$2:$AH$33,1,FALSE),SUM(J531:M531)),0),SUM(J531:M531)))</f>
        <v>#N/A</v>
      </c>
      <c r="O531" s="72">
        <f>IF('חד גזעי'!$AM$3 = "כן",IF(T531&gt;4,4,T531),T531)</f>
        <v>0</v>
      </c>
      <c r="P531" s="80">
        <f>IF(E531&lt;2,0,IF(Z531&gt;0,Z531,IF(N531 = 0,0,IF('חד גזעי'!$AM$2 = "לא",IF(F531&gt;19,W531,0),IF(F531&gt;9,Y531,0)))))</f>
        <v>0</v>
      </c>
      <c r="Q531" s="77"/>
      <c r="R531" s="76"/>
      <c r="S531" t="e">
        <f>VLOOKUP(C531,'חד גזעי'!$Y$4:$Y$18,1,0)</f>
        <v>#N/A</v>
      </c>
      <c r="T531" s="72">
        <f>IF('חד גזעי'!$AM$6="לא",IF(P531=0,IF(BC531="שימור",IF('חד גזעי'!$AM$4="לא",IF(BC531="לא בוגר",0,IF(BC531="לא קיים",0,IF(J531=0,0,I531*0.1))),IF(BC531="לא בוגר",0,IF(BC531="לא קיים",0,IF(AB531=1,I531*0.1,E531*0.5)))),0),IF('חד גזעי'!$AM$4="לא",IF(BC531="לא בוגר",0,IF(BC531="לא קיים",0,IF(J531=0,0,I531*0.1))),IF(BC531="לא בוגר",0,IF(BC531="לא קיים",0,IF(AB531=1,I531*0.1,E531*0.5))))),IF(P531=0,IF(BC531="שימור",IF('חד גזעי'!$AM$4="לא",IF(BC531="לא בוגר",0,IF(BC531="לא קיים",0,IF(J531=0,0,I531*0.15))),IF(BC531="לא בוגר",0,IF(BC531="לא קיים",0,IF(AB531=1,I531*0.15,E531*0.5)))),0),IF('חד גזעי'!$AM$4="לא",IF(BC531="לא בוגר",0,IF(BC531="לא קיים",0,IF(J531=0,0,I531*0.15))),IF(BC531="לא בוגר",0,IF(BC531="לא קיים",0,IF(AB531=1,I531*0.15,E531*0.5))))))</f>
        <v>0</v>
      </c>
      <c r="V531" t="e">
        <f t="shared" si="564"/>
        <v>#N/A</v>
      </c>
      <c r="W531" t="e">
        <f t="shared" si="565"/>
        <v>#N/A</v>
      </c>
      <c r="X531" t="e">
        <f t="shared" si="566"/>
        <v>#N/A</v>
      </c>
      <c r="Y531">
        <f>IF('חד גזעי'!$AM$2 = "לא",0,IF(F531&gt;9,W531,0))</f>
        <v>0</v>
      </c>
      <c r="Z531">
        <f>IF('חד גזעי'!$AM$7 = "לא",0,IF(C531 = "זית אירופי",IF('חד גזעי'!$AN$7 &lt;=סקר!F531,W531,0),IF(C531 = "חרוב מצוי",IF('חד גזעי'!$AN$7 &lt;=סקר!F531,W531,0),0)))</f>
        <v>0</v>
      </c>
      <c r="AB531">
        <f t="shared" si="544"/>
        <v>1</v>
      </c>
      <c r="AC531" s="72"/>
      <c r="AD531" t="e">
        <f t="shared" si="562"/>
        <v>#N/A</v>
      </c>
      <c r="AE531" s="72"/>
      <c r="AF531" s="72" t="e">
        <f t="shared" si="545"/>
        <v>#N/A</v>
      </c>
      <c r="AG531" s="72" t="e">
        <f>IF('חד גזעי'!$AM$5="לא",(VLOOKUP(C531,'חד גזעי'!$P$1:$S$589,3,FALSE)),(VLOOKUP(C531,'חד גזעי'!$P$1:$S$589,4,FALSE)))</f>
        <v>#N/A</v>
      </c>
      <c r="AH531" s="72">
        <f t="shared" si="546"/>
        <v>0</v>
      </c>
      <c r="AI531" s="72">
        <f t="shared" si="547"/>
        <v>0</v>
      </c>
      <c r="AJ531" s="72">
        <f t="shared" si="548"/>
        <v>0</v>
      </c>
      <c r="AK531" s="72" t="e">
        <f t="shared" si="549"/>
        <v>#N/A</v>
      </c>
      <c r="AL531" t="e">
        <f>VLOOKUP(C531,'חד גזעי'!$AH$8:$AI$33,2,FALSE)</f>
        <v>#N/A</v>
      </c>
      <c r="AM531" s="72" t="b">
        <f t="shared" si="550"/>
        <v>0</v>
      </c>
      <c r="AN531" s="72" t="b">
        <f t="shared" si="551"/>
        <v>0</v>
      </c>
      <c r="AO531" s="72" t="b">
        <f t="shared" si="552"/>
        <v>0</v>
      </c>
      <c r="AS531" s="72">
        <f t="shared" si="553"/>
        <v>0</v>
      </c>
      <c r="AT531" s="72">
        <f t="shared" si="554"/>
        <v>0</v>
      </c>
      <c r="AU531" s="72">
        <f t="shared" si="563"/>
        <v>0</v>
      </c>
      <c r="AV531" s="72">
        <f t="shared" si="555"/>
        <v>0</v>
      </c>
      <c r="AW531" s="72">
        <f t="shared" si="556"/>
        <v>0</v>
      </c>
      <c r="AX531" s="72">
        <f t="shared" si="557"/>
        <v>0</v>
      </c>
      <c r="AY531" s="72">
        <f t="shared" si="558"/>
        <v>0</v>
      </c>
      <c r="AZ531" s="72">
        <f t="shared" si="559"/>
        <v>0</v>
      </c>
      <c r="BA531" s="72" t="e">
        <f t="shared" si="560"/>
        <v>#N/A</v>
      </c>
      <c r="BB531" s="72" t="e">
        <f t="shared" si="561"/>
        <v>#N/A</v>
      </c>
      <c r="BC531" s="77"/>
      <c r="BE531">
        <f t="shared" si="541"/>
        <v>0</v>
      </c>
      <c r="BF531" s="196"/>
      <c r="BG531" s="196"/>
      <c r="BH531" s="196"/>
      <c r="BI531" s="196"/>
      <c r="BJ531" s="196"/>
      <c r="BK531" s="196"/>
    </row>
    <row r="532" spans="2:63" ht="12.75" hidden="1" customHeight="1">
      <c r="B532" s="72"/>
      <c r="C532" s="135"/>
      <c r="D532" s="78"/>
      <c r="E532" s="78"/>
      <c r="F532" s="72"/>
      <c r="G532" s="72"/>
      <c r="H532" s="72"/>
      <c r="I532" s="73">
        <f t="shared" si="543"/>
        <v>0</v>
      </c>
      <c r="J532" s="78"/>
      <c r="K532" s="73"/>
      <c r="L532" s="74" t="e">
        <f>_xlfn.IFNA(VLOOKUP(C532,'חד גזעי'!$U$3:$V$509,2,0),VLOOKUP(C532,'חד גזעי'!$U$3:$V$509,2))</f>
        <v>#N/A</v>
      </c>
      <c r="M532" s="73"/>
      <c r="N532" s="72" t="e">
        <f>_xlfn.IFNA(IF(VLOOKUP(C532,'חד גזעי'!$AH$2:$AH$7,1,FALSE)&gt;0,0,IF('חד גזעי'!$AM$5="כן",IF(_xlfn.IFNA(VLOOKUP(C532,'חד גזעי'!$AH$2:$AH$33,1,FALSE),SUM(J532:M532))&lt;21,_xlfn.IFNA(VLOOKUP(C532,'חד גזעי'!$AH$2:$AH$33,1,FALSE),SUM(J532:M532)),0),SUM(J532:M532))),IF('חד גזעי'!$AM$5="כן",IF(_xlfn.IFNA(VLOOKUP(C532,'חד גזעי'!$AH$2:$AH$33,1,FALSE),SUM(J532:M532))&lt;21,_xlfn.IFNA(VLOOKUP(C532,'חד גזעי'!$AH$2:$AH$33,1,FALSE),SUM(J532:M532)),0),SUM(J532:M532)))</f>
        <v>#N/A</v>
      </c>
      <c r="O532" s="72">
        <f>IF('חד גזעי'!$AM$3 = "כן",IF(T532&gt;4,4,T532),T532)</f>
        <v>0</v>
      </c>
      <c r="P532" s="80">
        <f>IF(E532&lt;2,0,IF(Z532&gt;0,Z532,IF(N532 = 0,0,IF('חד גזעי'!$AM$2 = "לא",IF(F532&gt;19,W532,0),IF(F532&gt;9,Y532,0)))))</f>
        <v>0</v>
      </c>
      <c r="Q532" s="77"/>
      <c r="R532" s="75"/>
      <c r="S532" t="e">
        <f>VLOOKUP(C532,'חד גזעי'!$Y$4:$Y$18,1,0)</f>
        <v>#N/A</v>
      </c>
      <c r="T532" s="72">
        <f>IF('חד גזעי'!$AM$6="לא",IF(P532=0,IF(BC532="שימור",IF('חד גזעי'!$AM$4="לא",IF(BC532="לא בוגר",0,IF(BC532="לא קיים",0,IF(J532=0,0,I532*0.1))),IF(BC532="לא בוגר",0,IF(BC532="לא קיים",0,IF(AB532=1,I532*0.1,E532*0.5)))),0),IF('חד גזעי'!$AM$4="לא",IF(BC532="לא בוגר",0,IF(BC532="לא קיים",0,IF(J532=0,0,I532*0.1))),IF(BC532="לא בוגר",0,IF(BC532="לא קיים",0,IF(AB532=1,I532*0.1,E532*0.5))))),IF(P532=0,IF(BC532="שימור",IF('חד גזעי'!$AM$4="לא",IF(BC532="לא בוגר",0,IF(BC532="לא קיים",0,IF(J532=0,0,I532*0.15))),IF(BC532="לא בוגר",0,IF(BC532="לא קיים",0,IF(AB532=1,I532*0.15,E532*0.5)))),0),IF('חד גזעי'!$AM$4="לא",IF(BC532="לא בוגר",0,IF(BC532="לא קיים",0,IF(J532=0,0,I532*0.15))),IF(BC532="לא בוגר",0,IF(BC532="לא קיים",0,IF(AB532=1,I532*0.15,E532*0.5))))))</f>
        <v>0</v>
      </c>
      <c r="V532" t="e">
        <f t="shared" si="564"/>
        <v>#N/A</v>
      </c>
      <c r="W532" t="e">
        <f t="shared" si="565"/>
        <v>#N/A</v>
      </c>
      <c r="X532" t="e">
        <f t="shared" si="566"/>
        <v>#N/A</v>
      </c>
      <c r="Y532">
        <f>IF('חד גזעי'!$AM$2 = "לא",0,IF(F532&gt;9,W532,0))</f>
        <v>0</v>
      </c>
      <c r="Z532">
        <f>IF('חד גזעי'!$AM$7 = "לא",0,IF(C532 = "זית אירופי",IF('חד גזעי'!$AN$7 &lt;=סקר!F532,W532,0),IF(C532 = "חרוב מצוי",IF('חד גזעי'!$AN$7 &lt;=סקר!F532,W532,0),0)))</f>
        <v>0</v>
      </c>
      <c r="AB532">
        <f t="shared" si="544"/>
        <v>1</v>
      </c>
      <c r="AC532" s="72"/>
      <c r="AD532" t="e">
        <f t="shared" si="562"/>
        <v>#N/A</v>
      </c>
      <c r="AE532" s="72"/>
      <c r="AF532" s="72" t="e">
        <f t="shared" si="545"/>
        <v>#N/A</v>
      </c>
      <c r="AG532" s="72" t="e">
        <f>IF('חד גזעי'!$AM$5="לא",(VLOOKUP(C532,'חד גזעי'!$P$1:$S$589,3,FALSE)),(VLOOKUP(C532,'חד גזעי'!$P$1:$S$589,4,FALSE)))</f>
        <v>#N/A</v>
      </c>
      <c r="AH532" s="72">
        <f t="shared" si="546"/>
        <v>0</v>
      </c>
      <c r="AI532" s="72">
        <f t="shared" si="547"/>
        <v>0</v>
      </c>
      <c r="AJ532" s="72">
        <f t="shared" si="548"/>
        <v>0</v>
      </c>
      <c r="AK532" s="72" t="e">
        <f t="shared" si="549"/>
        <v>#N/A</v>
      </c>
      <c r="AL532" t="e">
        <f>VLOOKUP(C532,'חד גזעי'!$AH$8:$AI$33,2,FALSE)</f>
        <v>#N/A</v>
      </c>
      <c r="AM532" s="72" t="b">
        <f t="shared" si="550"/>
        <v>0</v>
      </c>
      <c r="AN532" s="72" t="b">
        <f t="shared" si="551"/>
        <v>0</v>
      </c>
      <c r="AO532" s="72" t="b">
        <f t="shared" si="552"/>
        <v>0</v>
      </c>
      <c r="AS532" s="72">
        <f t="shared" si="553"/>
        <v>0</v>
      </c>
      <c r="AT532" s="72">
        <f t="shared" si="554"/>
        <v>0</v>
      </c>
      <c r="AU532" s="72">
        <f t="shared" si="563"/>
        <v>0</v>
      </c>
      <c r="AV532" s="72">
        <f t="shared" si="555"/>
        <v>0</v>
      </c>
      <c r="AW532" s="72">
        <f t="shared" si="556"/>
        <v>0</v>
      </c>
      <c r="AX532" s="72">
        <f t="shared" si="557"/>
        <v>0</v>
      </c>
      <c r="AY532" s="72">
        <f t="shared" si="558"/>
        <v>0</v>
      </c>
      <c r="AZ532" s="72">
        <f t="shared" si="559"/>
        <v>0</v>
      </c>
      <c r="BA532" s="72" t="e">
        <f t="shared" si="560"/>
        <v>#N/A</v>
      </c>
      <c r="BB532" s="72" t="e">
        <f t="shared" si="561"/>
        <v>#N/A</v>
      </c>
      <c r="BC532" s="77"/>
      <c r="BE532">
        <f t="shared" si="541"/>
        <v>0</v>
      </c>
      <c r="BF532" s="196"/>
      <c r="BG532" s="196"/>
      <c r="BH532" s="196"/>
      <c r="BI532" s="196"/>
      <c r="BJ532" s="196"/>
      <c r="BK532" s="196"/>
    </row>
    <row r="533" spans="2:63" ht="12.75" hidden="1" customHeight="1">
      <c r="B533" s="72"/>
      <c r="C533" s="135"/>
      <c r="D533" s="78"/>
      <c r="E533" s="78"/>
      <c r="F533" s="72"/>
      <c r="G533" s="72"/>
      <c r="H533" s="72"/>
      <c r="I533" s="73">
        <f t="shared" si="543"/>
        <v>0</v>
      </c>
      <c r="J533" s="78"/>
      <c r="K533" s="73"/>
      <c r="L533" s="74" t="e">
        <f>_xlfn.IFNA(VLOOKUP(C533,'חד גזעי'!$U$3:$V$509,2,0),VLOOKUP(C533,'חד גזעי'!$U$3:$V$509,2))</f>
        <v>#N/A</v>
      </c>
      <c r="M533" s="73"/>
      <c r="N533" s="72" t="e">
        <f>_xlfn.IFNA(IF(VLOOKUP(C533,'חד גזעי'!$AH$2:$AH$7,1,FALSE)&gt;0,0,IF('חד גזעי'!$AM$5="כן",IF(_xlfn.IFNA(VLOOKUP(C533,'חד גזעי'!$AH$2:$AH$33,1,FALSE),SUM(J533:M533))&lt;21,_xlfn.IFNA(VLOOKUP(C533,'חד גזעי'!$AH$2:$AH$33,1,FALSE),SUM(J533:M533)),0),SUM(J533:M533))),IF('חד גזעי'!$AM$5="כן",IF(_xlfn.IFNA(VLOOKUP(C533,'חד גזעי'!$AH$2:$AH$33,1,FALSE),SUM(J533:M533))&lt;21,_xlfn.IFNA(VLOOKUP(C533,'חד גזעי'!$AH$2:$AH$33,1,FALSE),SUM(J533:M533)),0),SUM(J533:M533)))</f>
        <v>#N/A</v>
      </c>
      <c r="O533" s="72">
        <f>IF('חד גזעי'!$AM$3 = "כן",IF(T533&gt;4,4,T533),T533)</f>
        <v>0</v>
      </c>
      <c r="P533" s="80">
        <f>IF(E533&lt;2,0,IF(Z533&gt;0,Z533,IF(N533 = 0,0,IF('חד גזעי'!$AM$2 = "לא",IF(F533&gt;19,W533,0),IF(F533&gt;9,Y533,0)))))</f>
        <v>0</v>
      </c>
      <c r="Q533" s="77"/>
      <c r="R533" s="76"/>
      <c r="S533" t="e">
        <f>VLOOKUP(C533,'חד גזעי'!$Y$4:$Y$18,1,0)</f>
        <v>#N/A</v>
      </c>
      <c r="T533" s="72">
        <f>IF('חד גזעי'!$AM$6="לא",IF(P533=0,IF(BC533="שימור",IF('חד גזעי'!$AM$4="לא",IF(BC533="לא בוגר",0,IF(BC533="לא קיים",0,IF(J533=0,0,I533*0.1))),IF(BC533="לא בוגר",0,IF(BC533="לא קיים",0,IF(AB533=1,I533*0.1,E533*0.5)))),0),IF('חד גזעי'!$AM$4="לא",IF(BC533="לא בוגר",0,IF(BC533="לא קיים",0,IF(J533=0,0,I533*0.1))),IF(BC533="לא בוגר",0,IF(BC533="לא קיים",0,IF(AB533=1,I533*0.1,E533*0.5))))),IF(P533=0,IF(BC533="שימור",IF('חד גזעי'!$AM$4="לא",IF(BC533="לא בוגר",0,IF(BC533="לא קיים",0,IF(J533=0,0,I533*0.15))),IF(BC533="לא בוגר",0,IF(BC533="לא קיים",0,IF(AB533=1,I533*0.15,E533*0.5)))),0),IF('חד גזעי'!$AM$4="לא",IF(BC533="לא בוגר",0,IF(BC533="לא קיים",0,IF(J533=0,0,I533*0.15))),IF(BC533="לא בוגר",0,IF(BC533="לא קיים",0,IF(AB533=1,I533*0.15,E533*0.5))))))</f>
        <v>0</v>
      </c>
      <c r="V533" t="e">
        <f t="shared" si="564"/>
        <v>#N/A</v>
      </c>
      <c r="W533" t="e">
        <f t="shared" si="565"/>
        <v>#N/A</v>
      </c>
      <c r="X533" t="e">
        <f t="shared" si="566"/>
        <v>#N/A</v>
      </c>
      <c r="Y533">
        <f>IF('חד גזעי'!$AM$2 = "לא",0,IF(F533&gt;9,W533,0))</f>
        <v>0</v>
      </c>
      <c r="Z533">
        <f>IF('חד גזעי'!$AM$7 = "לא",0,IF(C533 = "זית אירופי",IF('חד גזעי'!$AN$7 &lt;=סקר!F533,W533,0),IF(C533 = "חרוב מצוי",IF('חד גזעי'!$AN$7 &lt;=סקר!F533,W533,0),0)))</f>
        <v>0</v>
      </c>
      <c r="AB533">
        <f t="shared" si="544"/>
        <v>1</v>
      </c>
      <c r="AC533" s="72"/>
      <c r="AD533" t="e">
        <f t="shared" si="562"/>
        <v>#N/A</v>
      </c>
      <c r="AE533" s="72"/>
      <c r="AF533" s="72" t="e">
        <f t="shared" si="545"/>
        <v>#N/A</v>
      </c>
      <c r="AG533" s="72" t="e">
        <f>IF('חד גזעי'!$AM$5="לא",(VLOOKUP(C533,'חד גזעי'!$P$1:$S$589,3,FALSE)),(VLOOKUP(C533,'חד גזעי'!$P$1:$S$589,4,FALSE)))</f>
        <v>#N/A</v>
      </c>
      <c r="AH533" s="72">
        <f t="shared" si="546"/>
        <v>0</v>
      </c>
      <c r="AI533" s="72">
        <f t="shared" si="547"/>
        <v>0</v>
      </c>
      <c r="AJ533" s="72">
        <f t="shared" si="548"/>
        <v>0</v>
      </c>
      <c r="AK533" s="72" t="e">
        <f t="shared" si="549"/>
        <v>#N/A</v>
      </c>
      <c r="AL533" t="e">
        <f>VLOOKUP(C533,'חד גזעי'!$AH$8:$AI$33,2,FALSE)</f>
        <v>#N/A</v>
      </c>
      <c r="AM533" s="72" t="b">
        <f t="shared" si="550"/>
        <v>0</v>
      </c>
      <c r="AN533" s="72" t="b">
        <f t="shared" si="551"/>
        <v>0</v>
      </c>
      <c r="AO533" s="72" t="b">
        <f t="shared" si="552"/>
        <v>0</v>
      </c>
      <c r="AS533" s="72">
        <f t="shared" si="553"/>
        <v>0</v>
      </c>
      <c r="AT533" s="72">
        <f t="shared" si="554"/>
        <v>0</v>
      </c>
      <c r="AU533" s="72">
        <f t="shared" si="563"/>
        <v>0</v>
      </c>
      <c r="AV533" s="72">
        <f t="shared" si="555"/>
        <v>0</v>
      </c>
      <c r="AW533" s="72">
        <f t="shared" si="556"/>
        <v>0</v>
      </c>
      <c r="AX533" s="72">
        <f t="shared" si="557"/>
        <v>0</v>
      </c>
      <c r="AY533" s="72">
        <f t="shared" si="558"/>
        <v>0</v>
      </c>
      <c r="AZ533" s="72">
        <f t="shared" si="559"/>
        <v>0</v>
      </c>
      <c r="BA533" s="72" t="e">
        <f t="shared" si="560"/>
        <v>#N/A</v>
      </c>
      <c r="BB533" s="72" t="e">
        <f t="shared" si="561"/>
        <v>#N/A</v>
      </c>
      <c r="BC533" s="77"/>
      <c r="BE533">
        <f t="shared" si="541"/>
        <v>0</v>
      </c>
      <c r="BF533" s="196"/>
      <c r="BG533" s="196"/>
      <c r="BH533" s="196"/>
      <c r="BI533" s="196"/>
      <c r="BJ533" s="196"/>
      <c r="BK533" s="196"/>
    </row>
    <row r="534" spans="2:63" ht="12.75" hidden="1" customHeight="1">
      <c r="B534" s="72"/>
      <c r="C534" s="135"/>
      <c r="D534" s="78"/>
      <c r="E534" s="78"/>
      <c r="F534" s="72"/>
      <c r="G534" s="72"/>
      <c r="H534" s="72"/>
      <c r="I534" s="73">
        <f t="shared" si="543"/>
        <v>0</v>
      </c>
      <c r="J534" s="78"/>
      <c r="K534" s="73"/>
      <c r="L534" s="74" t="e">
        <f>_xlfn.IFNA(VLOOKUP(C534,'חד גזעי'!$U$3:$V$509,2,0),VLOOKUP(C534,'חד גזעי'!$U$3:$V$509,2))</f>
        <v>#N/A</v>
      </c>
      <c r="M534" s="102"/>
      <c r="N534" s="72" t="e">
        <f>_xlfn.IFNA(IF(VLOOKUP(C534,'חד גזעי'!$AH$2:$AH$7,1,FALSE)&gt;0,0,IF('חד גזעי'!$AM$5="כן",IF(_xlfn.IFNA(VLOOKUP(C534,'חד גזעי'!$AH$2:$AH$33,1,FALSE),SUM(J534:M534))&lt;21,_xlfn.IFNA(VLOOKUP(C534,'חד גזעי'!$AH$2:$AH$33,1,FALSE),SUM(J534:M534)),0),SUM(J534:M534))),IF('חד גזעי'!$AM$5="כן",IF(_xlfn.IFNA(VLOOKUP(C534,'חד גזעי'!$AH$2:$AH$33,1,FALSE),SUM(J534:M534))&lt;21,_xlfn.IFNA(VLOOKUP(C534,'חד גזעי'!$AH$2:$AH$33,1,FALSE),SUM(J534:M534)),0),SUM(J534:M534)))</f>
        <v>#N/A</v>
      </c>
      <c r="O534" s="72">
        <f>IF('חד גזעי'!$AM$3 = "כן",IF(T534&gt;4,4,T534),T534)</f>
        <v>0</v>
      </c>
      <c r="P534" s="80">
        <f>IF(E534&lt;2,0,IF(Z534&gt;0,Z534,IF(N534 = 0,0,IF('חד גזעי'!$AM$2 = "לא",IF(F534&gt;19,W534,0),IF(F534&gt;9,Y534,0)))))</f>
        <v>0</v>
      </c>
      <c r="Q534" s="77"/>
      <c r="R534" s="76"/>
      <c r="S534" t="e">
        <f>VLOOKUP(C534,'חד גזעי'!$Y$4:$Y$18,1,0)</f>
        <v>#N/A</v>
      </c>
      <c r="T534" s="72">
        <f>IF('חד גזעי'!$AM$6="לא",IF(P534=0,IF(BC534="שימור",IF('חד גזעי'!$AM$4="לא",IF(BC534="לא בוגר",0,IF(BC534="לא קיים",0,IF(J534=0,0,I534*0.1))),IF(BC534="לא בוגר",0,IF(BC534="לא קיים",0,IF(AB534=1,I534*0.1,E534*0.5)))),0),IF('חד גזעי'!$AM$4="לא",IF(BC534="לא בוגר",0,IF(BC534="לא קיים",0,IF(J534=0,0,I534*0.1))),IF(BC534="לא בוגר",0,IF(BC534="לא קיים",0,IF(AB534=1,I534*0.1,E534*0.5))))),IF(P534=0,IF(BC534="שימור",IF('חד גזעי'!$AM$4="לא",IF(BC534="לא בוגר",0,IF(BC534="לא קיים",0,IF(J534=0,0,I534*0.15))),IF(BC534="לא בוגר",0,IF(BC534="לא קיים",0,IF(AB534=1,I534*0.15,E534*0.5)))),0),IF('חד גזעי'!$AM$4="לא",IF(BC534="לא בוגר",0,IF(BC534="לא קיים",0,IF(J534=0,0,I534*0.15))),IF(BC534="לא בוגר",0,IF(BC534="לא קיים",0,IF(AB534=1,I534*0.15,E534*0.5))))))</f>
        <v>0</v>
      </c>
      <c r="V534" t="e">
        <f t="shared" si="564"/>
        <v>#N/A</v>
      </c>
      <c r="W534" t="e">
        <f t="shared" si="565"/>
        <v>#N/A</v>
      </c>
      <c r="X534" t="e">
        <f t="shared" si="566"/>
        <v>#N/A</v>
      </c>
      <c r="Y534">
        <f>IF('חד גזעי'!$AM$2 = "לא",0,IF(F534&gt;9,W534,0))</f>
        <v>0</v>
      </c>
      <c r="Z534">
        <f>IF('חד גזעי'!$AM$7 = "לא",0,IF(C534 = "זית אירופי",IF('חד גזעי'!$AN$7 &lt;=סקר!F534,W534,0),IF(C534 = "חרוב מצוי",IF('חד גזעי'!$AN$7 &lt;=סקר!F534,W534,0),0)))</f>
        <v>0</v>
      </c>
      <c r="AB534">
        <f t="shared" si="544"/>
        <v>1</v>
      </c>
      <c r="AC534" s="72"/>
      <c r="AD534" t="e">
        <f t="shared" si="562"/>
        <v>#N/A</v>
      </c>
      <c r="AE534" s="72"/>
      <c r="AF534" s="72" t="e">
        <f t="shared" si="545"/>
        <v>#N/A</v>
      </c>
      <c r="AG534" s="72" t="e">
        <f>IF('חד גזעי'!$AM$5="לא",(VLOOKUP(C534,'חד גזעי'!$P$1:$S$589,3,FALSE)),(VLOOKUP(C534,'חד גזעי'!$P$1:$S$589,4,FALSE)))</f>
        <v>#N/A</v>
      </c>
      <c r="AH534" s="72">
        <f t="shared" si="546"/>
        <v>0</v>
      </c>
      <c r="AI534" s="72">
        <f t="shared" si="547"/>
        <v>0</v>
      </c>
      <c r="AJ534" s="72">
        <f t="shared" si="548"/>
        <v>0</v>
      </c>
      <c r="AK534" s="72" t="e">
        <f t="shared" si="549"/>
        <v>#N/A</v>
      </c>
      <c r="AL534" t="e">
        <f>VLOOKUP(C534,'חד גזעי'!$AH$8:$AI$33,2,FALSE)</f>
        <v>#N/A</v>
      </c>
      <c r="AM534" s="72" t="b">
        <f t="shared" si="550"/>
        <v>0</v>
      </c>
      <c r="AN534" s="72" t="b">
        <f t="shared" si="551"/>
        <v>0</v>
      </c>
      <c r="AO534" s="72" t="b">
        <f t="shared" si="552"/>
        <v>0</v>
      </c>
      <c r="AS534" s="72">
        <f t="shared" si="553"/>
        <v>0</v>
      </c>
      <c r="AT534" s="72">
        <f t="shared" si="554"/>
        <v>0</v>
      </c>
      <c r="AU534" s="72">
        <f t="shared" si="563"/>
        <v>0</v>
      </c>
      <c r="AV534" s="72">
        <f t="shared" si="555"/>
        <v>0</v>
      </c>
      <c r="AW534" s="72">
        <f t="shared" si="556"/>
        <v>0</v>
      </c>
      <c r="AX534" s="72">
        <f t="shared" si="557"/>
        <v>0</v>
      </c>
      <c r="AY534" s="72">
        <f t="shared" si="558"/>
        <v>0</v>
      </c>
      <c r="AZ534" s="72">
        <f t="shared" si="559"/>
        <v>0</v>
      </c>
      <c r="BA534" s="72" t="e">
        <f t="shared" si="560"/>
        <v>#N/A</v>
      </c>
      <c r="BB534" s="72" t="e">
        <f t="shared" si="561"/>
        <v>#N/A</v>
      </c>
      <c r="BC534" s="77"/>
      <c r="BE534">
        <f t="shared" si="541"/>
        <v>0</v>
      </c>
      <c r="BF534" s="196"/>
      <c r="BG534" s="196"/>
      <c r="BH534" s="196"/>
      <c r="BI534" s="196"/>
      <c r="BJ534" s="196"/>
      <c r="BK534" s="196"/>
    </row>
    <row r="535" spans="2:63" ht="12.75" hidden="1" customHeight="1">
      <c r="B535" s="72"/>
      <c r="C535" s="135"/>
      <c r="D535" s="73"/>
      <c r="E535" s="73"/>
      <c r="F535" s="72"/>
      <c r="G535" s="72"/>
      <c r="H535" s="72"/>
      <c r="I535" s="73">
        <f t="shared" si="543"/>
        <v>0</v>
      </c>
      <c r="J535" s="73"/>
      <c r="K535" s="73"/>
      <c r="L535" s="74" t="e">
        <f>_xlfn.IFNA(VLOOKUP(C535,'חד גזעי'!$U$3:$V$509,2,0),VLOOKUP(C535,'חד גזעי'!$U$3:$V$509,2))</f>
        <v>#N/A</v>
      </c>
      <c r="M535" s="73"/>
      <c r="N535" s="72" t="e">
        <f>_xlfn.IFNA(IF(VLOOKUP(C535,'חד גזעי'!$AH$2:$AH$7,1,FALSE)&gt;0,0,IF('חד גזעי'!$AM$5="כן",IF(_xlfn.IFNA(VLOOKUP(C535,'חד גזעי'!$AH$2:$AH$33,1,FALSE),SUM(J535:M535))&lt;21,_xlfn.IFNA(VLOOKUP(C535,'חד גזעי'!$AH$2:$AH$33,1,FALSE),SUM(J535:M535)),0),SUM(J535:M535))),IF('חד גזעי'!$AM$5="כן",IF(_xlfn.IFNA(VLOOKUP(C535,'חד גזעי'!$AH$2:$AH$33,1,FALSE),SUM(J535:M535))&lt;21,_xlfn.IFNA(VLOOKUP(C535,'חד גזעי'!$AH$2:$AH$33,1,FALSE),SUM(J535:M535)),0),SUM(J535:M535)))</f>
        <v>#N/A</v>
      </c>
      <c r="O535" s="72">
        <f>IF('חד גזעי'!$AM$3 = "כן",IF(T535&gt;4,4,T535),T535)</f>
        <v>0</v>
      </c>
      <c r="P535" s="80">
        <f>IF(E535&lt;2,0,IF(Z535&gt;0,Z535,IF(N535 = 0,0,IF('חד גזעי'!$AM$2 = "לא",IF(F535&gt;19,W535,0),IF(F535&gt;9,Y535,0)))))</f>
        <v>0</v>
      </c>
      <c r="Q535" s="77"/>
      <c r="R535" s="76"/>
      <c r="S535" t="e">
        <f>VLOOKUP(C535,'חד גזעי'!$Y$4:$Y$18,1,0)</f>
        <v>#N/A</v>
      </c>
      <c r="T535" s="72">
        <f>IF('חד גזעי'!$AM$6="לא",IF(P535=0,IF(BC535="שימור",IF('חד גזעי'!$AM$4="לא",IF(BC535="לא בוגר",0,IF(BC535="לא קיים",0,IF(J535=0,0,I535*0.1))),IF(BC535="לא בוגר",0,IF(BC535="לא קיים",0,IF(AB535=1,I535*0.1,E535*0.5)))),0),IF('חד גזעי'!$AM$4="לא",IF(BC535="לא בוגר",0,IF(BC535="לא קיים",0,IF(J535=0,0,I535*0.1))),IF(BC535="לא בוגר",0,IF(BC535="לא קיים",0,IF(AB535=1,I535*0.1,E535*0.5))))),IF(P535=0,IF(BC535="שימור",IF('חד גזעי'!$AM$4="לא",IF(BC535="לא בוגר",0,IF(BC535="לא קיים",0,IF(J535=0,0,I535*0.15))),IF(BC535="לא בוגר",0,IF(BC535="לא קיים",0,IF(AB535=1,I535*0.15,E535*0.5)))),0),IF('חד גזעי'!$AM$4="לא",IF(BC535="לא בוגר",0,IF(BC535="לא קיים",0,IF(J535=0,0,I535*0.15))),IF(BC535="לא בוגר",0,IF(BC535="לא קיים",0,IF(AB535=1,I535*0.15,E535*0.5))))))</f>
        <v>0</v>
      </c>
      <c r="V535" t="e">
        <f t="shared" si="564"/>
        <v>#N/A</v>
      </c>
      <c r="W535" t="e">
        <f t="shared" si="565"/>
        <v>#N/A</v>
      </c>
      <c r="X535" t="e">
        <f t="shared" si="566"/>
        <v>#N/A</v>
      </c>
      <c r="Y535">
        <f>IF('חד גזעי'!$AM$2 = "לא",0,IF(F535&gt;9,W535,0))</f>
        <v>0</v>
      </c>
      <c r="Z535">
        <f>IF('חד גזעי'!$AM$7 = "לא",0,IF(C535 = "זית אירופי",IF('חד גזעי'!$AN$7 &lt;=סקר!F535,W535,0),IF(C535 = "חרוב מצוי",IF('חד גזעי'!$AN$7 &lt;=סקר!F535,W535,0),0)))</f>
        <v>0</v>
      </c>
      <c r="AB535">
        <f t="shared" si="544"/>
        <v>1</v>
      </c>
      <c r="AC535" s="72"/>
      <c r="AD535" t="e">
        <f t="shared" si="562"/>
        <v>#N/A</v>
      </c>
      <c r="AE535" s="72"/>
      <c r="AF535" s="72" t="e">
        <f t="shared" si="545"/>
        <v>#N/A</v>
      </c>
      <c r="AG535" s="72" t="e">
        <f>IF('חד גזעי'!$AM$5="לא",(VLOOKUP(C535,'חד גזעי'!$P$1:$S$589,3,FALSE)),(VLOOKUP(C535,'חד גזעי'!$P$1:$S$589,4,FALSE)))</f>
        <v>#N/A</v>
      </c>
      <c r="AH535" s="72">
        <f t="shared" si="546"/>
        <v>0</v>
      </c>
      <c r="AI535" s="72">
        <f t="shared" si="547"/>
        <v>0</v>
      </c>
      <c r="AJ535" s="72">
        <f t="shared" si="548"/>
        <v>0</v>
      </c>
      <c r="AK535" s="72" t="e">
        <f t="shared" si="549"/>
        <v>#N/A</v>
      </c>
      <c r="AL535" t="e">
        <f>VLOOKUP(C535,'חד גזעי'!$AH$8:$AI$33,2,FALSE)</f>
        <v>#N/A</v>
      </c>
      <c r="AM535" s="72" t="b">
        <f t="shared" si="550"/>
        <v>0</v>
      </c>
      <c r="AN535" s="72" t="b">
        <f t="shared" si="551"/>
        <v>0</v>
      </c>
      <c r="AO535" s="72" t="b">
        <f t="shared" si="552"/>
        <v>0</v>
      </c>
      <c r="AS535" s="72">
        <f t="shared" si="553"/>
        <v>0</v>
      </c>
      <c r="AT535" s="72">
        <f t="shared" si="554"/>
        <v>0</v>
      </c>
      <c r="AU535" s="72">
        <f t="shared" si="563"/>
        <v>0</v>
      </c>
      <c r="AV535" s="72">
        <f t="shared" si="555"/>
        <v>0</v>
      </c>
      <c r="AW535" s="72">
        <f t="shared" si="556"/>
        <v>0</v>
      </c>
      <c r="AX535" s="72">
        <f t="shared" si="557"/>
        <v>0</v>
      </c>
      <c r="AY535" s="72">
        <f t="shared" si="558"/>
        <v>0</v>
      </c>
      <c r="AZ535" s="72">
        <f t="shared" si="559"/>
        <v>0</v>
      </c>
      <c r="BA535" s="72" t="e">
        <f t="shared" si="560"/>
        <v>#N/A</v>
      </c>
      <c r="BB535" s="72" t="e">
        <f t="shared" si="561"/>
        <v>#N/A</v>
      </c>
      <c r="BC535" s="77"/>
      <c r="BE535">
        <f t="shared" si="541"/>
        <v>0</v>
      </c>
      <c r="BF535" s="196"/>
      <c r="BG535" s="196"/>
      <c r="BH535" s="196"/>
      <c r="BI535" s="196"/>
      <c r="BJ535" s="196"/>
      <c r="BK535" s="196"/>
    </row>
    <row r="536" spans="2:63" ht="12.75" hidden="1" customHeight="1">
      <c r="B536" s="72"/>
      <c r="C536" s="135"/>
      <c r="D536" s="73"/>
      <c r="E536" s="73"/>
      <c r="F536" s="72"/>
      <c r="G536" s="72"/>
      <c r="H536" s="72"/>
      <c r="I536" s="73">
        <f t="shared" si="543"/>
        <v>0</v>
      </c>
      <c r="J536" s="73"/>
      <c r="K536" s="73"/>
      <c r="L536" s="74" t="e">
        <f>_xlfn.IFNA(VLOOKUP(C536,'חד גזעי'!$U$3:$V$509,2,0),VLOOKUP(C536,'חד גזעי'!$U$3:$V$509,2))</f>
        <v>#N/A</v>
      </c>
      <c r="M536" s="73"/>
      <c r="N536" s="72" t="e">
        <f>_xlfn.IFNA(IF(VLOOKUP(C536,'חד גזעי'!$AH$2:$AH$7,1,FALSE)&gt;0,0,IF('חד גזעי'!$AM$5="כן",IF(_xlfn.IFNA(VLOOKUP(C536,'חד גזעי'!$AH$2:$AH$33,1,FALSE),SUM(J536:M536))&lt;21,_xlfn.IFNA(VLOOKUP(C536,'חד גזעי'!$AH$2:$AH$33,1,FALSE),SUM(J536:M536)),0),SUM(J536:M536))),IF('חד גזעי'!$AM$5="כן",IF(_xlfn.IFNA(VLOOKUP(C536,'חד גזעי'!$AH$2:$AH$33,1,FALSE),SUM(J536:M536))&lt;21,_xlfn.IFNA(VLOOKUP(C536,'חד גזעי'!$AH$2:$AH$33,1,FALSE),SUM(J536:M536)),0),SUM(J536:M536)))</f>
        <v>#N/A</v>
      </c>
      <c r="O536" s="72">
        <f>IF('חד גזעי'!$AM$3 = "כן",IF(T536&gt;4,4,T536),T536)</f>
        <v>0</v>
      </c>
      <c r="P536" s="80">
        <f>IF(E536&lt;2,0,IF(Z536&gt;0,Z536,IF(N536 = 0,0,IF('חד גזעי'!$AM$2 = "לא",IF(F536&gt;19,W536,0),IF(F536&gt;9,Y536,0)))))</f>
        <v>0</v>
      </c>
      <c r="Q536" s="77"/>
      <c r="R536" s="76"/>
      <c r="S536" t="e">
        <f>VLOOKUP(C536,'חד גזעי'!$Y$4:$Y$18,1,0)</f>
        <v>#N/A</v>
      </c>
      <c r="T536" s="72">
        <f>IF('חד גזעי'!$AM$6="לא",IF(P536=0,IF(BC536="שימור",IF('חד גזעי'!$AM$4="לא",IF(BC536="לא בוגר",0,IF(BC536="לא קיים",0,IF(J536=0,0,I536*0.1))),IF(BC536="לא בוגר",0,IF(BC536="לא קיים",0,IF(AB536=1,I536*0.1,E536*0.5)))),0),IF('חד גזעי'!$AM$4="לא",IF(BC536="לא בוגר",0,IF(BC536="לא קיים",0,IF(J536=0,0,I536*0.1))),IF(BC536="לא בוגר",0,IF(BC536="לא קיים",0,IF(AB536=1,I536*0.1,E536*0.5))))),IF(P536=0,IF(BC536="שימור",IF('חד גזעי'!$AM$4="לא",IF(BC536="לא בוגר",0,IF(BC536="לא קיים",0,IF(J536=0,0,I536*0.15))),IF(BC536="לא בוגר",0,IF(BC536="לא קיים",0,IF(AB536=1,I536*0.15,E536*0.5)))),0),IF('חד גזעי'!$AM$4="לא",IF(BC536="לא בוגר",0,IF(BC536="לא קיים",0,IF(J536=0,0,I536*0.15))),IF(BC536="לא בוגר",0,IF(BC536="לא קיים",0,IF(AB536=1,I536*0.15,E536*0.5))))))</f>
        <v>0</v>
      </c>
      <c r="V536" t="e">
        <f t="shared" si="564"/>
        <v>#N/A</v>
      </c>
      <c r="W536" t="e">
        <f t="shared" si="565"/>
        <v>#N/A</v>
      </c>
      <c r="X536" t="e">
        <f t="shared" si="566"/>
        <v>#N/A</v>
      </c>
      <c r="Y536">
        <f>IF('חד גזעי'!$AM$2 = "לא",0,IF(F536&gt;9,W536,0))</f>
        <v>0</v>
      </c>
      <c r="Z536">
        <f>IF('חד גזעי'!$AM$7 = "לא",0,IF(C536 = "זית אירופי",IF('חד גזעי'!$AN$7 &lt;=סקר!F536,W536,0),IF(C536 = "חרוב מצוי",IF('חד גזעי'!$AN$7 &lt;=סקר!F536,W536,0),0)))</f>
        <v>0</v>
      </c>
      <c r="AB536">
        <f t="shared" si="544"/>
        <v>1</v>
      </c>
      <c r="AC536" s="72"/>
      <c r="AD536" t="e">
        <f t="shared" si="562"/>
        <v>#N/A</v>
      </c>
      <c r="AE536" s="72"/>
      <c r="AF536" s="72" t="e">
        <f t="shared" si="545"/>
        <v>#N/A</v>
      </c>
      <c r="AG536" s="72" t="e">
        <f>IF('חד גזעי'!$AM$5="לא",(VLOOKUP(C536,'חד גזעי'!$P$1:$S$589,3,FALSE)),(VLOOKUP(C536,'חד גזעי'!$P$1:$S$589,4,FALSE)))</f>
        <v>#N/A</v>
      </c>
      <c r="AH536" s="72">
        <f t="shared" si="546"/>
        <v>0</v>
      </c>
      <c r="AI536" s="72">
        <f t="shared" si="547"/>
        <v>0</v>
      </c>
      <c r="AJ536" s="72">
        <f t="shared" si="548"/>
        <v>0</v>
      </c>
      <c r="AK536" s="72" t="e">
        <f t="shared" si="549"/>
        <v>#N/A</v>
      </c>
      <c r="AL536" t="e">
        <f>VLOOKUP(C536,'חד גזעי'!$AH$8:$AI$33,2,FALSE)</f>
        <v>#N/A</v>
      </c>
      <c r="AM536" s="72" t="b">
        <f t="shared" si="550"/>
        <v>0</v>
      </c>
      <c r="AN536" s="72" t="b">
        <f t="shared" si="551"/>
        <v>0</v>
      </c>
      <c r="AO536" s="72" t="b">
        <f t="shared" si="552"/>
        <v>0</v>
      </c>
      <c r="AS536" s="72">
        <f t="shared" si="553"/>
        <v>0</v>
      </c>
      <c r="AT536" s="72">
        <f t="shared" si="554"/>
        <v>0</v>
      </c>
      <c r="AU536" s="72">
        <f t="shared" si="563"/>
        <v>0</v>
      </c>
      <c r="AV536" s="72">
        <f t="shared" si="555"/>
        <v>0</v>
      </c>
      <c r="AW536" s="72">
        <f t="shared" si="556"/>
        <v>0</v>
      </c>
      <c r="AX536" s="72">
        <f t="shared" si="557"/>
        <v>0</v>
      </c>
      <c r="AY536" s="72">
        <f t="shared" si="558"/>
        <v>0</v>
      </c>
      <c r="AZ536" s="72">
        <f t="shared" si="559"/>
        <v>0</v>
      </c>
      <c r="BA536" s="72" t="e">
        <f t="shared" si="560"/>
        <v>#N/A</v>
      </c>
      <c r="BB536" s="72" t="e">
        <f t="shared" si="561"/>
        <v>#N/A</v>
      </c>
      <c r="BC536" s="77"/>
      <c r="BE536">
        <f t="shared" si="541"/>
        <v>0</v>
      </c>
      <c r="BF536" s="196"/>
      <c r="BG536" s="196"/>
      <c r="BH536" s="196"/>
      <c r="BI536" s="196"/>
      <c r="BJ536" s="196"/>
      <c r="BK536" s="196"/>
    </row>
    <row r="537" spans="2:63" hidden="1">
      <c r="B537" s="72"/>
      <c r="C537" s="135"/>
      <c r="D537" s="73"/>
      <c r="E537" s="73"/>
      <c r="F537" s="72"/>
      <c r="G537" s="72"/>
      <c r="H537" s="72"/>
      <c r="I537" s="73">
        <f t="shared" si="543"/>
        <v>0</v>
      </c>
      <c r="J537" s="73"/>
      <c r="K537" s="73"/>
      <c r="L537" s="74" t="e">
        <f>_xlfn.IFNA(VLOOKUP(C537,'חד גזעי'!$U$3:$V$509,2,0),VLOOKUP(C537,'חד גזעי'!$U$3:$V$509,2))</f>
        <v>#N/A</v>
      </c>
      <c r="M537" s="73"/>
      <c r="N537" s="72" t="e">
        <f>_xlfn.IFNA(IF(VLOOKUP(C537,'חד גזעי'!$AH$2:$AH$7,1,FALSE)&gt;0,0,IF('חד גזעי'!$AM$5="כן",IF(_xlfn.IFNA(VLOOKUP(C537,'חד גזעי'!$AH$2:$AH$33,1,FALSE),SUM(J537:M537))&lt;21,_xlfn.IFNA(VLOOKUP(C537,'חד גזעי'!$AH$2:$AH$33,1,FALSE),SUM(J537:M537)),0),SUM(J537:M537))),IF('חד גזעי'!$AM$5="כן",IF(_xlfn.IFNA(VLOOKUP(C537,'חד גזעי'!$AH$2:$AH$33,1,FALSE),SUM(J537:M537))&lt;21,_xlfn.IFNA(VLOOKUP(C537,'חד גזעי'!$AH$2:$AH$33,1,FALSE),SUM(J537:M537)),0),SUM(J537:M537)))</f>
        <v>#N/A</v>
      </c>
      <c r="O537" s="72">
        <f>IF('חד גזעי'!$AM$3 = "כן",IF(T537&gt;4,4,T537),T537)</f>
        <v>0</v>
      </c>
      <c r="P537" s="80">
        <f>IF(E537&lt;2,0,IF(Z537&gt;0,Z537,IF(N537 = 0,0,IF('חד גזעי'!$AM$2 = "לא",IF(F537&gt;19,W537,0),IF(F537&gt;9,Y537,0)))))</f>
        <v>0</v>
      </c>
      <c r="Q537" s="77"/>
      <c r="R537" s="76"/>
      <c r="S537" t="e">
        <f>VLOOKUP(C537,'חד גזעי'!$Y$4:$Y$18,1,0)</f>
        <v>#N/A</v>
      </c>
      <c r="T537" s="72">
        <f>IF('חד גזעי'!$AM$6="לא",IF(P537=0,IF(BC537="שימור",IF('חד גזעי'!$AM$4="לא",IF(BC537="לא בוגר",0,IF(BC537="לא קיים",0,IF(J537=0,0,I537*0.1))),IF(BC537="לא בוגר",0,IF(BC537="לא קיים",0,IF(AB537=1,I537*0.1,E537*0.5)))),0),IF('חד גזעי'!$AM$4="לא",IF(BC537="לא בוגר",0,IF(BC537="לא קיים",0,IF(J537=0,0,I537*0.1))),IF(BC537="לא בוגר",0,IF(BC537="לא קיים",0,IF(AB537=1,I537*0.1,E537*0.5))))),IF(P537=0,IF(BC537="שימור",IF('חד גזעי'!$AM$4="לא",IF(BC537="לא בוגר",0,IF(BC537="לא קיים",0,IF(J537=0,0,I537*0.15))),IF(BC537="לא בוגר",0,IF(BC537="לא קיים",0,IF(AB537=1,I537*0.15,E537*0.5)))),0),IF('חד גזעי'!$AM$4="לא",IF(BC537="לא בוגר",0,IF(BC537="לא קיים",0,IF(J537=0,0,I537*0.15))),IF(BC537="לא בוגר",0,IF(BC537="לא קיים",0,IF(AB537=1,I537*0.15,E537*0.5))))))</f>
        <v>0</v>
      </c>
      <c r="V537" t="e">
        <f t="shared" si="564"/>
        <v>#N/A</v>
      </c>
      <c r="W537" t="e">
        <f t="shared" si="565"/>
        <v>#N/A</v>
      </c>
      <c r="X537" t="e">
        <f t="shared" si="566"/>
        <v>#N/A</v>
      </c>
      <c r="Y537">
        <f>IF('חד גזעי'!$AM$2 = "לא",0,IF(F537&gt;9,W537,0))</f>
        <v>0</v>
      </c>
      <c r="Z537">
        <f>IF('חד גזעי'!$AM$7 = "לא",0,IF(C537 = "זית אירופי",IF('חד גזעי'!$AN$7 &lt;=סקר!F537,W537,0),IF(C537 = "חרוב מצוי",IF('חד גזעי'!$AN$7 &lt;=סקר!F537,W537,0),0)))</f>
        <v>0</v>
      </c>
      <c r="AB537">
        <f t="shared" si="544"/>
        <v>1</v>
      </c>
      <c r="AC537" s="72"/>
      <c r="AD537" t="e">
        <f t="shared" si="562"/>
        <v>#N/A</v>
      </c>
      <c r="AE537" s="72"/>
      <c r="AF537" s="72" t="e">
        <f t="shared" si="545"/>
        <v>#N/A</v>
      </c>
      <c r="AG537" s="72" t="e">
        <f>IF('חד גזעי'!$AM$5="לא",(VLOOKUP(C537,'חד גזעי'!$P$1:$S$589,3,FALSE)),(VLOOKUP(C537,'חד גזעי'!$P$1:$S$589,4,FALSE)))</f>
        <v>#N/A</v>
      </c>
      <c r="AH537" s="72">
        <f t="shared" si="546"/>
        <v>0</v>
      </c>
      <c r="AI537" s="72">
        <f t="shared" si="547"/>
        <v>0</v>
      </c>
      <c r="AJ537" s="72">
        <f t="shared" si="548"/>
        <v>0</v>
      </c>
      <c r="AK537" s="72" t="e">
        <f t="shared" si="549"/>
        <v>#N/A</v>
      </c>
      <c r="AL537" t="e">
        <f>VLOOKUP(C537,'חד גזעי'!$AH$8:$AI$33,2,FALSE)</f>
        <v>#N/A</v>
      </c>
      <c r="AM537" s="72" t="b">
        <f t="shared" si="550"/>
        <v>0</v>
      </c>
      <c r="AN537" s="72" t="b">
        <f t="shared" si="551"/>
        <v>0</v>
      </c>
      <c r="AO537" s="72" t="b">
        <f t="shared" si="552"/>
        <v>0</v>
      </c>
      <c r="AS537" s="72">
        <f t="shared" si="553"/>
        <v>0</v>
      </c>
      <c r="AT537" s="72">
        <f t="shared" si="554"/>
        <v>0</v>
      </c>
      <c r="AU537" s="72">
        <f t="shared" si="563"/>
        <v>0</v>
      </c>
      <c r="AV537" s="72">
        <f t="shared" si="555"/>
        <v>0</v>
      </c>
      <c r="AW537" s="72">
        <f t="shared" si="556"/>
        <v>0</v>
      </c>
      <c r="AX537" s="72">
        <f t="shared" si="557"/>
        <v>0</v>
      </c>
      <c r="AY537" s="72">
        <f t="shared" si="558"/>
        <v>0</v>
      </c>
      <c r="AZ537" s="72">
        <f t="shared" si="559"/>
        <v>0</v>
      </c>
      <c r="BA537" s="72" t="e">
        <f t="shared" si="560"/>
        <v>#N/A</v>
      </c>
      <c r="BB537" s="72" t="e">
        <f t="shared" si="561"/>
        <v>#N/A</v>
      </c>
      <c r="BC537" s="77"/>
      <c r="BE537">
        <f t="shared" si="541"/>
        <v>0</v>
      </c>
      <c r="BF537" s="196"/>
      <c r="BG537" s="196"/>
      <c r="BH537" s="196"/>
      <c r="BI537" s="196"/>
      <c r="BJ537" s="196"/>
      <c r="BK537" s="196"/>
    </row>
    <row r="538" spans="2:63" hidden="1">
      <c r="B538" s="72"/>
      <c r="C538" s="135"/>
      <c r="D538" s="73"/>
      <c r="E538" s="73"/>
      <c r="F538" s="72"/>
      <c r="G538" s="72"/>
      <c r="H538" s="72"/>
      <c r="I538" s="73">
        <f t="shared" si="543"/>
        <v>0</v>
      </c>
      <c r="J538" s="73"/>
      <c r="K538" s="73"/>
      <c r="L538" s="74" t="e">
        <f>_xlfn.IFNA(VLOOKUP(C538,'חד גזעי'!$U$3:$V$509,2,0),VLOOKUP(C538,'חד גזעי'!$U$3:$V$509,2))</f>
        <v>#N/A</v>
      </c>
      <c r="M538" s="73"/>
      <c r="N538" s="72" t="e">
        <f>_xlfn.IFNA(IF(VLOOKUP(C538,'חד גזעי'!$AH$2:$AH$7,1,FALSE)&gt;0,0,IF('חד גזעי'!$AM$5="כן",IF(_xlfn.IFNA(VLOOKUP(C538,'חד גזעי'!$AH$2:$AH$33,1,FALSE),SUM(J538:M538))&lt;21,_xlfn.IFNA(VLOOKUP(C538,'חד גזעי'!$AH$2:$AH$33,1,FALSE),SUM(J538:M538)),0),SUM(J538:M538))),IF('חד גזעי'!$AM$5="כן",IF(_xlfn.IFNA(VLOOKUP(C538,'חד גזעי'!$AH$2:$AH$33,1,FALSE),SUM(J538:M538))&lt;21,_xlfn.IFNA(VLOOKUP(C538,'חד גזעי'!$AH$2:$AH$33,1,FALSE),SUM(J538:M538)),0),SUM(J538:M538)))</f>
        <v>#N/A</v>
      </c>
      <c r="O538" s="72">
        <f>IF('חד גזעי'!$AM$3 = "כן",IF(T538&gt;4,4,T538),T538)</f>
        <v>0</v>
      </c>
      <c r="P538" s="80">
        <f>IF(E538&lt;2,0,IF(Z538&gt;0,Z538,IF(N538 = 0,0,IF('חד גזעי'!$AM$2 = "לא",IF(F538&gt;19,W538,0),IF(F538&gt;9,Y538,0)))))</f>
        <v>0</v>
      </c>
      <c r="Q538" s="77"/>
      <c r="R538" s="76"/>
      <c r="S538" t="e">
        <f>VLOOKUP(C538,'חד גזעי'!$Y$4:$Y$18,1,0)</f>
        <v>#N/A</v>
      </c>
      <c r="T538" s="72">
        <f>IF('חד גזעי'!$AM$6="לא",IF(P538=0,IF(BC538="שימור",IF('חד גזעי'!$AM$4="לא",IF(BC538="לא בוגר",0,IF(BC538="לא קיים",0,IF(J538=0,0,I538*0.1))),IF(BC538="לא בוגר",0,IF(BC538="לא קיים",0,IF(AB538=1,I538*0.1,E538*0.5)))),0),IF('חד גזעי'!$AM$4="לא",IF(BC538="לא בוגר",0,IF(BC538="לא קיים",0,IF(J538=0,0,I538*0.1))),IF(BC538="לא בוגר",0,IF(BC538="לא קיים",0,IF(AB538=1,I538*0.1,E538*0.5))))),IF(P538=0,IF(BC538="שימור",IF('חד גזעי'!$AM$4="לא",IF(BC538="לא בוגר",0,IF(BC538="לא קיים",0,IF(J538=0,0,I538*0.15))),IF(BC538="לא בוגר",0,IF(BC538="לא קיים",0,IF(AB538=1,I538*0.15,E538*0.5)))),0),IF('חד גזעי'!$AM$4="לא",IF(BC538="לא בוגר",0,IF(BC538="לא קיים",0,IF(J538=0,0,I538*0.15))),IF(BC538="לא בוגר",0,IF(BC538="לא קיים",0,IF(AB538=1,I538*0.15,E538*0.5))))))</f>
        <v>0</v>
      </c>
      <c r="V538" t="e">
        <f t="shared" si="564"/>
        <v>#N/A</v>
      </c>
      <c r="W538" t="e">
        <f t="shared" si="565"/>
        <v>#N/A</v>
      </c>
      <c r="X538" t="e">
        <f t="shared" si="566"/>
        <v>#N/A</v>
      </c>
      <c r="Y538">
        <f>IF('חד גזעי'!$AM$2 = "לא",0,IF(F538&gt;9,W538,0))</f>
        <v>0</v>
      </c>
      <c r="Z538">
        <f>IF('חד גזעי'!$AM$7 = "לא",0,IF(C538 = "זית אירופי",IF('חד גזעי'!$AN$7 &lt;=סקר!F538,W538,0),IF(C538 = "חרוב מצוי",IF('חד גזעי'!$AN$7 &lt;=סקר!F538,W538,0),0)))</f>
        <v>0</v>
      </c>
      <c r="AB538">
        <f t="shared" si="544"/>
        <v>1</v>
      </c>
      <c r="AC538" s="72"/>
      <c r="AD538" t="e">
        <f>IF(AK538&gt;0,AK538,AF538)</f>
        <v>#N/A</v>
      </c>
      <c r="AE538" s="72"/>
      <c r="AF538" s="72" t="e">
        <f t="shared" si="545"/>
        <v>#N/A</v>
      </c>
      <c r="AG538" s="72" t="e">
        <f>IF('חד גזעי'!$AM$5="לא",(VLOOKUP(C538,'חד גזעי'!$P$1:$S$589,3,FALSE)),(VLOOKUP(C538,'חד גזעי'!$P$1:$S$589,4,FALSE)))</f>
        <v>#N/A</v>
      </c>
      <c r="AH538" s="72">
        <f t="shared" si="546"/>
        <v>0</v>
      </c>
      <c r="AI538" s="72">
        <f t="shared" si="547"/>
        <v>0</v>
      </c>
      <c r="AJ538" s="72">
        <f t="shared" si="548"/>
        <v>0</v>
      </c>
      <c r="AK538" s="72" t="e">
        <f t="shared" si="549"/>
        <v>#N/A</v>
      </c>
      <c r="AL538" t="e">
        <f>VLOOKUP(C538,'חד גזעי'!$AH$8:$AI$33,2,FALSE)</f>
        <v>#N/A</v>
      </c>
      <c r="AM538" s="72" t="b">
        <f t="shared" si="550"/>
        <v>0</v>
      </c>
      <c r="AN538" s="72" t="b">
        <f t="shared" si="551"/>
        <v>0</v>
      </c>
      <c r="AO538" s="72" t="b">
        <f t="shared" si="552"/>
        <v>0</v>
      </c>
      <c r="AS538" s="72">
        <f t="shared" si="553"/>
        <v>0</v>
      </c>
      <c r="AT538" s="72">
        <f t="shared" si="554"/>
        <v>0</v>
      </c>
      <c r="AU538" s="72">
        <f>IF(C538&gt;0,IF(D538&lt;2,1,D538),0)</f>
        <v>0</v>
      </c>
      <c r="AV538" s="72">
        <f t="shared" si="555"/>
        <v>0</v>
      </c>
      <c r="AW538" s="72">
        <f t="shared" si="556"/>
        <v>0</v>
      </c>
      <c r="AX538" s="72">
        <f t="shared" si="557"/>
        <v>0</v>
      </c>
      <c r="AY538" s="72">
        <f t="shared" si="558"/>
        <v>0</v>
      </c>
      <c r="AZ538" s="72">
        <f t="shared" si="559"/>
        <v>0</v>
      </c>
      <c r="BA538" s="72" t="e">
        <f t="shared" si="560"/>
        <v>#N/A</v>
      </c>
      <c r="BB538" s="72" t="e">
        <f t="shared" si="561"/>
        <v>#N/A</v>
      </c>
      <c r="BC538" s="77"/>
      <c r="BE538">
        <f t="shared" si="541"/>
        <v>0</v>
      </c>
      <c r="BF538" s="196"/>
      <c r="BG538" s="196"/>
      <c r="BH538" s="196"/>
      <c r="BI538" s="196"/>
      <c r="BJ538" s="196"/>
      <c r="BK538" s="196"/>
    </row>
    <row r="539" spans="2:63" hidden="1">
      <c r="B539" s="72"/>
      <c r="C539" s="135"/>
      <c r="D539" s="73"/>
      <c r="E539" s="73"/>
      <c r="F539" s="72"/>
      <c r="G539" s="72"/>
      <c r="H539" s="72"/>
      <c r="I539" s="73">
        <f t="shared" si="543"/>
        <v>0</v>
      </c>
      <c r="J539" s="73"/>
      <c r="K539" s="73"/>
      <c r="L539" s="74" t="e">
        <f>_xlfn.IFNA(VLOOKUP(C539,'חד גזעי'!$U$3:$V$509,2,0),VLOOKUP(C539,'חד גזעי'!$U$3:$V$509,2))</f>
        <v>#N/A</v>
      </c>
      <c r="M539" s="73"/>
      <c r="N539" s="72" t="e">
        <f>_xlfn.IFNA(IF(VLOOKUP(C539,'חד גזעי'!$AH$2:$AH$7,1,FALSE)&gt;0,0,IF('חד גזעי'!$AM$5="כן",IF(_xlfn.IFNA(VLOOKUP(C539,'חד גזעי'!$AH$2:$AH$33,1,FALSE),SUM(J539:M539))&lt;21,_xlfn.IFNA(VLOOKUP(C539,'חד גזעי'!$AH$2:$AH$33,1,FALSE),SUM(J539:M539)),0),SUM(J539:M539))),IF('חד גזעי'!$AM$5="כן",IF(_xlfn.IFNA(VLOOKUP(C539,'חד גזעי'!$AH$2:$AH$33,1,FALSE),SUM(J539:M539))&lt;21,_xlfn.IFNA(VLOOKUP(C539,'חד גזעי'!$AH$2:$AH$33,1,FALSE),SUM(J539:M539)),0),SUM(J539:M539)))</f>
        <v>#N/A</v>
      </c>
      <c r="O539" s="72">
        <f>IF('חד גזעי'!$AM$3 = "כן",IF(T539&gt;4,4,T539),T539)</f>
        <v>0</v>
      </c>
      <c r="P539" s="80">
        <f>IF(E539&lt;2,0,IF(Z539&gt;0,Z539,IF(N539 = 0,0,IF('חד גזעי'!$AM$2 = "לא",IF(F539&gt;19,W539,0),IF(F539&gt;9,Y539,0)))))</f>
        <v>0</v>
      </c>
      <c r="Q539" s="77"/>
      <c r="R539" s="76"/>
      <c r="S539" t="e">
        <f>VLOOKUP(C539,'חד גזעי'!$Y$4:$Y$18,1,0)</f>
        <v>#N/A</v>
      </c>
      <c r="T539" s="72">
        <f>IF('חד גזעי'!$AM$6="לא",IF(P539=0,IF(BC539="שימור",IF('חד גזעי'!$AM$4="לא",IF(BC539="לא בוגר",0,IF(BC539="לא קיים",0,IF(J539=0,0,I539*0.1))),IF(BC539="לא בוגר",0,IF(BC539="לא קיים",0,IF(AB539=1,I539*0.1,E539*0.5)))),0),IF('חד גזעי'!$AM$4="לא",IF(BC539="לא בוגר",0,IF(BC539="לא קיים",0,IF(J539=0,0,I539*0.1))),IF(BC539="לא בוגר",0,IF(BC539="לא קיים",0,IF(AB539=1,I539*0.1,E539*0.5))))),IF(P539=0,IF(BC539="שימור",IF('חד גזעי'!$AM$4="לא",IF(BC539="לא בוגר",0,IF(BC539="לא קיים",0,IF(J539=0,0,I539*0.15))),IF(BC539="לא בוגר",0,IF(BC539="לא קיים",0,IF(AB539=1,I539*0.15,E539*0.5)))),0),IF('חד גזעי'!$AM$4="לא",IF(BC539="לא בוגר",0,IF(BC539="לא קיים",0,IF(J539=0,0,I539*0.15))),IF(BC539="לא בוגר",0,IF(BC539="לא קיים",0,IF(AB539=1,I539*0.15,E539*0.5))))))</f>
        <v>0</v>
      </c>
      <c r="V539" t="e">
        <f t="shared" si="564"/>
        <v>#N/A</v>
      </c>
      <c r="W539" t="e">
        <f t="shared" si="565"/>
        <v>#N/A</v>
      </c>
      <c r="X539" t="e">
        <f t="shared" si="566"/>
        <v>#N/A</v>
      </c>
      <c r="Y539">
        <f>IF('חד גזעי'!$AM$2 = "לא",0,IF(F539&gt;9,W539,0))</f>
        <v>0</v>
      </c>
      <c r="Z539">
        <f>IF('חד גזעי'!$AM$7 = "לא",0,IF(C539 = "זית אירופי",IF('חד גזעי'!$AN$7 &lt;=סקר!F539,W539,0),IF(C539 = "חרוב מצוי",IF('חד גזעי'!$AN$7 &lt;=סקר!F539,W539,0),0)))</f>
        <v>0</v>
      </c>
      <c r="AB539">
        <f t="shared" si="544"/>
        <v>1</v>
      </c>
      <c r="AC539" s="72"/>
      <c r="AD539" t="e">
        <f t="shared" si="562"/>
        <v>#N/A</v>
      </c>
      <c r="AE539" s="72"/>
      <c r="AF539" s="72" t="e">
        <f t="shared" si="545"/>
        <v>#N/A</v>
      </c>
      <c r="AG539" s="72" t="e">
        <f>IF('חד גזעי'!$AM$5="לא",(VLOOKUP(C539,'חד גזעי'!$P$1:$S$589,3,FALSE)),(VLOOKUP(C539,'חד גזעי'!$P$1:$S$589,4,FALSE)))</f>
        <v>#N/A</v>
      </c>
      <c r="AH539" s="72">
        <f t="shared" si="546"/>
        <v>0</v>
      </c>
      <c r="AI539" s="72">
        <f t="shared" si="547"/>
        <v>0</v>
      </c>
      <c r="AJ539" s="72">
        <f t="shared" si="548"/>
        <v>0</v>
      </c>
      <c r="AK539" s="72" t="e">
        <f t="shared" si="549"/>
        <v>#N/A</v>
      </c>
      <c r="AL539" t="e">
        <f>VLOOKUP(C539,'חד גזעי'!$AH$8:$AI$33,2,FALSE)</f>
        <v>#N/A</v>
      </c>
      <c r="AM539" s="72" t="b">
        <f t="shared" si="550"/>
        <v>0</v>
      </c>
      <c r="AN539" s="72" t="b">
        <f t="shared" si="551"/>
        <v>0</v>
      </c>
      <c r="AO539" s="72" t="b">
        <f t="shared" si="552"/>
        <v>0</v>
      </c>
      <c r="AS539" s="72">
        <f t="shared" si="553"/>
        <v>0</v>
      </c>
      <c r="AT539" s="72">
        <f t="shared" si="554"/>
        <v>0</v>
      </c>
      <c r="AU539" s="72">
        <f t="shared" si="563"/>
        <v>0</v>
      </c>
      <c r="AV539" s="72">
        <f t="shared" si="555"/>
        <v>0</v>
      </c>
      <c r="AW539" s="72">
        <f t="shared" si="556"/>
        <v>0</v>
      </c>
      <c r="AX539" s="72">
        <f t="shared" si="557"/>
        <v>0</v>
      </c>
      <c r="AY539" s="72">
        <f t="shared" si="558"/>
        <v>0</v>
      </c>
      <c r="AZ539" s="72">
        <f t="shared" si="559"/>
        <v>0</v>
      </c>
      <c r="BA539" s="72" t="e">
        <f t="shared" si="560"/>
        <v>#N/A</v>
      </c>
      <c r="BB539" s="72" t="e">
        <f t="shared" si="561"/>
        <v>#N/A</v>
      </c>
      <c r="BC539" s="77"/>
      <c r="BE539">
        <f t="shared" si="541"/>
        <v>0</v>
      </c>
      <c r="BF539" s="196"/>
      <c r="BG539" s="196"/>
      <c r="BH539" s="196"/>
      <c r="BI539" s="196"/>
      <c r="BJ539" s="196"/>
      <c r="BK539" s="196"/>
    </row>
    <row r="540" spans="2:63" hidden="1">
      <c r="B540" s="72"/>
      <c r="C540" s="135"/>
      <c r="D540" s="73"/>
      <c r="E540" s="73"/>
      <c r="F540" s="72"/>
      <c r="G540" s="72"/>
      <c r="H540" s="72"/>
      <c r="I540" s="73">
        <f t="shared" si="543"/>
        <v>0</v>
      </c>
      <c r="J540" s="73"/>
      <c r="K540" s="73"/>
      <c r="L540" s="74" t="e">
        <f>_xlfn.IFNA(VLOOKUP(C540,'חד גזעי'!$U$3:$V$509,2,0),VLOOKUP(C540,'חד גזעי'!$U$3:$V$509,2))</f>
        <v>#N/A</v>
      </c>
      <c r="M540" s="73"/>
      <c r="N540" s="72" t="e">
        <f>_xlfn.IFNA(IF(VLOOKUP(C540,'חד גזעי'!$AH$2:$AH$7,1,FALSE)&gt;0,0,IF('חד גזעי'!$AM$5="כן",IF(_xlfn.IFNA(VLOOKUP(C540,'חד גזעי'!$AH$2:$AH$33,1,FALSE),SUM(J540:M540))&lt;21,_xlfn.IFNA(VLOOKUP(C540,'חד גזעי'!$AH$2:$AH$33,1,FALSE),SUM(J540:M540)),0),SUM(J540:M540))),IF('חד גזעי'!$AM$5="כן",IF(_xlfn.IFNA(VLOOKUP(C540,'חד גזעי'!$AH$2:$AH$33,1,FALSE),SUM(J540:M540))&lt;21,_xlfn.IFNA(VLOOKUP(C540,'חד גזעי'!$AH$2:$AH$33,1,FALSE),SUM(J540:M540)),0),SUM(J540:M540)))</f>
        <v>#N/A</v>
      </c>
      <c r="O540" s="72">
        <f>IF('חד גזעי'!$AM$3 = "כן",IF(T540&gt;4,4,T540),T540)</f>
        <v>0</v>
      </c>
      <c r="P540" s="80">
        <f>IF(E540&lt;2,0,IF(Z540&gt;0,Z540,IF(N540 = 0,0,IF('חד גזעי'!$AM$2 = "לא",IF(F540&gt;19,W540,0),IF(F540&gt;9,Y540,0)))))</f>
        <v>0</v>
      </c>
      <c r="Q540" s="77"/>
      <c r="R540" s="76"/>
      <c r="S540" t="e">
        <f>VLOOKUP(C540,'חד גזעי'!$Y$4:$Y$18,1,0)</f>
        <v>#N/A</v>
      </c>
      <c r="T540" s="72">
        <f>IF('חד גזעי'!$AM$6="לא",IF(P540=0,IF(BC540="שימור",IF('חד גזעי'!$AM$4="לא",IF(BC540="לא בוגר",0,IF(BC540="לא קיים",0,IF(J540=0,0,I540*0.1))),IF(BC540="לא בוגר",0,IF(BC540="לא קיים",0,IF(AB540=1,I540*0.1,E540*0.5)))),0),IF('חד גזעי'!$AM$4="לא",IF(BC540="לא בוגר",0,IF(BC540="לא קיים",0,IF(J540=0,0,I540*0.1))),IF(BC540="לא בוגר",0,IF(BC540="לא קיים",0,IF(AB540=1,I540*0.1,E540*0.5))))),IF(P540=0,IF(BC540="שימור",IF('חד גזעי'!$AM$4="לא",IF(BC540="לא בוגר",0,IF(BC540="לא קיים",0,IF(J540=0,0,I540*0.15))),IF(BC540="לא בוגר",0,IF(BC540="לא קיים",0,IF(AB540=1,I540*0.15,E540*0.5)))),0),IF('חד גזעי'!$AM$4="לא",IF(BC540="לא בוגר",0,IF(BC540="לא קיים",0,IF(J540=0,0,I540*0.15))),IF(BC540="לא בוגר",0,IF(BC540="לא קיים",0,IF(AB540=1,I540*0.15,E540*0.5))))))</f>
        <v>0</v>
      </c>
      <c r="V540" t="e">
        <f t="shared" si="564"/>
        <v>#N/A</v>
      </c>
      <c r="W540" t="e">
        <f t="shared" si="565"/>
        <v>#N/A</v>
      </c>
      <c r="X540" t="e">
        <f t="shared" si="566"/>
        <v>#N/A</v>
      </c>
      <c r="Y540">
        <f>IF('חד גזעי'!$AM$2 = "לא",0,IF(F540&gt;9,W540,0))</f>
        <v>0</v>
      </c>
      <c r="Z540">
        <f>IF('חד גזעי'!$AM$7 = "לא",0,IF(C540 = "זית אירופי",IF('חד גזעי'!$AN$7 &lt;=סקר!F540,W540,0),IF(C540 = "חרוב מצוי",IF('חד גזעי'!$AN$7 &lt;=סקר!F540,W540,0),0)))</f>
        <v>0</v>
      </c>
      <c r="AB540">
        <f t="shared" si="544"/>
        <v>1</v>
      </c>
      <c r="AC540" s="72"/>
      <c r="AD540" t="e">
        <f t="shared" si="562"/>
        <v>#N/A</v>
      </c>
      <c r="AE540" s="72"/>
      <c r="AF540" s="72" t="e">
        <f t="shared" si="545"/>
        <v>#N/A</v>
      </c>
      <c r="AG540" s="72" t="e">
        <f>IF('חד גזעי'!$AM$5="לא",(VLOOKUP(C540,'חד גזעי'!$P$1:$S$589,3,FALSE)),(VLOOKUP(C540,'חד גזעי'!$P$1:$S$589,4,FALSE)))</f>
        <v>#N/A</v>
      </c>
      <c r="AH540" s="72">
        <f t="shared" si="546"/>
        <v>0</v>
      </c>
      <c r="AI540" s="72">
        <f t="shared" si="547"/>
        <v>0</v>
      </c>
      <c r="AJ540" s="72">
        <f t="shared" si="548"/>
        <v>0</v>
      </c>
      <c r="AK540" s="72" t="e">
        <f t="shared" si="549"/>
        <v>#N/A</v>
      </c>
      <c r="AL540" t="e">
        <f>VLOOKUP(C540,'חד גזעי'!$AH$8:$AI$33,2,FALSE)</f>
        <v>#N/A</v>
      </c>
      <c r="AM540" s="72" t="b">
        <f t="shared" si="550"/>
        <v>0</v>
      </c>
      <c r="AN540" s="72" t="b">
        <f t="shared" si="551"/>
        <v>0</v>
      </c>
      <c r="AO540" s="72" t="b">
        <f t="shared" si="552"/>
        <v>0</v>
      </c>
      <c r="AS540" s="72">
        <f t="shared" si="553"/>
        <v>0</v>
      </c>
      <c r="AT540" s="72">
        <f t="shared" si="554"/>
        <v>0</v>
      </c>
      <c r="AU540" s="72">
        <f t="shared" si="563"/>
        <v>0</v>
      </c>
      <c r="AV540" s="72">
        <f t="shared" si="555"/>
        <v>0</v>
      </c>
      <c r="AW540" s="72">
        <f t="shared" si="556"/>
        <v>0</v>
      </c>
      <c r="AX540" s="72">
        <f t="shared" si="557"/>
        <v>0</v>
      </c>
      <c r="AY540" s="72">
        <f t="shared" si="558"/>
        <v>0</v>
      </c>
      <c r="AZ540" s="72">
        <f t="shared" si="559"/>
        <v>0</v>
      </c>
      <c r="BA540" s="72" t="e">
        <f t="shared" si="560"/>
        <v>#N/A</v>
      </c>
      <c r="BB540" s="72" t="e">
        <f t="shared" si="561"/>
        <v>#N/A</v>
      </c>
      <c r="BC540" s="77"/>
      <c r="BE540">
        <f t="shared" si="541"/>
        <v>0</v>
      </c>
      <c r="BF540" s="196"/>
      <c r="BG540" s="196"/>
      <c r="BH540" s="196"/>
      <c r="BI540" s="196"/>
      <c r="BJ540" s="196"/>
      <c r="BK540" s="196"/>
    </row>
    <row r="541" spans="2:63" hidden="1">
      <c r="B541" s="72"/>
      <c r="C541" s="135"/>
      <c r="D541" s="73"/>
      <c r="E541" s="73"/>
      <c r="F541" s="72"/>
      <c r="G541" s="72"/>
      <c r="H541" s="72"/>
      <c r="I541" s="73">
        <f t="shared" si="543"/>
        <v>0</v>
      </c>
      <c r="J541" s="73"/>
      <c r="K541" s="73"/>
      <c r="L541" s="74" t="e">
        <f>_xlfn.IFNA(VLOOKUP(C541,'חד גזעי'!$U$3:$V$509,2,0),VLOOKUP(C541,'חד גזעי'!$U$3:$V$509,2))</f>
        <v>#N/A</v>
      </c>
      <c r="M541" s="73"/>
      <c r="N541" s="72" t="e">
        <f>_xlfn.IFNA(IF(VLOOKUP(C541,'חד גזעי'!$AH$2:$AH$7,1,FALSE)&gt;0,0,IF('חד גזעי'!$AM$5="כן",IF(_xlfn.IFNA(VLOOKUP(C541,'חד גזעי'!$AH$2:$AH$33,1,FALSE),SUM(J541:M541))&lt;21,_xlfn.IFNA(VLOOKUP(C541,'חד גזעי'!$AH$2:$AH$33,1,FALSE),SUM(J541:M541)),0),SUM(J541:M541))),IF('חד גזעי'!$AM$5="כן",IF(_xlfn.IFNA(VLOOKUP(C541,'חד גזעי'!$AH$2:$AH$33,1,FALSE),SUM(J541:M541))&lt;21,_xlfn.IFNA(VLOOKUP(C541,'חד גזעי'!$AH$2:$AH$33,1,FALSE),SUM(J541:M541)),0),SUM(J541:M541)))</f>
        <v>#N/A</v>
      </c>
      <c r="O541" s="72">
        <f>IF('חד גזעי'!$AM$3 = "כן",IF(T541&gt;4,4,T541),T541)</f>
        <v>0</v>
      </c>
      <c r="P541" s="80">
        <f>IF(E541&lt;2,0,IF(Z541&gt;0,Z541,IF(N541 = 0,0,IF('חד גזעי'!$AM$2 = "לא",IF(F541&gt;19,W541,0),IF(F541&gt;9,Y541,0)))))</f>
        <v>0</v>
      </c>
      <c r="Q541" s="77"/>
      <c r="R541" s="76"/>
      <c r="S541" t="e">
        <f>VLOOKUP(C541,'חד גזעי'!$Y$4:$Y$18,1,0)</f>
        <v>#N/A</v>
      </c>
      <c r="T541" s="72">
        <f>IF('חד גזעי'!$AM$6="לא",IF(P541=0,IF(BC541="שימור",IF('חד גזעי'!$AM$4="לא",IF(BC541="לא בוגר",0,IF(BC541="לא קיים",0,IF(J541=0,0,I541*0.1))),IF(BC541="לא בוגר",0,IF(BC541="לא קיים",0,IF(AB541=1,I541*0.1,E541*0.5)))),0),IF('חד גזעי'!$AM$4="לא",IF(BC541="לא בוגר",0,IF(BC541="לא קיים",0,IF(J541=0,0,I541*0.1))),IF(BC541="לא בוגר",0,IF(BC541="לא קיים",0,IF(AB541=1,I541*0.1,E541*0.5))))),IF(P541=0,IF(BC541="שימור",IF('חד גזעי'!$AM$4="לא",IF(BC541="לא בוגר",0,IF(BC541="לא קיים",0,IF(J541=0,0,I541*0.15))),IF(BC541="לא בוגר",0,IF(BC541="לא קיים",0,IF(AB541=1,I541*0.15,E541*0.5)))),0),IF('חד גזעי'!$AM$4="לא",IF(BC541="לא בוגר",0,IF(BC541="לא קיים",0,IF(J541=0,0,I541*0.15))),IF(BC541="לא בוגר",0,IF(BC541="לא קיים",0,IF(AB541=1,I541*0.15,E541*0.5))))))</f>
        <v>0</v>
      </c>
      <c r="V541" t="e">
        <f t="shared" si="564"/>
        <v>#N/A</v>
      </c>
      <c r="W541" t="e">
        <f t="shared" si="565"/>
        <v>#N/A</v>
      </c>
      <c r="X541" t="e">
        <f t="shared" si="566"/>
        <v>#N/A</v>
      </c>
      <c r="Y541">
        <f>IF('חד גזעי'!$AM$2 = "לא",0,IF(F541&gt;9,W541,0))</f>
        <v>0</v>
      </c>
      <c r="Z541">
        <f>IF('חד גזעי'!$AM$7 = "לא",0,IF(C541 = "זית אירופי",IF('חד גזעי'!$AN$7 &lt;=סקר!F541,W541,0),IF(C541 = "חרוב מצוי",IF('חד גזעי'!$AN$7 &lt;=סקר!F541,W541,0),0)))</f>
        <v>0</v>
      </c>
      <c r="AB541">
        <f t="shared" si="544"/>
        <v>1</v>
      </c>
      <c r="AC541" s="72"/>
      <c r="AD541" t="e">
        <f t="shared" si="562"/>
        <v>#N/A</v>
      </c>
      <c r="AE541" s="72"/>
      <c r="AF541" s="72" t="e">
        <f t="shared" si="545"/>
        <v>#N/A</v>
      </c>
      <c r="AG541" s="72" t="e">
        <f>IF('חד גזעי'!$AM$5="לא",(VLOOKUP(C541,'חד גזעי'!$P$1:$S$589,3,FALSE)),(VLOOKUP(C541,'חד גזעי'!$P$1:$S$589,4,FALSE)))</f>
        <v>#N/A</v>
      </c>
      <c r="AH541" s="72">
        <f t="shared" si="546"/>
        <v>0</v>
      </c>
      <c r="AI541" s="72">
        <f t="shared" si="547"/>
        <v>0</v>
      </c>
      <c r="AJ541" s="72">
        <f t="shared" si="548"/>
        <v>0</v>
      </c>
      <c r="AK541" s="72" t="e">
        <f t="shared" si="549"/>
        <v>#N/A</v>
      </c>
      <c r="AL541" t="e">
        <f>VLOOKUP(C541,'חד גזעי'!$AH$8:$AI$33,2,FALSE)</f>
        <v>#N/A</v>
      </c>
      <c r="AM541" s="72" t="b">
        <f t="shared" si="550"/>
        <v>0</v>
      </c>
      <c r="AN541" s="72" t="b">
        <f t="shared" si="551"/>
        <v>0</v>
      </c>
      <c r="AO541" s="72" t="b">
        <f t="shared" si="552"/>
        <v>0</v>
      </c>
      <c r="AS541" s="72">
        <f t="shared" si="553"/>
        <v>0</v>
      </c>
      <c r="AT541" s="72">
        <f t="shared" si="554"/>
        <v>0</v>
      </c>
      <c r="AU541" s="72">
        <f t="shared" si="563"/>
        <v>0</v>
      </c>
      <c r="AV541" s="72">
        <f t="shared" si="555"/>
        <v>0</v>
      </c>
      <c r="AW541" s="72">
        <f t="shared" si="556"/>
        <v>0</v>
      </c>
      <c r="AX541" s="72">
        <f t="shared" si="557"/>
        <v>0</v>
      </c>
      <c r="AY541" s="72">
        <f t="shared" si="558"/>
        <v>0</v>
      </c>
      <c r="AZ541" s="72">
        <f t="shared" si="559"/>
        <v>0</v>
      </c>
      <c r="BA541" s="72" t="e">
        <f t="shared" si="560"/>
        <v>#N/A</v>
      </c>
      <c r="BB541" s="72" t="e">
        <f t="shared" si="561"/>
        <v>#N/A</v>
      </c>
      <c r="BC541" s="77"/>
      <c r="BE541">
        <f t="shared" si="541"/>
        <v>0</v>
      </c>
      <c r="BF541" s="196"/>
      <c r="BG541" s="196"/>
      <c r="BH541" s="196"/>
      <c r="BI541" s="196"/>
      <c r="BJ541" s="196"/>
      <c r="BK541" s="196"/>
    </row>
    <row r="542" spans="2:63" hidden="1">
      <c r="B542" s="72"/>
      <c r="C542" s="135"/>
      <c r="D542" s="73"/>
      <c r="E542" s="73"/>
      <c r="F542" s="72"/>
      <c r="G542" s="72"/>
      <c r="H542" s="72"/>
      <c r="I542" s="73">
        <f t="shared" si="543"/>
        <v>0</v>
      </c>
      <c r="J542" s="73"/>
      <c r="K542" s="73"/>
      <c r="L542" s="74" t="e">
        <f>_xlfn.IFNA(VLOOKUP(C542,'חד גזעי'!$U$3:$V$509,2,0),VLOOKUP(C542,'חד גזעי'!$U$3:$V$509,2))</f>
        <v>#N/A</v>
      </c>
      <c r="M542" s="73"/>
      <c r="N542" s="72" t="e">
        <f>_xlfn.IFNA(IF(VLOOKUP(C542,'חד גזעי'!$AH$2:$AH$7,1,FALSE)&gt;0,0,IF('חד גזעי'!$AM$5="כן",IF(_xlfn.IFNA(VLOOKUP(C542,'חד גזעי'!$AH$2:$AH$33,1,FALSE),SUM(J542:M542))&lt;21,_xlfn.IFNA(VLOOKUP(C542,'חד גזעי'!$AH$2:$AH$33,1,FALSE),SUM(J542:M542)),0),SUM(J542:M542))),IF('חד גזעי'!$AM$5="כן",IF(_xlfn.IFNA(VLOOKUP(C542,'חד גזעי'!$AH$2:$AH$33,1,FALSE),SUM(J542:M542))&lt;21,_xlfn.IFNA(VLOOKUP(C542,'חד גזעי'!$AH$2:$AH$33,1,FALSE),SUM(J542:M542)),0),SUM(J542:M542)))</f>
        <v>#N/A</v>
      </c>
      <c r="O542" s="72">
        <f>IF('חד גזעי'!$AM$3 = "כן",IF(T542&gt;4,4,T542),T542)</f>
        <v>0</v>
      </c>
      <c r="P542" s="80">
        <f>IF(E542&lt;2,0,IF(Z542&gt;0,Z542,IF(N542 = 0,0,IF('חד גזעי'!$AM$2 = "לא",IF(F542&gt;19,W542,0),IF(F542&gt;9,Y542,0)))))</f>
        <v>0</v>
      </c>
      <c r="Q542" s="77"/>
      <c r="R542" s="76"/>
      <c r="S542" t="e">
        <f>VLOOKUP(C542,'חד גזעי'!$Y$4:$Y$18,1,0)</f>
        <v>#N/A</v>
      </c>
      <c r="T542" s="72">
        <f>IF('חד גזעי'!$AM$6="לא",IF(P542=0,IF(BC542="שימור",IF('חד גזעי'!$AM$4="לא",IF(BC542="לא בוגר",0,IF(BC542="לא קיים",0,IF(J542=0,0,I542*0.1))),IF(BC542="לא בוגר",0,IF(BC542="לא קיים",0,IF(AB542=1,I542*0.1,E542*0.5)))),0),IF('חד גזעי'!$AM$4="לא",IF(BC542="לא בוגר",0,IF(BC542="לא קיים",0,IF(J542=0,0,I542*0.1))),IF(BC542="לא בוגר",0,IF(BC542="לא קיים",0,IF(AB542=1,I542*0.1,E542*0.5))))),IF(P542=0,IF(BC542="שימור",IF('חד גזעי'!$AM$4="לא",IF(BC542="לא בוגר",0,IF(BC542="לא קיים",0,IF(J542=0,0,I542*0.15))),IF(BC542="לא בוגר",0,IF(BC542="לא קיים",0,IF(AB542=1,I542*0.15,E542*0.5)))),0),IF('חד גזעי'!$AM$4="לא",IF(BC542="לא בוגר",0,IF(BC542="לא קיים",0,IF(J542=0,0,I542*0.15))),IF(BC542="לא בוגר",0,IF(BC542="לא קיים",0,IF(AB542=1,I542*0.15,E542*0.5))))))</f>
        <v>0</v>
      </c>
      <c r="V542" t="e">
        <f t="shared" si="564"/>
        <v>#N/A</v>
      </c>
      <c r="W542" t="e">
        <f t="shared" si="565"/>
        <v>#N/A</v>
      </c>
      <c r="X542" t="e">
        <f t="shared" si="566"/>
        <v>#N/A</v>
      </c>
      <c r="Y542">
        <f>IF('חד גזעי'!$AM$2 = "לא",0,IF(F542&gt;9,W542,0))</f>
        <v>0</v>
      </c>
      <c r="Z542">
        <f>IF('חד גזעי'!$AM$7 = "לא",0,IF(C542 = "זית אירופי",IF('חד גזעי'!$AN$7 &lt;=סקר!F542,W542,0),IF(C542 = "חרוב מצוי",IF('חד גזעי'!$AN$7 &lt;=סקר!F542,W542,0),0)))</f>
        <v>0</v>
      </c>
      <c r="AB542">
        <f t="shared" si="544"/>
        <v>1</v>
      </c>
      <c r="AC542" s="72"/>
      <c r="AD542" t="e">
        <f t="shared" si="562"/>
        <v>#N/A</v>
      </c>
      <c r="AE542" s="72"/>
      <c r="AF542" s="72" t="e">
        <f t="shared" si="545"/>
        <v>#N/A</v>
      </c>
      <c r="AG542" s="72" t="e">
        <f>IF('חד גזעי'!$AM$5="לא",(VLOOKUP(C542,'חד גזעי'!$P$1:$S$589,3,FALSE)),(VLOOKUP(C542,'חד גזעי'!$P$1:$S$589,4,FALSE)))</f>
        <v>#N/A</v>
      </c>
      <c r="AH542" s="72">
        <f t="shared" si="546"/>
        <v>0</v>
      </c>
      <c r="AI542" s="72">
        <f t="shared" si="547"/>
        <v>0</v>
      </c>
      <c r="AJ542" s="72">
        <f t="shared" si="548"/>
        <v>0</v>
      </c>
      <c r="AK542" s="72" t="e">
        <f t="shared" si="549"/>
        <v>#N/A</v>
      </c>
      <c r="AL542" t="e">
        <f>VLOOKUP(C542,'חד גזעי'!$AH$8:$AI$33,2,FALSE)</f>
        <v>#N/A</v>
      </c>
      <c r="AM542" s="72" t="b">
        <f t="shared" si="550"/>
        <v>0</v>
      </c>
      <c r="AN542" s="72" t="b">
        <f t="shared" si="551"/>
        <v>0</v>
      </c>
      <c r="AO542" s="72" t="b">
        <f t="shared" si="552"/>
        <v>0</v>
      </c>
      <c r="AS542" s="72">
        <f t="shared" si="553"/>
        <v>0</v>
      </c>
      <c r="AT542" s="72">
        <f t="shared" si="554"/>
        <v>0</v>
      </c>
      <c r="AU542" s="72">
        <f t="shared" si="563"/>
        <v>0</v>
      </c>
      <c r="AV542" s="72">
        <f t="shared" si="555"/>
        <v>0</v>
      </c>
      <c r="AW542" s="72">
        <f t="shared" si="556"/>
        <v>0</v>
      </c>
      <c r="AX542" s="72">
        <f t="shared" si="557"/>
        <v>0</v>
      </c>
      <c r="AY542" s="72">
        <f t="shared" si="558"/>
        <v>0</v>
      </c>
      <c r="AZ542" s="72">
        <f t="shared" si="559"/>
        <v>0</v>
      </c>
      <c r="BA542" s="72" t="e">
        <f t="shared" si="560"/>
        <v>#N/A</v>
      </c>
      <c r="BB542" s="72" t="e">
        <f t="shared" si="561"/>
        <v>#N/A</v>
      </c>
      <c r="BC542" s="77"/>
      <c r="BE542">
        <f t="shared" si="541"/>
        <v>0</v>
      </c>
      <c r="BF542" s="196"/>
      <c r="BG542" s="196"/>
      <c r="BH542" s="196"/>
      <c r="BI542" s="196"/>
      <c r="BJ542" s="196"/>
      <c r="BK542" s="196"/>
    </row>
    <row r="543" spans="2:63" hidden="1">
      <c r="B543" s="72"/>
      <c r="C543" s="135"/>
      <c r="D543" s="73"/>
      <c r="E543" s="73"/>
      <c r="F543" s="72"/>
      <c r="G543" s="72"/>
      <c r="H543" s="72"/>
      <c r="I543" s="73">
        <f t="shared" si="543"/>
        <v>0</v>
      </c>
      <c r="J543" s="73"/>
      <c r="K543" s="73"/>
      <c r="L543" s="74" t="e">
        <f>_xlfn.IFNA(VLOOKUP(C543,'חד גזעי'!$U$3:$V$509,2,0),VLOOKUP(C543,'חד גזעי'!$U$3:$V$509,2))</f>
        <v>#N/A</v>
      </c>
      <c r="M543" s="73"/>
      <c r="N543" s="72" t="e">
        <f>_xlfn.IFNA(IF(VLOOKUP(C543,'חד גזעי'!$AH$2:$AH$7,1,FALSE)&gt;0,0,IF('חד גזעי'!$AM$5="כן",IF(_xlfn.IFNA(VLOOKUP(C543,'חד גזעי'!$AH$2:$AH$33,1,FALSE),SUM(J543:M543))&lt;21,_xlfn.IFNA(VLOOKUP(C543,'חד גזעי'!$AH$2:$AH$33,1,FALSE),SUM(J543:M543)),0),SUM(J543:M543))),IF('חד גזעי'!$AM$5="כן",IF(_xlfn.IFNA(VLOOKUP(C543,'חד גזעי'!$AH$2:$AH$33,1,FALSE),SUM(J543:M543))&lt;21,_xlfn.IFNA(VLOOKUP(C543,'חד גזעי'!$AH$2:$AH$33,1,FALSE),SUM(J543:M543)),0),SUM(J543:M543)))</f>
        <v>#N/A</v>
      </c>
      <c r="O543" s="72">
        <f>IF('חד גזעי'!$AM$3 = "כן",IF(T543&gt;4,4,T543),T543)</f>
        <v>0</v>
      </c>
      <c r="P543" s="80">
        <f>IF(E543&lt;2,0,IF(Z543&gt;0,Z543,IF(N543 = 0,0,IF('חד גזעי'!$AM$2 = "לא",IF(F543&gt;19,W543,0),IF(F543&gt;9,Y543,0)))))</f>
        <v>0</v>
      </c>
      <c r="Q543" s="77"/>
      <c r="R543" s="76"/>
      <c r="S543" t="e">
        <f>VLOOKUP(C543,'חד גזעי'!$Y$4:$Y$18,1,0)</f>
        <v>#N/A</v>
      </c>
      <c r="T543" s="72">
        <f>IF('חד גזעי'!$AM$6="לא",IF(P543=0,IF(BC543="שימור",IF('חד גזעי'!$AM$4="לא",IF(BC543="לא בוגר",0,IF(BC543="לא קיים",0,IF(J543=0,0,I543*0.1))),IF(BC543="לא בוגר",0,IF(BC543="לא קיים",0,IF(AB543=1,I543*0.1,E543*0.5)))),0),IF('חד גזעי'!$AM$4="לא",IF(BC543="לא בוגר",0,IF(BC543="לא קיים",0,IF(J543=0,0,I543*0.1))),IF(BC543="לא בוגר",0,IF(BC543="לא קיים",0,IF(AB543=1,I543*0.1,E543*0.5))))),IF(P543=0,IF(BC543="שימור",IF('חד גזעי'!$AM$4="לא",IF(BC543="לא בוגר",0,IF(BC543="לא קיים",0,IF(J543=0,0,I543*0.15))),IF(BC543="לא בוגר",0,IF(BC543="לא קיים",0,IF(AB543=1,I543*0.15,E543*0.5)))),0),IF('חד גזעי'!$AM$4="לא",IF(BC543="לא בוגר",0,IF(BC543="לא קיים",0,IF(J543=0,0,I543*0.15))),IF(BC543="לא בוגר",0,IF(BC543="לא קיים",0,IF(AB543=1,I543*0.15,E543*0.5))))))</f>
        <v>0</v>
      </c>
      <c r="V543" t="e">
        <f t="shared" si="564"/>
        <v>#N/A</v>
      </c>
      <c r="W543" t="e">
        <f t="shared" si="565"/>
        <v>#N/A</v>
      </c>
      <c r="X543" t="e">
        <f t="shared" si="566"/>
        <v>#N/A</v>
      </c>
      <c r="Y543">
        <f>IF('חד גזעי'!$AM$2 = "לא",0,IF(F543&gt;9,W543,0))</f>
        <v>0</v>
      </c>
      <c r="Z543">
        <f>IF('חד גזעי'!$AM$7 = "לא",0,IF(C543 = "זית אירופי",IF('חד גזעי'!$AN$7 &lt;=סקר!F543,W543,0),IF(C543 = "חרוב מצוי",IF('חד גזעי'!$AN$7 &lt;=סקר!F543,W543,0),0)))</f>
        <v>0</v>
      </c>
      <c r="AB543">
        <f t="shared" si="544"/>
        <v>1</v>
      </c>
      <c r="AC543" s="72"/>
      <c r="AD543" t="e">
        <f t="shared" si="562"/>
        <v>#N/A</v>
      </c>
      <c r="AE543" s="72"/>
      <c r="AF543" s="72" t="e">
        <f t="shared" si="545"/>
        <v>#N/A</v>
      </c>
      <c r="AG543" s="72" t="e">
        <f>IF('חד גזעי'!$AM$5="לא",(VLOOKUP(C543,'חד גזעי'!$P$1:$S$589,3,FALSE)),(VLOOKUP(C543,'חד גזעי'!$P$1:$S$589,4,FALSE)))</f>
        <v>#N/A</v>
      </c>
      <c r="AH543" s="72">
        <f t="shared" si="546"/>
        <v>0</v>
      </c>
      <c r="AI543" s="72">
        <f t="shared" si="547"/>
        <v>0</v>
      </c>
      <c r="AJ543" s="72">
        <f t="shared" si="548"/>
        <v>0</v>
      </c>
      <c r="AK543" s="72" t="e">
        <f t="shared" si="549"/>
        <v>#N/A</v>
      </c>
      <c r="AL543" t="e">
        <f>VLOOKUP(C543,'חד גזעי'!$AH$8:$AI$33,2,FALSE)</f>
        <v>#N/A</v>
      </c>
      <c r="AM543" s="72" t="b">
        <f t="shared" si="550"/>
        <v>0</v>
      </c>
      <c r="AN543" s="72" t="b">
        <f t="shared" si="551"/>
        <v>0</v>
      </c>
      <c r="AO543" s="72" t="b">
        <f t="shared" si="552"/>
        <v>0</v>
      </c>
      <c r="AS543" s="72">
        <f t="shared" si="553"/>
        <v>0</v>
      </c>
      <c r="AT543" s="72">
        <f t="shared" si="554"/>
        <v>0</v>
      </c>
      <c r="AU543" s="72">
        <f t="shared" si="563"/>
        <v>0</v>
      </c>
      <c r="AV543" s="72">
        <f t="shared" si="555"/>
        <v>0</v>
      </c>
      <c r="AW543" s="72">
        <f t="shared" si="556"/>
        <v>0</v>
      </c>
      <c r="AX543" s="72">
        <f t="shared" si="557"/>
        <v>0</v>
      </c>
      <c r="AY543" s="72">
        <f t="shared" si="558"/>
        <v>0</v>
      </c>
      <c r="AZ543" s="72">
        <f t="shared" si="559"/>
        <v>0</v>
      </c>
      <c r="BA543" s="72" t="e">
        <f t="shared" si="560"/>
        <v>#N/A</v>
      </c>
      <c r="BB543" s="72" t="e">
        <f t="shared" si="561"/>
        <v>#N/A</v>
      </c>
      <c r="BC543" s="77"/>
      <c r="BE543">
        <f t="shared" si="541"/>
        <v>0</v>
      </c>
      <c r="BF543" s="196"/>
      <c r="BG543" s="196"/>
      <c r="BH543" s="196"/>
      <c r="BI543" s="196"/>
      <c r="BJ543" s="196"/>
      <c r="BK543" s="196"/>
    </row>
    <row r="544" spans="2:63" hidden="1">
      <c r="B544" s="72"/>
      <c r="C544" s="135"/>
      <c r="D544" s="73"/>
      <c r="E544" s="73"/>
      <c r="F544" s="72"/>
      <c r="G544" s="72"/>
      <c r="H544" s="72"/>
      <c r="I544" s="73">
        <f t="shared" si="543"/>
        <v>0</v>
      </c>
      <c r="J544" s="73"/>
      <c r="K544" s="73"/>
      <c r="L544" s="74" t="e">
        <f>_xlfn.IFNA(VLOOKUP(C544,'חד גזעי'!$U$3:$V$509,2,0),VLOOKUP(C544,'חד גזעי'!$U$3:$V$509,2))</f>
        <v>#N/A</v>
      </c>
      <c r="M544" s="73"/>
      <c r="N544" s="72" t="e">
        <f>_xlfn.IFNA(IF(VLOOKUP(C544,'חד גזעי'!$AH$2:$AH$7,1,FALSE)&gt;0,0,IF('חד גזעי'!$AM$5="כן",IF(_xlfn.IFNA(VLOOKUP(C544,'חד גזעי'!$AH$2:$AH$33,1,FALSE),SUM(J544:M544))&lt;21,_xlfn.IFNA(VLOOKUP(C544,'חד גזעי'!$AH$2:$AH$33,1,FALSE),SUM(J544:M544)),0),SUM(J544:M544))),IF('חד גזעי'!$AM$5="כן",IF(_xlfn.IFNA(VLOOKUP(C544,'חד גזעי'!$AH$2:$AH$33,1,FALSE),SUM(J544:M544))&lt;21,_xlfn.IFNA(VLOOKUP(C544,'חד גזעי'!$AH$2:$AH$33,1,FALSE),SUM(J544:M544)),0),SUM(J544:M544)))</f>
        <v>#N/A</v>
      </c>
      <c r="O544" s="72">
        <f>IF('חד גזעי'!$AM$3 = "כן",IF(T544&gt;4,4,T544),T544)</f>
        <v>0</v>
      </c>
      <c r="P544" s="80">
        <f>IF(E544&lt;2,0,IF(Z544&gt;0,Z544,IF(N544 = 0,0,IF('חד גזעי'!$AM$2 = "לא",IF(F544&gt;19,W544,0),IF(F544&gt;9,Y544,0)))))</f>
        <v>0</v>
      </c>
      <c r="Q544" s="77"/>
      <c r="R544" s="76"/>
      <c r="S544" t="e">
        <f>VLOOKUP(C544,'חד גזעי'!$Y$4:$Y$18,1,0)</f>
        <v>#N/A</v>
      </c>
      <c r="T544" s="72">
        <f>IF('חד גזעי'!$AM$6="לא",IF(P544=0,IF(BC544="שימור",IF('חד גזעי'!$AM$4="לא",IF(BC544="לא בוגר",0,IF(BC544="לא קיים",0,IF(J544=0,0,I544*0.1))),IF(BC544="לא בוגר",0,IF(BC544="לא קיים",0,IF(AB544=1,I544*0.1,E544*0.5)))),0),IF('חד גזעי'!$AM$4="לא",IF(BC544="לא בוגר",0,IF(BC544="לא קיים",0,IF(J544=0,0,I544*0.1))),IF(BC544="לא בוגר",0,IF(BC544="לא קיים",0,IF(AB544=1,I544*0.1,E544*0.5))))),IF(P544=0,IF(BC544="שימור",IF('חד גזעי'!$AM$4="לא",IF(BC544="לא בוגר",0,IF(BC544="לא קיים",0,IF(J544=0,0,I544*0.15))),IF(BC544="לא בוגר",0,IF(BC544="לא קיים",0,IF(AB544=1,I544*0.15,E544*0.5)))),0),IF('חד גזעי'!$AM$4="לא",IF(BC544="לא בוגר",0,IF(BC544="לא קיים",0,IF(J544=0,0,I544*0.15))),IF(BC544="לא בוגר",0,IF(BC544="לא קיים",0,IF(AB544=1,I544*0.15,E544*0.5))))))</f>
        <v>0</v>
      </c>
      <c r="V544" t="e">
        <f t="shared" si="564"/>
        <v>#N/A</v>
      </c>
      <c r="W544" t="e">
        <f t="shared" si="565"/>
        <v>#N/A</v>
      </c>
      <c r="X544" t="e">
        <f t="shared" si="566"/>
        <v>#N/A</v>
      </c>
      <c r="Y544">
        <f>IF('חד גזעי'!$AM$2 = "לא",0,IF(F544&gt;9,W544,0))</f>
        <v>0</v>
      </c>
      <c r="Z544">
        <f>IF('חד גזעי'!$AM$7 = "לא",0,IF(C544 = "זית אירופי",IF('חד גזעי'!$AN$7 &lt;=סקר!F544,W544,0),IF(C544 = "חרוב מצוי",IF('חד גזעי'!$AN$7 &lt;=סקר!F544,W544,0),0)))</f>
        <v>0</v>
      </c>
      <c r="AB544">
        <f t="shared" si="544"/>
        <v>1</v>
      </c>
      <c r="AC544" s="72"/>
      <c r="AD544" t="e">
        <f t="shared" si="562"/>
        <v>#N/A</v>
      </c>
      <c r="AE544" s="72"/>
      <c r="AF544" s="72" t="e">
        <f t="shared" si="545"/>
        <v>#N/A</v>
      </c>
      <c r="AG544" s="72" t="e">
        <f>IF('חד גזעי'!$AM$5="לא",(VLOOKUP(C544,'חד גזעי'!$P$1:$S$589,3,FALSE)),(VLOOKUP(C544,'חד גזעי'!$P$1:$S$589,4,FALSE)))</f>
        <v>#N/A</v>
      </c>
      <c r="AH544" s="72">
        <f t="shared" si="546"/>
        <v>0</v>
      </c>
      <c r="AI544" s="72">
        <f t="shared" si="547"/>
        <v>0</v>
      </c>
      <c r="AJ544" s="72">
        <f t="shared" si="548"/>
        <v>0</v>
      </c>
      <c r="AK544" s="72" t="e">
        <f t="shared" si="549"/>
        <v>#N/A</v>
      </c>
      <c r="AL544" t="e">
        <f>VLOOKUP(C544,'חד גזעי'!$AH$8:$AI$33,2,FALSE)</f>
        <v>#N/A</v>
      </c>
      <c r="AM544" s="72" t="b">
        <f t="shared" si="550"/>
        <v>0</v>
      </c>
      <c r="AN544" s="72" t="b">
        <f t="shared" si="551"/>
        <v>0</v>
      </c>
      <c r="AO544" s="72" t="b">
        <f t="shared" si="552"/>
        <v>0</v>
      </c>
      <c r="AS544" s="72">
        <f t="shared" si="553"/>
        <v>0</v>
      </c>
      <c r="AT544" s="72">
        <f t="shared" si="554"/>
        <v>0</v>
      </c>
      <c r="AU544" s="72">
        <f t="shared" si="563"/>
        <v>0</v>
      </c>
      <c r="AV544" s="72">
        <f t="shared" si="555"/>
        <v>0</v>
      </c>
      <c r="AW544" s="72">
        <f t="shared" si="556"/>
        <v>0</v>
      </c>
      <c r="AX544" s="72">
        <f t="shared" si="557"/>
        <v>0</v>
      </c>
      <c r="AY544" s="72">
        <f t="shared" si="558"/>
        <v>0</v>
      </c>
      <c r="AZ544" s="72">
        <f t="shared" si="559"/>
        <v>0</v>
      </c>
      <c r="BA544" s="72" t="e">
        <f t="shared" si="560"/>
        <v>#N/A</v>
      </c>
      <c r="BB544" s="72" t="e">
        <f t="shared" si="561"/>
        <v>#N/A</v>
      </c>
      <c r="BC544" s="77"/>
      <c r="BE544">
        <f t="shared" si="541"/>
        <v>0</v>
      </c>
      <c r="BF544" s="196"/>
      <c r="BG544" s="196"/>
      <c r="BH544" s="196"/>
      <c r="BI544" s="196"/>
      <c r="BJ544" s="196"/>
      <c r="BK544" s="196"/>
    </row>
    <row r="545" spans="1:63" ht="14.25" hidden="1">
      <c r="B545" s="71"/>
      <c r="C545" s="69"/>
      <c r="Q545" s="86"/>
      <c r="T545" s="72">
        <f>IF('חד גזעי'!$AM$6="לא",IF(P545=0,IF(BC545="שימור",IF('חד גזעי'!$AM$4="לא",IF(BC545="לא בוגר",0,IF(BC545="לא קיים",0,IF(J545=0,0,I545*0.1))),IF(BC545="לא בוגר",0,IF(BC545="לא קיים",0,IF(AB545=1,I545*0.1,E545*0.5)))),0),IF('חד גזעי'!$AM$4="לא",IF(BC545="לא בוגר",0,IF(BC545="לא קיים",0,IF(J545=0,0,I545*0.1))),IF(BC545="לא בוגר",0,IF(BC545="לא קיים",0,IF(AB545=1,I545*0.1,E545*0.5))))),IF(P545=0,IF(BC545="שימור",IF('חד גזעי'!$AM$4="לא",IF(BC545="לא בוגר",0,IF(BC545="לא קיים",0,IF(J545=0,0,I545*0.15))),IF(BC545="לא בוגר",0,IF(BC545="לא קיים",0,IF(AB545=1,I545*0.15,E545*0.5)))),0),IF('חד גזעי'!$AM$4="לא",IF(BC545="לא בוגר",0,IF(BC545="לא קיים",0,IF(J545=0,0,I545*0.15))),IF(BC545="לא בוגר",0,IF(BC545="לא קיים",0,IF(AB545=1,I545*0.15,E545*0.5))))))</f>
        <v>0</v>
      </c>
      <c r="V545">
        <f t="shared" si="564"/>
        <v>0</v>
      </c>
      <c r="W545">
        <f t="shared" si="565"/>
        <v>0</v>
      </c>
      <c r="X545">
        <f t="shared" si="566"/>
        <v>0</v>
      </c>
      <c r="Y545">
        <f>IF('חד גזעי'!$AM$2 = "לא",0,IF(F545&gt;9,W545,0))</f>
        <v>0</v>
      </c>
      <c r="Z545">
        <f>IF('חד גזעי'!$AM$7 = "לא",0,IF(C545 = "זית אירופי",IF('חד גזעי'!$AN$7 &lt;=סקר!F545,W545,0),IF(C545 = "חרוב מצוי",IF('חד גזעי'!$AN$7 &lt;=סקר!F545,W545,0),0)))</f>
        <v>0</v>
      </c>
      <c r="AD545" s="69" t="s">
        <v>807</v>
      </c>
      <c r="BE545">
        <f t="shared" si="541"/>
        <v>0</v>
      </c>
      <c r="BF545" s="196"/>
      <c r="BG545" s="196"/>
      <c r="BH545" s="196"/>
      <c r="BI545" s="196"/>
      <c r="BJ545" s="196"/>
      <c r="BK545" s="196"/>
    </row>
    <row r="546" spans="1:63" ht="14.25" hidden="1">
      <c r="A546" s="129"/>
      <c r="B546" s="132"/>
      <c r="C546" s="133"/>
      <c r="D546" s="129"/>
      <c r="E546" s="129"/>
      <c r="F546" s="129"/>
      <c r="G546" s="129"/>
      <c r="H546" s="129"/>
      <c r="I546" s="129"/>
      <c r="J546" s="129"/>
      <c r="K546" s="129"/>
      <c r="L546" s="129"/>
      <c r="M546" s="129"/>
      <c r="N546" s="129"/>
      <c r="O546" s="129"/>
      <c r="P546" s="129"/>
      <c r="Q546" s="134"/>
      <c r="R546" s="129"/>
      <c r="S546" s="129"/>
      <c r="T546" s="72">
        <f>IF('חד גזעי'!$AM$6="לא",IF(P546=0,IF(BC546="שימור",IF('חד גזעי'!$AM$4="לא",IF(BC546="לא בוגר",0,IF(BC546="לא קיים",0,IF(J546=0,0,I546*0.1))),IF(BC546="לא בוגר",0,IF(BC546="לא קיים",0,IF(AB546=1,I546*0.1,E546*0.5)))),0),IF('חד גזעי'!$AM$4="לא",IF(BC546="לא בוגר",0,IF(BC546="לא קיים",0,IF(J546=0,0,I546*0.1))),IF(BC546="לא בוגר",0,IF(BC546="לא קיים",0,IF(AB546=1,I546*0.1,E546*0.5))))),IF(P546=0,IF(BC546="שימור",IF('חד גזעי'!$AM$4="לא",IF(BC546="לא בוגר",0,IF(BC546="לא קיים",0,IF(J546=0,0,I546*0.15))),IF(BC546="לא בוגר",0,IF(BC546="לא קיים",0,IF(AB546=1,I546*0.15,E546*0.5)))),0),IF('חד גזעי'!$AM$4="לא",IF(BC546="לא בוגר",0,IF(BC546="לא קיים",0,IF(J546=0,0,I546*0.15))),IF(BC546="לא בוגר",0,IF(BC546="לא קיים",0,IF(AB546=1,I546*0.15,E546*0.5))))))</f>
        <v>0</v>
      </c>
      <c r="U546" s="129"/>
      <c r="V546">
        <f t="shared" si="564"/>
        <v>0</v>
      </c>
      <c r="W546">
        <f t="shared" si="565"/>
        <v>0</v>
      </c>
      <c r="X546">
        <f t="shared" si="566"/>
        <v>0</v>
      </c>
      <c r="Y546">
        <f>IF('חד גזעי'!$AM$2 = "לא",0,IF(F546&gt;9,W546,0))</f>
        <v>0</v>
      </c>
      <c r="Z546">
        <f>IF('חד גזעי'!$AM$7 = "לא",0,IF(C546 = "זית אירופי",IF('חד גזעי'!$AN$7 &lt;=סקר!F546,W546,0),IF(C546 = "חרוב מצוי",IF('חד גזעי'!$AN$7 &lt;=סקר!F546,W546,0),0)))</f>
        <v>0</v>
      </c>
      <c r="AA546" s="129"/>
      <c r="AB546" s="129"/>
      <c r="AC546" s="129"/>
      <c r="AD546" s="133"/>
      <c r="AE546" s="129"/>
      <c r="AF546" s="129"/>
      <c r="AG546" s="129"/>
      <c r="AH546" s="129"/>
      <c r="AI546" s="129"/>
      <c r="AJ546" s="129"/>
      <c r="AK546" s="129"/>
      <c r="AL546" s="129"/>
      <c r="AM546" s="129"/>
      <c r="AN546" s="129"/>
      <c r="AO546" s="129"/>
      <c r="AP546" s="129"/>
      <c r="AQ546" s="129"/>
      <c r="AR546" s="129"/>
      <c r="AS546" s="129"/>
      <c r="AT546" s="129"/>
      <c r="AU546" s="129"/>
      <c r="AV546" s="129"/>
      <c r="AW546" s="129"/>
      <c r="AX546" s="129"/>
      <c r="AY546" s="129"/>
      <c r="AZ546" s="129"/>
      <c r="BA546" s="129"/>
      <c r="BB546" s="129"/>
      <c r="BC546" s="129"/>
      <c r="BD546" s="129"/>
      <c r="BE546" s="129"/>
      <c r="BF546" s="129">
        <f>_xlfn.IFNA(_xlfn.IFNA(_xlfn.TEXTBEFORE(BF528,"--"),_xlfn.TEXTBEFORE(BF528,",")),BF528)</f>
        <v>0</v>
      </c>
      <c r="BG546" s="129">
        <f t="shared" ref="BG546:BK546" si="568">_xlfn.IFNA(_xlfn.IFNA(_xlfn.TEXTBEFORE(BG528,"--"),_xlfn.TEXTBEFORE(BG528,",")),BG528)</f>
        <v>0</v>
      </c>
      <c r="BH546" s="129">
        <f t="shared" si="568"/>
        <v>0</v>
      </c>
      <c r="BI546" s="129">
        <f>_xlfn.IFNA(_xlfn.IFNA(_xlfn.TEXTBEFORE(BI528,"--"),_xlfn.TEXTBEFORE(BI528,",")),BI528)</f>
        <v>0</v>
      </c>
      <c r="BJ546" s="129">
        <f t="shared" si="568"/>
        <v>0</v>
      </c>
      <c r="BK546" s="129">
        <f t="shared" si="568"/>
        <v>0</v>
      </c>
    </row>
    <row r="547" spans="1:63" ht="14.25" hidden="1">
      <c r="A547" s="129"/>
      <c r="B547" s="132"/>
      <c r="C547" s="133"/>
      <c r="D547" s="129"/>
      <c r="E547" s="129"/>
      <c r="F547" s="129"/>
      <c r="G547" s="129"/>
      <c r="H547" s="129"/>
      <c r="I547" s="129"/>
      <c r="J547" s="129"/>
      <c r="K547" s="129"/>
      <c r="L547" s="129"/>
      <c r="M547" s="129"/>
      <c r="N547" s="129"/>
      <c r="O547" s="129"/>
      <c r="P547" s="129"/>
      <c r="Q547" s="134"/>
      <c r="R547" s="129"/>
      <c r="S547" s="129"/>
      <c r="T547" s="72">
        <f>IF('חד גזעי'!$AM$6="לא",IF(P547=0,IF(BC547="שימור",IF('חד גזעי'!$AM$4="לא",IF(BC547="לא בוגר",0,IF(BC547="לא קיים",0,IF(J547=0,0,I547*0.1))),IF(BC547="לא בוגר",0,IF(BC547="לא קיים",0,IF(AB547=1,I547*0.1,E547*0.5)))),0),IF('חד גזעי'!$AM$4="לא",IF(BC547="לא בוגר",0,IF(BC547="לא קיים",0,IF(J547=0,0,I547*0.1))),IF(BC547="לא בוגר",0,IF(BC547="לא קיים",0,IF(AB547=1,I547*0.1,E547*0.5))))),IF(P547=0,IF(BC547="שימור",IF('חד גזעי'!$AM$4="לא",IF(BC547="לא בוגר",0,IF(BC547="לא קיים",0,IF(J547=0,0,I547*0.15))),IF(BC547="לא בוגר",0,IF(BC547="לא קיים",0,IF(AB547=1,I547*0.15,E547*0.5)))),0),IF('חד גזעי'!$AM$4="לא",IF(BC547="לא בוגר",0,IF(BC547="לא קיים",0,IF(J547=0,0,I547*0.15))),IF(BC547="לא בוגר",0,IF(BC547="לא קיים",0,IF(AB547=1,I547*0.15,E547*0.5))))))</f>
        <v>0</v>
      </c>
      <c r="U547" s="129"/>
      <c r="V547">
        <f t="shared" si="564"/>
        <v>0</v>
      </c>
      <c r="W547">
        <f t="shared" si="565"/>
        <v>0</v>
      </c>
      <c r="X547">
        <f t="shared" si="566"/>
        <v>0</v>
      </c>
      <c r="Y547">
        <f>IF('חד גזעי'!$AM$2 = "לא",0,IF(F547&gt;9,W547,0))</f>
        <v>0</v>
      </c>
      <c r="Z547">
        <f>IF('חד גזעי'!$AM$7 = "לא",0,IF(C547 = "זית אירופי",IF('חד גזעי'!$AN$7 &lt;=סקר!F547,W547,0),IF(C547 = "חרוב מצוי",IF('חד גזעי'!$AN$7 &lt;=סקר!F547,W547,0),0)))</f>
        <v>0</v>
      </c>
      <c r="AA547" s="129"/>
      <c r="AB547" s="129"/>
      <c r="AC547" s="129"/>
      <c r="AD547" s="133"/>
      <c r="AE547" s="129"/>
      <c r="AF547" s="129"/>
      <c r="AG547" s="129"/>
      <c r="AH547" s="129"/>
      <c r="AI547" s="129"/>
      <c r="AJ547" s="129"/>
      <c r="AK547" s="129"/>
      <c r="AL547" s="129"/>
      <c r="AM547" s="129"/>
      <c r="AN547" s="129"/>
      <c r="AO547" s="129"/>
      <c r="AP547" s="129"/>
      <c r="AQ547" s="129"/>
      <c r="AR547" s="129"/>
      <c r="AS547" s="129"/>
      <c r="AT547" s="129"/>
      <c r="AU547" s="129"/>
      <c r="AV547" s="129"/>
      <c r="AW547" s="129"/>
      <c r="AX547" s="129"/>
      <c r="AY547" s="129"/>
      <c r="AZ547" s="129"/>
      <c r="BA547" s="129"/>
      <c r="BB547" s="129"/>
      <c r="BC547" s="129"/>
      <c r="BD547" s="129"/>
      <c r="BE547" s="129"/>
      <c r="BF547" s="129" t="str">
        <f>"C:\Users\origr\Pictures\"&amp;BF546&amp;".jpg"</f>
        <v>C:\Users\origr\Pictures\0.jpg</v>
      </c>
      <c r="BG547" s="129" t="str">
        <f t="shared" ref="BG547" si="569">"C:\Users\origr\Pictures\"&amp;BG546&amp;".jpg"</f>
        <v>C:\Users\origr\Pictures\0.jpg</v>
      </c>
      <c r="BH547" s="129" t="str">
        <f t="shared" ref="BH547" si="570">"C:\Users\origr\Pictures\"&amp;BH546&amp;".jpg"</f>
        <v>C:\Users\origr\Pictures\0.jpg</v>
      </c>
      <c r="BI547" s="129" t="str">
        <f t="shared" ref="BI547" si="571">"C:\Users\origr\Pictures\"&amp;BI546&amp;".jpg"</f>
        <v>C:\Users\origr\Pictures\0.jpg</v>
      </c>
      <c r="BJ547" s="129" t="str">
        <f t="shared" ref="BJ547" si="572">"C:\Users\origr\Pictures\"&amp;BJ546&amp;".jpg"</f>
        <v>C:\Users\origr\Pictures\0.jpg</v>
      </c>
      <c r="BK547" s="129" t="str">
        <f t="shared" ref="BK547" si="573">"C:\Users\origr\Pictures\"&amp;BK546&amp;".jpg"</f>
        <v>C:\Users\origr\Pictures\0.jpg</v>
      </c>
    </row>
    <row r="548" spans="1:63" ht="14.25" hidden="1">
      <c r="A548" s="129"/>
      <c r="B548" s="132"/>
      <c r="C548" s="133"/>
      <c r="D548" s="129"/>
      <c r="E548" s="129"/>
      <c r="F548" s="129"/>
      <c r="G548" s="129"/>
      <c r="H548" s="129"/>
      <c r="I548" s="129"/>
      <c r="J548" s="129"/>
      <c r="K548" s="129"/>
      <c r="L548" s="129"/>
      <c r="M548" s="129"/>
      <c r="N548" s="129"/>
      <c r="O548" s="129"/>
      <c r="P548" s="129"/>
      <c r="Q548" s="134"/>
      <c r="R548" s="129"/>
      <c r="S548" s="129"/>
      <c r="T548" s="72">
        <f>IF('חד גזעי'!$AM$6="לא",IF(P548=0,IF(BC548="שימור",IF('חד גזעי'!$AM$4="לא",IF(BC548="לא בוגר",0,IF(BC548="לא קיים",0,IF(J548=0,0,I548*0.1))),IF(BC548="לא בוגר",0,IF(BC548="לא קיים",0,IF(AB548=1,I548*0.1,E548*0.5)))),0),IF('חד גזעי'!$AM$4="לא",IF(BC548="לא בוגר",0,IF(BC548="לא קיים",0,IF(J548=0,0,I548*0.1))),IF(BC548="לא בוגר",0,IF(BC548="לא קיים",0,IF(AB548=1,I548*0.1,E548*0.5))))),IF(P548=0,IF(BC548="שימור",IF('חד גזעי'!$AM$4="לא",IF(BC548="לא בוגר",0,IF(BC548="לא קיים",0,IF(J548=0,0,I548*0.15))),IF(BC548="לא בוגר",0,IF(BC548="לא קיים",0,IF(AB548=1,I548*0.15,E548*0.5)))),0),IF('חד גזעי'!$AM$4="לא",IF(BC548="לא בוגר",0,IF(BC548="לא קיים",0,IF(J548=0,0,I548*0.15))),IF(BC548="לא בוגר",0,IF(BC548="לא קיים",0,IF(AB548=1,I548*0.15,E548*0.5))))))</f>
        <v>0</v>
      </c>
      <c r="U548" s="129"/>
      <c r="V548">
        <f t="shared" si="564"/>
        <v>0</v>
      </c>
      <c r="W548">
        <f t="shared" si="565"/>
        <v>0</v>
      </c>
      <c r="X548">
        <f t="shared" si="566"/>
        <v>0</v>
      </c>
      <c r="Y548">
        <f>IF('חד גזעי'!$AM$2 = "לא",0,IF(F548&gt;9,W548,0))</f>
        <v>0</v>
      </c>
      <c r="Z548">
        <f>IF('חד גזעי'!$AM$7 = "לא",0,IF(C548 = "זית אירופי",IF('חד גזעי'!$AN$7 &lt;=סקר!F548,W548,0),IF(C548 = "חרוב מצוי",IF('חד גזעי'!$AN$7 &lt;=סקר!F548,W548,0),0)))</f>
        <v>0</v>
      </c>
      <c r="AA548" s="129"/>
      <c r="AB548" s="129"/>
      <c r="AC548" s="129"/>
      <c r="AD548" s="133"/>
      <c r="AE548" s="129"/>
      <c r="AF548" s="129"/>
      <c r="AG548" s="129"/>
      <c r="AH548" s="129"/>
      <c r="AI548" s="129"/>
      <c r="AJ548" s="129"/>
      <c r="AK548" s="129"/>
      <c r="AL548" s="129"/>
      <c r="AM548" s="129"/>
      <c r="AN548" s="129"/>
      <c r="AO548" s="129"/>
      <c r="AP548" s="129"/>
      <c r="AQ548" s="129"/>
      <c r="AR548" s="129"/>
      <c r="AS548" s="129"/>
      <c r="AT548" s="129"/>
      <c r="AU548" s="129"/>
      <c r="AV548" s="129"/>
      <c r="AW548" s="129"/>
      <c r="AX548" s="129"/>
      <c r="AY548" s="129"/>
      <c r="AZ548" s="129"/>
      <c r="BA548" s="129"/>
      <c r="BB548" s="129"/>
      <c r="BC548" s="129"/>
      <c r="BD548" s="129"/>
      <c r="BE548" s="129"/>
      <c r="BF548" s="129" t="str">
        <f>BF547</f>
        <v>C:\Users\origr\Pictures\0.jpg</v>
      </c>
      <c r="BG548" s="129" t="str">
        <f t="shared" ref="BG548" si="574">BG547</f>
        <v>C:\Users\origr\Pictures\0.jpg</v>
      </c>
      <c r="BH548" s="129" t="str">
        <f t="shared" ref="BH548" si="575">BH547</f>
        <v>C:\Users\origr\Pictures\0.jpg</v>
      </c>
      <c r="BI548" s="129" t="str">
        <f t="shared" ref="BI548" si="576">BI547</f>
        <v>C:\Users\origr\Pictures\0.jpg</v>
      </c>
      <c r="BJ548" s="129" t="str">
        <f t="shared" ref="BJ548" si="577">BJ547</f>
        <v>C:\Users\origr\Pictures\0.jpg</v>
      </c>
      <c r="BK548" s="129" t="str">
        <f t="shared" ref="BK548" si="578">BK547</f>
        <v>C:\Users\origr\Pictures\0.jpg</v>
      </c>
    </row>
    <row r="549" spans="1:63" hidden="1">
      <c r="T549" s="72">
        <f>IF('חד גזעי'!$AM$6="לא",IF(P549=0,IF(BC549="שימור",IF('חד גזעי'!$AM$4="לא",IF(BC549="לא בוגר",0,IF(BC549="לא קיים",0,IF(J549=0,0,I549*0.1))),IF(BC549="לא בוגר",0,IF(BC549="לא קיים",0,IF(AB549=1,I549*0.1,E549*0.5)))),0),IF('חד גזעי'!$AM$4="לא",IF(BC549="לא בוגר",0,IF(BC549="לא קיים",0,IF(J549=0,0,I549*0.1))),IF(BC549="לא בוגר",0,IF(BC549="לא קיים",0,IF(AB549=1,I549*0.1,E549*0.5))))),IF(P549=0,IF(BC549="שימור",IF('חד גזעי'!$AM$4="לא",IF(BC549="לא בוגר",0,IF(BC549="לא קיים",0,IF(J549=0,0,I549*0.15))),IF(BC549="לא בוגר",0,IF(BC549="לא קיים",0,IF(AB549=1,I549*0.15,E549*0.5)))),0),IF('חד גזעי'!$AM$4="לא",IF(BC549="לא בוגר",0,IF(BC549="לא קיים",0,IF(J549=0,0,I549*0.15))),IF(BC549="לא בוגר",0,IF(BC549="לא קיים",0,IF(AB549=1,I549*0.15,E549*0.5))))))</f>
        <v>0</v>
      </c>
      <c r="V549">
        <f t="shared" si="564"/>
        <v>0</v>
      </c>
      <c r="W549">
        <f t="shared" si="565"/>
        <v>0</v>
      </c>
      <c r="X549">
        <f t="shared" si="566"/>
        <v>0</v>
      </c>
      <c r="Y549">
        <f>IF('חד גזעי'!$AM$2 = "לא",0,IF(F549&gt;9,W549,0))</f>
        <v>0</v>
      </c>
      <c r="Z549">
        <f>IF('חד גזעי'!$AM$7 = "לא",0,IF(C549 = "זית אירופי",IF('חד גזעי'!$AN$7 &lt;=סקר!F549,W549,0),IF(C549 = "חרוב מצוי",IF('חד גזעי'!$AN$7 &lt;=סקר!F549,W549,0),0)))</f>
        <v>0</v>
      </c>
    </row>
    <row r="550" spans="1:63" hidden="1">
      <c r="T550" s="72">
        <f>IF('חד גזעי'!$AM$6="לא",IF(P550=0,IF(BC550="שימור",IF('חד גזעי'!$AM$4="לא",IF(BC550="לא בוגר",0,IF(BC550="לא קיים",0,IF(J550=0,0,I550*0.1))),IF(BC550="לא בוגר",0,IF(BC550="לא קיים",0,IF(AB550=1,I550*0.1,E550*0.5)))),0),IF('חד גזעי'!$AM$4="לא",IF(BC550="לא בוגר",0,IF(BC550="לא קיים",0,IF(J550=0,0,I550*0.1))),IF(BC550="לא בוגר",0,IF(BC550="לא קיים",0,IF(AB550=1,I550*0.1,E550*0.5))))),IF(P550=0,IF(BC550="שימור",IF('חד גזעי'!$AM$4="לא",IF(BC550="לא בוגר",0,IF(BC550="לא קיים",0,IF(J550=0,0,I550*0.15))),IF(BC550="לא בוגר",0,IF(BC550="לא קיים",0,IF(AB550=1,I550*0.15,E550*0.5)))),0),IF('חד גזעי'!$AM$4="לא",IF(BC550="לא בוגר",0,IF(BC550="לא קיים",0,IF(J550=0,0,I550*0.15))),IF(BC550="לא בוגר",0,IF(BC550="לא קיים",0,IF(AB550=1,I550*0.15,E550*0.5))))))</f>
        <v>0</v>
      </c>
      <c r="V550">
        <f t="shared" si="564"/>
        <v>0</v>
      </c>
      <c r="W550">
        <f t="shared" si="565"/>
        <v>0</v>
      </c>
      <c r="X550">
        <f t="shared" si="566"/>
        <v>0</v>
      </c>
      <c r="Y550">
        <f>IF('חד גזעי'!$AM$2 = "לא",0,IF(F550&gt;9,W550,0))</f>
        <v>0</v>
      </c>
      <c r="Z550">
        <f>IF('חד גזעי'!$AM$7 = "לא",0,IF(C550 = "זית אירופי",IF('חד גזעי'!$AN$7 &lt;=סקר!F550,W550,0),IF(C550 = "חרוב מצוי",IF('חד גזעי'!$AN$7 &lt;=סקר!F550,W550,0),0)))</f>
        <v>0</v>
      </c>
    </row>
    <row r="551" spans="1:63" hidden="1">
      <c r="T551" s="72">
        <f>IF('חד גזעי'!$AM$6="לא",IF(P551=0,IF(BC551="שימור",IF('חד גזעי'!$AM$4="לא",IF(BC551="לא בוגר",0,IF(BC551="לא קיים",0,IF(J551=0,0,I551*0.1))),IF(BC551="לא בוגר",0,IF(BC551="לא קיים",0,IF(AB551=1,I551*0.1,E551*0.5)))),0),IF('חד גזעי'!$AM$4="לא",IF(BC551="לא בוגר",0,IF(BC551="לא קיים",0,IF(J551=0,0,I551*0.1))),IF(BC551="לא בוגר",0,IF(BC551="לא קיים",0,IF(AB551=1,I551*0.1,E551*0.5))))),IF(P551=0,IF(BC551="שימור",IF('חד גזעי'!$AM$4="לא",IF(BC551="לא בוגר",0,IF(BC551="לא קיים",0,IF(J551=0,0,I551*0.15))),IF(BC551="לא בוגר",0,IF(BC551="לא קיים",0,IF(AB551=1,I551*0.15,E551*0.5)))),0),IF('חד גזעי'!$AM$4="לא",IF(BC551="לא בוגר",0,IF(BC551="לא קיים",0,IF(J551=0,0,I551*0.15))),IF(BC551="לא בוגר",0,IF(BC551="לא קיים",0,IF(AB551=1,I551*0.15,E551*0.5))))))</f>
        <v>0</v>
      </c>
      <c r="V551">
        <f t="shared" si="564"/>
        <v>0</v>
      </c>
      <c r="W551">
        <f t="shared" si="565"/>
        <v>0</v>
      </c>
      <c r="X551">
        <f t="shared" si="566"/>
        <v>0</v>
      </c>
      <c r="Y551">
        <f>IF('חד גזעי'!$AM$2 = "לא",0,IF(F551&gt;9,W551,0))</f>
        <v>0</v>
      </c>
      <c r="Z551">
        <f>IF('חד גזעי'!$AM$7 = "לא",0,IF(C551 = "זית אירופי",IF('חד גזעי'!$AN$7 &lt;=סקר!F551,W551,0),IF(C551 = "חרוב מצוי",IF('חד גזעי'!$AN$7 &lt;=סקר!F551,W551,0),0)))</f>
        <v>0</v>
      </c>
    </row>
    <row r="552" spans="1:63" hidden="1">
      <c r="A552" s="129"/>
      <c r="B552" s="129"/>
      <c r="C552" s="129"/>
      <c r="D552" s="129"/>
      <c r="E552" s="129"/>
      <c r="F552" s="129"/>
      <c r="G552" s="129"/>
      <c r="H552" s="129"/>
      <c r="I552" s="129"/>
      <c r="J552" s="129"/>
      <c r="K552" s="129"/>
      <c r="L552" s="129"/>
      <c r="M552" s="129"/>
      <c r="N552" s="129"/>
      <c r="O552" s="129"/>
      <c r="P552" s="129"/>
      <c r="Q552" s="129"/>
      <c r="R552" s="129"/>
      <c r="S552" s="129"/>
      <c r="T552" s="72">
        <f>IF('חד גזעי'!$AM$6="לא",IF(P552=0,IF(BC552="שימור",IF('חד גזעי'!$AM$4="לא",IF(BC552="לא בוגר",0,IF(BC552="לא קיים",0,IF(J552=0,0,I552*0.1))),IF(BC552="לא בוגר",0,IF(BC552="לא קיים",0,IF(AB552=1,I552*0.1,E552*0.5)))),0),IF('חד גזעי'!$AM$4="לא",IF(BC552="לא בוגר",0,IF(BC552="לא קיים",0,IF(J552=0,0,I552*0.1))),IF(BC552="לא בוגר",0,IF(BC552="לא קיים",0,IF(AB552=1,I552*0.1,E552*0.5))))),IF(P552=0,IF(BC552="שימור",IF('חד גזעי'!$AM$4="לא",IF(BC552="לא בוגר",0,IF(BC552="לא קיים",0,IF(J552=0,0,I552*0.15))),IF(BC552="לא בוגר",0,IF(BC552="לא קיים",0,IF(AB552=1,I552*0.15,E552*0.5)))),0),IF('חד גזעי'!$AM$4="לא",IF(BC552="לא בוגר",0,IF(BC552="לא קיים",0,IF(J552=0,0,I552*0.15))),IF(BC552="לא בוגר",0,IF(BC552="לא קיים",0,IF(AB552=1,I552*0.15,E552*0.5))))))</f>
        <v>0</v>
      </c>
      <c r="U552" s="129"/>
      <c r="V552">
        <f t="shared" si="564"/>
        <v>0</v>
      </c>
      <c r="W552">
        <f t="shared" si="565"/>
        <v>0</v>
      </c>
      <c r="X552">
        <f t="shared" si="566"/>
        <v>0</v>
      </c>
      <c r="Y552">
        <f>IF('חד גזעי'!$AM$2 = "לא",0,IF(F552&gt;9,W552,0))</f>
        <v>0</v>
      </c>
      <c r="Z552">
        <f>IF('חד גזעי'!$AM$7 = "לא",0,IF(C552 = "זית אירופי",IF('חד גזעי'!$AN$7 &lt;=סקר!F552,W552,0),IF(C552 = "חרוב מצוי",IF('חד גזעי'!$AN$7 &lt;=סקר!F552,W552,0),0)))</f>
        <v>0</v>
      </c>
      <c r="AA552" s="129"/>
      <c r="AB552" s="129"/>
      <c r="AC552" s="129"/>
      <c r="AD552" s="129"/>
      <c r="AE552" s="129"/>
      <c r="AF552" s="129"/>
      <c r="AG552" s="129"/>
      <c r="AH552" s="129"/>
      <c r="AI552" s="129"/>
      <c r="AJ552" s="129"/>
      <c r="AK552" s="129"/>
      <c r="AL552" s="129"/>
      <c r="AM552" s="129"/>
      <c r="AN552" s="129"/>
      <c r="AO552" s="129"/>
      <c r="AP552" s="129"/>
      <c r="AQ552" s="129"/>
      <c r="AR552" s="129"/>
      <c r="AS552" s="129"/>
      <c r="AT552" s="129"/>
      <c r="AU552" s="129"/>
      <c r="AV552" s="129"/>
      <c r="AW552" s="129"/>
      <c r="AX552" s="129"/>
      <c r="AY552" s="129"/>
      <c r="AZ552" s="129"/>
      <c r="BA552" s="129"/>
      <c r="BB552" s="129"/>
      <c r="BC552" s="129"/>
      <c r="BD552" s="129"/>
      <c r="BE552" s="129"/>
      <c r="BF552" s="129">
        <f>_xlfn.IFNA(_xlfn.IFNA(_xlfn.TEXTBEFORE(BF556,"--"),_xlfn.TEXTBEFORE(BF556,",")),BF556)</f>
        <v>0</v>
      </c>
      <c r="BG552" s="129">
        <f t="shared" ref="BG552:BK552" si="579">_xlfn.IFNA(_xlfn.IFNA(_xlfn.TEXTBEFORE(BG556,"--"),_xlfn.TEXTBEFORE(BG556,",")),BG556)</f>
        <v>0</v>
      </c>
      <c r="BH552" s="129">
        <f t="shared" si="579"/>
        <v>0</v>
      </c>
      <c r="BI552" s="129">
        <f>_xlfn.IFNA(_xlfn.IFNA(_xlfn.TEXTBEFORE(BI556,"--"),_xlfn.TEXTBEFORE(BI556,",")),BI556)</f>
        <v>0</v>
      </c>
      <c r="BJ552" s="129">
        <f t="shared" si="579"/>
        <v>0</v>
      </c>
      <c r="BK552" s="129">
        <f t="shared" si="579"/>
        <v>0</v>
      </c>
    </row>
    <row r="553" spans="1:63" hidden="1">
      <c r="A553" s="129"/>
      <c r="B553" s="129"/>
      <c r="C553" s="129"/>
      <c r="D553" s="129"/>
      <c r="E553" s="129"/>
      <c r="F553" s="129"/>
      <c r="G553" s="129"/>
      <c r="H553" s="129"/>
      <c r="I553" s="129"/>
      <c r="J553" s="129"/>
      <c r="K553" s="129"/>
      <c r="L553" s="129"/>
      <c r="M553" s="129"/>
      <c r="N553" s="129"/>
      <c r="O553" s="129"/>
      <c r="P553" s="129"/>
      <c r="Q553" s="129"/>
      <c r="R553" s="129"/>
      <c r="S553" s="129"/>
      <c r="T553" s="72">
        <f>IF('חד גזעי'!$AM$6="לא",IF(P553=0,IF(BC553="שימור",IF('חד גזעי'!$AM$4="לא",IF(BC553="לא בוגר",0,IF(BC553="לא קיים",0,IF(J553=0,0,I553*0.1))),IF(BC553="לא בוגר",0,IF(BC553="לא קיים",0,IF(AB553=1,I553*0.1,E553*0.5)))),0),IF('חד גזעי'!$AM$4="לא",IF(BC553="לא בוגר",0,IF(BC553="לא קיים",0,IF(J553=0,0,I553*0.1))),IF(BC553="לא בוגר",0,IF(BC553="לא קיים",0,IF(AB553=1,I553*0.1,E553*0.5))))),IF(P553=0,IF(BC553="שימור",IF('חד גזעי'!$AM$4="לא",IF(BC553="לא בוגר",0,IF(BC553="לא קיים",0,IF(J553=0,0,I553*0.15))),IF(BC553="לא בוגר",0,IF(BC553="לא קיים",0,IF(AB553=1,I553*0.15,E553*0.5)))),0),IF('חד גזעי'!$AM$4="לא",IF(BC553="לא בוגר",0,IF(BC553="לא קיים",0,IF(J553=0,0,I553*0.15))),IF(BC553="לא בוגר",0,IF(BC553="לא קיים",0,IF(AB553=1,I553*0.15,E553*0.5))))))</f>
        <v>0</v>
      </c>
      <c r="U553" s="129"/>
      <c r="V553">
        <f t="shared" si="564"/>
        <v>0</v>
      </c>
      <c r="W553">
        <f t="shared" si="565"/>
        <v>0</v>
      </c>
      <c r="X553">
        <f t="shared" si="566"/>
        <v>0</v>
      </c>
      <c r="Y553">
        <f>IF('חד גזעי'!$AM$2 = "לא",0,IF(F553&gt;9,W553,0))</f>
        <v>0</v>
      </c>
      <c r="Z553">
        <f>IF('חד גזעי'!$AM$7 = "לא",0,IF(C553 = "זית אירופי",IF('חד גזעי'!$AN$7 &lt;=סקר!F553,W553,0),IF(C553 = "חרוב מצוי",IF('חד גזעי'!$AN$7 &lt;=סקר!F553,W553,0),0)))</f>
        <v>0</v>
      </c>
      <c r="AA553" s="129"/>
      <c r="AB553" s="129"/>
      <c r="AC553" s="129"/>
      <c r="AD553" s="129"/>
      <c r="AE553" s="129"/>
      <c r="AF553" s="129"/>
      <c r="AG553" s="129"/>
      <c r="AH553" s="129"/>
      <c r="AI553" s="129"/>
      <c r="AJ553" s="129"/>
      <c r="AK553" s="129"/>
      <c r="AL553" s="129"/>
      <c r="AM553" s="129"/>
      <c r="AN553" s="129"/>
      <c r="AO553" s="129"/>
      <c r="AP553" s="129"/>
      <c r="AQ553" s="129"/>
      <c r="AR553" s="129"/>
      <c r="AS553" s="129"/>
      <c r="AT553" s="129"/>
      <c r="AU553" s="129"/>
      <c r="AV553" s="129"/>
      <c r="AW553" s="129"/>
      <c r="AX553" s="129"/>
      <c r="AY553" s="129"/>
      <c r="AZ553" s="129"/>
      <c r="BA553" s="129"/>
      <c r="BB553" s="129"/>
      <c r="BC553" s="129"/>
      <c r="BD553" s="129"/>
      <c r="BE553" s="129"/>
      <c r="BF553" s="129" t="str">
        <f>"C:\Users\origr\Pictures\"&amp;BF552&amp;".jpg"</f>
        <v>C:\Users\origr\Pictures\0.jpg</v>
      </c>
      <c r="BG553" s="129" t="str">
        <f t="shared" ref="BG553" si="580">"C:\Users\origr\Pictures\"&amp;BG552&amp;".jpg"</f>
        <v>C:\Users\origr\Pictures\0.jpg</v>
      </c>
      <c r="BH553" s="129" t="str">
        <f t="shared" ref="BH553" si="581">"C:\Users\origr\Pictures\"&amp;BH552&amp;".jpg"</f>
        <v>C:\Users\origr\Pictures\0.jpg</v>
      </c>
      <c r="BI553" s="129" t="str">
        <f t="shared" ref="BI553" si="582">"C:\Users\origr\Pictures\"&amp;BI552&amp;".jpg"</f>
        <v>C:\Users\origr\Pictures\0.jpg</v>
      </c>
      <c r="BJ553" s="129" t="str">
        <f t="shared" ref="BJ553" si="583">"C:\Users\origr\Pictures\"&amp;BJ552&amp;".jpg"</f>
        <v>C:\Users\origr\Pictures\0.jpg</v>
      </c>
      <c r="BK553" s="129" t="str">
        <f t="shared" ref="BK553" si="584">"C:\Users\origr\Pictures\"&amp;BK552&amp;".jpg"</f>
        <v>C:\Users\origr\Pictures\0.jpg</v>
      </c>
    </row>
    <row r="554" spans="1:63" hidden="1">
      <c r="A554" s="129"/>
      <c r="B554" s="129"/>
      <c r="C554" s="129"/>
      <c r="D554" s="129"/>
      <c r="E554" s="129"/>
      <c r="F554" s="129"/>
      <c r="G554" s="129"/>
      <c r="H554" s="129"/>
      <c r="I554" s="129"/>
      <c r="J554" s="129"/>
      <c r="K554" s="129"/>
      <c r="L554" s="129"/>
      <c r="M554" s="129"/>
      <c r="N554" s="129"/>
      <c r="O554" s="129"/>
      <c r="P554" s="129"/>
      <c r="Q554" s="129"/>
      <c r="R554" s="129"/>
      <c r="S554" s="129"/>
      <c r="T554" s="72">
        <f>IF('חד גזעי'!$AM$6="לא",IF(P554=0,IF(BC554="שימור",IF('חד גזעי'!$AM$4="לא",IF(BC554="לא בוגר",0,IF(BC554="לא קיים",0,IF(J554=0,0,I554*0.1))),IF(BC554="לא בוגר",0,IF(BC554="לא קיים",0,IF(AB554=1,I554*0.1,E554*0.5)))),0),IF('חד גזעי'!$AM$4="לא",IF(BC554="לא בוגר",0,IF(BC554="לא קיים",0,IF(J554=0,0,I554*0.1))),IF(BC554="לא בוגר",0,IF(BC554="לא קיים",0,IF(AB554=1,I554*0.1,E554*0.5))))),IF(P554=0,IF(BC554="שימור",IF('חד גזעי'!$AM$4="לא",IF(BC554="לא בוגר",0,IF(BC554="לא קיים",0,IF(J554=0,0,I554*0.15))),IF(BC554="לא בוגר",0,IF(BC554="לא קיים",0,IF(AB554=1,I554*0.15,E554*0.5)))),0),IF('חד גזעי'!$AM$4="לא",IF(BC554="לא בוגר",0,IF(BC554="לא קיים",0,IF(J554=0,0,I554*0.15))),IF(BC554="לא בוגר",0,IF(BC554="לא קיים",0,IF(AB554=1,I554*0.15,E554*0.5))))))</f>
        <v>0</v>
      </c>
      <c r="U554" s="129"/>
      <c r="V554">
        <f t="shared" si="564"/>
        <v>0</v>
      </c>
      <c r="W554">
        <f t="shared" si="565"/>
        <v>0</v>
      </c>
      <c r="X554">
        <f t="shared" si="566"/>
        <v>0</v>
      </c>
      <c r="Y554">
        <f>IF('חד גזעי'!$AM$2 = "לא",0,IF(F554&gt;9,W554,0))</f>
        <v>0</v>
      </c>
      <c r="Z554">
        <f>IF('חד גזעי'!$AM$7 = "לא",0,IF(C554 = "זית אירופי",IF('חד גזעי'!$AN$7 &lt;=סקר!F554,W554,0),IF(C554 = "חרוב מצוי",IF('חד גזעי'!$AN$7 &lt;=סקר!F554,W554,0),0)))</f>
        <v>0</v>
      </c>
      <c r="AA554" s="129"/>
      <c r="AB554" s="129"/>
      <c r="AC554" s="129"/>
      <c r="AD554" s="129"/>
      <c r="AE554" s="129"/>
      <c r="AF554" s="129"/>
      <c r="AG554" s="129"/>
      <c r="AH554" s="129"/>
      <c r="AI554" s="129"/>
      <c r="AJ554" s="129"/>
      <c r="AK554" s="129"/>
      <c r="AL554" s="129"/>
      <c r="AM554" s="129"/>
      <c r="AN554" s="129"/>
      <c r="AO554" s="129"/>
      <c r="AP554" s="129"/>
      <c r="AQ554" s="129"/>
      <c r="AR554" s="129"/>
      <c r="AS554" s="129"/>
      <c r="AT554" s="129"/>
      <c r="AU554" s="129"/>
      <c r="AV554" s="129"/>
      <c r="AW554" s="129"/>
      <c r="AX554" s="129"/>
      <c r="AY554" s="129"/>
      <c r="AZ554" s="129"/>
      <c r="BA554" s="129"/>
      <c r="BB554" s="129"/>
      <c r="BC554" s="129"/>
      <c r="BD554" s="129"/>
      <c r="BE554" s="129"/>
      <c r="BF554" s="129" t="str">
        <f>BF553</f>
        <v>C:\Users\origr\Pictures\0.jpg</v>
      </c>
      <c r="BG554" s="129" t="str">
        <f t="shared" ref="BG554" si="585">BG553</f>
        <v>C:\Users\origr\Pictures\0.jpg</v>
      </c>
      <c r="BH554" s="129" t="str">
        <f t="shared" ref="BH554" si="586">BH553</f>
        <v>C:\Users\origr\Pictures\0.jpg</v>
      </c>
      <c r="BI554" s="129" t="str">
        <f t="shared" ref="BI554" si="587">BI553</f>
        <v>C:\Users\origr\Pictures\0.jpg</v>
      </c>
      <c r="BJ554" s="129" t="str">
        <f t="shared" ref="BJ554" si="588">BJ553</f>
        <v>C:\Users\origr\Pictures\0.jpg</v>
      </c>
      <c r="BK554" s="129" t="str">
        <f t="shared" ref="BK554" si="589">BK553</f>
        <v>C:\Users\origr\Pictures\0.jpg</v>
      </c>
    </row>
    <row r="555" spans="1:63" ht="14.25" hidden="1">
      <c r="B555" s="71"/>
      <c r="C555" s="69"/>
      <c r="Q555" s="86"/>
      <c r="T555" s="72">
        <f>IF('חד גזעי'!$AM$6="לא",IF(P555=0,IF(BC555="שימור",IF('חד גזעי'!$AM$4="לא",IF(BC555="לא בוגר",0,IF(BC555="לא קיים",0,IF(J555=0,0,I555*0.1))),IF(BC555="לא בוגר",0,IF(BC555="לא קיים",0,IF(AB555=1,I555*0.1,E555*0.5)))),0),IF('חד גזעי'!$AM$4="לא",IF(BC555="לא בוגר",0,IF(BC555="לא קיים",0,IF(J555=0,0,I555*0.1))),IF(BC555="לא בוגר",0,IF(BC555="לא קיים",0,IF(AB555=1,I555*0.1,E555*0.5))))),IF(P555=0,IF(BC555="שימור",IF('חד גזעי'!$AM$4="לא",IF(BC555="לא בוגר",0,IF(BC555="לא קיים",0,IF(J555=0,0,I555*0.15))),IF(BC555="לא בוגר",0,IF(BC555="לא קיים",0,IF(AB555=1,I555*0.15,E555*0.5)))),0),IF('חד גזעי'!$AM$4="לא",IF(BC555="לא בוגר",0,IF(BC555="לא קיים",0,IF(J555=0,0,I555*0.15))),IF(BC555="לא בוגר",0,IF(BC555="לא קיים",0,IF(AB555=1,I555*0.15,E555*0.5))))))</f>
        <v>0</v>
      </c>
      <c r="V555">
        <f t="shared" si="564"/>
        <v>0</v>
      </c>
      <c r="W555">
        <f t="shared" si="565"/>
        <v>0</v>
      </c>
      <c r="X555">
        <f t="shared" si="566"/>
        <v>0</v>
      </c>
      <c r="Y555">
        <f>IF('חד גזעי'!$AM$2 = "לא",0,IF(F555&gt;9,W555,0))</f>
        <v>0</v>
      </c>
      <c r="Z555">
        <f>IF('חד גזעי'!$AM$7 = "לא",0,IF(C555 = "זית אירופי",IF('חד גזעי'!$AN$7 &lt;=סקר!F555,W555,0),IF(C555 = "חרוב מצוי",IF('חד גזעי'!$AN$7 &lt;=סקר!F555,W555,0),0)))</f>
        <v>0</v>
      </c>
      <c r="AD555" s="69" t="s">
        <v>807</v>
      </c>
    </row>
    <row r="556" spans="1:63" hidden="1">
      <c r="B556" s="197" t="s">
        <v>738</v>
      </c>
      <c r="C556" s="197" t="s">
        <v>739</v>
      </c>
      <c r="D556" s="197" t="s">
        <v>740</v>
      </c>
      <c r="E556" s="197" t="s">
        <v>741</v>
      </c>
      <c r="F556" s="200" t="s">
        <v>759</v>
      </c>
      <c r="G556" s="203" t="s">
        <v>760</v>
      </c>
      <c r="H556" s="203" t="s">
        <v>761</v>
      </c>
      <c r="I556" s="197" t="s">
        <v>742</v>
      </c>
      <c r="J556" s="197" t="s">
        <v>743</v>
      </c>
      <c r="K556" s="197" t="s">
        <v>744</v>
      </c>
      <c r="L556" s="197" t="s">
        <v>745</v>
      </c>
      <c r="M556" s="197" t="s">
        <v>746</v>
      </c>
      <c r="N556" s="197" t="s">
        <v>747</v>
      </c>
      <c r="O556" s="197" t="s">
        <v>748</v>
      </c>
      <c r="P556" s="197" t="s">
        <v>749</v>
      </c>
      <c r="Q556" s="197" t="s">
        <v>750</v>
      </c>
      <c r="R556" s="197" t="s">
        <v>751</v>
      </c>
      <c r="T556" s="72" t="e">
        <f>IF('חד גזעי'!$AM$6="לא",IF(P556=0,IF(BC556="שימור",IF('חד גזעי'!$AM$4="לא",IF(BC556="לא בוגר",0,IF(BC556="לא קיים",0,IF(J556=0,0,I556*0.1))),IF(BC556="לא בוגר",0,IF(BC556="לא קיים",0,IF(AB556=1,I556*0.1,E556*0.5)))),0),IF('חד גזעי'!$AM$4="לא",IF(BC556="לא בוגר",0,IF(BC556="לא קיים",0,IF(J556=0,0,I556*0.1))),IF(BC556="לא בוגר",0,IF(BC556="לא קיים",0,IF(AB556=1,I556*0.1,E556*0.5))))),IF(P556=0,IF(BC556="שימור",IF('חד גזעי'!$AM$4="לא",IF(BC556="לא בוגר",0,IF(BC556="לא קיים",0,IF(J556=0,0,I556*0.15))),IF(BC556="לא בוגר",0,IF(BC556="לא קיים",0,IF(AB556=1,I556*0.15,E556*0.5)))),0),IF('חד גזעי'!$AM$4="לא",IF(BC556="לא בוגר",0,IF(BC556="לא קיים",0,IF(J556=0,0,I556*0.15))),IF(BC556="לא בוגר",0,IF(BC556="לא קיים",0,IF(AB556=1,I556*0.15,E556*0.5))))))</f>
        <v>#VALUE!</v>
      </c>
      <c r="V556">
        <f t="shared" si="564"/>
        <v>0</v>
      </c>
      <c r="W556" t="e">
        <f t="shared" si="565"/>
        <v>#VALUE!</v>
      </c>
      <c r="X556">
        <f t="shared" si="566"/>
        <v>0</v>
      </c>
      <c r="Y556">
        <f>IF('חד גזעי'!$AM$2 = "לא",0,IF(F556&gt;9,W556,0))</f>
        <v>0</v>
      </c>
      <c r="Z556">
        <f>IF('חד גזעי'!$AM$7 = "לא",0,IF(C556 = "זית אירופי",IF('חד גזעי'!$AN$7 &lt;=סקר!F556,W556,0),IF(C556 = "חרוב מצוי",IF('חד גזעי'!$AN$7 &lt;=סקר!F556,W556,0),0)))</f>
        <v>0</v>
      </c>
      <c r="AC556" s="101"/>
      <c r="AD556" s="103"/>
      <c r="AE556" s="103"/>
      <c r="AF556" s="103"/>
      <c r="AG556" s="103"/>
      <c r="AH556" s="103"/>
      <c r="AI556" s="103"/>
      <c r="AJ556" s="103"/>
      <c r="AK556" s="83"/>
      <c r="AM556" s="73"/>
      <c r="AN556" s="73"/>
      <c r="AO556" s="73"/>
      <c r="AS556" s="197" t="s">
        <v>738</v>
      </c>
      <c r="AT556" s="197" t="s">
        <v>739</v>
      </c>
      <c r="AU556" s="197" t="s">
        <v>740</v>
      </c>
      <c r="AV556" s="197" t="s">
        <v>741</v>
      </c>
      <c r="AW556" s="203" t="s">
        <v>759</v>
      </c>
      <c r="AX556" s="203" t="s">
        <v>760</v>
      </c>
      <c r="AY556" s="203" t="s">
        <v>761</v>
      </c>
      <c r="AZ556" s="197" t="s">
        <v>812</v>
      </c>
      <c r="BA556" s="197" t="s">
        <v>817</v>
      </c>
      <c r="BB556" s="197" t="s">
        <v>805</v>
      </c>
      <c r="BC556" s="197" t="s">
        <v>806</v>
      </c>
      <c r="BE556">
        <f>IF(BC556="לא נדרש ברישיון",1,0)</f>
        <v>0</v>
      </c>
      <c r="BF556" s="72"/>
      <c r="BG556" s="72"/>
      <c r="BH556" s="72"/>
      <c r="BI556" s="72"/>
      <c r="BJ556" s="72"/>
      <c r="BK556" s="72"/>
    </row>
    <row r="557" spans="1:63" hidden="1">
      <c r="B557" s="198"/>
      <c r="C557" s="198"/>
      <c r="D557" s="198"/>
      <c r="E557" s="198"/>
      <c r="F557" s="201"/>
      <c r="G557" s="204"/>
      <c r="H557" s="204"/>
      <c r="I557" s="198"/>
      <c r="J557" s="198"/>
      <c r="K557" s="198"/>
      <c r="L557" s="198"/>
      <c r="M557" s="198"/>
      <c r="N557" s="198"/>
      <c r="O557" s="198"/>
      <c r="P557" s="198"/>
      <c r="Q557" s="198"/>
      <c r="R557" s="198"/>
      <c r="T557" s="72">
        <f>IF('חד גזעי'!$AM$6="לא",IF(P557=0,IF(BC557="שימור",IF('חד גזעי'!$AM$4="לא",IF(BC557="לא בוגר",0,IF(BC557="לא קיים",0,IF(J557=0,0,I557*0.1))),IF(BC557="לא בוגר",0,IF(BC557="לא קיים",0,IF(AB557=1,I557*0.1,E557*0.5)))),0),IF('חד גזעי'!$AM$4="לא",IF(BC557="לא בוגר",0,IF(BC557="לא קיים",0,IF(J557=0,0,I557*0.1))),IF(BC557="לא בוגר",0,IF(BC557="לא קיים",0,IF(AB557=1,I557*0.1,E557*0.5))))),IF(P557=0,IF(BC557="שימור",IF('חד גזעי'!$AM$4="לא",IF(BC557="לא בוגר",0,IF(BC557="לא קיים",0,IF(J557=0,0,I557*0.15))),IF(BC557="לא בוגר",0,IF(BC557="לא קיים",0,IF(AB557=1,I557*0.15,E557*0.5)))),0),IF('חד גזעי'!$AM$4="לא",IF(BC557="לא בוגר",0,IF(BC557="לא קיים",0,IF(J557=0,0,I557*0.15))),IF(BC557="לא בוגר",0,IF(BC557="לא קיים",0,IF(AB557=1,I557*0.15,E557*0.5))))))</f>
        <v>0</v>
      </c>
      <c r="V557">
        <f t="shared" si="564"/>
        <v>0</v>
      </c>
      <c r="W557">
        <f t="shared" si="565"/>
        <v>0</v>
      </c>
      <c r="X557">
        <f t="shared" si="566"/>
        <v>0</v>
      </c>
      <c r="Y557">
        <f>IF('חד גזעי'!$AM$2 = "לא",0,IF(F557&gt;9,W557,0))</f>
        <v>0</v>
      </c>
      <c r="Z557">
        <f>IF('חד גזעי'!$AM$7 = "לא",0,IF(C557 = "זית אירופי",IF('חד גזעי'!$AN$7 &lt;=סקר!F557,W557,0),IF(C557 = "חרוב מצוי",IF('חד גזעי'!$AN$7 &lt;=סקר!F557,W557,0),0)))</f>
        <v>0</v>
      </c>
      <c r="AC557" s="101"/>
      <c r="AD557" s="103"/>
      <c r="AE557" s="103"/>
      <c r="AF557" s="103"/>
      <c r="AG557" s="103"/>
      <c r="AH557" s="103"/>
      <c r="AI557" s="103"/>
      <c r="AJ557" s="103"/>
      <c r="AK557" s="83"/>
      <c r="AM557" s="73"/>
      <c r="AN557" s="73"/>
      <c r="AO557" s="73"/>
      <c r="AS557" s="198"/>
      <c r="AT557" s="198"/>
      <c r="AU557" s="198"/>
      <c r="AV557" s="198"/>
      <c r="AW557" s="204"/>
      <c r="AX557" s="204"/>
      <c r="AY557" s="204"/>
      <c r="AZ557" s="198"/>
      <c r="BA557" s="198"/>
      <c r="BB557" s="198"/>
      <c r="BC557" s="198"/>
      <c r="BE557">
        <f t="shared" ref="BE557:BE591" si="590">IF(BC557="לא נדרש ברישיון",1,0)</f>
        <v>0</v>
      </c>
      <c r="BF557" s="196" t="str">
        <f>BF554</f>
        <v>C:\Users\origr\Pictures\0.jpg</v>
      </c>
      <c r="BG557" s="196" t="str">
        <f t="shared" ref="BG557:BK557" si="591">BG554</f>
        <v>C:\Users\origr\Pictures\0.jpg</v>
      </c>
      <c r="BH557" s="196" t="str">
        <f t="shared" si="591"/>
        <v>C:\Users\origr\Pictures\0.jpg</v>
      </c>
      <c r="BI557" s="196" t="str">
        <f t="shared" si="591"/>
        <v>C:\Users\origr\Pictures\0.jpg</v>
      </c>
      <c r="BJ557" s="196" t="str">
        <f t="shared" si="591"/>
        <v>C:\Users\origr\Pictures\0.jpg</v>
      </c>
      <c r="BK557" s="196" t="str">
        <f t="shared" si="591"/>
        <v>C:\Users\origr\Pictures\0.jpg</v>
      </c>
    </row>
    <row r="558" spans="1:63" hidden="1">
      <c r="B558" s="199"/>
      <c r="C558" s="199"/>
      <c r="D558" s="199"/>
      <c r="E558" s="199"/>
      <c r="F558" s="202"/>
      <c r="G558" s="205"/>
      <c r="H558" s="205"/>
      <c r="I558" s="199"/>
      <c r="J558" s="199"/>
      <c r="K558" s="199"/>
      <c r="L558" s="199"/>
      <c r="M558" s="199"/>
      <c r="N558" s="199"/>
      <c r="O558" s="199"/>
      <c r="P558" s="199"/>
      <c r="Q558" s="199"/>
      <c r="R558" s="199"/>
      <c r="T558" s="72">
        <f>IF('חד גזעי'!$AM$6="לא",IF(P558=0,IF(BC558="שימור",IF('חד גזעי'!$AM$4="לא",IF(BC558="לא בוגר",0,IF(BC558="לא קיים",0,IF(J558=0,0,I558*0.1))),IF(BC558="לא בוגר",0,IF(BC558="לא קיים",0,IF(AB558=1,I558*0.1,E558*0.5)))),0),IF('חד גזעי'!$AM$4="לא",IF(BC558="לא בוגר",0,IF(BC558="לא קיים",0,IF(J558=0,0,I558*0.1))),IF(BC558="לא בוגר",0,IF(BC558="לא קיים",0,IF(AB558=1,I558*0.1,E558*0.5))))),IF(P558=0,IF(BC558="שימור",IF('חד גזעי'!$AM$4="לא",IF(BC558="לא בוגר",0,IF(BC558="לא קיים",0,IF(J558=0,0,I558*0.15))),IF(BC558="לא בוגר",0,IF(BC558="לא קיים",0,IF(AB558=1,I558*0.15,E558*0.5)))),0),IF('חד גזעי'!$AM$4="לא",IF(BC558="לא בוגר",0,IF(BC558="לא קיים",0,IF(J558=0,0,I558*0.15))),IF(BC558="לא בוגר",0,IF(BC558="לא קיים",0,IF(AB558=1,I558*0.15,E558*0.5))))))</f>
        <v>0</v>
      </c>
      <c r="V558" t="str">
        <f t="shared" si="564"/>
        <v>שווי דקל</v>
      </c>
      <c r="W558" t="str">
        <f t="shared" si="565"/>
        <v>שווי דקל</v>
      </c>
      <c r="X558">
        <f t="shared" si="566"/>
        <v>0</v>
      </c>
      <c r="Y558">
        <f>IF('חד גזעי'!$AM$2 = "לא",0,IF(F558&gt;9,W558,0))</f>
        <v>0</v>
      </c>
      <c r="Z558">
        <f>IF('חד גזעי'!$AM$7 = "לא",0,IF(C558 = "זית אירופי",IF('חד גזעי'!$AN$7 &lt;=סקר!F558,W558,0),IF(C558 = "חרוב מצוי",IF('חד גזעי'!$AN$7 &lt;=סקר!F558,W558,0),0)))</f>
        <v>0</v>
      </c>
      <c r="AC558" s="94"/>
      <c r="AD558" s="94"/>
      <c r="AE558" s="72"/>
      <c r="AF558" s="77" t="s">
        <v>767</v>
      </c>
      <c r="AG558" s="77" t="s">
        <v>768</v>
      </c>
      <c r="AH558" s="72" t="s">
        <v>762</v>
      </c>
      <c r="AI558" s="72" t="s">
        <v>763</v>
      </c>
      <c r="AJ558" s="72" t="s">
        <v>764</v>
      </c>
      <c r="AK558" s="77" t="s">
        <v>770</v>
      </c>
      <c r="AL558" t="s">
        <v>771</v>
      </c>
      <c r="AM558" s="77" t="s">
        <v>809</v>
      </c>
      <c r="AN558" s="77" t="s">
        <v>810</v>
      </c>
      <c r="AO558" s="77" t="s">
        <v>811</v>
      </c>
      <c r="AS558" s="199"/>
      <c r="AT558" s="199"/>
      <c r="AU558" s="199"/>
      <c r="AV558" s="199"/>
      <c r="AW558" s="205"/>
      <c r="AX558" s="205"/>
      <c r="AY558" s="205"/>
      <c r="AZ558" s="199"/>
      <c r="BA558" s="199"/>
      <c r="BB558" s="199"/>
      <c r="BC558" s="199"/>
      <c r="BE558">
        <f t="shared" si="590"/>
        <v>0</v>
      </c>
      <c r="BF558" s="196"/>
      <c r="BG558" s="196"/>
      <c r="BH558" s="196"/>
      <c r="BI558" s="196"/>
      <c r="BJ558" s="196"/>
      <c r="BK558" s="196"/>
    </row>
    <row r="559" spans="1:63" hidden="1">
      <c r="B559" s="72"/>
      <c r="C559" s="135"/>
      <c r="D559" s="73"/>
      <c r="E559" s="73"/>
      <c r="F559" s="72"/>
      <c r="G559" s="72"/>
      <c r="H559" s="72"/>
      <c r="I559" s="73">
        <f t="shared" ref="I559:I590" si="592">F559+(G559/2)+(H559/2)</f>
        <v>0</v>
      </c>
      <c r="J559" s="73"/>
      <c r="K559" s="73"/>
      <c r="L559" s="74" t="e">
        <f>_xlfn.IFNA(VLOOKUP(C559,'חד גזעי'!$U$3:$V$509,2,0),VLOOKUP(C559,'חד גזעי'!$U$3:$V$509,2))</f>
        <v>#N/A</v>
      </c>
      <c r="M559" s="73"/>
      <c r="N559" s="72" t="e">
        <f>_xlfn.IFNA(IF(VLOOKUP(C559,'חד גזעי'!$AH$2:$AH$7,1,FALSE)&gt;0,0,IF('חד גזעי'!$AM$5="כן",IF(_xlfn.IFNA(VLOOKUP(C559,'חד גזעי'!$AH$2:$AH$33,1,FALSE),SUM(J559:M559))&lt;21,_xlfn.IFNA(VLOOKUP(C559,'חד גזעי'!$AH$2:$AH$33,1,FALSE),SUM(J559:M559)),0),SUM(J559:M559))),IF('חד גזעי'!$AM$5="כן",IF(_xlfn.IFNA(VLOOKUP(C559,'חד גזעי'!$AH$2:$AH$33,1,FALSE),SUM(J559:M559))&lt;21,_xlfn.IFNA(VLOOKUP(C559,'חד גזעי'!$AH$2:$AH$33,1,FALSE),SUM(J559:M559)),0),SUM(J559:M559)))</f>
        <v>#N/A</v>
      </c>
      <c r="O559" s="72">
        <f>IF('חד גזעי'!$AM$3 = "כן",IF(T559&gt;4,4,T559),T559)</f>
        <v>0</v>
      </c>
      <c r="P559" s="80">
        <f>IF(E559&lt;2,0,IF(Z559&gt;0,Z559,IF(N559 = 0,0,IF('חד גזעי'!$AM$2 = "לא",IF(F559&gt;19,W559,0),IF(F559&gt;9,Y559,0)))))</f>
        <v>0</v>
      </c>
      <c r="Q559" s="77"/>
      <c r="R559" s="75"/>
      <c r="S559" t="e">
        <f>VLOOKUP(C559,'חד גזעי'!$Y$4:$Y$18,1,0)</f>
        <v>#N/A</v>
      </c>
      <c r="T559" s="72">
        <f>IF('חד גזעי'!$AM$6="לא",IF(P559=0,IF(BC559="שימור",IF('חד גזעי'!$AM$4="לא",IF(BC559="לא בוגר",0,IF(BC559="לא קיים",0,IF(J559=0,0,I559*0.1))),IF(BC559="לא בוגר",0,IF(BC559="לא קיים",0,IF(AB559=1,I559*0.1,E559*0.5)))),0),IF('חד גזעי'!$AM$4="לא",IF(BC559="לא בוגר",0,IF(BC559="לא קיים",0,IF(J559=0,0,I559*0.1))),IF(BC559="לא בוגר",0,IF(BC559="לא קיים",0,IF(AB559=1,I559*0.1,E559*0.5))))),IF(P559=0,IF(BC559="שימור",IF('חד גזעי'!$AM$4="לא",IF(BC559="לא בוגר",0,IF(BC559="לא קיים",0,IF(J559=0,0,I559*0.15))),IF(BC559="לא בוגר",0,IF(BC559="לא קיים",0,IF(AB559=1,I559*0.15,E559*0.5)))),0),IF('חד גזעי'!$AM$4="לא",IF(BC559="לא בוגר",0,IF(BC559="לא קיים",0,IF(J559=0,0,I559*0.15))),IF(BC559="לא בוגר",0,IF(BC559="לא קיים",0,IF(AB559=1,I559*0.15,E559*0.5))))))</f>
        <v>0</v>
      </c>
      <c r="V559" t="e">
        <f t="shared" si="564"/>
        <v>#N/A</v>
      </c>
      <c r="W559" t="e">
        <f t="shared" si="565"/>
        <v>#N/A</v>
      </c>
      <c r="X559" t="e">
        <f t="shared" si="566"/>
        <v>#N/A</v>
      </c>
      <c r="Y559">
        <f>IF('חד גזעי'!$AM$2 = "לא",0,IF(F559&gt;9,W559,0))</f>
        <v>0</v>
      </c>
      <c r="Z559">
        <f>IF('חד גזעי'!$AM$7 = "לא",0,IF(C559 = "זית אירופי",IF('חד גזעי'!$AN$7 &lt;=סקר!F559,W559,0),IF(C559 = "חרוב מצוי",IF('חד גזעי'!$AN$7 &lt;=סקר!F559,W559,0),0)))</f>
        <v>0</v>
      </c>
      <c r="AB559">
        <f t="shared" ref="AB559:AB590" si="593">_xlfn.IFNA(S559,1)</f>
        <v>1</v>
      </c>
      <c r="AC559" s="72"/>
      <c r="AD559" t="e">
        <f>IF(AK559&gt;0,AK559,AF559)</f>
        <v>#N/A</v>
      </c>
      <c r="AE559" s="72"/>
      <c r="AF559" s="72" t="e">
        <f t="shared" ref="AF559:AF590" si="594">((AJ559+AI559+AH559)*(AG559))*(J559*0.2)*(K559*0.2)*20</f>
        <v>#N/A</v>
      </c>
      <c r="AG559" s="72" t="e">
        <f>IF('חד גזעי'!$AM$5="לא",(VLOOKUP(C559,'חד גזעי'!$P$1:$S$589,3,FALSE)),(VLOOKUP(C559,'חד גזעי'!$P$1:$S$589,4,FALSE)))</f>
        <v>#N/A</v>
      </c>
      <c r="AH559" s="72">
        <f t="shared" ref="AH559:AH590" si="595">(3.14*((F559/2)^2))</f>
        <v>0</v>
      </c>
      <c r="AI559" s="72">
        <f t="shared" ref="AI559:AI590" si="596">3.14*(G559*G559/4)</f>
        <v>0</v>
      </c>
      <c r="AJ559" s="72">
        <f t="shared" ref="AJ559:AJ590" si="597">3.14*(H559*H559/4)</f>
        <v>0</v>
      </c>
      <c r="AK559" s="72" t="e">
        <f t="shared" ref="AK559:AK590" si="598">AL559*E559*(J559*0.2)*(0.2*K559)*1500</f>
        <v>#N/A</v>
      </c>
      <c r="AL559" t="e">
        <f>VLOOKUP(C559,'חד גזעי'!$AH$8:$AI$33,2,FALSE)</f>
        <v>#N/A</v>
      </c>
      <c r="AM559" s="72" t="b">
        <f t="shared" ref="AM559:AM590" si="599">IF(BC559="שימור",P559)</f>
        <v>0</v>
      </c>
      <c r="AN559" s="72" t="b">
        <f t="shared" ref="AN559:AN590" si="600">IF(BC559="כריתה",P559)</f>
        <v>0</v>
      </c>
      <c r="AO559" s="72" t="b">
        <f t="shared" ref="AO559:AO590" si="601">IF(BC559="העתקה",P559)</f>
        <v>0</v>
      </c>
      <c r="AS559" s="72">
        <f t="shared" ref="AS559:AS590" si="602">B559</f>
        <v>0</v>
      </c>
      <c r="AT559" s="72">
        <f t="shared" ref="AT559:AT590" si="603">C559</f>
        <v>0</v>
      </c>
      <c r="AU559" s="72">
        <f>IF(C559&gt;0,IF(D559&lt;2,1,D559),0)</f>
        <v>0</v>
      </c>
      <c r="AV559" s="72">
        <f t="shared" ref="AV559:AV590" si="604">E559</f>
        <v>0</v>
      </c>
      <c r="AW559" s="72">
        <f t="shared" ref="AW559:AW590" si="605">F559</f>
        <v>0</v>
      </c>
      <c r="AX559" s="72">
        <f t="shared" ref="AX559:AX590" si="606">G559</f>
        <v>0</v>
      </c>
      <c r="AY559" s="72">
        <f t="shared" ref="AY559:AY590" si="607">H559</f>
        <v>0</v>
      </c>
      <c r="AZ559" s="72">
        <f t="shared" ref="AZ559:AZ590" si="608">I559</f>
        <v>0</v>
      </c>
      <c r="BA559" s="72" t="e">
        <f t="shared" ref="BA559:BA590" si="609">N559</f>
        <v>#N/A</v>
      </c>
      <c r="BB559" s="72" t="e">
        <f t="shared" ref="BB559:BB590" si="610">IF(BA559&gt;6,IF(BA559&gt;13,IF(BA559&gt;16,"גבוה מאוד","גבוה"),"בינונית"),"נמוכה")</f>
        <v>#N/A</v>
      </c>
      <c r="BC559" s="77"/>
      <c r="BE559">
        <f t="shared" si="590"/>
        <v>0</v>
      </c>
      <c r="BF559" s="196"/>
      <c r="BG559" s="196"/>
      <c r="BH559" s="196"/>
      <c r="BI559" s="196"/>
      <c r="BJ559" s="196"/>
      <c r="BK559" s="196"/>
    </row>
    <row r="560" spans="1:63" hidden="1">
      <c r="B560" s="72"/>
      <c r="C560" s="135"/>
      <c r="D560" s="73"/>
      <c r="E560" s="73"/>
      <c r="F560" s="72"/>
      <c r="G560" s="72"/>
      <c r="H560" s="72"/>
      <c r="I560" s="73">
        <f t="shared" si="592"/>
        <v>0</v>
      </c>
      <c r="J560" s="73"/>
      <c r="K560" s="73"/>
      <c r="L560" s="74" t="e">
        <f>_xlfn.IFNA(VLOOKUP(C560,'חד גזעי'!$U$3:$V$509,2,0),VLOOKUP(C560,'חד גזעי'!$U$3:$V$509,2))</f>
        <v>#N/A</v>
      </c>
      <c r="M560" s="73"/>
      <c r="N560" s="72" t="e">
        <f>_xlfn.IFNA(IF(VLOOKUP(C560,'חד גזעי'!$AH$2:$AH$7,1,FALSE)&gt;0,0,IF('חד גזעי'!$AM$5="כן",IF(_xlfn.IFNA(VLOOKUP(C560,'חד גזעי'!$AH$2:$AH$33,1,FALSE),SUM(J560:M560))&lt;21,_xlfn.IFNA(VLOOKUP(C560,'חד גזעי'!$AH$2:$AH$33,1,FALSE),SUM(J560:M560)),0),SUM(J560:M560))),IF('חד גזעי'!$AM$5="כן",IF(_xlfn.IFNA(VLOOKUP(C560,'חד גזעי'!$AH$2:$AH$33,1,FALSE),SUM(J560:M560))&lt;21,_xlfn.IFNA(VLOOKUP(C560,'חד גזעי'!$AH$2:$AH$33,1,FALSE),SUM(J560:M560)),0),SUM(J560:M560)))</f>
        <v>#N/A</v>
      </c>
      <c r="O560" s="72">
        <f>IF('חד גזעי'!$AM$3 = "כן",IF(T560&gt;4,4,T560),T560)</f>
        <v>0</v>
      </c>
      <c r="P560" s="80">
        <f>IF(E560&lt;2,0,IF(Z560&gt;0,Z560,IF(N560 = 0,0,IF('חד גזעי'!$AM$2 = "לא",IF(F560&gt;19,W560,0),IF(F560&gt;9,Y560,0)))))</f>
        <v>0</v>
      </c>
      <c r="Q560" s="77"/>
      <c r="R560" s="75"/>
      <c r="S560" t="e">
        <f>VLOOKUP(C560,'חד גזעי'!$Y$4:$Y$18,1,0)</f>
        <v>#N/A</v>
      </c>
      <c r="T560" s="72">
        <f>IF('חד גזעי'!$AM$6="לא",IF(P560=0,IF(BC560="שימור",IF('חד גזעי'!$AM$4="לא",IF(BC560="לא בוגר",0,IF(BC560="לא קיים",0,IF(J560=0,0,I560*0.1))),IF(BC560="לא בוגר",0,IF(BC560="לא קיים",0,IF(AB560=1,I560*0.1,E560*0.5)))),0),IF('חד גזעי'!$AM$4="לא",IF(BC560="לא בוגר",0,IF(BC560="לא קיים",0,IF(J560=0,0,I560*0.1))),IF(BC560="לא בוגר",0,IF(BC560="לא קיים",0,IF(AB560=1,I560*0.1,E560*0.5))))),IF(P560=0,IF(BC560="שימור",IF('חד גזעי'!$AM$4="לא",IF(BC560="לא בוגר",0,IF(BC560="לא קיים",0,IF(J560=0,0,I560*0.15))),IF(BC560="לא בוגר",0,IF(BC560="לא קיים",0,IF(AB560=1,I560*0.15,E560*0.5)))),0),IF('חד גזעי'!$AM$4="לא",IF(BC560="לא בוגר",0,IF(BC560="לא קיים",0,IF(J560=0,0,I560*0.15))),IF(BC560="לא בוגר",0,IF(BC560="לא קיים",0,IF(AB560=1,I560*0.15,E560*0.5))))))</f>
        <v>0</v>
      </c>
      <c r="V560" t="e">
        <f t="shared" si="564"/>
        <v>#N/A</v>
      </c>
      <c r="W560" t="e">
        <f t="shared" si="565"/>
        <v>#N/A</v>
      </c>
      <c r="X560" t="e">
        <f t="shared" si="566"/>
        <v>#N/A</v>
      </c>
      <c r="Y560">
        <f>IF('חד גזעי'!$AM$2 = "לא",0,IF(F560&gt;9,W560,0))</f>
        <v>0</v>
      </c>
      <c r="Z560">
        <f>IF('חד גזעי'!$AM$7 = "לא",0,IF(C560 = "זית אירופי",IF('חד גזעי'!$AN$7 &lt;=סקר!F560,W560,0),IF(C560 = "חרוב מצוי",IF('חד גזעי'!$AN$7 &lt;=סקר!F560,W560,0),0)))</f>
        <v>0</v>
      </c>
      <c r="AB560">
        <f t="shared" si="593"/>
        <v>1</v>
      </c>
      <c r="AC560" s="72"/>
      <c r="AD560" t="e">
        <f t="shared" ref="AD560:AD590" si="611">IF(AK560&gt;0,AK560,AF560)</f>
        <v>#N/A</v>
      </c>
      <c r="AE560" s="72"/>
      <c r="AF560" s="72" t="e">
        <f t="shared" si="594"/>
        <v>#N/A</v>
      </c>
      <c r="AG560" s="72" t="e">
        <f>IF('חד גזעי'!$AM$5="לא",(VLOOKUP(C560,'חד גזעי'!$P$1:$S$589,3,FALSE)),(VLOOKUP(C560,'חד גזעי'!$P$1:$S$589,4,FALSE)))</f>
        <v>#N/A</v>
      </c>
      <c r="AH560" s="72">
        <f t="shared" si="595"/>
        <v>0</v>
      </c>
      <c r="AI560" s="72">
        <f t="shared" si="596"/>
        <v>0</v>
      </c>
      <c r="AJ560" s="72">
        <f t="shared" si="597"/>
        <v>0</v>
      </c>
      <c r="AK560" s="72" t="e">
        <f t="shared" si="598"/>
        <v>#N/A</v>
      </c>
      <c r="AL560" t="e">
        <f>VLOOKUP(C560,'חד גזעי'!$AH$8:$AI$33,2,FALSE)</f>
        <v>#N/A</v>
      </c>
      <c r="AM560" s="72" t="b">
        <f t="shared" si="599"/>
        <v>0</v>
      </c>
      <c r="AN560" s="72" t="b">
        <f t="shared" si="600"/>
        <v>0</v>
      </c>
      <c r="AO560" s="72" t="b">
        <f t="shared" si="601"/>
        <v>0</v>
      </c>
      <c r="AS560" s="72">
        <f t="shared" si="602"/>
        <v>0</v>
      </c>
      <c r="AT560" s="72">
        <f t="shared" si="603"/>
        <v>0</v>
      </c>
      <c r="AU560" s="72">
        <f t="shared" ref="AU560:AU590" si="612">IF(C560&gt;0,IF(D560&lt;2,1,D560),0)</f>
        <v>0</v>
      </c>
      <c r="AV560" s="72">
        <f t="shared" si="604"/>
        <v>0</v>
      </c>
      <c r="AW560" s="72">
        <f t="shared" si="605"/>
        <v>0</v>
      </c>
      <c r="AX560" s="72">
        <f t="shared" si="606"/>
        <v>0</v>
      </c>
      <c r="AY560" s="72">
        <f t="shared" si="607"/>
        <v>0</v>
      </c>
      <c r="AZ560" s="72">
        <f t="shared" si="608"/>
        <v>0</v>
      </c>
      <c r="BA560" s="72" t="e">
        <f t="shared" si="609"/>
        <v>#N/A</v>
      </c>
      <c r="BB560" s="72" t="e">
        <f t="shared" si="610"/>
        <v>#N/A</v>
      </c>
      <c r="BC560" s="77"/>
      <c r="BE560">
        <f t="shared" si="590"/>
        <v>0</v>
      </c>
      <c r="BF560" s="196"/>
      <c r="BG560" s="196"/>
      <c r="BH560" s="196"/>
      <c r="BI560" s="196"/>
      <c r="BJ560" s="196"/>
      <c r="BK560" s="196"/>
    </row>
    <row r="561" spans="2:63" hidden="1">
      <c r="B561" s="72"/>
      <c r="C561" s="135"/>
      <c r="D561" s="73"/>
      <c r="E561" s="73"/>
      <c r="F561" s="72"/>
      <c r="G561" s="72"/>
      <c r="H561" s="72"/>
      <c r="I561" s="73">
        <f t="shared" si="592"/>
        <v>0</v>
      </c>
      <c r="J561" s="73"/>
      <c r="K561" s="73"/>
      <c r="L561" s="74" t="e">
        <f>_xlfn.IFNA(VLOOKUP(C561,'חד גזעי'!$U$3:$V$509,2,0),VLOOKUP(C561,'חד גזעי'!$U$3:$V$509,2))</f>
        <v>#N/A</v>
      </c>
      <c r="M561" s="73"/>
      <c r="N561" s="72" t="e">
        <f>_xlfn.IFNA(IF(VLOOKUP(C561,'חד גזעי'!$AH$2:$AH$7,1,FALSE)&gt;0,0,IF('חד גזעי'!$AM$5="כן",IF(_xlfn.IFNA(VLOOKUP(C561,'חד גזעי'!$AH$2:$AH$33,1,FALSE),SUM(J561:M561))&lt;21,_xlfn.IFNA(VLOOKUP(C561,'חד גזעי'!$AH$2:$AH$33,1,FALSE),SUM(J561:M561)),0),SUM(J561:M561))),IF('חד גזעי'!$AM$5="כן",IF(_xlfn.IFNA(VLOOKUP(C561,'חד גזעי'!$AH$2:$AH$33,1,FALSE),SUM(J561:M561))&lt;21,_xlfn.IFNA(VLOOKUP(C561,'חד גזעי'!$AH$2:$AH$33,1,FALSE),SUM(J561:M561)),0),SUM(J561:M561)))</f>
        <v>#N/A</v>
      </c>
      <c r="O561" s="72">
        <f>IF('חד גזעי'!$AM$3 = "כן",IF(T561&gt;4,4,T561),T561)</f>
        <v>0</v>
      </c>
      <c r="P561" s="80">
        <f>IF(E561&lt;2,0,IF(Z561&gt;0,Z561,IF(N561 = 0,0,IF('חד גזעי'!$AM$2 = "לא",IF(F561&gt;19,W561,0),IF(F561&gt;9,Y561,0)))))</f>
        <v>0</v>
      </c>
      <c r="Q561" s="77"/>
      <c r="R561" s="75"/>
      <c r="S561" t="e">
        <f>VLOOKUP(C561,'חד גזעי'!$Y$4:$Y$18,1,0)</f>
        <v>#N/A</v>
      </c>
      <c r="T561" s="72">
        <f>IF('חד גזעי'!$AM$6="לא",IF(P561=0,IF(BC561="שימור",IF('חד גזעי'!$AM$4="לא",IF(BC561="לא בוגר",0,IF(BC561="לא קיים",0,IF(J561=0,0,I561*0.1))),IF(BC561="לא בוגר",0,IF(BC561="לא קיים",0,IF(AB561=1,I561*0.1,E561*0.5)))),0),IF('חד גזעי'!$AM$4="לא",IF(BC561="לא בוגר",0,IF(BC561="לא קיים",0,IF(J561=0,0,I561*0.1))),IF(BC561="לא בוגר",0,IF(BC561="לא קיים",0,IF(AB561=1,I561*0.1,E561*0.5))))),IF(P561=0,IF(BC561="שימור",IF('חד גזעי'!$AM$4="לא",IF(BC561="לא בוגר",0,IF(BC561="לא קיים",0,IF(J561=0,0,I561*0.15))),IF(BC561="לא בוגר",0,IF(BC561="לא קיים",0,IF(AB561=1,I561*0.15,E561*0.5)))),0),IF('חד גזעי'!$AM$4="לא",IF(BC561="לא בוגר",0,IF(BC561="לא קיים",0,IF(J561=0,0,I561*0.15))),IF(BC561="לא בוגר",0,IF(BC561="לא קיים",0,IF(AB561=1,I561*0.15,E561*0.5))))))</f>
        <v>0</v>
      </c>
      <c r="V561" t="e">
        <f t="shared" si="564"/>
        <v>#N/A</v>
      </c>
      <c r="W561" t="e">
        <f t="shared" si="565"/>
        <v>#N/A</v>
      </c>
      <c r="X561" t="e">
        <f t="shared" si="566"/>
        <v>#N/A</v>
      </c>
      <c r="Y561">
        <f>IF('חד גזעי'!$AM$2 = "לא",0,IF(F561&gt;9,W561,0))</f>
        <v>0</v>
      </c>
      <c r="Z561">
        <f>IF('חד גזעי'!$AM$7 = "לא",0,IF(C561 = "זית אירופי",IF('חד גזעי'!$AN$7 &lt;=סקר!F561,W561,0),IF(C561 = "חרוב מצוי",IF('חד גזעי'!$AN$7 &lt;=סקר!F561,W561,0),0)))</f>
        <v>0</v>
      </c>
      <c r="AB561">
        <f t="shared" si="593"/>
        <v>1</v>
      </c>
      <c r="AC561" s="72"/>
      <c r="AD561" t="e">
        <f t="shared" si="611"/>
        <v>#N/A</v>
      </c>
      <c r="AE561" s="72"/>
      <c r="AF561" s="72" t="e">
        <f t="shared" si="594"/>
        <v>#N/A</v>
      </c>
      <c r="AG561" s="72" t="e">
        <f>IF('חד גזעי'!$AM$5="לא",(VLOOKUP(C561,'חד גזעי'!$P$1:$S$589,3,FALSE)),(VLOOKUP(C561,'חד גזעי'!$P$1:$S$589,4,FALSE)))</f>
        <v>#N/A</v>
      </c>
      <c r="AH561" s="72">
        <f t="shared" si="595"/>
        <v>0</v>
      </c>
      <c r="AI561" s="72">
        <f t="shared" si="596"/>
        <v>0</v>
      </c>
      <c r="AJ561" s="72">
        <f t="shared" si="597"/>
        <v>0</v>
      </c>
      <c r="AK561" s="72" t="e">
        <f t="shared" si="598"/>
        <v>#N/A</v>
      </c>
      <c r="AL561" t="e">
        <f>VLOOKUP(C561,'חד גזעי'!$AH$8:$AI$33,2,FALSE)</f>
        <v>#N/A</v>
      </c>
      <c r="AM561" s="72" t="b">
        <f t="shared" si="599"/>
        <v>0</v>
      </c>
      <c r="AN561" s="72" t="b">
        <f t="shared" si="600"/>
        <v>0</v>
      </c>
      <c r="AO561" s="72" t="b">
        <f t="shared" si="601"/>
        <v>0</v>
      </c>
      <c r="AS561" s="72">
        <f t="shared" si="602"/>
        <v>0</v>
      </c>
      <c r="AT561" s="72">
        <f t="shared" si="603"/>
        <v>0</v>
      </c>
      <c r="AU561" s="72">
        <f t="shared" si="612"/>
        <v>0</v>
      </c>
      <c r="AV561" s="72">
        <f t="shared" si="604"/>
        <v>0</v>
      </c>
      <c r="AW561" s="72">
        <f t="shared" si="605"/>
        <v>0</v>
      </c>
      <c r="AX561" s="72">
        <f t="shared" si="606"/>
        <v>0</v>
      </c>
      <c r="AY561" s="72">
        <f t="shared" si="607"/>
        <v>0</v>
      </c>
      <c r="AZ561" s="72">
        <f t="shared" si="608"/>
        <v>0</v>
      </c>
      <c r="BA561" s="72" t="e">
        <f t="shared" si="609"/>
        <v>#N/A</v>
      </c>
      <c r="BB561" s="72" t="e">
        <f t="shared" si="610"/>
        <v>#N/A</v>
      </c>
      <c r="BC561" s="77"/>
      <c r="BE561">
        <f t="shared" si="590"/>
        <v>0</v>
      </c>
      <c r="BF561" s="196"/>
      <c r="BG561" s="196"/>
      <c r="BH561" s="196"/>
      <c r="BI561" s="196"/>
      <c r="BJ561" s="196"/>
      <c r="BK561" s="196"/>
    </row>
    <row r="562" spans="2:63" hidden="1">
      <c r="B562" s="72"/>
      <c r="C562" s="135"/>
      <c r="D562" s="73"/>
      <c r="E562" s="73"/>
      <c r="F562" s="72"/>
      <c r="G562" s="72"/>
      <c r="H562" s="72"/>
      <c r="I562" s="73">
        <f t="shared" si="592"/>
        <v>0</v>
      </c>
      <c r="J562" s="73"/>
      <c r="K562" s="73"/>
      <c r="L562" s="74" t="e">
        <f>_xlfn.IFNA(VLOOKUP(C562,'חד גזעי'!$U$3:$V$509,2,0),VLOOKUP(C562,'חד גזעי'!$U$3:$V$509,2))</f>
        <v>#N/A</v>
      </c>
      <c r="M562" s="73"/>
      <c r="N562" s="72" t="e">
        <f>_xlfn.IFNA(IF(VLOOKUP(C562,'חד גזעי'!$AH$2:$AH$7,1,FALSE)&gt;0,0,IF('חד גזעי'!$AM$5="כן",IF(_xlfn.IFNA(VLOOKUP(C562,'חד גזעי'!$AH$2:$AH$33,1,FALSE),SUM(J562:M562))&lt;21,_xlfn.IFNA(VLOOKUP(C562,'חד גזעי'!$AH$2:$AH$33,1,FALSE),SUM(J562:M562)),0),SUM(J562:M562))),IF('חד גזעי'!$AM$5="כן",IF(_xlfn.IFNA(VLOOKUP(C562,'חד גזעי'!$AH$2:$AH$33,1,FALSE),SUM(J562:M562))&lt;21,_xlfn.IFNA(VLOOKUP(C562,'חד גזעי'!$AH$2:$AH$33,1,FALSE),SUM(J562:M562)),0),SUM(J562:M562)))</f>
        <v>#N/A</v>
      </c>
      <c r="O562" s="72">
        <f>IF('חד גזעי'!$AM$3 = "כן",IF(T562&gt;4,4,T562),T562)</f>
        <v>0</v>
      </c>
      <c r="P562" s="80">
        <f>IF(E562&lt;2,0,IF(Z562&gt;0,Z562,IF(N562 = 0,0,IF('חד גזעי'!$AM$2 = "לא",IF(F562&gt;19,W562,0),IF(F562&gt;9,Y562,0)))))</f>
        <v>0</v>
      </c>
      <c r="Q562" s="77"/>
      <c r="R562" s="75"/>
      <c r="S562" t="e">
        <f>VLOOKUP(C562,'חד גזעי'!$Y$4:$Y$18,1,0)</f>
        <v>#N/A</v>
      </c>
      <c r="T562" s="72">
        <f>IF('חד גזעי'!$AM$6="לא",IF(P562=0,IF(BC562="שימור",IF('חד גזעי'!$AM$4="לא",IF(BC562="לא בוגר",0,IF(BC562="לא קיים",0,IF(J562=0,0,I562*0.1))),IF(BC562="לא בוגר",0,IF(BC562="לא קיים",0,IF(AB562=1,I562*0.1,E562*0.5)))),0),IF('חד גזעי'!$AM$4="לא",IF(BC562="לא בוגר",0,IF(BC562="לא קיים",0,IF(J562=0,0,I562*0.1))),IF(BC562="לא בוגר",0,IF(BC562="לא קיים",0,IF(AB562=1,I562*0.1,E562*0.5))))),IF(P562=0,IF(BC562="שימור",IF('חד גזעי'!$AM$4="לא",IF(BC562="לא בוגר",0,IF(BC562="לא קיים",0,IF(J562=0,0,I562*0.15))),IF(BC562="לא בוגר",0,IF(BC562="לא קיים",0,IF(AB562=1,I562*0.15,E562*0.5)))),0),IF('חד גזעי'!$AM$4="לא",IF(BC562="לא בוגר",0,IF(BC562="לא קיים",0,IF(J562=0,0,I562*0.15))),IF(BC562="לא בוגר",0,IF(BC562="לא קיים",0,IF(AB562=1,I562*0.15,E562*0.5))))))</f>
        <v>0</v>
      </c>
      <c r="V562" t="e">
        <f t="shared" si="564"/>
        <v>#N/A</v>
      </c>
      <c r="W562" t="e">
        <f t="shared" si="565"/>
        <v>#N/A</v>
      </c>
      <c r="X562" t="e">
        <f t="shared" si="566"/>
        <v>#N/A</v>
      </c>
      <c r="Y562">
        <f>IF('חד גזעי'!$AM$2 = "לא",0,IF(F562&gt;9,W562,0))</f>
        <v>0</v>
      </c>
      <c r="Z562">
        <f>IF('חד גזעי'!$AM$7 = "לא",0,IF(C562 = "זית אירופי",IF('חד גזעי'!$AN$7 &lt;=סקר!F562,W562,0),IF(C562 = "חרוב מצוי",IF('חד גזעי'!$AN$7 &lt;=סקר!F562,W562,0),0)))</f>
        <v>0</v>
      </c>
      <c r="AB562">
        <f t="shared" si="593"/>
        <v>1</v>
      </c>
      <c r="AC562" s="72"/>
      <c r="AD562" t="e">
        <f t="shared" si="611"/>
        <v>#N/A</v>
      </c>
      <c r="AE562" s="72"/>
      <c r="AF562" s="72" t="e">
        <f t="shared" si="594"/>
        <v>#N/A</v>
      </c>
      <c r="AG562" s="72" t="e">
        <f>IF('חד גזעי'!$AM$5="לא",(VLOOKUP(C562,'חד גזעי'!$P$1:$S$589,3,FALSE)),(VLOOKUP(C562,'חד גזעי'!$P$1:$S$589,4,FALSE)))</f>
        <v>#N/A</v>
      </c>
      <c r="AH562" s="72">
        <f t="shared" si="595"/>
        <v>0</v>
      </c>
      <c r="AI562" s="72">
        <f t="shared" si="596"/>
        <v>0</v>
      </c>
      <c r="AJ562" s="72">
        <f t="shared" si="597"/>
        <v>0</v>
      </c>
      <c r="AK562" s="72" t="e">
        <f t="shared" si="598"/>
        <v>#N/A</v>
      </c>
      <c r="AL562" t="e">
        <f>VLOOKUP(C562,'חד גזעי'!$AH$8:$AI$33,2,FALSE)</f>
        <v>#N/A</v>
      </c>
      <c r="AM562" s="72" t="b">
        <f t="shared" si="599"/>
        <v>0</v>
      </c>
      <c r="AN562" s="72" t="b">
        <f t="shared" si="600"/>
        <v>0</v>
      </c>
      <c r="AO562" s="72" t="b">
        <f t="shared" si="601"/>
        <v>0</v>
      </c>
      <c r="AS562" s="72">
        <f t="shared" si="602"/>
        <v>0</v>
      </c>
      <c r="AT562" s="72">
        <f t="shared" si="603"/>
        <v>0</v>
      </c>
      <c r="AU562" s="72">
        <f t="shared" si="612"/>
        <v>0</v>
      </c>
      <c r="AV562" s="72">
        <f t="shared" si="604"/>
        <v>0</v>
      </c>
      <c r="AW562" s="72">
        <f t="shared" si="605"/>
        <v>0</v>
      </c>
      <c r="AX562" s="72">
        <f t="shared" si="606"/>
        <v>0</v>
      </c>
      <c r="AY562" s="72">
        <f t="shared" si="607"/>
        <v>0</v>
      </c>
      <c r="AZ562" s="72">
        <f t="shared" si="608"/>
        <v>0</v>
      </c>
      <c r="BA562" s="72" t="e">
        <f t="shared" si="609"/>
        <v>#N/A</v>
      </c>
      <c r="BB562" s="72" t="e">
        <f t="shared" si="610"/>
        <v>#N/A</v>
      </c>
      <c r="BC562" s="77"/>
      <c r="BE562">
        <f t="shared" si="590"/>
        <v>0</v>
      </c>
      <c r="BF562" s="196"/>
      <c r="BG562" s="196"/>
      <c r="BH562" s="196"/>
      <c r="BI562" s="196"/>
      <c r="BJ562" s="196"/>
      <c r="BK562" s="196"/>
    </row>
    <row r="563" spans="2:63" hidden="1">
      <c r="B563" s="72"/>
      <c r="C563" s="135"/>
      <c r="D563" s="73"/>
      <c r="E563" s="73"/>
      <c r="F563" s="72"/>
      <c r="G563" s="72"/>
      <c r="H563" s="72"/>
      <c r="I563" s="73">
        <f t="shared" si="592"/>
        <v>0</v>
      </c>
      <c r="J563" s="73"/>
      <c r="K563" s="73"/>
      <c r="L563" s="74" t="e">
        <f>_xlfn.IFNA(VLOOKUP(C563,'חד גזעי'!$U$3:$V$509,2,0),VLOOKUP(C563,'חד גזעי'!$U$3:$V$509,2))</f>
        <v>#N/A</v>
      </c>
      <c r="M563" s="73"/>
      <c r="N563" s="72" t="e">
        <f>_xlfn.IFNA(IF(VLOOKUP(C563,'חד גזעי'!$AH$2:$AH$7,1,FALSE)&gt;0,0,IF('חד גזעי'!$AM$5="כן",IF(_xlfn.IFNA(VLOOKUP(C563,'חד גזעי'!$AH$2:$AH$33,1,FALSE),SUM(J563:M563))&lt;21,_xlfn.IFNA(VLOOKUP(C563,'חד גזעי'!$AH$2:$AH$33,1,FALSE),SUM(J563:M563)),0),SUM(J563:M563))),IF('חד גזעי'!$AM$5="כן",IF(_xlfn.IFNA(VLOOKUP(C563,'חד גזעי'!$AH$2:$AH$33,1,FALSE),SUM(J563:M563))&lt;21,_xlfn.IFNA(VLOOKUP(C563,'חד גזעי'!$AH$2:$AH$33,1,FALSE),SUM(J563:M563)),0),SUM(J563:M563)))</f>
        <v>#N/A</v>
      </c>
      <c r="O563" s="72">
        <f>IF('חד גזעי'!$AM$3 = "כן",IF(T563&gt;4,4,T563),T563)</f>
        <v>0</v>
      </c>
      <c r="P563" s="80">
        <f>IF(E563&lt;2,0,IF(Z563&gt;0,Z563,IF(N563 = 0,0,IF('חד גזעי'!$AM$2 = "לא",IF(F563&gt;19,W563,0),IF(F563&gt;9,Y563,0)))))</f>
        <v>0</v>
      </c>
      <c r="Q563" s="77"/>
      <c r="R563" s="75"/>
      <c r="S563" t="e">
        <f>VLOOKUP(C563,'חד גזעי'!$Y$4:$Y$18,1,0)</f>
        <v>#N/A</v>
      </c>
      <c r="T563" s="72">
        <f>IF('חד גזעי'!$AM$6="לא",IF(P563=0,IF(BC563="שימור",IF('חד גזעי'!$AM$4="לא",IF(BC563="לא בוגר",0,IF(BC563="לא קיים",0,IF(J563=0,0,I563*0.1))),IF(BC563="לא בוגר",0,IF(BC563="לא קיים",0,IF(AB563=1,I563*0.1,E563*0.5)))),0),IF('חד גזעי'!$AM$4="לא",IF(BC563="לא בוגר",0,IF(BC563="לא קיים",0,IF(J563=0,0,I563*0.1))),IF(BC563="לא בוגר",0,IF(BC563="לא קיים",0,IF(AB563=1,I563*0.1,E563*0.5))))),IF(P563=0,IF(BC563="שימור",IF('חד גזעי'!$AM$4="לא",IF(BC563="לא בוגר",0,IF(BC563="לא קיים",0,IF(J563=0,0,I563*0.15))),IF(BC563="לא בוגר",0,IF(BC563="לא קיים",0,IF(AB563=1,I563*0.15,E563*0.5)))),0),IF('חד גזעי'!$AM$4="לא",IF(BC563="לא בוגר",0,IF(BC563="לא קיים",0,IF(J563=0,0,I563*0.15))),IF(BC563="לא בוגר",0,IF(BC563="לא קיים",0,IF(AB563=1,I563*0.15,E563*0.5))))))</f>
        <v>0</v>
      </c>
      <c r="V563" t="e">
        <f t="shared" si="564"/>
        <v>#N/A</v>
      </c>
      <c r="W563" t="e">
        <f t="shared" si="565"/>
        <v>#N/A</v>
      </c>
      <c r="X563" t="e">
        <f t="shared" si="566"/>
        <v>#N/A</v>
      </c>
      <c r="Y563">
        <f>IF('חד גזעי'!$AM$2 = "לא",0,IF(F563&gt;9,W563,0))</f>
        <v>0</v>
      </c>
      <c r="Z563">
        <f>IF('חד גזעי'!$AM$7 = "לא",0,IF(C563 = "זית אירופי",IF('חד גזעי'!$AN$7 &lt;=סקר!F563,W563,0),IF(C563 = "חרוב מצוי",IF('חד גזעי'!$AN$7 &lt;=סקר!F563,W563,0),0)))</f>
        <v>0</v>
      </c>
      <c r="AB563">
        <f t="shared" si="593"/>
        <v>1</v>
      </c>
      <c r="AC563" s="72"/>
      <c r="AD563" t="e">
        <f t="shared" si="611"/>
        <v>#N/A</v>
      </c>
      <c r="AE563" s="72"/>
      <c r="AF563" s="72" t="e">
        <f t="shared" si="594"/>
        <v>#N/A</v>
      </c>
      <c r="AG563" s="72" t="e">
        <f>IF('חד גזעי'!$AM$5="לא",(VLOOKUP(C563,'חד גזעי'!$P$1:$S$589,3,FALSE)),(VLOOKUP(C563,'חד גזעי'!$P$1:$S$589,4,FALSE)))</f>
        <v>#N/A</v>
      </c>
      <c r="AH563" s="72">
        <f t="shared" si="595"/>
        <v>0</v>
      </c>
      <c r="AI563" s="72">
        <f t="shared" si="596"/>
        <v>0</v>
      </c>
      <c r="AJ563" s="72">
        <f t="shared" si="597"/>
        <v>0</v>
      </c>
      <c r="AK563" s="72" t="e">
        <f t="shared" si="598"/>
        <v>#N/A</v>
      </c>
      <c r="AL563" t="e">
        <f>VLOOKUP(C563,'חד גזעי'!$AH$8:$AI$33,2,FALSE)</f>
        <v>#N/A</v>
      </c>
      <c r="AM563" s="72" t="b">
        <f t="shared" si="599"/>
        <v>0</v>
      </c>
      <c r="AN563" s="72" t="b">
        <f t="shared" si="600"/>
        <v>0</v>
      </c>
      <c r="AO563" s="72" t="b">
        <f t="shared" si="601"/>
        <v>0</v>
      </c>
      <c r="AS563" s="72">
        <f t="shared" si="602"/>
        <v>0</v>
      </c>
      <c r="AT563" s="72">
        <f t="shared" si="603"/>
        <v>0</v>
      </c>
      <c r="AU563" s="72">
        <f t="shared" si="612"/>
        <v>0</v>
      </c>
      <c r="AV563" s="72">
        <f t="shared" si="604"/>
        <v>0</v>
      </c>
      <c r="AW563" s="72">
        <f t="shared" si="605"/>
        <v>0</v>
      </c>
      <c r="AX563" s="72">
        <f t="shared" si="606"/>
        <v>0</v>
      </c>
      <c r="AY563" s="72">
        <f t="shared" si="607"/>
        <v>0</v>
      </c>
      <c r="AZ563" s="72">
        <f t="shared" si="608"/>
        <v>0</v>
      </c>
      <c r="BA563" s="72" t="e">
        <f t="shared" si="609"/>
        <v>#N/A</v>
      </c>
      <c r="BB563" s="72" t="e">
        <f t="shared" si="610"/>
        <v>#N/A</v>
      </c>
      <c r="BC563" s="77"/>
      <c r="BE563">
        <f t="shared" si="590"/>
        <v>0</v>
      </c>
      <c r="BF563" s="196"/>
      <c r="BG563" s="196"/>
      <c r="BH563" s="196"/>
      <c r="BI563" s="196"/>
      <c r="BJ563" s="196"/>
      <c r="BK563" s="196"/>
    </row>
    <row r="564" spans="2:63" hidden="1">
      <c r="B564" s="72"/>
      <c r="C564" s="135"/>
      <c r="D564" s="78"/>
      <c r="E564" s="73"/>
      <c r="F564" s="72"/>
      <c r="G564" s="72"/>
      <c r="H564" s="72"/>
      <c r="I564" s="73">
        <f t="shared" si="592"/>
        <v>0</v>
      </c>
      <c r="J564" s="78"/>
      <c r="K564" s="73"/>
      <c r="L564" s="74" t="e">
        <f>_xlfn.IFNA(VLOOKUP(C564,'חד גזעי'!$U$3:$V$509,2,0),VLOOKUP(C564,'חד גזעי'!$U$3:$V$509,2))</f>
        <v>#N/A</v>
      </c>
      <c r="M564" s="73"/>
      <c r="N564" s="72" t="e">
        <f>_xlfn.IFNA(IF(VLOOKUP(C564,'חד גזעי'!$AH$2:$AH$7,1,FALSE)&gt;0,0,IF('חד גזעי'!$AM$5="כן",IF(_xlfn.IFNA(VLOOKUP(C564,'חד גזעי'!$AH$2:$AH$33,1,FALSE),SUM(J564:M564))&lt;21,_xlfn.IFNA(VLOOKUP(C564,'חד גזעי'!$AH$2:$AH$33,1,FALSE),SUM(J564:M564)),0),SUM(J564:M564))),IF('חד גזעי'!$AM$5="כן",IF(_xlfn.IFNA(VLOOKUP(C564,'חד גזעי'!$AH$2:$AH$33,1,FALSE),SUM(J564:M564))&lt;21,_xlfn.IFNA(VLOOKUP(C564,'חד גזעי'!$AH$2:$AH$33,1,FALSE),SUM(J564:M564)),0),SUM(J564:M564)))</f>
        <v>#N/A</v>
      </c>
      <c r="O564" s="72">
        <f>IF('חד גזעי'!$AM$3 = "כן",IF(T564&gt;4,4,T564),T564)</f>
        <v>0</v>
      </c>
      <c r="P564" s="80">
        <f>IF(E564&lt;2,0,IF(Z564&gt;0,Z564,IF(N564 = 0,0,IF('חד גזעי'!$AM$2 = "לא",IF(F564&gt;19,W564,0),IF(F564&gt;9,Y564,0)))))</f>
        <v>0</v>
      </c>
      <c r="Q564" s="77"/>
      <c r="R564" s="75"/>
      <c r="S564" t="e">
        <f>VLOOKUP(C564,'חד גזעי'!$Y$4:$Y$18,1,0)</f>
        <v>#N/A</v>
      </c>
      <c r="T564" s="72">
        <f>IF('חד גזעי'!$AM$6="לא",IF(P564=0,IF(BC564="שימור",IF('חד גזעי'!$AM$4="לא",IF(BC564="לא בוגר",0,IF(BC564="לא קיים",0,IF(J564=0,0,I564*0.1))),IF(BC564="לא בוגר",0,IF(BC564="לא קיים",0,IF(AB564=1,I564*0.1,E564*0.5)))),0),IF('חד גזעי'!$AM$4="לא",IF(BC564="לא בוגר",0,IF(BC564="לא קיים",0,IF(J564=0,0,I564*0.1))),IF(BC564="לא בוגר",0,IF(BC564="לא קיים",0,IF(AB564=1,I564*0.1,E564*0.5))))),IF(P564=0,IF(BC564="שימור",IF('חד גזעי'!$AM$4="לא",IF(BC564="לא בוגר",0,IF(BC564="לא קיים",0,IF(J564=0,0,I564*0.15))),IF(BC564="לא בוגר",0,IF(BC564="לא קיים",0,IF(AB564=1,I564*0.15,E564*0.5)))),0),IF('חד גזעי'!$AM$4="לא",IF(BC564="לא בוגר",0,IF(BC564="לא קיים",0,IF(J564=0,0,I564*0.15))),IF(BC564="לא בוגר",0,IF(BC564="לא קיים",0,IF(AB564=1,I564*0.15,E564*0.5))))))</f>
        <v>0</v>
      </c>
      <c r="V564" t="e">
        <f t="shared" si="564"/>
        <v>#N/A</v>
      </c>
      <c r="W564" t="e">
        <f t="shared" si="565"/>
        <v>#N/A</v>
      </c>
      <c r="X564" t="e">
        <f t="shared" si="566"/>
        <v>#N/A</v>
      </c>
      <c r="Y564">
        <f>IF('חד גזעי'!$AM$2 = "לא",0,IF(F564&gt;9,W564,0))</f>
        <v>0</v>
      </c>
      <c r="Z564">
        <f>IF('חד גזעי'!$AM$7 = "לא",0,IF(C564 = "זית אירופי",IF('חד גזעי'!$AN$7 &lt;=סקר!F564,W564,0),IF(C564 = "חרוב מצוי",IF('חד גזעי'!$AN$7 &lt;=סקר!F564,W564,0),0)))</f>
        <v>0</v>
      </c>
      <c r="AB564">
        <f t="shared" si="593"/>
        <v>1</v>
      </c>
      <c r="AC564" s="72"/>
      <c r="AD564" t="e">
        <f t="shared" si="611"/>
        <v>#N/A</v>
      </c>
      <c r="AE564" s="72"/>
      <c r="AF564" s="72" t="e">
        <f t="shared" si="594"/>
        <v>#N/A</v>
      </c>
      <c r="AG564" s="72" t="e">
        <f>IF('חד גזעי'!$AM$5="לא",(VLOOKUP(C564,'חד גזעי'!$P$1:$S$589,3,FALSE)),(VLOOKUP(C564,'חד גזעי'!$P$1:$S$589,4,FALSE)))</f>
        <v>#N/A</v>
      </c>
      <c r="AH564" s="72">
        <f t="shared" si="595"/>
        <v>0</v>
      </c>
      <c r="AI564" s="72">
        <f t="shared" si="596"/>
        <v>0</v>
      </c>
      <c r="AJ564" s="72">
        <f t="shared" si="597"/>
        <v>0</v>
      </c>
      <c r="AK564" s="72" t="e">
        <f t="shared" si="598"/>
        <v>#N/A</v>
      </c>
      <c r="AL564" t="e">
        <f>VLOOKUP(C564,'חד גזעי'!$AH$8:$AI$33,2,FALSE)</f>
        <v>#N/A</v>
      </c>
      <c r="AM564" s="72" t="b">
        <f t="shared" si="599"/>
        <v>0</v>
      </c>
      <c r="AN564" s="72" t="b">
        <f t="shared" si="600"/>
        <v>0</v>
      </c>
      <c r="AO564" s="72" t="b">
        <f t="shared" si="601"/>
        <v>0</v>
      </c>
      <c r="AS564" s="72">
        <f t="shared" si="602"/>
        <v>0</v>
      </c>
      <c r="AT564" s="72">
        <f t="shared" si="603"/>
        <v>0</v>
      </c>
      <c r="AU564" s="72">
        <f t="shared" si="612"/>
        <v>0</v>
      </c>
      <c r="AV564" s="72">
        <f t="shared" si="604"/>
        <v>0</v>
      </c>
      <c r="AW564" s="72">
        <f t="shared" si="605"/>
        <v>0</v>
      </c>
      <c r="AX564" s="72">
        <f t="shared" si="606"/>
        <v>0</v>
      </c>
      <c r="AY564" s="72">
        <f t="shared" si="607"/>
        <v>0</v>
      </c>
      <c r="AZ564" s="72">
        <f t="shared" si="608"/>
        <v>0</v>
      </c>
      <c r="BA564" s="72" t="e">
        <f t="shared" si="609"/>
        <v>#N/A</v>
      </c>
      <c r="BB564" s="72" t="e">
        <f t="shared" si="610"/>
        <v>#N/A</v>
      </c>
      <c r="BC564" s="77"/>
      <c r="BE564">
        <f t="shared" si="590"/>
        <v>0</v>
      </c>
      <c r="BF564" s="196"/>
      <c r="BG564" s="196"/>
      <c r="BH564" s="196"/>
      <c r="BI564" s="196"/>
      <c r="BJ564" s="196"/>
      <c r="BK564" s="196"/>
    </row>
    <row r="565" spans="2:63" hidden="1">
      <c r="B565" s="72"/>
      <c r="C565" s="135"/>
      <c r="D565" s="78"/>
      <c r="E565" s="73"/>
      <c r="F565" s="72"/>
      <c r="G565" s="72"/>
      <c r="H565" s="72"/>
      <c r="I565" s="73">
        <f t="shared" si="592"/>
        <v>0</v>
      </c>
      <c r="J565" s="78"/>
      <c r="K565" s="73"/>
      <c r="L565" s="74" t="e">
        <f>_xlfn.IFNA(VLOOKUP(C565,'חד גזעי'!$U$3:$V$509,2,0),VLOOKUP(C565,'חד גזעי'!$U$3:$V$509,2))</f>
        <v>#N/A</v>
      </c>
      <c r="M565" s="73"/>
      <c r="N565" s="72" t="e">
        <f>_xlfn.IFNA(IF(VLOOKUP(C565,'חד גזעי'!$AH$2:$AH$7,1,FALSE)&gt;0,0,IF('חד גזעי'!$AM$5="כן",IF(_xlfn.IFNA(VLOOKUP(C565,'חד גזעי'!$AH$2:$AH$33,1,FALSE),SUM(J565:M565))&lt;21,_xlfn.IFNA(VLOOKUP(C565,'חד גזעי'!$AH$2:$AH$33,1,FALSE),SUM(J565:M565)),0),SUM(J565:M565))),IF('חד גזעי'!$AM$5="כן",IF(_xlfn.IFNA(VLOOKUP(C565,'חד גזעי'!$AH$2:$AH$33,1,FALSE),SUM(J565:M565))&lt;21,_xlfn.IFNA(VLOOKUP(C565,'חד גזעי'!$AH$2:$AH$33,1,FALSE),SUM(J565:M565)),0),SUM(J565:M565)))</f>
        <v>#N/A</v>
      </c>
      <c r="O565" s="72">
        <f>IF('חד גזעי'!$AM$3 = "כן",IF(T565&gt;4,4,T565),T565)</f>
        <v>0</v>
      </c>
      <c r="P565" s="80">
        <f>IF(E565&lt;2,0,IF(Z565&gt;0,Z565,IF(N565 = 0,0,IF('חד גזעי'!$AM$2 = "לא",IF(F565&gt;19,W565,0),IF(F565&gt;9,Y565,0)))))</f>
        <v>0</v>
      </c>
      <c r="Q565" s="77"/>
      <c r="R565" s="75"/>
      <c r="S565" t="e">
        <f>VLOOKUP(C565,'חד גזעי'!$Y$4:$Y$18,1,0)</f>
        <v>#N/A</v>
      </c>
      <c r="T565" s="72">
        <f>IF('חד גזעי'!$AM$6="לא",IF(P565=0,IF(BC565="שימור",IF('חד גזעי'!$AM$4="לא",IF(BC565="לא בוגר",0,IF(BC565="לא קיים",0,IF(J565=0,0,I565*0.1))),IF(BC565="לא בוגר",0,IF(BC565="לא קיים",0,IF(AB565=1,I565*0.1,E565*0.5)))),0),IF('חד גזעי'!$AM$4="לא",IF(BC565="לא בוגר",0,IF(BC565="לא קיים",0,IF(J565=0,0,I565*0.1))),IF(BC565="לא בוגר",0,IF(BC565="לא קיים",0,IF(AB565=1,I565*0.1,E565*0.5))))),IF(P565=0,IF(BC565="שימור",IF('חד גזעי'!$AM$4="לא",IF(BC565="לא בוגר",0,IF(BC565="לא קיים",0,IF(J565=0,0,I565*0.15))),IF(BC565="לא בוגר",0,IF(BC565="לא קיים",0,IF(AB565=1,I565*0.15,E565*0.5)))),0),IF('חד גזעי'!$AM$4="לא",IF(BC565="לא בוגר",0,IF(BC565="לא קיים",0,IF(J565=0,0,I565*0.15))),IF(BC565="לא בוגר",0,IF(BC565="לא קיים",0,IF(AB565=1,I565*0.15,E565*0.5))))))</f>
        <v>0</v>
      </c>
      <c r="V565" t="e">
        <f t="shared" si="564"/>
        <v>#N/A</v>
      </c>
      <c r="W565" t="e">
        <f t="shared" si="565"/>
        <v>#N/A</v>
      </c>
      <c r="X565" t="e">
        <f t="shared" si="566"/>
        <v>#N/A</v>
      </c>
      <c r="Y565">
        <f>IF('חד גזעי'!$AM$2 = "לא",0,IF(F565&gt;9,W565,0))</f>
        <v>0</v>
      </c>
      <c r="Z565">
        <f>IF('חד גזעי'!$AM$7 = "לא",0,IF(C565 = "זית אירופי",IF('חד גזעי'!$AN$7 &lt;=סקר!F565,W565,0),IF(C565 = "חרוב מצוי",IF('חד גזעי'!$AN$7 &lt;=סקר!F565,W565,0),0)))</f>
        <v>0</v>
      </c>
      <c r="AB565">
        <f t="shared" si="593"/>
        <v>1</v>
      </c>
      <c r="AC565" s="72"/>
      <c r="AD565" t="e">
        <f t="shared" si="611"/>
        <v>#N/A</v>
      </c>
      <c r="AE565" s="72"/>
      <c r="AF565" s="72" t="e">
        <f t="shared" si="594"/>
        <v>#N/A</v>
      </c>
      <c r="AG565" s="72" t="e">
        <f>IF('חד גזעי'!$AM$5="לא",(VLOOKUP(C565,'חד גזעי'!$P$1:$S$589,3,FALSE)),(VLOOKUP(C565,'חד גזעי'!$P$1:$S$589,4,FALSE)))</f>
        <v>#N/A</v>
      </c>
      <c r="AH565" s="72">
        <f t="shared" si="595"/>
        <v>0</v>
      </c>
      <c r="AI565" s="72">
        <f t="shared" si="596"/>
        <v>0</v>
      </c>
      <c r="AJ565" s="72">
        <f t="shared" si="597"/>
        <v>0</v>
      </c>
      <c r="AK565" s="72" t="e">
        <f t="shared" si="598"/>
        <v>#N/A</v>
      </c>
      <c r="AL565" t="e">
        <f>VLOOKUP(C565,'חד גזעי'!$AH$8:$AI$33,2,FALSE)</f>
        <v>#N/A</v>
      </c>
      <c r="AM565" s="72" t="b">
        <f t="shared" si="599"/>
        <v>0</v>
      </c>
      <c r="AN565" s="72" t="b">
        <f t="shared" si="600"/>
        <v>0</v>
      </c>
      <c r="AO565" s="72" t="b">
        <f t="shared" si="601"/>
        <v>0</v>
      </c>
      <c r="AS565" s="72">
        <f t="shared" si="602"/>
        <v>0</v>
      </c>
      <c r="AT565" s="72">
        <f t="shared" si="603"/>
        <v>0</v>
      </c>
      <c r="AU565" s="72">
        <f t="shared" si="612"/>
        <v>0</v>
      </c>
      <c r="AV565" s="72">
        <f t="shared" si="604"/>
        <v>0</v>
      </c>
      <c r="AW565" s="72">
        <f t="shared" si="605"/>
        <v>0</v>
      </c>
      <c r="AX565" s="72">
        <f t="shared" si="606"/>
        <v>0</v>
      </c>
      <c r="AY565" s="72">
        <f t="shared" si="607"/>
        <v>0</v>
      </c>
      <c r="AZ565" s="72">
        <f t="shared" si="608"/>
        <v>0</v>
      </c>
      <c r="BA565" s="72" t="e">
        <f t="shared" si="609"/>
        <v>#N/A</v>
      </c>
      <c r="BB565" s="72" t="e">
        <f t="shared" si="610"/>
        <v>#N/A</v>
      </c>
      <c r="BC565" s="77"/>
      <c r="BE565">
        <f t="shared" si="590"/>
        <v>0</v>
      </c>
      <c r="BF565" s="196"/>
      <c r="BG565" s="196"/>
      <c r="BH565" s="196"/>
      <c r="BI565" s="196"/>
      <c r="BJ565" s="196"/>
      <c r="BK565" s="196"/>
    </row>
    <row r="566" spans="2:63" hidden="1">
      <c r="B566" s="72"/>
      <c r="C566" s="135"/>
      <c r="D566" s="78"/>
      <c r="E566" s="73"/>
      <c r="F566" s="72"/>
      <c r="G566" s="72"/>
      <c r="H566" s="72"/>
      <c r="I566" s="73">
        <f t="shared" si="592"/>
        <v>0</v>
      </c>
      <c r="J566" s="78"/>
      <c r="K566" s="73"/>
      <c r="L566" s="74" t="e">
        <f>_xlfn.IFNA(VLOOKUP(C566,'חד גזעי'!$U$3:$V$509,2,0),VLOOKUP(C566,'חד גזעי'!$U$3:$V$509,2))</f>
        <v>#N/A</v>
      </c>
      <c r="M566" s="73"/>
      <c r="N566" s="72" t="e">
        <f>_xlfn.IFNA(IF(VLOOKUP(C566,'חד גזעי'!$AH$2:$AH$7,1,FALSE)&gt;0,0,IF('חד גזעי'!$AM$5="כן",IF(_xlfn.IFNA(VLOOKUP(C566,'חד גזעי'!$AH$2:$AH$33,1,FALSE),SUM(J566:M566))&lt;21,_xlfn.IFNA(VLOOKUP(C566,'חד גזעי'!$AH$2:$AH$33,1,FALSE),SUM(J566:M566)),0),SUM(J566:M566))),IF('חד גזעי'!$AM$5="כן",IF(_xlfn.IFNA(VLOOKUP(C566,'חד גזעי'!$AH$2:$AH$33,1,FALSE),SUM(J566:M566))&lt;21,_xlfn.IFNA(VLOOKUP(C566,'חד גזעי'!$AH$2:$AH$33,1,FALSE),SUM(J566:M566)),0),SUM(J566:M566)))</f>
        <v>#N/A</v>
      </c>
      <c r="O566" s="72">
        <f>IF('חד גזעי'!$AM$3 = "כן",IF(T566&gt;4,4,T566),T566)</f>
        <v>0</v>
      </c>
      <c r="P566" s="80">
        <f>IF(E566&lt;2,0,IF(Z566&gt;0,Z566,IF(N566 = 0,0,IF('חד גזעי'!$AM$2 = "לא",IF(F566&gt;19,W566,0),IF(F566&gt;9,Y566,0)))))</f>
        <v>0</v>
      </c>
      <c r="Q566" s="77"/>
      <c r="R566" s="75"/>
      <c r="S566" t="e">
        <f>VLOOKUP(C566,'חד גזעי'!$Y$4:$Y$18,1,0)</f>
        <v>#N/A</v>
      </c>
      <c r="T566" s="72">
        <f>IF('חד גזעי'!$AM$6="לא",IF(P566=0,IF(BC566="שימור",IF('חד גזעי'!$AM$4="לא",IF(BC566="לא בוגר",0,IF(BC566="לא קיים",0,IF(J566=0,0,I566*0.1))),IF(BC566="לא בוגר",0,IF(BC566="לא קיים",0,IF(AB566=1,I566*0.1,E566*0.5)))),0),IF('חד גזעי'!$AM$4="לא",IF(BC566="לא בוגר",0,IF(BC566="לא קיים",0,IF(J566=0,0,I566*0.1))),IF(BC566="לא בוגר",0,IF(BC566="לא קיים",0,IF(AB566=1,I566*0.1,E566*0.5))))),IF(P566=0,IF(BC566="שימור",IF('חד גזעי'!$AM$4="לא",IF(BC566="לא בוגר",0,IF(BC566="לא קיים",0,IF(J566=0,0,I566*0.15))),IF(BC566="לא בוגר",0,IF(BC566="לא קיים",0,IF(AB566=1,I566*0.15,E566*0.5)))),0),IF('חד גזעי'!$AM$4="לא",IF(BC566="לא בוגר",0,IF(BC566="לא קיים",0,IF(J566=0,0,I566*0.15))),IF(BC566="לא בוגר",0,IF(BC566="לא קיים",0,IF(AB566=1,I566*0.15,E566*0.5))))))</f>
        <v>0</v>
      </c>
      <c r="V566" t="e">
        <f t="shared" si="564"/>
        <v>#N/A</v>
      </c>
      <c r="W566" t="e">
        <f t="shared" si="565"/>
        <v>#N/A</v>
      </c>
      <c r="X566" t="e">
        <f t="shared" si="566"/>
        <v>#N/A</v>
      </c>
      <c r="Y566">
        <f>IF('חד גזעי'!$AM$2 = "לא",0,IF(F566&gt;9,W566,0))</f>
        <v>0</v>
      </c>
      <c r="Z566">
        <f>IF('חד גזעי'!$AM$7 = "לא",0,IF(C566 = "זית אירופי",IF('חד גזעי'!$AN$7 &lt;=סקר!F566,W566,0),IF(C566 = "חרוב מצוי",IF('חד גזעי'!$AN$7 &lt;=סקר!F566,W566,0),0)))</f>
        <v>0</v>
      </c>
      <c r="AB566">
        <f t="shared" si="593"/>
        <v>1</v>
      </c>
      <c r="AC566" s="72"/>
      <c r="AD566" t="e">
        <f t="shared" si="611"/>
        <v>#N/A</v>
      </c>
      <c r="AE566" s="72"/>
      <c r="AF566" s="72" t="e">
        <f t="shared" si="594"/>
        <v>#N/A</v>
      </c>
      <c r="AG566" s="72" t="e">
        <f>IF('חד גזעי'!$AM$5="לא",(VLOOKUP(C566,'חד גזעי'!$P$1:$S$589,3,FALSE)),(VLOOKUP(C566,'חד גזעי'!$P$1:$S$589,4,FALSE)))</f>
        <v>#N/A</v>
      </c>
      <c r="AH566" s="72">
        <f t="shared" si="595"/>
        <v>0</v>
      </c>
      <c r="AI566" s="72">
        <f t="shared" si="596"/>
        <v>0</v>
      </c>
      <c r="AJ566" s="72">
        <f t="shared" si="597"/>
        <v>0</v>
      </c>
      <c r="AK566" s="72" t="e">
        <f t="shared" si="598"/>
        <v>#N/A</v>
      </c>
      <c r="AL566" t="e">
        <f>VLOOKUP(C566,'חד גזעי'!$AH$8:$AI$33,2,FALSE)</f>
        <v>#N/A</v>
      </c>
      <c r="AM566" s="72" t="b">
        <f t="shared" si="599"/>
        <v>0</v>
      </c>
      <c r="AN566" s="72" t="b">
        <f t="shared" si="600"/>
        <v>0</v>
      </c>
      <c r="AO566" s="72" t="b">
        <f t="shared" si="601"/>
        <v>0</v>
      </c>
      <c r="AS566" s="72">
        <f t="shared" si="602"/>
        <v>0</v>
      </c>
      <c r="AT566" s="72">
        <f t="shared" si="603"/>
        <v>0</v>
      </c>
      <c r="AU566" s="72">
        <f t="shared" si="612"/>
        <v>0</v>
      </c>
      <c r="AV566" s="72">
        <f t="shared" si="604"/>
        <v>0</v>
      </c>
      <c r="AW566" s="72">
        <f t="shared" si="605"/>
        <v>0</v>
      </c>
      <c r="AX566" s="72">
        <f t="shared" si="606"/>
        <v>0</v>
      </c>
      <c r="AY566" s="72">
        <f t="shared" si="607"/>
        <v>0</v>
      </c>
      <c r="AZ566" s="72">
        <f t="shared" si="608"/>
        <v>0</v>
      </c>
      <c r="BA566" s="72" t="e">
        <f t="shared" si="609"/>
        <v>#N/A</v>
      </c>
      <c r="BB566" s="72" t="e">
        <f t="shared" si="610"/>
        <v>#N/A</v>
      </c>
      <c r="BC566" s="77"/>
      <c r="BE566">
        <f t="shared" si="590"/>
        <v>0</v>
      </c>
      <c r="BF566" s="196"/>
      <c r="BG566" s="196"/>
      <c r="BH566" s="196"/>
      <c r="BI566" s="196"/>
      <c r="BJ566" s="196"/>
      <c r="BK566" s="196"/>
    </row>
    <row r="567" spans="2:63" hidden="1">
      <c r="B567" s="72"/>
      <c r="C567" s="135"/>
      <c r="D567" s="78"/>
      <c r="E567" s="73"/>
      <c r="F567" s="72"/>
      <c r="G567" s="72"/>
      <c r="H567" s="72"/>
      <c r="I567" s="73">
        <f t="shared" si="592"/>
        <v>0</v>
      </c>
      <c r="J567" s="78"/>
      <c r="K567" s="73"/>
      <c r="L567" s="74" t="e">
        <f>_xlfn.IFNA(VLOOKUP(C567,'חד גזעי'!$U$3:$V$509,2,0),VLOOKUP(C567,'חד גזעי'!$U$3:$V$509,2))</f>
        <v>#N/A</v>
      </c>
      <c r="M567" s="73"/>
      <c r="N567" s="72" t="e">
        <f>_xlfn.IFNA(IF(VLOOKUP(C567,'חד גזעי'!$AH$2:$AH$7,1,FALSE)&gt;0,0,IF('חד גזעי'!$AM$5="כן",IF(_xlfn.IFNA(VLOOKUP(C567,'חד גזעי'!$AH$2:$AH$33,1,FALSE),SUM(J567:M567))&lt;21,_xlfn.IFNA(VLOOKUP(C567,'חד גזעי'!$AH$2:$AH$33,1,FALSE),SUM(J567:M567)),0),SUM(J567:M567))),IF('חד גזעי'!$AM$5="כן",IF(_xlfn.IFNA(VLOOKUP(C567,'חד גזעי'!$AH$2:$AH$33,1,FALSE),SUM(J567:M567))&lt;21,_xlfn.IFNA(VLOOKUP(C567,'חד גזעי'!$AH$2:$AH$33,1,FALSE),SUM(J567:M567)),0),SUM(J567:M567)))</f>
        <v>#N/A</v>
      </c>
      <c r="O567" s="72">
        <f>IF('חד גזעי'!$AM$3 = "כן",IF(T567&gt;4,4,T567),T567)</f>
        <v>0</v>
      </c>
      <c r="P567" s="80">
        <f>IF(E567&lt;2,0,IF(Z567&gt;0,Z567,IF(N567 = 0,0,IF('חד גזעי'!$AM$2 = "לא",IF(F567&gt;19,W567,0),IF(F567&gt;9,Y567,0)))))</f>
        <v>0</v>
      </c>
      <c r="Q567" s="77"/>
      <c r="R567" s="75"/>
      <c r="S567" t="e">
        <f>VLOOKUP(C567,'חד גזעי'!$Y$4:$Y$18,1,0)</f>
        <v>#N/A</v>
      </c>
      <c r="T567" s="72">
        <f>IF('חד גזעי'!$AM$6="לא",IF(P567=0,IF(BC567="שימור",IF('חד גזעי'!$AM$4="לא",IF(BC567="לא בוגר",0,IF(BC567="לא קיים",0,IF(J567=0,0,I567*0.1))),IF(BC567="לא בוגר",0,IF(BC567="לא קיים",0,IF(AB567=1,I567*0.1,E567*0.5)))),0),IF('חד גזעי'!$AM$4="לא",IF(BC567="לא בוגר",0,IF(BC567="לא קיים",0,IF(J567=0,0,I567*0.1))),IF(BC567="לא בוגר",0,IF(BC567="לא קיים",0,IF(AB567=1,I567*0.1,E567*0.5))))),IF(P567=0,IF(BC567="שימור",IF('חד גזעי'!$AM$4="לא",IF(BC567="לא בוגר",0,IF(BC567="לא קיים",0,IF(J567=0,0,I567*0.15))),IF(BC567="לא בוגר",0,IF(BC567="לא קיים",0,IF(AB567=1,I567*0.15,E567*0.5)))),0),IF('חד גזעי'!$AM$4="לא",IF(BC567="לא בוגר",0,IF(BC567="לא קיים",0,IF(J567=0,0,I567*0.15))),IF(BC567="לא בוגר",0,IF(BC567="לא קיים",0,IF(AB567=1,I567*0.15,E567*0.5))))))</f>
        <v>0</v>
      </c>
      <c r="V567" t="e">
        <f t="shared" si="564"/>
        <v>#N/A</v>
      </c>
      <c r="W567" t="e">
        <f t="shared" si="565"/>
        <v>#N/A</v>
      </c>
      <c r="X567" t="e">
        <f t="shared" si="566"/>
        <v>#N/A</v>
      </c>
      <c r="Y567">
        <f>IF('חד גזעי'!$AM$2 = "לא",0,IF(F567&gt;9,W567,0))</f>
        <v>0</v>
      </c>
      <c r="Z567">
        <f>IF('חד גזעי'!$AM$7 = "לא",0,IF(C567 = "זית אירופי",IF('חד גזעי'!$AN$7 &lt;=סקר!F567,W567,0),IF(C567 = "חרוב מצוי",IF('חד גזעי'!$AN$7 &lt;=סקר!F567,W567,0),0)))</f>
        <v>0</v>
      </c>
      <c r="AB567">
        <f t="shared" si="593"/>
        <v>1</v>
      </c>
      <c r="AC567" s="72"/>
      <c r="AD567" t="e">
        <f t="shared" si="611"/>
        <v>#N/A</v>
      </c>
      <c r="AE567" s="72"/>
      <c r="AF567" s="72" t="e">
        <f t="shared" si="594"/>
        <v>#N/A</v>
      </c>
      <c r="AG567" s="72" t="e">
        <f>IF('חד גזעי'!$AM$5="לא",(VLOOKUP(C567,'חד גזעי'!$P$1:$S$589,3,FALSE)),(VLOOKUP(C567,'חד גזעי'!$P$1:$S$589,4,FALSE)))</f>
        <v>#N/A</v>
      </c>
      <c r="AH567" s="72">
        <f t="shared" si="595"/>
        <v>0</v>
      </c>
      <c r="AI567" s="72">
        <f t="shared" si="596"/>
        <v>0</v>
      </c>
      <c r="AJ567" s="72">
        <f t="shared" si="597"/>
        <v>0</v>
      </c>
      <c r="AK567" s="72" t="e">
        <f t="shared" si="598"/>
        <v>#N/A</v>
      </c>
      <c r="AL567" t="e">
        <f>VLOOKUP(C567,'חד גזעי'!$AH$8:$AI$33,2,FALSE)</f>
        <v>#N/A</v>
      </c>
      <c r="AM567" s="72" t="b">
        <f t="shared" si="599"/>
        <v>0</v>
      </c>
      <c r="AN567" s="72" t="b">
        <f t="shared" si="600"/>
        <v>0</v>
      </c>
      <c r="AO567" s="72" t="b">
        <f t="shared" si="601"/>
        <v>0</v>
      </c>
      <c r="AS567" s="72">
        <f t="shared" si="602"/>
        <v>0</v>
      </c>
      <c r="AT567" s="72">
        <f t="shared" si="603"/>
        <v>0</v>
      </c>
      <c r="AU567" s="72">
        <f t="shared" si="612"/>
        <v>0</v>
      </c>
      <c r="AV567" s="72">
        <f t="shared" si="604"/>
        <v>0</v>
      </c>
      <c r="AW567" s="72">
        <f t="shared" si="605"/>
        <v>0</v>
      </c>
      <c r="AX567" s="72">
        <f t="shared" si="606"/>
        <v>0</v>
      </c>
      <c r="AY567" s="72">
        <f t="shared" si="607"/>
        <v>0</v>
      </c>
      <c r="AZ567" s="72">
        <f t="shared" si="608"/>
        <v>0</v>
      </c>
      <c r="BA567" s="72" t="e">
        <f t="shared" si="609"/>
        <v>#N/A</v>
      </c>
      <c r="BB567" s="72" t="e">
        <f t="shared" si="610"/>
        <v>#N/A</v>
      </c>
      <c r="BC567" s="77"/>
      <c r="BE567">
        <f t="shared" si="590"/>
        <v>0</v>
      </c>
      <c r="BF567" s="196"/>
      <c r="BG567" s="196"/>
      <c r="BH567" s="196"/>
      <c r="BI567" s="196"/>
      <c r="BJ567" s="196"/>
      <c r="BK567" s="196"/>
    </row>
    <row r="568" spans="2:63" hidden="1">
      <c r="B568" s="72"/>
      <c r="C568" s="135"/>
      <c r="D568" s="78"/>
      <c r="E568" s="78"/>
      <c r="F568" s="72"/>
      <c r="G568" s="72"/>
      <c r="H568" s="72"/>
      <c r="I568" s="73">
        <f t="shared" si="592"/>
        <v>0</v>
      </c>
      <c r="J568" s="78"/>
      <c r="K568" s="73"/>
      <c r="L568" s="74" t="e">
        <f>_xlfn.IFNA(VLOOKUP(C568,'חד גזעי'!$U$3:$V$509,2,0),VLOOKUP(C568,'חד גזעי'!$U$3:$V$509,2))</f>
        <v>#N/A</v>
      </c>
      <c r="M568" s="73"/>
      <c r="N568" s="72" t="e">
        <f>_xlfn.IFNA(IF(VLOOKUP(C568,'חד גזעי'!$AH$2:$AH$7,1,FALSE)&gt;0,0,IF('חד גזעי'!$AM$5="כן",IF(_xlfn.IFNA(VLOOKUP(C568,'חד גזעי'!$AH$2:$AH$33,1,FALSE),SUM(J568:M568))&lt;21,_xlfn.IFNA(VLOOKUP(C568,'חד גזעי'!$AH$2:$AH$33,1,FALSE),SUM(J568:M568)),0),SUM(J568:M568))),IF('חד גזעי'!$AM$5="כן",IF(_xlfn.IFNA(VLOOKUP(C568,'חד גזעי'!$AH$2:$AH$33,1,FALSE),SUM(J568:M568))&lt;21,_xlfn.IFNA(VLOOKUP(C568,'חד גזעי'!$AH$2:$AH$33,1,FALSE),SUM(J568:M568)),0),SUM(J568:M568)))</f>
        <v>#N/A</v>
      </c>
      <c r="O568" s="72">
        <f>IF('חד גזעי'!$AM$3 = "כן",IF(T568&gt;4,4,T568),T568)</f>
        <v>0</v>
      </c>
      <c r="P568" s="80">
        <f>IF(E568&lt;2,0,IF(Z568&gt;0,Z568,IF(N568 = 0,0,IF('חד גזעי'!$AM$2 = "לא",IF(F568&gt;19,W568,0),IF(F568&gt;9,Y568,0)))))</f>
        <v>0</v>
      </c>
      <c r="Q568" s="77"/>
      <c r="R568" s="75"/>
      <c r="S568" t="e">
        <f>VLOOKUP(C568,'חד גזעי'!$Y$4:$Y$18,1,0)</f>
        <v>#N/A</v>
      </c>
      <c r="T568" s="72">
        <f>IF('חד גזעי'!$AM$6="לא",IF(P568=0,IF(BC568="שימור",IF('חד גזעי'!$AM$4="לא",IF(BC568="לא בוגר",0,IF(BC568="לא קיים",0,IF(J568=0,0,I568*0.1))),IF(BC568="לא בוגר",0,IF(BC568="לא קיים",0,IF(AB568=1,I568*0.1,E568*0.5)))),0),IF('חד גזעי'!$AM$4="לא",IF(BC568="לא בוגר",0,IF(BC568="לא קיים",0,IF(J568=0,0,I568*0.1))),IF(BC568="לא בוגר",0,IF(BC568="לא קיים",0,IF(AB568=1,I568*0.1,E568*0.5))))),IF(P568=0,IF(BC568="שימור",IF('חד גזעי'!$AM$4="לא",IF(BC568="לא בוגר",0,IF(BC568="לא קיים",0,IF(J568=0,0,I568*0.15))),IF(BC568="לא בוגר",0,IF(BC568="לא קיים",0,IF(AB568=1,I568*0.15,E568*0.5)))),0),IF('חד גזעי'!$AM$4="לא",IF(BC568="לא בוגר",0,IF(BC568="לא קיים",0,IF(J568=0,0,I568*0.15))),IF(BC568="לא בוגר",0,IF(BC568="לא קיים",0,IF(AB568=1,I568*0.15,E568*0.5))))))</f>
        <v>0</v>
      </c>
      <c r="V568" t="e">
        <f t="shared" si="564"/>
        <v>#N/A</v>
      </c>
      <c r="W568" t="e">
        <f t="shared" si="565"/>
        <v>#N/A</v>
      </c>
      <c r="X568" t="e">
        <f t="shared" si="566"/>
        <v>#N/A</v>
      </c>
      <c r="Y568">
        <f>IF('חד גזעי'!$AM$2 = "לא",0,IF(F568&gt;9,W568,0))</f>
        <v>0</v>
      </c>
      <c r="Z568">
        <f>IF('חד גזעי'!$AM$7 = "לא",0,IF(C568 = "זית אירופי",IF('חד גזעי'!$AN$7 &lt;=סקר!F568,W568,0),IF(C568 = "חרוב מצוי",IF('חד גזעי'!$AN$7 &lt;=סקר!F568,W568,0),0)))</f>
        <v>0</v>
      </c>
      <c r="AB568">
        <f t="shared" si="593"/>
        <v>1</v>
      </c>
      <c r="AC568" s="72"/>
      <c r="AD568" t="e">
        <f t="shared" si="611"/>
        <v>#N/A</v>
      </c>
      <c r="AE568" s="72"/>
      <c r="AF568" s="72" t="e">
        <f t="shared" si="594"/>
        <v>#N/A</v>
      </c>
      <c r="AG568" s="72" t="e">
        <f>IF('חד גזעי'!$AM$5="לא",(VLOOKUP(C568,'חד גזעי'!$P$1:$S$589,3,FALSE)),(VLOOKUP(C568,'חד גזעי'!$P$1:$S$589,4,FALSE)))</f>
        <v>#N/A</v>
      </c>
      <c r="AH568" s="72">
        <f t="shared" si="595"/>
        <v>0</v>
      </c>
      <c r="AI568" s="72">
        <f t="shared" si="596"/>
        <v>0</v>
      </c>
      <c r="AJ568" s="72">
        <f t="shared" si="597"/>
        <v>0</v>
      </c>
      <c r="AK568" s="72" t="e">
        <f t="shared" si="598"/>
        <v>#N/A</v>
      </c>
      <c r="AL568" t="e">
        <f>VLOOKUP(C568,'חד גזעי'!$AH$8:$AI$33,2,FALSE)</f>
        <v>#N/A</v>
      </c>
      <c r="AM568" s="72" t="b">
        <f t="shared" si="599"/>
        <v>0</v>
      </c>
      <c r="AN568" s="72" t="b">
        <f t="shared" si="600"/>
        <v>0</v>
      </c>
      <c r="AO568" s="72" t="b">
        <f t="shared" si="601"/>
        <v>0</v>
      </c>
      <c r="AS568" s="72">
        <f t="shared" si="602"/>
        <v>0</v>
      </c>
      <c r="AT568" s="72">
        <f t="shared" si="603"/>
        <v>0</v>
      </c>
      <c r="AU568" s="72">
        <f t="shared" si="612"/>
        <v>0</v>
      </c>
      <c r="AV568" s="72">
        <f t="shared" si="604"/>
        <v>0</v>
      </c>
      <c r="AW568" s="72">
        <f t="shared" si="605"/>
        <v>0</v>
      </c>
      <c r="AX568" s="72">
        <f t="shared" si="606"/>
        <v>0</v>
      </c>
      <c r="AY568" s="72">
        <f t="shared" si="607"/>
        <v>0</v>
      </c>
      <c r="AZ568" s="72">
        <f t="shared" si="608"/>
        <v>0</v>
      </c>
      <c r="BA568" s="72" t="e">
        <f t="shared" si="609"/>
        <v>#N/A</v>
      </c>
      <c r="BB568" s="72" t="e">
        <f t="shared" si="610"/>
        <v>#N/A</v>
      </c>
      <c r="BC568" s="77"/>
      <c r="BE568">
        <f t="shared" si="590"/>
        <v>0</v>
      </c>
      <c r="BF568" s="196"/>
      <c r="BG568" s="196"/>
      <c r="BH568" s="196"/>
      <c r="BI568" s="196"/>
      <c r="BJ568" s="196"/>
      <c r="BK568" s="196"/>
    </row>
    <row r="569" spans="2:63" hidden="1">
      <c r="B569" s="72"/>
      <c r="C569" s="135"/>
      <c r="D569" s="78"/>
      <c r="E569" s="78"/>
      <c r="F569" s="72"/>
      <c r="G569" s="72"/>
      <c r="H569" s="72"/>
      <c r="I569" s="73">
        <f t="shared" si="592"/>
        <v>0</v>
      </c>
      <c r="J569" s="78"/>
      <c r="K569" s="73"/>
      <c r="L569" s="74" t="e">
        <f>_xlfn.IFNA(VLOOKUP(C569,'חד גזעי'!$U$3:$V$509,2,0),VLOOKUP(C569,'חד גזעי'!$U$3:$V$509,2))</f>
        <v>#N/A</v>
      </c>
      <c r="M569" s="73"/>
      <c r="N569" s="72" t="e">
        <f>_xlfn.IFNA(IF(VLOOKUP(C569,'חד גזעי'!$AH$2:$AH$7,1,FALSE)&gt;0,0,IF('חד גזעי'!$AM$5="כן",IF(_xlfn.IFNA(VLOOKUP(C569,'חד גזעי'!$AH$2:$AH$33,1,FALSE),SUM(J569:M569))&lt;21,_xlfn.IFNA(VLOOKUP(C569,'חד גזעי'!$AH$2:$AH$33,1,FALSE),SUM(J569:M569)),0),SUM(J569:M569))),IF('חד גזעי'!$AM$5="כן",IF(_xlfn.IFNA(VLOOKUP(C569,'חד גזעי'!$AH$2:$AH$33,1,FALSE),SUM(J569:M569))&lt;21,_xlfn.IFNA(VLOOKUP(C569,'חד גזעי'!$AH$2:$AH$33,1,FALSE),SUM(J569:M569)),0),SUM(J569:M569)))</f>
        <v>#N/A</v>
      </c>
      <c r="O569" s="72">
        <f>IF('חד גזעי'!$AM$3 = "כן",IF(T569&gt;4,4,T569),T569)</f>
        <v>0</v>
      </c>
      <c r="P569" s="80">
        <f>IF(E569&lt;2,0,IF(Z569&gt;0,Z569,IF(N569 = 0,0,IF('חד גזעי'!$AM$2 = "לא",IF(F569&gt;19,W569,0),IF(F569&gt;9,Y569,0)))))</f>
        <v>0</v>
      </c>
      <c r="Q569" s="77"/>
      <c r="R569" s="75"/>
      <c r="S569" t="e">
        <f>VLOOKUP(C569,'חד גזעי'!$Y$4:$Y$18,1,0)</f>
        <v>#N/A</v>
      </c>
      <c r="T569" s="72">
        <f>IF('חד גזעי'!$AM$6="לא",IF(P569=0,IF(BC569="שימור",IF('חד גזעי'!$AM$4="לא",IF(BC569="לא בוגר",0,IF(BC569="לא קיים",0,IF(J569=0,0,I569*0.1))),IF(BC569="לא בוגר",0,IF(BC569="לא קיים",0,IF(AB569=1,I569*0.1,E569*0.5)))),0),IF('חד גזעי'!$AM$4="לא",IF(BC569="לא בוגר",0,IF(BC569="לא קיים",0,IF(J569=0,0,I569*0.1))),IF(BC569="לא בוגר",0,IF(BC569="לא קיים",0,IF(AB569=1,I569*0.1,E569*0.5))))),IF(P569=0,IF(BC569="שימור",IF('חד גזעי'!$AM$4="לא",IF(BC569="לא בוגר",0,IF(BC569="לא קיים",0,IF(J569=0,0,I569*0.15))),IF(BC569="לא בוגר",0,IF(BC569="לא קיים",0,IF(AB569=1,I569*0.15,E569*0.5)))),0),IF('חד גזעי'!$AM$4="לא",IF(BC569="לא בוגר",0,IF(BC569="לא קיים",0,IF(J569=0,0,I569*0.15))),IF(BC569="לא בוגר",0,IF(BC569="לא קיים",0,IF(AB569=1,I569*0.15,E569*0.5))))))</f>
        <v>0</v>
      </c>
      <c r="V569" t="e">
        <f t="shared" si="564"/>
        <v>#N/A</v>
      </c>
      <c r="W569" t="e">
        <f t="shared" si="565"/>
        <v>#N/A</v>
      </c>
      <c r="X569" t="e">
        <f t="shared" si="566"/>
        <v>#N/A</v>
      </c>
      <c r="Y569">
        <f>IF('חד גזעי'!$AM$2 = "לא",0,IF(F569&gt;9,W569,0))</f>
        <v>0</v>
      </c>
      <c r="Z569">
        <f>IF('חד גזעי'!$AM$7 = "לא",0,IF(C569 = "זית אירופי",IF('חד גזעי'!$AN$7 &lt;=סקר!F569,W569,0),IF(C569 = "חרוב מצוי",IF('חד גזעי'!$AN$7 &lt;=סקר!F569,W569,0),0)))</f>
        <v>0</v>
      </c>
      <c r="AB569">
        <f t="shared" si="593"/>
        <v>1</v>
      </c>
      <c r="AC569" s="72"/>
      <c r="AD569" t="e">
        <f t="shared" si="611"/>
        <v>#N/A</v>
      </c>
      <c r="AE569" s="72"/>
      <c r="AF569" s="72" t="e">
        <f t="shared" si="594"/>
        <v>#N/A</v>
      </c>
      <c r="AG569" s="72" t="e">
        <f>IF('חד גזעי'!$AM$5="לא",(VLOOKUP(C569,'חד גזעי'!$P$1:$S$589,3,FALSE)),(VLOOKUP(C569,'חד גזעי'!$P$1:$S$589,4,FALSE)))</f>
        <v>#N/A</v>
      </c>
      <c r="AH569" s="72">
        <f t="shared" si="595"/>
        <v>0</v>
      </c>
      <c r="AI569" s="72">
        <f t="shared" si="596"/>
        <v>0</v>
      </c>
      <c r="AJ569" s="72">
        <f t="shared" si="597"/>
        <v>0</v>
      </c>
      <c r="AK569" s="72" t="e">
        <f t="shared" si="598"/>
        <v>#N/A</v>
      </c>
      <c r="AL569" t="e">
        <f>VLOOKUP(C569,'חד גזעי'!$AH$8:$AI$33,2,FALSE)</f>
        <v>#N/A</v>
      </c>
      <c r="AM569" s="72" t="b">
        <f t="shared" si="599"/>
        <v>0</v>
      </c>
      <c r="AN569" s="72" t="b">
        <f t="shared" si="600"/>
        <v>0</v>
      </c>
      <c r="AO569" s="72" t="b">
        <f t="shared" si="601"/>
        <v>0</v>
      </c>
      <c r="AS569" s="72">
        <f t="shared" si="602"/>
        <v>0</v>
      </c>
      <c r="AT569" s="72">
        <f t="shared" si="603"/>
        <v>0</v>
      </c>
      <c r="AU569" s="72">
        <f t="shared" si="612"/>
        <v>0</v>
      </c>
      <c r="AV569" s="72">
        <f t="shared" si="604"/>
        <v>0</v>
      </c>
      <c r="AW569" s="72">
        <f t="shared" si="605"/>
        <v>0</v>
      </c>
      <c r="AX569" s="72">
        <f t="shared" si="606"/>
        <v>0</v>
      </c>
      <c r="AY569" s="72">
        <f t="shared" si="607"/>
        <v>0</v>
      </c>
      <c r="AZ569" s="72">
        <f t="shared" si="608"/>
        <v>0</v>
      </c>
      <c r="BA569" s="72" t="e">
        <f t="shared" si="609"/>
        <v>#N/A</v>
      </c>
      <c r="BB569" s="72" t="e">
        <f t="shared" si="610"/>
        <v>#N/A</v>
      </c>
      <c r="BC569" s="77"/>
      <c r="BE569">
        <f t="shared" si="590"/>
        <v>0</v>
      </c>
      <c r="BF569" s="196"/>
      <c r="BG569" s="196"/>
      <c r="BH569" s="196"/>
      <c r="BI569" s="196"/>
      <c r="BJ569" s="196"/>
      <c r="BK569" s="196"/>
    </row>
    <row r="570" spans="2:63" hidden="1">
      <c r="B570" s="72"/>
      <c r="C570" s="135"/>
      <c r="D570" s="78"/>
      <c r="E570" s="78"/>
      <c r="F570" s="72"/>
      <c r="G570" s="72"/>
      <c r="H570" s="72"/>
      <c r="I570" s="73">
        <f t="shared" si="592"/>
        <v>0</v>
      </c>
      <c r="J570" s="78"/>
      <c r="K570" s="73"/>
      <c r="L570" s="74" t="e">
        <f>_xlfn.IFNA(VLOOKUP(C570,'חד גזעי'!$U$3:$V$509,2,0),VLOOKUP(C570,'חד גזעי'!$U$3:$V$509,2))</f>
        <v>#N/A</v>
      </c>
      <c r="M570" s="73"/>
      <c r="N570" s="72" t="e">
        <f>_xlfn.IFNA(IF(VLOOKUP(C570,'חד גזעי'!$AH$2:$AH$7,1,FALSE)&gt;0,0,IF('חד גזעי'!$AM$5="כן",IF(_xlfn.IFNA(VLOOKUP(C570,'חד גזעי'!$AH$2:$AH$33,1,FALSE),SUM(J570:M570))&lt;21,_xlfn.IFNA(VLOOKUP(C570,'חד גזעי'!$AH$2:$AH$33,1,FALSE),SUM(J570:M570)),0),SUM(J570:M570))),IF('חד גזעי'!$AM$5="כן",IF(_xlfn.IFNA(VLOOKUP(C570,'חד גזעי'!$AH$2:$AH$33,1,FALSE),SUM(J570:M570))&lt;21,_xlfn.IFNA(VLOOKUP(C570,'חד גזעי'!$AH$2:$AH$33,1,FALSE),SUM(J570:M570)),0),SUM(J570:M570)))</f>
        <v>#N/A</v>
      </c>
      <c r="O570" s="72">
        <f>IF('חד גזעי'!$AM$3 = "כן",IF(T570&gt;4,4,T570),T570)</f>
        <v>0</v>
      </c>
      <c r="P570" s="80">
        <f>IF(E570&lt;2,0,IF(Z570&gt;0,Z570,IF(N570 = 0,0,IF('חד גזעי'!$AM$2 = "לא",IF(F570&gt;19,W570,0),IF(F570&gt;9,Y570,0)))))</f>
        <v>0</v>
      </c>
      <c r="Q570" s="77"/>
      <c r="R570" s="75"/>
      <c r="S570" t="e">
        <f>VLOOKUP(C570,'חד גזעי'!$Y$4:$Y$18,1,0)</f>
        <v>#N/A</v>
      </c>
      <c r="T570" s="72">
        <f>IF('חד גזעי'!$AM$6="לא",IF(P570=0,IF(BC570="שימור",IF('חד גזעי'!$AM$4="לא",IF(BC570="לא בוגר",0,IF(BC570="לא קיים",0,IF(J570=0,0,I570*0.1))),IF(BC570="לא בוגר",0,IF(BC570="לא קיים",0,IF(AB570=1,I570*0.1,E570*0.5)))),0),IF('חד גזעי'!$AM$4="לא",IF(BC570="לא בוגר",0,IF(BC570="לא קיים",0,IF(J570=0,0,I570*0.1))),IF(BC570="לא בוגר",0,IF(BC570="לא קיים",0,IF(AB570=1,I570*0.1,E570*0.5))))),IF(P570=0,IF(BC570="שימור",IF('חד גזעי'!$AM$4="לא",IF(BC570="לא בוגר",0,IF(BC570="לא קיים",0,IF(J570=0,0,I570*0.15))),IF(BC570="לא בוגר",0,IF(BC570="לא קיים",0,IF(AB570=1,I570*0.15,E570*0.5)))),0),IF('חד גזעי'!$AM$4="לא",IF(BC570="לא בוגר",0,IF(BC570="לא קיים",0,IF(J570=0,0,I570*0.15))),IF(BC570="לא בוגר",0,IF(BC570="לא קיים",0,IF(AB570=1,I570*0.15,E570*0.5))))))</f>
        <v>0</v>
      </c>
      <c r="V570" t="e">
        <f t="shared" si="564"/>
        <v>#N/A</v>
      </c>
      <c r="W570" t="e">
        <f t="shared" si="565"/>
        <v>#N/A</v>
      </c>
      <c r="X570" t="e">
        <f t="shared" si="566"/>
        <v>#N/A</v>
      </c>
      <c r="Y570">
        <f>IF('חד גזעי'!$AM$2 = "לא",0,IF(F570&gt;9,W570,0))</f>
        <v>0</v>
      </c>
      <c r="Z570">
        <f>IF('חד גזעי'!$AM$7 = "לא",0,IF(C570 = "זית אירופי",IF('חד גזעי'!$AN$7 &lt;=סקר!F570,W570,0),IF(C570 = "חרוב מצוי",IF('חד גזעי'!$AN$7 &lt;=סקר!F570,W570,0),0)))</f>
        <v>0</v>
      </c>
      <c r="AB570">
        <f t="shared" si="593"/>
        <v>1</v>
      </c>
      <c r="AC570" s="72"/>
      <c r="AD570" t="e">
        <f t="shared" si="611"/>
        <v>#N/A</v>
      </c>
      <c r="AE570" s="72"/>
      <c r="AF570" s="72" t="e">
        <f t="shared" si="594"/>
        <v>#N/A</v>
      </c>
      <c r="AG570" s="72" t="e">
        <f>IF('חד גזעי'!$AM$5="לא",(VLOOKUP(C570,'חד גזעי'!$P$1:$S$589,3,FALSE)),(VLOOKUP(C570,'חד גזעי'!$P$1:$S$589,4,FALSE)))</f>
        <v>#N/A</v>
      </c>
      <c r="AH570" s="72">
        <f t="shared" si="595"/>
        <v>0</v>
      </c>
      <c r="AI570" s="72">
        <f t="shared" si="596"/>
        <v>0</v>
      </c>
      <c r="AJ570" s="72">
        <f t="shared" si="597"/>
        <v>0</v>
      </c>
      <c r="AK570" s="72" t="e">
        <f t="shared" si="598"/>
        <v>#N/A</v>
      </c>
      <c r="AL570" t="e">
        <f>VLOOKUP(C570,'חד גזעי'!$AH$8:$AI$33,2,FALSE)</f>
        <v>#N/A</v>
      </c>
      <c r="AM570" s="72" t="b">
        <f t="shared" si="599"/>
        <v>0</v>
      </c>
      <c r="AN570" s="72" t="b">
        <f t="shared" si="600"/>
        <v>0</v>
      </c>
      <c r="AO570" s="72" t="b">
        <f t="shared" si="601"/>
        <v>0</v>
      </c>
      <c r="AS570" s="72">
        <f t="shared" si="602"/>
        <v>0</v>
      </c>
      <c r="AT570" s="72">
        <f t="shared" si="603"/>
        <v>0</v>
      </c>
      <c r="AU570" s="72">
        <f t="shared" si="612"/>
        <v>0</v>
      </c>
      <c r="AV570" s="72">
        <f t="shared" si="604"/>
        <v>0</v>
      </c>
      <c r="AW570" s="72">
        <f t="shared" si="605"/>
        <v>0</v>
      </c>
      <c r="AX570" s="72">
        <f t="shared" si="606"/>
        <v>0</v>
      </c>
      <c r="AY570" s="72">
        <f t="shared" si="607"/>
        <v>0</v>
      </c>
      <c r="AZ570" s="72">
        <f t="shared" si="608"/>
        <v>0</v>
      </c>
      <c r="BA570" s="72" t="e">
        <f t="shared" si="609"/>
        <v>#N/A</v>
      </c>
      <c r="BB570" s="72" t="e">
        <f t="shared" si="610"/>
        <v>#N/A</v>
      </c>
      <c r="BC570" s="77"/>
      <c r="BE570">
        <f t="shared" si="590"/>
        <v>0</v>
      </c>
      <c r="BF570" s="196"/>
      <c r="BG570" s="196"/>
      <c r="BH570" s="196"/>
      <c r="BI570" s="196"/>
      <c r="BJ570" s="196"/>
      <c r="BK570" s="196"/>
    </row>
    <row r="571" spans="2:63" ht="12.75" hidden="1" customHeight="1">
      <c r="B571" s="72"/>
      <c r="C571" s="135"/>
      <c r="D571" s="78"/>
      <c r="E571" s="78"/>
      <c r="F571" s="72"/>
      <c r="G571" s="72"/>
      <c r="H571" s="72"/>
      <c r="I571" s="73">
        <f t="shared" si="592"/>
        <v>0</v>
      </c>
      <c r="J571" s="78"/>
      <c r="K571" s="73"/>
      <c r="L571" s="74" t="e">
        <f>_xlfn.IFNA(VLOOKUP(C571,'חד גזעי'!$U$3:$V$509,2,0),VLOOKUP(C571,'חד גזעי'!$U$3:$V$509,2))</f>
        <v>#N/A</v>
      </c>
      <c r="M571" s="73"/>
      <c r="N571" s="72" t="e">
        <f>_xlfn.IFNA(IF(VLOOKUP(C571,'חד גזעי'!$AH$2:$AH$7,1,FALSE)&gt;0,0,IF('חד גזעי'!$AM$5="כן",IF(_xlfn.IFNA(VLOOKUP(C571,'חד גזעי'!$AH$2:$AH$33,1,FALSE),SUM(J571:M571))&lt;21,_xlfn.IFNA(VLOOKUP(C571,'חד גזעי'!$AH$2:$AH$33,1,FALSE),SUM(J571:M571)),0),SUM(J571:M571))),IF('חד גזעי'!$AM$5="כן",IF(_xlfn.IFNA(VLOOKUP(C571,'חד גזעי'!$AH$2:$AH$33,1,FALSE),SUM(J571:M571))&lt;21,_xlfn.IFNA(VLOOKUP(C571,'חד גזעי'!$AH$2:$AH$33,1,FALSE),SUM(J571:M571)),0),SUM(J571:M571)))</f>
        <v>#N/A</v>
      </c>
      <c r="O571" s="72">
        <f>IF('חד גזעי'!$AM$3 = "כן",IF(T571&gt;4,4,T571),T571)</f>
        <v>0</v>
      </c>
      <c r="P571" s="80">
        <f>IF(E571&lt;2,0,IF(Z571&gt;0,Z571,IF(N571 = 0,0,IF('חד גזעי'!$AM$2 = "לא",IF(F571&gt;19,W571,0),IF(F571&gt;9,Y571,0)))))</f>
        <v>0</v>
      </c>
      <c r="Q571" s="77"/>
      <c r="R571" s="75"/>
      <c r="S571" t="e">
        <f>VLOOKUP(C571,'חד גזעי'!$Y$4:$Y$18,1,0)</f>
        <v>#N/A</v>
      </c>
      <c r="T571" s="72">
        <f>IF('חד גזעי'!$AM$6="לא",IF(P571=0,IF(BC571="שימור",IF('חד גזעי'!$AM$4="לא",IF(BC571="לא בוגר",0,IF(BC571="לא קיים",0,IF(J571=0,0,I571*0.1))),IF(BC571="לא בוגר",0,IF(BC571="לא קיים",0,IF(AB571=1,I571*0.1,E571*0.5)))),0),IF('חד גזעי'!$AM$4="לא",IF(BC571="לא בוגר",0,IF(BC571="לא קיים",0,IF(J571=0,0,I571*0.1))),IF(BC571="לא בוגר",0,IF(BC571="לא קיים",0,IF(AB571=1,I571*0.1,E571*0.5))))),IF(P571=0,IF(BC571="שימור",IF('חד גזעי'!$AM$4="לא",IF(BC571="לא בוגר",0,IF(BC571="לא קיים",0,IF(J571=0,0,I571*0.15))),IF(BC571="לא בוגר",0,IF(BC571="לא קיים",0,IF(AB571=1,I571*0.15,E571*0.5)))),0),IF('חד גזעי'!$AM$4="לא",IF(BC571="לא בוגר",0,IF(BC571="לא קיים",0,IF(J571=0,0,I571*0.15))),IF(BC571="לא בוגר",0,IF(BC571="לא קיים",0,IF(AB571=1,I571*0.15,E571*0.5))))))</f>
        <v>0</v>
      </c>
      <c r="V571" t="e">
        <f t="shared" si="564"/>
        <v>#N/A</v>
      </c>
      <c r="W571" t="e">
        <f t="shared" si="565"/>
        <v>#N/A</v>
      </c>
      <c r="X571" t="e">
        <f t="shared" si="566"/>
        <v>#N/A</v>
      </c>
      <c r="Y571">
        <f>IF('חד גזעי'!$AM$2 = "לא",0,IF(F571&gt;9,W571,0))</f>
        <v>0</v>
      </c>
      <c r="Z571">
        <f>IF('חד גזעי'!$AM$7 = "לא",0,IF(C571 = "זית אירופי",IF('חד גזעי'!$AN$7 &lt;=סקר!F571,W571,0),IF(C571 = "חרוב מצוי",IF('חד גזעי'!$AN$7 &lt;=סקר!F571,W571,0),0)))</f>
        <v>0</v>
      </c>
      <c r="AB571">
        <f t="shared" si="593"/>
        <v>1</v>
      </c>
      <c r="AC571" s="72"/>
      <c r="AD571" t="e">
        <f t="shared" si="611"/>
        <v>#N/A</v>
      </c>
      <c r="AE571" s="72"/>
      <c r="AF571" s="72" t="e">
        <f t="shared" si="594"/>
        <v>#N/A</v>
      </c>
      <c r="AG571" s="72" t="e">
        <f>IF('חד גזעי'!$AM$5="לא",(VLOOKUP(C571,'חד גזעי'!$P$1:$S$589,3,FALSE)),(VLOOKUP(C571,'חד גזעי'!$P$1:$S$589,4,FALSE)))</f>
        <v>#N/A</v>
      </c>
      <c r="AH571" s="72">
        <f t="shared" si="595"/>
        <v>0</v>
      </c>
      <c r="AI571" s="72">
        <f t="shared" si="596"/>
        <v>0</v>
      </c>
      <c r="AJ571" s="72">
        <f t="shared" si="597"/>
        <v>0</v>
      </c>
      <c r="AK571" s="72" t="e">
        <f t="shared" si="598"/>
        <v>#N/A</v>
      </c>
      <c r="AL571" t="e">
        <f>VLOOKUP(C571,'חד גזעי'!$AH$8:$AI$33,2,FALSE)</f>
        <v>#N/A</v>
      </c>
      <c r="AM571" s="72" t="b">
        <f t="shared" si="599"/>
        <v>0</v>
      </c>
      <c r="AN571" s="72" t="b">
        <f t="shared" si="600"/>
        <v>0</v>
      </c>
      <c r="AO571" s="72" t="b">
        <f t="shared" si="601"/>
        <v>0</v>
      </c>
      <c r="AS571" s="72">
        <f t="shared" si="602"/>
        <v>0</v>
      </c>
      <c r="AT571" s="72">
        <f t="shared" si="603"/>
        <v>0</v>
      </c>
      <c r="AU571" s="72">
        <f t="shared" si="612"/>
        <v>0</v>
      </c>
      <c r="AV571" s="72">
        <f t="shared" si="604"/>
        <v>0</v>
      </c>
      <c r="AW571" s="72">
        <f t="shared" si="605"/>
        <v>0</v>
      </c>
      <c r="AX571" s="72">
        <f t="shared" si="606"/>
        <v>0</v>
      </c>
      <c r="AY571" s="72">
        <f t="shared" si="607"/>
        <v>0</v>
      </c>
      <c r="AZ571" s="72">
        <f t="shared" si="608"/>
        <v>0</v>
      </c>
      <c r="BA571" s="72" t="e">
        <f t="shared" si="609"/>
        <v>#N/A</v>
      </c>
      <c r="BB571" s="72" t="e">
        <f t="shared" si="610"/>
        <v>#N/A</v>
      </c>
      <c r="BC571" s="77"/>
      <c r="BE571">
        <f t="shared" si="590"/>
        <v>0</v>
      </c>
      <c r="BF571" s="196"/>
      <c r="BG571" s="196"/>
      <c r="BH571" s="196"/>
      <c r="BI571" s="196"/>
      <c r="BJ571" s="196"/>
      <c r="BK571" s="196"/>
    </row>
    <row r="572" spans="2:63" ht="12.75" hidden="1" customHeight="1">
      <c r="B572" s="72"/>
      <c r="C572" s="135"/>
      <c r="D572" s="78"/>
      <c r="E572" s="78"/>
      <c r="F572" s="72"/>
      <c r="G572" s="72"/>
      <c r="H572" s="72"/>
      <c r="I572" s="73">
        <f t="shared" si="592"/>
        <v>0</v>
      </c>
      <c r="J572" s="78"/>
      <c r="K572" s="73"/>
      <c r="L572" s="74" t="e">
        <f>_xlfn.IFNA(VLOOKUP(C572,'חד גזעי'!$U$3:$V$509,2,0),VLOOKUP(C572,'חד גזעי'!$U$3:$V$509,2))</f>
        <v>#N/A</v>
      </c>
      <c r="M572" s="73"/>
      <c r="N572" s="72" t="e">
        <f>_xlfn.IFNA(IF(VLOOKUP(C572,'חד גזעי'!$AH$2:$AH$7,1,FALSE)&gt;0,0,IF('חד גזעי'!$AM$5="כן",IF(_xlfn.IFNA(VLOOKUP(C572,'חד גזעי'!$AH$2:$AH$33,1,FALSE),SUM(J572:M572))&lt;21,_xlfn.IFNA(VLOOKUP(C572,'חד גזעי'!$AH$2:$AH$33,1,FALSE),SUM(J572:M572)),0),SUM(J572:M572))),IF('חד גזעי'!$AM$5="כן",IF(_xlfn.IFNA(VLOOKUP(C572,'חד גזעי'!$AH$2:$AH$33,1,FALSE),SUM(J572:M572))&lt;21,_xlfn.IFNA(VLOOKUP(C572,'חד גזעי'!$AH$2:$AH$33,1,FALSE),SUM(J572:M572)),0),SUM(J572:M572)))</f>
        <v>#N/A</v>
      </c>
      <c r="O572" s="72">
        <f>IF('חד גזעי'!$AM$3 = "כן",IF(T572&gt;4,4,T572),T572)</f>
        <v>0</v>
      </c>
      <c r="P572" s="80">
        <f>IF(E572&lt;2,0,IF(Z572&gt;0,Z572,IF(N572 = 0,0,IF('חד גזעי'!$AM$2 = "לא",IF(F572&gt;19,W572,0),IF(F572&gt;9,Y572,0)))))</f>
        <v>0</v>
      </c>
      <c r="Q572" s="77"/>
      <c r="R572" s="76"/>
      <c r="S572" t="e">
        <f>VLOOKUP(C572,'חד גזעי'!$Y$4:$Y$18,1,0)</f>
        <v>#N/A</v>
      </c>
      <c r="T572" s="72">
        <f>IF('חד גזעי'!$AM$6="לא",IF(P572=0,IF(BC572="שימור",IF('חד גזעי'!$AM$4="לא",IF(BC572="לא בוגר",0,IF(BC572="לא קיים",0,IF(J572=0,0,I572*0.1))),IF(BC572="לא בוגר",0,IF(BC572="לא קיים",0,IF(AB572=1,I572*0.1,E572*0.5)))),0),IF('חד גזעי'!$AM$4="לא",IF(BC572="לא בוגר",0,IF(BC572="לא קיים",0,IF(J572=0,0,I572*0.1))),IF(BC572="לא בוגר",0,IF(BC572="לא קיים",0,IF(AB572=1,I572*0.1,E572*0.5))))),IF(P572=0,IF(BC572="שימור",IF('חד גזעי'!$AM$4="לא",IF(BC572="לא בוגר",0,IF(BC572="לא קיים",0,IF(J572=0,0,I572*0.15))),IF(BC572="לא בוגר",0,IF(BC572="לא קיים",0,IF(AB572=1,I572*0.15,E572*0.5)))),0),IF('חד גזעי'!$AM$4="לא",IF(BC572="לא בוגר",0,IF(BC572="לא קיים",0,IF(J572=0,0,I572*0.15))),IF(BC572="לא בוגר",0,IF(BC572="לא קיים",0,IF(AB572=1,I572*0.15,E572*0.5))))))</f>
        <v>0</v>
      </c>
      <c r="V572" t="e">
        <f t="shared" si="564"/>
        <v>#N/A</v>
      </c>
      <c r="W572" t="e">
        <f t="shared" si="565"/>
        <v>#N/A</v>
      </c>
      <c r="X572" t="e">
        <f t="shared" si="566"/>
        <v>#N/A</v>
      </c>
      <c r="Y572">
        <f>IF('חד גזעי'!$AM$2 = "לא",0,IF(F572&gt;9,W572,0))</f>
        <v>0</v>
      </c>
      <c r="Z572">
        <f>IF('חד גזעי'!$AM$7 = "לא",0,IF(C572 = "זית אירופי",IF('חד גזעי'!$AN$7 &lt;=סקר!F572,W572,0),IF(C572 = "חרוב מצוי",IF('חד גזעי'!$AN$7 &lt;=סקר!F572,W572,0),0)))</f>
        <v>0</v>
      </c>
      <c r="AB572">
        <f t="shared" si="593"/>
        <v>1</v>
      </c>
      <c r="AC572" s="72"/>
      <c r="AD572" t="e">
        <f t="shared" si="611"/>
        <v>#N/A</v>
      </c>
      <c r="AE572" s="72"/>
      <c r="AF572" s="72" t="e">
        <f t="shared" si="594"/>
        <v>#N/A</v>
      </c>
      <c r="AG572" s="72" t="e">
        <f>IF('חד גזעי'!$AM$5="לא",(VLOOKUP(C572,'חד גזעי'!$P$1:$S$589,3,FALSE)),(VLOOKUP(C572,'חד גזעי'!$P$1:$S$589,4,FALSE)))</f>
        <v>#N/A</v>
      </c>
      <c r="AH572" s="72">
        <f t="shared" si="595"/>
        <v>0</v>
      </c>
      <c r="AI572" s="72">
        <f t="shared" si="596"/>
        <v>0</v>
      </c>
      <c r="AJ572" s="72">
        <f t="shared" si="597"/>
        <v>0</v>
      </c>
      <c r="AK572" s="72" t="e">
        <f t="shared" si="598"/>
        <v>#N/A</v>
      </c>
      <c r="AL572" t="e">
        <f>VLOOKUP(C572,'חד גזעי'!$AH$8:$AI$33,2,FALSE)</f>
        <v>#N/A</v>
      </c>
      <c r="AM572" s="72" t="b">
        <f t="shared" si="599"/>
        <v>0</v>
      </c>
      <c r="AN572" s="72" t="b">
        <f t="shared" si="600"/>
        <v>0</v>
      </c>
      <c r="AO572" s="72" t="b">
        <f t="shared" si="601"/>
        <v>0</v>
      </c>
      <c r="AS572" s="72">
        <f t="shared" si="602"/>
        <v>0</v>
      </c>
      <c r="AT572" s="72">
        <f t="shared" si="603"/>
        <v>0</v>
      </c>
      <c r="AU572" s="72">
        <f t="shared" si="612"/>
        <v>0</v>
      </c>
      <c r="AV572" s="72">
        <f t="shared" si="604"/>
        <v>0</v>
      </c>
      <c r="AW572" s="72">
        <f t="shared" si="605"/>
        <v>0</v>
      </c>
      <c r="AX572" s="72">
        <f t="shared" si="606"/>
        <v>0</v>
      </c>
      <c r="AY572" s="72">
        <f t="shared" si="607"/>
        <v>0</v>
      </c>
      <c r="AZ572" s="72">
        <f t="shared" si="608"/>
        <v>0</v>
      </c>
      <c r="BA572" s="72" t="e">
        <f t="shared" si="609"/>
        <v>#N/A</v>
      </c>
      <c r="BB572" s="72" t="e">
        <f t="shared" si="610"/>
        <v>#N/A</v>
      </c>
      <c r="BC572" s="77"/>
      <c r="BE572">
        <f t="shared" si="590"/>
        <v>0</v>
      </c>
      <c r="BF572" s="196"/>
      <c r="BG572" s="196"/>
      <c r="BH572" s="196"/>
      <c r="BI572" s="196"/>
      <c r="BJ572" s="196"/>
      <c r="BK572" s="196"/>
    </row>
    <row r="573" spans="2:63" ht="12.75" hidden="1" customHeight="1">
      <c r="B573" s="72"/>
      <c r="C573" s="135"/>
      <c r="D573" s="78"/>
      <c r="E573" s="78"/>
      <c r="F573" s="72"/>
      <c r="G573" s="72"/>
      <c r="H573" s="72"/>
      <c r="I573" s="73">
        <f t="shared" si="592"/>
        <v>0</v>
      </c>
      <c r="J573" s="78"/>
      <c r="K573" s="73"/>
      <c r="L573" s="74" t="e">
        <f>_xlfn.IFNA(VLOOKUP(C573,'חד גזעי'!$U$3:$V$509,2,0),VLOOKUP(C573,'חד גזעי'!$U$3:$V$509,2))</f>
        <v>#N/A</v>
      </c>
      <c r="M573" s="73"/>
      <c r="N573" s="72" t="e">
        <f>_xlfn.IFNA(IF(VLOOKUP(C573,'חד גזעי'!$AH$2:$AH$7,1,FALSE)&gt;0,0,IF('חד גזעי'!$AM$5="כן",IF(_xlfn.IFNA(VLOOKUP(C573,'חד גזעי'!$AH$2:$AH$33,1,FALSE),SUM(J573:M573))&lt;21,_xlfn.IFNA(VLOOKUP(C573,'חד גזעי'!$AH$2:$AH$33,1,FALSE),SUM(J573:M573)),0),SUM(J573:M573))),IF('חד גזעי'!$AM$5="כן",IF(_xlfn.IFNA(VLOOKUP(C573,'חד גזעי'!$AH$2:$AH$33,1,FALSE),SUM(J573:M573))&lt;21,_xlfn.IFNA(VLOOKUP(C573,'חד גזעי'!$AH$2:$AH$33,1,FALSE),SUM(J573:M573)),0),SUM(J573:M573)))</f>
        <v>#N/A</v>
      </c>
      <c r="O573" s="72">
        <f>IF('חד גזעי'!$AM$3 = "כן",IF(T573&gt;4,4,T573),T573)</f>
        <v>0</v>
      </c>
      <c r="P573" s="80">
        <f>IF(E573&lt;2,0,IF(Z573&gt;0,Z573,IF(N573 = 0,0,IF('חד גזעי'!$AM$2 = "לא",IF(F573&gt;19,W573,0),IF(F573&gt;9,Y573,0)))))</f>
        <v>0</v>
      </c>
      <c r="Q573" s="77"/>
      <c r="R573" s="76"/>
      <c r="S573" t="e">
        <f>VLOOKUP(C573,'חד גזעי'!$Y$4:$Y$18,1,0)</f>
        <v>#N/A</v>
      </c>
      <c r="T573" s="72">
        <f>IF('חד גזעי'!$AM$6="לא",IF(P573=0,IF(BC573="שימור",IF('חד גזעי'!$AM$4="לא",IF(BC573="לא בוגר",0,IF(BC573="לא קיים",0,IF(J573=0,0,I573*0.1))),IF(BC573="לא בוגר",0,IF(BC573="לא קיים",0,IF(AB573=1,I573*0.1,E573*0.5)))),0),IF('חד גזעי'!$AM$4="לא",IF(BC573="לא בוגר",0,IF(BC573="לא קיים",0,IF(J573=0,0,I573*0.1))),IF(BC573="לא בוגר",0,IF(BC573="לא קיים",0,IF(AB573=1,I573*0.1,E573*0.5))))),IF(P573=0,IF(BC573="שימור",IF('חד גזעי'!$AM$4="לא",IF(BC573="לא בוגר",0,IF(BC573="לא קיים",0,IF(J573=0,0,I573*0.15))),IF(BC573="לא בוגר",0,IF(BC573="לא קיים",0,IF(AB573=1,I573*0.15,E573*0.5)))),0),IF('חד גזעי'!$AM$4="לא",IF(BC573="לא בוגר",0,IF(BC573="לא קיים",0,IF(J573=0,0,I573*0.15))),IF(BC573="לא בוגר",0,IF(BC573="לא קיים",0,IF(AB573=1,I573*0.15,E573*0.5))))))</f>
        <v>0</v>
      </c>
      <c r="V573" t="e">
        <f t="shared" si="564"/>
        <v>#N/A</v>
      </c>
      <c r="W573" t="e">
        <f t="shared" si="565"/>
        <v>#N/A</v>
      </c>
      <c r="X573" t="e">
        <f t="shared" si="566"/>
        <v>#N/A</v>
      </c>
      <c r="Y573">
        <f>IF('חד גזעי'!$AM$2 = "לא",0,IF(F573&gt;9,W573,0))</f>
        <v>0</v>
      </c>
      <c r="Z573">
        <f>IF('חד גזעי'!$AM$7 = "לא",0,IF(C573 = "זית אירופי",IF('חד גזעי'!$AN$7 &lt;=סקר!F573,W573,0),IF(C573 = "חרוב מצוי",IF('חד גזעי'!$AN$7 &lt;=סקר!F573,W573,0),0)))</f>
        <v>0</v>
      </c>
      <c r="AB573">
        <f t="shared" si="593"/>
        <v>1</v>
      </c>
      <c r="AC573" s="72"/>
      <c r="AD573" t="e">
        <f t="shared" si="611"/>
        <v>#N/A</v>
      </c>
      <c r="AE573" s="72"/>
      <c r="AF573" s="72" t="e">
        <f t="shared" si="594"/>
        <v>#N/A</v>
      </c>
      <c r="AG573" s="72" t="e">
        <f>IF('חד גזעי'!$AM$5="לא",(VLOOKUP(C573,'חד גזעי'!$P$1:$S$589,3,FALSE)),(VLOOKUP(C573,'חד גזעי'!$P$1:$S$589,4,FALSE)))</f>
        <v>#N/A</v>
      </c>
      <c r="AH573" s="72">
        <f t="shared" si="595"/>
        <v>0</v>
      </c>
      <c r="AI573" s="72">
        <f t="shared" si="596"/>
        <v>0</v>
      </c>
      <c r="AJ573" s="72">
        <f t="shared" si="597"/>
        <v>0</v>
      </c>
      <c r="AK573" s="72" t="e">
        <f t="shared" si="598"/>
        <v>#N/A</v>
      </c>
      <c r="AL573" t="e">
        <f>VLOOKUP(C573,'חד גזעי'!$AH$8:$AI$33,2,FALSE)</f>
        <v>#N/A</v>
      </c>
      <c r="AM573" s="72" t="b">
        <f t="shared" si="599"/>
        <v>0</v>
      </c>
      <c r="AN573" s="72" t="b">
        <f t="shared" si="600"/>
        <v>0</v>
      </c>
      <c r="AO573" s="72" t="b">
        <f t="shared" si="601"/>
        <v>0</v>
      </c>
      <c r="AS573" s="72">
        <f t="shared" si="602"/>
        <v>0</v>
      </c>
      <c r="AT573" s="72">
        <f t="shared" si="603"/>
        <v>0</v>
      </c>
      <c r="AU573" s="72">
        <f t="shared" si="612"/>
        <v>0</v>
      </c>
      <c r="AV573" s="72">
        <f t="shared" si="604"/>
        <v>0</v>
      </c>
      <c r="AW573" s="72">
        <f t="shared" si="605"/>
        <v>0</v>
      </c>
      <c r="AX573" s="72">
        <f t="shared" si="606"/>
        <v>0</v>
      </c>
      <c r="AY573" s="72">
        <f t="shared" si="607"/>
        <v>0</v>
      </c>
      <c r="AZ573" s="72">
        <f t="shared" si="608"/>
        <v>0</v>
      </c>
      <c r="BA573" s="72" t="e">
        <f t="shared" si="609"/>
        <v>#N/A</v>
      </c>
      <c r="BB573" s="72" t="e">
        <f t="shared" si="610"/>
        <v>#N/A</v>
      </c>
      <c r="BC573" s="77"/>
      <c r="BE573">
        <f t="shared" si="590"/>
        <v>0</v>
      </c>
      <c r="BF573" s="196"/>
      <c r="BG573" s="196"/>
      <c r="BH573" s="196"/>
      <c r="BI573" s="196"/>
      <c r="BJ573" s="196"/>
      <c r="BK573" s="196"/>
    </row>
    <row r="574" spans="2:63" ht="12.75" hidden="1" customHeight="1">
      <c r="B574" s="72"/>
      <c r="C574" s="135"/>
      <c r="D574" s="78"/>
      <c r="E574" s="78"/>
      <c r="F574" s="72"/>
      <c r="G574" s="72"/>
      <c r="H574" s="72"/>
      <c r="I574" s="73">
        <f t="shared" si="592"/>
        <v>0</v>
      </c>
      <c r="J574" s="78"/>
      <c r="K574" s="73"/>
      <c r="L574" s="74" t="e">
        <f>_xlfn.IFNA(VLOOKUP(C574,'חד גזעי'!$U$3:$V$509,2,0),VLOOKUP(C574,'חד גזעי'!$U$3:$V$509,2))</f>
        <v>#N/A</v>
      </c>
      <c r="M574" s="73"/>
      <c r="N574" s="72" t="e">
        <f>_xlfn.IFNA(IF(VLOOKUP(C574,'חד גזעי'!$AH$2:$AH$7,1,FALSE)&gt;0,0,IF('חד גזעי'!$AM$5="כן",IF(_xlfn.IFNA(VLOOKUP(C574,'חד גזעי'!$AH$2:$AH$33,1,FALSE),SUM(J574:M574))&lt;21,_xlfn.IFNA(VLOOKUP(C574,'חד גזעי'!$AH$2:$AH$33,1,FALSE),SUM(J574:M574)),0),SUM(J574:M574))),IF('חד גזעי'!$AM$5="כן",IF(_xlfn.IFNA(VLOOKUP(C574,'חד גזעי'!$AH$2:$AH$33,1,FALSE),SUM(J574:M574))&lt;21,_xlfn.IFNA(VLOOKUP(C574,'חד גזעי'!$AH$2:$AH$33,1,FALSE),SUM(J574:M574)),0),SUM(J574:M574)))</f>
        <v>#N/A</v>
      </c>
      <c r="O574" s="72">
        <f>IF('חד גזעי'!$AM$3 = "כן",IF(T574&gt;4,4,T574),T574)</f>
        <v>0</v>
      </c>
      <c r="P574" s="80">
        <f>IF(E574&lt;2,0,IF(Z574&gt;0,Z574,IF(N574 = 0,0,IF('חד גזעי'!$AM$2 = "לא",IF(F574&gt;19,W574,0),IF(F574&gt;9,Y574,0)))))</f>
        <v>0</v>
      </c>
      <c r="Q574" s="77"/>
      <c r="R574" s="76"/>
      <c r="S574" t="e">
        <f>VLOOKUP(C574,'חד גזעי'!$Y$4:$Y$18,1,0)</f>
        <v>#N/A</v>
      </c>
      <c r="T574" s="72">
        <f>IF('חד גזעי'!$AM$6="לא",IF(P574=0,IF(BC574="שימור",IF('חד גזעי'!$AM$4="לא",IF(BC574="לא בוגר",0,IF(BC574="לא קיים",0,IF(J574=0,0,I574*0.1))),IF(BC574="לא בוגר",0,IF(BC574="לא קיים",0,IF(AB574=1,I574*0.1,E574*0.5)))),0),IF('חד גזעי'!$AM$4="לא",IF(BC574="לא בוגר",0,IF(BC574="לא קיים",0,IF(J574=0,0,I574*0.1))),IF(BC574="לא בוגר",0,IF(BC574="לא קיים",0,IF(AB574=1,I574*0.1,E574*0.5))))),IF(P574=0,IF(BC574="שימור",IF('חד גזעי'!$AM$4="לא",IF(BC574="לא בוגר",0,IF(BC574="לא קיים",0,IF(J574=0,0,I574*0.15))),IF(BC574="לא בוגר",0,IF(BC574="לא קיים",0,IF(AB574=1,I574*0.15,E574*0.5)))),0),IF('חד גזעי'!$AM$4="לא",IF(BC574="לא בוגר",0,IF(BC574="לא קיים",0,IF(J574=0,0,I574*0.15))),IF(BC574="לא בוגר",0,IF(BC574="לא קיים",0,IF(AB574=1,I574*0.15,E574*0.5))))))</f>
        <v>0</v>
      </c>
      <c r="V574" t="e">
        <f t="shared" si="564"/>
        <v>#N/A</v>
      </c>
      <c r="W574" t="e">
        <f t="shared" si="565"/>
        <v>#N/A</v>
      </c>
      <c r="X574" t="e">
        <f t="shared" si="566"/>
        <v>#N/A</v>
      </c>
      <c r="Y574">
        <f>IF('חד גזעי'!$AM$2 = "לא",0,IF(F574&gt;9,W574,0))</f>
        <v>0</v>
      </c>
      <c r="Z574">
        <f>IF('חד גזעי'!$AM$7 = "לא",0,IF(C574 = "זית אירופי",IF('חד גזעי'!$AN$7 &lt;=סקר!F574,W574,0),IF(C574 = "חרוב מצוי",IF('חד גזעי'!$AN$7 &lt;=סקר!F574,W574,0),0)))</f>
        <v>0</v>
      </c>
      <c r="AB574">
        <f t="shared" si="593"/>
        <v>1</v>
      </c>
      <c r="AC574" s="72"/>
      <c r="AD574" t="e">
        <f t="shared" si="611"/>
        <v>#N/A</v>
      </c>
      <c r="AE574" s="72"/>
      <c r="AF574" s="72" t="e">
        <f t="shared" si="594"/>
        <v>#N/A</v>
      </c>
      <c r="AG574" s="72" t="e">
        <f>IF('חד גזעי'!$AM$5="לא",(VLOOKUP(C574,'חד גזעי'!$P$1:$S$589,3,FALSE)),(VLOOKUP(C574,'חד גזעי'!$P$1:$S$589,4,FALSE)))</f>
        <v>#N/A</v>
      </c>
      <c r="AH574" s="72">
        <f t="shared" si="595"/>
        <v>0</v>
      </c>
      <c r="AI574" s="72">
        <f t="shared" si="596"/>
        <v>0</v>
      </c>
      <c r="AJ574" s="72">
        <f t="shared" si="597"/>
        <v>0</v>
      </c>
      <c r="AK574" s="72" t="e">
        <f t="shared" si="598"/>
        <v>#N/A</v>
      </c>
      <c r="AL574" t="e">
        <f>VLOOKUP(C574,'חד גזעי'!$AH$8:$AI$33,2,FALSE)</f>
        <v>#N/A</v>
      </c>
      <c r="AM574" s="72" t="b">
        <f t="shared" si="599"/>
        <v>0</v>
      </c>
      <c r="AN574" s="72" t="b">
        <f t="shared" si="600"/>
        <v>0</v>
      </c>
      <c r="AO574" s="72" t="b">
        <f t="shared" si="601"/>
        <v>0</v>
      </c>
      <c r="AS574" s="72">
        <f t="shared" si="602"/>
        <v>0</v>
      </c>
      <c r="AT574" s="72">
        <f t="shared" si="603"/>
        <v>0</v>
      </c>
      <c r="AU574" s="72">
        <f t="shared" si="612"/>
        <v>0</v>
      </c>
      <c r="AV574" s="72">
        <f t="shared" si="604"/>
        <v>0</v>
      </c>
      <c r="AW574" s="72">
        <f t="shared" si="605"/>
        <v>0</v>
      </c>
      <c r="AX574" s="72">
        <f t="shared" si="606"/>
        <v>0</v>
      </c>
      <c r="AY574" s="72">
        <f t="shared" si="607"/>
        <v>0</v>
      </c>
      <c r="AZ574" s="72">
        <f t="shared" si="608"/>
        <v>0</v>
      </c>
      <c r="BA574" s="72" t="e">
        <f t="shared" si="609"/>
        <v>#N/A</v>
      </c>
      <c r="BB574" s="72" t="e">
        <f t="shared" si="610"/>
        <v>#N/A</v>
      </c>
      <c r="BC574" s="77"/>
      <c r="BE574">
        <f t="shared" si="590"/>
        <v>0</v>
      </c>
      <c r="BF574" s="72"/>
      <c r="BG574" s="72"/>
      <c r="BH574" s="72"/>
      <c r="BI574" s="72"/>
      <c r="BJ574" s="72"/>
      <c r="BK574" s="72"/>
    </row>
    <row r="575" spans="2:63" ht="12.75" hidden="1" customHeight="1">
      <c r="B575" s="72"/>
      <c r="C575" s="135"/>
      <c r="D575" s="78"/>
      <c r="E575" s="78"/>
      <c r="F575" s="72"/>
      <c r="G575" s="72"/>
      <c r="H575" s="72"/>
      <c r="I575" s="73">
        <f t="shared" si="592"/>
        <v>0</v>
      </c>
      <c r="J575" s="78"/>
      <c r="K575" s="73"/>
      <c r="L575" s="74" t="e">
        <f>_xlfn.IFNA(VLOOKUP(C575,'חד גזעי'!$U$3:$V$509,2,0),VLOOKUP(C575,'חד גזעי'!$U$3:$V$509,2))</f>
        <v>#N/A</v>
      </c>
      <c r="M575" s="73"/>
      <c r="N575" s="72" t="e">
        <f>_xlfn.IFNA(IF(VLOOKUP(C575,'חד גזעי'!$AH$2:$AH$7,1,FALSE)&gt;0,0,IF('חד גזעי'!$AM$5="כן",IF(_xlfn.IFNA(VLOOKUP(C575,'חד גזעי'!$AH$2:$AH$33,1,FALSE),SUM(J575:M575))&lt;21,_xlfn.IFNA(VLOOKUP(C575,'חד גזעי'!$AH$2:$AH$33,1,FALSE),SUM(J575:M575)),0),SUM(J575:M575))),IF('חד גזעי'!$AM$5="כן",IF(_xlfn.IFNA(VLOOKUP(C575,'חד גזעי'!$AH$2:$AH$33,1,FALSE),SUM(J575:M575))&lt;21,_xlfn.IFNA(VLOOKUP(C575,'חד גזעי'!$AH$2:$AH$33,1,FALSE),SUM(J575:M575)),0),SUM(J575:M575)))</f>
        <v>#N/A</v>
      </c>
      <c r="O575" s="72">
        <f>IF('חד גזעי'!$AM$3 = "כן",IF(T575&gt;4,4,T575),T575)</f>
        <v>0</v>
      </c>
      <c r="P575" s="80">
        <f>IF(E575&lt;2,0,IF(Z575&gt;0,Z575,IF(N575 = 0,0,IF('חד גזעי'!$AM$2 = "לא",IF(F575&gt;19,W575,0),IF(F575&gt;9,Y575,0)))))</f>
        <v>0</v>
      </c>
      <c r="Q575" s="77"/>
      <c r="R575" s="75"/>
      <c r="S575" t="e">
        <f>VLOOKUP(C575,'חד גזעי'!$Y$4:$Y$18,1,0)</f>
        <v>#N/A</v>
      </c>
      <c r="T575" s="72">
        <f>IF('חד גזעי'!$AM$6="לא",IF(P575=0,IF(BC575="שימור",IF('חד גזעי'!$AM$4="לא",IF(BC575="לא בוגר",0,IF(BC575="לא קיים",0,IF(J575=0,0,I575*0.1))),IF(BC575="לא בוגר",0,IF(BC575="לא קיים",0,IF(AB575=1,I575*0.1,E575*0.5)))),0),IF('חד גזעי'!$AM$4="לא",IF(BC575="לא בוגר",0,IF(BC575="לא קיים",0,IF(J575=0,0,I575*0.1))),IF(BC575="לא בוגר",0,IF(BC575="לא קיים",0,IF(AB575=1,I575*0.1,E575*0.5))))),IF(P575=0,IF(BC575="שימור",IF('חד גזעי'!$AM$4="לא",IF(BC575="לא בוגר",0,IF(BC575="לא קיים",0,IF(J575=0,0,I575*0.15))),IF(BC575="לא בוגר",0,IF(BC575="לא קיים",0,IF(AB575=1,I575*0.15,E575*0.5)))),0),IF('חד גזעי'!$AM$4="לא",IF(BC575="לא בוגר",0,IF(BC575="לא קיים",0,IF(J575=0,0,I575*0.15))),IF(BC575="לא בוגר",0,IF(BC575="לא קיים",0,IF(AB575=1,I575*0.15,E575*0.5))))))</f>
        <v>0</v>
      </c>
      <c r="V575" t="e">
        <f t="shared" si="564"/>
        <v>#N/A</v>
      </c>
      <c r="W575" t="e">
        <f t="shared" si="565"/>
        <v>#N/A</v>
      </c>
      <c r="X575" t="e">
        <f t="shared" si="566"/>
        <v>#N/A</v>
      </c>
      <c r="Y575">
        <f>IF('חד גזעי'!$AM$2 = "לא",0,IF(F575&gt;9,W575,0))</f>
        <v>0</v>
      </c>
      <c r="Z575">
        <f>IF('חד גזעי'!$AM$7 = "לא",0,IF(C575 = "זית אירופי",IF('חד גזעי'!$AN$7 &lt;=סקר!F575,W575,0),IF(C575 = "חרוב מצוי",IF('חד גזעי'!$AN$7 &lt;=סקר!F575,W575,0),0)))</f>
        <v>0</v>
      </c>
      <c r="AB575">
        <f t="shared" si="593"/>
        <v>1</v>
      </c>
      <c r="AC575" s="72"/>
      <c r="AD575" t="e">
        <f t="shared" si="611"/>
        <v>#N/A</v>
      </c>
      <c r="AE575" s="72"/>
      <c r="AF575" s="72" t="e">
        <f t="shared" si="594"/>
        <v>#N/A</v>
      </c>
      <c r="AG575" s="72" t="e">
        <f>IF('חד גזעי'!$AM$5="לא",(VLOOKUP(C575,'חד גזעי'!$P$1:$S$589,3,FALSE)),(VLOOKUP(C575,'חד גזעי'!$P$1:$S$589,4,FALSE)))</f>
        <v>#N/A</v>
      </c>
      <c r="AH575" s="72">
        <f t="shared" si="595"/>
        <v>0</v>
      </c>
      <c r="AI575" s="72">
        <f t="shared" si="596"/>
        <v>0</v>
      </c>
      <c r="AJ575" s="72">
        <f t="shared" si="597"/>
        <v>0</v>
      </c>
      <c r="AK575" s="72" t="e">
        <f t="shared" si="598"/>
        <v>#N/A</v>
      </c>
      <c r="AL575" t="e">
        <f>VLOOKUP(C575,'חד גזעי'!$AH$8:$AI$33,2,FALSE)</f>
        <v>#N/A</v>
      </c>
      <c r="AM575" s="72" t="b">
        <f t="shared" si="599"/>
        <v>0</v>
      </c>
      <c r="AN575" s="72" t="b">
        <f t="shared" si="600"/>
        <v>0</v>
      </c>
      <c r="AO575" s="72" t="b">
        <f t="shared" si="601"/>
        <v>0</v>
      </c>
      <c r="AS575" s="72">
        <f t="shared" si="602"/>
        <v>0</v>
      </c>
      <c r="AT575" s="72">
        <f t="shared" si="603"/>
        <v>0</v>
      </c>
      <c r="AU575" s="72">
        <f t="shared" si="612"/>
        <v>0</v>
      </c>
      <c r="AV575" s="72">
        <f t="shared" si="604"/>
        <v>0</v>
      </c>
      <c r="AW575" s="72">
        <f t="shared" si="605"/>
        <v>0</v>
      </c>
      <c r="AX575" s="72">
        <f t="shared" si="606"/>
        <v>0</v>
      </c>
      <c r="AY575" s="72">
        <f t="shared" si="607"/>
        <v>0</v>
      </c>
      <c r="AZ575" s="72">
        <f t="shared" si="608"/>
        <v>0</v>
      </c>
      <c r="BA575" s="72" t="e">
        <f t="shared" si="609"/>
        <v>#N/A</v>
      </c>
      <c r="BB575" s="72" t="e">
        <f t="shared" si="610"/>
        <v>#N/A</v>
      </c>
      <c r="BC575" s="77"/>
      <c r="BE575">
        <f t="shared" si="590"/>
        <v>0</v>
      </c>
      <c r="BF575" s="196" t="str">
        <f>BF594</f>
        <v>C:\Users\origr\Pictures\0.jpg</v>
      </c>
      <c r="BG575" s="196" t="str">
        <f t="shared" ref="BG575:BK575" si="613">BG594</f>
        <v>C:\Users\origr\Pictures\0.jpg</v>
      </c>
      <c r="BH575" s="196" t="str">
        <f t="shared" si="613"/>
        <v>C:\Users\origr\Pictures\0.jpg</v>
      </c>
      <c r="BI575" s="196" t="str">
        <f t="shared" si="613"/>
        <v>C:\Users\origr\Pictures\0.jpg</v>
      </c>
      <c r="BJ575" s="196" t="str">
        <f t="shared" si="613"/>
        <v>C:\Users\origr\Pictures\0.jpg</v>
      </c>
      <c r="BK575" s="196" t="str">
        <f t="shared" si="613"/>
        <v>C:\Users\origr\Pictures\0.jpg</v>
      </c>
    </row>
    <row r="576" spans="2:63" hidden="1">
      <c r="B576" s="72"/>
      <c r="C576" s="135"/>
      <c r="D576" s="78"/>
      <c r="E576" s="78"/>
      <c r="F576" s="72"/>
      <c r="G576" s="72"/>
      <c r="H576" s="72"/>
      <c r="I576" s="73">
        <f t="shared" si="592"/>
        <v>0</v>
      </c>
      <c r="J576" s="78"/>
      <c r="K576" s="73"/>
      <c r="L576" s="74" t="e">
        <f>_xlfn.IFNA(VLOOKUP(C576,'חד גזעי'!$U$3:$V$509,2,0),VLOOKUP(C576,'חד גזעי'!$U$3:$V$509,2))</f>
        <v>#N/A</v>
      </c>
      <c r="M576" s="73"/>
      <c r="N576" s="72" t="e">
        <f>_xlfn.IFNA(IF(VLOOKUP(C576,'חד גזעי'!$AH$2:$AH$7,1,FALSE)&gt;0,0,IF('חד גזעי'!$AM$5="כן",IF(_xlfn.IFNA(VLOOKUP(C576,'חד גזעי'!$AH$2:$AH$33,1,FALSE),SUM(J576:M576))&lt;21,_xlfn.IFNA(VLOOKUP(C576,'חד גזעי'!$AH$2:$AH$33,1,FALSE),SUM(J576:M576)),0),SUM(J576:M576))),IF('חד גזעי'!$AM$5="כן",IF(_xlfn.IFNA(VLOOKUP(C576,'חד גזעי'!$AH$2:$AH$33,1,FALSE),SUM(J576:M576))&lt;21,_xlfn.IFNA(VLOOKUP(C576,'חד גזעי'!$AH$2:$AH$33,1,FALSE),SUM(J576:M576)),0),SUM(J576:M576)))</f>
        <v>#N/A</v>
      </c>
      <c r="O576" s="72">
        <f>IF('חד גזעי'!$AM$3 = "כן",IF(T576&gt;4,4,T576),T576)</f>
        <v>0</v>
      </c>
      <c r="P576" s="80">
        <f>IF(E576&lt;2,0,IF(Z576&gt;0,Z576,IF(N576 = 0,0,IF('חד גזעי'!$AM$2 = "לא",IF(F576&gt;19,W576,0),IF(F576&gt;9,Y576,0)))))</f>
        <v>0</v>
      </c>
      <c r="Q576" s="77"/>
      <c r="R576" s="76"/>
      <c r="S576" t="e">
        <f>VLOOKUP(C576,'חד גזעי'!$Y$4:$Y$18,1,0)</f>
        <v>#N/A</v>
      </c>
      <c r="T576" s="72">
        <f>IF('חד גזעי'!$AM$6="לא",IF(P576=0,IF(BC576="שימור",IF('חד גזעי'!$AM$4="לא",IF(BC576="לא בוגר",0,IF(BC576="לא קיים",0,IF(J576=0,0,I576*0.1))),IF(BC576="לא בוגר",0,IF(BC576="לא קיים",0,IF(AB576=1,I576*0.1,E576*0.5)))),0),IF('חד גזעי'!$AM$4="לא",IF(BC576="לא בוגר",0,IF(BC576="לא קיים",0,IF(J576=0,0,I576*0.1))),IF(BC576="לא בוגר",0,IF(BC576="לא קיים",0,IF(AB576=1,I576*0.1,E576*0.5))))),IF(P576=0,IF(BC576="שימור",IF('חד גזעי'!$AM$4="לא",IF(BC576="לא בוגר",0,IF(BC576="לא קיים",0,IF(J576=0,0,I576*0.15))),IF(BC576="לא בוגר",0,IF(BC576="לא קיים",0,IF(AB576=1,I576*0.15,E576*0.5)))),0),IF('חד גזעי'!$AM$4="לא",IF(BC576="לא בוגר",0,IF(BC576="לא קיים",0,IF(J576=0,0,I576*0.15))),IF(BC576="לא בוגר",0,IF(BC576="לא קיים",0,IF(AB576=1,I576*0.15,E576*0.5))))))</f>
        <v>0</v>
      </c>
      <c r="V576" t="e">
        <f t="shared" si="564"/>
        <v>#N/A</v>
      </c>
      <c r="W576" t="e">
        <f t="shared" si="565"/>
        <v>#N/A</v>
      </c>
      <c r="X576" t="e">
        <f t="shared" si="566"/>
        <v>#N/A</v>
      </c>
      <c r="Y576">
        <f>IF('חד גזעי'!$AM$2 = "לא",0,IF(F576&gt;9,W576,0))</f>
        <v>0</v>
      </c>
      <c r="Z576">
        <f>IF('חד גזעי'!$AM$7 = "לא",0,IF(C576 = "זית אירופי",IF('חד גזעי'!$AN$7 &lt;=סקר!F576,W576,0),IF(C576 = "חרוב מצוי",IF('חד גזעי'!$AN$7 &lt;=סקר!F576,W576,0),0)))</f>
        <v>0</v>
      </c>
      <c r="AB576">
        <f t="shared" si="593"/>
        <v>1</v>
      </c>
      <c r="AC576" s="72"/>
      <c r="AD576" t="e">
        <f t="shared" si="611"/>
        <v>#N/A</v>
      </c>
      <c r="AE576" s="72"/>
      <c r="AF576" s="72" t="e">
        <f t="shared" si="594"/>
        <v>#N/A</v>
      </c>
      <c r="AG576" s="72" t="e">
        <f>IF('חד גזעי'!$AM$5="לא",(VLOOKUP(C576,'חד גזעי'!$P$1:$S$589,3,FALSE)),(VLOOKUP(C576,'חד גזעי'!$P$1:$S$589,4,FALSE)))</f>
        <v>#N/A</v>
      </c>
      <c r="AH576" s="72">
        <f t="shared" si="595"/>
        <v>0</v>
      </c>
      <c r="AI576" s="72">
        <f t="shared" si="596"/>
        <v>0</v>
      </c>
      <c r="AJ576" s="72">
        <f t="shared" si="597"/>
        <v>0</v>
      </c>
      <c r="AK576" s="72" t="e">
        <f t="shared" si="598"/>
        <v>#N/A</v>
      </c>
      <c r="AL576" t="e">
        <f>VLOOKUP(C576,'חד גזעי'!$AH$8:$AI$33,2,FALSE)</f>
        <v>#N/A</v>
      </c>
      <c r="AM576" s="72" t="b">
        <f t="shared" si="599"/>
        <v>0</v>
      </c>
      <c r="AN576" s="72" t="b">
        <f t="shared" si="600"/>
        <v>0</v>
      </c>
      <c r="AO576" s="72" t="b">
        <f t="shared" si="601"/>
        <v>0</v>
      </c>
      <c r="AS576" s="72">
        <f t="shared" si="602"/>
        <v>0</v>
      </c>
      <c r="AT576" s="72">
        <f t="shared" si="603"/>
        <v>0</v>
      </c>
      <c r="AU576" s="72">
        <f t="shared" si="612"/>
        <v>0</v>
      </c>
      <c r="AV576" s="72">
        <f t="shared" si="604"/>
        <v>0</v>
      </c>
      <c r="AW576" s="72">
        <f t="shared" si="605"/>
        <v>0</v>
      </c>
      <c r="AX576" s="72">
        <f t="shared" si="606"/>
        <v>0</v>
      </c>
      <c r="AY576" s="72">
        <f t="shared" si="607"/>
        <v>0</v>
      </c>
      <c r="AZ576" s="72">
        <f t="shared" si="608"/>
        <v>0</v>
      </c>
      <c r="BA576" s="72" t="e">
        <f t="shared" si="609"/>
        <v>#N/A</v>
      </c>
      <c r="BB576" s="72" t="e">
        <f t="shared" si="610"/>
        <v>#N/A</v>
      </c>
      <c r="BC576" s="77"/>
      <c r="BE576">
        <f t="shared" si="590"/>
        <v>0</v>
      </c>
      <c r="BF576" s="196"/>
      <c r="BG576" s="196"/>
      <c r="BH576" s="196"/>
      <c r="BI576" s="196"/>
      <c r="BJ576" s="196"/>
      <c r="BK576" s="196"/>
    </row>
    <row r="577" spans="1:63" hidden="1">
      <c r="B577" s="72"/>
      <c r="C577" s="135"/>
      <c r="D577" s="78"/>
      <c r="E577" s="78"/>
      <c r="F577" s="72"/>
      <c r="G577" s="72"/>
      <c r="H577" s="72"/>
      <c r="I577" s="73">
        <f t="shared" si="592"/>
        <v>0</v>
      </c>
      <c r="J577" s="78"/>
      <c r="K577" s="73"/>
      <c r="L577" s="74" t="e">
        <f>_xlfn.IFNA(VLOOKUP(C577,'חד גזעי'!$U$3:$V$509,2,0),VLOOKUP(C577,'חד גזעי'!$U$3:$V$509,2))</f>
        <v>#N/A</v>
      </c>
      <c r="M577" s="73"/>
      <c r="N577" s="72" t="e">
        <f>_xlfn.IFNA(IF(VLOOKUP(C577,'חד גזעי'!$AH$2:$AH$7,1,FALSE)&gt;0,0,IF('חד גזעי'!$AM$5="כן",IF(_xlfn.IFNA(VLOOKUP(C577,'חד גזעי'!$AH$2:$AH$33,1,FALSE),SUM(J577:M577))&lt;21,_xlfn.IFNA(VLOOKUP(C577,'חד גזעי'!$AH$2:$AH$33,1,FALSE),SUM(J577:M577)),0),SUM(J577:M577))),IF('חד גזעי'!$AM$5="כן",IF(_xlfn.IFNA(VLOOKUP(C577,'חד גזעי'!$AH$2:$AH$33,1,FALSE),SUM(J577:M577))&lt;21,_xlfn.IFNA(VLOOKUP(C577,'חד גזעי'!$AH$2:$AH$33,1,FALSE),SUM(J577:M577)),0),SUM(J577:M577)))</f>
        <v>#N/A</v>
      </c>
      <c r="O577" s="72">
        <f>IF('חד גזעי'!$AM$3 = "כן",IF(T577&gt;4,4,T577),T577)</f>
        <v>0</v>
      </c>
      <c r="P577" s="80">
        <f>IF(E577&lt;2,0,IF(Z577&gt;0,Z577,IF(N577 = 0,0,IF('חד גזעי'!$AM$2 = "לא",IF(F577&gt;19,W577,0),IF(F577&gt;9,Y577,0)))))</f>
        <v>0</v>
      </c>
      <c r="Q577" s="77"/>
      <c r="R577" s="76"/>
      <c r="S577" t="e">
        <f>VLOOKUP(C577,'חד גזעי'!$Y$4:$Y$18,1,0)</f>
        <v>#N/A</v>
      </c>
      <c r="T577" s="72">
        <f>IF('חד גזעי'!$AM$6="לא",IF(P577=0,IF(BC577="שימור",IF('חד גזעי'!$AM$4="לא",IF(BC577="לא בוגר",0,IF(BC577="לא קיים",0,IF(J577=0,0,I577*0.1))),IF(BC577="לא בוגר",0,IF(BC577="לא קיים",0,IF(AB577=1,I577*0.1,E577*0.5)))),0),IF('חד גזעי'!$AM$4="לא",IF(BC577="לא בוגר",0,IF(BC577="לא קיים",0,IF(J577=0,0,I577*0.1))),IF(BC577="לא בוגר",0,IF(BC577="לא קיים",0,IF(AB577=1,I577*0.1,E577*0.5))))),IF(P577=0,IF(BC577="שימור",IF('חד גזעי'!$AM$4="לא",IF(BC577="לא בוגר",0,IF(BC577="לא קיים",0,IF(J577=0,0,I577*0.15))),IF(BC577="לא בוגר",0,IF(BC577="לא קיים",0,IF(AB577=1,I577*0.15,E577*0.5)))),0),IF('חד גזעי'!$AM$4="לא",IF(BC577="לא בוגר",0,IF(BC577="לא קיים",0,IF(J577=0,0,I577*0.15))),IF(BC577="לא בוגר",0,IF(BC577="לא קיים",0,IF(AB577=1,I577*0.15,E577*0.5))))))</f>
        <v>0</v>
      </c>
      <c r="V577" t="e">
        <f t="shared" si="564"/>
        <v>#N/A</v>
      </c>
      <c r="W577" t="e">
        <f t="shared" si="565"/>
        <v>#N/A</v>
      </c>
      <c r="X577" t="e">
        <f t="shared" si="566"/>
        <v>#N/A</v>
      </c>
      <c r="Y577">
        <f>IF('חד גזעי'!$AM$2 = "לא",0,IF(F577&gt;9,W577,0))</f>
        <v>0</v>
      </c>
      <c r="Z577">
        <f>IF('חד גזעי'!$AM$7 = "לא",0,IF(C577 = "זית אירופי",IF('חד גזעי'!$AN$7 &lt;=סקר!F577,W577,0),IF(C577 = "חרוב מצוי",IF('חד גזעי'!$AN$7 &lt;=סקר!F577,W577,0),0)))</f>
        <v>0</v>
      </c>
      <c r="AB577">
        <f t="shared" si="593"/>
        <v>1</v>
      </c>
      <c r="AC577" s="72"/>
      <c r="AD577" t="e">
        <f t="shared" si="611"/>
        <v>#N/A</v>
      </c>
      <c r="AE577" s="72"/>
      <c r="AF577" s="72" t="e">
        <f t="shared" si="594"/>
        <v>#N/A</v>
      </c>
      <c r="AG577" s="72" t="e">
        <f>IF('חד גזעי'!$AM$5="לא",(VLOOKUP(C577,'חד גזעי'!$P$1:$S$589,3,FALSE)),(VLOOKUP(C577,'חד גזעי'!$P$1:$S$589,4,FALSE)))</f>
        <v>#N/A</v>
      </c>
      <c r="AH577" s="72">
        <f t="shared" si="595"/>
        <v>0</v>
      </c>
      <c r="AI577" s="72">
        <f t="shared" si="596"/>
        <v>0</v>
      </c>
      <c r="AJ577" s="72">
        <f t="shared" si="597"/>
        <v>0</v>
      </c>
      <c r="AK577" s="72" t="e">
        <f t="shared" si="598"/>
        <v>#N/A</v>
      </c>
      <c r="AL577" t="e">
        <f>VLOOKUP(C577,'חד גזעי'!$AH$8:$AI$33,2,FALSE)</f>
        <v>#N/A</v>
      </c>
      <c r="AM577" s="72" t="b">
        <f t="shared" si="599"/>
        <v>0</v>
      </c>
      <c r="AN577" s="72" t="b">
        <f t="shared" si="600"/>
        <v>0</v>
      </c>
      <c r="AO577" s="72" t="b">
        <f t="shared" si="601"/>
        <v>0</v>
      </c>
      <c r="AS577" s="72">
        <f t="shared" si="602"/>
        <v>0</v>
      </c>
      <c r="AT577" s="72">
        <f t="shared" si="603"/>
        <v>0</v>
      </c>
      <c r="AU577" s="72">
        <f t="shared" si="612"/>
        <v>0</v>
      </c>
      <c r="AV577" s="72">
        <f t="shared" si="604"/>
        <v>0</v>
      </c>
      <c r="AW577" s="72">
        <f t="shared" si="605"/>
        <v>0</v>
      </c>
      <c r="AX577" s="72">
        <f t="shared" si="606"/>
        <v>0</v>
      </c>
      <c r="AY577" s="72">
        <f t="shared" si="607"/>
        <v>0</v>
      </c>
      <c r="AZ577" s="72">
        <f t="shared" si="608"/>
        <v>0</v>
      </c>
      <c r="BA577" s="72" t="e">
        <f t="shared" si="609"/>
        <v>#N/A</v>
      </c>
      <c r="BB577" s="72" t="e">
        <f t="shared" si="610"/>
        <v>#N/A</v>
      </c>
      <c r="BC577" s="77"/>
      <c r="BE577">
        <f t="shared" si="590"/>
        <v>0</v>
      </c>
      <c r="BF577" s="196"/>
      <c r="BG577" s="196"/>
      <c r="BH577" s="196"/>
      <c r="BI577" s="196"/>
      <c r="BJ577" s="196"/>
      <c r="BK577" s="196"/>
    </row>
    <row r="578" spans="1:63" hidden="1">
      <c r="B578" s="72"/>
      <c r="C578" s="135"/>
      <c r="D578" s="78"/>
      <c r="E578" s="78"/>
      <c r="F578" s="72"/>
      <c r="G578" s="72"/>
      <c r="H578" s="72"/>
      <c r="I578" s="73">
        <f t="shared" si="592"/>
        <v>0</v>
      </c>
      <c r="J578" s="78"/>
      <c r="K578" s="73"/>
      <c r="L578" s="74" t="e">
        <f>_xlfn.IFNA(VLOOKUP(C578,'חד גזעי'!$U$3:$V$509,2,0),VLOOKUP(C578,'חד גזעי'!$U$3:$V$509,2))</f>
        <v>#N/A</v>
      </c>
      <c r="M578" s="73"/>
      <c r="N578" s="72" t="e">
        <f>_xlfn.IFNA(IF(VLOOKUP(C578,'חד גזעי'!$AH$2:$AH$7,1,FALSE)&gt;0,0,IF('חד גזעי'!$AM$5="כן",IF(_xlfn.IFNA(VLOOKUP(C578,'חד גזעי'!$AH$2:$AH$33,1,FALSE),SUM(J578:M578))&lt;21,_xlfn.IFNA(VLOOKUP(C578,'חד גזעי'!$AH$2:$AH$33,1,FALSE),SUM(J578:M578)),0),SUM(J578:M578))),IF('חד גזעי'!$AM$5="כן",IF(_xlfn.IFNA(VLOOKUP(C578,'חד גזעי'!$AH$2:$AH$33,1,FALSE),SUM(J578:M578))&lt;21,_xlfn.IFNA(VLOOKUP(C578,'חד גזעי'!$AH$2:$AH$33,1,FALSE),SUM(J578:M578)),0),SUM(J578:M578)))</f>
        <v>#N/A</v>
      </c>
      <c r="O578" s="72">
        <f>IF('חד גזעי'!$AM$3 = "כן",IF(T578&gt;4,4,T578),T578)</f>
        <v>0</v>
      </c>
      <c r="P578" s="80">
        <f>IF(E578&lt;2,0,IF(Z578&gt;0,Z578,IF(N578 = 0,0,IF('חד גזעי'!$AM$2 = "לא",IF(F578&gt;19,W578,0),IF(F578&gt;9,Y578,0)))))</f>
        <v>0</v>
      </c>
      <c r="Q578" s="77"/>
      <c r="R578" s="75"/>
      <c r="S578" t="e">
        <f>VLOOKUP(C578,'חד גזעי'!$Y$4:$Y$18,1,0)</f>
        <v>#N/A</v>
      </c>
      <c r="T578" s="72">
        <f>IF('חד גזעי'!$AM$6="לא",IF(P578=0,IF(BC578="שימור",IF('חד גזעי'!$AM$4="לא",IF(BC578="לא בוגר",0,IF(BC578="לא קיים",0,IF(J578=0,0,I578*0.1))),IF(BC578="לא בוגר",0,IF(BC578="לא קיים",0,IF(AB578=1,I578*0.1,E578*0.5)))),0),IF('חד גזעי'!$AM$4="לא",IF(BC578="לא בוגר",0,IF(BC578="לא קיים",0,IF(J578=0,0,I578*0.1))),IF(BC578="לא בוגר",0,IF(BC578="לא קיים",0,IF(AB578=1,I578*0.1,E578*0.5))))),IF(P578=0,IF(BC578="שימור",IF('חד גזעי'!$AM$4="לא",IF(BC578="לא בוגר",0,IF(BC578="לא קיים",0,IF(J578=0,0,I578*0.15))),IF(BC578="לא בוגר",0,IF(BC578="לא קיים",0,IF(AB578=1,I578*0.15,E578*0.5)))),0),IF('חד גזעי'!$AM$4="לא",IF(BC578="לא בוגר",0,IF(BC578="לא קיים",0,IF(J578=0,0,I578*0.15))),IF(BC578="לא בוגר",0,IF(BC578="לא קיים",0,IF(AB578=1,I578*0.15,E578*0.5))))))</f>
        <v>0</v>
      </c>
      <c r="V578" t="e">
        <f t="shared" si="564"/>
        <v>#N/A</v>
      </c>
      <c r="W578" t="e">
        <f t="shared" si="565"/>
        <v>#N/A</v>
      </c>
      <c r="X578" t="e">
        <f t="shared" si="566"/>
        <v>#N/A</v>
      </c>
      <c r="Y578">
        <f>IF('חד גזעי'!$AM$2 = "לא",0,IF(F578&gt;9,W578,0))</f>
        <v>0</v>
      </c>
      <c r="Z578">
        <f>IF('חד גזעי'!$AM$7 = "לא",0,IF(C578 = "זית אירופי",IF('חד גזעי'!$AN$7 &lt;=סקר!F578,W578,0),IF(C578 = "חרוב מצוי",IF('חד גזעי'!$AN$7 &lt;=סקר!F578,W578,0),0)))</f>
        <v>0</v>
      </c>
      <c r="AB578">
        <f t="shared" si="593"/>
        <v>1</v>
      </c>
      <c r="AC578" s="72"/>
      <c r="AD578" t="e">
        <f t="shared" si="611"/>
        <v>#N/A</v>
      </c>
      <c r="AE578" s="72"/>
      <c r="AF578" s="72" t="e">
        <f t="shared" si="594"/>
        <v>#N/A</v>
      </c>
      <c r="AG578" s="72" t="e">
        <f>IF('חד גזעי'!$AM$5="לא",(VLOOKUP(C578,'חד גזעי'!$P$1:$S$589,3,FALSE)),(VLOOKUP(C578,'חד גזעי'!$P$1:$S$589,4,FALSE)))</f>
        <v>#N/A</v>
      </c>
      <c r="AH578" s="72">
        <f t="shared" si="595"/>
        <v>0</v>
      </c>
      <c r="AI578" s="72">
        <f t="shared" si="596"/>
        <v>0</v>
      </c>
      <c r="AJ578" s="72">
        <f t="shared" si="597"/>
        <v>0</v>
      </c>
      <c r="AK578" s="72" t="e">
        <f t="shared" si="598"/>
        <v>#N/A</v>
      </c>
      <c r="AL578" t="e">
        <f>VLOOKUP(C578,'חד גזעי'!$AH$8:$AI$33,2,FALSE)</f>
        <v>#N/A</v>
      </c>
      <c r="AM578" s="72" t="b">
        <f t="shared" si="599"/>
        <v>0</v>
      </c>
      <c r="AN578" s="72" t="b">
        <f t="shared" si="600"/>
        <v>0</v>
      </c>
      <c r="AO578" s="72" t="b">
        <f t="shared" si="601"/>
        <v>0</v>
      </c>
      <c r="AS578" s="72">
        <f t="shared" si="602"/>
        <v>0</v>
      </c>
      <c r="AT578" s="72">
        <f t="shared" si="603"/>
        <v>0</v>
      </c>
      <c r="AU578" s="72">
        <f t="shared" si="612"/>
        <v>0</v>
      </c>
      <c r="AV578" s="72">
        <f t="shared" si="604"/>
        <v>0</v>
      </c>
      <c r="AW578" s="72">
        <f t="shared" si="605"/>
        <v>0</v>
      </c>
      <c r="AX578" s="72">
        <f t="shared" si="606"/>
        <v>0</v>
      </c>
      <c r="AY578" s="72">
        <f t="shared" si="607"/>
        <v>0</v>
      </c>
      <c r="AZ578" s="72">
        <f t="shared" si="608"/>
        <v>0</v>
      </c>
      <c r="BA578" s="72" t="e">
        <f t="shared" si="609"/>
        <v>#N/A</v>
      </c>
      <c r="BB578" s="72" t="e">
        <f t="shared" si="610"/>
        <v>#N/A</v>
      </c>
      <c r="BC578" s="77"/>
      <c r="BE578">
        <f t="shared" si="590"/>
        <v>0</v>
      </c>
      <c r="BF578" s="196"/>
      <c r="BG578" s="196"/>
      <c r="BH578" s="196"/>
      <c r="BI578" s="196"/>
      <c r="BJ578" s="196"/>
      <c r="BK578" s="196"/>
    </row>
    <row r="579" spans="1:63" hidden="1">
      <c r="B579" s="72"/>
      <c r="C579" s="135"/>
      <c r="D579" s="78"/>
      <c r="E579" s="78"/>
      <c r="F579" s="72"/>
      <c r="G579" s="72"/>
      <c r="H579" s="72"/>
      <c r="I579" s="73">
        <f t="shared" si="592"/>
        <v>0</v>
      </c>
      <c r="J579" s="78"/>
      <c r="K579" s="73"/>
      <c r="L579" s="74" t="e">
        <f>_xlfn.IFNA(VLOOKUP(C579,'חד גזעי'!$U$3:$V$509,2,0),VLOOKUP(C579,'חד גזעי'!$U$3:$V$509,2))</f>
        <v>#N/A</v>
      </c>
      <c r="M579" s="73"/>
      <c r="N579" s="72" t="e">
        <f>_xlfn.IFNA(IF(VLOOKUP(C579,'חד גזעי'!$AH$2:$AH$7,1,FALSE)&gt;0,0,IF('חד גזעי'!$AM$5="כן",IF(_xlfn.IFNA(VLOOKUP(C579,'חד גזעי'!$AH$2:$AH$33,1,FALSE),SUM(J579:M579))&lt;21,_xlfn.IFNA(VLOOKUP(C579,'חד גזעי'!$AH$2:$AH$33,1,FALSE),SUM(J579:M579)),0),SUM(J579:M579))),IF('חד גזעי'!$AM$5="כן",IF(_xlfn.IFNA(VLOOKUP(C579,'חד גזעי'!$AH$2:$AH$33,1,FALSE),SUM(J579:M579))&lt;21,_xlfn.IFNA(VLOOKUP(C579,'חד גזעי'!$AH$2:$AH$33,1,FALSE),SUM(J579:M579)),0),SUM(J579:M579)))</f>
        <v>#N/A</v>
      </c>
      <c r="O579" s="72">
        <f>IF('חד גזעי'!$AM$3 = "כן",IF(T579&gt;4,4,T579),T579)</f>
        <v>0</v>
      </c>
      <c r="P579" s="80">
        <f>IF(E579&lt;2,0,IF(Z579&gt;0,Z579,IF(N579 = 0,0,IF('חד גזעי'!$AM$2 = "לא",IF(F579&gt;19,W579,0),IF(F579&gt;9,Y579,0)))))</f>
        <v>0</v>
      </c>
      <c r="Q579" s="77"/>
      <c r="R579" s="76"/>
      <c r="S579" t="e">
        <f>VLOOKUP(C579,'חד גזעי'!$Y$4:$Y$18,1,0)</f>
        <v>#N/A</v>
      </c>
      <c r="T579" s="72">
        <f>IF('חד גזעי'!$AM$6="לא",IF(P579=0,IF(BC579="שימור",IF('חד גזעי'!$AM$4="לא",IF(BC579="לא בוגר",0,IF(BC579="לא קיים",0,IF(J579=0,0,I579*0.1))),IF(BC579="לא בוגר",0,IF(BC579="לא קיים",0,IF(AB579=1,I579*0.1,E579*0.5)))),0),IF('חד גזעי'!$AM$4="לא",IF(BC579="לא בוגר",0,IF(BC579="לא קיים",0,IF(J579=0,0,I579*0.1))),IF(BC579="לא בוגר",0,IF(BC579="לא קיים",0,IF(AB579=1,I579*0.1,E579*0.5))))),IF(P579=0,IF(BC579="שימור",IF('חד גזעי'!$AM$4="לא",IF(BC579="לא בוגר",0,IF(BC579="לא קיים",0,IF(J579=0,0,I579*0.15))),IF(BC579="לא בוגר",0,IF(BC579="לא קיים",0,IF(AB579=1,I579*0.15,E579*0.5)))),0),IF('חד גזעי'!$AM$4="לא",IF(BC579="לא בוגר",0,IF(BC579="לא קיים",0,IF(J579=0,0,I579*0.15))),IF(BC579="לא בוגר",0,IF(BC579="לא קיים",0,IF(AB579=1,I579*0.15,E579*0.5))))))</f>
        <v>0</v>
      </c>
      <c r="V579" t="e">
        <f t="shared" si="564"/>
        <v>#N/A</v>
      </c>
      <c r="W579" t="e">
        <f t="shared" si="565"/>
        <v>#N/A</v>
      </c>
      <c r="X579" t="e">
        <f t="shared" si="566"/>
        <v>#N/A</v>
      </c>
      <c r="Y579">
        <f>IF('חד גזעי'!$AM$2 = "לא",0,IF(F579&gt;9,W579,0))</f>
        <v>0</v>
      </c>
      <c r="Z579">
        <f>IF('חד גזעי'!$AM$7 = "לא",0,IF(C579 = "זית אירופי",IF('חד גזעי'!$AN$7 &lt;=סקר!F579,W579,0),IF(C579 = "חרוב מצוי",IF('חד גזעי'!$AN$7 &lt;=סקר!F579,W579,0),0)))</f>
        <v>0</v>
      </c>
      <c r="AB579">
        <f t="shared" si="593"/>
        <v>1</v>
      </c>
      <c r="AC579" s="72"/>
      <c r="AD579" t="e">
        <f t="shared" si="611"/>
        <v>#N/A</v>
      </c>
      <c r="AE579" s="72"/>
      <c r="AF579" s="72" t="e">
        <f t="shared" si="594"/>
        <v>#N/A</v>
      </c>
      <c r="AG579" s="72" t="e">
        <f>IF('חד גזעי'!$AM$5="לא",(VLOOKUP(C579,'חד גזעי'!$P$1:$S$589,3,FALSE)),(VLOOKUP(C579,'חד גזעי'!$P$1:$S$589,4,FALSE)))</f>
        <v>#N/A</v>
      </c>
      <c r="AH579" s="72">
        <f t="shared" si="595"/>
        <v>0</v>
      </c>
      <c r="AI579" s="72">
        <f t="shared" si="596"/>
        <v>0</v>
      </c>
      <c r="AJ579" s="72">
        <f t="shared" si="597"/>
        <v>0</v>
      </c>
      <c r="AK579" s="72" t="e">
        <f t="shared" si="598"/>
        <v>#N/A</v>
      </c>
      <c r="AL579" t="e">
        <f>VLOOKUP(C579,'חד גזעי'!$AH$8:$AI$33,2,FALSE)</f>
        <v>#N/A</v>
      </c>
      <c r="AM579" s="72" t="b">
        <f t="shared" si="599"/>
        <v>0</v>
      </c>
      <c r="AN579" s="72" t="b">
        <f t="shared" si="600"/>
        <v>0</v>
      </c>
      <c r="AO579" s="72" t="b">
        <f t="shared" si="601"/>
        <v>0</v>
      </c>
      <c r="AS579" s="72">
        <f t="shared" si="602"/>
        <v>0</v>
      </c>
      <c r="AT579" s="72">
        <f t="shared" si="603"/>
        <v>0</v>
      </c>
      <c r="AU579" s="72">
        <f t="shared" si="612"/>
        <v>0</v>
      </c>
      <c r="AV579" s="72">
        <f t="shared" si="604"/>
        <v>0</v>
      </c>
      <c r="AW579" s="72">
        <f t="shared" si="605"/>
        <v>0</v>
      </c>
      <c r="AX579" s="72">
        <f t="shared" si="606"/>
        <v>0</v>
      </c>
      <c r="AY579" s="72">
        <f t="shared" si="607"/>
        <v>0</v>
      </c>
      <c r="AZ579" s="72">
        <f t="shared" si="608"/>
        <v>0</v>
      </c>
      <c r="BA579" s="72" t="e">
        <f t="shared" si="609"/>
        <v>#N/A</v>
      </c>
      <c r="BB579" s="72" t="e">
        <f t="shared" si="610"/>
        <v>#N/A</v>
      </c>
      <c r="BC579" s="77"/>
      <c r="BE579">
        <f t="shared" si="590"/>
        <v>0</v>
      </c>
      <c r="BF579" s="196"/>
      <c r="BG579" s="196"/>
      <c r="BH579" s="196"/>
      <c r="BI579" s="196"/>
      <c r="BJ579" s="196"/>
      <c r="BK579" s="196"/>
    </row>
    <row r="580" spans="1:63" hidden="1">
      <c r="B580" s="72"/>
      <c r="C580" s="135"/>
      <c r="D580" s="78"/>
      <c r="E580" s="78"/>
      <c r="F580" s="72"/>
      <c r="G580" s="72"/>
      <c r="H580" s="72"/>
      <c r="I580" s="73">
        <f t="shared" si="592"/>
        <v>0</v>
      </c>
      <c r="J580" s="78"/>
      <c r="K580" s="73"/>
      <c r="L580" s="74" t="e">
        <f>_xlfn.IFNA(VLOOKUP(C580,'חד גזעי'!$U$3:$V$509,2,0),VLOOKUP(C580,'חד גזעי'!$U$3:$V$509,2))</f>
        <v>#N/A</v>
      </c>
      <c r="M580" s="102"/>
      <c r="N580" s="72" t="e">
        <f>_xlfn.IFNA(IF(VLOOKUP(C580,'חד גזעי'!$AH$2:$AH$7,1,FALSE)&gt;0,0,IF('חד גזעי'!$AM$5="כן",IF(_xlfn.IFNA(VLOOKUP(C580,'חד גזעי'!$AH$2:$AH$33,1,FALSE),SUM(J580:M580))&lt;21,_xlfn.IFNA(VLOOKUP(C580,'חד גזעי'!$AH$2:$AH$33,1,FALSE),SUM(J580:M580)),0),SUM(J580:M580))),IF('חד גזעי'!$AM$5="כן",IF(_xlfn.IFNA(VLOOKUP(C580,'חד גזעי'!$AH$2:$AH$33,1,FALSE),SUM(J580:M580))&lt;21,_xlfn.IFNA(VLOOKUP(C580,'חד גזעי'!$AH$2:$AH$33,1,FALSE),SUM(J580:M580)),0),SUM(J580:M580)))</f>
        <v>#N/A</v>
      </c>
      <c r="O580" s="72">
        <f>IF('חד גזעי'!$AM$3 = "כן",IF(T580&gt;4,4,T580),T580)</f>
        <v>0</v>
      </c>
      <c r="P580" s="80">
        <f>IF(E580&lt;2,0,IF(Z580&gt;0,Z580,IF(N580 = 0,0,IF('חד גזעי'!$AM$2 = "לא",IF(F580&gt;19,W580,0),IF(F580&gt;9,Y580,0)))))</f>
        <v>0</v>
      </c>
      <c r="Q580" s="77"/>
      <c r="R580" s="76"/>
      <c r="S580" t="e">
        <f>VLOOKUP(C580,'חד גזעי'!$Y$4:$Y$18,1,0)</f>
        <v>#N/A</v>
      </c>
      <c r="T580" s="72">
        <f>IF('חד גזעי'!$AM$6="לא",IF(P580=0,IF(BC580="שימור",IF('חד גזעי'!$AM$4="לא",IF(BC580="לא בוגר",0,IF(BC580="לא קיים",0,IF(J580=0,0,I580*0.1))),IF(BC580="לא בוגר",0,IF(BC580="לא קיים",0,IF(AB580=1,I580*0.1,E580*0.5)))),0),IF('חד גזעי'!$AM$4="לא",IF(BC580="לא בוגר",0,IF(BC580="לא קיים",0,IF(J580=0,0,I580*0.1))),IF(BC580="לא בוגר",0,IF(BC580="לא קיים",0,IF(AB580=1,I580*0.1,E580*0.5))))),IF(P580=0,IF(BC580="שימור",IF('חד גזעי'!$AM$4="לא",IF(BC580="לא בוגר",0,IF(BC580="לא קיים",0,IF(J580=0,0,I580*0.15))),IF(BC580="לא בוגר",0,IF(BC580="לא קיים",0,IF(AB580=1,I580*0.15,E580*0.5)))),0),IF('חד גזעי'!$AM$4="לא",IF(BC580="לא בוגר",0,IF(BC580="לא קיים",0,IF(J580=0,0,I580*0.15))),IF(BC580="לא בוגר",0,IF(BC580="לא קיים",0,IF(AB580=1,I580*0.15,E580*0.5))))))</f>
        <v>0</v>
      </c>
      <c r="V580" t="e">
        <f t="shared" si="564"/>
        <v>#N/A</v>
      </c>
      <c r="W580" t="e">
        <f t="shared" si="565"/>
        <v>#N/A</v>
      </c>
      <c r="X580" t="e">
        <f t="shared" si="566"/>
        <v>#N/A</v>
      </c>
      <c r="Y580">
        <f>IF('חד גזעי'!$AM$2 = "לא",0,IF(F580&gt;9,W580,0))</f>
        <v>0</v>
      </c>
      <c r="Z580">
        <f>IF('חד גזעי'!$AM$7 = "לא",0,IF(C580 = "זית אירופי",IF('חד גזעי'!$AN$7 &lt;=סקר!F580,W580,0),IF(C580 = "חרוב מצוי",IF('חד גזעי'!$AN$7 &lt;=סקר!F580,W580,0),0)))</f>
        <v>0</v>
      </c>
      <c r="AB580">
        <f t="shared" si="593"/>
        <v>1</v>
      </c>
      <c r="AC580" s="72"/>
      <c r="AD580" t="e">
        <f t="shared" si="611"/>
        <v>#N/A</v>
      </c>
      <c r="AE580" s="72"/>
      <c r="AF580" s="72" t="e">
        <f t="shared" si="594"/>
        <v>#N/A</v>
      </c>
      <c r="AG580" s="72" t="e">
        <f>IF('חד גזעי'!$AM$5="לא",(VLOOKUP(C580,'חד גזעי'!$P$1:$S$589,3,FALSE)),(VLOOKUP(C580,'חד גזעי'!$P$1:$S$589,4,FALSE)))</f>
        <v>#N/A</v>
      </c>
      <c r="AH580" s="72">
        <f t="shared" si="595"/>
        <v>0</v>
      </c>
      <c r="AI580" s="72">
        <f t="shared" si="596"/>
        <v>0</v>
      </c>
      <c r="AJ580" s="72">
        <f t="shared" si="597"/>
        <v>0</v>
      </c>
      <c r="AK580" s="72" t="e">
        <f t="shared" si="598"/>
        <v>#N/A</v>
      </c>
      <c r="AL580" t="e">
        <f>VLOOKUP(C580,'חד גזעי'!$AH$8:$AI$33,2,FALSE)</f>
        <v>#N/A</v>
      </c>
      <c r="AM580" s="72" t="b">
        <f t="shared" si="599"/>
        <v>0</v>
      </c>
      <c r="AN580" s="72" t="b">
        <f t="shared" si="600"/>
        <v>0</v>
      </c>
      <c r="AO580" s="72" t="b">
        <f t="shared" si="601"/>
        <v>0</v>
      </c>
      <c r="AS580" s="72">
        <f t="shared" si="602"/>
        <v>0</v>
      </c>
      <c r="AT580" s="72">
        <f t="shared" si="603"/>
        <v>0</v>
      </c>
      <c r="AU580" s="72">
        <f t="shared" si="612"/>
        <v>0</v>
      </c>
      <c r="AV580" s="72">
        <f t="shared" si="604"/>
        <v>0</v>
      </c>
      <c r="AW580" s="72">
        <f t="shared" si="605"/>
        <v>0</v>
      </c>
      <c r="AX580" s="72">
        <f t="shared" si="606"/>
        <v>0</v>
      </c>
      <c r="AY580" s="72">
        <f t="shared" si="607"/>
        <v>0</v>
      </c>
      <c r="AZ580" s="72">
        <f t="shared" si="608"/>
        <v>0</v>
      </c>
      <c r="BA580" s="72" t="e">
        <f t="shared" si="609"/>
        <v>#N/A</v>
      </c>
      <c r="BB580" s="72" t="e">
        <f t="shared" si="610"/>
        <v>#N/A</v>
      </c>
      <c r="BC580" s="77"/>
      <c r="BE580">
        <f t="shared" si="590"/>
        <v>0</v>
      </c>
      <c r="BF580" s="196"/>
      <c r="BG580" s="196"/>
      <c r="BH580" s="196"/>
      <c r="BI580" s="196"/>
      <c r="BJ580" s="196"/>
      <c r="BK580" s="196"/>
    </row>
    <row r="581" spans="1:63" hidden="1">
      <c r="B581" s="72"/>
      <c r="C581" s="135"/>
      <c r="D581" s="73"/>
      <c r="E581" s="73"/>
      <c r="F581" s="72"/>
      <c r="G581" s="72"/>
      <c r="H581" s="72"/>
      <c r="I581" s="73">
        <f t="shared" si="592"/>
        <v>0</v>
      </c>
      <c r="J581" s="73"/>
      <c r="K581" s="73"/>
      <c r="L581" s="74" t="e">
        <f>_xlfn.IFNA(VLOOKUP(C581,'חד גזעי'!$U$3:$V$509,2,0),VLOOKUP(C581,'חד גזעי'!$U$3:$V$509,2))</f>
        <v>#N/A</v>
      </c>
      <c r="M581" s="73"/>
      <c r="N581" s="72" t="e">
        <f>_xlfn.IFNA(IF(VLOOKUP(C581,'חד גזעי'!$AH$2:$AH$7,1,FALSE)&gt;0,0,IF('חד גזעי'!$AM$5="כן",IF(_xlfn.IFNA(VLOOKUP(C581,'חד גזעי'!$AH$2:$AH$33,1,FALSE),SUM(J581:M581))&lt;21,_xlfn.IFNA(VLOOKUP(C581,'חד גזעי'!$AH$2:$AH$33,1,FALSE),SUM(J581:M581)),0),SUM(J581:M581))),IF('חד גזעי'!$AM$5="כן",IF(_xlfn.IFNA(VLOOKUP(C581,'חד גזעי'!$AH$2:$AH$33,1,FALSE),SUM(J581:M581))&lt;21,_xlfn.IFNA(VLOOKUP(C581,'חד גזעי'!$AH$2:$AH$33,1,FALSE),SUM(J581:M581)),0),SUM(J581:M581)))</f>
        <v>#N/A</v>
      </c>
      <c r="O581" s="72">
        <f>IF('חד גזעי'!$AM$3 = "כן",IF(T581&gt;4,4,T581),T581)</f>
        <v>0</v>
      </c>
      <c r="P581" s="80">
        <f>IF(E581&lt;2,0,IF(Z581&gt;0,Z581,IF(N581 = 0,0,IF('חד גזעי'!$AM$2 = "לא",IF(F581&gt;19,W581,0),IF(F581&gt;9,Y581,0)))))</f>
        <v>0</v>
      </c>
      <c r="Q581" s="77"/>
      <c r="R581" s="76"/>
      <c r="S581" t="e">
        <f>VLOOKUP(C581,'חד גזעי'!$Y$4:$Y$18,1,0)</f>
        <v>#N/A</v>
      </c>
      <c r="T581" s="72">
        <f>IF('חד גזעי'!$AM$6="לא",IF(P581=0,IF(BC581="שימור",IF('חד גזעי'!$AM$4="לא",IF(BC581="לא בוגר",0,IF(BC581="לא קיים",0,IF(J581=0,0,I581*0.1))),IF(BC581="לא בוגר",0,IF(BC581="לא קיים",0,IF(AB581=1,I581*0.1,E581*0.5)))),0),IF('חד גזעי'!$AM$4="לא",IF(BC581="לא בוגר",0,IF(BC581="לא קיים",0,IF(J581=0,0,I581*0.1))),IF(BC581="לא בוגר",0,IF(BC581="לא קיים",0,IF(AB581=1,I581*0.1,E581*0.5))))),IF(P581=0,IF(BC581="שימור",IF('חד גזעי'!$AM$4="לא",IF(BC581="לא בוגר",0,IF(BC581="לא קיים",0,IF(J581=0,0,I581*0.15))),IF(BC581="לא בוגר",0,IF(BC581="לא קיים",0,IF(AB581=1,I581*0.15,E581*0.5)))),0),IF('חד גזעי'!$AM$4="לא",IF(BC581="לא בוגר",0,IF(BC581="לא קיים",0,IF(J581=0,0,I581*0.15))),IF(BC581="לא בוגר",0,IF(BC581="לא קיים",0,IF(AB581=1,I581*0.15,E581*0.5))))))</f>
        <v>0</v>
      </c>
      <c r="V581" t="e">
        <f t="shared" si="564"/>
        <v>#N/A</v>
      </c>
      <c r="W581" t="e">
        <f t="shared" si="565"/>
        <v>#N/A</v>
      </c>
      <c r="X581" t="e">
        <f t="shared" si="566"/>
        <v>#N/A</v>
      </c>
      <c r="Y581">
        <f>IF('חד גזעי'!$AM$2 = "לא",0,IF(F581&gt;9,W581,0))</f>
        <v>0</v>
      </c>
      <c r="Z581">
        <f>IF('חד גזעי'!$AM$7 = "לא",0,IF(C581 = "זית אירופי",IF('חד גזעי'!$AN$7 &lt;=סקר!F581,W581,0),IF(C581 = "חרוב מצוי",IF('חד גזעי'!$AN$7 &lt;=סקר!F581,W581,0),0)))</f>
        <v>0</v>
      </c>
      <c r="AB581">
        <f t="shared" si="593"/>
        <v>1</v>
      </c>
      <c r="AC581" s="72"/>
      <c r="AD581" t="e">
        <f t="shared" si="611"/>
        <v>#N/A</v>
      </c>
      <c r="AE581" s="72"/>
      <c r="AF581" s="72" t="e">
        <f t="shared" si="594"/>
        <v>#N/A</v>
      </c>
      <c r="AG581" s="72" t="e">
        <f>IF('חד גזעי'!$AM$5="לא",(VLOOKUP(C581,'חד גזעי'!$P$1:$S$589,3,FALSE)),(VLOOKUP(C581,'חד גזעי'!$P$1:$S$589,4,FALSE)))</f>
        <v>#N/A</v>
      </c>
      <c r="AH581" s="72">
        <f t="shared" si="595"/>
        <v>0</v>
      </c>
      <c r="AI581" s="72">
        <f t="shared" si="596"/>
        <v>0</v>
      </c>
      <c r="AJ581" s="72">
        <f t="shared" si="597"/>
        <v>0</v>
      </c>
      <c r="AK581" s="72" t="e">
        <f t="shared" si="598"/>
        <v>#N/A</v>
      </c>
      <c r="AL581" t="e">
        <f>VLOOKUP(C581,'חד גזעי'!$AH$8:$AI$33,2,FALSE)</f>
        <v>#N/A</v>
      </c>
      <c r="AM581" s="72" t="b">
        <f t="shared" si="599"/>
        <v>0</v>
      </c>
      <c r="AN581" s="72" t="b">
        <f t="shared" si="600"/>
        <v>0</v>
      </c>
      <c r="AO581" s="72" t="b">
        <f t="shared" si="601"/>
        <v>0</v>
      </c>
      <c r="AS581" s="72">
        <f t="shared" si="602"/>
        <v>0</v>
      </c>
      <c r="AT581" s="72">
        <f t="shared" si="603"/>
        <v>0</v>
      </c>
      <c r="AU581" s="72">
        <f t="shared" si="612"/>
        <v>0</v>
      </c>
      <c r="AV581" s="72">
        <f t="shared" si="604"/>
        <v>0</v>
      </c>
      <c r="AW581" s="72">
        <f t="shared" si="605"/>
        <v>0</v>
      </c>
      <c r="AX581" s="72">
        <f t="shared" si="606"/>
        <v>0</v>
      </c>
      <c r="AY581" s="72">
        <f t="shared" si="607"/>
        <v>0</v>
      </c>
      <c r="AZ581" s="72">
        <f t="shared" si="608"/>
        <v>0</v>
      </c>
      <c r="BA581" s="72" t="e">
        <f t="shared" si="609"/>
        <v>#N/A</v>
      </c>
      <c r="BB581" s="72" t="e">
        <f t="shared" si="610"/>
        <v>#N/A</v>
      </c>
      <c r="BC581" s="77"/>
      <c r="BE581">
        <f t="shared" si="590"/>
        <v>0</v>
      </c>
      <c r="BF581" s="196"/>
      <c r="BG581" s="196"/>
      <c r="BH581" s="196"/>
      <c r="BI581" s="196"/>
      <c r="BJ581" s="196"/>
      <c r="BK581" s="196"/>
    </row>
    <row r="582" spans="1:63" hidden="1">
      <c r="B582" s="72"/>
      <c r="C582" s="135"/>
      <c r="D582" s="73"/>
      <c r="E582" s="73"/>
      <c r="F582" s="72"/>
      <c r="G582" s="72"/>
      <c r="H582" s="72"/>
      <c r="I582" s="73">
        <f t="shared" si="592"/>
        <v>0</v>
      </c>
      <c r="J582" s="73"/>
      <c r="K582" s="73"/>
      <c r="L582" s="74" t="e">
        <f>_xlfn.IFNA(VLOOKUP(C582,'חד גזעי'!$U$3:$V$509,2,0),VLOOKUP(C582,'חד גזעי'!$U$3:$V$509,2))</f>
        <v>#N/A</v>
      </c>
      <c r="M582" s="73"/>
      <c r="N582" s="72" t="e">
        <f>_xlfn.IFNA(IF(VLOOKUP(C582,'חד גזעי'!$AH$2:$AH$7,1,FALSE)&gt;0,0,IF('חד גזעי'!$AM$5="כן",IF(_xlfn.IFNA(VLOOKUP(C582,'חד גזעי'!$AH$2:$AH$33,1,FALSE),SUM(J582:M582))&lt;21,_xlfn.IFNA(VLOOKUP(C582,'חד גזעי'!$AH$2:$AH$33,1,FALSE),SUM(J582:M582)),0),SUM(J582:M582))),IF('חד גזעי'!$AM$5="כן",IF(_xlfn.IFNA(VLOOKUP(C582,'חד גזעי'!$AH$2:$AH$33,1,FALSE),SUM(J582:M582))&lt;21,_xlfn.IFNA(VLOOKUP(C582,'חד גזעי'!$AH$2:$AH$33,1,FALSE),SUM(J582:M582)),0),SUM(J582:M582)))</f>
        <v>#N/A</v>
      </c>
      <c r="O582" s="72">
        <f>IF('חד גזעי'!$AM$3 = "כן",IF(T582&gt;4,4,T582),T582)</f>
        <v>0</v>
      </c>
      <c r="P582" s="80">
        <f>IF(E582&lt;2,0,IF(Z582&gt;0,Z582,IF(N582 = 0,0,IF('חד גזעי'!$AM$2 = "לא",IF(F582&gt;19,W582,0),IF(F582&gt;9,Y582,0)))))</f>
        <v>0</v>
      </c>
      <c r="Q582" s="77"/>
      <c r="R582" s="76"/>
      <c r="S582" t="e">
        <f>VLOOKUP(C582,'חד גזעי'!$Y$4:$Y$18,1,0)</f>
        <v>#N/A</v>
      </c>
      <c r="T582" s="72">
        <f>IF('חד גזעי'!$AM$6="לא",IF(P582=0,IF(BC582="שימור",IF('חד גזעי'!$AM$4="לא",IF(BC582="לא בוגר",0,IF(BC582="לא קיים",0,IF(J582=0,0,I582*0.1))),IF(BC582="לא בוגר",0,IF(BC582="לא קיים",0,IF(AB582=1,I582*0.1,E582*0.5)))),0),IF('חד גזעי'!$AM$4="לא",IF(BC582="לא בוגר",0,IF(BC582="לא קיים",0,IF(J582=0,0,I582*0.1))),IF(BC582="לא בוגר",0,IF(BC582="לא קיים",0,IF(AB582=1,I582*0.1,E582*0.5))))),IF(P582=0,IF(BC582="שימור",IF('חד גזעי'!$AM$4="לא",IF(BC582="לא בוגר",0,IF(BC582="לא קיים",0,IF(J582=0,0,I582*0.15))),IF(BC582="לא בוגר",0,IF(BC582="לא קיים",0,IF(AB582=1,I582*0.15,E582*0.5)))),0),IF('חד גזעי'!$AM$4="לא",IF(BC582="לא בוגר",0,IF(BC582="לא קיים",0,IF(J582=0,0,I582*0.15))),IF(BC582="לא בוגר",0,IF(BC582="לא קיים",0,IF(AB582=1,I582*0.15,E582*0.5))))))</f>
        <v>0</v>
      </c>
      <c r="V582" t="e">
        <f t="shared" si="564"/>
        <v>#N/A</v>
      </c>
      <c r="W582" t="e">
        <f t="shared" si="565"/>
        <v>#N/A</v>
      </c>
      <c r="X582" t="e">
        <f t="shared" si="566"/>
        <v>#N/A</v>
      </c>
      <c r="Y582">
        <f>IF('חד גזעי'!$AM$2 = "לא",0,IF(F582&gt;9,W582,0))</f>
        <v>0</v>
      </c>
      <c r="Z582">
        <f>IF('חד גזעי'!$AM$7 = "לא",0,IF(C582 = "זית אירופי",IF('חד גזעי'!$AN$7 &lt;=סקר!F582,W582,0),IF(C582 = "חרוב מצוי",IF('חד גזעי'!$AN$7 &lt;=סקר!F582,W582,0),0)))</f>
        <v>0</v>
      </c>
      <c r="AB582">
        <f t="shared" si="593"/>
        <v>1</v>
      </c>
      <c r="AC582" s="72"/>
      <c r="AD582" t="e">
        <f t="shared" si="611"/>
        <v>#N/A</v>
      </c>
      <c r="AE582" s="72"/>
      <c r="AF582" s="72" t="e">
        <f t="shared" si="594"/>
        <v>#N/A</v>
      </c>
      <c r="AG582" s="72" t="e">
        <f>IF('חד גזעי'!$AM$5="לא",(VLOOKUP(C582,'חד גזעי'!$P$1:$S$589,3,FALSE)),(VLOOKUP(C582,'חד גזעי'!$P$1:$S$589,4,FALSE)))</f>
        <v>#N/A</v>
      </c>
      <c r="AH582" s="72">
        <f t="shared" si="595"/>
        <v>0</v>
      </c>
      <c r="AI582" s="72">
        <f t="shared" si="596"/>
        <v>0</v>
      </c>
      <c r="AJ582" s="72">
        <f t="shared" si="597"/>
        <v>0</v>
      </c>
      <c r="AK582" s="72" t="e">
        <f t="shared" si="598"/>
        <v>#N/A</v>
      </c>
      <c r="AL582" t="e">
        <f>VLOOKUP(C582,'חד גזעי'!$AH$8:$AI$33,2,FALSE)</f>
        <v>#N/A</v>
      </c>
      <c r="AM582" s="72" t="b">
        <f t="shared" si="599"/>
        <v>0</v>
      </c>
      <c r="AN582" s="72" t="b">
        <f t="shared" si="600"/>
        <v>0</v>
      </c>
      <c r="AO582" s="72" t="b">
        <f t="shared" si="601"/>
        <v>0</v>
      </c>
      <c r="AS582" s="72">
        <f t="shared" si="602"/>
        <v>0</v>
      </c>
      <c r="AT582" s="72">
        <f t="shared" si="603"/>
        <v>0</v>
      </c>
      <c r="AU582" s="72">
        <f t="shared" si="612"/>
        <v>0</v>
      </c>
      <c r="AV582" s="72">
        <f t="shared" si="604"/>
        <v>0</v>
      </c>
      <c r="AW582" s="72">
        <f t="shared" si="605"/>
        <v>0</v>
      </c>
      <c r="AX582" s="72">
        <f t="shared" si="606"/>
        <v>0</v>
      </c>
      <c r="AY582" s="72">
        <f t="shared" si="607"/>
        <v>0</v>
      </c>
      <c r="AZ582" s="72">
        <f t="shared" si="608"/>
        <v>0</v>
      </c>
      <c r="BA582" s="72" t="e">
        <f t="shared" si="609"/>
        <v>#N/A</v>
      </c>
      <c r="BB582" s="72" t="e">
        <f t="shared" si="610"/>
        <v>#N/A</v>
      </c>
      <c r="BC582" s="77"/>
      <c r="BE582">
        <f t="shared" si="590"/>
        <v>0</v>
      </c>
      <c r="BF582" s="196"/>
      <c r="BG582" s="196"/>
      <c r="BH582" s="196"/>
      <c r="BI582" s="196"/>
      <c r="BJ582" s="196"/>
      <c r="BK582" s="196"/>
    </row>
    <row r="583" spans="1:63" hidden="1">
      <c r="B583" s="72"/>
      <c r="C583" s="135"/>
      <c r="D583" s="73"/>
      <c r="E583" s="73"/>
      <c r="F583" s="72"/>
      <c r="G583" s="72"/>
      <c r="H583" s="72"/>
      <c r="I583" s="73">
        <f t="shared" si="592"/>
        <v>0</v>
      </c>
      <c r="J583" s="73"/>
      <c r="K583" s="73"/>
      <c r="L583" s="74" t="e">
        <f>_xlfn.IFNA(VLOOKUP(C583,'חד גזעי'!$U$3:$V$509,2,0),VLOOKUP(C583,'חד גזעי'!$U$3:$V$509,2))</f>
        <v>#N/A</v>
      </c>
      <c r="M583" s="73"/>
      <c r="N583" s="72" t="e">
        <f>_xlfn.IFNA(IF(VLOOKUP(C583,'חד גזעי'!$AH$2:$AH$7,1,FALSE)&gt;0,0,IF('חד גזעי'!$AM$5="כן",IF(_xlfn.IFNA(VLOOKUP(C583,'חד גזעי'!$AH$2:$AH$33,1,FALSE),SUM(J583:M583))&lt;21,_xlfn.IFNA(VLOOKUP(C583,'חד גזעי'!$AH$2:$AH$33,1,FALSE),SUM(J583:M583)),0),SUM(J583:M583))),IF('חד גזעי'!$AM$5="כן",IF(_xlfn.IFNA(VLOOKUP(C583,'חד גזעי'!$AH$2:$AH$33,1,FALSE),SUM(J583:M583))&lt;21,_xlfn.IFNA(VLOOKUP(C583,'חד גזעי'!$AH$2:$AH$33,1,FALSE),SUM(J583:M583)),0),SUM(J583:M583)))</f>
        <v>#N/A</v>
      </c>
      <c r="O583" s="72">
        <f>IF('חד גזעי'!$AM$3 = "כן",IF(T583&gt;4,4,T583),T583)</f>
        <v>0</v>
      </c>
      <c r="P583" s="80">
        <f>IF(E583&lt;2,0,IF(Z583&gt;0,Z583,IF(N583 = 0,0,IF('חד גזעי'!$AM$2 = "לא",IF(F583&gt;19,W583,0),IF(F583&gt;9,Y583,0)))))</f>
        <v>0</v>
      </c>
      <c r="Q583" s="77"/>
      <c r="R583" s="76"/>
      <c r="S583" t="e">
        <f>VLOOKUP(C583,'חד גזעי'!$Y$4:$Y$18,1,0)</f>
        <v>#N/A</v>
      </c>
      <c r="T583" s="72">
        <f>IF('חד גזעי'!$AM$6="לא",IF(P583=0,IF(BC583="שימור",IF('חד גזעי'!$AM$4="לא",IF(BC583="לא בוגר",0,IF(BC583="לא קיים",0,IF(J583=0,0,I583*0.1))),IF(BC583="לא בוגר",0,IF(BC583="לא קיים",0,IF(AB583=1,I583*0.1,E583*0.5)))),0),IF('חד גזעי'!$AM$4="לא",IF(BC583="לא בוגר",0,IF(BC583="לא קיים",0,IF(J583=0,0,I583*0.1))),IF(BC583="לא בוגר",0,IF(BC583="לא קיים",0,IF(AB583=1,I583*0.1,E583*0.5))))),IF(P583=0,IF(BC583="שימור",IF('חד גזעי'!$AM$4="לא",IF(BC583="לא בוגר",0,IF(BC583="לא קיים",0,IF(J583=0,0,I583*0.15))),IF(BC583="לא בוגר",0,IF(BC583="לא קיים",0,IF(AB583=1,I583*0.15,E583*0.5)))),0),IF('חד גזעי'!$AM$4="לא",IF(BC583="לא בוגר",0,IF(BC583="לא קיים",0,IF(J583=0,0,I583*0.15))),IF(BC583="לא בוגר",0,IF(BC583="לא קיים",0,IF(AB583=1,I583*0.15,E583*0.5))))))</f>
        <v>0</v>
      </c>
      <c r="V583" t="e">
        <f t="shared" si="564"/>
        <v>#N/A</v>
      </c>
      <c r="W583" t="e">
        <f t="shared" si="565"/>
        <v>#N/A</v>
      </c>
      <c r="X583" t="e">
        <f t="shared" si="566"/>
        <v>#N/A</v>
      </c>
      <c r="Y583">
        <f>IF('חד גזעי'!$AM$2 = "לא",0,IF(F583&gt;9,W583,0))</f>
        <v>0</v>
      </c>
      <c r="Z583">
        <f>IF('חד גזעי'!$AM$7 = "לא",0,IF(C583 = "זית אירופי",IF('חד גזעי'!$AN$7 &lt;=סקר!F583,W583,0),IF(C583 = "חרוב מצוי",IF('חד גזעי'!$AN$7 &lt;=סקר!F583,W583,0),0)))</f>
        <v>0</v>
      </c>
      <c r="AB583">
        <f t="shared" si="593"/>
        <v>1</v>
      </c>
      <c r="AC583" s="72"/>
      <c r="AD583" t="e">
        <f t="shared" si="611"/>
        <v>#N/A</v>
      </c>
      <c r="AE583" s="72"/>
      <c r="AF583" s="72" t="e">
        <f t="shared" si="594"/>
        <v>#N/A</v>
      </c>
      <c r="AG583" s="72" t="e">
        <f>IF('חד גזעי'!$AM$5="לא",(VLOOKUP(C583,'חד גזעי'!$P$1:$S$589,3,FALSE)),(VLOOKUP(C583,'חד גזעי'!$P$1:$S$589,4,FALSE)))</f>
        <v>#N/A</v>
      </c>
      <c r="AH583" s="72">
        <f t="shared" si="595"/>
        <v>0</v>
      </c>
      <c r="AI583" s="72">
        <f t="shared" si="596"/>
        <v>0</v>
      </c>
      <c r="AJ583" s="72">
        <f t="shared" si="597"/>
        <v>0</v>
      </c>
      <c r="AK583" s="72" t="e">
        <f t="shared" si="598"/>
        <v>#N/A</v>
      </c>
      <c r="AL583" t="e">
        <f>VLOOKUP(C583,'חד גזעי'!$AH$8:$AI$33,2,FALSE)</f>
        <v>#N/A</v>
      </c>
      <c r="AM583" s="72" t="b">
        <f t="shared" si="599"/>
        <v>0</v>
      </c>
      <c r="AN583" s="72" t="b">
        <f t="shared" si="600"/>
        <v>0</v>
      </c>
      <c r="AO583" s="72" t="b">
        <f t="shared" si="601"/>
        <v>0</v>
      </c>
      <c r="AS583" s="72">
        <f t="shared" si="602"/>
        <v>0</v>
      </c>
      <c r="AT583" s="72">
        <f t="shared" si="603"/>
        <v>0</v>
      </c>
      <c r="AU583" s="72">
        <f t="shared" si="612"/>
        <v>0</v>
      </c>
      <c r="AV583" s="72">
        <f t="shared" si="604"/>
        <v>0</v>
      </c>
      <c r="AW583" s="72">
        <f t="shared" si="605"/>
        <v>0</v>
      </c>
      <c r="AX583" s="72">
        <f t="shared" si="606"/>
        <v>0</v>
      </c>
      <c r="AY583" s="72">
        <f t="shared" si="607"/>
        <v>0</v>
      </c>
      <c r="AZ583" s="72">
        <f t="shared" si="608"/>
        <v>0</v>
      </c>
      <c r="BA583" s="72" t="e">
        <f t="shared" si="609"/>
        <v>#N/A</v>
      </c>
      <c r="BB583" s="72" t="e">
        <f t="shared" si="610"/>
        <v>#N/A</v>
      </c>
      <c r="BC583" s="77"/>
      <c r="BE583">
        <f t="shared" si="590"/>
        <v>0</v>
      </c>
      <c r="BF583" s="196"/>
      <c r="BG583" s="196"/>
      <c r="BH583" s="196"/>
      <c r="BI583" s="196"/>
      <c r="BJ583" s="196"/>
      <c r="BK583" s="196"/>
    </row>
    <row r="584" spans="1:63" hidden="1">
      <c r="B584" s="72"/>
      <c r="C584" s="135"/>
      <c r="D584" s="73"/>
      <c r="E584" s="73"/>
      <c r="F584" s="72"/>
      <c r="G584" s="72"/>
      <c r="H584" s="72"/>
      <c r="I584" s="73">
        <f t="shared" si="592"/>
        <v>0</v>
      </c>
      <c r="J584" s="73"/>
      <c r="K584" s="73"/>
      <c r="L584" s="74" t="e">
        <f>_xlfn.IFNA(VLOOKUP(C584,'חד גזעי'!$U$3:$V$509,2,0),VLOOKUP(C584,'חד גזעי'!$U$3:$V$509,2))</f>
        <v>#N/A</v>
      </c>
      <c r="M584" s="73"/>
      <c r="N584" s="72" t="e">
        <f>_xlfn.IFNA(IF(VLOOKUP(C584,'חד גזעי'!$AH$2:$AH$7,1,FALSE)&gt;0,0,IF('חד גזעי'!$AM$5="כן",IF(_xlfn.IFNA(VLOOKUP(C584,'חד גזעי'!$AH$2:$AH$33,1,FALSE),SUM(J584:M584))&lt;21,_xlfn.IFNA(VLOOKUP(C584,'חד גזעי'!$AH$2:$AH$33,1,FALSE),SUM(J584:M584)),0),SUM(J584:M584))),IF('חד גזעי'!$AM$5="כן",IF(_xlfn.IFNA(VLOOKUP(C584,'חד גזעי'!$AH$2:$AH$33,1,FALSE),SUM(J584:M584))&lt;21,_xlfn.IFNA(VLOOKUP(C584,'חד גזעי'!$AH$2:$AH$33,1,FALSE),SUM(J584:M584)),0),SUM(J584:M584)))</f>
        <v>#N/A</v>
      </c>
      <c r="O584" s="72">
        <f>IF('חד גזעי'!$AM$3 = "כן",IF(T584&gt;4,4,T584),T584)</f>
        <v>0</v>
      </c>
      <c r="P584" s="80">
        <f>IF(E584&lt;2,0,IF(Z584&gt;0,Z584,IF(N584 = 0,0,IF('חד גזעי'!$AM$2 = "לא",IF(F584&gt;19,W584,0),IF(F584&gt;9,Y584,0)))))</f>
        <v>0</v>
      </c>
      <c r="Q584" s="77"/>
      <c r="R584" s="76"/>
      <c r="S584" t="e">
        <f>VLOOKUP(C584,'חד גזעי'!$Y$4:$Y$18,1,0)</f>
        <v>#N/A</v>
      </c>
      <c r="T584" s="72">
        <f>IF('חד גזעי'!$AM$6="לא",IF(P584=0,IF(BC584="שימור",IF('חד גזעי'!$AM$4="לא",IF(BC584="לא בוגר",0,IF(BC584="לא קיים",0,IF(J584=0,0,I584*0.1))),IF(BC584="לא בוגר",0,IF(BC584="לא קיים",0,IF(AB584=1,I584*0.1,E584*0.5)))),0),IF('חד גזעי'!$AM$4="לא",IF(BC584="לא בוגר",0,IF(BC584="לא קיים",0,IF(J584=0,0,I584*0.1))),IF(BC584="לא בוגר",0,IF(BC584="לא קיים",0,IF(AB584=1,I584*0.1,E584*0.5))))),IF(P584=0,IF(BC584="שימור",IF('חד גזעי'!$AM$4="לא",IF(BC584="לא בוגר",0,IF(BC584="לא קיים",0,IF(J584=0,0,I584*0.15))),IF(BC584="לא בוגר",0,IF(BC584="לא קיים",0,IF(AB584=1,I584*0.15,E584*0.5)))),0),IF('חד גזעי'!$AM$4="לא",IF(BC584="לא בוגר",0,IF(BC584="לא קיים",0,IF(J584=0,0,I584*0.15))),IF(BC584="לא בוגר",0,IF(BC584="לא קיים",0,IF(AB584=1,I584*0.15,E584*0.5))))))</f>
        <v>0</v>
      </c>
      <c r="V584" t="e">
        <f t="shared" si="564"/>
        <v>#N/A</v>
      </c>
      <c r="W584" t="e">
        <f t="shared" si="565"/>
        <v>#N/A</v>
      </c>
      <c r="X584" t="e">
        <f t="shared" si="566"/>
        <v>#N/A</v>
      </c>
      <c r="Y584">
        <f>IF('חד גזעי'!$AM$2 = "לא",0,IF(F584&gt;9,W584,0))</f>
        <v>0</v>
      </c>
      <c r="Z584">
        <f>IF('חד גזעי'!$AM$7 = "לא",0,IF(C584 = "זית אירופי",IF('חד גזעי'!$AN$7 &lt;=סקר!F584,W584,0),IF(C584 = "חרוב מצוי",IF('חד גזעי'!$AN$7 &lt;=סקר!F584,W584,0),0)))</f>
        <v>0</v>
      </c>
      <c r="AB584">
        <f t="shared" si="593"/>
        <v>1</v>
      </c>
      <c r="AC584" s="72"/>
      <c r="AD584" t="e">
        <f>IF(AK584&gt;0,AK584,AF584)</f>
        <v>#N/A</v>
      </c>
      <c r="AE584" s="72"/>
      <c r="AF584" s="72" t="e">
        <f t="shared" si="594"/>
        <v>#N/A</v>
      </c>
      <c r="AG584" s="72" t="e">
        <f>IF('חד גזעי'!$AM$5="לא",(VLOOKUP(C584,'חד גזעי'!$P$1:$S$589,3,FALSE)),(VLOOKUP(C584,'חד גזעי'!$P$1:$S$589,4,FALSE)))</f>
        <v>#N/A</v>
      </c>
      <c r="AH584" s="72">
        <f t="shared" si="595"/>
        <v>0</v>
      </c>
      <c r="AI584" s="72">
        <f t="shared" si="596"/>
        <v>0</v>
      </c>
      <c r="AJ584" s="72">
        <f t="shared" si="597"/>
        <v>0</v>
      </c>
      <c r="AK584" s="72" t="e">
        <f t="shared" si="598"/>
        <v>#N/A</v>
      </c>
      <c r="AL584" t="e">
        <f>VLOOKUP(C584,'חד גזעי'!$AH$8:$AI$33,2,FALSE)</f>
        <v>#N/A</v>
      </c>
      <c r="AM584" s="72" t="b">
        <f t="shared" si="599"/>
        <v>0</v>
      </c>
      <c r="AN584" s="72" t="b">
        <f t="shared" si="600"/>
        <v>0</v>
      </c>
      <c r="AO584" s="72" t="b">
        <f t="shared" si="601"/>
        <v>0</v>
      </c>
      <c r="AS584" s="72">
        <f t="shared" si="602"/>
        <v>0</v>
      </c>
      <c r="AT584" s="72">
        <f t="shared" si="603"/>
        <v>0</v>
      </c>
      <c r="AU584" s="72">
        <f>IF(C584&gt;0,IF(D584&lt;2,1,D584),0)</f>
        <v>0</v>
      </c>
      <c r="AV584" s="72">
        <f t="shared" si="604"/>
        <v>0</v>
      </c>
      <c r="AW584" s="72">
        <f t="shared" si="605"/>
        <v>0</v>
      </c>
      <c r="AX584" s="72">
        <f t="shared" si="606"/>
        <v>0</v>
      </c>
      <c r="AY584" s="72">
        <f t="shared" si="607"/>
        <v>0</v>
      </c>
      <c r="AZ584" s="72">
        <f t="shared" si="608"/>
        <v>0</v>
      </c>
      <c r="BA584" s="72" t="e">
        <f t="shared" si="609"/>
        <v>#N/A</v>
      </c>
      <c r="BB584" s="72" t="e">
        <f t="shared" si="610"/>
        <v>#N/A</v>
      </c>
      <c r="BC584" s="77"/>
      <c r="BE584">
        <f t="shared" si="590"/>
        <v>0</v>
      </c>
      <c r="BF584" s="196"/>
      <c r="BG584" s="196"/>
      <c r="BH584" s="196"/>
      <c r="BI584" s="196"/>
      <c r="BJ584" s="196"/>
      <c r="BK584" s="196"/>
    </row>
    <row r="585" spans="1:63" hidden="1">
      <c r="B585" s="72"/>
      <c r="C585" s="135"/>
      <c r="D585" s="73"/>
      <c r="E585" s="73"/>
      <c r="F585" s="72"/>
      <c r="G585" s="72"/>
      <c r="H585" s="72"/>
      <c r="I585" s="73">
        <f t="shared" si="592"/>
        <v>0</v>
      </c>
      <c r="J585" s="73"/>
      <c r="K585" s="73"/>
      <c r="L585" s="74" t="e">
        <f>_xlfn.IFNA(VLOOKUP(C585,'חד גזעי'!$U$3:$V$509,2,0),VLOOKUP(C585,'חד גזעי'!$U$3:$V$509,2))</f>
        <v>#N/A</v>
      </c>
      <c r="M585" s="73"/>
      <c r="N585" s="72" t="e">
        <f>_xlfn.IFNA(IF(VLOOKUP(C585,'חד גזעי'!$AH$2:$AH$7,1,FALSE)&gt;0,0,IF('חד גזעי'!$AM$5="כן",IF(_xlfn.IFNA(VLOOKUP(C585,'חד גזעי'!$AH$2:$AH$33,1,FALSE),SUM(J585:M585))&lt;21,_xlfn.IFNA(VLOOKUP(C585,'חד גזעי'!$AH$2:$AH$33,1,FALSE),SUM(J585:M585)),0),SUM(J585:M585))),IF('חד גזעי'!$AM$5="כן",IF(_xlfn.IFNA(VLOOKUP(C585,'חד גזעי'!$AH$2:$AH$33,1,FALSE),SUM(J585:M585))&lt;21,_xlfn.IFNA(VLOOKUP(C585,'חד גזעי'!$AH$2:$AH$33,1,FALSE),SUM(J585:M585)),0),SUM(J585:M585)))</f>
        <v>#N/A</v>
      </c>
      <c r="O585" s="72">
        <f>IF('חד גזעי'!$AM$3 = "כן",IF(T585&gt;4,4,T585),T585)</f>
        <v>0</v>
      </c>
      <c r="P585" s="80">
        <f>IF(E585&lt;2,0,IF(Z585&gt;0,Z585,IF(N585 = 0,0,IF('חד גזעי'!$AM$2 = "לא",IF(F585&gt;19,W585,0),IF(F585&gt;9,Y585,0)))))</f>
        <v>0</v>
      </c>
      <c r="Q585" s="77"/>
      <c r="R585" s="76"/>
      <c r="S585" t="e">
        <f>VLOOKUP(C585,'חד גזעי'!$Y$4:$Y$18,1,0)</f>
        <v>#N/A</v>
      </c>
      <c r="T585" s="72">
        <f>IF('חד גזעי'!$AM$6="לא",IF(P585=0,IF(BC585="שימור",IF('חד גזעי'!$AM$4="לא",IF(BC585="לא בוגר",0,IF(BC585="לא קיים",0,IF(J585=0,0,I585*0.1))),IF(BC585="לא בוגר",0,IF(BC585="לא קיים",0,IF(AB585=1,I585*0.1,E585*0.5)))),0),IF('חד גזעי'!$AM$4="לא",IF(BC585="לא בוגר",0,IF(BC585="לא קיים",0,IF(J585=0,0,I585*0.1))),IF(BC585="לא בוגר",0,IF(BC585="לא קיים",0,IF(AB585=1,I585*0.1,E585*0.5))))),IF(P585=0,IF(BC585="שימור",IF('חד גזעי'!$AM$4="לא",IF(BC585="לא בוגר",0,IF(BC585="לא קיים",0,IF(J585=0,0,I585*0.15))),IF(BC585="לא בוגר",0,IF(BC585="לא קיים",0,IF(AB585=1,I585*0.15,E585*0.5)))),0),IF('חד גזעי'!$AM$4="לא",IF(BC585="לא בוגר",0,IF(BC585="לא קיים",0,IF(J585=0,0,I585*0.15))),IF(BC585="לא בוגר",0,IF(BC585="לא קיים",0,IF(AB585=1,I585*0.15,E585*0.5))))))</f>
        <v>0</v>
      </c>
      <c r="V585" t="e">
        <f t="shared" si="564"/>
        <v>#N/A</v>
      </c>
      <c r="W585" t="e">
        <f t="shared" si="565"/>
        <v>#N/A</v>
      </c>
      <c r="X585" t="e">
        <f t="shared" si="566"/>
        <v>#N/A</v>
      </c>
      <c r="Y585">
        <f>IF('חד גזעי'!$AM$2 = "לא",0,IF(F585&gt;9,W585,0))</f>
        <v>0</v>
      </c>
      <c r="Z585">
        <f>IF('חד גזעי'!$AM$7 = "לא",0,IF(C585 = "זית אירופי",IF('חד גזעי'!$AN$7 &lt;=סקר!F585,W585,0),IF(C585 = "חרוב מצוי",IF('חד גזעי'!$AN$7 &lt;=סקר!F585,W585,0),0)))</f>
        <v>0</v>
      </c>
      <c r="AB585">
        <f t="shared" si="593"/>
        <v>1</v>
      </c>
      <c r="AC585" s="72"/>
      <c r="AD585" t="e">
        <f t="shared" si="611"/>
        <v>#N/A</v>
      </c>
      <c r="AE585" s="72"/>
      <c r="AF585" s="72" t="e">
        <f t="shared" si="594"/>
        <v>#N/A</v>
      </c>
      <c r="AG585" s="72" t="e">
        <f>IF('חד גזעי'!$AM$5="לא",(VLOOKUP(C585,'חד גזעי'!$P$1:$S$589,3,FALSE)),(VLOOKUP(C585,'חד גזעי'!$P$1:$S$589,4,FALSE)))</f>
        <v>#N/A</v>
      </c>
      <c r="AH585" s="72">
        <f t="shared" si="595"/>
        <v>0</v>
      </c>
      <c r="AI585" s="72">
        <f t="shared" si="596"/>
        <v>0</v>
      </c>
      <c r="AJ585" s="72">
        <f t="shared" si="597"/>
        <v>0</v>
      </c>
      <c r="AK585" s="72" t="e">
        <f t="shared" si="598"/>
        <v>#N/A</v>
      </c>
      <c r="AL585" t="e">
        <f>VLOOKUP(C585,'חד גזעי'!$AH$8:$AI$33,2,FALSE)</f>
        <v>#N/A</v>
      </c>
      <c r="AM585" s="72" t="b">
        <f t="shared" si="599"/>
        <v>0</v>
      </c>
      <c r="AN585" s="72" t="b">
        <f t="shared" si="600"/>
        <v>0</v>
      </c>
      <c r="AO585" s="72" t="b">
        <f t="shared" si="601"/>
        <v>0</v>
      </c>
      <c r="AS585" s="72">
        <f t="shared" si="602"/>
        <v>0</v>
      </c>
      <c r="AT585" s="72">
        <f t="shared" si="603"/>
        <v>0</v>
      </c>
      <c r="AU585" s="72">
        <f t="shared" si="612"/>
        <v>0</v>
      </c>
      <c r="AV585" s="72">
        <f t="shared" si="604"/>
        <v>0</v>
      </c>
      <c r="AW585" s="72">
        <f t="shared" si="605"/>
        <v>0</v>
      </c>
      <c r="AX585" s="72">
        <f t="shared" si="606"/>
        <v>0</v>
      </c>
      <c r="AY585" s="72">
        <f t="shared" si="607"/>
        <v>0</v>
      </c>
      <c r="AZ585" s="72">
        <f t="shared" si="608"/>
        <v>0</v>
      </c>
      <c r="BA585" s="72" t="e">
        <f t="shared" si="609"/>
        <v>#N/A</v>
      </c>
      <c r="BB585" s="72" t="e">
        <f t="shared" si="610"/>
        <v>#N/A</v>
      </c>
      <c r="BC585" s="77"/>
      <c r="BE585">
        <f t="shared" si="590"/>
        <v>0</v>
      </c>
      <c r="BF585" s="196"/>
      <c r="BG585" s="196"/>
      <c r="BH585" s="196"/>
      <c r="BI585" s="196"/>
      <c r="BJ585" s="196"/>
      <c r="BK585" s="196"/>
    </row>
    <row r="586" spans="1:63" hidden="1">
      <c r="B586" s="72"/>
      <c r="C586" s="135"/>
      <c r="D586" s="73"/>
      <c r="E586" s="73"/>
      <c r="F586" s="72"/>
      <c r="G586" s="72"/>
      <c r="H586" s="72"/>
      <c r="I586" s="73">
        <f t="shared" si="592"/>
        <v>0</v>
      </c>
      <c r="J586" s="73"/>
      <c r="K586" s="73"/>
      <c r="L586" s="74" t="e">
        <f>_xlfn.IFNA(VLOOKUP(C586,'חד גזעי'!$U$3:$V$509,2,0),VLOOKUP(C586,'חד גזעי'!$U$3:$V$509,2))</f>
        <v>#N/A</v>
      </c>
      <c r="M586" s="73"/>
      <c r="N586" s="72" t="e">
        <f>_xlfn.IFNA(IF(VLOOKUP(C586,'חד גזעי'!$AH$2:$AH$7,1,FALSE)&gt;0,0,IF('חד גזעי'!$AM$5="כן",IF(_xlfn.IFNA(VLOOKUP(C586,'חד גזעי'!$AH$2:$AH$33,1,FALSE),SUM(J586:M586))&lt;21,_xlfn.IFNA(VLOOKUP(C586,'חד גזעי'!$AH$2:$AH$33,1,FALSE),SUM(J586:M586)),0),SUM(J586:M586))),IF('חד גזעי'!$AM$5="כן",IF(_xlfn.IFNA(VLOOKUP(C586,'חד גזעי'!$AH$2:$AH$33,1,FALSE),SUM(J586:M586))&lt;21,_xlfn.IFNA(VLOOKUP(C586,'חד גזעי'!$AH$2:$AH$33,1,FALSE),SUM(J586:M586)),0),SUM(J586:M586)))</f>
        <v>#N/A</v>
      </c>
      <c r="O586" s="72">
        <f>IF('חד גזעי'!$AM$3 = "כן",IF(T586&gt;4,4,T586),T586)</f>
        <v>0</v>
      </c>
      <c r="P586" s="80">
        <f>IF(E586&lt;2,0,IF(Z586&gt;0,Z586,IF(N586 = 0,0,IF('חד גזעי'!$AM$2 = "לא",IF(F586&gt;19,W586,0),IF(F586&gt;9,Y586,0)))))</f>
        <v>0</v>
      </c>
      <c r="Q586" s="77"/>
      <c r="R586" s="76"/>
      <c r="S586" t="e">
        <f>VLOOKUP(C586,'חד גזעי'!$Y$4:$Y$18,1,0)</f>
        <v>#N/A</v>
      </c>
      <c r="T586" s="72">
        <f>IF('חד גזעי'!$AM$6="לא",IF(P586=0,IF(BC586="שימור",IF('חד גזעי'!$AM$4="לא",IF(BC586="לא בוגר",0,IF(BC586="לא קיים",0,IF(J586=0,0,I586*0.1))),IF(BC586="לא בוגר",0,IF(BC586="לא קיים",0,IF(AB586=1,I586*0.1,E586*0.5)))),0),IF('חד גזעי'!$AM$4="לא",IF(BC586="לא בוגר",0,IF(BC586="לא קיים",0,IF(J586=0,0,I586*0.1))),IF(BC586="לא בוגר",0,IF(BC586="לא קיים",0,IF(AB586=1,I586*0.1,E586*0.5))))),IF(P586=0,IF(BC586="שימור",IF('חד גזעי'!$AM$4="לא",IF(BC586="לא בוגר",0,IF(BC586="לא קיים",0,IF(J586=0,0,I586*0.15))),IF(BC586="לא בוגר",0,IF(BC586="לא קיים",0,IF(AB586=1,I586*0.15,E586*0.5)))),0),IF('חד גזעי'!$AM$4="לא",IF(BC586="לא בוגר",0,IF(BC586="לא קיים",0,IF(J586=0,0,I586*0.15))),IF(BC586="לא בוגר",0,IF(BC586="לא קיים",0,IF(AB586=1,I586*0.15,E586*0.5))))))</f>
        <v>0</v>
      </c>
      <c r="V586" t="e">
        <f t="shared" si="564"/>
        <v>#N/A</v>
      </c>
      <c r="W586" t="e">
        <f t="shared" si="565"/>
        <v>#N/A</v>
      </c>
      <c r="X586" t="e">
        <f t="shared" si="566"/>
        <v>#N/A</v>
      </c>
      <c r="Y586">
        <f>IF('חד גזעי'!$AM$2 = "לא",0,IF(F586&gt;9,W586,0))</f>
        <v>0</v>
      </c>
      <c r="Z586">
        <f>IF('חד גזעי'!$AM$7 = "לא",0,IF(C586 = "זית אירופי",IF('חד גזעי'!$AN$7 &lt;=סקר!F586,W586,0),IF(C586 = "חרוב מצוי",IF('חד גזעי'!$AN$7 &lt;=סקר!F586,W586,0),0)))</f>
        <v>0</v>
      </c>
      <c r="AB586">
        <f t="shared" si="593"/>
        <v>1</v>
      </c>
      <c r="AC586" s="72"/>
      <c r="AD586" t="e">
        <f t="shared" si="611"/>
        <v>#N/A</v>
      </c>
      <c r="AE586" s="72"/>
      <c r="AF586" s="72" t="e">
        <f t="shared" si="594"/>
        <v>#N/A</v>
      </c>
      <c r="AG586" s="72" t="e">
        <f>IF('חד גזעי'!$AM$5="לא",(VLOOKUP(C586,'חד גזעי'!$P$1:$S$589,3,FALSE)),(VLOOKUP(C586,'חד גזעי'!$P$1:$S$589,4,FALSE)))</f>
        <v>#N/A</v>
      </c>
      <c r="AH586" s="72">
        <f t="shared" si="595"/>
        <v>0</v>
      </c>
      <c r="AI586" s="72">
        <f t="shared" si="596"/>
        <v>0</v>
      </c>
      <c r="AJ586" s="72">
        <f t="shared" si="597"/>
        <v>0</v>
      </c>
      <c r="AK586" s="72" t="e">
        <f t="shared" si="598"/>
        <v>#N/A</v>
      </c>
      <c r="AL586" t="e">
        <f>VLOOKUP(C586,'חד גזעי'!$AH$8:$AI$33,2,FALSE)</f>
        <v>#N/A</v>
      </c>
      <c r="AM586" s="72" t="b">
        <f t="shared" si="599"/>
        <v>0</v>
      </c>
      <c r="AN586" s="72" t="b">
        <f t="shared" si="600"/>
        <v>0</v>
      </c>
      <c r="AO586" s="72" t="b">
        <f t="shared" si="601"/>
        <v>0</v>
      </c>
      <c r="AS586" s="72">
        <f t="shared" si="602"/>
        <v>0</v>
      </c>
      <c r="AT586" s="72">
        <f t="shared" si="603"/>
        <v>0</v>
      </c>
      <c r="AU586" s="72">
        <f t="shared" si="612"/>
        <v>0</v>
      </c>
      <c r="AV586" s="72">
        <f t="shared" si="604"/>
        <v>0</v>
      </c>
      <c r="AW586" s="72">
        <f t="shared" si="605"/>
        <v>0</v>
      </c>
      <c r="AX586" s="72">
        <f t="shared" si="606"/>
        <v>0</v>
      </c>
      <c r="AY586" s="72">
        <f t="shared" si="607"/>
        <v>0</v>
      </c>
      <c r="AZ586" s="72">
        <f t="shared" si="608"/>
        <v>0</v>
      </c>
      <c r="BA586" s="72" t="e">
        <f t="shared" si="609"/>
        <v>#N/A</v>
      </c>
      <c r="BB586" s="72" t="e">
        <f t="shared" si="610"/>
        <v>#N/A</v>
      </c>
      <c r="BC586" s="77"/>
      <c r="BE586">
        <f t="shared" si="590"/>
        <v>0</v>
      </c>
      <c r="BF586" s="196"/>
      <c r="BG586" s="196"/>
      <c r="BH586" s="196"/>
      <c r="BI586" s="196"/>
      <c r="BJ586" s="196"/>
      <c r="BK586" s="196"/>
    </row>
    <row r="587" spans="1:63" hidden="1">
      <c r="B587" s="72"/>
      <c r="C587" s="135"/>
      <c r="D587" s="73"/>
      <c r="E587" s="73"/>
      <c r="F587" s="72"/>
      <c r="G587" s="72"/>
      <c r="H587" s="72"/>
      <c r="I587" s="73">
        <f t="shared" si="592"/>
        <v>0</v>
      </c>
      <c r="J587" s="73"/>
      <c r="K587" s="73"/>
      <c r="L587" s="74" t="e">
        <f>_xlfn.IFNA(VLOOKUP(C587,'חד גזעי'!$U$3:$V$509,2,0),VLOOKUP(C587,'חד גזעי'!$U$3:$V$509,2))</f>
        <v>#N/A</v>
      </c>
      <c r="M587" s="73"/>
      <c r="N587" s="72" t="e">
        <f>_xlfn.IFNA(IF(VLOOKUP(C587,'חד גזעי'!$AH$2:$AH$7,1,FALSE)&gt;0,0,IF('חד גזעי'!$AM$5="כן",IF(_xlfn.IFNA(VLOOKUP(C587,'חד גזעי'!$AH$2:$AH$33,1,FALSE),SUM(J587:M587))&lt;21,_xlfn.IFNA(VLOOKUP(C587,'חד גזעי'!$AH$2:$AH$33,1,FALSE),SUM(J587:M587)),0),SUM(J587:M587))),IF('חד גזעי'!$AM$5="כן",IF(_xlfn.IFNA(VLOOKUP(C587,'חד גזעי'!$AH$2:$AH$33,1,FALSE),SUM(J587:M587))&lt;21,_xlfn.IFNA(VLOOKUP(C587,'חד גזעי'!$AH$2:$AH$33,1,FALSE),SUM(J587:M587)),0),SUM(J587:M587)))</f>
        <v>#N/A</v>
      </c>
      <c r="O587" s="72">
        <f>IF('חד גזעי'!$AM$3 = "כן",IF(T587&gt;4,4,T587),T587)</f>
        <v>0</v>
      </c>
      <c r="P587" s="80">
        <f>IF(E587&lt;2,0,IF(Z587&gt;0,Z587,IF(N587 = 0,0,IF('חד גזעי'!$AM$2 = "לא",IF(F587&gt;19,W587,0),IF(F587&gt;9,Y587,0)))))</f>
        <v>0</v>
      </c>
      <c r="Q587" s="77"/>
      <c r="R587" s="76"/>
      <c r="S587" t="e">
        <f>VLOOKUP(C587,'חד גזעי'!$Y$4:$Y$18,1,0)</f>
        <v>#N/A</v>
      </c>
      <c r="T587" s="72">
        <f>IF('חד גזעי'!$AM$6="לא",IF(P587=0,IF(BC587="שימור",IF('חד גזעי'!$AM$4="לא",IF(BC587="לא בוגר",0,IF(BC587="לא קיים",0,IF(J587=0,0,I587*0.1))),IF(BC587="לא בוגר",0,IF(BC587="לא קיים",0,IF(AB587=1,I587*0.1,E587*0.5)))),0),IF('חד גזעי'!$AM$4="לא",IF(BC587="לא בוגר",0,IF(BC587="לא קיים",0,IF(J587=0,0,I587*0.1))),IF(BC587="לא בוגר",0,IF(BC587="לא קיים",0,IF(AB587=1,I587*0.1,E587*0.5))))),IF(P587=0,IF(BC587="שימור",IF('חד גזעי'!$AM$4="לא",IF(BC587="לא בוגר",0,IF(BC587="לא קיים",0,IF(J587=0,0,I587*0.15))),IF(BC587="לא בוגר",0,IF(BC587="לא קיים",0,IF(AB587=1,I587*0.15,E587*0.5)))),0),IF('חד גזעי'!$AM$4="לא",IF(BC587="לא בוגר",0,IF(BC587="לא קיים",0,IF(J587=0,0,I587*0.15))),IF(BC587="לא בוגר",0,IF(BC587="לא קיים",0,IF(AB587=1,I587*0.15,E587*0.5))))))</f>
        <v>0</v>
      </c>
      <c r="V587" t="e">
        <f t="shared" si="564"/>
        <v>#N/A</v>
      </c>
      <c r="W587" t="e">
        <f t="shared" si="565"/>
        <v>#N/A</v>
      </c>
      <c r="X587" t="e">
        <f t="shared" si="566"/>
        <v>#N/A</v>
      </c>
      <c r="Y587">
        <f>IF('חד גזעי'!$AM$2 = "לא",0,IF(F587&gt;9,W587,0))</f>
        <v>0</v>
      </c>
      <c r="Z587">
        <f>IF('חד גזעי'!$AM$7 = "לא",0,IF(C587 = "זית אירופי",IF('חד גזעי'!$AN$7 &lt;=סקר!F587,W587,0),IF(C587 = "חרוב מצוי",IF('חד גזעי'!$AN$7 &lt;=סקר!F587,W587,0),0)))</f>
        <v>0</v>
      </c>
      <c r="AB587">
        <f t="shared" si="593"/>
        <v>1</v>
      </c>
      <c r="AC587" s="72"/>
      <c r="AD587" t="e">
        <f t="shared" si="611"/>
        <v>#N/A</v>
      </c>
      <c r="AE587" s="72"/>
      <c r="AF587" s="72" t="e">
        <f t="shared" si="594"/>
        <v>#N/A</v>
      </c>
      <c r="AG587" s="72" t="e">
        <f>IF('חד גזעי'!$AM$5="לא",(VLOOKUP(C587,'חד גזעי'!$P$1:$S$589,3,FALSE)),(VLOOKUP(C587,'חד גזעי'!$P$1:$S$589,4,FALSE)))</f>
        <v>#N/A</v>
      </c>
      <c r="AH587" s="72">
        <f t="shared" si="595"/>
        <v>0</v>
      </c>
      <c r="AI587" s="72">
        <f t="shared" si="596"/>
        <v>0</v>
      </c>
      <c r="AJ587" s="72">
        <f t="shared" si="597"/>
        <v>0</v>
      </c>
      <c r="AK587" s="72" t="e">
        <f t="shared" si="598"/>
        <v>#N/A</v>
      </c>
      <c r="AL587" t="e">
        <f>VLOOKUP(C587,'חד גזעי'!$AH$8:$AI$33,2,FALSE)</f>
        <v>#N/A</v>
      </c>
      <c r="AM587" s="72" t="b">
        <f t="shared" si="599"/>
        <v>0</v>
      </c>
      <c r="AN587" s="72" t="b">
        <f t="shared" si="600"/>
        <v>0</v>
      </c>
      <c r="AO587" s="72" t="b">
        <f t="shared" si="601"/>
        <v>0</v>
      </c>
      <c r="AS587" s="72">
        <f t="shared" si="602"/>
        <v>0</v>
      </c>
      <c r="AT587" s="72">
        <f t="shared" si="603"/>
        <v>0</v>
      </c>
      <c r="AU587" s="72">
        <f t="shared" si="612"/>
        <v>0</v>
      </c>
      <c r="AV587" s="72">
        <f t="shared" si="604"/>
        <v>0</v>
      </c>
      <c r="AW587" s="72">
        <f t="shared" si="605"/>
        <v>0</v>
      </c>
      <c r="AX587" s="72">
        <f t="shared" si="606"/>
        <v>0</v>
      </c>
      <c r="AY587" s="72">
        <f t="shared" si="607"/>
        <v>0</v>
      </c>
      <c r="AZ587" s="72">
        <f t="shared" si="608"/>
        <v>0</v>
      </c>
      <c r="BA587" s="72" t="e">
        <f t="shared" si="609"/>
        <v>#N/A</v>
      </c>
      <c r="BB587" s="72" t="e">
        <f t="shared" si="610"/>
        <v>#N/A</v>
      </c>
      <c r="BC587" s="77"/>
      <c r="BE587">
        <f t="shared" si="590"/>
        <v>0</v>
      </c>
      <c r="BF587" s="196"/>
      <c r="BG587" s="196"/>
      <c r="BH587" s="196"/>
      <c r="BI587" s="196"/>
      <c r="BJ587" s="196"/>
      <c r="BK587" s="196"/>
    </row>
    <row r="588" spans="1:63" hidden="1">
      <c r="B588" s="72"/>
      <c r="C588" s="135"/>
      <c r="D588" s="73"/>
      <c r="E588" s="73"/>
      <c r="F588" s="72"/>
      <c r="G588" s="72"/>
      <c r="H588" s="72"/>
      <c r="I588" s="73">
        <f t="shared" si="592"/>
        <v>0</v>
      </c>
      <c r="J588" s="73"/>
      <c r="K588" s="73"/>
      <c r="L588" s="74" t="e">
        <f>_xlfn.IFNA(VLOOKUP(C588,'חד גזעי'!$U$3:$V$509,2,0),VLOOKUP(C588,'חד גזעי'!$U$3:$V$509,2))</f>
        <v>#N/A</v>
      </c>
      <c r="M588" s="73"/>
      <c r="N588" s="72" t="e">
        <f>_xlfn.IFNA(IF(VLOOKUP(C588,'חד גזעי'!$AH$2:$AH$7,1,FALSE)&gt;0,0,IF('חד גזעי'!$AM$5="כן",IF(_xlfn.IFNA(VLOOKUP(C588,'חד גזעי'!$AH$2:$AH$33,1,FALSE),SUM(J588:M588))&lt;21,_xlfn.IFNA(VLOOKUP(C588,'חד גזעי'!$AH$2:$AH$33,1,FALSE),SUM(J588:M588)),0),SUM(J588:M588))),IF('חד גזעי'!$AM$5="כן",IF(_xlfn.IFNA(VLOOKUP(C588,'חד גזעי'!$AH$2:$AH$33,1,FALSE),SUM(J588:M588))&lt;21,_xlfn.IFNA(VLOOKUP(C588,'חד גזעי'!$AH$2:$AH$33,1,FALSE),SUM(J588:M588)),0),SUM(J588:M588)))</f>
        <v>#N/A</v>
      </c>
      <c r="O588" s="72">
        <f>IF('חד גזעי'!$AM$3 = "כן",IF(T588&gt;4,4,T588),T588)</f>
        <v>0</v>
      </c>
      <c r="P588" s="80">
        <f>IF(E588&lt;2,0,IF(Z588&gt;0,Z588,IF(N588 = 0,0,IF('חד גזעי'!$AM$2 = "לא",IF(F588&gt;19,W588,0),IF(F588&gt;9,Y588,0)))))</f>
        <v>0</v>
      </c>
      <c r="Q588" s="77"/>
      <c r="R588" s="76"/>
      <c r="S588" t="e">
        <f>VLOOKUP(C588,'חד גזעי'!$Y$4:$Y$18,1,0)</f>
        <v>#N/A</v>
      </c>
      <c r="T588" s="72">
        <f>IF('חד גזעי'!$AM$6="לא",IF(P588=0,IF(BC588="שימור",IF('חד גזעי'!$AM$4="לא",IF(BC588="לא בוגר",0,IF(BC588="לא קיים",0,IF(J588=0,0,I588*0.1))),IF(BC588="לא בוגר",0,IF(BC588="לא קיים",0,IF(AB588=1,I588*0.1,E588*0.5)))),0),IF('חד גזעי'!$AM$4="לא",IF(BC588="לא בוגר",0,IF(BC588="לא קיים",0,IF(J588=0,0,I588*0.1))),IF(BC588="לא בוגר",0,IF(BC588="לא קיים",0,IF(AB588=1,I588*0.1,E588*0.5))))),IF(P588=0,IF(BC588="שימור",IF('חד גזעי'!$AM$4="לא",IF(BC588="לא בוגר",0,IF(BC588="לא קיים",0,IF(J588=0,0,I588*0.15))),IF(BC588="לא בוגר",0,IF(BC588="לא קיים",0,IF(AB588=1,I588*0.15,E588*0.5)))),0),IF('חד גזעי'!$AM$4="לא",IF(BC588="לא בוגר",0,IF(BC588="לא קיים",0,IF(J588=0,0,I588*0.15))),IF(BC588="לא בוגר",0,IF(BC588="לא קיים",0,IF(AB588=1,I588*0.15,E588*0.5))))))</f>
        <v>0</v>
      </c>
      <c r="V588" t="e">
        <f t="shared" ref="V588:V651" si="614">_xlfn.IFNA(AK588,AF588)</f>
        <v>#N/A</v>
      </c>
      <c r="W588" t="e">
        <f t="shared" ref="W588:W651" si="615">IF(D588=0,V588,D588*V588)</f>
        <v>#N/A</v>
      </c>
      <c r="X588" t="e">
        <f t="shared" ref="X588:X651" si="616">IF(N588 = 0,0,Y588)</f>
        <v>#N/A</v>
      </c>
      <c r="Y588">
        <f>IF('חד גזעי'!$AM$2 = "לא",0,IF(F588&gt;9,W588,0))</f>
        <v>0</v>
      </c>
      <c r="Z588">
        <f>IF('חד גזעי'!$AM$7 = "לא",0,IF(C588 = "זית אירופי",IF('חד גזעי'!$AN$7 &lt;=סקר!F588,W588,0),IF(C588 = "חרוב מצוי",IF('חד גזעי'!$AN$7 &lt;=סקר!F588,W588,0),0)))</f>
        <v>0</v>
      </c>
      <c r="AB588">
        <f t="shared" si="593"/>
        <v>1</v>
      </c>
      <c r="AC588" s="72"/>
      <c r="AD588" t="e">
        <f t="shared" si="611"/>
        <v>#N/A</v>
      </c>
      <c r="AE588" s="72"/>
      <c r="AF588" s="72" t="e">
        <f t="shared" si="594"/>
        <v>#N/A</v>
      </c>
      <c r="AG588" s="72" t="e">
        <f>IF('חד גזעי'!$AM$5="לא",(VLOOKUP(C588,'חד גזעי'!$P$1:$S$589,3,FALSE)),(VLOOKUP(C588,'חד גזעי'!$P$1:$S$589,4,FALSE)))</f>
        <v>#N/A</v>
      </c>
      <c r="AH588" s="72">
        <f t="shared" si="595"/>
        <v>0</v>
      </c>
      <c r="AI588" s="72">
        <f t="shared" si="596"/>
        <v>0</v>
      </c>
      <c r="AJ588" s="72">
        <f t="shared" si="597"/>
        <v>0</v>
      </c>
      <c r="AK588" s="72" t="e">
        <f t="shared" si="598"/>
        <v>#N/A</v>
      </c>
      <c r="AL588" t="e">
        <f>VLOOKUP(C588,'חד גזעי'!$AH$8:$AI$33,2,FALSE)</f>
        <v>#N/A</v>
      </c>
      <c r="AM588" s="72" t="b">
        <f t="shared" si="599"/>
        <v>0</v>
      </c>
      <c r="AN588" s="72" t="b">
        <f t="shared" si="600"/>
        <v>0</v>
      </c>
      <c r="AO588" s="72" t="b">
        <f t="shared" si="601"/>
        <v>0</v>
      </c>
      <c r="AS588" s="72">
        <f t="shared" si="602"/>
        <v>0</v>
      </c>
      <c r="AT588" s="72">
        <f t="shared" si="603"/>
        <v>0</v>
      </c>
      <c r="AU588" s="72">
        <f t="shared" si="612"/>
        <v>0</v>
      </c>
      <c r="AV588" s="72">
        <f t="shared" si="604"/>
        <v>0</v>
      </c>
      <c r="AW588" s="72">
        <f t="shared" si="605"/>
        <v>0</v>
      </c>
      <c r="AX588" s="72">
        <f t="shared" si="606"/>
        <v>0</v>
      </c>
      <c r="AY588" s="72">
        <f t="shared" si="607"/>
        <v>0</v>
      </c>
      <c r="AZ588" s="72">
        <f t="shared" si="608"/>
        <v>0</v>
      </c>
      <c r="BA588" s="72" t="e">
        <f t="shared" si="609"/>
        <v>#N/A</v>
      </c>
      <c r="BB588" s="72" t="e">
        <f t="shared" si="610"/>
        <v>#N/A</v>
      </c>
      <c r="BC588" s="77"/>
      <c r="BE588">
        <f t="shared" si="590"/>
        <v>0</v>
      </c>
      <c r="BF588" s="196"/>
      <c r="BG588" s="196"/>
      <c r="BH588" s="196"/>
      <c r="BI588" s="196"/>
      <c r="BJ588" s="196"/>
      <c r="BK588" s="196"/>
    </row>
    <row r="589" spans="1:63" hidden="1">
      <c r="B589" s="72"/>
      <c r="C589" s="135"/>
      <c r="D589" s="73"/>
      <c r="E589" s="73"/>
      <c r="F589" s="72"/>
      <c r="G589" s="72"/>
      <c r="H589" s="72"/>
      <c r="I589" s="73">
        <f t="shared" si="592"/>
        <v>0</v>
      </c>
      <c r="J589" s="73"/>
      <c r="K589" s="73"/>
      <c r="L589" s="74" t="e">
        <f>_xlfn.IFNA(VLOOKUP(C589,'חד גזעי'!$U$3:$V$509,2,0),VLOOKUP(C589,'חד גזעי'!$U$3:$V$509,2))</f>
        <v>#N/A</v>
      </c>
      <c r="M589" s="73"/>
      <c r="N589" s="72" t="e">
        <f>_xlfn.IFNA(IF(VLOOKUP(C589,'חד גזעי'!$AH$2:$AH$7,1,FALSE)&gt;0,0,IF('חד גזעי'!$AM$5="כן",IF(_xlfn.IFNA(VLOOKUP(C589,'חד גזעי'!$AH$2:$AH$33,1,FALSE),SUM(J589:M589))&lt;21,_xlfn.IFNA(VLOOKUP(C589,'חד גזעי'!$AH$2:$AH$33,1,FALSE),SUM(J589:M589)),0),SUM(J589:M589))),IF('חד גזעי'!$AM$5="כן",IF(_xlfn.IFNA(VLOOKUP(C589,'חד גזעי'!$AH$2:$AH$33,1,FALSE),SUM(J589:M589))&lt;21,_xlfn.IFNA(VLOOKUP(C589,'חד גזעי'!$AH$2:$AH$33,1,FALSE),SUM(J589:M589)),0),SUM(J589:M589)))</f>
        <v>#N/A</v>
      </c>
      <c r="O589" s="72">
        <f>IF('חד גזעי'!$AM$3 = "כן",IF(T589&gt;4,4,T589),T589)</f>
        <v>0</v>
      </c>
      <c r="P589" s="80">
        <f>IF(E589&lt;2,0,IF(Z589&gt;0,Z589,IF(N589 = 0,0,IF('חד גזעי'!$AM$2 = "לא",IF(F589&gt;19,W589,0),IF(F589&gt;9,Y589,0)))))</f>
        <v>0</v>
      </c>
      <c r="Q589" s="77"/>
      <c r="R589" s="76"/>
      <c r="S589" t="e">
        <f>VLOOKUP(C589,'חד גזעי'!$Y$4:$Y$18,1,0)</f>
        <v>#N/A</v>
      </c>
      <c r="T589" s="72">
        <f>IF('חד גזעי'!$AM$6="לא",IF(P589=0,IF(BC589="שימור",IF('חד גזעי'!$AM$4="לא",IF(BC589="לא בוגר",0,IF(BC589="לא קיים",0,IF(J589=0,0,I589*0.1))),IF(BC589="לא בוגר",0,IF(BC589="לא קיים",0,IF(AB589=1,I589*0.1,E589*0.5)))),0),IF('חד גזעי'!$AM$4="לא",IF(BC589="לא בוגר",0,IF(BC589="לא קיים",0,IF(J589=0,0,I589*0.1))),IF(BC589="לא בוגר",0,IF(BC589="לא קיים",0,IF(AB589=1,I589*0.1,E589*0.5))))),IF(P589=0,IF(BC589="שימור",IF('חד גזעי'!$AM$4="לא",IF(BC589="לא בוגר",0,IF(BC589="לא קיים",0,IF(J589=0,0,I589*0.15))),IF(BC589="לא בוגר",0,IF(BC589="לא קיים",0,IF(AB589=1,I589*0.15,E589*0.5)))),0),IF('חד גזעי'!$AM$4="לא",IF(BC589="לא בוגר",0,IF(BC589="לא קיים",0,IF(J589=0,0,I589*0.15))),IF(BC589="לא בוגר",0,IF(BC589="לא קיים",0,IF(AB589=1,I589*0.15,E589*0.5))))))</f>
        <v>0</v>
      </c>
      <c r="V589" t="e">
        <f t="shared" si="614"/>
        <v>#N/A</v>
      </c>
      <c r="W589" t="e">
        <f t="shared" si="615"/>
        <v>#N/A</v>
      </c>
      <c r="X589" t="e">
        <f t="shared" si="616"/>
        <v>#N/A</v>
      </c>
      <c r="Y589">
        <f>IF('חד גזעי'!$AM$2 = "לא",0,IF(F589&gt;9,W589,0))</f>
        <v>0</v>
      </c>
      <c r="Z589">
        <f>IF('חד גזעי'!$AM$7 = "לא",0,IF(C589 = "זית אירופי",IF('חד גזעי'!$AN$7 &lt;=סקר!F589,W589,0),IF(C589 = "חרוב מצוי",IF('חד גזעי'!$AN$7 &lt;=סקר!F589,W589,0),0)))</f>
        <v>0</v>
      </c>
      <c r="AB589">
        <f t="shared" si="593"/>
        <v>1</v>
      </c>
      <c r="AC589" s="72"/>
      <c r="AD589" t="e">
        <f t="shared" si="611"/>
        <v>#N/A</v>
      </c>
      <c r="AE589" s="72"/>
      <c r="AF589" s="72" t="e">
        <f t="shared" si="594"/>
        <v>#N/A</v>
      </c>
      <c r="AG589" s="72" t="e">
        <f>IF('חד גזעי'!$AM$5="לא",(VLOOKUP(C589,'חד גזעי'!$P$1:$S$589,3,FALSE)),(VLOOKUP(C589,'חד גזעי'!$P$1:$S$589,4,FALSE)))</f>
        <v>#N/A</v>
      </c>
      <c r="AH589" s="72">
        <f t="shared" si="595"/>
        <v>0</v>
      </c>
      <c r="AI589" s="72">
        <f t="shared" si="596"/>
        <v>0</v>
      </c>
      <c r="AJ589" s="72">
        <f t="shared" si="597"/>
        <v>0</v>
      </c>
      <c r="AK589" s="72" t="e">
        <f t="shared" si="598"/>
        <v>#N/A</v>
      </c>
      <c r="AL589" t="e">
        <f>VLOOKUP(C589,'חד גזעי'!$AH$8:$AI$33,2,FALSE)</f>
        <v>#N/A</v>
      </c>
      <c r="AM589" s="72" t="b">
        <f t="shared" si="599"/>
        <v>0</v>
      </c>
      <c r="AN589" s="72" t="b">
        <f t="shared" si="600"/>
        <v>0</v>
      </c>
      <c r="AO589" s="72" t="b">
        <f t="shared" si="601"/>
        <v>0</v>
      </c>
      <c r="AS589" s="72">
        <f t="shared" si="602"/>
        <v>0</v>
      </c>
      <c r="AT589" s="72">
        <f t="shared" si="603"/>
        <v>0</v>
      </c>
      <c r="AU589" s="72">
        <f t="shared" si="612"/>
        <v>0</v>
      </c>
      <c r="AV589" s="72">
        <f t="shared" si="604"/>
        <v>0</v>
      </c>
      <c r="AW589" s="72">
        <f t="shared" si="605"/>
        <v>0</v>
      </c>
      <c r="AX589" s="72">
        <f t="shared" si="606"/>
        <v>0</v>
      </c>
      <c r="AY589" s="72">
        <f t="shared" si="607"/>
        <v>0</v>
      </c>
      <c r="AZ589" s="72">
        <f t="shared" si="608"/>
        <v>0</v>
      </c>
      <c r="BA589" s="72" t="e">
        <f t="shared" si="609"/>
        <v>#N/A</v>
      </c>
      <c r="BB589" s="72" t="e">
        <f t="shared" si="610"/>
        <v>#N/A</v>
      </c>
      <c r="BC589" s="77"/>
      <c r="BE589">
        <f t="shared" si="590"/>
        <v>0</v>
      </c>
      <c r="BF589" s="196"/>
      <c r="BG589" s="196"/>
      <c r="BH589" s="196"/>
      <c r="BI589" s="196"/>
      <c r="BJ589" s="196"/>
      <c r="BK589" s="196"/>
    </row>
    <row r="590" spans="1:63" hidden="1">
      <c r="B590" s="72"/>
      <c r="C590" s="135"/>
      <c r="D590" s="73"/>
      <c r="E590" s="73"/>
      <c r="F590" s="72"/>
      <c r="G590" s="72"/>
      <c r="H590" s="72"/>
      <c r="I590" s="73">
        <f t="shared" si="592"/>
        <v>0</v>
      </c>
      <c r="J590" s="73"/>
      <c r="K590" s="73"/>
      <c r="L590" s="74" t="e">
        <f>_xlfn.IFNA(VLOOKUP(C590,'חד גזעי'!$U$3:$V$509,2,0),VLOOKUP(C590,'חד גזעי'!$U$3:$V$509,2))</f>
        <v>#N/A</v>
      </c>
      <c r="M590" s="73"/>
      <c r="N590" s="72" t="e">
        <f>_xlfn.IFNA(IF(VLOOKUP(C590,'חד גזעי'!$AH$2:$AH$7,1,FALSE)&gt;0,0,IF('חד גזעי'!$AM$5="כן",IF(_xlfn.IFNA(VLOOKUP(C590,'חד גזעי'!$AH$2:$AH$33,1,FALSE),SUM(J590:M590))&lt;21,_xlfn.IFNA(VLOOKUP(C590,'חד גזעי'!$AH$2:$AH$33,1,FALSE),SUM(J590:M590)),0),SUM(J590:M590))),IF('חד גזעי'!$AM$5="כן",IF(_xlfn.IFNA(VLOOKUP(C590,'חד גזעי'!$AH$2:$AH$33,1,FALSE),SUM(J590:M590))&lt;21,_xlfn.IFNA(VLOOKUP(C590,'חד גזעי'!$AH$2:$AH$33,1,FALSE),SUM(J590:M590)),0),SUM(J590:M590)))</f>
        <v>#N/A</v>
      </c>
      <c r="O590" s="72">
        <f>IF('חד גזעי'!$AM$3 = "כן",IF(T590&gt;4,4,T590),T590)</f>
        <v>0</v>
      </c>
      <c r="P590" s="80">
        <f>IF(E590&lt;2,0,IF(Z590&gt;0,Z590,IF(N590 = 0,0,IF('חד גזעי'!$AM$2 = "לא",IF(F590&gt;19,W590,0),IF(F590&gt;9,Y590,0)))))</f>
        <v>0</v>
      </c>
      <c r="Q590" s="77"/>
      <c r="R590" s="76"/>
      <c r="S590" t="e">
        <f>VLOOKUP(C590,'חד גזעי'!$Y$4:$Y$18,1,0)</f>
        <v>#N/A</v>
      </c>
      <c r="T590" s="72">
        <f>IF('חד גזעי'!$AM$6="לא",IF(P590=0,IF(BC590="שימור",IF('חד גזעי'!$AM$4="לא",IF(BC590="לא בוגר",0,IF(BC590="לא קיים",0,IF(J590=0,0,I590*0.1))),IF(BC590="לא בוגר",0,IF(BC590="לא קיים",0,IF(AB590=1,I590*0.1,E590*0.5)))),0),IF('חד גזעי'!$AM$4="לא",IF(BC590="לא בוגר",0,IF(BC590="לא קיים",0,IF(J590=0,0,I590*0.1))),IF(BC590="לא בוגר",0,IF(BC590="לא קיים",0,IF(AB590=1,I590*0.1,E590*0.5))))),IF(P590=0,IF(BC590="שימור",IF('חד גזעי'!$AM$4="לא",IF(BC590="לא בוגר",0,IF(BC590="לא קיים",0,IF(J590=0,0,I590*0.15))),IF(BC590="לא בוגר",0,IF(BC590="לא קיים",0,IF(AB590=1,I590*0.15,E590*0.5)))),0),IF('חד גזעי'!$AM$4="לא",IF(BC590="לא בוגר",0,IF(BC590="לא קיים",0,IF(J590=0,0,I590*0.15))),IF(BC590="לא בוגר",0,IF(BC590="לא קיים",0,IF(AB590=1,I590*0.15,E590*0.5))))))</f>
        <v>0</v>
      </c>
      <c r="V590" t="e">
        <f t="shared" si="614"/>
        <v>#N/A</v>
      </c>
      <c r="W590" t="e">
        <f t="shared" si="615"/>
        <v>#N/A</v>
      </c>
      <c r="X590" t="e">
        <f t="shared" si="616"/>
        <v>#N/A</v>
      </c>
      <c r="Y590">
        <f>IF('חד גזעי'!$AM$2 = "לא",0,IF(F590&gt;9,W590,0))</f>
        <v>0</v>
      </c>
      <c r="Z590">
        <f>IF('חד גזעי'!$AM$7 = "לא",0,IF(C590 = "זית אירופי",IF('חד גזעי'!$AN$7 &lt;=סקר!F590,W590,0),IF(C590 = "חרוב מצוי",IF('חד גזעי'!$AN$7 &lt;=סקר!F590,W590,0),0)))</f>
        <v>0</v>
      </c>
      <c r="AB590">
        <f t="shared" si="593"/>
        <v>1</v>
      </c>
      <c r="AC590" s="72"/>
      <c r="AD590" t="e">
        <f t="shared" si="611"/>
        <v>#N/A</v>
      </c>
      <c r="AE590" s="72"/>
      <c r="AF590" s="72" t="e">
        <f t="shared" si="594"/>
        <v>#N/A</v>
      </c>
      <c r="AG590" s="72" t="e">
        <f>IF('חד גזעי'!$AM$5="לא",(VLOOKUP(C590,'חד גזעי'!$P$1:$S$589,3,FALSE)),(VLOOKUP(C590,'חד גזעי'!$P$1:$S$589,4,FALSE)))</f>
        <v>#N/A</v>
      </c>
      <c r="AH590" s="72">
        <f t="shared" si="595"/>
        <v>0</v>
      </c>
      <c r="AI590" s="72">
        <f t="shared" si="596"/>
        <v>0</v>
      </c>
      <c r="AJ590" s="72">
        <f t="shared" si="597"/>
        <v>0</v>
      </c>
      <c r="AK590" s="72" t="e">
        <f t="shared" si="598"/>
        <v>#N/A</v>
      </c>
      <c r="AL590" t="e">
        <f>VLOOKUP(C590,'חד גזעי'!$AH$8:$AI$33,2,FALSE)</f>
        <v>#N/A</v>
      </c>
      <c r="AM590" s="72" t="b">
        <f t="shared" si="599"/>
        <v>0</v>
      </c>
      <c r="AN590" s="72" t="b">
        <f t="shared" si="600"/>
        <v>0</v>
      </c>
      <c r="AO590" s="72" t="b">
        <f t="shared" si="601"/>
        <v>0</v>
      </c>
      <c r="AS590" s="72">
        <f t="shared" si="602"/>
        <v>0</v>
      </c>
      <c r="AT590" s="72">
        <f t="shared" si="603"/>
        <v>0</v>
      </c>
      <c r="AU590" s="72">
        <f t="shared" si="612"/>
        <v>0</v>
      </c>
      <c r="AV590" s="72">
        <f t="shared" si="604"/>
        <v>0</v>
      </c>
      <c r="AW590" s="72">
        <f t="shared" si="605"/>
        <v>0</v>
      </c>
      <c r="AX590" s="72">
        <f t="shared" si="606"/>
        <v>0</v>
      </c>
      <c r="AY590" s="72">
        <f t="shared" si="607"/>
        <v>0</v>
      </c>
      <c r="AZ590" s="72">
        <f t="shared" si="608"/>
        <v>0</v>
      </c>
      <c r="BA590" s="72" t="e">
        <f t="shared" si="609"/>
        <v>#N/A</v>
      </c>
      <c r="BB590" s="72" t="e">
        <f t="shared" si="610"/>
        <v>#N/A</v>
      </c>
      <c r="BC590" s="77"/>
      <c r="BE590">
        <f t="shared" si="590"/>
        <v>0</v>
      </c>
      <c r="BF590" s="196"/>
      <c r="BG590" s="196"/>
      <c r="BH590" s="196"/>
      <c r="BI590" s="196"/>
      <c r="BJ590" s="196"/>
      <c r="BK590" s="196"/>
    </row>
    <row r="591" spans="1:63" ht="14.25" hidden="1">
      <c r="B591" s="71"/>
      <c r="C591" s="69"/>
      <c r="Q591" s="86"/>
      <c r="T591" s="72">
        <f>IF('חד גזעי'!$AM$6="לא",IF(P591=0,IF(BC591="שימור",IF('חד גזעי'!$AM$4="לא",IF(BC591="לא בוגר",0,IF(BC591="לא קיים",0,IF(J591=0,0,I591*0.1))),IF(BC591="לא בוגר",0,IF(BC591="לא קיים",0,IF(AB591=1,I591*0.1,E591*0.5)))),0),IF('חד גזעי'!$AM$4="לא",IF(BC591="לא בוגר",0,IF(BC591="לא קיים",0,IF(J591=0,0,I591*0.1))),IF(BC591="לא בוגר",0,IF(BC591="לא קיים",0,IF(AB591=1,I591*0.1,E591*0.5))))),IF(P591=0,IF(BC591="שימור",IF('חד גזעי'!$AM$4="לא",IF(BC591="לא בוגר",0,IF(BC591="לא קיים",0,IF(J591=0,0,I591*0.15))),IF(BC591="לא בוגר",0,IF(BC591="לא קיים",0,IF(AB591=1,I591*0.15,E591*0.5)))),0),IF('חד גזעי'!$AM$4="לא",IF(BC591="לא בוגר",0,IF(BC591="לא קיים",0,IF(J591=0,0,I591*0.15))),IF(BC591="לא בוגר",0,IF(BC591="לא קיים",0,IF(AB591=1,I591*0.15,E591*0.5))))))</f>
        <v>0</v>
      </c>
      <c r="V591">
        <f t="shared" si="614"/>
        <v>0</v>
      </c>
      <c r="W591">
        <f t="shared" si="615"/>
        <v>0</v>
      </c>
      <c r="X591">
        <f t="shared" si="616"/>
        <v>0</v>
      </c>
      <c r="Y591">
        <f>IF('חד גזעי'!$AM$2 = "לא",0,IF(F591&gt;9,W591,0))</f>
        <v>0</v>
      </c>
      <c r="Z591">
        <f>IF('חד גזעי'!$AM$7 = "לא",0,IF(C591 = "זית אירופי",IF('חד גזעי'!$AN$7 &lt;=סקר!F591,W591,0),IF(C591 = "חרוב מצוי",IF('חד גזעי'!$AN$7 &lt;=סקר!F591,W591,0),0)))</f>
        <v>0</v>
      </c>
      <c r="AD591" s="69" t="s">
        <v>807</v>
      </c>
      <c r="BE591">
        <f t="shared" si="590"/>
        <v>0</v>
      </c>
      <c r="BF591" s="196"/>
      <c r="BG591" s="196"/>
      <c r="BH591" s="196"/>
      <c r="BI591" s="196"/>
      <c r="BJ591" s="196"/>
      <c r="BK591" s="196"/>
    </row>
    <row r="592" spans="1:63" ht="14.25" hidden="1">
      <c r="A592" s="129"/>
      <c r="B592" s="132"/>
      <c r="C592" s="133"/>
      <c r="D592" s="129"/>
      <c r="E592" s="129"/>
      <c r="F592" s="129"/>
      <c r="G592" s="129"/>
      <c r="H592" s="129"/>
      <c r="I592" s="129"/>
      <c r="J592" s="129"/>
      <c r="K592" s="129"/>
      <c r="L592" s="129"/>
      <c r="M592" s="129"/>
      <c r="N592" s="129"/>
      <c r="O592" s="129"/>
      <c r="P592" s="129"/>
      <c r="Q592" s="134"/>
      <c r="R592" s="129"/>
      <c r="S592" s="129"/>
      <c r="T592" s="72">
        <f>IF('חד גזעי'!$AM$6="לא",IF(P592=0,IF(BC592="שימור",IF('חד גזעי'!$AM$4="לא",IF(BC592="לא בוגר",0,IF(BC592="לא קיים",0,IF(J592=0,0,I592*0.1))),IF(BC592="לא בוגר",0,IF(BC592="לא קיים",0,IF(AB592=1,I592*0.1,E592*0.5)))),0),IF('חד גזעי'!$AM$4="לא",IF(BC592="לא בוגר",0,IF(BC592="לא קיים",0,IF(J592=0,0,I592*0.1))),IF(BC592="לא בוגר",0,IF(BC592="לא קיים",0,IF(AB592=1,I592*0.1,E592*0.5))))),IF(P592=0,IF(BC592="שימור",IF('חד גזעי'!$AM$4="לא",IF(BC592="לא בוגר",0,IF(BC592="לא קיים",0,IF(J592=0,0,I592*0.15))),IF(BC592="לא בוגר",0,IF(BC592="לא קיים",0,IF(AB592=1,I592*0.15,E592*0.5)))),0),IF('חד גזעי'!$AM$4="לא",IF(BC592="לא בוגר",0,IF(BC592="לא קיים",0,IF(J592=0,0,I592*0.15))),IF(BC592="לא בוגר",0,IF(BC592="לא קיים",0,IF(AB592=1,I592*0.15,E592*0.5))))))</f>
        <v>0</v>
      </c>
      <c r="U592" s="129"/>
      <c r="V592">
        <f t="shared" si="614"/>
        <v>0</v>
      </c>
      <c r="W592">
        <f t="shared" si="615"/>
        <v>0</v>
      </c>
      <c r="X592">
        <f t="shared" si="616"/>
        <v>0</v>
      </c>
      <c r="Y592">
        <f>IF('חד גזעי'!$AM$2 = "לא",0,IF(F592&gt;9,W592,0))</f>
        <v>0</v>
      </c>
      <c r="Z592">
        <f>IF('חד גזעי'!$AM$7 = "לא",0,IF(C592 = "זית אירופי",IF('חד גזעי'!$AN$7 &lt;=סקר!F592,W592,0),IF(C592 = "חרוב מצוי",IF('חד גזעי'!$AN$7 &lt;=סקר!F592,W592,0),0)))</f>
        <v>0</v>
      </c>
      <c r="AA592" s="129"/>
      <c r="AB592" s="129"/>
      <c r="AC592" s="129"/>
      <c r="AD592" s="133"/>
      <c r="AE592" s="129"/>
      <c r="AF592" s="129"/>
      <c r="AG592" s="129"/>
      <c r="AH592" s="129"/>
      <c r="AI592" s="129"/>
      <c r="AJ592" s="129"/>
      <c r="AK592" s="129"/>
      <c r="AL592" s="129"/>
      <c r="AM592" s="129"/>
      <c r="AN592" s="129"/>
      <c r="AO592" s="129"/>
      <c r="AP592" s="129"/>
      <c r="AQ592" s="129"/>
      <c r="AR592" s="129"/>
      <c r="AS592" s="129"/>
      <c r="AT592" s="129"/>
      <c r="AU592" s="129"/>
      <c r="AV592" s="129"/>
      <c r="AW592" s="129"/>
      <c r="AX592" s="129"/>
      <c r="AY592" s="129"/>
      <c r="AZ592" s="129"/>
      <c r="BA592" s="129"/>
      <c r="BB592" s="129"/>
      <c r="BC592" s="129"/>
      <c r="BD592" s="129"/>
      <c r="BE592" s="129"/>
      <c r="BF592" s="129">
        <f>_xlfn.IFNA(_xlfn.IFNA(_xlfn.TEXTBEFORE(BF574,"--"),_xlfn.TEXTBEFORE(BF574,",")),BF574)</f>
        <v>0</v>
      </c>
      <c r="BG592" s="129">
        <f t="shared" ref="BG592:BK592" si="617">_xlfn.IFNA(_xlfn.IFNA(_xlfn.TEXTBEFORE(BG574,"--"),_xlfn.TEXTBEFORE(BG574,",")),BG574)</f>
        <v>0</v>
      </c>
      <c r="BH592" s="129">
        <f t="shared" si="617"/>
        <v>0</v>
      </c>
      <c r="BI592" s="129">
        <f>_xlfn.IFNA(_xlfn.IFNA(_xlfn.TEXTBEFORE(BI574,"--"),_xlfn.TEXTBEFORE(BI574,",")),BI574)</f>
        <v>0</v>
      </c>
      <c r="BJ592" s="129">
        <f t="shared" si="617"/>
        <v>0</v>
      </c>
      <c r="BK592" s="129">
        <f t="shared" si="617"/>
        <v>0</v>
      </c>
    </row>
    <row r="593" spans="1:63" ht="14.25" hidden="1">
      <c r="A593" s="129"/>
      <c r="B593" s="132"/>
      <c r="C593" s="133"/>
      <c r="D593" s="129"/>
      <c r="E593" s="129"/>
      <c r="F593" s="129"/>
      <c r="G593" s="129"/>
      <c r="H593" s="129"/>
      <c r="I593" s="129"/>
      <c r="J593" s="129"/>
      <c r="K593" s="129"/>
      <c r="L593" s="129"/>
      <c r="M593" s="129"/>
      <c r="N593" s="129"/>
      <c r="O593" s="129"/>
      <c r="P593" s="129"/>
      <c r="Q593" s="134"/>
      <c r="R593" s="129"/>
      <c r="S593" s="129"/>
      <c r="T593" s="72">
        <f>IF('חד גזעי'!$AM$6="לא",IF(P593=0,IF(BC593="שימור",IF('חד גזעי'!$AM$4="לא",IF(BC593="לא בוגר",0,IF(BC593="לא קיים",0,IF(J593=0,0,I593*0.1))),IF(BC593="לא בוגר",0,IF(BC593="לא קיים",0,IF(AB593=1,I593*0.1,E593*0.5)))),0),IF('חד גזעי'!$AM$4="לא",IF(BC593="לא בוגר",0,IF(BC593="לא קיים",0,IF(J593=0,0,I593*0.1))),IF(BC593="לא בוגר",0,IF(BC593="לא קיים",0,IF(AB593=1,I593*0.1,E593*0.5))))),IF(P593=0,IF(BC593="שימור",IF('חד גזעי'!$AM$4="לא",IF(BC593="לא בוגר",0,IF(BC593="לא קיים",0,IF(J593=0,0,I593*0.15))),IF(BC593="לא בוגר",0,IF(BC593="לא קיים",0,IF(AB593=1,I593*0.15,E593*0.5)))),0),IF('חד גזעי'!$AM$4="לא",IF(BC593="לא בוגר",0,IF(BC593="לא קיים",0,IF(J593=0,0,I593*0.15))),IF(BC593="לא בוגר",0,IF(BC593="לא קיים",0,IF(AB593=1,I593*0.15,E593*0.5))))))</f>
        <v>0</v>
      </c>
      <c r="U593" s="129"/>
      <c r="V593">
        <f t="shared" si="614"/>
        <v>0</v>
      </c>
      <c r="W593">
        <f t="shared" si="615"/>
        <v>0</v>
      </c>
      <c r="X593">
        <f t="shared" si="616"/>
        <v>0</v>
      </c>
      <c r="Y593">
        <f>IF('חד גזעי'!$AM$2 = "לא",0,IF(F593&gt;9,W593,0))</f>
        <v>0</v>
      </c>
      <c r="Z593">
        <f>IF('חד גזעי'!$AM$7 = "לא",0,IF(C593 = "זית אירופי",IF('חד גזעי'!$AN$7 &lt;=סקר!F593,W593,0),IF(C593 = "חרוב מצוי",IF('חד גזעי'!$AN$7 &lt;=סקר!F593,W593,0),0)))</f>
        <v>0</v>
      </c>
      <c r="AA593" s="129"/>
      <c r="AB593" s="129"/>
      <c r="AC593" s="129"/>
      <c r="AD593" s="133"/>
      <c r="AE593" s="129"/>
      <c r="AF593" s="129"/>
      <c r="AG593" s="129"/>
      <c r="AH593" s="129"/>
      <c r="AI593" s="129"/>
      <c r="AJ593" s="129"/>
      <c r="AK593" s="129"/>
      <c r="AL593" s="129"/>
      <c r="AM593" s="129"/>
      <c r="AN593" s="129"/>
      <c r="AO593" s="129"/>
      <c r="AP593" s="129"/>
      <c r="AQ593" s="129"/>
      <c r="AR593" s="129"/>
      <c r="AS593" s="129"/>
      <c r="AT593" s="129"/>
      <c r="AU593" s="129"/>
      <c r="AV593" s="129"/>
      <c r="AW593" s="129"/>
      <c r="AX593" s="129"/>
      <c r="AY593" s="129"/>
      <c r="AZ593" s="129"/>
      <c r="BA593" s="129"/>
      <c r="BB593" s="129"/>
      <c r="BC593" s="129"/>
      <c r="BD593" s="129"/>
      <c r="BE593" s="129"/>
      <c r="BF593" s="129" t="str">
        <f>"C:\Users\origr\Pictures\"&amp;BF592&amp;".jpg"</f>
        <v>C:\Users\origr\Pictures\0.jpg</v>
      </c>
      <c r="BG593" s="129" t="str">
        <f t="shared" ref="BG593" si="618">"C:\Users\origr\Pictures\"&amp;BG592&amp;".jpg"</f>
        <v>C:\Users\origr\Pictures\0.jpg</v>
      </c>
      <c r="BH593" s="129" t="str">
        <f t="shared" ref="BH593" si="619">"C:\Users\origr\Pictures\"&amp;BH592&amp;".jpg"</f>
        <v>C:\Users\origr\Pictures\0.jpg</v>
      </c>
      <c r="BI593" s="129" t="str">
        <f t="shared" ref="BI593" si="620">"C:\Users\origr\Pictures\"&amp;BI592&amp;".jpg"</f>
        <v>C:\Users\origr\Pictures\0.jpg</v>
      </c>
      <c r="BJ593" s="129" t="str">
        <f t="shared" ref="BJ593" si="621">"C:\Users\origr\Pictures\"&amp;BJ592&amp;".jpg"</f>
        <v>C:\Users\origr\Pictures\0.jpg</v>
      </c>
      <c r="BK593" s="129" t="str">
        <f t="shared" ref="BK593" si="622">"C:\Users\origr\Pictures\"&amp;BK592&amp;".jpg"</f>
        <v>C:\Users\origr\Pictures\0.jpg</v>
      </c>
    </row>
    <row r="594" spans="1:63" ht="14.25" hidden="1">
      <c r="A594" s="129"/>
      <c r="B594" s="132"/>
      <c r="C594" s="133"/>
      <c r="D594" s="129"/>
      <c r="E594" s="129"/>
      <c r="F594" s="129"/>
      <c r="G594" s="129"/>
      <c r="H594" s="129"/>
      <c r="I594" s="129"/>
      <c r="J594" s="129"/>
      <c r="K594" s="129"/>
      <c r="L594" s="129"/>
      <c r="M594" s="129"/>
      <c r="N594" s="129"/>
      <c r="O594" s="129"/>
      <c r="P594" s="129"/>
      <c r="Q594" s="134"/>
      <c r="R594" s="129"/>
      <c r="S594" s="129"/>
      <c r="T594" s="72">
        <f>IF('חד גזעי'!$AM$6="לא",IF(P594=0,IF(BC594="שימור",IF('חד גזעי'!$AM$4="לא",IF(BC594="לא בוגר",0,IF(BC594="לא קיים",0,IF(J594=0,0,I594*0.1))),IF(BC594="לא בוגר",0,IF(BC594="לא קיים",0,IF(AB594=1,I594*0.1,E594*0.5)))),0),IF('חד גזעי'!$AM$4="לא",IF(BC594="לא בוגר",0,IF(BC594="לא קיים",0,IF(J594=0,0,I594*0.1))),IF(BC594="לא בוגר",0,IF(BC594="לא קיים",0,IF(AB594=1,I594*0.1,E594*0.5))))),IF(P594=0,IF(BC594="שימור",IF('חד גזעי'!$AM$4="לא",IF(BC594="לא בוגר",0,IF(BC594="לא קיים",0,IF(J594=0,0,I594*0.15))),IF(BC594="לא בוגר",0,IF(BC594="לא קיים",0,IF(AB594=1,I594*0.15,E594*0.5)))),0),IF('חד גזעי'!$AM$4="לא",IF(BC594="לא בוגר",0,IF(BC594="לא קיים",0,IF(J594=0,0,I594*0.15))),IF(BC594="לא בוגר",0,IF(BC594="לא קיים",0,IF(AB594=1,I594*0.15,E594*0.5))))))</f>
        <v>0</v>
      </c>
      <c r="U594" s="129"/>
      <c r="V594">
        <f t="shared" si="614"/>
        <v>0</v>
      </c>
      <c r="W594">
        <f t="shared" si="615"/>
        <v>0</v>
      </c>
      <c r="X594">
        <f t="shared" si="616"/>
        <v>0</v>
      </c>
      <c r="Y594">
        <f>IF('חד גזעי'!$AM$2 = "לא",0,IF(F594&gt;9,W594,0))</f>
        <v>0</v>
      </c>
      <c r="Z594">
        <f>IF('חד גזעי'!$AM$7 = "לא",0,IF(C594 = "זית אירופי",IF('חד גזעי'!$AN$7 &lt;=סקר!F594,W594,0),IF(C594 = "חרוב מצוי",IF('חד גזעי'!$AN$7 &lt;=סקר!F594,W594,0),0)))</f>
        <v>0</v>
      </c>
      <c r="AA594" s="129"/>
      <c r="AB594" s="129"/>
      <c r="AC594" s="129"/>
      <c r="AD594" s="133"/>
      <c r="AE594" s="129"/>
      <c r="AF594" s="129"/>
      <c r="AG594" s="129"/>
      <c r="AH594" s="129"/>
      <c r="AI594" s="129"/>
      <c r="AJ594" s="129"/>
      <c r="AK594" s="129"/>
      <c r="AL594" s="129"/>
      <c r="AM594" s="129"/>
      <c r="AN594" s="129"/>
      <c r="AO594" s="129"/>
      <c r="AP594" s="129"/>
      <c r="AQ594" s="129"/>
      <c r="AR594" s="129"/>
      <c r="AS594" s="129"/>
      <c r="AT594" s="129"/>
      <c r="AU594" s="129"/>
      <c r="AV594" s="129"/>
      <c r="AW594" s="129"/>
      <c r="AX594" s="129"/>
      <c r="AY594" s="129"/>
      <c r="AZ594" s="129"/>
      <c r="BA594" s="129"/>
      <c r="BB594" s="129"/>
      <c r="BC594" s="129"/>
      <c r="BD594" s="129"/>
      <c r="BE594" s="129"/>
      <c r="BF594" s="129" t="str">
        <f>BF593</f>
        <v>C:\Users\origr\Pictures\0.jpg</v>
      </c>
      <c r="BG594" s="129" t="str">
        <f t="shared" ref="BG594" si="623">BG593</f>
        <v>C:\Users\origr\Pictures\0.jpg</v>
      </c>
      <c r="BH594" s="129" t="str">
        <f t="shared" ref="BH594" si="624">BH593</f>
        <v>C:\Users\origr\Pictures\0.jpg</v>
      </c>
      <c r="BI594" s="129" t="str">
        <f t="shared" ref="BI594" si="625">BI593</f>
        <v>C:\Users\origr\Pictures\0.jpg</v>
      </c>
      <c r="BJ594" s="129" t="str">
        <f t="shared" ref="BJ594" si="626">BJ593</f>
        <v>C:\Users\origr\Pictures\0.jpg</v>
      </c>
      <c r="BK594" s="129" t="str">
        <f t="shared" ref="BK594" si="627">BK593</f>
        <v>C:\Users\origr\Pictures\0.jpg</v>
      </c>
    </row>
    <row r="595" spans="1:63" hidden="1">
      <c r="T595" s="72">
        <f>IF('חד גזעי'!$AM$6="לא",IF(P595=0,IF(BC595="שימור",IF('חד גזעי'!$AM$4="לא",IF(BC595="לא בוגר",0,IF(BC595="לא קיים",0,IF(J595=0,0,I595*0.1))),IF(BC595="לא בוגר",0,IF(BC595="לא קיים",0,IF(AB595=1,I595*0.1,E595*0.5)))),0),IF('חד גזעי'!$AM$4="לא",IF(BC595="לא בוגר",0,IF(BC595="לא קיים",0,IF(J595=0,0,I595*0.1))),IF(BC595="לא בוגר",0,IF(BC595="לא קיים",0,IF(AB595=1,I595*0.1,E595*0.5))))),IF(P595=0,IF(BC595="שימור",IF('חד גזעי'!$AM$4="לא",IF(BC595="לא בוגר",0,IF(BC595="לא קיים",0,IF(J595=0,0,I595*0.15))),IF(BC595="לא בוגר",0,IF(BC595="לא קיים",0,IF(AB595=1,I595*0.15,E595*0.5)))),0),IF('חד גזעי'!$AM$4="לא",IF(BC595="לא בוגר",0,IF(BC595="לא קיים",0,IF(J595=0,0,I595*0.15))),IF(BC595="לא בוגר",0,IF(BC595="לא קיים",0,IF(AB595=1,I595*0.15,E595*0.5))))))</f>
        <v>0</v>
      </c>
      <c r="V595">
        <f t="shared" si="614"/>
        <v>0</v>
      </c>
      <c r="W595">
        <f t="shared" si="615"/>
        <v>0</v>
      </c>
      <c r="X595">
        <f t="shared" si="616"/>
        <v>0</v>
      </c>
      <c r="Y595">
        <f>IF('חד גזעי'!$AM$2 = "לא",0,IF(F595&gt;9,W595,0))</f>
        <v>0</v>
      </c>
      <c r="Z595">
        <f>IF('חד גזעי'!$AM$7 = "לא",0,IF(C595 = "זית אירופי",IF('חד גזעי'!$AN$7 &lt;=סקר!F595,W595,0),IF(C595 = "חרוב מצוי",IF('חד גזעי'!$AN$7 &lt;=סקר!F595,W595,0),0)))</f>
        <v>0</v>
      </c>
    </row>
    <row r="596" spans="1:63" hidden="1">
      <c r="T596" s="72">
        <f>IF('חד גזעי'!$AM$6="לא",IF(P596=0,IF(BC596="שימור",IF('חד גזעי'!$AM$4="לא",IF(BC596="לא בוגר",0,IF(BC596="לא קיים",0,IF(J596=0,0,I596*0.1))),IF(BC596="לא בוגר",0,IF(BC596="לא קיים",0,IF(AB596=1,I596*0.1,E596*0.5)))),0),IF('חד גזעי'!$AM$4="לא",IF(BC596="לא בוגר",0,IF(BC596="לא קיים",0,IF(J596=0,0,I596*0.1))),IF(BC596="לא בוגר",0,IF(BC596="לא קיים",0,IF(AB596=1,I596*0.1,E596*0.5))))),IF(P596=0,IF(BC596="שימור",IF('חד גזעי'!$AM$4="לא",IF(BC596="לא בוגר",0,IF(BC596="לא קיים",0,IF(J596=0,0,I596*0.15))),IF(BC596="לא בוגר",0,IF(BC596="לא קיים",0,IF(AB596=1,I596*0.15,E596*0.5)))),0),IF('חד גזעי'!$AM$4="לא",IF(BC596="לא בוגר",0,IF(BC596="לא קיים",0,IF(J596=0,0,I596*0.15))),IF(BC596="לא בוגר",0,IF(BC596="לא קיים",0,IF(AB596=1,I596*0.15,E596*0.5))))))</f>
        <v>0</v>
      </c>
      <c r="V596">
        <f t="shared" si="614"/>
        <v>0</v>
      </c>
      <c r="W596">
        <f t="shared" si="615"/>
        <v>0</v>
      </c>
      <c r="X596">
        <f t="shared" si="616"/>
        <v>0</v>
      </c>
      <c r="Y596">
        <f>IF('חד גזעי'!$AM$2 = "לא",0,IF(F596&gt;9,W596,0))</f>
        <v>0</v>
      </c>
      <c r="Z596">
        <f>IF('חד גזעי'!$AM$7 = "לא",0,IF(C596 = "זית אירופי",IF('חד גזעי'!$AN$7 &lt;=סקר!F596,W596,0),IF(C596 = "חרוב מצוי",IF('חד גזעי'!$AN$7 &lt;=סקר!F596,W596,0),0)))</f>
        <v>0</v>
      </c>
    </row>
    <row r="597" spans="1:63" hidden="1">
      <c r="T597" s="72">
        <f>IF('חד גזעי'!$AM$6="לא",IF(P597=0,IF(BC597="שימור",IF('חד גזעי'!$AM$4="לא",IF(BC597="לא בוגר",0,IF(BC597="לא קיים",0,IF(J597=0,0,I597*0.1))),IF(BC597="לא בוגר",0,IF(BC597="לא קיים",0,IF(AB597=1,I597*0.1,E597*0.5)))),0),IF('חד גזעי'!$AM$4="לא",IF(BC597="לא בוגר",0,IF(BC597="לא קיים",0,IF(J597=0,0,I597*0.1))),IF(BC597="לא בוגר",0,IF(BC597="לא קיים",0,IF(AB597=1,I597*0.1,E597*0.5))))),IF(P597=0,IF(BC597="שימור",IF('חד גזעי'!$AM$4="לא",IF(BC597="לא בוגר",0,IF(BC597="לא קיים",0,IF(J597=0,0,I597*0.15))),IF(BC597="לא בוגר",0,IF(BC597="לא קיים",0,IF(AB597=1,I597*0.15,E597*0.5)))),0),IF('חד גזעי'!$AM$4="לא",IF(BC597="לא בוגר",0,IF(BC597="לא קיים",0,IF(J597=0,0,I597*0.15))),IF(BC597="לא בוגר",0,IF(BC597="לא קיים",0,IF(AB597=1,I597*0.15,E597*0.5))))))</f>
        <v>0</v>
      </c>
      <c r="V597">
        <f t="shared" si="614"/>
        <v>0</v>
      </c>
      <c r="W597">
        <f t="shared" si="615"/>
        <v>0</v>
      </c>
      <c r="X597">
        <f t="shared" si="616"/>
        <v>0</v>
      </c>
      <c r="Y597">
        <f>IF('חד גזעי'!$AM$2 = "לא",0,IF(F597&gt;9,W597,0))</f>
        <v>0</v>
      </c>
      <c r="Z597">
        <f>IF('חד גזעי'!$AM$7 = "לא",0,IF(C597 = "זית אירופי",IF('חד גזעי'!$AN$7 &lt;=סקר!F597,W597,0),IF(C597 = "חרוב מצוי",IF('חד גזעי'!$AN$7 &lt;=סקר!F597,W597,0),0)))</f>
        <v>0</v>
      </c>
    </row>
    <row r="598" spans="1:63" hidden="1">
      <c r="A598" s="129"/>
      <c r="B598" s="129"/>
      <c r="C598" s="129"/>
      <c r="D598" s="129"/>
      <c r="E598" s="129"/>
      <c r="F598" s="129"/>
      <c r="G598" s="129"/>
      <c r="H598" s="129"/>
      <c r="I598" s="129"/>
      <c r="J598" s="129"/>
      <c r="K598" s="129"/>
      <c r="L598" s="129"/>
      <c r="M598" s="129"/>
      <c r="N598" s="129"/>
      <c r="O598" s="129"/>
      <c r="P598" s="129"/>
      <c r="Q598" s="129"/>
      <c r="R598" s="129"/>
      <c r="S598" s="129"/>
      <c r="T598" s="72">
        <f>IF('חד גזעי'!$AM$6="לא",IF(P598=0,IF(BC598="שימור",IF('חד גזעי'!$AM$4="לא",IF(BC598="לא בוגר",0,IF(BC598="לא קיים",0,IF(J598=0,0,I598*0.1))),IF(BC598="לא בוגר",0,IF(BC598="לא קיים",0,IF(AB598=1,I598*0.1,E598*0.5)))),0),IF('חד גזעי'!$AM$4="לא",IF(BC598="לא בוגר",0,IF(BC598="לא קיים",0,IF(J598=0,0,I598*0.1))),IF(BC598="לא בוגר",0,IF(BC598="לא קיים",0,IF(AB598=1,I598*0.1,E598*0.5))))),IF(P598=0,IF(BC598="שימור",IF('חד גזעי'!$AM$4="לא",IF(BC598="לא בוגר",0,IF(BC598="לא קיים",0,IF(J598=0,0,I598*0.15))),IF(BC598="לא בוגר",0,IF(BC598="לא קיים",0,IF(AB598=1,I598*0.15,E598*0.5)))),0),IF('חד גזעי'!$AM$4="לא",IF(BC598="לא בוגר",0,IF(BC598="לא קיים",0,IF(J598=0,0,I598*0.15))),IF(BC598="לא בוגר",0,IF(BC598="לא קיים",0,IF(AB598=1,I598*0.15,E598*0.5))))))</f>
        <v>0</v>
      </c>
      <c r="U598" s="129"/>
      <c r="V598">
        <f t="shared" si="614"/>
        <v>0</v>
      </c>
      <c r="W598">
        <f t="shared" si="615"/>
        <v>0</v>
      </c>
      <c r="X598">
        <f t="shared" si="616"/>
        <v>0</v>
      </c>
      <c r="Y598">
        <f>IF('חד גזעי'!$AM$2 = "לא",0,IF(F598&gt;9,W598,0))</f>
        <v>0</v>
      </c>
      <c r="Z598">
        <f>IF('חד גזעי'!$AM$7 = "לא",0,IF(C598 = "זית אירופי",IF('חד גזעי'!$AN$7 &lt;=סקר!F598,W598,0),IF(C598 = "חרוב מצוי",IF('חד גזעי'!$AN$7 &lt;=סקר!F598,W598,0),0)))</f>
        <v>0</v>
      </c>
      <c r="AA598" s="129"/>
      <c r="AB598" s="129"/>
      <c r="AC598" s="129"/>
      <c r="AD598" s="129"/>
      <c r="AE598" s="129"/>
      <c r="AF598" s="129"/>
      <c r="AG598" s="129"/>
      <c r="AH598" s="129"/>
      <c r="AI598" s="129"/>
      <c r="AJ598" s="129"/>
      <c r="AK598" s="129"/>
      <c r="AL598" s="129"/>
      <c r="AM598" s="129"/>
      <c r="AN598" s="129"/>
      <c r="AO598" s="129"/>
      <c r="AP598" s="129"/>
      <c r="AQ598" s="129"/>
      <c r="AR598" s="129"/>
      <c r="AS598" s="129"/>
      <c r="AT598" s="129"/>
      <c r="AU598" s="129"/>
      <c r="AV598" s="129"/>
      <c r="AW598" s="129"/>
      <c r="AX598" s="129"/>
      <c r="AY598" s="129"/>
      <c r="AZ598" s="129"/>
      <c r="BA598" s="129"/>
      <c r="BB598" s="129"/>
      <c r="BC598" s="129"/>
      <c r="BD598" s="129"/>
      <c r="BE598" s="129"/>
      <c r="BF598" s="129">
        <f>_xlfn.IFNA(_xlfn.IFNA(_xlfn.TEXTBEFORE(BF602,"--"),_xlfn.TEXTBEFORE(BF602,",")),BF602)</f>
        <v>0</v>
      </c>
      <c r="BG598" s="129">
        <f t="shared" ref="BG598:BK598" si="628">_xlfn.IFNA(_xlfn.IFNA(_xlfn.TEXTBEFORE(BG602,"--"),_xlfn.TEXTBEFORE(BG602,",")),BG602)</f>
        <v>0</v>
      </c>
      <c r="BH598" s="129">
        <f t="shared" si="628"/>
        <v>0</v>
      </c>
      <c r="BI598" s="129">
        <f>_xlfn.IFNA(_xlfn.IFNA(_xlfn.TEXTBEFORE(BI602,"--"),_xlfn.TEXTBEFORE(BI602,",")),BI602)</f>
        <v>0</v>
      </c>
      <c r="BJ598" s="129">
        <f t="shared" si="628"/>
        <v>0</v>
      </c>
      <c r="BK598" s="129">
        <f t="shared" si="628"/>
        <v>0</v>
      </c>
    </row>
    <row r="599" spans="1:63" hidden="1">
      <c r="A599" s="129"/>
      <c r="B599" s="129"/>
      <c r="C599" s="129"/>
      <c r="D599" s="129"/>
      <c r="E599" s="129"/>
      <c r="F599" s="129"/>
      <c r="G599" s="129"/>
      <c r="H599" s="129"/>
      <c r="I599" s="129"/>
      <c r="J599" s="129"/>
      <c r="K599" s="129"/>
      <c r="L599" s="129"/>
      <c r="M599" s="129"/>
      <c r="N599" s="129"/>
      <c r="O599" s="129"/>
      <c r="P599" s="129"/>
      <c r="Q599" s="129"/>
      <c r="R599" s="129"/>
      <c r="S599" s="129"/>
      <c r="T599" s="72">
        <f>IF('חד גזעי'!$AM$6="לא",IF(P599=0,IF(BC599="שימור",IF('חד גזעי'!$AM$4="לא",IF(BC599="לא בוגר",0,IF(BC599="לא קיים",0,IF(J599=0,0,I599*0.1))),IF(BC599="לא בוגר",0,IF(BC599="לא קיים",0,IF(AB599=1,I599*0.1,E599*0.5)))),0),IF('חד גזעי'!$AM$4="לא",IF(BC599="לא בוגר",0,IF(BC599="לא קיים",0,IF(J599=0,0,I599*0.1))),IF(BC599="לא בוגר",0,IF(BC599="לא קיים",0,IF(AB599=1,I599*0.1,E599*0.5))))),IF(P599=0,IF(BC599="שימור",IF('חד גזעי'!$AM$4="לא",IF(BC599="לא בוגר",0,IF(BC599="לא קיים",0,IF(J599=0,0,I599*0.15))),IF(BC599="לא בוגר",0,IF(BC599="לא קיים",0,IF(AB599=1,I599*0.15,E599*0.5)))),0),IF('חד גזעי'!$AM$4="לא",IF(BC599="לא בוגר",0,IF(BC599="לא קיים",0,IF(J599=0,0,I599*0.15))),IF(BC599="לא בוגר",0,IF(BC599="לא קיים",0,IF(AB599=1,I599*0.15,E599*0.5))))))</f>
        <v>0</v>
      </c>
      <c r="U599" s="129"/>
      <c r="V599">
        <f t="shared" si="614"/>
        <v>0</v>
      </c>
      <c r="W599">
        <f t="shared" si="615"/>
        <v>0</v>
      </c>
      <c r="X599">
        <f t="shared" si="616"/>
        <v>0</v>
      </c>
      <c r="Y599">
        <f>IF('חד גזעי'!$AM$2 = "לא",0,IF(F599&gt;9,W599,0))</f>
        <v>0</v>
      </c>
      <c r="Z599">
        <f>IF('חד גזעי'!$AM$7 = "לא",0,IF(C599 = "זית אירופי",IF('חד גזעי'!$AN$7 &lt;=סקר!F599,W599,0),IF(C599 = "חרוב מצוי",IF('חד גזעי'!$AN$7 &lt;=סקר!F599,W599,0),0)))</f>
        <v>0</v>
      </c>
      <c r="AA599" s="129"/>
      <c r="AB599" s="129"/>
      <c r="AC599" s="129"/>
      <c r="AD599" s="129"/>
      <c r="AE599" s="129"/>
      <c r="AF599" s="129"/>
      <c r="AG599" s="129"/>
      <c r="AH599" s="129"/>
      <c r="AI599" s="129"/>
      <c r="AJ599" s="129"/>
      <c r="AK599" s="129"/>
      <c r="AL599" s="129"/>
      <c r="AM599" s="129"/>
      <c r="AN599" s="129"/>
      <c r="AO599" s="129"/>
      <c r="AP599" s="129"/>
      <c r="AQ599" s="129"/>
      <c r="AR599" s="129"/>
      <c r="AS599" s="129"/>
      <c r="AT599" s="129"/>
      <c r="AU599" s="129"/>
      <c r="AV599" s="129"/>
      <c r="AW599" s="129"/>
      <c r="AX599" s="129"/>
      <c r="AY599" s="129"/>
      <c r="AZ599" s="129"/>
      <c r="BA599" s="129"/>
      <c r="BB599" s="129"/>
      <c r="BC599" s="129"/>
      <c r="BD599" s="129"/>
      <c r="BE599" s="129"/>
      <c r="BF599" s="129" t="str">
        <f>"C:\Users\origr\Pictures\"&amp;BF598&amp;".jpg"</f>
        <v>C:\Users\origr\Pictures\0.jpg</v>
      </c>
      <c r="BG599" s="129" t="str">
        <f t="shared" ref="BG599" si="629">"C:\Users\origr\Pictures\"&amp;BG598&amp;".jpg"</f>
        <v>C:\Users\origr\Pictures\0.jpg</v>
      </c>
      <c r="BH599" s="129" t="str">
        <f t="shared" ref="BH599" si="630">"C:\Users\origr\Pictures\"&amp;BH598&amp;".jpg"</f>
        <v>C:\Users\origr\Pictures\0.jpg</v>
      </c>
      <c r="BI599" s="129" t="str">
        <f t="shared" ref="BI599" si="631">"C:\Users\origr\Pictures\"&amp;BI598&amp;".jpg"</f>
        <v>C:\Users\origr\Pictures\0.jpg</v>
      </c>
      <c r="BJ599" s="129" t="str">
        <f t="shared" ref="BJ599" si="632">"C:\Users\origr\Pictures\"&amp;BJ598&amp;".jpg"</f>
        <v>C:\Users\origr\Pictures\0.jpg</v>
      </c>
      <c r="BK599" s="129" t="str">
        <f t="shared" ref="BK599" si="633">"C:\Users\origr\Pictures\"&amp;BK598&amp;".jpg"</f>
        <v>C:\Users\origr\Pictures\0.jpg</v>
      </c>
    </row>
    <row r="600" spans="1:63" hidden="1">
      <c r="A600" s="129"/>
      <c r="B600" s="129"/>
      <c r="C600" s="129"/>
      <c r="D600" s="129"/>
      <c r="E600" s="129"/>
      <c r="F600" s="129"/>
      <c r="G600" s="129"/>
      <c r="H600" s="129"/>
      <c r="I600" s="129"/>
      <c r="J600" s="129"/>
      <c r="K600" s="129"/>
      <c r="L600" s="129"/>
      <c r="M600" s="129"/>
      <c r="N600" s="129"/>
      <c r="O600" s="129"/>
      <c r="P600" s="129"/>
      <c r="Q600" s="129"/>
      <c r="R600" s="129"/>
      <c r="S600" s="129"/>
      <c r="T600" s="72">
        <f>IF('חד גזעי'!$AM$6="לא",IF(P600=0,IF(BC600="שימור",IF('חד גזעי'!$AM$4="לא",IF(BC600="לא בוגר",0,IF(BC600="לא קיים",0,IF(J600=0,0,I600*0.1))),IF(BC600="לא בוגר",0,IF(BC600="לא קיים",0,IF(AB600=1,I600*0.1,E600*0.5)))),0),IF('חד גזעי'!$AM$4="לא",IF(BC600="לא בוגר",0,IF(BC600="לא קיים",0,IF(J600=0,0,I600*0.1))),IF(BC600="לא בוגר",0,IF(BC600="לא קיים",0,IF(AB600=1,I600*0.1,E600*0.5))))),IF(P600=0,IF(BC600="שימור",IF('חד גזעי'!$AM$4="לא",IF(BC600="לא בוגר",0,IF(BC600="לא קיים",0,IF(J600=0,0,I600*0.15))),IF(BC600="לא בוגר",0,IF(BC600="לא קיים",0,IF(AB600=1,I600*0.15,E600*0.5)))),0),IF('חד גזעי'!$AM$4="לא",IF(BC600="לא בוגר",0,IF(BC600="לא קיים",0,IF(J600=0,0,I600*0.15))),IF(BC600="לא בוגר",0,IF(BC600="לא קיים",0,IF(AB600=1,I600*0.15,E600*0.5))))))</f>
        <v>0</v>
      </c>
      <c r="U600" s="129"/>
      <c r="V600">
        <f t="shared" si="614"/>
        <v>0</v>
      </c>
      <c r="W600">
        <f t="shared" si="615"/>
        <v>0</v>
      </c>
      <c r="X600">
        <f t="shared" si="616"/>
        <v>0</v>
      </c>
      <c r="Y600">
        <f>IF('חד גזעי'!$AM$2 = "לא",0,IF(F600&gt;9,W600,0))</f>
        <v>0</v>
      </c>
      <c r="Z600">
        <f>IF('חד גזעי'!$AM$7 = "לא",0,IF(C600 = "זית אירופי",IF('חד גזעי'!$AN$7 &lt;=סקר!F600,W600,0),IF(C600 = "חרוב מצוי",IF('חד גזעי'!$AN$7 &lt;=סקר!F600,W600,0),0)))</f>
        <v>0</v>
      </c>
      <c r="AA600" s="129"/>
      <c r="AB600" s="129"/>
      <c r="AC600" s="129"/>
      <c r="AD600" s="129"/>
      <c r="AE600" s="129"/>
      <c r="AF600" s="129"/>
      <c r="AG600" s="129"/>
      <c r="AH600" s="129"/>
      <c r="AI600" s="129"/>
      <c r="AJ600" s="129"/>
      <c r="AK600" s="129"/>
      <c r="AL600" s="129"/>
      <c r="AM600" s="129"/>
      <c r="AN600" s="129"/>
      <c r="AO600" s="129"/>
      <c r="AP600" s="129"/>
      <c r="AQ600" s="129"/>
      <c r="AR600" s="129"/>
      <c r="AS600" s="129"/>
      <c r="AT600" s="129"/>
      <c r="AU600" s="129"/>
      <c r="AV600" s="129"/>
      <c r="AW600" s="129"/>
      <c r="AX600" s="129"/>
      <c r="AY600" s="129"/>
      <c r="AZ600" s="129"/>
      <c r="BA600" s="129"/>
      <c r="BB600" s="129"/>
      <c r="BC600" s="129"/>
      <c r="BD600" s="129"/>
      <c r="BE600" s="129"/>
      <c r="BF600" s="129" t="str">
        <f>BF599</f>
        <v>C:\Users\origr\Pictures\0.jpg</v>
      </c>
      <c r="BG600" s="129" t="str">
        <f t="shared" ref="BG600" si="634">BG599</f>
        <v>C:\Users\origr\Pictures\0.jpg</v>
      </c>
      <c r="BH600" s="129" t="str">
        <f t="shared" ref="BH600" si="635">BH599</f>
        <v>C:\Users\origr\Pictures\0.jpg</v>
      </c>
      <c r="BI600" s="129" t="str">
        <f t="shared" ref="BI600" si="636">BI599</f>
        <v>C:\Users\origr\Pictures\0.jpg</v>
      </c>
      <c r="BJ600" s="129" t="str">
        <f t="shared" ref="BJ600" si="637">BJ599</f>
        <v>C:\Users\origr\Pictures\0.jpg</v>
      </c>
      <c r="BK600" s="129" t="str">
        <f t="shared" ref="BK600" si="638">BK599</f>
        <v>C:\Users\origr\Pictures\0.jpg</v>
      </c>
    </row>
    <row r="601" spans="1:63" ht="14.25" hidden="1">
      <c r="B601" s="71"/>
      <c r="C601" s="69"/>
      <c r="Q601" s="86"/>
      <c r="T601" s="72">
        <f>IF('חד גזעי'!$AM$6="לא",IF(P601=0,IF(BC601="שימור",IF('חד גזעי'!$AM$4="לא",IF(BC601="לא בוגר",0,IF(BC601="לא קיים",0,IF(J601=0,0,I601*0.1))),IF(BC601="לא בוגר",0,IF(BC601="לא קיים",0,IF(AB601=1,I601*0.1,E601*0.5)))),0),IF('חד גזעי'!$AM$4="לא",IF(BC601="לא בוגר",0,IF(BC601="לא קיים",0,IF(J601=0,0,I601*0.1))),IF(BC601="לא בוגר",0,IF(BC601="לא קיים",0,IF(AB601=1,I601*0.1,E601*0.5))))),IF(P601=0,IF(BC601="שימור",IF('חד גזעי'!$AM$4="לא",IF(BC601="לא בוגר",0,IF(BC601="לא קיים",0,IF(J601=0,0,I601*0.15))),IF(BC601="לא בוגר",0,IF(BC601="לא קיים",0,IF(AB601=1,I601*0.15,E601*0.5)))),0),IF('חד גזעי'!$AM$4="לא",IF(BC601="לא בוגר",0,IF(BC601="לא קיים",0,IF(J601=0,0,I601*0.15))),IF(BC601="לא בוגר",0,IF(BC601="לא קיים",0,IF(AB601=1,I601*0.15,E601*0.5))))))</f>
        <v>0</v>
      </c>
      <c r="V601">
        <f t="shared" si="614"/>
        <v>0</v>
      </c>
      <c r="W601">
        <f t="shared" si="615"/>
        <v>0</v>
      </c>
      <c r="X601">
        <f t="shared" si="616"/>
        <v>0</v>
      </c>
      <c r="Y601">
        <f>IF('חד גזעי'!$AM$2 = "לא",0,IF(F601&gt;9,W601,0))</f>
        <v>0</v>
      </c>
      <c r="Z601">
        <f>IF('חד גזעי'!$AM$7 = "לא",0,IF(C601 = "זית אירופי",IF('חד גזעי'!$AN$7 &lt;=סקר!F601,W601,0),IF(C601 = "חרוב מצוי",IF('חד גזעי'!$AN$7 &lt;=סקר!F601,W601,0),0)))</f>
        <v>0</v>
      </c>
      <c r="AD601" s="69" t="s">
        <v>807</v>
      </c>
    </row>
    <row r="602" spans="1:63" hidden="1">
      <c r="B602" s="197" t="s">
        <v>738</v>
      </c>
      <c r="C602" s="197" t="s">
        <v>739</v>
      </c>
      <c r="D602" s="197" t="s">
        <v>740</v>
      </c>
      <c r="E602" s="197" t="s">
        <v>741</v>
      </c>
      <c r="F602" s="200" t="s">
        <v>759</v>
      </c>
      <c r="G602" s="203" t="s">
        <v>760</v>
      </c>
      <c r="H602" s="203" t="s">
        <v>761</v>
      </c>
      <c r="I602" s="197" t="s">
        <v>742</v>
      </c>
      <c r="J602" s="197" t="s">
        <v>743</v>
      </c>
      <c r="K602" s="197" t="s">
        <v>744</v>
      </c>
      <c r="L602" s="197" t="s">
        <v>745</v>
      </c>
      <c r="M602" s="197" t="s">
        <v>746</v>
      </c>
      <c r="N602" s="197" t="s">
        <v>747</v>
      </c>
      <c r="O602" s="197" t="s">
        <v>748</v>
      </c>
      <c r="P602" s="197" t="s">
        <v>749</v>
      </c>
      <c r="Q602" s="197" t="s">
        <v>750</v>
      </c>
      <c r="R602" s="197" t="s">
        <v>751</v>
      </c>
      <c r="T602" s="72" t="e">
        <f>IF('חד גזעי'!$AM$6="לא",IF(P602=0,IF(BC602="שימור",IF('חד גזעי'!$AM$4="לא",IF(BC602="לא בוגר",0,IF(BC602="לא קיים",0,IF(J602=0,0,I602*0.1))),IF(BC602="לא בוגר",0,IF(BC602="לא קיים",0,IF(AB602=1,I602*0.1,E602*0.5)))),0),IF('חד גזעי'!$AM$4="לא",IF(BC602="לא בוגר",0,IF(BC602="לא קיים",0,IF(J602=0,0,I602*0.1))),IF(BC602="לא בוגר",0,IF(BC602="לא קיים",0,IF(AB602=1,I602*0.1,E602*0.5))))),IF(P602=0,IF(BC602="שימור",IF('חד גזעי'!$AM$4="לא",IF(BC602="לא בוגר",0,IF(BC602="לא קיים",0,IF(J602=0,0,I602*0.15))),IF(BC602="לא בוגר",0,IF(BC602="לא קיים",0,IF(AB602=1,I602*0.15,E602*0.5)))),0),IF('חד גזעי'!$AM$4="לא",IF(BC602="לא בוגר",0,IF(BC602="לא קיים",0,IF(J602=0,0,I602*0.15))),IF(BC602="לא בוגר",0,IF(BC602="לא קיים",0,IF(AB602=1,I602*0.15,E602*0.5))))))</f>
        <v>#VALUE!</v>
      </c>
      <c r="V602">
        <f t="shared" si="614"/>
        <v>0</v>
      </c>
      <c r="W602" t="e">
        <f t="shared" si="615"/>
        <v>#VALUE!</v>
      </c>
      <c r="X602">
        <f t="shared" si="616"/>
        <v>0</v>
      </c>
      <c r="Y602">
        <f>IF('חד גזעי'!$AM$2 = "לא",0,IF(F602&gt;9,W602,0))</f>
        <v>0</v>
      </c>
      <c r="Z602">
        <f>IF('חד גזעי'!$AM$7 = "לא",0,IF(C602 = "זית אירופי",IF('חד גזעי'!$AN$7 &lt;=סקר!F602,W602,0),IF(C602 = "חרוב מצוי",IF('חד גזעי'!$AN$7 &lt;=סקר!F602,W602,0),0)))</f>
        <v>0</v>
      </c>
      <c r="AC602" s="101"/>
      <c r="AD602" s="103"/>
      <c r="AE602" s="103"/>
      <c r="AF602" s="103"/>
      <c r="AG602" s="103"/>
      <c r="AH602" s="103"/>
      <c r="AI602" s="103"/>
      <c r="AJ602" s="103"/>
      <c r="AK602" s="83"/>
      <c r="AM602" s="73"/>
      <c r="AN602" s="73"/>
      <c r="AO602" s="73"/>
      <c r="AS602" s="197" t="s">
        <v>738</v>
      </c>
      <c r="AT602" s="197" t="s">
        <v>739</v>
      </c>
      <c r="AU602" s="197" t="s">
        <v>740</v>
      </c>
      <c r="AV602" s="197" t="s">
        <v>741</v>
      </c>
      <c r="AW602" s="203" t="s">
        <v>759</v>
      </c>
      <c r="AX602" s="203" t="s">
        <v>760</v>
      </c>
      <c r="AY602" s="203" t="s">
        <v>761</v>
      </c>
      <c r="AZ602" s="197" t="s">
        <v>812</v>
      </c>
      <c r="BA602" s="197" t="s">
        <v>817</v>
      </c>
      <c r="BB602" s="197" t="s">
        <v>805</v>
      </c>
      <c r="BC602" s="197" t="s">
        <v>806</v>
      </c>
      <c r="BE602">
        <f>IF(BC602="לא נדרש ברישיון",1,0)</f>
        <v>0</v>
      </c>
      <c r="BF602" s="72"/>
      <c r="BG602" s="72"/>
      <c r="BH602" s="72"/>
      <c r="BI602" s="72"/>
      <c r="BJ602" s="72"/>
      <c r="BK602" s="72"/>
    </row>
    <row r="603" spans="1:63" hidden="1">
      <c r="B603" s="198"/>
      <c r="C603" s="198"/>
      <c r="D603" s="198"/>
      <c r="E603" s="198"/>
      <c r="F603" s="201"/>
      <c r="G603" s="204"/>
      <c r="H603" s="204"/>
      <c r="I603" s="198"/>
      <c r="J603" s="198"/>
      <c r="K603" s="198"/>
      <c r="L603" s="198"/>
      <c r="M603" s="198"/>
      <c r="N603" s="198"/>
      <c r="O603" s="198"/>
      <c r="P603" s="198"/>
      <c r="Q603" s="198"/>
      <c r="R603" s="198"/>
      <c r="T603" s="72">
        <f>IF('חד גזעי'!$AM$6="לא",IF(P603=0,IF(BC603="שימור",IF('חד גזעי'!$AM$4="לא",IF(BC603="לא בוגר",0,IF(BC603="לא קיים",0,IF(J603=0,0,I603*0.1))),IF(BC603="לא בוגר",0,IF(BC603="לא קיים",0,IF(AB603=1,I603*0.1,E603*0.5)))),0),IF('חד גזעי'!$AM$4="לא",IF(BC603="לא בוגר",0,IF(BC603="לא קיים",0,IF(J603=0,0,I603*0.1))),IF(BC603="לא בוגר",0,IF(BC603="לא קיים",0,IF(AB603=1,I603*0.1,E603*0.5))))),IF(P603=0,IF(BC603="שימור",IF('חד גזעי'!$AM$4="לא",IF(BC603="לא בוגר",0,IF(BC603="לא קיים",0,IF(J603=0,0,I603*0.15))),IF(BC603="לא בוגר",0,IF(BC603="לא קיים",0,IF(AB603=1,I603*0.15,E603*0.5)))),0),IF('חד גזעי'!$AM$4="לא",IF(BC603="לא בוגר",0,IF(BC603="לא קיים",0,IF(J603=0,0,I603*0.15))),IF(BC603="לא בוגר",0,IF(BC603="לא קיים",0,IF(AB603=1,I603*0.15,E603*0.5))))))</f>
        <v>0</v>
      </c>
      <c r="V603">
        <f t="shared" si="614"/>
        <v>0</v>
      </c>
      <c r="W603">
        <f t="shared" si="615"/>
        <v>0</v>
      </c>
      <c r="X603">
        <f t="shared" si="616"/>
        <v>0</v>
      </c>
      <c r="Y603">
        <f>IF('חד גזעי'!$AM$2 = "לא",0,IF(F603&gt;9,W603,0))</f>
        <v>0</v>
      </c>
      <c r="Z603">
        <f>IF('חד גזעי'!$AM$7 = "לא",0,IF(C603 = "זית אירופי",IF('חד גזעי'!$AN$7 &lt;=סקר!F603,W603,0),IF(C603 = "חרוב מצוי",IF('חד גזעי'!$AN$7 &lt;=סקר!F603,W603,0),0)))</f>
        <v>0</v>
      </c>
      <c r="AC603" s="101"/>
      <c r="AD603" s="103"/>
      <c r="AE603" s="103"/>
      <c r="AF603" s="103"/>
      <c r="AG603" s="103"/>
      <c r="AH603" s="103"/>
      <c r="AI603" s="103"/>
      <c r="AJ603" s="103"/>
      <c r="AK603" s="83"/>
      <c r="AM603" s="73"/>
      <c r="AN603" s="73"/>
      <c r="AO603" s="73"/>
      <c r="AS603" s="198"/>
      <c r="AT603" s="198"/>
      <c r="AU603" s="198"/>
      <c r="AV603" s="198"/>
      <c r="AW603" s="204"/>
      <c r="AX603" s="204"/>
      <c r="AY603" s="204"/>
      <c r="AZ603" s="198"/>
      <c r="BA603" s="198"/>
      <c r="BB603" s="198"/>
      <c r="BC603" s="198"/>
      <c r="BE603">
        <f t="shared" ref="BE603:BE637" si="639">IF(BC603="לא נדרש ברישיון",1,0)</f>
        <v>0</v>
      </c>
      <c r="BF603" s="196" t="str">
        <f>BF600</f>
        <v>C:\Users\origr\Pictures\0.jpg</v>
      </c>
      <c r="BG603" s="196" t="str">
        <f t="shared" ref="BG603:BK603" si="640">BG600</f>
        <v>C:\Users\origr\Pictures\0.jpg</v>
      </c>
      <c r="BH603" s="196" t="str">
        <f t="shared" si="640"/>
        <v>C:\Users\origr\Pictures\0.jpg</v>
      </c>
      <c r="BI603" s="196" t="str">
        <f t="shared" si="640"/>
        <v>C:\Users\origr\Pictures\0.jpg</v>
      </c>
      <c r="BJ603" s="196" t="str">
        <f t="shared" si="640"/>
        <v>C:\Users\origr\Pictures\0.jpg</v>
      </c>
      <c r="BK603" s="196" t="str">
        <f t="shared" si="640"/>
        <v>C:\Users\origr\Pictures\0.jpg</v>
      </c>
    </row>
    <row r="604" spans="1:63" hidden="1">
      <c r="B604" s="199"/>
      <c r="C604" s="199"/>
      <c r="D604" s="199"/>
      <c r="E604" s="199"/>
      <c r="F604" s="202"/>
      <c r="G604" s="205"/>
      <c r="H604" s="205"/>
      <c r="I604" s="199"/>
      <c r="J604" s="199"/>
      <c r="K604" s="199"/>
      <c r="L604" s="199"/>
      <c r="M604" s="199"/>
      <c r="N604" s="199"/>
      <c r="O604" s="199"/>
      <c r="P604" s="199"/>
      <c r="Q604" s="199"/>
      <c r="R604" s="199"/>
      <c r="T604" s="72">
        <f>IF('חד גזעי'!$AM$6="לא",IF(P604=0,IF(BC604="שימור",IF('חד גזעי'!$AM$4="לא",IF(BC604="לא בוגר",0,IF(BC604="לא קיים",0,IF(J604=0,0,I604*0.1))),IF(BC604="לא בוגר",0,IF(BC604="לא קיים",0,IF(AB604=1,I604*0.1,E604*0.5)))),0),IF('חד גזעי'!$AM$4="לא",IF(BC604="לא בוגר",0,IF(BC604="לא קיים",0,IF(J604=0,0,I604*0.1))),IF(BC604="לא בוגר",0,IF(BC604="לא קיים",0,IF(AB604=1,I604*0.1,E604*0.5))))),IF(P604=0,IF(BC604="שימור",IF('חד גזעי'!$AM$4="לא",IF(BC604="לא בוגר",0,IF(BC604="לא קיים",0,IF(J604=0,0,I604*0.15))),IF(BC604="לא בוגר",0,IF(BC604="לא קיים",0,IF(AB604=1,I604*0.15,E604*0.5)))),0),IF('חד גזעי'!$AM$4="לא",IF(BC604="לא בוגר",0,IF(BC604="לא קיים",0,IF(J604=0,0,I604*0.15))),IF(BC604="לא בוגר",0,IF(BC604="לא קיים",0,IF(AB604=1,I604*0.15,E604*0.5))))))</f>
        <v>0</v>
      </c>
      <c r="V604" t="str">
        <f t="shared" si="614"/>
        <v>שווי דקל</v>
      </c>
      <c r="W604" t="str">
        <f t="shared" si="615"/>
        <v>שווי דקל</v>
      </c>
      <c r="X604">
        <f t="shared" si="616"/>
        <v>0</v>
      </c>
      <c r="Y604">
        <f>IF('חד גזעי'!$AM$2 = "לא",0,IF(F604&gt;9,W604,0))</f>
        <v>0</v>
      </c>
      <c r="Z604">
        <f>IF('חד גזעי'!$AM$7 = "לא",0,IF(C604 = "זית אירופי",IF('חד גזעי'!$AN$7 &lt;=סקר!F604,W604,0),IF(C604 = "חרוב מצוי",IF('חד גזעי'!$AN$7 &lt;=סקר!F604,W604,0),0)))</f>
        <v>0</v>
      </c>
      <c r="AC604" s="94"/>
      <c r="AD604" s="94"/>
      <c r="AE604" s="72"/>
      <c r="AF604" s="77" t="s">
        <v>767</v>
      </c>
      <c r="AG604" s="77" t="s">
        <v>768</v>
      </c>
      <c r="AH604" s="72" t="s">
        <v>762</v>
      </c>
      <c r="AI604" s="72" t="s">
        <v>763</v>
      </c>
      <c r="AJ604" s="72" t="s">
        <v>764</v>
      </c>
      <c r="AK604" s="77" t="s">
        <v>770</v>
      </c>
      <c r="AL604" t="s">
        <v>771</v>
      </c>
      <c r="AM604" s="77" t="s">
        <v>809</v>
      </c>
      <c r="AN604" s="77" t="s">
        <v>810</v>
      </c>
      <c r="AO604" s="77" t="s">
        <v>811</v>
      </c>
      <c r="AS604" s="199"/>
      <c r="AT604" s="199"/>
      <c r="AU604" s="199"/>
      <c r="AV604" s="199"/>
      <c r="AW604" s="205"/>
      <c r="AX604" s="205"/>
      <c r="AY604" s="205"/>
      <c r="AZ604" s="199"/>
      <c r="BA604" s="199"/>
      <c r="BB604" s="199"/>
      <c r="BC604" s="199"/>
      <c r="BE604">
        <f t="shared" si="639"/>
        <v>0</v>
      </c>
      <c r="BF604" s="196"/>
      <c r="BG604" s="196"/>
      <c r="BH604" s="196"/>
      <c r="BI604" s="196"/>
      <c r="BJ604" s="196"/>
      <c r="BK604" s="196"/>
    </row>
    <row r="605" spans="1:63" hidden="1">
      <c r="B605" s="72"/>
      <c r="C605" s="135"/>
      <c r="D605" s="73"/>
      <c r="E605" s="73"/>
      <c r="F605" s="72"/>
      <c r="G605" s="72"/>
      <c r="H605" s="72"/>
      <c r="I605" s="73">
        <f t="shared" ref="I605:I636" si="641">F605+(G605/2)+(H605/2)</f>
        <v>0</v>
      </c>
      <c r="J605" s="73"/>
      <c r="K605" s="73"/>
      <c r="L605" s="74" t="e">
        <f>_xlfn.IFNA(VLOOKUP(C605,'חד גזעי'!$U$3:$V$509,2,0),VLOOKUP(C605,'חד גזעי'!$U$3:$V$509,2))</f>
        <v>#N/A</v>
      </c>
      <c r="M605" s="73"/>
      <c r="N605" s="72" t="e">
        <f>_xlfn.IFNA(IF(VLOOKUP(C605,'חד גזעי'!$AH$2:$AH$7,1,FALSE)&gt;0,0,IF('חד גזעי'!$AM$5="כן",IF(_xlfn.IFNA(VLOOKUP(C605,'חד גזעי'!$AH$2:$AH$33,1,FALSE),SUM(J605:M605))&lt;21,_xlfn.IFNA(VLOOKUP(C605,'חד גזעי'!$AH$2:$AH$33,1,FALSE),SUM(J605:M605)),0),SUM(J605:M605))),IF('חד גזעי'!$AM$5="כן",IF(_xlfn.IFNA(VLOOKUP(C605,'חד גזעי'!$AH$2:$AH$33,1,FALSE),SUM(J605:M605))&lt;21,_xlfn.IFNA(VLOOKUP(C605,'חד גזעי'!$AH$2:$AH$33,1,FALSE),SUM(J605:M605)),0),SUM(J605:M605)))</f>
        <v>#N/A</v>
      </c>
      <c r="O605" s="72">
        <f>IF('חד גזעי'!$AM$3 = "כן",IF(T605&gt;4,4,T605),T605)</f>
        <v>0</v>
      </c>
      <c r="P605" s="80">
        <f>IF(E605&lt;2,0,IF(Z605&gt;0,Z605,IF(N605 = 0,0,IF('חד גזעי'!$AM$2 = "לא",IF(F605&gt;19,W605,0),IF(F605&gt;9,Y605,0)))))</f>
        <v>0</v>
      </c>
      <c r="Q605" s="77"/>
      <c r="R605" s="75"/>
      <c r="S605" t="e">
        <f>VLOOKUP(C605,'חד גזעי'!$Y$4:$Y$18,1,0)</f>
        <v>#N/A</v>
      </c>
      <c r="T605" s="72">
        <f>IF('חד גזעי'!$AM$6="לא",IF(P605=0,IF(BC605="שימור",IF('חד גזעי'!$AM$4="לא",IF(BC605="לא בוגר",0,IF(BC605="לא קיים",0,IF(J605=0,0,I605*0.1))),IF(BC605="לא בוגר",0,IF(BC605="לא קיים",0,IF(AB605=1,I605*0.1,E605*0.5)))),0),IF('חד גזעי'!$AM$4="לא",IF(BC605="לא בוגר",0,IF(BC605="לא קיים",0,IF(J605=0,0,I605*0.1))),IF(BC605="לא בוגר",0,IF(BC605="לא קיים",0,IF(AB605=1,I605*0.1,E605*0.5))))),IF(P605=0,IF(BC605="שימור",IF('חד גזעי'!$AM$4="לא",IF(BC605="לא בוגר",0,IF(BC605="לא קיים",0,IF(J605=0,0,I605*0.15))),IF(BC605="לא בוגר",0,IF(BC605="לא קיים",0,IF(AB605=1,I605*0.15,E605*0.5)))),0),IF('חד גזעי'!$AM$4="לא",IF(BC605="לא בוגר",0,IF(BC605="לא קיים",0,IF(J605=0,0,I605*0.15))),IF(BC605="לא בוגר",0,IF(BC605="לא קיים",0,IF(AB605=1,I605*0.15,E605*0.5))))))</f>
        <v>0</v>
      </c>
      <c r="V605" t="e">
        <f t="shared" si="614"/>
        <v>#N/A</v>
      </c>
      <c r="W605" t="e">
        <f t="shared" si="615"/>
        <v>#N/A</v>
      </c>
      <c r="X605" t="e">
        <f t="shared" si="616"/>
        <v>#N/A</v>
      </c>
      <c r="Y605">
        <f>IF('חד גזעי'!$AM$2 = "לא",0,IF(F605&gt;9,W605,0))</f>
        <v>0</v>
      </c>
      <c r="Z605">
        <f>IF('חד גזעי'!$AM$7 = "לא",0,IF(C605 = "זית אירופי",IF('חד גזעי'!$AN$7 &lt;=סקר!F605,W605,0),IF(C605 = "חרוב מצוי",IF('חד גזעי'!$AN$7 &lt;=סקר!F605,W605,0),0)))</f>
        <v>0</v>
      </c>
      <c r="AB605">
        <f t="shared" ref="AB605:AB636" si="642">_xlfn.IFNA(S605,1)</f>
        <v>1</v>
      </c>
      <c r="AC605" s="72"/>
      <c r="AD605" t="e">
        <f>IF(AK605&gt;0,AK605,AF605)</f>
        <v>#N/A</v>
      </c>
      <c r="AE605" s="72"/>
      <c r="AF605" s="72" t="e">
        <f t="shared" ref="AF605:AF636" si="643">((AJ605+AI605+AH605)*(AG605))*(J605*0.2)*(K605*0.2)*20</f>
        <v>#N/A</v>
      </c>
      <c r="AG605" s="72" t="e">
        <f>IF('חד גזעי'!$AM$5="לא",(VLOOKUP(C605,'חד גזעי'!$P$1:$S$589,3,FALSE)),(VLOOKUP(C605,'חד גזעי'!$P$1:$S$589,4,FALSE)))</f>
        <v>#N/A</v>
      </c>
      <c r="AH605" s="72">
        <f t="shared" ref="AH605:AH636" si="644">(3.14*((F605/2)^2))</f>
        <v>0</v>
      </c>
      <c r="AI605" s="72">
        <f t="shared" ref="AI605:AI636" si="645">3.14*(G605*G605/4)</f>
        <v>0</v>
      </c>
      <c r="AJ605" s="72">
        <f t="shared" ref="AJ605:AJ636" si="646">3.14*(H605*H605/4)</f>
        <v>0</v>
      </c>
      <c r="AK605" s="72" t="e">
        <f t="shared" ref="AK605:AK636" si="647">AL605*E605*(J605*0.2)*(0.2*K605)*1500</f>
        <v>#N/A</v>
      </c>
      <c r="AL605" t="e">
        <f>VLOOKUP(C605,'חד גזעי'!$AH$8:$AI$33,2,FALSE)</f>
        <v>#N/A</v>
      </c>
      <c r="AM605" s="72" t="b">
        <f t="shared" ref="AM605:AM636" si="648">IF(BC605="שימור",P605)</f>
        <v>0</v>
      </c>
      <c r="AN605" s="72" t="b">
        <f t="shared" ref="AN605:AN636" si="649">IF(BC605="כריתה",P605)</f>
        <v>0</v>
      </c>
      <c r="AO605" s="72" t="b">
        <f t="shared" ref="AO605:AO636" si="650">IF(BC605="העתקה",P605)</f>
        <v>0</v>
      </c>
      <c r="AS605" s="72">
        <f t="shared" ref="AS605:AS636" si="651">B605</f>
        <v>0</v>
      </c>
      <c r="AT605" s="72">
        <f t="shared" ref="AT605:AT636" si="652">C605</f>
        <v>0</v>
      </c>
      <c r="AU605" s="72">
        <f>IF(C605&gt;0,IF(D605&lt;2,1,D605),0)</f>
        <v>0</v>
      </c>
      <c r="AV605" s="72">
        <f t="shared" ref="AV605:AV636" si="653">E605</f>
        <v>0</v>
      </c>
      <c r="AW605" s="72">
        <f t="shared" ref="AW605:AW636" si="654">F605</f>
        <v>0</v>
      </c>
      <c r="AX605" s="72">
        <f t="shared" ref="AX605:AX636" si="655">G605</f>
        <v>0</v>
      </c>
      <c r="AY605" s="72">
        <f t="shared" ref="AY605:AY636" si="656">H605</f>
        <v>0</v>
      </c>
      <c r="AZ605" s="72">
        <f t="shared" ref="AZ605:AZ636" si="657">I605</f>
        <v>0</v>
      </c>
      <c r="BA605" s="72" t="e">
        <f t="shared" ref="BA605:BA636" si="658">N605</f>
        <v>#N/A</v>
      </c>
      <c r="BB605" s="72" t="e">
        <f t="shared" ref="BB605:BB636" si="659">IF(BA605&gt;6,IF(BA605&gt;13,IF(BA605&gt;16,"גבוה מאוד","גבוה"),"בינונית"),"נמוכה")</f>
        <v>#N/A</v>
      </c>
      <c r="BC605" s="77"/>
      <c r="BE605">
        <f t="shared" si="639"/>
        <v>0</v>
      </c>
      <c r="BF605" s="196"/>
      <c r="BG605" s="196"/>
      <c r="BH605" s="196"/>
      <c r="BI605" s="196"/>
      <c r="BJ605" s="196"/>
      <c r="BK605" s="196"/>
    </row>
    <row r="606" spans="1:63" hidden="1">
      <c r="B606" s="72"/>
      <c r="C606" s="135"/>
      <c r="D606" s="73"/>
      <c r="E606" s="73"/>
      <c r="F606" s="72"/>
      <c r="G606" s="72"/>
      <c r="H606" s="72"/>
      <c r="I606" s="73">
        <f t="shared" si="641"/>
        <v>0</v>
      </c>
      <c r="J606" s="73"/>
      <c r="K606" s="73"/>
      <c r="L606" s="74" t="e">
        <f>_xlfn.IFNA(VLOOKUP(C606,'חד גזעי'!$U$3:$V$509,2,0),VLOOKUP(C606,'חד גזעי'!$U$3:$V$509,2))</f>
        <v>#N/A</v>
      </c>
      <c r="M606" s="73"/>
      <c r="N606" s="72" t="e">
        <f>_xlfn.IFNA(IF(VLOOKUP(C606,'חד גזעי'!$AH$2:$AH$7,1,FALSE)&gt;0,0,IF('חד גזעי'!$AM$5="כן",IF(_xlfn.IFNA(VLOOKUP(C606,'חד גזעי'!$AH$2:$AH$33,1,FALSE),SUM(J606:M606))&lt;21,_xlfn.IFNA(VLOOKUP(C606,'חד גזעי'!$AH$2:$AH$33,1,FALSE),SUM(J606:M606)),0),SUM(J606:M606))),IF('חד גזעי'!$AM$5="כן",IF(_xlfn.IFNA(VLOOKUP(C606,'חד גזעי'!$AH$2:$AH$33,1,FALSE),SUM(J606:M606))&lt;21,_xlfn.IFNA(VLOOKUP(C606,'חד גזעי'!$AH$2:$AH$33,1,FALSE),SUM(J606:M606)),0),SUM(J606:M606)))</f>
        <v>#N/A</v>
      </c>
      <c r="O606" s="72">
        <f>IF('חד גזעי'!$AM$3 = "כן",IF(T606&gt;4,4,T606),T606)</f>
        <v>0</v>
      </c>
      <c r="P606" s="80">
        <f>IF(E606&lt;2,0,IF(Z606&gt;0,Z606,IF(N606 = 0,0,IF('חד גזעי'!$AM$2 = "לא",IF(F606&gt;19,W606,0),IF(F606&gt;9,Y606,0)))))</f>
        <v>0</v>
      </c>
      <c r="Q606" s="77"/>
      <c r="R606" s="75"/>
      <c r="S606" t="e">
        <f>VLOOKUP(C606,'חד גזעי'!$Y$4:$Y$18,1,0)</f>
        <v>#N/A</v>
      </c>
      <c r="T606" s="72">
        <f>IF('חד גזעי'!$AM$6="לא",IF(P606=0,IF(BC606="שימור",IF('חד גזעי'!$AM$4="לא",IF(BC606="לא בוגר",0,IF(BC606="לא קיים",0,IF(J606=0,0,I606*0.1))),IF(BC606="לא בוגר",0,IF(BC606="לא קיים",0,IF(AB606=1,I606*0.1,E606*0.5)))),0),IF('חד גזעי'!$AM$4="לא",IF(BC606="לא בוגר",0,IF(BC606="לא קיים",0,IF(J606=0,0,I606*0.1))),IF(BC606="לא בוגר",0,IF(BC606="לא קיים",0,IF(AB606=1,I606*0.1,E606*0.5))))),IF(P606=0,IF(BC606="שימור",IF('חד גזעי'!$AM$4="לא",IF(BC606="לא בוגר",0,IF(BC606="לא קיים",0,IF(J606=0,0,I606*0.15))),IF(BC606="לא בוגר",0,IF(BC606="לא קיים",0,IF(AB606=1,I606*0.15,E606*0.5)))),0),IF('חד גזעי'!$AM$4="לא",IF(BC606="לא בוגר",0,IF(BC606="לא קיים",0,IF(J606=0,0,I606*0.15))),IF(BC606="לא בוגר",0,IF(BC606="לא קיים",0,IF(AB606=1,I606*0.15,E606*0.5))))))</f>
        <v>0</v>
      </c>
      <c r="V606" t="e">
        <f t="shared" si="614"/>
        <v>#N/A</v>
      </c>
      <c r="W606" t="e">
        <f t="shared" si="615"/>
        <v>#N/A</v>
      </c>
      <c r="X606" t="e">
        <f t="shared" si="616"/>
        <v>#N/A</v>
      </c>
      <c r="Y606">
        <f>IF('חד גזעי'!$AM$2 = "לא",0,IF(F606&gt;9,W606,0))</f>
        <v>0</v>
      </c>
      <c r="Z606">
        <f>IF('חד גזעי'!$AM$7 = "לא",0,IF(C606 = "זית אירופי",IF('חד גזעי'!$AN$7 &lt;=סקר!F606,W606,0),IF(C606 = "חרוב מצוי",IF('חד גזעי'!$AN$7 &lt;=סקר!F606,W606,0),0)))</f>
        <v>0</v>
      </c>
      <c r="AB606">
        <f t="shared" si="642"/>
        <v>1</v>
      </c>
      <c r="AC606" s="72"/>
      <c r="AD606" t="e">
        <f t="shared" ref="AD606:AD636" si="660">IF(AK606&gt;0,AK606,AF606)</f>
        <v>#N/A</v>
      </c>
      <c r="AE606" s="72"/>
      <c r="AF606" s="72" t="e">
        <f t="shared" si="643"/>
        <v>#N/A</v>
      </c>
      <c r="AG606" s="72" t="e">
        <f>IF('חד גזעי'!$AM$5="לא",(VLOOKUP(C606,'חד גזעי'!$P$1:$S$589,3,FALSE)),(VLOOKUP(C606,'חד גזעי'!$P$1:$S$589,4,FALSE)))</f>
        <v>#N/A</v>
      </c>
      <c r="AH606" s="72">
        <f t="shared" si="644"/>
        <v>0</v>
      </c>
      <c r="AI606" s="72">
        <f t="shared" si="645"/>
        <v>0</v>
      </c>
      <c r="AJ606" s="72">
        <f t="shared" si="646"/>
        <v>0</v>
      </c>
      <c r="AK606" s="72" t="e">
        <f t="shared" si="647"/>
        <v>#N/A</v>
      </c>
      <c r="AL606" t="e">
        <f>VLOOKUP(C606,'חד גזעי'!$AH$8:$AI$33,2,FALSE)</f>
        <v>#N/A</v>
      </c>
      <c r="AM606" s="72" t="b">
        <f t="shared" si="648"/>
        <v>0</v>
      </c>
      <c r="AN606" s="72" t="b">
        <f t="shared" si="649"/>
        <v>0</v>
      </c>
      <c r="AO606" s="72" t="b">
        <f t="shared" si="650"/>
        <v>0</v>
      </c>
      <c r="AS606" s="72">
        <f t="shared" si="651"/>
        <v>0</v>
      </c>
      <c r="AT606" s="72">
        <f t="shared" si="652"/>
        <v>0</v>
      </c>
      <c r="AU606" s="72">
        <f t="shared" ref="AU606:AU636" si="661">IF(C606&gt;0,IF(D606&lt;2,1,D606),0)</f>
        <v>0</v>
      </c>
      <c r="AV606" s="72">
        <f t="shared" si="653"/>
        <v>0</v>
      </c>
      <c r="AW606" s="72">
        <f t="shared" si="654"/>
        <v>0</v>
      </c>
      <c r="AX606" s="72">
        <f t="shared" si="655"/>
        <v>0</v>
      </c>
      <c r="AY606" s="72">
        <f t="shared" si="656"/>
        <v>0</v>
      </c>
      <c r="AZ606" s="72">
        <f t="shared" si="657"/>
        <v>0</v>
      </c>
      <c r="BA606" s="72" t="e">
        <f t="shared" si="658"/>
        <v>#N/A</v>
      </c>
      <c r="BB606" s="72" t="e">
        <f t="shared" si="659"/>
        <v>#N/A</v>
      </c>
      <c r="BC606" s="77"/>
      <c r="BE606">
        <f t="shared" si="639"/>
        <v>0</v>
      </c>
      <c r="BF606" s="196"/>
      <c r="BG606" s="196"/>
      <c r="BH606" s="196"/>
      <c r="BI606" s="196"/>
      <c r="BJ606" s="196"/>
      <c r="BK606" s="196"/>
    </row>
    <row r="607" spans="1:63" hidden="1">
      <c r="B607" s="72"/>
      <c r="C607" s="135"/>
      <c r="D607" s="73"/>
      <c r="E607" s="73"/>
      <c r="F607" s="72"/>
      <c r="G607" s="72"/>
      <c r="H607" s="72"/>
      <c r="I607" s="73">
        <f t="shared" si="641"/>
        <v>0</v>
      </c>
      <c r="J607" s="73"/>
      <c r="K607" s="73"/>
      <c r="L607" s="74" t="e">
        <f>_xlfn.IFNA(VLOOKUP(C607,'חד גזעי'!$U$3:$V$509,2,0),VLOOKUP(C607,'חד גזעי'!$U$3:$V$509,2))</f>
        <v>#N/A</v>
      </c>
      <c r="M607" s="73"/>
      <c r="N607" s="72" t="e">
        <f>_xlfn.IFNA(IF(VLOOKUP(C607,'חד גזעי'!$AH$2:$AH$7,1,FALSE)&gt;0,0,IF('חד גזעי'!$AM$5="כן",IF(_xlfn.IFNA(VLOOKUP(C607,'חד גזעי'!$AH$2:$AH$33,1,FALSE),SUM(J607:M607))&lt;21,_xlfn.IFNA(VLOOKUP(C607,'חד גזעי'!$AH$2:$AH$33,1,FALSE),SUM(J607:M607)),0),SUM(J607:M607))),IF('חד גזעי'!$AM$5="כן",IF(_xlfn.IFNA(VLOOKUP(C607,'חד גזעי'!$AH$2:$AH$33,1,FALSE),SUM(J607:M607))&lt;21,_xlfn.IFNA(VLOOKUP(C607,'חד גזעי'!$AH$2:$AH$33,1,FALSE),SUM(J607:M607)),0),SUM(J607:M607)))</f>
        <v>#N/A</v>
      </c>
      <c r="O607" s="72">
        <f>IF('חד גזעי'!$AM$3 = "כן",IF(T607&gt;4,4,T607),T607)</f>
        <v>0</v>
      </c>
      <c r="P607" s="80">
        <f>IF(E607&lt;2,0,IF(Z607&gt;0,Z607,IF(N607 = 0,0,IF('חד גזעי'!$AM$2 = "לא",IF(F607&gt;19,W607,0),IF(F607&gt;9,Y607,0)))))</f>
        <v>0</v>
      </c>
      <c r="Q607" s="77"/>
      <c r="R607" s="75"/>
      <c r="S607" t="e">
        <f>VLOOKUP(C607,'חד גזעי'!$Y$4:$Y$18,1,0)</f>
        <v>#N/A</v>
      </c>
      <c r="T607" s="72">
        <f>IF('חד גזעי'!$AM$6="לא",IF(P607=0,IF(BC607="שימור",IF('חד גזעי'!$AM$4="לא",IF(BC607="לא בוגר",0,IF(BC607="לא קיים",0,IF(J607=0,0,I607*0.1))),IF(BC607="לא בוגר",0,IF(BC607="לא קיים",0,IF(AB607=1,I607*0.1,E607*0.5)))),0),IF('חד גזעי'!$AM$4="לא",IF(BC607="לא בוגר",0,IF(BC607="לא קיים",0,IF(J607=0,0,I607*0.1))),IF(BC607="לא בוגר",0,IF(BC607="לא קיים",0,IF(AB607=1,I607*0.1,E607*0.5))))),IF(P607=0,IF(BC607="שימור",IF('חד גזעי'!$AM$4="לא",IF(BC607="לא בוגר",0,IF(BC607="לא קיים",0,IF(J607=0,0,I607*0.15))),IF(BC607="לא בוגר",0,IF(BC607="לא קיים",0,IF(AB607=1,I607*0.15,E607*0.5)))),0),IF('חד גזעי'!$AM$4="לא",IF(BC607="לא בוגר",0,IF(BC607="לא קיים",0,IF(J607=0,0,I607*0.15))),IF(BC607="לא בוגר",0,IF(BC607="לא קיים",0,IF(AB607=1,I607*0.15,E607*0.5))))))</f>
        <v>0</v>
      </c>
      <c r="V607" t="e">
        <f t="shared" si="614"/>
        <v>#N/A</v>
      </c>
      <c r="W607" t="e">
        <f t="shared" si="615"/>
        <v>#N/A</v>
      </c>
      <c r="X607" t="e">
        <f t="shared" si="616"/>
        <v>#N/A</v>
      </c>
      <c r="Y607">
        <f>IF('חד גזעי'!$AM$2 = "לא",0,IF(F607&gt;9,W607,0))</f>
        <v>0</v>
      </c>
      <c r="Z607">
        <f>IF('חד גזעי'!$AM$7 = "לא",0,IF(C607 = "זית אירופי",IF('חד גזעי'!$AN$7 &lt;=סקר!F607,W607,0),IF(C607 = "חרוב מצוי",IF('חד גזעי'!$AN$7 &lt;=סקר!F607,W607,0),0)))</f>
        <v>0</v>
      </c>
      <c r="AB607">
        <f t="shared" si="642"/>
        <v>1</v>
      </c>
      <c r="AC607" s="72"/>
      <c r="AD607" t="e">
        <f t="shared" si="660"/>
        <v>#N/A</v>
      </c>
      <c r="AE607" s="72"/>
      <c r="AF607" s="72" t="e">
        <f t="shared" si="643"/>
        <v>#N/A</v>
      </c>
      <c r="AG607" s="72" t="e">
        <f>IF('חד גזעי'!$AM$5="לא",(VLOOKUP(C607,'חד גזעי'!$P$1:$S$589,3,FALSE)),(VLOOKUP(C607,'חד גזעי'!$P$1:$S$589,4,FALSE)))</f>
        <v>#N/A</v>
      </c>
      <c r="AH607" s="72">
        <f t="shared" si="644"/>
        <v>0</v>
      </c>
      <c r="AI607" s="72">
        <f t="shared" si="645"/>
        <v>0</v>
      </c>
      <c r="AJ607" s="72">
        <f t="shared" si="646"/>
        <v>0</v>
      </c>
      <c r="AK607" s="72" t="e">
        <f t="shared" si="647"/>
        <v>#N/A</v>
      </c>
      <c r="AL607" t="e">
        <f>VLOOKUP(C607,'חד גזעי'!$AH$8:$AI$33,2,FALSE)</f>
        <v>#N/A</v>
      </c>
      <c r="AM607" s="72" t="b">
        <f t="shared" si="648"/>
        <v>0</v>
      </c>
      <c r="AN607" s="72" t="b">
        <f t="shared" si="649"/>
        <v>0</v>
      </c>
      <c r="AO607" s="72" t="b">
        <f t="shared" si="650"/>
        <v>0</v>
      </c>
      <c r="AS607" s="72">
        <f t="shared" si="651"/>
        <v>0</v>
      </c>
      <c r="AT607" s="72">
        <f t="shared" si="652"/>
        <v>0</v>
      </c>
      <c r="AU607" s="72">
        <f t="shared" si="661"/>
        <v>0</v>
      </c>
      <c r="AV607" s="72">
        <f t="shared" si="653"/>
        <v>0</v>
      </c>
      <c r="AW607" s="72">
        <f t="shared" si="654"/>
        <v>0</v>
      </c>
      <c r="AX607" s="72">
        <f t="shared" si="655"/>
        <v>0</v>
      </c>
      <c r="AY607" s="72">
        <f t="shared" si="656"/>
        <v>0</v>
      </c>
      <c r="AZ607" s="72">
        <f t="shared" si="657"/>
        <v>0</v>
      </c>
      <c r="BA607" s="72" t="e">
        <f t="shared" si="658"/>
        <v>#N/A</v>
      </c>
      <c r="BB607" s="72" t="e">
        <f t="shared" si="659"/>
        <v>#N/A</v>
      </c>
      <c r="BC607" s="77"/>
      <c r="BE607">
        <f t="shared" si="639"/>
        <v>0</v>
      </c>
      <c r="BF607" s="196"/>
      <c r="BG607" s="196"/>
      <c r="BH607" s="196"/>
      <c r="BI607" s="196"/>
      <c r="BJ607" s="196"/>
      <c r="BK607" s="196"/>
    </row>
    <row r="608" spans="1:63" hidden="1">
      <c r="B608" s="72"/>
      <c r="C608" s="135"/>
      <c r="D608" s="73"/>
      <c r="E608" s="73"/>
      <c r="F608" s="72"/>
      <c r="G608" s="72"/>
      <c r="H608" s="72"/>
      <c r="I608" s="73">
        <f t="shared" si="641"/>
        <v>0</v>
      </c>
      <c r="J608" s="73"/>
      <c r="K608" s="73"/>
      <c r="L608" s="74" t="e">
        <f>_xlfn.IFNA(VLOOKUP(C608,'חד גזעי'!$U$3:$V$509,2,0),VLOOKUP(C608,'חד גזעי'!$U$3:$V$509,2))</f>
        <v>#N/A</v>
      </c>
      <c r="M608" s="73"/>
      <c r="N608" s="72" t="e">
        <f>_xlfn.IFNA(IF(VLOOKUP(C608,'חד גזעי'!$AH$2:$AH$7,1,FALSE)&gt;0,0,IF('חד גזעי'!$AM$5="כן",IF(_xlfn.IFNA(VLOOKUP(C608,'חד גזעי'!$AH$2:$AH$33,1,FALSE),SUM(J608:M608))&lt;21,_xlfn.IFNA(VLOOKUP(C608,'חד גזעי'!$AH$2:$AH$33,1,FALSE),SUM(J608:M608)),0),SUM(J608:M608))),IF('חד גזעי'!$AM$5="כן",IF(_xlfn.IFNA(VLOOKUP(C608,'חד גזעי'!$AH$2:$AH$33,1,FALSE),SUM(J608:M608))&lt;21,_xlfn.IFNA(VLOOKUP(C608,'חד גזעי'!$AH$2:$AH$33,1,FALSE),SUM(J608:M608)),0),SUM(J608:M608)))</f>
        <v>#N/A</v>
      </c>
      <c r="O608" s="72">
        <f>IF('חד גזעי'!$AM$3 = "כן",IF(T608&gt;4,4,T608),T608)</f>
        <v>0</v>
      </c>
      <c r="P608" s="80">
        <f>IF(E608&lt;2,0,IF(Z608&gt;0,Z608,IF(N608 = 0,0,IF('חד גזעי'!$AM$2 = "לא",IF(F608&gt;19,W608,0),IF(F608&gt;9,Y608,0)))))</f>
        <v>0</v>
      </c>
      <c r="Q608" s="77"/>
      <c r="R608" s="75"/>
      <c r="S608" t="e">
        <f>VLOOKUP(C608,'חד גזעי'!$Y$4:$Y$18,1,0)</f>
        <v>#N/A</v>
      </c>
      <c r="T608" s="72">
        <f>IF('חד גזעי'!$AM$6="לא",IF(P608=0,IF(BC608="שימור",IF('חד גזעי'!$AM$4="לא",IF(BC608="לא בוגר",0,IF(BC608="לא קיים",0,IF(J608=0,0,I608*0.1))),IF(BC608="לא בוגר",0,IF(BC608="לא קיים",0,IF(AB608=1,I608*0.1,E608*0.5)))),0),IF('חד גזעי'!$AM$4="לא",IF(BC608="לא בוגר",0,IF(BC608="לא קיים",0,IF(J608=0,0,I608*0.1))),IF(BC608="לא בוגר",0,IF(BC608="לא קיים",0,IF(AB608=1,I608*0.1,E608*0.5))))),IF(P608=0,IF(BC608="שימור",IF('חד גזעי'!$AM$4="לא",IF(BC608="לא בוגר",0,IF(BC608="לא קיים",0,IF(J608=0,0,I608*0.15))),IF(BC608="לא בוגר",0,IF(BC608="לא קיים",0,IF(AB608=1,I608*0.15,E608*0.5)))),0),IF('חד גזעי'!$AM$4="לא",IF(BC608="לא בוגר",0,IF(BC608="לא קיים",0,IF(J608=0,0,I608*0.15))),IF(BC608="לא בוגר",0,IF(BC608="לא קיים",0,IF(AB608=1,I608*0.15,E608*0.5))))))</f>
        <v>0</v>
      </c>
      <c r="V608" t="e">
        <f t="shared" si="614"/>
        <v>#N/A</v>
      </c>
      <c r="W608" t="e">
        <f t="shared" si="615"/>
        <v>#N/A</v>
      </c>
      <c r="X608" t="e">
        <f t="shared" si="616"/>
        <v>#N/A</v>
      </c>
      <c r="Y608">
        <f>IF('חד גזעי'!$AM$2 = "לא",0,IF(F608&gt;9,W608,0))</f>
        <v>0</v>
      </c>
      <c r="Z608">
        <f>IF('חד גזעי'!$AM$7 = "לא",0,IF(C608 = "זית אירופי",IF('חד גזעי'!$AN$7 &lt;=סקר!F608,W608,0),IF(C608 = "חרוב מצוי",IF('חד גזעי'!$AN$7 &lt;=סקר!F608,W608,0),0)))</f>
        <v>0</v>
      </c>
      <c r="AB608">
        <f t="shared" si="642"/>
        <v>1</v>
      </c>
      <c r="AC608" s="72"/>
      <c r="AD608" t="e">
        <f t="shared" si="660"/>
        <v>#N/A</v>
      </c>
      <c r="AE608" s="72"/>
      <c r="AF608" s="72" t="e">
        <f t="shared" si="643"/>
        <v>#N/A</v>
      </c>
      <c r="AG608" s="72" t="e">
        <f>IF('חד גזעי'!$AM$5="לא",(VLOOKUP(C608,'חד גזעי'!$P$1:$S$589,3,FALSE)),(VLOOKUP(C608,'חד גזעי'!$P$1:$S$589,4,FALSE)))</f>
        <v>#N/A</v>
      </c>
      <c r="AH608" s="72">
        <f t="shared" si="644"/>
        <v>0</v>
      </c>
      <c r="AI608" s="72">
        <f t="shared" si="645"/>
        <v>0</v>
      </c>
      <c r="AJ608" s="72">
        <f t="shared" si="646"/>
        <v>0</v>
      </c>
      <c r="AK608" s="72" t="e">
        <f t="shared" si="647"/>
        <v>#N/A</v>
      </c>
      <c r="AL608" t="e">
        <f>VLOOKUP(C608,'חד גזעי'!$AH$8:$AI$33,2,FALSE)</f>
        <v>#N/A</v>
      </c>
      <c r="AM608" s="72" t="b">
        <f t="shared" si="648"/>
        <v>0</v>
      </c>
      <c r="AN608" s="72" t="b">
        <f t="shared" si="649"/>
        <v>0</v>
      </c>
      <c r="AO608" s="72" t="b">
        <f t="shared" si="650"/>
        <v>0</v>
      </c>
      <c r="AS608" s="72">
        <f t="shared" si="651"/>
        <v>0</v>
      </c>
      <c r="AT608" s="72">
        <f t="shared" si="652"/>
        <v>0</v>
      </c>
      <c r="AU608" s="72">
        <f t="shared" si="661"/>
        <v>0</v>
      </c>
      <c r="AV608" s="72">
        <f t="shared" si="653"/>
        <v>0</v>
      </c>
      <c r="AW608" s="72">
        <f t="shared" si="654"/>
        <v>0</v>
      </c>
      <c r="AX608" s="72">
        <f t="shared" si="655"/>
        <v>0</v>
      </c>
      <c r="AY608" s="72">
        <f t="shared" si="656"/>
        <v>0</v>
      </c>
      <c r="AZ608" s="72">
        <f t="shared" si="657"/>
        <v>0</v>
      </c>
      <c r="BA608" s="72" t="e">
        <f t="shared" si="658"/>
        <v>#N/A</v>
      </c>
      <c r="BB608" s="72" t="e">
        <f t="shared" si="659"/>
        <v>#N/A</v>
      </c>
      <c r="BC608" s="77"/>
      <c r="BE608">
        <f t="shared" si="639"/>
        <v>0</v>
      </c>
      <c r="BF608" s="196"/>
      <c r="BG608" s="196"/>
      <c r="BH608" s="196"/>
      <c r="BI608" s="196"/>
      <c r="BJ608" s="196"/>
      <c r="BK608" s="196"/>
    </row>
    <row r="609" spans="2:63" hidden="1">
      <c r="B609" s="72"/>
      <c r="C609" s="135"/>
      <c r="D609" s="73"/>
      <c r="E609" s="73"/>
      <c r="F609" s="72"/>
      <c r="G609" s="72"/>
      <c r="H609" s="72"/>
      <c r="I609" s="73">
        <f t="shared" si="641"/>
        <v>0</v>
      </c>
      <c r="J609" s="73"/>
      <c r="K609" s="73"/>
      <c r="L609" s="74" t="e">
        <f>_xlfn.IFNA(VLOOKUP(C609,'חד גזעי'!$U$3:$V$509,2,0),VLOOKUP(C609,'חד גזעי'!$U$3:$V$509,2))</f>
        <v>#N/A</v>
      </c>
      <c r="M609" s="73"/>
      <c r="N609" s="72" t="e">
        <f>_xlfn.IFNA(IF(VLOOKUP(C609,'חד גזעי'!$AH$2:$AH$7,1,FALSE)&gt;0,0,IF('חד גזעי'!$AM$5="כן",IF(_xlfn.IFNA(VLOOKUP(C609,'חד גזעי'!$AH$2:$AH$33,1,FALSE),SUM(J609:M609))&lt;21,_xlfn.IFNA(VLOOKUP(C609,'חד גזעי'!$AH$2:$AH$33,1,FALSE),SUM(J609:M609)),0),SUM(J609:M609))),IF('חד גזעי'!$AM$5="כן",IF(_xlfn.IFNA(VLOOKUP(C609,'חד גזעי'!$AH$2:$AH$33,1,FALSE),SUM(J609:M609))&lt;21,_xlfn.IFNA(VLOOKUP(C609,'חד גזעי'!$AH$2:$AH$33,1,FALSE),SUM(J609:M609)),0),SUM(J609:M609)))</f>
        <v>#N/A</v>
      </c>
      <c r="O609" s="72">
        <f>IF('חד גזעי'!$AM$3 = "כן",IF(T609&gt;4,4,T609),T609)</f>
        <v>0</v>
      </c>
      <c r="P609" s="80">
        <f>IF(E609&lt;2,0,IF(Z609&gt;0,Z609,IF(N609 = 0,0,IF('חד גזעי'!$AM$2 = "לא",IF(F609&gt;19,W609,0),IF(F609&gt;9,Y609,0)))))</f>
        <v>0</v>
      </c>
      <c r="Q609" s="77"/>
      <c r="R609" s="75"/>
      <c r="S609" t="e">
        <f>VLOOKUP(C609,'חד גזעי'!$Y$4:$Y$18,1,0)</f>
        <v>#N/A</v>
      </c>
      <c r="T609" s="72">
        <f>IF('חד גזעי'!$AM$6="לא",IF(P609=0,IF(BC609="שימור",IF('חד גזעי'!$AM$4="לא",IF(BC609="לא בוגר",0,IF(BC609="לא קיים",0,IF(J609=0,0,I609*0.1))),IF(BC609="לא בוגר",0,IF(BC609="לא קיים",0,IF(AB609=1,I609*0.1,E609*0.5)))),0),IF('חד גזעי'!$AM$4="לא",IF(BC609="לא בוגר",0,IF(BC609="לא קיים",0,IF(J609=0,0,I609*0.1))),IF(BC609="לא בוגר",0,IF(BC609="לא קיים",0,IF(AB609=1,I609*0.1,E609*0.5))))),IF(P609=0,IF(BC609="שימור",IF('חד גזעי'!$AM$4="לא",IF(BC609="לא בוגר",0,IF(BC609="לא קיים",0,IF(J609=0,0,I609*0.15))),IF(BC609="לא בוגר",0,IF(BC609="לא קיים",0,IF(AB609=1,I609*0.15,E609*0.5)))),0),IF('חד גזעי'!$AM$4="לא",IF(BC609="לא בוגר",0,IF(BC609="לא קיים",0,IF(J609=0,0,I609*0.15))),IF(BC609="לא בוגר",0,IF(BC609="לא קיים",0,IF(AB609=1,I609*0.15,E609*0.5))))))</f>
        <v>0</v>
      </c>
      <c r="V609" t="e">
        <f t="shared" si="614"/>
        <v>#N/A</v>
      </c>
      <c r="W609" t="e">
        <f t="shared" si="615"/>
        <v>#N/A</v>
      </c>
      <c r="X609" t="e">
        <f t="shared" si="616"/>
        <v>#N/A</v>
      </c>
      <c r="Y609">
        <f>IF('חד גזעי'!$AM$2 = "לא",0,IF(F609&gt;9,W609,0))</f>
        <v>0</v>
      </c>
      <c r="Z609">
        <f>IF('חד גזעי'!$AM$7 = "לא",0,IF(C609 = "זית אירופי",IF('חד גזעי'!$AN$7 &lt;=סקר!F609,W609,0),IF(C609 = "חרוב מצוי",IF('חד גזעי'!$AN$7 &lt;=סקר!F609,W609,0),0)))</f>
        <v>0</v>
      </c>
      <c r="AB609">
        <f t="shared" si="642"/>
        <v>1</v>
      </c>
      <c r="AC609" s="72"/>
      <c r="AD609" t="e">
        <f t="shared" si="660"/>
        <v>#N/A</v>
      </c>
      <c r="AE609" s="72"/>
      <c r="AF609" s="72" t="e">
        <f t="shared" si="643"/>
        <v>#N/A</v>
      </c>
      <c r="AG609" s="72" t="e">
        <f>IF('חד גזעי'!$AM$5="לא",(VLOOKUP(C609,'חד גזעי'!$P$1:$S$589,3,FALSE)),(VLOOKUP(C609,'חד גזעי'!$P$1:$S$589,4,FALSE)))</f>
        <v>#N/A</v>
      </c>
      <c r="AH609" s="72">
        <f t="shared" si="644"/>
        <v>0</v>
      </c>
      <c r="AI609" s="72">
        <f t="shared" si="645"/>
        <v>0</v>
      </c>
      <c r="AJ609" s="72">
        <f t="shared" si="646"/>
        <v>0</v>
      </c>
      <c r="AK609" s="72" t="e">
        <f t="shared" si="647"/>
        <v>#N/A</v>
      </c>
      <c r="AL609" t="e">
        <f>VLOOKUP(C609,'חד גזעי'!$AH$8:$AI$33,2,FALSE)</f>
        <v>#N/A</v>
      </c>
      <c r="AM609" s="72" t="b">
        <f t="shared" si="648"/>
        <v>0</v>
      </c>
      <c r="AN609" s="72" t="b">
        <f t="shared" si="649"/>
        <v>0</v>
      </c>
      <c r="AO609" s="72" t="b">
        <f t="shared" si="650"/>
        <v>0</v>
      </c>
      <c r="AS609" s="72">
        <f t="shared" si="651"/>
        <v>0</v>
      </c>
      <c r="AT609" s="72">
        <f t="shared" si="652"/>
        <v>0</v>
      </c>
      <c r="AU609" s="72">
        <f t="shared" si="661"/>
        <v>0</v>
      </c>
      <c r="AV609" s="72">
        <f t="shared" si="653"/>
        <v>0</v>
      </c>
      <c r="AW609" s="72">
        <f t="shared" si="654"/>
        <v>0</v>
      </c>
      <c r="AX609" s="72">
        <f t="shared" si="655"/>
        <v>0</v>
      </c>
      <c r="AY609" s="72">
        <f t="shared" si="656"/>
        <v>0</v>
      </c>
      <c r="AZ609" s="72">
        <f t="shared" si="657"/>
        <v>0</v>
      </c>
      <c r="BA609" s="72" t="e">
        <f t="shared" si="658"/>
        <v>#N/A</v>
      </c>
      <c r="BB609" s="72" t="e">
        <f t="shared" si="659"/>
        <v>#N/A</v>
      </c>
      <c r="BC609" s="77"/>
      <c r="BE609">
        <f t="shared" si="639"/>
        <v>0</v>
      </c>
      <c r="BF609" s="196"/>
      <c r="BG609" s="196"/>
      <c r="BH609" s="196"/>
      <c r="BI609" s="196"/>
      <c r="BJ609" s="196"/>
      <c r="BK609" s="196"/>
    </row>
    <row r="610" spans="2:63" ht="12.75" hidden="1" customHeight="1">
      <c r="B610" s="72"/>
      <c r="C610" s="135"/>
      <c r="D610" s="78"/>
      <c r="E610" s="73"/>
      <c r="F610" s="72"/>
      <c r="G610" s="72"/>
      <c r="H610" s="72"/>
      <c r="I610" s="73">
        <f t="shared" si="641"/>
        <v>0</v>
      </c>
      <c r="J610" s="78"/>
      <c r="K610" s="73"/>
      <c r="L610" s="74" t="e">
        <f>_xlfn.IFNA(VLOOKUP(C610,'חד גזעי'!$U$3:$V$509,2,0),VLOOKUP(C610,'חד גזעי'!$U$3:$V$509,2))</f>
        <v>#N/A</v>
      </c>
      <c r="M610" s="73"/>
      <c r="N610" s="72" t="e">
        <f>_xlfn.IFNA(IF(VLOOKUP(C610,'חד גזעי'!$AH$2:$AH$7,1,FALSE)&gt;0,0,IF('חד גזעי'!$AM$5="כן",IF(_xlfn.IFNA(VLOOKUP(C610,'חד גזעי'!$AH$2:$AH$33,1,FALSE),SUM(J610:M610))&lt;21,_xlfn.IFNA(VLOOKUP(C610,'חד גזעי'!$AH$2:$AH$33,1,FALSE),SUM(J610:M610)),0),SUM(J610:M610))),IF('חד גזעי'!$AM$5="כן",IF(_xlfn.IFNA(VLOOKUP(C610,'חד גזעי'!$AH$2:$AH$33,1,FALSE),SUM(J610:M610))&lt;21,_xlfn.IFNA(VLOOKUP(C610,'חד גזעי'!$AH$2:$AH$33,1,FALSE),SUM(J610:M610)),0),SUM(J610:M610)))</f>
        <v>#N/A</v>
      </c>
      <c r="O610" s="72">
        <f>IF('חד גזעי'!$AM$3 = "כן",IF(T610&gt;4,4,T610),T610)</f>
        <v>0</v>
      </c>
      <c r="P610" s="80">
        <f>IF(E610&lt;2,0,IF(Z610&gt;0,Z610,IF(N610 = 0,0,IF('חד גזעי'!$AM$2 = "לא",IF(F610&gt;19,W610,0),IF(F610&gt;9,Y610,0)))))</f>
        <v>0</v>
      </c>
      <c r="Q610" s="77"/>
      <c r="R610" s="75"/>
      <c r="S610" t="e">
        <f>VLOOKUP(C610,'חד גזעי'!$Y$4:$Y$18,1,0)</f>
        <v>#N/A</v>
      </c>
      <c r="T610" s="72">
        <f>IF('חד גזעי'!$AM$6="לא",IF(P610=0,IF(BC610="שימור",IF('חד גזעי'!$AM$4="לא",IF(BC610="לא בוגר",0,IF(BC610="לא קיים",0,IF(J610=0,0,I610*0.1))),IF(BC610="לא בוגר",0,IF(BC610="לא קיים",0,IF(AB610=1,I610*0.1,E610*0.5)))),0),IF('חד גזעי'!$AM$4="לא",IF(BC610="לא בוגר",0,IF(BC610="לא קיים",0,IF(J610=0,0,I610*0.1))),IF(BC610="לא בוגר",0,IF(BC610="לא קיים",0,IF(AB610=1,I610*0.1,E610*0.5))))),IF(P610=0,IF(BC610="שימור",IF('חד גזעי'!$AM$4="לא",IF(BC610="לא בוגר",0,IF(BC610="לא קיים",0,IF(J610=0,0,I610*0.15))),IF(BC610="לא בוגר",0,IF(BC610="לא קיים",0,IF(AB610=1,I610*0.15,E610*0.5)))),0),IF('חד גזעי'!$AM$4="לא",IF(BC610="לא בוגר",0,IF(BC610="לא קיים",0,IF(J610=0,0,I610*0.15))),IF(BC610="לא בוגר",0,IF(BC610="לא קיים",0,IF(AB610=1,I610*0.15,E610*0.5))))))</f>
        <v>0</v>
      </c>
      <c r="V610" t="e">
        <f t="shared" si="614"/>
        <v>#N/A</v>
      </c>
      <c r="W610" t="e">
        <f t="shared" si="615"/>
        <v>#N/A</v>
      </c>
      <c r="X610" t="e">
        <f t="shared" si="616"/>
        <v>#N/A</v>
      </c>
      <c r="Y610">
        <f>IF('חד גזעי'!$AM$2 = "לא",0,IF(F610&gt;9,W610,0))</f>
        <v>0</v>
      </c>
      <c r="Z610">
        <f>IF('חד גזעי'!$AM$7 = "לא",0,IF(C610 = "זית אירופי",IF('חד גזעי'!$AN$7 &lt;=סקר!F610,W610,0),IF(C610 = "חרוב מצוי",IF('חד גזעי'!$AN$7 &lt;=סקר!F610,W610,0),0)))</f>
        <v>0</v>
      </c>
      <c r="AB610">
        <f t="shared" si="642"/>
        <v>1</v>
      </c>
      <c r="AC610" s="72"/>
      <c r="AD610" t="e">
        <f t="shared" si="660"/>
        <v>#N/A</v>
      </c>
      <c r="AE610" s="72"/>
      <c r="AF610" s="72" t="e">
        <f t="shared" si="643"/>
        <v>#N/A</v>
      </c>
      <c r="AG610" s="72" t="e">
        <f>IF('חד גזעי'!$AM$5="לא",(VLOOKUP(C610,'חד גזעי'!$P$1:$S$589,3,FALSE)),(VLOOKUP(C610,'חד גזעי'!$P$1:$S$589,4,FALSE)))</f>
        <v>#N/A</v>
      </c>
      <c r="AH610" s="72">
        <f t="shared" si="644"/>
        <v>0</v>
      </c>
      <c r="AI610" s="72">
        <f t="shared" si="645"/>
        <v>0</v>
      </c>
      <c r="AJ610" s="72">
        <f t="shared" si="646"/>
        <v>0</v>
      </c>
      <c r="AK610" s="72" t="e">
        <f t="shared" si="647"/>
        <v>#N/A</v>
      </c>
      <c r="AL610" t="e">
        <f>VLOOKUP(C610,'חד גזעי'!$AH$8:$AI$33,2,FALSE)</f>
        <v>#N/A</v>
      </c>
      <c r="AM610" s="72" t="b">
        <f t="shared" si="648"/>
        <v>0</v>
      </c>
      <c r="AN610" s="72" t="b">
        <f t="shared" si="649"/>
        <v>0</v>
      </c>
      <c r="AO610" s="72" t="b">
        <f t="shared" si="650"/>
        <v>0</v>
      </c>
      <c r="AS610" s="72">
        <f t="shared" si="651"/>
        <v>0</v>
      </c>
      <c r="AT610" s="72">
        <f t="shared" si="652"/>
        <v>0</v>
      </c>
      <c r="AU610" s="72">
        <f t="shared" si="661"/>
        <v>0</v>
      </c>
      <c r="AV610" s="72">
        <f t="shared" si="653"/>
        <v>0</v>
      </c>
      <c r="AW610" s="72">
        <f t="shared" si="654"/>
        <v>0</v>
      </c>
      <c r="AX610" s="72">
        <f t="shared" si="655"/>
        <v>0</v>
      </c>
      <c r="AY610" s="72">
        <f t="shared" si="656"/>
        <v>0</v>
      </c>
      <c r="AZ610" s="72">
        <f t="shared" si="657"/>
        <v>0</v>
      </c>
      <c r="BA610" s="72" t="e">
        <f t="shared" si="658"/>
        <v>#N/A</v>
      </c>
      <c r="BB610" s="72" t="e">
        <f t="shared" si="659"/>
        <v>#N/A</v>
      </c>
      <c r="BC610" s="77"/>
      <c r="BE610">
        <f t="shared" si="639"/>
        <v>0</v>
      </c>
      <c r="BF610" s="196"/>
      <c r="BG610" s="196"/>
      <c r="BH610" s="196"/>
      <c r="BI610" s="196"/>
      <c r="BJ610" s="196"/>
      <c r="BK610" s="196"/>
    </row>
    <row r="611" spans="2:63" ht="12.75" hidden="1" customHeight="1">
      <c r="B611" s="72"/>
      <c r="C611" s="135"/>
      <c r="D611" s="78"/>
      <c r="E611" s="73"/>
      <c r="F611" s="72"/>
      <c r="G611" s="72"/>
      <c r="H611" s="72"/>
      <c r="I611" s="73">
        <f t="shared" si="641"/>
        <v>0</v>
      </c>
      <c r="J611" s="78"/>
      <c r="K611" s="73"/>
      <c r="L611" s="74" t="e">
        <f>_xlfn.IFNA(VLOOKUP(C611,'חד גזעי'!$U$3:$V$509,2,0),VLOOKUP(C611,'חד גזעי'!$U$3:$V$509,2))</f>
        <v>#N/A</v>
      </c>
      <c r="M611" s="73"/>
      <c r="N611" s="72" t="e">
        <f>_xlfn.IFNA(IF(VLOOKUP(C611,'חד גזעי'!$AH$2:$AH$7,1,FALSE)&gt;0,0,IF('חד גזעי'!$AM$5="כן",IF(_xlfn.IFNA(VLOOKUP(C611,'חד גזעי'!$AH$2:$AH$33,1,FALSE),SUM(J611:M611))&lt;21,_xlfn.IFNA(VLOOKUP(C611,'חד גזעי'!$AH$2:$AH$33,1,FALSE),SUM(J611:M611)),0),SUM(J611:M611))),IF('חד גזעי'!$AM$5="כן",IF(_xlfn.IFNA(VLOOKUP(C611,'חד גזעי'!$AH$2:$AH$33,1,FALSE),SUM(J611:M611))&lt;21,_xlfn.IFNA(VLOOKUP(C611,'חד גזעי'!$AH$2:$AH$33,1,FALSE),SUM(J611:M611)),0),SUM(J611:M611)))</f>
        <v>#N/A</v>
      </c>
      <c r="O611" s="72">
        <f>IF('חד גזעי'!$AM$3 = "כן",IF(T611&gt;4,4,T611),T611)</f>
        <v>0</v>
      </c>
      <c r="P611" s="80">
        <f>IF(E611&lt;2,0,IF(Z611&gt;0,Z611,IF(N611 = 0,0,IF('חד גזעי'!$AM$2 = "לא",IF(F611&gt;19,W611,0),IF(F611&gt;9,Y611,0)))))</f>
        <v>0</v>
      </c>
      <c r="Q611" s="77"/>
      <c r="R611" s="75"/>
      <c r="S611" t="e">
        <f>VLOOKUP(C611,'חד גזעי'!$Y$4:$Y$18,1,0)</f>
        <v>#N/A</v>
      </c>
      <c r="T611" s="72">
        <f>IF('חד גזעי'!$AM$6="לא",IF(P611=0,IF(BC611="שימור",IF('חד גזעי'!$AM$4="לא",IF(BC611="לא בוגר",0,IF(BC611="לא קיים",0,IF(J611=0,0,I611*0.1))),IF(BC611="לא בוגר",0,IF(BC611="לא קיים",0,IF(AB611=1,I611*0.1,E611*0.5)))),0),IF('חד גזעי'!$AM$4="לא",IF(BC611="לא בוגר",0,IF(BC611="לא קיים",0,IF(J611=0,0,I611*0.1))),IF(BC611="לא בוגר",0,IF(BC611="לא קיים",0,IF(AB611=1,I611*0.1,E611*0.5))))),IF(P611=0,IF(BC611="שימור",IF('חד גזעי'!$AM$4="לא",IF(BC611="לא בוגר",0,IF(BC611="לא קיים",0,IF(J611=0,0,I611*0.15))),IF(BC611="לא בוגר",0,IF(BC611="לא קיים",0,IF(AB611=1,I611*0.15,E611*0.5)))),0),IF('חד גזעי'!$AM$4="לא",IF(BC611="לא בוגר",0,IF(BC611="לא קיים",0,IF(J611=0,0,I611*0.15))),IF(BC611="לא בוגר",0,IF(BC611="לא קיים",0,IF(AB611=1,I611*0.15,E611*0.5))))))</f>
        <v>0</v>
      </c>
      <c r="V611" t="e">
        <f t="shared" si="614"/>
        <v>#N/A</v>
      </c>
      <c r="W611" t="e">
        <f t="shared" si="615"/>
        <v>#N/A</v>
      </c>
      <c r="X611" t="e">
        <f t="shared" si="616"/>
        <v>#N/A</v>
      </c>
      <c r="Y611">
        <f>IF('חד גזעי'!$AM$2 = "לא",0,IF(F611&gt;9,W611,0))</f>
        <v>0</v>
      </c>
      <c r="Z611">
        <f>IF('חד גזעי'!$AM$7 = "לא",0,IF(C611 = "זית אירופי",IF('חד גזעי'!$AN$7 &lt;=סקר!F611,W611,0),IF(C611 = "חרוב מצוי",IF('חד גזעי'!$AN$7 &lt;=סקר!F611,W611,0),0)))</f>
        <v>0</v>
      </c>
      <c r="AB611">
        <f t="shared" si="642"/>
        <v>1</v>
      </c>
      <c r="AC611" s="72"/>
      <c r="AD611" t="e">
        <f t="shared" si="660"/>
        <v>#N/A</v>
      </c>
      <c r="AE611" s="72"/>
      <c r="AF611" s="72" t="e">
        <f t="shared" si="643"/>
        <v>#N/A</v>
      </c>
      <c r="AG611" s="72" t="e">
        <f>IF('חד גזעי'!$AM$5="לא",(VLOOKUP(C611,'חד גזעי'!$P$1:$S$589,3,FALSE)),(VLOOKUP(C611,'חד גזעי'!$P$1:$S$589,4,FALSE)))</f>
        <v>#N/A</v>
      </c>
      <c r="AH611" s="72">
        <f t="shared" si="644"/>
        <v>0</v>
      </c>
      <c r="AI611" s="72">
        <f t="shared" si="645"/>
        <v>0</v>
      </c>
      <c r="AJ611" s="72">
        <f t="shared" si="646"/>
        <v>0</v>
      </c>
      <c r="AK611" s="72" t="e">
        <f t="shared" si="647"/>
        <v>#N/A</v>
      </c>
      <c r="AL611" t="e">
        <f>VLOOKUP(C611,'חד גזעי'!$AH$8:$AI$33,2,FALSE)</f>
        <v>#N/A</v>
      </c>
      <c r="AM611" s="72" t="b">
        <f t="shared" si="648"/>
        <v>0</v>
      </c>
      <c r="AN611" s="72" t="b">
        <f t="shared" si="649"/>
        <v>0</v>
      </c>
      <c r="AO611" s="72" t="b">
        <f t="shared" si="650"/>
        <v>0</v>
      </c>
      <c r="AS611" s="72">
        <f t="shared" si="651"/>
        <v>0</v>
      </c>
      <c r="AT611" s="72">
        <f t="shared" si="652"/>
        <v>0</v>
      </c>
      <c r="AU611" s="72">
        <f t="shared" si="661"/>
        <v>0</v>
      </c>
      <c r="AV611" s="72">
        <f t="shared" si="653"/>
        <v>0</v>
      </c>
      <c r="AW611" s="72">
        <f t="shared" si="654"/>
        <v>0</v>
      </c>
      <c r="AX611" s="72">
        <f t="shared" si="655"/>
        <v>0</v>
      </c>
      <c r="AY611" s="72">
        <f t="shared" si="656"/>
        <v>0</v>
      </c>
      <c r="AZ611" s="72">
        <f t="shared" si="657"/>
        <v>0</v>
      </c>
      <c r="BA611" s="72" t="e">
        <f t="shared" si="658"/>
        <v>#N/A</v>
      </c>
      <c r="BB611" s="72" t="e">
        <f t="shared" si="659"/>
        <v>#N/A</v>
      </c>
      <c r="BC611" s="77"/>
      <c r="BE611">
        <f t="shared" si="639"/>
        <v>0</v>
      </c>
      <c r="BF611" s="196"/>
      <c r="BG611" s="196"/>
      <c r="BH611" s="196"/>
      <c r="BI611" s="196"/>
      <c r="BJ611" s="196"/>
      <c r="BK611" s="196"/>
    </row>
    <row r="612" spans="2:63" ht="12.75" hidden="1" customHeight="1">
      <c r="B612" s="72"/>
      <c r="C612" s="135"/>
      <c r="D612" s="78"/>
      <c r="E612" s="73"/>
      <c r="F612" s="72"/>
      <c r="G612" s="72"/>
      <c r="H612" s="72"/>
      <c r="I612" s="73">
        <f t="shared" si="641"/>
        <v>0</v>
      </c>
      <c r="J612" s="78"/>
      <c r="K612" s="73"/>
      <c r="L612" s="74" t="e">
        <f>_xlfn.IFNA(VLOOKUP(C612,'חד גזעי'!$U$3:$V$509,2,0),VLOOKUP(C612,'חד גזעי'!$U$3:$V$509,2))</f>
        <v>#N/A</v>
      </c>
      <c r="M612" s="73"/>
      <c r="N612" s="72" t="e">
        <f>_xlfn.IFNA(IF(VLOOKUP(C612,'חד גזעי'!$AH$2:$AH$7,1,FALSE)&gt;0,0,IF('חד גזעי'!$AM$5="כן",IF(_xlfn.IFNA(VLOOKUP(C612,'חד גזעי'!$AH$2:$AH$33,1,FALSE),SUM(J612:M612))&lt;21,_xlfn.IFNA(VLOOKUP(C612,'חד גזעי'!$AH$2:$AH$33,1,FALSE),SUM(J612:M612)),0),SUM(J612:M612))),IF('חד גזעי'!$AM$5="כן",IF(_xlfn.IFNA(VLOOKUP(C612,'חד גזעי'!$AH$2:$AH$33,1,FALSE),SUM(J612:M612))&lt;21,_xlfn.IFNA(VLOOKUP(C612,'חד גזעי'!$AH$2:$AH$33,1,FALSE),SUM(J612:M612)),0),SUM(J612:M612)))</f>
        <v>#N/A</v>
      </c>
      <c r="O612" s="72">
        <f>IF('חד גזעי'!$AM$3 = "כן",IF(T612&gt;4,4,T612),T612)</f>
        <v>0</v>
      </c>
      <c r="P612" s="80">
        <f>IF(E612&lt;2,0,IF(Z612&gt;0,Z612,IF(N612 = 0,0,IF('חד גזעי'!$AM$2 = "לא",IF(F612&gt;19,W612,0),IF(F612&gt;9,Y612,0)))))</f>
        <v>0</v>
      </c>
      <c r="Q612" s="77"/>
      <c r="R612" s="75"/>
      <c r="S612" t="e">
        <f>VLOOKUP(C612,'חד גזעי'!$Y$4:$Y$18,1,0)</f>
        <v>#N/A</v>
      </c>
      <c r="T612" s="72">
        <f>IF('חד גזעי'!$AM$6="לא",IF(P612=0,IF(BC612="שימור",IF('חד גזעי'!$AM$4="לא",IF(BC612="לא בוגר",0,IF(BC612="לא קיים",0,IF(J612=0,0,I612*0.1))),IF(BC612="לא בוגר",0,IF(BC612="לא קיים",0,IF(AB612=1,I612*0.1,E612*0.5)))),0),IF('חד גזעי'!$AM$4="לא",IF(BC612="לא בוגר",0,IF(BC612="לא קיים",0,IF(J612=0,0,I612*0.1))),IF(BC612="לא בוגר",0,IF(BC612="לא קיים",0,IF(AB612=1,I612*0.1,E612*0.5))))),IF(P612=0,IF(BC612="שימור",IF('חד גזעי'!$AM$4="לא",IF(BC612="לא בוגר",0,IF(BC612="לא קיים",0,IF(J612=0,0,I612*0.15))),IF(BC612="לא בוגר",0,IF(BC612="לא קיים",0,IF(AB612=1,I612*0.15,E612*0.5)))),0),IF('חד גזעי'!$AM$4="לא",IF(BC612="לא בוגר",0,IF(BC612="לא קיים",0,IF(J612=0,0,I612*0.15))),IF(BC612="לא בוגר",0,IF(BC612="לא קיים",0,IF(AB612=1,I612*0.15,E612*0.5))))))</f>
        <v>0</v>
      </c>
      <c r="V612" t="e">
        <f t="shared" si="614"/>
        <v>#N/A</v>
      </c>
      <c r="W612" t="e">
        <f t="shared" si="615"/>
        <v>#N/A</v>
      </c>
      <c r="X612" t="e">
        <f t="shared" si="616"/>
        <v>#N/A</v>
      </c>
      <c r="Y612">
        <f>IF('חד גזעי'!$AM$2 = "לא",0,IF(F612&gt;9,W612,0))</f>
        <v>0</v>
      </c>
      <c r="Z612">
        <f>IF('חד גזעי'!$AM$7 = "לא",0,IF(C612 = "זית אירופי",IF('חד גזעי'!$AN$7 &lt;=סקר!F612,W612,0),IF(C612 = "חרוב מצוי",IF('חד גזעי'!$AN$7 &lt;=סקר!F612,W612,0),0)))</f>
        <v>0</v>
      </c>
      <c r="AB612">
        <f t="shared" si="642"/>
        <v>1</v>
      </c>
      <c r="AC612" s="72"/>
      <c r="AD612" t="e">
        <f t="shared" si="660"/>
        <v>#N/A</v>
      </c>
      <c r="AE612" s="72"/>
      <c r="AF612" s="72" t="e">
        <f t="shared" si="643"/>
        <v>#N/A</v>
      </c>
      <c r="AG612" s="72" t="e">
        <f>IF('חד גזעי'!$AM$5="לא",(VLOOKUP(C612,'חד גזעי'!$P$1:$S$589,3,FALSE)),(VLOOKUP(C612,'חד גזעי'!$P$1:$S$589,4,FALSE)))</f>
        <v>#N/A</v>
      </c>
      <c r="AH612" s="72">
        <f t="shared" si="644"/>
        <v>0</v>
      </c>
      <c r="AI612" s="72">
        <f t="shared" si="645"/>
        <v>0</v>
      </c>
      <c r="AJ612" s="72">
        <f t="shared" si="646"/>
        <v>0</v>
      </c>
      <c r="AK612" s="72" t="e">
        <f t="shared" si="647"/>
        <v>#N/A</v>
      </c>
      <c r="AL612" t="e">
        <f>VLOOKUP(C612,'חד גזעי'!$AH$8:$AI$33,2,FALSE)</f>
        <v>#N/A</v>
      </c>
      <c r="AM612" s="72" t="b">
        <f t="shared" si="648"/>
        <v>0</v>
      </c>
      <c r="AN612" s="72" t="b">
        <f t="shared" si="649"/>
        <v>0</v>
      </c>
      <c r="AO612" s="72" t="b">
        <f t="shared" si="650"/>
        <v>0</v>
      </c>
      <c r="AS612" s="72">
        <f t="shared" si="651"/>
        <v>0</v>
      </c>
      <c r="AT612" s="72">
        <f t="shared" si="652"/>
        <v>0</v>
      </c>
      <c r="AU612" s="72">
        <f t="shared" si="661"/>
        <v>0</v>
      </c>
      <c r="AV612" s="72">
        <f t="shared" si="653"/>
        <v>0</v>
      </c>
      <c r="AW612" s="72">
        <f t="shared" si="654"/>
        <v>0</v>
      </c>
      <c r="AX612" s="72">
        <f t="shared" si="655"/>
        <v>0</v>
      </c>
      <c r="AY612" s="72">
        <f t="shared" si="656"/>
        <v>0</v>
      </c>
      <c r="AZ612" s="72">
        <f t="shared" si="657"/>
        <v>0</v>
      </c>
      <c r="BA612" s="72" t="e">
        <f t="shared" si="658"/>
        <v>#N/A</v>
      </c>
      <c r="BB612" s="72" t="e">
        <f t="shared" si="659"/>
        <v>#N/A</v>
      </c>
      <c r="BC612" s="77"/>
      <c r="BE612">
        <f t="shared" si="639"/>
        <v>0</v>
      </c>
      <c r="BF612" s="196"/>
      <c r="BG612" s="196"/>
      <c r="BH612" s="196"/>
      <c r="BI612" s="196"/>
      <c r="BJ612" s="196"/>
      <c r="BK612" s="196"/>
    </row>
    <row r="613" spans="2:63" ht="12.75" hidden="1" customHeight="1">
      <c r="B613" s="72"/>
      <c r="C613" s="135"/>
      <c r="D613" s="78"/>
      <c r="E613" s="73"/>
      <c r="F613" s="72"/>
      <c r="G613" s="72"/>
      <c r="H613" s="72"/>
      <c r="I613" s="73">
        <f t="shared" si="641"/>
        <v>0</v>
      </c>
      <c r="J613" s="78"/>
      <c r="K613" s="73"/>
      <c r="L613" s="74" t="e">
        <f>_xlfn.IFNA(VLOOKUP(C613,'חד גזעי'!$U$3:$V$509,2,0),VLOOKUP(C613,'חד גזעי'!$U$3:$V$509,2))</f>
        <v>#N/A</v>
      </c>
      <c r="M613" s="73"/>
      <c r="N613" s="72" t="e">
        <f>_xlfn.IFNA(IF(VLOOKUP(C613,'חד גזעי'!$AH$2:$AH$7,1,FALSE)&gt;0,0,IF('חד גזעי'!$AM$5="כן",IF(_xlfn.IFNA(VLOOKUP(C613,'חד גזעי'!$AH$2:$AH$33,1,FALSE),SUM(J613:M613))&lt;21,_xlfn.IFNA(VLOOKUP(C613,'חד גזעי'!$AH$2:$AH$33,1,FALSE),SUM(J613:M613)),0),SUM(J613:M613))),IF('חד גזעי'!$AM$5="כן",IF(_xlfn.IFNA(VLOOKUP(C613,'חד גזעי'!$AH$2:$AH$33,1,FALSE),SUM(J613:M613))&lt;21,_xlfn.IFNA(VLOOKUP(C613,'חד גזעי'!$AH$2:$AH$33,1,FALSE),SUM(J613:M613)),0),SUM(J613:M613)))</f>
        <v>#N/A</v>
      </c>
      <c r="O613" s="72">
        <f>IF('חד גזעי'!$AM$3 = "כן",IF(T613&gt;4,4,T613),T613)</f>
        <v>0</v>
      </c>
      <c r="P613" s="80">
        <f>IF(E613&lt;2,0,IF(Z613&gt;0,Z613,IF(N613 = 0,0,IF('חד גזעי'!$AM$2 = "לא",IF(F613&gt;19,W613,0),IF(F613&gt;9,Y613,0)))))</f>
        <v>0</v>
      </c>
      <c r="Q613" s="77"/>
      <c r="R613" s="75"/>
      <c r="S613" t="e">
        <f>VLOOKUP(C613,'חד גזעי'!$Y$4:$Y$18,1,0)</f>
        <v>#N/A</v>
      </c>
      <c r="T613" s="72">
        <f>IF('חד גזעי'!$AM$6="לא",IF(P613=0,IF(BC613="שימור",IF('חד גזעי'!$AM$4="לא",IF(BC613="לא בוגר",0,IF(BC613="לא קיים",0,IF(J613=0,0,I613*0.1))),IF(BC613="לא בוגר",0,IF(BC613="לא קיים",0,IF(AB613=1,I613*0.1,E613*0.5)))),0),IF('חד גזעי'!$AM$4="לא",IF(BC613="לא בוגר",0,IF(BC613="לא קיים",0,IF(J613=0,0,I613*0.1))),IF(BC613="לא בוגר",0,IF(BC613="לא קיים",0,IF(AB613=1,I613*0.1,E613*0.5))))),IF(P613=0,IF(BC613="שימור",IF('חד גזעי'!$AM$4="לא",IF(BC613="לא בוגר",0,IF(BC613="לא קיים",0,IF(J613=0,0,I613*0.15))),IF(BC613="לא בוגר",0,IF(BC613="לא קיים",0,IF(AB613=1,I613*0.15,E613*0.5)))),0),IF('חד גזעי'!$AM$4="לא",IF(BC613="לא בוגר",0,IF(BC613="לא קיים",0,IF(J613=0,0,I613*0.15))),IF(BC613="לא בוגר",0,IF(BC613="לא קיים",0,IF(AB613=1,I613*0.15,E613*0.5))))))</f>
        <v>0</v>
      </c>
      <c r="V613" t="e">
        <f t="shared" si="614"/>
        <v>#N/A</v>
      </c>
      <c r="W613" t="e">
        <f t="shared" si="615"/>
        <v>#N/A</v>
      </c>
      <c r="X613" t="e">
        <f t="shared" si="616"/>
        <v>#N/A</v>
      </c>
      <c r="Y613">
        <f>IF('חד גזעי'!$AM$2 = "לא",0,IF(F613&gt;9,W613,0))</f>
        <v>0</v>
      </c>
      <c r="Z613">
        <f>IF('חד גזעי'!$AM$7 = "לא",0,IF(C613 = "זית אירופי",IF('חד גזעי'!$AN$7 &lt;=סקר!F613,W613,0),IF(C613 = "חרוב מצוי",IF('חד גזעי'!$AN$7 &lt;=סקר!F613,W613,0),0)))</f>
        <v>0</v>
      </c>
      <c r="AB613">
        <f t="shared" si="642"/>
        <v>1</v>
      </c>
      <c r="AC613" s="72"/>
      <c r="AD613" t="e">
        <f t="shared" si="660"/>
        <v>#N/A</v>
      </c>
      <c r="AE613" s="72"/>
      <c r="AF613" s="72" t="e">
        <f t="shared" si="643"/>
        <v>#N/A</v>
      </c>
      <c r="AG613" s="72" t="e">
        <f>IF('חד גזעי'!$AM$5="לא",(VLOOKUP(C613,'חד גזעי'!$P$1:$S$589,3,FALSE)),(VLOOKUP(C613,'חד גזעי'!$P$1:$S$589,4,FALSE)))</f>
        <v>#N/A</v>
      </c>
      <c r="AH613" s="72">
        <f t="shared" si="644"/>
        <v>0</v>
      </c>
      <c r="AI613" s="72">
        <f t="shared" si="645"/>
        <v>0</v>
      </c>
      <c r="AJ613" s="72">
        <f t="shared" si="646"/>
        <v>0</v>
      </c>
      <c r="AK613" s="72" t="e">
        <f t="shared" si="647"/>
        <v>#N/A</v>
      </c>
      <c r="AL613" t="e">
        <f>VLOOKUP(C613,'חד גזעי'!$AH$8:$AI$33,2,FALSE)</f>
        <v>#N/A</v>
      </c>
      <c r="AM613" s="72" t="b">
        <f t="shared" si="648"/>
        <v>0</v>
      </c>
      <c r="AN613" s="72" t="b">
        <f t="shared" si="649"/>
        <v>0</v>
      </c>
      <c r="AO613" s="72" t="b">
        <f t="shared" si="650"/>
        <v>0</v>
      </c>
      <c r="AS613" s="72">
        <f t="shared" si="651"/>
        <v>0</v>
      </c>
      <c r="AT613" s="72">
        <f t="shared" si="652"/>
        <v>0</v>
      </c>
      <c r="AU613" s="72">
        <f t="shared" si="661"/>
        <v>0</v>
      </c>
      <c r="AV613" s="72">
        <f t="shared" si="653"/>
        <v>0</v>
      </c>
      <c r="AW613" s="72">
        <f t="shared" si="654"/>
        <v>0</v>
      </c>
      <c r="AX613" s="72">
        <f t="shared" si="655"/>
        <v>0</v>
      </c>
      <c r="AY613" s="72">
        <f t="shared" si="656"/>
        <v>0</v>
      </c>
      <c r="AZ613" s="72">
        <f t="shared" si="657"/>
        <v>0</v>
      </c>
      <c r="BA613" s="72" t="e">
        <f t="shared" si="658"/>
        <v>#N/A</v>
      </c>
      <c r="BB613" s="72" t="e">
        <f t="shared" si="659"/>
        <v>#N/A</v>
      </c>
      <c r="BC613" s="77"/>
      <c r="BE613">
        <f t="shared" si="639"/>
        <v>0</v>
      </c>
      <c r="BF613" s="196"/>
      <c r="BG613" s="196"/>
      <c r="BH613" s="196"/>
      <c r="BI613" s="196"/>
      <c r="BJ613" s="196"/>
      <c r="BK613" s="196"/>
    </row>
    <row r="614" spans="2:63" ht="12.75" hidden="1" customHeight="1">
      <c r="B614" s="72"/>
      <c r="C614" s="135"/>
      <c r="D614" s="78"/>
      <c r="E614" s="78"/>
      <c r="F614" s="72"/>
      <c r="G614" s="72"/>
      <c r="H614" s="72"/>
      <c r="I614" s="73">
        <f t="shared" si="641"/>
        <v>0</v>
      </c>
      <c r="J614" s="78"/>
      <c r="K614" s="73"/>
      <c r="L614" s="74" t="e">
        <f>_xlfn.IFNA(VLOOKUP(C614,'חד גזעי'!$U$3:$V$509,2,0),VLOOKUP(C614,'חד גזעי'!$U$3:$V$509,2))</f>
        <v>#N/A</v>
      </c>
      <c r="M614" s="73"/>
      <c r="N614" s="72" t="e">
        <f>_xlfn.IFNA(IF(VLOOKUP(C614,'חד גזעי'!$AH$2:$AH$7,1,FALSE)&gt;0,0,IF('חד גזעי'!$AM$5="כן",IF(_xlfn.IFNA(VLOOKUP(C614,'חד גזעי'!$AH$2:$AH$33,1,FALSE),SUM(J614:M614))&lt;21,_xlfn.IFNA(VLOOKUP(C614,'חד גזעי'!$AH$2:$AH$33,1,FALSE),SUM(J614:M614)),0),SUM(J614:M614))),IF('חד גזעי'!$AM$5="כן",IF(_xlfn.IFNA(VLOOKUP(C614,'חד גזעי'!$AH$2:$AH$33,1,FALSE),SUM(J614:M614))&lt;21,_xlfn.IFNA(VLOOKUP(C614,'חד גזעי'!$AH$2:$AH$33,1,FALSE),SUM(J614:M614)),0),SUM(J614:M614)))</f>
        <v>#N/A</v>
      </c>
      <c r="O614" s="72">
        <f>IF('חד גזעי'!$AM$3 = "כן",IF(T614&gt;4,4,T614),T614)</f>
        <v>0</v>
      </c>
      <c r="P614" s="80">
        <f>IF(E614&lt;2,0,IF(Z614&gt;0,Z614,IF(N614 = 0,0,IF('חד גזעי'!$AM$2 = "לא",IF(F614&gt;19,W614,0),IF(F614&gt;9,Y614,0)))))</f>
        <v>0</v>
      </c>
      <c r="Q614" s="77"/>
      <c r="R614" s="75"/>
      <c r="S614" t="e">
        <f>VLOOKUP(C614,'חד גזעי'!$Y$4:$Y$18,1,0)</f>
        <v>#N/A</v>
      </c>
      <c r="T614" s="72">
        <f>IF('חד גזעי'!$AM$6="לא",IF(P614=0,IF(BC614="שימור",IF('חד גזעי'!$AM$4="לא",IF(BC614="לא בוגר",0,IF(BC614="לא קיים",0,IF(J614=0,0,I614*0.1))),IF(BC614="לא בוגר",0,IF(BC614="לא קיים",0,IF(AB614=1,I614*0.1,E614*0.5)))),0),IF('חד גזעי'!$AM$4="לא",IF(BC614="לא בוגר",0,IF(BC614="לא קיים",0,IF(J614=0,0,I614*0.1))),IF(BC614="לא בוגר",0,IF(BC614="לא קיים",0,IF(AB614=1,I614*0.1,E614*0.5))))),IF(P614=0,IF(BC614="שימור",IF('חד גזעי'!$AM$4="לא",IF(BC614="לא בוגר",0,IF(BC614="לא קיים",0,IF(J614=0,0,I614*0.15))),IF(BC614="לא בוגר",0,IF(BC614="לא קיים",0,IF(AB614=1,I614*0.15,E614*0.5)))),0),IF('חד גזעי'!$AM$4="לא",IF(BC614="לא בוגר",0,IF(BC614="לא קיים",0,IF(J614=0,0,I614*0.15))),IF(BC614="לא בוגר",0,IF(BC614="לא קיים",0,IF(AB614=1,I614*0.15,E614*0.5))))))</f>
        <v>0</v>
      </c>
      <c r="V614" t="e">
        <f t="shared" si="614"/>
        <v>#N/A</v>
      </c>
      <c r="W614" t="e">
        <f t="shared" si="615"/>
        <v>#N/A</v>
      </c>
      <c r="X614" t="e">
        <f t="shared" si="616"/>
        <v>#N/A</v>
      </c>
      <c r="Y614">
        <f>IF('חד גזעי'!$AM$2 = "לא",0,IF(F614&gt;9,W614,0))</f>
        <v>0</v>
      </c>
      <c r="Z614">
        <f>IF('חד גזעי'!$AM$7 = "לא",0,IF(C614 = "זית אירופי",IF('חד גזעי'!$AN$7 &lt;=סקר!F614,W614,0),IF(C614 = "חרוב מצוי",IF('חד גזעי'!$AN$7 &lt;=סקר!F614,W614,0),0)))</f>
        <v>0</v>
      </c>
      <c r="AB614">
        <f t="shared" si="642"/>
        <v>1</v>
      </c>
      <c r="AC614" s="72"/>
      <c r="AD614" t="e">
        <f t="shared" si="660"/>
        <v>#N/A</v>
      </c>
      <c r="AE614" s="72"/>
      <c r="AF614" s="72" t="e">
        <f t="shared" si="643"/>
        <v>#N/A</v>
      </c>
      <c r="AG614" s="72" t="e">
        <f>IF('חד גזעי'!$AM$5="לא",(VLOOKUP(C614,'חד גזעי'!$P$1:$S$589,3,FALSE)),(VLOOKUP(C614,'חד גזעי'!$P$1:$S$589,4,FALSE)))</f>
        <v>#N/A</v>
      </c>
      <c r="AH614" s="72">
        <f t="shared" si="644"/>
        <v>0</v>
      </c>
      <c r="AI614" s="72">
        <f t="shared" si="645"/>
        <v>0</v>
      </c>
      <c r="AJ614" s="72">
        <f t="shared" si="646"/>
        <v>0</v>
      </c>
      <c r="AK614" s="72" t="e">
        <f t="shared" si="647"/>
        <v>#N/A</v>
      </c>
      <c r="AL614" t="e">
        <f>VLOOKUP(C614,'חד גזעי'!$AH$8:$AI$33,2,FALSE)</f>
        <v>#N/A</v>
      </c>
      <c r="AM614" s="72" t="b">
        <f t="shared" si="648"/>
        <v>0</v>
      </c>
      <c r="AN614" s="72" t="b">
        <f t="shared" si="649"/>
        <v>0</v>
      </c>
      <c r="AO614" s="72" t="b">
        <f t="shared" si="650"/>
        <v>0</v>
      </c>
      <c r="AS614" s="72">
        <f t="shared" si="651"/>
        <v>0</v>
      </c>
      <c r="AT614" s="72">
        <f t="shared" si="652"/>
        <v>0</v>
      </c>
      <c r="AU614" s="72">
        <f t="shared" si="661"/>
        <v>0</v>
      </c>
      <c r="AV614" s="72">
        <f t="shared" si="653"/>
        <v>0</v>
      </c>
      <c r="AW614" s="72">
        <f t="shared" si="654"/>
        <v>0</v>
      </c>
      <c r="AX614" s="72">
        <f t="shared" si="655"/>
        <v>0</v>
      </c>
      <c r="AY614" s="72">
        <f t="shared" si="656"/>
        <v>0</v>
      </c>
      <c r="AZ614" s="72">
        <f t="shared" si="657"/>
        <v>0</v>
      </c>
      <c r="BA614" s="72" t="e">
        <f t="shared" si="658"/>
        <v>#N/A</v>
      </c>
      <c r="BB614" s="72" t="e">
        <f t="shared" si="659"/>
        <v>#N/A</v>
      </c>
      <c r="BC614" s="77"/>
      <c r="BE614">
        <f t="shared" si="639"/>
        <v>0</v>
      </c>
      <c r="BF614" s="196"/>
      <c r="BG614" s="196"/>
      <c r="BH614" s="196"/>
      <c r="BI614" s="196"/>
      <c r="BJ614" s="196"/>
      <c r="BK614" s="196"/>
    </row>
    <row r="615" spans="2:63" hidden="1">
      <c r="B615" s="72"/>
      <c r="C615" s="135"/>
      <c r="D615" s="78"/>
      <c r="E615" s="78"/>
      <c r="F615" s="72"/>
      <c r="G615" s="72"/>
      <c r="H615" s="72"/>
      <c r="I615" s="73">
        <f t="shared" si="641"/>
        <v>0</v>
      </c>
      <c r="J615" s="78"/>
      <c r="K615" s="73"/>
      <c r="L615" s="74" t="e">
        <f>_xlfn.IFNA(VLOOKUP(C615,'חד גזעי'!$U$3:$V$509,2,0),VLOOKUP(C615,'חד גזעי'!$U$3:$V$509,2))</f>
        <v>#N/A</v>
      </c>
      <c r="M615" s="73"/>
      <c r="N615" s="72" t="e">
        <f>_xlfn.IFNA(IF(VLOOKUP(C615,'חד גזעי'!$AH$2:$AH$7,1,FALSE)&gt;0,0,IF('חד גזעי'!$AM$5="כן",IF(_xlfn.IFNA(VLOOKUP(C615,'חד גזעי'!$AH$2:$AH$33,1,FALSE),SUM(J615:M615))&lt;21,_xlfn.IFNA(VLOOKUP(C615,'חד גזעי'!$AH$2:$AH$33,1,FALSE),SUM(J615:M615)),0),SUM(J615:M615))),IF('חד גזעי'!$AM$5="כן",IF(_xlfn.IFNA(VLOOKUP(C615,'חד גזעי'!$AH$2:$AH$33,1,FALSE),SUM(J615:M615))&lt;21,_xlfn.IFNA(VLOOKUP(C615,'חד גזעי'!$AH$2:$AH$33,1,FALSE),SUM(J615:M615)),0),SUM(J615:M615)))</f>
        <v>#N/A</v>
      </c>
      <c r="O615" s="72">
        <f>IF('חד גזעי'!$AM$3 = "כן",IF(T615&gt;4,4,T615),T615)</f>
        <v>0</v>
      </c>
      <c r="P615" s="80">
        <f>IF(E615&lt;2,0,IF(Z615&gt;0,Z615,IF(N615 = 0,0,IF('חד גזעי'!$AM$2 = "לא",IF(F615&gt;19,W615,0),IF(F615&gt;9,Y615,0)))))</f>
        <v>0</v>
      </c>
      <c r="Q615" s="77"/>
      <c r="R615" s="75"/>
      <c r="S615" t="e">
        <f>VLOOKUP(C615,'חד גזעי'!$Y$4:$Y$18,1,0)</f>
        <v>#N/A</v>
      </c>
      <c r="T615" s="72">
        <f>IF('חד גזעי'!$AM$6="לא",IF(P615=0,IF(BC615="שימור",IF('חד גזעי'!$AM$4="לא",IF(BC615="לא בוגר",0,IF(BC615="לא קיים",0,IF(J615=0,0,I615*0.1))),IF(BC615="לא בוגר",0,IF(BC615="לא קיים",0,IF(AB615=1,I615*0.1,E615*0.5)))),0),IF('חד גזעי'!$AM$4="לא",IF(BC615="לא בוגר",0,IF(BC615="לא קיים",0,IF(J615=0,0,I615*0.1))),IF(BC615="לא בוגר",0,IF(BC615="לא קיים",0,IF(AB615=1,I615*0.1,E615*0.5))))),IF(P615=0,IF(BC615="שימור",IF('חד גזעי'!$AM$4="לא",IF(BC615="לא בוגר",0,IF(BC615="לא קיים",0,IF(J615=0,0,I615*0.15))),IF(BC615="לא בוגר",0,IF(BC615="לא קיים",0,IF(AB615=1,I615*0.15,E615*0.5)))),0),IF('חד גזעי'!$AM$4="לא",IF(BC615="לא בוגר",0,IF(BC615="לא קיים",0,IF(J615=0,0,I615*0.15))),IF(BC615="לא בוגר",0,IF(BC615="לא קיים",0,IF(AB615=1,I615*0.15,E615*0.5))))))</f>
        <v>0</v>
      </c>
      <c r="V615" t="e">
        <f t="shared" si="614"/>
        <v>#N/A</v>
      </c>
      <c r="W615" t="e">
        <f t="shared" si="615"/>
        <v>#N/A</v>
      </c>
      <c r="X615" t="e">
        <f t="shared" si="616"/>
        <v>#N/A</v>
      </c>
      <c r="Y615">
        <f>IF('חד גזעי'!$AM$2 = "לא",0,IF(F615&gt;9,W615,0))</f>
        <v>0</v>
      </c>
      <c r="Z615">
        <f>IF('חד גזעי'!$AM$7 = "לא",0,IF(C615 = "זית אירופי",IF('חד גזעי'!$AN$7 &lt;=סקר!F615,W615,0),IF(C615 = "חרוב מצוי",IF('חד גזעי'!$AN$7 &lt;=סקר!F615,W615,0),0)))</f>
        <v>0</v>
      </c>
      <c r="AB615">
        <f t="shared" si="642"/>
        <v>1</v>
      </c>
      <c r="AC615" s="72"/>
      <c r="AD615" t="e">
        <f t="shared" si="660"/>
        <v>#N/A</v>
      </c>
      <c r="AE615" s="72"/>
      <c r="AF615" s="72" t="e">
        <f t="shared" si="643"/>
        <v>#N/A</v>
      </c>
      <c r="AG615" s="72" t="e">
        <f>IF('חד גזעי'!$AM$5="לא",(VLOOKUP(C615,'חד גזעי'!$P$1:$S$589,3,FALSE)),(VLOOKUP(C615,'חד גזעי'!$P$1:$S$589,4,FALSE)))</f>
        <v>#N/A</v>
      </c>
      <c r="AH615" s="72">
        <f t="shared" si="644"/>
        <v>0</v>
      </c>
      <c r="AI615" s="72">
        <f t="shared" si="645"/>
        <v>0</v>
      </c>
      <c r="AJ615" s="72">
        <f t="shared" si="646"/>
        <v>0</v>
      </c>
      <c r="AK615" s="72" t="e">
        <f t="shared" si="647"/>
        <v>#N/A</v>
      </c>
      <c r="AL615" t="e">
        <f>VLOOKUP(C615,'חד גזעי'!$AH$8:$AI$33,2,FALSE)</f>
        <v>#N/A</v>
      </c>
      <c r="AM615" s="72" t="b">
        <f t="shared" si="648"/>
        <v>0</v>
      </c>
      <c r="AN615" s="72" t="b">
        <f t="shared" si="649"/>
        <v>0</v>
      </c>
      <c r="AO615" s="72" t="b">
        <f t="shared" si="650"/>
        <v>0</v>
      </c>
      <c r="AS615" s="72">
        <f t="shared" si="651"/>
        <v>0</v>
      </c>
      <c r="AT615" s="72">
        <f t="shared" si="652"/>
        <v>0</v>
      </c>
      <c r="AU615" s="72">
        <f t="shared" si="661"/>
        <v>0</v>
      </c>
      <c r="AV615" s="72">
        <f t="shared" si="653"/>
        <v>0</v>
      </c>
      <c r="AW615" s="72">
        <f t="shared" si="654"/>
        <v>0</v>
      </c>
      <c r="AX615" s="72">
        <f t="shared" si="655"/>
        <v>0</v>
      </c>
      <c r="AY615" s="72">
        <f t="shared" si="656"/>
        <v>0</v>
      </c>
      <c r="AZ615" s="72">
        <f t="shared" si="657"/>
        <v>0</v>
      </c>
      <c r="BA615" s="72" t="e">
        <f t="shared" si="658"/>
        <v>#N/A</v>
      </c>
      <c r="BB615" s="72" t="e">
        <f t="shared" si="659"/>
        <v>#N/A</v>
      </c>
      <c r="BC615" s="77"/>
      <c r="BE615">
        <f t="shared" si="639"/>
        <v>0</v>
      </c>
      <c r="BF615" s="196"/>
      <c r="BG615" s="196"/>
      <c r="BH615" s="196"/>
      <c r="BI615" s="196"/>
      <c r="BJ615" s="196"/>
      <c r="BK615" s="196"/>
    </row>
    <row r="616" spans="2:63" hidden="1">
      <c r="B616" s="72"/>
      <c r="C616" s="135"/>
      <c r="D616" s="78"/>
      <c r="E616" s="78"/>
      <c r="F616" s="72"/>
      <c r="G616" s="72"/>
      <c r="H616" s="72"/>
      <c r="I616" s="73">
        <f t="shared" si="641"/>
        <v>0</v>
      </c>
      <c r="J616" s="78"/>
      <c r="K616" s="73"/>
      <c r="L616" s="74" t="e">
        <f>_xlfn.IFNA(VLOOKUP(C616,'חד גזעי'!$U$3:$V$509,2,0),VLOOKUP(C616,'חד גזעי'!$U$3:$V$509,2))</f>
        <v>#N/A</v>
      </c>
      <c r="M616" s="73"/>
      <c r="N616" s="72" t="e">
        <f>_xlfn.IFNA(IF(VLOOKUP(C616,'חד גזעי'!$AH$2:$AH$7,1,FALSE)&gt;0,0,IF('חד גזעי'!$AM$5="כן",IF(_xlfn.IFNA(VLOOKUP(C616,'חד גזעי'!$AH$2:$AH$33,1,FALSE),SUM(J616:M616))&lt;21,_xlfn.IFNA(VLOOKUP(C616,'חד גזעי'!$AH$2:$AH$33,1,FALSE),SUM(J616:M616)),0),SUM(J616:M616))),IF('חד גזעי'!$AM$5="כן",IF(_xlfn.IFNA(VLOOKUP(C616,'חד גזעי'!$AH$2:$AH$33,1,FALSE),SUM(J616:M616))&lt;21,_xlfn.IFNA(VLOOKUP(C616,'חד גזעי'!$AH$2:$AH$33,1,FALSE),SUM(J616:M616)),0),SUM(J616:M616)))</f>
        <v>#N/A</v>
      </c>
      <c r="O616" s="72">
        <f>IF('חד גזעי'!$AM$3 = "כן",IF(T616&gt;4,4,T616),T616)</f>
        <v>0</v>
      </c>
      <c r="P616" s="80">
        <f>IF(E616&lt;2,0,IF(Z616&gt;0,Z616,IF(N616 = 0,0,IF('חד גזעי'!$AM$2 = "לא",IF(F616&gt;19,W616,0),IF(F616&gt;9,Y616,0)))))</f>
        <v>0</v>
      </c>
      <c r="Q616" s="77"/>
      <c r="R616" s="75"/>
      <c r="S616" t="e">
        <f>VLOOKUP(C616,'חד גזעי'!$Y$4:$Y$18,1,0)</f>
        <v>#N/A</v>
      </c>
      <c r="T616" s="72">
        <f>IF('חד גזעי'!$AM$6="לא",IF(P616=0,IF(BC616="שימור",IF('חד גזעי'!$AM$4="לא",IF(BC616="לא בוגר",0,IF(BC616="לא קיים",0,IF(J616=0,0,I616*0.1))),IF(BC616="לא בוגר",0,IF(BC616="לא קיים",0,IF(AB616=1,I616*0.1,E616*0.5)))),0),IF('חד גזעי'!$AM$4="לא",IF(BC616="לא בוגר",0,IF(BC616="לא קיים",0,IF(J616=0,0,I616*0.1))),IF(BC616="לא בוגר",0,IF(BC616="לא קיים",0,IF(AB616=1,I616*0.1,E616*0.5))))),IF(P616=0,IF(BC616="שימור",IF('חד גזעי'!$AM$4="לא",IF(BC616="לא בוגר",0,IF(BC616="לא קיים",0,IF(J616=0,0,I616*0.15))),IF(BC616="לא בוגר",0,IF(BC616="לא קיים",0,IF(AB616=1,I616*0.15,E616*0.5)))),0),IF('חד גזעי'!$AM$4="לא",IF(BC616="לא בוגר",0,IF(BC616="לא קיים",0,IF(J616=0,0,I616*0.15))),IF(BC616="לא בוגר",0,IF(BC616="לא קיים",0,IF(AB616=1,I616*0.15,E616*0.5))))))</f>
        <v>0</v>
      </c>
      <c r="V616" t="e">
        <f t="shared" si="614"/>
        <v>#N/A</v>
      </c>
      <c r="W616" t="e">
        <f t="shared" si="615"/>
        <v>#N/A</v>
      </c>
      <c r="X616" t="e">
        <f t="shared" si="616"/>
        <v>#N/A</v>
      </c>
      <c r="Y616">
        <f>IF('חד גזעי'!$AM$2 = "לא",0,IF(F616&gt;9,W616,0))</f>
        <v>0</v>
      </c>
      <c r="Z616">
        <f>IF('חד גזעי'!$AM$7 = "לא",0,IF(C616 = "זית אירופי",IF('חד גזעי'!$AN$7 &lt;=סקר!F616,W616,0),IF(C616 = "חרוב מצוי",IF('חד גזעי'!$AN$7 &lt;=סקר!F616,W616,0),0)))</f>
        <v>0</v>
      </c>
      <c r="AB616">
        <f t="shared" si="642"/>
        <v>1</v>
      </c>
      <c r="AC616" s="72"/>
      <c r="AD616" t="e">
        <f t="shared" si="660"/>
        <v>#N/A</v>
      </c>
      <c r="AE616" s="72"/>
      <c r="AF616" s="72" t="e">
        <f t="shared" si="643"/>
        <v>#N/A</v>
      </c>
      <c r="AG616" s="72" t="e">
        <f>IF('חד גזעי'!$AM$5="לא",(VLOOKUP(C616,'חד גזעי'!$P$1:$S$589,3,FALSE)),(VLOOKUP(C616,'חד גזעי'!$P$1:$S$589,4,FALSE)))</f>
        <v>#N/A</v>
      </c>
      <c r="AH616" s="72">
        <f t="shared" si="644"/>
        <v>0</v>
      </c>
      <c r="AI616" s="72">
        <f t="shared" si="645"/>
        <v>0</v>
      </c>
      <c r="AJ616" s="72">
        <f t="shared" si="646"/>
        <v>0</v>
      </c>
      <c r="AK616" s="72" t="e">
        <f t="shared" si="647"/>
        <v>#N/A</v>
      </c>
      <c r="AL616" t="e">
        <f>VLOOKUP(C616,'חד גזעי'!$AH$8:$AI$33,2,FALSE)</f>
        <v>#N/A</v>
      </c>
      <c r="AM616" s="72" t="b">
        <f t="shared" si="648"/>
        <v>0</v>
      </c>
      <c r="AN616" s="72" t="b">
        <f t="shared" si="649"/>
        <v>0</v>
      </c>
      <c r="AO616" s="72" t="b">
        <f t="shared" si="650"/>
        <v>0</v>
      </c>
      <c r="AS616" s="72">
        <f t="shared" si="651"/>
        <v>0</v>
      </c>
      <c r="AT616" s="72">
        <f t="shared" si="652"/>
        <v>0</v>
      </c>
      <c r="AU616" s="72">
        <f t="shared" si="661"/>
        <v>0</v>
      </c>
      <c r="AV616" s="72">
        <f t="shared" si="653"/>
        <v>0</v>
      </c>
      <c r="AW616" s="72">
        <f t="shared" si="654"/>
        <v>0</v>
      </c>
      <c r="AX616" s="72">
        <f t="shared" si="655"/>
        <v>0</v>
      </c>
      <c r="AY616" s="72">
        <f t="shared" si="656"/>
        <v>0</v>
      </c>
      <c r="AZ616" s="72">
        <f t="shared" si="657"/>
        <v>0</v>
      </c>
      <c r="BA616" s="72" t="e">
        <f t="shared" si="658"/>
        <v>#N/A</v>
      </c>
      <c r="BB616" s="72" t="e">
        <f t="shared" si="659"/>
        <v>#N/A</v>
      </c>
      <c r="BC616" s="77"/>
      <c r="BE616">
        <f t="shared" si="639"/>
        <v>0</v>
      </c>
      <c r="BF616" s="196"/>
      <c r="BG616" s="196"/>
      <c r="BH616" s="196"/>
      <c r="BI616" s="196"/>
      <c r="BJ616" s="196"/>
      <c r="BK616" s="196"/>
    </row>
    <row r="617" spans="2:63" hidden="1">
      <c r="B617" s="72"/>
      <c r="C617" s="135"/>
      <c r="D617" s="78"/>
      <c r="E617" s="78"/>
      <c r="F617" s="72"/>
      <c r="G617" s="72"/>
      <c r="H617" s="72"/>
      <c r="I617" s="73">
        <f t="shared" si="641"/>
        <v>0</v>
      </c>
      <c r="J617" s="78"/>
      <c r="K617" s="73"/>
      <c r="L617" s="74" t="e">
        <f>_xlfn.IFNA(VLOOKUP(C617,'חד גזעי'!$U$3:$V$509,2,0),VLOOKUP(C617,'חד גזעי'!$U$3:$V$509,2))</f>
        <v>#N/A</v>
      </c>
      <c r="M617" s="73"/>
      <c r="N617" s="72" t="e">
        <f>_xlfn.IFNA(IF(VLOOKUP(C617,'חד גזעי'!$AH$2:$AH$7,1,FALSE)&gt;0,0,IF('חד גזעי'!$AM$5="כן",IF(_xlfn.IFNA(VLOOKUP(C617,'חד גזעי'!$AH$2:$AH$33,1,FALSE),SUM(J617:M617))&lt;21,_xlfn.IFNA(VLOOKUP(C617,'חד גזעי'!$AH$2:$AH$33,1,FALSE),SUM(J617:M617)),0),SUM(J617:M617))),IF('חד גזעי'!$AM$5="כן",IF(_xlfn.IFNA(VLOOKUP(C617,'חד גזעי'!$AH$2:$AH$33,1,FALSE),SUM(J617:M617))&lt;21,_xlfn.IFNA(VLOOKUP(C617,'חד גזעי'!$AH$2:$AH$33,1,FALSE),SUM(J617:M617)),0),SUM(J617:M617)))</f>
        <v>#N/A</v>
      </c>
      <c r="O617" s="72">
        <f>IF('חד גזעי'!$AM$3 = "כן",IF(T617&gt;4,4,T617),T617)</f>
        <v>0</v>
      </c>
      <c r="P617" s="80">
        <f>IF(E617&lt;2,0,IF(Z617&gt;0,Z617,IF(N617 = 0,0,IF('חד גזעי'!$AM$2 = "לא",IF(F617&gt;19,W617,0),IF(F617&gt;9,Y617,0)))))</f>
        <v>0</v>
      </c>
      <c r="Q617" s="77"/>
      <c r="R617" s="75"/>
      <c r="S617" t="e">
        <f>VLOOKUP(C617,'חד גזעי'!$Y$4:$Y$18,1,0)</f>
        <v>#N/A</v>
      </c>
      <c r="T617" s="72">
        <f>IF('חד גזעי'!$AM$6="לא",IF(P617=0,IF(BC617="שימור",IF('חד גזעי'!$AM$4="לא",IF(BC617="לא בוגר",0,IF(BC617="לא קיים",0,IF(J617=0,0,I617*0.1))),IF(BC617="לא בוגר",0,IF(BC617="לא קיים",0,IF(AB617=1,I617*0.1,E617*0.5)))),0),IF('חד גזעי'!$AM$4="לא",IF(BC617="לא בוגר",0,IF(BC617="לא קיים",0,IF(J617=0,0,I617*0.1))),IF(BC617="לא בוגר",0,IF(BC617="לא קיים",0,IF(AB617=1,I617*0.1,E617*0.5))))),IF(P617=0,IF(BC617="שימור",IF('חד גזעי'!$AM$4="לא",IF(BC617="לא בוגר",0,IF(BC617="לא קיים",0,IF(J617=0,0,I617*0.15))),IF(BC617="לא בוגר",0,IF(BC617="לא קיים",0,IF(AB617=1,I617*0.15,E617*0.5)))),0),IF('חד גזעי'!$AM$4="לא",IF(BC617="לא בוגר",0,IF(BC617="לא קיים",0,IF(J617=0,0,I617*0.15))),IF(BC617="לא בוגר",0,IF(BC617="לא קיים",0,IF(AB617=1,I617*0.15,E617*0.5))))))</f>
        <v>0</v>
      </c>
      <c r="V617" t="e">
        <f t="shared" si="614"/>
        <v>#N/A</v>
      </c>
      <c r="W617" t="e">
        <f t="shared" si="615"/>
        <v>#N/A</v>
      </c>
      <c r="X617" t="e">
        <f t="shared" si="616"/>
        <v>#N/A</v>
      </c>
      <c r="Y617">
        <f>IF('חד גזעי'!$AM$2 = "לא",0,IF(F617&gt;9,W617,0))</f>
        <v>0</v>
      </c>
      <c r="Z617">
        <f>IF('חד גזעי'!$AM$7 = "לא",0,IF(C617 = "זית אירופי",IF('חד גזעי'!$AN$7 &lt;=סקר!F617,W617,0),IF(C617 = "חרוב מצוי",IF('חד גזעי'!$AN$7 &lt;=סקר!F617,W617,0),0)))</f>
        <v>0</v>
      </c>
      <c r="AB617">
        <f t="shared" si="642"/>
        <v>1</v>
      </c>
      <c r="AC617" s="72"/>
      <c r="AD617" t="e">
        <f t="shared" si="660"/>
        <v>#N/A</v>
      </c>
      <c r="AE617" s="72"/>
      <c r="AF617" s="72" t="e">
        <f t="shared" si="643"/>
        <v>#N/A</v>
      </c>
      <c r="AG617" s="72" t="e">
        <f>IF('חד גזעי'!$AM$5="לא",(VLOOKUP(C617,'חד גזעי'!$P$1:$S$589,3,FALSE)),(VLOOKUP(C617,'חד גזעי'!$P$1:$S$589,4,FALSE)))</f>
        <v>#N/A</v>
      </c>
      <c r="AH617" s="72">
        <f t="shared" si="644"/>
        <v>0</v>
      </c>
      <c r="AI617" s="72">
        <f t="shared" si="645"/>
        <v>0</v>
      </c>
      <c r="AJ617" s="72">
        <f t="shared" si="646"/>
        <v>0</v>
      </c>
      <c r="AK617" s="72" t="e">
        <f t="shared" si="647"/>
        <v>#N/A</v>
      </c>
      <c r="AL617" t="e">
        <f>VLOOKUP(C617,'חד גזעי'!$AH$8:$AI$33,2,FALSE)</f>
        <v>#N/A</v>
      </c>
      <c r="AM617" s="72" t="b">
        <f t="shared" si="648"/>
        <v>0</v>
      </c>
      <c r="AN617" s="72" t="b">
        <f t="shared" si="649"/>
        <v>0</v>
      </c>
      <c r="AO617" s="72" t="b">
        <f t="shared" si="650"/>
        <v>0</v>
      </c>
      <c r="AS617" s="72">
        <f t="shared" si="651"/>
        <v>0</v>
      </c>
      <c r="AT617" s="72">
        <f t="shared" si="652"/>
        <v>0</v>
      </c>
      <c r="AU617" s="72">
        <f t="shared" si="661"/>
        <v>0</v>
      </c>
      <c r="AV617" s="72">
        <f t="shared" si="653"/>
        <v>0</v>
      </c>
      <c r="AW617" s="72">
        <f t="shared" si="654"/>
        <v>0</v>
      </c>
      <c r="AX617" s="72">
        <f t="shared" si="655"/>
        <v>0</v>
      </c>
      <c r="AY617" s="72">
        <f t="shared" si="656"/>
        <v>0</v>
      </c>
      <c r="AZ617" s="72">
        <f t="shared" si="657"/>
        <v>0</v>
      </c>
      <c r="BA617" s="72" t="e">
        <f t="shared" si="658"/>
        <v>#N/A</v>
      </c>
      <c r="BB617" s="72" t="e">
        <f t="shared" si="659"/>
        <v>#N/A</v>
      </c>
      <c r="BC617" s="77"/>
      <c r="BE617">
        <f t="shared" si="639"/>
        <v>0</v>
      </c>
      <c r="BF617" s="196"/>
      <c r="BG617" s="196"/>
      <c r="BH617" s="196"/>
      <c r="BI617" s="196"/>
      <c r="BJ617" s="196"/>
      <c r="BK617" s="196"/>
    </row>
    <row r="618" spans="2:63" hidden="1">
      <c r="B618" s="72"/>
      <c r="C618" s="135"/>
      <c r="D618" s="78"/>
      <c r="E618" s="78"/>
      <c r="F618" s="72"/>
      <c r="G618" s="72"/>
      <c r="H618" s="72"/>
      <c r="I618" s="73">
        <f t="shared" si="641"/>
        <v>0</v>
      </c>
      <c r="J618" s="78"/>
      <c r="K618" s="73"/>
      <c r="L618" s="74" t="e">
        <f>_xlfn.IFNA(VLOOKUP(C618,'חד גזעי'!$U$3:$V$509,2,0),VLOOKUP(C618,'חד גזעי'!$U$3:$V$509,2))</f>
        <v>#N/A</v>
      </c>
      <c r="M618" s="73"/>
      <c r="N618" s="72" t="e">
        <f>_xlfn.IFNA(IF(VLOOKUP(C618,'חד גזעי'!$AH$2:$AH$7,1,FALSE)&gt;0,0,IF('חד גזעי'!$AM$5="כן",IF(_xlfn.IFNA(VLOOKUP(C618,'חד גזעי'!$AH$2:$AH$33,1,FALSE),SUM(J618:M618))&lt;21,_xlfn.IFNA(VLOOKUP(C618,'חד גזעי'!$AH$2:$AH$33,1,FALSE),SUM(J618:M618)),0),SUM(J618:M618))),IF('חד גזעי'!$AM$5="כן",IF(_xlfn.IFNA(VLOOKUP(C618,'חד גזעי'!$AH$2:$AH$33,1,FALSE),SUM(J618:M618))&lt;21,_xlfn.IFNA(VLOOKUP(C618,'חד גזעי'!$AH$2:$AH$33,1,FALSE),SUM(J618:M618)),0),SUM(J618:M618)))</f>
        <v>#N/A</v>
      </c>
      <c r="O618" s="72">
        <f>IF('חד גזעי'!$AM$3 = "כן",IF(T618&gt;4,4,T618),T618)</f>
        <v>0</v>
      </c>
      <c r="P618" s="80">
        <f>IF(E618&lt;2,0,IF(Z618&gt;0,Z618,IF(N618 = 0,0,IF('חד גזעי'!$AM$2 = "לא",IF(F618&gt;19,W618,0),IF(F618&gt;9,Y618,0)))))</f>
        <v>0</v>
      </c>
      <c r="Q618" s="77"/>
      <c r="R618" s="76"/>
      <c r="S618" t="e">
        <f>VLOOKUP(C618,'חד גזעי'!$Y$4:$Y$18,1,0)</f>
        <v>#N/A</v>
      </c>
      <c r="T618" s="72">
        <f>IF('חד גזעי'!$AM$6="לא",IF(P618=0,IF(BC618="שימור",IF('חד גזעי'!$AM$4="לא",IF(BC618="לא בוגר",0,IF(BC618="לא קיים",0,IF(J618=0,0,I618*0.1))),IF(BC618="לא בוגר",0,IF(BC618="לא קיים",0,IF(AB618=1,I618*0.1,E618*0.5)))),0),IF('חד גזעי'!$AM$4="לא",IF(BC618="לא בוגר",0,IF(BC618="לא קיים",0,IF(J618=0,0,I618*0.1))),IF(BC618="לא בוגר",0,IF(BC618="לא קיים",0,IF(AB618=1,I618*0.1,E618*0.5))))),IF(P618=0,IF(BC618="שימור",IF('חד גזעי'!$AM$4="לא",IF(BC618="לא בוגר",0,IF(BC618="לא קיים",0,IF(J618=0,0,I618*0.15))),IF(BC618="לא בוגר",0,IF(BC618="לא קיים",0,IF(AB618=1,I618*0.15,E618*0.5)))),0),IF('חד גזעי'!$AM$4="לא",IF(BC618="לא בוגר",0,IF(BC618="לא קיים",0,IF(J618=0,0,I618*0.15))),IF(BC618="לא בוגר",0,IF(BC618="לא קיים",0,IF(AB618=1,I618*0.15,E618*0.5))))))</f>
        <v>0</v>
      </c>
      <c r="V618" t="e">
        <f t="shared" si="614"/>
        <v>#N/A</v>
      </c>
      <c r="W618" t="e">
        <f t="shared" si="615"/>
        <v>#N/A</v>
      </c>
      <c r="X618" t="e">
        <f t="shared" si="616"/>
        <v>#N/A</v>
      </c>
      <c r="Y618">
        <f>IF('חד גזעי'!$AM$2 = "לא",0,IF(F618&gt;9,W618,0))</f>
        <v>0</v>
      </c>
      <c r="Z618">
        <f>IF('חד גזעי'!$AM$7 = "לא",0,IF(C618 = "זית אירופי",IF('חד גזעי'!$AN$7 &lt;=סקר!F618,W618,0),IF(C618 = "חרוב מצוי",IF('חד גזעי'!$AN$7 &lt;=סקר!F618,W618,0),0)))</f>
        <v>0</v>
      </c>
      <c r="AB618">
        <f t="shared" si="642"/>
        <v>1</v>
      </c>
      <c r="AC618" s="72"/>
      <c r="AD618" t="e">
        <f t="shared" si="660"/>
        <v>#N/A</v>
      </c>
      <c r="AE618" s="72"/>
      <c r="AF618" s="72" t="e">
        <f t="shared" si="643"/>
        <v>#N/A</v>
      </c>
      <c r="AG618" s="72" t="e">
        <f>IF('חד גזעי'!$AM$5="לא",(VLOOKUP(C618,'חד גזעי'!$P$1:$S$589,3,FALSE)),(VLOOKUP(C618,'חד גזעי'!$P$1:$S$589,4,FALSE)))</f>
        <v>#N/A</v>
      </c>
      <c r="AH618" s="72">
        <f t="shared" si="644"/>
        <v>0</v>
      </c>
      <c r="AI618" s="72">
        <f t="shared" si="645"/>
        <v>0</v>
      </c>
      <c r="AJ618" s="72">
        <f t="shared" si="646"/>
        <v>0</v>
      </c>
      <c r="AK618" s="72" t="e">
        <f t="shared" si="647"/>
        <v>#N/A</v>
      </c>
      <c r="AL618" t="e">
        <f>VLOOKUP(C618,'חד גזעי'!$AH$8:$AI$33,2,FALSE)</f>
        <v>#N/A</v>
      </c>
      <c r="AM618" s="72" t="b">
        <f t="shared" si="648"/>
        <v>0</v>
      </c>
      <c r="AN618" s="72" t="b">
        <f t="shared" si="649"/>
        <v>0</v>
      </c>
      <c r="AO618" s="72" t="b">
        <f t="shared" si="650"/>
        <v>0</v>
      </c>
      <c r="AS618" s="72">
        <f t="shared" si="651"/>
        <v>0</v>
      </c>
      <c r="AT618" s="72">
        <f t="shared" si="652"/>
        <v>0</v>
      </c>
      <c r="AU618" s="72">
        <f t="shared" si="661"/>
        <v>0</v>
      </c>
      <c r="AV618" s="72">
        <f t="shared" si="653"/>
        <v>0</v>
      </c>
      <c r="AW618" s="72">
        <f t="shared" si="654"/>
        <v>0</v>
      </c>
      <c r="AX618" s="72">
        <f t="shared" si="655"/>
        <v>0</v>
      </c>
      <c r="AY618" s="72">
        <f t="shared" si="656"/>
        <v>0</v>
      </c>
      <c r="AZ618" s="72">
        <f t="shared" si="657"/>
        <v>0</v>
      </c>
      <c r="BA618" s="72" t="e">
        <f t="shared" si="658"/>
        <v>#N/A</v>
      </c>
      <c r="BB618" s="72" t="e">
        <f t="shared" si="659"/>
        <v>#N/A</v>
      </c>
      <c r="BC618" s="77"/>
      <c r="BE618">
        <f t="shared" si="639"/>
        <v>0</v>
      </c>
      <c r="BF618" s="196"/>
      <c r="BG618" s="196"/>
      <c r="BH618" s="196"/>
      <c r="BI618" s="196"/>
      <c r="BJ618" s="196"/>
      <c r="BK618" s="196"/>
    </row>
    <row r="619" spans="2:63" hidden="1">
      <c r="B619" s="72"/>
      <c r="C619" s="135"/>
      <c r="D619" s="78"/>
      <c r="E619" s="78"/>
      <c r="F619" s="72"/>
      <c r="G619" s="72"/>
      <c r="H619" s="72"/>
      <c r="I619" s="73">
        <f t="shared" si="641"/>
        <v>0</v>
      </c>
      <c r="J619" s="78"/>
      <c r="K619" s="73"/>
      <c r="L619" s="74" t="e">
        <f>_xlfn.IFNA(VLOOKUP(C619,'חד גזעי'!$U$3:$V$509,2,0),VLOOKUP(C619,'חד גזעי'!$U$3:$V$509,2))</f>
        <v>#N/A</v>
      </c>
      <c r="M619" s="73"/>
      <c r="N619" s="72" t="e">
        <f>_xlfn.IFNA(IF(VLOOKUP(C619,'חד גזעי'!$AH$2:$AH$7,1,FALSE)&gt;0,0,IF('חד גזעי'!$AM$5="כן",IF(_xlfn.IFNA(VLOOKUP(C619,'חד גזעי'!$AH$2:$AH$33,1,FALSE),SUM(J619:M619))&lt;21,_xlfn.IFNA(VLOOKUP(C619,'חד גזעי'!$AH$2:$AH$33,1,FALSE),SUM(J619:M619)),0),SUM(J619:M619))),IF('חד גזעי'!$AM$5="כן",IF(_xlfn.IFNA(VLOOKUP(C619,'חד גזעי'!$AH$2:$AH$33,1,FALSE),SUM(J619:M619))&lt;21,_xlfn.IFNA(VLOOKUP(C619,'חד גזעי'!$AH$2:$AH$33,1,FALSE),SUM(J619:M619)),0),SUM(J619:M619)))</f>
        <v>#N/A</v>
      </c>
      <c r="O619" s="72">
        <f>IF('חד גזעי'!$AM$3 = "כן",IF(T619&gt;4,4,T619),T619)</f>
        <v>0</v>
      </c>
      <c r="P619" s="80">
        <f>IF(E619&lt;2,0,IF(Z619&gt;0,Z619,IF(N619 = 0,0,IF('חד גזעי'!$AM$2 = "לא",IF(F619&gt;19,W619,0),IF(F619&gt;9,Y619,0)))))</f>
        <v>0</v>
      </c>
      <c r="Q619" s="77"/>
      <c r="R619" s="76"/>
      <c r="S619" t="e">
        <f>VLOOKUP(C619,'חד גזעי'!$Y$4:$Y$18,1,0)</f>
        <v>#N/A</v>
      </c>
      <c r="T619" s="72">
        <f>IF('חד גזעי'!$AM$6="לא",IF(P619=0,IF(BC619="שימור",IF('חד גזעי'!$AM$4="לא",IF(BC619="לא בוגר",0,IF(BC619="לא קיים",0,IF(J619=0,0,I619*0.1))),IF(BC619="לא בוגר",0,IF(BC619="לא קיים",0,IF(AB619=1,I619*0.1,E619*0.5)))),0),IF('חד גזעי'!$AM$4="לא",IF(BC619="לא בוגר",0,IF(BC619="לא קיים",0,IF(J619=0,0,I619*0.1))),IF(BC619="לא בוגר",0,IF(BC619="לא קיים",0,IF(AB619=1,I619*0.1,E619*0.5))))),IF(P619=0,IF(BC619="שימור",IF('חד גזעי'!$AM$4="לא",IF(BC619="לא בוגר",0,IF(BC619="לא קיים",0,IF(J619=0,0,I619*0.15))),IF(BC619="לא בוגר",0,IF(BC619="לא קיים",0,IF(AB619=1,I619*0.15,E619*0.5)))),0),IF('חד גזעי'!$AM$4="לא",IF(BC619="לא בוגר",0,IF(BC619="לא קיים",0,IF(J619=0,0,I619*0.15))),IF(BC619="לא בוגר",0,IF(BC619="לא קיים",0,IF(AB619=1,I619*0.15,E619*0.5))))))</f>
        <v>0</v>
      </c>
      <c r="V619" t="e">
        <f t="shared" si="614"/>
        <v>#N/A</v>
      </c>
      <c r="W619" t="e">
        <f t="shared" si="615"/>
        <v>#N/A</v>
      </c>
      <c r="X619" t="e">
        <f t="shared" si="616"/>
        <v>#N/A</v>
      </c>
      <c r="Y619">
        <f>IF('חד גזעי'!$AM$2 = "לא",0,IF(F619&gt;9,W619,0))</f>
        <v>0</v>
      </c>
      <c r="Z619">
        <f>IF('חד גזעי'!$AM$7 = "לא",0,IF(C619 = "זית אירופי",IF('חד גזעי'!$AN$7 &lt;=סקר!F619,W619,0),IF(C619 = "חרוב מצוי",IF('חד גזעי'!$AN$7 &lt;=סקר!F619,W619,0),0)))</f>
        <v>0</v>
      </c>
      <c r="AB619">
        <f t="shared" si="642"/>
        <v>1</v>
      </c>
      <c r="AC619" s="72"/>
      <c r="AD619" t="e">
        <f t="shared" si="660"/>
        <v>#N/A</v>
      </c>
      <c r="AE619" s="72"/>
      <c r="AF619" s="72" t="e">
        <f t="shared" si="643"/>
        <v>#N/A</v>
      </c>
      <c r="AG619" s="72" t="e">
        <f>IF('חד גזעי'!$AM$5="לא",(VLOOKUP(C619,'חד גזעי'!$P$1:$S$589,3,FALSE)),(VLOOKUP(C619,'חד גזעי'!$P$1:$S$589,4,FALSE)))</f>
        <v>#N/A</v>
      </c>
      <c r="AH619" s="72">
        <f t="shared" si="644"/>
        <v>0</v>
      </c>
      <c r="AI619" s="72">
        <f t="shared" si="645"/>
        <v>0</v>
      </c>
      <c r="AJ619" s="72">
        <f t="shared" si="646"/>
        <v>0</v>
      </c>
      <c r="AK619" s="72" t="e">
        <f t="shared" si="647"/>
        <v>#N/A</v>
      </c>
      <c r="AL619" t="e">
        <f>VLOOKUP(C619,'חד גזעי'!$AH$8:$AI$33,2,FALSE)</f>
        <v>#N/A</v>
      </c>
      <c r="AM619" s="72" t="b">
        <f t="shared" si="648"/>
        <v>0</v>
      </c>
      <c r="AN619" s="72" t="b">
        <f t="shared" si="649"/>
        <v>0</v>
      </c>
      <c r="AO619" s="72" t="b">
        <f t="shared" si="650"/>
        <v>0</v>
      </c>
      <c r="AS619" s="72">
        <f t="shared" si="651"/>
        <v>0</v>
      </c>
      <c r="AT619" s="72">
        <f t="shared" si="652"/>
        <v>0</v>
      </c>
      <c r="AU619" s="72">
        <f t="shared" si="661"/>
        <v>0</v>
      </c>
      <c r="AV619" s="72">
        <f t="shared" si="653"/>
        <v>0</v>
      </c>
      <c r="AW619" s="72">
        <f t="shared" si="654"/>
        <v>0</v>
      </c>
      <c r="AX619" s="72">
        <f t="shared" si="655"/>
        <v>0</v>
      </c>
      <c r="AY619" s="72">
        <f t="shared" si="656"/>
        <v>0</v>
      </c>
      <c r="AZ619" s="72">
        <f t="shared" si="657"/>
        <v>0</v>
      </c>
      <c r="BA619" s="72" t="e">
        <f t="shared" si="658"/>
        <v>#N/A</v>
      </c>
      <c r="BB619" s="72" t="e">
        <f t="shared" si="659"/>
        <v>#N/A</v>
      </c>
      <c r="BC619" s="77"/>
      <c r="BE619">
        <f t="shared" si="639"/>
        <v>0</v>
      </c>
      <c r="BF619" s="196"/>
      <c r="BG619" s="196"/>
      <c r="BH619" s="196"/>
      <c r="BI619" s="196"/>
      <c r="BJ619" s="196"/>
      <c r="BK619" s="196"/>
    </row>
    <row r="620" spans="2:63" hidden="1">
      <c r="B620" s="72"/>
      <c r="C620" s="135"/>
      <c r="D620" s="78"/>
      <c r="E620" s="78"/>
      <c r="F620" s="72"/>
      <c r="G620" s="72"/>
      <c r="H620" s="72"/>
      <c r="I620" s="73">
        <f t="shared" si="641"/>
        <v>0</v>
      </c>
      <c r="J620" s="78"/>
      <c r="K620" s="73"/>
      <c r="L620" s="74" t="e">
        <f>_xlfn.IFNA(VLOOKUP(C620,'חד גזעי'!$U$3:$V$509,2,0),VLOOKUP(C620,'חד גזעי'!$U$3:$V$509,2))</f>
        <v>#N/A</v>
      </c>
      <c r="M620" s="73"/>
      <c r="N620" s="72" t="e">
        <f>_xlfn.IFNA(IF(VLOOKUP(C620,'חד גזעי'!$AH$2:$AH$7,1,FALSE)&gt;0,0,IF('חד גזעי'!$AM$5="כן",IF(_xlfn.IFNA(VLOOKUP(C620,'חד גזעי'!$AH$2:$AH$33,1,FALSE),SUM(J620:M620))&lt;21,_xlfn.IFNA(VLOOKUP(C620,'חד גזעי'!$AH$2:$AH$33,1,FALSE),SUM(J620:M620)),0),SUM(J620:M620))),IF('חד גזעי'!$AM$5="כן",IF(_xlfn.IFNA(VLOOKUP(C620,'חד גזעי'!$AH$2:$AH$33,1,FALSE),SUM(J620:M620))&lt;21,_xlfn.IFNA(VLOOKUP(C620,'חד גזעי'!$AH$2:$AH$33,1,FALSE),SUM(J620:M620)),0),SUM(J620:M620)))</f>
        <v>#N/A</v>
      </c>
      <c r="O620" s="72">
        <f>IF('חד גזעי'!$AM$3 = "כן",IF(T620&gt;4,4,T620),T620)</f>
        <v>0</v>
      </c>
      <c r="P620" s="80">
        <f>IF(E620&lt;2,0,IF(Z620&gt;0,Z620,IF(N620 = 0,0,IF('חד גזעי'!$AM$2 = "לא",IF(F620&gt;19,W620,0),IF(F620&gt;9,Y620,0)))))</f>
        <v>0</v>
      </c>
      <c r="Q620" s="77"/>
      <c r="R620" s="76"/>
      <c r="S620" t="e">
        <f>VLOOKUP(C620,'חד גזעי'!$Y$4:$Y$18,1,0)</f>
        <v>#N/A</v>
      </c>
      <c r="T620" s="72">
        <f>IF('חד גזעי'!$AM$6="לא",IF(P620=0,IF(BC620="שימור",IF('חד גזעי'!$AM$4="לא",IF(BC620="לא בוגר",0,IF(BC620="לא קיים",0,IF(J620=0,0,I620*0.1))),IF(BC620="לא בוגר",0,IF(BC620="לא קיים",0,IF(AB620=1,I620*0.1,E620*0.5)))),0),IF('חד גזעי'!$AM$4="לא",IF(BC620="לא בוגר",0,IF(BC620="לא קיים",0,IF(J620=0,0,I620*0.1))),IF(BC620="לא בוגר",0,IF(BC620="לא קיים",0,IF(AB620=1,I620*0.1,E620*0.5))))),IF(P620=0,IF(BC620="שימור",IF('חד גזעי'!$AM$4="לא",IF(BC620="לא בוגר",0,IF(BC620="לא קיים",0,IF(J620=0,0,I620*0.15))),IF(BC620="לא בוגר",0,IF(BC620="לא קיים",0,IF(AB620=1,I620*0.15,E620*0.5)))),0),IF('חד גזעי'!$AM$4="לא",IF(BC620="לא בוגר",0,IF(BC620="לא קיים",0,IF(J620=0,0,I620*0.15))),IF(BC620="לא בוגר",0,IF(BC620="לא קיים",0,IF(AB620=1,I620*0.15,E620*0.5))))))</f>
        <v>0</v>
      </c>
      <c r="V620" t="e">
        <f t="shared" si="614"/>
        <v>#N/A</v>
      </c>
      <c r="W620" t="e">
        <f t="shared" si="615"/>
        <v>#N/A</v>
      </c>
      <c r="X620" t="e">
        <f t="shared" si="616"/>
        <v>#N/A</v>
      </c>
      <c r="Y620">
        <f>IF('חד גזעי'!$AM$2 = "לא",0,IF(F620&gt;9,W620,0))</f>
        <v>0</v>
      </c>
      <c r="Z620">
        <f>IF('חד גזעי'!$AM$7 = "לא",0,IF(C620 = "זית אירופי",IF('חד גזעי'!$AN$7 &lt;=סקר!F620,W620,0),IF(C620 = "חרוב מצוי",IF('חד גזעי'!$AN$7 &lt;=סקר!F620,W620,0),0)))</f>
        <v>0</v>
      </c>
      <c r="AB620">
        <f t="shared" si="642"/>
        <v>1</v>
      </c>
      <c r="AC620" s="72"/>
      <c r="AD620" t="e">
        <f t="shared" si="660"/>
        <v>#N/A</v>
      </c>
      <c r="AE620" s="72"/>
      <c r="AF620" s="72" t="e">
        <f t="shared" si="643"/>
        <v>#N/A</v>
      </c>
      <c r="AG620" s="72" t="e">
        <f>IF('חד גזעי'!$AM$5="לא",(VLOOKUP(C620,'חד גזעי'!$P$1:$S$589,3,FALSE)),(VLOOKUP(C620,'חד גזעי'!$P$1:$S$589,4,FALSE)))</f>
        <v>#N/A</v>
      </c>
      <c r="AH620" s="72">
        <f t="shared" si="644"/>
        <v>0</v>
      </c>
      <c r="AI620" s="72">
        <f t="shared" si="645"/>
        <v>0</v>
      </c>
      <c r="AJ620" s="72">
        <f t="shared" si="646"/>
        <v>0</v>
      </c>
      <c r="AK620" s="72" t="e">
        <f t="shared" si="647"/>
        <v>#N/A</v>
      </c>
      <c r="AL620" t="e">
        <f>VLOOKUP(C620,'חד גזעי'!$AH$8:$AI$33,2,FALSE)</f>
        <v>#N/A</v>
      </c>
      <c r="AM620" s="72" t="b">
        <f t="shared" si="648"/>
        <v>0</v>
      </c>
      <c r="AN620" s="72" t="b">
        <f t="shared" si="649"/>
        <v>0</v>
      </c>
      <c r="AO620" s="72" t="b">
        <f t="shared" si="650"/>
        <v>0</v>
      </c>
      <c r="AS620" s="72">
        <f t="shared" si="651"/>
        <v>0</v>
      </c>
      <c r="AT620" s="72">
        <f t="shared" si="652"/>
        <v>0</v>
      </c>
      <c r="AU620" s="72">
        <f t="shared" si="661"/>
        <v>0</v>
      </c>
      <c r="AV620" s="72">
        <f t="shared" si="653"/>
        <v>0</v>
      </c>
      <c r="AW620" s="72">
        <f t="shared" si="654"/>
        <v>0</v>
      </c>
      <c r="AX620" s="72">
        <f t="shared" si="655"/>
        <v>0</v>
      </c>
      <c r="AY620" s="72">
        <f t="shared" si="656"/>
        <v>0</v>
      </c>
      <c r="AZ620" s="72">
        <f t="shared" si="657"/>
        <v>0</v>
      </c>
      <c r="BA620" s="72" t="e">
        <f t="shared" si="658"/>
        <v>#N/A</v>
      </c>
      <c r="BB620" s="72" t="e">
        <f t="shared" si="659"/>
        <v>#N/A</v>
      </c>
      <c r="BC620" s="77"/>
      <c r="BE620">
        <f t="shared" si="639"/>
        <v>0</v>
      </c>
      <c r="BF620" s="72"/>
      <c r="BG620" s="72"/>
      <c r="BH620" s="72"/>
      <c r="BI620" s="72"/>
      <c r="BJ620" s="72"/>
      <c r="BK620" s="72"/>
    </row>
    <row r="621" spans="2:63" hidden="1">
      <c r="B621" s="72"/>
      <c r="C621" s="135"/>
      <c r="D621" s="78"/>
      <c r="E621" s="78"/>
      <c r="F621" s="72"/>
      <c r="G621" s="72"/>
      <c r="H621" s="72"/>
      <c r="I621" s="73">
        <f t="shared" si="641"/>
        <v>0</v>
      </c>
      <c r="J621" s="78"/>
      <c r="K621" s="73"/>
      <c r="L621" s="74" t="e">
        <f>_xlfn.IFNA(VLOOKUP(C621,'חד גזעי'!$U$3:$V$509,2,0),VLOOKUP(C621,'חד גזעי'!$U$3:$V$509,2))</f>
        <v>#N/A</v>
      </c>
      <c r="M621" s="73"/>
      <c r="N621" s="72" t="e">
        <f>_xlfn.IFNA(IF(VLOOKUP(C621,'חד גזעי'!$AH$2:$AH$7,1,FALSE)&gt;0,0,IF('חד גזעי'!$AM$5="כן",IF(_xlfn.IFNA(VLOOKUP(C621,'חד גזעי'!$AH$2:$AH$33,1,FALSE),SUM(J621:M621))&lt;21,_xlfn.IFNA(VLOOKUP(C621,'חד גזעי'!$AH$2:$AH$33,1,FALSE),SUM(J621:M621)),0),SUM(J621:M621))),IF('חד גזעי'!$AM$5="כן",IF(_xlfn.IFNA(VLOOKUP(C621,'חד גזעי'!$AH$2:$AH$33,1,FALSE),SUM(J621:M621))&lt;21,_xlfn.IFNA(VLOOKUP(C621,'חד גזעי'!$AH$2:$AH$33,1,FALSE),SUM(J621:M621)),0),SUM(J621:M621)))</f>
        <v>#N/A</v>
      </c>
      <c r="O621" s="72">
        <f>IF('חד גזעי'!$AM$3 = "כן",IF(T621&gt;4,4,T621),T621)</f>
        <v>0</v>
      </c>
      <c r="P621" s="80">
        <f>IF(E621&lt;2,0,IF(Z621&gt;0,Z621,IF(N621 = 0,0,IF('חד גזעי'!$AM$2 = "לא",IF(F621&gt;19,W621,0),IF(F621&gt;9,Y621,0)))))</f>
        <v>0</v>
      </c>
      <c r="Q621" s="77"/>
      <c r="R621" s="75"/>
      <c r="S621" t="e">
        <f>VLOOKUP(C621,'חד גזעי'!$Y$4:$Y$18,1,0)</f>
        <v>#N/A</v>
      </c>
      <c r="T621" s="72">
        <f>IF('חד גזעי'!$AM$6="לא",IF(P621=0,IF(BC621="שימור",IF('חד גזעי'!$AM$4="לא",IF(BC621="לא בוגר",0,IF(BC621="לא קיים",0,IF(J621=0,0,I621*0.1))),IF(BC621="לא בוגר",0,IF(BC621="לא קיים",0,IF(AB621=1,I621*0.1,E621*0.5)))),0),IF('חד גזעי'!$AM$4="לא",IF(BC621="לא בוגר",0,IF(BC621="לא קיים",0,IF(J621=0,0,I621*0.1))),IF(BC621="לא בוגר",0,IF(BC621="לא קיים",0,IF(AB621=1,I621*0.1,E621*0.5))))),IF(P621=0,IF(BC621="שימור",IF('חד גזעי'!$AM$4="לא",IF(BC621="לא בוגר",0,IF(BC621="לא קיים",0,IF(J621=0,0,I621*0.15))),IF(BC621="לא בוגר",0,IF(BC621="לא קיים",0,IF(AB621=1,I621*0.15,E621*0.5)))),0),IF('חד גזעי'!$AM$4="לא",IF(BC621="לא בוגר",0,IF(BC621="לא קיים",0,IF(J621=0,0,I621*0.15))),IF(BC621="לא בוגר",0,IF(BC621="לא קיים",0,IF(AB621=1,I621*0.15,E621*0.5))))))</f>
        <v>0</v>
      </c>
      <c r="V621" t="e">
        <f t="shared" si="614"/>
        <v>#N/A</v>
      </c>
      <c r="W621" t="e">
        <f t="shared" si="615"/>
        <v>#N/A</v>
      </c>
      <c r="X621" t="e">
        <f t="shared" si="616"/>
        <v>#N/A</v>
      </c>
      <c r="Y621">
        <f>IF('חד גזעי'!$AM$2 = "לא",0,IF(F621&gt;9,W621,0))</f>
        <v>0</v>
      </c>
      <c r="Z621">
        <f>IF('חד גזעי'!$AM$7 = "לא",0,IF(C621 = "זית אירופי",IF('חד גזעי'!$AN$7 &lt;=סקר!F621,W621,0),IF(C621 = "חרוב מצוי",IF('חד גזעי'!$AN$7 &lt;=סקר!F621,W621,0),0)))</f>
        <v>0</v>
      </c>
      <c r="AB621">
        <f t="shared" si="642"/>
        <v>1</v>
      </c>
      <c r="AC621" s="72"/>
      <c r="AD621" t="e">
        <f t="shared" si="660"/>
        <v>#N/A</v>
      </c>
      <c r="AE621" s="72"/>
      <c r="AF621" s="72" t="e">
        <f t="shared" si="643"/>
        <v>#N/A</v>
      </c>
      <c r="AG621" s="72" t="e">
        <f>IF('חד גזעי'!$AM$5="לא",(VLOOKUP(C621,'חד גזעי'!$P$1:$S$589,3,FALSE)),(VLOOKUP(C621,'חד גזעי'!$P$1:$S$589,4,FALSE)))</f>
        <v>#N/A</v>
      </c>
      <c r="AH621" s="72">
        <f t="shared" si="644"/>
        <v>0</v>
      </c>
      <c r="AI621" s="72">
        <f t="shared" si="645"/>
        <v>0</v>
      </c>
      <c r="AJ621" s="72">
        <f t="shared" si="646"/>
        <v>0</v>
      </c>
      <c r="AK621" s="72" t="e">
        <f t="shared" si="647"/>
        <v>#N/A</v>
      </c>
      <c r="AL621" t="e">
        <f>VLOOKUP(C621,'חד גזעי'!$AH$8:$AI$33,2,FALSE)</f>
        <v>#N/A</v>
      </c>
      <c r="AM621" s="72" t="b">
        <f t="shared" si="648"/>
        <v>0</v>
      </c>
      <c r="AN621" s="72" t="b">
        <f t="shared" si="649"/>
        <v>0</v>
      </c>
      <c r="AO621" s="72" t="b">
        <f t="shared" si="650"/>
        <v>0</v>
      </c>
      <c r="AS621" s="72">
        <f t="shared" si="651"/>
        <v>0</v>
      </c>
      <c r="AT621" s="72">
        <f t="shared" si="652"/>
        <v>0</v>
      </c>
      <c r="AU621" s="72">
        <f t="shared" si="661"/>
        <v>0</v>
      </c>
      <c r="AV621" s="72">
        <f t="shared" si="653"/>
        <v>0</v>
      </c>
      <c r="AW621" s="72">
        <f t="shared" si="654"/>
        <v>0</v>
      </c>
      <c r="AX621" s="72">
        <f t="shared" si="655"/>
        <v>0</v>
      </c>
      <c r="AY621" s="72">
        <f t="shared" si="656"/>
        <v>0</v>
      </c>
      <c r="AZ621" s="72">
        <f t="shared" si="657"/>
        <v>0</v>
      </c>
      <c r="BA621" s="72" t="e">
        <f t="shared" si="658"/>
        <v>#N/A</v>
      </c>
      <c r="BB621" s="72" t="e">
        <f t="shared" si="659"/>
        <v>#N/A</v>
      </c>
      <c r="BC621" s="77"/>
      <c r="BE621">
        <f t="shared" si="639"/>
        <v>0</v>
      </c>
      <c r="BF621" s="196" t="str">
        <f>BF640</f>
        <v>C:\Users\origr\Pictures\0.jpg</v>
      </c>
      <c r="BG621" s="196" t="str">
        <f t="shared" ref="BG621:BK621" si="662">BG640</f>
        <v>C:\Users\origr\Pictures\0.jpg</v>
      </c>
      <c r="BH621" s="196" t="str">
        <f t="shared" si="662"/>
        <v>C:\Users\origr\Pictures\0.jpg</v>
      </c>
      <c r="BI621" s="196" t="str">
        <f t="shared" si="662"/>
        <v>C:\Users\origr\Pictures\0.jpg</v>
      </c>
      <c r="BJ621" s="196" t="str">
        <f t="shared" si="662"/>
        <v>C:\Users\origr\Pictures\0.jpg</v>
      </c>
      <c r="BK621" s="196" t="str">
        <f t="shared" si="662"/>
        <v>C:\Users\origr\Pictures\0.jpg</v>
      </c>
    </row>
    <row r="622" spans="2:63" hidden="1">
      <c r="B622" s="72"/>
      <c r="C622" s="135"/>
      <c r="D622" s="78"/>
      <c r="E622" s="78"/>
      <c r="F622" s="72"/>
      <c r="G622" s="72"/>
      <c r="H622" s="72"/>
      <c r="I622" s="73">
        <f t="shared" si="641"/>
        <v>0</v>
      </c>
      <c r="J622" s="78"/>
      <c r="K622" s="73"/>
      <c r="L622" s="74" t="e">
        <f>_xlfn.IFNA(VLOOKUP(C622,'חד גזעי'!$U$3:$V$509,2,0),VLOOKUP(C622,'חד גזעי'!$U$3:$V$509,2))</f>
        <v>#N/A</v>
      </c>
      <c r="M622" s="73"/>
      <c r="N622" s="72" t="e">
        <f>_xlfn.IFNA(IF(VLOOKUP(C622,'חד גזעי'!$AH$2:$AH$7,1,FALSE)&gt;0,0,IF('חד גזעי'!$AM$5="כן",IF(_xlfn.IFNA(VLOOKUP(C622,'חד גזעי'!$AH$2:$AH$33,1,FALSE),SUM(J622:M622))&lt;21,_xlfn.IFNA(VLOOKUP(C622,'חד גזעי'!$AH$2:$AH$33,1,FALSE),SUM(J622:M622)),0),SUM(J622:M622))),IF('חד גזעי'!$AM$5="כן",IF(_xlfn.IFNA(VLOOKUP(C622,'חד גזעי'!$AH$2:$AH$33,1,FALSE),SUM(J622:M622))&lt;21,_xlfn.IFNA(VLOOKUP(C622,'חד גזעי'!$AH$2:$AH$33,1,FALSE),SUM(J622:M622)),0),SUM(J622:M622)))</f>
        <v>#N/A</v>
      </c>
      <c r="O622" s="72">
        <f>IF('חד גזעי'!$AM$3 = "כן",IF(T622&gt;4,4,T622),T622)</f>
        <v>0</v>
      </c>
      <c r="P622" s="80">
        <f>IF(E622&lt;2,0,IF(Z622&gt;0,Z622,IF(N622 = 0,0,IF('חד גזעי'!$AM$2 = "לא",IF(F622&gt;19,W622,0),IF(F622&gt;9,Y622,0)))))</f>
        <v>0</v>
      </c>
      <c r="Q622" s="77"/>
      <c r="R622" s="76"/>
      <c r="S622" t="e">
        <f>VLOOKUP(C622,'חד גזעי'!$Y$4:$Y$18,1,0)</f>
        <v>#N/A</v>
      </c>
      <c r="T622" s="72">
        <f>IF('חד גזעי'!$AM$6="לא",IF(P622=0,IF(BC622="שימור",IF('חד גזעי'!$AM$4="לא",IF(BC622="לא בוגר",0,IF(BC622="לא קיים",0,IF(J622=0,0,I622*0.1))),IF(BC622="לא בוגר",0,IF(BC622="לא קיים",0,IF(AB622=1,I622*0.1,E622*0.5)))),0),IF('חד גזעי'!$AM$4="לא",IF(BC622="לא בוגר",0,IF(BC622="לא קיים",0,IF(J622=0,0,I622*0.1))),IF(BC622="לא בוגר",0,IF(BC622="לא קיים",0,IF(AB622=1,I622*0.1,E622*0.5))))),IF(P622=0,IF(BC622="שימור",IF('חד גזעי'!$AM$4="לא",IF(BC622="לא בוגר",0,IF(BC622="לא קיים",0,IF(J622=0,0,I622*0.15))),IF(BC622="לא בוגר",0,IF(BC622="לא קיים",0,IF(AB622=1,I622*0.15,E622*0.5)))),0),IF('חד גזעי'!$AM$4="לא",IF(BC622="לא בוגר",0,IF(BC622="לא קיים",0,IF(J622=0,0,I622*0.15))),IF(BC622="לא בוגר",0,IF(BC622="לא קיים",0,IF(AB622=1,I622*0.15,E622*0.5))))))</f>
        <v>0</v>
      </c>
      <c r="V622" t="e">
        <f t="shared" si="614"/>
        <v>#N/A</v>
      </c>
      <c r="W622" t="e">
        <f t="shared" si="615"/>
        <v>#N/A</v>
      </c>
      <c r="X622" t="e">
        <f t="shared" si="616"/>
        <v>#N/A</v>
      </c>
      <c r="Y622">
        <f>IF('חד גזעי'!$AM$2 = "לא",0,IF(F622&gt;9,W622,0))</f>
        <v>0</v>
      </c>
      <c r="Z622">
        <f>IF('חד גזעי'!$AM$7 = "לא",0,IF(C622 = "זית אירופי",IF('חד גזעי'!$AN$7 &lt;=סקר!F622,W622,0),IF(C622 = "חרוב מצוי",IF('חד גזעי'!$AN$7 &lt;=סקר!F622,W622,0),0)))</f>
        <v>0</v>
      </c>
      <c r="AB622">
        <f t="shared" si="642"/>
        <v>1</v>
      </c>
      <c r="AC622" s="72"/>
      <c r="AD622" t="e">
        <f t="shared" si="660"/>
        <v>#N/A</v>
      </c>
      <c r="AE622" s="72"/>
      <c r="AF622" s="72" t="e">
        <f t="shared" si="643"/>
        <v>#N/A</v>
      </c>
      <c r="AG622" s="72" t="e">
        <f>IF('חד גזעי'!$AM$5="לא",(VLOOKUP(C622,'חד גזעי'!$P$1:$S$589,3,FALSE)),(VLOOKUP(C622,'חד גזעי'!$P$1:$S$589,4,FALSE)))</f>
        <v>#N/A</v>
      </c>
      <c r="AH622" s="72">
        <f t="shared" si="644"/>
        <v>0</v>
      </c>
      <c r="AI622" s="72">
        <f t="shared" si="645"/>
        <v>0</v>
      </c>
      <c r="AJ622" s="72">
        <f t="shared" si="646"/>
        <v>0</v>
      </c>
      <c r="AK622" s="72" t="e">
        <f t="shared" si="647"/>
        <v>#N/A</v>
      </c>
      <c r="AL622" t="e">
        <f>VLOOKUP(C622,'חד גזעי'!$AH$8:$AI$33,2,FALSE)</f>
        <v>#N/A</v>
      </c>
      <c r="AM622" s="72" t="b">
        <f t="shared" si="648"/>
        <v>0</v>
      </c>
      <c r="AN622" s="72" t="b">
        <f t="shared" si="649"/>
        <v>0</v>
      </c>
      <c r="AO622" s="72" t="b">
        <f t="shared" si="650"/>
        <v>0</v>
      </c>
      <c r="AS622" s="72">
        <f t="shared" si="651"/>
        <v>0</v>
      </c>
      <c r="AT622" s="72">
        <f t="shared" si="652"/>
        <v>0</v>
      </c>
      <c r="AU622" s="72">
        <f t="shared" si="661"/>
        <v>0</v>
      </c>
      <c r="AV622" s="72">
        <f t="shared" si="653"/>
        <v>0</v>
      </c>
      <c r="AW622" s="72">
        <f t="shared" si="654"/>
        <v>0</v>
      </c>
      <c r="AX622" s="72">
        <f t="shared" si="655"/>
        <v>0</v>
      </c>
      <c r="AY622" s="72">
        <f t="shared" si="656"/>
        <v>0</v>
      </c>
      <c r="AZ622" s="72">
        <f t="shared" si="657"/>
        <v>0</v>
      </c>
      <c r="BA622" s="72" t="e">
        <f t="shared" si="658"/>
        <v>#N/A</v>
      </c>
      <c r="BB622" s="72" t="e">
        <f t="shared" si="659"/>
        <v>#N/A</v>
      </c>
      <c r="BC622" s="77"/>
      <c r="BE622">
        <f t="shared" si="639"/>
        <v>0</v>
      </c>
      <c r="BF622" s="196"/>
      <c r="BG622" s="196"/>
      <c r="BH622" s="196"/>
      <c r="BI622" s="196"/>
      <c r="BJ622" s="196"/>
      <c r="BK622" s="196"/>
    </row>
    <row r="623" spans="2:63" hidden="1">
      <c r="B623" s="72"/>
      <c r="C623" s="135"/>
      <c r="D623" s="78"/>
      <c r="E623" s="78"/>
      <c r="F623" s="72"/>
      <c r="G623" s="72"/>
      <c r="H623" s="72"/>
      <c r="I623" s="73">
        <f t="shared" si="641"/>
        <v>0</v>
      </c>
      <c r="J623" s="78"/>
      <c r="K623" s="73"/>
      <c r="L623" s="74" t="e">
        <f>_xlfn.IFNA(VLOOKUP(C623,'חד גזעי'!$U$3:$V$509,2,0),VLOOKUP(C623,'חד גזעי'!$U$3:$V$509,2))</f>
        <v>#N/A</v>
      </c>
      <c r="M623" s="73"/>
      <c r="N623" s="72" t="e">
        <f>_xlfn.IFNA(IF(VLOOKUP(C623,'חד גזעי'!$AH$2:$AH$7,1,FALSE)&gt;0,0,IF('חד גזעי'!$AM$5="כן",IF(_xlfn.IFNA(VLOOKUP(C623,'חד גזעי'!$AH$2:$AH$33,1,FALSE),SUM(J623:M623))&lt;21,_xlfn.IFNA(VLOOKUP(C623,'חד גזעי'!$AH$2:$AH$33,1,FALSE),SUM(J623:M623)),0),SUM(J623:M623))),IF('חד גזעי'!$AM$5="כן",IF(_xlfn.IFNA(VLOOKUP(C623,'חד גזעי'!$AH$2:$AH$33,1,FALSE),SUM(J623:M623))&lt;21,_xlfn.IFNA(VLOOKUP(C623,'חד גזעי'!$AH$2:$AH$33,1,FALSE),SUM(J623:M623)),0),SUM(J623:M623)))</f>
        <v>#N/A</v>
      </c>
      <c r="O623" s="72">
        <f>IF('חד גזעי'!$AM$3 = "כן",IF(T623&gt;4,4,T623),T623)</f>
        <v>0</v>
      </c>
      <c r="P623" s="80">
        <f>IF(E623&lt;2,0,IF(Z623&gt;0,Z623,IF(N623 = 0,0,IF('חד גזעי'!$AM$2 = "לא",IF(F623&gt;19,W623,0),IF(F623&gt;9,Y623,0)))))</f>
        <v>0</v>
      </c>
      <c r="Q623" s="77"/>
      <c r="R623" s="76"/>
      <c r="S623" t="e">
        <f>VLOOKUP(C623,'חד גזעי'!$Y$4:$Y$18,1,0)</f>
        <v>#N/A</v>
      </c>
      <c r="T623" s="72">
        <f>IF('חד גזעי'!$AM$6="לא",IF(P623=0,IF(BC623="שימור",IF('חד גזעי'!$AM$4="לא",IF(BC623="לא בוגר",0,IF(BC623="לא קיים",0,IF(J623=0,0,I623*0.1))),IF(BC623="לא בוגר",0,IF(BC623="לא קיים",0,IF(AB623=1,I623*0.1,E623*0.5)))),0),IF('חד גזעי'!$AM$4="לא",IF(BC623="לא בוגר",0,IF(BC623="לא קיים",0,IF(J623=0,0,I623*0.1))),IF(BC623="לא בוגר",0,IF(BC623="לא קיים",0,IF(AB623=1,I623*0.1,E623*0.5))))),IF(P623=0,IF(BC623="שימור",IF('חד גזעי'!$AM$4="לא",IF(BC623="לא בוגר",0,IF(BC623="לא קיים",0,IF(J623=0,0,I623*0.15))),IF(BC623="לא בוגר",0,IF(BC623="לא קיים",0,IF(AB623=1,I623*0.15,E623*0.5)))),0),IF('חד גזעי'!$AM$4="לא",IF(BC623="לא בוגר",0,IF(BC623="לא קיים",0,IF(J623=0,0,I623*0.15))),IF(BC623="לא בוגר",0,IF(BC623="לא קיים",0,IF(AB623=1,I623*0.15,E623*0.5))))))</f>
        <v>0</v>
      </c>
      <c r="V623" t="e">
        <f t="shared" si="614"/>
        <v>#N/A</v>
      </c>
      <c r="W623" t="e">
        <f t="shared" si="615"/>
        <v>#N/A</v>
      </c>
      <c r="X623" t="e">
        <f t="shared" si="616"/>
        <v>#N/A</v>
      </c>
      <c r="Y623">
        <f>IF('חד גזעי'!$AM$2 = "לא",0,IF(F623&gt;9,W623,0))</f>
        <v>0</v>
      </c>
      <c r="Z623">
        <f>IF('חד גזעי'!$AM$7 = "לא",0,IF(C623 = "זית אירופי",IF('חד גזעי'!$AN$7 &lt;=סקר!F623,W623,0),IF(C623 = "חרוב מצוי",IF('חד גזעי'!$AN$7 &lt;=סקר!F623,W623,0),0)))</f>
        <v>0</v>
      </c>
      <c r="AB623">
        <f t="shared" si="642"/>
        <v>1</v>
      </c>
      <c r="AC623" s="72"/>
      <c r="AD623" t="e">
        <f t="shared" si="660"/>
        <v>#N/A</v>
      </c>
      <c r="AE623" s="72"/>
      <c r="AF623" s="72" t="e">
        <f t="shared" si="643"/>
        <v>#N/A</v>
      </c>
      <c r="AG623" s="72" t="e">
        <f>IF('חד גזעי'!$AM$5="לא",(VLOOKUP(C623,'חד גזעי'!$P$1:$S$589,3,FALSE)),(VLOOKUP(C623,'חד גזעי'!$P$1:$S$589,4,FALSE)))</f>
        <v>#N/A</v>
      </c>
      <c r="AH623" s="72">
        <f t="shared" si="644"/>
        <v>0</v>
      </c>
      <c r="AI623" s="72">
        <f t="shared" si="645"/>
        <v>0</v>
      </c>
      <c r="AJ623" s="72">
        <f t="shared" si="646"/>
        <v>0</v>
      </c>
      <c r="AK623" s="72" t="e">
        <f t="shared" si="647"/>
        <v>#N/A</v>
      </c>
      <c r="AL623" t="e">
        <f>VLOOKUP(C623,'חד גזעי'!$AH$8:$AI$33,2,FALSE)</f>
        <v>#N/A</v>
      </c>
      <c r="AM623" s="72" t="b">
        <f t="shared" si="648"/>
        <v>0</v>
      </c>
      <c r="AN623" s="72" t="b">
        <f t="shared" si="649"/>
        <v>0</v>
      </c>
      <c r="AO623" s="72" t="b">
        <f t="shared" si="650"/>
        <v>0</v>
      </c>
      <c r="AS623" s="72">
        <f t="shared" si="651"/>
        <v>0</v>
      </c>
      <c r="AT623" s="72">
        <f t="shared" si="652"/>
        <v>0</v>
      </c>
      <c r="AU623" s="72">
        <f t="shared" si="661"/>
        <v>0</v>
      </c>
      <c r="AV623" s="72">
        <f t="shared" si="653"/>
        <v>0</v>
      </c>
      <c r="AW623" s="72">
        <f t="shared" si="654"/>
        <v>0</v>
      </c>
      <c r="AX623" s="72">
        <f t="shared" si="655"/>
        <v>0</v>
      </c>
      <c r="AY623" s="72">
        <f t="shared" si="656"/>
        <v>0</v>
      </c>
      <c r="AZ623" s="72">
        <f t="shared" si="657"/>
        <v>0</v>
      </c>
      <c r="BA623" s="72" t="e">
        <f t="shared" si="658"/>
        <v>#N/A</v>
      </c>
      <c r="BB623" s="72" t="e">
        <f t="shared" si="659"/>
        <v>#N/A</v>
      </c>
      <c r="BC623" s="77"/>
      <c r="BE623">
        <f t="shared" si="639"/>
        <v>0</v>
      </c>
      <c r="BF623" s="196"/>
      <c r="BG623" s="196"/>
      <c r="BH623" s="196"/>
      <c r="BI623" s="196"/>
      <c r="BJ623" s="196"/>
      <c r="BK623" s="196"/>
    </row>
    <row r="624" spans="2:63" hidden="1">
      <c r="B624" s="72"/>
      <c r="C624" s="135"/>
      <c r="D624" s="78"/>
      <c r="E624" s="78"/>
      <c r="F624" s="72"/>
      <c r="G624" s="72"/>
      <c r="H624" s="72"/>
      <c r="I624" s="73">
        <f t="shared" si="641"/>
        <v>0</v>
      </c>
      <c r="J624" s="78"/>
      <c r="K624" s="73"/>
      <c r="L624" s="74" t="e">
        <f>_xlfn.IFNA(VLOOKUP(C624,'חד גזעי'!$U$3:$V$509,2,0),VLOOKUP(C624,'חד גזעי'!$U$3:$V$509,2))</f>
        <v>#N/A</v>
      </c>
      <c r="M624" s="73"/>
      <c r="N624" s="72" t="e">
        <f>_xlfn.IFNA(IF(VLOOKUP(C624,'חד גזעי'!$AH$2:$AH$7,1,FALSE)&gt;0,0,IF('חד גזעי'!$AM$5="כן",IF(_xlfn.IFNA(VLOOKUP(C624,'חד גזעי'!$AH$2:$AH$33,1,FALSE),SUM(J624:M624))&lt;21,_xlfn.IFNA(VLOOKUP(C624,'חד גזעי'!$AH$2:$AH$33,1,FALSE),SUM(J624:M624)),0),SUM(J624:M624))),IF('חד גזעי'!$AM$5="כן",IF(_xlfn.IFNA(VLOOKUP(C624,'חד גזעי'!$AH$2:$AH$33,1,FALSE),SUM(J624:M624))&lt;21,_xlfn.IFNA(VLOOKUP(C624,'חד גזעי'!$AH$2:$AH$33,1,FALSE),SUM(J624:M624)),0),SUM(J624:M624)))</f>
        <v>#N/A</v>
      </c>
      <c r="O624" s="72">
        <f>IF('חד גזעי'!$AM$3 = "כן",IF(T624&gt;4,4,T624),T624)</f>
        <v>0</v>
      </c>
      <c r="P624" s="80">
        <f>IF(E624&lt;2,0,IF(Z624&gt;0,Z624,IF(N624 = 0,0,IF('חד גזעי'!$AM$2 = "לא",IF(F624&gt;19,W624,0),IF(F624&gt;9,Y624,0)))))</f>
        <v>0</v>
      </c>
      <c r="Q624" s="77"/>
      <c r="R624" s="75"/>
      <c r="S624" t="e">
        <f>VLOOKUP(C624,'חד גזעי'!$Y$4:$Y$18,1,0)</f>
        <v>#N/A</v>
      </c>
      <c r="T624" s="72">
        <f>IF('חד גזעי'!$AM$6="לא",IF(P624=0,IF(BC624="שימור",IF('חד גזעי'!$AM$4="לא",IF(BC624="לא בוגר",0,IF(BC624="לא קיים",0,IF(J624=0,0,I624*0.1))),IF(BC624="לא בוגר",0,IF(BC624="לא קיים",0,IF(AB624=1,I624*0.1,E624*0.5)))),0),IF('חד גזעי'!$AM$4="לא",IF(BC624="לא בוגר",0,IF(BC624="לא קיים",0,IF(J624=0,0,I624*0.1))),IF(BC624="לא בוגר",0,IF(BC624="לא קיים",0,IF(AB624=1,I624*0.1,E624*0.5))))),IF(P624=0,IF(BC624="שימור",IF('חד גזעי'!$AM$4="לא",IF(BC624="לא בוגר",0,IF(BC624="לא קיים",0,IF(J624=0,0,I624*0.15))),IF(BC624="לא בוגר",0,IF(BC624="לא קיים",0,IF(AB624=1,I624*0.15,E624*0.5)))),0),IF('חד גזעי'!$AM$4="לא",IF(BC624="לא בוגר",0,IF(BC624="לא קיים",0,IF(J624=0,0,I624*0.15))),IF(BC624="לא בוגר",0,IF(BC624="לא קיים",0,IF(AB624=1,I624*0.15,E624*0.5))))))</f>
        <v>0</v>
      </c>
      <c r="V624" t="e">
        <f t="shared" si="614"/>
        <v>#N/A</v>
      </c>
      <c r="W624" t="e">
        <f t="shared" si="615"/>
        <v>#N/A</v>
      </c>
      <c r="X624" t="e">
        <f t="shared" si="616"/>
        <v>#N/A</v>
      </c>
      <c r="Y624">
        <f>IF('חד גזעי'!$AM$2 = "לא",0,IF(F624&gt;9,W624,0))</f>
        <v>0</v>
      </c>
      <c r="Z624">
        <f>IF('חד גזעי'!$AM$7 = "לא",0,IF(C624 = "זית אירופי",IF('חד גזעי'!$AN$7 &lt;=סקר!F624,W624,0),IF(C624 = "חרוב מצוי",IF('חד גזעי'!$AN$7 &lt;=סקר!F624,W624,0),0)))</f>
        <v>0</v>
      </c>
      <c r="AB624">
        <f t="shared" si="642"/>
        <v>1</v>
      </c>
      <c r="AC624" s="72"/>
      <c r="AD624" t="e">
        <f t="shared" si="660"/>
        <v>#N/A</v>
      </c>
      <c r="AE624" s="72"/>
      <c r="AF624" s="72" t="e">
        <f t="shared" si="643"/>
        <v>#N/A</v>
      </c>
      <c r="AG624" s="72" t="e">
        <f>IF('חד גזעי'!$AM$5="לא",(VLOOKUP(C624,'חד גזעי'!$P$1:$S$589,3,FALSE)),(VLOOKUP(C624,'חד גזעי'!$P$1:$S$589,4,FALSE)))</f>
        <v>#N/A</v>
      </c>
      <c r="AH624" s="72">
        <f t="shared" si="644"/>
        <v>0</v>
      </c>
      <c r="AI624" s="72">
        <f t="shared" si="645"/>
        <v>0</v>
      </c>
      <c r="AJ624" s="72">
        <f t="shared" si="646"/>
        <v>0</v>
      </c>
      <c r="AK624" s="72" t="e">
        <f t="shared" si="647"/>
        <v>#N/A</v>
      </c>
      <c r="AL624" t="e">
        <f>VLOOKUP(C624,'חד גזעי'!$AH$8:$AI$33,2,FALSE)</f>
        <v>#N/A</v>
      </c>
      <c r="AM624" s="72" t="b">
        <f t="shared" si="648"/>
        <v>0</v>
      </c>
      <c r="AN624" s="72" t="b">
        <f t="shared" si="649"/>
        <v>0</v>
      </c>
      <c r="AO624" s="72" t="b">
        <f t="shared" si="650"/>
        <v>0</v>
      </c>
      <c r="AS624" s="72">
        <f t="shared" si="651"/>
        <v>0</v>
      </c>
      <c r="AT624" s="72">
        <f t="shared" si="652"/>
        <v>0</v>
      </c>
      <c r="AU624" s="72">
        <f t="shared" si="661"/>
        <v>0</v>
      </c>
      <c r="AV624" s="72">
        <f t="shared" si="653"/>
        <v>0</v>
      </c>
      <c r="AW624" s="72">
        <f t="shared" si="654"/>
        <v>0</v>
      </c>
      <c r="AX624" s="72">
        <f t="shared" si="655"/>
        <v>0</v>
      </c>
      <c r="AY624" s="72">
        <f t="shared" si="656"/>
        <v>0</v>
      </c>
      <c r="AZ624" s="72">
        <f t="shared" si="657"/>
        <v>0</v>
      </c>
      <c r="BA624" s="72" t="e">
        <f t="shared" si="658"/>
        <v>#N/A</v>
      </c>
      <c r="BB624" s="72" t="e">
        <f t="shared" si="659"/>
        <v>#N/A</v>
      </c>
      <c r="BC624" s="77"/>
      <c r="BE624">
        <f t="shared" si="639"/>
        <v>0</v>
      </c>
      <c r="BF624" s="196"/>
      <c r="BG624" s="196"/>
      <c r="BH624" s="196"/>
      <c r="BI624" s="196"/>
      <c r="BJ624" s="196"/>
      <c r="BK624" s="196"/>
    </row>
    <row r="625" spans="1:63" hidden="1">
      <c r="B625" s="72"/>
      <c r="C625" s="135"/>
      <c r="D625" s="78"/>
      <c r="E625" s="78"/>
      <c r="F625" s="72"/>
      <c r="G625" s="72"/>
      <c r="H625" s="72"/>
      <c r="I625" s="73">
        <f t="shared" si="641"/>
        <v>0</v>
      </c>
      <c r="J625" s="78"/>
      <c r="K625" s="73"/>
      <c r="L625" s="74" t="e">
        <f>_xlfn.IFNA(VLOOKUP(C625,'חד גזעי'!$U$3:$V$509,2,0),VLOOKUP(C625,'חד גזעי'!$U$3:$V$509,2))</f>
        <v>#N/A</v>
      </c>
      <c r="M625" s="73"/>
      <c r="N625" s="72" t="e">
        <f>_xlfn.IFNA(IF(VLOOKUP(C625,'חד גזעי'!$AH$2:$AH$7,1,FALSE)&gt;0,0,IF('חד גזעי'!$AM$5="כן",IF(_xlfn.IFNA(VLOOKUP(C625,'חד גזעי'!$AH$2:$AH$33,1,FALSE),SUM(J625:M625))&lt;21,_xlfn.IFNA(VLOOKUP(C625,'חד גזעי'!$AH$2:$AH$33,1,FALSE),SUM(J625:M625)),0),SUM(J625:M625))),IF('חד גזעי'!$AM$5="כן",IF(_xlfn.IFNA(VLOOKUP(C625,'חד גזעי'!$AH$2:$AH$33,1,FALSE),SUM(J625:M625))&lt;21,_xlfn.IFNA(VLOOKUP(C625,'חד גזעי'!$AH$2:$AH$33,1,FALSE),SUM(J625:M625)),0),SUM(J625:M625)))</f>
        <v>#N/A</v>
      </c>
      <c r="O625" s="72">
        <f>IF('חד גזעי'!$AM$3 = "כן",IF(T625&gt;4,4,T625),T625)</f>
        <v>0</v>
      </c>
      <c r="P625" s="80">
        <f>IF(E625&lt;2,0,IF(Z625&gt;0,Z625,IF(N625 = 0,0,IF('חד גזעי'!$AM$2 = "לא",IF(F625&gt;19,W625,0),IF(F625&gt;9,Y625,0)))))</f>
        <v>0</v>
      </c>
      <c r="Q625" s="77"/>
      <c r="R625" s="76"/>
      <c r="S625" t="e">
        <f>VLOOKUP(C625,'חד גזעי'!$Y$4:$Y$18,1,0)</f>
        <v>#N/A</v>
      </c>
      <c r="T625" s="72">
        <f>IF('חד גזעי'!$AM$6="לא",IF(P625=0,IF(BC625="שימור",IF('חד גזעי'!$AM$4="לא",IF(BC625="לא בוגר",0,IF(BC625="לא קיים",0,IF(J625=0,0,I625*0.1))),IF(BC625="לא בוגר",0,IF(BC625="לא קיים",0,IF(AB625=1,I625*0.1,E625*0.5)))),0),IF('חד גזעי'!$AM$4="לא",IF(BC625="לא בוגר",0,IF(BC625="לא קיים",0,IF(J625=0,0,I625*0.1))),IF(BC625="לא בוגר",0,IF(BC625="לא קיים",0,IF(AB625=1,I625*0.1,E625*0.5))))),IF(P625=0,IF(BC625="שימור",IF('חד גזעי'!$AM$4="לא",IF(BC625="לא בוגר",0,IF(BC625="לא קיים",0,IF(J625=0,0,I625*0.15))),IF(BC625="לא בוגר",0,IF(BC625="לא קיים",0,IF(AB625=1,I625*0.15,E625*0.5)))),0),IF('חד גזעי'!$AM$4="לא",IF(BC625="לא בוגר",0,IF(BC625="לא קיים",0,IF(J625=0,0,I625*0.15))),IF(BC625="לא בוגר",0,IF(BC625="לא קיים",0,IF(AB625=1,I625*0.15,E625*0.5))))))</f>
        <v>0</v>
      </c>
      <c r="V625" t="e">
        <f t="shared" si="614"/>
        <v>#N/A</v>
      </c>
      <c r="W625" t="e">
        <f t="shared" si="615"/>
        <v>#N/A</v>
      </c>
      <c r="X625" t="e">
        <f t="shared" si="616"/>
        <v>#N/A</v>
      </c>
      <c r="Y625">
        <f>IF('חד גזעי'!$AM$2 = "לא",0,IF(F625&gt;9,W625,0))</f>
        <v>0</v>
      </c>
      <c r="Z625">
        <f>IF('חד גזעי'!$AM$7 = "לא",0,IF(C625 = "זית אירופי",IF('חד גזעי'!$AN$7 &lt;=סקר!F625,W625,0),IF(C625 = "חרוב מצוי",IF('חד גזעי'!$AN$7 &lt;=סקר!F625,W625,0),0)))</f>
        <v>0</v>
      </c>
      <c r="AB625">
        <f t="shared" si="642"/>
        <v>1</v>
      </c>
      <c r="AC625" s="72"/>
      <c r="AD625" t="e">
        <f t="shared" si="660"/>
        <v>#N/A</v>
      </c>
      <c r="AE625" s="72"/>
      <c r="AF625" s="72" t="e">
        <f t="shared" si="643"/>
        <v>#N/A</v>
      </c>
      <c r="AG625" s="72" t="e">
        <f>IF('חד גזעי'!$AM$5="לא",(VLOOKUP(C625,'חד גזעי'!$P$1:$S$589,3,FALSE)),(VLOOKUP(C625,'חד גזעי'!$P$1:$S$589,4,FALSE)))</f>
        <v>#N/A</v>
      </c>
      <c r="AH625" s="72">
        <f t="shared" si="644"/>
        <v>0</v>
      </c>
      <c r="AI625" s="72">
        <f t="shared" si="645"/>
        <v>0</v>
      </c>
      <c r="AJ625" s="72">
        <f t="shared" si="646"/>
        <v>0</v>
      </c>
      <c r="AK625" s="72" t="e">
        <f t="shared" si="647"/>
        <v>#N/A</v>
      </c>
      <c r="AL625" t="e">
        <f>VLOOKUP(C625,'חד גזעי'!$AH$8:$AI$33,2,FALSE)</f>
        <v>#N/A</v>
      </c>
      <c r="AM625" s="72" t="b">
        <f t="shared" si="648"/>
        <v>0</v>
      </c>
      <c r="AN625" s="72" t="b">
        <f t="shared" si="649"/>
        <v>0</v>
      </c>
      <c r="AO625" s="72" t="b">
        <f t="shared" si="650"/>
        <v>0</v>
      </c>
      <c r="AS625" s="72">
        <f t="shared" si="651"/>
        <v>0</v>
      </c>
      <c r="AT625" s="72">
        <f t="shared" si="652"/>
        <v>0</v>
      </c>
      <c r="AU625" s="72">
        <f t="shared" si="661"/>
        <v>0</v>
      </c>
      <c r="AV625" s="72">
        <f t="shared" si="653"/>
        <v>0</v>
      </c>
      <c r="AW625" s="72">
        <f t="shared" si="654"/>
        <v>0</v>
      </c>
      <c r="AX625" s="72">
        <f t="shared" si="655"/>
        <v>0</v>
      </c>
      <c r="AY625" s="72">
        <f t="shared" si="656"/>
        <v>0</v>
      </c>
      <c r="AZ625" s="72">
        <f t="shared" si="657"/>
        <v>0</v>
      </c>
      <c r="BA625" s="72" t="e">
        <f t="shared" si="658"/>
        <v>#N/A</v>
      </c>
      <c r="BB625" s="72" t="e">
        <f t="shared" si="659"/>
        <v>#N/A</v>
      </c>
      <c r="BC625" s="77"/>
      <c r="BE625">
        <f t="shared" si="639"/>
        <v>0</v>
      </c>
      <c r="BF625" s="196"/>
      <c r="BG625" s="196"/>
      <c r="BH625" s="196"/>
      <c r="BI625" s="196"/>
      <c r="BJ625" s="196"/>
      <c r="BK625" s="196"/>
    </row>
    <row r="626" spans="1:63" hidden="1">
      <c r="B626" s="72"/>
      <c r="C626" s="135"/>
      <c r="D626" s="78"/>
      <c r="E626" s="78"/>
      <c r="F626" s="72"/>
      <c r="G626" s="72"/>
      <c r="H626" s="72"/>
      <c r="I626" s="73">
        <f t="shared" si="641"/>
        <v>0</v>
      </c>
      <c r="J626" s="78"/>
      <c r="K626" s="73"/>
      <c r="L626" s="74" t="e">
        <f>_xlfn.IFNA(VLOOKUP(C626,'חד גזעי'!$U$3:$V$509,2,0),VLOOKUP(C626,'חד גזעי'!$U$3:$V$509,2))</f>
        <v>#N/A</v>
      </c>
      <c r="M626" s="102"/>
      <c r="N626" s="72" t="e">
        <f>_xlfn.IFNA(IF(VLOOKUP(C626,'חד גזעי'!$AH$2:$AH$7,1,FALSE)&gt;0,0,IF('חד גזעי'!$AM$5="כן",IF(_xlfn.IFNA(VLOOKUP(C626,'חד גזעי'!$AH$2:$AH$33,1,FALSE),SUM(J626:M626))&lt;21,_xlfn.IFNA(VLOOKUP(C626,'חד גזעי'!$AH$2:$AH$33,1,FALSE),SUM(J626:M626)),0),SUM(J626:M626))),IF('חד גזעי'!$AM$5="כן",IF(_xlfn.IFNA(VLOOKUP(C626,'חד גזעי'!$AH$2:$AH$33,1,FALSE),SUM(J626:M626))&lt;21,_xlfn.IFNA(VLOOKUP(C626,'חד גזעי'!$AH$2:$AH$33,1,FALSE),SUM(J626:M626)),0),SUM(J626:M626)))</f>
        <v>#N/A</v>
      </c>
      <c r="O626" s="72">
        <f>IF('חד גזעי'!$AM$3 = "כן",IF(T626&gt;4,4,T626),T626)</f>
        <v>0</v>
      </c>
      <c r="P626" s="80">
        <f>IF(E626&lt;2,0,IF(Z626&gt;0,Z626,IF(N626 = 0,0,IF('חד גזעי'!$AM$2 = "לא",IF(F626&gt;19,W626,0),IF(F626&gt;9,Y626,0)))))</f>
        <v>0</v>
      </c>
      <c r="Q626" s="77"/>
      <c r="R626" s="76"/>
      <c r="S626" t="e">
        <f>VLOOKUP(C626,'חד גזעי'!$Y$4:$Y$18,1,0)</f>
        <v>#N/A</v>
      </c>
      <c r="T626" s="72">
        <f>IF('חד גזעי'!$AM$6="לא",IF(P626=0,IF(BC626="שימור",IF('חד גזעי'!$AM$4="לא",IF(BC626="לא בוגר",0,IF(BC626="לא קיים",0,IF(J626=0,0,I626*0.1))),IF(BC626="לא בוגר",0,IF(BC626="לא קיים",0,IF(AB626=1,I626*0.1,E626*0.5)))),0),IF('חד גזעי'!$AM$4="לא",IF(BC626="לא בוגר",0,IF(BC626="לא קיים",0,IF(J626=0,0,I626*0.1))),IF(BC626="לא בוגר",0,IF(BC626="לא קיים",0,IF(AB626=1,I626*0.1,E626*0.5))))),IF(P626=0,IF(BC626="שימור",IF('חד גזעי'!$AM$4="לא",IF(BC626="לא בוגר",0,IF(BC626="לא קיים",0,IF(J626=0,0,I626*0.15))),IF(BC626="לא בוגר",0,IF(BC626="לא קיים",0,IF(AB626=1,I626*0.15,E626*0.5)))),0),IF('חד גזעי'!$AM$4="לא",IF(BC626="לא בוגר",0,IF(BC626="לא קיים",0,IF(J626=0,0,I626*0.15))),IF(BC626="לא בוגר",0,IF(BC626="לא קיים",0,IF(AB626=1,I626*0.15,E626*0.5))))))</f>
        <v>0</v>
      </c>
      <c r="V626" t="e">
        <f t="shared" si="614"/>
        <v>#N/A</v>
      </c>
      <c r="W626" t="e">
        <f t="shared" si="615"/>
        <v>#N/A</v>
      </c>
      <c r="X626" t="e">
        <f t="shared" si="616"/>
        <v>#N/A</v>
      </c>
      <c r="Y626">
        <f>IF('חד גזעי'!$AM$2 = "לא",0,IF(F626&gt;9,W626,0))</f>
        <v>0</v>
      </c>
      <c r="Z626">
        <f>IF('חד גזעי'!$AM$7 = "לא",0,IF(C626 = "זית אירופי",IF('חד גזעי'!$AN$7 &lt;=סקר!F626,W626,0),IF(C626 = "חרוב מצוי",IF('חד גזעי'!$AN$7 &lt;=סקר!F626,W626,0),0)))</f>
        <v>0</v>
      </c>
      <c r="AB626">
        <f t="shared" si="642"/>
        <v>1</v>
      </c>
      <c r="AC626" s="72"/>
      <c r="AD626" t="e">
        <f t="shared" si="660"/>
        <v>#N/A</v>
      </c>
      <c r="AE626" s="72"/>
      <c r="AF626" s="72" t="e">
        <f t="shared" si="643"/>
        <v>#N/A</v>
      </c>
      <c r="AG626" s="72" t="e">
        <f>IF('חד גזעי'!$AM$5="לא",(VLOOKUP(C626,'חד גזעי'!$P$1:$S$589,3,FALSE)),(VLOOKUP(C626,'חד גזעי'!$P$1:$S$589,4,FALSE)))</f>
        <v>#N/A</v>
      </c>
      <c r="AH626" s="72">
        <f t="shared" si="644"/>
        <v>0</v>
      </c>
      <c r="AI626" s="72">
        <f t="shared" si="645"/>
        <v>0</v>
      </c>
      <c r="AJ626" s="72">
        <f t="shared" si="646"/>
        <v>0</v>
      </c>
      <c r="AK626" s="72" t="e">
        <f t="shared" si="647"/>
        <v>#N/A</v>
      </c>
      <c r="AL626" t="e">
        <f>VLOOKUP(C626,'חד גזעי'!$AH$8:$AI$33,2,FALSE)</f>
        <v>#N/A</v>
      </c>
      <c r="AM626" s="72" t="b">
        <f t="shared" si="648"/>
        <v>0</v>
      </c>
      <c r="AN626" s="72" t="b">
        <f t="shared" si="649"/>
        <v>0</v>
      </c>
      <c r="AO626" s="72" t="b">
        <f t="shared" si="650"/>
        <v>0</v>
      </c>
      <c r="AS626" s="72">
        <f t="shared" si="651"/>
        <v>0</v>
      </c>
      <c r="AT626" s="72">
        <f t="shared" si="652"/>
        <v>0</v>
      </c>
      <c r="AU626" s="72">
        <f t="shared" si="661"/>
        <v>0</v>
      </c>
      <c r="AV626" s="72">
        <f t="shared" si="653"/>
        <v>0</v>
      </c>
      <c r="AW626" s="72">
        <f t="shared" si="654"/>
        <v>0</v>
      </c>
      <c r="AX626" s="72">
        <f t="shared" si="655"/>
        <v>0</v>
      </c>
      <c r="AY626" s="72">
        <f t="shared" si="656"/>
        <v>0</v>
      </c>
      <c r="AZ626" s="72">
        <f t="shared" si="657"/>
        <v>0</v>
      </c>
      <c r="BA626" s="72" t="e">
        <f t="shared" si="658"/>
        <v>#N/A</v>
      </c>
      <c r="BB626" s="72" t="e">
        <f t="shared" si="659"/>
        <v>#N/A</v>
      </c>
      <c r="BC626" s="77"/>
      <c r="BE626">
        <f t="shared" si="639"/>
        <v>0</v>
      </c>
      <c r="BF626" s="196"/>
      <c r="BG626" s="196"/>
      <c r="BH626" s="196"/>
      <c r="BI626" s="196"/>
      <c r="BJ626" s="196"/>
      <c r="BK626" s="196"/>
    </row>
    <row r="627" spans="1:63" hidden="1">
      <c r="B627" s="72"/>
      <c r="C627" s="135"/>
      <c r="D627" s="73"/>
      <c r="E627" s="73"/>
      <c r="F627" s="72"/>
      <c r="G627" s="72"/>
      <c r="H627" s="72"/>
      <c r="I627" s="73">
        <f t="shared" si="641"/>
        <v>0</v>
      </c>
      <c r="J627" s="73"/>
      <c r="K627" s="73"/>
      <c r="L627" s="74" t="e">
        <f>_xlfn.IFNA(VLOOKUP(C627,'חד גזעי'!$U$3:$V$509,2,0),VLOOKUP(C627,'חד גזעי'!$U$3:$V$509,2))</f>
        <v>#N/A</v>
      </c>
      <c r="M627" s="73"/>
      <c r="N627" s="72" t="e">
        <f>_xlfn.IFNA(IF(VLOOKUP(C627,'חד גזעי'!$AH$2:$AH$7,1,FALSE)&gt;0,0,IF('חד גזעי'!$AM$5="כן",IF(_xlfn.IFNA(VLOOKUP(C627,'חד גזעי'!$AH$2:$AH$33,1,FALSE),SUM(J627:M627))&lt;21,_xlfn.IFNA(VLOOKUP(C627,'חד גזעי'!$AH$2:$AH$33,1,FALSE),SUM(J627:M627)),0),SUM(J627:M627))),IF('חד גזעי'!$AM$5="כן",IF(_xlfn.IFNA(VLOOKUP(C627,'חד גזעי'!$AH$2:$AH$33,1,FALSE),SUM(J627:M627))&lt;21,_xlfn.IFNA(VLOOKUP(C627,'חד גזעי'!$AH$2:$AH$33,1,FALSE),SUM(J627:M627)),0),SUM(J627:M627)))</f>
        <v>#N/A</v>
      </c>
      <c r="O627" s="72">
        <f>IF('חד גזעי'!$AM$3 = "כן",IF(T627&gt;4,4,T627),T627)</f>
        <v>0</v>
      </c>
      <c r="P627" s="80">
        <f>IF(E627&lt;2,0,IF(Z627&gt;0,Z627,IF(N627 = 0,0,IF('חד גזעי'!$AM$2 = "לא",IF(F627&gt;19,W627,0),IF(F627&gt;9,Y627,0)))))</f>
        <v>0</v>
      </c>
      <c r="Q627" s="77"/>
      <c r="R627" s="76"/>
      <c r="S627" t="e">
        <f>VLOOKUP(C627,'חד גזעי'!$Y$4:$Y$18,1,0)</f>
        <v>#N/A</v>
      </c>
      <c r="T627" s="72">
        <f>IF('חד גזעי'!$AM$6="לא",IF(P627=0,IF(BC627="שימור",IF('חד גזעי'!$AM$4="לא",IF(BC627="לא בוגר",0,IF(BC627="לא קיים",0,IF(J627=0,0,I627*0.1))),IF(BC627="לא בוגר",0,IF(BC627="לא קיים",0,IF(AB627=1,I627*0.1,E627*0.5)))),0),IF('חד גזעי'!$AM$4="לא",IF(BC627="לא בוגר",0,IF(BC627="לא קיים",0,IF(J627=0,0,I627*0.1))),IF(BC627="לא בוגר",0,IF(BC627="לא קיים",0,IF(AB627=1,I627*0.1,E627*0.5))))),IF(P627=0,IF(BC627="שימור",IF('חד גזעי'!$AM$4="לא",IF(BC627="לא בוגר",0,IF(BC627="לא קיים",0,IF(J627=0,0,I627*0.15))),IF(BC627="לא בוגר",0,IF(BC627="לא קיים",0,IF(AB627=1,I627*0.15,E627*0.5)))),0),IF('חד גזעי'!$AM$4="לא",IF(BC627="לא בוגר",0,IF(BC627="לא קיים",0,IF(J627=0,0,I627*0.15))),IF(BC627="לא בוגר",0,IF(BC627="לא קיים",0,IF(AB627=1,I627*0.15,E627*0.5))))))</f>
        <v>0</v>
      </c>
      <c r="V627" t="e">
        <f t="shared" si="614"/>
        <v>#N/A</v>
      </c>
      <c r="W627" t="e">
        <f t="shared" si="615"/>
        <v>#N/A</v>
      </c>
      <c r="X627" t="e">
        <f t="shared" si="616"/>
        <v>#N/A</v>
      </c>
      <c r="Y627">
        <f>IF('חד גזעי'!$AM$2 = "לא",0,IF(F627&gt;9,W627,0))</f>
        <v>0</v>
      </c>
      <c r="Z627">
        <f>IF('חד גזעי'!$AM$7 = "לא",0,IF(C627 = "זית אירופי",IF('חד גזעי'!$AN$7 &lt;=סקר!F627,W627,0),IF(C627 = "חרוב מצוי",IF('חד גזעי'!$AN$7 &lt;=סקר!F627,W627,0),0)))</f>
        <v>0</v>
      </c>
      <c r="AB627">
        <f t="shared" si="642"/>
        <v>1</v>
      </c>
      <c r="AC627" s="72"/>
      <c r="AD627" t="e">
        <f t="shared" si="660"/>
        <v>#N/A</v>
      </c>
      <c r="AE627" s="72"/>
      <c r="AF627" s="72" t="e">
        <f t="shared" si="643"/>
        <v>#N/A</v>
      </c>
      <c r="AG627" s="72" t="e">
        <f>IF('חד גזעי'!$AM$5="לא",(VLOOKUP(C627,'חד גזעי'!$P$1:$S$589,3,FALSE)),(VLOOKUP(C627,'חד גזעי'!$P$1:$S$589,4,FALSE)))</f>
        <v>#N/A</v>
      </c>
      <c r="AH627" s="72">
        <f t="shared" si="644"/>
        <v>0</v>
      </c>
      <c r="AI627" s="72">
        <f t="shared" si="645"/>
        <v>0</v>
      </c>
      <c r="AJ627" s="72">
        <f t="shared" si="646"/>
        <v>0</v>
      </c>
      <c r="AK627" s="72" t="e">
        <f t="shared" si="647"/>
        <v>#N/A</v>
      </c>
      <c r="AL627" t="e">
        <f>VLOOKUP(C627,'חד גזעי'!$AH$8:$AI$33,2,FALSE)</f>
        <v>#N/A</v>
      </c>
      <c r="AM627" s="72" t="b">
        <f t="shared" si="648"/>
        <v>0</v>
      </c>
      <c r="AN627" s="72" t="b">
        <f t="shared" si="649"/>
        <v>0</v>
      </c>
      <c r="AO627" s="72" t="b">
        <f t="shared" si="650"/>
        <v>0</v>
      </c>
      <c r="AS627" s="72">
        <f t="shared" si="651"/>
        <v>0</v>
      </c>
      <c r="AT627" s="72">
        <f t="shared" si="652"/>
        <v>0</v>
      </c>
      <c r="AU627" s="72">
        <f t="shared" si="661"/>
        <v>0</v>
      </c>
      <c r="AV627" s="72">
        <f t="shared" si="653"/>
        <v>0</v>
      </c>
      <c r="AW627" s="72">
        <f t="shared" si="654"/>
        <v>0</v>
      </c>
      <c r="AX627" s="72">
        <f t="shared" si="655"/>
        <v>0</v>
      </c>
      <c r="AY627" s="72">
        <f t="shared" si="656"/>
        <v>0</v>
      </c>
      <c r="AZ627" s="72">
        <f t="shared" si="657"/>
        <v>0</v>
      </c>
      <c r="BA627" s="72" t="e">
        <f t="shared" si="658"/>
        <v>#N/A</v>
      </c>
      <c r="BB627" s="72" t="e">
        <f t="shared" si="659"/>
        <v>#N/A</v>
      </c>
      <c r="BC627" s="77"/>
      <c r="BE627">
        <f t="shared" si="639"/>
        <v>0</v>
      </c>
      <c r="BF627" s="196"/>
      <c r="BG627" s="196"/>
      <c r="BH627" s="196"/>
      <c r="BI627" s="196"/>
      <c r="BJ627" s="196"/>
      <c r="BK627" s="196"/>
    </row>
    <row r="628" spans="1:63" hidden="1">
      <c r="B628" s="72"/>
      <c r="C628" s="135"/>
      <c r="D628" s="73"/>
      <c r="E628" s="73"/>
      <c r="F628" s="72"/>
      <c r="G628" s="72"/>
      <c r="H628" s="72"/>
      <c r="I628" s="73">
        <f t="shared" si="641"/>
        <v>0</v>
      </c>
      <c r="J628" s="73"/>
      <c r="K628" s="73"/>
      <c r="L628" s="74" t="e">
        <f>_xlfn.IFNA(VLOOKUP(C628,'חד גזעי'!$U$3:$V$509,2,0),VLOOKUP(C628,'חד גזעי'!$U$3:$V$509,2))</f>
        <v>#N/A</v>
      </c>
      <c r="M628" s="73"/>
      <c r="N628" s="72" t="e">
        <f>_xlfn.IFNA(IF(VLOOKUP(C628,'חד גזעי'!$AH$2:$AH$7,1,FALSE)&gt;0,0,IF('חד גזעי'!$AM$5="כן",IF(_xlfn.IFNA(VLOOKUP(C628,'חד גזעי'!$AH$2:$AH$33,1,FALSE),SUM(J628:M628))&lt;21,_xlfn.IFNA(VLOOKUP(C628,'חד גזעי'!$AH$2:$AH$33,1,FALSE),SUM(J628:M628)),0),SUM(J628:M628))),IF('חד גזעי'!$AM$5="כן",IF(_xlfn.IFNA(VLOOKUP(C628,'חד גזעי'!$AH$2:$AH$33,1,FALSE),SUM(J628:M628))&lt;21,_xlfn.IFNA(VLOOKUP(C628,'חד גזעי'!$AH$2:$AH$33,1,FALSE),SUM(J628:M628)),0),SUM(J628:M628)))</f>
        <v>#N/A</v>
      </c>
      <c r="O628" s="72">
        <f>IF('חד גזעי'!$AM$3 = "כן",IF(T628&gt;4,4,T628),T628)</f>
        <v>0</v>
      </c>
      <c r="P628" s="80">
        <f>IF(E628&lt;2,0,IF(Z628&gt;0,Z628,IF(N628 = 0,0,IF('חד גזעי'!$AM$2 = "לא",IF(F628&gt;19,W628,0),IF(F628&gt;9,Y628,0)))))</f>
        <v>0</v>
      </c>
      <c r="Q628" s="77"/>
      <c r="R628" s="76"/>
      <c r="S628" t="e">
        <f>VLOOKUP(C628,'חד גזעי'!$Y$4:$Y$18,1,0)</f>
        <v>#N/A</v>
      </c>
      <c r="T628" s="72">
        <f>IF('חד גזעי'!$AM$6="לא",IF(P628=0,IF(BC628="שימור",IF('חד גזעי'!$AM$4="לא",IF(BC628="לא בוגר",0,IF(BC628="לא קיים",0,IF(J628=0,0,I628*0.1))),IF(BC628="לא בוגר",0,IF(BC628="לא קיים",0,IF(AB628=1,I628*0.1,E628*0.5)))),0),IF('חד גזעי'!$AM$4="לא",IF(BC628="לא בוגר",0,IF(BC628="לא קיים",0,IF(J628=0,0,I628*0.1))),IF(BC628="לא בוגר",0,IF(BC628="לא קיים",0,IF(AB628=1,I628*0.1,E628*0.5))))),IF(P628=0,IF(BC628="שימור",IF('חד גזעי'!$AM$4="לא",IF(BC628="לא בוגר",0,IF(BC628="לא קיים",0,IF(J628=0,0,I628*0.15))),IF(BC628="לא בוגר",0,IF(BC628="לא קיים",0,IF(AB628=1,I628*0.15,E628*0.5)))),0),IF('חד גזעי'!$AM$4="לא",IF(BC628="לא בוגר",0,IF(BC628="לא קיים",0,IF(J628=0,0,I628*0.15))),IF(BC628="לא בוגר",0,IF(BC628="לא קיים",0,IF(AB628=1,I628*0.15,E628*0.5))))))</f>
        <v>0</v>
      </c>
      <c r="V628" t="e">
        <f t="shared" si="614"/>
        <v>#N/A</v>
      </c>
      <c r="W628" t="e">
        <f t="shared" si="615"/>
        <v>#N/A</v>
      </c>
      <c r="X628" t="e">
        <f t="shared" si="616"/>
        <v>#N/A</v>
      </c>
      <c r="Y628">
        <f>IF('חד גזעי'!$AM$2 = "לא",0,IF(F628&gt;9,W628,0))</f>
        <v>0</v>
      </c>
      <c r="Z628">
        <f>IF('חד גזעי'!$AM$7 = "לא",0,IF(C628 = "זית אירופי",IF('חד גזעי'!$AN$7 &lt;=סקר!F628,W628,0),IF(C628 = "חרוב מצוי",IF('חד גזעי'!$AN$7 &lt;=סקר!F628,W628,0),0)))</f>
        <v>0</v>
      </c>
      <c r="AB628">
        <f t="shared" si="642"/>
        <v>1</v>
      </c>
      <c r="AC628" s="72"/>
      <c r="AD628" t="e">
        <f t="shared" si="660"/>
        <v>#N/A</v>
      </c>
      <c r="AE628" s="72"/>
      <c r="AF628" s="72" t="e">
        <f t="shared" si="643"/>
        <v>#N/A</v>
      </c>
      <c r="AG628" s="72" t="e">
        <f>IF('חד גזעי'!$AM$5="לא",(VLOOKUP(C628,'חד גזעי'!$P$1:$S$589,3,FALSE)),(VLOOKUP(C628,'חד גזעי'!$P$1:$S$589,4,FALSE)))</f>
        <v>#N/A</v>
      </c>
      <c r="AH628" s="72">
        <f t="shared" si="644"/>
        <v>0</v>
      </c>
      <c r="AI628" s="72">
        <f t="shared" si="645"/>
        <v>0</v>
      </c>
      <c r="AJ628" s="72">
        <f t="shared" si="646"/>
        <v>0</v>
      </c>
      <c r="AK628" s="72" t="e">
        <f t="shared" si="647"/>
        <v>#N/A</v>
      </c>
      <c r="AL628" t="e">
        <f>VLOOKUP(C628,'חד גזעי'!$AH$8:$AI$33,2,FALSE)</f>
        <v>#N/A</v>
      </c>
      <c r="AM628" s="72" t="b">
        <f t="shared" si="648"/>
        <v>0</v>
      </c>
      <c r="AN628" s="72" t="b">
        <f t="shared" si="649"/>
        <v>0</v>
      </c>
      <c r="AO628" s="72" t="b">
        <f t="shared" si="650"/>
        <v>0</v>
      </c>
      <c r="AS628" s="72">
        <f t="shared" si="651"/>
        <v>0</v>
      </c>
      <c r="AT628" s="72">
        <f t="shared" si="652"/>
        <v>0</v>
      </c>
      <c r="AU628" s="72">
        <f t="shared" si="661"/>
        <v>0</v>
      </c>
      <c r="AV628" s="72">
        <f t="shared" si="653"/>
        <v>0</v>
      </c>
      <c r="AW628" s="72">
        <f t="shared" si="654"/>
        <v>0</v>
      </c>
      <c r="AX628" s="72">
        <f t="shared" si="655"/>
        <v>0</v>
      </c>
      <c r="AY628" s="72">
        <f t="shared" si="656"/>
        <v>0</v>
      </c>
      <c r="AZ628" s="72">
        <f t="shared" si="657"/>
        <v>0</v>
      </c>
      <c r="BA628" s="72" t="e">
        <f t="shared" si="658"/>
        <v>#N/A</v>
      </c>
      <c r="BB628" s="72" t="e">
        <f t="shared" si="659"/>
        <v>#N/A</v>
      </c>
      <c r="BC628" s="77"/>
      <c r="BE628">
        <f t="shared" si="639"/>
        <v>0</v>
      </c>
      <c r="BF628" s="196"/>
      <c r="BG628" s="196"/>
      <c r="BH628" s="196"/>
      <c r="BI628" s="196"/>
      <c r="BJ628" s="196"/>
      <c r="BK628" s="196"/>
    </row>
    <row r="629" spans="1:63" hidden="1">
      <c r="B629" s="72"/>
      <c r="C629" s="135"/>
      <c r="D629" s="73"/>
      <c r="E629" s="73"/>
      <c r="F629" s="72"/>
      <c r="G629" s="72"/>
      <c r="H629" s="72"/>
      <c r="I629" s="73">
        <f t="shared" si="641"/>
        <v>0</v>
      </c>
      <c r="J629" s="73"/>
      <c r="K629" s="73"/>
      <c r="L629" s="74" t="e">
        <f>_xlfn.IFNA(VLOOKUP(C629,'חד גזעי'!$U$3:$V$509,2,0),VLOOKUP(C629,'חד גזעי'!$U$3:$V$509,2))</f>
        <v>#N/A</v>
      </c>
      <c r="M629" s="73"/>
      <c r="N629" s="72" t="e">
        <f>_xlfn.IFNA(IF(VLOOKUP(C629,'חד גזעי'!$AH$2:$AH$7,1,FALSE)&gt;0,0,IF('חד גזעי'!$AM$5="כן",IF(_xlfn.IFNA(VLOOKUP(C629,'חד גזעי'!$AH$2:$AH$33,1,FALSE),SUM(J629:M629))&lt;21,_xlfn.IFNA(VLOOKUP(C629,'חד גזעי'!$AH$2:$AH$33,1,FALSE),SUM(J629:M629)),0),SUM(J629:M629))),IF('חד גזעי'!$AM$5="כן",IF(_xlfn.IFNA(VLOOKUP(C629,'חד גזעי'!$AH$2:$AH$33,1,FALSE),SUM(J629:M629))&lt;21,_xlfn.IFNA(VLOOKUP(C629,'חד גזעי'!$AH$2:$AH$33,1,FALSE),SUM(J629:M629)),0),SUM(J629:M629)))</f>
        <v>#N/A</v>
      </c>
      <c r="O629" s="72">
        <f>IF('חד גזעי'!$AM$3 = "כן",IF(T629&gt;4,4,T629),T629)</f>
        <v>0</v>
      </c>
      <c r="P629" s="80">
        <f>IF(E629&lt;2,0,IF(Z629&gt;0,Z629,IF(N629 = 0,0,IF('חד גזעי'!$AM$2 = "לא",IF(F629&gt;19,W629,0),IF(F629&gt;9,Y629,0)))))</f>
        <v>0</v>
      </c>
      <c r="Q629" s="77"/>
      <c r="R629" s="76"/>
      <c r="S629" t="e">
        <f>VLOOKUP(C629,'חד גזעי'!$Y$4:$Y$18,1,0)</f>
        <v>#N/A</v>
      </c>
      <c r="T629" s="72">
        <f>IF('חד גזעי'!$AM$6="לא",IF(P629=0,IF(BC629="שימור",IF('חד גזעי'!$AM$4="לא",IF(BC629="לא בוגר",0,IF(BC629="לא קיים",0,IF(J629=0,0,I629*0.1))),IF(BC629="לא בוגר",0,IF(BC629="לא קיים",0,IF(AB629=1,I629*0.1,E629*0.5)))),0),IF('חד גזעי'!$AM$4="לא",IF(BC629="לא בוגר",0,IF(BC629="לא קיים",0,IF(J629=0,0,I629*0.1))),IF(BC629="לא בוגר",0,IF(BC629="לא קיים",0,IF(AB629=1,I629*0.1,E629*0.5))))),IF(P629=0,IF(BC629="שימור",IF('חד גזעי'!$AM$4="לא",IF(BC629="לא בוגר",0,IF(BC629="לא קיים",0,IF(J629=0,0,I629*0.15))),IF(BC629="לא בוגר",0,IF(BC629="לא קיים",0,IF(AB629=1,I629*0.15,E629*0.5)))),0),IF('חד גזעי'!$AM$4="לא",IF(BC629="לא בוגר",0,IF(BC629="לא קיים",0,IF(J629=0,0,I629*0.15))),IF(BC629="לא בוגר",0,IF(BC629="לא קיים",0,IF(AB629=1,I629*0.15,E629*0.5))))))</f>
        <v>0</v>
      </c>
      <c r="V629" t="e">
        <f t="shared" si="614"/>
        <v>#N/A</v>
      </c>
      <c r="W629" t="e">
        <f t="shared" si="615"/>
        <v>#N/A</v>
      </c>
      <c r="X629" t="e">
        <f t="shared" si="616"/>
        <v>#N/A</v>
      </c>
      <c r="Y629">
        <f>IF('חד גזעי'!$AM$2 = "לא",0,IF(F629&gt;9,W629,0))</f>
        <v>0</v>
      </c>
      <c r="Z629">
        <f>IF('חד גזעי'!$AM$7 = "לא",0,IF(C629 = "זית אירופי",IF('חד גזעי'!$AN$7 &lt;=סקר!F629,W629,0),IF(C629 = "חרוב מצוי",IF('חד גזעי'!$AN$7 &lt;=סקר!F629,W629,0),0)))</f>
        <v>0</v>
      </c>
      <c r="AB629">
        <f t="shared" si="642"/>
        <v>1</v>
      </c>
      <c r="AC629" s="72"/>
      <c r="AD629" t="e">
        <f t="shared" si="660"/>
        <v>#N/A</v>
      </c>
      <c r="AE629" s="72"/>
      <c r="AF629" s="72" t="e">
        <f t="shared" si="643"/>
        <v>#N/A</v>
      </c>
      <c r="AG629" s="72" t="e">
        <f>IF('חד גזעי'!$AM$5="לא",(VLOOKUP(C629,'חד גזעי'!$P$1:$S$589,3,FALSE)),(VLOOKUP(C629,'חד גזעי'!$P$1:$S$589,4,FALSE)))</f>
        <v>#N/A</v>
      </c>
      <c r="AH629" s="72">
        <f t="shared" si="644"/>
        <v>0</v>
      </c>
      <c r="AI629" s="72">
        <f t="shared" si="645"/>
        <v>0</v>
      </c>
      <c r="AJ629" s="72">
        <f t="shared" si="646"/>
        <v>0</v>
      </c>
      <c r="AK629" s="72" t="e">
        <f t="shared" si="647"/>
        <v>#N/A</v>
      </c>
      <c r="AL629" t="e">
        <f>VLOOKUP(C629,'חד גזעי'!$AH$8:$AI$33,2,FALSE)</f>
        <v>#N/A</v>
      </c>
      <c r="AM629" s="72" t="b">
        <f t="shared" si="648"/>
        <v>0</v>
      </c>
      <c r="AN629" s="72" t="b">
        <f t="shared" si="649"/>
        <v>0</v>
      </c>
      <c r="AO629" s="72" t="b">
        <f t="shared" si="650"/>
        <v>0</v>
      </c>
      <c r="AS629" s="72">
        <f t="shared" si="651"/>
        <v>0</v>
      </c>
      <c r="AT629" s="72">
        <f t="shared" si="652"/>
        <v>0</v>
      </c>
      <c r="AU629" s="72">
        <f t="shared" si="661"/>
        <v>0</v>
      </c>
      <c r="AV629" s="72">
        <f t="shared" si="653"/>
        <v>0</v>
      </c>
      <c r="AW629" s="72">
        <f t="shared" si="654"/>
        <v>0</v>
      </c>
      <c r="AX629" s="72">
        <f t="shared" si="655"/>
        <v>0</v>
      </c>
      <c r="AY629" s="72">
        <f t="shared" si="656"/>
        <v>0</v>
      </c>
      <c r="AZ629" s="72">
        <f t="shared" si="657"/>
        <v>0</v>
      </c>
      <c r="BA629" s="72" t="e">
        <f t="shared" si="658"/>
        <v>#N/A</v>
      </c>
      <c r="BB629" s="72" t="e">
        <f t="shared" si="659"/>
        <v>#N/A</v>
      </c>
      <c r="BC629" s="77"/>
      <c r="BE629">
        <f t="shared" si="639"/>
        <v>0</v>
      </c>
      <c r="BF629" s="196"/>
      <c r="BG629" s="196"/>
      <c r="BH629" s="196"/>
      <c r="BI629" s="196"/>
      <c r="BJ629" s="196"/>
      <c r="BK629" s="196"/>
    </row>
    <row r="630" spans="1:63" hidden="1">
      <c r="B630" s="72"/>
      <c r="C630" s="135"/>
      <c r="D630" s="73"/>
      <c r="E630" s="73"/>
      <c r="F630" s="72"/>
      <c r="G630" s="72"/>
      <c r="H630" s="72"/>
      <c r="I630" s="73">
        <f t="shared" si="641"/>
        <v>0</v>
      </c>
      <c r="J630" s="73"/>
      <c r="K630" s="73"/>
      <c r="L630" s="74" t="e">
        <f>_xlfn.IFNA(VLOOKUP(C630,'חד גזעי'!$U$3:$V$509,2,0),VLOOKUP(C630,'חד גזעי'!$U$3:$V$509,2))</f>
        <v>#N/A</v>
      </c>
      <c r="M630" s="73"/>
      <c r="N630" s="72" t="e">
        <f>_xlfn.IFNA(IF(VLOOKUP(C630,'חד גזעי'!$AH$2:$AH$7,1,FALSE)&gt;0,0,IF('חד גזעי'!$AM$5="כן",IF(_xlfn.IFNA(VLOOKUP(C630,'חד גזעי'!$AH$2:$AH$33,1,FALSE),SUM(J630:M630))&lt;21,_xlfn.IFNA(VLOOKUP(C630,'חד גזעי'!$AH$2:$AH$33,1,FALSE),SUM(J630:M630)),0),SUM(J630:M630))),IF('חד גזעי'!$AM$5="כן",IF(_xlfn.IFNA(VLOOKUP(C630,'חד גזעי'!$AH$2:$AH$33,1,FALSE),SUM(J630:M630))&lt;21,_xlfn.IFNA(VLOOKUP(C630,'חד גזעי'!$AH$2:$AH$33,1,FALSE),SUM(J630:M630)),0),SUM(J630:M630)))</f>
        <v>#N/A</v>
      </c>
      <c r="O630" s="72">
        <f>IF('חד גזעי'!$AM$3 = "כן",IF(T630&gt;4,4,T630),T630)</f>
        <v>0</v>
      </c>
      <c r="P630" s="80">
        <f>IF(E630&lt;2,0,IF(Z630&gt;0,Z630,IF(N630 = 0,0,IF('חד גזעי'!$AM$2 = "לא",IF(F630&gt;19,W630,0),IF(F630&gt;9,Y630,0)))))</f>
        <v>0</v>
      </c>
      <c r="Q630" s="77"/>
      <c r="R630" s="76"/>
      <c r="S630" t="e">
        <f>VLOOKUP(C630,'חד גזעי'!$Y$4:$Y$18,1,0)</f>
        <v>#N/A</v>
      </c>
      <c r="T630" s="72">
        <f>IF('חד גזעי'!$AM$6="לא",IF(P630=0,IF(BC630="שימור",IF('חד גזעי'!$AM$4="לא",IF(BC630="לא בוגר",0,IF(BC630="לא קיים",0,IF(J630=0,0,I630*0.1))),IF(BC630="לא בוגר",0,IF(BC630="לא קיים",0,IF(AB630=1,I630*0.1,E630*0.5)))),0),IF('חד גזעי'!$AM$4="לא",IF(BC630="לא בוגר",0,IF(BC630="לא קיים",0,IF(J630=0,0,I630*0.1))),IF(BC630="לא בוגר",0,IF(BC630="לא קיים",0,IF(AB630=1,I630*0.1,E630*0.5))))),IF(P630=0,IF(BC630="שימור",IF('חד גזעי'!$AM$4="לא",IF(BC630="לא בוגר",0,IF(BC630="לא קיים",0,IF(J630=0,0,I630*0.15))),IF(BC630="לא בוגר",0,IF(BC630="לא קיים",0,IF(AB630=1,I630*0.15,E630*0.5)))),0),IF('חד גזעי'!$AM$4="לא",IF(BC630="לא בוגר",0,IF(BC630="לא קיים",0,IF(J630=0,0,I630*0.15))),IF(BC630="לא בוגר",0,IF(BC630="לא קיים",0,IF(AB630=1,I630*0.15,E630*0.5))))))</f>
        <v>0</v>
      </c>
      <c r="V630" t="e">
        <f t="shared" si="614"/>
        <v>#N/A</v>
      </c>
      <c r="W630" t="e">
        <f t="shared" si="615"/>
        <v>#N/A</v>
      </c>
      <c r="X630" t="e">
        <f t="shared" si="616"/>
        <v>#N/A</v>
      </c>
      <c r="Y630">
        <f>IF('חד גזעי'!$AM$2 = "לא",0,IF(F630&gt;9,W630,0))</f>
        <v>0</v>
      </c>
      <c r="Z630">
        <f>IF('חד גזעי'!$AM$7 = "לא",0,IF(C630 = "זית אירופי",IF('חד גזעי'!$AN$7 &lt;=סקר!F630,W630,0),IF(C630 = "חרוב מצוי",IF('חד גזעי'!$AN$7 &lt;=סקר!F630,W630,0),0)))</f>
        <v>0</v>
      </c>
      <c r="AB630">
        <f t="shared" si="642"/>
        <v>1</v>
      </c>
      <c r="AC630" s="72"/>
      <c r="AD630" t="e">
        <f>IF(AK630&gt;0,AK630,AF630)</f>
        <v>#N/A</v>
      </c>
      <c r="AE630" s="72"/>
      <c r="AF630" s="72" t="e">
        <f t="shared" si="643"/>
        <v>#N/A</v>
      </c>
      <c r="AG630" s="72" t="e">
        <f>IF('חד גזעי'!$AM$5="לא",(VLOOKUP(C630,'חד גזעי'!$P$1:$S$589,3,FALSE)),(VLOOKUP(C630,'חד גזעי'!$P$1:$S$589,4,FALSE)))</f>
        <v>#N/A</v>
      </c>
      <c r="AH630" s="72">
        <f t="shared" si="644"/>
        <v>0</v>
      </c>
      <c r="AI630" s="72">
        <f t="shared" si="645"/>
        <v>0</v>
      </c>
      <c r="AJ630" s="72">
        <f t="shared" si="646"/>
        <v>0</v>
      </c>
      <c r="AK630" s="72" t="e">
        <f t="shared" si="647"/>
        <v>#N/A</v>
      </c>
      <c r="AL630" t="e">
        <f>VLOOKUP(C630,'חד גזעי'!$AH$8:$AI$33,2,FALSE)</f>
        <v>#N/A</v>
      </c>
      <c r="AM630" s="72" t="b">
        <f t="shared" si="648"/>
        <v>0</v>
      </c>
      <c r="AN630" s="72" t="b">
        <f t="shared" si="649"/>
        <v>0</v>
      </c>
      <c r="AO630" s="72" t="b">
        <f t="shared" si="650"/>
        <v>0</v>
      </c>
      <c r="AS630" s="72">
        <f t="shared" si="651"/>
        <v>0</v>
      </c>
      <c r="AT630" s="72">
        <f t="shared" si="652"/>
        <v>0</v>
      </c>
      <c r="AU630" s="72">
        <f>IF(C630&gt;0,IF(D630&lt;2,1,D630),0)</f>
        <v>0</v>
      </c>
      <c r="AV630" s="72">
        <f t="shared" si="653"/>
        <v>0</v>
      </c>
      <c r="AW630" s="72">
        <f t="shared" si="654"/>
        <v>0</v>
      </c>
      <c r="AX630" s="72">
        <f t="shared" si="655"/>
        <v>0</v>
      </c>
      <c r="AY630" s="72">
        <f t="shared" si="656"/>
        <v>0</v>
      </c>
      <c r="AZ630" s="72">
        <f t="shared" si="657"/>
        <v>0</v>
      </c>
      <c r="BA630" s="72" t="e">
        <f t="shared" si="658"/>
        <v>#N/A</v>
      </c>
      <c r="BB630" s="72" t="e">
        <f t="shared" si="659"/>
        <v>#N/A</v>
      </c>
      <c r="BC630" s="77"/>
      <c r="BE630">
        <f t="shared" si="639"/>
        <v>0</v>
      </c>
      <c r="BF630" s="196"/>
      <c r="BG630" s="196"/>
      <c r="BH630" s="196"/>
      <c r="BI630" s="196"/>
      <c r="BJ630" s="196"/>
      <c r="BK630" s="196"/>
    </row>
    <row r="631" spans="1:63" hidden="1">
      <c r="B631" s="72"/>
      <c r="C631" s="135"/>
      <c r="D631" s="73"/>
      <c r="E631" s="73"/>
      <c r="F631" s="72"/>
      <c r="G631" s="72"/>
      <c r="H631" s="72"/>
      <c r="I631" s="73">
        <f t="shared" si="641"/>
        <v>0</v>
      </c>
      <c r="J631" s="73"/>
      <c r="K631" s="73"/>
      <c r="L631" s="74" t="e">
        <f>_xlfn.IFNA(VLOOKUP(C631,'חד גזעי'!$U$3:$V$509,2,0),VLOOKUP(C631,'חד גזעי'!$U$3:$V$509,2))</f>
        <v>#N/A</v>
      </c>
      <c r="M631" s="73"/>
      <c r="N631" s="72" t="e">
        <f>_xlfn.IFNA(IF(VLOOKUP(C631,'חד גזעי'!$AH$2:$AH$7,1,FALSE)&gt;0,0,IF('חד גזעי'!$AM$5="כן",IF(_xlfn.IFNA(VLOOKUP(C631,'חד גזעי'!$AH$2:$AH$33,1,FALSE),SUM(J631:M631))&lt;21,_xlfn.IFNA(VLOOKUP(C631,'חד גזעי'!$AH$2:$AH$33,1,FALSE),SUM(J631:M631)),0),SUM(J631:M631))),IF('חד גזעי'!$AM$5="כן",IF(_xlfn.IFNA(VLOOKUP(C631,'חד גזעי'!$AH$2:$AH$33,1,FALSE),SUM(J631:M631))&lt;21,_xlfn.IFNA(VLOOKUP(C631,'חד גזעי'!$AH$2:$AH$33,1,FALSE),SUM(J631:M631)),0),SUM(J631:M631)))</f>
        <v>#N/A</v>
      </c>
      <c r="O631" s="72">
        <f>IF('חד גזעי'!$AM$3 = "כן",IF(T631&gt;4,4,T631),T631)</f>
        <v>0</v>
      </c>
      <c r="P631" s="80">
        <f>IF(E631&lt;2,0,IF(Z631&gt;0,Z631,IF(N631 = 0,0,IF('חד גזעי'!$AM$2 = "לא",IF(F631&gt;19,W631,0),IF(F631&gt;9,Y631,0)))))</f>
        <v>0</v>
      </c>
      <c r="Q631" s="77"/>
      <c r="R631" s="76"/>
      <c r="S631" t="e">
        <f>VLOOKUP(C631,'חד גזעי'!$Y$4:$Y$18,1,0)</f>
        <v>#N/A</v>
      </c>
      <c r="T631" s="72">
        <f>IF('חד גזעי'!$AM$6="לא",IF(P631=0,IF(BC631="שימור",IF('חד גזעי'!$AM$4="לא",IF(BC631="לא בוגר",0,IF(BC631="לא קיים",0,IF(J631=0,0,I631*0.1))),IF(BC631="לא בוגר",0,IF(BC631="לא קיים",0,IF(AB631=1,I631*0.1,E631*0.5)))),0),IF('חד גזעי'!$AM$4="לא",IF(BC631="לא בוגר",0,IF(BC631="לא קיים",0,IF(J631=0,0,I631*0.1))),IF(BC631="לא בוגר",0,IF(BC631="לא קיים",0,IF(AB631=1,I631*0.1,E631*0.5))))),IF(P631=0,IF(BC631="שימור",IF('חד גזעי'!$AM$4="לא",IF(BC631="לא בוגר",0,IF(BC631="לא קיים",0,IF(J631=0,0,I631*0.15))),IF(BC631="לא בוגר",0,IF(BC631="לא קיים",0,IF(AB631=1,I631*0.15,E631*0.5)))),0),IF('חד גזעי'!$AM$4="לא",IF(BC631="לא בוגר",0,IF(BC631="לא קיים",0,IF(J631=0,0,I631*0.15))),IF(BC631="לא בוגר",0,IF(BC631="לא קיים",0,IF(AB631=1,I631*0.15,E631*0.5))))))</f>
        <v>0</v>
      </c>
      <c r="V631" t="e">
        <f t="shared" si="614"/>
        <v>#N/A</v>
      </c>
      <c r="W631" t="e">
        <f t="shared" si="615"/>
        <v>#N/A</v>
      </c>
      <c r="X631" t="e">
        <f t="shared" si="616"/>
        <v>#N/A</v>
      </c>
      <c r="Y631">
        <f>IF('חד גזעי'!$AM$2 = "לא",0,IF(F631&gt;9,W631,0))</f>
        <v>0</v>
      </c>
      <c r="Z631">
        <f>IF('חד גזעי'!$AM$7 = "לא",0,IF(C631 = "זית אירופי",IF('חד גזעי'!$AN$7 &lt;=סקר!F631,W631,0),IF(C631 = "חרוב מצוי",IF('חד גזעי'!$AN$7 &lt;=סקר!F631,W631,0),0)))</f>
        <v>0</v>
      </c>
      <c r="AB631">
        <f t="shared" si="642"/>
        <v>1</v>
      </c>
      <c r="AC631" s="72"/>
      <c r="AD631" t="e">
        <f t="shared" si="660"/>
        <v>#N/A</v>
      </c>
      <c r="AE631" s="72"/>
      <c r="AF631" s="72" t="e">
        <f t="shared" si="643"/>
        <v>#N/A</v>
      </c>
      <c r="AG631" s="72" t="e">
        <f>IF('חד גזעי'!$AM$5="לא",(VLOOKUP(C631,'חד גזעי'!$P$1:$S$589,3,FALSE)),(VLOOKUP(C631,'חד גזעי'!$P$1:$S$589,4,FALSE)))</f>
        <v>#N/A</v>
      </c>
      <c r="AH631" s="72">
        <f t="shared" si="644"/>
        <v>0</v>
      </c>
      <c r="AI631" s="72">
        <f t="shared" si="645"/>
        <v>0</v>
      </c>
      <c r="AJ631" s="72">
        <f t="shared" si="646"/>
        <v>0</v>
      </c>
      <c r="AK631" s="72" t="e">
        <f t="shared" si="647"/>
        <v>#N/A</v>
      </c>
      <c r="AL631" t="e">
        <f>VLOOKUP(C631,'חד גזעי'!$AH$8:$AI$33,2,FALSE)</f>
        <v>#N/A</v>
      </c>
      <c r="AM631" s="72" t="b">
        <f t="shared" si="648"/>
        <v>0</v>
      </c>
      <c r="AN631" s="72" t="b">
        <f t="shared" si="649"/>
        <v>0</v>
      </c>
      <c r="AO631" s="72" t="b">
        <f t="shared" si="650"/>
        <v>0</v>
      </c>
      <c r="AS631" s="72">
        <f t="shared" si="651"/>
        <v>0</v>
      </c>
      <c r="AT631" s="72">
        <f t="shared" si="652"/>
        <v>0</v>
      </c>
      <c r="AU631" s="72">
        <f t="shared" si="661"/>
        <v>0</v>
      </c>
      <c r="AV631" s="72">
        <f t="shared" si="653"/>
        <v>0</v>
      </c>
      <c r="AW631" s="72">
        <f t="shared" si="654"/>
        <v>0</v>
      </c>
      <c r="AX631" s="72">
        <f t="shared" si="655"/>
        <v>0</v>
      </c>
      <c r="AY631" s="72">
        <f t="shared" si="656"/>
        <v>0</v>
      </c>
      <c r="AZ631" s="72">
        <f t="shared" si="657"/>
        <v>0</v>
      </c>
      <c r="BA631" s="72" t="e">
        <f t="shared" si="658"/>
        <v>#N/A</v>
      </c>
      <c r="BB631" s="72" t="e">
        <f t="shared" si="659"/>
        <v>#N/A</v>
      </c>
      <c r="BC631" s="77"/>
      <c r="BE631">
        <f t="shared" si="639"/>
        <v>0</v>
      </c>
      <c r="BF631" s="196"/>
      <c r="BG631" s="196"/>
      <c r="BH631" s="196"/>
      <c r="BI631" s="196"/>
      <c r="BJ631" s="196"/>
      <c r="BK631" s="196"/>
    </row>
    <row r="632" spans="1:63" hidden="1">
      <c r="B632" s="72"/>
      <c r="C632" s="135"/>
      <c r="D632" s="73"/>
      <c r="E632" s="73"/>
      <c r="F632" s="72"/>
      <c r="G632" s="72"/>
      <c r="H632" s="72"/>
      <c r="I632" s="73">
        <f t="shared" si="641"/>
        <v>0</v>
      </c>
      <c r="J632" s="73"/>
      <c r="K632" s="73"/>
      <c r="L632" s="74" t="e">
        <f>_xlfn.IFNA(VLOOKUP(C632,'חד גזעי'!$U$3:$V$509,2,0),VLOOKUP(C632,'חד גזעי'!$U$3:$V$509,2))</f>
        <v>#N/A</v>
      </c>
      <c r="M632" s="73"/>
      <c r="N632" s="72" t="e">
        <f>_xlfn.IFNA(IF(VLOOKUP(C632,'חד גזעי'!$AH$2:$AH$7,1,FALSE)&gt;0,0,IF('חד גזעי'!$AM$5="כן",IF(_xlfn.IFNA(VLOOKUP(C632,'חד גזעי'!$AH$2:$AH$33,1,FALSE),SUM(J632:M632))&lt;21,_xlfn.IFNA(VLOOKUP(C632,'חד גזעי'!$AH$2:$AH$33,1,FALSE),SUM(J632:M632)),0),SUM(J632:M632))),IF('חד גזעי'!$AM$5="כן",IF(_xlfn.IFNA(VLOOKUP(C632,'חד גזעי'!$AH$2:$AH$33,1,FALSE),SUM(J632:M632))&lt;21,_xlfn.IFNA(VLOOKUP(C632,'חד גזעי'!$AH$2:$AH$33,1,FALSE),SUM(J632:M632)),0),SUM(J632:M632)))</f>
        <v>#N/A</v>
      </c>
      <c r="O632" s="72">
        <f>IF('חד גזעי'!$AM$3 = "כן",IF(T632&gt;4,4,T632),T632)</f>
        <v>0</v>
      </c>
      <c r="P632" s="80">
        <f>IF(E632&lt;2,0,IF(Z632&gt;0,Z632,IF(N632 = 0,0,IF('חד גזעי'!$AM$2 = "לא",IF(F632&gt;19,W632,0),IF(F632&gt;9,Y632,0)))))</f>
        <v>0</v>
      </c>
      <c r="Q632" s="77"/>
      <c r="R632" s="76"/>
      <c r="S632" t="e">
        <f>VLOOKUP(C632,'חד גזעי'!$Y$4:$Y$18,1,0)</f>
        <v>#N/A</v>
      </c>
      <c r="T632" s="72">
        <f>IF('חד גזעי'!$AM$6="לא",IF(P632=0,IF(BC632="שימור",IF('חד גזעי'!$AM$4="לא",IF(BC632="לא בוגר",0,IF(BC632="לא קיים",0,IF(J632=0,0,I632*0.1))),IF(BC632="לא בוגר",0,IF(BC632="לא קיים",0,IF(AB632=1,I632*0.1,E632*0.5)))),0),IF('חד גזעי'!$AM$4="לא",IF(BC632="לא בוגר",0,IF(BC632="לא קיים",0,IF(J632=0,0,I632*0.1))),IF(BC632="לא בוגר",0,IF(BC632="לא קיים",0,IF(AB632=1,I632*0.1,E632*0.5))))),IF(P632=0,IF(BC632="שימור",IF('חד גזעי'!$AM$4="לא",IF(BC632="לא בוגר",0,IF(BC632="לא קיים",0,IF(J632=0,0,I632*0.15))),IF(BC632="לא בוגר",0,IF(BC632="לא קיים",0,IF(AB632=1,I632*0.15,E632*0.5)))),0),IF('חד גזעי'!$AM$4="לא",IF(BC632="לא בוגר",0,IF(BC632="לא קיים",0,IF(J632=0,0,I632*0.15))),IF(BC632="לא בוגר",0,IF(BC632="לא קיים",0,IF(AB632=1,I632*0.15,E632*0.5))))))</f>
        <v>0</v>
      </c>
      <c r="V632" t="e">
        <f t="shared" si="614"/>
        <v>#N/A</v>
      </c>
      <c r="W632" t="e">
        <f t="shared" si="615"/>
        <v>#N/A</v>
      </c>
      <c r="X632" t="e">
        <f t="shared" si="616"/>
        <v>#N/A</v>
      </c>
      <c r="Y632">
        <f>IF('חד גזעי'!$AM$2 = "לא",0,IF(F632&gt;9,W632,0))</f>
        <v>0</v>
      </c>
      <c r="Z632">
        <f>IF('חד גזעי'!$AM$7 = "לא",0,IF(C632 = "זית אירופי",IF('חד גזעי'!$AN$7 &lt;=סקר!F632,W632,0),IF(C632 = "חרוב מצוי",IF('חד גזעי'!$AN$7 &lt;=סקר!F632,W632,0),0)))</f>
        <v>0</v>
      </c>
      <c r="AB632">
        <f t="shared" si="642"/>
        <v>1</v>
      </c>
      <c r="AC632" s="72"/>
      <c r="AD632" t="e">
        <f t="shared" si="660"/>
        <v>#N/A</v>
      </c>
      <c r="AE632" s="72"/>
      <c r="AF632" s="72" t="e">
        <f t="shared" si="643"/>
        <v>#N/A</v>
      </c>
      <c r="AG632" s="72" t="e">
        <f>IF('חד גזעי'!$AM$5="לא",(VLOOKUP(C632,'חד גזעי'!$P$1:$S$589,3,FALSE)),(VLOOKUP(C632,'חד גזעי'!$P$1:$S$589,4,FALSE)))</f>
        <v>#N/A</v>
      </c>
      <c r="AH632" s="72">
        <f t="shared" si="644"/>
        <v>0</v>
      </c>
      <c r="AI632" s="72">
        <f t="shared" si="645"/>
        <v>0</v>
      </c>
      <c r="AJ632" s="72">
        <f t="shared" si="646"/>
        <v>0</v>
      </c>
      <c r="AK632" s="72" t="e">
        <f t="shared" si="647"/>
        <v>#N/A</v>
      </c>
      <c r="AL632" t="e">
        <f>VLOOKUP(C632,'חד גזעי'!$AH$8:$AI$33,2,FALSE)</f>
        <v>#N/A</v>
      </c>
      <c r="AM632" s="72" t="b">
        <f t="shared" si="648"/>
        <v>0</v>
      </c>
      <c r="AN632" s="72" t="b">
        <f t="shared" si="649"/>
        <v>0</v>
      </c>
      <c r="AO632" s="72" t="b">
        <f t="shared" si="650"/>
        <v>0</v>
      </c>
      <c r="AS632" s="72">
        <f t="shared" si="651"/>
        <v>0</v>
      </c>
      <c r="AT632" s="72">
        <f t="shared" si="652"/>
        <v>0</v>
      </c>
      <c r="AU632" s="72">
        <f t="shared" si="661"/>
        <v>0</v>
      </c>
      <c r="AV632" s="72">
        <f t="shared" si="653"/>
        <v>0</v>
      </c>
      <c r="AW632" s="72">
        <f t="shared" si="654"/>
        <v>0</v>
      </c>
      <c r="AX632" s="72">
        <f t="shared" si="655"/>
        <v>0</v>
      </c>
      <c r="AY632" s="72">
        <f t="shared" si="656"/>
        <v>0</v>
      </c>
      <c r="AZ632" s="72">
        <f t="shared" si="657"/>
        <v>0</v>
      </c>
      <c r="BA632" s="72" t="e">
        <f t="shared" si="658"/>
        <v>#N/A</v>
      </c>
      <c r="BB632" s="72" t="e">
        <f t="shared" si="659"/>
        <v>#N/A</v>
      </c>
      <c r="BC632" s="77"/>
      <c r="BE632">
        <f t="shared" si="639"/>
        <v>0</v>
      </c>
      <c r="BF632" s="196"/>
      <c r="BG632" s="196"/>
      <c r="BH632" s="196"/>
      <c r="BI632" s="196"/>
      <c r="BJ632" s="196"/>
      <c r="BK632" s="196"/>
    </row>
    <row r="633" spans="1:63" hidden="1">
      <c r="B633" s="72"/>
      <c r="C633" s="135"/>
      <c r="D633" s="73"/>
      <c r="E633" s="73"/>
      <c r="F633" s="72"/>
      <c r="G633" s="72"/>
      <c r="H633" s="72"/>
      <c r="I633" s="73">
        <f t="shared" si="641"/>
        <v>0</v>
      </c>
      <c r="J633" s="73"/>
      <c r="K633" s="73"/>
      <c r="L633" s="74" t="e">
        <f>_xlfn.IFNA(VLOOKUP(C633,'חד גזעי'!$U$3:$V$509,2,0),VLOOKUP(C633,'חד גזעי'!$U$3:$V$509,2))</f>
        <v>#N/A</v>
      </c>
      <c r="M633" s="73"/>
      <c r="N633" s="72" t="e">
        <f>_xlfn.IFNA(IF(VLOOKUP(C633,'חד גזעי'!$AH$2:$AH$7,1,FALSE)&gt;0,0,IF('חד גזעי'!$AM$5="כן",IF(_xlfn.IFNA(VLOOKUP(C633,'חד גזעי'!$AH$2:$AH$33,1,FALSE),SUM(J633:M633))&lt;21,_xlfn.IFNA(VLOOKUP(C633,'חד גזעי'!$AH$2:$AH$33,1,FALSE),SUM(J633:M633)),0),SUM(J633:M633))),IF('חד גזעי'!$AM$5="כן",IF(_xlfn.IFNA(VLOOKUP(C633,'חד גזעי'!$AH$2:$AH$33,1,FALSE),SUM(J633:M633))&lt;21,_xlfn.IFNA(VLOOKUP(C633,'חד גזעי'!$AH$2:$AH$33,1,FALSE),SUM(J633:M633)),0),SUM(J633:M633)))</f>
        <v>#N/A</v>
      </c>
      <c r="O633" s="72">
        <f>IF('חד גזעי'!$AM$3 = "כן",IF(T633&gt;4,4,T633),T633)</f>
        <v>0</v>
      </c>
      <c r="P633" s="80">
        <f>IF(E633&lt;2,0,IF(Z633&gt;0,Z633,IF(N633 = 0,0,IF('חד גזעי'!$AM$2 = "לא",IF(F633&gt;19,W633,0),IF(F633&gt;9,Y633,0)))))</f>
        <v>0</v>
      </c>
      <c r="Q633" s="77"/>
      <c r="R633" s="76"/>
      <c r="S633" t="e">
        <f>VLOOKUP(C633,'חד גזעי'!$Y$4:$Y$18,1,0)</f>
        <v>#N/A</v>
      </c>
      <c r="T633" s="72">
        <f>IF('חד גזעי'!$AM$6="לא",IF(P633=0,IF(BC633="שימור",IF('חד גזעי'!$AM$4="לא",IF(BC633="לא בוגר",0,IF(BC633="לא קיים",0,IF(J633=0,0,I633*0.1))),IF(BC633="לא בוגר",0,IF(BC633="לא קיים",0,IF(AB633=1,I633*0.1,E633*0.5)))),0),IF('חד גזעי'!$AM$4="לא",IF(BC633="לא בוגר",0,IF(BC633="לא קיים",0,IF(J633=0,0,I633*0.1))),IF(BC633="לא בוגר",0,IF(BC633="לא קיים",0,IF(AB633=1,I633*0.1,E633*0.5))))),IF(P633=0,IF(BC633="שימור",IF('חד גזעי'!$AM$4="לא",IF(BC633="לא בוגר",0,IF(BC633="לא קיים",0,IF(J633=0,0,I633*0.15))),IF(BC633="לא בוגר",0,IF(BC633="לא קיים",0,IF(AB633=1,I633*0.15,E633*0.5)))),0),IF('חד גזעי'!$AM$4="לא",IF(BC633="לא בוגר",0,IF(BC633="לא קיים",0,IF(J633=0,0,I633*0.15))),IF(BC633="לא בוגר",0,IF(BC633="לא קיים",0,IF(AB633=1,I633*0.15,E633*0.5))))))</f>
        <v>0</v>
      </c>
      <c r="V633" t="e">
        <f t="shared" si="614"/>
        <v>#N/A</v>
      </c>
      <c r="W633" t="e">
        <f t="shared" si="615"/>
        <v>#N/A</v>
      </c>
      <c r="X633" t="e">
        <f t="shared" si="616"/>
        <v>#N/A</v>
      </c>
      <c r="Y633">
        <f>IF('חד גזעי'!$AM$2 = "לא",0,IF(F633&gt;9,W633,0))</f>
        <v>0</v>
      </c>
      <c r="Z633">
        <f>IF('חד גזעי'!$AM$7 = "לא",0,IF(C633 = "זית אירופי",IF('חד גזעי'!$AN$7 &lt;=סקר!F633,W633,0),IF(C633 = "חרוב מצוי",IF('חד גזעי'!$AN$7 &lt;=סקר!F633,W633,0),0)))</f>
        <v>0</v>
      </c>
      <c r="AB633">
        <f t="shared" si="642"/>
        <v>1</v>
      </c>
      <c r="AC633" s="72"/>
      <c r="AD633" t="e">
        <f t="shared" si="660"/>
        <v>#N/A</v>
      </c>
      <c r="AE633" s="72"/>
      <c r="AF633" s="72" t="e">
        <f t="shared" si="643"/>
        <v>#N/A</v>
      </c>
      <c r="AG633" s="72" t="e">
        <f>IF('חד גזעי'!$AM$5="לא",(VLOOKUP(C633,'חד גזעי'!$P$1:$S$589,3,FALSE)),(VLOOKUP(C633,'חד גזעי'!$P$1:$S$589,4,FALSE)))</f>
        <v>#N/A</v>
      </c>
      <c r="AH633" s="72">
        <f t="shared" si="644"/>
        <v>0</v>
      </c>
      <c r="AI633" s="72">
        <f t="shared" si="645"/>
        <v>0</v>
      </c>
      <c r="AJ633" s="72">
        <f t="shared" si="646"/>
        <v>0</v>
      </c>
      <c r="AK633" s="72" t="e">
        <f t="shared" si="647"/>
        <v>#N/A</v>
      </c>
      <c r="AL633" t="e">
        <f>VLOOKUP(C633,'חד גזעי'!$AH$8:$AI$33,2,FALSE)</f>
        <v>#N/A</v>
      </c>
      <c r="AM633" s="72" t="b">
        <f t="shared" si="648"/>
        <v>0</v>
      </c>
      <c r="AN633" s="72" t="b">
        <f t="shared" si="649"/>
        <v>0</v>
      </c>
      <c r="AO633" s="72" t="b">
        <f t="shared" si="650"/>
        <v>0</v>
      </c>
      <c r="AS633" s="72">
        <f t="shared" si="651"/>
        <v>0</v>
      </c>
      <c r="AT633" s="72">
        <f t="shared" si="652"/>
        <v>0</v>
      </c>
      <c r="AU633" s="72">
        <f t="shared" si="661"/>
        <v>0</v>
      </c>
      <c r="AV633" s="72">
        <f t="shared" si="653"/>
        <v>0</v>
      </c>
      <c r="AW633" s="72">
        <f t="shared" si="654"/>
        <v>0</v>
      </c>
      <c r="AX633" s="72">
        <f t="shared" si="655"/>
        <v>0</v>
      </c>
      <c r="AY633" s="72">
        <f t="shared" si="656"/>
        <v>0</v>
      </c>
      <c r="AZ633" s="72">
        <f t="shared" si="657"/>
        <v>0</v>
      </c>
      <c r="BA633" s="72" t="e">
        <f t="shared" si="658"/>
        <v>#N/A</v>
      </c>
      <c r="BB633" s="72" t="e">
        <f t="shared" si="659"/>
        <v>#N/A</v>
      </c>
      <c r="BC633" s="77"/>
      <c r="BE633">
        <f t="shared" si="639"/>
        <v>0</v>
      </c>
      <c r="BF633" s="196"/>
      <c r="BG633" s="196"/>
      <c r="BH633" s="196"/>
      <c r="BI633" s="196"/>
      <c r="BJ633" s="196"/>
      <c r="BK633" s="196"/>
    </row>
    <row r="634" spans="1:63" hidden="1">
      <c r="B634" s="72"/>
      <c r="C634" s="135"/>
      <c r="D634" s="73"/>
      <c r="E634" s="73"/>
      <c r="F634" s="72"/>
      <c r="G634" s="72"/>
      <c r="H634" s="72"/>
      <c r="I634" s="73">
        <f t="shared" si="641"/>
        <v>0</v>
      </c>
      <c r="J634" s="73"/>
      <c r="K634" s="73"/>
      <c r="L634" s="74" t="e">
        <f>_xlfn.IFNA(VLOOKUP(C634,'חד גזעי'!$U$3:$V$509,2,0),VLOOKUP(C634,'חד גזעי'!$U$3:$V$509,2))</f>
        <v>#N/A</v>
      </c>
      <c r="M634" s="73"/>
      <c r="N634" s="72" t="e">
        <f>_xlfn.IFNA(IF(VLOOKUP(C634,'חד גזעי'!$AH$2:$AH$7,1,FALSE)&gt;0,0,IF('חד גזעי'!$AM$5="כן",IF(_xlfn.IFNA(VLOOKUP(C634,'חד גזעי'!$AH$2:$AH$33,1,FALSE),SUM(J634:M634))&lt;21,_xlfn.IFNA(VLOOKUP(C634,'חד גזעי'!$AH$2:$AH$33,1,FALSE),SUM(J634:M634)),0),SUM(J634:M634))),IF('חד גזעי'!$AM$5="כן",IF(_xlfn.IFNA(VLOOKUP(C634,'חד גזעי'!$AH$2:$AH$33,1,FALSE),SUM(J634:M634))&lt;21,_xlfn.IFNA(VLOOKUP(C634,'חד גזעי'!$AH$2:$AH$33,1,FALSE),SUM(J634:M634)),0),SUM(J634:M634)))</f>
        <v>#N/A</v>
      </c>
      <c r="O634" s="72">
        <f>IF('חד גזעי'!$AM$3 = "כן",IF(T634&gt;4,4,T634),T634)</f>
        <v>0</v>
      </c>
      <c r="P634" s="80">
        <f>IF(E634&lt;2,0,IF(Z634&gt;0,Z634,IF(N634 = 0,0,IF('חד גזעי'!$AM$2 = "לא",IF(F634&gt;19,W634,0),IF(F634&gt;9,Y634,0)))))</f>
        <v>0</v>
      </c>
      <c r="Q634" s="77"/>
      <c r="R634" s="76"/>
      <c r="S634" t="e">
        <f>VLOOKUP(C634,'חד גזעי'!$Y$4:$Y$18,1,0)</f>
        <v>#N/A</v>
      </c>
      <c r="T634" s="72">
        <f>IF('חד גזעי'!$AM$6="לא",IF(P634=0,IF(BC634="שימור",IF('חד גזעי'!$AM$4="לא",IF(BC634="לא בוגר",0,IF(BC634="לא קיים",0,IF(J634=0,0,I634*0.1))),IF(BC634="לא בוגר",0,IF(BC634="לא קיים",0,IF(AB634=1,I634*0.1,E634*0.5)))),0),IF('חד גזעי'!$AM$4="לא",IF(BC634="לא בוגר",0,IF(BC634="לא קיים",0,IF(J634=0,0,I634*0.1))),IF(BC634="לא בוגר",0,IF(BC634="לא קיים",0,IF(AB634=1,I634*0.1,E634*0.5))))),IF(P634=0,IF(BC634="שימור",IF('חד גזעי'!$AM$4="לא",IF(BC634="לא בוגר",0,IF(BC634="לא קיים",0,IF(J634=0,0,I634*0.15))),IF(BC634="לא בוגר",0,IF(BC634="לא קיים",0,IF(AB634=1,I634*0.15,E634*0.5)))),0),IF('חד גזעי'!$AM$4="לא",IF(BC634="לא בוגר",0,IF(BC634="לא קיים",0,IF(J634=0,0,I634*0.15))),IF(BC634="לא בוגר",0,IF(BC634="לא קיים",0,IF(AB634=1,I634*0.15,E634*0.5))))))</f>
        <v>0</v>
      </c>
      <c r="V634" t="e">
        <f t="shared" si="614"/>
        <v>#N/A</v>
      </c>
      <c r="W634" t="e">
        <f t="shared" si="615"/>
        <v>#N/A</v>
      </c>
      <c r="X634" t="e">
        <f t="shared" si="616"/>
        <v>#N/A</v>
      </c>
      <c r="Y634">
        <f>IF('חד גזעי'!$AM$2 = "לא",0,IF(F634&gt;9,W634,0))</f>
        <v>0</v>
      </c>
      <c r="Z634">
        <f>IF('חד גזעי'!$AM$7 = "לא",0,IF(C634 = "זית אירופי",IF('חד גזעי'!$AN$7 &lt;=סקר!F634,W634,0),IF(C634 = "חרוב מצוי",IF('חד גזעי'!$AN$7 &lt;=סקר!F634,W634,0),0)))</f>
        <v>0</v>
      </c>
      <c r="AB634">
        <f t="shared" si="642"/>
        <v>1</v>
      </c>
      <c r="AC634" s="72"/>
      <c r="AD634" t="e">
        <f t="shared" si="660"/>
        <v>#N/A</v>
      </c>
      <c r="AE634" s="72"/>
      <c r="AF634" s="72" t="e">
        <f t="shared" si="643"/>
        <v>#N/A</v>
      </c>
      <c r="AG634" s="72" t="e">
        <f>IF('חד גזעי'!$AM$5="לא",(VLOOKUP(C634,'חד גזעי'!$P$1:$S$589,3,FALSE)),(VLOOKUP(C634,'חד גזעי'!$P$1:$S$589,4,FALSE)))</f>
        <v>#N/A</v>
      </c>
      <c r="AH634" s="72">
        <f t="shared" si="644"/>
        <v>0</v>
      </c>
      <c r="AI634" s="72">
        <f t="shared" si="645"/>
        <v>0</v>
      </c>
      <c r="AJ634" s="72">
        <f t="shared" si="646"/>
        <v>0</v>
      </c>
      <c r="AK634" s="72" t="e">
        <f t="shared" si="647"/>
        <v>#N/A</v>
      </c>
      <c r="AL634" t="e">
        <f>VLOOKUP(C634,'חד גזעי'!$AH$8:$AI$33,2,FALSE)</f>
        <v>#N/A</v>
      </c>
      <c r="AM634" s="72" t="b">
        <f t="shared" si="648"/>
        <v>0</v>
      </c>
      <c r="AN634" s="72" t="b">
        <f t="shared" si="649"/>
        <v>0</v>
      </c>
      <c r="AO634" s="72" t="b">
        <f t="shared" si="650"/>
        <v>0</v>
      </c>
      <c r="AS634" s="72">
        <f t="shared" si="651"/>
        <v>0</v>
      </c>
      <c r="AT634" s="72">
        <f t="shared" si="652"/>
        <v>0</v>
      </c>
      <c r="AU634" s="72">
        <f t="shared" si="661"/>
        <v>0</v>
      </c>
      <c r="AV634" s="72">
        <f t="shared" si="653"/>
        <v>0</v>
      </c>
      <c r="AW634" s="72">
        <f t="shared" si="654"/>
        <v>0</v>
      </c>
      <c r="AX634" s="72">
        <f t="shared" si="655"/>
        <v>0</v>
      </c>
      <c r="AY634" s="72">
        <f t="shared" si="656"/>
        <v>0</v>
      </c>
      <c r="AZ634" s="72">
        <f t="shared" si="657"/>
        <v>0</v>
      </c>
      <c r="BA634" s="72" t="e">
        <f t="shared" si="658"/>
        <v>#N/A</v>
      </c>
      <c r="BB634" s="72" t="e">
        <f t="shared" si="659"/>
        <v>#N/A</v>
      </c>
      <c r="BC634" s="77"/>
      <c r="BE634">
        <f t="shared" si="639"/>
        <v>0</v>
      </c>
      <c r="BF634" s="196"/>
      <c r="BG634" s="196"/>
      <c r="BH634" s="196"/>
      <c r="BI634" s="196"/>
      <c r="BJ634" s="196"/>
      <c r="BK634" s="196"/>
    </row>
    <row r="635" spans="1:63" hidden="1">
      <c r="B635" s="72"/>
      <c r="C635" s="135"/>
      <c r="D635" s="73"/>
      <c r="E635" s="73"/>
      <c r="F635" s="72"/>
      <c r="G635" s="72"/>
      <c r="H635" s="72"/>
      <c r="I635" s="73">
        <f t="shared" si="641"/>
        <v>0</v>
      </c>
      <c r="J635" s="73"/>
      <c r="K635" s="73"/>
      <c r="L635" s="74" t="e">
        <f>_xlfn.IFNA(VLOOKUP(C635,'חד גזעי'!$U$3:$V$509,2,0),VLOOKUP(C635,'חד גזעי'!$U$3:$V$509,2))</f>
        <v>#N/A</v>
      </c>
      <c r="M635" s="73"/>
      <c r="N635" s="72" t="e">
        <f>_xlfn.IFNA(IF(VLOOKUP(C635,'חד גזעי'!$AH$2:$AH$7,1,FALSE)&gt;0,0,IF('חד גזעי'!$AM$5="כן",IF(_xlfn.IFNA(VLOOKUP(C635,'חד גזעי'!$AH$2:$AH$33,1,FALSE),SUM(J635:M635))&lt;21,_xlfn.IFNA(VLOOKUP(C635,'חד גזעי'!$AH$2:$AH$33,1,FALSE),SUM(J635:M635)),0),SUM(J635:M635))),IF('חד גזעי'!$AM$5="כן",IF(_xlfn.IFNA(VLOOKUP(C635,'חד גזעי'!$AH$2:$AH$33,1,FALSE),SUM(J635:M635))&lt;21,_xlfn.IFNA(VLOOKUP(C635,'חד גזעי'!$AH$2:$AH$33,1,FALSE),SUM(J635:M635)),0),SUM(J635:M635)))</f>
        <v>#N/A</v>
      </c>
      <c r="O635" s="72">
        <f>IF('חד גזעי'!$AM$3 = "כן",IF(T635&gt;4,4,T635),T635)</f>
        <v>0</v>
      </c>
      <c r="P635" s="80">
        <f>IF(E635&lt;2,0,IF(Z635&gt;0,Z635,IF(N635 = 0,0,IF('חד גזעי'!$AM$2 = "לא",IF(F635&gt;19,W635,0),IF(F635&gt;9,Y635,0)))))</f>
        <v>0</v>
      </c>
      <c r="Q635" s="77"/>
      <c r="R635" s="76"/>
      <c r="S635" t="e">
        <f>VLOOKUP(C635,'חד גזעי'!$Y$4:$Y$18,1,0)</f>
        <v>#N/A</v>
      </c>
      <c r="T635" s="72">
        <f>IF('חד גזעי'!$AM$6="לא",IF(P635=0,IF(BC635="שימור",IF('חד גזעי'!$AM$4="לא",IF(BC635="לא בוגר",0,IF(BC635="לא קיים",0,IF(J635=0,0,I635*0.1))),IF(BC635="לא בוגר",0,IF(BC635="לא קיים",0,IF(AB635=1,I635*0.1,E635*0.5)))),0),IF('חד גזעי'!$AM$4="לא",IF(BC635="לא בוגר",0,IF(BC635="לא קיים",0,IF(J635=0,0,I635*0.1))),IF(BC635="לא בוגר",0,IF(BC635="לא קיים",0,IF(AB635=1,I635*0.1,E635*0.5))))),IF(P635=0,IF(BC635="שימור",IF('חד גזעי'!$AM$4="לא",IF(BC635="לא בוגר",0,IF(BC635="לא קיים",0,IF(J635=0,0,I635*0.15))),IF(BC635="לא בוגר",0,IF(BC635="לא קיים",0,IF(AB635=1,I635*0.15,E635*0.5)))),0),IF('חד גזעי'!$AM$4="לא",IF(BC635="לא בוגר",0,IF(BC635="לא קיים",0,IF(J635=0,0,I635*0.15))),IF(BC635="לא בוגר",0,IF(BC635="לא קיים",0,IF(AB635=1,I635*0.15,E635*0.5))))))</f>
        <v>0</v>
      </c>
      <c r="V635" t="e">
        <f t="shared" si="614"/>
        <v>#N/A</v>
      </c>
      <c r="W635" t="e">
        <f t="shared" si="615"/>
        <v>#N/A</v>
      </c>
      <c r="X635" t="e">
        <f t="shared" si="616"/>
        <v>#N/A</v>
      </c>
      <c r="Y635">
        <f>IF('חד גזעי'!$AM$2 = "לא",0,IF(F635&gt;9,W635,0))</f>
        <v>0</v>
      </c>
      <c r="Z635">
        <f>IF('חד גזעי'!$AM$7 = "לא",0,IF(C635 = "זית אירופי",IF('חד גזעי'!$AN$7 &lt;=סקר!F635,W635,0),IF(C635 = "חרוב מצוי",IF('חד גזעי'!$AN$7 &lt;=סקר!F635,W635,0),0)))</f>
        <v>0</v>
      </c>
      <c r="AB635">
        <f t="shared" si="642"/>
        <v>1</v>
      </c>
      <c r="AC635" s="72"/>
      <c r="AD635" t="e">
        <f t="shared" si="660"/>
        <v>#N/A</v>
      </c>
      <c r="AE635" s="72"/>
      <c r="AF635" s="72" t="e">
        <f t="shared" si="643"/>
        <v>#N/A</v>
      </c>
      <c r="AG635" s="72" t="e">
        <f>IF('חד גזעי'!$AM$5="לא",(VLOOKUP(C635,'חד גזעי'!$P$1:$S$589,3,FALSE)),(VLOOKUP(C635,'חד גזעי'!$P$1:$S$589,4,FALSE)))</f>
        <v>#N/A</v>
      </c>
      <c r="AH635" s="72">
        <f t="shared" si="644"/>
        <v>0</v>
      </c>
      <c r="AI635" s="72">
        <f t="shared" si="645"/>
        <v>0</v>
      </c>
      <c r="AJ635" s="72">
        <f t="shared" si="646"/>
        <v>0</v>
      </c>
      <c r="AK635" s="72" t="e">
        <f t="shared" si="647"/>
        <v>#N/A</v>
      </c>
      <c r="AL635" t="e">
        <f>VLOOKUP(C635,'חד גזעי'!$AH$8:$AI$33,2,FALSE)</f>
        <v>#N/A</v>
      </c>
      <c r="AM635" s="72" t="b">
        <f t="shared" si="648"/>
        <v>0</v>
      </c>
      <c r="AN635" s="72" t="b">
        <f t="shared" si="649"/>
        <v>0</v>
      </c>
      <c r="AO635" s="72" t="b">
        <f t="shared" si="650"/>
        <v>0</v>
      </c>
      <c r="AS635" s="72">
        <f t="shared" si="651"/>
        <v>0</v>
      </c>
      <c r="AT635" s="72">
        <f t="shared" si="652"/>
        <v>0</v>
      </c>
      <c r="AU635" s="72">
        <f t="shared" si="661"/>
        <v>0</v>
      </c>
      <c r="AV635" s="72">
        <f t="shared" si="653"/>
        <v>0</v>
      </c>
      <c r="AW635" s="72">
        <f t="shared" si="654"/>
        <v>0</v>
      </c>
      <c r="AX635" s="72">
        <f t="shared" si="655"/>
        <v>0</v>
      </c>
      <c r="AY635" s="72">
        <f t="shared" si="656"/>
        <v>0</v>
      </c>
      <c r="AZ635" s="72">
        <f t="shared" si="657"/>
        <v>0</v>
      </c>
      <c r="BA635" s="72" t="e">
        <f t="shared" si="658"/>
        <v>#N/A</v>
      </c>
      <c r="BB635" s="72" t="e">
        <f t="shared" si="659"/>
        <v>#N/A</v>
      </c>
      <c r="BC635" s="77"/>
      <c r="BE635">
        <f t="shared" si="639"/>
        <v>0</v>
      </c>
      <c r="BF635" s="196"/>
      <c r="BG635" s="196"/>
      <c r="BH635" s="196"/>
      <c r="BI635" s="196"/>
      <c r="BJ635" s="196"/>
      <c r="BK635" s="196"/>
    </row>
    <row r="636" spans="1:63" hidden="1">
      <c r="B636" s="72"/>
      <c r="C636" s="135"/>
      <c r="D636" s="73"/>
      <c r="E636" s="73"/>
      <c r="F636" s="72"/>
      <c r="G636" s="72"/>
      <c r="H636" s="72"/>
      <c r="I636" s="73">
        <f t="shared" si="641"/>
        <v>0</v>
      </c>
      <c r="J636" s="73"/>
      <c r="K636" s="73"/>
      <c r="L636" s="74" t="e">
        <f>_xlfn.IFNA(VLOOKUP(C636,'חד גזעי'!$U$3:$V$509,2,0),VLOOKUP(C636,'חד גזעי'!$U$3:$V$509,2))</f>
        <v>#N/A</v>
      </c>
      <c r="M636" s="73"/>
      <c r="N636" s="72" t="e">
        <f>_xlfn.IFNA(IF(VLOOKUP(C636,'חד גזעי'!$AH$2:$AH$7,1,FALSE)&gt;0,0,IF('חד גזעי'!$AM$5="כן",IF(_xlfn.IFNA(VLOOKUP(C636,'חד גזעי'!$AH$2:$AH$33,1,FALSE),SUM(J636:M636))&lt;21,_xlfn.IFNA(VLOOKUP(C636,'חד גזעי'!$AH$2:$AH$33,1,FALSE),SUM(J636:M636)),0),SUM(J636:M636))),IF('חד גזעי'!$AM$5="כן",IF(_xlfn.IFNA(VLOOKUP(C636,'חד גזעי'!$AH$2:$AH$33,1,FALSE),SUM(J636:M636))&lt;21,_xlfn.IFNA(VLOOKUP(C636,'חד גזעי'!$AH$2:$AH$33,1,FALSE),SUM(J636:M636)),0),SUM(J636:M636)))</f>
        <v>#N/A</v>
      </c>
      <c r="O636" s="72">
        <f>IF('חד גזעי'!$AM$3 = "כן",IF(T636&gt;4,4,T636),T636)</f>
        <v>0</v>
      </c>
      <c r="P636" s="80">
        <f>IF(E636&lt;2,0,IF(Z636&gt;0,Z636,IF(N636 = 0,0,IF('חד גזעי'!$AM$2 = "לא",IF(F636&gt;19,W636,0),IF(F636&gt;9,Y636,0)))))</f>
        <v>0</v>
      </c>
      <c r="Q636" s="77"/>
      <c r="R636" s="76"/>
      <c r="S636" t="e">
        <f>VLOOKUP(C636,'חד גזעי'!$Y$4:$Y$18,1,0)</f>
        <v>#N/A</v>
      </c>
      <c r="T636" s="72">
        <f>IF('חד גזעי'!$AM$6="לא",IF(P636=0,IF(BC636="שימור",IF('חד גזעי'!$AM$4="לא",IF(BC636="לא בוגר",0,IF(BC636="לא קיים",0,IF(J636=0,0,I636*0.1))),IF(BC636="לא בוגר",0,IF(BC636="לא קיים",0,IF(AB636=1,I636*0.1,E636*0.5)))),0),IF('חד גזעי'!$AM$4="לא",IF(BC636="לא בוגר",0,IF(BC636="לא קיים",0,IF(J636=0,0,I636*0.1))),IF(BC636="לא בוגר",0,IF(BC636="לא קיים",0,IF(AB636=1,I636*0.1,E636*0.5))))),IF(P636=0,IF(BC636="שימור",IF('חד גזעי'!$AM$4="לא",IF(BC636="לא בוגר",0,IF(BC636="לא קיים",0,IF(J636=0,0,I636*0.15))),IF(BC636="לא בוגר",0,IF(BC636="לא קיים",0,IF(AB636=1,I636*0.15,E636*0.5)))),0),IF('חד גזעי'!$AM$4="לא",IF(BC636="לא בוגר",0,IF(BC636="לא קיים",0,IF(J636=0,0,I636*0.15))),IF(BC636="לא בוגר",0,IF(BC636="לא קיים",0,IF(AB636=1,I636*0.15,E636*0.5))))))</f>
        <v>0</v>
      </c>
      <c r="V636" t="e">
        <f t="shared" si="614"/>
        <v>#N/A</v>
      </c>
      <c r="W636" t="e">
        <f t="shared" si="615"/>
        <v>#N/A</v>
      </c>
      <c r="X636" t="e">
        <f t="shared" si="616"/>
        <v>#N/A</v>
      </c>
      <c r="Y636">
        <f>IF('חד גזעי'!$AM$2 = "לא",0,IF(F636&gt;9,W636,0))</f>
        <v>0</v>
      </c>
      <c r="Z636">
        <f>IF('חד גזעי'!$AM$7 = "לא",0,IF(C636 = "זית אירופי",IF('חד גזעי'!$AN$7 &lt;=סקר!F636,W636,0),IF(C636 = "חרוב מצוי",IF('חד גזעי'!$AN$7 &lt;=סקר!F636,W636,0),0)))</f>
        <v>0</v>
      </c>
      <c r="AB636">
        <f t="shared" si="642"/>
        <v>1</v>
      </c>
      <c r="AC636" s="72"/>
      <c r="AD636" t="e">
        <f t="shared" si="660"/>
        <v>#N/A</v>
      </c>
      <c r="AE636" s="72"/>
      <c r="AF636" s="72" t="e">
        <f t="shared" si="643"/>
        <v>#N/A</v>
      </c>
      <c r="AG636" s="72" t="e">
        <f>IF('חד גזעי'!$AM$5="לא",(VLOOKUP(C636,'חד גזעי'!$P$1:$S$589,3,FALSE)),(VLOOKUP(C636,'חד גזעי'!$P$1:$S$589,4,FALSE)))</f>
        <v>#N/A</v>
      </c>
      <c r="AH636" s="72">
        <f t="shared" si="644"/>
        <v>0</v>
      </c>
      <c r="AI636" s="72">
        <f t="shared" si="645"/>
        <v>0</v>
      </c>
      <c r="AJ636" s="72">
        <f t="shared" si="646"/>
        <v>0</v>
      </c>
      <c r="AK636" s="72" t="e">
        <f t="shared" si="647"/>
        <v>#N/A</v>
      </c>
      <c r="AL636" t="e">
        <f>VLOOKUP(C636,'חד גזעי'!$AH$8:$AI$33,2,FALSE)</f>
        <v>#N/A</v>
      </c>
      <c r="AM636" s="72" t="b">
        <f t="shared" si="648"/>
        <v>0</v>
      </c>
      <c r="AN636" s="72" t="b">
        <f t="shared" si="649"/>
        <v>0</v>
      </c>
      <c r="AO636" s="72" t="b">
        <f t="shared" si="650"/>
        <v>0</v>
      </c>
      <c r="AS636" s="72">
        <f t="shared" si="651"/>
        <v>0</v>
      </c>
      <c r="AT636" s="72">
        <f t="shared" si="652"/>
        <v>0</v>
      </c>
      <c r="AU636" s="72">
        <f t="shared" si="661"/>
        <v>0</v>
      </c>
      <c r="AV636" s="72">
        <f t="shared" si="653"/>
        <v>0</v>
      </c>
      <c r="AW636" s="72">
        <f t="shared" si="654"/>
        <v>0</v>
      </c>
      <c r="AX636" s="72">
        <f t="shared" si="655"/>
        <v>0</v>
      </c>
      <c r="AY636" s="72">
        <f t="shared" si="656"/>
        <v>0</v>
      </c>
      <c r="AZ636" s="72">
        <f t="shared" si="657"/>
        <v>0</v>
      </c>
      <c r="BA636" s="72" t="e">
        <f t="shared" si="658"/>
        <v>#N/A</v>
      </c>
      <c r="BB636" s="72" t="e">
        <f t="shared" si="659"/>
        <v>#N/A</v>
      </c>
      <c r="BC636" s="77"/>
      <c r="BE636">
        <f t="shared" si="639"/>
        <v>0</v>
      </c>
      <c r="BF636" s="196"/>
      <c r="BG636" s="196"/>
      <c r="BH636" s="196"/>
      <c r="BI636" s="196"/>
      <c r="BJ636" s="196"/>
      <c r="BK636" s="196"/>
    </row>
    <row r="637" spans="1:63" ht="14.25" hidden="1">
      <c r="B637" s="71"/>
      <c r="C637" s="69"/>
      <c r="Q637" s="86"/>
      <c r="T637" s="72">
        <f>IF('חד גזעי'!$AM$6="לא",IF(P637=0,IF(BC637="שימור",IF('חד גזעי'!$AM$4="לא",IF(BC637="לא בוגר",0,IF(BC637="לא קיים",0,IF(J637=0,0,I637*0.1))),IF(BC637="לא בוגר",0,IF(BC637="לא קיים",0,IF(AB637=1,I637*0.1,E637*0.5)))),0),IF('חד גזעי'!$AM$4="לא",IF(BC637="לא בוגר",0,IF(BC637="לא קיים",0,IF(J637=0,0,I637*0.1))),IF(BC637="לא בוגר",0,IF(BC637="לא קיים",0,IF(AB637=1,I637*0.1,E637*0.5))))),IF(P637=0,IF(BC637="שימור",IF('חד גזעי'!$AM$4="לא",IF(BC637="לא בוגר",0,IF(BC637="לא קיים",0,IF(J637=0,0,I637*0.15))),IF(BC637="לא בוגר",0,IF(BC637="לא קיים",0,IF(AB637=1,I637*0.15,E637*0.5)))),0),IF('חד גזעי'!$AM$4="לא",IF(BC637="לא בוגר",0,IF(BC637="לא קיים",0,IF(J637=0,0,I637*0.15))),IF(BC637="לא בוגר",0,IF(BC637="לא קיים",0,IF(AB637=1,I637*0.15,E637*0.5))))))</f>
        <v>0</v>
      </c>
      <c r="V637">
        <f t="shared" si="614"/>
        <v>0</v>
      </c>
      <c r="W637">
        <f t="shared" si="615"/>
        <v>0</v>
      </c>
      <c r="X637">
        <f t="shared" si="616"/>
        <v>0</v>
      </c>
      <c r="Y637">
        <f>IF('חד גזעי'!$AM$2 = "לא",0,IF(F637&gt;9,W637,0))</f>
        <v>0</v>
      </c>
      <c r="Z637">
        <f>IF('חד גזעי'!$AM$7 = "לא",0,IF(C637 = "זית אירופי",IF('חד גזעי'!$AN$7 &lt;=סקר!F637,W637,0),IF(C637 = "חרוב מצוי",IF('חד גזעי'!$AN$7 &lt;=סקר!F637,W637,0),0)))</f>
        <v>0</v>
      </c>
      <c r="AD637" s="69" t="s">
        <v>807</v>
      </c>
      <c r="BE637">
        <f t="shared" si="639"/>
        <v>0</v>
      </c>
      <c r="BF637" s="196"/>
      <c r="BG637" s="196"/>
      <c r="BH637" s="196"/>
      <c r="BI637" s="196"/>
      <c r="BJ637" s="196"/>
      <c r="BK637" s="196"/>
    </row>
    <row r="638" spans="1:63" ht="14.25" hidden="1">
      <c r="A638" s="129"/>
      <c r="B638" s="132"/>
      <c r="C638" s="133"/>
      <c r="D638" s="129"/>
      <c r="E638" s="129"/>
      <c r="F638" s="129"/>
      <c r="G638" s="129"/>
      <c r="H638" s="129"/>
      <c r="I638" s="129"/>
      <c r="J638" s="129"/>
      <c r="K638" s="129"/>
      <c r="L638" s="129"/>
      <c r="M638" s="129"/>
      <c r="N638" s="129"/>
      <c r="O638" s="129"/>
      <c r="P638" s="129"/>
      <c r="Q638" s="134"/>
      <c r="R638" s="129"/>
      <c r="S638" s="129"/>
      <c r="T638" s="72">
        <f>IF('חד גזעי'!$AM$6="לא",IF(P638=0,IF(BC638="שימור",IF('חד גזעי'!$AM$4="לא",IF(BC638="לא בוגר",0,IF(BC638="לא קיים",0,IF(J638=0,0,I638*0.1))),IF(BC638="לא בוגר",0,IF(BC638="לא קיים",0,IF(AB638=1,I638*0.1,E638*0.5)))),0),IF('חד גזעי'!$AM$4="לא",IF(BC638="לא בוגר",0,IF(BC638="לא קיים",0,IF(J638=0,0,I638*0.1))),IF(BC638="לא בוגר",0,IF(BC638="לא קיים",0,IF(AB638=1,I638*0.1,E638*0.5))))),IF(P638=0,IF(BC638="שימור",IF('חד גזעי'!$AM$4="לא",IF(BC638="לא בוגר",0,IF(BC638="לא קיים",0,IF(J638=0,0,I638*0.15))),IF(BC638="לא בוגר",0,IF(BC638="לא קיים",0,IF(AB638=1,I638*0.15,E638*0.5)))),0),IF('חד גזעי'!$AM$4="לא",IF(BC638="לא בוגר",0,IF(BC638="לא קיים",0,IF(J638=0,0,I638*0.15))),IF(BC638="לא בוגר",0,IF(BC638="לא קיים",0,IF(AB638=1,I638*0.15,E638*0.5))))))</f>
        <v>0</v>
      </c>
      <c r="U638" s="129"/>
      <c r="V638">
        <f t="shared" si="614"/>
        <v>0</v>
      </c>
      <c r="W638">
        <f t="shared" si="615"/>
        <v>0</v>
      </c>
      <c r="X638">
        <f t="shared" si="616"/>
        <v>0</v>
      </c>
      <c r="Y638">
        <f>IF('חד גזעי'!$AM$2 = "לא",0,IF(F638&gt;9,W638,0))</f>
        <v>0</v>
      </c>
      <c r="Z638">
        <f>IF('חד גזעי'!$AM$7 = "לא",0,IF(C638 = "זית אירופי",IF('חד גזעי'!$AN$7 &lt;=סקר!F638,W638,0),IF(C638 = "חרוב מצוי",IF('חד גזעי'!$AN$7 &lt;=סקר!F638,W638,0),0)))</f>
        <v>0</v>
      </c>
      <c r="AA638" s="129"/>
      <c r="AB638" s="129"/>
      <c r="AC638" s="129"/>
      <c r="AD638" s="133"/>
      <c r="AE638" s="129"/>
      <c r="AF638" s="129"/>
      <c r="AG638" s="129"/>
      <c r="AH638" s="129"/>
      <c r="AI638" s="129"/>
      <c r="AJ638" s="129"/>
      <c r="AK638" s="129"/>
      <c r="AL638" s="129"/>
      <c r="AM638" s="129"/>
      <c r="AN638" s="129"/>
      <c r="AO638" s="129"/>
      <c r="AP638" s="129"/>
      <c r="AQ638" s="129"/>
      <c r="AR638" s="129"/>
      <c r="AS638" s="129"/>
      <c r="AT638" s="129"/>
      <c r="AU638" s="129"/>
      <c r="AV638" s="129"/>
      <c r="AW638" s="129"/>
      <c r="AX638" s="129"/>
      <c r="AY638" s="129"/>
      <c r="AZ638" s="129"/>
      <c r="BA638" s="129"/>
      <c r="BB638" s="129"/>
      <c r="BC638" s="129"/>
      <c r="BD638" s="129"/>
      <c r="BE638" s="129"/>
      <c r="BF638" s="129">
        <f>_xlfn.IFNA(_xlfn.IFNA(_xlfn.TEXTBEFORE(BF620,"--"),_xlfn.TEXTBEFORE(BF620,",")),BF620)</f>
        <v>0</v>
      </c>
      <c r="BG638" s="129">
        <f t="shared" ref="BG638:BK638" si="663">_xlfn.IFNA(_xlfn.IFNA(_xlfn.TEXTBEFORE(BG620,"--"),_xlfn.TEXTBEFORE(BG620,",")),BG620)</f>
        <v>0</v>
      </c>
      <c r="BH638" s="129">
        <f t="shared" si="663"/>
        <v>0</v>
      </c>
      <c r="BI638" s="129">
        <f>_xlfn.IFNA(_xlfn.IFNA(_xlfn.TEXTBEFORE(BI620,"--"),_xlfn.TEXTBEFORE(BI620,",")),BI620)</f>
        <v>0</v>
      </c>
      <c r="BJ638" s="129">
        <f t="shared" si="663"/>
        <v>0</v>
      </c>
      <c r="BK638" s="129">
        <f t="shared" si="663"/>
        <v>0</v>
      </c>
    </row>
    <row r="639" spans="1:63" ht="14.25" hidden="1">
      <c r="A639" s="129"/>
      <c r="B639" s="132"/>
      <c r="C639" s="133"/>
      <c r="D639" s="129"/>
      <c r="E639" s="129"/>
      <c r="F639" s="129"/>
      <c r="G639" s="129"/>
      <c r="H639" s="129"/>
      <c r="I639" s="129"/>
      <c r="J639" s="129"/>
      <c r="K639" s="129"/>
      <c r="L639" s="129"/>
      <c r="M639" s="129"/>
      <c r="N639" s="129"/>
      <c r="O639" s="129"/>
      <c r="P639" s="129"/>
      <c r="Q639" s="134"/>
      <c r="R639" s="129"/>
      <c r="S639" s="129"/>
      <c r="T639" s="72">
        <f>IF('חד גזעי'!$AM$6="לא",IF(P639=0,IF(BC639="שימור",IF('חד גזעי'!$AM$4="לא",IF(BC639="לא בוגר",0,IF(BC639="לא קיים",0,IF(J639=0,0,I639*0.1))),IF(BC639="לא בוגר",0,IF(BC639="לא קיים",0,IF(AB639=1,I639*0.1,E639*0.5)))),0),IF('חד גזעי'!$AM$4="לא",IF(BC639="לא בוגר",0,IF(BC639="לא קיים",0,IF(J639=0,0,I639*0.1))),IF(BC639="לא בוגר",0,IF(BC639="לא קיים",0,IF(AB639=1,I639*0.1,E639*0.5))))),IF(P639=0,IF(BC639="שימור",IF('חד גזעי'!$AM$4="לא",IF(BC639="לא בוגר",0,IF(BC639="לא קיים",0,IF(J639=0,0,I639*0.15))),IF(BC639="לא בוגר",0,IF(BC639="לא קיים",0,IF(AB639=1,I639*0.15,E639*0.5)))),0),IF('חד גזעי'!$AM$4="לא",IF(BC639="לא בוגר",0,IF(BC639="לא קיים",0,IF(J639=0,0,I639*0.15))),IF(BC639="לא בוגר",0,IF(BC639="לא קיים",0,IF(AB639=1,I639*0.15,E639*0.5))))))</f>
        <v>0</v>
      </c>
      <c r="U639" s="129"/>
      <c r="V639">
        <f t="shared" si="614"/>
        <v>0</v>
      </c>
      <c r="W639">
        <f t="shared" si="615"/>
        <v>0</v>
      </c>
      <c r="X639">
        <f t="shared" si="616"/>
        <v>0</v>
      </c>
      <c r="Y639">
        <f>IF('חד גזעי'!$AM$2 = "לא",0,IF(F639&gt;9,W639,0))</f>
        <v>0</v>
      </c>
      <c r="Z639">
        <f>IF('חד גזעי'!$AM$7 = "לא",0,IF(C639 = "זית אירופי",IF('חד גזעי'!$AN$7 &lt;=סקר!F639,W639,0),IF(C639 = "חרוב מצוי",IF('חד גזעי'!$AN$7 &lt;=סקר!F639,W639,0),0)))</f>
        <v>0</v>
      </c>
      <c r="AA639" s="129"/>
      <c r="AB639" s="129"/>
      <c r="AC639" s="129"/>
      <c r="AD639" s="133"/>
      <c r="AE639" s="129"/>
      <c r="AF639" s="129"/>
      <c r="AG639" s="129"/>
      <c r="AH639" s="129"/>
      <c r="AI639" s="129"/>
      <c r="AJ639" s="129"/>
      <c r="AK639" s="129"/>
      <c r="AL639" s="129"/>
      <c r="AM639" s="129"/>
      <c r="AN639" s="129"/>
      <c r="AO639" s="129"/>
      <c r="AP639" s="129"/>
      <c r="AQ639" s="129"/>
      <c r="AR639" s="129"/>
      <c r="AS639" s="129"/>
      <c r="AT639" s="129"/>
      <c r="AU639" s="129"/>
      <c r="AV639" s="129"/>
      <c r="AW639" s="129"/>
      <c r="AX639" s="129"/>
      <c r="AY639" s="129"/>
      <c r="AZ639" s="129"/>
      <c r="BA639" s="129"/>
      <c r="BB639" s="129"/>
      <c r="BC639" s="129"/>
      <c r="BD639" s="129"/>
      <c r="BE639" s="129"/>
      <c r="BF639" s="129" t="str">
        <f>"C:\Users\origr\Pictures\"&amp;BF638&amp;".jpg"</f>
        <v>C:\Users\origr\Pictures\0.jpg</v>
      </c>
      <c r="BG639" s="129" t="str">
        <f t="shared" ref="BG639" si="664">"C:\Users\origr\Pictures\"&amp;BG638&amp;".jpg"</f>
        <v>C:\Users\origr\Pictures\0.jpg</v>
      </c>
      <c r="BH639" s="129" t="str">
        <f t="shared" ref="BH639" si="665">"C:\Users\origr\Pictures\"&amp;BH638&amp;".jpg"</f>
        <v>C:\Users\origr\Pictures\0.jpg</v>
      </c>
      <c r="BI639" s="129" t="str">
        <f t="shared" ref="BI639" si="666">"C:\Users\origr\Pictures\"&amp;BI638&amp;".jpg"</f>
        <v>C:\Users\origr\Pictures\0.jpg</v>
      </c>
      <c r="BJ639" s="129" t="str">
        <f t="shared" ref="BJ639" si="667">"C:\Users\origr\Pictures\"&amp;BJ638&amp;".jpg"</f>
        <v>C:\Users\origr\Pictures\0.jpg</v>
      </c>
      <c r="BK639" s="129" t="str">
        <f t="shared" ref="BK639" si="668">"C:\Users\origr\Pictures\"&amp;BK638&amp;".jpg"</f>
        <v>C:\Users\origr\Pictures\0.jpg</v>
      </c>
    </row>
    <row r="640" spans="1:63" ht="14.25" hidden="1">
      <c r="A640" s="129"/>
      <c r="B640" s="132"/>
      <c r="C640" s="133"/>
      <c r="D640" s="129"/>
      <c r="E640" s="129"/>
      <c r="F640" s="129"/>
      <c r="G640" s="129"/>
      <c r="H640" s="129"/>
      <c r="I640" s="129"/>
      <c r="J640" s="129"/>
      <c r="K640" s="129"/>
      <c r="L640" s="129"/>
      <c r="M640" s="129"/>
      <c r="N640" s="129"/>
      <c r="O640" s="129"/>
      <c r="P640" s="129"/>
      <c r="Q640" s="134"/>
      <c r="R640" s="129"/>
      <c r="S640" s="129"/>
      <c r="T640" s="72">
        <f>IF('חד גזעי'!$AM$6="לא",IF(P640=0,IF(BC640="שימור",IF('חד גזעי'!$AM$4="לא",IF(BC640="לא בוגר",0,IF(BC640="לא קיים",0,IF(J640=0,0,I640*0.1))),IF(BC640="לא בוגר",0,IF(BC640="לא קיים",0,IF(AB640=1,I640*0.1,E640*0.5)))),0),IF('חד גזעי'!$AM$4="לא",IF(BC640="לא בוגר",0,IF(BC640="לא קיים",0,IF(J640=0,0,I640*0.1))),IF(BC640="לא בוגר",0,IF(BC640="לא קיים",0,IF(AB640=1,I640*0.1,E640*0.5))))),IF(P640=0,IF(BC640="שימור",IF('חד גזעי'!$AM$4="לא",IF(BC640="לא בוגר",0,IF(BC640="לא קיים",0,IF(J640=0,0,I640*0.15))),IF(BC640="לא בוגר",0,IF(BC640="לא קיים",0,IF(AB640=1,I640*0.15,E640*0.5)))),0),IF('חד גזעי'!$AM$4="לא",IF(BC640="לא בוגר",0,IF(BC640="לא קיים",0,IF(J640=0,0,I640*0.15))),IF(BC640="לא בוגר",0,IF(BC640="לא קיים",0,IF(AB640=1,I640*0.15,E640*0.5))))))</f>
        <v>0</v>
      </c>
      <c r="U640" s="129"/>
      <c r="V640">
        <f t="shared" si="614"/>
        <v>0</v>
      </c>
      <c r="W640">
        <f t="shared" si="615"/>
        <v>0</v>
      </c>
      <c r="X640">
        <f t="shared" si="616"/>
        <v>0</v>
      </c>
      <c r="Y640">
        <f>IF('חד גזעי'!$AM$2 = "לא",0,IF(F640&gt;9,W640,0))</f>
        <v>0</v>
      </c>
      <c r="Z640">
        <f>IF('חד גזעי'!$AM$7 = "לא",0,IF(C640 = "זית אירופי",IF('חד גזעי'!$AN$7 &lt;=סקר!F640,W640,0),IF(C640 = "חרוב מצוי",IF('חד גזעי'!$AN$7 &lt;=סקר!F640,W640,0),0)))</f>
        <v>0</v>
      </c>
      <c r="AA640" s="129"/>
      <c r="AB640" s="129"/>
      <c r="AC640" s="129"/>
      <c r="AD640" s="133"/>
      <c r="AE640" s="129"/>
      <c r="AF640" s="129"/>
      <c r="AG640" s="129"/>
      <c r="AH640" s="129"/>
      <c r="AI640" s="129"/>
      <c r="AJ640" s="129"/>
      <c r="AK640" s="129"/>
      <c r="AL640" s="129"/>
      <c r="AM640" s="129"/>
      <c r="AN640" s="129"/>
      <c r="AO640" s="129"/>
      <c r="AP640" s="129"/>
      <c r="AQ640" s="129"/>
      <c r="AR640" s="129"/>
      <c r="AS640" s="129"/>
      <c r="AT640" s="129"/>
      <c r="AU640" s="129"/>
      <c r="AV640" s="129"/>
      <c r="AW640" s="129"/>
      <c r="AX640" s="129"/>
      <c r="AY640" s="129"/>
      <c r="AZ640" s="129"/>
      <c r="BA640" s="129"/>
      <c r="BB640" s="129"/>
      <c r="BC640" s="129"/>
      <c r="BD640" s="129"/>
      <c r="BE640" s="129"/>
      <c r="BF640" s="129" t="str">
        <f>BF639</f>
        <v>C:\Users\origr\Pictures\0.jpg</v>
      </c>
      <c r="BG640" s="129" t="str">
        <f t="shared" ref="BG640" si="669">BG639</f>
        <v>C:\Users\origr\Pictures\0.jpg</v>
      </c>
      <c r="BH640" s="129" t="str">
        <f t="shared" ref="BH640" si="670">BH639</f>
        <v>C:\Users\origr\Pictures\0.jpg</v>
      </c>
      <c r="BI640" s="129" t="str">
        <f t="shared" ref="BI640" si="671">BI639</f>
        <v>C:\Users\origr\Pictures\0.jpg</v>
      </c>
      <c r="BJ640" s="129" t="str">
        <f t="shared" ref="BJ640" si="672">BJ639</f>
        <v>C:\Users\origr\Pictures\0.jpg</v>
      </c>
      <c r="BK640" s="129" t="str">
        <f t="shared" ref="BK640" si="673">BK639</f>
        <v>C:\Users\origr\Pictures\0.jpg</v>
      </c>
    </row>
    <row r="641" spans="1:63" hidden="1">
      <c r="T641" s="72">
        <f>IF('חד גזעי'!$AM$6="לא",IF(P641=0,IF(BC641="שימור",IF('חד גזעי'!$AM$4="לא",IF(BC641="לא בוגר",0,IF(BC641="לא קיים",0,IF(J641=0,0,I641*0.1))),IF(BC641="לא בוגר",0,IF(BC641="לא קיים",0,IF(AB641=1,I641*0.1,E641*0.5)))),0),IF('חד גזעי'!$AM$4="לא",IF(BC641="לא בוגר",0,IF(BC641="לא קיים",0,IF(J641=0,0,I641*0.1))),IF(BC641="לא בוגר",0,IF(BC641="לא קיים",0,IF(AB641=1,I641*0.1,E641*0.5))))),IF(P641=0,IF(BC641="שימור",IF('חד גזעי'!$AM$4="לא",IF(BC641="לא בוגר",0,IF(BC641="לא קיים",0,IF(J641=0,0,I641*0.15))),IF(BC641="לא בוגר",0,IF(BC641="לא קיים",0,IF(AB641=1,I641*0.15,E641*0.5)))),0),IF('חד גזעי'!$AM$4="לא",IF(BC641="לא בוגר",0,IF(BC641="לא קיים",0,IF(J641=0,0,I641*0.15))),IF(BC641="לא בוגר",0,IF(BC641="לא קיים",0,IF(AB641=1,I641*0.15,E641*0.5))))))</f>
        <v>0</v>
      </c>
      <c r="V641">
        <f t="shared" si="614"/>
        <v>0</v>
      </c>
      <c r="W641">
        <f t="shared" si="615"/>
        <v>0</v>
      </c>
      <c r="X641">
        <f t="shared" si="616"/>
        <v>0</v>
      </c>
      <c r="Y641">
        <f>IF('חד גזעי'!$AM$2 = "לא",0,IF(F641&gt;9,W641,0))</f>
        <v>0</v>
      </c>
      <c r="Z641">
        <f>IF('חד גזעי'!$AM$7 = "לא",0,IF(C641 = "זית אירופי",IF('חד גזעי'!$AN$7 &lt;=סקר!F641,W641,0),IF(C641 = "חרוב מצוי",IF('חד גזעי'!$AN$7 &lt;=סקר!F641,W641,0),0)))</f>
        <v>0</v>
      </c>
    </row>
    <row r="642" spans="1:63" hidden="1">
      <c r="T642" s="72">
        <f>IF('חד גזעי'!$AM$6="לא",IF(P642=0,IF(BC642="שימור",IF('חד גזעי'!$AM$4="לא",IF(BC642="לא בוגר",0,IF(BC642="לא קיים",0,IF(J642=0,0,I642*0.1))),IF(BC642="לא בוגר",0,IF(BC642="לא קיים",0,IF(AB642=1,I642*0.1,E642*0.5)))),0),IF('חד גזעי'!$AM$4="לא",IF(BC642="לא בוגר",0,IF(BC642="לא קיים",0,IF(J642=0,0,I642*0.1))),IF(BC642="לא בוגר",0,IF(BC642="לא קיים",0,IF(AB642=1,I642*0.1,E642*0.5))))),IF(P642=0,IF(BC642="שימור",IF('חד גזעי'!$AM$4="לא",IF(BC642="לא בוגר",0,IF(BC642="לא קיים",0,IF(J642=0,0,I642*0.15))),IF(BC642="לא בוגר",0,IF(BC642="לא קיים",0,IF(AB642=1,I642*0.15,E642*0.5)))),0),IF('חד גזעי'!$AM$4="לא",IF(BC642="לא בוגר",0,IF(BC642="לא קיים",0,IF(J642=0,0,I642*0.15))),IF(BC642="לא בוגר",0,IF(BC642="לא קיים",0,IF(AB642=1,I642*0.15,E642*0.5))))))</f>
        <v>0</v>
      </c>
      <c r="V642">
        <f t="shared" si="614"/>
        <v>0</v>
      </c>
      <c r="W642">
        <f t="shared" si="615"/>
        <v>0</v>
      </c>
      <c r="X642">
        <f t="shared" si="616"/>
        <v>0</v>
      </c>
      <c r="Y642">
        <f>IF('חד גזעי'!$AM$2 = "לא",0,IF(F642&gt;9,W642,0))</f>
        <v>0</v>
      </c>
      <c r="Z642">
        <f>IF('חד גזעי'!$AM$7 = "לא",0,IF(C642 = "זית אירופי",IF('חד גזעי'!$AN$7 &lt;=סקר!F642,W642,0),IF(C642 = "חרוב מצוי",IF('חד גזעי'!$AN$7 &lt;=סקר!F642,W642,0),0)))</f>
        <v>0</v>
      </c>
    </row>
    <row r="643" spans="1:63" hidden="1">
      <c r="T643" s="72">
        <f>IF('חד גזעי'!$AM$6="לא",IF(P643=0,IF(BC643="שימור",IF('חד גזעי'!$AM$4="לא",IF(BC643="לא בוגר",0,IF(BC643="לא קיים",0,IF(J643=0,0,I643*0.1))),IF(BC643="לא בוגר",0,IF(BC643="לא קיים",0,IF(AB643=1,I643*0.1,E643*0.5)))),0),IF('חד גזעי'!$AM$4="לא",IF(BC643="לא בוגר",0,IF(BC643="לא קיים",0,IF(J643=0,0,I643*0.1))),IF(BC643="לא בוגר",0,IF(BC643="לא קיים",0,IF(AB643=1,I643*0.1,E643*0.5))))),IF(P643=0,IF(BC643="שימור",IF('חד גזעי'!$AM$4="לא",IF(BC643="לא בוגר",0,IF(BC643="לא קיים",0,IF(J643=0,0,I643*0.15))),IF(BC643="לא בוגר",0,IF(BC643="לא קיים",0,IF(AB643=1,I643*0.15,E643*0.5)))),0),IF('חד גזעי'!$AM$4="לא",IF(BC643="לא בוגר",0,IF(BC643="לא קיים",0,IF(J643=0,0,I643*0.15))),IF(BC643="לא בוגר",0,IF(BC643="לא קיים",0,IF(AB643=1,I643*0.15,E643*0.5))))))</f>
        <v>0</v>
      </c>
      <c r="V643">
        <f t="shared" si="614"/>
        <v>0</v>
      </c>
      <c r="W643">
        <f t="shared" si="615"/>
        <v>0</v>
      </c>
      <c r="X643">
        <f t="shared" si="616"/>
        <v>0</v>
      </c>
      <c r="Y643">
        <f>IF('חד גזעי'!$AM$2 = "לא",0,IF(F643&gt;9,W643,0))</f>
        <v>0</v>
      </c>
      <c r="Z643">
        <f>IF('חד גזעי'!$AM$7 = "לא",0,IF(C643 = "זית אירופי",IF('חד גזעי'!$AN$7 &lt;=סקר!F643,W643,0),IF(C643 = "חרוב מצוי",IF('חד גזעי'!$AN$7 &lt;=סקר!F643,W643,0),0)))</f>
        <v>0</v>
      </c>
    </row>
    <row r="644" spans="1:63" hidden="1">
      <c r="A644" s="129"/>
      <c r="B644" s="129"/>
      <c r="C644" s="129"/>
      <c r="D644" s="129"/>
      <c r="E644" s="129"/>
      <c r="F644" s="129"/>
      <c r="G644" s="129"/>
      <c r="H644" s="129"/>
      <c r="I644" s="129"/>
      <c r="J644" s="129"/>
      <c r="K644" s="129"/>
      <c r="L644" s="129"/>
      <c r="M644" s="129"/>
      <c r="N644" s="129"/>
      <c r="O644" s="129"/>
      <c r="P644" s="129"/>
      <c r="Q644" s="129"/>
      <c r="R644" s="129"/>
      <c r="S644" s="129"/>
      <c r="T644" s="72">
        <f>IF('חד גזעי'!$AM$6="לא",IF(P644=0,IF(BC644="שימור",IF('חד גזעי'!$AM$4="לא",IF(BC644="לא בוגר",0,IF(BC644="לא קיים",0,IF(J644=0,0,I644*0.1))),IF(BC644="לא בוגר",0,IF(BC644="לא קיים",0,IF(AB644=1,I644*0.1,E644*0.5)))),0),IF('חד גזעי'!$AM$4="לא",IF(BC644="לא בוגר",0,IF(BC644="לא קיים",0,IF(J644=0,0,I644*0.1))),IF(BC644="לא בוגר",0,IF(BC644="לא קיים",0,IF(AB644=1,I644*0.1,E644*0.5))))),IF(P644=0,IF(BC644="שימור",IF('חד גזעי'!$AM$4="לא",IF(BC644="לא בוגר",0,IF(BC644="לא קיים",0,IF(J644=0,0,I644*0.15))),IF(BC644="לא בוגר",0,IF(BC644="לא קיים",0,IF(AB644=1,I644*0.15,E644*0.5)))),0),IF('חד גזעי'!$AM$4="לא",IF(BC644="לא בוגר",0,IF(BC644="לא קיים",0,IF(J644=0,0,I644*0.15))),IF(BC644="לא בוגר",0,IF(BC644="לא קיים",0,IF(AB644=1,I644*0.15,E644*0.5))))))</f>
        <v>0</v>
      </c>
      <c r="U644" s="129"/>
      <c r="V644">
        <f t="shared" si="614"/>
        <v>0</v>
      </c>
      <c r="W644">
        <f t="shared" si="615"/>
        <v>0</v>
      </c>
      <c r="X644">
        <f t="shared" si="616"/>
        <v>0</v>
      </c>
      <c r="Y644">
        <f>IF('חד גזעי'!$AM$2 = "לא",0,IF(F644&gt;9,W644,0))</f>
        <v>0</v>
      </c>
      <c r="Z644">
        <f>IF('חד גזעי'!$AM$7 = "לא",0,IF(C644 = "זית אירופי",IF('חד גזעי'!$AN$7 &lt;=סקר!F644,W644,0),IF(C644 = "חרוב מצוי",IF('חד גזעי'!$AN$7 &lt;=סקר!F644,W644,0),0)))</f>
        <v>0</v>
      </c>
      <c r="AA644" s="129"/>
      <c r="AB644" s="129"/>
      <c r="AC644" s="129"/>
      <c r="AD644" s="129"/>
      <c r="AE644" s="129"/>
      <c r="AF644" s="129"/>
      <c r="AG644" s="129"/>
      <c r="AH644" s="129"/>
      <c r="AI644" s="129"/>
      <c r="AJ644" s="129"/>
      <c r="AK644" s="129"/>
      <c r="AL644" s="129"/>
      <c r="AM644" s="129"/>
      <c r="AN644" s="129"/>
      <c r="AO644" s="129"/>
      <c r="AP644" s="129"/>
      <c r="AQ644" s="129"/>
      <c r="AR644" s="129"/>
      <c r="AS644" s="129"/>
      <c r="AT644" s="129"/>
      <c r="AU644" s="129"/>
      <c r="AV644" s="129"/>
      <c r="AW644" s="129"/>
      <c r="AX644" s="129"/>
      <c r="AY644" s="129"/>
      <c r="AZ644" s="129"/>
      <c r="BA644" s="129"/>
      <c r="BB644" s="129"/>
      <c r="BC644" s="129"/>
      <c r="BD644" s="129"/>
      <c r="BE644" s="129"/>
      <c r="BF644" s="129">
        <f>_xlfn.IFNA(_xlfn.IFNA(_xlfn.TEXTBEFORE(BF648,"--"),_xlfn.TEXTBEFORE(BF648,",")),BF648)</f>
        <v>0</v>
      </c>
      <c r="BG644" s="129">
        <f t="shared" ref="BG644:BK644" si="674">_xlfn.IFNA(_xlfn.IFNA(_xlfn.TEXTBEFORE(BG648,"--"),_xlfn.TEXTBEFORE(BG648,",")),BG648)</f>
        <v>0</v>
      </c>
      <c r="BH644" s="129">
        <f t="shared" si="674"/>
        <v>0</v>
      </c>
      <c r="BI644" s="129">
        <f>_xlfn.IFNA(_xlfn.IFNA(_xlfn.TEXTBEFORE(BI648,"--"),_xlfn.TEXTBEFORE(BI648,",")),BI648)</f>
        <v>0</v>
      </c>
      <c r="BJ644" s="129">
        <f t="shared" si="674"/>
        <v>0</v>
      </c>
      <c r="BK644" s="129">
        <f t="shared" si="674"/>
        <v>0</v>
      </c>
    </row>
    <row r="645" spans="1:63" hidden="1">
      <c r="A645" s="129"/>
      <c r="B645" s="129"/>
      <c r="C645" s="129"/>
      <c r="D645" s="129"/>
      <c r="E645" s="129"/>
      <c r="F645" s="129"/>
      <c r="G645" s="129"/>
      <c r="H645" s="129"/>
      <c r="I645" s="129"/>
      <c r="J645" s="129"/>
      <c r="K645" s="129"/>
      <c r="L645" s="129"/>
      <c r="M645" s="129"/>
      <c r="N645" s="129"/>
      <c r="O645" s="129"/>
      <c r="P645" s="129"/>
      <c r="Q645" s="129"/>
      <c r="R645" s="129"/>
      <c r="S645" s="129"/>
      <c r="T645" s="72">
        <f>IF('חד גזעי'!$AM$6="לא",IF(P645=0,IF(BC645="שימור",IF('חד גזעי'!$AM$4="לא",IF(BC645="לא בוגר",0,IF(BC645="לא קיים",0,IF(J645=0,0,I645*0.1))),IF(BC645="לא בוגר",0,IF(BC645="לא קיים",0,IF(AB645=1,I645*0.1,E645*0.5)))),0),IF('חד גזעי'!$AM$4="לא",IF(BC645="לא בוגר",0,IF(BC645="לא קיים",0,IF(J645=0,0,I645*0.1))),IF(BC645="לא בוגר",0,IF(BC645="לא קיים",0,IF(AB645=1,I645*0.1,E645*0.5))))),IF(P645=0,IF(BC645="שימור",IF('חד גזעי'!$AM$4="לא",IF(BC645="לא בוגר",0,IF(BC645="לא קיים",0,IF(J645=0,0,I645*0.15))),IF(BC645="לא בוגר",0,IF(BC645="לא קיים",0,IF(AB645=1,I645*0.15,E645*0.5)))),0),IF('חד גזעי'!$AM$4="לא",IF(BC645="לא בוגר",0,IF(BC645="לא קיים",0,IF(J645=0,0,I645*0.15))),IF(BC645="לא בוגר",0,IF(BC645="לא קיים",0,IF(AB645=1,I645*0.15,E645*0.5))))))</f>
        <v>0</v>
      </c>
      <c r="U645" s="129"/>
      <c r="V645">
        <f t="shared" si="614"/>
        <v>0</v>
      </c>
      <c r="W645">
        <f t="shared" si="615"/>
        <v>0</v>
      </c>
      <c r="X645">
        <f t="shared" si="616"/>
        <v>0</v>
      </c>
      <c r="Y645">
        <f>IF('חד גזעי'!$AM$2 = "לא",0,IF(F645&gt;9,W645,0))</f>
        <v>0</v>
      </c>
      <c r="Z645">
        <f>IF('חד גזעי'!$AM$7 = "לא",0,IF(C645 = "זית אירופי",IF('חד גזעי'!$AN$7 &lt;=סקר!F645,W645,0),IF(C645 = "חרוב מצוי",IF('חד גזעי'!$AN$7 &lt;=סקר!F645,W645,0),0)))</f>
        <v>0</v>
      </c>
      <c r="AA645" s="129"/>
      <c r="AB645" s="129"/>
      <c r="AC645" s="129"/>
      <c r="AD645" s="129"/>
      <c r="AE645" s="129"/>
      <c r="AF645" s="129"/>
      <c r="AG645" s="129"/>
      <c r="AH645" s="129"/>
      <c r="AI645" s="129"/>
      <c r="AJ645" s="129"/>
      <c r="AK645" s="129"/>
      <c r="AL645" s="129"/>
      <c r="AM645" s="129"/>
      <c r="AN645" s="129"/>
      <c r="AO645" s="129"/>
      <c r="AP645" s="129"/>
      <c r="AQ645" s="129"/>
      <c r="AR645" s="129"/>
      <c r="AS645" s="129"/>
      <c r="AT645" s="129"/>
      <c r="AU645" s="129"/>
      <c r="AV645" s="129"/>
      <c r="AW645" s="129"/>
      <c r="AX645" s="129"/>
      <c r="AY645" s="129"/>
      <c r="AZ645" s="129"/>
      <c r="BA645" s="129"/>
      <c r="BB645" s="129"/>
      <c r="BC645" s="129"/>
      <c r="BD645" s="129"/>
      <c r="BE645" s="129"/>
      <c r="BF645" s="129" t="str">
        <f>"C:\Users\origr\Pictures\"&amp;BF644&amp;".jpg"</f>
        <v>C:\Users\origr\Pictures\0.jpg</v>
      </c>
      <c r="BG645" s="129" t="str">
        <f t="shared" ref="BG645" si="675">"C:\Users\origr\Pictures\"&amp;BG644&amp;".jpg"</f>
        <v>C:\Users\origr\Pictures\0.jpg</v>
      </c>
      <c r="BH645" s="129" t="str">
        <f t="shared" ref="BH645" si="676">"C:\Users\origr\Pictures\"&amp;BH644&amp;".jpg"</f>
        <v>C:\Users\origr\Pictures\0.jpg</v>
      </c>
      <c r="BI645" s="129" t="str">
        <f t="shared" ref="BI645" si="677">"C:\Users\origr\Pictures\"&amp;BI644&amp;".jpg"</f>
        <v>C:\Users\origr\Pictures\0.jpg</v>
      </c>
      <c r="BJ645" s="129" t="str">
        <f t="shared" ref="BJ645" si="678">"C:\Users\origr\Pictures\"&amp;BJ644&amp;".jpg"</f>
        <v>C:\Users\origr\Pictures\0.jpg</v>
      </c>
      <c r="BK645" s="129" t="str">
        <f t="shared" ref="BK645" si="679">"C:\Users\origr\Pictures\"&amp;BK644&amp;".jpg"</f>
        <v>C:\Users\origr\Pictures\0.jpg</v>
      </c>
    </row>
    <row r="646" spans="1:63" hidden="1">
      <c r="A646" s="129"/>
      <c r="B646" s="129"/>
      <c r="C646" s="129"/>
      <c r="D646" s="129"/>
      <c r="E646" s="129"/>
      <c r="F646" s="129"/>
      <c r="G646" s="129"/>
      <c r="H646" s="129"/>
      <c r="I646" s="129"/>
      <c r="J646" s="129"/>
      <c r="K646" s="129"/>
      <c r="L646" s="129"/>
      <c r="M646" s="129"/>
      <c r="N646" s="129"/>
      <c r="O646" s="129"/>
      <c r="P646" s="129"/>
      <c r="Q646" s="129"/>
      <c r="R646" s="129"/>
      <c r="S646" s="129"/>
      <c r="T646" s="72">
        <f>IF('חד גזעי'!$AM$6="לא",IF(P646=0,IF(BC646="שימור",IF('חד גזעי'!$AM$4="לא",IF(BC646="לא בוגר",0,IF(BC646="לא קיים",0,IF(J646=0,0,I646*0.1))),IF(BC646="לא בוגר",0,IF(BC646="לא קיים",0,IF(AB646=1,I646*0.1,E646*0.5)))),0),IF('חד גזעי'!$AM$4="לא",IF(BC646="לא בוגר",0,IF(BC646="לא קיים",0,IF(J646=0,0,I646*0.1))),IF(BC646="לא בוגר",0,IF(BC646="לא קיים",0,IF(AB646=1,I646*0.1,E646*0.5))))),IF(P646=0,IF(BC646="שימור",IF('חד גזעי'!$AM$4="לא",IF(BC646="לא בוגר",0,IF(BC646="לא קיים",0,IF(J646=0,0,I646*0.15))),IF(BC646="לא בוגר",0,IF(BC646="לא קיים",0,IF(AB646=1,I646*0.15,E646*0.5)))),0),IF('חד גזעי'!$AM$4="לא",IF(BC646="לא בוגר",0,IF(BC646="לא קיים",0,IF(J646=0,0,I646*0.15))),IF(BC646="לא בוגר",0,IF(BC646="לא קיים",0,IF(AB646=1,I646*0.15,E646*0.5))))))</f>
        <v>0</v>
      </c>
      <c r="U646" s="129"/>
      <c r="V646">
        <f t="shared" si="614"/>
        <v>0</v>
      </c>
      <c r="W646">
        <f t="shared" si="615"/>
        <v>0</v>
      </c>
      <c r="X646">
        <f t="shared" si="616"/>
        <v>0</v>
      </c>
      <c r="Y646">
        <f>IF('חד גזעי'!$AM$2 = "לא",0,IF(F646&gt;9,W646,0))</f>
        <v>0</v>
      </c>
      <c r="Z646">
        <f>IF('חד גזעי'!$AM$7 = "לא",0,IF(C646 = "זית אירופי",IF('חד גזעי'!$AN$7 &lt;=סקר!F646,W646,0),IF(C646 = "חרוב מצוי",IF('חד גזעי'!$AN$7 &lt;=סקר!F646,W646,0),0)))</f>
        <v>0</v>
      </c>
      <c r="AA646" s="129"/>
      <c r="AB646" s="129"/>
      <c r="AC646" s="129"/>
      <c r="AD646" s="129"/>
      <c r="AE646" s="129"/>
      <c r="AF646" s="129"/>
      <c r="AG646" s="129"/>
      <c r="AH646" s="129"/>
      <c r="AI646" s="129"/>
      <c r="AJ646" s="129"/>
      <c r="AK646" s="129"/>
      <c r="AL646" s="129"/>
      <c r="AM646" s="129"/>
      <c r="AN646" s="129"/>
      <c r="AO646" s="129"/>
      <c r="AP646" s="129"/>
      <c r="AQ646" s="129"/>
      <c r="AR646" s="129"/>
      <c r="AS646" s="129"/>
      <c r="AT646" s="129"/>
      <c r="AU646" s="129"/>
      <c r="AV646" s="129"/>
      <c r="AW646" s="129"/>
      <c r="AX646" s="129"/>
      <c r="AY646" s="129"/>
      <c r="AZ646" s="129"/>
      <c r="BA646" s="129"/>
      <c r="BB646" s="129"/>
      <c r="BC646" s="129"/>
      <c r="BD646" s="129"/>
      <c r="BE646" s="129"/>
      <c r="BF646" s="129" t="str">
        <f>BF645</f>
        <v>C:\Users\origr\Pictures\0.jpg</v>
      </c>
      <c r="BG646" s="129" t="str">
        <f t="shared" ref="BG646" si="680">BG645</f>
        <v>C:\Users\origr\Pictures\0.jpg</v>
      </c>
      <c r="BH646" s="129" t="str">
        <f t="shared" ref="BH646" si="681">BH645</f>
        <v>C:\Users\origr\Pictures\0.jpg</v>
      </c>
      <c r="BI646" s="129" t="str">
        <f t="shared" ref="BI646" si="682">BI645</f>
        <v>C:\Users\origr\Pictures\0.jpg</v>
      </c>
      <c r="BJ646" s="129" t="str">
        <f t="shared" ref="BJ646" si="683">BJ645</f>
        <v>C:\Users\origr\Pictures\0.jpg</v>
      </c>
      <c r="BK646" s="129" t="str">
        <f t="shared" ref="BK646" si="684">BK645</f>
        <v>C:\Users\origr\Pictures\0.jpg</v>
      </c>
    </row>
    <row r="647" spans="1:63" ht="14.25" hidden="1">
      <c r="B647" s="71"/>
      <c r="C647" s="69"/>
      <c r="Q647" s="86"/>
      <c r="T647" s="72">
        <f>IF('חד גזעי'!$AM$6="לא",IF(P647=0,IF(BC647="שימור",IF('חד גזעי'!$AM$4="לא",IF(BC647="לא בוגר",0,IF(BC647="לא קיים",0,IF(J647=0,0,I647*0.1))),IF(BC647="לא בוגר",0,IF(BC647="לא קיים",0,IF(AB647=1,I647*0.1,E647*0.5)))),0),IF('חד גזעי'!$AM$4="לא",IF(BC647="לא בוגר",0,IF(BC647="לא קיים",0,IF(J647=0,0,I647*0.1))),IF(BC647="לא בוגר",0,IF(BC647="לא קיים",0,IF(AB647=1,I647*0.1,E647*0.5))))),IF(P647=0,IF(BC647="שימור",IF('חד גזעי'!$AM$4="לא",IF(BC647="לא בוגר",0,IF(BC647="לא קיים",0,IF(J647=0,0,I647*0.15))),IF(BC647="לא בוגר",0,IF(BC647="לא קיים",0,IF(AB647=1,I647*0.15,E647*0.5)))),0),IF('חד גזעי'!$AM$4="לא",IF(BC647="לא בוגר",0,IF(BC647="לא קיים",0,IF(J647=0,0,I647*0.15))),IF(BC647="לא בוגר",0,IF(BC647="לא קיים",0,IF(AB647=1,I647*0.15,E647*0.5))))))</f>
        <v>0</v>
      </c>
      <c r="V647">
        <f t="shared" si="614"/>
        <v>0</v>
      </c>
      <c r="W647">
        <f t="shared" si="615"/>
        <v>0</v>
      </c>
      <c r="X647">
        <f t="shared" si="616"/>
        <v>0</v>
      </c>
      <c r="Y647">
        <f>IF('חד גזעי'!$AM$2 = "לא",0,IF(F647&gt;9,W647,0))</f>
        <v>0</v>
      </c>
      <c r="Z647">
        <f>IF('חד גזעי'!$AM$7 = "לא",0,IF(C647 = "זית אירופי",IF('חד גזעי'!$AN$7 &lt;=סקר!F647,W647,0),IF(C647 = "חרוב מצוי",IF('חד גזעי'!$AN$7 &lt;=סקר!F647,W647,0),0)))</f>
        <v>0</v>
      </c>
      <c r="AD647" s="69" t="s">
        <v>807</v>
      </c>
    </row>
    <row r="648" spans="1:63" hidden="1">
      <c r="B648" s="197" t="s">
        <v>738</v>
      </c>
      <c r="C648" s="197" t="s">
        <v>739</v>
      </c>
      <c r="D648" s="197" t="s">
        <v>740</v>
      </c>
      <c r="E648" s="197" t="s">
        <v>741</v>
      </c>
      <c r="F648" s="200" t="s">
        <v>759</v>
      </c>
      <c r="G648" s="203" t="s">
        <v>760</v>
      </c>
      <c r="H648" s="203" t="s">
        <v>761</v>
      </c>
      <c r="I648" s="197" t="s">
        <v>742</v>
      </c>
      <c r="J648" s="197" t="s">
        <v>743</v>
      </c>
      <c r="K648" s="197" t="s">
        <v>744</v>
      </c>
      <c r="L648" s="197" t="s">
        <v>745</v>
      </c>
      <c r="M648" s="197" t="s">
        <v>746</v>
      </c>
      <c r="N648" s="197" t="s">
        <v>747</v>
      </c>
      <c r="O648" s="197" t="s">
        <v>748</v>
      </c>
      <c r="P648" s="197" t="s">
        <v>749</v>
      </c>
      <c r="Q648" s="197" t="s">
        <v>750</v>
      </c>
      <c r="R648" s="197" t="s">
        <v>751</v>
      </c>
      <c r="T648" s="72" t="e">
        <f>IF('חד גזעי'!$AM$6="לא",IF(P648=0,IF(BC648="שימור",IF('חד גזעי'!$AM$4="לא",IF(BC648="לא בוגר",0,IF(BC648="לא קיים",0,IF(J648=0,0,I648*0.1))),IF(BC648="לא בוגר",0,IF(BC648="לא קיים",0,IF(AB648=1,I648*0.1,E648*0.5)))),0),IF('חד גזעי'!$AM$4="לא",IF(BC648="לא בוגר",0,IF(BC648="לא קיים",0,IF(J648=0,0,I648*0.1))),IF(BC648="לא בוגר",0,IF(BC648="לא קיים",0,IF(AB648=1,I648*0.1,E648*0.5))))),IF(P648=0,IF(BC648="שימור",IF('חד גזעי'!$AM$4="לא",IF(BC648="לא בוגר",0,IF(BC648="לא קיים",0,IF(J648=0,0,I648*0.15))),IF(BC648="לא בוגר",0,IF(BC648="לא קיים",0,IF(AB648=1,I648*0.15,E648*0.5)))),0),IF('חד גזעי'!$AM$4="לא",IF(BC648="לא בוגר",0,IF(BC648="לא קיים",0,IF(J648=0,0,I648*0.15))),IF(BC648="לא בוגר",0,IF(BC648="לא קיים",0,IF(AB648=1,I648*0.15,E648*0.5))))))</f>
        <v>#VALUE!</v>
      </c>
      <c r="V648">
        <f t="shared" si="614"/>
        <v>0</v>
      </c>
      <c r="W648" t="e">
        <f t="shared" si="615"/>
        <v>#VALUE!</v>
      </c>
      <c r="X648">
        <f t="shared" si="616"/>
        <v>0</v>
      </c>
      <c r="Y648">
        <f>IF('חד גזעי'!$AM$2 = "לא",0,IF(F648&gt;9,W648,0))</f>
        <v>0</v>
      </c>
      <c r="Z648">
        <f>IF('חד גזעי'!$AM$7 = "לא",0,IF(C648 = "זית אירופי",IF('חד גזעי'!$AN$7 &lt;=סקר!F648,W648,0),IF(C648 = "חרוב מצוי",IF('חד גזעי'!$AN$7 &lt;=סקר!F648,W648,0),0)))</f>
        <v>0</v>
      </c>
      <c r="AC648" s="101"/>
      <c r="AD648" s="103"/>
      <c r="AE648" s="103"/>
      <c r="AF648" s="103"/>
      <c r="AG648" s="103"/>
      <c r="AH648" s="103"/>
      <c r="AI648" s="103"/>
      <c r="AJ648" s="103"/>
      <c r="AK648" s="83"/>
      <c r="AM648" s="73"/>
      <c r="AN648" s="73"/>
      <c r="AO648" s="73"/>
      <c r="AS648" s="197" t="s">
        <v>738</v>
      </c>
      <c r="AT648" s="197" t="s">
        <v>739</v>
      </c>
      <c r="AU648" s="197" t="s">
        <v>740</v>
      </c>
      <c r="AV648" s="197" t="s">
        <v>741</v>
      </c>
      <c r="AW648" s="203" t="s">
        <v>759</v>
      </c>
      <c r="AX648" s="203" t="s">
        <v>760</v>
      </c>
      <c r="AY648" s="203" t="s">
        <v>761</v>
      </c>
      <c r="AZ648" s="197" t="s">
        <v>812</v>
      </c>
      <c r="BA648" s="197" t="s">
        <v>817</v>
      </c>
      <c r="BB648" s="197" t="s">
        <v>805</v>
      </c>
      <c r="BC648" s="197" t="s">
        <v>806</v>
      </c>
      <c r="BE648">
        <f>IF(BC648="לא נדרש ברישיון",1,0)</f>
        <v>0</v>
      </c>
      <c r="BF648" s="72"/>
      <c r="BG648" s="72"/>
      <c r="BH648" s="72"/>
      <c r="BI648" s="72"/>
      <c r="BJ648" s="72"/>
      <c r="BK648" s="72"/>
    </row>
    <row r="649" spans="1:63" ht="12.75" hidden="1" customHeight="1">
      <c r="B649" s="198"/>
      <c r="C649" s="198"/>
      <c r="D649" s="198"/>
      <c r="E649" s="198"/>
      <c r="F649" s="201"/>
      <c r="G649" s="204"/>
      <c r="H649" s="204"/>
      <c r="I649" s="198"/>
      <c r="J649" s="198"/>
      <c r="K649" s="198"/>
      <c r="L649" s="198"/>
      <c r="M649" s="198"/>
      <c r="N649" s="198"/>
      <c r="O649" s="198"/>
      <c r="P649" s="198"/>
      <c r="Q649" s="198"/>
      <c r="R649" s="198"/>
      <c r="T649" s="72">
        <f>IF('חד גזעי'!$AM$6="לא",IF(P649=0,IF(BC649="שימור",IF('חד גזעי'!$AM$4="לא",IF(BC649="לא בוגר",0,IF(BC649="לא קיים",0,IF(J649=0,0,I649*0.1))),IF(BC649="לא בוגר",0,IF(BC649="לא קיים",0,IF(AB649=1,I649*0.1,E649*0.5)))),0),IF('חד גזעי'!$AM$4="לא",IF(BC649="לא בוגר",0,IF(BC649="לא קיים",0,IF(J649=0,0,I649*0.1))),IF(BC649="לא בוגר",0,IF(BC649="לא קיים",0,IF(AB649=1,I649*0.1,E649*0.5))))),IF(P649=0,IF(BC649="שימור",IF('חד גזעי'!$AM$4="לא",IF(BC649="לא בוגר",0,IF(BC649="לא קיים",0,IF(J649=0,0,I649*0.15))),IF(BC649="לא בוגר",0,IF(BC649="לא קיים",0,IF(AB649=1,I649*0.15,E649*0.5)))),0),IF('חד גזעי'!$AM$4="לא",IF(BC649="לא בוגר",0,IF(BC649="לא קיים",0,IF(J649=0,0,I649*0.15))),IF(BC649="לא בוגר",0,IF(BC649="לא קיים",0,IF(AB649=1,I649*0.15,E649*0.5))))))</f>
        <v>0</v>
      </c>
      <c r="V649">
        <f t="shared" si="614"/>
        <v>0</v>
      </c>
      <c r="W649">
        <f t="shared" si="615"/>
        <v>0</v>
      </c>
      <c r="X649">
        <f t="shared" si="616"/>
        <v>0</v>
      </c>
      <c r="Y649">
        <f>IF('חד גזעי'!$AM$2 = "לא",0,IF(F649&gt;9,W649,0))</f>
        <v>0</v>
      </c>
      <c r="Z649">
        <f>IF('חד גזעי'!$AM$7 = "לא",0,IF(C649 = "זית אירופי",IF('חד גזעי'!$AN$7 &lt;=סקר!F649,W649,0),IF(C649 = "חרוב מצוי",IF('חד גזעי'!$AN$7 &lt;=סקר!F649,W649,0),0)))</f>
        <v>0</v>
      </c>
      <c r="AC649" s="101"/>
      <c r="AD649" s="103"/>
      <c r="AE649" s="103"/>
      <c r="AF649" s="103"/>
      <c r="AG649" s="103"/>
      <c r="AH649" s="103"/>
      <c r="AI649" s="103"/>
      <c r="AJ649" s="103"/>
      <c r="AK649" s="83"/>
      <c r="AM649" s="73"/>
      <c r="AN649" s="73"/>
      <c r="AO649" s="73"/>
      <c r="AS649" s="198"/>
      <c r="AT649" s="198"/>
      <c r="AU649" s="198"/>
      <c r="AV649" s="198"/>
      <c r="AW649" s="204"/>
      <c r="AX649" s="204"/>
      <c r="AY649" s="204"/>
      <c r="AZ649" s="198"/>
      <c r="BA649" s="198"/>
      <c r="BB649" s="198"/>
      <c r="BC649" s="198"/>
      <c r="BE649">
        <f t="shared" ref="BE649:BE683" si="685">IF(BC649="לא נדרש ברישיון",1,0)</f>
        <v>0</v>
      </c>
      <c r="BF649" s="196" t="str">
        <f>BF646</f>
        <v>C:\Users\origr\Pictures\0.jpg</v>
      </c>
      <c r="BG649" s="196" t="str">
        <f t="shared" ref="BG649:BK649" si="686">BG646</f>
        <v>C:\Users\origr\Pictures\0.jpg</v>
      </c>
      <c r="BH649" s="196" t="str">
        <f t="shared" si="686"/>
        <v>C:\Users\origr\Pictures\0.jpg</v>
      </c>
      <c r="BI649" s="196" t="str">
        <f t="shared" si="686"/>
        <v>C:\Users\origr\Pictures\0.jpg</v>
      </c>
      <c r="BJ649" s="196" t="str">
        <f t="shared" si="686"/>
        <v>C:\Users\origr\Pictures\0.jpg</v>
      </c>
      <c r="BK649" s="196" t="str">
        <f t="shared" si="686"/>
        <v>C:\Users\origr\Pictures\0.jpg</v>
      </c>
    </row>
    <row r="650" spans="1:63" ht="12.75" hidden="1" customHeight="1">
      <c r="B650" s="199"/>
      <c r="C650" s="199"/>
      <c r="D650" s="199"/>
      <c r="E650" s="199"/>
      <c r="F650" s="202"/>
      <c r="G650" s="205"/>
      <c r="H650" s="205"/>
      <c r="I650" s="199"/>
      <c r="J650" s="199"/>
      <c r="K650" s="199"/>
      <c r="L650" s="199"/>
      <c r="M650" s="199"/>
      <c r="N650" s="199"/>
      <c r="O650" s="199"/>
      <c r="P650" s="199"/>
      <c r="Q650" s="199"/>
      <c r="R650" s="199"/>
      <c r="T650" s="72">
        <f>IF('חד גזעי'!$AM$6="לא",IF(P650=0,IF(BC650="שימור",IF('חד גזעי'!$AM$4="לא",IF(BC650="לא בוגר",0,IF(BC650="לא קיים",0,IF(J650=0,0,I650*0.1))),IF(BC650="לא בוגר",0,IF(BC650="לא קיים",0,IF(AB650=1,I650*0.1,E650*0.5)))),0),IF('חד גזעי'!$AM$4="לא",IF(BC650="לא בוגר",0,IF(BC650="לא קיים",0,IF(J650=0,0,I650*0.1))),IF(BC650="לא בוגר",0,IF(BC650="לא קיים",0,IF(AB650=1,I650*0.1,E650*0.5))))),IF(P650=0,IF(BC650="שימור",IF('חד גזעי'!$AM$4="לא",IF(BC650="לא בוגר",0,IF(BC650="לא קיים",0,IF(J650=0,0,I650*0.15))),IF(BC650="לא בוגר",0,IF(BC650="לא קיים",0,IF(AB650=1,I650*0.15,E650*0.5)))),0),IF('חד גזעי'!$AM$4="לא",IF(BC650="לא בוגר",0,IF(BC650="לא קיים",0,IF(J650=0,0,I650*0.15))),IF(BC650="לא בוגר",0,IF(BC650="לא קיים",0,IF(AB650=1,I650*0.15,E650*0.5))))))</f>
        <v>0</v>
      </c>
      <c r="V650" t="str">
        <f t="shared" si="614"/>
        <v>שווי דקל</v>
      </c>
      <c r="W650" t="str">
        <f t="shared" si="615"/>
        <v>שווי דקל</v>
      </c>
      <c r="X650">
        <f t="shared" si="616"/>
        <v>0</v>
      </c>
      <c r="Y650">
        <f>IF('חד גזעי'!$AM$2 = "לא",0,IF(F650&gt;9,W650,0))</f>
        <v>0</v>
      </c>
      <c r="Z650">
        <f>IF('חד גזעי'!$AM$7 = "לא",0,IF(C650 = "זית אירופי",IF('חד גזעי'!$AN$7 &lt;=סקר!F650,W650,0),IF(C650 = "חרוב מצוי",IF('חד גזעי'!$AN$7 &lt;=סקר!F650,W650,0),0)))</f>
        <v>0</v>
      </c>
      <c r="AC650" s="94"/>
      <c r="AD650" s="94"/>
      <c r="AE650" s="72"/>
      <c r="AF650" s="77" t="s">
        <v>767</v>
      </c>
      <c r="AG650" s="77" t="s">
        <v>768</v>
      </c>
      <c r="AH650" s="72" t="s">
        <v>762</v>
      </c>
      <c r="AI650" s="72" t="s">
        <v>763</v>
      </c>
      <c r="AJ650" s="72" t="s">
        <v>764</v>
      </c>
      <c r="AK650" s="77" t="s">
        <v>770</v>
      </c>
      <c r="AL650" t="s">
        <v>771</v>
      </c>
      <c r="AM650" s="77" t="s">
        <v>809</v>
      </c>
      <c r="AN650" s="77" t="s">
        <v>810</v>
      </c>
      <c r="AO650" s="77" t="s">
        <v>811</v>
      </c>
      <c r="AS650" s="199"/>
      <c r="AT650" s="199"/>
      <c r="AU650" s="199"/>
      <c r="AV650" s="199"/>
      <c r="AW650" s="205"/>
      <c r="AX650" s="205"/>
      <c r="AY650" s="205"/>
      <c r="AZ650" s="199"/>
      <c r="BA650" s="199"/>
      <c r="BB650" s="199"/>
      <c r="BC650" s="199"/>
      <c r="BE650">
        <f t="shared" si="685"/>
        <v>0</v>
      </c>
      <c r="BF650" s="196"/>
      <c r="BG650" s="196"/>
      <c r="BH650" s="196"/>
      <c r="BI650" s="196"/>
      <c r="BJ650" s="196"/>
      <c r="BK650" s="196"/>
    </row>
    <row r="651" spans="1:63" ht="12.75" hidden="1" customHeight="1">
      <c r="B651" s="72"/>
      <c r="C651" s="135"/>
      <c r="D651" s="73"/>
      <c r="E651" s="73"/>
      <c r="F651" s="72"/>
      <c r="G651" s="72"/>
      <c r="H651" s="72"/>
      <c r="I651" s="73">
        <f t="shared" ref="I651:I682" si="687">F651+(G651/2)+(H651/2)</f>
        <v>0</v>
      </c>
      <c r="J651" s="73"/>
      <c r="K651" s="73"/>
      <c r="L651" s="74" t="e">
        <f>_xlfn.IFNA(VLOOKUP(C651,'חד גזעי'!$U$3:$V$509,2,0),VLOOKUP(C651,'חד גזעי'!$U$3:$V$509,2))</f>
        <v>#N/A</v>
      </c>
      <c r="M651" s="73"/>
      <c r="N651" s="72" t="e">
        <f>_xlfn.IFNA(IF(VLOOKUP(C651,'חד גזעי'!$AH$2:$AH$7,1,FALSE)&gt;0,0,IF('חד גזעי'!$AM$5="כן",IF(_xlfn.IFNA(VLOOKUP(C651,'חד גזעי'!$AH$2:$AH$33,1,FALSE),SUM(J651:M651))&lt;21,_xlfn.IFNA(VLOOKUP(C651,'חד גזעי'!$AH$2:$AH$33,1,FALSE),SUM(J651:M651)),0),SUM(J651:M651))),IF('חד גזעי'!$AM$5="כן",IF(_xlfn.IFNA(VLOOKUP(C651,'חד גזעי'!$AH$2:$AH$33,1,FALSE),SUM(J651:M651))&lt;21,_xlfn.IFNA(VLOOKUP(C651,'חד גזעי'!$AH$2:$AH$33,1,FALSE),SUM(J651:M651)),0),SUM(J651:M651)))</f>
        <v>#N/A</v>
      </c>
      <c r="O651" s="72">
        <f>IF('חד גזעי'!$AM$3 = "כן",IF(T651&gt;4,4,T651),T651)</f>
        <v>0</v>
      </c>
      <c r="P651" s="80">
        <f>IF(E651&lt;2,0,IF(Z651&gt;0,Z651,IF(N651 = 0,0,IF('חד גזעי'!$AM$2 = "לא",IF(F651&gt;19,W651,0),IF(F651&gt;9,Y651,0)))))</f>
        <v>0</v>
      </c>
      <c r="Q651" s="77"/>
      <c r="R651" s="75"/>
      <c r="S651" t="e">
        <f>VLOOKUP(C651,'חד גזעי'!$Y$4:$Y$18,1,0)</f>
        <v>#N/A</v>
      </c>
      <c r="T651" s="72">
        <f>IF('חד גזעי'!$AM$6="לא",IF(P651=0,IF(BC651="שימור",IF('חד גזעי'!$AM$4="לא",IF(BC651="לא בוגר",0,IF(BC651="לא קיים",0,IF(J651=0,0,I651*0.1))),IF(BC651="לא בוגר",0,IF(BC651="לא קיים",0,IF(AB651=1,I651*0.1,E651*0.5)))),0),IF('חד גזעי'!$AM$4="לא",IF(BC651="לא בוגר",0,IF(BC651="לא קיים",0,IF(J651=0,0,I651*0.1))),IF(BC651="לא בוגר",0,IF(BC651="לא קיים",0,IF(AB651=1,I651*0.1,E651*0.5))))),IF(P651=0,IF(BC651="שימור",IF('חד גזעי'!$AM$4="לא",IF(BC651="לא בוגר",0,IF(BC651="לא קיים",0,IF(J651=0,0,I651*0.15))),IF(BC651="לא בוגר",0,IF(BC651="לא קיים",0,IF(AB651=1,I651*0.15,E651*0.5)))),0),IF('חד גזעי'!$AM$4="לא",IF(BC651="לא בוגר",0,IF(BC651="לא קיים",0,IF(J651=0,0,I651*0.15))),IF(BC651="לא בוגר",0,IF(BC651="לא קיים",0,IF(AB651=1,I651*0.15,E651*0.5))))))</f>
        <v>0</v>
      </c>
      <c r="V651" t="e">
        <f t="shared" si="614"/>
        <v>#N/A</v>
      </c>
      <c r="W651" t="e">
        <f t="shared" si="615"/>
        <v>#N/A</v>
      </c>
      <c r="X651" t="e">
        <f t="shared" si="616"/>
        <v>#N/A</v>
      </c>
      <c r="Y651">
        <f>IF('חד גזעי'!$AM$2 = "לא",0,IF(F651&gt;9,W651,0))</f>
        <v>0</v>
      </c>
      <c r="Z651">
        <f>IF('חד גזעי'!$AM$7 = "לא",0,IF(C651 = "זית אירופי",IF('חד גזעי'!$AN$7 &lt;=סקר!F651,W651,0),IF(C651 = "חרוב מצוי",IF('חד גזעי'!$AN$7 &lt;=סקר!F651,W651,0),0)))</f>
        <v>0</v>
      </c>
      <c r="AB651">
        <f t="shared" ref="AB651:AB682" si="688">_xlfn.IFNA(S651,1)</f>
        <v>1</v>
      </c>
      <c r="AC651" s="72"/>
      <c r="AD651" t="e">
        <f>IF(AK651&gt;0,AK651,AF651)</f>
        <v>#N/A</v>
      </c>
      <c r="AE651" s="72"/>
      <c r="AF651" s="72" t="e">
        <f t="shared" ref="AF651:AF682" si="689">((AJ651+AI651+AH651)*(AG651))*(J651*0.2)*(K651*0.2)*20</f>
        <v>#N/A</v>
      </c>
      <c r="AG651" s="72" t="e">
        <f>IF('חד גזעי'!$AM$5="לא",(VLOOKUP(C651,'חד גזעי'!$P$1:$S$589,3,FALSE)),(VLOOKUP(C651,'חד גזעי'!$P$1:$S$589,4,FALSE)))</f>
        <v>#N/A</v>
      </c>
      <c r="AH651" s="72">
        <f t="shared" ref="AH651:AH682" si="690">(3.14*((F651/2)^2))</f>
        <v>0</v>
      </c>
      <c r="AI651" s="72">
        <f t="shared" ref="AI651:AI682" si="691">3.14*(G651*G651/4)</f>
        <v>0</v>
      </c>
      <c r="AJ651" s="72">
        <f t="shared" ref="AJ651:AJ682" si="692">3.14*(H651*H651/4)</f>
        <v>0</v>
      </c>
      <c r="AK651" s="72" t="e">
        <f t="shared" ref="AK651:AK682" si="693">AL651*E651*(J651*0.2)*(0.2*K651)*1500</f>
        <v>#N/A</v>
      </c>
      <c r="AL651" t="e">
        <f>VLOOKUP(C651,'חד גזעי'!$AH$8:$AI$33,2,FALSE)</f>
        <v>#N/A</v>
      </c>
      <c r="AM651" s="72" t="b">
        <f t="shared" ref="AM651:AM682" si="694">IF(BC651="שימור",P651)</f>
        <v>0</v>
      </c>
      <c r="AN651" s="72" t="b">
        <f t="shared" ref="AN651:AN682" si="695">IF(BC651="כריתה",P651)</f>
        <v>0</v>
      </c>
      <c r="AO651" s="72" t="b">
        <f t="shared" ref="AO651:AO682" si="696">IF(BC651="העתקה",P651)</f>
        <v>0</v>
      </c>
      <c r="AS651" s="72">
        <f t="shared" ref="AS651:AS682" si="697">B651</f>
        <v>0</v>
      </c>
      <c r="AT651" s="72">
        <f t="shared" ref="AT651:AT682" si="698">C651</f>
        <v>0</v>
      </c>
      <c r="AU651" s="72">
        <f>IF(C651&gt;0,IF(D651&lt;2,1,D651),0)</f>
        <v>0</v>
      </c>
      <c r="AV651" s="72">
        <f t="shared" ref="AV651:AV682" si="699">E651</f>
        <v>0</v>
      </c>
      <c r="AW651" s="72">
        <f t="shared" ref="AW651:AW682" si="700">F651</f>
        <v>0</v>
      </c>
      <c r="AX651" s="72">
        <f t="shared" ref="AX651:AX682" si="701">G651</f>
        <v>0</v>
      </c>
      <c r="AY651" s="72">
        <f t="shared" ref="AY651:AY682" si="702">H651</f>
        <v>0</v>
      </c>
      <c r="AZ651" s="72">
        <f t="shared" ref="AZ651:AZ682" si="703">I651</f>
        <v>0</v>
      </c>
      <c r="BA651" s="72" t="e">
        <f t="shared" ref="BA651:BA682" si="704">N651</f>
        <v>#N/A</v>
      </c>
      <c r="BB651" s="72" t="e">
        <f t="shared" ref="BB651:BB682" si="705">IF(BA651&gt;6,IF(BA651&gt;13,IF(BA651&gt;16,"גבוה מאוד","גבוה"),"בינונית"),"נמוכה")</f>
        <v>#N/A</v>
      </c>
      <c r="BC651" s="77"/>
      <c r="BE651">
        <f t="shared" si="685"/>
        <v>0</v>
      </c>
      <c r="BF651" s="196"/>
      <c r="BG651" s="196"/>
      <c r="BH651" s="196"/>
      <c r="BI651" s="196"/>
      <c r="BJ651" s="196"/>
      <c r="BK651" s="196"/>
    </row>
    <row r="652" spans="1:63" ht="12.75" hidden="1" customHeight="1">
      <c r="B652" s="72"/>
      <c r="C652" s="135"/>
      <c r="D652" s="73"/>
      <c r="E652" s="73"/>
      <c r="F652" s="72"/>
      <c r="G652" s="72"/>
      <c r="H652" s="72"/>
      <c r="I652" s="73">
        <f t="shared" si="687"/>
        <v>0</v>
      </c>
      <c r="J652" s="73"/>
      <c r="K652" s="73"/>
      <c r="L652" s="74" t="e">
        <f>_xlfn.IFNA(VLOOKUP(C652,'חד גזעי'!$U$3:$V$509,2,0),VLOOKUP(C652,'חד גזעי'!$U$3:$V$509,2))</f>
        <v>#N/A</v>
      </c>
      <c r="M652" s="73"/>
      <c r="N652" s="72" t="e">
        <f>_xlfn.IFNA(IF(VLOOKUP(C652,'חד גזעי'!$AH$2:$AH$7,1,FALSE)&gt;0,0,IF('חד גזעי'!$AM$5="כן",IF(_xlfn.IFNA(VLOOKUP(C652,'חד גזעי'!$AH$2:$AH$33,1,FALSE),SUM(J652:M652))&lt;21,_xlfn.IFNA(VLOOKUP(C652,'חד גזעי'!$AH$2:$AH$33,1,FALSE),SUM(J652:M652)),0),SUM(J652:M652))),IF('חד גזעי'!$AM$5="כן",IF(_xlfn.IFNA(VLOOKUP(C652,'חד גזעי'!$AH$2:$AH$33,1,FALSE),SUM(J652:M652))&lt;21,_xlfn.IFNA(VLOOKUP(C652,'חד גזעי'!$AH$2:$AH$33,1,FALSE),SUM(J652:M652)),0),SUM(J652:M652)))</f>
        <v>#N/A</v>
      </c>
      <c r="O652" s="72">
        <f>IF('חד גזעי'!$AM$3 = "כן",IF(T652&gt;4,4,T652),T652)</f>
        <v>0</v>
      </c>
      <c r="P652" s="80">
        <f>IF(E652&lt;2,0,IF(Z652&gt;0,Z652,IF(N652 = 0,0,IF('חד גזעי'!$AM$2 = "לא",IF(F652&gt;19,W652,0),IF(F652&gt;9,Y652,0)))))</f>
        <v>0</v>
      </c>
      <c r="Q652" s="77"/>
      <c r="R652" s="75"/>
      <c r="S652" t="e">
        <f>VLOOKUP(C652,'חד גזעי'!$Y$4:$Y$18,1,0)</f>
        <v>#N/A</v>
      </c>
      <c r="T652" s="72">
        <f>IF('חד גזעי'!$AM$6="לא",IF(P652=0,IF(BC652="שימור",IF('חד גזעי'!$AM$4="לא",IF(BC652="לא בוגר",0,IF(BC652="לא קיים",0,IF(J652=0,0,I652*0.1))),IF(BC652="לא בוגר",0,IF(BC652="לא קיים",0,IF(AB652=1,I652*0.1,E652*0.5)))),0),IF('חד גזעי'!$AM$4="לא",IF(BC652="לא בוגר",0,IF(BC652="לא קיים",0,IF(J652=0,0,I652*0.1))),IF(BC652="לא בוגר",0,IF(BC652="לא קיים",0,IF(AB652=1,I652*0.1,E652*0.5))))),IF(P652=0,IF(BC652="שימור",IF('חד גזעי'!$AM$4="לא",IF(BC652="לא בוגר",0,IF(BC652="לא קיים",0,IF(J652=0,0,I652*0.15))),IF(BC652="לא בוגר",0,IF(BC652="לא קיים",0,IF(AB652=1,I652*0.15,E652*0.5)))),0),IF('חד גזעי'!$AM$4="לא",IF(BC652="לא בוגר",0,IF(BC652="לא קיים",0,IF(J652=0,0,I652*0.15))),IF(BC652="לא בוגר",0,IF(BC652="לא קיים",0,IF(AB652=1,I652*0.15,E652*0.5))))))</f>
        <v>0</v>
      </c>
      <c r="V652" t="e">
        <f t="shared" ref="V652:V715" si="706">_xlfn.IFNA(AK652,AF652)</f>
        <v>#N/A</v>
      </c>
      <c r="W652" t="e">
        <f t="shared" ref="W652:W715" si="707">IF(D652=0,V652,D652*V652)</f>
        <v>#N/A</v>
      </c>
      <c r="X652" t="e">
        <f t="shared" ref="X652:X715" si="708">IF(N652 = 0,0,Y652)</f>
        <v>#N/A</v>
      </c>
      <c r="Y652">
        <f>IF('חד גזעי'!$AM$2 = "לא",0,IF(F652&gt;9,W652,0))</f>
        <v>0</v>
      </c>
      <c r="Z652">
        <f>IF('חד גזעי'!$AM$7 = "לא",0,IF(C652 = "זית אירופי",IF('חד גזעי'!$AN$7 &lt;=סקר!F652,W652,0),IF(C652 = "חרוב מצוי",IF('חד גזעי'!$AN$7 &lt;=סקר!F652,W652,0),0)))</f>
        <v>0</v>
      </c>
      <c r="AB652">
        <f t="shared" si="688"/>
        <v>1</v>
      </c>
      <c r="AC652" s="72"/>
      <c r="AD652" t="e">
        <f t="shared" ref="AD652:AD682" si="709">IF(AK652&gt;0,AK652,AF652)</f>
        <v>#N/A</v>
      </c>
      <c r="AE652" s="72"/>
      <c r="AF652" s="72" t="e">
        <f t="shared" si="689"/>
        <v>#N/A</v>
      </c>
      <c r="AG652" s="72" t="e">
        <f>IF('חד גזעי'!$AM$5="לא",(VLOOKUP(C652,'חד גזעי'!$P$1:$S$589,3,FALSE)),(VLOOKUP(C652,'חד גזעי'!$P$1:$S$589,4,FALSE)))</f>
        <v>#N/A</v>
      </c>
      <c r="AH652" s="72">
        <f t="shared" si="690"/>
        <v>0</v>
      </c>
      <c r="AI652" s="72">
        <f t="shared" si="691"/>
        <v>0</v>
      </c>
      <c r="AJ652" s="72">
        <f t="shared" si="692"/>
        <v>0</v>
      </c>
      <c r="AK652" s="72" t="e">
        <f t="shared" si="693"/>
        <v>#N/A</v>
      </c>
      <c r="AL652" t="e">
        <f>VLOOKUP(C652,'חד גזעי'!$AH$8:$AI$33,2,FALSE)</f>
        <v>#N/A</v>
      </c>
      <c r="AM652" s="72" t="b">
        <f t="shared" si="694"/>
        <v>0</v>
      </c>
      <c r="AN652" s="72" t="b">
        <f t="shared" si="695"/>
        <v>0</v>
      </c>
      <c r="AO652" s="72" t="b">
        <f t="shared" si="696"/>
        <v>0</v>
      </c>
      <c r="AS652" s="72">
        <f t="shared" si="697"/>
        <v>0</v>
      </c>
      <c r="AT652" s="72">
        <f t="shared" si="698"/>
        <v>0</v>
      </c>
      <c r="AU652" s="72">
        <f t="shared" ref="AU652:AU682" si="710">IF(C652&gt;0,IF(D652&lt;2,1,D652),0)</f>
        <v>0</v>
      </c>
      <c r="AV652" s="72">
        <f t="shared" si="699"/>
        <v>0</v>
      </c>
      <c r="AW652" s="72">
        <f t="shared" si="700"/>
        <v>0</v>
      </c>
      <c r="AX652" s="72">
        <f t="shared" si="701"/>
        <v>0</v>
      </c>
      <c r="AY652" s="72">
        <f t="shared" si="702"/>
        <v>0</v>
      </c>
      <c r="AZ652" s="72">
        <f t="shared" si="703"/>
        <v>0</v>
      </c>
      <c r="BA652" s="72" t="e">
        <f t="shared" si="704"/>
        <v>#N/A</v>
      </c>
      <c r="BB652" s="72" t="e">
        <f t="shared" si="705"/>
        <v>#N/A</v>
      </c>
      <c r="BC652" s="77"/>
      <c r="BE652">
        <f t="shared" si="685"/>
        <v>0</v>
      </c>
      <c r="BF652" s="196"/>
      <c r="BG652" s="196"/>
      <c r="BH652" s="196"/>
      <c r="BI652" s="196"/>
      <c r="BJ652" s="196"/>
      <c r="BK652" s="196"/>
    </row>
    <row r="653" spans="1:63" ht="12.75" hidden="1" customHeight="1">
      <c r="B653" s="72"/>
      <c r="C653" s="135"/>
      <c r="D653" s="73"/>
      <c r="E653" s="73"/>
      <c r="F653" s="72"/>
      <c r="G653" s="72"/>
      <c r="H653" s="72"/>
      <c r="I653" s="73">
        <f t="shared" si="687"/>
        <v>0</v>
      </c>
      <c r="J653" s="73"/>
      <c r="K653" s="73"/>
      <c r="L653" s="74" t="e">
        <f>_xlfn.IFNA(VLOOKUP(C653,'חד גזעי'!$U$3:$V$509,2,0),VLOOKUP(C653,'חד גזעי'!$U$3:$V$509,2))</f>
        <v>#N/A</v>
      </c>
      <c r="M653" s="73"/>
      <c r="N653" s="72" t="e">
        <f>_xlfn.IFNA(IF(VLOOKUP(C653,'חד גזעי'!$AH$2:$AH$7,1,FALSE)&gt;0,0,IF('חד גזעי'!$AM$5="כן",IF(_xlfn.IFNA(VLOOKUP(C653,'חד גזעי'!$AH$2:$AH$33,1,FALSE),SUM(J653:M653))&lt;21,_xlfn.IFNA(VLOOKUP(C653,'חד גזעי'!$AH$2:$AH$33,1,FALSE),SUM(J653:M653)),0),SUM(J653:M653))),IF('חד גזעי'!$AM$5="כן",IF(_xlfn.IFNA(VLOOKUP(C653,'חד גזעי'!$AH$2:$AH$33,1,FALSE),SUM(J653:M653))&lt;21,_xlfn.IFNA(VLOOKUP(C653,'חד גזעי'!$AH$2:$AH$33,1,FALSE),SUM(J653:M653)),0),SUM(J653:M653)))</f>
        <v>#N/A</v>
      </c>
      <c r="O653" s="72">
        <f>IF('חד גזעי'!$AM$3 = "כן",IF(T653&gt;4,4,T653),T653)</f>
        <v>0</v>
      </c>
      <c r="P653" s="80">
        <f>IF(E653&lt;2,0,IF(Z653&gt;0,Z653,IF(N653 = 0,0,IF('חד גזעי'!$AM$2 = "לא",IF(F653&gt;19,W653,0),IF(F653&gt;9,Y653,0)))))</f>
        <v>0</v>
      </c>
      <c r="Q653" s="77"/>
      <c r="R653" s="75"/>
      <c r="S653" t="e">
        <f>VLOOKUP(C653,'חד גזעי'!$Y$4:$Y$18,1,0)</f>
        <v>#N/A</v>
      </c>
      <c r="T653" s="72">
        <f>IF('חד גזעי'!$AM$6="לא",IF(P653=0,IF(BC653="שימור",IF('חד גזעי'!$AM$4="לא",IF(BC653="לא בוגר",0,IF(BC653="לא קיים",0,IF(J653=0,0,I653*0.1))),IF(BC653="לא בוגר",0,IF(BC653="לא קיים",0,IF(AB653=1,I653*0.1,E653*0.5)))),0),IF('חד גזעי'!$AM$4="לא",IF(BC653="לא בוגר",0,IF(BC653="לא קיים",0,IF(J653=0,0,I653*0.1))),IF(BC653="לא בוגר",0,IF(BC653="לא קיים",0,IF(AB653=1,I653*0.1,E653*0.5))))),IF(P653=0,IF(BC653="שימור",IF('חד גזעי'!$AM$4="לא",IF(BC653="לא בוגר",0,IF(BC653="לא קיים",0,IF(J653=0,0,I653*0.15))),IF(BC653="לא בוגר",0,IF(BC653="לא קיים",0,IF(AB653=1,I653*0.15,E653*0.5)))),0),IF('חד גזעי'!$AM$4="לא",IF(BC653="לא בוגר",0,IF(BC653="לא קיים",0,IF(J653=0,0,I653*0.15))),IF(BC653="לא בוגר",0,IF(BC653="לא קיים",0,IF(AB653=1,I653*0.15,E653*0.5))))))</f>
        <v>0</v>
      </c>
      <c r="V653" t="e">
        <f t="shared" si="706"/>
        <v>#N/A</v>
      </c>
      <c r="W653" t="e">
        <f t="shared" si="707"/>
        <v>#N/A</v>
      </c>
      <c r="X653" t="e">
        <f t="shared" si="708"/>
        <v>#N/A</v>
      </c>
      <c r="Y653">
        <f>IF('חד גזעי'!$AM$2 = "לא",0,IF(F653&gt;9,W653,0))</f>
        <v>0</v>
      </c>
      <c r="Z653">
        <f>IF('חד גזעי'!$AM$7 = "לא",0,IF(C653 = "זית אירופי",IF('חד גזעי'!$AN$7 &lt;=סקר!F653,W653,0),IF(C653 = "חרוב מצוי",IF('חד גזעי'!$AN$7 &lt;=סקר!F653,W653,0),0)))</f>
        <v>0</v>
      </c>
      <c r="AB653">
        <f t="shared" si="688"/>
        <v>1</v>
      </c>
      <c r="AC653" s="72"/>
      <c r="AD653" t="e">
        <f t="shared" si="709"/>
        <v>#N/A</v>
      </c>
      <c r="AE653" s="72"/>
      <c r="AF653" s="72" t="e">
        <f t="shared" si="689"/>
        <v>#N/A</v>
      </c>
      <c r="AG653" s="72" t="e">
        <f>IF('חד גזעי'!$AM$5="לא",(VLOOKUP(C653,'חד גזעי'!$P$1:$S$589,3,FALSE)),(VLOOKUP(C653,'חד גזעי'!$P$1:$S$589,4,FALSE)))</f>
        <v>#N/A</v>
      </c>
      <c r="AH653" s="72">
        <f t="shared" si="690"/>
        <v>0</v>
      </c>
      <c r="AI653" s="72">
        <f t="shared" si="691"/>
        <v>0</v>
      </c>
      <c r="AJ653" s="72">
        <f t="shared" si="692"/>
        <v>0</v>
      </c>
      <c r="AK653" s="72" t="e">
        <f t="shared" si="693"/>
        <v>#N/A</v>
      </c>
      <c r="AL653" t="e">
        <f>VLOOKUP(C653,'חד גזעי'!$AH$8:$AI$33,2,FALSE)</f>
        <v>#N/A</v>
      </c>
      <c r="AM653" s="72" t="b">
        <f t="shared" si="694"/>
        <v>0</v>
      </c>
      <c r="AN653" s="72" t="b">
        <f t="shared" si="695"/>
        <v>0</v>
      </c>
      <c r="AO653" s="72" t="b">
        <f t="shared" si="696"/>
        <v>0</v>
      </c>
      <c r="AS653" s="72">
        <f t="shared" si="697"/>
        <v>0</v>
      </c>
      <c r="AT653" s="72">
        <f t="shared" si="698"/>
        <v>0</v>
      </c>
      <c r="AU653" s="72">
        <f t="shared" si="710"/>
        <v>0</v>
      </c>
      <c r="AV653" s="72">
        <f t="shared" si="699"/>
        <v>0</v>
      </c>
      <c r="AW653" s="72">
        <f t="shared" si="700"/>
        <v>0</v>
      </c>
      <c r="AX653" s="72">
        <f t="shared" si="701"/>
        <v>0</v>
      </c>
      <c r="AY653" s="72">
        <f t="shared" si="702"/>
        <v>0</v>
      </c>
      <c r="AZ653" s="72">
        <f t="shared" si="703"/>
        <v>0</v>
      </c>
      <c r="BA653" s="72" t="e">
        <f t="shared" si="704"/>
        <v>#N/A</v>
      </c>
      <c r="BB653" s="72" t="e">
        <f t="shared" si="705"/>
        <v>#N/A</v>
      </c>
      <c r="BC653" s="77"/>
      <c r="BE653">
        <f t="shared" si="685"/>
        <v>0</v>
      </c>
      <c r="BF653" s="196"/>
      <c r="BG653" s="196"/>
      <c r="BH653" s="196"/>
      <c r="BI653" s="196"/>
      <c r="BJ653" s="196"/>
      <c r="BK653" s="196"/>
    </row>
    <row r="654" spans="1:63" hidden="1">
      <c r="B654" s="72"/>
      <c r="C654" s="135"/>
      <c r="D654" s="73"/>
      <c r="E654" s="73"/>
      <c r="F654" s="72"/>
      <c r="G654" s="72"/>
      <c r="H654" s="72"/>
      <c r="I654" s="73">
        <f t="shared" si="687"/>
        <v>0</v>
      </c>
      <c r="J654" s="73"/>
      <c r="K654" s="73"/>
      <c r="L654" s="74" t="e">
        <f>_xlfn.IFNA(VLOOKUP(C654,'חד גזעי'!$U$3:$V$509,2,0),VLOOKUP(C654,'חד גזעי'!$U$3:$V$509,2))</f>
        <v>#N/A</v>
      </c>
      <c r="M654" s="73"/>
      <c r="N654" s="72" t="e">
        <f>_xlfn.IFNA(IF(VLOOKUP(C654,'חד גזעי'!$AH$2:$AH$7,1,FALSE)&gt;0,0,IF('חד גזעי'!$AM$5="כן",IF(_xlfn.IFNA(VLOOKUP(C654,'חד גזעי'!$AH$2:$AH$33,1,FALSE),SUM(J654:M654))&lt;21,_xlfn.IFNA(VLOOKUP(C654,'חד גזעי'!$AH$2:$AH$33,1,FALSE),SUM(J654:M654)),0),SUM(J654:M654))),IF('חד גזעי'!$AM$5="כן",IF(_xlfn.IFNA(VLOOKUP(C654,'חד גזעי'!$AH$2:$AH$33,1,FALSE),SUM(J654:M654))&lt;21,_xlfn.IFNA(VLOOKUP(C654,'חד גזעי'!$AH$2:$AH$33,1,FALSE),SUM(J654:M654)),0),SUM(J654:M654)))</f>
        <v>#N/A</v>
      </c>
      <c r="O654" s="72">
        <f>IF('חד גזעי'!$AM$3 = "כן",IF(T654&gt;4,4,T654),T654)</f>
        <v>0</v>
      </c>
      <c r="P654" s="80">
        <f>IF(E654&lt;2,0,IF(Z654&gt;0,Z654,IF(N654 = 0,0,IF('חד גזעי'!$AM$2 = "לא",IF(F654&gt;19,W654,0),IF(F654&gt;9,Y654,0)))))</f>
        <v>0</v>
      </c>
      <c r="Q654" s="77"/>
      <c r="R654" s="75"/>
      <c r="S654" t="e">
        <f>VLOOKUP(C654,'חד גזעי'!$Y$4:$Y$18,1,0)</f>
        <v>#N/A</v>
      </c>
      <c r="T654" s="72">
        <f>IF('חד גזעי'!$AM$6="לא",IF(P654=0,IF(BC654="שימור",IF('חד גזעי'!$AM$4="לא",IF(BC654="לא בוגר",0,IF(BC654="לא קיים",0,IF(J654=0,0,I654*0.1))),IF(BC654="לא בוגר",0,IF(BC654="לא קיים",0,IF(AB654=1,I654*0.1,E654*0.5)))),0),IF('חד גזעי'!$AM$4="לא",IF(BC654="לא בוגר",0,IF(BC654="לא קיים",0,IF(J654=0,0,I654*0.1))),IF(BC654="לא בוגר",0,IF(BC654="לא קיים",0,IF(AB654=1,I654*0.1,E654*0.5))))),IF(P654=0,IF(BC654="שימור",IF('חד גזעי'!$AM$4="לא",IF(BC654="לא בוגר",0,IF(BC654="לא קיים",0,IF(J654=0,0,I654*0.15))),IF(BC654="לא בוגר",0,IF(BC654="לא קיים",0,IF(AB654=1,I654*0.15,E654*0.5)))),0),IF('חד גזעי'!$AM$4="לא",IF(BC654="לא בוגר",0,IF(BC654="לא קיים",0,IF(J654=0,0,I654*0.15))),IF(BC654="לא בוגר",0,IF(BC654="לא קיים",0,IF(AB654=1,I654*0.15,E654*0.5))))))</f>
        <v>0</v>
      </c>
      <c r="V654" t="e">
        <f t="shared" si="706"/>
        <v>#N/A</v>
      </c>
      <c r="W654" t="e">
        <f t="shared" si="707"/>
        <v>#N/A</v>
      </c>
      <c r="X654" t="e">
        <f t="shared" si="708"/>
        <v>#N/A</v>
      </c>
      <c r="Y654">
        <f>IF('חד גזעי'!$AM$2 = "לא",0,IF(F654&gt;9,W654,0))</f>
        <v>0</v>
      </c>
      <c r="Z654">
        <f>IF('חד גזעי'!$AM$7 = "לא",0,IF(C654 = "זית אירופי",IF('חד גזעי'!$AN$7 &lt;=סקר!F654,W654,0),IF(C654 = "חרוב מצוי",IF('חד גזעי'!$AN$7 &lt;=סקר!F654,W654,0),0)))</f>
        <v>0</v>
      </c>
      <c r="AB654">
        <f t="shared" si="688"/>
        <v>1</v>
      </c>
      <c r="AC654" s="72"/>
      <c r="AD654" t="e">
        <f t="shared" si="709"/>
        <v>#N/A</v>
      </c>
      <c r="AE654" s="72"/>
      <c r="AF654" s="72" t="e">
        <f t="shared" si="689"/>
        <v>#N/A</v>
      </c>
      <c r="AG654" s="72" t="e">
        <f>IF('חד גזעי'!$AM$5="לא",(VLOOKUP(C654,'חד גזעי'!$P$1:$S$589,3,FALSE)),(VLOOKUP(C654,'חד גזעי'!$P$1:$S$589,4,FALSE)))</f>
        <v>#N/A</v>
      </c>
      <c r="AH654" s="72">
        <f t="shared" si="690"/>
        <v>0</v>
      </c>
      <c r="AI654" s="72">
        <f t="shared" si="691"/>
        <v>0</v>
      </c>
      <c r="AJ654" s="72">
        <f t="shared" si="692"/>
        <v>0</v>
      </c>
      <c r="AK654" s="72" t="e">
        <f t="shared" si="693"/>
        <v>#N/A</v>
      </c>
      <c r="AL654" t="e">
        <f>VLOOKUP(C654,'חד גזעי'!$AH$8:$AI$33,2,FALSE)</f>
        <v>#N/A</v>
      </c>
      <c r="AM654" s="72" t="b">
        <f t="shared" si="694"/>
        <v>0</v>
      </c>
      <c r="AN654" s="72" t="b">
        <f t="shared" si="695"/>
        <v>0</v>
      </c>
      <c r="AO654" s="72" t="b">
        <f t="shared" si="696"/>
        <v>0</v>
      </c>
      <c r="AS654" s="72">
        <f t="shared" si="697"/>
        <v>0</v>
      </c>
      <c r="AT654" s="72">
        <f t="shared" si="698"/>
        <v>0</v>
      </c>
      <c r="AU654" s="72">
        <f t="shared" si="710"/>
        <v>0</v>
      </c>
      <c r="AV654" s="72">
        <f t="shared" si="699"/>
        <v>0</v>
      </c>
      <c r="AW654" s="72">
        <f t="shared" si="700"/>
        <v>0</v>
      </c>
      <c r="AX654" s="72">
        <f t="shared" si="701"/>
        <v>0</v>
      </c>
      <c r="AY654" s="72">
        <f t="shared" si="702"/>
        <v>0</v>
      </c>
      <c r="AZ654" s="72">
        <f t="shared" si="703"/>
        <v>0</v>
      </c>
      <c r="BA654" s="72" t="e">
        <f t="shared" si="704"/>
        <v>#N/A</v>
      </c>
      <c r="BB654" s="72" t="e">
        <f t="shared" si="705"/>
        <v>#N/A</v>
      </c>
      <c r="BC654" s="77"/>
      <c r="BE654">
        <f t="shared" si="685"/>
        <v>0</v>
      </c>
      <c r="BF654" s="196"/>
      <c r="BG654" s="196"/>
      <c r="BH654" s="196"/>
      <c r="BI654" s="196"/>
      <c r="BJ654" s="196"/>
      <c r="BK654" s="196"/>
    </row>
    <row r="655" spans="1:63" hidden="1">
      <c r="B655" s="72"/>
      <c r="C655" s="135"/>
      <c r="D655" s="73"/>
      <c r="E655" s="73"/>
      <c r="F655" s="72"/>
      <c r="G655" s="72"/>
      <c r="H655" s="72"/>
      <c r="I655" s="73">
        <f t="shared" si="687"/>
        <v>0</v>
      </c>
      <c r="J655" s="73"/>
      <c r="K655" s="73"/>
      <c r="L655" s="74" t="e">
        <f>_xlfn.IFNA(VLOOKUP(C655,'חד גזעי'!$U$3:$V$509,2,0),VLOOKUP(C655,'חד גזעי'!$U$3:$V$509,2))</f>
        <v>#N/A</v>
      </c>
      <c r="M655" s="73"/>
      <c r="N655" s="72" t="e">
        <f>_xlfn.IFNA(IF(VLOOKUP(C655,'חד גזעי'!$AH$2:$AH$7,1,FALSE)&gt;0,0,IF('חד גזעי'!$AM$5="כן",IF(_xlfn.IFNA(VLOOKUP(C655,'חד גזעי'!$AH$2:$AH$33,1,FALSE),SUM(J655:M655))&lt;21,_xlfn.IFNA(VLOOKUP(C655,'חד גזעי'!$AH$2:$AH$33,1,FALSE),SUM(J655:M655)),0),SUM(J655:M655))),IF('חד גזעי'!$AM$5="כן",IF(_xlfn.IFNA(VLOOKUP(C655,'חד גזעי'!$AH$2:$AH$33,1,FALSE),SUM(J655:M655))&lt;21,_xlfn.IFNA(VLOOKUP(C655,'חד גזעי'!$AH$2:$AH$33,1,FALSE),SUM(J655:M655)),0),SUM(J655:M655)))</f>
        <v>#N/A</v>
      </c>
      <c r="O655" s="72">
        <f>IF('חד גזעי'!$AM$3 = "כן",IF(T655&gt;4,4,T655),T655)</f>
        <v>0</v>
      </c>
      <c r="P655" s="80">
        <f>IF(E655&lt;2,0,IF(Z655&gt;0,Z655,IF(N655 = 0,0,IF('חד גזעי'!$AM$2 = "לא",IF(F655&gt;19,W655,0),IF(F655&gt;9,Y655,0)))))</f>
        <v>0</v>
      </c>
      <c r="Q655" s="77"/>
      <c r="R655" s="75"/>
      <c r="S655" t="e">
        <f>VLOOKUP(C655,'חד גזעי'!$Y$4:$Y$18,1,0)</f>
        <v>#N/A</v>
      </c>
      <c r="T655" s="72">
        <f>IF('חד גזעי'!$AM$6="לא",IF(P655=0,IF(BC655="שימור",IF('חד גזעי'!$AM$4="לא",IF(BC655="לא בוגר",0,IF(BC655="לא קיים",0,IF(J655=0,0,I655*0.1))),IF(BC655="לא בוגר",0,IF(BC655="לא קיים",0,IF(AB655=1,I655*0.1,E655*0.5)))),0),IF('חד גזעי'!$AM$4="לא",IF(BC655="לא בוגר",0,IF(BC655="לא קיים",0,IF(J655=0,0,I655*0.1))),IF(BC655="לא בוגר",0,IF(BC655="לא קיים",0,IF(AB655=1,I655*0.1,E655*0.5))))),IF(P655=0,IF(BC655="שימור",IF('חד גזעי'!$AM$4="לא",IF(BC655="לא בוגר",0,IF(BC655="לא קיים",0,IF(J655=0,0,I655*0.15))),IF(BC655="לא בוגר",0,IF(BC655="לא קיים",0,IF(AB655=1,I655*0.15,E655*0.5)))),0),IF('חד גזעי'!$AM$4="לא",IF(BC655="לא בוגר",0,IF(BC655="לא קיים",0,IF(J655=0,0,I655*0.15))),IF(BC655="לא בוגר",0,IF(BC655="לא קיים",0,IF(AB655=1,I655*0.15,E655*0.5))))))</f>
        <v>0</v>
      </c>
      <c r="V655" t="e">
        <f t="shared" si="706"/>
        <v>#N/A</v>
      </c>
      <c r="W655" t="e">
        <f t="shared" si="707"/>
        <v>#N/A</v>
      </c>
      <c r="X655" t="e">
        <f t="shared" si="708"/>
        <v>#N/A</v>
      </c>
      <c r="Y655">
        <f>IF('חד גזעי'!$AM$2 = "לא",0,IF(F655&gt;9,W655,0))</f>
        <v>0</v>
      </c>
      <c r="Z655">
        <f>IF('חד גזעי'!$AM$7 = "לא",0,IF(C655 = "זית אירופי",IF('חד גזעי'!$AN$7 &lt;=סקר!F655,W655,0),IF(C655 = "חרוב מצוי",IF('חד גזעי'!$AN$7 &lt;=סקר!F655,W655,0),0)))</f>
        <v>0</v>
      </c>
      <c r="AB655">
        <f t="shared" si="688"/>
        <v>1</v>
      </c>
      <c r="AC655" s="72"/>
      <c r="AD655" t="e">
        <f t="shared" si="709"/>
        <v>#N/A</v>
      </c>
      <c r="AE655" s="72"/>
      <c r="AF655" s="72" t="e">
        <f t="shared" si="689"/>
        <v>#N/A</v>
      </c>
      <c r="AG655" s="72" t="e">
        <f>IF('חד גזעי'!$AM$5="לא",(VLOOKUP(C655,'חד גזעי'!$P$1:$S$589,3,FALSE)),(VLOOKUP(C655,'חד גזעי'!$P$1:$S$589,4,FALSE)))</f>
        <v>#N/A</v>
      </c>
      <c r="AH655" s="72">
        <f t="shared" si="690"/>
        <v>0</v>
      </c>
      <c r="AI655" s="72">
        <f t="shared" si="691"/>
        <v>0</v>
      </c>
      <c r="AJ655" s="72">
        <f t="shared" si="692"/>
        <v>0</v>
      </c>
      <c r="AK655" s="72" t="e">
        <f t="shared" si="693"/>
        <v>#N/A</v>
      </c>
      <c r="AL655" t="e">
        <f>VLOOKUP(C655,'חד גזעי'!$AH$8:$AI$33,2,FALSE)</f>
        <v>#N/A</v>
      </c>
      <c r="AM655" s="72" t="b">
        <f t="shared" si="694"/>
        <v>0</v>
      </c>
      <c r="AN655" s="72" t="b">
        <f t="shared" si="695"/>
        <v>0</v>
      </c>
      <c r="AO655" s="72" t="b">
        <f t="shared" si="696"/>
        <v>0</v>
      </c>
      <c r="AS655" s="72">
        <f t="shared" si="697"/>
        <v>0</v>
      </c>
      <c r="AT655" s="72">
        <f t="shared" si="698"/>
        <v>0</v>
      </c>
      <c r="AU655" s="72">
        <f t="shared" si="710"/>
        <v>0</v>
      </c>
      <c r="AV655" s="72">
        <f t="shared" si="699"/>
        <v>0</v>
      </c>
      <c r="AW655" s="72">
        <f t="shared" si="700"/>
        <v>0</v>
      </c>
      <c r="AX655" s="72">
        <f t="shared" si="701"/>
        <v>0</v>
      </c>
      <c r="AY655" s="72">
        <f t="shared" si="702"/>
        <v>0</v>
      </c>
      <c r="AZ655" s="72">
        <f t="shared" si="703"/>
        <v>0</v>
      </c>
      <c r="BA655" s="72" t="e">
        <f t="shared" si="704"/>
        <v>#N/A</v>
      </c>
      <c r="BB655" s="72" t="e">
        <f t="shared" si="705"/>
        <v>#N/A</v>
      </c>
      <c r="BC655" s="77"/>
      <c r="BE655">
        <f t="shared" si="685"/>
        <v>0</v>
      </c>
      <c r="BF655" s="196"/>
      <c r="BG655" s="196"/>
      <c r="BH655" s="196"/>
      <c r="BI655" s="196"/>
      <c r="BJ655" s="196"/>
      <c r="BK655" s="196"/>
    </row>
    <row r="656" spans="1:63" hidden="1">
      <c r="B656" s="72"/>
      <c r="C656" s="135"/>
      <c r="D656" s="78"/>
      <c r="E656" s="73"/>
      <c r="F656" s="72"/>
      <c r="G656" s="72"/>
      <c r="H656" s="72"/>
      <c r="I656" s="73">
        <f t="shared" si="687"/>
        <v>0</v>
      </c>
      <c r="J656" s="78"/>
      <c r="K656" s="73"/>
      <c r="L656" s="74" t="e">
        <f>_xlfn.IFNA(VLOOKUP(C656,'חד גזעי'!$U$3:$V$509,2,0),VLOOKUP(C656,'חד גזעי'!$U$3:$V$509,2))</f>
        <v>#N/A</v>
      </c>
      <c r="M656" s="73"/>
      <c r="N656" s="72" t="e">
        <f>_xlfn.IFNA(IF(VLOOKUP(C656,'חד גזעי'!$AH$2:$AH$7,1,FALSE)&gt;0,0,IF('חד גזעי'!$AM$5="כן",IF(_xlfn.IFNA(VLOOKUP(C656,'חד גזעי'!$AH$2:$AH$33,1,FALSE),SUM(J656:M656))&lt;21,_xlfn.IFNA(VLOOKUP(C656,'חד גזעי'!$AH$2:$AH$33,1,FALSE),SUM(J656:M656)),0),SUM(J656:M656))),IF('חד גזעי'!$AM$5="כן",IF(_xlfn.IFNA(VLOOKUP(C656,'חד גזעי'!$AH$2:$AH$33,1,FALSE),SUM(J656:M656))&lt;21,_xlfn.IFNA(VLOOKUP(C656,'חד גזעי'!$AH$2:$AH$33,1,FALSE),SUM(J656:M656)),0),SUM(J656:M656)))</f>
        <v>#N/A</v>
      </c>
      <c r="O656" s="72">
        <f>IF('חד גזעי'!$AM$3 = "כן",IF(T656&gt;4,4,T656),T656)</f>
        <v>0</v>
      </c>
      <c r="P656" s="80">
        <f>IF(E656&lt;2,0,IF(Z656&gt;0,Z656,IF(N656 = 0,0,IF('חד גזעי'!$AM$2 = "לא",IF(F656&gt;19,W656,0),IF(F656&gt;9,Y656,0)))))</f>
        <v>0</v>
      </c>
      <c r="Q656" s="77"/>
      <c r="R656" s="75"/>
      <c r="S656" t="e">
        <f>VLOOKUP(C656,'חד גזעי'!$Y$4:$Y$18,1,0)</f>
        <v>#N/A</v>
      </c>
      <c r="T656" s="72">
        <f>IF('חד גזעי'!$AM$6="לא",IF(P656=0,IF(BC656="שימור",IF('חד גזעי'!$AM$4="לא",IF(BC656="לא בוגר",0,IF(BC656="לא קיים",0,IF(J656=0,0,I656*0.1))),IF(BC656="לא בוגר",0,IF(BC656="לא קיים",0,IF(AB656=1,I656*0.1,E656*0.5)))),0),IF('חד גזעי'!$AM$4="לא",IF(BC656="לא בוגר",0,IF(BC656="לא קיים",0,IF(J656=0,0,I656*0.1))),IF(BC656="לא בוגר",0,IF(BC656="לא קיים",0,IF(AB656=1,I656*0.1,E656*0.5))))),IF(P656=0,IF(BC656="שימור",IF('חד גזעי'!$AM$4="לא",IF(BC656="לא בוגר",0,IF(BC656="לא קיים",0,IF(J656=0,0,I656*0.15))),IF(BC656="לא בוגר",0,IF(BC656="לא קיים",0,IF(AB656=1,I656*0.15,E656*0.5)))),0),IF('חד גזעי'!$AM$4="לא",IF(BC656="לא בוגר",0,IF(BC656="לא קיים",0,IF(J656=0,0,I656*0.15))),IF(BC656="לא בוגר",0,IF(BC656="לא קיים",0,IF(AB656=1,I656*0.15,E656*0.5))))))</f>
        <v>0</v>
      </c>
      <c r="V656" t="e">
        <f t="shared" si="706"/>
        <v>#N/A</v>
      </c>
      <c r="W656" t="e">
        <f t="shared" si="707"/>
        <v>#N/A</v>
      </c>
      <c r="X656" t="e">
        <f t="shared" si="708"/>
        <v>#N/A</v>
      </c>
      <c r="Y656">
        <f>IF('חד גזעי'!$AM$2 = "לא",0,IF(F656&gt;9,W656,0))</f>
        <v>0</v>
      </c>
      <c r="Z656">
        <f>IF('חד גזעי'!$AM$7 = "לא",0,IF(C656 = "זית אירופי",IF('חד גזעי'!$AN$7 &lt;=סקר!F656,W656,0),IF(C656 = "חרוב מצוי",IF('חד גזעי'!$AN$7 &lt;=סקר!F656,W656,0),0)))</f>
        <v>0</v>
      </c>
      <c r="AB656">
        <f t="shared" si="688"/>
        <v>1</v>
      </c>
      <c r="AC656" s="72"/>
      <c r="AD656" t="e">
        <f t="shared" si="709"/>
        <v>#N/A</v>
      </c>
      <c r="AE656" s="72"/>
      <c r="AF656" s="72" t="e">
        <f t="shared" si="689"/>
        <v>#N/A</v>
      </c>
      <c r="AG656" s="72" t="e">
        <f>IF('חד גזעי'!$AM$5="לא",(VLOOKUP(C656,'חד גזעי'!$P$1:$S$589,3,FALSE)),(VLOOKUP(C656,'חד גזעי'!$P$1:$S$589,4,FALSE)))</f>
        <v>#N/A</v>
      </c>
      <c r="AH656" s="72">
        <f t="shared" si="690"/>
        <v>0</v>
      </c>
      <c r="AI656" s="72">
        <f t="shared" si="691"/>
        <v>0</v>
      </c>
      <c r="AJ656" s="72">
        <f t="shared" si="692"/>
        <v>0</v>
      </c>
      <c r="AK656" s="72" t="e">
        <f t="shared" si="693"/>
        <v>#N/A</v>
      </c>
      <c r="AL656" t="e">
        <f>VLOOKUP(C656,'חד גזעי'!$AH$8:$AI$33,2,FALSE)</f>
        <v>#N/A</v>
      </c>
      <c r="AM656" s="72" t="b">
        <f t="shared" si="694"/>
        <v>0</v>
      </c>
      <c r="AN656" s="72" t="b">
        <f t="shared" si="695"/>
        <v>0</v>
      </c>
      <c r="AO656" s="72" t="b">
        <f t="shared" si="696"/>
        <v>0</v>
      </c>
      <c r="AS656" s="72">
        <f t="shared" si="697"/>
        <v>0</v>
      </c>
      <c r="AT656" s="72">
        <f t="shared" si="698"/>
        <v>0</v>
      </c>
      <c r="AU656" s="72">
        <f t="shared" si="710"/>
        <v>0</v>
      </c>
      <c r="AV656" s="72">
        <f t="shared" si="699"/>
        <v>0</v>
      </c>
      <c r="AW656" s="72">
        <f t="shared" si="700"/>
        <v>0</v>
      </c>
      <c r="AX656" s="72">
        <f t="shared" si="701"/>
        <v>0</v>
      </c>
      <c r="AY656" s="72">
        <f t="shared" si="702"/>
        <v>0</v>
      </c>
      <c r="AZ656" s="72">
        <f t="shared" si="703"/>
        <v>0</v>
      </c>
      <c r="BA656" s="72" t="e">
        <f t="shared" si="704"/>
        <v>#N/A</v>
      </c>
      <c r="BB656" s="72" t="e">
        <f t="shared" si="705"/>
        <v>#N/A</v>
      </c>
      <c r="BC656" s="77"/>
      <c r="BE656">
        <f t="shared" si="685"/>
        <v>0</v>
      </c>
      <c r="BF656" s="196"/>
      <c r="BG656" s="196"/>
      <c r="BH656" s="196"/>
      <c r="BI656" s="196"/>
      <c r="BJ656" s="196"/>
      <c r="BK656" s="196"/>
    </row>
    <row r="657" spans="2:63" hidden="1">
      <c r="B657" s="72"/>
      <c r="C657" s="135"/>
      <c r="D657" s="78"/>
      <c r="E657" s="73"/>
      <c r="F657" s="72"/>
      <c r="G657" s="72"/>
      <c r="H657" s="72"/>
      <c r="I657" s="73">
        <f t="shared" si="687"/>
        <v>0</v>
      </c>
      <c r="J657" s="78"/>
      <c r="K657" s="73"/>
      <c r="L657" s="74" t="e">
        <f>_xlfn.IFNA(VLOOKUP(C657,'חד גזעי'!$U$3:$V$509,2,0),VLOOKUP(C657,'חד גזעי'!$U$3:$V$509,2))</f>
        <v>#N/A</v>
      </c>
      <c r="M657" s="73"/>
      <c r="N657" s="72" t="e">
        <f>_xlfn.IFNA(IF(VLOOKUP(C657,'חד גזעי'!$AH$2:$AH$7,1,FALSE)&gt;0,0,IF('חד גזעי'!$AM$5="כן",IF(_xlfn.IFNA(VLOOKUP(C657,'חד גזעי'!$AH$2:$AH$33,1,FALSE),SUM(J657:M657))&lt;21,_xlfn.IFNA(VLOOKUP(C657,'חד גזעי'!$AH$2:$AH$33,1,FALSE),SUM(J657:M657)),0),SUM(J657:M657))),IF('חד גזעי'!$AM$5="כן",IF(_xlfn.IFNA(VLOOKUP(C657,'חד גזעי'!$AH$2:$AH$33,1,FALSE),SUM(J657:M657))&lt;21,_xlfn.IFNA(VLOOKUP(C657,'חד גזעי'!$AH$2:$AH$33,1,FALSE),SUM(J657:M657)),0),SUM(J657:M657)))</f>
        <v>#N/A</v>
      </c>
      <c r="O657" s="72">
        <f>IF('חד גזעי'!$AM$3 = "כן",IF(T657&gt;4,4,T657),T657)</f>
        <v>0</v>
      </c>
      <c r="P657" s="80">
        <f>IF(E657&lt;2,0,IF(Z657&gt;0,Z657,IF(N657 = 0,0,IF('חד גזעי'!$AM$2 = "לא",IF(F657&gt;19,W657,0),IF(F657&gt;9,Y657,0)))))</f>
        <v>0</v>
      </c>
      <c r="Q657" s="77"/>
      <c r="R657" s="75"/>
      <c r="S657" t="e">
        <f>VLOOKUP(C657,'חד גזעי'!$Y$4:$Y$18,1,0)</f>
        <v>#N/A</v>
      </c>
      <c r="T657" s="72">
        <f>IF('חד גזעי'!$AM$6="לא",IF(P657=0,IF(BC657="שימור",IF('חד גזעי'!$AM$4="לא",IF(BC657="לא בוגר",0,IF(BC657="לא קיים",0,IF(J657=0,0,I657*0.1))),IF(BC657="לא בוגר",0,IF(BC657="לא קיים",0,IF(AB657=1,I657*0.1,E657*0.5)))),0),IF('חד גזעי'!$AM$4="לא",IF(BC657="לא בוגר",0,IF(BC657="לא קיים",0,IF(J657=0,0,I657*0.1))),IF(BC657="לא בוגר",0,IF(BC657="לא קיים",0,IF(AB657=1,I657*0.1,E657*0.5))))),IF(P657=0,IF(BC657="שימור",IF('חד גזעי'!$AM$4="לא",IF(BC657="לא בוגר",0,IF(BC657="לא קיים",0,IF(J657=0,0,I657*0.15))),IF(BC657="לא בוגר",0,IF(BC657="לא קיים",0,IF(AB657=1,I657*0.15,E657*0.5)))),0),IF('חד גזעי'!$AM$4="לא",IF(BC657="לא בוגר",0,IF(BC657="לא קיים",0,IF(J657=0,0,I657*0.15))),IF(BC657="לא בוגר",0,IF(BC657="לא קיים",0,IF(AB657=1,I657*0.15,E657*0.5))))))</f>
        <v>0</v>
      </c>
      <c r="V657" t="e">
        <f t="shared" si="706"/>
        <v>#N/A</v>
      </c>
      <c r="W657" t="e">
        <f t="shared" si="707"/>
        <v>#N/A</v>
      </c>
      <c r="X657" t="e">
        <f t="shared" si="708"/>
        <v>#N/A</v>
      </c>
      <c r="Y657">
        <f>IF('חד גזעי'!$AM$2 = "לא",0,IF(F657&gt;9,W657,0))</f>
        <v>0</v>
      </c>
      <c r="Z657">
        <f>IF('חד גזעי'!$AM$7 = "לא",0,IF(C657 = "זית אירופי",IF('חד גזעי'!$AN$7 &lt;=סקר!F657,W657,0),IF(C657 = "חרוב מצוי",IF('חד גזעי'!$AN$7 &lt;=סקר!F657,W657,0),0)))</f>
        <v>0</v>
      </c>
      <c r="AB657">
        <f t="shared" si="688"/>
        <v>1</v>
      </c>
      <c r="AC657" s="72"/>
      <c r="AD657" t="e">
        <f t="shared" si="709"/>
        <v>#N/A</v>
      </c>
      <c r="AE657" s="72"/>
      <c r="AF657" s="72" t="e">
        <f t="shared" si="689"/>
        <v>#N/A</v>
      </c>
      <c r="AG657" s="72" t="e">
        <f>IF('חד גזעי'!$AM$5="לא",(VLOOKUP(C657,'חד גזעי'!$P$1:$S$589,3,FALSE)),(VLOOKUP(C657,'חד גזעי'!$P$1:$S$589,4,FALSE)))</f>
        <v>#N/A</v>
      </c>
      <c r="AH657" s="72">
        <f t="shared" si="690"/>
        <v>0</v>
      </c>
      <c r="AI657" s="72">
        <f t="shared" si="691"/>
        <v>0</v>
      </c>
      <c r="AJ657" s="72">
        <f t="shared" si="692"/>
        <v>0</v>
      </c>
      <c r="AK657" s="72" t="e">
        <f t="shared" si="693"/>
        <v>#N/A</v>
      </c>
      <c r="AL657" t="e">
        <f>VLOOKUP(C657,'חד גזעי'!$AH$8:$AI$33,2,FALSE)</f>
        <v>#N/A</v>
      </c>
      <c r="AM657" s="72" t="b">
        <f t="shared" si="694"/>
        <v>0</v>
      </c>
      <c r="AN657" s="72" t="b">
        <f t="shared" si="695"/>
        <v>0</v>
      </c>
      <c r="AO657" s="72" t="b">
        <f t="shared" si="696"/>
        <v>0</v>
      </c>
      <c r="AS657" s="72">
        <f t="shared" si="697"/>
        <v>0</v>
      </c>
      <c r="AT657" s="72">
        <f t="shared" si="698"/>
        <v>0</v>
      </c>
      <c r="AU657" s="72">
        <f t="shared" si="710"/>
        <v>0</v>
      </c>
      <c r="AV657" s="72">
        <f t="shared" si="699"/>
        <v>0</v>
      </c>
      <c r="AW657" s="72">
        <f t="shared" si="700"/>
        <v>0</v>
      </c>
      <c r="AX657" s="72">
        <f t="shared" si="701"/>
        <v>0</v>
      </c>
      <c r="AY657" s="72">
        <f t="shared" si="702"/>
        <v>0</v>
      </c>
      <c r="AZ657" s="72">
        <f t="shared" si="703"/>
        <v>0</v>
      </c>
      <c r="BA657" s="72" t="e">
        <f t="shared" si="704"/>
        <v>#N/A</v>
      </c>
      <c r="BB657" s="72" t="e">
        <f t="shared" si="705"/>
        <v>#N/A</v>
      </c>
      <c r="BC657" s="77"/>
      <c r="BE657">
        <f t="shared" si="685"/>
        <v>0</v>
      </c>
      <c r="BF657" s="196"/>
      <c r="BG657" s="196"/>
      <c r="BH657" s="196"/>
      <c r="BI657" s="196"/>
      <c r="BJ657" s="196"/>
      <c r="BK657" s="196"/>
    </row>
    <row r="658" spans="2:63" hidden="1">
      <c r="B658" s="72"/>
      <c r="C658" s="135"/>
      <c r="D658" s="78"/>
      <c r="E658" s="73"/>
      <c r="F658" s="72"/>
      <c r="G658" s="72"/>
      <c r="H658" s="72"/>
      <c r="I658" s="73">
        <f t="shared" si="687"/>
        <v>0</v>
      </c>
      <c r="J658" s="78"/>
      <c r="K658" s="73"/>
      <c r="L658" s="74" t="e">
        <f>_xlfn.IFNA(VLOOKUP(C658,'חד גזעי'!$U$3:$V$509,2,0),VLOOKUP(C658,'חד גזעי'!$U$3:$V$509,2))</f>
        <v>#N/A</v>
      </c>
      <c r="M658" s="73"/>
      <c r="N658" s="72" t="e">
        <f>_xlfn.IFNA(IF(VLOOKUP(C658,'חד גזעי'!$AH$2:$AH$7,1,FALSE)&gt;0,0,IF('חד גזעי'!$AM$5="כן",IF(_xlfn.IFNA(VLOOKUP(C658,'חד גזעי'!$AH$2:$AH$33,1,FALSE),SUM(J658:M658))&lt;21,_xlfn.IFNA(VLOOKUP(C658,'חד גזעי'!$AH$2:$AH$33,1,FALSE),SUM(J658:M658)),0),SUM(J658:M658))),IF('חד גזעי'!$AM$5="כן",IF(_xlfn.IFNA(VLOOKUP(C658,'חד גזעי'!$AH$2:$AH$33,1,FALSE),SUM(J658:M658))&lt;21,_xlfn.IFNA(VLOOKUP(C658,'חד גזעי'!$AH$2:$AH$33,1,FALSE),SUM(J658:M658)),0),SUM(J658:M658)))</f>
        <v>#N/A</v>
      </c>
      <c r="O658" s="72">
        <f>IF('חד גזעי'!$AM$3 = "כן",IF(T658&gt;4,4,T658),T658)</f>
        <v>0</v>
      </c>
      <c r="P658" s="80">
        <f>IF(E658&lt;2,0,IF(Z658&gt;0,Z658,IF(N658 = 0,0,IF('חד גזעי'!$AM$2 = "לא",IF(F658&gt;19,W658,0),IF(F658&gt;9,Y658,0)))))</f>
        <v>0</v>
      </c>
      <c r="Q658" s="77"/>
      <c r="R658" s="75"/>
      <c r="S658" t="e">
        <f>VLOOKUP(C658,'חד גזעי'!$Y$4:$Y$18,1,0)</f>
        <v>#N/A</v>
      </c>
      <c r="T658" s="72">
        <f>IF('חד גזעי'!$AM$6="לא",IF(P658=0,IF(BC658="שימור",IF('חד גזעי'!$AM$4="לא",IF(BC658="לא בוגר",0,IF(BC658="לא קיים",0,IF(J658=0,0,I658*0.1))),IF(BC658="לא בוגר",0,IF(BC658="לא קיים",0,IF(AB658=1,I658*0.1,E658*0.5)))),0),IF('חד גזעי'!$AM$4="לא",IF(BC658="לא בוגר",0,IF(BC658="לא קיים",0,IF(J658=0,0,I658*0.1))),IF(BC658="לא בוגר",0,IF(BC658="לא קיים",0,IF(AB658=1,I658*0.1,E658*0.5))))),IF(P658=0,IF(BC658="שימור",IF('חד גזעי'!$AM$4="לא",IF(BC658="לא בוגר",0,IF(BC658="לא קיים",0,IF(J658=0,0,I658*0.15))),IF(BC658="לא בוגר",0,IF(BC658="לא קיים",0,IF(AB658=1,I658*0.15,E658*0.5)))),0),IF('חד גזעי'!$AM$4="לא",IF(BC658="לא בוגר",0,IF(BC658="לא קיים",0,IF(J658=0,0,I658*0.15))),IF(BC658="לא בוגר",0,IF(BC658="לא קיים",0,IF(AB658=1,I658*0.15,E658*0.5))))))</f>
        <v>0</v>
      </c>
      <c r="V658" t="e">
        <f t="shared" si="706"/>
        <v>#N/A</v>
      </c>
      <c r="W658" t="e">
        <f t="shared" si="707"/>
        <v>#N/A</v>
      </c>
      <c r="X658" t="e">
        <f t="shared" si="708"/>
        <v>#N/A</v>
      </c>
      <c r="Y658">
        <f>IF('חד גזעי'!$AM$2 = "לא",0,IF(F658&gt;9,W658,0))</f>
        <v>0</v>
      </c>
      <c r="Z658">
        <f>IF('חד גזעי'!$AM$7 = "לא",0,IF(C658 = "זית אירופי",IF('חד גזעי'!$AN$7 &lt;=סקר!F658,W658,0),IF(C658 = "חרוב מצוי",IF('חד גזעי'!$AN$7 &lt;=סקר!F658,W658,0),0)))</f>
        <v>0</v>
      </c>
      <c r="AB658">
        <f t="shared" si="688"/>
        <v>1</v>
      </c>
      <c r="AC658" s="72"/>
      <c r="AD658" t="e">
        <f t="shared" si="709"/>
        <v>#N/A</v>
      </c>
      <c r="AE658" s="72"/>
      <c r="AF658" s="72" t="e">
        <f t="shared" si="689"/>
        <v>#N/A</v>
      </c>
      <c r="AG658" s="72" t="e">
        <f>IF('חד גזעי'!$AM$5="לא",(VLOOKUP(C658,'חד גזעי'!$P$1:$S$589,3,FALSE)),(VLOOKUP(C658,'חד גזעי'!$P$1:$S$589,4,FALSE)))</f>
        <v>#N/A</v>
      </c>
      <c r="AH658" s="72">
        <f t="shared" si="690"/>
        <v>0</v>
      </c>
      <c r="AI658" s="72">
        <f t="shared" si="691"/>
        <v>0</v>
      </c>
      <c r="AJ658" s="72">
        <f t="shared" si="692"/>
        <v>0</v>
      </c>
      <c r="AK658" s="72" t="e">
        <f t="shared" si="693"/>
        <v>#N/A</v>
      </c>
      <c r="AL658" t="e">
        <f>VLOOKUP(C658,'חד גזעי'!$AH$8:$AI$33,2,FALSE)</f>
        <v>#N/A</v>
      </c>
      <c r="AM658" s="72" t="b">
        <f t="shared" si="694"/>
        <v>0</v>
      </c>
      <c r="AN658" s="72" t="b">
        <f t="shared" si="695"/>
        <v>0</v>
      </c>
      <c r="AO658" s="72" t="b">
        <f t="shared" si="696"/>
        <v>0</v>
      </c>
      <c r="AS658" s="72">
        <f t="shared" si="697"/>
        <v>0</v>
      </c>
      <c r="AT658" s="72">
        <f t="shared" si="698"/>
        <v>0</v>
      </c>
      <c r="AU658" s="72">
        <f t="shared" si="710"/>
        <v>0</v>
      </c>
      <c r="AV658" s="72">
        <f t="shared" si="699"/>
        <v>0</v>
      </c>
      <c r="AW658" s="72">
        <f t="shared" si="700"/>
        <v>0</v>
      </c>
      <c r="AX658" s="72">
        <f t="shared" si="701"/>
        <v>0</v>
      </c>
      <c r="AY658" s="72">
        <f t="shared" si="702"/>
        <v>0</v>
      </c>
      <c r="AZ658" s="72">
        <f t="shared" si="703"/>
        <v>0</v>
      </c>
      <c r="BA658" s="72" t="e">
        <f t="shared" si="704"/>
        <v>#N/A</v>
      </c>
      <c r="BB658" s="72" t="e">
        <f t="shared" si="705"/>
        <v>#N/A</v>
      </c>
      <c r="BC658" s="77"/>
      <c r="BE658">
        <f t="shared" si="685"/>
        <v>0</v>
      </c>
      <c r="BF658" s="196"/>
      <c r="BG658" s="196"/>
      <c r="BH658" s="196"/>
      <c r="BI658" s="196"/>
      <c r="BJ658" s="196"/>
      <c r="BK658" s="196"/>
    </row>
    <row r="659" spans="2:63" hidden="1">
      <c r="B659" s="72"/>
      <c r="C659" s="135"/>
      <c r="D659" s="78"/>
      <c r="E659" s="73"/>
      <c r="F659" s="72"/>
      <c r="G659" s="72"/>
      <c r="H659" s="72"/>
      <c r="I659" s="73">
        <f t="shared" si="687"/>
        <v>0</v>
      </c>
      <c r="J659" s="78"/>
      <c r="K659" s="73"/>
      <c r="L659" s="74" t="e">
        <f>_xlfn.IFNA(VLOOKUP(C659,'חד גזעי'!$U$3:$V$509,2,0),VLOOKUP(C659,'חד גזעי'!$U$3:$V$509,2))</f>
        <v>#N/A</v>
      </c>
      <c r="M659" s="73"/>
      <c r="N659" s="72" t="e">
        <f>_xlfn.IFNA(IF(VLOOKUP(C659,'חד גזעי'!$AH$2:$AH$7,1,FALSE)&gt;0,0,IF('חד גזעי'!$AM$5="כן",IF(_xlfn.IFNA(VLOOKUP(C659,'חד גזעי'!$AH$2:$AH$33,1,FALSE),SUM(J659:M659))&lt;21,_xlfn.IFNA(VLOOKUP(C659,'חד גזעי'!$AH$2:$AH$33,1,FALSE),SUM(J659:M659)),0),SUM(J659:M659))),IF('חד גזעי'!$AM$5="כן",IF(_xlfn.IFNA(VLOOKUP(C659,'חד גזעי'!$AH$2:$AH$33,1,FALSE),SUM(J659:M659))&lt;21,_xlfn.IFNA(VLOOKUP(C659,'חד גזעי'!$AH$2:$AH$33,1,FALSE),SUM(J659:M659)),0),SUM(J659:M659)))</f>
        <v>#N/A</v>
      </c>
      <c r="O659" s="72">
        <f>IF('חד גזעי'!$AM$3 = "כן",IF(T659&gt;4,4,T659),T659)</f>
        <v>0</v>
      </c>
      <c r="P659" s="80">
        <f>IF(E659&lt;2,0,IF(Z659&gt;0,Z659,IF(N659 = 0,0,IF('חד גזעי'!$AM$2 = "לא",IF(F659&gt;19,W659,0),IF(F659&gt;9,Y659,0)))))</f>
        <v>0</v>
      </c>
      <c r="Q659" s="77"/>
      <c r="R659" s="75"/>
      <c r="S659" t="e">
        <f>VLOOKUP(C659,'חד גזעי'!$Y$4:$Y$18,1,0)</f>
        <v>#N/A</v>
      </c>
      <c r="T659" s="72">
        <f>IF('חד גזעי'!$AM$6="לא",IF(P659=0,IF(BC659="שימור",IF('חד גזעי'!$AM$4="לא",IF(BC659="לא בוגר",0,IF(BC659="לא קיים",0,IF(J659=0,0,I659*0.1))),IF(BC659="לא בוגר",0,IF(BC659="לא קיים",0,IF(AB659=1,I659*0.1,E659*0.5)))),0),IF('חד גזעי'!$AM$4="לא",IF(BC659="לא בוגר",0,IF(BC659="לא קיים",0,IF(J659=0,0,I659*0.1))),IF(BC659="לא בוגר",0,IF(BC659="לא קיים",0,IF(AB659=1,I659*0.1,E659*0.5))))),IF(P659=0,IF(BC659="שימור",IF('חד גזעי'!$AM$4="לא",IF(BC659="לא בוגר",0,IF(BC659="לא קיים",0,IF(J659=0,0,I659*0.15))),IF(BC659="לא בוגר",0,IF(BC659="לא קיים",0,IF(AB659=1,I659*0.15,E659*0.5)))),0),IF('חד גזעי'!$AM$4="לא",IF(BC659="לא בוגר",0,IF(BC659="לא קיים",0,IF(J659=0,0,I659*0.15))),IF(BC659="לא בוגר",0,IF(BC659="לא קיים",0,IF(AB659=1,I659*0.15,E659*0.5))))))</f>
        <v>0</v>
      </c>
      <c r="V659" t="e">
        <f t="shared" si="706"/>
        <v>#N/A</v>
      </c>
      <c r="W659" t="e">
        <f t="shared" si="707"/>
        <v>#N/A</v>
      </c>
      <c r="X659" t="e">
        <f t="shared" si="708"/>
        <v>#N/A</v>
      </c>
      <c r="Y659">
        <f>IF('חד גזעי'!$AM$2 = "לא",0,IF(F659&gt;9,W659,0))</f>
        <v>0</v>
      </c>
      <c r="Z659">
        <f>IF('חד גזעי'!$AM$7 = "לא",0,IF(C659 = "זית אירופי",IF('חד גזעי'!$AN$7 &lt;=סקר!F659,W659,0),IF(C659 = "חרוב מצוי",IF('חד גזעי'!$AN$7 &lt;=סקר!F659,W659,0),0)))</f>
        <v>0</v>
      </c>
      <c r="AB659">
        <f t="shared" si="688"/>
        <v>1</v>
      </c>
      <c r="AC659" s="72"/>
      <c r="AD659" t="e">
        <f t="shared" si="709"/>
        <v>#N/A</v>
      </c>
      <c r="AE659" s="72"/>
      <c r="AF659" s="72" t="e">
        <f t="shared" si="689"/>
        <v>#N/A</v>
      </c>
      <c r="AG659" s="72" t="e">
        <f>IF('חד גזעי'!$AM$5="לא",(VLOOKUP(C659,'חד גזעי'!$P$1:$S$589,3,FALSE)),(VLOOKUP(C659,'חד גזעי'!$P$1:$S$589,4,FALSE)))</f>
        <v>#N/A</v>
      </c>
      <c r="AH659" s="72">
        <f t="shared" si="690"/>
        <v>0</v>
      </c>
      <c r="AI659" s="72">
        <f t="shared" si="691"/>
        <v>0</v>
      </c>
      <c r="AJ659" s="72">
        <f t="shared" si="692"/>
        <v>0</v>
      </c>
      <c r="AK659" s="72" t="e">
        <f t="shared" si="693"/>
        <v>#N/A</v>
      </c>
      <c r="AL659" t="e">
        <f>VLOOKUP(C659,'חד גזעי'!$AH$8:$AI$33,2,FALSE)</f>
        <v>#N/A</v>
      </c>
      <c r="AM659" s="72" t="b">
        <f t="shared" si="694"/>
        <v>0</v>
      </c>
      <c r="AN659" s="72" t="b">
        <f t="shared" si="695"/>
        <v>0</v>
      </c>
      <c r="AO659" s="72" t="b">
        <f t="shared" si="696"/>
        <v>0</v>
      </c>
      <c r="AS659" s="72">
        <f t="shared" si="697"/>
        <v>0</v>
      </c>
      <c r="AT659" s="72">
        <f t="shared" si="698"/>
        <v>0</v>
      </c>
      <c r="AU659" s="72">
        <f t="shared" si="710"/>
        <v>0</v>
      </c>
      <c r="AV659" s="72">
        <f t="shared" si="699"/>
        <v>0</v>
      </c>
      <c r="AW659" s="72">
        <f t="shared" si="700"/>
        <v>0</v>
      </c>
      <c r="AX659" s="72">
        <f t="shared" si="701"/>
        <v>0</v>
      </c>
      <c r="AY659" s="72">
        <f t="shared" si="702"/>
        <v>0</v>
      </c>
      <c r="AZ659" s="72">
        <f t="shared" si="703"/>
        <v>0</v>
      </c>
      <c r="BA659" s="72" t="e">
        <f t="shared" si="704"/>
        <v>#N/A</v>
      </c>
      <c r="BB659" s="72" t="e">
        <f t="shared" si="705"/>
        <v>#N/A</v>
      </c>
      <c r="BC659" s="77"/>
      <c r="BE659">
        <f t="shared" si="685"/>
        <v>0</v>
      </c>
      <c r="BF659" s="196"/>
      <c r="BG659" s="196"/>
      <c r="BH659" s="196"/>
      <c r="BI659" s="196"/>
      <c r="BJ659" s="196"/>
      <c r="BK659" s="196"/>
    </row>
    <row r="660" spans="2:63" hidden="1">
      <c r="B660" s="72"/>
      <c r="C660" s="135"/>
      <c r="D660" s="78"/>
      <c r="E660" s="78"/>
      <c r="F660" s="72"/>
      <c r="G660" s="72"/>
      <c r="H660" s="72"/>
      <c r="I660" s="73">
        <f t="shared" si="687"/>
        <v>0</v>
      </c>
      <c r="J660" s="78"/>
      <c r="K660" s="73"/>
      <c r="L660" s="74" t="e">
        <f>_xlfn.IFNA(VLOOKUP(C660,'חד גזעי'!$U$3:$V$509,2,0),VLOOKUP(C660,'חד גזעי'!$U$3:$V$509,2))</f>
        <v>#N/A</v>
      </c>
      <c r="M660" s="73"/>
      <c r="N660" s="72" t="e">
        <f>_xlfn.IFNA(IF(VLOOKUP(C660,'חד גזעי'!$AH$2:$AH$7,1,FALSE)&gt;0,0,IF('חד גזעי'!$AM$5="כן",IF(_xlfn.IFNA(VLOOKUP(C660,'חד גזעי'!$AH$2:$AH$33,1,FALSE),SUM(J660:M660))&lt;21,_xlfn.IFNA(VLOOKUP(C660,'חד גזעי'!$AH$2:$AH$33,1,FALSE),SUM(J660:M660)),0),SUM(J660:M660))),IF('חד גזעי'!$AM$5="כן",IF(_xlfn.IFNA(VLOOKUP(C660,'חד גזעי'!$AH$2:$AH$33,1,FALSE),SUM(J660:M660))&lt;21,_xlfn.IFNA(VLOOKUP(C660,'חד גזעי'!$AH$2:$AH$33,1,FALSE),SUM(J660:M660)),0),SUM(J660:M660)))</f>
        <v>#N/A</v>
      </c>
      <c r="O660" s="72">
        <f>IF('חד גזעי'!$AM$3 = "כן",IF(T660&gt;4,4,T660),T660)</f>
        <v>0</v>
      </c>
      <c r="P660" s="80">
        <f>IF(E660&lt;2,0,IF(Z660&gt;0,Z660,IF(N660 = 0,0,IF('חד גזעי'!$AM$2 = "לא",IF(F660&gt;19,W660,0),IF(F660&gt;9,Y660,0)))))</f>
        <v>0</v>
      </c>
      <c r="Q660" s="77"/>
      <c r="R660" s="75"/>
      <c r="S660" t="e">
        <f>VLOOKUP(C660,'חד גזעי'!$Y$4:$Y$18,1,0)</f>
        <v>#N/A</v>
      </c>
      <c r="T660" s="72">
        <f>IF('חד גזעי'!$AM$6="לא",IF(P660=0,IF(BC660="שימור",IF('חד גזעי'!$AM$4="לא",IF(BC660="לא בוגר",0,IF(BC660="לא קיים",0,IF(J660=0,0,I660*0.1))),IF(BC660="לא בוגר",0,IF(BC660="לא קיים",0,IF(AB660=1,I660*0.1,E660*0.5)))),0),IF('חד גזעי'!$AM$4="לא",IF(BC660="לא בוגר",0,IF(BC660="לא קיים",0,IF(J660=0,0,I660*0.1))),IF(BC660="לא בוגר",0,IF(BC660="לא קיים",0,IF(AB660=1,I660*0.1,E660*0.5))))),IF(P660=0,IF(BC660="שימור",IF('חד גזעי'!$AM$4="לא",IF(BC660="לא בוגר",0,IF(BC660="לא קיים",0,IF(J660=0,0,I660*0.15))),IF(BC660="לא בוגר",0,IF(BC660="לא קיים",0,IF(AB660=1,I660*0.15,E660*0.5)))),0),IF('חד גזעי'!$AM$4="לא",IF(BC660="לא בוגר",0,IF(BC660="לא קיים",0,IF(J660=0,0,I660*0.15))),IF(BC660="לא בוגר",0,IF(BC660="לא קיים",0,IF(AB660=1,I660*0.15,E660*0.5))))))</f>
        <v>0</v>
      </c>
      <c r="V660" t="e">
        <f t="shared" si="706"/>
        <v>#N/A</v>
      </c>
      <c r="W660" t="e">
        <f t="shared" si="707"/>
        <v>#N/A</v>
      </c>
      <c r="X660" t="e">
        <f t="shared" si="708"/>
        <v>#N/A</v>
      </c>
      <c r="Y660">
        <f>IF('חד גזעי'!$AM$2 = "לא",0,IF(F660&gt;9,W660,0))</f>
        <v>0</v>
      </c>
      <c r="Z660">
        <f>IF('חד גזעי'!$AM$7 = "לא",0,IF(C660 = "זית אירופי",IF('חד גזעי'!$AN$7 &lt;=סקר!F660,W660,0),IF(C660 = "חרוב מצוי",IF('חד גזעי'!$AN$7 &lt;=סקר!F660,W660,0),0)))</f>
        <v>0</v>
      </c>
      <c r="AB660">
        <f t="shared" si="688"/>
        <v>1</v>
      </c>
      <c r="AC660" s="72"/>
      <c r="AD660" t="e">
        <f t="shared" si="709"/>
        <v>#N/A</v>
      </c>
      <c r="AE660" s="72"/>
      <c r="AF660" s="72" t="e">
        <f t="shared" si="689"/>
        <v>#N/A</v>
      </c>
      <c r="AG660" s="72" t="e">
        <f>IF('חד גזעי'!$AM$5="לא",(VLOOKUP(C660,'חד גזעי'!$P$1:$S$589,3,FALSE)),(VLOOKUP(C660,'חד גזעי'!$P$1:$S$589,4,FALSE)))</f>
        <v>#N/A</v>
      </c>
      <c r="AH660" s="72">
        <f t="shared" si="690"/>
        <v>0</v>
      </c>
      <c r="AI660" s="72">
        <f t="shared" si="691"/>
        <v>0</v>
      </c>
      <c r="AJ660" s="72">
        <f t="shared" si="692"/>
        <v>0</v>
      </c>
      <c r="AK660" s="72" t="e">
        <f t="shared" si="693"/>
        <v>#N/A</v>
      </c>
      <c r="AL660" t="e">
        <f>VLOOKUP(C660,'חד גזעי'!$AH$8:$AI$33,2,FALSE)</f>
        <v>#N/A</v>
      </c>
      <c r="AM660" s="72" t="b">
        <f t="shared" si="694"/>
        <v>0</v>
      </c>
      <c r="AN660" s="72" t="b">
        <f t="shared" si="695"/>
        <v>0</v>
      </c>
      <c r="AO660" s="72" t="b">
        <f t="shared" si="696"/>
        <v>0</v>
      </c>
      <c r="AS660" s="72">
        <f t="shared" si="697"/>
        <v>0</v>
      </c>
      <c r="AT660" s="72">
        <f t="shared" si="698"/>
        <v>0</v>
      </c>
      <c r="AU660" s="72">
        <f t="shared" si="710"/>
        <v>0</v>
      </c>
      <c r="AV660" s="72">
        <f t="shared" si="699"/>
        <v>0</v>
      </c>
      <c r="AW660" s="72">
        <f t="shared" si="700"/>
        <v>0</v>
      </c>
      <c r="AX660" s="72">
        <f t="shared" si="701"/>
        <v>0</v>
      </c>
      <c r="AY660" s="72">
        <f t="shared" si="702"/>
        <v>0</v>
      </c>
      <c r="AZ660" s="72">
        <f t="shared" si="703"/>
        <v>0</v>
      </c>
      <c r="BA660" s="72" t="e">
        <f t="shared" si="704"/>
        <v>#N/A</v>
      </c>
      <c r="BB660" s="72" t="e">
        <f t="shared" si="705"/>
        <v>#N/A</v>
      </c>
      <c r="BC660" s="77"/>
      <c r="BE660">
        <f t="shared" si="685"/>
        <v>0</v>
      </c>
      <c r="BF660" s="196"/>
      <c r="BG660" s="196"/>
      <c r="BH660" s="196"/>
      <c r="BI660" s="196"/>
      <c r="BJ660" s="196"/>
      <c r="BK660" s="196"/>
    </row>
    <row r="661" spans="2:63" hidden="1">
      <c r="B661" s="72"/>
      <c r="C661" s="135"/>
      <c r="D661" s="78"/>
      <c r="E661" s="78"/>
      <c r="F661" s="72"/>
      <c r="G661" s="72"/>
      <c r="H661" s="72"/>
      <c r="I661" s="73">
        <f t="shared" si="687"/>
        <v>0</v>
      </c>
      <c r="J661" s="78"/>
      <c r="K661" s="73"/>
      <c r="L661" s="74" t="e">
        <f>_xlfn.IFNA(VLOOKUP(C661,'חד גזעי'!$U$3:$V$509,2,0),VLOOKUP(C661,'חד גזעי'!$U$3:$V$509,2))</f>
        <v>#N/A</v>
      </c>
      <c r="M661" s="73"/>
      <c r="N661" s="72" t="e">
        <f>_xlfn.IFNA(IF(VLOOKUP(C661,'חד גזעי'!$AH$2:$AH$7,1,FALSE)&gt;0,0,IF('חד גזעי'!$AM$5="כן",IF(_xlfn.IFNA(VLOOKUP(C661,'חד גזעי'!$AH$2:$AH$33,1,FALSE),SUM(J661:M661))&lt;21,_xlfn.IFNA(VLOOKUP(C661,'חד גזעי'!$AH$2:$AH$33,1,FALSE),SUM(J661:M661)),0),SUM(J661:M661))),IF('חד גזעי'!$AM$5="כן",IF(_xlfn.IFNA(VLOOKUP(C661,'חד גזעי'!$AH$2:$AH$33,1,FALSE),SUM(J661:M661))&lt;21,_xlfn.IFNA(VLOOKUP(C661,'חד גזעי'!$AH$2:$AH$33,1,FALSE),SUM(J661:M661)),0),SUM(J661:M661)))</f>
        <v>#N/A</v>
      </c>
      <c r="O661" s="72">
        <f>IF('חד גזעי'!$AM$3 = "כן",IF(T661&gt;4,4,T661),T661)</f>
        <v>0</v>
      </c>
      <c r="P661" s="80">
        <f>IF(E661&lt;2,0,IF(Z661&gt;0,Z661,IF(N661 = 0,0,IF('חד גזעי'!$AM$2 = "לא",IF(F661&gt;19,W661,0),IF(F661&gt;9,Y661,0)))))</f>
        <v>0</v>
      </c>
      <c r="Q661" s="77"/>
      <c r="R661" s="75"/>
      <c r="S661" t="e">
        <f>VLOOKUP(C661,'חד גזעי'!$Y$4:$Y$18,1,0)</f>
        <v>#N/A</v>
      </c>
      <c r="T661" s="72">
        <f>IF('חד גזעי'!$AM$6="לא",IF(P661=0,IF(BC661="שימור",IF('חד גזעי'!$AM$4="לא",IF(BC661="לא בוגר",0,IF(BC661="לא קיים",0,IF(J661=0,0,I661*0.1))),IF(BC661="לא בוגר",0,IF(BC661="לא קיים",0,IF(AB661=1,I661*0.1,E661*0.5)))),0),IF('חד גזעי'!$AM$4="לא",IF(BC661="לא בוגר",0,IF(BC661="לא קיים",0,IF(J661=0,0,I661*0.1))),IF(BC661="לא בוגר",0,IF(BC661="לא קיים",0,IF(AB661=1,I661*0.1,E661*0.5))))),IF(P661=0,IF(BC661="שימור",IF('חד גזעי'!$AM$4="לא",IF(BC661="לא בוגר",0,IF(BC661="לא קיים",0,IF(J661=0,0,I661*0.15))),IF(BC661="לא בוגר",0,IF(BC661="לא קיים",0,IF(AB661=1,I661*0.15,E661*0.5)))),0),IF('חד גזעי'!$AM$4="לא",IF(BC661="לא בוגר",0,IF(BC661="לא קיים",0,IF(J661=0,0,I661*0.15))),IF(BC661="לא בוגר",0,IF(BC661="לא קיים",0,IF(AB661=1,I661*0.15,E661*0.5))))))</f>
        <v>0</v>
      </c>
      <c r="V661" t="e">
        <f t="shared" si="706"/>
        <v>#N/A</v>
      </c>
      <c r="W661" t="e">
        <f t="shared" si="707"/>
        <v>#N/A</v>
      </c>
      <c r="X661" t="e">
        <f t="shared" si="708"/>
        <v>#N/A</v>
      </c>
      <c r="Y661">
        <f>IF('חד גזעי'!$AM$2 = "לא",0,IF(F661&gt;9,W661,0))</f>
        <v>0</v>
      </c>
      <c r="Z661">
        <f>IF('חד גזעי'!$AM$7 = "לא",0,IF(C661 = "זית אירופי",IF('חד גזעי'!$AN$7 &lt;=סקר!F661,W661,0),IF(C661 = "חרוב מצוי",IF('חד גזעי'!$AN$7 &lt;=סקר!F661,W661,0),0)))</f>
        <v>0</v>
      </c>
      <c r="AB661">
        <f t="shared" si="688"/>
        <v>1</v>
      </c>
      <c r="AC661" s="72"/>
      <c r="AD661" t="e">
        <f t="shared" si="709"/>
        <v>#N/A</v>
      </c>
      <c r="AE661" s="72"/>
      <c r="AF661" s="72" t="e">
        <f t="shared" si="689"/>
        <v>#N/A</v>
      </c>
      <c r="AG661" s="72" t="e">
        <f>IF('חד גזעי'!$AM$5="לא",(VLOOKUP(C661,'חד גזעי'!$P$1:$S$589,3,FALSE)),(VLOOKUP(C661,'חד גזעי'!$P$1:$S$589,4,FALSE)))</f>
        <v>#N/A</v>
      </c>
      <c r="AH661" s="72">
        <f t="shared" si="690"/>
        <v>0</v>
      </c>
      <c r="AI661" s="72">
        <f t="shared" si="691"/>
        <v>0</v>
      </c>
      <c r="AJ661" s="72">
        <f t="shared" si="692"/>
        <v>0</v>
      </c>
      <c r="AK661" s="72" t="e">
        <f t="shared" si="693"/>
        <v>#N/A</v>
      </c>
      <c r="AL661" t="e">
        <f>VLOOKUP(C661,'חד גזעי'!$AH$8:$AI$33,2,FALSE)</f>
        <v>#N/A</v>
      </c>
      <c r="AM661" s="72" t="b">
        <f t="shared" si="694"/>
        <v>0</v>
      </c>
      <c r="AN661" s="72" t="b">
        <f t="shared" si="695"/>
        <v>0</v>
      </c>
      <c r="AO661" s="72" t="b">
        <f t="shared" si="696"/>
        <v>0</v>
      </c>
      <c r="AS661" s="72">
        <f t="shared" si="697"/>
        <v>0</v>
      </c>
      <c r="AT661" s="72">
        <f t="shared" si="698"/>
        <v>0</v>
      </c>
      <c r="AU661" s="72">
        <f t="shared" si="710"/>
        <v>0</v>
      </c>
      <c r="AV661" s="72">
        <f t="shared" si="699"/>
        <v>0</v>
      </c>
      <c r="AW661" s="72">
        <f t="shared" si="700"/>
        <v>0</v>
      </c>
      <c r="AX661" s="72">
        <f t="shared" si="701"/>
        <v>0</v>
      </c>
      <c r="AY661" s="72">
        <f t="shared" si="702"/>
        <v>0</v>
      </c>
      <c r="AZ661" s="72">
        <f t="shared" si="703"/>
        <v>0</v>
      </c>
      <c r="BA661" s="72" t="e">
        <f t="shared" si="704"/>
        <v>#N/A</v>
      </c>
      <c r="BB661" s="72" t="e">
        <f t="shared" si="705"/>
        <v>#N/A</v>
      </c>
      <c r="BC661" s="77"/>
      <c r="BE661">
        <f t="shared" si="685"/>
        <v>0</v>
      </c>
      <c r="BF661" s="196"/>
      <c r="BG661" s="196"/>
      <c r="BH661" s="196"/>
      <c r="BI661" s="196"/>
      <c r="BJ661" s="196"/>
      <c r="BK661" s="196"/>
    </row>
    <row r="662" spans="2:63" hidden="1">
      <c r="B662" s="72"/>
      <c r="C662" s="135"/>
      <c r="D662" s="78"/>
      <c r="E662" s="78"/>
      <c r="F662" s="72"/>
      <c r="G662" s="72"/>
      <c r="H662" s="72"/>
      <c r="I662" s="73">
        <f t="shared" si="687"/>
        <v>0</v>
      </c>
      <c r="J662" s="78"/>
      <c r="K662" s="73"/>
      <c r="L662" s="74" t="e">
        <f>_xlfn.IFNA(VLOOKUP(C662,'חד גזעי'!$U$3:$V$509,2,0),VLOOKUP(C662,'חד גזעי'!$U$3:$V$509,2))</f>
        <v>#N/A</v>
      </c>
      <c r="M662" s="73"/>
      <c r="N662" s="72" t="e">
        <f>_xlfn.IFNA(IF(VLOOKUP(C662,'חד גזעי'!$AH$2:$AH$7,1,FALSE)&gt;0,0,IF('חד גזעי'!$AM$5="כן",IF(_xlfn.IFNA(VLOOKUP(C662,'חד גזעי'!$AH$2:$AH$33,1,FALSE),SUM(J662:M662))&lt;21,_xlfn.IFNA(VLOOKUP(C662,'חד גזעי'!$AH$2:$AH$33,1,FALSE),SUM(J662:M662)),0),SUM(J662:M662))),IF('חד גזעי'!$AM$5="כן",IF(_xlfn.IFNA(VLOOKUP(C662,'חד גזעי'!$AH$2:$AH$33,1,FALSE),SUM(J662:M662))&lt;21,_xlfn.IFNA(VLOOKUP(C662,'חד גזעי'!$AH$2:$AH$33,1,FALSE),SUM(J662:M662)),0),SUM(J662:M662)))</f>
        <v>#N/A</v>
      </c>
      <c r="O662" s="72">
        <f>IF('חד גזעי'!$AM$3 = "כן",IF(T662&gt;4,4,T662),T662)</f>
        <v>0</v>
      </c>
      <c r="P662" s="80">
        <f>IF(E662&lt;2,0,IF(Z662&gt;0,Z662,IF(N662 = 0,0,IF('חד גזעי'!$AM$2 = "לא",IF(F662&gt;19,W662,0),IF(F662&gt;9,Y662,0)))))</f>
        <v>0</v>
      </c>
      <c r="Q662" s="77"/>
      <c r="R662" s="75"/>
      <c r="S662" t="e">
        <f>VLOOKUP(C662,'חד גזעי'!$Y$4:$Y$18,1,0)</f>
        <v>#N/A</v>
      </c>
      <c r="T662" s="72">
        <f>IF('חד גזעי'!$AM$6="לא",IF(P662=0,IF(BC662="שימור",IF('חד גזעי'!$AM$4="לא",IF(BC662="לא בוגר",0,IF(BC662="לא קיים",0,IF(J662=0,0,I662*0.1))),IF(BC662="לא בוגר",0,IF(BC662="לא קיים",0,IF(AB662=1,I662*0.1,E662*0.5)))),0),IF('חד גזעי'!$AM$4="לא",IF(BC662="לא בוגר",0,IF(BC662="לא קיים",0,IF(J662=0,0,I662*0.1))),IF(BC662="לא בוגר",0,IF(BC662="לא קיים",0,IF(AB662=1,I662*0.1,E662*0.5))))),IF(P662=0,IF(BC662="שימור",IF('חד גזעי'!$AM$4="לא",IF(BC662="לא בוגר",0,IF(BC662="לא קיים",0,IF(J662=0,0,I662*0.15))),IF(BC662="לא בוגר",0,IF(BC662="לא קיים",0,IF(AB662=1,I662*0.15,E662*0.5)))),0),IF('חד גזעי'!$AM$4="לא",IF(BC662="לא בוגר",0,IF(BC662="לא קיים",0,IF(J662=0,0,I662*0.15))),IF(BC662="לא בוגר",0,IF(BC662="לא קיים",0,IF(AB662=1,I662*0.15,E662*0.5))))))</f>
        <v>0</v>
      </c>
      <c r="V662" t="e">
        <f t="shared" si="706"/>
        <v>#N/A</v>
      </c>
      <c r="W662" t="e">
        <f t="shared" si="707"/>
        <v>#N/A</v>
      </c>
      <c r="X662" t="e">
        <f t="shared" si="708"/>
        <v>#N/A</v>
      </c>
      <c r="Y662">
        <f>IF('חד גזעי'!$AM$2 = "לא",0,IF(F662&gt;9,W662,0))</f>
        <v>0</v>
      </c>
      <c r="Z662">
        <f>IF('חד גזעי'!$AM$7 = "לא",0,IF(C662 = "זית אירופי",IF('חד גזעי'!$AN$7 &lt;=סקר!F662,W662,0),IF(C662 = "חרוב מצוי",IF('חד גזעי'!$AN$7 &lt;=סקר!F662,W662,0),0)))</f>
        <v>0</v>
      </c>
      <c r="AB662">
        <f t="shared" si="688"/>
        <v>1</v>
      </c>
      <c r="AC662" s="72"/>
      <c r="AD662" t="e">
        <f t="shared" si="709"/>
        <v>#N/A</v>
      </c>
      <c r="AE662" s="72"/>
      <c r="AF662" s="72" t="e">
        <f t="shared" si="689"/>
        <v>#N/A</v>
      </c>
      <c r="AG662" s="72" t="e">
        <f>IF('חד גזעי'!$AM$5="לא",(VLOOKUP(C662,'חד גזעי'!$P$1:$S$589,3,FALSE)),(VLOOKUP(C662,'חד גזעי'!$P$1:$S$589,4,FALSE)))</f>
        <v>#N/A</v>
      </c>
      <c r="AH662" s="72">
        <f t="shared" si="690"/>
        <v>0</v>
      </c>
      <c r="AI662" s="72">
        <f t="shared" si="691"/>
        <v>0</v>
      </c>
      <c r="AJ662" s="72">
        <f t="shared" si="692"/>
        <v>0</v>
      </c>
      <c r="AK662" s="72" t="e">
        <f t="shared" si="693"/>
        <v>#N/A</v>
      </c>
      <c r="AL662" t="e">
        <f>VLOOKUP(C662,'חד גזעי'!$AH$8:$AI$33,2,FALSE)</f>
        <v>#N/A</v>
      </c>
      <c r="AM662" s="72" t="b">
        <f t="shared" si="694"/>
        <v>0</v>
      </c>
      <c r="AN662" s="72" t="b">
        <f t="shared" si="695"/>
        <v>0</v>
      </c>
      <c r="AO662" s="72" t="b">
        <f t="shared" si="696"/>
        <v>0</v>
      </c>
      <c r="AS662" s="72">
        <f t="shared" si="697"/>
        <v>0</v>
      </c>
      <c r="AT662" s="72">
        <f t="shared" si="698"/>
        <v>0</v>
      </c>
      <c r="AU662" s="72">
        <f t="shared" si="710"/>
        <v>0</v>
      </c>
      <c r="AV662" s="72">
        <f t="shared" si="699"/>
        <v>0</v>
      </c>
      <c r="AW662" s="72">
        <f t="shared" si="700"/>
        <v>0</v>
      </c>
      <c r="AX662" s="72">
        <f t="shared" si="701"/>
        <v>0</v>
      </c>
      <c r="AY662" s="72">
        <f t="shared" si="702"/>
        <v>0</v>
      </c>
      <c r="AZ662" s="72">
        <f t="shared" si="703"/>
        <v>0</v>
      </c>
      <c r="BA662" s="72" t="e">
        <f t="shared" si="704"/>
        <v>#N/A</v>
      </c>
      <c r="BB662" s="72" t="e">
        <f t="shared" si="705"/>
        <v>#N/A</v>
      </c>
      <c r="BC662" s="77"/>
      <c r="BE662">
        <f t="shared" si="685"/>
        <v>0</v>
      </c>
      <c r="BF662" s="196"/>
      <c r="BG662" s="196"/>
      <c r="BH662" s="196"/>
      <c r="BI662" s="196"/>
      <c r="BJ662" s="196"/>
      <c r="BK662" s="196"/>
    </row>
    <row r="663" spans="2:63" hidden="1">
      <c r="B663" s="72"/>
      <c r="C663" s="135"/>
      <c r="D663" s="78"/>
      <c r="E663" s="78"/>
      <c r="F663" s="72"/>
      <c r="G663" s="72"/>
      <c r="H663" s="72"/>
      <c r="I663" s="73">
        <f t="shared" si="687"/>
        <v>0</v>
      </c>
      <c r="J663" s="78"/>
      <c r="K663" s="73"/>
      <c r="L663" s="74" t="e">
        <f>_xlfn.IFNA(VLOOKUP(C663,'חד גזעי'!$U$3:$V$509,2,0),VLOOKUP(C663,'חד גזעי'!$U$3:$V$509,2))</f>
        <v>#N/A</v>
      </c>
      <c r="M663" s="73"/>
      <c r="N663" s="72" t="e">
        <f>_xlfn.IFNA(IF(VLOOKUP(C663,'חד גזעי'!$AH$2:$AH$7,1,FALSE)&gt;0,0,IF('חד גזעי'!$AM$5="כן",IF(_xlfn.IFNA(VLOOKUP(C663,'חד גזעי'!$AH$2:$AH$33,1,FALSE),SUM(J663:M663))&lt;21,_xlfn.IFNA(VLOOKUP(C663,'חד גזעי'!$AH$2:$AH$33,1,FALSE),SUM(J663:M663)),0),SUM(J663:M663))),IF('חד גזעי'!$AM$5="כן",IF(_xlfn.IFNA(VLOOKUP(C663,'חד גזעי'!$AH$2:$AH$33,1,FALSE),SUM(J663:M663))&lt;21,_xlfn.IFNA(VLOOKUP(C663,'חד גזעי'!$AH$2:$AH$33,1,FALSE),SUM(J663:M663)),0),SUM(J663:M663)))</f>
        <v>#N/A</v>
      </c>
      <c r="O663" s="72">
        <f>IF('חד גזעי'!$AM$3 = "כן",IF(T663&gt;4,4,T663),T663)</f>
        <v>0</v>
      </c>
      <c r="P663" s="80">
        <f>IF(E663&lt;2,0,IF(Z663&gt;0,Z663,IF(N663 = 0,0,IF('חד גזעי'!$AM$2 = "לא",IF(F663&gt;19,W663,0),IF(F663&gt;9,Y663,0)))))</f>
        <v>0</v>
      </c>
      <c r="Q663" s="77"/>
      <c r="R663" s="75"/>
      <c r="S663" t="e">
        <f>VLOOKUP(C663,'חד גזעי'!$Y$4:$Y$18,1,0)</f>
        <v>#N/A</v>
      </c>
      <c r="T663" s="72">
        <f>IF('חד גזעי'!$AM$6="לא",IF(P663=0,IF(BC663="שימור",IF('חד גזעי'!$AM$4="לא",IF(BC663="לא בוגר",0,IF(BC663="לא קיים",0,IF(J663=0,0,I663*0.1))),IF(BC663="לא בוגר",0,IF(BC663="לא קיים",0,IF(AB663=1,I663*0.1,E663*0.5)))),0),IF('חד גזעי'!$AM$4="לא",IF(BC663="לא בוגר",0,IF(BC663="לא קיים",0,IF(J663=0,0,I663*0.1))),IF(BC663="לא בוגר",0,IF(BC663="לא קיים",0,IF(AB663=1,I663*0.1,E663*0.5))))),IF(P663=0,IF(BC663="שימור",IF('חד גזעי'!$AM$4="לא",IF(BC663="לא בוגר",0,IF(BC663="לא קיים",0,IF(J663=0,0,I663*0.15))),IF(BC663="לא בוגר",0,IF(BC663="לא קיים",0,IF(AB663=1,I663*0.15,E663*0.5)))),0),IF('חד גזעי'!$AM$4="לא",IF(BC663="לא בוגר",0,IF(BC663="לא קיים",0,IF(J663=0,0,I663*0.15))),IF(BC663="לא בוגר",0,IF(BC663="לא קיים",0,IF(AB663=1,I663*0.15,E663*0.5))))))</f>
        <v>0</v>
      </c>
      <c r="V663" t="e">
        <f t="shared" si="706"/>
        <v>#N/A</v>
      </c>
      <c r="W663" t="e">
        <f t="shared" si="707"/>
        <v>#N/A</v>
      </c>
      <c r="X663" t="e">
        <f t="shared" si="708"/>
        <v>#N/A</v>
      </c>
      <c r="Y663">
        <f>IF('חד גזעי'!$AM$2 = "לא",0,IF(F663&gt;9,W663,0))</f>
        <v>0</v>
      </c>
      <c r="Z663">
        <f>IF('חד גזעי'!$AM$7 = "לא",0,IF(C663 = "זית אירופי",IF('חד גזעי'!$AN$7 &lt;=סקר!F663,W663,0),IF(C663 = "חרוב מצוי",IF('חד גזעי'!$AN$7 &lt;=סקר!F663,W663,0),0)))</f>
        <v>0</v>
      </c>
      <c r="AB663">
        <f t="shared" si="688"/>
        <v>1</v>
      </c>
      <c r="AC663" s="72"/>
      <c r="AD663" t="e">
        <f t="shared" si="709"/>
        <v>#N/A</v>
      </c>
      <c r="AE663" s="72"/>
      <c r="AF663" s="72" t="e">
        <f t="shared" si="689"/>
        <v>#N/A</v>
      </c>
      <c r="AG663" s="72" t="e">
        <f>IF('חד גזעי'!$AM$5="לא",(VLOOKUP(C663,'חד גזעי'!$P$1:$S$589,3,FALSE)),(VLOOKUP(C663,'חד גזעי'!$P$1:$S$589,4,FALSE)))</f>
        <v>#N/A</v>
      </c>
      <c r="AH663" s="72">
        <f t="shared" si="690"/>
        <v>0</v>
      </c>
      <c r="AI663" s="72">
        <f t="shared" si="691"/>
        <v>0</v>
      </c>
      <c r="AJ663" s="72">
        <f t="shared" si="692"/>
        <v>0</v>
      </c>
      <c r="AK663" s="72" t="e">
        <f t="shared" si="693"/>
        <v>#N/A</v>
      </c>
      <c r="AL663" t="e">
        <f>VLOOKUP(C663,'חד גזעי'!$AH$8:$AI$33,2,FALSE)</f>
        <v>#N/A</v>
      </c>
      <c r="AM663" s="72" t="b">
        <f t="shared" si="694"/>
        <v>0</v>
      </c>
      <c r="AN663" s="72" t="b">
        <f t="shared" si="695"/>
        <v>0</v>
      </c>
      <c r="AO663" s="72" t="b">
        <f t="shared" si="696"/>
        <v>0</v>
      </c>
      <c r="AS663" s="72">
        <f t="shared" si="697"/>
        <v>0</v>
      </c>
      <c r="AT663" s="72">
        <f t="shared" si="698"/>
        <v>0</v>
      </c>
      <c r="AU663" s="72">
        <f t="shared" si="710"/>
        <v>0</v>
      </c>
      <c r="AV663" s="72">
        <f t="shared" si="699"/>
        <v>0</v>
      </c>
      <c r="AW663" s="72">
        <f t="shared" si="700"/>
        <v>0</v>
      </c>
      <c r="AX663" s="72">
        <f t="shared" si="701"/>
        <v>0</v>
      </c>
      <c r="AY663" s="72">
        <f t="shared" si="702"/>
        <v>0</v>
      </c>
      <c r="AZ663" s="72">
        <f t="shared" si="703"/>
        <v>0</v>
      </c>
      <c r="BA663" s="72" t="e">
        <f t="shared" si="704"/>
        <v>#N/A</v>
      </c>
      <c r="BB663" s="72" t="e">
        <f t="shared" si="705"/>
        <v>#N/A</v>
      </c>
      <c r="BC663" s="77"/>
      <c r="BE663">
        <f t="shared" si="685"/>
        <v>0</v>
      </c>
      <c r="BF663" s="196"/>
      <c r="BG663" s="196"/>
      <c r="BH663" s="196"/>
      <c r="BI663" s="196"/>
      <c r="BJ663" s="196"/>
      <c r="BK663" s="196"/>
    </row>
    <row r="664" spans="2:63" hidden="1">
      <c r="B664" s="72"/>
      <c r="C664" s="135"/>
      <c r="D664" s="78"/>
      <c r="E664" s="78"/>
      <c r="F664" s="72"/>
      <c r="G664" s="72"/>
      <c r="H664" s="72"/>
      <c r="I664" s="73">
        <f t="shared" si="687"/>
        <v>0</v>
      </c>
      <c r="J664" s="78"/>
      <c r="K664" s="73"/>
      <c r="L664" s="74" t="e">
        <f>_xlfn.IFNA(VLOOKUP(C664,'חד גזעי'!$U$3:$V$509,2,0),VLOOKUP(C664,'חד גזעי'!$U$3:$V$509,2))</f>
        <v>#N/A</v>
      </c>
      <c r="M664" s="73"/>
      <c r="N664" s="72" t="e">
        <f>_xlfn.IFNA(IF(VLOOKUP(C664,'חד גזעי'!$AH$2:$AH$7,1,FALSE)&gt;0,0,IF('חד גזעי'!$AM$5="כן",IF(_xlfn.IFNA(VLOOKUP(C664,'חד גזעי'!$AH$2:$AH$33,1,FALSE),SUM(J664:M664))&lt;21,_xlfn.IFNA(VLOOKUP(C664,'חד גזעי'!$AH$2:$AH$33,1,FALSE),SUM(J664:M664)),0),SUM(J664:M664))),IF('חד גזעי'!$AM$5="כן",IF(_xlfn.IFNA(VLOOKUP(C664,'חד גזעי'!$AH$2:$AH$33,1,FALSE),SUM(J664:M664))&lt;21,_xlfn.IFNA(VLOOKUP(C664,'חד גזעי'!$AH$2:$AH$33,1,FALSE),SUM(J664:M664)),0),SUM(J664:M664)))</f>
        <v>#N/A</v>
      </c>
      <c r="O664" s="72">
        <f>IF('חד גזעי'!$AM$3 = "כן",IF(T664&gt;4,4,T664),T664)</f>
        <v>0</v>
      </c>
      <c r="P664" s="80">
        <f>IF(E664&lt;2,0,IF(Z664&gt;0,Z664,IF(N664 = 0,0,IF('חד גזעי'!$AM$2 = "לא",IF(F664&gt;19,W664,0),IF(F664&gt;9,Y664,0)))))</f>
        <v>0</v>
      </c>
      <c r="Q664" s="77"/>
      <c r="R664" s="76"/>
      <c r="S664" t="e">
        <f>VLOOKUP(C664,'חד גזעי'!$Y$4:$Y$18,1,0)</f>
        <v>#N/A</v>
      </c>
      <c r="T664" s="72">
        <f>IF('חד גזעי'!$AM$6="לא",IF(P664=0,IF(BC664="שימור",IF('חד גזעי'!$AM$4="לא",IF(BC664="לא בוגר",0,IF(BC664="לא קיים",0,IF(J664=0,0,I664*0.1))),IF(BC664="לא בוגר",0,IF(BC664="לא קיים",0,IF(AB664=1,I664*0.1,E664*0.5)))),0),IF('חד גזעי'!$AM$4="לא",IF(BC664="לא בוגר",0,IF(BC664="לא קיים",0,IF(J664=0,0,I664*0.1))),IF(BC664="לא בוגר",0,IF(BC664="לא קיים",0,IF(AB664=1,I664*0.1,E664*0.5))))),IF(P664=0,IF(BC664="שימור",IF('חד גזעי'!$AM$4="לא",IF(BC664="לא בוגר",0,IF(BC664="לא קיים",0,IF(J664=0,0,I664*0.15))),IF(BC664="לא בוגר",0,IF(BC664="לא קיים",0,IF(AB664=1,I664*0.15,E664*0.5)))),0),IF('חד גזעי'!$AM$4="לא",IF(BC664="לא בוגר",0,IF(BC664="לא קיים",0,IF(J664=0,0,I664*0.15))),IF(BC664="לא בוגר",0,IF(BC664="לא קיים",0,IF(AB664=1,I664*0.15,E664*0.5))))))</f>
        <v>0</v>
      </c>
      <c r="V664" t="e">
        <f t="shared" si="706"/>
        <v>#N/A</v>
      </c>
      <c r="W664" t="e">
        <f t="shared" si="707"/>
        <v>#N/A</v>
      </c>
      <c r="X664" t="e">
        <f t="shared" si="708"/>
        <v>#N/A</v>
      </c>
      <c r="Y664">
        <f>IF('חד גזעי'!$AM$2 = "לא",0,IF(F664&gt;9,W664,0))</f>
        <v>0</v>
      </c>
      <c r="Z664">
        <f>IF('חד גזעי'!$AM$7 = "לא",0,IF(C664 = "זית אירופי",IF('חד גזעי'!$AN$7 &lt;=סקר!F664,W664,0),IF(C664 = "חרוב מצוי",IF('חד גזעי'!$AN$7 &lt;=סקר!F664,W664,0),0)))</f>
        <v>0</v>
      </c>
      <c r="AB664">
        <f t="shared" si="688"/>
        <v>1</v>
      </c>
      <c r="AC664" s="72"/>
      <c r="AD664" t="e">
        <f t="shared" si="709"/>
        <v>#N/A</v>
      </c>
      <c r="AE664" s="72"/>
      <c r="AF664" s="72" t="e">
        <f t="shared" si="689"/>
        <v>#N/A</v>
      </c>
      <c r="AG664" s="72" t="e">
        <f>IF('חד גזעי'!$AM$5="לא",(VLOOKUP(C664,'חד גזעי'!$P$1:$S$589,3,FALSE)),(VLOOKUP(C664,'חד גזעי'!$P$1:$S$589,4,FALSE)))</f>
        <v>#N/A</v>
      </c>
      <c r="AH664" s="72">
        <f t="shared" si="690"/>
        <v>0</v>
      </c>
      <c r="AI664" s="72">
        <f t="shared" si="691"/>
        <v>0</v>
      </c>
      <c r="AJ664" s="72">
        <f t="shared" si="692"/>
        <v>0</v>
      </c>
      <c r="AK664" s="72" t="e">
        <f t="shared" si="693"/>
        <v>#N/A</v>
      </c>
      <c r="AL664" t="e">
        <f>VLOOKUP(C664,'חד גזעי'!$AH$8:$AI$33,2,FALSE)</f>
        <v>#N/A</v>
      </c>
      <c r="AM664" s="72" t="b">
        <f t="shared" si="694"/>
        <v>0</v>
      </c>
      <c r="AN664" s="72" t="b">
        <f t="shared" si="695"/>
        <v>0</v>
      </c>
      <c r="AO664" s="72" t="b">
        <f t="shared" si="696"/>
        <v>0</v>
      </c>
      <c r="AS664" s="72">
        <f t="shared" si="697"/>
        <v>0</v>
      </c>
      <c r="AT664" s="72">
        <f t="shared" si="698"/>
        <v>0</v>
      </c>
      <c r="AU664" s="72">
        <f t="shared" si="710"/>
        <v>0</v>
      </c>
      <c r="AV664" s="72">
        <f t="shared" si="699"/>
        <v>0</v>
      </c>
      <c r="AW664" s="72">
        <f t="shared" si="700"/>
        <v>0</v>
      </c>
      <c r="AX664" s="72">
        <f t="shared" si="701"/>
        <v>0</v>
      </c>
      <c r="AY664" s="72">
        <f t="shared" si="702"/>
        <v>0</v>
      </c>
      <c r="AZ664" s="72">
        <f t="shared" si="703"/>
        <v>0</v>
      </c>
      <c r="BA664" s="72" t="e">
        <f t="shared" si="704"/>
        <v>#N/A</v>
      </c>
      <c r="BB664" s="72" t="e">
        <f t="shared" si="705"/>
        <v>#N/A</v>
      </c>
      <c r="BC664" s="77"/>
      <c r="BE664">
        <f t="shared" si="685"/>
        <v>0</v>
      </c>
      <c r="BF664" s="196"/>
      <c r="BG664" s="196"/>
      <c r="BH664" s="196"/>
      <c r="BI664" s="196"/>
      <c r="BJ664" s="196"/>
      <c r="BK664" s="196"/>
    </row>
    <row r="665" spans="2:63" hidden="1">
      <c r="B665" s="72"/>
      <c r="C665" s="135"/>
      <c r="D665" s="78"/>
      <c r="E665" s="78"/>
      <c r="F665" s="72"/>
      <c r="G665" s="72"/>
      <c r="H665" s="72"/>
      <c r="I665" s="73">
        <f t="shared" si="687"/>
        <v>0</v>
      </c>
      <c r="J665" s="78"/>
      <c r="K665" s="73"/>
      <c r="L665" s="74" t="e">
        <f>_xlfn.IFNA(VLOOKUP(C665,'חד גזעי'!$U$3:$V$509,2,0),VLOOKUP(C665,'חד גזעי'!$U$3:$V$509,2))</f>
        <v>#N/A</v>
      </c>
      <c r="M665" s="73"/>
      <c r="N665" s="72" t="e">
        <f>_xlfn.IFNA(IF(VLOOKUP(C665,'חד גזעי'!$AH$2:$AH$7,1,FALSE)&gt;0,0,IF('חד גזעי'!$AM$5="כן",IF(_xlfn.IFNA(VLOOKUP(C665,'חד גזעי'!$AH$2:$AH$33,1,FALSE),SUM(J665:M665))&lt;21,_xlfn.IFNA(VLOOKUP(C665,'חד גזעי'!$AH$2:$AH$33,1,FALSE),SUM(J665:M665)),0),SUM(J665:M665))),IF('חד גזעי'!$AM$5="כן",IF(_xlfn.IFNA(VLOOKUP(C665,'חד גזעי'!$AH$2:$AH$33,1,FALSE),SUM(J665:M665))&lt;21,_xlfn.IFNA(VLOOKUP(C665,'חד גזעי'!$AH$2:$AH$33,1,FALSE),SUM(J665:M665)),0),SUM(J665:M665)))</f>
        <v>#N/A</v>
      </c>
      <c r="O665" s="72">
        <f>IF('חד גזעי'!$AM$3 = "כן",IF(T665&gt;4,4,T665),T665)</f>
        <v>0</v>
      </c>
      <c r="P665" s="80">
        <f>IF(E665&lt;2,0,IF(Z665&gt;0,Z665,IF(N665 = 0,0,IF('חד גזעי'!$AM$2 = "לא",IF(F665&gt;19,W665,0),IF(F665&gt;9,Y665,0)))))</f>
        <v>0</v>
      </c>
      <c r="Q665" s="77"/>
      <c r="R665" s="76"/>
      <c r="S665" t="e">
        <f>VLOOKUP(C665,'חד גזעי'!$Y$4:$Y$18,1,0)</f>
        <v>#N/A</v>
      </c>
      <c r="T665" s="72">
        <f>IF('חד גזעי'!$AM$6="לא",IF(P665=0,IF(BC665="שימור",IF('חד גזעי'!$AM$4="לא",IF(BC665="לא בוגר",0,IF(BC665="לא קיים",0,IF(J665=0,0,I665*0.1))),IF(BC665="לא בוגר",0,IF(BC665="לא קיים",0,IF(AB665=1,I665*0.1,E665*0.5)))),0),IF('חד גזעי'!$AM$4="לא",IF(BC665="לא בוגר",0,IF(BC665="לא קיים",0,IF(J665=0,0,I665*0.1))),IF(BC665="לא בוגר",0,IF(BC665="לא קיים",0,IF(AB665=1,I665*0.1,E665*0.5))))),IF(P665=0,IF(BC665="שימור",IF('חד גזעי'!$AM$4="לא",IF(BC665="לא בוגר",0,IF(BC665="לא קיים",0,IF(J665=0,0,I665*0.15))),IF(BC665="לא בוגר",0,IF(BC665="לא קיים",0,IF(AB665=1,I665*0.15,E665*0.5)))),0),IF('חד גזעי'!$AM$4="לא",IF(BC665="לא בוגר",0,IF(BC665="לא קיים",0,IF(J665=0,0,I665*0.15))),IF(BC665="לא בוגר",0,IF(BC665="לא קיים",0,IF(AB665=1,I665*0.15,E665*0.5))))))</f>
        <v>0</v>
      </c>
      <c r="V665" t="e">
        <f t="shared" si="706"/>
        <v>#N/A</v>
      </c>
      <c r="W665" t="e">
        <f t="shared" si="707"/>
        <v>#N/A</v>
      </c>
      <c r="X665" t="e">
        <f t="shared" si="708"/>
        <v>#N/A</v>
      </c>
      <c r="Y665">
        <f>IF('חד גזעי'!$AM$2 = "לא",0,IF(F665&gt;9,W665,0))</f>
        <v>0</v>
      </c>
      <c r="Z665">
        <f>IF('חד גזעי'!$AM$7 = "לא",0,IF(C665 = "זית אירופי",IF('חד גזעי'!$AN$7 &lt;=סקר!F665,W665,0),IF(C665 = "חרוב מצוי",IF('חד גזעי'!$AN$7 &lt;=סקר!F665,W665,0),0)))</f>
        <v>0</v>
      </c>
      <c r="AB665">
        <f t="shared" si="688"/>
        <v>1</v>
      </c>
      <c r="AC665" s="72"/>
      <c r="AD665" t="e">
        <f t="shared" si="709"/>
        <v>#N/A</v>
      </c>
      <c r="AE665" s="72"/>
      <c r="AF665" s="72" t="e">
        <f t="shared" si="689"/>
        <v>#N/A</v>
      </c>
      <c r="AG665" s="72" t="e">
        <f>IF('חד גזעי'!$AM$5="לא",(VLOOKUP(C665,'חד גזעי'!$P$1:$S$589,3,FALSE)),(VLOOKUP(C665,'חד גזעי'!$P$1:$S$589,4,FALSE)))</f>
        <v>#N/A</v>
      </c>
      <c r="AH665" s="72">
        <f t="shared" si="690"/>
        <v>0</v>
      </c>
      <c r="AI665" s="72">
        <f t="shared" si="691"/>
        <v>0</v>
      </c>
      <c r="AJ665" s="72">
        <f t="shared" si="692"/>
        <v>0</v>
      </c>
      <c r="AK665" s="72" t="e">
        <f t="shared" si="693"/>
        <v>#N/A</v>
      </c>
      <c r="AL665" t="e">
        <f>VLOOKUP(C665,'חד גזעי'!$AH$8:$AI$33,2,FALSE)</f>
        <v>#N/A</v>
      </c>
      <c r="AM665" s="72" t="b">
        <f t="shared" si="694"/>
        <v>0</v>
      </c>
      <c r="AN665" s="72" t="b">
        <f t="shared" si="695"/>
        <v>0</v>
      </c>
      <c r="AO665" s="72" t="b">
        <f t="shared" si="696"/>
        <v>0</v>
      </c>
      <c r="AS665" s="72">
        <f t="shared" si="697"/>
        <v>0</v>
      </c>
      <c r="AT665" s="72">
        <f t="shared" si="698"/>
        <v>0</v>
      </c>
      <c r="AU665" s="72">
        <f t="shared" si="710"/>
        <v>0</v>
      </c>
      <c r="AV665" s="72">
        <f t="shared" si="699"/>
        <v>0</v>
      </c>
      <c r="AW665" s="72">
        <f t="shared" si="700"/>
        <v>0</v>
      </c>
      <c r="AX665" s="72">
        <f t="shared" si="701"/>
        <v>0</v>
      </c>
      <c r="AY665" s="72">
        <f t="shared" si="702"/>
        <v>0</v>
      </c>
      <c r="AZ665" s="72">
        <f t="shared" si="703"/>
        <v>0</v>
      </c>
      <c r="BA665" s="72" t="e">
        <f t="shared" si="704"/>
        <v>#N/A</v>
      </c>
      <c r="BB665" s="72" t="e">
        <f t="shared" si="705"/>
        <v>#N/A</v>
      </c>
      <c r="BC665" s="77"/>
      <c r="BE665">
        <f t="shared" si="685"/>
        <v>0</v>
      </c>
      <c r="BF665" s="196"/>
      <c r="BG665" s="196"/>
      <c r="BH665" s="196"/>
      <c r="BI665" s="196"/>
      <c r="BJ665" s="196"/>
      <c r="BK665" s="196"/>
    </row>
    <row r="666" spans="2:63" hidden="1">
      <c r="B666" s="72"/>
      <c r="C666" s="135"/>
      <c r="D666" s="78"/>
      <c r="E666" s="78"/>
      <c r="F666" s="72"/>
      <c r="G666" s="72"/>
      <c r="H666" s="72"/>
      <c r="I666" s="73">
        <f t="shared" si="687"/>
        <v>0</v>
      </c>
      <c r="J666" s="78"/>
      <c r="K666" s="73"/>
      <c r="L666" s="74" t="e">
        <f>_xlfn.IFNA(VLOOKUP(C666,'חד גזעי'!$U$3:$V$509,2,0),VLOOKUP(C666,'חד גזעי'!$U$3:$V$509,2))</f>
        <v>#N/A</v>
      </c>
      <c r="M666" s="73"/>
      <c r="N666" s="72" t="e">
        <f>_xlfn.IFNA(IF(VLOOKUP(C666,'חד גזעי'!$AH$2:$AH$7,1,FALSE)&gt;0,0,IF('חד גזעי'!$AM$5="כן",IF(_xlfn.IFNA(VLOOKUP(C666,'חד גזעי'!$AH$2:$AH$33,1,FALSE),SUM(J666:M666))&lt;21,_xlfn.IFNA(VLOOKUP(C666,'חד גזעי'!$AH$2:$AH$33,1,FALSE),SUM(J666:M666)),0),SUM(J666:M666))),IF('חד גזעי'!$AM$5="כן",IF(_xlfn.IFNA(VLOOKUP(C666,'חד גזעי'!$AH$2:$AH$33,1,FALSE),SUM(J666:M666))&lt;21,_xlfn.IFNA(VLOOKUP(C666,'חד גזעי'!$AH$2:$AH$33,1,FALSE),SUM(J666:M666)),0),SUM(J666:M666)))</f>
        <v>#N/A</v>
      </c>
      <c r="O666" s="72">
        <f>IF('חד גזעי'!$AM$3 = "כן",IF(T666&gt;4,4,T666),T666)</f>
        <v>0</v>
      </c>
      <c r="P666" s="80">
        <f>IF(E666&lt;2,0,IF(Z666&gt;0,Z666,IF(N666 = 0,0,IF('חד גזעי'!$AM$2 = "לא",IF(F666&gt;19,W666,0),IF(F666&gt;9,Y666,0)))))</f>
        <v>0</v>
      </c>
      <c r="Q666" s="77"/>
      <c r="R666" s="76"/>
      <c r="S666" t="e">
        <f>VLOOKUP(C666,'חד גזעי'!$Y$4:$Y$18,1,0)</f>
        <v>#N/A</v>
      </c>
      <c r="T666" s="72">
        <f>IF('חד גזעי'!$AM$6="לא",IF(P666=0,IF(BC666="שימור",IF('חד גזעי'!$AM$4="לא",IF(BC666="לא בוגר",0,IF(BC666="לא קיים",0,IF(J666=0,0,I666*0.1))),IF(BC666="לא בוגר",0,IF(BC666="לא קיים",0,IF(AB666=1,I666*0.1,E666*0.5)))),0),IF('חד גזעי'!$AM$4="לא",IF(BC666="לא בוגר",0,IF(BC666="לא קיים",0,IF(J666=0,0,I666*0.1))),IF(BC666="לא בוגר",0,IF(BC666="לא קיים",0,IF(AB666=1,I666*0.1,E666*0.5))))),IF(P666=0,IF(BC666="שימור",IF('חד גזעי'!$AM$4="לא",IF(BC666="לא בוגר",0,IF(BC666="לא קיים",0,IF(J666=0,0,I666*0.15))),IF(BC666="לא בוגר",0,IF(BC666="לא קיים",0,IF(AB666=1,I666*0.15,E666*0.5)))),0),IF('חד גזעי'!$AM$4="לא",IF(BC666="לא בוגר",0,IF(BC666="לא קיים",0,IF(J666=0,0,I666*0.15))),IF(BC666="לא בוגר",0,IF(BC666="לא קיים",0,IF(AB666=1,I666*0.15,E666*0.5))))))</f>
        <v>0</v>
      </c>
      <c r="V666" t="e">
        <f t="shared" si="706"/>
        <v>#N/A</v>
      </c>
      <c r="W666" t="e">
        <f t="shared" si="707"/>
        <v>#N/A</v>
      </c>
      <c r="X666" t="e">
        <f t="shared" si="708"/>
        <v>#N/A</v>
      </c>
      <c r="Y666">
        <f>IF('חד גזעי'!$AM$2 = "לא",0,IF(F666&gt;9,W666,0))</f>
        <v>0</v>
      </c>
      <c r="Z666">
        <f>IF('חד גזעי'!$AM$7 = "לא",0,IF(C666 = "זית אירופי",IF('חד גזעי'!$AN$7 &lt;=סקר!F666,W666,0),IF(C666 = "חרוב מצוי",IF('חד גזעי'!$AN$7 &lt;=סקר!F666,W666,0),0)))</f>
        <v>0</v>
      </c>
      <c r="AB666">
        <f t="shared" si="688"/>
        <v>1</v>
      </c>
      <c r="AC666" s="72"/>
      <c r="AD666" t="e">
        <f t="shared" si="709"/>
        <v>#N/A</v>
      </c>
      <c r="AE666" s="72"/>
      <c r="AF666" s="72" t="e">
        <f t="shared" si="689"/>
        <v>#N/A</v>
      </c>
      <c r="AG666" s="72" t="e">
        <f>IF('חד גזעי'!$AM$5="לא",(VLOOKUP(C666,'חד גזעי'!$P$1:$S$589,3,FALSE)),(VLOOKUP(C666,'חד גזעי'!$P$1:$S$589,4,FALSE)))</f>
        <v>#N/A</v>
      </c>
      <c r="AH666" s="72">
        <f t="shared" si="690"/>
        <v>0</v>
      </c>
      <c r="AI666" s="72">
        <f t="shared" si="691"/>
        <v>0</v>
      </c>
      <c r="AJ666" s="72">
        <f t="shared" si="692"/>
        <v>0</v>
      </c>
      <c r="AK666" s="72" t="e">
        <f t="shared" si="693"/>
        <v>#N/A</v>
      </c>
      <c r="AL666" t="e">
        <f>VLOOKUP(C666,'חד גזעי'!$AH$8:$AI$33,2,FALSE)</f>
        <v>#N/A</v>
      </c>
      <c r="AM666" s="72" t="b">
        <f t="shared" si="694"/>
        <v>0</v>
      </c>
      <c r="AN666" s="72" t="b">
        <f t="shared" si="695"/>
        <v>0</v>
      </c>
      <c r="AO666" s="72" t="b">
        <f t="shared" si="696"/>
        <v>0</v>
      </c>
      <c r="AS666" s="72">
        <f t="shared" si="697"/>
        <v>0</v>
      </c>
      <c r="AT666" s="72">
        <f t="shared" si="698"/>
        <v>0</v>
      </c>
      <c r="AU666" s="72">
        <f t="shared" si="710"/>
        <v>0</v>
      </c>
      <c r="AV666" s="72">
        <f t="shared" si="699"/>
        <v>0</v>
      </c>
      <c r="AW666" s="72">
        <f t="shared" si="700"/>
        <v>0</v>
      </c>
      <c r="AX666" s="72">
        <f t="shared" si="701"/>
        <v>0</v>
      </c>
      <c r="AY666" s="72">
        <f t="shared" si="702"/>
        <v>0</v>
      </c>
      <c r="AZ666" s="72">
        <f t="shared" si="703"/>
        <v>0</v>
      </c>
      <c r="BA666" s="72" t="e">
        <f t="shared" si="704"/>
        <v>#N/A</v>
      </c>
      <c r="BB666" s="72" t="e">
        <f t="shared" si="705"/>
        <v>#N/A</v>
      </c>
      <c r="BC666" s="77"/>
      <c r="BE666">
        <f t="shared" si="685"/>
        <v>0</v>
      </c>
      <c r="BF666" s="72"/>
      <c r="BG666" s="72"/>
      <c r="BH666" s="72"/>
      <c r="BI666" s="72"/>
      <c r="BJ666" s="72"/>
      <c r="BK666" s="72"/>
    </row>
    <row r="667" spans="2:63" hidden="1">
      <c r="B667" s="72"/>
      <c r="C667" s="135"/>
      <c r="D667" s="78"/>
      <c r="E667" s="78"/>
      <c r="F667" s="72"/>
      <c r="G667" s="72"/>
      <c r="H667" s="72"/>
      <c r="I667" s="73">
        <f t="shared" si="687"/>
        <v>0</v>
      </c>
      <c r="J667" s="78"/>
      <c r="K667" s="73"/>
      <c r="L667" s="74" t="e">
        <f>_xlfn.IFNA(VLOOKUP(C667,'חד גזעי'!$U$3:$V$509,2,0),VLOOKUP(C667,'חד גזעי'!$U$3:$V$509,2))</f>
        <v>#N/A</v>
      </c>
      <c r="M667" s="73"/>
      <c r="N667" s="72" t="e">
        <f>_xlfn.IFNA(IF(VLOOKUP(C667,'חד גזעי'!$AH$2:$AH$7,1,FALSE)&gt;0,0,IF('חד גזעי'!$AM$5="כן",IF(_xlfn.IFNA(VLOOKUP(C667,'חד גזעי'!$AH$2:$AH$33,1,FALSE),SUM(J667:M667))&lt;21,_xlfn.IFNA(VLOOKUP(C667,'חד גזעי'!$AH$2:$AH$33,1,FALSE),SUM(J667:M667)),0),SUM(J667:M667))),IF('חד גזעי'!$AM$5="כן",IF(_xlfn.IFNA(VLOOKUP(C667,'חד גזעי'!$AH$2:$AH$33,1,FALSE),SUM(J667:M667))&lt;21,_xlfn.IFNA(VLOOKUP(C667,'חד גזעי'!$AH$2:$AH$33,1,FALSE),SUM(J667:M667)),0),SUM(J667:M667)))</f>
        <v>#N/A</v>
      </c>
      <c r="O667" s="72">
        <f>IF('חד גזעי'!$AM$3 = "כן",IF(T667&gt;4,4,T667),T667)</f>
        <v>0</v>
      </c>
      <c r="P667" s="80">
        <f>IF(E667&lt;2,0,IF(Z667&gt;0,Z667,IF(N667 = 0,0,IF('חד גזעי'!$AM$2 = "לא",IF(F667&gt;19,W667,0),IF(F667&gt;9,Y667,0)))))</f>
        <v>0</v>
      </c>
      <c r="Q667" s="77"/>
      <c r="R667" s="75"/>
      <c r="S667" t="e">
        <f>VLOOKUP(C667,'חד גזעי'!$Y$4:$Y$18,1,0)</f>
        <v>#N/A</v>
      </c>
      <c r="T667" s="72">
        <f>IF('חד גזעי'!$AM$6="לא",IF(P667=0,IF(BC667="שימור",IF('חד גזעי'!$AM$4="לא",IF(BC667="לא בוגר",0,IF(BC667="לא קיים",0,IF(J667=0,0,I667*0.1))),IF(BC667="לא בוגר",0,IF(BC667="לא קיים",0,IF(AB667=1,I667*0.1,E667*0.5)))),0),IF('חד גזעי'!$AM$4="לא",IF(BC667="לא בוגר",0,IF(BC667="לא קיים",0,IF(J667=0,0,I667*0.1))),IF(BC667="לא בוגר",0,IF(BC667="לא קיים",0,IF(AB667=1,I667*0.1,E667*0.5))))),IF(P667=0,IF(BC667="שימור",IF('חד גזעי'!$AM$4="לא",IF(BC667="לא בוגר",0,IF(BC667="לא קיים",0,IF(J667=0,0,I667*0.15))),IF(BC667="לא בוגר",0,IF(BC667="לא קיים",0,IF(AB667=1,I667*0.15,E667*0.5)))),0),IF('חד גזעי'!$AM$4="לא",IF(BC667="לא בוגר",0,IF(BC667="לא קיים",0,IF(J667=0,0,I667*0.15))),IF(BC667="לא בוגר",0,IF(BC667="לא קיים",0,IF(AB667=1,I667*0.15,E667*0.5))))))</f>
        <v>0</v>
      </c>
      <c r="V667" t="e">
        <f t="shared" si="706"/>
        <v>#N/A</v>
      </c>
      <c r="W667" t="e">
        <f t="shared" si="707"/>
        <v>#N/A</v>
      </c>
      <c r="X667" t="e">
        <f t="shared" si="708"/>
        <v>#N/A</v>
      </c>
      <c r="Y667">
        <f>IF('חד גזעי'!$AM$2 = "לא",0,IF(F667&gt;9,W667,0))</f>
        <v>0</v>
      </c>
      <c r="Z667">
        <f>IF('חד גזעי'!$AM$7 = "לא",0,IF(C667 = "זית אירופי",IF('חד גזעי'!$AN$7 &lt;=סקר!F667,W667,0),IF(C667 = "חרוב מצוי",IF('חד גזעי'!$AN$7 &lt;=סקר!F667,W667,0),0)))</f>
        <v>0</v>
      </c>
      <c r="AB667">
        <f t="shared" si="688"/>
        <v>1</v>
      </c>
      <c r="AC667" s="72"/>
      <c r="AD667" t="e">
        <f t="shared" si="709"/>
        <v>#N/A</v>
      </c>
      <c r="AE667" s="72"/>
      <c r="AF667" s="72" t="e">
        <f t="shared" si="689"/>
        <v>#N/A</v>
      </c>
      <c r="AG667" s="72" t="e">
        <f>IF('חד גזעי'!$AM$5="לא",(VLOOKUP(C667,'חד גזעי'!$P$1:$S$589,3,FALSE)),(VLOOKUP(C667,'חד גזעי'!$P$1:$S$589,4,FALSE)))</f>
        <v>#N/A</v>
      </c>
      <c r="AH667" s="72">
        <f t="shared" si="690"/>
        <v>0</v>
      </c>
      <c r="AI667" s="72">
        <f t="shared" si="691"/>
        <v>0</v>
      </c>
      <c r="AJ667" s="72">
        <f t="shared" si="692"/>
        <v>0</v>
      </c>
      <c r="AK667" s="72" t="e">
        <f t="shared" si="693"/>
        <v>#N/A</v>
      </c>
      <c r="AL667" t="e">
        <f>VLOOKUP(C667,'חד גזעי'!$AH$8:$AI$33,2,FALSE)</f>
        <v>#N/A</v>
      </c>
      <c r="AM667" s="72" t="b">
        <f t="shared" si="694"/>
        <v>0</v>
      </c>
      <c r="AN667" s="72" t="b">
        <f t="shared" si="695"/>
        <v>0</v>
      </c>
      <c r="AO667" s="72" t="b">
        <f t="shared" si="696"/>
        <v>0</v>
      </c>
      <c r="AS667" s="72">
        <f t="shared" si="697"/>
        <v>0</v>
      </c>
      <c r="AT667" s="72">
        <f t="shared" si="698"/>
        <v>0</v>
      </c>
      <c r="AU667" s="72">
        <f t="shared" si="710"/>
        <v>0</v>
      </c>
      <c r="AV667" s="72">
        <f t="shared" si="699"/>
        <v>0</v>
      </c>
      <c r="AW667" s="72">
        <f t="shared" si="700"/>
        <v>0</v>
      </c>
      <c r="AX667" s="72">
        <f t="shared" si="701"/>
        <v>0</v>
      </c>
      <c r="AY667" s="72">
        <f t="shared" si="702"/>
        <v>0</v>
      </c>
      <c r="AZ667" s="72">
        <f t="shared" si="703"/>
        <v>0</v>
      </c>
      <c r="BA667" s="72" t="e">
        <f t="shared" si="704"/>
        <v>#N/A</v>
      </c>
      <c r="BB667" s="72" t="e">
        <f t="shared" si="705"/>
        <v>#N/A</v>
      </c>
      <c r="BC667" s="77"/>
      <c r="BE667">
        <f t="shared" si="685"/>
        <v>0</v>
      </c>
      <c r="BF667" s="196" t="str">
        <f>BF686</f>
        <v>C:\Users\origr\Pictures\0.jpg</v>
      </c>
      <c r="BG667" s="196" t="str">
        <f t="shared" ref="BG667:BK667" si="711">BG686</f>
        <v>C:\Users\origr\Pictures\0.jpg</v>
      </c>
      <c r="BH667" s="196" t="str">
        <f t="shared" si="711"/>
        <v>C:\Users\origr\Pictures\0.jpg</v>
      </c>
      <c r="BI667" s="196" t="str">
        <f t="shared" si="711"/>
        <v>C:\Users\origr\Pictures\0.jpg</v>
      </c>
      <c r="BJ667" s="196" t="str">
        <f t="shared" si="711"/>
        <v>C:\Users\origr\Pictures\0.jpg</v>
      </c>
      <c r="BK667" s="196" t="str">
        <f t="shared" si="711"/>
        <v>C:\Users\origr\Pictures\0.jpg</v>
      </c>
    </row>
    <row r="668" spans="2:63" hidden="1">
      <c r="B668" s="72"/>
      <c r="C668" s="135"/>
      <c r="D668" s="78"/>
      <c r="E668" s="78"/>
      <c r="F668" s="72"/>
      <c r="G668" s="72"/>
      <c r="H668" s="72"/>
      <c r="I668" s="73">
        <f t="shared" si="687"/>
        <v>0</v>
      </c>
      <c r="J668" s="78"/>
      <c r="K668" s="73"/>
      <c r="L668" s="74" t="e">
        <f>_xlfn.IFNA(VLOOKUP(C668,'חד גזעי'!$U$3:$V$509,2,0),VLOOKUP(C668,'חד גזעי'!$U$3:$V$509,2))</f>
        <v>#N/A</v>
      </c>
      <c r="M668" s="73"/>
      <c r="N668" s="72" t="e">
        <f>_xlfn.IFNA(IF(VLOOKUP(C668,'חד גזעי'!$AH$2:$AH$7,1,FALSE)&gt;0,0,IF('חד גזעי'!$AM$5="כן",IF(_xlfn.IFNA(VLOOKUP(C668,'חד גזעי'!$AH$2:$AH$33,1,FALSE),SUM(J668:M668))&lt;21,_xlfn.IFNA(VLOOKUP(C668,'חד גזעי'!$AH$2:$AH$33,1,FALSE),SUM(J668:M668)),0),SUM(J668:M668))),IF('חד גזעי'!$AM$5="כן",IF(_xlfn.IFNA(VLOOKUP(C668,'חד גזעי'!$AH$2:$AH$33,1,FALSE),SUM(J668:M668))&lt;21,_xlfn.IFNA(VLOOKUP(C668,'חד גזעי'!$AH$2:$AH$33,1,FALSE),SUM(J668:M668)),0),SUM(J668:M668)))</f>
        <v>#N/A</v>
      </c>
      <c r="O668" s="72">
        <f>IF('חד גזעי'!$AM$3 = "כן",IF(T668&gt;4,4,T668),T668)</f>
        <v>0</v>
      </c>
      <c r="P668" s="80">
        <f>IF(E668&lt;2,0,IF(Z668&gt;0,Z668,IF(N668 = 0,0,IF('חד גזעי'!$AM$2 = "לא",IF(F668&gt;19,W668,0),IF(F668&gt;9,Y668,0)))))</f>
        <v>0</v>
      </c>
      <c r="Q668" s="77"/>
      <c r="R668" s="76"/>
      <c r="S668" t="e">
        <f>VLOOKUP(C668,'חד גזעי'!$Y$4:$Y$18,1,0)</f>
        <v>#N/A</v>
      </c>
      <c r="T668" s="72">
        <f>IF('חד גזעי'!$AM$6="לא",IF(P668=0,IF(BC668="שימור",IF('חד גזעי'!$AM$4="לא",IF(BC668="לא בוגר",0,IF(BC668="לא קיים",0,IF(J668=0,0,I668*0.1))),IF(BC668="לא בוגר",0,IF(BC668="לא קיים",0,IF(AB668=1,I668*0.1,E668*0.5)))),0),IF('חד גזעי'!$AM$4="לא",IF(BC668="לא בוגר",0,IF(BC668="לא קיים",0,IF(J668=0,0,I668*0.1))),IF(BC668="לא בוגר",0,IF(BC668="לא קיים",0,IF(AB668=1,I668*0.1,E668*0.5))))),IF(P668=0,IF(BC668="שימור",IF('חד גזעי'!$AM$4="לא",IF(BC668="לא בוגר",0,IF(BC668="לא קיים",0,IF(J668=0,0,I668*0.15))),IF(BC668="לא בוגר",0,IF(BC668="לא קיים",0,IF(AB668=1,I668*0.15,E668*0.5)))),0),IF('חד גזעי'!$AM$4="לא",IF(BC668="לא בוגר",0,IF(BC668="לא קיים",0,IF(J668=0,0,I668*0.15))),IF(BC668="לא בוגר",0,IF(BC668="לא קיים",0,IF(AB668=1,I668*0.15,E668*0.5))))))</f>
        <v>0</v>
      </c>
      <c r="V668" t="e">
        <f t="shared" si="706"/>
        <v>#N/A</v>
      </c>
      <c r="W668" t="e">
        <f t="shared" si="707"/>
        <v>#N/A</v>
      </c>
      <c r="X668" t="e">
        <f t="shared" si="708"/>
        <v>#N/A</v>
      </c>
      <c r="Y668">
        <f>IF('חד גזעי'!$AM$2 = "לא",0,IF(F668&gt;9,W668,0))</f>
        <v>0</v>
      </c>
      <c r="Z668">
        <f>IF('חד גזעי'!$AM$7 = "לא",0,IF(C668 = "זית אירופי",IF('חד גזעי'!$AN$7 &lt;=סקר!F668,W668,0),IF(C668 = "חרוב מצוי",IF('חד גזעי'!$AN$7 &lt;=סקר!F668,W668,0),0)))</f>
        <v>0</v>
      </c>
      <c r="AB668">
        <f t="shared" si="688"/>
        <v>1</v>
      </c>
      <c r="AC668" s="72"/>
      <c r="AD668" t="e">
        <f t="shared" si="709"/>
        <v>#N/A</v>
      </c>
      <c r="AE668" s="72"/>
      <c r="AF668" s="72" t="e">
        <f t="shared" si="689"/>
        <v>#N/A</v>
      </c>
      <c r="AG668" s="72" t="e">
        <f>IF('חד גזעי'!$AM$5="לא",(VLOOKUP(C668,'חד גזעי'!$P$1:$S$589,3,FALSE)),(VLOOKUP(C668,'חד גזעי'!$P$1:$S$589,4,FALSE)))</f>
        <v>#N/A</v>
      </c>
      <c r="AH668" s="72">
        <f t="shared" si="690"/>
        <v>0</v>
      </c>
      <c r="AI668" s="72">
        <f t="shared" si="691"/>
        <v>0</v>
      </c>
      <c r="AJ668" s="72">
        <f t="shared" si="692"/>
        <v>0</v>
      </c>
      <c r="AK668" s="72" t="e">
        <f t="shared" si="693"/>
        <v>#N/A</v>
      </c>
      <c r="AL668" t="e">
        <f>VLOOKUP(C668,'חד גזעי'!$AH$8:$AI$33,2,FALSE)</f>
        <v>#N/A</v>
      </c>
      <c r="AM668" s="72" t="b">
        <f t="shared" si="694"/>
        <v>0</v>
      </c>
      <c r="AN668" s="72" t="b">
        <f t="shared" si="695"/>
        <v>0</v>
      </c>
      <c r="AO668" s="72" t="b">
        <f t="shared" si="696"/>
        <v>0</v>
      </c>
      <c r="AS668" s="72">
        <f t="shared" si="697"/>
        <v>0</v>
      </c>
      <c r="AT668" s="72">
        <f t="shared" si="698"/>
        <v>0</v>
      </c>
      <c r="AU668" s="72">
        <f t="shared" si="710"/>
        <v>0</v>
      </c>
      <c r="AV668" s="72">
        <f t="shared" si="699"/>
        <v>0</v>
      </c>
      <c r="AW668" s="72">
        <f t="shared" si="700"/>
        <v>0</v>
      </c>
      <c r="AX668" s="72">
        <f t="shared" si="701"/>
        <v>0</v>
      </c>
      <c r="AY668" s="72">
        <f t="shared" si="702"/>
        <v>0</v>
      </c>
      <c r="AZ668" s="72">
        <f t="shared" si="703"/>
        <v>0</v>
      </c>
      <c r="BA668" s="72" t="e">
        <f t="shared" si="704"/>
        <v>#N/A</v>
      </c>
      <c r="BB668" s="72" t="e">
        <f t="shared" si="705"/>
        <v>#N/A</v>
      </c>
      <c r="BC668" s="77"/>
      <c r="BE668">
        <f t="shared" si="685"/>
        <v>0</v>
      </c>
      <c r="BF668" s="196"/>
      <c r="BG668" s="196"/>
      <c r="BH668" s="196"/>
      <c r="BI668" s="196"/>
      <c r="BJ668" s="196"/>
      <c r="BK668" s="196"/>
    </row>
    <row r="669" spans="2:63" hidden="1">
      <c r="B669" s="72"/>
      <c r="C669" s="135"/>
      <c r="D669" s="78"/>
      <c r="E669" s="78"/>
      <c r="F669" s="72"/>
      <c r="G669" s="72"/>
      <c r="H669" s="72"/>
      <c r="I669" s="73">
        <f t="shared" si="687"/>
        <v>0</v>
      </c>
      <c r="J669" s="78"/>
      <c r="K669" s="73"/>
      <c r="L669" s="74" t="e">
        <f>_xlfn.IFNA(VLOOKUP(C669,'חד גזעי'!$U$3:$V$509,2,0),VLOOKUP(C669,'חד גזעי'!$U$3:$V$509,2))</f>
        <v>#N/A</v>
      </c>
      <c r="M669" s="73"/>
      <c r="N669" s="72" t="e">
        <f>_xlfn.IFNA(IF(VLOOKUP(C669,'חד גזעי'!$AH$2:$AH$7,1,FALSE)&gt;0,0,IF('חד גזעי'!$AM$5="כן",IF(_xlfn.IFNA(VLOOKUP(C669,'חד גזעי'!$AH$2:$AH$33,1,FALSE),SUM(J669:M669))&lt;21,_xlfn.IFNA(VLOOKUP(C669,'חד גזעי'!$AH$2:$AH$33,1,FALSE),SUM(J669:M669)),0),SUM(J669:M669))),IF('חד גזעי'!$AM$5="כן",IF(_xlfn.IFNA(VLOOKUP(C669,'חד גזעי'!$AH$2:$AH$33,1,FALSE),SUM(J669:M669))&lt;21,_xlfn.IFNA(VLOOKUP(C669,'חד גזעי'!$AH$2:$AH$33,1,FALSE),SUM(J669:M669)),0),SUM(J669:M669)))</f>
        <v>#N/A</v>
      </c>
      <c r="O669" s="72">
        <f>IF('חד גזעי'!$AM$3 = "כן",IF(T669&gt;4,4,T669),T669)</f>
        <v>0</v>
      </c>
      <c r="P669" s="80">
        <f>IF(E669&lt;2,0,IF(Z669&gt;0,Z669,IF(N669 = 0,0,IF('חד גזעי'!$AM$2 = "לא",IF(F669&gt;19,W669,0),IF(F669&gt;9,Y669,0)))))</f>
        <v>0</v>
      </c>
      <c r="Q669" s="77"/>
      <c r="R669" s="76"/>
      <c r="S669" t="e">
        <f>VLOOKUP(C669,'חד גזעי'!$Y$4:$Y$18,1,0)</f>
        <v>#N/A</v>
      </c>
      <c r="T669" s="72">
        <f>IF('חד גזעי'!$AM$6="לא",IF(P669=0,IF(BC669="שימור",IF('חד גזעי'!$AM$4="לא",IF(BC669="לא בוגר",0,IF(BC669="לא קיים",0,IF(J669=0,0,I669*0.1))),IF(BC669="לא בוגר",0,IF(BC669="לא קיים",0,IF(AB669=1,I669*0.1,E669*0.5)))),0),IF('חד גזעי'!$AM$4="לא",IF(BC669="לא בוגר",0,IF(BC669="לא קיים",0,IF(J669=0,0,I669*0.1))),IF(BC669="לא בוגר",0,IF(BC669="לא קיים",0,IF(AB669=1,I669*0.1,E669*0.5))))),IF(P669=0,IF(BC669="שימור",IF('חד גזעי'!$AM$4="לא",IF(BC669="לא בוגר",0,IF(BC669="לא קיים",0,IF(J669=0,0,I669*0.15))),IF(BC669="לא בוגר",0,IF(BC669="לא קיים",0,IF(AB669=1,I669*0.15,E669*0.5)))),0),IF('חד גזעי'!$AM$4="לא",IF(BC669="לא בוגר",0,IF(BC669="לא קיים",0,IF(J669=0,0,I669*0.15))),IF(BC669="לא בוגר",0,IF(BC669="לא קיים",0,IF(AB669=1,I669*0.15,E669*0.5))))))</f>
        <v>0</v>
      </c>
      <c r="V669" t="e">
        <f t="shared" si="706"/>
        <v>#N/A</v>
      </c>
      <c r="W669" t="e">
        <f t="shared" si="707"/>
        <v>#N/A</v>
      </c>
      <c r="X669" t="e">
        <f t="shared" si="708"/>
        <v>#N/A</v>
      </c>
      <c r="Y669">
        <f>IF('חד גזעי'!$AM$2 = "לא",0,IF(F669&gt;9,W669,0))</f>
        <v>0</v>
      </c>
      <c r="Z669">
        <f>IF('חד גזעי'!$AM$7 = "לא",0,IF(C669 = "זית אירופי",IF('חד גזעי'!$AN$7 &lt;=סקר!F669,W669,0),IF(C669 = "חרוב מצוי",IF('חד גזעי'!$AN$7 &lt;=סקר!F669,W669,0),0)))</f>
        <v>0</v>
      </c>
      <c r="AB669">
        <f t="shared" si="688"/>
        <v>1</v>
      </c>
      <c r="AC669" s="72"/>
      <c r="AD669" t="e">
        <f t="shared" si="709"/>
        <v>#N/A</v>
      </c>
      <c r="AE669" s="72"/>
      <c r="AF669" s="72" t="e">
        <f t="shared" si="689"/>
        <v>#N/A</v>
      </c>
      <c r="AG669" s="72" t="e">
        <f>IF('חד גזעי'!$AM$5="לא",(VLOOKUP(C669,'חד גזעי'!$P$1:$S$589,3,FALSE)),(VLOOKUP(C669,'חד גזעי'!$P$1:$S$589,4,FALSE)))</f>
        <v>#N/A</v>
      </c>
      <c r="AH669" s="72">
        <f t="shared" si="690"/>
        <v>0</v>
      </c>
      <c r="AI669" s="72">
        <f t="shared" si="691"/>
        <v>0</v>
      </c>
      <c r="AJ669" s="72">
        <f t="shared" si="692"/>
        <v>0</v>
      </c>
      <c r="AK669" s="72" t="e">
        <f t="shared" si="693"/>
        <v>#N/A</v>
      </c>
      <c r="AL669" t="e">
        <f>VLOOKUP(C669,'חד גזעי'!$AH$8:$AI$33,2,FALSE)</f>
        <v>#N/A</v>
      </c>
      <c r="AM669" s="72" t="b">
        <f t="shared" si="694"/>
        <v>0</v>
      </c>
      <c r="AN669" s="72" t="b">
        <f t="shared" si="695"/>
        <v>0</v>
      </c>
      <c r="AO669" s="72" t="b">
        <f t="shared" si="696"/>
        <v>0</v>
      </c>
      <c r="AS669" s="72">
        <f t="shared" si="697"/>
        <v>0</v>
      </c>
      <c r="AT669" s="72">
        <f t="shared" si="698"/>
        <v>0</v>
      </c>
      <c r="AU669" s="72">
        <f t="shared" si="710"/>
        <v>0</v>
      </c>
      <c r="AV669" s="72">
        <f t="shared" si="699"/>
        <v>0</v>
      </c>
      <c r="AW669" s="72">
        <f t="shared" si="700"/>
        <v>0</v>
      </c>
      <c r="AX669" s="72">
        <f t="shared" si="701"/>
        <v>0</v>
      </c>
      <c r="AY669" s="72">
        <f t="shared" si="702"/>
        <v>0</v>
      </c>
      <c r="AZ669" s="72">
        <f t="shared" si="703"/>
        <v>0</v>
      </c>
      <c r="BA669" s="72" t="e">
        <f t="shared" si="704"/>
        <v>#N/A</v>
      </c>
      <c r="BB669" s="72" t="e">
        <f t="shared" si="705"/>
        <v>#N/A</v>
      </c>
      <c r="BC669" s="77"/>
      <c r="BE669">
        <f t="shared" si="685"/>
        <v>0</v>
      </c>
      <c r="BF669" s="196"/>
      <c r="BG669" s="196"/>
      <c r="BH669" s="196"/>
      <c r="BI669" s="196"/>
      <c r="BJ669" s="196"/>
      <c r="BK669" s="196"/>
    </row>
    <row r="670" spans="2:63" hidden="1">
      <c r="B670" s="72"/>
      <c r="C670" s="135"/>
      <c r="D670" s="78"/>
      <c r="E670" s="78"/>
      <c r="F670" s="72"/>
      <c r="G670" s="72"/>
      <c r="H670" s="72"/>
      <c r="I670" s="73">
        <f t="shared" si="687"/>
        <v>0</v>
      </c>
      <c r="J670" s="78"/>
      <c r="K670" s="73"/>
      <c r="L670" s="74" t="e">
        <f>_xlfn.IFNA(VLOOKUP(C670,'חד גזעי'!$U$3:$V$509,2,0),VLOOKUP(C670,'חד גזעי'!$U$3:$V$509,2))</f>
        <v>#N/A</v>
      </c>
      <c r="M670" s="73"/>
      <c r="N670" s="72" t="e">
        <f>_xlfn.IFNA(IF(VLOOKUP(C670,'חד גזעי'!$AH$2:$AH$7,1,FALSE)&gt;0,0,IF('חד גזעי'!$AM$5="כן",IF(_xlfn.IFNA(VLOOKUP(C670,'חד גזעי'!$AH$2:$AH$33,1,FALSE),SUM(J670:M670))&lt;21,_xlfn.IFNA(VLOOKUP(C670,'חד גזעי'!$AH$2:$AH$33,1,FALSE),SUM(J670:M670)),0),SUM(J670:M670))),IF('חד גזעי'!$AM$5="כן",IF(_xlfn.IFNA(VLOOKUP(C670,'חד גזעי'!$AH$2:$AH$33,1,FALSE),SUM(J670:M670))&lt;21,_xlfn.IFNA(VLOOKUP(C670,'חד גזעי'!$AH$2:$AH$33,1,FALSE),SUM(J670:M670)),0),SUM(J670:M670)))</f>
        <v>#N/A</v>
      </c>
      <c r="O670" s="72">
        <f>IF('חד גזעי'!$AM$3 = "כן",IF(T670&gt;4,4,T670),T670)</f>
        <v>0</v>
      </c>
      <c r="P670" s="80">
        <f>IF(E670&lt;2,0,IF(Z670&gt;0,Z670,IF(N670 = 0,0,IF('חד גזעי'!$AM$2 = "לא",IF(F670&gt;19,W670,0),IF(F670&gt;9,Y670,0)))))</f>
        <v>0</v>
      </c>
      <c r="Q670" s="77"/>
      <c r="R670" s="75"/>
      <c r="S670" t="e">
        <f>VLOOKUP(C670,'חד גזעי'!$Y$4:$Y$18,1,0)</f>
        <v>#N/A</v>
      </c>
      <c r="T670" s="72">
        <f>IF('חד גזעי'!$AM$6="לא",IF(P670=0,IF(BC670="שימור",IF('חד גזעי'!$AM$4="לא",IF(BC670="לא בוגר",0,IF(BC670="לא קיים",0,IF(J670=0,0,I670*0.1))),IF(BC670="לא בוגר",0,IF(BC670="לא קיים",0,IF(AB670=1,I670*0.1,E670*0.5)))),0),IF('חד גזעי'!$AM$4="לא",IF(BC670="לא בוגר",0,IF(BC670="לא קיים",0,IF(J670=0,0,I670*0.1))),IF(BC670="לא בוגר",0,IF(BC670="לא קיים",0,IF(AB670=1,I670*0.1,E670*0.5))))),IF(P670=0,IF(BC670="שימור",IF('חד גזעי'!$AM$4="לא",IF(BC670="לא בוגר",0,IF(BC670="לא קיים",0,IF(J670=0,0,I670*0.15))),IF(BC670="לא בוגר",0,IF(BC670="לא קיים",0,IF(AB670=1,I670*0.15,E670*0.5)))),0),IF('חד גזעי'!$AM$4="לא",IF(BC670="לא בוגר",0,IF(BC670="לא קיים",0,IF(J670=0,0,I670*0.15))),IF(BC670="לא בוגר",0,IF(BC670="לא קיים",0,IF(AB670=1,I670*0.15,E670*0.5))))))</f>
        <v>0</v>
      </c>
      <c r="V670" t="e">
        <f t="shared" si="706"/>
        <v>#N/A</v>
      </c>
      <c r="W670" t="e">
        <f t="shared" si="707"/>
        <v>#N/A</v>
      </c>
      <c r="X670" t="e">
        <f t="shared" si="708"/>
        <v>#N/A</v>
      </c>
      <c r="Y670">
        <f>IF('חד גזעי'!$AM$2 = "לא",0,IF(F670&gt;9,W670,0))</f>
        <v>0</v>
      </c>
      <c r="Z670">
        <f>IF('חד גזעי'!$AM$7 = "לא",0,IF(C670 = "זית אירופי",IF('חד גזעי'!$AN$7 &lt;=סקר!F670,W670,0),IF(C670 = "חרוב מצוי",IF('חד גזעי'!$AN$7 &lt;=סקר!F670,W670,0),0)))</f>
        <v>0</v>
      </c>
      <c r="AB670">
        <f t="shared" si="688"/>
        <v>1</v>
      </c>
      <c r="AC670" s="72"/>
      <c r="AD670" t="e">
        <f t="shared" si="709"/>
        <v>#N/A</v>
      </c>
      <c r="AE670" s="72"/>
      <c r="AF670" s="72" t="e">
        <f t="shared" si="689"/>
        <v>#N/A</v>
      </c>
      <c r="AG670" s="72" t="e">
        <f>IF('חד גזעי'!$AM$5="לא",(VLOOKUP(C670,'חד גזעי'!$P$1:$S$589,3,FALSE)),(VLOOKUP(C670,'חד גזעי'!$P$1:$S$589,4,FALSE)))</f>
        <v>#N/A</v>
      </c>
      <c r="AH670" s="72">
        <f t="shared" si="690"/>
        <v>0</v>
      </c>
      <c r="AI670" s="72">
        <f t="shared" si="691"/>
        <v>0</v>
      </c>
      <c r="AJ670" s="72">
        <f t="shared" si="692"/>
        <v>0</v>
      </c>
      <c r="AK670" s="72" t="e">
        <f t="shared" si="693"/>
        <v>#N/A</v>
      </c>
      <c r="AL670" t="e">
        <f>VLOOKUP(C670,'חד גזעי'!$AH$8:$AI$33,2,FALSE)</f>
        <v>#N/A</v>
      </c>
      <c r="AM670" s="72" t="b">
        <f t="shared" si="694"/>
        <v>0</v>
      </c>
      <c r="AN670" s="72" t="b">
        <f t="shared" si="695"/>
        <v>0</v>
      </c>
      <c r="AO670" s="72" t="b">
        <f t="shared" si="696"/>
        <v>0</v>
      </c>
      <c r="AS670" s="72">
        <f t="shared" si="697"/>
        <v>0</v>
      </c>
      <c r="AT670" s="72">
        <f t="shared" si="698"/>
        <v>0</v>
      </c>
      <c r="AU670" s="72">
        <f t="shared" si="710"/>
        <v>0</v>
      </c>
      <c r="AV670" s="72">
        <f t="shared" si="699"/>
        <v>0</v>
      </c>
      <c r="AW670" s="72">
        <f t="shared" si="700"/>
        <v>0</v>
      </c>
      <c r="AX670" s="72">
        <f t="shared" si="701"/>
        <v>0</v>
      </c>
      <c r="AY670" s="72">
        <f t="shared" si="702"/>
        <v>0</v>
      </c>
      <c r="AZ670" s="72">
        <f t="shared" si="703"/>
        <v>0</v>
      </c>
      <c r="BA670" s="72" t="e">
        <f t="shared" si="704"/>
        <v>#N/A</v>
      </c>
      <c r="BB670" s="72" t="e">
        <f t="shared" si="705"/>
        <v>#N/A</v>
      </c>
      <c r="BC670" s="77"/>
      <c r="BE670">
        <f t="shared" si="685"/>
        <v>0</v>
      </c>
      <c r="BF670" s="196"/>
      <c r="BG670" s="196"/>
      <c r="BH670" s="196"/>
      <c r="BI670" s="196"/>
      <c r="BJ670" s="196"/>
      <c r="BK670" s="196"/>
    </row>
    <row r="671" spans="2:63" hidden="1">
      <c r="B671" s="72"/>
      <c r="C671" s="135"/>
      <c r="D671" s="78"/>
      <c r="E671" s="78"/>
      <c r="F671" s="72"/>
      <c r="G671" s="72"/>
      <c r="H671" s="72"/>
      <c r="I671" s="73">
        <f t="shared" si="687"/>
        <v>0</v>
      </c>
      <c r="J671" s="78"/>
      <c r="K671" s="73"/>
      <c r="L671" s="74" t="e">
        <f>_xlfn.IFNA(VLOOKUP(C671,'חד גזעי'!$U$3:$V$509,2,0),VLOOKUP(C671,'חד גזעי'!$U$3:$V$509,2))</f>
        <v>#N/A</v>
      </c>
      <c r="M671" s="73"/>
      <c r="N671" s="72" t="e">
        <f>_xlfn.IFNA(IF(VLOOKUP(C671,'חד גזעי'!$AH$2:$AH$7,1,FALSE)&gt;0,0,IF('חד גזעי'!$AM$5="כן",IF(_xlfn.IFNA(VLOOKUP(C671,'חד גזעי'!$AH$2:$AH$33,1,FALSE),SUM(J671:M671))&lt;21,_xlfn.IFNA(VLOOKUP(C671,'חד גזעי'!$AH$2:$AH$33,1,FALSE),SUM(J671:M671)),0),SUM(J671:M671))),IF('חד גזעי'!$AM$5="כן",IF(_xlfn.IFNA(VLOOKUP(C671,'חד גזעי'!$AH$2:$AH$33,1,FALSE),SUM(J671:M671))&lt;21,_xlfn.IFNA(VLOOKUP(C671,'חד גזעי'!$AH$2:$AH$33,1,FALSE),SUM(J671:M671)),0),SUM(J671:M671)))</f>
        <v>#N/A</v>
      </c>
      <c r="O671" s="72">
        <f>IF('חד גזעי'!$AM$3 = "כן",IF(T671&gt;4,4,T671),T671)</f>
        <v>0</v>
      </c>
      <c r="P671" s="80">
        <f>IF(E671&lt;2,0,IF(Z671&gt;0,Z671,IF(N671 = 0,0,IF('חד גזעי'!$AM$2 = "לא",IF(F671&gt;19,W671,0),IF(F671&gt;9,Y671,0)))))</f>
        <v>0</v>
      </c>
      <c r="Q671" s="77"/>
      <c r="R671" s="76"/>
      <c r="S671" t="e">
        <f>VLOOKUP(C671,'חד גזעי'!$Y$4:$Y$18,1,0)</f>
        <v>#N/A</v>
      </c>
      <c r="T671" s="72">
        <f>IF('חד גזעי'!$AM$6="לא",IF(P671=0,IF(BC671="שימור",IF('חד גזעי'!$AM$4="לא",IF(BC671="לא בוגר",0,IF(BC671="לא קיים",0,IF(J671=0,0,I671*0.1))),IF(BC671="לא בוגר",0,IF(BC671="לא קיים",0,IF(AB671=1,I671*0.1,E671*0.5)))),0),IF('חד גזעי'!$AM$4="לא",IF(BC671="לא בוגר",0,IF(BC671="לא קיים",0,IF(J671=0,0,I671*0.1))),IF(BC671="לא בוגר",0,IF(BC671="לא קיים",0,IF(AB671=1,I671*0.1,E671*0.5))))),IF(P671=0,IF(BC671="שימור",IF('חד גזעי'!$AM$4="לא",IF(BC671="לא בוגר",0,IF(BC671="לא קיים",0,IF(J671=0,0,I671*0.15))),IF(BC671="לא בוגר",0,IF(BC671="לא קיים",0,IF(AB671=1,I671*0.15,E671*0.5)))),0),IF('חד גזעי'!$AM$4="לא",IF(BC671="לא בוגר",0,IF(BC671="לא קיים",0,IF(J671=0,0,I671*0.15))),IF(BC671="לא בוגר",0,IF(BC671="לא קיים",0,IF(AB671=1,I671*0.15,E671*0.5))))))</f>
        <v>0</v>
      </c>
      <c r="V671" t="e">
        <f t="shared" si="706"/>
        <v>#N/A</v>
      </c>
      <c r="W671" t="e">
        <f t="shared" si="707"/>
        <v>#N/A</v>
      </c>
      <c r="X671" t="e">
        <f t="shared" si="708"/>
        <v>#N/A</v>
      </c>
      <c r="Y671">
        <f>IF('חד גזעי'!$AM$2 = "לא",0,IF(F671&gt;9,W671,0))</f>
        <v>0</v>
      </c>
      <c r="Z671">
        <f>IF('חד גזעי'!$AM$7 = "לא",0,IF(C671 = "זית אירופי",IF('חד גזעי'!$AN$7 &lt;=סקר!F671,W671,0),IF(C671 = "חרוב מצוי",IF('חד גזעי'!$AN$7 &lt;=סקר!F671,W671,0),0)))</f>
        <v>0</v>
      </c>
      <c r="AB671">
        <f t="shared" si="688"/>
        <v>1</v>
      </c>
      <c r="AC671" s="72"/>
      <c r="AD671" t="e">
        <f t="shared" si="709"/>
        <v>#N/A</v>
      </c>
      <c r="AE671" s="72"/>
      <c r="AF671" s="72" t="e">
        <f t="shared" si="689"/>
        <v>#N/A</v>
      </c>
      <c r="AG671" s="72" t="e">
        <f>IF('חד גזעי'!$AM$5="לא",(VLOOKUP(C671,'חד גזעי'!$P$1:$S$589,3,FALSE)),(VLOOKUP(C671,'חד גזעי'!$P$1:$S$589,4,FALSE)))</f>
        <v>#N/A</v>
      </c>
      <c r="AH671" s="72">
        <f t="shared" si="690"/>
        <v>0</v>
      </c>
      <c r="AI671" s="72">
        <f t="shared" si="691"/>
        <v>0</v>
      </c>
      <c r="AJ671" s="72">
        <f t="shared" si="692"/>
        <v>0</v>
      </c>
      <c r="AK671" s="72" t="e">
        <f t="shared" si="693"/>
        <v>#N/A</v>
      </c>
      <c r="AL671" t="e">
        <f>VLOOKUP(C671,'חד גזעי'!$AH$8:$AI$33,2,FALSE)</f>
        <v>#N/A</v>
      </c>
      <c r="AM671" s="72" t="b">
        <f t="shared" si="694"/>
        <v>0</v>
      </c>
      <c r="AN671" s="72" t="b">
        <f t="shared" si="695"/>
        <v>0</v>
      </c>
      <c r="AO671" s="72" t="b">
        <f t="shared" si="696"/>
        <v>0</v>
      </c>
      <c r="AS671" s="72">
        <f t="shared" si="697"/>
        <v>0</v>
      </c>
      <c r="AT671" s="72">
        <f t="shared" si="698"/>
        <v>0</v>
      </c>
      <c r="AU671" s="72">
        <f t="shared" si="710"/>
        <v>0</v>
      </c>
      <c r="AV671" s="72">
        <f t="shared" si="699"/>
        <v>0</v>
      </c>
      <c r="AW671" s="72">
        <f t="shared" si="700"/>
        <v>0</v>
      </c>
      <c r="AX671" s="72">
        <f t="shared" si="701"/>
        <v>0</v>
      </c>
      <c r="AY671" s="72">
        <f t="shared" si="702"/>
        <v>0</v>
      </c>
      <c r="AZ671" s="72">
        <f t="shared" si="703"/>
        <v>0</v>
      </c>
      <c r="BA671" s="72" t="e">
        <f t="shared" si="704"/>
        <v>#N/A</v>
      </c>
      <c r="BB671" s="72" t="e">
        <f t="shared" si="705"/>
        <v>#N/A</v>
      </c>
      <c r="BC671" s="77"/>
      <c r="BE671">
        <f t="shared" si="685"/>
        <v>0</v>
      </c>
      <c r="BF671" s="196"/>
      <c r="BG671" s="196"/>
      <c r="BH671" s="196"/>
      <c r="BI671" s="196"/>
      <c r="BJ671" s="196"/>
      <c r="BK671" s="196"/>
    </row>
    <row r="672" spans="2:63" hidden="1">
      <c r="B672" s="72"/>
      <c r="C672" s="135"/>
      <c r="D672" s="78"/>
      <c r="E672" s="78"/>
      <c r="F672" s="72"/>
      <c r="G672" s="72"/>
      <c r="H672" s="72"/>
      <c r="I672" s="73">
        <f t="shared" si="687"/>
        <v>0</v>
      </c>
      <c r="J672" s="78"/>
      <c r="K672" s="73"/>
      <c r="L672" s="74" t="e">
        <f>_xlfn.IFNA(VLOOKUP(C672,'חד גזעי'!$U$3:$V$509,2,0),VLOOKUP(C672,'חד גזעי'!$U$3:$V$509,2))</f>
        <v>#N/A</v>
      </c>
      <c r="M672" s="102"/>
      <c r="N672" s="72" t="e">
        <f>_xlfn.IFNA(IF(VLOOKUP(C672,'חד גזעי'!$AH$2:$AH$7,1,FALSE)&gt;0,0,IF('חד גזעי'!$AM$5="כן",IF(_xlfn.IFNA(VLOOKUP(C672,'חד גזעי'!$AH$2:$AH$33,1,FALSE),SUM(J672:M672))&lt;21,_xlfn.IFNA(VLOOKUP(C672,'חד גזעי'!$AH$2:$AH$33,1,FALSE),SUM(J672:M672)),0),SUM(J672:M672))),IF('חד גזעי'!$AM$5="כן",IF(_xlfn.IFNA(VLOOKUP(C672,'חד גזעי'!$AH$2:$AH$33,1,FALSE),SUM(J672:M672))&lt;21,_xlfn.IFNA(VLOOKUP(C672,'חד גזעי'!$AH$2:$AH$33,1,FALSE),SUM(J672:M672)),0),SUM(J672:M672)))</f>
        <v>#N/A</v>
      </c>
      <c r="O672" s="72">
        <f>IF('חד גזעי'!$AM$3 = "כן",IF(T672&gt;4,4,T672),T672)</f>
        <v>0</v>
      </c>
      <c r="P672" s="80">
        <f>IF(E672&lt;2,0,IF(Z672&gt;0,Z672,IF(N672 = 0,0,IF('חד גזעי'!$AM$2 = "לא",IF(F672&gt;19,W672,0),IF(F672&gt;9,Y672,0)))))</f>
        <v>0</v>
      </c>
      <c r="Q672" s="77"/>
      <c r="R672" s="76"/>
      <c r="S672" t="e">
        <f>VLOOKUP(C672,'חד גזעי'!$Y$4:$Y$18,1,0)</f>
        <v>#N/A</v>
      </c>
      <c r="T672" s="72">
        <f>IF('חד גזעי'!$AM$6="לא",IF(P672=0,IF(BC672="שימור",IF('חד גזעי'!$AM$4="לא",IF(BC672="לא בוגר",0,IF(BC672="לא קיים",0,IF(J672=0,0,I672*0.1))),IF(BC672="לא בוגר",0,IF(BC672="לא קיים",0,IF(AB672=1,I672*0.1,E672*0.5)))),0),IF('חד גזעי'!$AM$4="לא",IF(BC672="לא בוגר",0,IF(BC672="לא קיים",0,IF(J672=0,0,I672*0.1))),IF(BC672="לא בוגר",0,IF(BC672="לא קיים",0,IF(AB672=1,I672*0.1,E672*0.5))))),IF(P672=0,IF(BC672="שימור",IF('חד גזעי'!$AM$4="לא",IF(BC672="לא בוגר",0,IF(BC672="לא קיים",0,IF(J672=0,0,I672*0.15))),IF(BC672="לא בוגר",0,IF(BC672="לא קיים",0,IF(AB672=1,I672*0.15,E672*0.5)))),0),IF('חד גזעי'!$AM$4="לא",IF(BC672="לא בוגר",0,IF(BC672="לא קיים",0,IF(J672=0,0,I672*0.15))),IF(BC672="לא בוגר",0,IF(BC672="לא קיים",0,IF(AB672=1,I672*0.15,E672*0.5))))))</f>
        <v>0</v>
      </c>
      <c r="V672" t="e">
        <f t="shared" si="706"/>
        <v>#N/A</v>
      </c>
      <c r="W672" t="e">
        <f t="shared" si="707"/>
        <v>#N/A</v>
      </c>
      <c r="X672" t="e">
        <f t="shared" si="708"/>
        <v>#N/A</v>
      </c>
      <c r="Y672">
        <f>IF('חד גזעי'!$AM$2 = "לא",0,IF(F672&gt;9,W672,0))</f>
        <v>0</v>
      </c>
      <c r="Z672">
        <f>IF('חד גזעי'!$AM$7 = "לא",0,IF(C672 = "זית אירופי",IF('חד גזעי'!$AN$7 &lt;=סקר!F672,W672,0),IF(C672 = "חרוב מצוי",IF('חד גזעי'!$AN$7 &lt;=סקר!F672,W672,0),0)))</f>
        <v>0</v>
      </c>
      <c r="AB672">
        <f t="shared" si="688"/>
        <v>1</v>
      </c>
      <c r="AC672" s="72"/>
      <c r="AD672" t="e">
        <f t="shared" si="709"/>
        <v>#N/A</v>
      </c>
      <c r="AE672" s="72"/>
      <c r="AF672" s="72" t="e">
        <f t="shared" si="689"/>
        <v>#N/A</v>
      </c>
      <c r="AG672" s="72" t="e">
        <f>IF('חד גזעי'!$AM$5="לא",(VLOOKUP(C672,'חד גזעי'!$P$1:$S$589,3,FALSE)),(VLOOKUP(C672,'חד גזעי'!$P$1:$S$589,4,FALSE)))</f>
        <v>#N/A</v>
      </c>
      <c r="AH672" s="72">
        <f t="shared" si="690"/>
        <v>0</v>
      </c>
      <c r="AI672" s="72">
        <f t="shared" si="691"/>
        <v>0</v>
      </c>
      <c r="AJ672" s="72">
        <f t="shared" si="692"/>
        <v>0</v>
      </c>
      <c r="AK672" s="72" t="e">
        <f t="shared" si="693"/>
        <v>#N/A</v>
      </c>
      <c r="AL672" t="e">
        <f>VLOOKUP(C672,'חד גזעי'!$AH$8:$AI$33,2,FALSE)</f>
        <v>#N/A</v>
      </c>
      <c r="AM672" s="72" t="b">
        <f t="shared" si="694"/>
        <v>0</v>
      </c>
      <c r="AN672" s="72" t="b">
        <f t="shared" si="695"/>
        <v>0</v>
      </c>
      <c r="AO672" s="72" t="b">
        <f t="shared" si="696"/>
        <v>0</v>
      </c>
      <c r="AS672" s="72">
        <f t="shared" si="697"/>
        <v>0</v>
      </c>
      <c r="AT672" s="72">
        <f t="shared" si="698"/>
        <v>0</v>
      </c>
      <c r="AU672" s="72">
        <f t="shared" si="710"/>
        <v>0</v>
      </c>
      <c r="AV672" s="72">
        <f t="shared" si="699"/>
        <v>0</v>
      </c>
      <c r="AW672" s="72">
        <f t="shared" si="700"/>
        <v>0</v>
      </c>
      <c r="AX672" s="72">
        <f t="shared" si="701"/>
        <v>0</v>
      </c>
      <c r="AY672" s="72">
        <f t="shared" si="702"/>
        <v>0</v>
      </c>
      <c r="AZ672" s="72">
        <f t="shared" si="703"/>
        <v>0</v>
      </c>
      <c r="BA672" s="72" t="e">
        <f t="shared" si="704"/>
        <v>#N/A</v>
      </c>
      <c r="BB672" s="72" t="e">
        <f t="shared" si="705"/>
        <v>#N/A</v>
      </c>
      <c r="BC672" s="77"/>
      <c r="BE672">
        <f t="shared" si="685"/>
        <v>0</v>
      </c>
      <c r="BF672" s="196"/>
      <c r="BG672" s="196"/>
      <c r="BH672" s="196"/>
      <c r="BI672" s="196"/>
      <c r="BJ672" s="196"/>
      <c r="BK672" s="196"/>
    </row>
    <row r="673" spans="1:63" hidden="1">
      <c r="B673" s="72"/>
      <c r="C673" s="135"/>
      <c r="D673" s="73"/>
      <c r="E673" s="73"/>
      <c r="F673" s="72"/>
      <c r="G673" s="72"/>
      <c r="H673" s="72"/>
      <c r="I673" s="73">
        <f t="shared" si="687"/>
        <v>0</v>
      </c>
      <c r="J673" s="73"/>
      <c r="K673" s="73"/>
      <c r="L673" s="74" t="e">
        <f>_xlfn.IFNA(VLOOKUP(C673,'חד גזעי'!$U$3:$V$509,2,0),VLOOKUP(C673,'חד גזעי'!$U$3:$V$509,2))</f>
        <v>#N/A</v>
      </c>
      <c r="M673" s="73"/>
      <c r="N673" s="72" t="e">
        <f>_xlfn.IFNA(IF(VLOOKUP(C673,'חד גזעי'!$AH$2:$AH$7,1,FALSE)&gt;0,0,IF('חד גזעי'!$AM$5="כן",IF(_xlfn.IFNA(VLOOKUP(C673,'חד גזעי'!$AH$2:$AH$33,1,FALSE),SUM(J673:M673))&lt;21,_xlfn.IFNA(VLOOKUP(C673,'חד גזעי'!$AH$2:$AH$33,1,FALSE),SUM(J673:M673)),0),SUM(J673:M673))),IF('חד גזעי'!$AM$5="כן",IF(_xlfn.IFNA(VLOOKUP(C673,'חד גזעי'!$AH$2:$AH$33,1,FALSE),SUM(J673:M673))&lt;21,_xlfn.IFNA(VLOOKUP(C673,'חד גזעי'!$AH$2:$AH$33,1,FALSE),SUM(J673:M673)),0),SUM(J673:M673)))</f>
        <v>#N/A</v>
      </c>
      <c r="O673" s="72">
        <f>IF('חד גזעי'!$AM$3 = "כן",IF(T673&gt;4,4,T673),T673)</f>
        <v>0</v>
      </c>
      <c r="P673" s="80">
        <f>IF(E673&lt;2,0,IF(Z673&gt;0,Z673,IF(N673 = 0,0,IF('חד גזעי'!$AM$2 = "לא",IF(F673&gt;19,W673,0),IF(F673&gt;9,Y673,0)))))</f>
        <v>0</v>
      </c>
      <c r="Q673" s="77"/>
      <c r="R673" s="76"/>
      <c r="S673" t="e">
        <f>VLOOKUP(C673,'חד גזעי'!$Y$4:$Y$18,1,0)</f>
        <v>#N/A</v>
      </c>
      <c r="T673" s="72">
        <f>IF('חד גזעי'!$AM$6="לא",IF(P673=0,IF(BC673="שימור",IF('חד גזעי'!$AM$4="לא",IF(BC673="לא בוגר",0,IF(BC673="לא קיים",0,IF(J673=0,0,I673*0.1))),IF(BC673="לא בוגר",0,IF(BC673="לא קיים",0,IF(AB673=1,I673*0.1,E673*0.5)))),0),IF('חד גזעי'!$AM$4="לא",IF(BC673="לא בוגר",0,IF(BC673="לא קיים",0,IF(J673=0,0,I673*0.1))),IF(BC673="לא בוגר",0,IF(BC673="לא קיים",0,IF(AB673=1,I673*0.1,E673*0.5))))),IF(P673=0,IF(BC673="שימור",IF('חד גזעי'!$AM$4="לא",IF(BC673="לא בוגר",0,IF(BC673="לא קיים",0,IF(J673=0,0,I673*0.15))),IF(BC673="לא בוגר",0,IF(BC673="לא קיים",0,IF(AB673=1,I673*0.15,E673*0.5)))),0),IF('חד גזעי'!$AM$4="לא",IF(BC673="לא בוגר",0,IF(BC673="לא קיים",0,IF(J673=0,0,I673*0.15))),IF(BC673="לא בוגר",0,IF(BC673="לא קיים",0,IF(AB673=1,I673*0.15,E673*0.5))))))</f>
        <v>0</v>
      </c>
      <c r="V673" t="e">
        <f t="shared" si="706"/>
        <v>#N/A</v>
      </c>
      <c r="W673" t="e">
        <f t="shared" si="707"/>
        <v>#N/A</v>
      </c>
      <c r="X673" t="e">
        <f t="shared" si="708"/>
        <v>#N/A</v>
      </c>
      <c r="Y673">
        <f>IF('חד גזעי'!$AM$2 = "לא",0,IF(F673&gt;9,W673,0))</f>
        <v>0</v>
      </c>
      <c r="Z673">
        <f>IF('חד גזעי'!$AM$7 = "לא",0,IF(C673 = "זית אירופי",IF('חד גזעי'!$AN$7 &lt;=סקר!F673,W673,0),IF(C673 = "חרוב מצוי",IF('חד גזעי'!$AN$7 &lt;=סקר!F673,W673,0),0)))</f>
        <v>0</v>
      </c>
      <c r="AB673">
        <f t="shared" si="688"/>
        <v>1</v>
      </c>
      <c r="AC673" s="72"/>
      <c r="AD673" t="e">
        <f t="shared" si="709"/>
        <v>#N/A</v>
      </c>
      <c r="AE673" s="72"/>
      <c r="AF673" s="72" t="e">
        <f t="shared" si="689"/>
        <v>#N/A</v>
      </c>
      <c r="AG673" s="72" t="e">
        <f>IF('חד גזעי'!$AM$5="לא",(VLOOKUP(C673,'חד גזעי'!$P$1:$S$589,3,FALSE)),(VLOOKUP(C673,'חד גזעי'!$P$1:$S$589,4,FALSE)))</f>
        <v>#N/A</v>
      </c>
      <c r="AH673" s="72">
        <f t="shared" si="690"/>
        <v>0</v>
      </c>
      <c r="AI673" s="72">
        <f t="shared" si="691"/>
        <v>0</v>
      </c>
      <c r="AJ673" s="72">
        <f t="shared" si="692"/>
        <v>0</v>
      </c>
      <c r="AK673" s="72" t="e">
        <f t="shared" si="693"/>
        <v>#N/A</v>
      </c>
      <c r="AL673" t="e">
        <f>VLOOKUP(C673,'חד גזעי'!$AH$8:$AI$33,2,FALSE)</f>
        <v>#N/A</v>
      </c>
      <c r="AM673" s="72" t="b">
        <f t="shared" si="694"/>
        <v>0</v>
      </c>
      <c r="AN673" s="72" t="b">
        <f t="shared" si="695"/>
        <v>0</v>
      </c>
      <c r="AO673" s="72" t="b">
        <f t="shared" si="696"/>
        <v>0</v>
      </c>
      <c r="AS673" s="72">
        <f t="shared" si="697"/>
        <v>0</v>
      </c>
      <c r="AT673" s="72">
        <f t="shared" si="698"/>
        <v>0</v>
      </c>
      <c r="AU673" s="72">
        <f t="shared" si="710"/>
        <v>0</v>
      </c>
      <c r="AV673" s="72">
        <f t="shared" si="699"/>
        <v>0</v>
      </c>
      <c r="AW673" s="72">
        <f t="shared" si="700"/>
        <v>0</v>
      </c>
      <c r="AX673" s="72">
        <f t="shared" si="701"/>
        <v>0</v>
      </c>
      <c r="AY673" s="72">
        <f t="shared" si="702"/>
        <v>0</v>
      </c>
      <c r="AZ673" s="72">
        <f t="shared" si="703"/>
        <v>0</v>
      </c>
      <c r="BA673" s="72" t="e">
        <f t="shared" si="704"/>
        <v>#N/A</v>
      </c>
      <c r="BB673" s="72" t="e">
        <f t="shared" si="705"/>
        <v>#N/A</v>
      </c>
      <c r="BC673" s="77"/>
      <c r="BE673">
        <f t="shared" si="685"/>
        <v>0</v>
      </c>
      <c r="BF673" s="196"/>
      <c r="BG673" s="196"/>
      <c r="BH673" s="196"/>
      <c r="BI673" s="196"/>
      <c r="BJ673" s="196"/>
      <c r="BK673" s="196"/>
    </row>
    <row r="674" spans="1:63" hidden="1">
      <c r="B674" s="72"/>
      <c r="C674" s="135"/>
      <c r="D674" s="73"/>
      <c r="E674" s="73"/>
      <c r="F674" s="72"/>
      <c r="G674" s="72"/>
      <c r="H674" s="72"/>
      <c r="I674" s="73">
        <f t="shared" si="687"/>
        <v>0</v>
      </c>
      <c r="J674" s="73"/>
      <c r="K674" s="73"/>
      <c r="L674" s="74" t="e">
        <f>_xlfn.IFNA(VLOOKUP(C674,'חד גזעי'!$U$3:$V$509,2,0),VLOOKUP(C674,'חד גזעי'!$U$3:$V$509,2))</f>
        <v>#N/A</v>
      </c>
      <c r="M674" s="73"/>
      <c r="N674" s="72" t="e">
        <f>_xlfn.IFNA(IF(VLOOKUP(C674,'חד גזעי'!$AH$2:$AH$7,1,FALSE)&gt;0,0,IF('חד גזעי'!$AM$5="כן",IF(_xlfn.IFNA(VLOOKUP(C674,'חד גזעי'!$AH$2:$AH$33,1,FALSE),SUM(J674:M674))&lt;21,_xlfn.IFNA(VLOOKUP(C674,'חד גזעי'!$AH$2:$AH$33,1,FALSE),SUM(J674:M674)),0),SUM(J674:M674))),IF('חד גזעי'!$AM$5="כן",IF(_xlfn.IFNA(VLOOKUP(C674,'חד גזעי'!$AH$2:$AH$33,1,FALSE),SUM(J674:M674))&lt;21,_xlfn.IFNA(VLOOKUP(C674,'חד גזעי'!$AH$2:$AH$33,1,FALSE),SUM(J674:M674)),0),SUM(J674:M674)))</f>
        <v>#N/A</v>
      </c>
      <c r="O674" s="72">
        <f>IF('חד גזעי'!$AM$3 = "כן",IF(T674&gt;4,4,T674),T674)</f>
        <v>0</v>
      </c>
      <c r="P674" s="80">
        <f>IF(E674&lt;2,0,IF(Z674&gt;0,Z674,IF(N674 = 0,0,IF('חד גזעי'!$AM$2 = "לא",IF(F674&gt;19,W674,0),IF(F674&gt;9,Y674,0)))))</f>
        <v>0</v>
      </c>
      <c r="Q674" s="77"/>
      <c r="R674" s="76"/>
      <c r="S674" t="e">
        <f>VLOOKUP(C674,'חד גזעי'!$Y$4:$Y$18,1,0)</f>
        <v>#N/A</v>
      </c>
      <c r="T674" s="72">
        <f>IF('חד גזעי'!$AM$6="לא",IF(P674=0,IF(BC674="שימור",IF('חד גזעי'!$AM$4="לא",IF(BC674="לא בוגר",0,IF(BC674="לא קיים",0,IF(J674=0,0,I674*0.1))),IF(BC674="לא בוגר",0,IF(BC674="לא קיים",0,IF(AB674=1,I674*0.1,E674*0.5)))),0),IF('חד גזעי'!$AM$4="לא",IF(BC674="לא בוגר",0,IF(BC674="לא קיים",0,IF(J674=0,0,I674*0.1))),IF(BC674="לא בוגר",0,IF(BC674="לא קיים",0,IF(AB674=1,I674*0.1,E674*0.5))))),IF(P674=0,IF(BC674="שימור",IF('חד גזעי'!$AM$4="לא",IF(BC674="לא בוגר",0,IF(BC674="לא קיים",0,IF(J674=0,0,I674*0.15))),IF(BC674="לא בוגר",0,IF(BC674="לא קיים",0,IF(AB674=1,I674*0.15,E674*0.5)))),0),IF('חד גזעי'!$AM$4="לא",IF(BC674="לא בוגר",0,IF(BC674="לא קיים",0,IF(J674=0,0,I674*0.15))),IF(BC674="לא בוגר",0,IF(BC674="לא קיים",0,IF(AB674=1,I674*0.15,E674*0.5))))))</f>
        <v>0</v>
      </c>
      <c r="V674" t="e">
        <f t="shared" si="706"/>
        <v>#N/A</v>
      </c>
      <c r="W674" t="e">
        <f t="shared" si="707"/>
        <v>#N/A</v>
      </c>
      <c r="X674" t="e">
        <f t="shared" si="708"/>
        <v>#N/A</v>
      </c>
      <c r="Y674">
        <f>IF('חד גזעי'!$AM$2 = "לא",0,IF(F674&gt;9,W674,0))</f>
        <v>0</v>
      </c>
      <c r="Z674">
        <f>IF('חד גזעי'!$AM$7 = "לא",0,IF(C674 = "זית אירופי",IF('חד גזעי'!$AN$7 &lt;=סקר!F674,W674,0),IF(C674 = "חרוב מצוי",IF('חד גזעי'!$AN$7 &lt;=סקר!F674,W674,0),0)))</f>
        <v>0</v>
      </c>
      <c r="AB674">
        <f t="shared" si="688"/>
        <v>1</v>
      </c>
      <c r="AC674" s="72"/>
      <c r="AD674" t="e">
        <f t="shared" si="709"/>
        <v>#N/A</v>
      </c>
      <c r="AE674" s="72"/>
      <c r="AF674" s="72" t="e">
        <f t="shared" si="689"/>
        <v>#N/A</v>
      </c>
      <c r="AG674" s="72" t="e">
        <f>IF('חד גזעי'!$AM$5="לא",(VLOOKUP(C674,'חד גזעי'!$P$1:$S$589,3,FALSE)),(VLOOKUP(C674,'חד גזעי'!$P$1:$S$589,4,FALSE)))</f>
        <v>#N/A</v>
      </c>
      <c r="AH674" s="72">
        <f t="shared" si="690"/>
        <v>0</v>
      </c>
      <c r="AI674" s="72">
        <f t="shared" si="691"/>
        <v>0</v>
      </c>
      <c r="AJ674" s="72">
        <f t="shared" si="692"/>
        <v>0</v>
      </c>
      <c r="AK674" s="72" t="e">
        <f t="shared" si="693"/>
        <v>#N/A</v>
      </c>
      <c r="AL674" t="e">
        <f>VLOOKUP(C674,'חד גזעי'!$AH$8:$AI$33,2,FALSE)</f>
        <v>#N/A</v>
      </c>
      <c r="AM674" s="72" t="b">
        <f t="shared" si="694"/>
        <v>0</v>
      </c>
      <c r="AN674" s="72" t="b">
        <f t="shared" si="695"/>
        <v>0</v>
      </c>
      <c r="AO674" s="72" t="b">
        <f t="shared" si="696"/>
        <v>0</v>
      </c>
      <c r="AS674" s="72">
        <f t="shared" si="697"/>
        <v>0</v>
      </c>
      <c r="AT674" s="72">
        <f t="shared" si="698"/>
        <v>0</v>
      </c>
      <c r="AU674" s="72">
        <f t="shared" si="710"/>
        <v>0</v>
      </c>
      <c r="AV674" s="72">
        <f t="shared" si="699"/>
        <v>0</v>
      </c>
      <c r="AW674" s="72">
        <f t="shared" si="700"/>
        <v>0</v>
      </c>
      <c r="AX674" s="72">
        <f t="shared" si="701"/>
        <v>0</v>
      </c>
      <c r="AY674" s="72">
        <f t="shared" si="702"/>
        <v>0</v>
      </c>
      <c r="AZ674" s="72">
        <f t="shared" si="703"/>
        <v>0</v>
      </c>
      <c r="BA674" s="72" t="e">
        <f t="shared" si="704"/>
        <v>#N/A</v>
      </c>
      <c r="BB674" s="72" t="e">
        <f t="shared" si="705"/>
        <v>#N/A</v>
      </c>
      <c r="BC674" s="77"/>
      <c r="BE674">
        <f t="shared" si="685"/>
        <v>0</v>
      </c>
      <c r="BF674" s="196"/>
      <c r="BG674" s="196"/>
      <c r="BH674" s="196"/>
      <c r="BI674" s="196"/>
      <c r="BJ674" s="196"/>
      <c r="BK674" s="196"/>
    </row>
    <row r="675" spans="1:63" hidden="1">
      <c r="B675" s="72"/>
      <c r="C675" s="135"/>
      <c r="D675" s="73"/>
      <c r="E675" s="73"/>
      <c r="F675" s="72"/>
      <c r="G675" s="72"/>
      <c r="H675" s="72"/>
      <c r="I675" s="73">
        <f t="shared" si="687"/>
        <v>0</v>
      </c>
      <c r="J675" s="73"/>
      <c r="K675" s="73"/>
      <c r="L675" s="74" t="e">
        <f>_xlfn.IFNA(VLOOKUP(C675,'חד גזעי'!$U$3:$V$509,2,0),VLOOKUP(C675,'חד גזעי'!$U$3:$V$509,2))</f>
        <v>#N/A</v>
      </c>
      <c r="M675" s="73"/>
      <c r="N675" s="72" t="e">
        <f>_xlfn.IFNA(IF(VLOOKUP(C675,'חד גזעי'!$AH$2:$AH$7,1,FALSE)&gt;0,0,IF('חד גזעי'!$AM$5="כן",IF(_xlfn.IFNA(VLOOKUP(C675,'חד גזעי'!$AH$2:$AH$33,1,FALSE),SUM(J675:M675))&lt;21,_xlfn.IFNA(VLOOKUP(C675,'חד גזעי'!$AH$2:$AH$33,1,FALSE),SUM(J675:M675)),0),SUM(J675:M675))),IF('חד גזעי'!$AM$5="כן",IF(_xlfn.IFNA(VLOOKUP(C675,'חד גזעי'!$AH$2:$AH$33,1,FALSE),SUM(J675:M675))&lt;21,_xlfn.IFNA(VLOOKUP(C675,'חד גזעי'!$AH$2:$AH$33,1,FALSE),SUM(J675:M675)),0),SUM(J675:M675)))</f>
        <v>#N/A</v>
      </c>
      <c r="O675" s="72">
        <f>IF('חד גזעי'!$AM$3 = "כן",IF(T675&gt;4,4,T675),T675)</f>
        <v>0</v>
      </c>
      <c r="P675" s="80">
        <f>IF(E675&lt;2,0,IF(Z675&gt;0,Z675,IF(N675 = 0,0,IF('חד גזעי'!$AM$2 = "לא",IF(F675&gt;19,W675,0),IF(F675&gt;9,Y675,0)))))</f>
        <v>0</v>
      </c>
      <c r="Q675" s="77"/>
      <c r="R675" s="76"/>
      <c r="S675" t="e">
        <f>VLOOKUP(C675,'חד גזעי'!$Y$4:$Y$18,1,0)</f>
        <v>#N/A</v>
      </c>
      <c r="T675" s="72">
        <f>IF('חד גזעי'!$AM$6="לא",IF(P675=0,IF(BC675="שימור",IF('חד גזעי'!$AM$4="לא",IF(BC675="לא בוגר",0,IF(BC675="לא קיים",0,IF(J675=0,0,I675*0.1))),IF(BC675="לא בוגר",0,IF(BC675="לא קיים",0,IF(AB675=1,I675*0.1,E675*0.5)))),0),IF('חד גזעי'!$AM$4="לא",IF(BC675="לא בוגר",0,IF(BC675="לא קיים",0,IF(J675=0,0,I675*0.1))),IF(BC675="לא בוגר",0,IF(BC675="לא קיים",0,IF(AB675=1,I675*0.1,E675*0.5))))),IF(P675=0,IF(BC675="שימור",IF('חד גזעי'!$AM$4="לא",IF(BC675="לא בוגר",0,IF(BC675="לא קיים",0,IF(J675=0,0,I675*0.15))),IF(BC675="לא בוגר",0,IF(BC675="לא קיים",0,IF(AB675=1,I675*0.15,E675*0.5)))),0),IF('חד גזעי'!$AM$4="לא",IF(BC675="לא בוגר",0,IF(BC675="לא קיים",0,IF(J675=0,0,I675*0.15))),IF(BC675="לא בוגר",0,IF(BC675="לא קיים",0,IF(AB675=1,I675*0.15,E675*0.5))))))</f>
        <v>0</v>
      </c>
      <c r="V675" t="e">
        <f t="shared" si="706"/>
        <v>#N/A</v>
      </c>
      <c r="W675" t="e">
        <f t="shared" si="707"/>
        <v>#N/A</v>
      </c>
      <c r="X675" t="e">
        <f t="shared" si="708"/>
        <v>#N/A</v>
      </c>
      <c r="Y675">
        <f>IF('חד גזעי'!$AM$2 = "לא",0,IF(F675&gt;9,W675,0))</f>
        <v>0</v>
      </c>
      <c r="Z675">
        <f>IF('חד גזעי'!$AM$7 = "לא",0,IF(C675 = "זית אירופי",IF('חד גזעי'!$AN$7 &lt;=סקר!F675,W675,0),IF(C675 = "חרוב מצוי",IF('חד גזעי'!$AN$7 &lt;=סקר!F675,W675,0),0)))</f>
        <v>0</v>
      </c>
      <c r="AB675">
        <f t="shared" si="688"/>
        <v>1</v>
      </c>
      <c r="AC675" s="72"/>
      <c r="AD675" t="e">
        <f t="shared" si="709"/>
        <v>#N/A</v>
      </c>
      <c r="AE675" s="72"/>
      <c r="AF675" s="72" t="e">
        <f t="shared" si="689"/>
        <v>#N/A</v>
      </c>
      <c r="AG675" s="72" t="e">
        <f>IF('חד גזעי'!$AM$5="לא",(VLOOKUP(C675,'חד גזעי'!$P$1:$S$589,3,FALSE)),(VLOOKUP(C675,'חד גזעי'!$P$1:$S$589,4,FALSE)))</f>
        <v>#N/A</v>
      </c>
      <c r="AH675" s="72">
        <f t="shared" si="690"/>
        <v>0</v>
      </c>
      <c r="AI675" s="72">
        <f t="shared" si="691"/>
        <v>0</v>
      </c>
      <c r="AJ675" s="72">
        <f t="shared" si="692"/>
        <v>0</v>
      </c>
      <c r="AK675" s="72" t="e">
        <f t="shared" si="693"/>
        <v>#N/A</v>
      </c>
      <c r="AL675" t="e">
        <f>VLOOKUP(C675,'חד גזעי'!$AH$8:$AI$33,2,FALSE)</f>
        <v>#N/A</v>
      </c>
      <c r="AM675" s="72" t="b">
        <f t="shared" si="694"/>
        <v>0</v>
      </c>
      <c r="AN675" s="72" t="b">
        <f t="shared" si="695"/>
        <v>0</v>
      </c>
      <c r="AO675" s="72" t="b">
        <f t="shared" si="696"/>
        <v>0</v>
      </c>
      <c r="AS675" s="72">
        <f t="shared" si="697"/>
        <v>0</v>
      </c>
      <c r="AT675" s="72">
        <f t="shared" si="698"/>
        <v>0</v>
      </c>
      <c r="AU675" s="72">
        <f t="shared" si="710"/>
        <v>0</v>
      </c>
      <c r="AV675" s="72">
        <f t="shared" si="699"/>
        <v>0</v>
      </c>
      <c r="AW675" s="72">
        <f t="shared" si="700"/>
        <v>0</v>
      </c>
      <c r="AX675" s="72">
        <f t="shared" si="701"/>
        <v>0</v>
      </c>
      <c r="AY675" s="72">
        <f t="shared" si="702"/>
        <v>0</v>
      </c>
      <c r="AZ675" s="72">
        <f t="shared" si="703"/>
        <v>0</v>
      </c>
      <c r="BA675" s="72" t="e">
        <f t="shared" si="704"/>
        <v>#N/A</v>
      </c>
      <c r="BB675" s="72" t="e">
        <f t="shared" si="705"/>
        <v>#N/A</v>
      </c>
      <c r="BC675" s="77"/>
      <c r="BE675">
        <f t="shared" si="685"/>
        <v>0</v>
      </c>
      <c r="BF675" s="196"/>
      <c r="BG675" s="196"/>
      <c r="BH675" s="196"/>
      <c r="BI675" s="196"/>
      <c r="BJ675" s="196"/>
      <c r="BK675" s="196"/>
    </row>
    <row r="676" spans="1:63" hidden="1">
      <c r="B676" s="72"/>
      <c r="C676" s="135"/>
      <c r="D676" s="73"/>
      <c r="E676" s="73"/>
      <c r="F676" s="72"/>
      <c r="G676" s="72"/>
      <c r="H676" s="72"/>
      <c r="I676" s="73">
        <f t="shared" si="687"/>
        <v>0</v>
      </c>
      <c r="J676" s="73"/>
      <c r="K676" s="73"/>
      <c r="L676" s="74" t="e">
        <f>_xlfn.IFNA(VLOOKUP(C676,'חד גזעי'!$U$3:$V$509,2,0),VLOOKUP(C676,'חד גזעי'!$U$3:$V$509,2))</f>
        <v>#N/A</v>
      </c>
      <c r="M676" s="73"/>
      <c r="N676" s="72" t="e">
        <f>_xlfn.IFNA(IF(VLOOKUP(C676,'חד גזעי'!$AH$2:$AH$7,1,FALSE)&gt;0,0,IF('חד גזעי'!$AM$5="כן",IF(_xlfn.IFNA(VLOOKUP(C676,'חד גזעי'!$AH$2:$AH$33,1,FALSE),SUM(J676:M676))&lt;21,_xlfn.IFNA(VLOOKUP(C676,'חד גזעי'!$AH$2:$AH$33,1,FALSE),SUM(J676:M676)),0),SUM(J676:M676))),IF('חד גזעי'!$AM$5="כן",IF(_xlfn.IFNA(VLOOKUP(C676,'חד גזעי'!$AH$2:$AH$33,1,FALSE),SUM(J676:M676))&lt;21,_xlfn.IFNA(VLOOKUP(C676,'חד גזעי'!$AH$2:$AH$33,1,FALSE),SUM(J676:M676)),0),SUM(J676:M676)))</f>
        <v>#N/A</v>
      </c>
      <c r="O676" s="72">
        <f>IF('חד גזעי'!$AM$3 = "כן",IF(T676&gt;4,4,T676),T676)</f>
        <v>0</v>
      </c>
      <c r="P676" s="80">
        <f>IF(E676&lt;2,0,IF(Z676&gt;0,Z676,IF(N676 = 0,0,IF('חד גזעי'!$AM$2 = "לא",IF(F676&gt;19,W676,0),IF(F676&gt;9,Y676,0)))))</f>
        <v>0</v>
      </c>
      <c r="Q676" s="77"/>
      <c r="R676" s="76"/>
      <c r="S676" t="e">
        <f>VLOOKUP(C676,'חד גזעי'!$Y$4:$Y$18,1,0)</f>
        <v>#N/A</v>
      </c>
      <c r="T676" s="72">
        <f>IF('חד גזעי'!$AM$6="לא",IF(P676=0,IF(BC676="שימור",IF('חד גזעי'!$AM$4="לא",IF(BC676="לא בוגר",0,IF(BC676="לא קיים",0,IF(J676=0,0,I676*0.1))),IF(BC676="לא בוגר",0,IF(BC676="לא קיים",0,IF(AB676=1,I676*0.1,E676*0.5)))),0),IF('חד גזעי'!$AM$4="לא",IF(BC676="לא בוגר",0,IF(BC676="לא קיים",0,IF(J676=0,0,I676*0.1))),IF(BC676="לא בוגר",0,IF(BC676="לא קיים",0,IF(AB676=1,I676*0.1,E676*0.5))))),IF(P676=0,IF(BC676="שימור",IF('חד גזעי'!$AM$4="לא",IF(BC676="לא בוגר",0,IF(BC676="לא קיים",0,IF(J676=0,0,I676*0.15))),IF(BC676="לא בוגר",0,IF(BC676="לא קיים",0,IF(AB676=1,I676*0.15,E676*0.5)))),0),IF('חד גזעי'!$AM$4="לא",IF(BC676="לא בוגר",0,IF(BC676="לא קיים",0,IF(J676=0,0,I676*0.15))),IF(BC676="לא בוגר",0,IF(BC676="לא קיים",0,IF(AB676=1,I676*0.15,E676*0.5))))))</f>
        <v>0</v>
      </c>
      <c r="V676" t="e">
        <f t="shared" si="706"/>
        <v>#N/A</v>
      </c>
      <c r="W676" t="e">
        <f t="shared" si="707"/>
        <v>#N/A</v>
      </c>
      <c r="X676" t="e">
        <f t="shared" si="708"/>
        <v>#N/A</v>
      </c>
      <c r="Y676">
        <f>IF('חד גזעי'!$AM$2 = "לא",0,IF(F676&gt;9,W676,0))</f>
        <v>0</v>
      </c>
      <c r="Z676">
        <f>IF('חד גזעי'!$AM$7 = "לא",0,IF(C676 = "זית אירופי",IF('חד גזעי'!$AN$7 &lt;=סקר!F676,W676,0),IF(C676 = "חרוב מצוי",IF('חד גזעי'!$AN$7 &lt;=סקר!F676,W676,0),0)))</f>
        <v>0</v>
      </c>
      <c r="AB676">
        <f t="shared" si="688"/>
        <v>1</v>
      </c>
      <c r="AC676" s="72"/>
      <c r="AD676" t="e">
        <f>IF(AK676&gt;0,AK676,AF676)</f>
        <v>#N/A</v>
      </c>
      <c r="AE676" s="72"/>
      <c r="AF676" s="72" t="e">
        <f t="shared" si="689"/>
        <v>#N/A</v>
      </c>
      <c r="AG676" s="72" t="e">
        <f>IF('חד גזעי'!$AM$5="לא",(VLOOKUP(C676,'חד גזעי'!$P$1:$S$589,3,FALSE)),(VLOOKUP(C676,'חד גזעי'!$P$1:$S$589,4,FALSE)))</f>
        <v>#N/A</v>
      </c>
      <c r="AH676" s="72">
        <f t="shared" si="690"/>
        <v>0</v>
      </c>
      <c r="AI676" s="72">
        <f t="shared" si="691"/>
        <v>0</v>
      </c>
      <c r="AJ676" s="72">
        <f t="shared" si="692"/>
        <v>0</v>
      </c>
      <c r="AK676" s="72" t="e">
        <f t="shared" si="693"/>
        <v>#N/A</v>
      </c>
      <c r="AL676" t="e">
        <f>VLOOKUP(C676,'חד גזעי'!$AH$8:$AI$33,2,FALSE)</f>
        <v>#N/A</v>
      </c>
      <c r="AM676" s="72" t="b">
        <f t="shared" si="694"/>
        <v>0</v>
      </c>
      <c r="AN676" s="72" t="b">
        <f t="shared" si="695"/>
        <v>0</v>
      </c>
      <c r="AO676" s="72" t="b">
        <f t="shared" si="696"/>
        <v>0</v>
      </c>
      <c r="AS676" s="72">
        <f t="shared" si="697"/>
        <v>0</v>
      </c>
      <c r="AT676" s="72">
        <f t="shared" si="698"/>
        <v>0</v>
      </c>
      <c r="AU676" s="72">
        <f>IF(C676&gt;0,IF(D676&lt;2,1,D676),0)</f>
        <v>0</v>
      </c>
      <c r="AV676" s="72">
        <f t="shared" si="699"/>
        <v>0</v>
      </c>
      <c r="AW676" s="72">
        <f t="shared" si="700"/>
        <v>0</v>
      </c>
      <c r="AX676" s="72">
        <f t="shared" si="701"/>
        <v>0</v>
      </c>
      <c r="AY676" s="72">
        <f t="shared" si="702"/>
        <v>0</v>
      </c>
      <c r="AZ676" s="72">
        <f t="shared" si="703"/>
        <v>0</v>
      </c>
      <c r="BA676" s="72" t="e">
        <f t="shared" si="704"/>
        <v>#N/A</v>
      </c>
      <c r="BB676" s="72" t="e">
        <f t="shared" si="705"/>
        <v>#N/A</v>
      </c>
      <c r="BC676" s="77"/>
      <c r="BE676">
        <f t="shared" si="685"/>
        <v>0</v>
      </c>
      <c r="BF676" s="196"/>
      <c r="BG676" s="196"/>
      <c r="BH676" s="196"/>
      <c r="BI676" s="196"/>
      <c r="BJ676" s="196"/>
      <c r="BK676" s="196"/>
    </row>
    <row r="677" spans="1:63" hidden="1">
      <c r="B677" s="72"/>
      <c r="C677" s="135"/>
      <c r="D677" s="73"/>
      <c r="E677" s="73"/>
      <c r="F677" s="72"/>
      <c r="G677" s="72"/>
      <c r="H677" s="72"/>
      <c r="I677" s="73">
        <f t="shared" si="687"/>
        <v>0</v>
      </c>
      <c r="J677" s="73"/>
      <c r="K677" s="73"/>
      <c r="L677" s="74" t="e">
        <f>_xlfn.IFNA(VLOOKUP(C677,'חד גזעי'!$U$3:$V$509,2,0),VLOOKUP(C677,'חד גזעי'!$U$3:$V$509,2))</f>
        <v>#N/A</v>
      </c>
      <c r="M677" s="73"/>
      <c r="N677" s="72" t="e">
        <f>_xlfn.IFNA(IF(VLOOKUP(C677,'חד גזעי'!$AH$2:$AH$7,1,FALSE)&gt;0,0,IF('חד גזעי'!$AM$5="כן",IF(_xlfn.IFNA(VLOOKUP(C677,'חד גזעי'!$AH$2:$AH$33,1,FALSE),SUM(J677:M677))&lt;21,_xlfn.IFNA(VLOOKUP(C677,'חד גזעי'!$AH$2:$AH$33,1,FALSE),SUM(J677:M677)),0),SUM(J677:M677))),IF('חד גזעי'!$AM$5="כן",IF(_xlfn.IFNA(VLOOKUP(C677,'חד גזעי'!$AH$2:$AH$33,1,FALSE),SUM(J677:M677))&lt;21,_xlfn.IFNA(VLOOKUP(C677,'חד גזעי'!$AH$2:$AH$33,1,FALSE),SUM(J677:M677)),0),SUM(J677:M677)))</f>
        <v>#N/A</v>
      </c>
      <c r="O677" s="72">
        <f>IF('חד גזעי'!$AM$3 = "כן",IF(T677&gt;4,4,T677),T677)</f>
        <v>0</v>
      </c>
      <c r="P677" s="80">
        <f>IF(E677&lt;2,0,IF(Z677&gt;0,Z677,IF(N677 = 0,0,IF('חד גזעי'!$AM$2 = "לא",IF(F677&gt;19,W677,0),IF(F677&gt;9,Y677,0)))))</f>
        <v>0</v>
      </c>
      <c r="Q677" s="77"/>
      <c r="R677" s="76"/>
      <c r="S677" t="e">
        <f>VLOOKUP(C677,'חד גזעי'!$Y$4:$Y$18,1,0)</f>
        <v>#N/A</v>
      </c>
      <c r="T677" s="72">
        <f>IF('חד גזעי'!$AM$6="לא",IF(P677=0,IF(BC677="שימור",IF('חד גזעי'!$AM$4="לא",IF(BC677="לא בוגר",0,IF(BC677="לא קיים",0,IF(J677=0,0,I677*0.1))),IF(BC677="לא בוגר",0,IF(BC677="לא קיים",0,IF(AB677=1,I677*0.1,E677*0.5)))),0),IF('חד גזעי'!$AM$4="לא",IF(BC677="לא בוגר",0,IF(BC677="לא קיים",0,IF(J677=0,0,I677*0.1))),IF(BC677="לא בוגר",0,IF(BC677="לא קיים",0,IF(AB677=1,I677*0.1,E677*0.5))))),IF(P677=0,IF(BC677="שימור",IF('חד גזעי'!$AM$4="לא",IF(BC677="לא בוגר",0,IF(BC677="לא קיים",0,IF(J677=0,0,I677*0.15))),IF(BC677="לא בוגר",0,IF(BC677="לא קיים",0,IF(AB677=1,I677*0.15,E677*0.5)))),0),IF('חד גזעי'!$AM$4="לא",IF(BC677="לא בוגר",0,IF(BC677="לא קיים",0,IF(J677=0,0,I677*0.15))),IF(BC677="לא בוגר",0,IF(BC677="לא קיים",0,IF(AB677=1,I677*0.15,E677*0.5))))))</f>
        <v>0</v>
      </c>
      <c r="V677" t="e">
        <f t="shared" si="706"/>
        <v>#N/A</v>
      </c>
      <c r="W677" t="e">
        <f t="shared" si="707"/>
        <v>#N/A</v>
      </c>
      <c r="X677" t="e">
        <f t="shared" si="708"/>
        <v>#N/A</v>
      </c>
      <c r="Y677">
        <f>IF('חד גזעי'!$AM$2 = "לא",0,IF(F677&gt;9,W677,0))</f>
        <v>0</v>
      </c>
      <c r="Z677">
        <f>IF('חד גזעי'!$AM$7 = "לא",0,IF(C677 = "זית אירופי",IF('חד גזעי'!$AN$7 &lt;=סקר!F677,W677,0),IF(C677 = "חרוב מצוי",IF('חד גזעי'!$AN$7 &lt;=סקר!F677,W677,0),0)))</f>
        <v>0</v>
      </c>
      <c r="AB677">
        <f t="shared" si="688"/>
        <v>1</v>
      </c>
      <c r="AC677" s="72"/>
      <c r="AD677" t="e">
        <f t="shared" si="709"/>
        <v>#N/A</v>
      </c>
      <c r="AE677" s="72"/>
      <c r="AF677" s="72" t="e">
        <f t="shared" si="689"/>
        <v>#N/A</v>
      </c>
      <c r="AG677" s="72" t="e">
        <f>IF('חד גזעי'!$AM$5="לא",(VLOOKUP(C677,'חד גזעי'!$P$1:$S$589,3,FALSE)),(VLOOKUP(C677,'חד גזעי'!$P$1:$S$589,4,FALSE)))</f>
        <v>#N/A</v>
      </c>
      <c r="AH677" s="72">
        <f t="shared" si="690"/>
        <v>0</v>
      </c>
      <c r="AI677" s="72">
        <f t="shared" si="691"/>
        <v>0</v>
      </c>
      <c r="AJ677" s="72">
        <f t="shared" si="692"/>
        <v>0</v>
      </c>
      <c r="AK677" s="72" t="e">
        <f t="shared" si="693"/>
        <v>#N/A</v>
      </c>
      <c r="AL677" t="e">
        <f>VLOOKUP(C677,'חד גזעי'!$AH$8:$AI$33,2,FALSE)</f>
        <v>#N/A</v>
      </c>
      <c r="AM677" s="72" t="b">
        <f t="shared" si="694"/>
        <v>0</v>
      </c>
      <c r="AN677" s="72" t="b">
        <f t="shared" si="695"/>
        <v>0</v>
      </c>
      <c r="AO677" s="72" t="b">
        <f t="shared" si="696"/>
        <v>0</v>
      </c>
      <c r="AS677" s="72">
        <f t="shared" si="697"/>
        <v>0</v>
      </c>
      <c r="AT677" s="72">
        <f t="shared" si="698"/>
        <v>0</v>
      </c>
      <c r="AU677" s="72">
        <f t="shared" si="710"/>
        <v>0</v>
      </c>
      <c r="AV677" s="72">
        <f t="shared" si="699"/>
        <v>0</v>
      </c>
      <c r="AW677" s="72">
        <f t="shared" si="700"/>
        <v>0</v>
      </c>
      <c r="AX677" s="72">
        <f t="shared" si="701"/>
        <v>0</v>
      </c>
      <c r="AY677" s="72">
        <f t="shared" si="702"/>
        <v>0</v>
      </c>
      <c r="AZ677" s="72">
        <f t="shared" si="703"/>
        <v>0</v>
      </c>
      <c r="BA677" s="72" t="e">
        <f t="shared" si="704"/>
        <v>#N/A</v>
      </c>
      <c r="BB677" s="72" t="e">
        <f t="shared" si="705"/>
        <v>#N/A</v>
      </c>
      <c r="BC677" s="77"/>
      <c r="BE677">
        <f t="shared" si="685"/>
        <v>0</v>
      </c>
      <c r="BF677" s="196"/>
      <c r="BG677" s="196"/>
      <c r="BH677" s="196"/>
      <c r="BI677" s="196"/>
      <c r="BJ677" s="196"/>
      <c r="BK677" s="196"/>
    </row>
    <row r="678" spans="1:63" hidden="1">
      <c r="B678" s="72"/>
      <c r="C678" s="135"/>
      <c r="D678" s="73"/>
      <c r="E678" s="73"/>
      <c r="F678" s="72"/>
      <c r="G678" s="72"/>
      <c r="H678" s="72"/>
      <c r="I678" s="73">
        <f t="shared" si="687"/>
        <v>0</v>
      </c>
      <c r="J678" s="73"/>
      <c r="K678" s="73"/>
      <c r="L678" s="74" t="e">
        <f>_xlfn.IFNA(VLOOKUP(C678,'חד גזעי'!$U$3:$V$509,2,0),VLOOKUP(C678,'חד גזעי'!$U$3:$V$509,2))</f>
        <v>#N/A</v>
      </c>
      <c r="M678" s="73"/>
      <c r="N678" s="72" t="e">
        <f>_xlfn.IFNA(IF(VLOOKUP(C678,'חד גזעי'!$AH$2:$AH$7,1,FALSE)&gt;0,0,IF('חד גזעי'!$AM$5="כן",IF(_xlfn.IFNA(VLOOKUP(C678,'חד גזעי'!$AH$2:$AH$33,1,FALSE),SUM(J678:M678))&lt;21,_xlfn.IFNA(VLOOKUP(C678,'חד גזעי'!$AH$2:$AH$33,1,FALSE),SUM(J678:M678)),0),SUM(J678:M678))),IF('חד גזעי'!$AM$5="כן",IF(_xlfn.IFNA(VLOOKUP(C678,'חד גזעי'!$AH$2:$AH$33,1,FALSE),SUM(J678:M678))&lt;21,_xlfn.IFNA(VLOOKUP(C678,'חד גזעי'!$AH$2:$AH$33,1,FALSE),SUM(J678:M678)),0),SUM(J678:M678)))</f>
        <v>#N/A</v>
      </c>
      <c r="O678" s="72">
        <f>IF('חד גזעי'!$AM$3 = "כן",IF(T678&gt;4,4,T678),T678)</f>
        <v>0</v>
      </c>
      <c r="P678" s="80">
        <f>IF(E678&lt;2,0,IF(Z678&gt;0,Z678,IF(N678 = 0,0,IF('חד גזעי'!$AM$2 = "לא",IF(F678&gt;19,W678,0),IF(F678&gt;9,Y678,0)))))</f>
        <v>0</v>
      </c>
      <c r="Q678" s="77"/>
      <c r="R678" s="76"/>
      <c r="S678" t="e">
        <f>VLOOKUP(C678,'חד גזעי'!$Y$4:$Y$18,1,0)</f>
        <v>#N/A</v>
      </c>
      <c r="T678" s="72">
        <f>IF('חד גזעי'!$AM$6="לא",IF(P678=0,IF(BC678="שימור",IF('חד גזעי'!$AM$4="לא",IF(BC678="לא בוגר",0,IF(BC678="לא קיים",0,IF(J678=0,0,I678*0.1))),IF(BC678="לא בוגר",0,IF(BC678="לא קיים",0,IF(AB678=1,I678*0.1,E678*0.5)))),0),IF('חד גזעי'!$AM$4="לא",IF(BC678="לא בוגר",0,IF(BC678="לא קיים",0,IF(J678=0,0,I678*0.1))),IF(BC678="לא בוגר",0,IF(BC678="לא קיים",0,IF(AB678=1,I678*0.1,E678*0.5))))),IF(P678=0,IF(BC678="שימור",IF('חד גזעי'!$AM$4="לא",IF(BC678="לא בוגר",0,IF(BC678="לא קיים",0,IF(J678=0,0,I678*0.15))),IF(BC678="לא בוגר",0,IF(BC678="לא קיים",0,IF(AB678=1,I678*0.15,E678*0.5)))),0),IF('חד גזעי'!$AM$4="לא",IF(BC678="לא בוגר",0,IF(BC678="לא קיים",0,IF(J678=0,0,I678*0.15))),IF(BC678="לא בוגר",0,IF(BC678="לא קיים",0,IF(AB678=1,I678*0.15,E678*0.5))))))</f>
        <v>0</v>
      </c>
      <c r="V678" t="e">
        <f t="shared" si="706"/>
        <v>#N/A</v>
      </c>
      <c r="W678" t="e">
        <f t="shared" si="707"/>
        <v>#N/A</v>
      </c>
      <c r="X678" t="e">
        <f t="shared" si="708"/>
        <v>#N/A</v>
      </c>
      <c r="Y678">
        <f>IF('חד גזעי'!$AM$2 = "לא",0,IF(F678&gt;9,W678,0))</f>
        <v>0</v>
      </c>
      <c r="Z678">
        <f>IF('חד גזעי'!$AM$7 = "לא",0,IF(C678 = "זית אירופי",IF('חד גזעי'!$AN$7 &lt;=סקר!F678,W678,0),IF(C678 = "חרוב מצוי",IF('חד גזעי'!$AN$7 &lt;=סקר!F678,W678,0),0)))</f>
        <v>0</v>
      </c>
      <c r="AB678">
        <f t="shared" si="688"/>
        <v>1</v>
      </c>
      <c r="AC678" s="72"/>
      <c r="AD678" t="e">
        <f t="shared" si="709"/>
        <v>#N/A</v>
      </c>
      <c r="AE678" s="72"/>
      <c r="AF678" s="72" t="e">
        <f t="shared" si="689"/>
        <v>#N/A</v>
      </c>
      <c r="AG678" s="72" t="e">
        <f>IF('חד גזעי'!$AM$5="לא",(VLOOKUP(C678,'חד גזעי'!$P$1:$S$589,3,FALSE)),(VLOOKUP(C678,'חד גזעי'!$P$1:$S$589,4,FALSE)))</f>
        <v>#N/A</v>
      </c>
      <c r="AH678" s="72">
        <f t="shared" si="690"/>
        <v>0</v>
      </c>
      <c r="AI678" s="72">
        <f t="shared" si="691"/>
        <v>0</v>
      </c>
      <c r="AJ678" s="72">
        <f t="shared" si="692"/>
        <v>0</v>
      </c>
      <c r="AK678" s="72" t="e">
        <f t="shared" si="693"/>
        <v>#N/A</v>
      </c>
      <c r="AL678" t="e">
        <f>VLOOKUP(C678,'חד גזעי'!$AH$8:$AI$33,2,FALSE)</f>
        <v>#N/A</v>
      </c>
      <c r="AM678" s="72" t="b">
        <f t="shared" si="694"/>
        <v>0</v>
      </c>
      <c r="AN678" s="72" t="b">
        <f t="shared" si="695"/>
        <v>0</v>
      </c>
      <c r="AO678" s="72" t="b">
        <f t="shared" si="696"/>
        <v>0</v>
      </c>
      <c r="AS678" s="72">
        <f t="shared" si="697"/>
        <v>0</v>
      </c>
      <c r="AT678" s="72">
        <f t="shared" si="698"/>
        <v>0</v>
      </c>
      <c r="AU678" s="72">
        <f t="shared" si="710"/>
        <v>0</v>
      </c>
      <c r="AV678" s="72">
        <f t="shared" si="699"/>
        <v>0</v>
      </c>
      <c r="AW678" s="72">
        <f t="shared" si="700"/>
        <v>0</v>
      </c>
      <c r="AX678" s="72">
        <f t="shared" si="701"/>
        <v>0</v>
      </c>
      <c r="AY678" s="72">
        <f t="shared" si="702"/>
        <v>0</v>
      </c>
      <c r="AZ678" s="72">
        <f t="shared" si="703"/>
        <v>0</v>
      </c>
      <c r="BA678" s="72" t="e">
        <f t="shared" si="704"/>
        <v>#N/A</v>
      </c>
      <c r="BB678" s="72" t="e">
        <f t="shared" si="705"/>
        <v>#N/A</v>
      </c>
      <c r="BC678" s="77"/>
      <c r="BE678">
        <f t="shared" si="685"/>
        <v>0</v>
      </c>
      <c r="BF678" s="196"/>
      <c r="BG678" s="196"/>
      <c r="BH678" s="196"/>
      <c r="BI678" s="196"/>
      <c r="BJ678" s="196"/>
      <c r="BK678" s="196"/>
    </row>
    <row r="679" spans="1:63" hidden="1">
      <c r="B679" s="72"/>
      <c r="C679" s="135"/>
      <c r="D679" s="73"/>
      <c r="E679" s="73"/>
      <c r="F679" s="72"/>
      <c r="G679" s="72"/>
      <c r="H679" s="72"/>
      <c r="I679" s="73">
        <f t="shared" si="687"/>
        <v>0</v>
      </c>
      <c r="J679" s="73"/>
      <c r="K679" s="73"/>
      <c r="L679" s="74" t="e">
        <f>_xlfn.IFNA(VLOOKUP(C679,'חד גזעי'!$U$3:$V$509,2,0),VLOOKUP(C679,'חד גזעי'!$U$3:$V$509,2))</f>
        <v>#N/A</v>
      </c>
      <c r="M679" s="73"/>
      <c r="N679" s="72" t="e">
        <f>_xlfn.IFNA(IF(VLOOKUP(C679,'חד גזעי'!$AH$2:$AH$7,1,FALSE)&gt;0,0,IF('חד גזעי'!$AM$5="כן",IF(_xlfn.IFNA(VLOOKUP(C679,'חד גזעי'!$AH$2:$AH$33,1,FALSE),SUM(J679:M679))&lt;21,_xlfn.IFNA(VLOOKUP(C679,'חד גזעי'!$AH$2:$AH$33,1,FALSE),SUM(J679:M679)),0),SUM(J679:M679))),IF('חד גזעי'!$AM$5="כן",IF(_xlfn.IFNA(VLOOKUP(C679,'חד גזעי'!$AH$2:$AH$33,1,FALSE),SUM(J679:M679))&lt;21,_xlfn.IFNA(VLOOKUP(C679,'חד גזעי'!$AH$2:$AH$33,1,FALSE),SUM(J679:M679)),0),SUM(J679:M679)))</f>
        <v>#N/A</v>
      </c>
      <c r="O679" s="72">
        <f>IF('חד גזעי'!$AM$3 = "כן",IF(T679&gt;4,4,T679),T679)</f>
        <v>0</v>
      </c>
      <c r="P679" s="80">
        <f>IF(E679&lt;2,0,IF(Z679&gt;0,Z679,IF(N679 = 0,0,IF('חד גזעי'!$AM$2 = "לא",IF(F679&gt;19,W679,0),IF(F679&gt;9,Y679,0)))))</f>
        <v>0</v>
      </c>
      <c r="Q679" s="77"/>
      <c r="R679" s="76"/>
      <c r="S679" t="e">
        <f>VLOOKUP(C679,'חד גזעי'!$Y$4:$Y$18,1,0)</f>
        <v>#N/A</v>
      </c>
      <c r="T679" s="72">
        <f>IF('חד גזעי'!$AM$6="לא",IF(P679=0,IF(BC679="שימור",IF('חד גזעי'!$AM$4="לא",IF(BC679="לא בוגר",0,IF(BC679="לא קיים",0,IF(J679=0,0,I679*0.1))),IF(BC679="לא בוגר",0,IF(BC679="לא קיים",0,IF(AB679=1,I679*0.1,E679*0.5)))),0),IF('חד גזעי'!$AM$4="לא",IF(BC679="לא בוגר",0,IF(BC679="לא קיים",0,IF(J679=0,0,I679*0.1))),IF(BC679="לא בוגר",0,IF(BC679="לא קיים",0,IF(AB679=1,I679*0.1,E679*0.5))))),IF(P679=0,IF(BC679="שימור",IF('חד גזעי'!$AM$4="לא",IF(BC679="לא בוגר",0,IF(BC679="לא קיים",0,IF(J679=0,0,I679*0.15))),IF(BC679="לא בוגר",0,IF(BC679="לא קיים",0,IF(AB679=1,I679*0.15,E679*0.5)))),0),IF('חד גזעי'!$AM$4="לא",IF(BC679="לא בוגר",0,IF(BC679="לא קיים",0,IF(J679=0,0,I679*0.15))),IF(BC679="לא בוגר",0,IF(BC679="לא קיים",0,IF(AB679=1,I679*0.15,E679*0.5))))))</f>
        <v>0</v>
      </c>
      <c r="V679" t="e">
        <f t="shared" si="706"/>
        <v>#N/A</v>
      </c>
      <c r="W679" t="e">
        <f t="shared" si="707"/>
        <v>#N/A</v>
      </c>
      <c r="X679" t="e">
        <f t="shared" si="708"/>
        <v>#N/A</v>
      </c>
      <c r="Y679">
        <f>IF('חד גזעי'!$AM$2 = "לא",0,IF(F679&gt;9,W679,0))</f>
        <v>0</v>
      </c>
      <c r="Z679">
        <f>IF('חד גזעי'!$AM$7 = "לא",0,IF(C679 = "זית אירופי",IF('חד גזעי'!$AN$7 &lt;=סקר!F679,W679,0),IF(C679 = "חרוב מצוי",IF('חד גזעי'!$AN$7 &lt;=סקר!F679,W679,0),0)))</f>
        <v>0</v>
      </c>
      <c r="AB679">
        <f t="shared" si="688"/>
        <v>1</v>
      </c>
      <c r="AC679" s="72"/>
      <c r="AD679" t="e">
        <f t="shared" si="709"/>
        <v>#N/A</v>
      </c>
      <c r="AE679" s="72"/>
      <c r="AF679" s="72" t="e">
        <f t="shared" si="689"/>
        <v>#N/A</v>
      </c>
      <c r="AG679" s="72" t="e">
        <f>IF('חד גזעי'!$AM$5="לא",(VLOOKUP(C679,'חד גזעי'!$P$1:$S$589,3,FALSE)),(VLOOKUP(C679,'חד גזעי'!$P$1:$S$589,4,FALSE)))</f>
        <v>#N/A</v>
      </c>
      <c r="AH679" s="72">
        <f t="shared" si="690"/>
        <v>0</v>
      </c>
      <c r="AI679" s="72">
        <f t="shared" si="691"/>
        <v>0</v>
      </c>
      <c r="AJ679" s="72">
        <f t="shared" si="692"/>
        <v>0</v>
      </c>
      <c r="AK679" s="72" t="e">
        <f t="shared" si="693"/>
        <v>#N/A</v>
      </c>
      <c r="AL679" t="e">
        <f>VLOOKUP(C679,'חד גזעי'!$AH$8:$AI$33,2,FALSE)</f>
        <v>#N/A</v>
      </c>
      <c r="AM679" s="72" t="b">
        <f t="shared" si="694"/>
        <v>0</v>
      </c>
      <c r="AN679" s="72" t="b">
        <f t="shared" si="695"/>
        <v>0</v>
      </c>
      <c r="AO679" s="72" t="b">
        <f t="shared" si="696"/>
        <v>0</v>
      </c>
      <c r="AS679" s="72">
        <f t="shared" si="697"/>
        <v>0</v>
      </c>
      <c r="AT679" s="72">
        <f t="shared" si="698"/>
        <v>0</v>
      </c>
      <c r="AU679" s="72">
        <f t="shared" si="710"/>
        <v>0</v>
      </c>
      <c r="AV679" s="72">
        <f t="shared" si="699"/>
        <v>0</v>
      </c>
      <c r="AW679" s="72">
        <f t="shared" si="700"/>
        <v>0</v>
      </c>
      <c r="AX679" s="72">
        <f t="shared" si="701"/>
        <v>0</v>
      </c>
      <c r="AY679" s="72">
        <f t="shared" si="702"/>
        <v>0</v>
      </c>
      <c r="AZ679" s="72">
        <f t="shared" si="703"/>
        <v>0</v>
      </c>
      <c r="BA679" s="72" t="e">
        <f t="shared" si="704"/>
        <v>#N/A</v>
      </c>
      <c r="BB679" s="72" t="e">
        <f t="shared" si="705"/>
        <v>#N/A</v>
      </c>
      <c r="BC679" s="77"/>
      <c r="BE679">
        <f t="shared" si="685"/>
        <v>0</v>
      </c>
      <c r="BF679" s="196"/>
      <c r="BG679" s="196"/>
      <c r="BH679" s="196"/>
      <c r="BI679" s="196"/>
      <c r="BJ679" s="196"/>
      <c r="BK679" s="196"/>
    </row>
    <row r="680" spans="1:63" hidden="1">
      <c r="B680" s="72"/>
      <c r="C680" s="135"/>
      <c r="D680" s="73"/>
      <c r="E680" s="73"/>
      <c r="F680" s="72"/>
      <c r="G680" s="72"/>
      <c r="H680" s="72"/>
      <c r="I680" s="73">
        <f t="shared" si="687"/>
        <v>0</v>
      </c>
      <c r="J680" s="73"/>
      <c r="K680" s="73"/>
      <c r="L680" s="74" t="e">
        <f>_xlfn.IFNA(VLOOKUP(C680,'חד גזעי'!$U$3:$V$509,2,0),VLOOKUP(C680,'חד גזעי'!$U$3:$V$509,2))</f>
        <v>#N/A</v>
      </c>
      <c r="M680" s="73"/>
      <c r="N680" s="72" t="e">
        <f>_xlfn.IFNA(IF(VLOOKUP(C680,'חד גזעי'!$AH$2:$AH$7,1,FALSE)&gt;0,0,IF('חד גזעי'!$AM$5="כן",IF(_xlfn.IFNA(VLOOKUP(C680,'חד גזעי'!$AH$2:$AH$33,1,FALSE),SUM(J680:M680))&lt;21,_xlfn.IFNA(VLOOKUP(C680,'חד גזעי'!$AH$2:$AH$33,1,FALSE),SUM(J680:M680)),0),SUM(J680:M680))),IF('חד גזעי'!$AM$5="כן",IF(_xlfn.IFNA(VLOOKUP(C680,'חד גזעי'!$AH$2:$AH$33,1,FALSE),SUM(J680:M680))&lt;21,_xlfn.IFNA(VLOOKUP(C680,'חד גזעי'!$AH$2:$AH$33,1,FALSE),SUM(J680:M680)),0),SUM(J680:M680)))</f>
        <v>#N/A</v>
      </c>
      <c r="O680" s="72">
        <f>IF('חד גזעי'!$AM$3 = "כן",IF(T680&gt;4,4,T680),T680)</f>
        <v>0</v>
      </c>
      <c r="P680" s="80">
        <f>IF(E680&lt;2,0,IF(Z680&gt;0,Z680,IF(N680 = 0,0,IF('חד גזעי'!$AM$2 = "לא",IF(F680&gt;19,W680,0),IF(F680&gt;9,Y680,0)))))</f>
        <v>0</v>
      </c>
      <c r="Q680" s="77"/>
      <c r="R680" s="76"/>
      <c r="S680" t="e">
        <f>VLOOKUP(C680,'חד גזעי'!$Y$4:$Y$18,1,0)</f>
        <v>#N/A</v>
      </c>
      <c r="T680" s="72">
        <f>IF('חד גזעי'!$AM$6="לא",IF(P680=0,IF(BC680="שימור",IF('חד גזעי'!$AM$4="לא",IF(BC680="לא בוגר",0,IF(BC680="לא קיים",0,IF(J680=0,0,I680*0.1))),IF(BC680="לא בוגר",0,IF(BC680="לא קיים",0,IF(AB680=1,I680*0.1,E680*0.5)))),0),IF('חד גזעי'!$AM$4="לא",IF(BC680="לא בוגר",0,IF(BC680="לא קיים",0,IF(J680=0,0,I680*0.1))),IF(BC680="לא בוגר",0,IF(BC680="לא קיים",0,IF(AB680=1,I680*0.1,E680*0.5))))),IF(P680=0,IF(BC680="שימור",IF('חד גזעי'!$AM$4="לא",IF(BC680="לא בוגר",0,IF(BC680="לא קיים",0,IF(J680=0,0,I680*0.15))),IF(BC680="לא בוגר",0,IF(BC680="לא קיים",0,IF(AB680=1,I680*0.15,E680*0.5)))),0),IF('חד גזעי'!$AM$4="לא",IF(BC680="לא בוגר",0,IF(BC680="לא קיים",0,IF(J680=0,0,I680*0.15))),IF(BC680="לא בוגר",0,IF(BC680="לא קיים",0,IF(AB680=1,I680*0.15,E680*0.5))))))</f>
        <v>0</v>
      </c>
      <c r="V680" t="e">
        <f t="shared" si="706"/>
        <v>#N/A</v>
      </c>
      <c r="W680" t="e">
        <f t="shared" si="707"/>
        <v>#N/A</v>
      </c>
      <c r="X680" t="e">
        <f t="shared" si="708"/>
        <v>#N/A</v>
      </c>
      <c r="Y680">
        <f>IF('חד גזעי'!$AM$2 = "לא",0,IF(F680&gt;9,W680,0))</f>
        <v>0</v>
      </c>
      <c r="Z680">
        <f>IF('חד גזעי'!$AM$7 = "לא",0,IF(C680 = "זית אירופי",IF('חד גזעי'!$AN$7 &lt;=סקר!F680,W680,0),IF(C680 = "חרוב מצוי",IF('חד גזעי'!$AN$7 &lt;=סקר!F680,W680,0),0)))</f>
        <v>0</v>
      </c>
      <c r="AB680">
        <f t="shared" si="688"/>
        <v>1</v>
      </c>
      <c r="AC680" s="72"/>
      <c r="AD680" t="e">
        <f t="shared" si="709"/>
        <v>#N/A</v>
      </c>
      <c r="AE680" s="72"/>
      <c r="AF680" s="72" t="e">
        <f t="shared" si="689"/>
        <v>#N/A</v>
      </c>
      <c r="AG680" s="72" t="e">
        <f>IF('חד גזעי'!$AM$5="לא",(VLOOKUP(C680,'חד גזעי'!$P$1:$S$589,3,FALSE)),(VLOOKUP(C680,'חד גזעי'!$P$1:$S$589,4,FALSE)))</f>
        <v>#N/A</v>
      </c>
      <c r="AH680" s="72">
        <f t="shared" si="690"/>
        <v>0</v>
      </c>
      <c r="AI680" s="72">
        <f t="shared" si="691"/>
        <v>0</v>
      </c>
      <c r="AJ680" s="72">
        <f t="shared" si="692"/>
        <v>0</v>
      </c>
      <c r="AK680" s="72" t="e">
        <f t="shared" si="693"/>
        <v>#N/A</v>
      </c>
      <c r="AL680" t="e">
        <f>VLOOKUP(C680,'חד גזעי'!$AH$8:$AI$33,2,FALSE)</f>
        <v>#N/A</v>
      </c>
      <c r="AM680" s="72" t="b">
        <f t="shared" si="694"/>
        <v>0</v>
      </c>
      <c r="AN680" s="72" t="b">
        <f t="shared" si="695"/>
        <v>0</v>
      </c>
      <c r="AO680" s="72" t="b">
        <f t="shared" si="696"/>
        <v>0</v>
      </c>
      <c r="AS680" s="72">
        <f t="shared" si="697"/>
        <v>0</v>
      </c>
      <c r="AT680" s="72">
        <f t="shared" si="698"/>
        <v>0</v>
      </c>
      <c r="AU680" s="72">
        <f t="shared" si="710"/>
        <v>0</v>
      </c>
      <c r="AV680" s="72">
        <f t="shared" si="699"/>
        <v>0</v>
      </c>
      <c r="AW680" s="72">
        <f t="shared" si="700"/>
        <v>0</v>
      </c>
      <c r="AX680" s="72">
        <f t="shared" si="701"/>
        <v>0</v>
      </c>
      <c r="AY680" s="72">
        <f t="shared" si="702"/>
        <v>0</v>
      </c>
      <c r="AZ680" s="72">
        <f t="shared" si="703"/>
        <v>0</v>
      </c>
      <c r="BA680" s="72" t="e">
        <f t="shared" si="704"/>
        <v>#N/A</v>
      </c>
      <c r="BB680" s="72" t="e">
        <f t="shared" si="705"/>
        <v>#N/A</v>
      </c>
      <c r="BC680" s="77"/>
      <c r="BE680">
        <f t="shared" si="685"/>
        <v>0</v>
      </c>
      <c r="BF680" s="196"/>
      <c r="BG680" s="196"/>
      <c r="BH680" s="196"/>
      <c r="BI680" s="196"/>
      <c r="BJ680" s="196"/>
      <c r="BK680" s="196"/>
    </row>
    <row r="681" spans="1:63" hidden="1">
      <c r="B681" s="72"/>
      <c r="C681" s="135"/>
      <c r="D681" s="73"/>
      <c r="E681" s="73"/>
      <c r="F681" s="72"/>
      <c r="G681" s="72"/>
      <c r="H681" s="72"/>
      <c r="I681" s="73">
        <f t="shared" si="687"/>
        <v>0</v>
      </c>
      <c r="J681" s="73"/>
      <c r="K681" s="73"/>
      <c r="L681" s="74" t="e">
        <f>_xlfn.IFNA(VLOOKUP(C681,'חד גזעי'!$U$3:$V$509,2,0),VLOOKUP(C681,'חד גזעי'!$U$3:$V$509,2))</f>
        <v>#N/A</v>
      </c>
      <c r="M681" s="73"/>
      <c r="N681" s="72" t="e">
        <f>_xlfn.IFNA(IF(VLOOKUP(C681,'חד גזעי'!$AH$2:$AH$7,1,FALSE)&gt;0,0,IF('חד גזעי'!$AM$5="כן",IF(_xlfn.IFNA(VLOOKUP(C681,'חד גזעי'!$AH$2:$AH$33,1,FALSE),SUM(J681:M681))&lt;21,_xlfn.IFNA(VLOOKUP(C681,'חד גזעי'!$AH$2:$AH$33,1,FALSE),SUM(J681:M681)),0),SUM(J681:M681))),IF('חד גזעי'!$AM$5="כן",IF(_xlfn.IFNA(VLOOKUP(C681,'חד גזעי'!$AH$2:$AH$33,1,FALSE),SUM(J681:M681))&lt;21,_xlfn.IFNA(VLOOKUP(C681,'חד גזעי'!$AH$2:$AH$33,1,FALSE),SUM(J681:M681)),0),SUM(J681:M681)))</f>
        <v>#N/A</v>
      </c>
      <c r="O681" s="72">
        <f>IF('חד גזעי'!$AM$3 = "כן",IF(T681&gt;4,4,T681),T681)</f>
        <v>0</v>
      </c>
      <c r="P681" s="80">
        <f>IF(E681&lt;2,0,IF(Z681&gt;0,Z681,IF(N681 = 0,0,IF('חד גזעי'!$AM$2 = "לא",IF(F681&gt;19,W681,0),IF(F681&gt;9,Y681,0)))))</f>
        <v>0</v>
      </c>
      <c r="Q681" s="77"/>
      <c r="R681" s="76"/>
      <c r="S681" t="e">
        <f>VLOOKUP(C681,'חד גזעי'!$Y$4:$Y$18,1,0)</f>
        <v>#N/A</v>
      </c>
      <c r="T681" s="72">
        <f>IF('חד גזעי'!$AM$6="לא",IF(P681=0,IF(BC681="שימור",IF('חד גזעי'!$AM$4="לא",IF(BC681="לא בוגר",0,IF(BC681="לא קיים",0,IF(J681=0,0,I681*0.1))),IF(BC681="לא בוגר",0,IF(BC681="לא קיים",0,IF(AB681=1,I681*0.1,E681*0.5)))),0),IF('חד גזעי'!$AM$4="לא",IF(BC681="לא בוגר",0,IF(BC681="לא קיים",0,IF(J681=0,0,I681*0.1))),IF(BC681="לא בוגר",0,IF(BC681="לא קיים",0,IF(AB681=1,I681*0.1,E681*0.5))))),IF(P681=0,IF(BC681="שימור",IF('חד גזעי'!$AM$4="לא",IF(BC681="לא בוגר",0,IF(BC681="לא קיים",0,IF(J681=0,0,I681*0.15))),IF(BC681="לא בוגר",0,IF(BC681="לא קיים",0,IF(AB681=1,I681*0.15,E681*0.5)))),0),IF('חד גזעי'!$AM$4="לא",IF(BC681="לא בוגר",0,IF(BC681="לא קיים",0,IF(J681=0,0,I681*0.15))),IF(BC681="לא בוגר",0,IF(BC681="לא קיים",0,IF(AB681=1,I681*0.15,E681*0.5))))))</f>
        <v>0</v>
      </c>
      <c r="V681" t="e">
        <f t="shared" si="706"/>
        <v>#N/A</v>
      </c>
      <c r="W681" t="e">
        <f t="shared" si="707"/>
        <v>#N/A</v>
      </c>
      <c r="X681" t="e">
        <f t="shared" si="708"/>
        <v>#N/A</v>
      </c>
      <c r="Y681">
        <f>IF('חד גזעי'!$AM$2 = "לא",0,IF(F681&gt;9,W681,0))</f>
        <v>0</v>
      </c>
      <c r="Z681">
        <f>IF('חד גזעי'!$AM$7 = "לא",0,IF(C681 = "זית אירופי",IF('חד גזעי'!$AN$7 &lt;=סקר!F681,W681,0),IF(C681 = "חרוב מצוי",IF('חד גזעי'!$AN$7 &lt;=סקר!F681,W681,0),0)))</f>
        <v>0</v>
      </c>
      <c r="AB681">
        <f t="shared" si="688"/>
        <v>1</v>
      </c>
      <c r="AC681" s="72"/>
      <c r="AD681" t="e">
        <f t="shared" si="709"/>
        <v>#N/A</v>
      </c>
      <c r="AE681" s="72"/>
      <c r="AF681" s="72" t="e">
        <f t="shared" si="689"/>
        <v>#N/A</v>
      </c>
      <c r="AG681" s="72" t="e">
        <f>IF('חד גזעי'!$AM$5="לא",(VLOOKUP(C681,'חד גזעי'!$P$1:$S$589,3,FALSE)),(VLOOKUP(C681,'חד גזעי'!$P$1:$S$589,4,FALSE)))</f>
        <v>#N/A</v>
      </c>
      <c r="AH681" s="72">
        <f t="shared" si="690"/>
        <v>0</v>
      </c>
      <c r="AI681" s="72">
        <f t="shared" si="691"/>
        <v>0</v>
      </c>
      <c r="AJ681" s="72">
        <f t="shared" si="692"/>
        <v>0</v>
      </c>
      <c r="AK681" s="72" t="e">
        <f t="shared" si="693"/>
        <v>#N/A</v>
      </c>
      <c r="AL681" t="e">
        <f>VLOOKUP(C681,'חד גזעי'!$AH$8:$AI$33,2,FALSE)</f>
        <v>#N/A</v>
      </c>
      <c r="AM681" s="72" t="b">
        <f t="shared" si="694"/>
        <v>0</v>
      </c>
      <c r="AN681" s="72" t="b">
        <f t="shared" si="695"/>
        <v>0</v>
      </c>
      <c r="AO681" s="72" t="b">
        <f t="shared" si="696"/>
        <v>0</v>
      </c>
      <c r="AS681" s="72">
        <f t="shared" si="697"/>
        <v>0</v>
      </c>
      <c r="AT681" s="72">
        <f t="shared" si="698"/>
        <v>0</v>
      </c>
      <c r="AU681" s="72">
        <f t="shared" si="710"/>
        <v>0</v>
      </c>
      <c r="AV681" s="72">
        <f t="shared" si="699"/>
        <v>0</v>
      </c>
      <c r="AW681" s="72">
        <f t="shared" si="700"/>
        <v>0</v>
      </c>
      <c r="AX681" s="72">
        <f t="shared" si="701"/>
        <v>0</v>
      </c>
      <c r="AY681" s="72">
        <f t="shared" si="702"/>
        <v>0</v>
      </c>
      <c r="AZ681" s="72">
        <f t="shared" si="703"/>
        <v>0</v>
      </c>
      <c r="BA681" s="72" t="e">
        <f t="shared" si="704"/>
        <v>#N/A</v>
      </c>
      <c r="BB681" s="72" t="e">
        <f t="shared" si="705"/>
        <v>#N/A</v>
      </c>
      <c r="BC681" s="77"/>
      <c r="BE681">
        <f t="shared" si="685"/>
        <v>0</v>
      </c>
      <c r="BF681" s="196"/>
      <c r="BG681" s="196"/>
      <c r="BH681" s="196"/>
      <c r="BI681" s="196"/>
      <c r="BJ681" s="196"/>
      <c r="BK681" s="196"/>
    </row>
    <row r="682" spans="1:63" hidden="1">
      <c r="B682" s="72"/>
      <c r="C682" s="135"/>
      <c r="D682" s="73"/>
      <c r="E682" s="73"/>
      <c r="F682" s="72"/>
      <c r="G682" s="72"/>
      <c r="H682" s="72"/>
      <c r="I682" s="73">
        <f t="shared" si="687"/>
        <v>0</v>
      </c>
      <c r="J682" s="73"/>
      <c r="K682" s="73"/>
      <c r="L682" s="74" t="e">
        <f>_xlfn.IFNA(VLOOKUP(C682,'חד גזעי'!$U$3:$V$509,2,0),VLOOKUP(C682,'חד גזעי'!$U$3:$V$509,2))</f>
        <v>#N/A</v>
      </c>
      <c r="M682" s="73"/>
      <c r="N682" s="72" t="e">
        <f>_xlfn.IFNA(IF(VLOOKUP(C682,'חד גזעי'!$AH$2:$AH$7,1,FALSE)&gt;0,0,IF('חד גזעי'!$AM$5="כן",IF(_xlfn.IFNA(VLOOKUP(C682,'חד גזעי'!$AH$2:$AH$33,1,FALSE),SUM(J682:M682))&lt;21,_xlfn.IFNA(VLOOKUP(C682,'חד גזעי'!$AH$2:$AH$33,1,FALSE),SUM(J682:M682)),0),SUM(J682:M682))),IF('חד גזעי'!$AM$5="כן",IF(_xlfn.IFNA(VLOOKUP(C682,'חד גזעי'!$AH$2:$AH$33,1,FALSE),SUM(J682:M682))&lt;21,_xlfn.IFNA(VLOOKUP(C682,'חד גזעי'!$AH$2:$AH$33,1,FALSE),SUM(J682:M682)),0),SUM(J682:M682)))</f>
        <v>#N/A</v>
      </c>
      <c r="O682" s="72">
        <f>IF('חד גזעי'!$AM$3 = "כן",IF(T682&gt;4,4,T682),T682)</f>
        <v>0</v>
      </c>
      <c r="P682" s="80">
        <f>IF(E682&lt;2,0,IF(Z682&gt;0,Z682,IF(N682 = 0,0,IF('חד גזעי'!$AM$2 = "לא",IF(F682&gt;19,W682,0),IF(F682&gt;9,Y682,0)))))</f>
        <v>0</v>
      </c>
      <c r="Q682" s="77"/>
      <c r="R682" s="76"/>
      <c r="S682" t="e">
        <f>VLOOKUP(C682,'חד גזעי'!$Y$4:$Y$18,1,0)</f>
        <v>#N/A</v>
      </c>
      <c r="T682" s="72">
        <f>IF('חד גזעי'!$AM$6="לא",IF(P682=0,IF(BC682="שימור",IF('חד גזעי'!$AM$4="לא",IF(BC682="לא בוגר",0,IF(BC682="לא קיים",0,IF(J682=0,0,I682*0.1))),IF(BC682="לא בוגר",0,IF(BC682="לא קיים",0,IF(AB682=1,I682*0.1,E682*0.5)))),0),IF('חד גזעי'!$AM$4="לא",IF(BC682="לא בוגר",0,IF(BC682="לא קיים",0,IF(J682=0,0,I682*0.1))),IF(BC682="לא בוגר",0,IF(BC682="לא קיים",0,IF(AB682=1,I682*0.1,E682*0.5))))),IF(P682=0,IF(BC682="שימור",IF('חד גזעי'!$AM$4="לא",IF(BC682="לא בוגר",0,IF(BC682="לא קיים",0,IF(J682=0,0,I682*0.15))),IF(BC682="לא בוגר",0,IF(BC682="לא קיים",0,IF(AB682=1,I682*0.15,E682*0.5)))),0),IF('חד גזעי'!$AM$4="לא",IF(BC682="לא בוגר",0,IF(BC682="לא קיים",0,IF(J682=0,0,I682*0.15))),IF(BC682="לא בוגר",0,IF(BC682="לא קיים",0,IF(AB682=1,I682*0.15,E682*0.5))))))</f>
        <v>0</v>
      </c>
      <c r="V682" t="e">
        <f t="shared" si="706"/>
        <v>#N/A</v>
      </c>
      <c r="W682" t="e">
        <f t="shared" si="707"/>
        <v>#N/A</v>
      </c>
      <c r="X682" t="e">
        <f t="shared" si="708"/>
        <v>#N/A</v>
      </c>
      <c r="Y682">
        <f>IF('חד גזעי'!$AM$2 = "לא",0,IF(F682&gt;9,W682,0))</f>
        <v>0</v>
      </c>
      <c r="Z682">
        <f>IF('חד גזעי'!$AM$7 = "לא",0,IF(C682 = "זית אירופי",IF('חד גזעי'!$AN$7 &lt;=סקר!F682,W682,0),IF(C682 = "חרוב מצוי",IF('חד גזעי'!$AN$7 &lt;=סקר!F682,W682,0),0)))</f>
        <v>0</v>
      </c>
      <c r="AB682">
        <f t="shared" si="688"/>
        <v>1</v>
      </c>
      <c r="AC682" s="72"/>
      <c r="AD682" t="e">
        <f t="shared" si="709"/>
        <v>#N/A</v>
      </c>
      <c r="AE682" s="72"/>
      <c r="AF682" s="72" t="e">
        <f t="shared" si="689"/>
        <v>#N/A</v>
      </c>
      <c r="AG682" s="72" t="e">
        <f>IF('חד גזעי'!$AM$5="לא",(VLOOKUP(C682,'חד גזעי'!$P$1:$S$589,3,FALSE)),(VLOOKUP(C682,'חד גזעי'!$P$1:$S$589,4,FALSE)))</f>
        <v>#N/A</v>
      </c>
      <c r="AH682" s="72">
        <f t="shared" si="690"/>
        <v>0</v>
      </c>
      <c r="AI682" s="72">
        <f t="shared" si="691"/>
        <v>0</v>
      </c>
      <c r="AJ682" s="72">
        <f t="shared" si="692"/>
        <v>0</v>
      </c>
      <c r="AK682" s="72" t="e">
        <f t="shared" si="693"/>
        <v>#N/A</v>
      </c>
      <c r="AL682" t="e">
        <f>VLOOKUP(C682,'חד גזעי'!$AH$8:$AI$33,2,FALSE)</f>
        <v>#N/A</v>
      </c>
      <c r="AM682" s="72" t="b">
        <f t="shared" si="694"/>
        <v>0</v>
      </c>
      <c r="AN682" s="72" t="b">
        <f t="shared" si="695"/>
        <v>0</v>
      </c>
      <c r="AO682" s="72" t="b">
        <f t="shared" si="696"/>
        <v>0</v>
      </c>
      <c r="AS682" s="72">
        <f t="shared" si="697"/>
        <v>0</v>
      </c>
      <c r="AT682" s="72">
        <f t="shared" si="698"/>
        <v>0</v>
      </c>
      <c r="AU682" s="72">
        <f t="shared" si="710"/>
        <v>0</v>
      </c>
      <c r="AV682" s="72">
        <f t="shared" si="699"/>
        <v>0</v>
      </c>
      <c r="AW682" s="72">
        <f t="shared" si="700"/>
        <v>0</v>
      </c>
      <c r="AX682" s="72">
        <f t="shared" si="701"/>
        <v>0</v>
      </c>
      <c r="AY682" s="72">
        <f t="shared" si="702"/>
        <v>0</v>
      </c>
      <c r="AZ682" s="72">
        <f t="shared" si="703"/>
        <v>0</v>
      </c>
      <c r="BA682" s="72" t="e">
        <f t="shared" si="704"/>
        <v>#N/A</v>
      </c>
      <c r="BB682" s="72" t="e">
        <f t="shared" si="705"/>
        <v>#N/A</v>
      </c>
      <c r="BC682" s="77"/>
      <c r="BE682">
        <f t="shared" si="685"/>
        <v>0</v>
      </c>
      <c r="BF682" s="196"/>
      <c r="BG682" s="196"/>
      <c r="BH682" s="196"/>
      <c r="BI682" s="196"/>
      <c r="BJ682" s="196"/>
      <c r="BK682" s="196"/>
    </row>
    <row r="683" spans="1:63" ht="14.25" hidden="1">
      <c r="B683" s="71"/>
      <c r="C683" s="69"/>
      <c r="Q683" s="86"/>
      <c r="T683" s="72">
        <f>IF('חד גזעי'!$AM$6="לא",IF(P683=0,IF(BC683="שימור",IF('חד גזעי'!$AM$4="לא",IF(BC683="לא בוגר",0,IF(BC683="לא קיים",0,IF(J683=0,0,I683*0.1))),IF(BC683="לא בוגר",0,IF(BC683="לא קיים",0,IF(AB683=1,I683*0.1,E683*0.5)))),0),IF('חד גזעי'!$AM$4="לא",IF(BC683="לא בוגר",0,IF(BC683="לא קיים",0,IF(J683=0,0,I683*0.1))),IF(BC683="לא בוגר",0,IF(BC683="לא קיים",0,IF(AB683=1,I683*0.1,E683*0.5))))),IF(P683=0,IF(BC683="שימור",IF('חד גזעי'!$AM$4="לא",IF(BC683="לא בוגר",0,IF(BC683="לא קיים",0,IF(J683=0,0,I683*0.15))),IF(BC683="לא בוגר",0,IF(BC683="לא קיים",0,IF(AB683=1,I683*0.15,E683*0.5)))),0),IF('חד גזעי'!$AM$4="לא",IF(BC683="לא בוגר",0,IF(BC683="לא קיים",0,IF(J683=0,0,I683*0.15))),IF(BC683="לא בוגר",0,IF(BC683="לא קיים",0,IF(AB683=1,I683*0.15,E683*0.5))))))</f>
        <v>0</v>
      </c>
      <c r="V683">
        <f t="shared" si="706"/>
        <v>0</v>
      </c>
      <c r="W683">
        <f t="shared" si="707"/>
        <v>0</v>
      </c>
      <c r="X683">
        <f t="shared" si="708"/>
        <v>0</v>
      </c>
      <c r="Y683">
        <f>IF('חד גזעי'!$AM$2 = "לא",0,IF(F683&gt;9,W683,0))</f>
        <v>0</v>
      </c>
      <c r="Z683">
        <f>IF('חד גזעי'!$AM$7 = "לא",0,IF(C683 = "זית אירופי",IF('חד גזעי'!$AN$7 &lt;=סקר!F683,W683,0),IF(C683 = "חרוב מצוי",IF('חד גזעי'!$AN$7 &lt;=סקר!F683,W683,0),0)))</f>
        <v>0</v>
      </c>
      <c r="AD683" s="69" t="s">
        <v>807</v>
      </c>
      <c r="BE683">
        <f t="shared" si="685"/>
        <v>0</v>
      </c>
      <c r="BF683" s="196"/>
      <c r="BG683" s="196"/>
      <c r="BH683" s="196"/>
      <c r="BI683" s="196"/>
      <c r="BJ683" s="196"/>
      <c r="BK683" s="196"/>
    </row>
    <row r="684" spans="1:63" ht="14.25" hidden="1">
      <c r="A684" s="129"/>
      <c r="B684" s="132"/>
      <c r="C684" s="133"/>
      <c r="D684" s="129"/>
      <c r="E684" s="129"/>
      <c r="F684" s="129"/>
      <c r="G684" s="129"/>
      <c r="H684" s="129"/>
      <c r="I684" s="129"/>
      <c r="J684" s="129"/>
      <c r="K684" s="129"/>
      <c r="L684" s="129"/>
      <c r="M684" s="129"/>
      <c r="N684" s="129"/>
      <c r="O684" s="129"/>
      <c r="P684" s="129"/>
      <c r="Q684" s="134"/>
      <c r="R684" s="129"/>
      <c r="S684" s="129"/>
      <c r="T684" s="72">
        <f>IF('חד גזעי'!$AM$6="לא",IF(P684=0,IF(BC684="שימור",IF('חד גזעי'!$AM$4="לא",IF(BC684="לא בוגר",0,IF(BC684="לא קיים",0,IF(J684=0,0,I684*0.1))),IF(BC684="לא בוגר",0,IF(BC684="לא קיים",0,IF(AB684=1,I684*0.1,E684*0.5)))),0),IF('חד גזעי'!$AM$4="לא",IF(BC684="לא בוגר",0,IF(BC684="לא קיים",0,IF(J684=0,0,I684*0.1))),IF(BC684="לא בוגר",0,IF(BC684="לא קיים",0,IF(AB684=1,I684*0.1,E684*0.5))))),IF(P684=0,IF(BC684="שימור",IF('חד גזעי'!$AM$4="לא",IF(BC684="לא בוגר",0,IF(BC684="לא קיים",0,IF(J684=0,0,I684*0.15))),IF(BC684="לא בוגר",0,IF(BC684="לא קיים",0,IF(AB684=1,I684*0.15,E684*0.5)))),0),IF('חד גזעי'!$AM$4="לא",IF(BC684="לא בוגר",0,IF(BC684="לא קיים",0,IF(J684=0,0,I684*0.15))),IF(BC684="לא בוגר",0,IF(BC684="לא קיים",0,IF(AB684=1,I684*0.15,E684*0.5))))))</f>
        <v>0</v>
      </c>
      <c r="U684" s="129"/>
      <c r="V684">
        <f t="shared" si="706"/>
        <v>0</v>
      </c>
      <c r="W684">
        <f t="shared" si="707"/>
        <v>0</v>
      </c>
      <c r="X684">
        <f t="shared" si="708"/>
        <v>0</v>
      </c>
      <c r="Y684">
        <f>IF('חד גזעי'!$AM$2 = "לא",0,IF(F684&gt;9,W684,0))</f>
        <v>0</v>
      </c>
      <c r="Z684">
        <f>IF('חד גזעי'!$AM$7 = "לא",0,IF(C684 = "זית אירופי",IF('חד גזעי'!$AN$7 &lt;=סקר!F684,W684,0),IF(C684 = "חרוב מצוי",IF('חד גזעי'!$AN$7 &lt;=סקר!F684,W684,0),0)))</f>
        <v>0</v>
      </c>
      <c r="AA684" s="129"/>
      <c r="AB684" s="129"/>
      <c r="AC684" s="129"/>
      <c r="AD684" s="133"/>
      <c r="AE684" s="129"/>
      <c r="AF684" s="129"/>
      <c r="AG684" s="129"/>
      <c r="AH684" s="129"/>
      <c r="AI684" s="129"/>
      <c r="AJ684" s="129"/>
      <c r="AK684" s="129"/>
      <c r="AL684" s="129"/>
      <c r="AM684" s="129"/>
      <c r="AN684" s="129"/>
      <c r="AO684" s="129"/>
      <c r="AP684" s="129"/>
      <c r="AQ684" s="129"/>
      <c r="AR684" s="129"/>
      <c r="AS684" s="129"/>
      <c r="AT684" s="129"/>
      <c r="AU684" s="129"/>
      <c r="AV684" s="129"/>
      <c r="AW684" s="129"/>
      <c r="AX684" s="129"/>
      <c r="AY684" s="129"/>
      <c r="AZ684" s="129"/>
      <c r="BA684" s="129"/>
      <c r="BB684" s="129"/>
      <c r="BC684" s="129"/>
      <c r="BD684" s="129"/>
      <c r="BE684" s="129"/>
      <c r="BF684" s="129">
        <f>_xlfn.IFNA(_xlfn.IFNA(_xlfn.TEXTBEFORE(BF666,"--"),_xlfn.TEXTBEFORE(BF666,",")),BF666)</f>
        <v>0</v>
      </c>
      <c r="BG684" s="129">
        <f t="shared" ref="BG684:BK684" si="712">_xlfn.IFNA(_xlfn.IFNA(_xlfn.TEXTBEFORE(BG666,"--"),_xlfn.TEXTBEFORE(BG666,",")),BG666)</f>
        <v>0</v>
      </c>
      <c r="BH684" s="129">
        <f t="shared" si="712"/>
        <v>0</v>
      </c>
      <c r="BI684" s="129">
        <f>_xlfn.IFNA(_xlfn.IFNA(_xlfn.TEXTBEFORE(BI666,"--"),_xlfn.TEXTBEFORE(BI666,",")),BI666)</f>
        <v>0</v>
      </c>
      <c r="BJ684" s="129">
        <f t="shared" si="712"/>
        <v>0</v>
      </c>
      <c r="BK684" s="129">
        <f t="shared" si="712"/>
        <v>0</v>
      </c>
    </row>
    <row r="685" spans="1:63" ht="14.25" hidden="1">
      <c r="A685" s="129"/>
      <c r="B685" s="132"/>
      <c r="C685" s="133"/>
      <c r="D685" s="129"/>
      <c r="E685" s="129"/>
      <c r="F685" s="129"/>
      <c r="G685" s="129"/>
      <c r="H685" s="129"/>
      <c r="I685" s="129"/>
      <c r="J685" s="129"/>
      <c r="K685" s="129"/>
      <c r="L685" s="129"/>
      <c r="M685" s="129"/>
      <c r="N685" s="129"/>
      <c r="O685" s="129"/>
      <c r="P685" s="129"/>
      <c r="Q685" s="134"/>
      <c r="R685" s="129"/>
      <c r="S685" s="129"/>
      <c r="T685" s="72">
        <f>IF('חד גזעי'!$AM$6="לא",IF(P685=0,IF(BC685="שימור",IF('חד גזעי'!$AM$4="לא",IF(BC685="לא בוגר",0,IF(BC685="לא קיים",0,IF(J685=0,0,I685*0.1))),IF(BC685="לא בוגר",0,IF(BC685="לא קיים",0,IF(AB685=1,I685*0.1,E685*0.5)))),0),IF('חד גזעי'!$AM$4="לא",IF(BC685="לא בוגר",0,IF(BC685="לא קיים",0,IF(J685=0,0,I685*0.1))),IF(BC685="לא בוגר",0,IF(BC685="לא קיים",0,IF(AB685=1,I685*0.1,E685*0.5))))),IF(P685=0,IF(BC685="שימור",IF('חד גזעי'!$AM$4="לא",IF(BC685="לא בוגר",0,IF(BC685="לא קיים",0,IF(J685=0,0,I685*0.15))),IF(BC685="לא בוגר",0,IF(BC685="לא קיים",0,IF(AB685=1,I685*0.15,E685*0.5)))),0),IF('חד גזעי'!$AM$4="לא",IF(BC685="לא בוגר",0,IF(BC685="לא קיים",0,IF(J685=0,0,I685*0.15))),IF(BC685="לא בוגר",0,IF(BC685="לא קיים",0,IF(AB685=1,I685*0.15,E685*0.5))))))</f>
        <v>0</v>
      </c>
      <c r="U685" s="129"/>
      <c r="V685">
        <f t="shared" si="706"/>
        <v>0</v>
      </c>
      <c r="W685">
        <f t="shared" si="707"/>
        <v>0</v>
      </c>
      <c r="X685">
        <f t="shared" si="708"/>
        <v>0</v>
      </c>
      <c r="Y685">
        <f>IF('חד גזעי'!$AM$2 = "לא",0,IF(F685&gt;9,W685,0))</f>
        <v>0</v>
      </c>
      <c r="Z685">
        <f>IF('חד גזעי'!$AM$7 = "לא",0,IF(C685 = "זית אירופי",IF('חד גזעי'!$AN$7 &lt;=סקר!F685,W685,0),IF(C685 = "חרוב מצוי",IF('חד גזעי'!$AN$7 &lt;=סקר!F685,W685,0),0)))</f>
        <v>0</v>
      </c>
      <c r="AA685" s="129"/>
      <c r="AB685" s="129"/>
      <c r="AC685" s="129"/>
      <c r="AD685" s="133"/>
      <c r="AE685" s="129"/>
      <c r="AF685" s="129"/>
      <c r="AG685" s="129"/>
      <c r="AH685" s="129"/>
      <c r="AI685" s="129"/>
      <c r="AJ685" s="129"/>
      <c r="AK685" s="129"/>
      <c r="AL685" s="129"/>
      <c r="AM685" s="129"/>
      <c r="AN685" s="129"/>
      <c r="AO685" s="129"/>
      <c r="AP685" s="129"/>
      <c r="AQ685" s="129"/>
      <c r="AR685" s="129"/>
      <c r="AS685" s="129"/>
      <c r="AT685" s="129"/>
      <c r="AU685" s="129"/>
      <c r="AV685" s="129"/>
      <c r="AW685" s="129"/>
      <c r="AX685" s="129"/>
      <c r="AY685" s="129"/>
      <c r="AZ685" s="129"/>
      <c r="BA685" s="129"/>
      <c r="BB685" s="129"/>
      <c r="BC685" s="129"/>
      <c r="BD685" s="129"/>
      <c r="BE685" s="129"/>
      <c r="BF685" s="129" t="str">
        <f>"C:\Users\origr\Pictures\"&amp;BF684&amp;".jpg"</f>
        <v>C:\Users\origr\Pictures\0.jpg</v>
      </c>
      <c r="BG685" s="129" t="str">
        <f t="shared" ref="BG685" si="713">"C:\Users\origr\Pictures\"&amp;BG684&amp;".jpg"</f>
        <v>C:\Users\origr\Pictures\0.jpg</v>
      </c>
      <c r="BH685" s="129" t="str">
        <f t="shared" ref="BH685" si="714">"C:\Users\origr\Pictures\"&amp;BH684&amp;".jpg"</f>
        <v>C:\Users\origr\Pictures\0.jpg</v>
      </c>
      <c r="BI685" s="129" t="str">
        <f t="shared" ref="BI685" si="715">"C:\Users\origr\Pictures\"&amp;BI684&amp;".jpg"</f>
        <v>C:\Users\origr\Pictures\0.jpg</v>
      </c>
      <c r="BJ685" s="129" t="str">
        <f t="shared" ref="BJ685" si="716">"C:\Users\origr\Pictures\"&amp;BJ684&amp;".jpg"</f>
        <v>C:\Users\origr\Pictures\0.jpg</v>
      </c>
      <c r="BK685" s="129" t="str">
        <f t="shared" ref="BK685" si="717">"C:\Users\origr\Pictures\"&amp;BK684&amp;".jpg"</f>
        <v>C:\Users\origr\Pictures\0.jpg</v>
      </c>
    </row>
    <row r="686" spans="1:63" ht="14.25" hidden="1">
      <c r="A686" s="129"/>
      <c r="B686" s="132"/>
      <c r="C686" s="133"/>
      <c r="D686" s="129"/>
      <c r="E686" s="129"/>
      <c r="F686" s="129"/>
      <c r="G686" s="129"/>
      <c r="H686" s="129"/>
      <c r="I686" s="129"/>
      <c r="J686" s="129"/>
      <c r="K686" s="129"/>
      <c r="L686" s="129"/>
      <c r="M686" s="129"/>
      <c r="N686" s="129"/>
      <c r="O686" s="129"/>
      <c r="P686" s="129"/>
      <c r="Q686" s="134"/>
      <c r="R686" s="129"/>
      <c r="S686" s="129"/>
      <c r="T686" s="72">
        <f>IF('חד גזעי'!$AM$6="לא",IF(P686=0,IF(BC686="שימור",IF('חד גזעי'!$AM$4="לא",IF(BC686="לא בוגר",0,IF(BC686="לא קיים",0,IF(J686=0,0,I686*0.1))),IF(BC686="לא בוגר",0,IF(BC686="לא קיים",0,IF(AB686=1,I686*0.1,E686*0.5)))),0),IF('חד גזעי'!$AM$4="לא",IF(BC686="לא בוגר",0,IF(BC686="לא קיים",0,IF(J686=0,0,I686*0.1))),IF(BC686="לא בוגר",0,IF(BC686="לא קיים",0,IF(AB686=1,I686*0.1,E686*0.5))))),IF(P686=0,IF(BC686="שימור",IF('חד גזעי'!$AM$4="לא",IF(BC686="לא בוגר",0,IF(BC686="לא קיים",0,IF(J686=0,0,I686*0.15))),IF(BC686="לא בוגר",0,IF(BC686="לא קיים",0,IF(AB686=1,I686*0.15,E686*0.5)))),0),IF('חד גזעי'!$AM$4="לא",IF(BC686="לא בוגר",0,IF(BC686="לא קיים",0,IF(J686=0,0,I686*0.15))),IF(BC686="לא בוגר",0,IF(BC686="לא קיים",0,IF(AB686=1,I686*0.15,E686*0.5))))))</f>
        <v>0</v>
      </c>
      <c r="U686" s="129"/>
      <c r="V686">
        <f t="shared" si="706"/>
        <v>0</v>
      </c>
      <c r="W686">
        <f t="shared" si="707"/>
        <v>0</v>
      </c>
      <c r="X686">
        <f t="shared" si="708"/>
        <v>0</v>
      </c>
      <c r="Y686">
        <f>IF('חד גזעי'!$AM$2 = "לא",0,IF(F686&gt;9,W686,0))</f>
        <v>0</v>
      </c>
      <c r="Z686">
        <f>IF('חד גזעי'!$AM$7 = "לא",0,IF(C686 = "זית אירופי",IF('חד גזעי'!$AN$7 &lt;=סקר!F686,W686,0),IF(C686 = "חרוב מצוי",IF('חד גזעי'!$AN$7 &lt;=סקר!F686,W686,0),0)))</f>
        <v>0</v>
      </c>
      <c r="AA686" s="129"/>
      <c r="AB686" s="129"/>
      <c r="AC686" s="129"/>
      <c r="AD686" s="133"/>
      <c r="AE686" s="129"/>
      <c r="AF686" s="129"/>
      <c r="AG686" s="129"/>
      <c r="AH686" s="129"/>
      <c r="AI686" s="129"/>
      <c r="AJ686" s="129"/>
      <c r="AK686" s="129"/>
      <c r="AL686" s="129"/>
      <c r="AM686" s="129"/>
      <c r="AN686" s="129"/>
      <c r="AO686" s="129"/>
      <c r="AP686" s="129"/>
      <c r="AQ686" s="129"/>
      <c r="AR686" s="129"/>
      <c r="AS686" s="129"/>
      <c r="AT686" s="129"/>
      <c r="AU686" s="129"/>
      <c r="AV686" s="129"/>
      <c r="AW686" s="129"/>
      <c r="AX686" s="129"/>
      <c r="AY686" s="129"/>
      <c r="AZ686" s="129"/>
      <c r="BA686" s="129"/>
      <c r="BB686" s="129"/>
      <c r="BC686" s="129"/>
      <c r="BD686" s="129"/>
      <c r="BE686" s="129"/>
      <c r="BF686" s="129" t="str">
        <f>BF685</f>
        <v>C:\Users\origr\Pictures\0.jpg</v>
      </c>
      <c r="BG686" s="129" t="str">
        <f t="shared" ref="BG686" si="718">BG685</f>
        <v>C:\Users\origr\Pictures\0.jpg</v>
      </c>
      <c r="BH686" s="129" t="str">
        <f t="shared" ref="BH686" si="719">BH685</f>
        <v>C:\Users\origr\Pictures\0.jpg</v>
      </c>
      <c r="BI686" s="129" t="str">
        <f t="shared" ref="BI686" si="720">BI685</f>
        <v>C:\Users\origr\Pictures\0.jpg</v>
      </c>
      <c r="BJ686" s="129" t="str">
        <f t="shared" ref="BJ686" si="721">BJ685</f>
        <v>C:\Users\origr\Pictures\0.jpg</v>
      </c>
      <c r="BK686" s="129" t="str">
        <f t="shared" ref="BK686" si="722">BK685</f>
        <v>C:\Users\origr\Pictures\0.jpg</v>
      </c>
    </row>
    <row r="687" spans="1:63" hidden="1">
      <c r="T687" s="72">
        <f>IF('חד גזעי'!$AM$6="לא",IF(P687=0,IF(BC687="שימור",IF('חד גזעי'!$AM$4="לא",IF(BC687="לא בוגר",0,IF(BC687="לא קיים",0,IF(J687=0,0,I687*0.1))),IF(BC687="לא בוגר",0,IF(BC687="לא קיים",0,IF(AB687=1,I687*0.1,E687*0.5)))),0),IF('חד גזעי'!$AM$4="לא",IF(BC687="לא בוגר",0,IF(BC687="לא קיים",0,IF(J687=0,0,I687*0.1))),IF(BC687="לא בוגר",0,IF(BC687="לא קיים",0,IF(AB687=1,I687*0.1,E687*0.5))))),IF(P687=0,IF(BC687="שימור",IF('חד גזעי'!$AM$4="לא",IF(BC687="לא בוגר",0,IF(BC687="לא קיים",0,IF(J687=0,0,I687*0.15))),IF(BC687="לא בוגר",0,IF(BC687="לא קיים",0,IF(AB687=1,I687*0.15,E687*0.5)))),0),IF('חד גזעי'!$AM$4="לא",IF(BC687="לא בוגר",0,IF(BC687="לא קיים",0,IF(J687=0,0,I687*0.15))),IF(BC687="לא בוגר",0,IF(BC687="לא קיים",0,IF(AB687=1,I687*0.15,E687*0.5))))))</f>
        <v>0</v>
      </c>
      <c r="V687">
        <f t="shared" si="706"/>
        <v>0</v>
      </c>
      <c r="W687">
        <f t="shared" si="707"/>
        <v>0</v>
      </c>
      <c r="X687">
        <f t="shared" si="708"/>
        <v>0</v>
      </c>
      <c r="Y687">
        <f>IF('חד גזעי'!$AM$2 = "לא",0,IF(F687&gt;9,W687,0))</f>
        <v>0</v>
      </c>
      <c r="Z687">
        <f>IF('חד גזעי'!$AM$7 = "לא",0,IF(C687 = "זית אירופי",IF('חד גזעי'!$AN$7 &lt;=סקר!F687,W687,0),IF(C687 = "חרוב מצוי",IF('חד גזעי'!$AN$7 &lt;=סקר!F687,W687,0),0)))</f>
        <v>0</v>
      </c>
    </row>
    <row r="688" spans="1:63" ht="12.75" hidden="1" customHeight="1">
      <c r="T688" s="72">
        <f>IF('חד גזעי'!$AM$6="לא",IF(P688=0,IF(BC688="שימור",IF('חד גזעי'!$AM$4="לא",IF(BC688="לא בוגר",0,IF(BC688="לא קיים",0,IF(J688=0,0,I688*0.1))),IF(BC688="לא בוגר",0,IF(BC688="לא קיים",0,IF(AB688=1,I688*0.1,E688*0.5)))),0),IF('חד גזעי'!$AM$4="לא",IF(BC688="לא בוגר",0,IF(BC688="לא קיים",0,IF(J688=0,0,I688*0.1))),IF(BC688="לא בוגר",0,IF(BC688="לא קיים",0,IF(AB688=1,I688*0.1,E688*0.5))))),IF(P688=0,IF(BC688="שימור",IF('חד גזעי'!$AM$4="לא",IF(BC688="לא בוגר",0,IF(BC688="לא קיים",0,IF(J688=0,0,I688*0.15))),IF(BC688="לא בוגר",0,IF(BC688="לא קיים",0,IF(AB688=1,I688*0.15,E688*0.5)))),0),IF('חד גזעי'!$AM$4="לא",IF(BC688="לא בוגר",0,IF(BC688="לא קיים",0,IF(J688=0,0,I688*0.15))),IF(BC688="לא בוגר",0,IF(BC688="לא קיים",0,IF(AB688=1,I688*0.15,E688*0.5))))))</f>
        <v>0</v>
      </c>
      <c r="V688">
        <f t="shared" si="706"/>
        <v>0</v>
      </c>
      <c r="W688">
        <f t="shared" si="707"/>
        <v>0</v>
      </c>
      <c r="X688">
        <f t="shared" si="708"/>
        <v>0</v>
      </c>
      <c r="Y688">
        <f>IF('חד גזעי'!$AM$2 = "לא",0,IF(F688&gt;9,W688,0))</f>
        <v>0</v>
      </c>
      <c r="Z688">
        <f>IF('חד גזעי'!$AM$7 = "לא",0,IF(C688 = "זית אירופי",IF('חד גזעי'!$AN$7 &lt;=סקר!F688,W688,0),IF(C688 = "חרוב מצוי",IF('חד גזעי'!$AN$7 &lt;=סקר!F688,W688,0),0)))</f>
        <v>0</v>
      </c>
    </row>
    <row r="689" spans="1:63" ht="12.75" hidden="1" customHeight="1">
      <c r="T689" s="72">
        <f>IF('חד גזעי'!$AM$6="לא",IF(P689=0,IF(BC689="שימור",IF('חד גזעי'!$AM$4="לא",IF(BC689="לא בוגר",0,IF(BC689="לא קיים",0,IF(J689=0,0,I689*0.1))),IF(BC689="לא בוגר",0,IF(BC689="לא קיים",0,IF(AB689=1,I689*0.1,E689*0.5)))),0),IF('חד גזעי'!$AM$4="לא",IF(BC689="לא בוגר",0,IF(BC689="לא קיים",0,IF(J689=0,0,I689*0.1))),IF(BC689="לא בוגר",0,IF(BC689="לא קיים",0,IF(AB689=1,I689*0.1,E689*0.5))))),IF(P689=0,IF(BC689="שימור",IF('חד גזעי'!$AM$4="לא",IF(BC689="לא בוגר",0,IF(BC689="לא קיים",0,IF(J689=0,0,I689*0.15))),IF(BC689="לא בוגר",0,IF(BC689="לא קיים",0,IF(AB689=1,I689*0.15,E689*0.5)))),0),IF('חד גזעי'!$AM$4="לא",IF(BC689="לא בוגר",0,IF(BC689="לא קיים",0,IF(J689=0,0,I689*0.15))),IF(BC689="לא בוגר",0,IF(BC689="לא קיים",0,IF(AB689=1,I689*0.15,E689*0.5))))))</f>
        <v>0</v>
      </c>
      <c r="V689">
        <f t="shared" si="706"/>
        <v>0</v>
      </c>
      <c r="W689">
        <f t="shared" si="707"/>
        <v>0</v>
      </c>
      <c r="X689">
        <f t="shared" si="708"/>
        <v>0</v>
      </c>
      <c r="Y689">
        <f>IF('חד גזעי'!$AM$2 = "לא",0,IF(F689&gt;9,W689,0))</f>
        <v>0</v>
      </c>
      <c r="Z689">
        <f>IF('חד גזעי'!$AM$7 = "לא",0,IF(C689 = "זית אירופי",IF('חד גזעי'!$AN$7 &lt;=סקר!F689,W689,0),IF(C689 = "חרוב מצוי",IF('חד גזעי'!$AN$7 &lt;=סקר!F689,W689,0),0)))</f>
        <v>0</v>
      </c>
    </row>
    <row r="690" spans="1:63" ht="12.75" hidden="1" customHeight="1">
      <c r="A690" s="129"/>
      <c r="B690" s="129"/>
      <c r="C690" s="129"/>
      <c r="D690" s="129"/>
      <c r="E690" s="129"/>
      <c r="F690" s="129"/>
      <c r="G690" s="129"/>
      <c r="H690" s="129"/>
      <c r="I690" s="129"/>
      <c r="J690" s="129"/>
      <c r="K690" s="129"/>
      <c r="L690" s="129"/>
      <c r="M690" s="129"/>
      <c r="N690" s="129"/>
      <c r="O690" s="129"/>
      <c r="P690" s="129"/>
      <c r="Q690" s="129"/>
      <c r="R690" s="129"/>
      <c r="S690" s="129"/>
      <c r="T690" s="72">
        <f>IF('חד גזעי'!$AM$6="לא",IF(P690=0,IF(BC690="שימור",IF('חד גזעי'!$AM$4="לא",IF(BC690="לא בוגר",0,IF(BC690="לא קיים",0,IF(J690=0,0,I690*0.1))),IF(BC690="לא בוגר",0,IF(BC690="לא קיים",0,IF(AB690=1,I690*0.1,E690*0.5)))),0),IF('חד גזעי'!$AM$4="לא",IF(BC690="לא בוגר",0,IF(BC690="לא קיים",0,IF(J690=0,0,I690*0.1))),IF(BC690="לא בוגר",0,IF(BC690="לא קיים",0,IF(AB690=1,I690*0.1,E690*0.5))))),IF(P690=0,IF(BC690="שימור",IF('חד גזעי'!$AM$4="לא",IF(BC690="לא בוגר",0,IF(BC690="לא קיים",0,IF(J690=0,0,I690*0.15))),IF(BC690="לא בוגר",0,IF(BC690="לא קיים",0,IF(AB690=1,I690*0.15,E690*0.5)))),0),IF('חד גזעי'!$AM$4="לא",IF(BC690="לא בוגר",0,IF(BC690="לא קיים",0,IF(J690=0,0,I690*0.15))),IF(BC690="לא בוגר",0,IF(BC690="לא קיים",0,IF(AB690=1,I690*0.15,E690*0.5))))))</f>
        <v>0</v>
      </c>
      <c r="U690" s="129"/>
      <c r="V690">
        <f t="shared" si="706"/>
        <v>0</v>
      </c>
      <c r="W690">
        <f t="shared" si="707"/>
        <v>0</v>
      </c>
      <c r="X690">
        <f t="shared" si="708"/>
        <v>0</v>
      </c>
      <c r="Y690">
        <f>IF('חד גזעי'!$AM$2 = "לא",0,IF(F690&gt;9,W690,0))</f>
        <v>0</v>
      </c>
      <c r="Z690">
        <f>IF('חד גזעי'!$AM$7 = "לא",0,IF(C690 = "זית אירופי",IF('חד גזעי'!$AN$7 &lt;=סקר!F690,W690,0),IF(C690 = "חרוב מצוי",IF('חד גזעי'!$AN$7 &lt;=סקר!F690,W690,0),0)))</f>
        <v>0</v>
      </c>
      <c r="AA690" s="129"/>
      <c r="AB690" s="129"/>
      <c r="AC690" s="129"/>
      <c r="AD690" s="129"/>
      <c r="AE690" s="129"/>
      <c r="AF690" s="129"/>
      <c r="AG690" s="129"/>
      <c r="AH690" s="129"/>
      <c r="AI690" s="129"/>
      <c r="AJ690" s="129"/>
      <c r="AK690" s="129"/>
      <c r="AL690" s="129"/>
      <c r="AM690" s="129"/>
      <c r="AN690" s="129"/>
      <c r="AO690" s="129"/>
      <c r="AP690" s="129"/>
      <c r="AQ690" s="129"/>
      <c r="AR690" s="129"/>
      <c r="AS690" s="129"/>
      <c r="AT690" s="129"/>
      <c r="AU690" s="129"/>
      <c r="AV690" s="129"/>
      <c r="AW690" s="129"/>
      <c r="AX690" s="129"/>
      <c r="AY690" s="129"/>
      <c r="AZ690" s="129"/>
      <c r="BA690" s="129"/>
      <c r="BB690" s="129"/>
      <c r="BC690" s="129"/>
      <c r="BD690" s="129"/>
      <c r="BE690" s="129"/>
      <c r="BF690" s="129">
        <f>_xlfn.IFNA(_xlfn.IFNA(_xlfn.TEXTBEFORE(BF694,"--"),_xlfn.TEXTBEFORE(BF694,",")),BF694)</f>
        <v>0</v>
      </c>
      <c r="BG690" s="129">
        <f t="shared" ref="BG690:BK690" si="723">_xlfn.IFNA(_xlfn.IFNA(_xlfn.TEXTBEFORE(BG694,"--"),_xlfn.TEXTBEFORE(BG694,",")),BG694)</f>
        <v>0</v>
      </c>
      <c r="BH690" s="129">
        <f t="shared" si="723"/>
        <v>0</v>
      </c>
      <c r="BI690" s="129">
        <f>_xlfn.IFNA(_xlfn.IFNA(_xlfn.TEXTBEFORE(BI694,"--"),_xlfn.TEXTBEFORE(BI694,",")),BI694)</f>
        <v>0</v>
      </c>
      <c r="BJ690" s="129">
        <f t="shared" si="723"/>
        <v>0</v>
      </c>
      <c r="BK690" s="129">
        <f t="shared" si="723"/>
        <v>0</v>
      </c>
    </row>
    <row r="691" spans="1:63" ht="12.75" hidden="1" customHeight="1">
      <c r="A691" s="129"/>
      <c r="B691" s="129"/>
      <c r="C691" s="129"/>
      <c r="D691" s="129"/>
      <c r="E691" s="129"/>
      <c r="F691" s="129"/>
      <c r="G691" s="129"/>
      <c r="H691" s="129"/>
      <c r="I691" s="129"/>
      <c r="J691" s="129"/>
      <c r="K691" s="129"/>
      <c r="L691" s="129"/>
      <c r="M691" s="129"/>
      <c r="N691" s="129"/>
      <c r="O691" s="129"/>
      <c r="P691" s="129"/>
      <c r="Q691" s="129"/>
      <c r="R691" s="129"/>
      <c r="S691" s="129"/>
      <c r="T691" s="72">
        <f>IF('חד גזעי'!$AM$6="לא",IF(P691=0,IF(BC691="שימור",IF('חד גזעי'!$AM$4="לא",IF(BC691="לא בוגר",0,IF(BC691="לא קיים",0,IF(J691=0,0,I691*0.1))),IF(BC691="לא בוגר",0,IF(BC691="לא קיים",0,IF(AB691=1,I691*0.1,E691*0.5)))),0),IF('חד גזעי'!$AM$4="לא",IF(BC691="לא בוגר",0,IF(BC691="לא קיים",0,IF(J691=0,0,I691*0.1))),IF(BC691="לא בוגר",0,IF(BC691="לא קיים",0,IF(AB691=1,I691*0.1,E691*0.5))))),IF(P691=0,IF(BC691="שימור",IF('חד גזעי'!$AM$4="לא",IF(BC691="לא בוגר",0,IF(BC691="לא קיים",0,IF(J691=0,0,I691*0.15))),IF(BC691="לא בוגר",0,IF(BC691="לא קיים",0,IF(AB691=1,I691*0.15,E691*0.5)))),0),IF('חד גזעי'!$AM$4="לא",IF(BC691="לא בוגר",0,IF(BC691="לא קיים",0,IF(J691=0,0,I691*0.15))),IF(BC691="לא בוגר",0,IF(BC691="לא קיים",0,IF(AB691=1,I691*0.15,E691*0.5))))))</f>
        <v>0</v>
      </c>
      <c r="U691" s="129"/>
      <c r="V691">
        <f t="shared" si="706"/>
        <v>0</v>
      </c>
      <c r="W691">
        <f t="shared" si="707"/>
        <v>0</v>
      </c>
      <c r="X691">
        <f t="shared" si="708"/>
        <v>0</v>
      </c>
      <c r="Y691">
        <f>IF('חד גזעי'!$AM$2 = "לא",0,IF(F691&gt;9,W691,0))</f>
        <v>0</v>
      </c>
      <c r="Z691">
        <f>IF('חד גזעי'!$AM$7 = "לא",0,IF(C691 = "זית אירופי",IF('חד גזעי'!$AN$7 &lt;=סקר!F691,W691,0),IF(C691 = "חרוב מצוי",IF('חד גזעי'!$AN$7 &lt;=סקר!F691,W691,0),0)))</f>
        <v>0</v>
      </c>
      <c r="AA691" s="129"/>
      <c r="AB691" s="129"/>
      <c r="AC691" s="129"/>
      <c r="AD691" s="129"/>
      <c r="AE691" s="129"/>
      <c r="AF691" s="129"/>
      <c r="AG691" s="129"/>
      <c r="AH691" s="129"/>
      <c r="AI691" s="129"/>
      <c r="AJ691" s="129"/>
      <c r="AK691" s="129"/>
      <c r="AL691" s="129"/>
      <c r="AM691" s="129"/>
      <c r="AN691" s="129"/>
      <c r="AO691" s="129"/>
      <c r="AP691" s="129"/>
      <c r="AQ691" s="129"/>
      <c r="AR691" s="129"/>
      <c r="AS691" s="129"/>
      <c r="AT691" s="129"/>
      <c r="AU691" s="129"/>
      <c r="AV691" s="129"/>
      <c r="AW691" s="129"/>
      <c r="AX691" s="129"/>
      <c r="AY691" s="129"/>
      <c r="AZ691" s="129"/>
      <c r="BA691" s="129"/>
      <c r="BB691" s="129"/>
      <c r="BC691" s="129"/>
      <c r="BD691" s="129"/>
      <c r="BE691" s="129"/>
      <c r="BF691" s="129" t="str">
        <f>"C:\Users\origr\Pictures\"&amp;BF690&amp;".jpg"</f>
        <v>C:\Users\origr\Pictures\0.jpg</v>
      </c>
      <c r="BG691" s="129" t="str">
        <f t="shared" ref="BG691" si="724">"C:\Users\origr\Pictures\"&amp;BG690&amp;".jpg"</f>
        <v>C:\Users\origr\Pictures\0.jpg</v>
      </c>
      <c r="BH691" s="129" t="str">
        <f t="shared" ref="BH691" si="725">"C:\Users\origr\Pictures\"&amp;BH690&amp;".jpg"</f>
        <v>C:\Users\origr\Pictures\0.jpg</v>
      </c>
      <c r="BI691" s="129" t="str">
        <f t="shared" ref="BI691" si="726">"C:\Users\origr\Pictures\"&amp;BI690&amp;".jpg"</f>
        <v>C:\Users\origr\Pictures\0.jpg</v>
      </c>
      <c r="BJ691" s="129" t="str">
        <f t="shared" ref="BJ691" si="727">"C:\Users\origr\Pictures\"&amp;BJ690&amp;".jpg"</f>
        <v>C:\Users\origr\Pictures\0.jpg</v>
      </c>
      <c r="BK691" s="129" t="str">
        <f t="shared" ref="BK691" si="728">"C:\Users\origr\Pictures\"&amp;BK690&amp;".jpg"</f>
        <v>C:\Users\origr\Pictures\0.jpg</v>
      </c>
    </row>
    <row r="692" spans="1:63" ht="12.75" hidden="1" customHeight="1">
      <c r="A692" s="129"/>
      <c r="B692" s="129"/>
      <c r="C692" s="129"/>
      <c r="D692" s="129"/>
      <c r="E692" s="129"/>
      <c r="F692" s="129"/>
      <c r="G692" s="129"/>
      <c r="H692" s="129"/>
      <c r="I692" s="129"/>
      <c r="J692" s="129"/>
      <c r="K692" s="129"/>
      <c r="L692" s="129"/>
      <c r="M692" s="129"/>
      <c r="N692" s="129"/>
      <c r="O692" s="129"/>
      <c r="P692" s="129"/>
      <c r="Q692" s="129"/>
      <c r="R692" s="129"/>
      <c r="S692" s="129"/>
      <c r="T692" s="72">
        <f>IF('חד גזעי'!$AM$6="לא",IF(P692=0,IF(BC692="שימור",IF('חד גזעי'!$AM$4="לא",IF(BC692="לא בוגר",0,IF(BC692="לא קיים",0,IF(J692=0,0,I692*0.1))),IF(BC692="לא בוגר",0,IF(BC692="לא קיים",0,IF(AB692=1,I692*0.1,E692*0.5)))),0),IF('חד גזעי'!$AM$4="לא",IF(BC692="לא בוגר",0,IF(BC692="לא קיים",0,IF(J692=0,0,I692*0.1))),IF(BC692="לא בוגר",0,IF(BC692="לא קיים",0,IF(AB692=1,I692*0.1,E692*0.5))))),IF(P692=0,IF(BC692="שימור",IF('חד גזעי'!$AM$4="לא",IF(BC692="לא בוגר",0,IF(BC692="לא קיים",0,IF(J692=0,0,I692*0.15))),IF(BC692="לא בוגר",0,IF(BC692="לא קיים",0,IF(AB692=1,I692*0.15,E692*0.5)))),0),IF('חד גזעי'!$AM$4="לא",IF(BC692="לא בוגר",0,IF(BC692="לא קיים",0,IF(J692=0,0,I692*0.15))),IF(BC692="לא בוגר",0,IF(BC692="לא קיים",0,IF(AB692=1,I692*0.15,E692*0.5))))))</f>
        <v>0</v>
      </c>
      <c r="U692" s="129"/>
      <c r="V692">
        <f t="shared" si="706"/>
        <v>0</v>
      </c>
      <c r="W692">
        <f t="shared" si="707"/>
        <v>0</v>
      </c>
      <c r="X692">
        <f t="shared" si="708"/>
        <v>0</v>
      </c>
      <c r="Y692">
        <f>IF('חד גזעי'!$AM$2 = "לא",0,IF(F692&gt;9,W692,0))</f>
        <v>0</v>
      </c>
      <c r="Z692">
        <f>IF('חד גזעי'!$AM$7 = "לא",0,IF(C692 = "זית אירופי",IF('חד גזעי'!$AN$7 &lt;=סקר!F692,W692,0),IF(C692 = "חרוב מצוי",IF('חד גזעי'!$AN$7 &lt;=סקר!F692,W692,0),0)))</f>
        <v>0</v>
      </c>
      <c r="AA692" s="129"/>
      <c r="AB692" s="129"/>
      <c r="AC692" s="129"/>
      <c r="AD692" s="129"/>
      <c r="AE692" s="129"/>
      <c r="AF692" s="129"/>
      <c r="AG692" s="129"/>
      <c r="AH692" s="129"/>
      <c r="AI692" s="129"/>
      <c r="AJ692" s="129"/>
      <c r="AK692" s="129"/>
      <c r="AL692" s="129"/>
      <c r="AM692" s="129"/>
      <c r="AN692" s="129"/>
      <c r="AO692" s="129"/>
      <c r="AP692" s="129"/>
      <c r="AQ692" s="129"/>
      <c r="AR692" s="129"/>
      <c r="AS692" s="129"/>
      <c r="AT692" s="129"/>
      <c r="AU692" s="129"/>
      <c r="AV692" s="129"/>
      <c r="AW692" s="129"/>
      <c r="AX692" s="129"/>
      <c r="AY692" s="129"/>
      <c r="AZ692" s="129"/>
      <c r="BA692" s="129"/>
      <c r="BB692" s="129"/>
      <c r="BC692" s="129"/>
      <c r="BD692" s="129"/>
      <c r="BE692" s="129"/>
      <c r="BF692" s="129" t="str">
        <f>BF691</f>
        <v>C:\Users\origr\Pictures\0.jpg</v>
      </c>
      <c r="BG692" s="129" t="str">
        <f t="shared" ref="BG692" si="729">BG691</f>
        <v>C:\Users\origr\Pictures\0.jpg</v>
      </c>
      <c r="BH692" s="129" t="str">
        <f t="shared" ref="BH692" si="730">BH691</f>
        <v>C:\Users\origr\Pictures\0.jpg</v>
      </c>
      <c r="BI692" s="129" t="str">
        <f t="shared" ref="BI692" si="731">BI691</f>
        <v>C:\Users\origr\Pictures\0.jpg</v>
      </c>
      <c r="BJ692" s="129" t="str">
        <f t="shared" ref="BJ692" si="732">BJ691</f>
        <v>C:\Users\origr\Pictures\0.jpg</v>
      </c>
      <c r="BK692" s="129" t="str">
        <f t="shared" ref="BK692" si="733">BK691</f>
        <v>C:\Users\origr\Pictures\0.jpg</v>
      </c>
    </row>
    <row r="693" spans="1:63" ht="14.25" hidden="1">
      <c r="B693" s="71"/>
      <c r="C693" s="69"/>
      <c r="Q693" s="86"/>
      <c r="T693" s="72">
        <f>IF('חד גזעי'!$AM$6="לא",IF(P693=0,IF(BC693="שימור",IF('חד גזעי'!$AM$4="לא",IF(BC693="לא בוגר",0,IF(BC693="לא קיים",0,IF(J693=0,0,I693*0.1))),IF(BC693="לא בוגר",0,IF(BC693="לא קיים",0,IF(AB693=1,I693*0.1,E693*0.5)))),0),IF('חד גזעי'!$AM$4="לא",IF(BC693="לא בוגר",0,IF(BC693="לא קיים",0,IF(J693=0,0,I693*0.1))),IF(BC693="לא בוגר",0,IF(BC693="לא קיים",0,IF(AB693=1,I693*0.1,E693*0.5))))),IF(P693=0,IF(BC693="שימור",IF('חד גזעי'!$AM$4="לא",IF(BC693="לא בוגר",0,IF(BC693="לא קיים",0,IF(J693=0,0,I693*0.15))),IF(BC693="לא בוגר",0,IF(BC693="לא קיים",0,IF(AB693=1,I693*0.15,E693*0.5)))),0),IF('חד גזעי'!$AM$4="לא",IF(BC693="לא בוגר",0,IF(BC693="לא קיים",0,IF(J693=0,0,I693*0.15))),IF(BC693="לא בוגר",0,IF(BC693="לא קיים",0,IF(AB693=1,I693*0.15,E693*0.5))))))</f>
        <v>0</v>
      </c>
      <c r="V693">
        <f t="shared" si="706"/>
        <v>0</v>
      </c>
      <c r="W693">
        <f t="shared" si="707"/>
        <v>0</v>
      </c>
      <c r="X693">
        <f t="shared" si="708"/>
        <v>0</v>
      </c>
      <c r="Y693">
        <f>IF('חד גזעי'!$AM$2 = "לא",0,IF(F693&gt;9,W693,0))</f>
        <v>0</v>
      </c>
      <c r="Z693">
        <f>IF('חד גזעי'!$AM$7 = "לא",0,IF(C693 = "זית אירופי",IF('חד גזעי'!$AN$7 &lt;=סקר!F693,W693,0),IF(C693 = "חרוב מצוי",IF('חד גזעי'!$AN$7 &lt;=סקר!F693,W693,0),0)))</f>
        <v>0</v>
      </c>
      <c r="AD693" s="69" t="s">
        <v>807</v>
      </c>
    </row>
    <row r="694" spans="1:63" hidden="1">
      <c r="B694" s="197" t="s">
        <v>738</v>
      </c>
      <c r="C694" s="197" t="s">
        <v>739</v>
      </c>
      <c r="D694" s="197" t="s">
        <v>740</v>
      </c>
      <c r="E694" s="197" t="s">
        <v>741</v>
      </c>
      <c r="F694" s="200" t="s">
        <v>759</v>
      </c>
      <c r="G694" s="203" t="s">
        <v>760</v>
      </c>
      <c r="H694" s="203" t="s">
        <v>761</v>
      </c>
      <c r="I694" s="197" t="s">
        <v>742</v>
      </c>
      <c r="J694" s="197" t="s">
        <v>743</v>
      </c>
      <c r="K694" s="197" t="s">
        <v>744</v>
      </c>
      <c r="L694" s="197" t="s">
        <v>745</v>
      </c>
      <c r="M694" s="197" t="s">
        <v>746</v>
      </c>
      <c r="N694" s="197" t="s">
        <v>747</v>
      </c>
      <c r="O694" s="197" t="s">
        <v>748</v>
      </c>
      <c r="P694" s="197" t="s">
        <v>749</v>
      </c>
      <c r="Q694" s="197" t="s">
        <v>750</v>
      </c>
      <c r="R694" s="197" t="s">
        <v>751</v>
      </c>
      <c r="T694" s="72" t="e">
        <f>IF('חד גזעי'!$AM$6="לא",IF(P694=0,IF(BC694="שימור",IF('חד גזעי'!$AM$4="לא",IF(BC694="לא בוגר",0,IF(BC694="לא קיים",0,IF(J694=0,0,I694*0.1))),IF(BC694="לא בוגר",0,IF(BC694="לא קיים",0,IF(AB694=1,I694*0.1,E694*0.5)))),0),IF('חד גזעי'!$AM$4="לא",IF(BC694="לא בוגר",0,IF(BC694="לא קיים",0,IF(J694=0,0,I694*0.1))),IF(BC694="לא בוגר",0,IF(BC694="לא קיים",0,IF(AB694=1,I694*0.1,E694*0.5))))),IF(P694=0,IF(BC694="שימור",IF('חד גזעי'!$AM$4="לא",IF(BC694="לא בוגר",0,IF(BC694="לא קיים",0,IF(J694=0,0,I694*0.15))),IF(BC694="לא בוגר",0,IF(BC694="לא קיים",0,IF(AB694=1,I694*0.15,E694*0.5)))),0),IF('חד גזעי'!$AM$4="לא",IF(BC694="לא בוגר",0,IF(BC694="לא קיים",0,IF(J694=0,0,I694*0.15))),IF(BC694="לא בוגר",0,IF(BC694="לא קיים",0,IF(AB694=1,I694*0.15,E694*0.5))))))</f>
        <v>#VALUE!</v>
      </c>
      <c r="V694">
        <f t="shared" si="706"/>
        <v>0</v>
      </c>
      <c r="W694" t="e">
        <f t="shared" si="707"/>
        <v>#VALUE!</v>
      </c>
      <c r="X694">
        <f t="shared" si="708"/>
        <v>0</v>
      </c>
      <c r="Y694">
        <f>IF('חד גזעי'!$AM$2 = "לא",0,IF(F694&gt;9,W694,0))</f>
        <v>0</v>
      </c>
      <c r="Z694">
        <f>IF('חד גזעי'!$AM$7 = "לא",0,IF(C694 = "זית אירופי",IF('חד גזעי'!$AN$7 &lt;=סקר!F694,W694,0),IF(C694 = "חרוב מצוי",IF('חד גזעי'!$AN$7 &lt;=סקר!F694,W694,0),0)))</f>
        <v>0</v>
      </c>
      <c r="AC694" s="101"/>
      <c r="AD694" s="103"/>
      <c r="AE694" s="103"/>
      <c r="AF694" s="103"/>
      <c r="AG694" s="103"/>
      <c r="AH694" s="103"/>
      <c r="AI694" s="103"/>
      <c r="AJ694" s="103"/>
      <c r="AK694" s="83"/>
      <c r="AM694" s="73"/>
      <c r="AN694" s="73"/>
      <c r="AO694" s="73"/>
      <c r="AS694" s="197" t="s">
        <v>738</v>
      </c>
      <c r="AT694" s="197" t="s">
        <v>739</v>
      </c>
      <c r="AU694" s="197" t="s">
        <v>740</v>
      </c>
      <c r="AV694" s="197" t="s">
        <v>741</v>
      </c>
      <c r="AW694" s="203" t="s">
        <v>759</v>
      </c>
      <c r="AX694" s="203" t="s">
        <v>760</v>
      </c>
      <c r="AY694" s="203" t="s">
        <v>761</v>
      </c>
      <c r="AZ694" s="197" t="s">
        <v>812</v>
      </c>
      <c r="BA694" s="197" t="s">
        <v>817</v>
      </c>
      <c r="BB694" s="197" t="s">
        <v>805</v>
      </c>
      <c r="BC694" s="197" t="s">
        <v>806</v>
      </c>
      <c r="BE694">
        <f>IF(BC694="לא נדרש ברישיון",1,0)</f>
        <v>0</v>
      </c>
      <c r="BF694" s="72"/>
      <c r="BG694" s="72"/>
      <c r="BH694" s="72"/>
      <c r="BI694" s="72"/>
      <c r="BJ694" s="72"/>
      <c r="BK694" s="72"/>
    </row>
    <row r="695" spans="1:63" hidden="1">
      <c r="B695" s="198"/>
      <c r="C695" s="198"/>
      <c r="D695" s="198"/>
      <c r="E695" s="198"/>
      <c r="F695" s="201"/>
      <c r="G695" s="204"/>
      <c r="H695" s="204"/>
      <c r="I695" s="198"/>
      <c r="J695" s="198"/>
      <c r="K695" s="198"/>
      <c r="L695" s="198"/>
      <c r="M695" s="198"/>
      <c r="N695" s="198"/>
      <c r="O695" s="198"/>
      <c r="P695" s="198"/>
      <c r="Q695" s="198"/>
      <c r="R695" s="198"/>
      <c r="T695" s="72">
        <f>IF('חד גזעי'!$AM$6="לא",IF(P695=0,IF(BC695="שימור",IF('חד גזעי'!$AM$4="לא",IF(BC695="לא בוגר",0,IF(BC695="לא קיים",0,IF(J695=0,0,I695*0.1))),IF(BC695="לא בוגר",0,IF(BC695="לא קיים",0,IF(AB695=1,I695*0.1,E695*0.5)))),0),IF('חד גזעי'!$AM$4="לא",IF(BC695="לא בוגר",0,IF(BC695="לא קיים",0,IF(J695=0,0,I695*0.1))),IF(BC695="לא בוגר",0,IF(BC695="לא קיים",0,IF(AB695=1,I695*0.1,E695*0.5))))),IF(P695=0,IF(BC695="שימור",IF('חד גזעי'!$AM$4="לא",IF(BC695="לא בוגר",0,IF(BC695="לא קיים",0,IF(J695=0,0,I695*0.15))),IF(BC695="לא בוגר",0,IF(BC695="לא קיים",0,IF(AB695=1,I695*0.15,E695*0.5)))),0),IF('חד גזעי'!$AM$4="לא",IF(BC695="לא בוגר",0,IF(BC695="לא קיים",0,IF(J695=0,0,I695*0.15))),IF(BC695="לא בוגר",0,IF(BC695="לא קיים",0,IF(AB695=1,I695*0.15,E695*0.5))))))</f>
        <v>0</v>
      </c>
      <c r="V695">
        <f t="shared" si="706"/>
        <v>0</v>
      </c>
      <c r="W695">
        <f t="shared" si="707"/>
        <v>0</v>
      </c>
      <c r="X695">
        <f t="shared" si="708"/>
        <v>0</v>
      </c>
      <c r="Y695">
        <f>IF('חד גזעי'!$AM$2 = "לא",0,IF(F695&gt;9,W695,0))</f>
        <v>0</v>
      </c>
      <c r="Z695">
        <f>IF('חד גזעי'!$AM$7 = "לא",0,IF(C695 = "זית אירופי",IF('חד גזעי'!$AN$7 &lt;=סקר!F695,W695,0),IF(C695 = "חרוב מצוי",IF('חד גזעי'!$AN$7 &lt;=סקר!F695,W695,0),0)))</f>
        <v>0</v>
      </c>
      <c r="AC695" s="101"/>
      <c r="AD695" s="103"/>
      <c r="AE695" s="103"/>
      <c r="AF695" s="103"/>
      <c r="AG695" s="103"/>
      <c r="AH695" s="103"/>
      <c r="AI695" s="103"/>
      <c r="AJ695" s="103"/>
      <c r="AK695" s="83"/>
      <c r="AM695" s="73"/>
      <c r="AN695" s="73"/>
      <c r="AO695" s="73"/>
      <c r="AS695" s="198"/>
      <c r="AT695" s="198"/>
      <c r="AU695" s="198"/>
      <c r="AV695" s="198"/>
      <c r="AW695" s="204"/>
      <c r="AX695" s="204"/>
      <c r="AY695" s="204"/>
      <c r="AZ695" s="198"/>
      <c r="BA695" s="198"/>
      <c r="BB695" s="198"/>
      <c r="BC695" s="198"/>
      <c r="BE695">
        <f t="shared" ref="BE695:BE729" si="734">IF(BC695="לא נדרש ברישיון",1,0)</f>
        <v>0</v>
      </c>
      <c r="BF695" s="196" t="str">
        <f>BF692</f>
        <v>C:\Users\origr\Pictures\0.jpg</v>
      </c>
      <c r="BG695" s="196" t="str">
        <f t="shared" ref="BG695:BK695" si="735">BG692</f>
        <v>C:\Users\origr\Pictures\0.jpg</v>
      </c>
      <c r="BH695" s="196" t="str">
        <f t="shared" si="735"/>
        <v>C:\Users\origr\Pictures\0.jpg</v>
      </c>
      <c r="BI695" s="196" t="str">
        <f t="shared" si="735"/>
        <v>C:\Users\origr\Pictures\0.jpg</v>
      </c>
      <c r="BJ695" s="196" t="str">
        <f t="shared" si="735"/>
        <v>C:\Users\origr\Pictures\0.jpg</v>
      </c>
      <c r="BK695" s="196" t="str">
        <f t="shared" si="735"/>
        <v>C:\Users\origr\Pictures\0.jpg</v>
      </c>
    </row>
    <row r="696" spans="1:63" hidden="1">
      <c r="B696" s="199"/>
      <c r="C696" s="199"/>
      <c r="D696" s="199"/>
      <c r="E696" s="199"/>
      <c r="F696" s="202"/>
      <c r="G696" s="205"/>
      <c r="H696" s="205"/>
      <c r="I696" s="199"/>
      <c r="J696" s="199"/>
      <c r="K696" s="199"/>
      <c r="L696" s="199"/>
      <c r="M696" s="199"/>
      <c r="N696" s="199"/>
      <c r="O696" s="199"/>
      <c r="P696" s="199"/>
      <c r="Q696" s="199"/>
      <c r="R696" s="199"/>
      <c r="T696" s="72">
        <f>IF('חד גזעי'!$AM$6="לא",IF(P696=0,IF(BC696="שימור",IF('חד גזעי'!$AM$4="לא",IF(BC696="לא בוגר",0,IF(BC696="לא קיים",0,IF(J696=0,0,I696*0.1))),IF(BC696="לא בוגר",0,IF(BC696="לא קיים",0,IF(AB696=1,I696*0.1,E696*0.5)))),0),IF('חד גזעי'!$AM$4="לא",IF(BC696="לא בוגר",0,IF(BC696="לא קיים",0,IF(J696=0,0,I696*0.1))),IF(BC696="לא בוגר",0,IF(BC696="לא קיים",0,IF(AB696=1,I696*0.1,E696*0.5))))),IF(P696=0,IF(BC696="שימור",IF('חד גזעי'!$AM$4="לא",IF(BC696="לא בוגר",0,IF(BC696="לא קיים",0,IF(J696=0,0,I696*0.15))),IF(BC696="לא בוגר",0,IF(BC696="לא קיים",0,IF(AB696=1,I696*0.15,E696*0.5)))),0),IF('חד גזעי'!$AM$4="לא",IF(BC696="לא בוגר",0,IF(BC696="לא קיים",0,IF(J696=0,0,I696*0.15))),IF(BC696="לא בוגר",0,IF(BC696="לא קיים",0,IF(AB696=1,I696*0.15,E696*0.5))))))</f>
        <v>0</v>
      </c>
      <c r="V696" t="str">
        <f t="shared" si="706"/>
        <v>שווי דקל</v>
      </c>
      <c r="W696" t="str">
        <f t="shared" si="707"/>
        <v>שווי דקל</v>
      </c>
      <c r="X696">
        <f t="shared" si="708"/>
        <v>0</v>
      </c>
      <c r="Y696">
        <f>IF('חד גזעי'!$AM$2 = "לא",0,IF(F696&gt;9,W696,0))</f>
        <v>0</v>
      </c>
      <c r="Z696">
        <f>IF('חד גזעי'!$AM$7 = "לא",0,IF(C696 = "זית אירופי",IF('חד גזעי'!$AN$7 &lt;=סקר!F696,W696,0),IF(C696 = "חרוב מצוי",IF('חד גזעי'!$AN$7 &lt;=סקר!F696,W696,0),0)))</f>
        <v>0</v>
      </c>
      <c r="AC696" s="94"/>
      <c r="AD696" s="94"/>
      <c r="AE696" s="72"/>
      <c r="AF696" s="77" t="s">
        <v>767</v>
      </c>
      <c r="AG696" s="77" t="s">
        <v>768</v>
      </c>
      <c r="AH696" s="72" t="s">
        <v>762</v>
      </c>
      <c r="AI696" s="72" t="s">
        <v>763</v>
      </c>
      <c r="AJ696" s="72" t="s">
        <v>764</v>
      </c>
      <c r="AK696" s="77" t="s">
        <v>770</v>
      </c>
      <c r="AL696" t="s">
        <v>771</v>
      </c>
      <c r="AM696" s="77" t="s">
        <v>809</v>
      </c>
      <c r="AN696" s="77" t="s">
        <v>810</v>
      </c>
      <c r="AO696" s="77" t="s">
        <v>811</v>
      </c>
      <c r="AS696" s="199"/>
      <c r="AT696" s="199"/>
      <c r="AU696" s="199"/>
      <c r="AV696" s="199"/>
      <c r="AW696" s="205"/>
      <c r="AX696" s="205"/>
      <c r="AY696" s="205"/>
      <c r="AZ696" s="199"/>
      <c r="BA696" s="199"/>
      <c r="BB696" s="199"/>
      <c r="BC696" s="199"/>
      <c r="BE696">
        <f t="shared" si="734"/>
        <v>0</v>
      </c>
      <c r="BF696" s="196"/>
      <c r="BG696" s="196"/>
      <c r="BH696" s="196"/>
      <c r="BI696" s="196"/>
      <c r="BJ696" s="196"/>
      <c r="BK696" s="196"/>
    </row>
    <row r="697" spans="1:63" hidden="1">
      <c r="B697" s="72"/>
      <c r="C697" s="135"/>
      <c r="D697" s="73"/>
      <c r="E697" s="73"/>
      <c r="F697" s="72"/>
      <c r="G697" s="72"/>
      <c r="H697" s="72"/>
      <c r="I697" s="73">
        <f t="shared" ref="I697:I728" si="736">F697+(G697/2)+(H697/2)</f>
        <v>0</v>
      </c>
      <c r="J697" s="73"/>
      <c r="K697" s="73"/>
      <c r="L697" s="74" t="e">
        <f>_xlfn.IFNA(VLOOKUP(C697,'חד גזעי'!$U$3:$V$509,2,0),VLOOKUP(C697,'חד גזעי'!$U$3:$V$509,2))</f>
        <v>#N/A</v>
      </c>
      <c r="M697" s="73"/>
      <c r="N697" s="72" t="e">
        <f>_xlfn.IFNA(IF(VLOOKUP(C697,'חד גזעי'!$AH$2:$AH$7,1,FALSE)&gt;0,0,IF('חד גזעי'!$AM$5="כן",IF(_xlfn.IFNA(VLOOKUP(C697,'חד גזעי'!$AH$2:$AH$33,1,FALSE),SUM(J697:M697))&lt;21,_xlfn.IFNA(VLOOKUP(C697,'חד גזעי'!$AH$2:$AH$33,1,FALSE),SUM(J697:M697)),0),SUM(J697:M697))),IF('חד גזעי'!$AM$5="כן",IF(_xlfn.IFNA(VLOOKUP(C697,'חד גזעי'!$AH$2:$AH$33,1,FALSE),SUM(J697:M697))&lt;21,_xlfn.IFNA(VLOOKUP(C697,'חד גזעי'!$AH$2:$AH$33,1,FALSE),SUM(J697:M697)),0),SUM(J697:M697)))</f>
        <v>#N/A</v>
      </c>
      <c r="O697" s="72">
        <f>IF('חד גזעי'!$AM$3 = "כן",IF(T697&gt;4,4,T697),T697)</f>
        <v>0</v>
      </c>
      <c r="P697" s="80">
        <f>IF(E697&lt;2,0,IF(Z697&gt;0,Z697,IF(N697 = 0,0,IF('חד גזעי'!$AM$2 = "לא",IF(F697&gt;19,W697,0),IF(F697&gt;9,Y697,0)))))</f>
        <v>0</v>
      </c>
      <c r="Q697" s="77"/>
      <c r="R697" s="75"/>
      <c r="S697" t="e">
        <f>VLOOKUP(C697,'חד גזעי'!$Y$4:$Y$18,1,0)</f>
        <v>#N/A</v>
      </c>
      <c r="T697" s="72">
        <f>IF('חד גזעי'!$AM$6="לא",IF(P697=0,IF(BC697="שימור",IF('חד גזעי'!$AM$4="לא",IF(BC697="לא בוגר",0,IF(BC697="לא קיים",0,IF(J697=0,0,I697*0.1))),IF(BC697="לא בוגר",0,IF(BC697="לא קיים",0,IF(AB697=1,I697*0.1,E697*0.5)))),0),IF('חד גזעי'!$AM$4="לא",IF(BC697="לא בוגר",0,IF(BC697="לא קיים",0,IF(J697=0,0,I697*0.1))),IF(BC697="לא בוגר",0,IF(BC697="לא קיים",0,IF(AB697=1,I697*0.1,E697*0.5))))),IF(P697=0,IF(BC697="שימור",IF('חד גזעי'!$AM$4="לא",IF(BC697="לא בוגר",0,IF(BC697="לא קיים",0,IF(J697=0,0,I697*0.15))),IF(BC697="לא בוגר",0,IF(BC697="לא קיים",0,IF(AB697=1,I697*0.15,E697*0.5)))),0),IF('חד גזעי'!$AM$4="לא",IF(BC697="לא בוגר",0,IF(BC697="לא קיים",0,IF(J697=0,0,I697*0.15))),IF(BC697="לא בוגר",0,IF(BC697="לא קיים",0,IF(AB697=1,I697*0.15,E697*0.5))))))</f>
        <v>0</v>
      </c>
      <c r="V697" t="e">
        <f t="shared" si="706"/>
        <v>#N/A</v>
      </c>
      <c r="W697" t="e">
        <f t="shared" si="707"/>
        <v>#N/A</v>
      </c>
      <c r="X697" t="e">
        <f t="shared" si="708"/>
        <v>#N/A</v>
      </c>
      <c r="Y697">
        <f>IF('חד גזעי'!$AM$2 = "לא",0,IF(F697&gt;9,W697,0))</f>
        <v>0</v>
      </c>
      <c r="Z697">
        <f>IF('חד גזעי'!$AM$7 = "לא",0,IF(C697 = "זית אירופי",IF('חד גזעי'!$AN$7 &lt;=סקר!F697,W697,0),IF(C697 = "חרוב מצוי",IF('חד גזעי'!$AN$7 &lt;=סקר!F697,W697,0),0)))</f>
        <v>0</v>
      </c>
      <c r="AB697">
        <f t="shared" ref="AB697:AB728" si="737">_xlfn.IFNA(S697,1)</f>
        <v>1</v>
      </c>
      <c r="AC697" s="72"/>
      <c r="AD697" t="e">
        <f>IF(AK697&gt;0,AK697,AF697)</f>
        <v>#N/A</v>
      </c>
      <c r="AE697" s="72"/>
      <c r="AF697" s="72" t="e">
        <f t="shared" ref="AF697:AF728" si="738">((AJ697+AI697+AH697)*(AG697))*(J697*0.2)*(K697*0.2)*20</f>
        <v>#N/A</v>
      </c>
      <c r="AG697" s="72" t="e">
        <f>IF('חד גזעי'!$AM$5="לא",(VLOOKUP(C697,'חד גזעי'!$P$1:$S$589,3,FALSE)),(VLOOKUP(C697,'חד גזעי'!$P$1:$S$589,4,FALSE)))</f>
        <v>#N/A</v>
      </c>
      <c r="AH697" s="72">
        <f t="shared" ref="AH697:AH728" si="739">(3.14*((F697/2)^2))</f>
        <v>0</v>
      </c>
      <c r="AI697" s="72">
        <f t="shared" ref="AI697:AI728" si="740">3.14*(G697*G697/4)</f>
        <v>0</v>
      </c>
      <c r="AJ697" s="72">
        <f t="shared" ref="AJ697:AJ728" si="741">3.14*(H697*H697/4)</f>
        <v>0</v>
      </c>
      <c r="AK697" s="72" t="e">
        <f t="shared" ref="AK697:AK728" si="742">AL697*E697*(J697*0.2)*(0.2*K697)*1500</f>
        <v>#N/A</v>
      </c>
      <c r="AL697" t="e">
        <f>VLOOKUP(C697,'חד גזעי'!$AH$8:$AI$33,2,FALSE)</f>
        <v>#N/A</v>
      </c>
      <c r="AM697" s="72" t="b">
        <f t="shared" ref="AM697:AM728" si="743">IF(BC697="שימור",P697)</f>
        <v>0</v>
      </c>
      <c r="AN697" s="72" t="b">
        <f t="shared" ref="AN697:AN728" si="744">IF(BC697="כריתה",P697)</f>
        <v>0</v>
      </c>
      <c r="AO697" s="72" t="b">
        <f t="shared" ref="AO697:AO728" si="745">IF(BC697="העתקה",P697)</f>
        <v>0</v>
      </c>
      <c r="AS697" s="72">
        <f t="shared" ref="AS697:AS728" si="746">B697</f>
        <v>0</v>
      </c>
      <c r="AT697" s="72">
        <f t="shared" ref="AT697:AT728" si="747">C697</f>
        <v>0</v>
      </c>
      <c r="AU697" s="72">
        <f>IF(C697&gt;0,IF(D697&lt;2,1,D697),0)</f>
        <v>0</v>
      </c>
      <c r="AV697" s="72">
        <f t="shared" ref="AV697:AV728" si="748">E697</f>
        <v>0</v>
      </c>
      <c r="AW697" s="72">
        <f t="shared" ref="AW697:AW728" si="749">F697</f>
        <v>0</v>
      </c>
      <c r="AX697" s="72">
        <f t="shared" ref="AX697:AX728" si="750">G697</f>
        <v>0</v>
      </c>
      <c r="AY697" s="72">
        <f t="shared" ref="AY697:AY728" si="751">H697</f>
        <v>0</v>
      </c>
      <c r="AZ697" s="72">
        <f t="shared" ref="AZ697:AZ728" si="752">I697</f>
        <v>0</v>
      </c>
      <c r="BA697" s="72" t="e">
        <f t="shared" ref="BA697:BA728" si="753">N697</f>
        <v>#N/A</v>
      </c>
      <c r="BB697" s="72" t="e">
        <f t="shared" ref="BB697:BB728" si="754">IF(BA697&gt;6,IF(BA697&gt;13,IF(BA697&gt;16,"גבוה מאוד","גבוה"),"בינונית"),"נמוכה")</f>
        <v>#N/A</v>
      </c>
      <c r="BC697" s="77"/>
      <c r="BE697">
        <f t="shared" si="734"/>
        <v>0</v>
      </c>
      <c r="BF697" s="196"/>
      <c r="BG697" s="196"/>
      <c r="BH697" s="196"/>
      <c r="BI697" s="196"/>
      <c r="BJ697" s="196"/>
      <c r="BK697" s="196"/>
    </row>
    <row r="698" spans="1:63" hidden="1">
      <c r="B698" s="72"/>
      <c r="C698" s="135"/>
      <c r="D698" s="73"/>
      <c r="E698" s="73"/>
      <c r="F698" s="72"/>
      <c r="G698" s="72"/>
      <c r="H698" s="72"/>
      <c r="I698" s="73">
        <f t="shared" si="736"/>
        <v>0</v>
      </c>
      <c r="J698" s="73"/>
      <c r="K698" s="73"/>
      <c r="L698" s="74" t="e">
        <f>_xlfn.IFNA(VLOOKUP(C698,'חד גזעי'!$U$3:$V$509,2,0),VLOOKUP(C698,'חד גזעי'!$U$3:$V$509,2))</f>
        <v>#N/A</v>
      </c>
      <c r="M698" s="73"/>
      <c r="N698" s="72" t="e">
        <f>_xlfn.IFNA(IF(VLOOKUP(C698,'חד גזעי'!$AH$2:$AH$7,1,FALSE)&gt;0,0,IF('חד גזעי'!$AM$5="כן",IF(_xlfn.IFNA(VLOOKUP(C698,'חד גזעי'!$AH$2:$AH$33,1,FALSE),SUM(J698:M698))&lt;21,_xlfn.IFNA(VLOOKUP(C698,'חד גזעי'!$AH$2:$AH$33,1,FALSE),SUM(J698:M698)),0),SUM(J698:M698))),IF('חד גזעי'!$AM$5="כן",IF(_xlfn.IFNA(VLOOKUP(C698,'חד גזעי'!$AH$2:$AH$33,1,FALSE),SUM(J698:M698))&lt;21,_xlfn.IFNA(VLOOKUP(C698,'חד גזעי'!$AH$2:$AH$33,1,FALSE),SUM(J698:M698)),0),SUM(J698:M698)))</f>
        <v>#N/A</v>
      </c>
      <c r="O698" s="72">
        <f>IF('חד גזעי'!$AM$3 = "כן",IF(T698&gt;4,4,T698),T698)</f>
        <v>0</v>
      </c>
      <c r="P698" s="80">
        <f>IF(E698&lt;2,0,IF(Z698&gt;0,Z698,IF(N698 = 0,0,IF('חד גזעי'!$AM$2 = "לא",IF(F698&gt;19,W698,0),IF(F698&gt;9,Y698,0)))))</f>
        <v>0</v>
      </c>
      <c r="Q698" s="77"/>
      <c r="R698" s="75"/>
      <c r="S698" t="e">
        <f>VLOOKUP(C698,'חד גזעי'!$Y$4:$Y$18,1,0)</f>
        <v>#N/A</v>
      </c>
      <c r="T698" s="72">
        <f>IF('חד גזעי'!$AM$6="לא",IF(P698=0,IF(BC698="שימור",IF('חד גזעי'!$AM$4="לא",IF(BC698="לא בוגר",0,IF(BC698="לא קיים",0,IF(J698=0,0,I698*0.1))),IF(BC698="לא בוגר",0,IF(BC698="לא קיים",0,IF(AB698=1,I698*0.1,E698*0.5)))),0),IF('חד גזעי'!$AM$4="לא",IF(BC698="לא בוגר",0,IF(BC698="לא קיים",0,IF(J698=0,0,I698*0.1))),IF(BC698="לא בוגר",0,IF(BC698="לא קיים",0,IF(AB698=1,I698*0.1,E698*0.5))))),IF(P698=0,IF(BC698="שימור",IF('חד גזעי'!$AM$4="לא",IF(BC698="לא בוגר",0,IF(BC698="לא קיים",0,IF(J698=0,0,I698*0.15))),IF(BC698="לא בוגר",0,IF(BC698="לא קיים",0,IF(AB698=1,I698*0.15,E698*0.5)))),0),IF('חד גזעי'!$AM$4="לא",IF(BC698="לא בוגר",0,IF(BC698="לא קיים",0,IF(J698=0,0,I698*0.15))),IF(BC698="לא בוגר",0,IF(BC698="לא קיים",0,IF(AB698=1,I698*0.15,E698*0.5))))))</f>
        <v>0</v>
      </c>
      <c r="V698" t="e">
        <f t="shared" si="706"/>
        <v>#N/A</v>
      </c>
      <c r="W698" t="e">
        <f t="shared" si="707"/>
        <v>#N/A</v>
      </c>
      <c r="X698" t="e">
        <f t="shared" si="708"/>
        <v>#N/A</v>
      </c>
      <c r="Y698">
        <f>IF('חד גזעי'!$AM$2 = "לא",0,IF(F698&gt;9,W698,0))</f>
        <v>0</v>
      </c>
      <c r="Z698">
        <f>IF('חד גזעי'!$AM$7 = "לא",0,IF(C698 = "זית אירופי",IF('חד גזעי'!$AN$7 &lt;=סקר!F698,W698,0),IF(C698 = "חרוב מצוי",IF('חד גזעי'!$AN$7 &lt;=סקר!F698,W698,0),0)))</f>
        <v>0</v>
      </c>
      <c r="AB698">
        <f t="shared" si="737"/>
        <v>1</v>
      </c>
      <c r="AC698" s="72"/>
      <c r="AD698" t="e">
        <f t="shared" ref="AD698:AD728" si="755">IF(AK698&gt;0,AK698,AF698)</f>
        <v>#N/A</v>
      </c>
      <c r="AE698" s="72"/>
      <c r="AF698" s="72" t="e">
        <f t="shared" si="738"/>
        <v>#N/A</v>
      </c>
      <c r="AG698" s="72" t="e">
        <f>IF('חד גזעי'!$AM$5="לא",(VLOOKUP(C698,'חד גזעי'!$P$1:$S$589,3,FALSE)),(VLOOKUP(C698,'חד גזעי'!$P$1:$S$589,4,FALSE)))</f>
        <v>#N/A</v>
      </c>
      <c r="AH698" s="72">
        <f t="shared" si="739"/>
        <v>0</v>
      </c>
      <c r="AI698" s="72">
        <f t="shared" si="740"/>
        <v>0</v>
      </c>
      <c r="AJ698" s="72">
        <f t="shared" si="741"/>
        <v>0</v>
      </c>
      <c r="AK698" s="72" t="e">
        <f t="shared" si="742"/>
        <v>#N/A</v>
      </c>
      <c r="AL698" t="e">
        <f>VLOOKUP(C698,'חד גזעי'!$AH$8:$AI$33,2,FALSE)</f>
        <v>#N/A</v>
      </c>
      <c r="AM698" s="72" t="b">
        <f t="shared" si="743"/>
        <v>0</v>
      </c>
      <c r="AN698" s="72" t="b">
        <f t="shared" si="744"/>
        <v>0</v>
      </c>
      <c r="AO698" s="72" t="b">
        <f t="shared" si="745"/>
        <v>0</v>
      </c>
      <c r="AS698" s="72">
        <f t="shared" si="746"/>
        <v>0</v>
      </c>
      <c r="AT698" s="72">
        <f t="shared" si="747"/>
        <v>0</v>
      </c>
      <c r="AU698" s="72">
        <f t="shared" ref="AU698:AU728" si="756">IF(C698&gt;0,IF(D698&lt;2,1,D698),0)</f>
        <v>0</v>
      </c>
      <c r="AV698" s="72">
        <f t="shared" si="748"/>
        <v>0</v>
      </c>
      <c r="AW698" s="72">
        <f t="shared" si="749"/>
        <v>0</v>
      </c>
      <c r="AX698" s="72">
        <f t="shared" si="750"/>
        <v>0</v>
      </c>
      <c r="AY698" s="72">
        <f t="shared" si="751"/>
        <v>0</v>
      </c>
      <c r="AZ698" s="72">
        <f t="shared" si="752"/>
        <v>0</v>
      </c>
      <c r="BA698" s="72" t="e">
        <f t="shared" si="753"/>
        <v>#N/A</v>
      </c>
      <c r="BB698" s="72" t="e">
        <f t="shared" si="754"/>
        <v>#N/A</v>
      </c>
      <c r="BC698" s="77"/>
      <c r="BE698">
        <f t="shared" si="734"/>
        <v>0</v>
      </c>
      <c r="BF698" s="196"/>
      <c r="BG698" s="196"/>
      <c r="BH698" s="196"/>
      <c r="BI698" s="196"/>
      <c r="BJ698" s="196"/>
      <c r="BK698" s="196"/>
    </row>
    <row r="699" spans="1:63" hidden="1">
      <c r="B699" s="72"/>
      <c r="C699" s="135"/>
      <c r="D699" s="73"/>
      <c r="E699" s="73"/>
      <c r="F699" s="72"/>
      <c r="G699" s="72"/>
      <c r="H699" s="72"/>
      <c r="I699" s="73">
        <f t="shared" si="736"/>
        <v>0</v>
      </c>
      <c r="J699" s="73"/>
      <c r="K699" s="73"/>
      <c r="L699" s="74" t="e">
        <f>_xlfn.IFNA(VLOOKUP(C699,'חד גזעי'!$U$3:$V$509,2,0),VLOOKUP(C699,'חד גזעי'!$U$3:$V$509,2))</f>
        <v>#N/A</v>
      </c>
      <c r="M699" s="73"/>
      <c r="N699" s="72" t="e">
        <f>_xlfn.IFNA(IF(VLOOKUP(C699,'חד גזעי'!$AH$2:$AH$7,1,FALSE)&gt;0,0,IF('חד גזעי'!$AM$5="כן",IF(_xlfn.IFNA(VLOOKUP(C699,'חד גזעי'!$AH$2:$AH$33,1,FALSE),SUM(J699:M699))&lt;21,_xlfn.IFNA(VLOOKUP(C699,'חד גזעי'!$AH$2:$AH$33,1,FALSE),SUM(J699:M699)),0),SUM(J699:M699))),IF('חד גזעי'!$AM$5="כן",IF(_xlfn.IFNA(VLOOKUP(C699,'חד גזעי'!$AH$2:$AH$33,1,FALSE),SUM(J699:M699))&lt;21,_xlfn.IFNA(VLOOKUP(C699,'חד גזעי'!$AH$2:$AH$33,1,FALSE),SUM(J699:M699)),0),SUM(J699:M699)))</f>
        <v>#N/A</v>
      </c>
      <c r="O699" s="72">
        <f>IF('חד גזעי'!$AM$3 = "כן",IF(T699&gt;4,4,T699),T699)</f>
        <v>0</v>
      </c>
      <c r="P699" s="80">
        <f>IF(E699&lt;2,0,IF(Z699&gt;0,Z699,IF(N699 = 0,0,IF('חד גזעי'!$AM$2 = "לא",IF(F699&gt;19,W699,0),IF(F699&gt;9,Y699,0)))))</f>
        <v>0</v>
      </c>
      <c r="Q699" s="77"/>
      <c r="R699" s="75"/>
      <c r="S699" t="e">
        <f>VLOOKUP(C699,'חד גזעי'!$Y$4:$Y$18,1,0)</f>
        <v>#N/A</v>
      </c>
      <c r="T699" s="72">
        <f>IF('חד גזעי'!$AM$6="לא",IF(P699=0,IF(BC699="שימור",IF('חד גזעי'!$AM$4="לא",IF(BC699="לא בוגר",0,IF(BC699="לא קיים",0,IF(J699=0,0,I699*0.1))),IF(BC699="לא בוגר",0,IF(BC699="לא קיים",0,IF(AB699=1,I699*0.1,E699*0.5)))),0),IF('חד גזעי'!$AM$4="לא",IF(BC699="לא בוגר",0,IF(BC699="לא קיים",0,IF(J699=0,0,I699*0.1))),IF(BC699="לא בוגר",0,IF(BC699="לא קיים",0,IF(AB699=1,I699*0.1,E699*0.5))))),IF(P699=0,IF(BC699="שימור",IF('חד גזעי'!$AM$4="לא",IF(BC699="לא בוגר",0,IF(BC699="לא קיים",0,IF(J699=0,0,I699*0.15))),IF(BC699="לא בוגר",0,IF(BC699="לא קיים",0,IF(AB699=1,I699*0.15,E699*0.5)))),0),IF('חד גזעי'!$AM$4="לא",IF(BC699="לא בוגר",0,IF(BC699="לא קיים",0,IF(J699=0,0,I699*0.15))),IF(BC699="לא בוגר",0,IF(BC699="לא קיים",0,IF(AB699=1,I699*0.15,E699*0.5))))))</f>
        <v>0</v>
      </c>
      <c r="V699" t="e">
        <f t="shared" si="706"/>
        <v>#N/A</v>
      </c>
      <c r="W699" t="e">
        <f t="shared" si="707"/>
        <v>#N/A</v>
      </c>
      <c r="X699" t="e">
        <f t="shared" si="708"/>
        <v>#N/A</v>
      </c>
      <c r="Y699">
        <f>IF('חד גזעי'!$AM$2 = "לא",0,IF(F699&gt;9,W699,0))</f>
        <v>0</v>
      </c>
      <c r="Z699">
        <f>IF('חד גזעי'!$AM$7 = "לא",0,IF(C699 = "זית אירופי",IF('חד גזעי'!$AN$7 &lt;=סקר!F699,W699,0),IF(C699 = "חרוב מצוי",IF('חד גזעי'!$AN$7 &lt;=סקר!F699,W699,0),0)))</f>
        <v>0</v>
      </c>
      <c r="AB699">
        <f t="shared" si="737"/>
        <v>1</v>
      </c>
      <c r="AC699" s="72"/>
      <c r="AD699" t="e">
        <f t="shared" si="755"/>
        <v>#N/A</v>
      </c>
      <c r="AE699" s="72"/>
      <c r="AF699" s="72" t="e">
        <f t="shared" si="738"/>
        <v>#N/A</v>
      </c>
      <c r="AG699" s="72" t="e">
        <f>IF('חד גזעי'!$AM$5="לא",(VLOOKUP(C699,'חד גזעי'!$P$1:$S$589,3,FALSE)),(VLOOKUP(C699,'חד גזעי'!$P$1:$S$589,4,FALSE)))</f>
        <v>#N/A</v>
      </c>
      <c r="AH699" s="72">
        <f t="shared" si="739"/>
        <v>0</v>
      </c>
      <c r="AI699" s="72">
        <f t="shared" si="740"/>
        <v>0</v>
      </c>
      <c r="AJ699" s="72">
        <f t="shared" si="741"/>
        <v>0</v>
      </c>
      <c r="AK699" s="72" t="e">
        <f t="shared" si="742"/>
        <v>#N/A</v>
      </c>
      <c r="AL699" t="e">
        <f>VLOOKUP(C699,'חד גזעי'!$AH$8:$AI$33,2,FALSE)</f>
        <v>#N/A</v>
      </c>
      <c r="AM699" s="72" t="b">
        <f t="shared" si="743"/>
        <v>0</v>
      </c>
      <c r="AN699" s="72" t="b">
        <f t="shared" si="744"/>
        <v>0</v>
      </c>
      <c r="AO699" s="72" t="b">
        <f t="shared" si="745"/>
        <v>0</v>
      </c>
      <c r="AS699" s="72">
        <f t="shared" si="746"/>
        <v>0</v>
      </c>
      <c r="AT699" s="72">
        <f t="shared" si="747"/>
        <v>0</v>
      </c>
      <c r="AU699" s="72">
        <f t="shared" si="756"/>
        <v>0</v>
      </c>
      <c r="AV699" s="72">
        <f t="shared" si="748"/>
        <v>0</v>
      </c>
      <c r="AW699" s="72">
        <f t="shared" si="749"/>
        <v>0</v>
      </c>
      <c r="AX699" s="72">
        <f t="shared" si="750"/>
        <v>0</v>
      </c>
      <c r="AY699" s="72">
        <f t="shared" si="751"/>
        <v>0</v>
      </c>
      <c r="AZ699" s="72">
        <f t="shared" si="752"/>
        <v>0</v>
      </c>
      <c r="BA699" s="72" t="e">
        <f t="shared" si="753"/>
        <v>#N/A</v>
      </c>
      <c r="BB699" s="72" t="e">
        <f t="shared" si="754"/>
        <v>#N/A</v>
      </c>
      <c r="BC699" s="77"/>
      <c r="BE699">
        <f t="shared" si="734"/>
        <v>0</v>
      </c>
      <c r="BF699" s="196"/>
      <c r="BG699" s="196"/>
      <c r="BH699" s="196"/>
      <c r="BI699" s="196"/>
      <c r="BJ699" s="196"/>
      <c r="BK699" s="196"/>
    </row>
    <row r="700" spans="1:63" hidden="1">
      <c r="B700" s="72"/>
      <c r="C700" s="135"/>
      <c r="D700" s="73"/>
      <c r="E700" s="73"/>
      <c r="F700" s="72"/>
      <c r="G700" s="72"/>
      <c r="H700" s="72"/>
      <c r="I700" s="73">
        <f t="shared" si="736"/>
        <v>0</v>
      </c>
      <c r="J700" s="73"/>
      <c r="K700" s="73"/>
      <c r="L700" s="74" t="e">
        <f>_xlfn.IFNA(VLOOKUP(C700,'חד גזעי'!$U$3:$V$509,2,0),VLOOKUP(C700,'חד גזעי'!$U$3:$V$509,2))</f>
        <v>#N/A</v>
      </c>
      <c r="M700" s="73"/>
      <c r="N700" s="72" t="e">
        <f>_xlfn.IFNA(IF(VLOOKUP(C700,'חד גזעי'!$AH$2:$AH$7,1,FALSE)&gt;0,0,IF('חד גזעי'!$AM$5="כן",IF(_xlfn.IFNA(VLOOKUP(C700,'חד גזעי'!$AH$2:$AH$33,1,FALSE),SUM(J700:M700))&lt;21,_xlfn.IFNA(VLOOKUP(C700,'חד גזעי'!$AH$2:$AH$33,1,FALSE),SUM(J700:M700)),0),SUM(J700:M700))),IF('חד גזעי'!$AM$5="כן",IF(_xlfn.IFNA(VLOOKUP(C700,'חד גזעי'!$AH$2:$AH$33,1,FALSE),SUM(J700:M700))&lt;21,_xlfn.IFNA(VLOOKUP(C700,'חד גזעי'!$AH$2:$AH$33,1,FALSE),SUM(J700:M700)),0),SUM(J700:M700)))</f>
        <v>#N/A</v>
      </c>
      <c r="O700" s="72">
        <f>IF('חד גזעי'!$AM$3 = "כן",IF(T700&gt;4,4,T700),T700)</f>
        <v>0</v>
      </c>
      <c r="P700" s="80">
        <f>IF(E700&lt;2,0,IF(Z700&gt;0,Z700,IF(N700 = 0,0,IF('חד גזעי'!$AM$2 = "לא",IF(F700&gt;19,W700,0),IF(F700&gt;9,Y700,0)))))</f>
        <v>0</v>
      </c>
      <c r="Q700" s="77"/>
      <c r="R700" s="75"/>
      <c r="S700" t="e">
        <f>VLOOKUP(C700,'חד גזעי'!$Y$4:$Y$18,1,0)</f>
        <v>#N/A</v>
      </c>
      <c r="T700" s="72">
        <f>IF('חד גזעי'!$AM$6="לא",IF(P700=0,IF(BC700="שימור",IF('חד גזעי'!$AM$4="לא",IF(BC700="לא בוגר",0,IF(BC700="לא קיים",0,IF(J700=0,0,I700*0.1))),IF(BC700="לא בוגר",0,IF(BC700="לא קיים",0,IF(AB700=1,I700*0.1,E700*0.5)))),0),IF('חד גזעי'!$AM$4="לא",IF(BC700="לא בוגר",0,IF(BC700="לא קיים",0,IF(J700=0,0,I700*0.1))),IF(BC700="לא בוגר",0,IF(BC700="לא קיים",0,IF(AB700=1,I700*0.1,E700*0.5))))),IF(P700=0,IF(BC700="שימור",IF('חד גזעי'!$AM$4="לא",IF(BC700="לא בוגר",0,IF(BC700="לא קיים",0,IF(J700=0,0,I700*0.15))),IF(BC700="לא בוגר",0,IF(BC700="לא קיים",0,IF(AB700=1,I700*0.15,E700*0.5)))),0),IF('חד גזעי'!$AM$4="לא",IF(BC700="לא בוגר",0,IF(BC700="לא קיים",0,IF(J700=0,0,I700*0.15))),IF(BC700="לא בוגר",0,IF(BC700="לא קיים",0,IF(AB700=1,I700*0.15,E700*0.5))))))</f>
        <v>0</v>
      </c>
      <c r="V700" t="e">
        <f t="shared" si="706"/>
        <v>#N/A</v>
      </c>
      <c r="W700" t="e">
        <f t="shared" si="707"/>
        <v>#N/A</v>
      </c>
      <c r="X700" t="e">
        <f t="shared" si="708"/>
        <v>#N/A</v>
      </c>
      <c r="Y700">
        <f>IF('חד גזעי'!$AM$2 = "לא",0,IF(F700&gt;9,W700,0))</f>
        <v>0</v>
      </c>
      <c r="Z700">
        <f>IF('חד גזעי'!$AM$7 = "לא",0,IF(C700 = "זית אירופי",IF('חד גזעי'!$AN$7 &lt;=סקר!F700,W700,0),IF(C700 = "חרוב מצוי",IF('חד גזעי'!$AN$7 &lt;=סקר!F700,W700,0),0)))</f>
        <v>0</v>
      </c>
      <c r="AB700">
        <f t="shared" si="737"/>
        <v>1</v>
      </c>
      <c r="AC700" s="72"/>
      <c r="AD700" t="e">
        <f t="shared" si="755"/>
        <v>#N/A</v>
      </c>
      <c r="AE700" s="72"/>
      <c r="AF700" s="72" t="e">
        <f t="shared" si="738"/>
        <v>#N/A</v>
      </c>
      <c r="AG700" s="72" t="e">
        <f>IF('חד גזעי'!$AM$5="לא",(VLOOKUP(C700,'חד גזעי'!$P$1:$S$589,3,FALSE)),(VLOOKUP(C700,'חד גזעי'!$P$1:$S$589,4,FALSE)))</f>
        <v>#N/A</v>
      </c>
      <c r="AH700" s="72">
        <f t="shared" si="739"/>
        <v>0</v>
      </c>
      <c r="AI700" s="72">
        <f t="shared" si="740"/>
        <v>0</v>
      </c>
      <c r="AJ700" s="72">
        <f t="shared" si="741"/>
        <v>0</v>
      </c>
      <c r="AK700" s="72" t="e">
        <f t="shared" si="742"/>
        <v>#N/A</v>
      </c>
      <c r="AL700" t="e">
        <f>VLOOKUP(C700,'חד גזעי'!$AH$8:$AI$33,2,FALSE)</f>
        <v>#N/A</v>
      </c>
      <c r="AM700" s="72" t="b">
        <f t="shared" si="743"/>
        <v>0</v>
      </c>
      <c r="AN700" s="72" t="b">
        <f t="shared" si="744"/>
        <v>0</v>
      </c>
      <c r="AO700" s="72" t="b">
        <f t="shared" si="745"/>
        <v>0</v>
      </c>
      <c r="AS700" s="72">
        <f t="shared" si="746"/>
        <v>0</v>
      </c>
      <c r="AT700" s="72">
        <f t="shared" si="747"/>
        <v>0</v>
      </c>
      <c r="AU700" s="72">
        <f t="shared" si="756"/>
        <v>0</v>
      </c>
      <c r="AV700" s="72">
        <f t="shared" si="748"/>
        <v>0</v>
      </c>
      <c r="AW700" s="72">
        <f t="shared" si="749"/>
        <v>0</v>
      </c>
      <c r="AX700" s="72">
        <f t="shared" si="750"/>
        <v>0</v>
      </c>
      <c r="AY700" s="72">
        <f t="shared" si="751"/>
        <v>0</v>
      </c>
      <c r="AZ700" s="72">
        <f t="shared" si="752"/>
        <v>0</v>
      </c>
      <c r="BA700" s="72" t="e">
        <f t="shared" si="753"/>
        <v>#N/A</v>
      </c>
      <c r="BB700" s="72" t="e">
        <f t="shared" si="754"/>
        <v>#N/A</v>
      </c>
      <c r="BC700" s="77"/>
      <c r="BE700">
        <f t="shared" si="734"/>
        <v>0</v>
      </c>
      <c r="BF700" s="196"/>
      <c r="BG700" s="196"/>
      <c r="BH700" s="196"/>
      <c r="BI700" s="196"/>
      <c r="BJ700" s="196"/>
      <c r="BK700" s="196"/>
    </row>
    <row r="701" spans="1:63" hidden="1">
      <c r="B701" s="72"/>
      <c r="C701" s="135"/>
      <c r="D701" s="73"/>
      <c r="E701" s="73"/>
      <c r="F701" s="72"/>
      <c r="G701" s="72"/>
      <c r="H701" s="72"/>
      <c r="I701" s="73">
        <f t="shared" si="736"/>
        <v>0</v>
      </c>
      <c r="J701" s="73"/>
      <c r="K701" s="73"/>
      <c r="L701" s="74" t="e">
        <f>_xlfn.IFNA(VLOOKUP(C701,'חד גזעי'!$U$3:$V$509,2,0),VLOOKUP(C701,'חד גזעי'!$U$3:$V$509,2))</f>
        <v>#N/A</v>
      </c>
      <c r="M701" s="73"/>
      <c r="N701" s="72" t="e">
        <f>_xlfn.IFNA(IF(VLOOKUP(C701,'חד גזעי'!$AH$2:$AH$7,1,FALSE)&gt;0,0,IF('חד גזעי'!$AM$5="כן",IF(_xlfn.IFNA(VLOOKUP(C701,'חד גזעי'!$AH$2:$AH$33,1,FALSE),SUM(J701:M701))&lt;21,_xlfn.IFNA(VLOOKUP(C701,'חד גזעי'!$AH$2:$AH$33,1,FALSE),SUM(J701:M701)),0),SUM(J701:M701))),IF('חד גזעי'!$AM$5="כן",IF(_xlfn.IFNA(VLOOKUP(C701,'חד גזעי'!$AH$2:$AH$33,1,FALSE),SUM(J701:M701))&lt;21,_xlfn.IFNA(VLOOKUP(C701,'חד גזעי'!$AH$2:$AH$33,1,FALSE),SUM(J701:M701)),0),SUM(J701:M701)))</f>
        <v>#N/A</v>
      </c>
      <c r="O701" s="72">
        <f>IF('חד גזעי'!$AM$3 = "כן",IF(T701&gt;4,4,T701),T701)</f>
        <v>0</v>
      </c>
      <c r="P701" s="80">
        <f>IF(E701&lt;2,0,IF(Z701&gt;0,Z701,IF(N701 = 0,0,IF('חד גזעי'!$AM$2 = "לא",IF(F701&gt;19,W701,0),IF(F701&gt;9,Y701,0)))))</f>
        <v>0</v>
      </c>
      <c r="Q701" s="77"/>
      <c r="R701" s="75"/>
      <c r="S701" t="e">
        <f>VLOOKUP(C701,'חד גזעי'!$Y$4:$Y$18,1,0)</f>
        <v>#N/A</v>
      </c>
      <c r="T701" s="72">
        <f>IF('חד גזעי'!$AM$6="לא",IF(P701=0,IF(BC701="שימור",IF('חד גזעי'!$AM$4="לא",IF(BC701="לא בוגר",0,IF(BC701="לא קיים",0,IF(J701=0,0,I701*0.1))),IF(BC701="לא בוגר",0,IF(BC701="לא קיים",0,IF(AB701=1,I701*0.1,E701*0.5)))),0),IF('חד גזעי'!$AM$4="לא",IF(BC701="לא בוגר",0,IF(BC701="לא קיים",0,IF(J701=0,0,I701*0.1))),IF(BC701="לא בוגר",0,IF(BC701="לא קיים",0,IF(AB701=1,I701*0.1,E701*0.5))))),IF(P701=0,IF(BC701="שימור",IF('חד גזעי'!$AM$4="לא",IF(BC701="לא בוגר",0,IF(BC701="לא קיים",0,IF(J701=0,0,I701*0.15))),IF(BC701="לא בוגר",0,IF(BC701="לא קיים",0,IF(AB701=1,I701*0.15,E701*0.5)))),0),IF('חד גזעי'!$AM$4="לא",IF(BC701="לא בוגר",0,IF(BC701="לא קיים",0,IF(J701=0,0,I701*0.15))),IF(BC701="לא בוגר",0,IF(BC701="לא קיים",0,IF(AB701=1,I701*0.15,E701*0.5))))))</f>
        <v>0</v>
      </c>
      <c r="V701" t="e">
        <f t="shared" si="706"/>
        <v>#N/A</v>
      </c>
      <c r="W701" t="e">
        <f t="shared" si="707"/>
        <v>#N/A</v>
      </c>
      <c r="X701" t="e">
        <f t="shared" si="708"/>
        <v>#N/A</v>
      </c>
      <c r="Y701">
        <f>IF('חד גזעי'!$AM$2 = "לא",0,IF(F701&gt;9,W701,0))</f>
        <v>0</v>
      </c>
      <c r="Z701">
        <f>IF('חד גזעי'!$AM$7 = "לא",0,IF(C701 = "זית אירופי",IF('חד גזעי'!$AN$7 &lt;=סקר!F701,W701,0),IF(C701 = "חרוב מצוי",IF('חד גזעי'!$AN$7 &lt;=סקר!F701,W701,0),0)))</f>
        <v>0</v>
      </c>
      <c r="AB701">
        <f t="shared" si="737"/>
        <v>1</v>
      </c>
      <c r="AC701" s="72"/>
      <c r="AD701" t="e">
        <f t="shared" si="755"/>
        <v>#N/A</v>
      </c>
      <c r="AE701" s="72"/>
      <c r="AF701" s="72" t="e">
        <f t="shared" si="738"/>
        <v>#N/A</v>
      </c>
      <c r="AG701" s="72" t="e">
        <f>IF('חד גזעי'!$AM$5="לא",(VLOOKUP(C701,'חד גזעי'!$P$1:$S$589,3,FALSE)),(VLOOKUP(C701,'חד גזעי'!$P$1:$S$589,4,FALSE)))</f>
        <v>#N/A</v>
      </c>
      <c r="AH701" s="72">
        <f t="shared" si="739"/>
        <v>0</v>
      </c>
      <c r="AI701" s="72">
        <f t="shared" si="740"/>
        <v>0</v>
      </c>
      <c r="AJ701" s="72">
        <f t="shared" si="741"/>
        <v>0</v>
      </c>
      <c r="AK701" s="72" t="e">
        <f t="shared" si="742"/>
        <v>#N/A</v>
      </c>
      <c r="AL701" t="e">
        <f>VLOOKUP(C701,'חד גזעי'!$AH$8:$AI$33,2,FALSE)</f>
        <v>#N/A</v>
      </c>
      <c r="AM701" s="72" t="b">
        <f t="shared" si="743"/>
        <v>0</v>
      </c>
      <c r="AN701" s="72" t="b">
        <f t="shared" si="744"/>
        <v>0</v>
      </c>
      <c r="AO701" s="72" t="b">
        <f t="shared" si="745"/>
        <v>0</v>
      </c>
      <c r="AS701" s="72">
        <f t="shared" si="746"/>
        <v>0</v>
      </c>
      <c r="AT701" s="72">
        <f t="shared" si="747"/>
        <v>0</v>
      </c>
      <c r="AU701" s="72">
        <f t="shared" si="756"/>
        <v>0</v>
      </c>
      <c r="AV701" s="72">
        <f t="shared" si="748"/>
        <v>0</v>
      </c>
      <c r="AW701" s="72">
        <f t="shared" si="749"/>
        <v>0</v>
      </c>
      <c r="AX701" s="72">
        <f t="shared" si="750"/>
        <v>0</v>
      </c>
      <c r="AY701" s="72">
        <f t="shared" si="751"/>
        <v>0</v>
      </c>
      <c r="AZ701" s="72">
        <f t="shared" si="752"/>
        <v>0</v>
      </c>
      <c r="BA701" s="72" t="e">
        <f t="shared" si="753"/>
        <v>#N/A</v>
      </c>
      <c r="BB701" s="72" t="e">
        <f t="shared" si="754"/>
        <v>#N/A</v>
      </c>
      <c r="BC701" s="77"/>
      <c r="BE701">
        <f t="shared" si="734"/>
        <v>0</v>
      </c>
      <c r="BF701" s="196"/>
      <c r="BG701" s="196"/>
      <c r="BH701" s="196"/>
      <c r="BI701" s="196"/>
      <c r="BJ701" s="196"/>
      <c r="BK701" s="196"/>
    </row>
    <row r="702" spans="1:63" hidden="1">
      <c r="B702" s="72"/>
      <c r="C702" s="135"/>
      <c r="D702" s="78"/>
      <c r="E702" s="73"/>
      <c r="F702" s="72"/>
      <c r="G702" s="72"/>
      <c r="H702" s="72"/>
      <c r="I702" s="73">
        <f t="shared" si="736"/>
        <v>0</v>
      </c>
      <c r="J702" s="78"/>
      <c r="K702" s="73"/>
      <c r="L702" s="74" t="e">
        <f>_xlfn.IFNA(VLOOKUP(C702,'חד גזעי'!$U$3:$V$509,2,0),VLOOKUP(C702,'חד גזעי'!$U$3:$V$509,2))</f>
        <v>#N/A</v>
      </c>
      <c r="M702" s="73"/>
      <c r="N702" s="72" t="e">
        <f>_xlfn.IFNA(IF(VLOOKUP(C702,'חד גזעי'!$AH$2:$AH$7,1,FALSE)&gt;0,0,IF('חד גזעי'!$AM$5="כן",IF(_xlfn.IFNA(VLOOKUP(C702,'חד גזעי'!$AH$2:$AH$33,1,FALSE),SUM(J702:M702))&lt;21,_xlfn.IFNA(VLOOKUP(C702,'חד גזעי'!$AH$2:$AH$33,1,FALSE),SUM(J702:M702)),0),SUM(J702:M702))),IF('חד גזעי'!$AM$5="כן",IF(_xlfn.IFNA(VLOOKUP(C702,'חד גזעי'!$AH$2:$AH$33,1,FALSE),SUM(J702:M702))&lt;21,_xlfn.IFNA(VLOOKUP(C702,'חד גזעי'!$AH$2:$AH$33,1,FALSE),SUM(J702:M702)),0),SUM(J702:M702)))</f>
        <v>#N/A</v>
      </c>
      <c r="O702" s="72">
        <f>IF('חד גזעי'!$AM$3 = "כן",IF(T702&gt;4,4,T702),T702)</f>
        <v>0</v>
      </c>
      <c r="P702" s="80">
        <f>IF(E702&lt;2,0,IF(Z702&gt;0,Z702,IF(N702 = 0,0,IF('חד גזעי'!$AM$2 = "לא",IF(F702&gt;19,W702,0),IF(F702&gt;9,Y702,0)))))</f>
        <v>0</v>
      </c>
      <c r="Q702" s="77"/>
      <c r="R702" s="75"/>
      <c r="S702" t="e">
        <f>VLOOKUP(C702,'חד גזעי'!$Y$4:$Y$18,1,0)</f>
        <v>#N/A</v>
      </c>
      <c r="T702" s="72">
        <f>IF('חד גזעי'!$AM$6="לא",IF(P702=0,IF(BC702="שימור",IF('חד גזעי'!$AM$4="לא",IF(BC702="לא בוגר",0,IF(BC702="לא קיים",0,IF(J702=0,0,I702*0.1))),IF(BC702="לא בוגר",0,IF(BC702="לא קיים",0,IF(AB702=1,I702*0.1,E702*0.5)))),0),IF('חד גזעי'!$AM$4="לא",IF(BC702="לא בוגר",0,IF(BC702="לא קיים",0,IF(J702=0,0,I702*0.1))),IF(BC702="לא בוגר",0,IF(BC702="לא קיים",0,IF(AB702=1,I702*0.1,E702*0.5))))),IF(P702=0,IF(BC702="שימור",IF('חד גזעי'!$AM$4="לא",IF(BC702="לא בוגר",0,IF(BC702="לא קיים",0,IF(J702=0,0,I702*0.15))),IF(BC702="לא בוגר",0,IF(BC702="לא קיים",0,IF(AB702=1,I702*0.15,E702*0.5)))),0),IF('חד גזעי'!$AM$4="לא",IF(BC702="לא בוגר",0,IF(BC702="לא קיים",0,IF(J702=0,0,I702*0.15))),IF(BC702="לא בוגר",0,IF(BC702="לא קיים",0,IF(AB702=1,I702*0.15,E702*0.5))))))</f>
        <v>0</v>
      </c>
      <c r="V702" t="e">
        <f t="shared" si="706"/>
        <v>#N/A</v>
      </c>
      <c r="W702" t="e">
        <f t="shared" si="707"/>
        <v>#N/A</v>
      </c>
      <c r="X702" t="e">
        <f t="shared" si="708"/>
        <v>#N/A</v>
      </c>
      <c r="Y702">
        <f>IF('חד גזעי'!$AM$2 = "לא",0,IF(F702&gt;9,W702,0))</f>
        <v>0</v>
      </c>
      <c r="Z702">
        <f>IF('חד גזעי'!$AM$7 = "לא",0,IF(C702 = "זית אירופי",IF('חד גזעי'!$AN$7 &lt;=סקר!F702,W702,0),IF(C702 = "חרוב מצוי",IF('חד גזעי'!$AN$7 &lt;=סקר!F702,W702,0),0)))</f>
        <v>0</v>
      </c>
      <c r="AB702">
        <f t="shared" si="737"/>
        <v>1</v>
      </c>
      <c r="AC702" s="72"/>
      <c r="AD702" t="e">
        <f t="shared" si="755"/>
        <v>#N/A</v>
      </c>
      <c r="AE702" s="72"/>
      <c r="AF702" s="72" t="e">
        <f t="shared" si="738"/>
        <v>#N/A</v>
      </c>
      <c r="AG702" s="72" t="e">
        <f>IF('חד גזעי'!$AM$5="לא",(VLOOKUP(C702,'חד גזעי'!$P$1:$S$589,3,FALSE)),(VLOOKUP(C702,'חד גזעי'!$P$1:$S$589,4,FALSE)))</f>
        <v>#N/A</v>
      </c>
      <c r="AH702" s="72">
        <f t="shared" si="739"/>
        <v>0</v>
      </c>
      <c r="AI702" s="72">
        <f t="shared" si="740"/>
        <v>0</v>
      </c>
      <c r="AJ702" s="72">
        <f t="shared" si="741"/>
        <v>0</v>
      </c>
      <c r="AK702" s="72" t="e">
        <f t="shared" si="742"/>
        <v>#N/A</v>
      </c>
      <c r="AL702" t="e">
        <f>VLOOKUP(C702,'חד גזעי'!$AH$8:$AI$33,2,FALSE)</f>
        <v>#N/A</v>
      </c>
      <c r="AM702" s="72" t="b">
        <f t="shared" si="743"/>
        <v>0</v>
      </c>
      <c r="AN702" s="72" t="b">
        <f t="shared" si="744"/>
        <v>0</v>
      </c>
      <c r="AO702" s="72" t="b">
        <f t="shared" si="745"/>
        <v>0</v>
      </c>
      <c r="AS702" s="72">
        <f t="shared" si="746"/>
        <v>0</v>
      </c>
      <c r="AT702" s="72">
        <f t="shared" si="747"/>
        <v>0</v>
      </c>
      <c r="AU702" s="72">
        <f t="shared" si="756"/>
        <v>0</v>
      </c>
      <c r="AV702" s="72">
        <f t="shared" si="748"/>
        <v>0</v>
      </c>
      <c r="AW702" s="72">
        <f t="shared" si="749"/>
        <v>0</v>
      </c>
      <c r="AX702" s="72">
        <f t="shared" si="750"/>
        <v>0</v>
      </c>
      <c r="AY702" s="72">
        <f t="shared" si="751"/>
        <v>0</v>
      </c>
      <c r="AZ702" s="72">
        <f t="shared" si="752"/>
        <v>0</v>
      </c>
      <c r="BA702" s="72" t="e">
        <f t="shared" si="753"/>
        <v>#N/A</v>
      </c>
      <c r="BB702" s="72" t="e">
        <f t="shared" si="754"/>
        <v>#N/A</v>
      </c>
      <c r="BC702" s="77"/>
      <c r="BE702">
        <f t="shared" si="734"/>
        <v>0</v>
      </c>
      <c r="BF702" s="196"/>
      <c r="BG702" s="196"/>
      <c r="BH702" s="196"/>
      <c r="BI702" s="196"/>
      <c r="BJ702" s="196"/>
      <c r="BK702" s="196"/>
    </row>
    <row r="703" spans="1:63" hidden="1">
      <c r="B703" s="72"/>
      <c r="C703" s="135"/>
      <c r="D703" s="78"/>
      <c r="E703" s="73"/>
      <c r="F703" s="72"/>
      <c r="G703" s="72"/>
      <c r="H703" s="72"/>
      <c r="I703" s="73">
        <f t="shared" si="736"/>
        <v>0</v>
      </c>
      <c r="J703" s="78"/>
      <c r="K703" s="73"/>
      <c r="L703" s="74" t="e">
        <f>_xlfn.IFNA(VLOOKUP(C703,'חד גזעי'!$U$3:$V$509,2,0),VLOOKUP(C703,'חד גזעי'!$U$3:$V$509,2))</f>
        <v>#N/A</v>
      </c>
      <c r="M703" s="73"/>
      <c r="N703" s="72" t="e">
        <f>_xlfn.IFNA(IF(VLOOKUP(C703,'חד גזעי'!$AH$2:$AH$7,1,FALSE)&gt;0,0,IF('חד גזעי'!$AM$5="כן",IF(_xlfn.IFNA(VLOOKUP(C703,'חד גזעי'!$AH$2:$AH$33,1,FALSE),SUM(J703:M703))&lt;21,_xlfn.IFNA(VLOOKUP(C703,'חד גזעי'!$AH$2:$AH$33,1,FALSE),SUM(J703:M703)),0),SUM(J703:M703))),IF('חד גזעי'!$AM$5="כן",IF(_xlfn.IFNA(VLOOKUP(C703,'חד גזעי'!$AH$2:$AH$33,1,FALSE),SUM(J703:M703))&lt;21,_xlfn.IFNA(VLOOKUP(C703,'חד גזעי'!$AH$2:$AH$33,1,FALSE),SUM(J703:M703)),0),SUM(J703:M703)))</f>
        <v>#N/A</v>
      </c>
      <c r="O703" s="72">
        <f>IF('חד גזעי'!$AM$3 = "כן",IF(T703&gt;4,4,T703),T703)</f>
        <v>0</v>
      </c>
      <c r="P703" s="80">
        <f>IF(E703&lt;2,0,IF(Z703&gt;0,Z703,IF(N703 = 0,0,IF('חד גזעי'!$AM$2 = "לא",IF(F703&gt;19,W703,0),IF(F703&gt;9,Y703,0)))))</f>
        <v>0</v>
      </c>
      <c r="Q703" s="77"/>
      <c r="R703" s="75"/>
      <c r="S703" t="e">
        <f>VLOOKUP(C703,'חד גזעי'!$Y$4:$Y$18,1,0)</f>
        <v>#N/A</v>
      </c>
      <c r="T703" s="72">
        <f>IF('חד גזעי'!$AM$6="לא",IF(P703=0,IF(BC703="שימור",IF('חד גזעי'!$AM$4="לא",IF(BC703="לא בוגר",0,IF(BC703="לא קיים",0,IF(J703=0,0,I703*0.1))),IF(BC703="לא בוגר",0,IF(BC703="לא קיים",0,IF(AB703=1,I703*0.1,E703*0.5)))),0),IF('חד גזעי'!$AM$4="לא",IF(BC703="לא בוגר",0,IF(BC703="לא קיים",0,IF(J703=0,0,I703*0.1))),IF(BC703="לא בוגר",0,IF(BC703="לא קיים",0,IF(AB703=1,I703*0.1,E703*0.5))))),IF(P703=0,IF(BC703="שימור",IF('חד גזעי'!$AM$4="לא",IF(BC703="לא בוגר",0,IF(BC703="לא קיים",0,IF(J703=0,0,I703*0.15))),IF(BC703="לא בוגר",0,IF(BC703="לא קיים",0,IF(AB703=1,I703*0.15,E703*0.5)))),0),IF('חד גזעי'!$AM$4="לא",IF(BC703="לא בוגר",0,IF(BC703="לא קיים",0,IF(J703=0,0,I703*0.15))),IF(BC703="לא בוגר",0,IF(BC703="לא קיים",0,IF(AB703=1,I703*0.15,E703*0.5))))))</f>
        <v>0</v>
      </c>
      <c r="V703" t="e">
        <f t="shared" si="706"/>
        <v>#N/A</v>
      </c>
      <c r="W703" t="e">
        <f t="shared" si="707"/>
        <v>#N/A</v>
      </c>
      <c r="X703" t="e">
        <f t="shared" si="708"/>
        <v>#N/A</v>
      </c>
      <c r="Y703">
        <f>IF('חד גזעי'!$AM$2 = "לא",0,IF(F703&gt;9,W703,0))</f>
        <v>0</v>
      </c>
      <c r="Z703">
        <f>IF('חד גזעי'!$AM$7 = "לא",0,IF(C703 = "זית אירופי",IF('חד גזעי'!$AN$7 &lt;=סקר!F703,W703,0),IF(C703 = "חרוב מצוי",IF('חד גזעי'!$AN$7 &lt;=סקר!F703,W703,0),0)))</f>
        <v>0</v>
      </c>
      <c r="AB703">
        <f t="shared" si="737"/>
        <v>1</v>
      </c>
      <c r="AC703" s="72"/>
      <c r="AD703" t="e">
        <f t="shared" si="755"/>
        <v>#N/A</v>
      </c>
      <c r="AE703" s="72"/>
      <c r="AF703" s="72" t="e">
        <f t="shared" si="738"/>
        <v>#N/A</v>
      </c>
      <c r="AG703" s="72" t="e">
        <f>IF('חד גזעי'!$AM$5="לא",(VLOOKUP(C703,'חד גזעי'!$P$1:$S$589,3,FALSE)),(VLOOKUP(C703,'חד גזעי'!$P$1:$S$589,4,FALSE)))</f>
        <v>#N/A</v>
      </c>
      <c r="AH703" s="72">
        <f t="shared" si="739"/>
        <v>0</v>
      </c>
      <c r="AI703" s="72">
        <f t="shared" si="740"/>
        <v>0</v>
      </c>
      <c r="AJ703" s="72">
        <f t="shared" si="741"/>
        <v>0</v>
      </c>
      <c r="AK703" s="72" t="e">
        <f t="shared" si="742"/>
        <v>#N/A</v>
      </c>
      <c r="AL703" t="e">
        <f>VLOOKUP(C703,'חד גזעי'!$AH$8:$AI$33,2,FALSE)</f>
        <v>#N/A</v>
      </c>
      <c r="AM703" s="72" t="b">
        <f t="shared" si="743"/>
        <v>0</v>
      </c>
      <c r="AN703" s="72" t="b">
        <f t="shared" si="744"/>
        <v>0</v>
      </c>
      <c r="AO703" s="72" t="b">
        <f t="shared" si="745"/>
        <v>0</v>
      </c>
      <c r="AS703" s="72">
        <f t="shared" si="746"/>
        <v>0</v>
      </c>
      <c r="AT703" s="72">
        <f t="shared" si="747"/>
        <v>0</v>
      </c>
      <c r="AU703" s="72">
        <f t="shared" si="756"/>
        <v>0</v>
      </c>
      <c r="AV703" s="72">
        <f t="shared" si="748"/>
        <v>0</v>
      </c>
      <c r="AW703" s="72">
        <f t="shared" si="749"/>
        <v>0</v>
      </c>
      <c r="AX703" s="72">
        <f t="shared" si="750"/>
        <v>0</v>
      </c>
      <c r="AY703" s="72">
        <f t="shared" si="751"/>
        <v>0</v>
      </c>
      <c r="AZ703" s="72">
        <f t="shared" si="752"/>
        <v>0</v>
      </c>
      <c r="BA703" s="72" t="e">
        <f t="shared" si="753"/>
        <v>#N/A</v>
      </c>
      <c r="BB703" s="72" t="e">
        <f t="shared" si="754"/>
        <v>#N/A</v>
      </c>
      <c r="BC703" s="77"/>
      <c r="BE703">
        <f t="shared" si="734"/>
        <v>0</v>
      </c>
      <c r="BF703" s="196"/>
      <c r="BG703" s="196"/>
      <c r="BH703" s="196"/>
      <c r="BI703" s="196"/>
      <c r="BJ703" s="196"/>
      <c r="BK703" s="196"/>
    </row>
    <row r="704" spans="1:63" hidden="1">
      <c r="B704" s="72"/>
      <c r="C704" s="135"/>
      <c r="D704" s="78"/>
      <c r="E704" s="73"/>
      <c r="F704" s="72"/>
      <c r="G704" s="72"/>
      <c r="H704" s="72"/>
      <c r="I704" s="73">
        <f t="shared" si="736"/>
        <v>0</v>
      </c>
      <c r="J704" s="78"/>
      <c r="K704" s="73"/>
      <c r="L704" s="74" t="e">
        <f>_xlfn.IFNA(VLOOKUP(C704,'חד גזעי'!$U$3:$V$509,2,0),VLOOKUP(C704,'חד גזעי'!$U$3:$V$509,2))</f>
        <v>#N/A</v>
      </c>
      <c r="M704" s="73"/>
      <c r="N704" s="72" t="e">
        <f>_xlfn.IFNA(IF(VLOOKUP(C704,'חד גזעי'!$AH$2:$AH$7,1,FALSE)&gt;0,0,IF('חד גזעי'!$AM$5="כן",IF(_xlfn.IFNA(VLOOKUP(C704,'חד גזעי'!$AH$2:$AH$33,1,FALSE),SUM(J704:M704))&lt;21,_xlfn.IFNA(VLOOKUP(C704,'חד גזעי'!$AH$2:$AH$33,1,FALSE),SUM(J704:M704)),0),SUM(J704:M704))),IF('חד גזעי'!$AM$5="כן",IF(_xlfn.IFNA(VLOOKUP(C704,'חד גזעי'!$AH$2:$AH$33,1,FALSE),SUM(J704:M704))&lt;21,_xlfn.IFNA(VLOOKUP(C704,'חד גזעי'!$AH$2:$AH$33,1,FALSE),SUM(J704:M704)),0),SUM(J704:M704)))</f>
        <v>#N/A</v>
      </c>
      <c r="O704" s="72">
        <f>IF('חד גזעי'!$AM$3 = "כן",IF(T704&gt;4,4,T704),T704)</f>
        <v>0</v>
      </c>
      <c r="P704" s="80">
        <f>IF(E704&lt;2,0,IF(Z704&gt;0,Z704,IF(N704 = 0,0,IF('חד גזעי'!$AM$2 = "לא",IF(F704&gt;19,W704,0),IF(F704&gt;9,Y704,0)))))</f>
        <v>0</v>
      </c>
      <c r="Q704" s="77"/>
      <c r="R704" s="75"/>
      <c r="S704" t="e">
        <f>VLOOKUP(C704,'חד גזעי'!$Y$4:$Y$18,1,0)</f>
        <v>#N/A</v>
      </c>
      <c r="T704" s="72">
        <f>IF('חד גזעי'!$AM$6="לא",IF(P704=0,IF(BC704="שימור",IF('חד גזעי'!$AM$4="לא",IF(BC704="לא בוגר",0,IF(BC704="לא קיים",0,IF(J704=0,0,I704*0.1))),IF(BC704="לא בוגר",0,IF(BC704="לא קיים",0,IF(AB704=1,I704*0.1,E704*0.5)))),0),IF('חד גזעי'!$AM$4="לא",IF(BC704="לא בוגר",0,IF(BC704="לא קיים",0,IF(J704=0,0,I704*0.1))),IF(BC704="לא בוגר",0,IF(BC704="לא קיים",0,IF(AB704=1,I704*0.1,E704*0.5))))),IF(P704=0,IF(BC704="שימור",IF('חד גזעי'!$AM$4="לא",IF(BC704="לא בוגר",0,IF(BC704="לא קיים",0,IF(J704=0,0,I704*0.15))),IF(BC704="לא בוגר",0,IF(BC704="לא קיים",0,IF(AB704=1,I704*0.15,E704*0.5)))),0),IF('חד גזעי'!$AM$4="לא",IF(BC704="לא בוגר",0,IF(BC704="לא קיים",0,IF(J704=0,0,I704*0.15))),IF(BC704="לא בוגר",0,IF(BC704="לא קיים",0,IF(AB704=1,I704*0.15,E704*0.5))))))</f>
        <v>0</v>
      </c>
      <c r="V704" t="e">
        <f t="shared" si="706"/>
        <v>#N/A</v>
      </c>
      <c r="W704" t="e">
        <f t="shared" si="707"/>
        <v>#N/A</v>
      </c>
      <c r="X704" t="e">
        <f t="shared" si="708"/>
        <v>#N/A</v>
      </c>
      <c r="Y704">
        <f>IF('חד גזעי'!$AM$2 = "לא",0,IF(F704&gt;9,W704,0))</f>
        <v>0</v>
      </c>
      <c r="Z704">
        <f>IF('חד גזעי'!$AM$7 = "לא",0,IF(C704 = "זית אירופי",IF('חד גזעי'!$AN$7 &lt;=סקר!F704,W704,0),IF(C704 = "חרוב מצוי",IF('חד גזעי'!$AN$7 &lt;=סקר!F704,W704,0),0)))</f>
        <v>0</v>
      </c>
      <c r="AB704">
        <f t="shared" si="737"/>
        <v>1</v>
      </c>
      <c r="AC704" s="72"/>
      <c r="AD704" t="e">
        <f t="shared" si="755"/>
        <v>#N/A</v>
      </c>
      <c r="AE704" s="72"/>
      <c r="AF704" s="72" t="e">
        <f t="shared" si="738"/>
        <v>#N/A</v>
      </c>
      <c r="AG704" s="72" t="e">
        <f>IF('חד גזעי'!$AM$5="לא",(VLOOKUP(C704,'חד גזעי'!$P$1:$S$589,3,FALSE)),(VLOOKUP(C704,'חד גזעי'!$P$1:$S$589,4,FALSE)))</f>
        <v>#N/A</v>
      </c>
      <c r="AH704" s="72">
        <f t="shared" si="739"/>
        <v>0</v>
      </c>
      <c r="AI704" s="72">
        <f t="shared" si="740"/>
        <v>0</v>
      </c>
      <c r="AJ704" s="72">
        <f t="shared" si="741"/>
        <v>0</v>
      </c>
      <c r="AK704" s="72" t="e">
        <f t="shared" si="742"/>
        <v>#N/A</v>
      </c>
      <c r="AL704" t="e">
        <f>VLOOKUP(C704,'חד גזעי'!$AH$8:$AI$33,2,FALSE)</f>
        <v>#N/A</v>
      </c>
      <c r="AM704" s="72" t="b">
        <f t="shared" si="743"/>
        <v>0</v>
      </c>
      <c r="AN704" s="72" t="b">
        <f t="shared" si="744"/>
        <v>0</v>
      </c>
      <c r="AO704" s="72" t="b">
        <f t="shared" si="745"/>
        <v>0</v>
      </c>
      <c r="AS704" s="72">
        <f t="shared" si="746"/>
        <v>0</v>
      </c>
      <c r="AT704" s="72">
        <f t="shared" si="747"/>
        <v>0</v>
      </c>
      <c r="AU704" s="72">
        <f t="shared" si="756"/>
        <v>0</v>
      </c>
      <c r="AV704" s="72">
        <f t="shared" si="748"/>
        <v>0</v>
      </c>
      <c r="AW704" s="72">
        <f t="shared" si="749"/>
        <v>0</v>
      </c>
      <c r="AX704" s="72">
        <f t="shared" si="750"/>
        <v>0</v>
      </c>
      <c r="AY704" s="72">
        <f t="shared" si="751"/>
        <v>0</v>
      </c>
      <c r="AZ704" s="72">
        <f t="shared" si="752"/>
        <v>0</v>
      </c>
      <c r="BA704" s="72" t="e">
        <f t="shared" si="753"/>
        <v>#N/A</v>
      </c>
      <c r="BB704" s="72" t="e">
        <f t="shared" si="754"/>
        <v>#N/A</v>
      </c>
      <c r="BC704" s="77"/>
      <c r="BE704">
        <f t="shared" si="734"/>
        <v>0</v>
      </c>
      <c r="BF704" s="196"/>
      <c r="BG704" s="196"/>
      <c r="BH704" s="196"/>
      <c r="BI704" s="196"/>
      <c r="BJ704" s="196"/>
      <c r="BK704" s="196"/>
    </row>
    <row r="705" spans="2:63" hidden="1">
      <c r="B705" s="72"/>
      <c r="C705" s="135"/>
      <c r="D705" s="78"/>
      <c r="E705" s="73"/>
      <c r="F705" s="72"/>
      <c r="G705" s="72"/>
      <c r="H705" s="72"/>
      <c r="I705" s="73">
        <f t="shared" si="736"/>
        <v>0</v>
      </c>
      <c r="J705" s="78"/>
      <c r="K705" s="73"/>
      <c r="L705" s="74" t="e">
        <f>_xlfn.IFNA(VLOOKUP(C705,'חד גזעי'!$U$3:$V$509,2,0),VLOOKUP(C705,'חד גזעי'!$U$3:$V$509,2))</f>
        <v>#N/A</v>
      </c>
      <c r="M705" s="73"/>
      <c r="N705" s="72" t="e">
        <f>_xlfn.IFNA(IF(VLOOKUP(C705,'חד גזעי'!$AH$2:$AH$7,1,FALSE)&gt;0,0,IF('חד גזעי'!$AM$5="כן",IF(_xlfn.IFNA(VLOOKUP(C705,'חד גזעי'!$AH$2:$AH$33,1,FALSE),SUM(J705:M705))&lt;21,_xlfn.IFNA(VLOOKUP(C705,'חד גזעי'!$AH$2:$AH$33,1,FALSE),SUM(J705:M705)),0),SUM(J705:M705))),IF('חד גזעי'!$AM$5="כן",IF(_xlfn.IFNA(VLOOKUP(C705,'חד גזעי'!$AH$2:$AH$33,1,FALSE),SUM(J705:M705))&lt;21,_xlfn.IFNA(VLOOKUP(C705,'חד גזעי'!$AH$2:$AH$33,1,FALSE),SUM(J705:M705)),0),SUM(J705:M705)))</f>
        <v>#N/A</v>
      </c>
      <c r="O705" s="72">
        <f>IF('חד גזעי'!$AM$3 = "כן",IF(T705&gt;4,4,T705),T705)</f>
        <v>0</v>
      </c>
      <c r="P705" s="80">
        <f>IF(E705&lt;2,0,IF(Z705&gt;0,Z705,IF(N705 = 0,0,IF('חד גזעי'!$AM$2 = "לא",IF(F705&gt;19,W705,0),IF(F705&gt;9,Y705,0)))))</f>
        <v>0</v>
      </c>
      <c r="Q705" s="77"/>
      <c r="R705" s="75"/>
      <c r="S705" t="e">
        <f>VLOOKUP(C705,'חד גזעי'!$Y$4:$Y$18,1,0)</f>
        <v>#N/A</v>
      </c>
      <c r="T705" s="72">
        <f>IF('חד גזעי'!$AM$6="לא",IF(P705=0,IF(BC705="שימור",IF('חד גזעי'!$AM$4="לא",IF(BC705="לא בוגר",0,IF(BC705="לא קיים",0,IF(J705=0,0,I705*0.1))),IF(BC705="לא בוגר",0,IF(BC705="לא קיים",0,IF(AB705=1,I705*0.1,E705*0.5)))),0),IF('חד גזעי'!$AM$4="לא",IF(BC705="לא בוגר",0,IF(BC705="לא קיים",0,IF(J705=0,0,I705*0.1))),IF(BC705="לא בוגר",0,IF(BC705="לא קיים",0,IF(AB705=1,I705*0.1,E705*0.5))))),IF(P705=0,IF(BC705="שימור",IF('חד גזעי'!$AM$4="לא",IF(BC705="לא בוגר",0,IF(BC705="לא קיים",0,IF(J705=0,0,I705*0.15))),IF(BC705="לא בוגר",0,IF(BC705="לא קיים",0,IF(AB705=1,I705*0.15,E705*0.5)))),0),IF('חד גזעי'!$AM$4="לא",IF(BC705="לא בוגר",0,IF(BC705="לא קיים",0,IF(J705=0,0,I705*0.15))),IF(BC705="לא בוגר",0,IF(BC705="לא קיים",0,IF(AB705=1,I705*0.15,E705*0.5))))))</f>
        <v>0</v>
      </c>
      <c r="V705" t="e">
        <f t="shared" si="706"/>
        <v>#N/A</v>
      </c>
      <c r="W705" t="e">
        <f t="shared" si="707"/>
        <v>#N/A</v>
      </c>
      <c r="X705" t="e">
        <f t="shared" si="708"/>
        <v>#N/A</v>
      </c>
      <c r="Y705">
        <f>IF('חד גזעי'!$AM$2 = "לא",0,IF(F705&gt;9,W705,0))</f>
        <v>0</v>
      </c>
      <c r="Z705">
        <f>IF('חד גזעי'!$AM$7 = "לא",0,IF(C705 = "זית אירופי",IF('חד גזעי'!$AN$7 &lt;=סקר!F705,W705,0),IF(C705 = "חרוב מצוי",IF('חד גזעי'!$AN$7 &lt;=סקר!F705,W705,0),0)))</f>
        <v>0</v>
      </c>
      <c r="AB705">
        <f t="shared" si="737"/>
        <v>1</v>
      </c>
      <c r="AC705" s="72"/>
      <c r="AD705" t="e">
        <f t="shared" si="755"/>
        <v>#N/A</v>
      </c>
      <c r="AE705" s="72"/>
      <c r="AF705" s="72" t="e">
        <f t="shared" si="738"/>
        <v>#N/A</v>
      </c>
      <c r="AG705" s="72" t="e">
        <f>IF('חד גזעי'!$AM$5="לא",(VLOOKUP(C705,'חד גזעי'!$P$1:$S$589,3,FALSE)),(VLOOKUP(C705,'חד גזעי'!$P$1:$S$589,4,FALSE)))</f>
        <v>#N/A</v>
      </c>
      <c r="AH705" s="72">
        <f t="shared" si="739"/>
        <v>0</v>
      </c>
      <c r="AI705" s="72">
        <f t="shared" si="740"/>
        <v>0</v>
      </c>
      <c r="AJ705" s="72">
        <f t="shared" si="741"/>
        <v>0</v>
      </c>
      <c r="AK705" s="72" t="e">
        <f t="shared" si="742"/>
        <v>#N/A</v>
      </c>
      <c r="AL705" t="e">
        <f>VLOOKUP(C705,'חד גזעי'!$AH$8:$AI$33,2,FALSE)</f>
        <v>#N/A</v>
      </c>
      <c r="AM705" s="72" t="b">
        <f t="shared" si="743"/>
        <v>0</v>
      </c>
      <c r="AN705" s="72" t="b">
        <f t="shared" si="744"/>
        <v>0</v>
      </c>
      <c r="AO705" s="72" t="b">
        <f t="shared" si="745"/>
        <v>0</v>
      </c>
      <c r="AS705" s="72">
        <f t="shared" si="746"/>
        <v>0</v>
      </c>
      <c r="AT705" s="72">
        <f t="shared" si="747"/>
        <v>0</v>
      </c>
      <c r="AU705" s="72">
        <f t="shared" si="756"/>
        <v>0</v>
      </c>
      <c r="AV705" s="72">
        <f t="shared" si="748"/>
        <v>0</v>
      </c>
      <c r="AW705" s="72">
        <f t="shared" si="749"/>
        <v>0</v>
      </c>
      <c r="AX705" s="72">
        <f t="shared" si="750"/>
        <v>0</v>
      </c>
      <c r="AY705" s="72">
        <f t="shared" si="751"/>
        <v>0</v>
      </c>
      <c r="AZ705" s="72">
        <f t="shared" si="752"/>
        <v>0</v>
      </c>
      <c r="BA705" s="72" t="e">
        <f t="shared" si="753"/>
        <v>#N/A</v>
      </c>
      <c r="BB705" s="72" t="e">
        <f t="shared" si="754"/>
        <v>#N/A</v>
      </c>
      <c r="BC705" s="77"/>
      <c r="BE705">
        <f t="shared" si="734"/>
        <v>0</v>
      </c>
      <c r="BF705" s="196"/>
      <c r="BG705" s="196"/>
      <c r="BH705" s="196"/>
      <c r="BI705" s="196"/>
      <c r="BJ705" s="196"/>
      <c r="BK705" s="196"/>
    </row>
    <row r="706" spans="2:63" hidden="1">
      <c r="B706" s="72"/>
      <c r="C706" s="135"/>
      <c r="D706" s="78"/>
      <c r="E706" s="78"/>
      <c r="F706" s="72"/>
      <c r="G706" s="72"/>
      <c r="H706" s="72"/>
      <c r="I706" s="73">
        <f t="shared" si="736"/>
        <v>0</v>
      </c>
      <c r="J706" s="78"/>
      <c r="K706" s="73"/>
      <c r="L706" s="74" t="e">
        <f>_xlfn.IFNA(VLOOKUP(C706,'חד גזעי'!$U$3:$V$509,2,0),VLOOKUP(C706,'חד גזעי'!$U$3:$V$509,2))</f>
        <v>#N/A</v>
      </c>
      <c r="M706" s="73"/>
      <c r="N706" s="72" t="e">
        <f>_xlfn.IFNA(IF(VLOOKUP(C706,'חד גזעי'!$AH$2:$AH$7,1,FALSE)&gt;0,0,IF('חד גזעי'!$AM$5="כן",IF(_xlfn.IFNA(VLOOKUP(C706,'חד גזעי'!$AH$2:$AH$33,1,FALSE),SUM(J706:M706))&lt;21,_xlfn.IFNA(VLOOKUP(C706,'חד גזעי'!$AH$2:$AH$33,1,FALSE),SUM(J706:M706)),0),SUM(J706:M706))),IF('חד גזעי'!$AM$5="כן",IF(_xlfn.IFNA(VLOOKUP(C706,'חד גזעי'!$AH$2:$AH$33,1,FALSE),SUM(J706:M706))&lt;21,_xlfn.IFNA(VLOOKUP(C706,'חד גזעי'!$AH$2:$AH$33,1,FALSE),SUM(J706:M706)),0),SUM(J706:M706)))</f>
        <v>#N/A</v>
      </c>
      <c r="O706" s="72">
        <f>IF('חד גזעי'!$AM$3 = "כן",IF(T706&gt;4,4,T706),T706)</f>
        <v>0</v>
      </c>
      <c r="P706" s="80">
        <f>IF(E706&lt;2,0,IF(Z706&gt;0,Z706,IF(N706 = 0,0,IF('חד גזעי'!$AM$2 = "לא",IF(F706&gt;19,W706,0),IF(F706&gt;9,Y706,0)))))</f>
        <v>0</v>
      </c>
      <c r="Q706" s="77"/>
      <c r="R706" s="75"/>
      <c r="S706" t="e">
        <f>VLOOKUP(C706,'חד גזעי'!$Y$4:$Y$18,1,0)</f>
        <v>#N/A</v>
      </c>
      <c r="T706" s="72">
        <f>IF('חד גזעי'!$AM$6="לא",IF(P706=0,IF(BC706="שימור",IF('חד גזעי'!$AM$4="לא",IF(BC706="לא בוגר",0,IF(BC706="לא קיים",0,IF(J706=0,0,I706*0.1))),IF(BC706="לא בוגר",0,IF(BC706="לא קיים",0,IF(AB706=1,I706*0.1,E706*0.5)))),0),IF('חד גזעי'!$AM$4="לא",IF(BC706="לא בוגר",0,IF(BC706="לא קיים",0,IF(J706=0,0,I706*0.1))),IF(BC706="לא בוגר",0,IF(BC706="לא קיים",0,IF(AB706=1,I706*0.1,E706*0.5))))),IF(P706=0,IF(BC706="שימור",IF('חד גזעי'!$AM$4="לא",IF(BC706="לא בוגר",0,IF(BC706="לא קיים",0,IF(J706=0,0,I706*0.15))),IF(BC706="לא בוגר",0,IF(BC706="לא קיים",0,IF(AB706=1,I706*0.15,E706*0.5)))),0),IF('חד גזעי'!$AM$4="לא",IF(BC706="לא בוגר",0,IF(BC706="לא קיים",0,IF(J706=0,0,I706*0.15))),IF(BC706="לא בוגר",0,IF(BC706="לא קיים",0,IF(AB706=1,I706*0.15,E706*0.5))))))</f>
        <v>0</v>
      </c>
      <c r="V706" t="e">
        <f t="shared" si="706"/>
        <v>#N/A</v>
      </c>
      <c r="W706" t="e">
        <f t="shared" si="707"/>
        <v>#N/A</v>
      </c>
      <c r="X706" t="e">
        <f t="shared" si="708"/>
        <v>#N/A</v>
      </c>
      <c r="Y706">
        <f>IF('חד גזעי'!$AM$2 = "לא",0,IF(F706&gt;9,W706,0))</f>
        <v>0</v>
      </c>
      <c r="Z706">
        <f>IF('חד גזעי'!$AM$7 = "לא",0,IF(C706 = "זית אירופי",IF('חד גזעי'!$AN$7 &lt;=סקר!F706,W706,0),IF(C706 = "חרוב מצוי",IF('חד גזעי'!$AN$7 &lt;=סקר!F706,W706,0),0)))</f>
        <v>0</v>
      </c>
      <c r="AB706">
        <f t="shared" si="737"/>
        <v>1</v>
      </c>
      <c r="AC706" s="72"/>
      <c r="AD706" t="e">
        <f t="shared" si="755"/>
        <v>#N/A</v>
      </c>
      <c r="AE706" s="72"/>
      <c r="AF706" s="72" t="e">
        <f t="shared" si="738"/>
        <v>#N/A</v>
      </c>
      <c r="AG706" s="72" t="e">
        <f>IF('חד גזעי'!$AM$5="לא",(VLOOKUP(C706,'חד גזעי'!$P$1:$S$589,3,FALSE)),(VLOOKUP(C706,'חד גזעי'!$P$1:$S$589,4,FALSE)))</f>
        <v>#N/A</v>
      </c>
      <c r="AH706" s="72">
        <f t="shared" si="739"/>
        <v>0</v>
      </c>
      <c r="AI706" s="72">
        <f t="shared" si="740"/>
        <v>0</v>
      </c>
      <c r="AJ706" s="72">
        <f t="shared" si="741"/>
        <v>0</v>
      </c>
      <c r="AK706" s="72" t="e">
        <f t="shared" si="742"/>
        <v>#N/A</v>
      </c>
      <c r="AL706" t="e">
        <f>VLOOKUP(C706,'חד גזעי'!$AH$8:$AI$33,2,FALSE)</f>
        <v>#N/A</v>
      </c>
      <c r="AM706" s="72" t="b">
        <f t="shared" si="743"/>
        <v>0</v>
      </c>
      <c r="AN706" s="72" t="b">
        <f t="shared" si="744"/>
        <v>0</v>
      </c>
      <c r="AO706" s="72" t="b">
        <f t="shared" si="745"/>
        <v>0</v>
      </c>
      <c r="AS706" s="72">
        <f t="shared" si="746"/>
        <v>0</v>
      </c>
      <c r="AT706" s="72">
        <f t="shared" si="747"/>
        <v>0</v>
      </c>
      <c r="AU706" s="72">
        <f t="shared" si="756"/>
        <v>0</v>
      </c>
      <c r="AV706" s="72">
        <f t="shared" si="748"/>
        <v>0</v>
      </c>
      <c r="AW706" s="72">
        <f t="shared" si="749"/>
        <v>0</v>
      </c>
      <c r="AX706" s="72">
        <f t="shared" si="750"/>
        <v>0</v>
      </c>
      <c r="AY706" s="72">
        <f t="shared" si="751"/>
        <v>0</v>
      </c>
      <c r="AZ706" s="72">
        <f t="shared" si="752"/>
        <v>0</v>
      </c>
      <c r="BA706" s="72" t="e">
        <f t="shared" si="753"/>
        <v>#N/A</v>
      </c>
      <c r="BB706" s="72" t="e">
        <f t="shared" si="754"/>
        <v>#N/A</v>
      </c>
      <c r="BC706" s="77"/>
      <c r="BE706">
        <f t="shared" si="734"/>
        <v>0</v>
      </c>
      <c r="BF706" s="196"/>
      <c r="BG706" s="196"/>
      <c r="BH706" s="196"/>
      <c r="BI706" s="196"/>
      <c r="BJ706" s="196"/>
      <c r="BK706" s="196"/>
    </row>
    <row r="707" spans="2:63" hidden="1">
      <c r="B707" s="72"/>
      <c r="C707" s="135"/>
      <c r="D707" s="78"/>
      <c r="E707" s="78"/>
      <c r="F707" s="72"/>
      <c r="G707" s="72"/>
      <c r="H707" s="72"/>
      <c r="I707" s="73">
        <f t="shared" si="736"/>
        <v>0</v>
      </c>
      <c r="J707" s="78"/>
      <c r="K707" s="73"/>
      <c r="L707" s="74" t="e">
        <f>_xlfn.IFNA(VLOOKUP(C707,'חד גזעי'!$U$3:$V$509,2,0),VLOOKUP(C707,'חד גזעי'!$U$3:$V$509,2))</f>
        <v>#N/A</v>
      </c>
      <c r="M707" s="73"/>
      <c r="N707" s="72" t="e">
        <f>_xlfn.IFNA(IF(VLOOKUP(C707,'חד גזעי'!$AH$2:$AH$7,1,FALSE)&gt;0,0,IF('חד גזעי'!$AM$5="כן",IF(_xlfn.IFNA(VLOOKUP(C707,'חד גזעי'!$AH$2:$AH$33,1,FALSE),SUM(J707:M707))&lt;21,_xlfn.IFNA(VLOOKUP(C707,'חד גזעי'!$AH$2:$AH$33,1,FALSE),SUM(J707:M707)),0),SUM(J707:M707))),IF('חד גזעי'!$AM$5="כן",IF(_xlfn.IFNA(VLOOKUP(C707,'חד גזעי'!$AH$2:$AH$33,1,FALSE),SUM(J707:M707))&lt;21,_xlfn.IFNA(VLOOKUP(C707,'חד גזעי'!$AH$2:$AH$33,1,FALSE),SUM(J707:M707)),0),SUM(J707:M707)))</f>
        <v>#N/A</v>
      </c>
      <c r="O707" s="72">
        <f>IF('חד גזעי'!$AM$3 = "כן",IF(T707&gt;4,4,T707),T707)</f>
        <v>0</v>
      </c>
      <c r="P707" s="80">
        <f>IF(E707&lt;2,0,IF(Z707&gt;0,Z707,IF(N707 = 0,0,IF('חד גזעי'!$AM$2 = "לא",IF(F707&gt;19,W707,0),IF(F707&gt;9,Y707,0)))))</f>
        <v>0</v>
      </c>
      <c r="Q707" s="77"/>
      <c r="R707" s="75"/>
      <c r="S707" t="e">
        <f>VLOOKUP(C707,'חד גזעי'!$Y$4:$Y$18,1,0)</f>
        <v>#N/A</v>
      </c>
      <c r="T707" s="72">
        <f>IF('חד גזעי'!$AM$6="לא",IF(P707=0,IF(BC707="שימור",IF('חד גזעי'!$AM$4="לא",IF(BC707="לא בוגר",0,IF(BC707="לא קיים",0,IF(J707=0,0,I707*0.1))),IF(BC707="לא בוגר",0,IF(BC707="לא קיים",0,IF(AB707=1,I707*0.1,E707*0.5)))),0),IF('חד גזעי'!$AM$4="לא",IF(BC707="לא בוגר",0,IF(BC707="לא קיים",0,IF(J707=0,0,I707*0.1))),IF(BC707="לא בוגר",0,IF(BC707="לא קיים",0,IF(AB707=1,I707*0.1,E707*0.5))))),IF(P707=0,IF(BC707="שימור",IF('חד גזעי'!$AM$4="לא",IF(BC707="לא בוגר",0,IF(BC707="לא קיים",0,IF(J707=0,0,I707*0.15))),IF(BC707="לא בוגר",0,IF(BC707="לא קיים",0,IF(AB707=1,I707*0.15,E707*0.5)))),0),IF('חד גזעי'!$AM$4="לא",IF(BC707="לא בוגר",0,IF(BC707="לא קיים",0,IF(J707=0,0,I707*0.15))),IF(BC707="לא בוגר",0,IF(BC707="לא קיים",0,IF(AB707=1,I707*0.15,E707*0.5))))))</f>
        <v>0</v>
      </c>
      <c r="V707" t="e">
        <f t="shared" si="706"/>
        <v>#N/A</v>
      </c>
      <c r="W707" t="e">
        <f t="shared" si="707"/>
        <v>#N/A</v>
      </c>
      <c r="X707" t="e">
        <f t="shared" si="708"/>
        <v>#N/A</v>
      </c>
      <c r="Y707">
        <f>IF('חד גזעי'!$AM$2 = "לא",0,IF(F707&gt;9,W707,0))</f>
        <v>0</v>
      </c>
      <c r="Z707">
        <f>IF('חד גזעי'!$AM$7 = "לא",0,IF(C707 = "זית אירופי",IF('חד גזעי'!$AN$7 &lt;=סקר!F707,W707,0),IF(C707 = "חרוב מצוי",IF('חד גזעי'!$AN$7 &lt;=סקר!F707,W707,0),0)))</f>
        <v>0</v>
      </c>
      <c r="AB707">
        <f t="shared" si="737"/>
        <v>1</v>
      </c>
      <c r="AC707" s="72"/>
      <c r="AD707" t="e">
        <f t="shared" si="755"/>
        <v>#N/A</v>
      </c>
      <c r="AE707" s="72"/>
      <c r="AF707" s="72" t="e">
        <f t="shared" si="738"/>
        <v>#N/A</v>
      </c>
      <c r="AG707" s="72" t="e">
        <f>IF('חד גזעי'!$AM$5="לא",(VLOOKUP(C707,'חד גזעי'!$P$1:$S$589,3,FALSE)),(VLOOKUP(C707,'חד גזעי'!$P$1:$S$589,4,FALSE)))</f>
        <v>#N/A</v>
      </c>
      <c r="AH707" s="72">
        <f t="shared" si="739"/>
        <v>0</v>
      </c>
      <c r="AI707" s="72">
        <f t="shared" si="740"/>
        <v>0</v>
      </c>
      <c r="AJ707" s="72">
        <f t="shared" si="741"/>
        <v>0</v>
      </c>
      <c r="AK707" s="72" t="e">
        <f t="shared" si="742"/>
        <v>#N/A</v>
      </c>
      <c r="AL707" t="e">
        <f>VLOOKUP(C707,'חד גזעי'!$AH$8:$AI$33,2,FALSE)</f>
        <v>#N/A</v>
      </c>
      <c r="AM707" s="72" t="b">
        <f t="shared" si="743"/>
        <v>0</v>
      </c>
      <c r="AN707" s="72" t="b">
        <f t="shared" si="744"/>
        <v>0</v>
      </c>
      <c r="AO707" s="72" t="b">
        <f t="shared" si="745"/>
        <v>0</v>
      </c>
      <c r="AS707" s="72">
        <f t="shared" si="746"/>
        <v>0</v>
      </c>
      <c r="AT707" s="72">
        <f t="shared" si="747"/>
        <v>0</v>
      </c>
      <c r="AU707" s="72">
        <f t="shared" si="756"/>
        <v>0</v>
      </c>
      <c r="AV707" s="72">
        <f t="shared" si="748"/>
        <v>0</v>
      </c>
      <c r="AW707" s="72">
        <f t="shared" si="749"/>
        <v>0</v>
      </c>
      <c r="AX707" s="72">
        <f t="shared" si="750"/>
        <v>0</v>
      </c>
      <c r="AY707" s="72">
        <f t="shared" si="751"/>
        <v>0</v>
      </c>
      <c r="AZ707" s="72">
        <f t="shared" si="752"/>
        <v>0</v>
      </c>
      <c r="BA707" s="72" t="e">
        <f t="shared" si="753"/>
        <v>#N/A</v>
      </c>
      <c r="BB707" s="72" t="e">
        <f t="shared" si="754"/>
        <v>#N/A</v>
      </c>
      <c r="BC707" s="77"/>
      <c r="BE707">
        <f t="shared" si="734"/>
        <v>0</v>
      </c>
      <c r="BF707" s="196"/>
      <c r="BG707" s="196"/>
      <c r="BH707" s="196"/>
      <c r="BI707" s="196"/>
      <c r="BJ707" s="196"/>
      <c r="BK707" s="196"/>
    </row>
    <row r="708" spans="2:63" hidden="1">
      <c r="B708" s="72"/>
      <c r="C708" s="135"/>
      <c r="D708" s="78"/>
      <c r="E708" s="78"/>
      <c r="F708" s="72"/>
      <c r="G708" s="72"/>
      <c r="H708" s="72"/>
      <c r="I708" s="73">
        <f t="shared" si="736"/>
        <v>0</v>
      </c>
      <c r="J708" s="78"/>
      <c r="K708" s="73"/>
      <c r="L708" s="74" t="e">
        <f>_xlfn.IFNA(VLOOKUP(C708,'חד גזעי'!$U$3:$V$509,2,0),VLOOKUP(C708,'חד גזעי'!$U$3:$V$509,2))</f>
        <v>#N/A</v>
      </c>
      <c r="M708" s="73"/>
      <c r="N708" s="72" t="e">
        <f>_xlfn.IFNA(IF(VLOOKUP(C708,'חד גזעי'!$AH$2:$AH$7,1,FALSE)&gt;0,0,IF('חד גזעי'!$AM$5="כן",IF(_xlfn.IFNA(VLOOKUP(C708,'חד גזעי'!$AH$2:$AH$33,1,FALSE),SUM(J708:M708))&lt;21,_xlfn.IFNA(VLOOKUP(C708,'חד גזעי'!$AH$2:$AH$33,1,FALSE),SUM(J708:M708)),0),SUM(J708:M708))),IF('חד גזעי'!$AM$5="כן",IF(_xlfn.IFNA(VLOOKUP(C708,'חד גזעי'!$AH$2:$AH$33,1,FALSE),SUM(J708:M708))&lt;21,_xlfn.IFNA(VLOOKUP(C708,'חד גזעי'!$AH$2:$AH$33,1,FALSE),SUM(J708:M708)),0),SUM(J708:M708)))</f>
        <v>#N/A</v>
      </c>
      <c r="O708" s="72">
        <f>IF('חד גזעי'!$AM$3 = "כן",IF(T708&gt;4,4,T708),T708)</f>
        <v>0</v>
      </c>
      <c r="P708" s="80">
        <f>IF(E708&lt;2,0,IF(Z708&gt;0,Z708,IF(N708 = 0,0,IF('חד גזעי'!$AM$2 = "לא",IF(F708&gt;19,W708,0),IF(F708&gt;9,Y708,0)))))</f>
        <v>0</v>
      </c>
      <c r="Q708" s="77"/>
      <c r="R708" s="75"/>
      <c r="S708" t="e">
        <f>VLOOKUP(C708,'חד גזעי'!$Y$4:$Y$18,1,0)</f>
        <v>#N/A</v>
      </c>
      <c r="T708" s="72">
        <f>IF('חד גזעי'!$AM$6="לא",IF(P708=0,IF(BC708="שימור",IF('חד גזעי'!$AM$4="לא",IF(BC708="לא בוגר",0,IF(BC708="לא קיים",0,IF(J708=0,0,I708*0.1))),IF(BC708="לא בוגר",0,IF(BC708="לא קיים",0,IF(AB708=1,I708*0.1,E708*0.5)))),0),IF('חד גזעי'!$AM$4="לא",IF(BC708="לא בוגר",0,IF(BC708="לא קיים",0,IF(J708=0,0,I708*0.1))),IF(BC708="לא בוגר",0,IF(BC708="לא קיים",0,IF(AB708=1,I708*0.1,E708*0.5))))),IF(P708=0,IF(BC708="שימור",IF('חד גזעי'!$AM$4="לא",IF(BC708="לא בוגר",0,IF(BC708="לא קיים",0,IF(J708=0,0,I708*0.15))),IF(BC708="לא בוגר",0,IF(BC708="לא קיים",0,IF(AB708=1,I708*0.15,E708*0.5)))),0),IF('חד גזעי'!$AM$4="לא",IF(BC708="לא בוגר",0,IF(BC708="לא קיים",0,IF(J708=0,0,I708*0.15))),IF(BC708="לא בוגר",0,IF(BC708="לא קיים",0,IF(AB708=1,I708*0.15,E708*0.5))))))</f>
        <v>0</v>
      </c>
      <c r="V708" t="e">
        <f t="shared" si="706"/>
        <v>#N/A</v>
      </c>
      <c r="W708" t="e">
        <f t="shared" si="707"/>
        <v>#N/A</v>
      </c>
      <c r="X708" t="e">
        <f t="shared" si="708"/>
        <v>#N/A</v>
      </c>
      <c r="Y708">
        <f>IF('חד גזעי'!$AM$2 = "לא",0,IF(F708&gt;9,W708,0))</f>
        <v>0</v>
      </c>
      <c r="Z708">
        <f>IF('חד גזעי'!$AM$7 = "לא",0,IF(C708 = "זית אירופי",IF('חד גזעי'!$AN$7 &lt;=סקר!F708,W708,0),IF(C708 = "חרוב מצוי",IF('חד גזעי'!$AN$7 &lt;=סקר!F708,W708,0),0)))</f>
        <v>0</v>
      </c>
      <c r="AB708">
        <f t="shared" si="737"/>
        <v>1</v>
      </c>
      <c r="AC708" s="72"/>
      <c r="AD708" t="e">
        <f t="shared" si="755"/>
        <v>#N/A</v>
      </c>
      <c r="AE708" s="72"/>
      <c r="AF708" s="72" t="e">
        <f t="shared" si="738"/>
        <v>#N/A</v>
      </c>
      <c r="AG708" s="72" t="e">
        <f>IF('חד גזעי'!$AM$5="לא",(VLOOKUP(C708,'חד גזעי'!$P$1:$S$589,3,FALSE)),(VLOOKUP(C708,'חד גזעי'!$P$1:$S$589,4,FALSE)))</f>
        <v>#N/A</v>
      </c>
      <c r="AH708" s="72">
        <f t="shared" si="739"/>
        <v>0</v>
      </c>
      <c r="AI708" s="72">
        <f t="shared" si="740"/>
        <v>0</v>
      </c>
      <c r="AJ708" s="72">
        <f t="shared" si="741"/>
        <v>0</v>
      </c>
      <c r="AK708" s="72" t="e">
        <f t="shared" si="742"/>
        <v>#N/A</v>
      </c>
      <c r="AL708" t="e">
        <f>VLOOKUP(C708,'חד גזעי'!$AH$8:$AI$33,2,FALSE)</f>
        <v>#N/A</v>
      </c>
      <c r="AM708" s="72" t="b">
        <f t="shared" si="743"/>
        <v>0</v>
      </c>
      <c r="AN708" s="72" t="b">
        <f t="shared" si="744"/>
        <v>0</v>
      </c>
      <c r="AO708" s="72" t="b">
        <f t="shared" si="745"/>
        <v>0</v>
      </c>
      <c r="AS708" s="72">
        <f t="shared" si="746"/>
        <v>0</v>
      </c>
      <c r="AT708" s="72">
        <f t="shared" si="747"/>
        <v>0</v>
      </c>
      <c r="AU708" s="72">
        <f t="shared" si="756"/>
        <v>0</v>
      </c>
      <c r="AV708" s="72">
        <f t="shared" si="748"/>
        <v>0</v>
      </c>
      <c r="AW708" s="72">
        <f t="shared" si="749"/>
        <v>0</v>
      </c>
      <c r="AX708" s="72">
        <f t="shared" si="750"/>
        <v>0</v>
      </c>
      <c r="AY708" s="72">
        <f t="shared" si="751"/>
        <v>0</v>
      </c>
      <c r="AZ708" s="72">
        <f t="shared" si="752"/>
        <v>0</v>
      </c>
      <c r="BA708" s="72" t="e">
        <f t="shared" si="753"/>
        <v>#N/A</v>
      </c>
      <c r="BB708" s="72" t="e">
        <f t="shared" si="754"/>
        <v>#N/A</v>
      </c>
      <c r="BC708" s="77"/>
      <c r="BE708">
        <f t="shared" si="734"/>
        <v>0</v>
      </c>
      <c r="BF708" s="196"/>
      <c r="BG708" s="196"/>
      <c r="BH708" s="196"/>
      <c r="BI708" s="196"/>
      <c r="BJ708" s="196"/>
      <c r="BK708" s="196"/>
    </row>
    <row r="709" spans="2:63" hidden="1">
      <c r="B709" s="72"/>
      <c r="C709" s="135"/>
      <c r="D709" s="78"/>
      <c r="E709" s="78"/>
      <c r="F709" s="72"/>
      <c r="G709" s="72"/>
      <c r="H709" s="72"/>
      <c r="I709" s="73">
        <f t="shared" si="736"/>
        <v>0</v>
      </c>
      <c r="J709" s="78"/>
      <c r="K709" s="73"/>
      <c r="L709" s="74" t="e">
        <f>_xlfn.IFNA(VLOOKUP(C709,'חד גזעי'!$U$3:$V$509,2,0),VLOOKUP(C709,'חד גזעי'!$U$3:$V$509,2))</f>
        <v>#N/A</v>
      </c>
      <c r="M709" s="73"/>
      <c r="N709" s="72" t="e">
        <f>_xlfn.IFNA(IF(VLOOKUP(C709,'חד גזעי'!$AH$2:$AH$7,1,FALSE)&gt;0,0,IF('חד גזעי'!$AM$5="כן",IF(_xlfn.IFNA(VLOOKUP(C709,'חד גזעי'!$AH$2:$AH$33,1,FALSE),SUM(J709:M709))&lt;21,_xlfn.IFNA(VLOOKUP(C709,'חד גזעי'!$AH$2:$AH$33,1,FALSE),SUM(J709:M709)),0),SUM(J709:M709))),IF('חד גזעי'!$AM$5="כן",IF(_xlfn.IFNA(VLOOKUP(C709,'חד גזעי'!$AH$2:$AH$33,1,FALSE),SUM(J709:M709))&lt;21,_xlfn.IFNA(VLOOKUP(C709,'חד גזעי'!$AH$2:$AH$33,1,FALSE),SUM(J709:M709)),0),SUM(J709:M709)))</f>
        <v>#N/A</v>
      </c>
      <c r="O709" s="72">
        <f>IF('חד גזעי'!$AM$3 = "כן",IF(T709&gt;4,4,T709),T709)</f>
        <v>0</v>
      </c>
      <c r="P709" s="80">
        <f>IF(E709&lt;2,0,IF(Z709&gt;0,Z709,IF(N709 = 0,0,IF('חד גזעי'!$AM$2 = "לא",IF(F709&gt;19,W709,0),IF(F709&gt;9,Y709,0)))))</f>
        <v>0</v>
      </c>
      <c r="Q709" s="77"/>
      <c r="R709" s="75"/>
      <c r="S709" t="e">
        <f>VLOOKUP(C709,'חד גזעי'!$Y$4:$Y$18,1,0)</f>
        <v>#N/A</v>
      </c>
      <c r="T709" s="72">
        <f>IF('חד גזעי'!$AM$6="לא",IF(P709=0,IF(BC709="שימור",IF('חד גזעי'!$AM$4="לא",IF(BC709="לא בוגר",0,IF(BC709="לא קיים",0,IF(J709=0,0,I709*0.1))),IF(BC709="לא בוגר",0,IF(BC709="לא קיים",0,IF(AB709=1,I709*0.1,E709*0.5)))),0),IF('חד גזעי'!$AM$4="לא",IF(BC709="לא בוגר",0,IF(BC709="לא קיים",0,IF(J709=0,0,I709*0.1))),IF(BC709="לא בוגר",0,IF(BC709="לא קיים",0,IF(AB709=1,I709*0.1,E709*0.5))))),IF(P709=0,IF(BC709="שימור",IF('חד גזעי'!$AM$4="לא",IF(BC709="לא בוגר",0,IF(BC709="לא קיים",0,IF(J709=0,0,I709*0.15))),IF(BC709="לא בוגר",0,IF(BC709="לא קיים",0,IF(AB709=1,I709*0.15,E709*0.5)))),0),IF('חד גזעי'!$AM$4="לא",IF(BC709="לא בוגר",0,IF(BC709="לא קיים",0,IF(J709=0,0,I709*0.15))),IF(BC709="לא בוגר",0,IF(BC709="לא קיים",0,IF(AB709=1,I709*0.15,E709*0.5))))))</f>
        <v>0</v>
      </c>
      <c r="V709" t="e">
        <f t="shared" si="706"/>
        <v>#N/A</v>
      </c>
      <c r="W709" t="e">
        <f t="shared" si="707"/>
        <v>#N/A</v>
      </c>
      <c r="X709" t="e">
        <f t="shared" si="708"/>
        <v>#N/A</v>
      </c>
      <c r="Y709">
        <f>IF('חד גזעי'!$AM$2 = "לא",0,IF(F709&gt;9,W709,0))</f>
        <v>0</v>
      </c>
      <c r="Z709">
        <f>IF('חד גזעי'!$AM$7 = "לא",0,IF(C709 = "זית אירופי",IF('חד גזעי'!$AN$7 &lt;=סקר!F709,W709,0),IF(C709 = "חרוב מצוי",IF('חד גזעי'!$AN$7 &lt;=סקר!F709,W709,0),0)))</f>
        <v>0</v>
      </c>
      <c r="AB709">
        <f t="shared" si="737"/>
        <v>1</v>
      </c>
      <c r="AC709" s="72"/>
      <c r="AD709" t="e">
        <f t="shared" si="755"/>
        <v>#N/A</v>
      </c>
      <c r="AE709" s="72"/>
      <c r="AF709" s="72" t="e">
        <f t="shared" si="738"/>
        <v>#N/A</v>
      </c>
      <c r="AG709" s="72" t="e">
        <f>IF('חד גזעי'!$AM$5="לא",(VLOOKUP(C709,'חד גזעי'!$P$1:$S$589,3,FALSE)),(VLOOKUP(C709,'חד גזעי'!$P$1:$S$589,4,FALSE)))</f>
        <v>#N/A</v>
      </c>
      <c r="AH709" s="72">
        <f t="shared" si="739"/>
        <v>0</v>
      </c>
      <c r="AI709" s="72">
        <f t="shared" si="740"/>
        <v>0</v>
      </c>
      <c r="AJ709" s="72">
        <f t="shared" si="741"/>
        <v>0</v>
      </c>
      <c r="AK709" s="72" t="e">
        <f t="shared" si="742"/>
        <v>#N/A</v>
      </c>
      <c r="AL709" t="e">
        <f>VLOOKUP(C709,'חד גזעי'!$AH$8:$AI$33,2,FALSE)</f>
        <v>#N/A</v>
      </c>
      <c r="AM709" s="72" t="b">
        <f t="shared" si="743"/>
        <v>0</v>
      </c>
      <c r="AN709" s="72" t="b">
        <f t="shared" si="744"/>
        <v>0</v>
      </c>
      <c r="AO709" s="72" t="b">
        <f t="shared" si="745"/>
        <v>0</v>
      </c>
      <c r="AS709" s="72">
        <f t="shared" si="746"/>
        <v>0</v>
      </c>
      <c r="AT709" s="72">
        <f t="shared" si="747"/>
        <v>0</v>
      </c>
      <c r="AU709" s="72">
        <f t="shared" si="756"/>
        <v>0</v>
      </c>
      <c r="AV709" s="72">
        <f t="shared" si="748"/>
        <v>0</v>
      </c>
      <c r="AW709" s="72">
        <f t="shared" si="749"/>
        <v>0</v>
      </c>
      <c r="AX709" s="72">
        <f t="shared" si="750"/>
        <v>0</v>
      </c>
      <c r="AY709" s="72">
        <f t="shared" si="751"/>
        <v>0</v>
      </c>
      <c r="AZ709" s="72">
        <f t="shared" si="752"/>
        <v>0</v>
      </c>
      <c r="BA709" s="72" t="e">
        <f t="shared" si="753"/>
        <v>#N/A</v>
      </c>
      <c r="BB709" s="72" t="e">
        <f t="shared" si="754"/>
        <v>#N/A</v>
      </c>
      <c r="BC709" s="77"/>
      <c r="BE709">
        <f t="shared" si="734"/>
        <v>0</v>
      </c>
      <c r="BF709" s="196"/>
      <c r="BG709" s="196"/>
      <c r="BH709" s="196"/>
      <c r="BI709" s="196"/>
      <c r="BJ709" s="196"/>
      <c r="BK709" s="196"/>
    </row>
    <row r="710" spans="2:63" hidden="1">
      <c r="B710" s="72"/>
      <c r="C710" s="135"/>
      <c r="D710" s="78"/>
      <c r="E710" s="78"/>
      <c r="F710" s="72"/>
      <c r="G710" s="72"/>
      <c r="H710" s="72"/>
      <c r="I710" s="73">
        <f t="shared" si="736"/>
        <v>0</v>
      </c>
      <c r="J710" s="78"/>
      <c r="K710" s="73"/>
      <c r="L710" s="74" t="e">
        <f>_xlfn.IFNA(VLOOKUP(C710,'חד גזעי'!$U$3:$V$509,2,0),VLOOKUP(C710,'חד גזעי'!$U$3:$V$509,2))</f>
        <v>#N/A</v>
      </c>
      <c r="M710" s="73"/>
      <c r="N710" s="72" t="e">
        <f>_xlfn.IFNA(IF(VLOOKUP(C710,'חד גזעי'!$AH$2:$AH$7,1,FALSE)&gt;0,0,IF('חד גזעי'!$AM$5="כן",IF(_xlfn.IFNA(VLOOKUP(C710,'חד גזעי'!$AH$2:$AH$33,1,FALSE),SUM(J710:M710))&lt;21,_xlfn.IFNA(VLOOKUP(C710,'חד גזעי'!$AH$2:$AH$33,1,FALSE),SUM(J710:M710)),0),SUM(J710:M710))),IF('חד גזעי'!$AM$5="כן",IF(_xlfn.IFNA(VLOOKUP(C710,'חד גזעי'!$AH$2:$AH$33,1,FALSE),SUM(J710:M710))&lt;21,_xlfn.IFNA(VLOOKUP(C710,'חד גזעי'!$AH$2:$AH$33,1,FALSE),SUM(J710:M710)),0),SUM(J710:M710)))</f>
        <v>#N/A</v>
      </c>
      <c r="O710" s="72">
        <f>IF('חד גזעי'!$AM$3 = "כן",IF(T710&gt;4,4,T710),T710)</f>
        <v>0</v>
      </c>
      <c r="P710" s="80">
        <f>IF(E710&lt;2,0,IF(Z710&gt;0,Z710,IF(N710 = 0,0,IF('חד גזעי'!$AM$2 = "לא",IF(F710&gt;19,W710,0),IF(F710&gt;9,Y710,0)))))</f>
        <v>0</v>
      </c>
      <c r="Q710" s="77"/>
      <c r="R710" s="76"/>
      <c r="S710" t="e">
        <f>VLOOKUP(C710,'חד גזעי'!$Y$4:$Y$18,1,0)</f>
        <v>#N/A</v>
      </c>
      <c r="T710" s="72">
        <f>IF('חד גזעי'!$AM$6="לא",IF(P710=0,IF(BC710="שימור",IF('חד גזעי'!$AM$4="לא",IF(BC710="לא בוגר",0,IF(BC710="לא קיים",0,IF(J710=0,0,I710*0.1))),IF(BC710="לא בוגר",0,IF(BC710="לא קיים",0,IF(AB710=1,I710*0.1,E710*0.5)))),0),IF('חד גזעי'!$AM$4="לא",IF(BC710="לא בוגר",0,IF(BC710="לא קיים",0,IF(J710=0,0,I710*0.1))),IF(BC710="לא בוגר",0,IF(BC710="לא קיים",0,IF(AB710=1,I710*0.1,E710*0.5))))),IF(P710=0,IF(BC710="שימור",IF('חד גזעי'!$AM$4="לא",IF(BC710="לא בוגר",0,IF(BC710="לא קיים",0,IF(J710=0,0,I710*0.15))),IF(BC710="לא בוגר",0,IF(BC710="לא קיים",0,IF(AB710=1,I710*0.15,E710*0.5)))),0),IF('חד גזעי'!$AM$4="לא",IF(BC710="לא בוגר",0,IF(BC710="לא קיים",0,IF(J710=0,0,I710*0.15))),IF(BC710="לא בוגר",0,IF(BC710="לא קיים",0,IF(AB710=1,I710*0.15,E710*0.5))))))</f>
        <v>0</v>
      </c>
      <c r="V710" t="e">
        <f t="shared" si="706"/>
        <v>#N/A</v>
      </c>
      <c r="W710" t="e">
        <f t="shared" si="707"/>
        <v>#N/A</v>
      </c>
      <c r="X710" t="e">
        <f t="shared" si="708"/>
        <v>#N/A</v>
      </c>
      <c r="Y710">
        <f>IF('חד גזעי'!$AM$2 = "לא",0,IF(F710&gt;9,W710,0))</f>
        <v>0</v>
      </c>
      <c r="Z710">
        <f>IF('חד גזעי'!$AM$7 = "לא",0,IF(C710 = "זית אירופי",IF('חד גזעי'!$AN$7 &lt;=סקר!F710,W710,0),IF(C710 = "חרוב מצוי",IF('חד גזעי'!$AN$7 &lt;=סקר!F710,W710,0),0)))</f>
        <v>0</v>
      </c>
      <c r="AB710">
        <f t="shared" si="737"/>
        <v>1</v>
      </c>
      <c r="AC710" s="72"/>
      <c r="AD710" t="e">
        <f t="shared" si="755"/>
        <v>#N/A</v>
      </c>
      <c r="AE710" s="72"/>
      <c r="AF710" s="72" t="e">
        <f t="shared" si="738"/>
        <v>#N/A</v>
      </c>
      <c r="AG710" s="72" t="e">
        <f>IF('חד גזעי'!$AM$5="לא",(VLOOKUP(C710,'חד גזעי'!$P$1:$S$589,3,FALSE)),(VLOOKUP(C710,'חד גזעי'!$P$1:$S$589,4,FALSE)))</f>
        <v>#N/A</v>
      </c>
      <c r="AH710" s="72">
        <f t="shared" si="739"/>
        <v>0</v>
      </c>
      <c r="AI710" s="72">
        <f t="shared" si="740"/>
        <v>0</v>
      </c>
      <c r="AJ710" s="72">
        <f t="shared" si="741"/>
        <v>0</v>
      </c>
      <c r="AK710" s="72" t="e">
        <f t="shared" si="742"/>
        <v>#N/A</v>
      </c>
      <c r="AL710" t="e">
        <f>VLOOKUP(C710,'חד גזעי'!$AH$8:$AI$33,2,FALSE)</f>
        <v>#N/A</v>
      </c>
      <c r="AM710" s="72" t="b">
        <f t="shared" si="743"/>
        <v>0</v>
      </c>
      <c r="AN710" s="72" t="b">
        <f t="shared" si="744"/>
        <v>0</v>
      </c>
      <c r="AO710" s="72" t="b">
        <f t="shared" si="745"/>
        <v>0</v>
      </c>
      <c r="AS710" s="72">
        <f t="shared" si="746"/>
        <v>0</v>
      </c>
      <c r="AT710" s="72">
        <f t="shared" si="747"/>
        <v>0</v>
      </c>
      <c r="AU710" s="72">
        <f t="shared" si="756"/>
        <v>0</v>
      </c>
      <c r="AV710" s="72">
        <f t="shared" si="748"/>
        <v>0</v>
      </c>
      <c r="AW710" s="72">
        <f t="shared" si="749"/>
        <v>0</v>
      </c>
      <c r="AX710" s="72">
        <f t="shared" si="750"/>
        <v>0</v>
      </c>
      <c r="AY710" s="72">
        <f t="shared" si="751"/>
        <v>0</v>
      </c>
      <c r="AZ710" s="72">
        <f t="shared" si="752"/>
        <v>0</v>
      </c>
      <c r="BA710" s="72" t="e">
        <f t="shared" si="753"/>
        <v>#N/A</v>
      </c>
      <c r="BB710" s="72" t="e">
        <f t="shared" si="754"/>
        <v>#N/A</v>
      </c>
      <c r="BC710" s="77"/>
      <c r="BE710">
        <f t="shared" si="734"/>
        <v>0</v>
      </c>
      <c r="BF710" s="196"/>
      <c r="BG710" s="196"/>
      <c r="BH710" s="196"/>
      <c r="BI710" s="196"/>
      <c r="BJ710" s="196"/>
      <c r="BK710" s="196"/>
    </row>
    <row r="711" spans="2:63" hidden="1">
      <c r="B711" s="72"/>
      <c r="C711" s="135"/>
      <c r="D711" s="78"/>
      <c r="E711" s="78"/>
      <c r="F711" s="72"/>
      <c r="G711" s="72"/>
      <c r="H711" s="72"/>
      <c r="I711" s="73">
        <f t="shared" si="736"/>
        <v>0</v>
      </c>
      <c r="J711" s="78"/>
      <c r="K711" s="73"/>
      <c r="L711" s="74" t="e">
        <f>_xlfn.IFNA(VLOOKUP(C711,'חד גזעי'!$U$3:$V$509,2,0),VLOOKUP(C711,'חד גזעי'!$U$3:$V$509,2))</f>
        <v>#N/A</v>
      </c>
      <c r="M711" s="73"/>
      <c r="N711" s="72" t="e">
        <f>_xlfn.IFNA(IF(VLOOKUP(C711,'חד גזעי'!$AH$2:$AH$7,1,FALSE)&gt;0,0,IF('חד גזעי'!$AM$5="כן",IF(_xlfn.IFNA(VLOOKUP(C711,'חד גזעי'!$AH$2:$AH$33,1,FALSE),SUM(J711:M711))&lt;21,_xlfn.IFNA(VLOOKUP(C711,'חד גזעי'!$AH$2:$AH$33,1,FALSE),SUM(J711:M711)),0),SUM(J711:M711))),IF('חד גזעי'!$AM$5="כן",IF(_xlfn.IFNA(VLOOKUP(C711,'חד גזעי'!$AH$2:$AH$33,1,FALSE),SUM(J711:M711))&lt;21,_xlfn.IFNA(VLOOKUP(C711,'חד גזעי'!$AH$2:$AH$33,1,FALSE),SUM(J711:M711)),0),SUM(J711:M711)))</f>
        <v>#N/A</v>
      </c>
      <c r="O711" s="72">
        <f>IF('חד גזעי'!$AM$3 = "כן",IF(T711&gt;4,4,T711),T711)</f>
        <v>0</v>
      </c>
      <c r="P711" s="80">
        <f>IF(E711&lt;2,0,IF(Z711&gt;0,Z711,IF(N711 = 0,0,IF('חד גזעי'!$AM$2 = "לא",IF(F711&gt;19,W711,0),IF(F711&gt;9,Y711,0)))))</f>
        <v>0</v>
      </c>
      <c r="Q711" s="77"/>
      <c r="R711" s="76"/>
      <c r="S711" t="e">
        <f>VLOOKUP(C711,'חד גזעי'!$Y$4:$Y$18,1,0)</f>
        <v>#N/A</v>
      </c>
      <c r="T711" s="72">
        <f>IF('חד גזעי'!$AM$6="לא",IF(P711=0,IF(BC711="שימור",IF('חד גזעי'!$AM$4="לא",IF(BC711="לא בוגר",0,IF(BC711="לא קיים",0,IF(J711=0,0,I711*0.1))),IF(BC711="לא בוגר",0,IF(BC711="לא קיים",0,IF(AB711=1,I711*0.1,E711*0.5)))),0),IF('חד גזעי'!$AM$4="לא",IF(BC711="לא בוגר",0,IF(BC711="לא קיים",0,IF(J711=0,0,I711*0.1))),IF(BC711="לא בוגר",0,IF(BC711="לא קיים",0,IF(AB711=1,I711*0.1,E711*0.5))))),IF(P711=0,IF(BC711="שימור",IF('חד גזעי'!$AM$4="לא",IF(BC711="לא בוגר",0,IF(BC711="לא קיים",0,IF(J711=0,0,I711*0.15))),IF(BC711="לא בוגר",0,IF(BC711="לא קיים",0,IF(AB711=1,I711*0.15,E711*0.5)))),0),IF('חד גזעי'!$AM$4="לא",IF(BC711="לא בוגר",0,IF(BC711="לא קיים",0,IF(J711=0,0,I711*0.15))),IF(BC711="לא בוגר",0,IF(BC711="לא קיים",0,IF(AB711=1,I711*0.15,E711*0.5))))))</f>
        <v>0</v>
      </c>
      <c r="V711" t="e">
        <f t="shared" si="706"/>
        <v>#N/A</v>
      </c>
      <c r="W711" t="e">
        <f t="shared" si="707"/>
        <v>#N/A</v>
      </c>
      <c r="X711" t="e">
        <f t="shared" si="708"/>
        <v>#N/A</v>
      </c>
      <c r="Y711">
        <f>IF('חד גזעי'!$AM$2 = "לא",0,IF(F711&gt;9,W711,0))</f>
        <v>0</v>
      </c>
      <c r="Z711">
        <f>IF('חד גזעי'!$AM$7 = "לא",0,IF(C711 = "זית אירופי",IF('חד גזעי'!$AN$7 &lt;=סקר!F711,W711,0),IF(C711 = "חרוב מצוי",IF('חד גזעי'!$AN$7 &lt;=סקר!F711,W711,0),0)))</f>
        <v>0</v>
      </c>
      <c r="AB711">
        <f t="shared" si="737"/>
        <v>1</v>
      </c>
      <c r="AC711" s="72"/>
      <c r="AD711" t="e">
        <f t="shared" si="755"/>
        <v>#N/A</v>
      </c>
      <c r="AE711" s="72"/>
      <c r="AF711" s="72" t="e">
        <f t="shared" si="738"/>
        <v>#N/A</v>
      </c>
      <c r="AG711" s="72" t="e">
        <f>IF('חד גזעי'!$AM$5="לא",(VLOOKUP(C711,'חד גזעי'!$P$1:$S$589,3,FALSE)),(VLOOKUP(C711,'חד גזעי'!$P$1:$S$589,4,FALSE)))</f>
        <v>#N/A</v>
      </c>
      <c r="AH711" s="72">
        <f t="shared" si="739"/>
        <v>0</v>
      </c>
      <c r="AI711" s="72">
        <f t="shared" si="740"/>
        <v>0</v>
      </c>
      <c r="AJ711" s="72">
        <f t="shared" si="741"/>
        <v>0</v>
      </c>
      <c r="AK711" s="72" t="e">
        <f t="shared" si="742"/>
        <v>#N/A</v>
      </c>
      <c r="AL711" t="e">
        <f>VLOOKUP(C711,'חד גזעי'!$AH$8:$AI$33,2,FALSE)</f>
        <v>#N/A</v>
      </c>
      <c r="AM711" s="72" t="b">
        <f t="shared" si="743"/>
        <v>0</v>
      </c>
      <c r="AN711" s="72" t="b">
        <f t="shared" si="744"/>
        <v>0</v>
      </c>
      <c r="AO711" s="72" t="b">
        <f t="shared" si="745"/>
        <v>0</v>
      </c>
      <c r="AS711" s="72">
        <f t="shared" si="746"/>
        <v>0</v>
      </c>
      <c r="AT711" s="72">
        <f t="shared" si="747"/>
        <v>0</v>
      </c>
      <c r="AU711" s="72">
        <f t="shared" si="756"/>
        <v>0</v>
      </c>
      <c r="AV711" s="72">
        <f t="shared" si="748"/>
        <v>0</v>
      </c>
      <c r="AW711" s="72">
        <f t="shared" si="749"/>
        <v>0</v>
      </c>
      <c r="AX711" s="72">
        <f t="shared" si="750"/>
        <v>0</v>
      </c>
      <c r="AY711" s="72">
        <f t="shared" si="751"/>
        <v>0</v>
      </c>
      <c r="AZ711" s="72">
        <f t="shared" si="752"/>
        <v>0</v>
      </c>
      <c r="BA711" s="72" t="e">
        <f t="shared" si="753"/>
        <v>#N/A</v>
      </c>
      <c r="BB711" s="72" t="e">
        <f t="shared" si="754"/>
        <v>#N/A</v>
      </c>
      <c r="BC711" s="77"/>
      <c r="BE711">
        <f t="shared" si="734"/>
        <v>0</v>
      </c>
      <c r="BF711" s="196"/>
      <c r="BG711" s="196"/>
      <c r="BH711" s="196"/>
      <c r="BI711" s="196"/>
      <c r="BJ711" s="196"/>
      <c r="BK711" s="196"/>
    </row>
    <row r="712" spans="2:63" hidden="1">
      <c r="B712" s="72"/>
      <c r="C712" s="135"/>
      <c r="D712" s="78"/>
      <c r="E712" s="78"/>
      <c r="F712" s="72"/>
      <c r="G712" s="72"/>
      <c r="H712" s="72"/>
      <c r="I712" s="73">
        <f t="shared" si="736"/>
        <v>0</v>
      </c>
      <c r="J712" s="78"/>
      <c r="K712" s="73"/>
      <c r="L712" s="74" t="e">
        <f>_xlfn.IFNA(VLOOKUP(C712,'חד גזעי'!$U$3:$V$509,2,0),VLOOKUP(C712,'חד גזעי'!$U$3:$V$509,2))</f>
        <v>#N/A</v>
      </c>
      <c r="M712" s="73"/>
      <c r="N712" s="72" t="e">
        <f>_xlfn.IFNA(IF(VLOOKUP(C712,'חד גזעי'!$AH$2:$AH$7,1,FALSE)&gt;0,0,IF('חד גזעי'!$AM$5="כן",IF(_xlfn.IFNA(VLOOKUP(C712,'חד גזעי'!$AH$2:$AH$33,1,FALSE),SUM(J712:M712))&lt;21,_xlfn.IFNA(VLOOKUP(C712,'חד גזעי'!$AH$2:$AH$33,1,FALSE),SUM(J712:M712)),0),SUM(J712:M712))),IF('חד גזעי'!$AM$5="כן",IF(_xlfn.IFNA(VLOOKUP(C712,'חד גזעי'!$AH$2:$AH$33,1,FALSE),SUM(J712:M712))&lt;21,_xlfn.IFNA(VLOOKUP(C712,'חד גזעי'!$AH$2:$AH$33,1,FALSE),SUM(J712:M712)),0),SUM(J712:M712)))</f>
        <v>#N/A</v>
      </c>
      <c r="O712" s="72">
        <f>IF('חד גזעי'!$AM$3 = "כן",IF(T712&gt;4,4,T712),T712)</f>
        <v>0</v>
      </c>
      <c r="P712" s="80">
        <f>IF(E712&lt;2,0,IF(Z712&gt;0,Z712,IF(N712 = 0,0,IF('חד גזעי'!$AM$2 = "לא",IF(F712&gt;19,W712,0),IF(F712&gt;9,Y712,0)))))</f>
        <v>0</v>
      </c>
      <c r="Q712" s="77"/>
      <c r="R712" s="76"/>
      <c r="S712" t="e">
        <f>VLOOKUP(C712,'חד גזעי'!$Y$4:$Y$18,1,0)</f>
        <v>#N/A</v>
      </c>
      <c r="T712" s="72">
        <f>IF('חד גזעי'!$AM$6="לא",IF(P712=0,IF(BC712="שימור",IF('חד גזעי'!$AM$4="לא",IF(BC712="לא בוגר",0,IF(BC712="לא קיים",0,IF(J712=0,0,I712*0.1))),IF(BC712="לא בוגר",0,IF(BC712="לא קיים",0,IF(AB712=1,I712*0.1,E712*0.5)))),0),IF('חד גזעי'!$AM$4="לא",IF(BC712="לא בוגר",0,IF(BC712="לא קיים",0,IF(J712=0,0,I712*0.1))),IF(BC712="לא בוגר",0,IF(BC712="לא קיים",0,IF(AB712=1,I712*0.1,E712*0.5))))),IF(P712=0,IF(BC712="שימור",IF('חד גזעי'!$AM$4="לא",IF(BC712="לא בוגר",0,IF(BC712="לא קיים",0,IF(J712=0,0,I712*0.15))),IF(BC712="לא בוגר",0,IF(BC712="לא קיים",0,IF(AB712=1,I712*0.15,E712*0.5)))),0),IF('חד גזעי'!$AM$4="לא",IF(BC712="לא בוגר",0,IF(BC712="לא קיים",0,IF(J712=0,0,I712*0.15))),IF(BC712="לא בוגר",0,IF(BC712="לא קיים",0,IF(AB712=1,I712*0.15,E712*0.5))))))</f>
        <v>0</v>
      </c>
      <c r="V712" t="e">
        <f t="shared" si="706"/>
        <v>#N/A</v>
      </c>
      <c r="W712" t="e">
        <f t="shared" si="707"/>
        <v>#N/A</v>
      </c>
      <c r="X712" t="e">
        <f t="shared" si="708"/>
        <v>#N/A</v>
      </c>
      <c r="Y712">
        <f>IF('חד גזעי'!$AM$2 = "לא",0,IF(F712&gt;9,W712,0))</f>
        <v>0</v>
      </c>
      <c r="Z712">
        <f>IF('חד גזעי'!$AM$7 = "לא",0,IF(C712 = "זית אירופי",IF('חד גזעי'!$AN$7 &lt;=סקר!F712,W712,0),IF(C712 = "חרוב מצוי",IF('חד גזעי'!$AN$7 &lt;=סקר!F712,W712,0),0)))</f>
        <v>0</v>
      </c>
      <c r="AB712">
        <f t="shared" si="737"/>
        <v>1</v>
      </c>
      <c r="AC712" s="72"/>
      <c r="AD712" t="e">
        <f t="shared" si="755"/>
        <v>#N/A</v>
      </c>
      <c r="AE712" s="72"/>
      <c r="AF712" s="72" t="e">
        <f t="shared" si="738"/>
        <v>#N/A</v>
      </c>
      <c r="AG712" s="72" t="e">
        <f>IF('חד גזעי'!$AM$5="לא",(VLOOKUP(C712,'חד גזעי'!$P$1:$S$589,3,FALSE)),(VLOOKUP(C712,'חד גזעי'!$P$1:$S$589,4,FALSE)))</f>
        <v>#N/A</v>
      </c>
      <c r="AH712" s="72">
        <f t="shared" si="739"/>
        <v>0</v>
      </c>
      <c r="AI712" s="72">
        <f t="shared" si="740"/>
        <v>0</v>
      </c>
      <c r="AJ712" s="72">
        <f t="shared" si="741"/>
        <v>0</v>
      </c>
      <c r="AK712" s="72" t="e">
        <f t="shared" si="742"/>
        <v>#N/A</v>
      </c>
      <c r="AL712" t="e">
        <f>VLOOKUP(C712,'חד גזעי'!$AH$8:$AI$33,2,FALSE)</f>
        <v>#N/A</v>
      </c>
      <c r="AM712" s="72" t="b">
        <f t="shared" si="743"/>
        <v>0</v>
      </c>
      <c r="AN712" s="72" t="b">
        <f t="shared" si="744"/>
        <v>0</v>
      </c>
      <c r="AO712" s="72" t="b">
        <f t="shared" si="745"/>
        <v>0</v>
      </c>
      <c r="AS712" s="72">
        <f t="shared" si="746"/>
        <v>0</v>
      </c>
      <c r="AT712" s="72">
        <f t="shared" si="747"/>
        <v>0</v>
      </c>
      <c r="AU712" s="72">
        <f t="shared" si="756"/>
        <v>0</v>
      </c>
      <c r="AV712" s="72">
        <f t="shared" si="748"/>
        <v>0</v>
      </c>
      <c r="AW712" s="72">
        <f t="shared" si="749"/>
        <v>0</v>
      </c>
      <c r="AX712" s="72">
        <f t="shared" si="750"/>
        <v>0</v>
      </c>
      <c r="AY712" s="72">
        <f t="shared" si="751"/>
        <v>0</v>
      </c>
      <c r="AZ712" s="72">
        <f t="shared" si="752"/>
        <v>0</v>
      </c>
      <c r="BA712" s="72" t="e">
        <f t="shared" si="753"/>
        <v>#N/A</v>
      </c>
      <c r="BB712" s="72" t="e">
        <f t="shared" si="754"/>
        <v>#N/A</v>
      </c>
      <c r="BC712" s="77"/>
      <c r="BE712">
        <f t="shared" si="734"/>
        <v>0</v>
      </c>
      <c r="BF712" s="72"/>
      <c r="BG712" s="72"/>
      <c r="BH712" s="72"/>
      <c r="BI712" s="72"/>
      <c r="BJ712" s="72"/>
      <c r="BK712" s="72"/>
    </row>
    <row r="713" spans="2:63" hidden="1">
      <c r="B713" s="72"/>
      <c r="C713" s="135"/>
      <c r="D713" s="78"/>
      <c r="E713" s="78"/>
      <c r="F713" s="72"/>
      <c r="G713" s="72"/>
      <c r="H713" s="72"/>
      <c r="I713" s="73">
        <f t="shared" si="736"/>
        <v>0</v>
      </c>
      <c r="J713" s="78"/>
      <c r="K713" s="73"/>
      <c r="L713" s="74" t="e">
        <f>_xlfn.IFNA(VLOOKUP(C713,'חד גזעי'!$U$3:$V$509,2,0),VLOOKUP(C713,'חד גזעי'!$U$3:$V$509,2))</f>
        <v>#N/A</v>
      </c>
      <c r="M713" s="73"/>
      <c r="N713" s="72" t="e">
        <f>_xlfn.IFNA(IF(VLOOKUP(C713,'חד גזעי'!$AH$2:$AH$7,1,FALSE)&gt;0,0,IF('חד גזעי'!$AM$5="כן",IF(_xlfn.IFNA(VLOOKUP(C713,'חד גזעי'!$AH$2:$AH$33,1,FALSE),SUM(J713:M713))&lt;21,_xlfn.IFNA(VLOOKUP(C713,'חד גזעי'!$AH$2:$AH$33,1,FALSE),SUM(J713:M713)),0),SUM(J713:M713))),IF('חד גזעי'!$AM$5="כן",IF(_xlfn.IFNA(VLOOKUP(C713,'חד גזעי'!$AH$2:$AH$33,1,FALSE),SUM(J713:M713))&lt;21,_xlfn.IFNA(VLOOKUP(C713,'חד גזעי'!$AH$2:$AH$33,1,FALSE),SUM(J713:M713)),0),SUM(J713:M713)))</f>
        <v>#N/A</v>
      </c>
      <c r="O713" s="72">
        <f>IF('חד גזעי'!$AM$3 = "כן",IF(T713&gt;4,4,T713),T713)</f>
        <v>0</v>
      </c>
      <c r="P713" s="80">
        <f>IF(E713&lt;2,0,IF(Z713&gt;0,Z713,IF(N713 = 0,0,IF('חד גזעי'!$AM$2 = "לא",IF(F713&gt;19,W713,0),IF(F713&gt;9,Y713,0)))))</f>
        <v>0</v>
      </c>
      <c r="Q713" s="77"/>
      <c r="R713" s="75"/>
      <c r="S713" t="e">
        <f>VLOOKUP(C713,'חד גזעי'!$Y$4:$Y$18,1,0)</f>
        <v>#N/A</v>
      </c>
      <c r="T713" s="72">
        <f>IF('חד גזעי'!$AM$6="לא",IF(P713=0,IF(BC713="שימור",IF('חד גזעי'!$AM$4="לא",IF(BC713="לא בוגר",0,IF(BC713="לא קיים",0,IF(J713=0,0,I713*0.1))),IF(BC713="לא בוגר",0,IF(BC713="לא קיים",0,IF(AB713=1,I713*0.1,E713*0.5)))),0),IF('חד גזעי'!$AM$4="לא",IF(BC713="לא בוגר",0,IF(BC713="לא קיים",0,IF(J713=0,0,I713*0.1))),IF(BC713="לא בוגר",0,IF(BC713="לא קיים",0,IF(AB713=1,I713*0.1,E713*0.5))))),IF(P713=0,IF(BC713="שימור",IF('חד גזעי'!$AM$4="לא",IF(BC713="לא בוגר",0,IF(BC713="לא קיים",0,IF(J713=0,0,I713*0.15))),IF(BC713="לא בוגר",0,IF(BC713="לא קיים",0,IF(AB713=1,I713*0.15,E713*0.5)))),0),IF('חד גזעי'!$AM$4="לא",IF(BC713="לא בוגר",0,IF(BC713="לא קיים",0,IF(J713=0,0,I713*0.15))),IF(BC713="לא בוגר",0,IF(BC713="לא קיים",0,IF(AB713=1,I713*0.15,E713*0.5))))))</f>
        <v>0</v>
      </c>
      <c r="V713" t="e">
        <f t="shared" si="706"/>
        <v>#N/A</v>
      </c>
      <c r="W713" t="e">
        <f t="shared" si="707"/>
        <v>#N/A</v>
      </c>
      <c r="X713" t="e">
        <f t="shared" si="708"/>
        <v>#N/A</v>
      </c>
      <c r="Y713">
        <f>IF('חד גזעי'!$AM$2 = "לא",0,IF(F713&gt;9,W713,0))</f>
        <v>0</v>
      </c>
      <c r="Z713">
        <f>IF('חד גזעי'!$AM$7 = "לא",0,IF(C713 = "זית אירופי",IF('חד גזעי'!$AN$7 &lt;=סקר!F713,W713,0),IF(C713 = "חרוב מצוי",IF('חד גזעי'!$AN$7 &lt;=סקר!F713,W713,0),0)))</f>
        <v>0</v>
      </c>
      <c r="AB713">
        <f t="shared" si="737"/>
        <v>1</v>
      </c>
      <c r="AC713" s="72"/>
      <c r="AD713" t="e">
        <f t="shared" si="755"/>
        <v>#N/A</v>
      </c>
      <c r="AE713" s="72"/>
      <c r="AF713" s="72" t="e">
        <f t="shared" si="738"/>
        <v>#N/A</v>
      </c>
      <c r="AG713" s="72" t="e">
        <f>IF('חד גזעי'!$AM$5="לא",(VLOOKUP(C713,'חד גזעי'!$P$1:$S$589,3,FALSE)),(VLOOKUP(C713,'חד גזעי'!$P$1:$S$589,4,FALSE)))</f>
        <v>#N/A</v>
      </c>
      <c r="AH713" s="72">
        <f t="shared" si="739"/>
        <v>0</v>
      </c>
      <c r="AI713" s="72">
        <f t="shared" si="740"/>
        <v>0</v>
      </c>
      <c r="AJ713" s="72">
        <f t="shared" si="741"/>
        <v>0</v>
      </c>
      <c r="AK713" s="72" t="e">
        <f t="shared" si="742"/>
        <v>#N/A</v>
      </c>
      <c r="AL713" t="e">
        <f>VLOOKUP(C713,'חד גזעי'!$AH$8:$AI$33,2,FALSE)</f>
        <v>#N/A</v>
      </c>
      <c r="AM713" s="72" t="b">
        <f t="shared" si="743"/>
        <v>0</v>
      </c>
      <c r="AN713" s="72" t="b">
        <f t="shared" si="744"/>
        <v>0</v>
      </c>
      <c r="AO713" s="72" t="b">
        <f t="shared" si="745"/>
        <v>0</v>
      </c>
      <c r="AS713" s="72">
        <f t="shared" si="746"/>
        <v>0</v>
      </c>
      <c r="AT713" s="72">
        <f t="shared" si="747"/>
        <v>0</v>
      </c>
      <c r="AU713" s="72">
        <f t="shared" si="756"/>
        <v>0</v>
      </c>
      <c r="AV713" s="72">
        <f t="shared" si="748"/>
        <v>0</v>
      </c>
      <c r="AW713" s="72">
        <f t="shared" si="749"/>
        <v>0</v>
      </c>
      <c r="AX713" s="72">
        <f t="shared" si="750"/>
        <v>0</v>
      </c>
      <c r="AY713" s="72">
        <f t="shared" si="751"/>
        <v>0</v>
      </c>
      <c r="AZ713" s="72">
        <f t="shared" si="752"/>
        <v>0</v>
      </c>
      <c r="BA713" s="72" t="e">
        <f t="shared" si="753"/>
        <v>#N/A</v>
      </c>
      <c r="BB713" s="72" t="e">
        <f t="shared" si="754"/>
        <v>#N/A</v>
      </c>
      <c r="BC713" s="77"/>
      <c r="BE713">
        <f t="shared" si="734"/>
        <v>0</v>
      </c>
      <c r="BF713" s="196" t="str">
        <f>BF732</f>
        <v>C:\Users\origr\Pictures\0.jpg</v>
      </c>
      <c r="BG713" s="196" t="str">
        <f t="shared" ref="BG713:BK713" si="757">BG732</f>
        <v>C:\Users\origr\Pictures\0.jpg</v>
      </c>
      <c r="BH713" s="196" t="str">
        <f t="shared" si="757"/>
        <v>C:\Users\origr\Pictures\0.jpg</v>
      </c>
      <c r="BI713" s="196" t="str">
        <f t="shared" si="757"/>
        <v>C:\Users\origr\Pictures\0.jpg</v>
      </c>
      <c r="BJ713" s="196" t="str">
        <f t="shared" si="757"/>
        <v>C:\Users\origr\Pictures\0.jpg</v>
      </c>
      <c r="BK713" s="196" t="str">
        <f t="shared" si="757"/>
        <v>C:\Users\origr\Pictures\0.jpg</v>
      </c>
    </row>
    <row r="714" spans="2:63" hidden="1">
      <c r="B714" s="72"/>
      <c r="C714" s="135"/>
      <c r="D714" s="78"/>
      <c r="E714" s="78"/>
      <c r="F714" s="72"/>
      <c r="G714" s="72"/>
      <c r="H714" s="72"/>
      <c r="I714" s="73">
        <f t="shared" si="736"/>
        <v>0</v>
      </c>
      <c r="J714" s="78"/>
      <c r="K714" s="73"/>
      <c r="L714" s="74" t="e">
        <f>_xlfn.IFNA(VLOOKUP(C714,'חד גזעי'!$U$3:$V$509,2,0),VLOOKUP(C714,'חד גזעי'!$U$3:$V$509,2))</f>
        <v>#N/A</v>
      </c>
      <c r="M714" s="73"/>
      <c r="N714" s="72" t="e">
        <f>_xlfn.IFNA(IF(VLOOKUP(C714,'חד גזעי'!$AH$2:$AH$7,1,FALSE)&gt;0,0,IF('חד גזעי'!$AM$5="כן",IF(_xlfn.IFNA(VLOOKUP(C714,'חד גזעי'!$AH$2:$AH$33,1,FALSE),SUM(J714:M714))&lt;21,_xlfn.IFNA(VLOOKUP(C714,'חד גזעי'!$AH$2:$AH$33,1,FALSE),SUM(J714:M714)),0),SUM(J714:M714))),IF('חד גזעי'!$AM$5="כן",IF(_xlfn.IFNA(VLOOKUP(C714,'חד גזעי'!$AH$2:$AH$33,1,FALSE),SUM(J714:M714))&lt;21,_xlfn.IFNA(VLOOKUP(C714,'חד גזעי'!$AH$2:$AH$33,1,FALSE),SUM(J714:M714)),0),SUM(J714:M714)))</f>
        <v>#N/A</v>
      </c>
      <c r="O714" s="72">
        <f>IF('חד גזעי'!$AM$3 = "כן",IF(T714&gt;4,4,T714),T714)</f>
        <v>0</v>
      </c>
      <c r="P714" s="80">
        <f>IF(E714&lt;2,0,IF(Z714&gt;0,Z714,IF(N714 = 0,0,IF('חד גזעי'!$AM$2 = "לא",IF(F714&gt;19,W714,0),IF(F714&gt;9,Y714,0)))))</f>
        <v>0</v>
      </c>
      <c r="Q714" s="77"/>
      <c r="R714" s="76"/>
      <c r="S714" t="e">
        <f>VLOOKUP(C714,'חד גזעי'!$Y$4:$Y$18,1,0)</f>
        <v>#N/A</v>
      </c>
      <c r="T714" s="72">
        <f>IF('חד גזעי'!$AM$6="לא",IF(P714=0,IF(BC714="שימור",IF('חד גזעי'!$AM$4="לא",IF(BC714="לא בוגר",0,IF(BC714="לא קיים",0,IF(J714=0,0,I714*0.1))),IF(BC714="לא בוגר",0,IF(BC714="לא קיים",0,IF(AB714=1,I714*0.1,E714*0.5)))),0),IF('חד גזעי'!$AM$4="לא",IF(BC714="לא בוגר",0,IF(BC714="לא קיים",0,IF(J714=0,0,I714*0.1))),IF(BC714="לא בוגר",0,IF(BC714="לא קיים",0,IF(AB714=1,I714*0.1,E714*0.5))))),IF(P714=0,IF(BC714="שימור",IF('חד גזעי'!$AM$4="לא",IF(BC714="לא בוגר",0,IF(BC714="לא קיים",0,IF(J714=0,0,I714*0.15))),IF(BC714="לא בוגר",0,IF(BC714="לא קיים",0,IF(AB714=1,I714*0.15,E714*0.5)))),0),IF('חד גזעי'!$AM$4="לא",IF(BC714="לא בוגר",0,IF(BC714="לא קיים",0,IF(J714=0,0,I714*0.15))),IF(BC714="לא בוגר",0,IF(BC714="לא קיים",0,IF(AB714=1,I714*0.15,E714*0.5))))))</f>
        <v>0</v>
      </c>
      <c r="V714" t="e">
        <f t="shared" si="706"/>
        <v>#N/A</v>
      </c>
      <c r="W714" t="e">
        <f t="shared" si="707"/>
        <v>#N/A</v>
      </c>
      <c r="X714" t="e">
        <f t="shared" si="708"/>
        <v>#N/A</v>
      </c>
      <c r="Y714">
        <f>IF('חד גזעי'!$AM$2 = "לא",0,IF(F714&gt;9,W714,0))</f>
        <v>0</v>
      </c>
      <c r="Z714">
        <f>IF('חד גזעי'!$AM$7 = "לא",0,IF(C714 = "זית אירופי",IF('חד גזעי'!$AN$7 &lt;=סקר!F714,W714,0),IF(C714 = "חרוב מצוי",IF('חד גזעי'!$AN$7 &lt;=סקר!F714,W714,0),0)))</f>
        <v>0</v>
      </c>
      <c r="AB714">
        <f t="shared" si="737"/>
        <v>1</v>
      </c>
      <c r="AC714" s="72"/>
      <c r="AD714" t="e">
        <f t="shared" si="755"/>
        <v>#N/A</v>
      </c>
      <c r="AE714" s="72"/>
      <c r="AF714" s="72" t="e">
        <f t="shared" si="738"/>
        <v>#N/A</v>
      </c>
      <c r="AG714" s="72" t="e">
        <f>IF('חד גזעי'!$AM$5="לא",(VLOOKUP(C714,'חד גזעי'!$P$1:$S$589,3,FALSE)),(VLOOKUP(C714,'חד גזעי'!$P$1:$S$589,4,FALSE)))</f>
        <v>#N/A</v>
      </c>
      <c r="AH714" s="72">
        <f t="shared" si="739"/>
        <v>0</v>
      </c>
      <c r="AI714" s="72">
        <f t="shared" si="740"/>
        <v>0</v>
      </c>
      <c r="AJ714" s="72">
        <f t="shared" si="741"/>
        <v>0</v>
      </c>
      <c r="AK714" s="72" t="e">
        <f t="shared" si="742"/>
        <v>#N/A</v>
      </c>
      <c r="AL714" t="e">
        <f>VLOOKUP(C714,'חד גזעי'!$AH$8:$AI$33,2,FALSE)</f>
        <v>#N/A</v>
      </c>
      <c r="AM714" s="72" t="b">
        <f t="shared" si="743"/>
        <v>0</v>
      </c>
      <c r="AN714" s="72" t="b">
        <f t="shared" si="744"/>
        <v>0</v>
      </c>
      <c r="AO714" s="72" t="b">
        <f t="shared" si="745"/>
        <v>0</v>
      </c>
      <c r="AS714" s="72">
        <f t="shared" si="746"/>
        <v>0</v>
      </c>
      <c r="AT714" s="72">
        <f t="shared" si="747"/>
        <v>0</v>
      </c>
      <c r="AU714" s="72">
        <f t="shared" si="756"/>
        <v>0</v>
      </c>
      <c r="AV714" s="72">
        <f t="shared" si="748"/>
        <v>0</v>
      </c>
      <c r="AW714" s="72">
        <f t="shared" si="749"/>
        <v>0</v>
      </c>
      <c r="AX714" s="72">
        <f t="shared" si="750"/>
        <v>0</v>
      </c>
      <c r="AY714" s="72">
        <f t="shared" si="751"/>
        <v>0</v>
      </c>
      <c r="AZ714" s="72">
        <f t="shared" si="752"/>
        <v>0</v>
      </c>
      <c r="BA714" s="72" t="e">
        <f t="shared" si="753"/>
        <v>#N/A</v>
      </c>
      <c r="BB714" s="72" t="e">
        <f t="shared" si="754"/>
        <v>#N/A</v>
      </c>
      <c r="BC714" s="77"/>
      <c r="BE714">
        <f t="shared" si="734"/>
        <v>0</v>
      </c>
      <c r="BF714" s="196"/>
      <c r="BG714" s="196"/>
      <c r="BH714" s="196"/>
      <c r="BI714" s="196"/>
      <c r="BJ714" s="196"/>
      <c r="BK714" s="196"/>
    </row>
    <row r="715" spans="2:63" hidden="1">
      <c r="B715" s="72"/>
      <c r="C715" s="135"/>
      <c r="D715" s="78"/>
      <c r="E715" s="78"/>
      <c r="F715" s="72"/>
      <c r="G715" s="72"/>
      <c r="H715" s="72"/>
      <c r="I715" s="73">
        <f t="shared" si="736"/>
        <v>0</v>
      </c>
      <c r="J715" s="78"/>
      <c r="K715" s="73"/>
      <c r="L715" s="74" t="e">
        <f>_xlfn.IFNA(VLOOKUP(C715,'חד גזעי'!$U$3:$V$509,2,0),VLOOKUP(C715,'חד גזעי'!$U$3:$V$509,2))</f>
        <v>#N/A</v>
      </c>
      <c r="M715" s="73"/>
      <c r="N715" s="72" t="e">
        <f>_xlfn.IFNA(IF(VLOOKUP(C715,'חד גזעי'!$AH$2:$AH$7,1,FALSE)&gt;0,0,IF('חד גזעי'!$AM$5="כן",IF(_xlfn.IFNA(VLOOKUP(C715,'חד גזעי'!$AH$2:$AH$33,1,FALSE),SUM(J715:M715))&lt;21,_xlfn.IFNA(VLOOKUP(C715,'חד גזעי'!$AH$2:$AH$33,1,FALSE),SUM(J715:M715)),0),SUM(J715:M715))),IF('חד גזעי'!$AM$5="כן",IF(_xlfn.IFNA(VLOOKUP(C715,'חד גזעי'!$AH$2:$AH$33,1,FALSE),SUM(J715:M715))&lt;21,_xlfn.IFNA(VLOOKUP(C715,'חד גזעי'!$AH$2:$AH$33,1,FALSE),SUM(J715:M715)),0),SUM(J715:M715)))</f>
        <v>#N/A</v>
      </c>
      <c r="O715" s="72">
        <f>IF('חד גזעי'!$AM$3 = "כן",IF(T715&gt;4,4,T715),T715)</f>
        <v>0</v>
      </c>
      <c r="P715" s="80">
        <f>IF(E715&lt;2,0,IF(Z715&gt;0,Z715,IF(N715 = 0,0,IF('חד גזעי'!$AM$2 = "לא",IF(F715&gt;19,W715,0),IF(F715&gt;9,Y715,0)))))</f>
        <v>0</v>
      </c>
      <c r="Q715" s="77"/>
      <c r="R715" s="76"/>
      <c r="S715" t="e">
        <f>VLOOKUP(C715,'חד גזעי'!$Y$4:$Y$18,1,0)</f>
        <v>#N/A</v>
      </c>
      <c r="T715" s="72">
        <f>IF('חד גזעי'!$AM$6="לא",IF(P715=0,IF(BC715="שימור",IF('חד גזעי'!$AM$4="לא",IF(BC715="לא בוגר",0,IF(BC715="לא קיים",0,IF(J715=0,0,I715*0.1))),IF(BC715="לא בוגר",0,IF(BC715="לא קיים",0,IF(AB715=1,I715*0.1,E715*0.5)))),0),IF('חד גזעי'!$AM$4="לא",IF(BC715="לא בוגר",0,IF(BC715="לא קיים",0,IF(J715=0,0,I715*0.1))),IF(BC715="לא בוגר",0,IF(BC715="לא קיים",0,IF(AB715=1,I715*0.1,E715*0.5))))),IF(P715=0,IF(BC715="שימור",IF('חד גזעי'!$AM$4="לא",IF(BC715="לא בוגר",0,IF(BC715="לא קיים",0,IF(J715=0,0,I715*0.15))),IF(BC715="לא בוגר",0,IF(BC715="לא קיים",0,IF(AB715=1,I715*0.15,E715*0.5)))),0),IF('חד גזעי'!$AM$4="לא",IF(BC715="לא בוגר",0,IF(BC715="לא קיים",0,IF(J715=0,0,I715*0.15))),IF(BC715="לא בוגר",0,IF(BC715="לא קיים",0,IF(AB715=1,I715*0.15,E715*0.5))))))</f>
        <v>0</v>
      </c>
      <c r="V715" t="e">
        <f t="shared" si="706"/>
        <v>#N/A</v>
      </c>
      <c r="W715" t="e">
        <f t="shared" si="707"/>
        <v>#N/A</v>
      </c>
      <c r="X715" t="e">
        <f t="shared" si="708"/>
        <v>#N/A</v>
      </c>
      <c r="Y715">
        <f>IF('חד גזעי'!$AM$2 = "לא",0,IF(F715&gt;9,W715,0))</f>
        <v>0</v>
      </c>
      <c r="Z715">
        <f>IF('חד גזעי'!$AM$7 = "לא",0,IF(C715 = "זית אירופי",IF('חד גזעי'!$AN$7 &lt;=סקר!F715,W715,0),IF(C715 = "חרוב מצוי",IF('חד גזעי'!$AN$7 &lt;=סקר!F715,W715,0),0)))</f>
        <v>0</v>
      </c>
      <c r="AB715">
        <f t="shared" si="737"/>
        <v>1</v>
      </c>
      <c r="AC715" s="72"/>
      <c r="AD715" t="e">
        <f t="shared" si="755"/>
        <v>#N/A</v>
      </c>
      <c r="AE715" s="72"/>
      <c r="AF715" s="72" t="e">
        <f t="shared" si="738"/>
        <v>#N/A</v>
      </c>
      <c r="AG715" s="72" t="e">
        <f>IF('חד גזעי'!$AM$5="לא",(VLOOKUP(C715,'חד גזעי'!$P$1:$S$589,3,FALSE)),(VLOOKUP(C715,'חד גזעי'!$P$1:$S$589,4,FALSE)))</f>
        <v>#N/A</v>
      </c>
      <c r="AH715" s="72">
        <f t="shared" si="739"/>
        <v>0</v>
      </c>
      <c r="AI715" s="72">
        <f t="shared" si="740"/>
        <v>0</v>
      </c>
      <c r="AJ715" s="72">
        <f t="shared" si="741"/>
        <v>0</v>
      </c>
      <c r="AK715" s="72" t="e">
        <f t="shared" si="742"/>
        <v>#N/A</v>
      </c>
      <c r="AL715" t="e">
        <f>VLOOKUP(C715,'חד גזעי'!$AH$8:$AI$33,2,FALSE)</f>
        <v>#N/A</v>
      </c>
      <c r="AM715" s="72" t="b">
        <f t="shared" si="743"/>
        <v>0</v>
      </c>
      <c r="AN715" s="72" t="b">
        <f t="shared" si="744"/>
        <v>0</v>
      </c>
      <c r="AO715" s="72" t="b">
        <f t="shared" si="745"/>
        <v>0</v>
      </c>
      <c r="AS715" s="72">
        <f t="shared" si="746"/>
        <v>0</v>
      </c>
      <c r="AT715" s="72">
        <f t="shared" si="747"/>
        <v>0</v>
      </c>
      <c r="AU715" s="72">
        <f t="shared" si="756"/>
        <v>0</v>
      </c>
      <c r="AV715" s="72">
        <f t="shared" si="748"/>
        <v>0</v>
      </c>
      <c r="AW715" s="72">
        <f t="shared" si="749"/>
        <v>0</v>
      </c>
      <c r="AX715" s="72">
        <f t="shared" si="750"/>
        <v>0</v>
      </c>
      <c r="AY715" s="72">
        <f t="shared" si="751"/>
        <v>0</v>
      </c>
      <c r="AZ715" s="72">
        <f t="shared" si="752"/>
        <v>0</v>
      </c>
      <c r="BA715" s="72" t="e">
        <f t="shared" si="753"/>
        <v>#N/A</v>
      </c>
      <c r="BB715" s="72" t="e">
        <f t="shared" si="754"/>
        <v>#N/A</v>
      </c>
      <c r="BC715" s="77"/>
      <c r="BE715">
        <f t="shared" si="734"/>
        <v>0</v>
      </c>
      <c r="BF715" s="196"/>
      <c r="BG715" s="196"/>
      <c r="BH715" s="196"/>
      <c r="BI715" s="196"/>
      <c r="BJ715" s="196"/>
      <c r="BK715" s="196"/>
    </row>
    <row r="716" spans="2:63" hidden="1">
      <c r="B716" s="72"/>
      <c r="C716" s="135"/>
      <c r="D716" s="78"/>
      <c r="E716" s="78"/>
      <c r="F716" s="72"/>
      <c r="G716" s="72"/>
      <c r="H716" s="72"/>
      <c r="I716" s="73">
        <f t="shared" si="736"/>
        <v>0</v>
      </c>
      <c r="J716" s="78"/>
      <c r="K716" s="73"/>
      <c r="L716" s="74" t="e">
        <f>_xlfn.IFNA(VLOOKUP(C716,'חד גזעי'!$U$3:$V$509,2,0),VLOOKUP(C716,'חד גזעי'!$U$3:$V$509,2))</f>
        <v>#N/A</v>
      </c>
      <c r="M716" s="73"/>
      <c r="N716" s="72" t="e">
        <f>_xlfn.IFNA(IF(VLOOKUP(C716,'חד גזעי'!$AH$2:$AH$7,1,FALSE)&gt;0,0,IF('חד גזעי'!$AM$5="כן",IF(_xlfn.IFNA(VLOOKUP(C716,'חד גזעי'!$AH$2:$AH$33,1,FALSE),SUM(J716:M716))&lt;21,_xlfn.IFNA(VLOOKUP(C716,'חד גזעי'!$AH$2:$AH$33,1,FALSE),SUM(J716:M716)),0),SUM(J716:M716))),IF('חד גזעי'!$AM$5="כן",IF(_xlfn.IFNA(VLOOKUP(C716,'חד גזעי'!$AH$2:$AH$33,1,FALSE),SUM(J716:M716))&lt;21,_xlfn.IFNA(VLOOKUP(C716,'חד גזעי'!$AH$2:$AH$33,1,FALSE),SUM(J716:M716)),0),SUM(J716:M716)))</f>
        <v>#N/A</v>
      </c>
      <c r="O716" s="72">
        <f>IF('חד גזעי'!$AM$3 = "כן",IF(T716&gt;4,4,T716),T716)</f>
        <v>0</v>
      </c>
      <c r="P716" s="80">
        <f>IF(E716&lt;2,0,IF(Z716&gt;0,Z716,IF(N716 = 0,0,IF('חד גזעי'!$AM$2 = "לא",IF(F716&gt;19,W716,0),IF(F716&gt;9,Y716,0)))))</f>
        <v>0</v>
      </c>
      <c r="Q716" s="77"/>
      <c r="R716" s="75"/>
      <c r="S716" t="e">
        <f>VLOOKUP(C716,'חד גזעי'!$Y$4:$Y$18,1,0)</f>
        <v>#N/A</v>
      </c>
      <c r="T716" s="72">
        <f>IF('חד גזעי'!$AM$6="לא",IF(P716=0,IF(BC716="שימור",IF('חד גזעי'!$AM$4="לא",IF(BC716="לא בוגר",0,IF(BC716="לא קיים",0,IF(J716=0,0,I716*0.1))),IF(BC716="לא בוגר",0,IF(BC716="לא קיים",0,IF(AB716=1,I716*0.1,E716*0.5)))),0),IF('חד גזעי'!$AM$4="לא",IF(BC716="לא בוגר",0,IF(BC716="לא קיים",0,IF(J716=0,0,I716*0.1))),IF(BC716="לא בוגר",0,IF(BC716="לא קיים",0,IF(AB716=1,I716*0.1,E716*0.5))))),IF(P716=0,IF(BC716="שימור",IF('חד גזעי'!$AM$4="לא",IF(BC716="לא בוגר",0,IF(BC716="לא קיים",0,IF(J716=0,0,I716*0.15))),IF(BC716="לא בוגר",0,IF(BC716="לא קיים",0,IF(AB716=1,I716*0.15,E716*0.5)))),0),IF('חד גזעי'!$AM$4="לא",IF(BC716="לא בוגר",0,IF(BC716="לא קיים",0,IF(J716=0,0,I716*0.15))),IF(BC716="לא בוגר",0,IF(BC716="לא קיים",0,IF(AB716=1,I716*0.15,E716*0.5))))))</f>
        <v>0</v>
      </c>
      <c r="V716" t="e">
        <f t="shared" ref="V716:V779" si="758">_xlfn.IFNA(AK716,AF716)</f>
        <v>#N/A</v>
      </c>
      <c r="W716" t="e">
        <f t="shared" ref="W716:W779" si="759">IF(D716=0,V716,D716*V716)</f>
        <v>#N/A</v>
      </c>
      <c r="X716" t="e">
        <f t="shared" ref="X716:X779" si="760">IF(N716 = 0,0,Y716)</f>
        <v>#N/A</v>
      </c>
      <c r="Y716">
        <f>IF('חד גזעי'!$AM$2 = "לא",0,IF(F716&gt;9,W716,0))</f>
        <v>0</v>
      </c>
      <c r="Z716">
        <f>IF('חד גזעי'!$AM$7 = "לא",0,IF(C716 = "זית אירופי",IF('חד גזעי'!$AN$7 &lt;=סקר!F716,W716,0),IF(C716 = "חרוב מצוי",IF('חד גזעי'!$AN$7 &lt;=סקר!F716,W716,0),0)))</f>
        <v>0</v>
      </c>
      <c r="AB716">
        <f t="shared" si="737"/>
        <v>1</v>
      </c>
      <c r="AC716" s="72"/>
      <c r="AD716" t="e">
        <f t="shared" si="755"/>
        <v>#N/A</v>
      </c>
      <c r="AE716" s="72"/>
      <c r="AF716" s="72" t="e">
        <f t="shared" si="738"/>
        <v>#N/A</v>
      </c>
      <c r="AG716" s="72" t="e">
        <f>IF('חד גזעי'!$AM$5="לא",(VLOOKUP(C716,'חד גזעי'!$P$1:$S$589,3,FALSE)),(VLOOKUP(C716,'חד גזעי'!$P$1:$S$589,4,FALSE)))</f>
        <v>#N/A</v>
      </c>
      <c r="AH716" s="72">
        <f t="shared" si="739"/>
        <v>0</v>
      </c>
      <c r="AI716" s="72">
        <f t="shared" si="740"/>
        <v>0</v>
      </c>
      <c r="AJ716" s="72">
        <f t="shared" si="741"/>
        <v>0</v>
      </c>
      <c r="AK716" s="72" t="e">
        <f t="shared" si="742"/>
        <v>#N/A</v>
      </c>
      <c r="AL716" t="e">
        <f>VLOOKUP(C716,'חד גזעי'!$AH$8:$AI$33,2,FALSE)</f>
        <v>#N/A</v>
      </c>
      <c r="AM716" s="72" t="b">
        <f t="shared" si="743"/>
        <v>0</v>
      </c>
      <c r="AN716" s="72" t="b">
        <f t="shared" si="744"/>
        <v>0</v>
      </c>
      <c r="AO716" s="72" t="b">
        <f t="shared" si="745"/>
        <v>0</v>
      </c>
      <c r="AS716" s="72">
        <f t="shared" si="746"/>
        <v>0</v>
      </c>
      <c r="AT716" s="72">
        <f t="shared" si="747"/>
        <v>0</v>
      </c>
      <c r="AU716" s="72">
        <f t="shared" si="756"/>
        <v>0</v>
      </c>
      <c r="AV716" s="72">
        <f t="shared" si="748"/>
        <v>0</v>
      </c>
      <c r="AW716" s="72">
        <f t="shared" si="749"/>
        <v>0</v>
      </c>
      <c r="AX716" s="72">
        <f t="shared" si="750"/>
        <v>0</v>
      </c>
      <c r="AY716" s="72">
        <f t="shared" si="751"/>
        <v>0</v>
      </c>
      <c r="AZ716" s="72">
        <f t="shared" si="752"/>
        <v>0</v>
      </c>
      <c r="BA716" s="72" t="e">
        <f t="shared" si="753"/>
        <v>#N/A</v>
      </c>
      <c r="BB716" s="72" t="e">
        <f t="shared" si="754"/>
        <v>#N/A</v>
      </c>
      <c r="BC716" s="77"/>
      <c r="BE716">
        <f t="shared" si="734"/>
        <v>0</v>
      </c>
      <c r="BF716" s="196"/>
      <c r="BG716" s="196"/>
      <c r="BH716" s="196"/>
      <c r="BI716" s="196"/>
      <c r="BJ716" s="196"/>
      <c r="BK716" s="196"/>
    </row>
    <row r="717" spans="2:63" hidden="1">
      <c r="B717" s="72"/>
      <c r="C717" s="135"/>
      <c r="D717" s="78"/>
      <c r="E717" s="78"/>
      <c r="F717" s="72"/>
      <c r="G717" s="72"/>
      <c r="H717" s="72"/>
      <c r="I717" s="73">
        <f t="shared" si="736"/>
        <v>0</v>
      </c>
      <c r="J717" s="78"/>
      <c r="K717" s="73"/>
      <c r="L717" s="74" t="e">
        <f>_xlfn.IFNA(VLOOKUP(C717,'חד גזעי'!$U$3:$V$509,2,0),VLOOKUP(C717,'חד גזעי'!$U$3:$V$509,2))</f>
        <v>#N/A</v>
      </c>
      <c r="M717" s="73"/>
      <c r="N717" s="72" t="e">
        <f>_xlfn.IFNA(IF(VLOOKUP(C717,'חד גזעי'!$AH$2:$AH$7,1,FALSE)&gt;0,0,IF('חד גזעי'!$AM$5="כן",IF(_xlfn.IFNA(VLOOKUP(C717,'חד גזעי'!$AH$2:$AH$33,1,FALSE),SUM(J717:M717))&lt;21,_xlfn.IFNA(VLOOKUP(C717,'חד גזעי'!$AH$2:$AH$33,1,FALSE),SUM(J717:M717)),0),SUM(J717:M717))),IF('חד גזעי'!$AM$5="כן",IF(_xlfn.IFNA(VLOOKUP(C717,'חד גזעי'!$AH$2:$AH$33,1,FALSE),SUM(J717:M717))&lt;21,_xlfn.IFNA(VLOOKUP(C717,'חד גזעי'!$AH$2:$AH$33,1,FALSE),SUM(J717:M717)),0),SUM(J717:M717)))</f>
        <v>#N/A</v>
      </c>
      <c r="O717" s="72">
        <f>IF('חד גזעי'!$AM$3 = "כן",IF(T717&gt;4,4,T717),T717)</f>
        <v>0</v>
      </c>
      <c r="P717" s="80">
        <f>IF(E717&lt;2,0,IF(Z717&gt;0,Z717,IF(N717 = 0,0,IF('חד גזעי'!$AM$2 = "לא",IF(F717&gt;19,W717,0),IF(F717&gt;9,Y717,0)))))</f>
        <v>0</v>
      </c>
      <c r="Q717" s="77"/>
      <c r="R717" s="76"/>
      <c r="S717" t="e">
        <f>VLOOKUP(C717,'חד גזעי'!$Y$4:$Y$18,1,0)</f>
        <v>#N/A</v>
      </c>
      <c r="T717" s="72">
        <f>IF('חד גזעי'!$AM$6="לא",IF(P717=0,IF(BC717="שימור",IF('חד גזעי'!$AM$4="לא",IF(BC717="לא בוגר",0,IF(BC717="לא קיים",0,IF(J717=0,0,I717*0.1))),IF(BC717="לא בוגר",0,IF(BC717="לא קיים",0,IF(AB717=1,I717*0.1,E717*0.5)))),0),IF('חד גזעי'!$AM$4="לא",IF(BC717="לא בוגר",0,IF(BC717="לא קיים",0,IF(J717=0,0,I717*0.1))),IF(BC717="לא בוגר",0,IF(BC717="לא קיים",0,IF(AB717=1,I717*0.1,E717*0.5))))),IF(P717=0,IF(BC717="שימור",IF('חד גזעי'!$AM$4="לא",IF(BC717="לא בוגר",0,IF(BC717="לא קיים",0,IF(J717=0,0,I717*0.15))),IF(BC717="לא בוגר",0,IF(BC717="לא קיים",0,IF(AB717=1,I717*0.15,E717*0.5)))),0),IF('חד גזעי'!$AM$4="לא",IF(BC717="לא בוגר",0,IF(BC717="לא קיים",0,IF(J717=0,0,I717*0.15))),IF(BC717="לא בוגר",0,IF(BC717="לא קיים",0,IF(AB717=1,I717*0.15,E717*0.5))))))</f>
        <v>0</v>
      </c>
      <c r="V717" t="e">
        <f t="shared" si="758"/>
        <v>#N/A</v>
      </c>
      <c r="W717" t="e">
        <f t="shared" si="759"/>
        <v>#N/A</v>
      </c>
      <c r="X717" t="e">
        <f t="shared" si="760"/>
        <v>#N/A</v>
      </c>
      <c r="Y717">
        <f>IF('חד גזעי'!$AM$2 = "לא",0,IF(F717&gt;9,W717,0))</f>
        <v>0</v>
      </c>
      <c r="Z717">
        <f>IF('חד גזעי'!$AM$7 = "לא",0,IF(C717 = "זית אירופי",IF('חד גזעי'!$AN$7 &lt;=סקר!F717,W717,0),IF(C717 = "חרוב מצוי",IF('חד גזעי'!$AN$7 &lt;=סקר!F717,W717,0),0)))</f>
        <v>0</v>
      </c>
      <c r="AB717">
        <f t="shared" si="737"/>
        <v>1</v>
      </c>
      <c r="AC717" s="72"/>
      <c r="AD717" t="e">
        <f t="shared" si="755"/>
        <v>#N/A</v>
      </c>
      <c r="AE717" s="72"/>
      <c r="AF717" s="72" t="e">
        <f t="shared" si="738"/>
        <v>#N/A</v>
      </c>
      <c r="AG717" s="72" t="e">
        <f>IF('חד גזעי'!$AM$5="לא",(VLOOKUP(C717,'חד גזעי'!$P$1:$S$589,3,FALSE)),(VLOOKUP(C717,'חד גזעי'!$P$1:$S$589,4,FALSE)))</f>
        <v>#N/A</v>
      </c>
      <c r="AH717" s="72">
        <f t="shared" si="739"/>
        <v>0</v>
      </c>
      <c r="AI717" s="72">
        <f t="shared" si="740"/>
        <v>0</v>
      </c>
      <c r="AJ717" s="72">
        <f t="shared" si="741"/>
        <v>0</v>
      </c>
      <c r="AK717" s="72" t="e">
        <f t="shared" si="742"/>
        <v>#N/A</v>
      </c>
      <c r="AL717" t="e">
        <f>VLOOKUP(C717,'חד גזעי'!$AH$8:$AI$33,2,FALSE)</f>
        <v>#N/A</v>
      </c>
      <c r="AM717" s="72" t="b">
        <f t="shared" si="743"/>
        <v>0</v>
      </c>
      <c r="AN717" s="72" t="b">
        <f t="shared" si="744"/>
        <v>0</v>
      </c>
      <c r="AO717" s="72" t="b">
        <f t="shared" si="745"/>
        <v>0</v>
      </c>
      <c r="AS717" s="72">
        <f t="shared" si="746"/>
        <v>0</v>
      </c>
      <c r="AT717" s="72">
        <f t="shared" si="747"/>
        <v>0</v>
      </c>
      <c r="AU717" s="72">
        <f t="shared" si="756"/>
        <v>0</v>
      </c>
      <c r="AV717" s="72">
        <f t="shared" si="748"/>
        <v>0</v>
      </c>
      <c r="AW717" s="72">
        <f t="shared" si="749"/>
        <v>0</v>
      </c>
      <c r="AX717" s="72">
        <f t="shared" si="750"/>
        <v>0</v>
      </c>
      <c r="AY717" s="72">
        <f t="shared" si="751"/>
        <v>0</v>
      </c>
      <c r="AZ717" s="72">
        <f t="shared" si="752"/>
        <v>0</v>
      </c>
      <c r="BA717" s="72" t="e">
        <f t="shared" si="753"/>
        <v>#N/A</v>
      </c>
      <c r="BB717" s="72" t="e">
        <f t="shared" si="754"/>
        <v>#N/A</v>
      </c>
      <c r="BC717" s="77"/>
      <c r="BE717">
        <f t="shared" si="734"/>
        <v>0</v>
      </c>
      <c r="BF717" s="196"/>
      <c r="BG717" s="196"/>
      <c r="BH717" s="196"/>
      <c r="BI717" s="196"/>
      <c r="BJ717" s="196"/>
      <c r="BK717" s="196"/>
    </row>
    <row r="718" spans="2:63" hidden="1">
      <c r="B718" s="72"/>
      <c r="C718" s="135"/>
      <c r="D718" s="78"/>
      <c r="E718" s="78"/>
      <c r="F718" s="72"/>
      <c r="G718" s="72"/>
      <c r="H718" s="72"/>
      <c r="I718" s="73">
        <f t="shared" si="736"/>
        <v>0</v>
      </c>
      <c r="J718" s="78"/>
      <c r="K718" s="73"/>
      <c r="L718" s="74" t="e">
        <f>_xlfn.IFNA(VLOOKUP(C718,'חד גזעי'!$U$3:$V$509,2,0),VLOOKUP(C718,'חד גזעי'!$U$3:$V$509,2))</f>
        <v>#N/A</v>
      </c>
      <c r="M718" s="102"/>
      <c r="N718" s="72" t="e">
        <f>_xlfn.IFNA(IF(VLOOKUP(C718,'חד גזעי'!$AH$2:$AH$7,1,FALSE)&gt;0,0,IF('חד גזעי'!$AM$5="כן",IF(_xlfn.IFNA(VLOOKUP(C718,'חד גזעי'!$AH$2:$AH$33,1,FALSE),SUM(J718:M718))&lt;21,_xlfn.IFNA(VLOOKUP(C718,'חד גזעי'!$AH$2:$AH$33,1,FALSE),SUM(J718:M718)),0),SUM(J718:M718))),IF('חד גזעי'!$AM$5="כן",IF(_xlfn.IFNA(VLOOKUP(C718,'חד גזעי'!$AH$2:$AH$33,1,FALSE),SUM(J718:M718))&lt;21,_xlfn.IFNA(VLOOKUP(C718,'חד גזעי'!$AH$2:$AH$33,1,FALSE),SUM(J718:M718)),0),SUM(J718:M718)))</f>
        <v>#N/A</v>
      </c>
      <c r="O718" s="72">
        <f>IF('חד גזעי'!$AM$3 = "כן",IF(T718&gt;4,4,T718),T718)</f>
        <v>0</v>
      </c>
      <c r="P718" s="80">
        <f>IF(E718&lt;2,0,IF(Z718&gt;0,Z718,IF(N718 = 0,0,IF('חד גזעי'!$AM$2 = "לא",IF(F718&gt;19,W718,0),IF(F718&gt;9,Y718,0)))))</f>
        <v>0</v>
      </c>
      <c r="Q718" s="77"/>
      <c r="R718" s="76"/>
      <c r="S718" t="e">
        <f>VLOOKUP(C718,'חד גזעי'!$Y$4:$Y$18,1,0)</f>
        <v>#N/A</v>
      </c>
      <c r="T718" s="72">
        <f>IF('חד גזעי'!$AM$6="לא",IF(P718=0,IF(BC718="שימור",IF('חד גזעי'!$AM$4="לא",IF(BC718="לא בוגר",0,IF(BC718="לא קיים",0,IF(J718=0,0,I718*0.1))),IF(BC718="לא בוגר",0,IF(BC718="לא קיים",0,IF(AB718=1,I718*0.1,E718*0.5)))),0),IF('חד גזעי'!$AM$4="לא",IF(BC718="לא בוגר",0,IF(BC718="לא קיים",0,IF(J718=0,0,I718*0.1))),IF(BC718="לא בוגר",0,IF(BC718="לא קיים",0,IF(AB718=1,I718*0.1,E718*0.5))))),IF(P718=0,IF(BC718="שימור",IF('חד גזעי'!$AM$4="לא",IF(BC718="לא בוגר",0,IF(BC718="לא קיים",0,IF(J718=0,0,I718*0.15))),IF(BC718="לא בוגר",0,IF(BC718="לא קיים",0,IF(AB718=1,I718*0.15,E718*0.5)))),0),IF('חד גזעי'!$AM$4="לא",IF(BC718="לא בוגר",0,IF(BC718="לא קיים",0,IF(J718=0,0,I718*0.15))),IF(BC718="לא בוגר",0,IF(BC718="לא קיים",0,IF(AB718=1,I718*0.15,E718*0.5))))))</f>
        <v>0</v>
      </c>
      <c r="V718" t="e">
        <f t="shared" si="758"/>
        <v>#N/A</v>
      </c>
      <c r="W718" t="e">
        <f t="shared" si="759"/>
        <v>#N/A</v>
      </c>
      <c r="X718" t="e">
        <f t="shared" si="760"/>
        <v>#N/A</v>
      </c>
      <c r="Y718">
        <f>IF('חד גזעי'!$AM$2 = "לא",0,IF(F718&gt;9,W718,0))</f>
        <v>0</v>
      </c>
      <c r="Z718">
        <f>IF('חד גזעי'!$AM$7 = "לא",0,IF(C718 = "זית אירופי",IF('חד גזעי'!$AN$7 &lt;=סקר!F718,W718,0),IF(C718 = "חרוב מצוי",IF('חד גזעי'!$AN$7 &lt;=סקר!F718,W718,0),0)))</f>
        <v>0</v>
      </c>
      <c r="AB718">
        <f t="shared" si="737"/>
        <v>1</v>
      </c>
      <c r="AC718" s="72"/>
      <c r="AD718" t="e">
        <f t="shared" si="755"/>
        <v>#N/A</v>
      </c>
      <c r="AE718" s="72"/>
      <c r="AF718" s="72" t="e">
        <f t="shared" si="738"/>
        <v>#N/A</v>
      </c>
      <c r="AG718" s="72" t="e">
        <f>IF('חד גזעי'!$AM$5="לא",(VLOOKUP(C718,'חד גזעי'!$P$1:$S$589,3,FALSE)),(VLOOKUP(C718,'חד גזעי'!$P$1:$S$589,4,FALSE)))</f>
        <v>#N/A</v>
      </c>
      <c r="AH718" s="72">
        <f t="shared" si="739"/>
        <v>0</v>
      </c>
      <c r="AI718" s="72">
        <f t="shared" si="740"/>
        <v>0</v>
      </c>
      <c r="AJ718" s="72">
        <f t="shared" si="741"/>
        <v>0</v>
      </c>
      <c r="AK718" s="72" t="e">
        <f t="shared" si="742"/>
        <v>#N/A</v>
      </c>
      <c r="AL718" t="e">
        <f>VLOOKUP(C718,'חד גזעי'!$AH$8:$AI$33,2,FALSE)</f>
        <v>#N/A</v>
      </c>
      <c r="AM718" s="72" t="b">
        <f t="shared" si="743"/>
        <v>0</v>
      </c>
      <c r="AN718" s="72" t="b">
        <f t="shared" si="744"/>
        <v>0</v>
      </c>
      <c r="AO718" s="72" t="b">
        <f t="shared" si="745"/>
        <v>0</v>
      </c>
      <c r="AS718" s="72">
        <f t="shared" si="746"/>
        <v>0</v>
      </c>
      <c r="AT718" s="72">
        <f t="shared" si="747"/>
        <v>0</v>
      </c>
      <c r="AU718" s="72">
        <f t="shared" si="756"/>
        <v>0</v>
      </c>
      <c r="AV718" s="72">
        <f t="shared" si="748"/>
        <v>0</v>
      </c>
      <c r="AW718" s="72">
        <f t="shared" si="749"/>
        <v>0</v>
      </c>
      <c r="AX718" s="72">
        <f t="shared" si="750"/>
        <v>0</v>
      </c>
      <c r="AY718" s="72">
        <f t="shared" si="751"/>
        <v>0</v>
      </c>
      <c r="AZ718" s="72">
        <f t="shared" si="752"/>
        <v>0</v>
      </c>
      <c r="BA718" s="72" t="e">
        <f t="shared" si="753"/>
        <v>#N/A</v>
      </c>
      <c r="BB718" s="72" t="e">
        <f t="shared" si="754"/>
        <v>#N/A</v>
      </c>
      <c r="BC718" s="77"/>
      <c r="BE718">
        <f t="shared" si="734"/>
        <v>0</v>
      </c>
      <c r="BF718" s="196"/>
      <c r="BG718" s="196"/>
      <c r="BH718" s="196"/>
      <c r="BI718" s="196"/>
      <c r="BJ718" s="196"/>
      <c r="BK718" s="196"/>
    </row>
    <row r="719" spans="2:63" hidden="1">
      <c r="B719" s="72"/>
      <c r="C719" s="135"/>
      <c r="D719" s="73"/>
      <c r="E719" s="73"/>
      <c r="F719" s="72"/>
      <c r="G719" s="72"/>
      <c r="H719" s="72"/>
      <c r="I719" s="73">
        <f t="shared" si="736"/>
        <v>0</v>
      </c>
      <c r="J719" s="73"/>
      <c r="K719" s="73"/>
      <c r="L719" s="74" t="e">
        <f>_xlfn.IFNA(VLOOKUP(C719,'חד גזעי'!$U$3:$V$509,2,0),VLOOKUP(C719,'חד גזעי'!$U$3:$V$509,2))</f>
        <v>#N/A</v>
      </c>
      <c r="M719" s="73"/>
      <c r="N719" s="72" t="e">
        <f>_xlfn.IFNA(IF(VLOOKUP(C719,'חד גזעי'!$AH$2:$AH$7,1,FALSE)&gt;0,0,IF('חד גזעי'!$AM$5="כן",IF(_xlfn.IFNA(VLOOKUP(C719,'חד גזעי'!$AH$2:$AH$33,1,FALSE),SUM(J719:M719))&lt;21,_xlfn.IFNA(VLOOKUP(C719,'חד גזעי'!$AH$2:$AH$33,1,FALSE),SUM(J719:M719)),0),SUM(J719:M719))),IF('חד גזעי'!$AM$5="כן",IF(_xlfn.IFNA(VLOOKUP(C719,'חד גזעי'!$AH$2:$AH$33,1,FALSE),SUM(J719:M719))&lt;21,_xlfn.IFNA(VLOOKUP(C719,'חד גזעי'!$AH$2:$AH$33,1,FALSE),SUM(J719:M719)),0),SUM(J719:M719)))</f>
        <v>#N/A</v>
      </c>
      <c r="O719" s="72">
        <f>IF('חד גזעי'!$AM$3 = "כן",IF(T719&gt;4,4,T719),T719)</f>
        <v>0</v>
      </c>
      <c r="P719" s="80">
        <f>IF(E719&lt;2,0,IF(Z719&gt;0,Z719,IF(N719 = 0,0,IF('חד גזעי'!$AM$2 = "לא",IF(F719&gt;19,W719,0),IF(F719&gt;9,Y719,0)))))</f>
        <v>0</v>
      </c>
      <c r="Q719" s="77"/>
      <c r="R719" s="76"/>
      <c r="S719" t="e">
        <f>VLOOKUP(C719,'חד גזעי'!$Y$4:$Y$18,1,0)</f>
        <v>#N/A</v>
      </c>
      <c r="T719" s="72">
        <f>IF('חד גזעי'!$AM$6="לא",IF(P719=0,IF(BC719="שימור",IF('חד גזעי'!$AM$4="לא",IF(BC719="לא בוגר",0,IF(BC719="לא קיים",0,IF(J719=0,0,I719*0.1))),IF(BC719="לא בוגר",0,IF(BC719="לא קיים",0,IF(AB719=1,I719*0.1,E719*0.5)))),0),IF('חד גזעי'!$AM$4="לא",IF(BC719="לא בוגר",0,IF(BC719="לא קיים",0,IF(J719=0,0,I719*0.1))),IF(BC719="לא בוגר",0,IF(BC719="לא קיים",0,IF(AB719=1,I719*0.1,E719*0.5))))),IF(P719=0,IF(BC719="שימור",IF('חד גזעי'!$AM$4="לא",IF(BC719="לא בוגר",0,IF(BC719="לא קיים",0,IF(J719=0,0,I719*0.15))),IF(BC719="לא בוגר",0,IF(BC719="לא קיים",0,IF(AB719=1,I719*0.15,E719*0.5)))),0),IF('חד גזעי'!$AM$4="לא",IF(BC719="לא בוגר",0,IF(BC719="לא קיים",0,IF(J719=0,0,I719*0.15))),IF(BC719="לא בוגר",0,IF(BC719="לא קיים",0,IF(AB719=1,I719*0.15,E719*0.5))))))</f>
        <v>0</v>
      </c>
      <c r="V719" t="e">
        <f t="shared" si="758"/>
        <v>#N/A</v>
      </c>
      <c r="W719" t="e">
        <f t="shared" si="759"/>
        <v>#N/A</v>
      </c>
      <c r="X719" t="e">
        <f t="shared" si="760"/>
        <v>#N/A</v>
      </c>
      <c r="Y719">
        <f>IF('חד גזעי'!$AM$2 = "לא",0,IF(F719&gt;9,W719,0))</f>
        <v>0</v>
      </c>
      <c r="Z719">
        <f>IF('חד גזעי'!$AM$7 = "לא",0,IF(C719 = "זית אירופי",IF('חד גזעי'!$AN$7 &lt;=סקר!F719,W719,0),IF(C719 = "חרוב מצוי",IF('חד גזעי'!$AN$7 &lt;=סקר!F719,W719,0),0)))</f>
        <v>0</v>
      </c>
      <c r="AB719">
        <f t="shared" si="737"/>
        <v>1</v>
      </c>
      <c r="AC719" s="72"/>
      <c r="AD719" t="e">
        <f t="shared" si="755"/>
        <v>#N/A</v>
      </c>
      <c r="AE719" s="72"/>
      <c r="AF719" s="72" t="e">
        <f t="shared" si="738"/>
        <v>#N/A</v>
      </c>
      <c r="AG719" s="72" t="e">
        <f>IF('חד גזעי'!$AM$5="לא",(VLOOKUP(C719,'חד גזעי'!$P$1:$S$589,3,FALSE)),(VLOOKUP(C719,'חד גזעי'!$P$1:$S$589,4,FALSE)))</f>
        <v>#N/A</v>
      </c>
      <c r="AH719" s="72">
        <f t="shared" si="739"/>
        <v>0</v>
      </c>
      <c r="AI719" s="72">
        <f t="shared" si="740"/>
        <v>0</v>
      </c>
      <c r="AJ719" s="72">
        <f t="shared" si="741"/>
        <v>0</v>
      </c>
      <c r="AK719" s="72" t="e">
        <f t="shared" si="742"/>
        <v>#N/A</v>
      </c>
      <c r="AL719" t="e">
        <f>VLOOKUP(C719,'חד גזעי'!$AH$8:$AI$33,2,FALSE)</f>
        <v>#N/A</v>
      </c>
      <c r="AM719" s="72" t="b">
        <f t="shared" si="743"/>
        <v>0</v>
      </c>
      <c r="AN719" s="72" t="b">
        <f t="shared" si="744"/>
        <v>0</v>
      </c>
      <c r="AO719" s="72" t="b">
        <f t="shared" si="745"/>
        <v>0</v>
      </c>
      <c r="AS719" s="72">
        <f t="shared" si="746"/>
        <v>0</v>
      </c>
      <c r="AT719" s="72">
        <f t="shared" si="747"/>
        <v>0</v>
      </c>
      <c r="AU719" s="72">
        <f t="shared" si="756"/>
        <v>0</v>
      </c>
      <c r="AV719" s="72">
        <f t="shared" si="748"/>
        <v>0</v>
      </c>
      <c r="AW719" s="72">
        <f t="shared" si="749"/>
        <v>0</v>
      </c>
      <c r="AX719" s="72">
        <f t="shared" si="750"/>
        <v>0</v>
      </c>
      <c r="AY719" s="72">
        <f t="shared" si="751"/>
        <v>0</v>
      </c>
      <c r="AZ719" s="72">
        <f t="shared" si="752"/>
        <v>0</v>
      </c>
      <c r="BA719" s="72" t="e">
        <f t="shared" si="753"/>
        <v>#N/A</v>
      </c>
      <c r="BB719" s="72" t="e">
        <f t="shared" si="754"/>
        <v>#N/A</v>
      </c>
      <c r="BC719" s="77"/>
      <c r="BE719">
        <f t="shared" si="734"/>
        <v>0</v>
      </c>
      <c r="BF719" s="196"/>
      <c r="BG719" s="196"/>
      <c r="BH719" s="196"/>
      <c r="BI719" s="196"/>
      <c r="BJ719" s="196"/>
      <c r="BK719" s="196"/>
    </row>
    <row r="720" spans="2:63" hidden="1">
      <c r="B720" s="72"/>
      <c r="C720" s="135"/>
      <c r="D720" s="73"/>
      <c r="E720" s="73"/>
      <c r="F720" s="72"/>
      <c r="G720" s="72"/>
      <c r="H720" s="72"/>
      <c r="I720" s="73">
        <f t="shared" si="736"/>
        <v>0</v>
      </c>
      <c r="J720" s="73"/>
      <c r="K720" s="73"/>
      <c r="L720" s="74" t="e">
        <f>_xlfn.IFNA(VLOOKUP(C720,'חד גזעי'!$U$3:$V$509,2,0),VLOOKUP(C720,'חד גזעי'!$U$3:$V$509,2))</f>
        <v>#N/A</v>
      </c>
      <c r="M720" s="73"/>
      <c r="N720" s="72" t="e">
        <f>_xlfn.IFNA(IF(VLOOKUP(C720,'חד גזעי'!$AH$2:$AH$7,1,FALSE)&gt;0,0,IF('חד גזעי'!$AM$5="כן",IF(_xlfn.IFNA(VLOOKUP(C720,'חד גזעי'!$AH$2:$AH$33,1,FALSE),SUM(J720:M720))&lt;21,_xlfn.IFNA(VLOOKUP(C720,'חד גזעי'!$AH$2:$AH$33,1,FALSE),SUM(J720:M720)),0),SUM(J720:M720))),IF('חד גזעי'!$AM$5="כן",IF(_xlfn.IFNA(VLOOKUP(C720,'חד גזעי'!$AH$2:$AH$33,1,FALSE),SUM(J720:M720))&lt;21,_xlfn.IFNA(VLOOKUP(C720,'חד גזעי'!$AH$2:$AH$33,1,FALSE),SUM(J720:M720)),0),SUM(J720:M720)))</f>
        <v>#N/A</v>
      </c>
      <c r="O720" s="72">
        <f>IF('חד גזעי'!$AM$3 = "כן",IF(T720&gt;4,4,T720),T720)</f>
        <v>0</v>
      </c>
      <c r="P720" s="80">
        <f>IF(E720&lt;2,0,IF(Z720&gt;0,Z720,IF(N720 = 0,0,IF('חד גזעי'!$AM$2 = "לא",IF(F720&gt;19,W720,0),IF(F720&gt;9,Y720,0)))))</f>
        <v>0</v>
      </c>
      <c r="Q720" s="77"/>
      <c r="R720" s="76"/>
      <c r="S720" t="e">
        <f>VLOOKUP(C720,'חד גזעי'!$Y$4:$Y$18,1,0)</f>
        <v>#N/A</v>
      </c>
      <c r="T720" s="72">
        <f>IF('חד גזעי'!$AM$6="לא",IF(P720=0,IF(BC720="שימור",IF('חד גזעי'!$AM$4="לא",IF(BC720="לא בוגר",0,IF(BC720="לא קיים",0,IF(J720=0,0,I720*0.1))),IF(BC720="לא בוגר",0,IF(BC720="לא קיים",0,IF(AB720=1,I720*0.1,E720*0.5)))),0),IF('חד גזעי'!$AM$4="לא",IF(BC720="לא בוגר",0,IF(BC720="לא קיים",0,IF(J720=0,0,I720*0.1))),IF(BC720="לא בוגר",0,IF(BC720="לא קיים",0,IF(AB720=1,I720*0.1,E720*0.5))))),IF(P720=0,IF(BC720="שימור",IF('חד גזעי'!$AM$4="לא",IF(BC720="לא בוגר",0,IF(BC720="לא קיים",0,IF(J720=0,0,I720*0.15))),IF(BC720="לא בוגר",0,IF(BC720="לא קיים",0,IF(AB720=1,I720*0.15,E720*0.5)))),0),IF('חד גזעי'!$AM$4="לא",IF(BC720="לא בוגר",0,IF(BC720="לא קיים",0,IF(J720=0,0,I720*0.15))),IF(BC720="לא בוגר",0,IF(BC720="לא קיים",0,IF(AB720=1,I720*0.15,E720*0.5))))))</f>
        <v>0</v>
      </c>
      <c r="V720" t="e">
        <f t="shared" si="758"/>
        <v>#N/A</v>
      </c>
      <c r="W720" t="e">
        <f t="shared" si="759"/>
        <v>#N/A</v>
      </c>
      <c r="X720" t="e">
        <f t="shared" si="760"/>
        <v>#N/A</v>
      </c>
      <c r="Y720">
        <f>IF('חד גזעי'!$AM$2 = "לא",0,IF(F720&gt;9,W720,0))</f>
        <v>0</v>
      </c>
      <c r="Z720">
        <f>IF('חד גזעי'!$AM$7 = "לא",0,IF(C720 = "זית אירופי",IF('חד גזעי'!$AN$7 &lt;=סקר!F720,W720,0),IF(C720 = "חרוב מצוי",IF('חד גזעי'!$AN$7 &lt;=סקר!F720,W720,0),0)))</f>
        <v>0</v>
      </c>
      <c r="AB720">
        <f t="shared" si="737"/>
        <v>1</v>
      </c>
      <c r="AC720" s="72"/>
      <c r="AD720" t="e">
        <f t="shared" si="755"/>
        <v>#N/A</v>
      </c>
      <c r="AE720" s="72"/>
      <c r="AF720" s="72" t="e">
        <f t="shared" si="738"/>
        <v>#N/A</v>
      </c>
      <c r="AG720" s="72" t="e">
        <f>IF('חד גזעי'!$AM$5="לא",(VLOOKUP(C720,'חד גזעי'!$P$1:$S$589,3,FALSE)),(VLOOKUP(C720,'חד גזעי'!$P$1:$S$589,4,FALSE)))</f>
        <v>#N/A</v>
      </c>
      <c r="AH720" s="72">
        <f t="shared" si="739"/>
        <v>0</v>
      </c>
      <c r="AI720" s="72">
        <f t="shared" si="740"/>
        <v>0</v>
      </c>
      <c r="AJ720" s="72">
        <f t="shared" si="741"/>
        <v>0</v>
      </c>
      <c r="AK720" s="72" t="e">
        <f t="shared" si="742"/>
        <v>#N/A</v>
      </c>
      <c r="AL720" t="e">
        <f>VLOOKUP(C720,'חד גזעי'!$AH$8:$AI$33,2,FALSE)</f>
        <v>#N/A</v>
      </c>
      <c r="AM720" s="72" t="b">
        <f t="shared" si="743"/>
        <v>0</v>
      </c>
      <c r="AN720" s="72" t="b">
        <f t="shared" si="744"/>
        <v>0</v>
      </c>
      <c r="AO720" s="72" t="b">
        <f t="shared" si="745"/>
        <v>0</v>
      </c>
      <c r="AS720" s="72">
        <f t="shared" si="746"/>
        <v>0</v>
      </c>
      <c r="AT720" s="72">
        <f t="shared" si="747"/>
        <v>0</v>
      </c>
      <c r="AU720" s="72">
        <f t="shared" si="756"/>
        <v>0</v>
      </c>
      <c r="AV720" s="72">
        <f t="shared" si="748"/>
        <v>0</v>
      </c>
      <c r="AW720" s="72">
        <f t="shared" si="749"/>
        <v>0</v>
      </c>
      <c r="AX720" s="72">
        <f t="shared" si="750"/>
        <v>0</v>
      </c>
      <c r="AY720" s="72">
        <f t="shared" si="751"/>
        <v>0</v>
      </c>
      <c r="AZ720" s="72">
        <f t="shared" si="752"/>
        <v>0</v>
      </c>
      <c r="BA720" s="72" t="e">
        <f t="shared" si="753"/>
        <v>#N/A</v>
      </c>
      <c r="BB720" s="72" t="e">
        <f t="shared" si="754"/>
        <v>#N/A</v>
      </c>
      <c r="BC720" s="77"/>
      <c r="BE720">
        <f t="shared" si="734"/>
        <v>0</v>
      </c>
      <c r="BF720" s="196"/>
      <c r="BG720" s="196"/>
      <c r="BH720" s="196"/>
      <c r="BI720" s="196"/>
      <c r="BJ720" s="196"/>
      <c r="BK720" s="196"/>
    </row>
    <row r="721" spans="1:63" hidden="1">
      <c r="B721" s="72"/>
      <c r="C721" s="135"/>
      <c r="D721" s="73"/>
      <c r="E721" s="73"/>
      <c r="F721" s="72"/>
      <c r="G721" s="72"/>
      <c r="H721" s="72"/>
      <c r="I721" s="73">
        <f t="shared" si="736"/>
        <v>0</v>
      </c>
      <c r="J721" s="73"/>
      <c r="K721" s="73"/>
      <c r="L721" s="74" t="e">
        <f>_xlfn.IFNA(VLOOKUP(C721,'חד גזעי'!$U$3:$V$509,2,0),VLOOKUP(C721,'חד גזעי'!$U$3:$V$509,2))</f>
        <v>#N/A</v>
      </c>
      <c r="M721" s="73"/>
      <c r="N721" s="72" t="e">
        <f>_xlfn.IFNA(IF(VLOOKUP(C721,'חד גזעי'!$AH$2:$AH$7,1,FALSE)&gt;0,0,IF('חד גזעי'!$AM$5="כן",IF(_xlfn.IFNA(VLOOKUP(C721,'חד גזעי'!$AH$2:$AH$33,1,FALSE),SUM(J721:M721))&lt;21,_xlfn.IFNA(VLOOKUP(C721,'חד גזעי'!$AH$2:$AH$33,1,FALSE),SUM(J721:M721)),0),SUM(J721:M721))),IF('חד גזעי'!$AM$5="כן",IF(_xlfn.IFNA(VLOOKUP(C721,'חד גזעי'!$AH$2:$AH$33,1,FALSE),SUM(J721:M721))&lt;21,_xlfn.IFNA(VLOOKUP(C721,'חד גזעי'!$AH$2:$AH$33,1,FALSE),SUM(J721:M721)),0),SUM(J721:M721)))</f>
        <v>#N/A</v>
      </c>
      <c r="O721" s="72">
        <f>IF('חד גזעי'!$AM$3 = "כן",IF(T721&gt;4,4,T721),T721)</f>
        <v>0</v>
      </c>
      <c r="P721" s="80">
        <f>IF(E721&lt;2,0,IF(Z721&gt;0,Z721,IF(N721 = 0,0,IF('חד גזעי'!$AM$2 = "לא",IF(F721&gt;19,W721,0),IF(F721&gt;9,Y721,0)))))</f>
        <v>0</v>
      </c>
      <c r="Q721" s="77"/>
      <c r="R721" s="76"/>
      <c r="S721" t="e">
        <f>VLOOKUP(C721,'חד גזעי'!$Y$4:$Y$18,1,0)</f>
        <v>#N/A</v>
      </c>
      <c r="T721" s="72">
        <f>IF('חד גזעי'!$AM$6="לא",IF(P721=0,IF(BC721="שימור",IF('חד גזעי'!$AM$4="לא",IF(BC721="לא בוגר",0,IF(BC721="לא קיים",0,IF(J721=0,0,I721*0.1))),IF(BC721="לא בוגר",0,IF(BC721="לא קיים",0,IF(AB721=1,I721*0.1,E721*0.5)))),0),IF('חד גזעי'!$AM$4="לא",IF(BC721="לא בוגר",0,IF(BC721="לא קיים",0,IF(J721=0,0,I721*0.1))),IF(BC721="לא בוגר",0,IF(BC721="לא קיים",0,IF(AB721=1,I721*0.1,E721*0.5))))),IF(P721=0,IF(BC721="שימור",IF('חד גזעי'!$AM$4="לא",IF(BC721="לא בוגר",0,IF(BC721="לא קיים",0,IF(J721=0,0,I721*0.15))),IF(BC721="לא בוגר",0,IF(BC721="לא קיים",0,IF(AB721=1,I721*0.15,E721*0.5)))),0),IF('חד גזעי'!$AM$4="לא",IF(BC721="לא בוגר",0,IF(BC721="לא קיים",0,IF(J721=0,0,I721*0.15))),IF(BC721="לא בוגר",0,IF(BC721="לא קיים",0,IF(AB721=1,I721*0.15,E721*0.5))))))</f>
        <v>0</v>
      </c>
      <c r="V721" t="e">
        <f t="shared" si="758"/>
        <v>#N/A</v>
      </c>
      <c r="W721" t="e">
        <f t="shared" si="759"/>
        <v>#N/A</v>
      </c>
      <c r="X721" t="e">
        <f t="shared" si="760"/>
        <v>#N/A</v>
      </c>
      <c r="Y721">
        <f>IF('חד גזעי'!$AM$2 = "לא",0,IF(F721&gt;9,W721,0))</f>
        <v>0</v>
      </c>
      <c r="Z721">
        <f>IF('חד גזעי'!$AM$7 = "לא",0,IF(C721 = "זית אירופי",IF('חד גזעי'!$AN$7 &lt;=סקר!F721,W721,0),IF(C721 = "חרוב מצוי",IF('חד גזעי'!$AN$7 &lt;=סקר!F721,W721,0),0)))</f>
        <v>0</v>
      </c>
      <c r="AB721">
        <f t="shared" si="737"/>
        <v>1</v>
      </c>
      <c r="AC721" s="72"/>
      <c r="AD721" t="e">
        <f t="shared" si="755"/>
        <v>#N/A</v>
      </c>
      <c r="AE721" s="72"/>
      <c r="AF721" s="72" t="e">
        <f t="shared" si="738"/>
        <v>#N/A</v>
      </c>
      <c r="AG721" s="72" t="e">
        <f>IF('חד גזעי'!$AM$5="לא",(VLOOKUP(C721,'חד גזעי'!$P$1:$S$589,3,FALSE)),(VLOOKUP(C721,'חד גזעי'!$P$1:$S$589,4,FALSE)))</f>
        <v>#N/A</v>
      </c>
      <c r="AH721" s="72">
        <f t="shared" si="739"/>
        <v>0</v>
      </c>
      <c r="AI721" s="72">
        <f t="shared" si="740"/>
        <v>0</v>
      </c>
      <c r="AJ721" s="72">
        <f t="shared" si="741"/>
        <v>0</v>
      </c>
      <c r="AK721" s="72" t="e">
        <f t="shared" si="742"/>
        <v>#N/A</v>
      </c>
      <c r="AL721" t="e">
        <f>VLOOKUP(C721,'חד גזעי'!$AH$8:$AI$33,2,FALSE)</f>
        <v>#N/A</v>
      </c>
      <c r="AM721" s="72" t="b">
        <f t="shared" si="743"/>
        <v>0</v>
      </c>
      <c r="AN721" s="72" t="b">
        <f t="shared" si="744"/>
        <v>0</v>
      </c>
      <c r="AO721" s="72" t="b">
        <f t="shared" si="745"/>
        <v>0</v>
      </c>
      <c r="AS721" s="72">
        <f t="shared" si="746"/>
        <v>0</v>
      </c>
      <c r="AT721" s="72">
        <f t="shared" si="747"/>
        <v>0</v>
      </c>
      <c r="AU721" s="72">
        <f t="shared" si="756"/>
        <v>0</v>
      </c>
      <c r="AV721" s="72">
        <f t="shared" si="748"/>
        <v>0</v>
      </c>
      <c r="AW721" s="72">
        <f t="shared" si="749"/>
        <v>0</v>
      </c>
      <c r="AX721" s="72">
        <f t="shared" si="750"/>
        <v>0</v>
      </c>
      <c r="AY721" s="72">
        <f t="shared" si="751"/>
        <v>0</v>
      </c>
      <c r="AZ721" s="72">
        <f t="shared" si="752"/>
        <v>0</v>
      </c>
      <c r="BA721" s="72" t="e">
        <f t="shared" si="753"/>
        <v>#N/A</v>
      </c>
      <c r="BB721" s="72" t="e">
        <f t="shared" si="754"/>
        <v>#N/A</v>
      </c>
      <c r="BC721" s="77"/>
      <c r="BE721">
        <f t="shared" si="734"/>
        <v>0</v>
      </c>
      <c r="BF721" s="196"/>
      <c r="BG721" s="196"/>
      <c r="BH721" s="196"/>
      <c r="BI721" s="196"/>
      <c r="BJ721" s="196"/>
      <c r="BK721" s="196"/>
    </row>
    <row r="722" spans="1:63" hidden="1">
      <c r="B722" s="72"/>
      <c r="C722" s="135"/>
      <c r="D722" s="73"/>
      <c r="E722" s="73"/>
      <c r="F722" s="72"/>
      <c r="G722" s="72"/>
      <c r="H722" s="72"/>
      <c r="I722" s="73">
        <f t="shared" si="736"/>
        <v>0</v>
      </c>
      <c r="J722" s="73"/>
      <c r="K722" s="73"/>
      <c r="L722" s="74" t="e">
        <f>_xlfn.IFNA(VLOOKUP(C722,'חד גזעי'!$U$3:$V$509,2,0),VLOOKUP(C722,'חד גזעי'!$U$3:$V$509,2))</f>
        <v>#N/A</v>
      </c>
      <c r="M722" s="73"/>
      <c r="N722" s="72" t="e">
        <f>_xlfn.IFNA(IF(VLOOKUP(C722,'חד גזעי'!$AH$2:$AH$7,1,FALSE)&gt;0,0,IF('חד גזעי'!$AM$5="כן",IF(_xlfn.IFNA(VLOOKUP(C722,'חד גזעי'!$AH$2:$AH$33,1,FALSE),SUM(J722:M722))&lt;21,_xlfn.IFNA(VLOOKUP(C722,'חד גזעי'!$AH$2:$AH$33,1,FALSE),SUM(J722:M722)),0),SUM(J722:M722))),IF('חד גזעי'!$AM$5="כן",IF(_xlfn.IFNA(VLOOKUP(C722,'חד גזעי'!$AH$2:$AH$33,1,FALSE),SUM(J722:M722))&lt;21,_xlfn.IFNA(VLOOKUP(C722,'חד גזעי'!$AH$2:$AH$33,1,FALSE),SUM(J722:M722)),0),SUM(J722:M722)))</f>
        <v>#N/A</v>
      </c>
      <c r="O722" s="72">
        <f>IF('חד גזעי'!$AM$3 = "כן",IF(T722&gt;4,4,T722),T722)</f>
        <v>0</v>
      </c>
      <c r="P722" s="80">
        <f>IF(E722&lt;2,0,IF(Z722&gt;0,Z722,IF(N722 = 0,0,IF('חד גזעי'!$AM$2 = "לא",IF(F722&gt;19,W722,0),IF(F722&gt;9,Y722,0)))))</f>
        <v>0</v>
      </c>
      <c r="Q722" s="77"/>
      <c r="R722" s="76"/>
      <c r="S722" t="e">
        <f>VLOOKUP(C722,'חד גזעי'!$Y$4:$Y$18,1,0)</f>
        <v>#N/A</v>
      </c>
      <c r="T722" s="72">
        <f>IF('חד גזעי'!$AM$6="לא",IF(P722=0,IF(BC722="שימור",IF('חד גזעי'!$AM$4="לא",IF(BC722="לא בוגר",0,IF(BC722="לא קיים",0,IF(J722=0,0,I722*0.1))),IF(BC722="לא בוגר",0,IF(BC722="לא קיים",0,IF(AB722=1,I722*0.1,E722*0.5)))),0),IF('חד גזעי'!$AM$4="לא",IF(BC722="לא בוגר",0,IF(BC722="לא קיים",0,IF(J722=0,0,I722*0.1))),IF(BC722="לא בוגר",0,IF(BC722="לא קיים",0,IF(AB722=1,I722*0.1,E722*0.5))))),IF(P722=0,IF(BC722="שימור",IF('חד גזעי'!$AM$4="לא",IF(BC722="לא בוגר",0,IF(BC722="לא קיים",0,IF(J722=0,0,I722*0.15))),IF(BC722="לא בוגר",0,IF(BC722="לא קיים",0,IF(AB722=1,I722*0.15,E722*0.5)))),0),IF('חד גזעי'!$AM$4="לא",IF(BC722="לא בוגר",0,IF(BC722="לא קיים",0,IF(J722=0,0,I722*0.15))),IF(BC722="לא בוגר",0,IF(BC722="לא קיים",0,IF(AB722=1,I722*0.15,E722*0.5))))))</f>
        <v>0</v>
      </c>
      <c r="V722" t="e">
        <f t="shared" si="758"/>
        <v>#N/A</v>
      </c>
      <c r="W722" t="e">
        <f t="shared" si="759"/>
        <v>#N/A</v>
      </c>
      <c r="X722" t="e">
        <f t="shared" si="760"/>
        <v>#N/A</v>
      </c>
      <c r="Y722">
        <f>IF('חד גזעי'!$AM$2 = "לא",0,IF(F722&gt;9,W722,0))</f>
        <v>0</v>
      </c>
      <c r="Z722">
        <f>IF('חד גזעי'!$AM$7 = "לא",0,IF(C722 = "זית אירופי",IF('חד גזעי'!$AN$7 &lt;=סקר!F722,W722,0),IF(C722 = "חרוב מצוי",IF('חד גזעי'!$AN$7 &lt;=סקר!F722,W722,0),0)))</f>
        <v>0</v>
      </c>
      <c r="AB722">
        <f t="shared" si="737"/>
        <v>1</v>
      </c>
      <c r="AC722" s="72"/>
      <c r="AD722" t="e">
        <f>IF(AK722&gt;0,AK722,AF722)</f>
        <v>#N/A</v>
      </c>
      <c r="AE722" s="72"/>
      <c r="AF722" s="72" t="e">
        <f t="shared" si="738"/>
        <v>#N/A</v>
      </c>
      <c r="AG722" s="72" t="e">
        <f>IF('חד גזעי'!$AM$5="לא",(VLOOKUP(C722,'חד גזעי'!$P$1:$S$589,3,FALSE)),(VLOOKUP(C722,'חד גזעי'!$P$1:$S$589,4,FALSE)))</f>
        <v>#N/A</v>
      </c>
      <c r="AH722" s="72">
        <f t="shared" si="739"/>
        <v>0</v>
      </c>
      <c r="AI722" s="72">
        <f t="shared" si="740"/>
        <v>0</v>
      </c>
      <c r="AJ722" s="72">
        <f t="shared" si="741"/>
        <v>0</v>
      </c>
      <c r="AK722" s="72" t="e">
        <f t="shared" si="742"/>
        <v>#N/A</v>
      </c>
      <c r="AL722" t="e">
        <f>VLOOKUP(C722,'חד גזעי'!$AH$8:$AI$33,2,FALSE)</f>
        <v>#N/A</v>
      </c>
      <c r="AM722" s="72" t="b">
        <f t="shared" si="743"/>
        <v>0</v>
      </c>
      <c r="AN722" s="72" t="b">
        <f t="shared" si="744"/>
        <v>0</v>
      </c>
      <c r="AO722" s="72" t="b">
        <f t="shared" si="745"/>
        <v>0</v>
      </c>
      <c r="AS722" s="72">
        <f t="shared" si="746"/>
        <v>0</v>
      </c>
      <c r="AT722" s="72">
        <f t="shared" si="747"/>
        <v>0</v>
      </c>
      <c r="AU722" s="72">
        <f>IF(C722&gt;0,IF(D722&lt;2,1,D722),0)</f>
        <v>0</v>
      </c>
      <c r="AV722" s="72">
        <f t="shared" si="748"/>
        <v>0</v>
      </c>
      <c r="AW722" s="72">
        <f t="shared" si="749"/>
        <v>0</v>
      </c>
      <c r="AX722" s="72">
        <f t="shared" si="750"/>
        <v>0</v>
      </c>
      <c r="AY722" s="72">
        <f t="shared" si="751"/>
        <v>0</v>
      </c>
      <c r="AZ722" s="72">
        <f t="shared" si="752"/>
        <v>0</v>
      </c>
      <c r="BA722" s="72" t="e">
        <f t="shared" si="753"/>
        <v>#N/A</v>
      </c>
      <c r="BB722" s="72" t="e">
        <f t="shared" si="754"/>
        <v>#N/A</v>
      </c>
      <c r="BC722" s="77"/>
      <c r="BE722">
        <f t="shared" si="734"/>
        <v>0</v>
      </c>
      <c r="BF722" s="196"/>
      <c r="BG722" s="196"/>
      <c r="BH722" s="196"/>
      <c r="BI722" s="196"/>
      <c r="BJ722" s="196"/>
      <c r="BK722" s="196"/>
    </row>
    <row r="723" spans="1:63" hidden="1">
      <c r="B723" s="72"/>
      <c r="C723" s="135"/>
      <c r="D723" s="73"/>
      <c r="E723" s="73"/>
      <c r="F723" s="72"/>
      <c r="G723" s="72"/>
      <c r="H723" s="72"/>
      <c r="I723" s="73">
        <f t="shared" si="736"/>
        <v>0</v>
      </c>
      <c r="J723" s="73"/>
      <c r="K723" s="73"/>
      <c r="L723" s="74" t="e">
        <f>_xlfn.IFNA(VLOOKUP(C723,'חד גזעי'!$U$3:$V$509,2,0),VLOOKUP(C723,'חד גזעי'!$U$3:$V$509,2))</f>
        <v>#N/A</v>
      </c>
      <c r="M723" s="73"/>
      <c r="N723" s="72" t="e">
        <f>_xlfn.IFNA(IF(VLOOKUP(C723,'חד גזעי'!$AH$2:$AH$7,1,FALSE)&gt;0,0,IF('חד גזעי'!$AM$5="כן",IF(_xlfn.IFNA(VLOOKUP(C723,'חד גזעי'!$AH$2:$AH$33,1,FALSE),SUM(J723:M723))&lt;21,_xlfn.IFNA(VLOOKUP(C723,'חד גזעי'!$AH$2:$AH$33,1,FALSE),SUM(J723:M723)),0),SUM(J723:M723))),IF('חד גזעי'!$AM$5="כן",IF(_xlfn.IFNA(VLOOKUP(C723,'חד גזעי'!$AH$2:$AH$33,1,FALSE),SUM(J723:M723))&lt;21,_xlfn.IFNA(VLOOKUP(C723,'חד גזעי'!$AH$2:$AH$33,1,FALSE),SUM(J723:M723)),0),SUM(J723:M723)))</f>
        <v>#N/A</v>
      </c>
      <c r="O723" s="72">
        <f>IF('חד גזעי'!$AM$3 = "כן",IF(T723&gt;4,4,T723),T723)</f>
        <v>0</v>
      </c>
      <c r="P723" s="80">
        <f>IF(E723&lt;2,0,IF(Z723&gt;0,Z723,IF(N723 = 0,0,IF('חד גזעי'!$AM$2 = "לא",IF(F723&gt;19,W723,0),IF(F723&gt;9,Y723,0)))))</f>
        <v>0</v>
      </c>
      <c r="Q723" s="77"/>
      <c r="R723" s="76"/>
      <c r="S723" t="e">
        <f>VLOOKUP(C723,'חד גזעי'!$Y$4:$Y$18,1,0)</f>
        <v>#N/A</v>
      </c>
      <c r="T723" s="72">
        <f>IF('חד גזעי'!$AM$6="לא",IF(P723=0,IF(BC723="שימור",IF('חד גזעי'!$AM$4="לא",IF(BC723="לא בוגר",0,IF(BC723="לא קיים",0,IF(J723=0,0,I723*0.1))),IF(BC723="לא בוגר",0,IF(BC723="לא קיים",0,IF(AB723=1,I723*0.1,E723*0.5)))),0),IF('חד גזעי'!$AM$4="לא",IF(BC723="לא בוגר",0,IF(BC723="לא קיים",0,IF(J723=0,0,I723*0.1))),IF(BC723="לא בוגר",0,IF(BC723="לא קיים",0,IF(AB723=1,I723*0.1,E723*0.5))))),IF(P723=0,IF(BC723="שימור",IF('חד גזעי'!$AM$4="לא",IF(BC723="לא בוגר",0,IF(BC723="לא קיים",0,IF(J723=0,0,I723*0.15))),IF(BC723="לא בוגר",0,IF(BC723="לא קיים",0,IF(AB723=1,I723*0.15,E723*0.5)))),0),IF('חד גזעי'!$AM$4="לא",IF(BC723="לא בוגר",0,IF(BC723="לא קיים",0,IF(J723=0,0,I723*0.15))),IF(BC723="לא בוגר",0,IF(BC723="לא קיים",0,IF(AB723=1,I723*0.15,E723*0.5))))))</f>
        <v>0</v>
      </c>
      <c r="V723" t="e">
        <f t="shared" si="758"/>
        <v>#N/A</v>
      </c>
      <c r="W723" t="e">
        <f t="shared" si="759"/>
        <v>#N/A</v>
      </c>
      <c r="X723" t="e">
        <f t="shared" si="760"/>
        <v>#N/A</v>
      </c>
      <c r="Y723">
        <f>IF('חד גזעי'!$AM$2 = "לא",0,IF(F723&gt;9,W723,0))</f>
        <v>0</v>
      </c>
      <c r="Z723">
        <f>IF('חד גזעי'!$AM$7 = "לא",0,IF(C723 = "זית אירופי",IF('חד גזעי'!$AN$7 &lt;=סקר!F723,W723,0),IF(C723 = "חרוב מצוי",IF('חד גזעי'!$AN$7 &lt;=סקר!F723,W723,0),0)))</f>
        <v>0</v>
      </c>
      <c r="AB723">
        <f t="shared" si="737"/>
        <v>1</v>
      </c>
      <c r="AC723" s="72"/>
      <c r="AD723" t="e">
        <f t="shared" si="755"/>
        <v>#N/A</v>
      </c>
      <c r="AE723" s="72"/>
      <c r="AF723" s="72" t="e">
        <f t="shared" si="738"/>
        <v>#N/A</v>
      </c>
      <c r="AG723" s="72" t="e">
        <f>IF('חד גזעי'!$AM$5="לא",(VLOOKUP(C723,'חד גזעי'!$P$1:$S$589,3,FALSE)),(VLOOKUP(C723,'חד גזעי'!$P$1:$S$589,4,FALSE)))</f>
        <v>#N/A</v>
      </c>
      <c r="AH723" s="72">
        <f t="shared" si="739"/>
        <v>0</v>
      </c>
      <c r="AI723" s="72">
        <f t="shared" si="740"/>
        <v>0</v>
      </c>
      <c r="AJ723" s="72">
        <f t="shared" si="741"/>
        <v>0</v>
      </c>
      <c r="AK723" s="72" t="e">
        <f t="shared" si="742"/>
        <v>#N/A</v>
      </c>
      <c r="AL723" t="e">
        <f>VLOOKUP(C723,'חד גזעי'!$AH$8:$AI$33,2,FALSE)</f>
        <v>#N/A</v>
      </c>
      <c r="AM723" s="72" t="b">
        <f t="shared" si="743"/>
        <v>0</v>
      </c>
      <c r="AN723" s="72" t="b">
        <f t="shared" si="744"/>
        <v>0</v>
      </c>
      <c r="AO723" s="72" t="b">
        <f t="shared" si="745"/>
        <v>0</v>
      </c>
      <c r="AS723" s="72">
        <f t="shared" si="746"/>
        <v>0</v>
      </c>
      <c r="AT723" s="72">
        <f t="shared" si="747"/>
        <v>0</v>
      </c>
      <c r="AU723" s="72">
        <f t="shared" si="756"/>
        <v>0</v>
      </c>
      <c r="AV723" s="72">
        <f t="shared" si="748"/>
        <v>0</v>
      </c>
      <c r="AW723" s="72">
        <f t="shared" si="749"/>
        <v>0</v>
      </c>
      <c r="AX723" s="72">
        <f t="shared" si="750"/>
        <v>0</v>
      </c>
      <c r="AY723" s="72">
        <f t="shared" si="751"/>
        <v>0</v>
      </c>
      <c r="AZ723" s="72">
        <f t="shared" si="752"/>
        <v>0</v>
      </c>
      <c r="BA723" s="72" t="e">
        <f t="shared" si="753"/>
        <v>#N/A</v>
      </c>
      <c r="BB723" s="72" t="e">
        <f t="shared" si="754"/>
        <v>#N/A</v>
      </c>
      <c r="BC723" s="77"/>
      <c r="BE723">
        <f t="shared" si="734"/>
        <v>0</v>
      </c>
      <c r="BF723" s="196"/>
      <c r="BG723" s="196"/>
      <c r="BH723" s="196"/>
      <c r="BI723" s="196"/>
      <c r="BJ723" s="196"/>
      <c r="BK723" s="196"/>
    </row>
    <row r="724" spans="1:63" hidden="1">
      <c r="B724" s="72"/>
      <c r="C724" s="135"/>
      <c r="D724" s="73"/>
      <c r="E724" s="73"/>
      <c r="F724" s="72"/>
      <c r="G724" s="72"/>
      <c r="H724" s="72"/>
      <c r="I724" s="73">
        <f t="shared" si="736"/>
        <v>0</v>
      </c>
      <c r="J724" s="73"/>
      <c r="K724" s="73"/>
      <c r="L724" s="74" t="e">
        <f>_xlfn.IFNA(VLOOKUP(C724,'חד גזעי'!$U$3:$V$509,2,0),VLOOKUP(C724,'חד גזעי'!$U$3:$V$509,2))</f>
        <v>#N/A</v>
      </c>
      <c r="M724" s="73"/>
      <c r="N724" s="72" t="e">
        <f>_xlfn.IFNA(IF(VLOOKUP(C724,'חד גזעי'!$AH$2:$AH$7,1,FALSE)&gt;0,0,IF('חד גזעי'!$AM$5="כן",IF(_xlfn.IFNA(VLOOKUP(C724,'חד גזעי'!$AH$2:$AH$33,1,FALSE),SUM(J724:M724))&lt;21,_xlfn.IFNA(VLOOKUP(C724,'חד גזעי'!$AH$2:$AH$33,1,FALSE),SUM(J724:M724)),0),SUM(J724:M724))),IF('חד גזעי'!$AM$5="כן",IF(_xlfn.IFNA(VLOOKUP(C724,'חד גזעי'!$AH$2:$AH$33,1,FALSE),SUM(J724:M724))&lt;21,_xlfn.IFNA(VLOOKUP(C724,'חד גזעי'!$AH$2:$AH$33,1,FALSE),SUM(J724:M724)),0),SUM(J724:M724)))</f>
        <v>#N/A</v>
      </c>
      <c r="O724" s="72">
        <f>IF('חד גזעי'!$AM$3 = "כן",IF(T724&gt;4,4,T724),T724)</f>
        <v>0</v>
      </c>
      <c r="P724" s="80">
        <f>IF(E724&lt;2,0,IF(Z724&gt;0,Z724,IF(N724 = 0,0,IF('חד גזעי'!$AM$2 = "לא",IF(F724&gt;19,W724,0),IF(F724&gt;9,Y724,0)))))</f>
        <v>0</v>
      </c>
      <c r="Q724" s="77"/>
      <c r="R724" s="76"/>
      <c r="S724" t="e">
        <f>VLOOKUP(C724,'חד גזעי'!$Y$4:$Y$18,1,0)</f>
        <v>#N/A</v>
      </c>
      <c r="T724" s="72">
        <f>IF('חד גזעי'!$AM$6="לא",IF(P724=0,IF(BC724="שימור",IF('חד גזעי'!$AM$4="לא",IF(BC724="לא בוגר",0,IF(BC724="לא קיים",0,IF(J724=0,0,I724*0.1))),IF(BC724="לא בוגר",0,IF(BC724="לא קיים",0,IF(AB724=1,I724*0.1,E724*0.5)))),0),IF('חד גזעי'!$AM$4="לא",IF(BC724="לא בוגר",0,IF(BC724="לא קיים",0,IF(J724=0,0,I724*0.1))),IF(BC724="לא בוגר",0,IF(BC724="לא קיים",0,IF(AB724=1,I724*0.1,E724*0.5))))),IF(P724=0,IF(BC724="שימור",IF('חד גזעי'!$AM$4="לא",IF(BC724="לא בוגר",0,IF(BC724="לא קיים",0,IF(J724=0,0,I724*0.15))),IF(BC724="לא בוגר",0,IF(BC724="לא קיים",0,IF(AB724=1,I724*0.15,E724*0.5)))),0),IF('חד גזעי'!$AM$4="לא",IF(BC724="לא בוגר",0,IF(BC724="לא קיים",0,IF(J724=0,0,I724*0.15))),IF(BC724="לא בוגר",0,IF(BC724="לא קיים",0,IF(AB724=1,I724*0.15,E724*0.5))))))</f>
        <v>0</v>
      </c>
      <c r="V724" t="e">
        <f t="shared" si="758"/>
        <v>#N/A</v>
      </c>
      <c r="W724" t="e">
        <f t="shared" si="759"/>
        <v>#N/A</v>
      </c>
      <c r="X724" t="e">
        <f t="shared" si="760"/>
        <v>#N/A</v>
      </c>
      <c r="Y724">
        <f>IF('חד גזעי'!$AM$2 = "לא",0,IF(F724&gt;9,W724,0))</f>
        <v>0</v>
      </c>
      <c r="Z724">
        <f>IF('חד גזעי'!$AM$7 = "לא",0,IF(C724 = "זית אירופי",IF('חד גזעי'!$AN$7 &lt;=סקר!F724,W724,0),IF(C724 = "חרוב מצוי",IF('חד גזעי'!$AN$7 &lt;=סקר!F724,W724,0),0)))</f>
        <v>0</v>
      </c>
      <c r="AB724">
        <f t="shared" si="737"/>
        <v>1</v>
      </c>
      <c r="AC724" s="72"/>
      <c r="AD724" t="e">
        <f t="shared" si="755"/>
        <v>#N/A</v>
      </c>
      <c r="AE724" s="72"/>
      <c r="AF724" s="72" t="e">
        <f t="shared" si="738"/>
        <v>#N/A</v>
      </c>
      <c r="AG724" s="72" t="e">
        <f>IF('חד גזעי'!$AM$5="לא",(VLOOKUP(C724,'חד גזעי'!$P$1:$S$589,3,FALSE)),(VLOOKUP(C724,'חד גזעי'!$P$1:$S$589,4,FALSE)))</f>
        <v>#N/A</v>
      </c>
      <c r="AH724" s="72">
        <f t="shared" si="739"/>
        <v>0</v>
      </c>
      <c r="AI724" s="72">
        <f t="shared" si="740"/>
        <v>0</v>
      </c>
      <c r="AJ724" s="72">
        <f t="shared" si="741"/>
        <v>0</v>
      </c>
      <c r="AK724" s="72" t="e">
        <f t="shared" si="742"/>
        <v>#N/A</v>
      </c>
      <c r="AL724" t="e">
        <f>VLOOKUP(C724,'חד גזעי'!$AH$8:$AI$33,2,FALSE)</f>
        <v>#N/A</v>
      </c>
      <c r="AM724" s="72" t="b">
        <f t="shared" si="743"/>
        <v>0</v>
      </c>
      <c r="AN724" s="72" t="b">
        <f t="shared" si="744"/>
        <v>0</v>
      </c>
      <c r="AO724" s="72" t="b">
        <f t="shared" si="745"/>
        <v>0</v>
      </c>
      <c r="AS724" s="72">
        <f t="shared" si="746"/>
        <v>0</v>
      </c>
      <c r="AT724" s="72">
        <f t="shared" si="747"/>
        <v>0</v>
      </c>
      <c r="AU724" s="72">
        <f t="shared" si="756"/>
        <v>0</v>
      </c>
      <c r="AV724" s="72">
        <f t="shared" si="748"/>
        <v>0</v>
      </c>
      <c r="AW724" s="72">
        <f t="shared" si="749"/>
        <v>0</v>
      </c>
      <c r="AX724" s="72">
        <f t="shared" si="750"/>
        <v>0</v>
      </c>
      <c r="AY724" s="72">
        <f t="shared" si="751"/>
        <v>0</v>
      </c>
      <c r="AZ724" s="72">
        <f t="shared" si="752"/>
        <v>0</v>
      </c>
      <c r="BA724" s="72" t="e">
        <f t="shared" si="753"/>
        <v>#N/A</v>
      </c>
      <c r="BB724" s="72" t="e">
        <f t="shared" si="754"/>
        <v>#N/A</v>
      </c>
      <c r="BC724" s="77"/>
      <c r="BE724">
        <f t="shared" si="734"/>
        <v>0</v>
      </c>
      <c r="BF724" s="196"/>
      <c r="BG724" s="196"/>
      <c r="BH724" s="196"/>
      <c r="BI724" s="196"/>
      <c r="BJ724" s="196"/>
      <c r="BK724" s="196"/>
    </row>
    <row r="725" spans="1:63" hidden="1">
      <c r="B725" s="72"/>
      <c r="C725" s="135"/>
      <c r="D725" s="73"/>
      <c r="E725" s="73"/>
      <c r="F725" s="72"/>
      <c r="G725" s="72"/>
      <c r="H725" s="72"/>
      <c r="I725" s="73">
        <f t="shared" si="736"/>
        <v>0</v>
      </c>
      <c r="J725" s="73"/>
      <c r="K725" s="73"/>
      <c r="L725" s="74" t="e">
        <f>_xlfn.IFNA(VLOOKUP(C725,'חד גזעי'!$U$3:$V$509,2,0),VLOOKUP(C725,'חד גזעי'!$U$3:$V$509,2))</f>
        <v>#N/A</v>
      </c>
      <c r="M725" s="73"/>
      <c r="N725" s="72" t="e">
        <f>_xlfn.IFNA(IF(VLOOKUP(C725,'חד גזעי'!$AH$2:$AH$7,1,FALSE)&gt;0,0,IF('חד גזעי'!$AM$5="כן",IF(_xlfn.IFNA(VLOOKUP(C725,'חד גזעי'!$AH$2:$AH$33,1,FALSE),SUM(J725:M725))&lt;21,_xlfn.IFNA(VLOOKUP(C725,'חד גזעי'!$AH$2:$AH$33,1,FALSE),SUM(J725:M725)),0),SUM(J725:M725))),IF('חד גזעי'!$AM$5="כן",IF(_xlfn.IFNA(VLOOKUP(C725,'חד גזעי'!$AH$2:$AH$33,1,FALSE),SUM(J725:M725))&lt;21,_xlfn.IFNA(VLOOKUP(C725,'חד גזעי'!$AH$2:$AH$33,1,FALSE),SUM(J725:M725)),0),SUM(J725:M725)))</f>
        <v>#N/A</v>
      </c>
      <c r="O725" s="72">
        <f>IF('חד גזעי'!$AM$3 = "כן",IF(T725&gt;4,4,T725),T725)</f>
        <v>0</v>
      </c>
      <c r="P725" s="80">
        <f>IF(E725&lt;2,0,IF(Z725&gt;0,Z725,IF(N725 = 0,0,IF('חד גזעי'!$AM$2 = "לא",IF(F725&gt;19,W725,0),IF(F725&gt;9,Y725,0)))))</f>
        <v>0</v>
      </c>
      <c r="Q725" s="77"/>
      <c r="R725" s="76"/>
      <c r="S725" t="e">
        <f>VLOOKUP(C725,'חד גזעי'!$Y$4:$Y$18,1,0)</f>
        <v>#N/A</v>
      </c>
      <c r="T725" s="72">
        <f>IF('חד גזעי'!$AM$6="לא",IF(P725=0,IF(BC725="שימור",IF('חד גזעי'!$AM$4="לא",IF(BC725="לא בוגר",0,IF(BC725="לא קיים",0,IF(J725=0,0,I725*0.1))),IF(BC725="לא בוגר",0,IF(BC725="לא קיים",0,IF(AB725=1,I725*0.1,E725*0.5)))),0),IF('חד גזעי'!$AM$4="לא",IF(BC725="לא בוגר",0,IF(BC725="לא קיים",0,IF(J725=0,0,I725*0.1))),IF(BC725="לא בוגר",0,IF(BC725="לא קיים",0,IF(AB725=1,I725*0.1,E725*0.5))))),IF(P725=0,IF(BC725="שימור",IF('חד גזעי'!$AM$4="לא",IF(BC725="לא בוגר",0,IF(BC725="לא קיים",0,IF(J725=0,0,I725*0.15))),IF(BC725="לא בוגר",0,IF(BC725="לא קיים",0,IF(AB725=1,I725*0.15,E725*0.5)))),0),IF('חד גזעי'!$AM$4="לא",IF(BC725="לא בוגר",0,IF(BC725="לא קיים",0,IF(J725=0,0,I725*0.15))),IF(BC725="לא בוגר",0,IF(BC725="לא קיים",0,IF(AB725=1,I725*0.15,E725*0.5))))))</f>
        <v>0</v>
      </c>
      <c r="V725" t="e">
        <f t="shared" si="758"/>
        <v>#N/A</v>
      </c>
      <c r="W725" t="e">
        <f t="shared" si="759"/>
        <v>#N/A</v>
      </c>
      <c r="X725" t="e">
        <f t="shared" si="760"/>
        <v>#N/A</v>
      </c>
      <c r="Y725">
        <f>IF('חד גזעי'!$AM$2 = "לא",0,IF(F725&gt;9,W725,0))</f>
        <v>0</v>
      </c>
      <c r="Z725">
        <f>IF('חד גזעי'!$AM$7 = "לא",0,IF(C725 = "זית אירופי",IF('חד גזעי'!$AN$7 &lt;=סקר!F725,W725,0),IF(C725 = "חרוב מצוי",IF('חד גזעי'!$AN$7 &lt;=סקר!F725,W725,0),0)))</f>
        <v>0</v>
      </c>
      <c r="AB725">
        <f t="shared" si="737"/>
        <v>1</v>
      </c>
      <c r="AC725" s="72"/>
      <c r="AD725" t="e">
        <f t="shared" si="755"/>
        <v>#N/A</v>
      </c>
      <c r="AE725" s="72"/>
      <c r="AF725" s="72" t="e">
        <f t="shared" si="738"/>
        <v>#N/A</v>
      </c>
      <c r="AG725" s="72" t="e">
        <f>IF('חד גזעי'!$AM$5="לא",(VLOOKUP(C725,'חד גזעי'!$P$1:$S$589,3,FALSE)),(VLOOKUP(C725,'חד גזעי'!$P$1:$S$589,4,FALSE)))</f>
        <v>#N/A</v>
      </c>
      <c r="AH725" s="72">
        <f t="shared" si="739"/>
        <v>0</v>
      </c>
      <c r="AI725" s="72">
        <f t="shared" si="740"/>
        <v>0</v>
      </c>
      <c r="AJ725" s="72">
        <f t="shared" si="741"/>
        <v>0</v>
      </c>
      <c r="AK725" s="72" t="e">
        <f t="shared" si="742"/>
        <v>#N/A</v>
      </c>
      <c r="AL725" t="e">
        <f>VLOOKUP(C725,'חד גזעי'!$AH$8:$AI$33,2,FALSE)</f>
        <v>#N/A</v>
      </c>
      <c r="AM725" s="72" t="b">
        <f t="shared" si="743"/>
        <v>0</v>
      </c>
      <c r="AN725" s="72" t="b">
        <f t="shared" si="744"/>
        <v>0</v>
      </c>
      <c r="AO725" s="72" t="b">
        <f t="shared" si="745"/>
        <v>0</v>
      </c>
      <c r="AS725" s="72">
        <f t="shared" si="746"/>
        <v>0</v>
      </c>
      <c r="AT725" s="72">
        <f t="shared" si="747"/>
        <v>0</v>
      </c>
      <c r="AU725" s="72">
        <f t="shared" si="756"/>
        <v>0</v>
      </c>
      <c r="AV725" s="72">
        <f t="shared" si="748"/>
        <v>0</v>
      </c>
      <c r="AW725" s="72">
        <f t="shared" si="749"/>
        <v>0</v>
      </c>
      <c r="AX725" s="72">
        <f t="shared" si="750"/>
        <v>0</v>
      </c>
      <c r="AY725" s="72">
        <f t="shared" si="751"/>
        <v>0</v>
      </c>
      <c r="AZ725" s="72">
        <f t="shared" si="752"/>
        <v>0</v>
      </c>
      <c r="BA725" s="72" t="e">
        <f t="shared" si="753"/>
        <v>#N/A</v>
      </c>
      <c r="BB725" s="72" t="e">
        <f t="shared" si="754"/>
        <v>#N/A</v>
      </c>
      <c r="BC725" s="77"/>
      <c r="BE725">
        <f t="shared" si="734"/>
        <v>0</v>
      </c>
      <c r="BF725" s="196"/>
      <c r="BG725" s="196"/>
      <c r="BH725" s="196"/>
      <c r="BI725" s="196"/>
      <c r="BJ725" s="196"/>
      <c r="BK725" s="196"/>
    </row>
    <row r="726" spans="1:63" hidden="1">
      <c r="B726" s="72"/>
      <c r="C726" s="135"/>
      <c r="D726" s="73"/>
      <c r="E726" s="73"/>
      <c r="F726" s="72"/>
      <c r="G726" s="72"/>
      <c r="H726" s="72"/>
      <c r="I726" s="73">
        <f t="shared" si="736"/>
        <v>0</v>
      </c>
      <c r="J726" s="73"/>
      <c r="K726" s="73"/>
      <c r="L726" s="74" t="e">
        <f>_xlfn.IFNA(VLOOKUP(C726,'חד גזעי'!$U$3:$V$509,2,0),VLOOKUP(C726,'חד גזעי'!$U$3:$V$509,2))</f>
        <v>#N/A</v>
      </c>
      <c r="M726" s="73"/>
      <c r="N726" s="72" t="e">
        <f>_xlfn.IFNA(IF(VLOOKUP(C726,'חד גזעי'!$AH$2:$AH$7,1,FALSE)&gt;0,0,IF('חד גזעי'!$AM$5="כן",IF(_xlfn.IFNA(VLOOKUP(C726,'חד גזעי'!$AH$2:$AH$33,1,FALSE),SUM(J726:M726))&lt;21,_xlfn.IFNA(VLOOKUP(C726,'חד גזעי'!$AH$2:$AH$33,1,FALSE),SUM(J726:M726)),0),SUM(J726:M726))),IF('חד גזעי'!$AM$5="כן",IF(_xlfn.IFNA(VLOOKUP(C726,'חד גזעי'!$AH$2:$AH$33,1,FALSE),SUM(J726:M726))&lt;21,_xlfn.IFNA(VLOOKUP(C726,'חד גזעי'!$AH$2:$AH$33,1,FALSE),SUM(J726:M726)),0),SUM(J726:M726)))</f>
        <v>#N/A</v>
      </c>
      <c r="O726" s="72">
        <f>IF('חד גזעי'!$AM$3 = "כן",IF(T726&gt;4,4,T726),T726)</f>
        <v>0</v>
      </c>
      <c r="P726" s="80">
        <f>IF(E726&lt;2,0,IF(Z726&gt;0,Z726,IF(N726 = 0,0,IF('חד גזעי'!$AM$2 = "לא",IF(F726&gt;19,W726,0),IF(F726&gt;9,Y726,0)))))</f>
        <v>0</v>
      </c>
      <c r="Q726" s="77"/>
      <c r="R726" s="76"/>
      <c r="S726" t="e">
        <f>VLOOKUP(C726,'חד גזעי'!$Y$4:$Y$18,1,0)</f>
        <v>#N/A</v>
      </c>
      <c r="T726" s="72">
        <f>IF('חד גזעי'!$AM$6="לא",IF(P726=0,IF(BC726="שימור",IF('חד גזעי'!$AM$4="לא",IF(BC726="לא בוגר",0,IF(BC726="לא קיים",0,IF(J726=0,0,I726*0.1))),IF(BC726="לא בוגר",0,IF(BC726="לא קיים",0,IF(AB726=1,I726*0.1,E726*0.5)))),0),IF('חד גזעי'!$AM$4="לא",IF(BC726="לא בוגר",0,IF(BC726="לא קיים",0,IF(J726=0,0,I726*0.1))),IF(BC726="לא בוגר",0,IF(BC726="לא קיים",0,IF(AB726=1,I726*0.1,E726*0.5))))),IF(P726=0,IF(BC726="שימור",IF('חד גזעי'!$AM$4="לא",IF(BC726="לא בוגר",0,IF(BC726="לא קיים",0,IF(J726=0,0,I726*0.15))),IF(BC726="לא בוגר",0,IF(BC726="לא קיים",0,IF(AB726=1,I726*0.15,E726*0.5)))),0),IF('חד גזעי'!$AM$4="לא",IF(BC726="לא בוגר",0,IF(BC726="לא קיים",0,IF(J726=0,0,I726*0.15))),IF(BC726="לא בוגר",0,IF(BC726="לא קיים",0,IF(AB726=1,I726*0.15,E726*0.5))))))</f>
        <v>0</v>
      </c>
      <c r="V726" t="e">
        <f t="shared" si="758"/>
        <v>#N/A</v>
      </c>
      <c r="W726" t="e">
        <f t="shared" si="759"/>
        <v>#N/A</v>
      </c>
      <c r="X726" t="e">
        <f t="shared" si="760"/>
        <v>#N/A</v>
      </c>
      <c r="Y726">
        <f>IF('חד גזעי'!$AM$2 = "לא",0,IF(F726&gt;9,W726,0))</f>
        <v>0</v>
      </c>
      <c r="Z726">
        <f>IF('חד גזעי'!$AM$7 = "לא",0,IF(C726 = "זית אירופי",IF('חד גזעי'!$AN$7 &lt;=סקר!F726,W726,0),IF(C726 = "חרוב מצוי",IF('חד גזעי'!$AN$7 &lt;=סקר!F726,W726,0),0)))</f>
        <v>0</v>
      </c>
      <c r="AB726">
        <f t="shared" si="737"/>
        <v>1</v>
      </c>
      <c r="AC726" s="72"/>
      <c r="AD726" t="e">
        <f t="shared" si="755"/>
        <v>#N/A</v>
      </c>
      <c r="AE726" s="72"/>
      <c r="AF726" s="72" t="e">
        <f t="shared" si="738"/>
        <v>#N/A</v>
      </c>
      <c r="AG726" s="72" t="e">
        <f>IF('חד גזעי'!$AM$5="לא",(VLOOKUP(C726,'חד גזעי'!$P$1:$S$589,3,FALSE)),(VLOOKUP(C726,'חד גזעי'!$P$1:$S$589,4,FALSE)))</f>
        <v>#N/A</v>
      </c>
      <c r="AH726" s="72">
        <f t="shared" si="739"/>
        <v>0</v>
      </c>
      <c r="AI726" s="72">
        <f t="shared" si="740"/>
        <v>0</v>
      </c>
      <c r="AJ726" s="72">
        <f t="shared" si="741"/>
        <v>0</v>
      </c>
      <c r="AK726" s="72" t="e">
        <f t="shared" si="742"/>
        <v>#N/A</v>
      </c>
      <c r="AL726" t="e">
        <f>VLOOKUP(C726,'חד גזעי'!$AH$8:$AI$33,2,FALSE)</f>
        <v>#N/A</v>
      </c>
      <c r="AM726" s="72" t="b">
        <f t="shared" si="743"/>
        <v>0</v>
      </c>
      <c r="AN726" s="72" t="b">
        <f t="shared" si="744"/>
        <v>0</v>
      </c>
      <c r="AO726" s="72" t="b">
        <f t="shared" si="745"/>
        <v>0</v>
      </c>
      <c r="AS726" s="72">
        <f t="shared" si="746"/>
        <v>0</v>
      </c>
      <c r="AT726" s="72">
        <f t="shared" si="747"/>
        <v>0</v>
      </c>
      <c r="AU726" s="72">
        <f t="shared" si="756"/>
        <v>0</v>
      </c>
      <c r="AV726" s="72">
        <f t="shared" si="748"/>
        <v>0</v>
      </c>
      <c r="AW726" s="72">
        <f t="shared" si="749"/>
        <v>0</v>
      </c>
      <c r="AX726" s="72">
        <f t="shared" si="750"/>
        <v>0</v>
      </c>
      <c r="AY726" s="72">
        <f t="shared" si="751"/>
        <v>0</v>
      </c>
      <c r="AZ726" s="72">
        <f t="shared" si="752"/>
        <v>0</v>
      </c>
      <c r="BA726" s="72" t="e">
        <f t="shared" si="753"/>
        <v>#N/A</v>
      </c>
      <c r="BB726" s="72" t="e">
        <f t="shared" si="754"/>
        <v>#N/A</v>
      </c>
      <c r="BC726" s="77"/>
      <c r="BE726">
        <f t="shared" si="734"/>
        <v>0</v>
      </c>
      <c r="BF726" s="196"/>
      <c r="BG726" s="196"/>
      <c r="BH726" s="196"/>
      <c r="BI726" s="196"/>
      <c r="BJ726" s="196"/>
      <c r="BK726" s="196"/>
    </row>
    <row r="727" spans="1:63" ht="12.75" hidden="1" customHeight="1">
      <c r="B727" s="72"/>
      <c r="C727" s="135"/>
      <c r="D727" s="73"/>
      <c r="E727" s="73"/>
      <c r="F727" s="72"/>
      <c r="G727" s="72"/>
      <c r="H727" s="72"/>
      <c r="I727" s="73">
        <f t="shared" si="736"/>
        <v>0</v>
      </c>
      <c r="J727" s="73"/>
      <c r="K727" s="73"/>
      <c r="L727" s="74" t="e">
        <f>_xlfn.IFNA(VLOOKUP(C727,'חד גזעי'!$U$3:$V$509,2,0),VLOOKUP(C727,'חד גזעי'!$U$3:$V$509,2))</f>
        <v>#N/A</v>
      </c>
      <c r="M727" s="73"/>
      <c r="N727" s="72" t="e">
        <f>_xlfn.IFNA(IF(VLOOKUP(C727,'חד גזעי'!$AH$2:$AH$7,1,FALSE)&gt;0,0,IF('חד גזעי'!$AM$5="כן",IF(_xlfn.IFNA(VLOOKUP(C727,'חד גזעי'!$AH$2:$AH$33,1,FALSE),SUM(J727:M727))&lt;21,_xlfn.IFNA(VLOOKUP(C727,'חד גזעי'!$AH$2:$AH$33,1,FALSE),SUM(J727:M727)),0),SUM(J727:M727))),IF('חד גזעי'!$AM$5="כן",IF(_xlfn.IFNA(VLOOKUP(C727,'חד גזעי'!$AH$2:$AH$33,1,FALSE),SUM(J727:M727))&lt;21,_xlfn.IFNA(VLOOKUP(C727,'חד גזעי'!$AH$2:$AH$33,1,FALSE),SUM(J727:M727)),0),SUM(J727:M727)))</f>
        <v>#N/A</v>
      </c>
      <c r="O727" s="72">
        <f>IF('חד גזעי'!$AM$3 = "כן",IF(T727&gt;4,4,T727),T727)</f>
        <v>0</v>
      </c>
      <c r="P727" s="80">
        <f>IF(E727&lt;2,0,IF(Z727&gt;0,Z727,IF(N727 = 0,0,IF('חד גזעי'!$AM$2 = "לא",IF(F727&gt;19,W727,0),IF(F727&gt;9,Y727,0)))))</f>
        <v>0</v>
      </c>
      <c r="Q727" s="77"/>
      <c r="R727" s="76"/>
      <c r="S727" t="e">
        <f>VLOOKUP(C727,'חד גזעי'!$Y$4:$Y$18,1,0)</f>
        <v>#N/A</v>
      </c>
      <c r="T727" s="72">
        <f>IF('חד גזעי'!$AM$6="לא",IF(P727=0,IF(BC727="שימור",IF('חד גזעי'!$AM$4="לא",IF(BC727="לא בוגר",0,IF(BC727="לא קיים",0,IF(J727=0,0,I727*0.1))),IF(BC727="לא בוגר",0,IF(BC727="לא קיים",0,IF(AB727=1,I727*0.1,E727*0.5)))),0),IF('חד גזעי'!$AM$4="לא",IF(BC727="לא בוגר",0,IF(BC727="לא קיים",0,IF(J727=0,0,I727*0.1))),IF(BC727="לא בוגר",0,IF(BC727="לא קיים",0,IF(AB727=1,I727*0.1,E727*0.5))))),IF(P727=0,IF(BC727="שימור",IF('חד גזעי'!$AM$4="לא",IF(BC727="לא בוגר",0,IF(BC727="לא קיים",0,IF(J727=0,0,I727*0.15))),IF(BC727="לא בוגר",0,IF(BC727="לא קיים",0,IF(AB727=1,I727*0.15,E727*0.5)))),0),IF('חד גזעי'!$AM$4="לא",IF(BC727="לא בוגר",0,IF(BC727="לא קיים",0,IF(J727=0,0,I727*0.15))),IF(BC727="לא בוגר",0,IF(BC727="לא קיים",0,IF(AB727=1,I727*0.15,E727*0.5))))))</f>
        <v>0</v>
      </c>
      <c r="V727" t="e">
        <f t="shared" si="758"/>
        <v>#N/A</v>
      </c>
      <c r="W727" t="e">
        <f t="shared" si="759"/>
        <v>#N/A</v>
      </c>
      <c r="X727" t="e">
        <f t="shared" si="760"/>
        <v>#N/A</v>
      </c>
      <c r="Y727">
        <f>IF('חד גזעי'!$AM$2 = "לא",0,IF(F727&gt;9,W727,0))</f>
        <v>0</v>
      </c>
      <c r="Z727">
        <f>IF('חד גזעי'!$AM$7 = "לא",0,IF(C727 = "זית אירופי",IF('חד גזעי'!$AN$7 &lt;=סקר!F727,W727,0),IF(C727 = "חרוב מצוי",IF('חד גזעי'!$AN$7 &lt;=סקר!F727,W727,0),0)))</f>
        <v>0</v>
      </c>
      <c r="AB727">
        <f t="shared" si="737"/>
        <v>1</v>
      </c>
      <c r="AC727" s="72"/>
      <c r="AD727" t="e">
        <f t="shared" si="755"/>
        <v>#N/A</v>
      </c>
      <c r="AE727" s="72"/>
      <c r="AF727" s="72" t="e">
        <f t="shared" si="738"/>
        <v>#N/A</v>
      </c>
      <c r="AG727" s="72" t="e">
        <f>IF('חד גזעי'!$AM$5="לא",(VLOOKUP(C727,'חד גזעי'!$P$1:$S$589,3,FALSE)),(VLOOKUP(C727,'חד גזעי'!$P$1:$S$589,4,FALSE)))</f>
        <v>#N/A</v>
      </c>
      <c r="AH727" s="72">
        <f t="shared" si="739"/>
        <v>0</v>
      </c>
      <c r="AI727" s="72">
        <f t="shared" si="740"/>
        <v>0</v>
      </c>
      <c r="AJ727" s="72">
        <f t="shared" si="741"/>
        <v>0</v>
      </c>
      <c r="AK727" s="72" t="e">
        <f t="shared" si="742"/>
        <v>#N/A</v>
      </c>
      <c r="AL727" t="e">
        <f>VLOOKUP(C727,'חד גזעי'!$AH$8:$AI$33,2,FALSE)</f>
        <v>#N/A</v>
      </c>
      <c r="AM727" s="72" t="b">
        <f t="shared" si="743"/>
        <v>0</v>
      </c>
      <c r="AN727" s="72" t="b">
        <f t="shared" si="744"/>
        <v>0</v>
      </c>
      <c r="AO727" s="72" t="b">
        <f t="shared" si="745"/>
        <v>0</v>
      </c>
      <c r="AS727" s="72">
        <f t="shared" si="746"/>
        <v>0</v>
      </c>
      <c r="AT727" s="72">
        <f t="shared" si="747"/>
        <v>0</v>
      </c>
      <c r="AU727" s="72">
        <f t="shared" si="756"/>
        <v>0</v>
      </c>
      <c r="AV727" s="72">
        <f t="shared" si="748"/>
        <v>0</v>
      </c>
      <c r="AW727" s="72">
        <f t="shared" si="749"/>
        <v>0</v>
      </c>
      <c r="AX727" s="72">
        <f t="shared" si="750"/>
        <v>0</v>
      </c>
      <c r="AY727" s="72">
        <f t="shared" si="751"/>
        <v>0</v>
      </c>
      <c r="AZ727" s="72">
        <f t="shared" si="752"/>
        <v>0</v>
      </c>
      <c r="BA727" s="72" t="e">
        <f t="shared" si="753"/>
        <v>#N/A</v>
      </c>
      <c r="BB727" s="72" t="e">
        <f t="shared" si="754"/>
        <v>#N/A</v>
      </c>
      <c r="BC727" s="77"/>
      <c r="BE727">
        <f t="shared" si="734"/>
        <v>0</v>
      </c>
      <c r="BF727" s="196"/>
      <c r="BG727" s="196"/>
      <c r="BH727" s="196"/>
      <c r="BI727" s="196"/>
      <c r="BJ727" s="196"/>
      <c r="BK727" s="196"/>
    </row>
    <row r="728" spans="1:63" ht="12.75" hidden="1" customHeight="1">
      <c r="B728" s="72"/>
      <c r="C728" s="135"/>
      <c r="D728" s="73"/>
      <c r="E728" s="73"/>
      <c r="F728" s="72"/>
      <c r="G728" s="72"/>
      <c r="H728" s="72"/>
      <c r="I728" s="73">
        <f t="shared" si="736"/>
        <v>0</v>
      </c>
      <c r="J728" s="73"/>
      <c r="K728" s="73"/>
      <c r="L728" s="74" t="e">
        <f>_xlfn.IFNA(VLOOKUP(C728,'חד גזעי'!$U$3:$V$509,2,0),VLOOKUP(C728,'חד גזעי'!$U$3:$V$509,2))</f>
        <v>#N/A</v>
      </c>
      <c r="M728" s="73"/>
      <c r="N728" s="72" t="e">
        <f>_xlfn.IFNA(IF(VLOOKUP(C728,'חד גזעי'!$AH$2:$AH$7,1,FALSE)&gt;0,0,IF('חד גזעי'!$AM$5="כן",IF(_xlfn.IFNA(VLOOKUP(C728,'חד גזעי'!$AH$2:$AH$33,1,FALSE),SUM(J728:M728))&lt;21,_xlfn.IFNA(VLOOKUP(C728,'חד גזעי'!$AH$2:$AH$33,1,FALSE),SUM(J728:M728)),0),SUM(J728:M728))),IF('חד גזעי'!$AM$5="כן",IF(_xlfn.IFNA(VLOOKUP(C728,'חד גזעי'!$AH$2:$AH$33,1,FALSE),SUM(J728:M728))&lt;21,_xlfn.IFNA(VLOOKUP(C728,'חד גזעי'!$AH$2:$AH$33,1,FALSE),SUM(J728:M728)),0),SUM(J728:M728)))</f>
        <v>#N/A</v>
      </c>
      <c r="O728" s="72">
        <f>IF('חד גזעי'!$AM$3 = "כן",IF(T728&gt;4,4,T728),T728)</f>
        <v>0</v>
      </c>
      <c r="P728" s="80">
        <f>IF(E728&lt;2,0,IF(Z728&gt;0,Z728,IF(N728 = 0,0,IF('חד גזעי'!$AM$2 = "לא",IF(F728&gt;19,W728,0),IF(F728&gt;9,Y728,0)))))</f>
        <v>0</v>
      </c>
      <c r="Q728" s="77"/>
      <c r="R728" s="76"/>
      <c r="S728" t="e">
        <f>VLOOKUP(C728,'חד גזעי'!$Y$4:$Y$18,1,0)</f>
        <v>#N/A</v>
      </c>
      <c r="T728" s="72">
        <f>IF('חד גזעי'!$AM$6="לא",IF(P728=0,IF(BC728="שימור",IF('חד גזעי'!$AM$4="לא",IF(BC728="לא בוגר",0,IF(BC728="לא קיים",0,IF(J728=0,0,I728*0.1))),IF(BC728="לא בוגר",0,IF(BC728="לא קיים",0,IF(AB728=1,I728*0.1,E728*0.5)))),0),IF('חד גזעי'!$AM$4="לא",IF(BC728="לא בוגר",0,IF(BC728="לא קיים",0,IF(J728=0,0,I728*0.1))),IF(BC728="לא בוגר",0,IF(BC728="לא קיים",0,IF(AB728=1,I728*0.1,E728*0.5))))),IF(P728=0,IF(BC728="שימור",IF('חד גזעי'!$AM$4="לא",IF(BC728="לא בוגר",0,IF(BC728="לא קיים",0,IF(J728=0,0,I728*0.15))),IF(BC728="לא בוגר",0,IF(BC728="לא קיים",0,IF(AB728=1,I728*0.15,E728*0.5)))),0),IF('חד גזעי'!$AM$4="לא",IF(BC728="לא בוגר",0,IF(BC728="לא קיים",0,IF(J728=0,0,I728*0.15))),IF(BC728="לא בוגר",0,IF(BC728="לא קיים",0,IF(AB728=1,I728*0.15,E728*0.5))))))</f>
        <v>0</v>
      </c>
      <c r="V728" t="e">
        <f t="shared" si="758"/>
        <v>#N/A</v>
      </c>
      <c r="W728" t="e">
        <f t="shared" si="759"/>
        <v>#N/A</v>
      </c>
      <c r="X728" t="e">
        <f t="shared" si="760"/>
        <v>#N/A</v>
      </c>
      <c r="Y728">
        <f>IF('חד גזעי'!$AM$2 = "לא",0,IF(F728&gt;9,W728,0))</f>
        <v>0</v>
      </c>
      <c r="Z728">
        <f>IF('חד גזעי'!$AM$7 = "לא",0,IF(C728 = "זית אירופי",IF('חד גזעי'!$AN$7 &lt;=סקר!F728,W728,0),IF(C728 = "חרוב מצוי",IF('חד גזעי'!$AN$7 &lt;=סקר!F728,W728,0),0)))</f>
        <v>0</v>
      </c>
      <c r="AB728">
        <f t="shared" si="737"/>
        <v>1</v>
      </c>
      <c r="AC728" s="72"/>
      <c r="AD728" t="e">
        <f t="shared" si="755"/>
        <v>#N/A</v>
      </c>
      <c r="AE728" s="72"/>
      <c r="AF728" s="72" t="e">
        <f t="shared" si="738"/>
        <v>#N/A</v>
      </c>
      <c r="AG728" s="72" t="e">
        <f>IF('חד גזעי'!$AM$5="לא",(VLOOKUP(C728,'חד גזעי'!$P$1:$S$589,3,FALSE)),(VLOOKUP(C728,'חד גזעי'!$P$1:$S$589,4,FALSE)))</f>
        <v>#N/A</v>
      </c>
      <c r="AH728" s="72">
        <f t="shared" si="739"/>
        <v>0</v>
      </c>
      <c r="AI728" s="72">
        <f t="shared" si="740"/>
        <v>0</v>
      </c>
      <c r="AJ728" s="72">
        <f t="shared" si="741"/>
        <v>0</v>
      </c>
      <c r="AK728" s="72" t="e">
        <f t="shared" si="742"/>
        <v>#N/A</v>
      </c>
      <c r="AL728" t="e">
        <f>VLOOKUP(C728,'חד גזעי'!$AH$8:$AI$33,2,FALSE)</f>
        <v>#N/A</v>
      </c>
      <c r="AM728" s="72" t="b">
        <f t="shared" si="743"/>
        <v>0</v>
      </c>
      <c r="AN728" s="72" t="b">
        <f t="shared" si="744"/>
        <v>0</v>
      </c>
      <c r="AO728" s="72" t="b">
        <f t="shared" si="745"/>
        <v>0</v>
      </c>
      <c r="AS728" s="72">
        <f t="shared" si="746"/>
        <v>0</v>
      </c>
      <c r="AT728" s="72">
        <f t="shared" si="747"/>
        <v>0</v>
      </c>
      <c r="AU728" s="72">
        <f t="shared" si="756"/>
        <v>0</v>
      </c>
      <c r="AV728" s="72">
        <f t="shared" si="748"/>
        <v>0</v>
      </c>
      <c r="AW728" s="72">
        <f t="shared" si="749"/>
        <v>0</v>
      </c>
      <c r="AX728" s="72">
        <f t="shared" si="750"/>
        <v>0</v>
      </c>
      <c r="AY728" s="72">
        <f t="shared" si="751"/>
        <v>0</v>
      </c>
      <c r="AZ728" s="72">
        <f t="shared" si="752"/>
        <v>0</v>
      </c>
      <c r="BA728" s="72" t="e">
        <f t="shared" si="753"/>
        <v>#N/A</v>
      </c>
      <c r="BB728" s="72" t="e">
        <f t="shared" si="754"/>
        <v>#N/A</v>
      </c>
      <c r="BC728" s="77"/>
      <c r="BE728">
        <f t="shared" si="734"/>
        <v>0</v>
      </c>
      <c r="BF728" s="196"/>
      <c r="BG728" s="196"/>
      <c r="BH728" s="196"/>
      <c r="BI728" s="196"/>
      <c r="BJ728" s="196"/>
      <c r="BK728" s="196"/>
    </row>
    <row r="729" spans="1:63" ht="12.75" hidden="1" customHeight="1">
      <c r="B729" s="71"/>
      <c r="C729" s="69"/>
      <c r="Q729" s="86"/>
      <c r="T729" s="72">
        <f>IF('חד גזעי'!$AM$6="לא",IF(P729=0,IF(BC729="שימור",IF('חד גזעי'!$AM$4="לא",IF(BC729="לא בוגר",0,IF(BC729="לא קיים",0,IF(J729=0,0,I729*0.1))),IF(BC729="לא בוגר",0,IF(BC729="לא קיים",0,IF(AB729=1,I729*0.1,E729*0.5)))),0),IF('חד גזעי'!$AM$4="לא",IF(BC729="לא בוגר",0,IF(BC729="לא קיים",0,IF(J729=0,0,I729*0.1))),IF(BC729="לא בוגר",0,IF(BC729="לא קיים",0,IF(AB729=1,I729*0.1,E729*0.5))))),IF(P729=0,IF(BC729="שימור",IF('חד גזעי'!$AM$4="לא",IF(BC729="לא בוגר",0,IF(BC729="לא קיים",0,IF(J729=0,0,I729*0.15))),IF(BC729="לא בוגר",0,IF(BC729="לא קיים",0,IF(AB729=1,I729*0.15,E729*0.5)))),0),IF('חד גזעי'!$AM$4="לא",IF(BC729="לא בוגר",0,IF(BC729="לא קיים",0,IF(J729=0,0,I729*0.15))),IF(BC729="לא בוגר",0,IF(BC729="לא קיים",0,IF(AB729=1,I729*0.15,E729*0.5))))))</f>
        <v>0</v>
      </c>
      <c r="V729">
        <f t="shared" si="758"/>
        <v>0</v>
      </c>
      <c r="W729">
        <f t="shared" si="759"/>
        <v>0</v>
      </c>
      <c r="X729">
        <f t="shared" si="760"/>
        <v>0</v>
      </c>
      <c r="Y729">
        <f>IF('חד גזעי'!$AM$2 = "לא",0,IF(F729&gt;9,W729,0))</f>
        <v>0</v>
      </c>
      <c r="Z729">
        <f>IF('חד גזעי'!$AM$7 = "לא",0,IF(C729 = "זית אירופי",IF('חד גזעי'!$AN$7 &lt;=סקר!F729,W729,0),IF(C729 = "חרוב מצוי",IF('חד גזעי'!$AN$7 &lt;=סקר!F729,W729,0),0)))</f>
        <v>0</v>
      </c>
      <c r="AD729" s="69" t="s">
        <v>807</v>
      </c>
      <c r="BE729">
        <f t="shared" si="734"/>
        <v>0</v>
      </c>
      <c r="BF729" s="196"/>
      <c r="BG729" s="196"/>
      <c r="BH729" s="196"/>
      <c r="BI729" s="196"/>
      <c r="BJ729" s="196"/>
      <c r="BK729" s="196"/>
    </row>
    <row r="730" spans="1:63" ht="12.75" hidden="1" customHeight="1">
      <c r="A730" s="129"/>
      <c r="B730" s="132"/>
      <c r="C730" s="133"/>
      <c r="D730" s="129"/>
      <c r="E730" s="129"/>
      <c r="F730" s="129"/>
      <c r="G730" s="129"/>
      <c r="H730" s="129"/>
      <c r="I730" s="129"/>
      <c r="J730" s="129"/>
      <c r="K730" s="129"/>
      <c r="L730" s="129"/>
      <c r="M730" s="129"/>
      <c r="N730" s="129"/>
      <c r="O730" s="129"/>
      <c r="P730" s="129"/>
      <c r="Q730" s="134"/>
      <c r="R730" s="129"/>
      <c r="S730" s="129"/>
      <c r="T730" s="72">
        <f>IF('חד גזעי'!$AM$6="לא",IF(P730=0,IF(BC730="שימור",IF('חד גזעי'!$AM$4="לא",IF(BC730="לא בוגר",0,IF(BC730="לא קיים",0,IF(J730=0,0,I730*0.1))),IF(BC730="לא בוגר",0,IF(BC730="לא קיים",0,IF(AB730=1,I730*0.1,E730*0.5)))),0),IF('חד גזעי'!$AM$4="לא",IF(BC730="לא בוגר",0,IF(BC730="לא קיים",0,IF(J730=0,0,I730*0.1))),IF(BC730="לא בוגר",0,IF(BC730="לא קיים",0,IF(AB730=1,I730*0.1,E730*0.5))))),IF(P730=0,IF(BC730="שימור",IF('חד גזעי'!$AM$4="לא",IF(BC730="לא בוגר",0,IF(BC730="לא קיים",0,IF(J730=0,0,I730*0.15))),IF(BC730="לא בוגר",0,IF(BC730="לא קיים",0,IF(AB730=1,I730*0.15,E730*0.5)))),0),IF('חד גזעי'!$AM$4="לא",IF(BC730="לא בוגר",0,IF(BC730="לא קיים",0,IF(J730=0,0,I730*0.15))),IF(BC730="לא בוגר",0,IF(BC730="לא קיים",0,IF(AB730=1,I730*0.15,E730*0.5))))))</f>
        <v>0</v>
      </c>
      <c r="U730" s="129"/>
      <c r="V730">
        <f t="shared" si="758"/>
        <v>0</v>
      </c>
      <c r="W730">
        <f t="shared" si="759"/>
        <v>0</v>
      </c>
      <c r="X730">
        <f t="shared" si="760"/>
        <v>0</v>
      </c>
      <c r="Y730">
        <f>IF('חד גזעי'!$AM$2 = "לא",0,IF(F730&gt;9,W730,0))</f>
        <v>0</v>
      </c>
      <c r="Z730">
        <f>IF('חד גזעי'!$AM$7 = "לא",0,IF(C730 = "זית אירופי",IF('חד גזעי'!$AN$7 &lt;=סקר!F730,W730,0),IF(C730 = "חרוב מצוי",IF('חד גזעי'!$AN$7 &lt;=סקר!F730,W730,0),0)))</f>
        <v>0</v>
      </c>
      <c r="AA730" s="129"/>
      <c r="AB730" s="129"/>
      <c r="AC730" s="129"/>
      <c r="AD730" s="133"/>
      <c r="AE730" s="129"/>
      <c r="AF730" s="129"/>
      <c r="AG730" s="129"/>
      <c r="AH730" s="129"/>
      <c r="AI730" s="129"/>
      <c r="AJ730" s="129"/>
      <c r="AK730" s="129"/>
      <c r="AL730" s="129"/>
      <c r="AM730" s="129"/>
      <c r="AN730" s="129"/>
      <c r="AO730" s="129"/>
      <c r="AP730" s="129"/>
      <c r="AQ730" s="129"/>
      <c r="AR730" s="129"/>
      <c r="AS730" s="129"/>
      <c r="AT730" s="129"/>
      <c r="AU730" s="129"/>
      <c r="AV730" s="129"/>
      <c r="AW730" s="129"/>
      <c r="AX730" s="129"/>
      <c r="AY730" s="129"/>
      <c r="AZ730" s="129"/>
      <c r="BA730" s="129"/>
      <c r="BB730" s="129"/>
      <c r="BC730" s="129"/>
      <c r="BD730" s="129"/>
      <c r="BE730" s="129"/>
      <c r="BF730" s="129">
        <f>_xlfn.IFNA(_xlfn.IFNA(_xlfn.TEXTBEFORE(BF712,"--"),_xlfn.TEXTBEFORE(BF712,",")),BF712)</f>
        <v>0</v>
      </c>
      <c r="BG730" s="129">
        <f t="shared" ref="BG730:BK730" si="761">_xlfn.IFNA(_xlfn.IFNA(_xlfn.TEXTBEFORE(BG712,"--"),_xlfn.TEXTBEFORE(BG712,",")),BG712)</f>
        <v>0</v>
      </c>
      <c r="BH730" s="129">
        <f t="shared" si="761"/>
        <v>0</v>
      </c>
      <c r="BI730" s="129">
        <f>_xlfn.IFNA(_xlfn.IFNA(_xlfn.TEXTBEFORE(BI712,"--"),_xlfn.TEXTBEFORE(BI712,",")),BI712)</f>
        <v>0</v>
      </c>
      <c r="BJ730" s="129">
        <f t="shared" si="761"/>
        <v>0</v>
      </c>
      <c r="BK730" s="129">
        <f t="shared" si="761"/>
        <v>0</v>
      </c>
    </row>
    <row r="731" spans="1:63" ht="12.75" hidden="1" customHeight="1">
      <c r="A731" s="129"/>
      <c r="B731" s="132"/>
      <c r="C731" s="133"/>
      <c r="D731" s="129"/>
      <c r="E731" s="129"/>
      <c r="F731" s="129"/>
      <c r="G731" s="129"/>
      <c r="H731" s="129"/>
      <c r="I731" s="129"/>
      <c r="J731" s="129"/>
      <c r="K731" s="129"/>
      <c r="L731" s="129"/>
      <c r="M731" s="129"/>
      <c r="N731" s="129"/>
      <c r="O731" s="129"/>
      <c r="P731" s="129"/>
      <c r="Q731" s="134"/>
      <c r="R731" s="129"/>
      <c r="S731" s="129"/>
      <c r="T731" s="72">
        <f>IF('חד גזעי'!$AM$6="לא",IF(P731=0,IF(BC731="שימור",IF('חד גזעי'!$AM$4="לא",IF(BC731="לא בוגר",0,IF(BC731="לא קיים",0,IF(J731=0,0,I731*0.1))),IF(BC731="לא בוגר",0,IF(BC731="לא קיים",0,IF(AB731=1,I731*0.1,E731*0.5)))),0),IF('חד גזעי'!$AM$4="לא",IF(BC731="לא בוגר",0,IF(BC731="לא קיים",0,IF(J731=0,0,I731*0.1))),IF(BC731="לא בוגר",0,IF(BC731="לא קיים",0,IF(AB731=1,I731*0.1,E731*0.5))))),IF(P731=0,IF(BC731="שימור",IF('חד גזעי'!$AM$4="לא",IF(BC731="לא בוגר",0,IF(BC731="לא קיים",0,IF(J731=0,0,I731*0.15))),IF(BC731="לא בוגר",0,IF(BC731="לא קיים",0,IF(AB731=1,I731*0.15,E731*0.5)))),0),IF('חד גזעי'!$AM$4="לא",IF(BC731="לא בוגר",0,IF(BC731="לא קיים",0,IF(J731=0,0,I731*0.15))),IF(BC731="לא בוגר",0,IF(BC731="לא קיים",0,IF(AB731=1,I731*0.15,E731*0.5))))))</f>
        <v>0</v>
      </c>
      <c r="U731" s="129"/>
      <c r="V731">
        <f t="shared" si="758"/>
        <v>0</v>
      </c>
      <c r="W731">
        <f t="shared" si="759"/>
        <v>0</v>
      </c>
      <c r="X731">
        <f t="shared" si="760"/>
        <v>0</v>
      </c>
      <c r="Y731">
        <f>IF('חד גזעי'!$AM$2 = "לא",0,IF(F731&gt;9,W731,0))</f>
        <v>0</v>
      </c>
      <c r="Z731">
        <f>IF('חד גזעי'!$AM$7 = "לא",0,IF(C731 = "זית אירופי",IF('חד גזעי'!$AN$7 &lt;=סקר!F731,W731,0),IF(C731 = "חרוב מצוי",IF('חד גזעי'!$AN$7 &lt;=סקר!F731,W731,0),0)))</f>
        <v>0</v>
      </c>
      <c r="AA731" s="129"/>
      <c r="AB731" s="129"/>
      <c r="AC731" s="129"/>
      <c r="AD731" s="133"/>
      <c r="AE731" s="129"/>
      <c r="AF731" s="129"/>
      <c r="AG731" s="129"/>
      <c r="AH731" s="129"/>
      <c r="AI731" s="129"/>
      <c r="AJ731" s="129"/>
      <c r="AK731" s="129"/>
      <c r="AL731" s="129"/>
      <c r="AM731" s="129"/>
      <c r="AN731" s="129"/>
      <c r="AO731" s="129"/>
      <c r="AP731" s="129"/>
      <c r="AQ731" s="129"/>
      <c r="AR731" s="129"/>
      <c r="AS731" s="129"/>
      <c r="AT731" s="129"/>
      <c r="AU731" s="129"/>
      <c r="AV731" s="129"/>
      <c r="AW731" s="129"/>
      <c r="AX731" s="129"/>
      <c r="AY731" s="129"/>
      <c r="AZ731" s="129"/>
      <c r="BA731" s="129"/>
      <c r="BB731" s="129"/>
      <c r="BC731" s="129"/>
      <c r="BD731" s="129"/>
      <c r="BE731" s="129"/>
      <c r="BF731" s="129" t="str">
        <f>"C:\Users\origr\Pictures\"&amp;BF730&amp;".jpg"</f>
        <v>C:\Users\origr\Pictures\0.jpg</v>
      </c>
      <c r="BG731" s="129" t="str">
        <f t="shared" ref="BG731" si="762">"C:\Users\origr\Pictures\"&amp;BG730&amp;".jpg"</f>
        <v>C:\Users\origr\Pictures\0.jpg</v>
      </c>
      <c r="BH731" s="129" t="str">
        <f t="shared" ref="BH731" si="763">"C:\Users\origr\Pictures\"&amp;BH730&amp;".jpg"</f>
        <v>C:\Users\origr\Pictures\0.jpg</v>
      </c>
      <c r="BI731" s="129" t="str">
        <f t="shared" ref="BI731" si="764">"C:\Users\origr\Pictures\"&amp;BI730&amp;".jpg"</f>
        <v>C:\Users\origr\Pictures\0.jpg</v>
      </c>
      <c r="BJ731" s="129" t="str">
        <f t="shared" ref="BJ731" si="765">"C:\Users\origr\Pictures\"&amp;BJ730&amp;".jpg"</f>
        <v>C:\Users\origr\Pictures\0.jpg</v>
      </c>
      <c r="BK731" s="129" t="str">
        <f t="shared" ref="BK731" si="766">"C:\Users\origr\Pictures\"&amp;BK730&amp;".jpg"</f>
        <v>C:\Users\origr\Pictures\0.jpg</v>
      </c>
    </row>
    <row r="732" spans="1:63" ht="14.25" hidden="1">
      <c r="A732" s="129"/>
      <c r="B732" s="132"/>
      <c r="C732" s="133"/>
      <c r="D732" s="129"/>
      <c r="E732" s="129"/>
      <c r="F732" s="129"/>
      <c r="G732" s="129"/>
      <c r="H732" s="129"/>
      <c r="I732" s="129"/>
      <c r="J732" s="129"/>
      <c r="K732" s="129"/>
      <c r="L732" s="129"/>
      <c r="M732" s="129"/>
      <c r="N732" s="129"/>
      <c r="O732" s="129"/>
      <c r="P732" s="129"/>
      <c r="Q732" s="134"/>
      <c r="R732" s="129"/>
      <c r="S732" s="129"/>
      <c r="T732" s="72">
        <f>IF('חד גזעי'!$AM$6="לא",IF(P732=0,IF(BC732="שימור",IF('חד גזעי'!$AM$4="לא",IF(BC732="לא בוגר",0,IF(BC732="לא קיים",0,IF(J732=0,0,I732*0.1))),IF(BC732="לא בוגר",0,IF(BC732="לא קיים",0,IF(AB732=1,I732*0.1,E732*0.5)))),0),IF('חד גזעי'!$AM$4="לא",IF(BC732="לא בוגר",0,IF(BC732="לא קיים",0,IF(J732=0,0,I732*0.1))),IF(BC732="לא בוגר",0,IF(BC732="לא קיים",0,IF(AB732=1,I732*0.1,E732*0.5))))),IF(P732=0,IF(BC732="שימור",IF('חד גזעי'!$AM$4="לא",IF(BC732="לא בוגר",0,IF(BC732="לא קיים",0,IF(J732=0,0,I732*0.15))),IF(BC732="לא בוגר",0,IF(BC732="לא קיים",0,IF(AB732=1,I732*0.15,E732*0.5)))),0),IF('חד גזעי'!$AM$4="לא",IF(BC732="לא בוגר",0,IF(BC732="לא קיים",0,IF(J732=0,0,I732*0.15))),IF(BC732="לא בוגר",0,IF(BC732="לא קיים",0,IF(AB732=1,I732*0.15,E732*0.5))))))</f>
        <v>0</v>
      </c>
      <c r="U732" s="129"/>
      <c r="V732">
        <f t="shared" si="758"/>
        <v>0</v>
      </c>
      <c r="W732">
        <f t="shared" si="759"/>
        <v>0</v>
      </c>
      <c r="X732">
        <f t="shared" si="760"/>
        <v>0</v>
      </c>
      <c r="Y732">
        <f>IF('חד גזעי'!$AM$2 = "לא",0,IF(F732&gt;9,W732,0))</f>
        <v>0</v>
      </c>
      <c r="Z732">
        <f>IF('חד גזעי'!$AM$7 = "לא",0,IF(C732 = "זית אירופי",IF('חד גזעי'!$AN$7 &lt;=סקר!F732,W732,0),IF(C732 = "חרוב מצוי",IF('חד גזעי'!$AN$7 &lt;=סקר!F732,W732,0),0)))</f>
        <v>0</v>
      </c>
      <c r="AA732" s="129"/>
      <c r="AB732" s="129"/>
      <c r="AC732" s="129"/>
      <c r="AD732" s="133"/>
      <c r="AE732" s="129"/>
      <c r="AF732" s="129"/>
      <c r="AG732" s="129"/>
      <c r="AH732" s="129"/>
      <c r="AI732" s="129"/>
      <c r="AJ732" s="129"/>
      <c r="AK732" s="129"/>
      <c r="AL732" s="129"/>
      <c r="AM732" s="129"/>
      <c r="AN732" s="129"/>
      <c r="AO732" s="129"/>
      <c r="AP732" s="129"/>
      <c r="AQ732" s="129"/>
      <c r="AR732" s="129"/>
      <c r="AS732" s="129"/>
      <c r="AT732" s="129"/>
      <c r="AU732" s="129"/>
      <c r="AV732" s="129"/>
      <c r="AW732" s="129"/>
      <c r="AX732" s="129"/>
      <c r="AY732" s="129"/>
      <c r="AZ732" s="129"/>
      <c r="BA732" s="129"/>
      <c r="BB732" s="129"/>
      <c r="BC732" s="129"/>
      <c r="BD732" s="129"/>
      <c r="BE732" s="129"/>
      <c r="BF732" s="129" t="str">
        <f>BF731</f>
        <v>C:\Users\origr\Pictures\0.jpg</v>
      </c>
      <c r="BG732" s="129" t="str">
        <f t="shared" ref="BG732" si="767">BG731</f>
        <v>C:\Users\origr\Pictures\0.jpg</v>
      </c>
      <c r="BH732" s="129" t="str">
        <f t="shared" ref="BH732" si="768">BH731</f>
        <v>C:\Users\origr\Pictures\0.jpg</v>
      </c>
      <c r="BI732" s="129" t="str">
        <f t="shared" ref="BI732" si="769">BI731</f>
        <v>C:\Users\origr\Pictures\0.jpg</v>
      </c>
      <c r="BJ732" s="129" t="str">
        <f t="shared" ref="BJ732" si="770">BJ731</f>
        <v>C:\Users\origr\Pictures\0.jpg</v>
      </c>
      <c r="BK732" s="129" t="str">
        <f t="shared" ref="BK732" si="771">BK731</f>
        <v>C:\Users\origr\Pictures\0.jpg</v>
      </c>
    </row>
    <row r="733" spans="1:63" hidden="1">
      <c r="T733" s="72">
        <f>IF('חד גזעי'!$AM$6="לא",IF(P733=0,IF(BC733="שימור",IF('חד גזעי'!$AM$4="לא",IF(BC733="לא בוגר",0,IF(BC733="לא קיים",0,IF(J733=0,0,I733*0.1))),IF(BC733="לא בוגר",0,IF(BC733="לא קיים",0,IF(AB733=1,I733*0.1,E733*0.5)))),0),IF('חד גזעי'!$AM$4="לא",IF(BC733="לא בוגר",0,IF(BC733="לא קיים",0,IF(J733=0,0,I733*0.1))),IF(BC733="לא בוגר",0,IF(BC733="לא קיים",0,IF(AB733=1,I733*0.1,E733*0.5))))),IF(P733=0,IF(BC733="שימור",IF('חד גזעי'!$AM$4="לא",IF(BC733="לא בוגר",0,IF(BC733="לא קיים",0,IF(J733=0,0,I733*0.15))),IF(BC733="לא בוגר",0,IF(BC733="לא קיים",0,IF(AB733=1,I733*0.15,E733*0.5)))),0),IF('חד גזעי'!$AM$4="לא",IF(BC733="לא בוגר",0,IF(BC733="לא קיים",0,IF(J733=0,0,I733*0.15))),IF(BC733="לא בוגר",0,IF(BC733="לא קיים",0,IF(AB733=1,I733*0.15,E733*0.5))))))</f>
        <v>0</v>
      </c>
      <c r="V733">
        <f t="shared" si="758"/>
        <v>0</v>
      </c>
      <c r="W733">
        <f t="shared" si="759"/>
        <v>0</v>
      </c>
      <c r="X733">
        <f t="shared" si="760"/>
        <v>0</v>
      </c>
      <c r="Y733">
        <f>IF('חד גזעי'!$AM$2 = "לא",0,IF(F733&gt;9,W733,0))</f>
        <v>0</v>
      </c>
      <c r="Z733">
        <f>IF('חד גזעי'!$AM$7 = "לא",0,IF(C733 = "זית אירופי",IF('חד גזעי'!$AN$7 &lt;=סקר!F733,W733,0),IF(C733 = "חרוב מצוי",IF('חד גזעי'!$AN$7 &lt;=סקר!F733,W733,0),0)))</f>
        <v>0</v>
      </c>
    </row>
    <row r="734" spans="1:63" hidden="1">
      <c r="T734" s="72">
        <f>IF('חד גזעי'!$AM$6="לא",IF(P734=0,IF(BC734="שימור",IF('חד גזעי'!$AM$4="לא",IF(BC734="לא בוגר",0,IF(BC734="לא קיים",0,IF(J734=0,0,I734*0.1))),IF(BC734="לא בוגר",0,IF(BC734="לא קיים",0,IF(AB734=1,I734*0.1,E734*0.5)))),0),IF('חד גזעי'!$AM$4="לא",IF(BC734="לא בוגר",0,IF(BC734="לא קיים",0,IF(J734=0,0,I734*0.1))),IF(BC734="לא בוגר",0,IF(BC734="לא קיים",0,IF(AB734=1,I734*0.1,E734*0.5))))),IF(P734=0,IF(BC734="שימור",IF('חד גזעי'!$AM$4="לא",IF(BC734="לא בוגר",0,IF(BC734="לא קיים",0,IF(J734=0,0,I734*0.15))),IF(BC734="לא בוגר",0,IF(BC734="לא קיים",0,IF(AB734=1,I734*0.15,E734*0.5)))),0),IF('חד גזעי'!$AM$4="לא",IF(BC734="לא בוגר",0,IF(BC734="לא קיים",0,IF(J734=0,0,I734*0.15))),IF(BC734="לא בוגר",0,IF(BC734="לא קיים",0,IF(AB734=1,I734*0.15,E734*0.5))))))</f>
        <v>0</v>
      </c>
      <c r="V734">
        <f t="shared" si="758"/>
        <v>0</v>
      </c>
      <c r="W734">
        <f t="shared" si="759"/>
        <v>0</v>
      </c>
      <c r="X734">
        <f t="shared" si="760"/>
        <v>0</v>
      </c>
      <c r="Y734">
        <f>IF('חד גזעי'!$AM$2 = "לא",0,IF(F734&gt;9,W734,0))</f>
        <v>0</v>
      </c>
      <c r="Z734">
        <f>IF('חד גזעי'!$AM$7 = "לא",0,IF(C734 = "זית אירופי",IF('חד גזעי'!$AN$7 &lt;=סקר!F734,W734,0),IF(C734 = "חרוב מצוי",IF('חד גזעי'!$AN$7 &lt;=סקר!F734,W734,0),0)))</f>
        <v>0</v>
      </c>
    </row>
    <row r="735" spans="1:63" hidden="1">
      <c r="T735" s="72">
        <f>IF('חד גזעי'!$AM$6="לא",IF(P735=0,IF(BC735="שימור",IF('חד גזעי'!$AM$4="לא",IF(BC735="לא בוגר",0,IF(BC735="לא קיים",0,IF(J735=0,0,I735*0.1))),IF(BC735="לא בוגר",0,IF(BC735="לא קיים",0,IF(AB735=1,I735*0.1,E735*0.5)))),0),IF('חד גזעי'!$AM$4="לא",IF(BC735="לא בוגר",0,IF(BC735="לא קיים",0,IF(J735=0,0,I735*0.1))),IF(BC735="לא בוגר",0,IF(BC735="לא קיים",0,IF(AB735=1,I735*0.1,E735*0.5))))),IF(P735=0,IF(BC735="שימור",IF('חד גזעי'!$AM$4="לא",IF(BC735="לא בוגר",0,IF(BC735="לא קיים",0,IF(J735=0,0,I735*0.15))),IF(BC735="לא בוגר",0,IF(BC735="לא קיים",0,IF(AB735=1,I735*0.15,E735*0.5)))),0),IF('חד גזעי'!$AM$4="לא",IF(BC735="לא בוגר",0,IF(BC735="לא קיים",0,IF(J735=0,0,I735*0.15))),IF(BC735="לא בוגר",0,IF(BC735="לא קיים",0,IF(AB735=1,I735*0.15,E735*0.5))))))</f>
        <v>0</v>
      </c>
      <c r="V735">
        <f t="shared" si="758"/>
        <v>0</v>
      </c>
      <c r="W735">
        <f t="shared" si="759"/>
        <v>0</v>
      </c>
      <c r="X735">
        <f t="shared" si="760"/>
        <v>0</v>
      </c>
      <c r="Y735">
        <f>IF('חד גזעי'!$AM$2 = "לא",0,IF(F735&gt;9,W735,0))</f>
        <v>0</v>
      </c>
      <c r="Z735">
        <f>IF('חד גזעי'!$AM$7 = "לא",0,IF(C735 = "זית אירופי",IF('חד גזעי'!$AN$7 &lt;=סקר!F735,W735,0),IF(C735 = "חרוב מצוי",IF('חד גזעי'!$AN$7 &lt;=סקר!F735,W735,0),0)))</f>
        <v>0</v>
      </c>
    </row>
    <row r="736" spans="1:63" hidden="1">
      <c r="A736" s="129"/>
      <c r="B736" s="129"/>
      <c r="C736" s="129"/>
      <c r="D736" s="129"/>
      <c r="E736" s="129"/>
      <c r="F736" s="129"/>
      <c r="G736" s="129"/>
      <c r="H736" s="129"/>
      <c r="I736" s="129"/>
      <c r="J736" s="129"/>
      <c r="K736" s="129"/>
      <c r="L736" s="129"/>
      <c r="M736" s="129"/>
      <c r="N736" s="129"/>
      <c r="O736" s="129"/>
      <c r="P736" s="129"/>
      <c r="Q736" s="129"/>
      <c r="R736" s="129"/>
      <c r="S736" s="129"/>
      <c r="T736" s="72">
        <f>IF('חד גזעי'!$AM$6="לא",IF(P736=0,IF(BC736="שימור",IF('חד גזעי'!$AM$4="לא",IF(BC736="לא בוגר",0,IF(BC736="לא קיים",0,IF(J736=0,0,I736*0.1))),IF(BC736="לא בוגר",0,IF(BC736="לא קיים",0,IF(AB736=1,I736*0.1,E736*0.5)))),0),IF('חד גזעי'!$AM$4="לא",IF(BC736="לא בוגר",0,IF(BC736="לא קיים",0,IF(J736=0,0,I736*0.1))),IF(BC736="לא בוגר",0,IF(BC736="לא קיים",0,IF(AB736=1,I736*0.1,E736*0.5))))),IF(P736=0,IF(BC736="שימור",IF('חד גזעי'!$AM$4="לא",IF(BC736="לא בוגר",0,IF(BC736="לא קיים",0,IF(J736=0,0,I736*0.15))),IF(BC736="לא בוגר",0,IF(BC736="לא קיים",0,IF(AB736=1,I736*0.15,E736*0.5)))),0),IF('חד גזעי'!$AM$4="לא",IF(BC736="לא בוגר",0,IF(BC736="לא קיים",0,IF(J736=0,0,I736*0.15))),IF(BC736="לא בוגר",0,IF(BC736="לא קיים",0,IF(AB736=1,I736*0.15,E736*0.5))))))</f>
        <v>0</v>
      </c>
      <c r="U736" s="129"/>
      <c r="V736">
        <f t="shared" si="758"/>
        <v>0</v>
      </c>
      <c r="W736">
        <f t="shared" si="759"/>
        <v>0</v>
      </c>
      <c r="X736">
        <f t="shared" si="760"/>
        <v>0</v>
      </c>
      <c r="Y736">
        <f>IF('חד גזעי'!$AM$2 = "לא",0,IF(F736&gt;9,W736,0))</f>
        <v>0</v>
      </c>
      <c r="Z736">
        <f>IF('חד גזעי'!$AM$7 = "לא",0,IF(C736 = "זית אירופי",IF('חד גזעי'!$AN$7 &lt;=סקר!F736,W736,0),IF(C736 = "חרוב מצוי",IF('חד גזעי'!$AN$7 &lt;=סקר!F736,W736,0),0)))</f>
        <v>0</v>
      </c>
      <c r="AA736" s="129"/>
      <c r="AB736" s="129"/>
      <c r="AC736" s="129"/>
      <c r="AD736" s="129"/>
      <c r="AE736" s="129"/>
      <c r="AF736" s="129"/>
      <c r="AG736" s="129"/>
      <c r="AH736" s="129"/>
      <c r="AI736" s="129"/>
      <c r="AJ736" s="129"/>
      <c r="AK736" s="129"/>
      <c r="AL736" s="129"/>
      <c r="AM736" s="129"/>
      <c r="AN736" s="129"/>
      <c r="AO736" s="129"/>
      <c r="AP736" s="129"/>
      <c r="AQ736" s="129"/>
      <c r="AR736" s="129"/>
      <c r="AS736" s="129"/>
      <c r="AT736" s="129"/>
      <c r="AU736" s="129"/>
      <c r="AV736" s="129"/>
      <c r="AW736" s="129"/>
      <c r="AX736" s="129"/>
      <c r="AY736" s="129"/>
      <c r="AZ736" s="129"/>
      <c r="BA736" s="129"/>
      <c r="BB736" s="129"/>
      <c r="BC736" s="129"/>
      <c r="BD736" s="129"/>
      <c r="BE736" s="129"/>
      <c r="BF736" s="129">
        <f>_xlfn.IFNA(_xlfn.IFNA(_xlfn.TEXTBEFORE(BF740,"--"),_xlfn.TEXTBEFORE(BF740,",")),BF740)</f>
        <v>0</v>
      </c>
      <c r="BG736" s="129">
        <f t="shared" ref="BG736:BK736" si="772">_xlfn.IFNA(_xlfn.IFNA(_xlfn.TEXTBEFORE(BG740,"--"),_xlfn.TEXTBEFORE(BG740,",")),BG740)</f>
        <v>0</v>
      </c>
      <c r="BH736" s="129">
        <f t="shared" si="772"/>
        <v>0</v>
      </c>
      <c r="BI736" s="129">
        <f>_xlfn.IFNA(_xlfn.IFNA(_xlfn.TEXTBEFORE(BI740,"--"),_xlfn.TEXTBEFORE(BI740,",")),BI740)</f>
        <v>0</v>
      </c>
      <c r="BJ736" s="129">
        <f t="shared" si="772"/>
        <v>0</v>
      </c>
      <c r="BK736" s="129">
        <f t="shared" si="772"/>
        <v>0</v>
      </c>
    </row>
    <row r="737" spans="1:63" hidden="1">
      <c r="A737" s="129"/>
      <c r="B737" s="129"/>
      <c r="C737" s="129"/>
      <c r="D737" s="129"/>
      <c r="E737" s="129"/>
      <c r="F737" s="129"/>
      <c r="G737" s="129"/>
      <c r="H737" s="129"/>
      <c r="I737" s="129"/>
      <c r="J737" s="129"/>
      <c r="K737" s="129"/>
      <c r="L737" s="129"/>
      <c r="M737" s="129"/>
      <c r="N737" s="129"/>
      <c r="O737" s="129"/>
      <c r="P737" s="129"/>
      <c r="Q737" s="129"/>
      <c r="R737" s="129"/>
      <c r="S737" s="129"/>
      <c r="T737" s="72">
        <f>IF('חד גזעי'!$AM$6="לא",IF(P737=0,IF(BC737="שימור",IF('חד גזעי'!$AM$4="לא",IF(BC737="לא בוגר",0,IF(BC737="לא קיים",0,IF(J737=0,0,I737*0.1))),IF(BC737="לא בוגר",0,IF(BC737="לא קיים",0,IF(AB737=1,I737*0.1,E737*0.5)))),0),IF('חד גזעי'!$AM$4="לא",IF(BC737="לא בוגר",0,IF(BC737="לא קיים",0,IF(J737=0,0,I737*0.1))),IF(BC737="לא בוגר",0,IF(BC737="לא קיים",0,IF(AB737=1,I737*0.1,E737*0.5))))),IF(P737=0,IF(BC737="שימור",IF('חד גזעי'!$AM$4="לא",IF(BC737="לא בוגר",0,IF(BC737="לא קיים",0,IF(J737=0,0,I737*0.15))),IF(BC737="לא בוגר",0,IF(BC737="לא קיים",0,IF(AB737=1,I737*0.15,E737*0.5)))),0),IF('חד גזעי'!$AM$4="לא",IF(BC737="לא בוגר",0,IF(BC737="לא קיים",0,IF(J737=0,0,I737*0.15))),IF(BC737="לא בוגר",0,IF(BC737="לא קיים",0,IF(AB737=1,I737*0.15,E737*0.5))))))</f>
        <v>0</v>
      </c>
      <c r="U737" s="129"/>
      <c r="V737">
        <f t="shared" si="758"/>
        <v>0</v>
      </c>
      <c r="W737">
        <f t="shared" si="759"/>
        <v>0</v>
      </c>
      <c r="X737">
        <f t="shared" si="760"/>
        <v>0</v>
      </c>
      <c r="Y737">
        <f>IF('חד גזעי'!$AM$2 = "לא",0,IF(F737&gt;9,W737,0))</f>
        <v>0</v>
      </c>
      <c r="Z737">
        <f>IF('חד גזעי'!$AM$7 = "לא",0,IF(C737 = "זית אירופי",IF('חד גזעי'!$AN$7 &lt;=סקר!F737,W737,0),IF(C737 = "חרוב מצוי",IF('חד גזעי'!$AN$7 &lt;=סקר!F737,W737,0),0)))</f>
        <v>0</v>
      </c>
      <c r="AA737" s="129"/>
      <c r="AB737" s="129"/>
      <c r="AC737" s="129"/>
      <c r="AD737" s="129"/>
      <c r="AE737" s="129"/>
      <c r="AF737" s="129"/>
      <c r="AG737" s="129"/>
      <c r="AH737" s="129"/>
      <c r="AI737" s="129"/>
      <c r="AJ737" s="129"/>
      <c r="AK737" s="129"/>
      <c r="AL737" s="129"/>
      <c r="AM737" s="129"/>
      <c r="AN737" s="129"/>
      <c r="AO737" s="129"/>
      <c r="AP737" s="129"/>
      <c r="AQ737" s="129"/>
      <c r="AR737" s="129"/>
      <c r="AS737" s="129"/>
      <c r="AT737" s="129"/>
      <c r="AU737" s="129"/>
      <c r="AV737" s="129"/>
      <c r="AW737" s="129"/>
      <c r="AX737" s="129"/>
      <c r="AY737" s="129"/>
      <c r="AZ737" s="129"/>
      <c r="BA737" s="129"/>
      <c r="BB737" s="129"/>
      <c r="BC737" s="129"/>
      <c r="BD737" s="129"/>
      <c r="BE737" s="129"/>
      <c r="BF737" s="129" t="str">
        <f>"C:\Users\origr\Pictures\"&amp;BF736&amp;".jpg"</f>
        <v>C:\Users\origr\Pictures\0.jpg</v>
      </c>
      <c r="BG737" s="129" t="str">
        <f t="shared" ref="BG737" si="773">"C:\Users\origr\Pictures\"&amp;BG736&amp;".jpg"</f>
        <v>C:\Users\origr\Pictures\0.jpg</v>
      </c>
      <c r="BH737" s="129" t="str">
        <f t="shared" ref="BH737" si="774">"C:\Users\origr\Pictures\"&amp;BH736&amp;".jpg"</f>
        <v>C:\Users\origr\Pictures\0.jpg</v>
      </c>
      <c r="BI737" s="129" t="str">
        <f t="shared" ref="BI737" si="775">"C:\Users\origr\Pictures\"&amp;BI736&amp;".jpg"</f>
        <v>C:\Users\origr\Pictures\0.jpg</v>
      </c>
      <c r="BJ737" s="129" t="str">
        <f t="shared" ref="BJ737" si="776">"C:\Users\origr\Pictures\"&amp;BJ736&amp;".jpg"</f>
        <v>C:\Users\origr\Pictures\0.jpg</v>
      </c>
      <c r="BK737" s="129" t="str">
        <f t="shared" ref="BK737" si="777">"C:\Users\origr\Pictures\"&amp;BK736&amp;".jpg"</f>
        <v>C:\Users\origr\Pictures\0.jpg</v>
      </c>
    </row>
    <row r="738" spans="1:63" hidden="1">
      <c r="A738" s="129"/>
      <c r="B738" s="129"/>
      <c r="C738" s="129"/>
      <c r="D738" s="129"/>
      <c r="E738" s="129"/>
      <c r="F738" s="129"/>
      <c r="G738" s="129"/>
      <c r="H738" s="129"/>
      <c r="I738" s="129"/>
      <c r="J738" s="129"/>
      <c r="K738" s="129"/>
      <c r="L738" s="129"/>
      <c r="M738" s="129"/>
      <c r="N738" s="129"/>
      <c r="O738" s="129"/>
      <c r="P738" s="129"/>
      <c r="Q738" s="129"/>
      <c r="R738" s="129"/>
      <c r="S738" s="129"/>
      <c r="T738" s="72">
        <f>IF('חד גזעי'!$AM$6="לא",IF(P738=0,IF(BC738="שימור",IF('חד גזעי'!$AM$4="לא",IF(BC738="לא בוגר",0,IF(BC738="לא קיים",0,IF(J738=0,0,I738*0.1))),IF(BC738="לא בוגר",0,IF(BC738="לא קיים",0,IF(AB738=1,I738*0.1,E738*0.5)))),0),IF('חד גזעי'!$AM$4="לא",IF(BC738="לא בוגר",0,IF(BC738="לא קיים",0,IF(J738=0,0,I738*0.1))),IF(BC738="לא בוגר",0,IF(BC738="לא קיים",0,IF(AB738=1,I738*0.1,E738*0.5))))),IF(P738=0,IF(BC738="שימור",IF('חד גזעי'!$AM$4="לא",IF(BC738="לא בוגר",0,IF(BC738="לא קיים",0,IF(J738=0,0,I738*0.15))),IF(BC738="לא בוגר",0,IF(BC738="לא קיים",0,IF(AB738=1,I738*0.15,E738*0.5)))),0),IF('חד גזעי'!$AM$4="לא",IF(BC738="לא בוגר",0,IF(BC738="לא קיים",0,IF(J738=0,0,I738*0.15))),IF(BC738="לא בוגר",0,IF(BC738="לא קיים",0,IF(AB738=1,I738*0.15,E738*0.5))))))</f>
        <v>0</v>
      </c>
      <c r="U738" s="129"/>
      <c r="V738">
        <f t="shared" si="758"/>
        <v>0</v>
      </c>
      <c r="W738">
        <f t="shared" si="759"/>
        <v>0</v>
      </c>
      <c r="X738">
        <f t="shared" si="760"/>
        <v>0</v>
      </c>
      <c r="Y738">
        <f>IF('חד גזעי'!$AM$2 = "לא",0,IF(F738&gt;9,W738,0))</f>
        <v>0</v>
      </c>
      <c r="Z738">
        <f>IF('חד גזעי'!$AM$7 = "לא",0,IF(C738 = "זית אירופי",IF('חד גזעי'!$AN$7 &lt;=סקר!F738,W738,0),IF(C738 = "חרוב מצוי",IF('חד גזעי'!$AN$7 &lt;=סקר!F738,W738,0),0)))</f>
        <v>0</v>
      </c>
      <c r="AA738" s="129"/>
      <c r="AB738" s="129"/>
      <c r="AC738" s="129"/>
      <c r="AD738" s="129"/>
      <c r="AE738" s="129"/>
      <c r="AF738" s="129"/>
      <c r="AG738" s="129"/>
      <c r="AH738" s="129"/>
      <c r="AI738" s="129"/>
      <c r="AJ738" s="129"/>
      <c r="AK738" s="129"/>
      <c r="AL738" s="129"/>
      <c r="AM738" s="129"/>
      <c r="AN738" s="129"/>
      <c r="AO738" s="129"/>
      <c r="AP738" s="129"/>
      <c r="AQ738" s="129"/>
      <c r="AR738" s="129"/>
      <c r="AS738" s="129"/>
      <c r="AT738" s="129"/>
      <c r="AU738" s="129"/>
      <c r="AV738" s="129"/>
      <c r="AW738" s="129"/>
      <c r="AX738" s="129"/>
      <c r="AY738" s="129"/>
      <c r="AZ738" s="129"/>
      <c r="BA738" s="129"/>
      <c r="BB738" s="129"/>
      <c r="BC738" s="129"/>
      <c r="BD738" s="129"/>
      <c r="BE738" s="129"/>
      <c r="BF738" s="129" t="str">
        <f>BF737</f>
        <v>C:\Users\origr\Pictures\0.jpg</v>
      </c>
      <c r="BG738" s="129" t="str">
        <f t="shared" ref="BG738" si="778">BG737</f>
        <v>C:\Users\origr\Pictures\0.jpg</v>
      </c>
      <c r="BH738" s="129" t="str">
        <f t="shared" ref="BH738" si="779">BH737</f>
        <v>C:\Users\origr\Pictures\0.jpg</v>
      </c>
      <c r="BI738" s="129" t="str">
        <f t="shared" ref="BI738" si="780">BI737</f>
        <v>C:\Users\origr\Pictures\0.jpg</v>
      </c>
      <c r="BJ738" s="129" t="str">
        <f t="shared" ref="BJ738" si="781">BJ737</f>
        <v>C:\Users\origr\Pictures\0.jpg</v>
      </c>
      <c r="BK738" s="129" t="str">
        <f t="shared" ref="BK738" si="782">BK737</f>
        <v>C:\Users\origr\Pictures\0.jpg</v>
      </c>
    </row>
    <row r="739" spans="1:63" ht="14.25" hidden="1">
      <c r="B739" s="71"/>
      <c r="C739" s="69"/>
      <c r="Q739" s="86"/>
      <c r="T739" s="72">
        <f>IF('חד גזעי'!$AM$6="לא",IF(P739=0,IF(BC739="שימור",IF('חד גזעי'!$AM$4="לא",IF(BC739="לא בוגר",0,IF(BC739="לא קיים",0,IF(J739=0,0,I739*0.1))),IF(BC739="לא בוגר",0,IF(BC739="לא קיים",0,IF(AB739=1,I739*0.1,E739*0.5)))),0),IF('חד גזעי'!$AM$4="לא",IF(BC739="לא בוגר",0,IF(BC739="לא קיים",0,IF(J739=0,0,I739*0.1))),IF(BC739="לא בוגר",0,IF(BC739="לא קיים",0,IF(AB739=1,I739*0.1,E739*0.5))))),IF(P739=0,IF(BC739="שימור",IF('חד גזעי'!$AM$4="לא",IF(BC739="לא בוגר",0,IF(BC739="לא קיים",0,IF(J739=0,0,I739*0.15))),IF(BC739="לא בוגר",0,IF(BC739="לא קיים",0,IF(AB739=1,I739*0.15,E739*0.5)))),0),IF('חד גזעי'!$AM$4="לא",IF(BC739="לא בוגר",0,IF(BC739="לא קיים",0,IF(J739=0,0,I739*0.15))),IF(BC739="לא בוגר",0,IF(BC739="לא קיים",0,IF(AB739=1,I739*0.15,E739*0.5))))))</f>
        <v>0</v>
      </c>
      <c r="V739">
        <f t="shared" si="758"/>
        <v>0</v>
      </c>
      <c r="W739">
        <f t="shared" si="759"/>
        <v>0</v>
      </c>
      <c r="X739">
        <f t="shared" si="760"/>
        <v>0</v>
      </c>
      <c r="Y739">
        <f>IF('חד גזעי'!$AM$2 = "לא",0,IF(F739&gt;9,W739,0))</f>
        <v>0</v>
      </c>
      <c r="Z739">
        <f>IF('חד גזעי'!$AM$7 = "לא",0,IF(C739 = "זית אירופי",IF('חד גזעי'!$AN$7 &lt;=סקר!F739,W739,0),IF(C739 = "חרוב מצוי",IF('חד גזעי'!$AN$7 &lt;=סקר!F739,W739,0),0)))</f>
        <v>0</v>
      </c>
      <c r="AD739" s="69" t="s">
        <v>807</v>
      </c>
    </row>
    <row r="740" spans="1:63" hidden="1">
      <c r="B740" s="197" t="s">
        <v>738</v>
      </c>
      <c r="C740" s="197" t="s">
        <v>739</v>
      </c>
      <c r="D740" s="197" t="s">
        <v>740</v>
      </c>
      <c r="E740" s="197" t="s">
        <v>741</v>
      </c>
      <c r="F740" s="200" t="s">
        <v>759</v>
      </c>
      <c r="G740" s="203" t="s">
        <v>760</v>
      </c>
      <c r="H740" s="203" t="s">
        <v>761</v>
      </c>
      <c r="I740" s="197" t="s">
        <v>742</v>
      </c>
      <c r="J740" s="197" t="s">
        <v>743</v>
      </c>
      <c r="K740" s="197" t="s">
        <v>744</v>
      </c>
      <c r="L740" s="197" t="s">
        <v>745</v>
      </c>
      <c r="M740" s="197" t="s">
        <v>746</v>
      </c>
      <c r="N740" s="197" t="s">
        <v>747</v>
      </c>
      <c r="O740" s="197" t="s">
        <v>748</v>
      </c>
      <c r="P740" s="197" t="s">
        <v>749</v>
      </c>
      <c r="Q740" s="197" t="s">
        <v>750</v>
      </c>
      <c r="R740" s="197" t="s">
        <v>751</v>
      </c>
      <c r="T740" s="72" t="e">
        <f>IF('חד גזעי'!$AM$6="לא",IF(P740=0,IF(BC740="שימור",IF('חד גזעי'!$AM$4="לא",IF(BC740="לא בוגר",0,IF(BC740="לא קיים",0,IF(J740=0,0,I740*0.1))),IF(BC740="לא בוגר",0,IF(BC740="לא קיים",0,IF(AB740=1,I740*0.1,E740*0.5)))),0),IF('חד גזעי'!$AM$4="לא",IF(BC740="לא בוגר",0,IF(BC740="לא קיים",0,IF(J740=0,0,I740*0.1))),IF(BC740="לא בוגר",0,IF(BC740="לא קיים",0,IF(AB740=1,I740*0.1,E740*0.5))))),IF(P740=0,IF(BC740="שימור",IF('חד גזעי'!$AM$4="לא",IF(BC740="לא בוגר",0,IF(BC740="לא קיים",0,IF(J740=0,0,I740*0.15))),IF(BC740="לא בוגר",0,IF(BC740="לא קיים",0,IF(AB740=1,I740*0.15,E740*0.5)))),0),IF('חד גזעי'!$AM$4="לא",IF(BC740="לא בוגר",0,IF(BC740="לא קיים",0,IF(J740=0,0,I740*0.15))),IF(BC740="לא בוגר",0,IF(BC740="לא קיים",0,IF(AB740=1,I740*0.15,E740*0.5))))))</f>
        <v>#VALUE!</v>
      </c>
      <c r="V740">
        <f t="shared" si="758"/>
        <v>0</v>
      </c>
      <c r="W740" t="e">
        <f t="shared" si="759"/>
        <v>#VALUE!</v>
      </c>
      <c r="X740">
        <f t="shared" si="760"/>
        <v>0</v>
      </c>
      <c r="Y740">
        <f>IF('חד גזעי'!$AM$2 = "לא",0,IF(F740&gt;9,W740,0))</f>
        <v>0</v>
      </c>
      <c r="Z740">
        <f>IF('חד גזעי'!$AM$7 = "לא",0,IF(C740 = "זית אירופי",IF('חד גזעי'!$AN$7 &lt;=סקר!F740,W740,0),IF(C740 = "חרוב מצוי",IF('חד גזעי'!$AN$7 &lt;=סקר!F740,W740,0),0)))</f>
        <v>0</v>
      </c>
      <c r="AC740" s="101"/>
      <c r="AD740" s="103"/>
      <c r="AE740" s="103"/>
      <c r="AF740" s="103"/>
      <c r="AG740" s="103"/>
      <c r="AH740" s="103"/>
      <c r="AI740" s="103"/>
      <c r="AJ740" s="103"/>
      <c r="AK740" s="83"/>
      <c r="AM740" s="73"/>
      <c r="AN740" s="73"/>
      <c r="AO740" s="73"/>
      <c r="AS740" s="197" t="s">
        <v>738</v>
      </c>
      <c r="AT740" s="197" t="s">
        <v>739</v>
      </c>
      <c r="AU740" s="197" t="s">
        <v>740</v>
      </c>
      <c r="AV740" s="197" t="s">
        <v>741</v>
      </c>
      <c r="AW740" s="203" t="s">
        <v>759</v>
      </c>
      <c r="AX740" s="203" t="s">
        <v>760</v>
      </c>
      <c r="AY740" s="203" t="s">
        <v>761</v>
      </c>
      <c r="AZ740" s="197" t="s">
        <v>812</v>
      </c>
      <c r="BA740" s="197" t="s">
        <v>817</v>
      </c>
      <c r="BB740" s="197" t="s">
        <v>805</v>
      </c>
      <c r="BC740" s="197" t="s">
        <v>806</v>
      </c>
      <c r="BE740">
        <f>IF(BC740="לא נדרש ברישיון",1,0)</f>
        <v>0</v>
      </c>
      <c r="BF740" s="72"/>
      <c r="BG740" s="72"/>
      <c r="BH740" s="72"/>
      <c r="BI740" s="72"/>
      <c r="BJ740" s="72"/>
      <c r="BK740" s="72"/>
    </row>
    <row r="741" spans="1:63" hidden="1">
      <c r="B741" s="198"/>
      <c r="C741" s="198"/>
      <c r="D741" s="198"/>
      <c r="E741" s="198"/>
      <c r="F741" s="201"/>
      <c r="G741" s="204"/>
      <c r="H741" s="204"/>
      <c r="I741" s="198"/>
      <c r="J741" s="198"/>
      <c r="K741" s="198"/>
      <c r="L741" s="198"/>
      <c r="M741" s="198"/>
      <c r="N741" s="198"/>
      <c r="O741" s="198"/>
      <c r="P741" s="198"/>
      <c r="Q741" s="198"/>
      <c r="R741" s="198"/>
      <c r="T741" s="72">
        <f>IF('חד גזעי'!$AM$6="לא",IF(P741=0,IF(BC741="שימור",IF('חד גזעי'!$AM$4="לא",IF(BC741="לא בוגר",0,IF(BC741="לא קיים",0,IF(J741=0,0,I741*0.1))),IF(BC741="לא בוגר",0,IF(BC741="לא קיים",0,IF(AB741=1,I741*0.1,E741*0.5)))),0),IF('חד גזעי'!$AM$4="לא",IF(BC741="לא בוגר",0,IF(BC741="לא קיים",0,IF(J741=0,0,I741*0.1))),IF(BC741="לא בוגר",0,IF(BC741="לא קיים",0,IF(AB741=1,I741*0.1,E741*0.5))))),IF(P741=0,IF(BC741="שימור",IF('חד גזעי'!$AM$4="לא",IF(BC741="לא בוגר",0,IF(BC741="לא קיים",0,IF(J741=0,0,I741*0.15))),IF(BC741="לא בוגר",0,IF(BC741="לא קיים",0,IF(AB741=1,I741*0.15,E741*0.5)))),0),IF('חד גזעי'!$AM$4="לא",IF(BC741="לא בוגר",0,IF(BC741="לא קיים",0,IF(J741=0,0,I741*0.15))),IF(BC741="לא בוגר",0,IF(BC741="לא קיים",0,IF(AB741=1,I741*0.15,E741*0.5))))))</f>
        <v>0</v>
      </c>
      <c r="V741">
        <f t="shared" si="758"/>
        <v>0</v>
      </c>
      <c r="W741">
        <f t="shared" si="759"/>
        <v>0</v>
      </c>
      <c r="X741">
        <f t="shared" si="760"/>
        <v>0</v>
      </c>
      <c r="Y741">
        <f>IF('חד גזעי'!$AM$2 = "לא",0,IF(F741&gt;9,W741,0))</f>
        <v>0</v>
      </c>
      <c r="Z741">
        <f>IF('חד גזעי'!$AM$7 = "לא",0,IF(C741 = "זית אירופי",IF('חד גזעי'!$AN$7 &lt;=סקר!F741,W741,0),IF(C741 = "חרוב מצוי",IF('חד גזעי'!$AN$7 &lt;=סקר!F741,W741,0),0)))</f>
        <v>0</v>
      </c>
      <c r="AC741" s="101"/>
      <c r="AD741" s="103"/>
      <c r="AE741" s="103"/>
      <c r="AF741" s="103"/>
      <c r="AG741" s="103"/>
      <c r="AH741" s="103"/>
      <c r="AI741" s="103"/>
      <c r="AJ741" s="103"/>
      <c r="AK741" s="83"/>
      <c r="AM741" s="73"/>
      <c r="AN741" s="73"/>
      <c r="AO741" s="73"/>
      <c r="AS741" s="198"/>
      <c r="AT741" s="198"/>
      <c r="AU741" s="198"/>
      <c r="AV741" s="198"/>
      <c r="AW741" s="204"/>
      <c r="AX741" s="204"/>
      <c r="AY741" s="204"/>
      <c r="AZ741" s="198"/>
      <c r="BA741" s="198"/>
      <c r="BB741" s="198"/>
      <c r="BC741" s="198"/>
      <c r="BE741">
        <f t="shared" ref="BE741:BE775" si="783">IF(BC741="לא נדרש ברישיון",1,0)</f>
        <v>0</v>
      </c>
      <c r="BF741" s="196" t="str">
        <f>BF738</f>
        <v>C:\Users\origr\Pictures\0.jpg</v>
      </c>
      <c r="BG741" s="196" t="str">
        <f t="shared" ref="BG741:BK741" si="784">BG738</f>
        <v>C:\Users\origr\Pictures\0.jpg</v>
      </c>
      <c r="BH741" s="196" t="str">
        <f t="shared" si="784"/>
        <v>C:\Users\origr\Pictures\0.jpg</v>
      </c>
      <c r="BI741" s="196" t="str">
        <f t="shared" si="784"/>
        <v>C:\Users\origr\Pictures\0.jpg</v>
      </c>
      <c r="BJ741" s="196" t="str">
        <f t="shared" si="784"/>
        <v>C:\Users\origr\Pictures\0.jpg</v>
      </c>
      <c r="BK741" s="196" t="str">
        <f t="shared" si="784"/>
        <v>C:\Users\origr\Pictures\0.jpg</v>
      </c>
    </row>
    <row r="742" spans="1:63" hidden="1">
      <c r="B742" s="199"/>
      <c r="C742" s="199"/>
      <c r="D742" s="199"/>
      <c r="E742" s="199"/>
      <c r="F742" s="202"/>
      <c r="G742" s="205"/>
      <c r="H742" s="205"/>
      <c r="I742" s="199"/>
      <c r="J742" s="199"/>
      <c r="K742" s="199"/>
      <c r="L742" s="199"/>
      <c r="M742" s="199"/>
      <c r="N742" s="199"/>
      <c r="O742" s="199"/>
      <c r="P742" s="199"/>
      <c r="Q742" s="199"/>
      <c r="R742" s="199"/>
      <c r="T742" s="72">
        <f>IF('חד גזעי'!$AM$6="לא",IF(P742=0,IF(BC742="שימור",IF('חד גזעי'!$AM$4="לא",IF(BC742="לא בוגר",0,IF(BC742="לא קיים",0,IF(J742=0,0,I742*0.1))),IF(BC742="לא בוגר",0,IF(BC742="לא קיים",0,IF(AB742=1,I742*0.1,E742*0.5)))),0),IF('חד גזעי'!$AM$4="לא",IF(BC742="לא בוגר",0,IF(BC742="לא קיים",0,IF(J742=0,0,I742*0.1))),IF(BC742="לא בוגר",0,IF(BC742="לא קיים",0,IF(AB742=1,I742*0.1,E742*0.5))))),IF(P742=0,IF(BC742="שימור",IF('חד גזעי'!$AM$4="לא",IF(BC742="לא בוגר",0,IF(BC742="לא קיים",0,IF(J742=0,0,I742*0.15))),IF(BC742="לא בוגר",0,IF(BC742="לא קיים",0,IF(AB742=1,I742*0.15,E742*0.5)))),0),IF('חד גזעי'!$AM$4="לא",IF(BC742="לא בוגר",0,IF(BC742="לא קיים",0,IF(J742=0,0,I742*0.15))),IF(BC742="לא בוגר",0,IF(BC742="לא קיים",0,IF(AB742=1,I742*0.15,E742*0.5))))))</f>
        <v>0</v>
      </c>
      <c r="V742" t="str">
        <f t="shared" si="758"/>
        <v>שווי דקל</v>
      </c>
      <c r="W742" t="str">
        <f t="shared" si="759"/>
        <v>שווי דקל</v>
      </c>
      <c r="X742">
        <f t="shared" si="760"/>
        <v>0</v>
      </c>
      <c r="Y742">
        <f>IF('חד גזעי'!$AM$2 = "לא",0,IF(F742&gt;9,W742,0))</f>
        <v>0</v>
      </c>
      <c r="Z742">
        <f>IF('חד גזעי'!$AM$7 = "לא",0,IF(C742 = "זית אירופי",IF('חד גזעי'!$AN$7 &lt;=סקר!F742,W742,0),IF(C742 = "חרוב מצוי",IF('חד גזעי'!$AN$7 &lt;=סקר!F742,W742,0),0)))</f>
        <v>0</v>
      </c>
      <c r="AC742" s="94"/>
      <c r="AD742" s="94"/>
      <c r="AE742" s="72"/>
      <c r="AF742" s="77" t="s">
        <v>767</v>
      </c>
      <c r="AG742" s="77" t="s">
        <v>768</v>
      </c>
      <c r="AH742" s="72" t="s">
        <v>762</v>
      </c>
      <c r="AI742" s="72" t="s">
        <v>763</v>
      </c>
      <c r="AJ742" s="72" t="s">
        <v>764</v>
      </c>
      <c r="AK742" s="77" t="s">
        <v>770</v>
      </c>
      <c r="AL742" t="s">
        <v>771</v>
      </c>
      <c r="AM742" s="77" t="s">
        <v>809</v>
      </c>
      <c r="AN742" s="77" t="s">
        <v>810</v>
      </c>
      <c r="AO742" s="77" t="s">
        <v>811</v>
      </c>
      <c r="AS742" s="199"/>
      <c r="AT742" s="199"/>
      <c r="AU742" s="199"/>
      <c r="AV742" s="199"/>
      <c r="AW742" s="205"/>
      <c r="AX742" s="205"/>
      <c r="AY742" s="205"/>
      <c r="AZ742" s="199"/>
      <c r="BA742" s="199"/>
      <c r="BB742" s="199"/>
      <c r="BC742" s="199"/>
      <c r="BE742">
        <f t="shared" si="783"/>
        <v>0</v>
      </c>
      <c r="BF742" s="196"/>
      <c r="BG742" s="196"/>
      <c r="BH742" s="196"/>
      <c r="BI742" s="196"/>
      <c r="BJ742" s="196"/>
      <c r="BK742" s="196"/>
    </row>
    <row r="743" spans="1:63" hidden="1">
      <c r="B743" s="72"/>
      <c r="C743" s="135"/>
      <c r="D743" s="73"/>
      <c r="E743" s="73"/>
      <c r="F743" s="72"/>
      <c r="G743" s="72"/>
      <c r="H743" s="72"/>
      <c r="I743" s="73">
        <f t="shared" ref="I743:I774" si="785">F743+(G743/2)+(H743/2)</f>
        <v>0</v>
      </c>
      <c r="J743" s="73"/>
      <c r="K743" s="73"/>
      <c r="L743" s="74" t="e">
        <f>_xlfn.IFNA(VLOOKUP(C743,'חד גזעי'!$U$3:$V$509,2,0),VLOOKUP(C743,'חד גזעי'!$U$3:$V$509,2))</f>
        <v>#N/A</v>
      </c>
      <c r="M743" s="73"/>
      <c r="N743" s="72" t="e">
        <f>_xlfn.IFNA(IF(VLOOKUP(C743,'חד גזעי'!$AH$2:$AH$7,1,FALSE)&gt;0,0,IF('חד גזעי'!$AM$5="כן",IF(_xlfn.IFNA(VLOOKUP(C743,'חד גזעי'!$AH$2:$AH$33,1,FALSE),SUM(J743:M743))&lt;21,_xlfn.IFNA(VLOOKUP(C743,'חד גזעי'!$AH$2:$AH$33,1,FALSE),SUM(J743:M743)),0),SUM(J743:M743))),IF('חד גזעי'!$AM$5="כן",IF(_xlfn.IFNA(VLOOKUP(C743,'חד גזעי'!$AH$2:$AH$33,1,FALSE),SUM(J743:M743))&lt;21,_xlfn.IFNA(VLOOKUP(C743,'חד גזעי'!$AH$2:$AH$33,1,FALSE),SUM(J743:M743)),0),SUM(J743:M743)))</f>
        <v>#N/A</v>
      </c>
      <c r="O743" s="72">
        <f>IF('חד גזעי'!$AM$3 = "כן",IF(T743&gt;4,4,T743),T743)</f>
        <v>0</v>
      </c>
      <c r="P743" s="80">
        <f>IF(E743&lt;2,0,IF(Z743&gt;0,Z743,IF(N743 = 0,0,IF('חד גזעי'!$AM$2 = "לא",IF(F743&gt;19,W743,0),IF(F743&gt;9,Y743,0)))))</f>
        <v>0</v>
      </c>
      <c r="Q743" s="77"/>
      <c r="R743" s="75"/>
      <c r="S743" t="e">
        <f>VLOOKUP(C743,'חד גזעי'!$Y$4:$Y$18,1,0)</f>
        <v>#N/A</v>
      </c>
      <c r="T743" s="72">
        <f>IF('חד גזעי'!$AM$6="לא",IF(P743=0,IF(BC743="שימור",IF('חד גזעי'!$AM$4="לא",IF(BC743="לא בוגר",0,IF(BC743="לא קיים",0,IF(J743=0,0,I743*0.1))),IF(BC743="לא בוגר",0,IF(BC743="לא קיים",0,IF(AB743=1,I743*0.1,E743*0.5)))),0),IF('חד גזעי'!$AM$4="לא",IF(BC743="לא בוגר",0,IF(BC743="לא קיים",0,IF(J743=0,0,I743*0.1))),IF(BC743="לא בוגר",0,IF(BC743="לא קיים",0,IF(AB743=1,I743*0.1,E743*0.5))))),IF(P743=0,IF(BC743="שימור",IF('חד גזעי'!$AM$4="לא",IF(BC743="לא בוגר",0,IF(BC743="לא קיים",0,IF(J743=0,0,I743*0.15))),IF(BC743="לא בוגר",0,IF(BC743="לא קיים",0,IF(AB743=1,I743*0.15,E743*0.5)))),0),IF('חד גזעי'!$AM$4="לא",IF(BC743="לא בוגר",0,IF(BC743="לא קיים",0,IF(J743=0,0,I743*0.15))),IF(BC743="לא בוגר",0,IF(BC743="לא קיים",0,IF(AB743=1,I743*0.15,E743*0.5))))))</f>
        <v>0</v>
      </c>
      <c r="V743" t="e">
        <f t="shared" si="758"/>
        <v>#N/A</v>
      </c>
      <c r="W743" t="e">
        <f t="shared" si="759"/>
        <v>#N/A</v>
      </c>
      <c r="X743" t="e">
        <f t="shared" si="760"/>
        <v>#N/A</v>
      </c>
      <c r="Y743">
        <f>IF('חד גזעי'!$AM$2 = "לא",0,IF(F743&gt;9,W743,0))</f>
        <v>0</v>
      </c>
      <c r="Z743">
        <f>IF('חד גזעי'!$AM$7 = "לא",0,IF(C743 = "זית אירופי",IF('חד גזעי'!$AN$7 &lt;=סקר!F743,W743,0),IF(C743 = "חרוב מצוי",IF('חד גזעי'!$AN$7 &lt;=סקר!F743,W743,0),0)))</f>
        <v>0</v>
      </c>
      <c r="AB743">
        <f t="shared" ref="AB743:AB774" si="786">_xlfn.IFNA(S743,1)</f>
        <v>1</v>
      </c>
      <c r="AC743" s="72"/>
      <c r="AD743" t="e">
        <f>IF(AK743&gt;0,AK743,AF743)</f>
        <v>#N/A</v>
      </c>
      <c r="AE743" s="72"/>
      <c r="AF743" s="72" t="e">
        <f t="shared" ref="AF743:AF774" si="787">((AJ743+AI743+AH743)*(AG743))*(J743*0.2)*(K743*0.2)*20</f>
        <v>#N/A</v>
      </c>
      <c r="AG743" s="72" t="e">
        <f>IF('חד גזעי'!$AM$5="לא",(VLOOKUP(C743,'חד גזעי'!$P$1:$S$589,3,FALSE)),(VLOOKUP(C743,'חד גזעי'!$P$1:$S$589,4,FALSE)))</f>
        <v>#N/A</v>
      </c>
      <c r="AH743" s="72">
        <f t="shared" ref="AH743:AH774" si="788">(3.14*((F743/2)^2))</f>
        <v>0</v>
      </c>
      <c r="AI743" s="72">
        <f t="shared" ref="AI743:AI774" si="789">3.14*(G743*G743/4)</f>
        <v>0</v>
      </c>
      <c r="AJ743" s="72">
        <f t="shared" ref="AJ743:AJ774" si="790">3.14*(H743*H743/4)</f>
        <v>0</v>
      </c>
      <c r="AK743" s="72" t="e">
        <f t="shared" ref="AK743:AK774" si="791">AL743*E743*(J743*0.2)*(0.2*K743)*1500</f>
        <v>#N/A</v>
      </c>
      <c r="AL743" t="e">
        <f>VLOOKUP(C743,'חד גזעי'!$AH$8:$AI$33,2,FALSE)</f>
        <v>#N/A</v>
      </c>
      <c r="AM743" s="72" t="b">
        <f t="shared" ref="AM743:AM774" si="792">IF(BC743="שימור",P743)</f>
        <v>0</v>
      </c>
      <c r="AN743" s="72" t="b">
        <f t="shared" ref="AN743:AN774" si="793">IF(BC743="כריתה",P743)</f>
        <v>0</v>
      </c>
      <c r="AO743" s="72" t="b">
        <f t="shared" ref="AO743:AO774" si="794">IF(BC743="העתקה",P743)</f>
        <v>0</v>
      </c>
      <c r="AS743" s="72">
        <f t="shared" ref="AS743:AS774" si="795">B743</f>
        <v>0</v>
      </c>
      <c r="AT743" s="72">
        <f t="shared" ref="AT743:AT774" si="796">C743</f>
        <v>0</v>
      </c>
      <c r="AU743" s="72">
        <f>IF(C743&gt;0,IF(D743&lt;2,1,D743),0)</f>
        <v>0</v>
      </c>
      <c r="AV743" s="72">
        <f t="shared" ref="AV743:AV774" si="797">E743</f>
        <v>0</v>
      </c>
      <c r="AW743" s="72">
        <f t="shared" ref="AW743:AW774" si="798">F743</f>
        <v>0</v>
      </c>
      <c r="AX743" s="72">
        <f t="shared" ref="AX743:AX774" si="799">G743</f>
        <v>0</v>
      </c>
      <c r="AY743" s="72">
        <f t="shared" ref="AY743:AY774" si="800">H743</f>
        <v>0</v>
      </c>
      <c r="AZ743" s="72">
        <f t="shared" ref="AZ743:AZ774" si="801">I743</f>
        <v>0</v>
      </c>
      <c r="BA743" s="72" t="e">
        <f t="shared" ref="BA743:BA774" si="802">N743</f>
        <v>#N/A</v>
      </c>
      <c r="BB743" s="72" t="e">
        <f t="shared" ref="BB743:BB774" si="803">IF(BA743&gt;6,IF(BA743&gt;13,IF(BA743&gt;16,"גבוה מאוד","גבוה"),"בינונית"),"נמוכה")</f>
        <v>#N/A</v>
      </c>
      <c r="BC743" s="77"/>
      <c r="BE743">
        <f t="shared" si="783"/>
        <v>0</v>
      </c>
      <c r="BF743" s="196"/>
      <c r="BG743" s="196"/>
      <c r="BH743" s="196"/>
      <c r="BI743" s="196"/>
      <c r="BJ743" s="196"/>
      <c r="BK743" s="196"/>
    </row>
    <row r="744" spans="1:63" hidden="1">
      <c r="B744" s="72"/>
      <c r="C744" s="135"/>
      <c r="D744" s="73"/>
      <c r="E744" s="73"/>
      <c r="F744" s="72"/>
      <c r="G744" s="72"/>
      <c r="H744" s="72"/>
      <c r="I744" s="73">
        <f t="shared" si="785"/>
        <v>0</v>
      </c>
      <c r="J744" s="73"/>
      <c r="K744" s="73"/>
      <c r="L744" s="74" t="e">
        <f>_xlfn.IFNA(VLOOKUP(C744,'חד גזעי'!$U$3:$V$509,2,0),VLOOKUP(C744,'חד גזעי'!$U$3:$V$509,2))</f>
        <v>#N/A</v>
      </c>
      <c r="M744" s="73"/>
      <c r="N744" s="72" t="e">
        <f>_xlfn.IFNA(IF(VLOOKUP(C744,'חד גזעי'!$AH$2:$AH$7,1,FALSE)&gt;0,0,IF('חד גזעי'!$AM$5="כן",IF(_xlfn.IFNA(VLOOKUP(C744,'חד גזעי'!$AH$2:$AH$33,1,FALSE),SUM(J744:M744))&lt;21,_xlfn.IFNA(VLOOKUP(C744,'חד גזעי'!$AH$2:$AH$33,1,FALSE),SUM(J744:M744)),0),SUM(J744:M744))),IF('חד גזעי'!$AM$5="כן",IF(_xlfn.IFNA(VLOOKUP(C744,'חד גזעי'!$AH$2:$AH$33,1,FALSE),SUM(J744:M744))&lt;21,_xlfn.IFNA(VLOOKUP(C744,'חד גזעי'!$AH$2:$AH$33,1,FALSE),SUM(J744:M744)),0),SUM(J744:M744)))</f>
        <v>#N/A</v>
      </c>
      <c r="O744" s="72">
        <f>IF('חד גזעי'!$AM$3 = "כן",IF(T744&gt;4,4,T744),T744)</f>
        <v>0</v>
      </c>
      <c r="P744" s="80">
        <f>IF(E744&lt;2,0,IF(Z744&gt;0,Z744,IF(N744 = 0,0,IF('חד גזעי'!$AM$2 = "לא",IF(F744&gt;19,W744,0),IF(F744&gt;9,Y744,0)))))</f>
        <v>0</v>
      </c>
      <c r="Q744" s="77"/>
      <c r="R744" s="75"/>
      <c r="S744" t="e">
        <f>VLOOKUP(C744,'חד גזעי'!$Y$4:$Y$18,1,0)</f>
        <v>#N/A</v>
      </c>
      <c r="T744" s="72">
        <f>IF('חד גזעי'!$AM$6="לא",IF(P744=0,IF(BC744="שימור",IF('חד גזעי'!$AM$4="לא",IF(BC744="לא בוגר",0,IF(BC744="לא קיים",0,IF(J744=0,0,I744*0.1))),IF(BC744="לא בוגר",0,IF(BC744="לא קיים",0,IF(AB744=1,I744*0.1,E744*0.5)))),0),IF('חד גזעי'!$AM$4="לא",IF(BC744="לא בוגר",0,IF(BC744="לא קיים",0,IF(J744=0,0,I744*0.1))),IF(BC744="לא בוגר",0,IF(BC744="לא קיים",0,IF(AB744=1,I744*0.1,E744*0.5))))),IF(P744=0,IF(BC744="שימור",IF('חד גזעי'!$AM$4="לא",IF(BC744="לא בוגר",0,IF(BC744="לא קיים",0,IF(J744=0,0,I744*0.15))),IF(BC744="לא בוגר",0,IF(BC744="לא קיים",0,IF(AB744=1,I744*0.15,E744*0.5)))),0),IF('חד גזעי'!$AM$4="לא",IF(BC744="לא בוגר",0,IF(BC744="לא קיים",0,IF(J744=0,0,I744*0.15))),IF(BC744="לא בוגר",0,IF(BC744="לא קיים",0,IF(AB744=1,I744*0.15,E744*0.5))))))</f>
        <v>0</v>
      </c>
      <c r="V744" t="e">
        <f t="shared" si="758"/>
        <v>#N/A</v>
      </c>
      <c r="W744" t="e">
        <f t="shared" si="759"/>
        <v>#N/A</v>
      </c>
      <c r="X744" t="e">
        <f t="shared" si="760"/>
        <v>#N/A</v>
      </c>
      <c r="Y744">
        <f>IF('חד גזעי'!$AM$2 = "לא",0,IF(F744&gt;9,W744,0))</f>
        <v>0</v>
      </c>
      <c r="Z744">
        <f>IF('חד גזעי'!$AM$7 = "לא",0,IF(C744 = "זית אירופי",IF('חד גזעי'!$AN$7 &lt;=סקר!F744,W744,0),IF(C744 = "חרוב מצוי",IF('חד גזעי'!$AN$7 &lt;=סקר!F744,W744,0),0)))</f>
        <v>0</v>
      </c>
      <c r="AB744">
        <f t="shared" si="786"/>
        <v>1</v>
      </c>
      <c r="AC744" s="72"/>
      <c r="AD744" t="e">
        <f t="shared" ref="AD744:AD774" si="804">IF(AK744&gt;0,AK744,AF744)</f>
        <v>#N/A</v>
      </c>
      <c r="AE744" s="72"/>
      <c r="AF744" s="72" t="e">
        <f t="shared" si="787"/>
        <v>#N/A</v>
      </c>
      <c r="AG744" s="72" t="e">
        <f>IF('חד גזעי'!$AM$5="לא",(VLOOKUP(C744,'חד גזעי'!$P$1:$S$589,3,FALSE)),(VLOOKUP(C744,'חד גזעי'!$P$1:$S$589,4,FALSE)))</f>
        <v>#N/A</v>
      </c>
      <c r="AH744" s="72">
        <f t="shared" si="788"/>
        <v>0</v>
      </c>
      <c r="AI744" s="72">
        <f t="shared" si="789"/>
        <v>0</v>
      </c>
      <c r="AJ744" s="72">
        <f t="shared" si="790"/>
        <v>0</v>
      </c>
      <c r="AK744" s="72" t="e">
        <f t="shared" si="791"/>
        <v>#N/A</v>
      </c>
      <c r="AL744" t="e">
        <f>VLOOKUP(C744,'חד גזעי'!$AH$8:$AI$33,2,FALSE)</f>
        <v>#N/A</v>
      </c>
      <c r="AM744" s="72" t="b">
        <f t="shared" si="792"/>
        <v>0</v>
      </c>
      <c r="AN744" s="72" t="b">
        <f t="shared" si="793"/>
        <v>0</v>
      </c>
      <c r="AO744" s="72" t="b">
        <f t="shared" si="794"/>
        <v>0</v>
      </c>
      <c r="AS744" s="72">
        <f t="shared" si="795"/>
        <v>0</v>
      </c>
      <c r="AT744" s="72">
        <f t="shared" si="796"/>
        <v>0</v>
      </c>
      <c r="AU744" s="72">
        <f t="shared" ref="AU744:AU774" si="805">IF(C744&gt;0,IF(D744&lt;2,1,D744),0)</f>
        <v>0</v>
      </c>
      <c r="AV744" s="72">
        <f t="shared" si="797"/>
        <v>0</v>
      </c>
      <c r="AW744" s="72">
        <f t="shared" si="798"/>
        <v>0</v>
      </c>
      <c r="AX744" s="72">
        <f t="shared" si="799"/>
        <v>0</v>
      </c>
      <c r="AY744" s="72">
        <f t="shared" si="800"/>
        <v>0</v>
      </c>
      <c r="AZ744" s="72">
        <f t="shared" si="801"/>
        <v>0</v>
      </c>
      <c r="BA744" s="72" t="e">
        <f t="shared" si="802"/>
        <v>#N/A</v>
      </c>
      <c r="BB744" s="72" t="e">
        <f t="shared" si="803"/>
        <v>#N/A</v>
      </c>
      <c r="BC744" s="77"/>
      <c r="BE744">
        <f t="shared" si="783"/>
        <v>0</v>
      </c>
      <c r="BF744" s="196"/>
      <c r="BG744" s="196"/>
      <c r="BH744" s="196"/>
      <c r="BI744" s="196"/>
      <c r="BJ744" s="196"/>
      <c r="BK744" s="196"/>
    </row>
    <row r="745" spans="1:63" hidden="1">
      <c r="B745" s="72"/>
      <c r="C745" s="135"/>
      <c r="D745" s="73"/>
      <c r="E745" s="73"/>
      <c r="F745" s="72"/>
      <c r="G745" s="72"/>
      <c r="H745" s="72"/>
      <c r="I745" s="73">
        <f t="shared" si="785"/>
        <v>0</v>
      </c>
      <c r="J745" s="73"/>
      <c r="K745" s="73"/>
      <c r="L745" s="74" t="e">
        <f>_xlfn.IFNA(VLOOKUP(C745,'חד גזעי'!$U$3:$V$509,2,0),VLOOKUP(C745,'חד גזעי'!$U$3:$V$509,2))</f>
        <v>#N/A</v>
      </c>
      <c r="M745" s="73"/>
      <c r="N745" s="72" t="e">
        <f>_xlfn.IFNA(IF(VLOOKUP(C745,'חד גזעי'!$AH$2:$AH$7,1,FALSE)&gt;0,0,IF('חד גזעי'!$AM$5="כן",IF(_xlfn.IFNA(VLOOKUP(C745,'חד גזעי'!$AH$2:$AH$33,1,FALSE),SUM(J745:M745))&lt;21,_xlfn.IFNA(VLOOKUP(C745,'חד גזעי'!$AH$2:$AH$33,1,FALSE),SUM(J745:M745)),0),SUM(J745:M745))),IF('חד גזעי'!$AM$5="כן",IF(_xlfn.IFNA(VLOOKUP(C745,'חד גזעי'!$AH$2:$AH$33,1,FALSE),SUM(J745:M745))&lt;21,_xlfn.IFNA(VLOOKUP(C745,'חד גזעי'!$AH$2:$AH$33,1,FALSE),SUM(J745:M745)),0),SUM(J745:M745)))</f>
        <v>#N/A</v>
      </c>
      <c r="O745" s="72">
        <f>IF('חד גזעי'!$AM$3 = "כן",IF(T745&gt;4,4,T745),T745)</f>
        <v>0</v>
      </c>
      <c r="P745" s="80">
        <f>IF(E745&lt;2,0,IF(Z745&gt;0,Z745,IF(N745 = 0,0,IF('חד גזעי'!$AM$2 = "לא",IF(F745&gt;19,W745,0),IF(F745&gt;9,Y745,0)))))</f>
        <v>0</v>
      </c>
      <c r="Q745" s="77"/>
      <c r="R745" s="75"/>
      <c r="S745" t="e">
        <f>VLOOKUP(C745,'חד גזעי'!$Y$4:$Y$18,1,0)</f>
        <v>#N/A</v>
      </c>
      <c r="T745" s="72">
        <f>IF('חד גזעי'!$AM$6="לא",IF(P745=0,IF(BC745="שימור",IF('חד גזעי'!$AM$4="לא",IF(BC745="לא בוגר",0,IF(BC745="לא קיים",0,IF(J745=0,0,I745*0.1))),IF(BC745="לא בוגר",0,IF(BC745="לא קיים",0,IF(AB745=1,I745*0.1,E745*0.5)))),0),IF('חד גזעי'!$AM$4="לא",IF(BC745="לא בוגר",0,IF(BC745="לא קיים",0,IF(J745=0,0,I745*0.1))),IF(BC745="לא בוגר",0,IF(BC745="לא קיים",0,IF(AB745=1,I745*0.1,E745*0.5))))),IF(P745=0,IF(BC745="שימור",IF('חד גזעי'!$AM$4="לא",IF(BC745="לא בוגר",0,IF(BC745="לא קיים",0,IF(J745=0,0,I745*0.15))),IF(BC745="לא בוגר",0,IF(BC745="לא קיים",0,IF(AB745=1,I745*0.15,E745*0.5)))),0),IF('חד גזעי'!$AM$4="לא",IF(BC745="לא בוגר",0,IF(BC745="לא קיים",0,IF(J745=0,0,I745*0.15))),IF(BC745="לא בוגר",0,IF(BC745="לא קיים",0,IF(AB745=1,I745*0.15,E745*0.5))))))</f>
        <v>0</v>
      </c>
      <c r="V745" t="e">
        <f t="shared" si="758"/>
        <v>#N/A</v>
      </c>
      <c r="W745" t="e">
        <f t="shared" si="759"/>
        <v>#N/A</v>
      </c>
      <c r="X745" t="e">
        <f t="shared" si="760"/>
        <v>#N/A</v>
      </c>
      <c r="Y745">
        <f>IF('חד גזעי'!$AM$2 = "לא",0,IF(F745&gt;9,W745,0))</f>
        <v>0</v>
      </c>
      <c r="Z745">
        <f>IF('חד גזעי'!$AM$7 = "לא",0,IF(C745 = "זית אירופי",IF('חד גזעי'!$AN$7 &lt;=סקר!F745,W745,0),IF(C745 = "חרוב מצוי",IF('חד גזעי'!$AN$7 &lt;=סקר!F745,W745,0),0)))</f>
        <v>0</v>
      </c>
      <c r="AB745">
        <f t="shared" si="786"/>
        <v>1</v>
      </c>
      <c r="AC745" s="72"/>
      <c r="AD745" t="e">
        <f t="shared" si="804"/>
        <v>#N/A</v>
      </c>
      <c r="AE745" s="72"/>
      <c r="AF745" s="72" t="e">
        <f t="shared" si="787"/>
        <v>#N/A</v>
      </c>
      <c r="AG745" s="72" t="e">
        <f>IF('חד גזעי'!$AM$5="לא",(VLOOKUP(C745,'חד גזעי'!$P$1:$S$589,3,FALSE)),(VLOOKUP(C745,'חד גזעי'!$P$1:$S$589,4,FALSE)))</f>
        <v>#N/A</v>
      </c>
      <c r="AH745" s="72">
        <f t="shared" si="788"/>
        <v>0</v>
      </c>
      <c r="AI745" s="72">
        <f t="shared" si="789"/>
        <v>0</v>
      </c>
      <c r="AJ745" s="72">
        <f t="shared" si="790"/>
        <v>0</v>
      </c>
      <c r="AK745" s="72" t="e">
        <f t="shared" si="791"/>
        <v>#N/A</v>
      </c>
      <c r="AL745" t="e">
        <f>VLOOKUP(C745,'חד גזעי'!$AH$8:$AI$33,2,FALSE)</f>
        <v>#N/A</v>
      </c>
      <c r="AM745" s="72" t="b">
        <f t="shared" si="792"/>
        <v>0</v>
      </c>
      <c r="AN745" s="72" t="b">
        <f t="shared" si="793"/>
        <v>0</v>
      </c>
      <c r="AO745" s="72" t="b">
        <f t="shared" si="794"/>
        <v>0</v>
      </c>
      <c r="AS745" s="72">
        <f t="shared" si="795"/>
        <v>0</v>
      </c>
      <c r="AT745" s="72">
        <f t="shared" si="796"/>
        <v>0</v>
      </c>
      <c r="AU745" s="72">
        <f t="shared" si="805"/>
        <v>0</v>
      </c>
      <c r="AV745" s="72">
        <f t="shared" si="797"/>
        <v>0</v>
      </c>
      <c r="AW745" s="72">
        <f t="shared" si="798"/>
        <v>0</v>
      </c>
      <c r="AX745" s="72">
        <f t="shared" si="799"/>
        <v>0</v>
      </c>
      <c r="AY745" s="72">
        <f t="shared" si="800"/>
        <v>0</v>
      </c>
      <c r="AZ745" s="72">
        <f t="shared" si="801"/>
        <v>0</v>
      </c>
      <c r="BA745" s="72" t="e">
        <f t="shared" si="802"/>
        <v>#N/A</v>
      </c>
      <c r="BB745" s="72" t="e">
        <f t="shared" si="803"/>
        <v>#N/A</v>
      </c>
      <c r="BC745" s="77"/>
      <c r="BE745">
        <f t="shared" si="783"/>
        <v>0</v>
      </c>
      <c r="BF745" s="196"/>
      <c r="BG745" s="196"/>
      <c r="BH745" s="196"/>
      <c r="BI745" s="196"/>
      <c r="BJ745" s="196"/>
      <c r="BK745" s="196"/>
    </row>
    <row r="746" spans="1:63" hidden="1">
      <c r="B746" s="72"/>
      <c r="C746" s="135"/>
      <c r="D746" s="73"/>
      <c r="E746" s="73"/>
      <c r="F746" s="72"/>
      <c r="G746" s="72"/>
      <c r="H746" s="72"/>
      <c r="I746" s="73">
        <f t="shared" si="785"/>
        <v>0</v>
      </c>
      <c r="J746" s="73"/>
      <c r="K746" s="73"/>
      <c r="L746" s="74" t="e">
        <f>_xlfn.IFNA(VLOOKUP(C746,'חד גזעי'!$U$3:$V$509,2,0),VLOOKUP(C746,'חד גזעי'!$U$3:$V$509,2))</f>
        <v>#N/A</v>
      </c>
      <c r="M746" s="73"/>
      <c r="N746" s="72" t="e">
        <f>_xlfn.IFNA(IF(VLOOKUP(C746,'חד גזעי'!$AH$2:$AH$7,1,FALSE)&gt;0,0,IF('חד גזעי'!$AM$5="כן",IF(_xlfn.IFNA(VLOOKUP(C746,'חד גזעי'!$AH$2:$AH$33,1,FALSE),SUM(J746:M746))&lt;21,_xlfn.IFNA(VLOOKUP(C746,'חד גזעי'!$AH$2:$AH$33,1,FALSE),SUM(J746:M746)),0),SUM(J746:M746))),IF('חד גזעי'!$AM$5="כן",IF(_xlfn.IFNA(VLOOKUP(C746,'חד גזעי'!$AH$2:$AH$33,1,FALSE),SUM(J746:M746))&lt;21,_xlfn.IFNA(VLOOKUP(C746,'חד גזעי'!$AH$2:$AH$33,1,FALSE),SUM(J746:M746)),0),SUM(J746:M746)))</f>
        <v>#N/A</v>
      </c>
      <c r="O746" s="72">
        <f>IF('חד גזעי'!$AM$3 = "כן",IF(T746&gt;4,4,T746),T746)</f>
        <v>0</v>
      </c>
      <c r="P746" s="80">
        <f>IF(E746&lt;2,0,IF(Z746&gt;0,Z746,IF(N746 = 0,0,IF('חד גזעי'!$AM$2 = "לא",IF(F746&gt;19,W746,0),IF(F746&gt;9,Y746,0)))))</f>
        <v>0</v>
      </c>
      <c r="Q746" s="77"/>
      <c r="R746" s="75"/>
      <c r="S746" t="e">
        <f>VLOOKUP(C746,'חד גזעי'!$Y$4:$Y$18,1,0)</f>
        <v>#N/A</v>
      </c>
      <c r="T746" s="72">
        <f>IF('חד גזעי'!$AM$6="לא",IF(P746=0,IF(BC746="שימור",IF('חד גזעי'!$AM$4="לא",IF(BC746="לא בוגר",0,IF(BC746="לא קיים",0,IF(J746=0,0,I746*0.1))),IF(BC746="לא בוגר",0,IF(BC746="לא קיים",0,IF(AB746=1,I746*0.1,E746*0.5)))),0),IF('חד גזעי'!$AM$4="לא",IF(BC746="לא בוגר",0,IF(BC746="לא קיים",0,IF(J746=0,0,I746*0.1))),IF(BC746="לא בוגר",0,IF(BC746="לא קיים",0,IF(AB746=1,I746*0.1,E746*0.5))))),IF(P746=0,IF(BC746="שימור",IF('חד גזעי'!$AM$4="לא",IF(BC746="לא בוגר",0,IF(BC746="לא קיים",0,IF(J746=0,0,I746*0.15))),IF(BC746="לא בוגר",0,IF(BC746="לא קיים",0,IF(AB746=1,I746*0.15,E746*0.5)))),0),IF('חד גזעי'!$AM$4="לא",IF(BC746="לא בוגר",0,IF(BC746="לא קיים",0,IF(J746=0,0,I746*0.15))),IF(BC746="לא בוגר",0,IF(BC746="לא קיים",0,IF(AB746=1,I746*0.15,E746*0.5))))))</f>
        <v>0</v>
      </c>
      <c r="V746" t="e">
        <f t="shared" si="758"/>
        <v>#N/A</v>
      </c>
      <c r="W746" t="e">
        <f t="shared" si="759"/>
        <v>#N/A</v>
      </c>
      <c r="X746" t="e">
        <f t="shared" si="760"/>
        <v>#N/A</v>
      </c>
      <c r="Y746">
        <f>IF('חד גזעי'!$AM$2 = "לא",0,IF(F746&gt;9,W746,0))</f>
        <v>0</v>
      </c>
      <c r="Z746">
        <f>IF('חד גזעי'!$AM$7 = "לא",0,IF(C746 = "זית אירופי",IF('חד גזעי'!$AN$7 &lt;=סקר!F746,W746,0),IF(C746 = "חרוב מצוי",IF('חד גזעי'!$AN$7 &lt;=סקר!F746,W746,0),0)))</f>
        <v>0</v>
      </c>
      <c r="AB746">
        <f t="shared" si="786"/>
        <v>1</v>
      </c>
      <c r="AC746" s="72"/>
      <c r="AD746" t="e">
        <f t="shared" si="804"/>
        <v>#N/A</v>
      </c>
      <c r="AE746" s="72"/>
      <c r="AF746" s="72" t="e">
        <f t="shared" si="787"/>
        <v>#N/A</v>
      </c>
      <c r="AG746" s="72" t="e">
        <f>IF('חד גזעי'!$AM$5="לא",(VLOOKUP(C746,'חד גזעי'!$P$1:$S$589,3,FALSE)),(VLOOKUP(C746,'חד גזעי'!$P$1:$S$589,4,FALSE)))</f>
        <v>#N/A</v>
      </c>
      <c r="AH746" s="72">
        <f t="shared" si="788"/>
        <v>0</v>
      </c>
      <c r="AI746" s="72">
        <f t="shared" si="789"/>
        <v>0</v>
      </c>
      <c r="AJ746" s="72">
        <f t="shared" si="790"/>
        <v>0</v>
      </c>
      <c r="AK746" s="72" t="e">
        <f t="shared" si="791"/>
        <v>#N/A</v>
      </c>
      <c r="AL746" t="e">
        <f>VLOOKUP(C746,'חד גזעי'!$AH$8:$AI$33,2,FALSE)</f>
        <v>#N/A</v>
      </c>
      <c r="AM746" s="72" t="b">
        <f t="shared" si="792"/>
        <v>0</v>
      </c>
      <c r="AN746" s="72" t="b">
        <f t="shared" si="793"/>
        <v>0</v>
      </c>
      <c r="AO746" s="72" t="b">
        <f t="shared" si="794"/>
        <v>0</v>
      </c>
      <c r="AS746" s="72">
        <f t="shared" si="795"/>
        <v>0</v>
      </c>
      <c r="AT746" s="72">
        <f t="shared" si="796"/>
        <v>0</v>
      </c>
      <c r="AU746" s="72">
        <f t="shared" si="805"/>
        <v>0</v>
      </c>
      <c r="AV746" s="72">
        <f t="shared" si="797"/>
        <v>0</v>
      </c>
      <c r="AW746" s="72">
        <f t="shared" si="798"/>
        <v>0</v>
      </c>
      <c r="AX746" s="72">
        <f t="shared" si="799"/>
        <v>0</v>
      </c>
      <c r="AY746" s="72">
        <f t="shared" si="800"/>
        <v>0</v>
      </c>
      <c r="AZ746" s="72">
        <f t="shared" si="801"/>
        <v>0</v>
      </c>
      <c r="BA746" s="72" t="e">
        <f t="shared" si="802"/>
        <v>#N/A</v>
      </c>
      <c r="BB746" s="72" t="e">
        <f t="shared" si="803"/>
        <v>#N/A</v>
      </c>
      <c r="BC746" s="77"/>
      <c r="BE746">
        <f t="shared" si="783"/>
        <v>0</v>
      </c>
      <c r="BF746" s="196"/>
      <c r="BG746" s="196"/>
      <c r="BH746" s="196"/>
      <c r="BI746" s="196"/>
      <c r="BJ746" s="196"/>
      <c r="BK746" s="196"/>
    </row>
    <row r="747" spans="1:63" hidden="1">
      <c r="B747" s="72"/>
      <c r="C747" s="135"/>
      <c r="D747" s="73"/>
      <c r="E747" s="73"/>
      <c r="F747" s="72"/>
      <c r="G747" s="72"/>
      <c r="H747" s="72"/>
      <c r="I747" s="73">
        <f t="shared" si="785"/>
        <v>0</v>
      </c>
      <c r="J747" s="73"/>
      <c r="K747" s="73"/>
      <c r="L747" s="74" t="e">
        <f>_xlfn.IFNA(VLOOKUP(C747,'חד גזעי'!$U$3:$V$509,2,0),VLOOKUP(C747,'חד גזעי'!$U$3:$V$509,2))</f>
        <v>#N/A</v>
      </c>
      <c r="M747" s="73"/>
      <c r="N747" s="72" t="e">
        <f>_xlfn.IFNA(IF(VLOOKUP(C747,'חד גזעי'!$AH$2:$AH$7,1,FALSE)&gt;0,0,IF('חד גזעי'!$AM$5="כן",IF(_xlfn.IFNA(VLOOKUP(C747,'חד גזעי'!$AH$2:$AH$33,1,FALSE),SUM(J747:M747))&lt;21,_xlfn.IFNA(VLOOKUP(C747,'חד גזעי'!$AH$2:$AH$33,1,FALSE),SUM(J747:M747)),0),SUM(J747:M747))),IF('חד גזעי'!$AM$5="כן",IF(_xlfn.IFNA(VLOOKUP(C747,'חד גזעי'!$AH$2:$AH$33,1,FALSE),SUM(J747:M747))&lt;21,_xlfn.IFNA(VLOOKUP(C747,'חד גזעי'!$AH$2:$AH$33,1,FALSE),SUM(J747:M747)),0),SUM(J747:M747)))</f>
        <v>#N/A</v>
      </c>
      <c r="O747" s="72">
        <f>IF('חד גזעי'!$AM$3 = "כן",IF(T747&gt;4,4,T747),T747)</f>
        <v>0</v>
      </c>
      <c r="P747" s="80">
        <f>IF(E747&lt;2,0,IF(Z747&gt;0,Z747,IF(N747 = 0,0,IF('חד גזעי'!$AM$2 = "לא",IF(F747&gt;19,W747,0),IF(F747&gt;9,Y747,0)))))</f>
        <v>0</v>
      </c>
      <c r="Q747" s="77"/>
      <c r="R747" s="75"/>
      <c r="S747" t="e">
        <f>VLOOKUP(C747,'חד גזעי'!$Y$4:$Y$18,1,0)</f>
        <v>#N/A</v>
      </c>
      <c r="T747" s="72">
        <f>IF('חד גזעי'!$AM$6="לא",IF(P747=0,IF(BC747="שימור",IF('חד גזעי'!$AM$4="לא",IF(BC747="לא בוגר",0,IF(BC747="לא קיים",0,IF(J747=0,0,I747*0.1))),IF(BC747="לא בוגר",0,IF(BC747="לא קיים",0,IF(AB747=1,I747*0.1,E747*0.5)))),0),IF('חד גזעי'!$AM$4="לא",IF(BC747="לא בוגר",0,IF(BC747="לא קיים",0,IF(J747=0,0,I747*0.1))),IF(BC747="לא בוגר",0,IF(BC747="לא קיים",0,IF(AB747=1,I747*0.1,E747*0.5))))),IF(P747=0,IF(BC747="שימור",IF('חד גזעי'!$AM$4="לא",IF(BC747="לא בוגר",0,IF(BC747="לא קיים",0,IF(J747=0,0,I747*0.15))),IF(BC747="לא בוגר",0,IF(BC747="לא קיים",0,IF(AB747=1,I747*0.15,E747*0.5)))),0),IF('חד גזעי'!$AM$4="לא",IF(BC747="לא בוגר",0,IF(BC747="לא קיים",0,IF(J747=0,0,I747*0.15))),IF(BC747="לא בוגר",0,IF(BC747="לא קיים",0,IF(AB747=1,I747*0.15,E747*0.5))))))</f>
        <v>0</v>
      </c>
      <c r="V747" t="e">
        <f t="shared" si="758"/>
        <v>#N/A</v>
      </c>
      <c r="W747" t="e">
        <f t="shared" si="759"/>
        <v>#N/A</v>
      </c>
      <c r="X747" t="e">
        <f t="shared" si="760"/>
        <v>#N/A</v>
      </c>
      <c r="Y747">
        <f>IF('חד גזעי'!$AM$2 = "לא",0,IF(F747&gt;9,W747,0))</f>
        <v>0</v>
      </c>
      <c r="Z747">
        <f>IF('חד גזעי'!$AM$7 = "לא",0,IF(C747 = "זית אירופי",IF('חד גזעי'!$AN$7 &lt;=סקר!F747,W747,0),IF(C747 = "חרוב מצוי",IF('חד גזעי'!$AN$7 &lt;=סקר!F747,W747,0),0)))</f>
        <v>0</v>
      </c>
      <c r="AB747">
        <f t="shared" si="786"/>
        <v>1</v>
      </c>
      <c r="AC747" s="72"/>
      <c r="AD747" t="e">
        <f t="shared" si="804"/>
        <v>#N/A</v>
      </c>
      <c r="AE747" s="72"/>
      <c r="AF747" s="72" t="e">
        <f t="shared" si="787"/>
        <v>#N/A</v>
      </c>
      <c r="AG747" s="72" t="e">
        <f>IF('חד גזעי'!$AM$5="לא",(VLOOKUP(C747,'חד גזעי'!$P$1:$S$589,3,FALSE)),(VLOOKUP(C747,'חד גזעי'!$P$1:$S$589,4,FALSE)))</f>
        <v>#N/A</v>
      </c>
      <c r="AH747" s="72">
        <f t="shared" si="788"/>
        <v>0</v>
      </c>
      <c r="AI747" s="72">
        <f t="shared" si="789"/>
        <v>0</v>
      </c>
      <c r="AJ747" s="72">
        <f t="shared" si="790"/>
        <v>0</v>
      </c>
      <c r="AK747" s="72" t="e">
        <f t="shared" si="791"/>
        <v>#N/A</v>
      </c>
      <c r="AL747" t="e">
        <f>VLOOKUP(C747,'חד גזעי'!$AH$8:$AI$33,2,FALSE)</f>
        <v>#N/A</v>
      </c>
      <c r="AM747" s="72" t="b">
        <f t="shared" si="792"/>
        <v>0</v>
      </c>
      <c r="AN747" s="72" t="b">
        <f t="shared" si="793"/>
        <v>0</v>
      </c>
      <c r="AO747" s="72" t="b">
        <f t="shared" si="794"/>
        <v>0</v>
      </c>
      <c r="AS747" s="72">
        <f t="shared" si="795"/>
        <v>0</v>
      </c>
      <c r="AT747" s="72">
        <f t="shared" si="796"/>
        <v>0</v>
      </c>
      <c r="AU747" s="72">
        <f t="shared" si="805"/>
        <v>0</v>
      </c>
      <c r="AV747" s="72">
        <f t="shared" si="797"/>
        <v>0</v>
      </c>
      <c r="AW747" s="72">
        <f t="shared" si="798"/>
        <v>0</v>
      </c>
      <c r="AX747" s="72">
        <f t="shared" si="799"/>
        <v>0</v>
      </c>
      <c r="AY747" s="72">
        <f t="shared" si="800"/>
        <v>0</v>
      </c>
      <c r="AZ747" s="72">
        <f t="shared" si="801"/>
        <v>0</v>
      </c>
      <c r="BA747" s="72" t="e">
        <f t="shared" si="802"/>
        <v>#N/A</v>
      </c>
      <c r="BB747" s="72" t="e">
        <f t="shared" si="803"/>
        <v>#N/A</v>
      </c>
      <c r="BC747" s="77"/>
      <c r="BE747">
        <f t="shared" si="783"/>
        <v>0</v>
      </c>
      <c r="BF747" s="196"/>
      <c r="BG747" s="196"/>
      <c r="BH747" s="196"/>
      <c r="BI747" s="196"/>
      <c r="BJ747" s="196"/>
      <c r="BK747" s="196"/>
    </row>
    <row r="748" spans="1:63" hidden="1">
      <c r="B748" s="72"/>
      <c r="C748" s="135"/>
      <c r="D748" s="78"/>
      <c r="E748" s="73"/>
      <c r="F748" s="72"/>
      <c r="G748" s="72"/>
      <c r="H748" s="72"/>
      <c r="I748" s="73">
        <f t="shared" si="785"/>
        <v>0</v>
      </c>
      <c r="J748" s="78"/>
      <c r="K748" s="73"/>
      <c r="L748" s="74" t="e">
        <f>_xlfn.IFNA(VLOOKUP(C748,'חד גזעי'!$U$3:$V$509,2,0),VLOOKUP(C748,'חד גזעי'!$U$3:$V$509,2))</f>
        <v>#N/A</v>
      </c>
      <c r="M748" s="73"/>
      <c r="N748" s="72" t="e">
        <f>_xlfn.IFNA(IF(VLOOKUP(C748,'חד גזעי'!$AH$2:$AH$7,1,FALSE)&gt;0,0,IF('חד גזעי'!$AM$5="כן",IF(_xlfn.IFNA(VLOOKUP(C748,'חד גזעי'!$AH$2:$AH$33,1,FALSE),SUM(J748:M748))&lt;21,_xlfn.IFNA(VLOOKUP(C748,'חד גזעי'!$AH$2:$AH$33,1,FALSE),SUM(J748:M748)),0),SUM(J748:M748))),IF('חד גזעי'!$AM$5="כן",IF(_xlfn.IFNA(VLOOKUP(C748,'חד גזעי'!$AH$2:$AH$33,1,FALSE),SUM(J748:M748))&lt;21,_xlfn.IFNA(VLOOKUP(C748,'חד גזעי'!$AH$2:$AH$33,1,FALSE),SUM(J748:M748)),0),SUM(J748:M748)))</f>
        <v>#N/A</v>
      </c>
      <c r="O748" s="72">
        <f>IF('חד גזעי'!$AM$3 = "כן",IF(T748&gt;4,4,T748),T748)</f>
        <v>0</v>
      </c>
      <c r="P748" s="80">
        <f>IF(E748&lt;2,0,IF(Z748&gt;0,Z748,IF(N748 = 0,0,IF('חד גזעי'!$AM$2 = "לא",IF(F748&gt;19,W748,0),IF(F748&gt;9,Y748,0)))))</f>
        <v>0</v>
      </c>
      <c r="Q748" s="77"/>
      <c r="R748" s="75"/>
      <c r="S748" t="e">
        <f>VLOOKUP(C748,'חד גזעי'!$Y$4:$Y$18,1,0)</f>
        <v>#N/A</v>
      </c>
      <c r="T748" s="72">
        <f>IF('חד גזעי'!$AM$6="לא",IF(P748=0,IF(BC748="שימור",IF('חד גזעי'!$AM$4="לא",IF(BC748="לא בוגר",0,IF(BC748="לא קיים",0,IF(J748=0,0,I748*0.1))),IF(BC748="לא בוגר",0,IF(BC748="לא קיים",0,IF(AB748=1,I748*0.1,E748*0.5)))),0),IF('חד גזעי'!$AM$4="לא",IF(BC748="לא בוגר",0,IF(BC748="לא קיים",0,IF(J748=0,0,I748*0.1))),IF(BC748="לא בוגר",0,IF(BC748="לא קיים",0,IF(AB748=1,I748*0.1,E748*0.5))))),IF(P748=0,IF(BC748="שימור",IF('חד גזעי'!$AM$4="לא",IF(BC748="לא בוגר",0,IF(BC748="לא קיים",0,IF(J748=0,0,I748*0.15))),IF(BC748="לא בוגר",0,IF(BC748="לא קיים",0,IF(AB748=1,I748*0.15,E748*0.5)))),0),IF('חד גזעי'!$AM$4="לא",IF(BC748="לא בוגר",0,IF(BC748="לא קיים",0,IF(J748=0,0,I748*0.15))),IF(BC748="לא בוגר",0,IF(BC748="לא קיים",0,IF(AB748=1,I748*0.15,E748*0.5))))))</f>
        <v>0</v>
      </c>
      <c r="V748" t="e">
        <f t="shared" si="758"/>
        <v>#N/A</v>
      </c>
      <c r="W748" t="e">
        <f t="shared" si="759"/>
        <v>#N/A</v>
      </c>
      <c r="X748" t="e">
        <f t="shared" si="760"/>
        <v>#N/A</v>
      </c>
      <c r="Y748">
        <f>IF('חד גזעי'!$AM$2 = "לא",0,IF(F748&gt;9,W748,0))</f>
        <v>0</v>
      </c>
      <c r="Z748">
        <f>IF('חד גזעי'!$AM$7 = "לא",0,IF(C748 = "זית אירופי",IF('חד גזעי'!$AN$7 &lt;=סקר!F748,W748,0),IF(C748 = "חרוב מצוי",IF('חד גזעי'!$AN$7 &lt;=סקר!F748,W748,0),0)))</f>
        <v>0</v>
      </c>
      <c r="AB748">
        <f t="shared" si="786"/>
        <v>1</v>
      </c>
      <c r="AC748" s="72"/>
      <c r="AD748" t="e">
        <f t="shared" si="804"/>
        <v>#N/A</v>
      </c>
      <c r="AE748" s="72"/>
      <c r="AF748" s="72" t="e">
        <f t="shared" si="787"/>
        <v>#N/A</v>
      </c>
      <c r="AG748" s="72" t="e">
        <f>IF('חד גזעי'!$AM$5="לא",(VLOOKUP(C748,'חד גזעי'!$P$1:$S$589,3,FALSE)),(VLOOKUP(C748,'חד גזעי'!$P$1:$S$589,4,FALSE)))</f>
        <v>#N/A</v>
      </c>
      <c r="AH748" s="72">
        <f t="shared" si="788"/>
        <v>0</v>
      </c>
      <c r="AI748" s="72">
        <f t="shared" si="789"/>
        <v>0</v>
      </c>
      <c r="AJ748" s="72">
        <f t="shared" si="790"/>
        <v>0</v>
      </c>
      <c r="AK748" s="72" t="e">
        <f t="shared" si="791"/>
        <v>#N/A</v>
      </c>
      <c r="AL748" t="e">
        <f>VLOOKUP(C748,'חד גזעי'!$AH$8:$AI$33,2,FALSE)</f>
        <v>#N/A</v>
      </c>
      <c r="AM748" s="72" t="b">
        <f t="shared" si="792"/>
        <v>0</v>
      </c>
      <c r="AN748" s="72" t="b">
        <f t="shared" si="793"/>
        <v>0</v>
      </c>
      <c r="AO748" s="72" t="b">
        <f t="shared" si="794"/>
        <v>0</v>
      </c>
      <c r="AS748" s="72">
        <f t="shared" si="795"/>
        <v>0</v>
      </c>
      <c r="AT748" s="72">
        <f t="shared" si="796"/>
        <v>0</v>
      </c>
      <c r="AU748" s="72">
        <f t="shared" si="805"/>
        <v>0</v>
      </c>
      <c r="AV748" s="72">
        <f t="shared" si="797"/>
        <v>0</v>
      </c>
      <c r="AW748" s="72">
        <f t="shared" si="798"/>
        <v>0</v>
      </c>
      <c r="AX748" s="72">
        <f t="shared" si="799"/>
        <v>0</v>
      </c>
      <c r="AY748" s="72">
        <f t="shared" si="800"/>
        <v>0</v>
      </c>
      <c r="AZ748" s="72">
        <f t="shared" si="801"/>
        <v>0</v>
      </c>
      <c r="BA748" s="72" t="e">
        <f t="shared" si="802"/>
        <v>#N/A</v>
      </c>
      <c r="BB748" s="72" t="e">
        <f t="shared" si="803"/>
        <v>#N/A</v>
      </c>
      <c r="BC748" s="77"/>
      <c r="BE748">
        <f t="shared" si="783"/>
        <v>0</v>
      </c>
      <c r="BF748" s="196"/>
      <c r="BG748" s="196"/>
      <c r="BH748" s="196"/>
      <c r="BI748" s="196"/>
      <c r="BJ748" s="196"/>
      <c r="BK748" s="196"/>
    </row>
    <row r="749" spans="1:63" hidden="1">
      <c r="B749" s="72"/>
      <c r="C749" s="135"/>
      <c r="D749" s="78"/>
      <c r="E749" s="73"/>
      <c r="F749" s="72"/>
      <c r="G749" s="72"/>
      <c r="H749" s="72"/>
      <c r="I749" s="73">
        <f t="shared" si="785"/>
        <v>0</v>
      </c>
      <c r="J749" s="78"/>
      <c r="K749" s="73"/>
      <c r="L749" s="74" t="e">
        <f>_xlfn.IFNA(VLOOKUP(C749,'חד גזעי'!$U$3:$V$509,2,0),VLOOKUP(C749,'חד גזעי'!$U$3:$V$509,2))</f>
        <v>#N/A</v>
      </c>
      <c r="M749" s="73"/>
      <c r="N749" s="72" t="e">
        <f>_xlfn.IFNA(IF(VLOOKUP(C749,'חד גזעי'!$AH$2:$AH$7,1,FALSE)&gt;0,0,IF('חד גזעי'!$AM$5="כן",IF(_xlfn.IFNA(VLOOKUP(C749,'חד גזעי'!$AH$2:$AH$33,1,FALSE),SUM(J749:M749))&lt;21,_xlfn.IFNA(VLOOKUP(C749,'חד גזעי'!$AH$2:$AH$33,1,FALSE),SUM(J749:M749)),0),SUM(J749:M749))),IF('חד גזעי'!$AM$5="כן",IF(_xlfn.IFNA(VLOOKUP(C749,'חד גזעי'!$AH$2:$AH$33,1,FALSE),SUM(J749:M749))&lt;21,_xlfn.IFNA(VLOOKUP(C749,'חד גזעי'!$AH$2:$AH$33,1,FALSE),SUM(J749:M749)),0),SUM(J749:M749)))</f>
        <v>#N/A</v>
      </c>
      <c r="O749" s="72">
        <f>IF('חד גזעי'!$AM$3 = "כן",IF(T749&gt;4,4,T749),T749)</f>
        <v>0</v>
      </c>
      <c r="P749" s="80">
        <f>IF(E749&lt;2,0,IF(Z749&gt;0,Z749,IF(N749 = 0,0,IF('חד גזעי'!$AM$2 = "לא",IF(F749&gt;19,W749,0),IF(F749&gt;9,Y749,0)))))</f>
        <v>0</v>
      </c>
      <c r="Q749" s="77"/>
      <c r="R749" s="75"/>
      <c r="S749" t="e">
        <f>VLOOKUP(C749,'חד גזעי'!$Y$4:$Y$18,1,0)</f>
        <v>#N/A</v>
      </c>
      <c r="T749" s="72">
        <f>IF('חד גזעי'!$AM$6="לא",IF(P749=0,IF(BC749="שימור",IF('חד גזעי'!$AM$4="לא",IF(BC749="לא בוגר",0,IF(BC749="לא קיים",0,IF(J749=0,0,I749*0.1))),IF(BC749="לא בוגר",0,IF(BC749="לא קיים",0,IF(AB749=1,I749*0.1,E749*0.5)))),0),IF('חד גזעי'!$AM$4="לא",IF(BC749="לא בוגר",0,IF(BC749="לא קיים",0,IF(J749=0,0,I749*0.1))),IF(BC749="לא בוגר",0,IF(BC749="לא קיים",0,IF(AB749=1,I749*0.1,E749*0.5))))),IF(P749=0,IF(BC749="שימור",IF('חד גזעי'!$AM$4="לא",IF(BC749="לא בוגר",0,IF(BC749="לא קיים",0,IF(J749=0,0,I749*0.15))),IF(BC749="לא בוגר",0,IF(BC749="לא קיים",0,IF(AB749=1,I749*0.15,E749*0.5)))),0),IF('חד גזעי'!$AM$4="לא",IF(BC749="לא בוגר",0,IF(BC749="לא קיים",0,IF(J749=0,0,I749*0.15))),IF(BC749="לא בוגר",0,IF(BC749="לא קיים",0,IF(AB749=1,I749*0.15,E749*0.5))))))</f>
        <v>0</v>
      </c>
      <c r="V749" t="e">
        <f t="shared" si="758"/>
        <v>#N/A</v>
      </c>
      <c r="W749" t="e">
        <f t="shared" si="759"/>
        <v>#N/A</v>
      </c>
      <c r="X749" t="e">
        <f t="shared" si="760"/>
        <v>#N/A</v>
      </c>
      <c r="Y749">
        <f>IF('חד גזעי'!$AM$2 = "לא",0,IF(F749&gt;9,W749,0))</f>
        <v>0</v>
      </c>
      <c r="Z749">
        <f>IF('חד גזעי'!$AM$7 = "לא",0,IF(C749 = "זית אירופי",IF('חד גזעי'!$AN$7 &lt;=סקר!F749,W749,0),IF(C749 = "חרוב מצוי",IF('חד גזעי'!$AN$7 &lt;=סקר!F749,W749,0),0)))</f>
        <v>0</v>
      </c>
      <c r="AB749">
        <f t="shared" si="786"/>
        <v>1</v>
      </c>
      <c r="AC749" s="72"/>
      <c r="AD749" t="e">
        <f t="shared" si="804"/>
        <v>#N/A</v>
      </c>
      <c r="AE749" s="72"/>
      <c r="AF749" s="72" t="e">
        <f t="shared" si="787"/>
        <v>#N/A</v>
      </c>
      <c r="AG749" s="72" t="e">
        <f>IF('חד גזעי'!$AM$5="לא",(VLOOKUP(C749,'חד גזעי'!$P$1:$S$589,3,FALSE)),(VLOOKUP(C749,'חד גזעי'!$P$1:$S$589,4,FALSE)))</f>
        <v>#N/A</v>
      </c>
      <c r="AH749" s="72">
        <f t="shared" si="788"/>
        <v>0</v>
      </c>
      <c r="AI749" s="72">
        <f t="shared" si="789"/>
        <v>0</v>
      </c>
      <c r="AJ749" s="72">
        <f t="shared" si="790"/>
        <v>0</v>
      </c>
      <c r="AK749" s="72" t="e">
        <f t="shared" si="791"/>
        <v>#N/A</v>
      </c>
      <c r="AL749" t="e">
        <f>VLOOKUP(C749,'חד גזעי'!$AH$8:$AI$33,2,FALSE)</f>
        <v>#N/A</v>
      </c>
      <c r="AM749" s="72" t="b">
        <f t="shared" si="792"/>
        <v>0</v>
      </c>
      <c r="AN749" s="72" t="b">
        <f t="shared" si="793"/>
        <v>0</v>
      </c>
      <c r="AO749" s="72" t="b">
        <f t="shared" si="794"/>
        <v>0</v>
      </c>
      <c r="AS749" s="72">
        <f t="shared" si="795"/>
        <v>0</v>
      </c>
      <c r="AT749" s="72">
        <f t="shared" si="796"/>
        <v>0</v>
      </c>
      <c r="AU749" s="72">
        <f t="shared" si="805"/>
        <v>0</v>
      </c>
      <c r="AV749" s="72">
        <f t="shared" si="797"/>
        <v>0</v>
      </c>
      <c r="AW749" s="72">
        <f t="shared" si="798"/>
        <v>0</v>
      </c>
      <c r="AX749" s="72">
        <f t="shared" si="799"/>
        <v>0</v>
      </c>
      <c r="AY749" s="72">
        <f t="shared" si="800"/>
        <v>0</v>
      </c>
      <c r="AZ749" s="72">
        <f t="shared" si="801"/>
        <v>0</v>
      </c>
      <c r="BA749" s="72" t="e">
        <f t="shared" si="802"/>
        <v>#N/A</v>
      </c>
      <c r="BB749" s="72" t="e">
        <f t="shared" si="803"/>
        <v>#N/A</v>
      </c>
      <c r="BC749" s="77"/>
      <c r="BE749">
        <f t="shared" si="783"/>
        <v>0</v>
      </c>
      <c r="BF749" s="196"/>
      <c r="BG749" s="196"/>
      <c r="BH749" s="196"/>
      <c r="BI749" s="196"/>
      <c r="BJ749" s="196"/>
      <c r="BK749" s="196"/>
    </row>
    <row r="750" spans="1:63" hidden="1">
      <c r="B750" s="72"/>
      <c r="C750" s="135"/>
      <c r="D750" s="78"/>
      <c r="E750" s="73"/>
      <c r="F750" s="72"/>
      <c r="G750" s="72"/>
      <c r="H750" s="72"/>
      <c r="I750" s="73">
        <f t="shared" si="785"/>
        <v>0</v>
      </c>
      <c r="J750" s="78"/>
      <c r="K750" s="73"/>
      <c r="L750" s="74" t="e">
        <f>_xlfn.IFNA(VLOOKUP(C750,'חד גזעי'!$U$3:$V$509,2,0),VLOOKUP(C750,'חד גזעי'!$U$3:$V$509,2))</f>
        <v>#N/A</v>
      </c>
      <c r="M750" s="73"/>
      <c r="N750" s="72" t="e">
        <f>_xlfn.IFNA(IF(VLOOKUP(C750,'חד גזעי'!$AH$2:$AH$7,1,FALSE)&gt;0,0,IF('חד גזעי'!$AM$5="כן",IF(_xlfn.IFNA(VLOOKUP(C750,'חד גזעי'!$AH$2:$AH$33,1,FALSE),SUM(J750:M750))&lt;21,_xlfn.IFNA(VLOOKUP(C750,'חד גזעי'!$AH$2:$AH$33,1,FALSE),SUM(J750:M750)),0),SUM(J750:M750))),IF('חד גזעי'!$AM$5="כן",IF(_xlfn.IFNA(VLOOKUP(C750,'חד גזעי'!$AH$2:$AH$33,1,FALSE),SUM(J750:M750))&lt;21,_xlfn.IFNA(VLOOKUP(C750,'חד גזעי'!$AH$2:$AH$33,1,FALSE),SUM(J750:M750)),0),SUM(J750:M750)))</f>
        <v>#N/A</v>
      </c>
      <c r="O750" s="72">
        <f>IF('חד גזעי'!$AM$3 = "כן",IF(T750&gt;4,4,T750),T750)</f>
        <v>0</v>
      </c>
      <c r="P750" s="80">
        <f>IF(E750&lt;2,0,IF(Z750&gt;0,Z750,IF(N750 = 0,0,IF('חד גזעי'!$AM$2 = "לא",IF(F750&gt;19,W750,0),IF(F750&gt;9,Y750,0)))))</f>
        <v>0</v>
      </c>
      <c r="Q750" s="77"/>
      <c r="R750" s="75"/>
      <c r="S750" t="e">
        <f>VLOOKUP(C750,'חד גזעי'!$Y$4:$Y$18,1,0)</f>
        <v>#N/A</v>
      </c>
      <c r="T750" s="72">
        <f>IF('חד גזעי'!$AM$6="לא",IF(P750=0,IF(BC750="שימור",IF('חד גזעי'!$AM$4="לא",IF(BC750="לא בוגר",0,IF(BC750="לא קיים",0,IF(J750=0,0,I750*0.1))),IF(BC750="לא בוגר",0,IF(BC750="לא קיים",0,IF(AB750=1,I750*0.1,E750*0.5)))),0),IF('חד גזעי'!$AM$4="לא",IF(BC750="לא בוגר",0,IF(BC750="לא קיים",0,IF(J750=0,0,I750*0.1))),IF(BC750="לא בוגר",0,IF(BC750="לא קיים",0,IF(AB750=1,I750*0.1,E750*0.5))))),IF(P750=0,IF(BC750="שימור",IF('חד גזעי'!$AM$4="לא",IF(BC750="לא בוגר",0,IF(BC750="לא קיים",0,IF(J750=0,0,I750*0.15))),IF(BC750="לא בוגר",0,IF(BC750="לא קיים",0,IF(AB750=1,I750*0.15,E750*0.5)))),0),IF('חד גזעי'!$AM$4="לא",IF(BC750="לא בוגר",0,IF(BC750="לא קיים",0,IF(J750=0,0,I750*0.15))),IF(BC750="לא בוגר",0,IF(BC750="לא קיים",0,IF(AB750=1,I750*0.15,E750*0.5))))))</f>
        <v>0</v>
      </c>
      <c r="V750" t="e">
        <f t="shared" si="758"/>
        <v>#N/A</v>
      </c>
      <c r="W750" t="e">
        <f t="shared" si="759"/>
        <v>#N/A</v>
      </c>
      <c r="X750" t="e">
        <f t="shared" si="760"/>
        <v>#N/A</v>
      </c>
      <c r="Y750">
        <f>IF('חד גזעי'!$AM$2 = "לא",0,IF(F750&gt;9,W750,0))</f>
        <v>0</v>
      </c>
      <c r="Z750">
        <f>IF('חד גזעי'!$AM$7 = "לא",0,IF(C750 = "זית אירופי",IF('חד גזעי'!$AN$7 &lt;=סקר!F750,W750,0),IF(C750 = "חרוב מצוי",IF('חד גזעי'!$AN$7 &lt;=סקר!F750,W750,0),0)))</f>
        <v>0</v>
      </c>
      <c r="AB750">
        <f t="shared" si="786"/>
        <v>1</v>
      </c>
      <c r="AC750" s="72"/>
      <c r="AD750" t="e">
        <f t="shared" si="804"/>
        <v>#N/A</v>
      </c>
      <c r="AE750" s="72"/>
      <c r="AF750" s="72" t="e">
        <f t="shared" si="787"/>
        <v>#N/A</v>
      </c>
      <c r="AG750" s="72" t="e">
        <f>IF('חד גזעי'!$AM$5="לא",(VLOOKUP(C750,'חד גזעי'!$P$1:$S$589,3,FALSE)),(VLOOKUP(C750,'חד גזעי'!$P$1:$S$589,4,FALSE)))</f>
        <v>#N/A</v>
      </c>
      <c r="AH750" s="72">
        <f t="shared" si="788"/>
        <v>0</v>
      </c>
      <c r="AI750" s="72">
        <f t="shared" si="789"/>
        <v>0</v>
      </c>
      <c r="AJ750" s="72">
        <f t="shared" si="790"/>
        <v>0</v>
      </c>
      <c r="AK750" s="72" t="e">
        <f t="shared" si="791"/>
        <v>#N/A</v>
      </c>
      <c r="AL750" t="e">
        <f>VLOOKUP(C750,'חד גזעי'!$AH$8:$AI$33,2,FALSE)</f>
        <v>#N/A</v>
      </c>
      <c r="AM750" s="72" t="b">
        <f t="shared" si="792"/>
        <v>0</v>
      </c>
      <c r="AN750" s="72" t="b">
        <f t="shared" si="793"/>
        <v>0</v>
      </c>
      <c r="AO750" s="72" t="b">
        <f t="shared" si="794"/>
        <v>0</v>
      </c>
      <c r="AS750" s="72">
        <f t="shared" si="795"/>
        <v>0</v>
      </c>
      <c r="AT750" s="72">
        <f t="shared" si="796"/>
        <v>0</v>
      </c>
      <c r="AU750" s="72">
        <f t="shared" si="805"/>
        <v>0</v>
      </c>
      <c r="AV750" s="72">
        <f t="shared" si="797"/>
        <v>0</v>
      </c>
      <c r="AW750" s="72">
        <f t="shared" si="798"/>
        <v>0</v>
      </c>
      <c r="AX750" s="72">
        <f t="shared" si="799"/>
        <v>0</v>
      </c>
      <c r="AY750" s="72">
        <f t="shared" si="800"/>
        <v>0</v>
      </c>
      <c r="AZ750" s="72">
        <f t="shared" si="801"/>
        <v>0</v>
      </c>
      <c r="BA750" s="72" t="e">
        <f t="shared" si="802"/>
        <v>#N/A</v>
      </c>
      <c r="BB750" s="72" t="e">
        <f t="shared" si="803"/>
        <v>#N/A</v>
      </c>
      <c r="BC750" s="77"/>
      <c r="BE750">
        <f t="shared" si="783"/>
        <v>0</v>
      </c>
      <c r="BF750" s="196"/>
      <c r="BG750" s="196"/>
      <c r="BH750" s="196"/>
      <c r="BI750" s="196"/>
      <c r="BJ750" s="196"/>
      <c r="BK750" s="196"/>
    </row>
    <row r="751" spans="1:63" hidden="1">
      <c r="B751" s="72"/>
      <c r="C751" s="135"/>
      <c r="D751" s="78"/>
      <c r="E751" s="73"/>
      <c r="F751" s="72"/>
      <c r="G751" s="72"/>
      <c r="H751" s="72"/>
      <c r="I751" s="73">
        <f t="shared" si="785"/>
        <v>0</v>
      </c>
      <c r="J751" s="78"/>
      <c r="K751" s="73"/>
      <c r="L751" s="74" t="e">
        <f>_xlfn.IFNA(VLOOKUP(C751,'חד גזעי'!$U$3:$V$509,2,0),VLOOKUP(C751,'חד גזעי'!$U$3:$V$509,2))</f>
        <v>#N/A</v>
      </c>
      <c r="M751" s="73"/>
      <c r="N751" s="72" t="e">
        <f>_xlfn.IFNA(IF(VLOOKUP(C751,'חד גזעי'!$AH$2:$AH$7,1,FALSE)&gt;0,0,IF('חד גזעי'!$AM$5="כן",IF(_xlfn.IFNA(VLOOKUP(C751,'חד גזעי'!$AH$2:$AH$33,1,FALSE),SUM(J751:M751))&lt;21,_xlfn.IFNA(VLOOKUP(C751,'חד גזעי'!$AH$2:$AH$33,1,FALSE),SUM(J751:M751)),0),SUM(J751:M751))),IF('חד גזעי'!$AM$5="כן",IF(_xlfn.IFNA(VLOOKUP(C751,'חד גזעי'!$AH$2:$AH$33,1,FALSE),SUM(J751:M751))&lt;21,_xlfn.IFNA(VLOOKUP(C751,'חד גזעי'!$AH$2:$AH$33,1,FALSE),SUM(J751:M751)),0),SUM(J751:M751)))</f>
        <v>#N/A</v>
      </c>
      <c r="O751" s="72">
        <f>IF('חד גזעי'!$AM$3 = "כן",IF(T751&gt;4,4,T751),T751)</f>
        <v>0</v>
      </c>
      <c r="P751" s="80">
        <f>IF(E751&lt;2,0,IF(Z751&gt;0,Z751,IF(N751 = 0,0,IF('חד גזעי'!$AM$2 = "לא",IF(F751&gt;19,W751,0),IF(F751&gt;9,Y751,0)))))</f>
        <v>0</v>
      </c>
      <c r="Q751" s="77"/>
      <c r="R751" s="75"/>
      <c r="S751" t="e">
        <f>VLOOKUP(C751,'חד גזעי'!$Y$4:$Y$18,1,0)</f>
        <v>#N/A</v>
      </c>
      <c r="T751" s="72">
        <f>IF('חד גזעי'!$AM$6="לא",IF(P751=0,IF(BC751="שימור",IF('חד גזעי'!$AM$4="לא",IF(BC751="לא בוגר",0,IF(BC751="לא קיים",0,IF(J751=0,0,I751*0.1))),IF(BC751="לא בוגר",0,IF(BC751="לא קיים",0,IF(AB751=1,I751*0.1,E751*0.5)))),0),IF('חד גזעי'!$AM$4="לא",IF(BC751="לא בוגר",0,IF(BC751="לא קיים",0,IF(J751=0,0,I751*0.1))),IF(BC751="לא בוגר",0,IF(BC751="לא קיים",0,IF(AB751=1,I751*0.1,E751*0.5))))),IF(P751=0,IF(BC751="שימור",IF('חד גזעי'!$AM$4="לא",IF(BC751="לא בוגר",0,IF(BC751="לא קיים",0,IF(J751=0,0,I751*0.15))),IF(BC751="לא בוגר",0,IF(BC751="לא קיים",0,IF(AB751=1,I751*0.15,E751*0.5)))),0),IF('חד גזעי'!$AM$4="לא",IF(BC751="לא בוגר",0,IF(BC751="לא קיים",0,IF(J751=0,0,I751*0.15))),IF(BC751="לא בוגר",0,IF(BC751="לא קיים",0,IF(AB751=1,I751*0.15,E751*0.5))))))</f>
        <v>0</v>
      </c>
      <c r="V751" t="e">
        <f t="shared" si="758"/>
        <v>#N/A</v>
      </c>
      <c r="W751" t="e">
        <f t="shared" si="759"/>
        <v>#N/A</v>
      </c>
      <c r="X751" t="e">
        <f t="shared" si="760"/>
        <v>#N/A</v>
      </c>
      <c r="Y751">
        <f>IF('חד גזעי'!$AM$2 = "לא",0,IF(F751&gt;9,W751,0))</f>
        <v>0</v>
      </c>
      <c r="Z751">
        <f>IF('חד גזעי'!$AM$7 = "לא",0,IF(C751 = "זית אירופי",IF('חד גזעי'!$AN$7 &lt;=סקר!F751,W751,0),IF(C751 = "חרוב מצוי",IF('חד גזעי'!$AN$7 &lt;=סקר!F751,W751,0),0)))</f>
        <v>0</v>
      </c>
      <c r="AB751">
        <f t="shared" si="786"/>
        <v>1</v>
      </c>
      <c r="AC751" s="72"/>
      <c r="AD751" t="e">
        <f t="shared" si="804"/>
        <v>#N/A</v>
      </c>
      <c r="AE751" s="72"/>
      <c r="AF751" s="72" t="e">
        <f t="shared" si="787"/>
        <v>#N/A</v>
      </c>
      <c r="AG751" s="72" t="e">
        <f>IF('חד גזעי'!$AM$5="לא",(VLOOKUP(C751,'חד גזעי'!$P$1:$S$589,3,FALSE)),(VLOOKUP(C751,'חד גזעי'!$P$1:$S$589,4,FALSE)))</f>
        <v>#N/A</v>
      </c>
      <c r="AH751" s="72">
        <f t="shared" si="788"/>
        <v>0</v>
      </c>
      <c r="AI751" s="72">
        <f t="shared" si="789"/>
        <v>0</v>
      </c>
      <c r="AJ751" s="72">
        <f t="shared" si="790"/>
        <v>0</v>
      </c>
      <c r="AK751" s="72" t="e">
        <f t="shared" si="791"/>
        <v>#N/A</v>
      </c>
      <c r="AL751" t="e">
        <f>VLOOKUP(C751,'חד גזעי'!$AH$8:$AI$33,2,FALSE)</f>
        <v>#N/A</v>
      </c>
      <c r="AM751" s="72" t="b">
        <f t="shared" si="792"/>
        <v>0</v>
      </c>
      <c r="AN751" s="72" t="b">
        <f t="shared" si="793"/>
        <v>0</v>
      </c>
      <c r="AO751" s="72" t="b">
        <f t="shared" si="794"/>
        <v>0</v>
      </c>
      <c r="AS751" s="72">
        <f t="shared" si="795"/>
        <v>0</v>
      </c>
      <c r="AT751" s="72">
        <f t="shared" si="796"/>
        <v>0</v>
      </c>
      <c r="AU751" s="72">
        <f t="shared" si="805"/>
        <v>0</v>
      </c>
      <c r="AV751" s="72">
        <f t="shared" si="797"/>
        <v>0</v>
      </c>
      <c r="AW751" s="72">
        <f t="shared" si="798"/>
        <v>0</v>
      </c>
      <c r="AX751" s="72">
        <f t="shared" si="799"/>
        <v>0</v>
      </c>
      <c r="AY751" s="72">
        <f t="shared" si="800"/>
        <v>0</v>
      </c>
      <c r="AZ751" s="72">
        <f t="shared" si="801"/>
        <v>0</v>
      </c>
      <c r="BA751" s="72" t="e">
        <f t="shared" si="802"/>
        <v>#N/A</v>
      </c>
      <c r="BB751" s="72" t="e">
        <f t="shared" si="803"/>
        <v>#N/A</v>
      </c>
      <c r="BC751" s="77"/>
      <c r="BE751">
        <f t="shared" si="783"/>
        <v>0</v>
      </c>
      <c r="BF751" s="196"/>
      <c r="BG751" s="196"/>
      <c r="BH751" s="196"/>
      <c r="BI751" s="196"/>
      <c r="BJ751" s="196"/>
      <c r="BK751" s="196"/>
    </row>
    <row r="752" spans="1:63" hidden="1">
      <c r="B752" s="72"/>
      <c r="C752" s="135"/>
      <c r="D752" s="78"/>
      <c r="E752" s="78"/>
      <c r="F752" s="72"/>
      <c r="G752" s="72"/>
      <c r="H752" s="72"/>
      <c r="I752" s="73">
        <f t="shared" si="785"/>
        <v>0</v>
      </c>
      <c r="J752" s="78"/>
      <c r="K752" s="73"/>
      <c r="L752" s="74" t="e">
        <f>_xlfn.IFNA(VLOOKUP(C752,'חד גזעי'!$U$3:$V$509,2,0),VLOOKUP(C752,'חד גזעי'!$U$3:$V$509,2))</f>
        <v>#N/A</v>
      </c>
      <c r="M752" s="73"/>
      <c r="N752" s="72" t="e">
        <f>_xlfn.IFNA(IF(VLOOKUP(C752,'חד גזעי'!$AH$2:$AH$7,1,FALSE)&gt;0,0,IF('חד גזעי'!$AM$5="כן",IF(_xlfn.IFNA(VLOOKUP(C752,'חד גזעי'!$AH$2:$AH$33,1,FALSE),SUM(J752:M752))&lt;21,_xlfn.IFNA(VLOOKUP(C752,'חד גזעי'!$AH$2:$AH$33,1,FALSE),SUM(J752:M752)),0),SUM(J752:M752))),IF('חד גזעי'!$AM$5="כן",IF(_xlfn.IFNA(VLOOKUP(C752,'חד גזעי'!$AH$2:$AH$33,1,FALSE),SUM(J752:M752))&lt;21,_xlfn.IFNA(VLOOKUP(C752,'חד גזעי'!$AH$2:$AH$33,1,FALSE),SUM(J752:M752)),0),SUM(J752:M752)))</f>
        <v>#N/A</v>
      </c>
      <c r="O752" s="72">
        <f>IF('חד גזעי'!$AM$3 = "כן",IF(T752&gt;4,4,T752),T752)</f>
        <v>0</v>
      </c>
      <c r="P752" s="80">
        <f>IF(E752&lt;2,0,IF(Z752&gt;0,Z752,IF(N752 = 0,0,IF('חד גזעי'!$AM$2 = "לא",IF(F752&gt;19,W752,0),IF(F752&gt;9,Y752,0)))))</f>
        <v>0</v>
      </c>
      <c r="Q752" s="77"/>
      <c r="R752" s="75"/>
      <c r="S752" t="e">
        <f>VLOOKUP(C752,'חד גזעי'!$Y$4:$Y$18,1,0)</f>
        <v>#N/A</v>
      </c>
      <c r="T752" s="72">
        <f>IF('חד גזעי'!$AM$6="לא",IF(P752=0,IF(BC752="שימור",IF('חד גזעי'!$AM$4="לא",IF(BC752="לא בוגר",0,IF(BC752="לא קיים",0,IF(J752=0,0,I752*0.1))),IF(BC752="לא בוגר",0,IF(BC752="לא קיים",0,IF(AB752=1,I752*0.1,E752*0.5)))),0),IF('חד גזעי'!$AM$4="לא",IF(BC752="לא בוגר",0,IF(BC752="לא קיים",0,IF(J752=0,0,I752*0.1))),IF(BC752="לא בוגר",0,IF(BC752="לא קיים",0,IF(AB752=1,I752*0.1,E752*0.5))))),IF(P752=0,IF(BC752="שימור",IF('חד גזעי'!$AM$4="לא",IF(BC752="לא בוגר",0,IF(BC752="לא קיים",0,IF(J752=0,0,I752*0.15))),IF(BC752="לא בוגר",0,IF(BC752="לא קיים",0,IF(AB752=1,I752*0.15,E752*0.5)))),0),IF('חד גזעי'!$AM$4="לא",IF(BC752="לא בוגר",0,IF(BC752="לא קיים",0,IF(J752=0,0,I752*0.15))),IF(BC752="לא בוגר",0,IF(BC752="לא קיים",0,IF(AB752=1,I752*0.15,E752*0.5))))))</f>
        <v>0</v>
      </c>
      <c r="V752" t="e">
        <f t="shared" si="758"/>
        <v>#N/A</v>
      </c>
      <c r="W752" t="e">
        <f t="shared" si="759"/>
        <v>#N/A</v>
      </c>
      <c r="X752" t="e">
        <f t="shared" si="760"/>
        <v>#N/A</v>
      </c>
      <c r="Y752">
        <f>IF('חד גזעי'!$AM$2 = "לא",0,IF(F752&gt;9,W752,0))</f>
        <v>0</v>
      </c>
      <c r="Z752">
        <f>IF('חד גזעי'!$AM$7 = "לא",0,IF(C752 = "זית אירופי",IF('חד גזעי'!$AN$7 &lt;=סקר!F752,W752,0),IF(C752 = "חרוב מצוי",IF('חד גזעי'!$AN$7 &lt;=סקר!F752,W752,0),0)))</f>
        <v>0</v>
      </c>
      <c r="AB752">
        <f t="shared" si="786"/>
        <v>1</v>
      </c>
      <c r="AC752" s="72"/>
      <c r="AD752" t="e">
        <f t="shared" si="804"/>
        <v>#N/A</v>
      </c>
      <c r="AE752" s="72"/>
      <c r="AF752" s="72" t="e">
        <f t="shared" si="787"/>
        <v>#N/A</v>
      </c>
      <c r="AG752" s="72" t="e">
        <f>IF('חד גזעי'!$AM$5="לא",(VLOOKUP(C752,'חד גזעי'!$P$1:$S$589,3,FALSE)),(VLOOKUP(C752,'חד גזעי'!$P$1:$S$589,4,FALSE)))</f>
        <v>#N/A</v>
      </c>
      <c r="AH752" s="72">
        <f t="shared" si="788"/>
        <v>0</v>
      </c>
      <c r="AI752" s="72">
        <f t="shared" si="789"/>
        <v>0</v>
      </c>
      <c r="AJ752" s="72">
        <f t="shared" si="790"/>
        <v>0</v>
      </c>
      <c r="AK752" s="72" t="e">
        <f t="shared" si="791"/>
        <v>#N/A</v>
      </c>
      <c r="AL752" t="e">
        <f>VLOOKUP(C752,'חד גזעי'!$AH$8:$AI$33,2,FALSE)</f>
        <v>#N/A</v>
      </c>
      <c r="AM752" s="72" t="b">
        <f t="shared" si="792"/>
        <v>0</v>
      </c>
      <c r="AN752" s="72" t="b">
        <f t="shared" si="793"/>
        <v>0</v>
      </c>
      <c r="AO752" s="72" t="b">
        <f t="shared" si="794"/>
        <v>0</v>
      </c>
      <c r="AS752" s="72">
        <f t="shared" si="795"/>
        <v>0</v>
      </c>
      <c r="AT752" s="72">
        <f t="shared" si="796"/>
        <v>0</v>
      </c>
      <c r="AU752" s="72">
        <f t="shared" si="805"/>
        <v>0</v>
      </c>
      <c r="AV752" s="72">
        <f t="shared" si="797"/>
        <v>0</v>
      </c>
      <c r="AW752" s="72">
        <f t="shared" si="798"/>
        <v>0</v>
      </c>
      <c r="AX752" s="72">
        <f t="shared" si="799"/>
        <v>0</v>
      </c>
      <c r="AY752" s="72">
        <f t="shared" si="800"/>
        <v>0</v>
      </c>
      <c r="AZ752" s="72">
        <f t="shared" si="801"/>
        <v>0</v>
      </c>
      <c r="BA752" s="72" t="e">
        <f t="shared" si="802"/>
        <v>#N/A</v>
      </c>
      <c r="BB752" s="72" t="e">
        <f t="shared" si="803"/>
        <v>#N/A</v>
      </c>
      <c r="BC752" s="77"/>
      <c r="BE752">
        <f t="shared" si="783"/>
        <v>0</v>
      </c>
      <c r="BF752" s="196"/>
      <c r="BG752" s="196"/>
      <c r="BH752" s="196"/>
      <c r="BI752" s="196"/>
      <c r="BJ752" s="196"/>
      <c r="BK752" s="196"/>
    </row>
    <row r="753" spans="2:63" hidden="1">
      <c r="B753" s="72"/>
      <c r="C753" s="135"/>
      <c r="D753" s="78"/>
      <c r="E753" s="78"/>
      <c r="F753" s="72"/>
      <c r="G753" s="72"/>
      <c r="H753" s="72"/>
      <c r="I753" s="73">
        <f t="shared" si="785"/>
        <v>0</v>
      </c>
      <c r="J753" s="78"/>
      <c r="K753" s="73"/>
      <c r="L753" s="74" t="e">
        <f>_xlfn.IFNA(VLOOKUP(C753,'חד גזעי'!$U$3:$V$509,2,0),VLOOKUP(C753,'חד גזעי'!$U$3:$V$509,2))</f>
        <v>#N/A</v>
      </c>
      <c r="M753" s="73"/>
      <c r="N753" s="72" t="e">
        <f>_xlfn.IFNA(IF(VLOOKUP(C753,'חד גזעי'!$AH$2:$AH$7,1,FALSE)&gt;0,0,IF('חד גזעי'!$AM$5="כן",IF(_xlfn.IFNA(VLOOKUP(C753,'חד גזעי'!$AH$2:$AH$33,1,FALSE),SUM(J753:M753))&lt;21,_xlfn.IFNA(VLOOKUP(C753,'חד גזעי'!$AH$2:$AH$33,1,FALSE),SUM(J753:M753)),0),SUM(J753:M753))),IF('חד גזעי'!$AM$5="כן",IF(_xlfn.IFNA(VLOOKUP(C753,'חד גזעי'!$AH$2:$AH$33,1,FALSE),SUM(J753:M753))&lt;21,_xlfn.IFNA(VLOOKUP(C753,'חד גזעי'!$AH$2:$AH$33,1,FALSE),SUM(J753:M753)),0),SUM(J753:M753)))</f>
        <v>#N/A</v>
      </c>
      <c r="O753" s="72">
        <f>IF('חד גזעי'!$AM$3 = "כן",IF(T753&gt;4,4,T753),T753)</f>
        <v>0</v>
      </c>
      <c r="P753" s="80">
        <f>IF(E753&lt;2,0,IF(Z753&gt;0,Z753,IF(N753 = 0,0,IF('חד גזעי'!$AM$2 = "לא",IF(F753&gt;19,W753,0),IF(F753&gt;9,Y753,0)))))</f>
        <v>0</v>
      </c>
      <c r="Q753" s="77"/>
      <c r="R753" s="75"/>
      <c r="S753" t="e">
        <f>VLOOKUP(C753,'חד גזעי'!$Y$4:$Y$18,1,0)</f>
        <v>#N/A</v>
      </c>
      <c r="T753" s="72">
        <f>IF('חד גזעי'!$AM$6="לא",IF(P753=0,IF(BC753="שימור",IF('חד גזעי'!$AM$4="לא",IF(BC753="לא בוגר",0,IF(BC753="לא קיים",0,IF(J753=0,0,I753*0.1))),IF(BC753="לא בוגר",0,IF(BC753="לא קיים",0,IF(AB753=1,I753*0.1,E753*0.5)))),0),IF('חד גזעי'!$AM$4="לא",IF(BC753="לא בוגר",0,IF(BC753="לא קיים",0,IF(J753=0,0,I753*0.1))),IF(BC753="לא בוגר",0,IF(BC753="לא קיים",0,IF(AB753=1,I753*0.1,E753*0.5))))),IF(P753=0,IF(BC753="שימור",IF('חד גזעי'!$AM$4="לא",IF(BC753="לא בוגר",0,IF(BC753="לא קיים",0,IF(J753=0,0,I753*0.15))),IF(BC753="לא בוגר",0,IF(BC753="לא קיים",0,IF(AB753=1,I753*0.15,E753*0.5)))),0),IF('חד גזעי'!$AM$4="לא",IF(BC753="לא בוגר",0,IF(BC753="לא קיים",0,IF(J753=0,0,I753*0.15))),IF(BC753="לא בוגר",0,IF(BC753="לא קיים",0,IF(AB753=1,I753*0.15,E753*0.5))))))</f>
        <v>0</v>
      </c>
      <c r="V753" t="e">
        <f t="shared" si="758"/>
        <v>#N/A</v>
      </c>
      <c r="W753" t="e">
        <f t="shared" si="759"/>
        <v>#N/A</v>
      </c>
      <c r="X753" t="e">
        <f t="shared" si="760"/>
        <v>#N/A</v>
      </c>
      <c r="Y753">
        <f>IF('חד גזעי'!$AM$2 = "לא",0,IF(F753&gt;9,W753,0))</f>
        <v>0</v>
      </c>
      <c r="Z753">
        <f>IF('חד גזעי'!$AM$7 = "לא",0,IF(C753 = "זית אירופי",IF('חד גזעי'!$AN$7 &lt;=סקר!F753,W753,0),IF(C753 = "חרוב מצוי",IF('חד גזעי'!$AN$7 &lt;=סקר!F753,W753,0),0)))</f>
        <v>0</v>
      </c>
      <c r="AB753">
        <f t="shared" si="786"/>
        <v>1</v>
      </c>
      <c r="AC753" s="72"/>
      <c r="AD753" t="e">
        <f t="shared" si="804"/>
        <v>#N/A</v>
      </c>
      <c r="AE753" s="72"/>
      <c r="AF753" s="72" t="e">
        <f t="shared" si="787"/>
        <v>#N/A</v>
      </c>
      <c r="AG753" s="72" t="e">
        <f>IF('חד גזעי'!$AM$5="לא",(VLOOKUP(C753,'חד גזעי'!$P$1:$S$589,3,FALSE)),(VLOOKUP(C753,'חד גזעי'!$P$1:$S$589,4,FALSE)))</f>
        <v>#N/A</v>
      </c>
      <c r="AH753" s="72">
        <f t="shared" si="788"/>
        <v>0</v>
      </c>
      <c r="AI753" s="72">
        <f t="shared" si="789"/>
        <v>0</v>
      </c>
      <c r="AJ753" s="72">
        <f t="shared" si="790"/>
        <v>0</v>
      </c>
      <c r="AK753" s="72" t="e">
        <f t="shared" si="791"/>
        <v>#N/A</v>
      </c>
      <c r="AL753" t="e">
        <f>VLOOKUP(C753,'חד גזעי'!$AH$8:$AI$33,2,FALSE)</f>
        <v>#N/A</v>
      </c>
      <c r="AM753" s="72" t="b">
        <f t="shared" si="792"/>
        <v>0</v>
      </c>
      <c r="AN753" s="72" t="b">
        <f t="shared" si="793"/>
        <v>0</v>
      </c>
      <c r="AO753" s="72" t="b">
        <f t="shared" si="794"/>
        <v>0</v>
      </c>
      <c r="AS753" s="72">
        <f t="shared" si="795"/>
        <v>0</v>
      </c>
      <c r="AT753" s="72">
        <f t="shared" si="796"/>
        <v>0</v>
      </c>
      <c r="AU753" s="72">
        <f t="shared" si="805"/>
        <v>0</v>
      </c>
      <c r="AV753" s="72">
        <f t="shared" si="797"/>
        <v>0</v>
      </c>
      <c r="AW753" s="72">
        <f t="shared" si="798"/>
        <v>0</v>
      </c>
      <c r="AX753" s="72">
        <f t="shared" si="799"/>
        <v>0</v>
      </c>
      <c r="AY753" s="72">
        <f t="shared" si="800"/>
        <v>0</v>
      </c>
      <c r="AZ753" s="72">
        <f t="shared" si="801"/>
        <v>0</v>
      </c>
      <c r="BA753" s="72" t="e">
        <f t="shared" si="802"/>
        <v>#N/A</v>
      </c>
      <c r="BB753" s="72" t="e">
        <f t="shared" si="803"/>
        <v>#N/A</v>
      </c>
      <c r="BC753" s="77"/>
      <c r="BE753">
        <f t="shared" si="783"/>
        <v>0</v>
      </c>
      <c r="BF753" s="196"/>
      <c r="BG753" s="196"/>
      <c r="BH753" s="196"/>
      <c r="BI753" s="196"/>
      <c r="BJ753" s="196"/>
      <c r="BK753" s="196"/>
    </row>
    <row r="754" spans="2:63" hidden="1">
      <c r="B754" s="72"/>
      <c r="C754" s="135"/>
      <c r="D754" s="78"/>
      <c r="E754" s="78"/>
      <c r="F754" s="72"/>
      <c r="G754" s="72"/>
      <c r="H754" s="72"/>
      <c r="I754" s="73">
        <f t="shared" si="785"/>
        <v>0</v>
      </c>
      <c r="J754" s="78"/>
      <c r="K754" s="73"/>
      <c r="L754" s="74" t="e">
        <f>_xlfn.IFNA(VLOOKUP(C754,'חד גזעי'!$U$3:$V$509,2,0),VLOOKUP(C754,'חד גזעי'!$U$3:$V$509,2))</f>
        <v>#N/A</v>
      </c>
      <c r="M754" s="73"/>
      <c r="N754" s="72" t="e">
        <f>_xlfn.IFNA(IF(VLOOKUP(C754,'חד גזעי'!$AH$2:$AH$7,1,FALSE)&gt;0,0,IF('חד גזעי'!$AM$5="כן",IF(_xlfn.IFNA(VLOOKUP(C754,'חד גזעי'!$AH$2:$AH$33,1,FALSE),SUM(J754:M754))&lt;21,_xlfn.IFNA(VLOOKUP(C754,'חד גזעי'!$AH$2:$AH$33,1,FALSE),SUM(J754:M754)),0),SUM(J754:M754))),IF('חד גזעי'!$AM$5="כן",IF(_xlfn.IFNA(VLOOKUP(C754,'חד גזעי'!$AH$2:$AH$33,1,FALSE),SUM(J754:M754))&lt;21,_xlfn.IFNA(VLOOKUP(C754,'חד גזעי'!$AH$2:$AH$33,1,FALSE),SUM(J754:M754)),0),SUM(J754:M754)))</f>
        <v>#N/A</v>
      </c>
      <c r="O754" s="72">
        <f>IF('חד גזעי'!$AM$3 = "כן",IF(T754&gt;4,4,T754),T754)</f>
        <v>0</v>
      </c>
      <c r="P754" s="80">
        <f>IF(E754&lt;2,0,IF(Z754&gt;0,Z754,IF(N754 = 0,0,IF('חד גזעי'!$AM$2 = "לא",IF(F754&gt;19,W754,0),IF(F754&gt;9,Y754,0)))))</f>
        <v>0</v>
      </c>
      <c r="Q754" s="77"/>
      <c r="R754" s="75"/>
      <c r="S754" t="e">
        <f>VLOOKUP(C754,'חד גזעי'!$Y$4:$Y$18,1,0)</f>
        <v>#N/A</v>
      </c>
      <c r="T754" s="72">
        <f>IF('חד גזעי'!$AM$6="לא",IF(P754=0,IF(BC754="שימור",IF('חד גזעי'!$AM$4="לא",IF(BC754="לא בוגר",0,IF(BC754="לא קיים",0,IF(J754=0,0,I754*0.1))),IF(BC754="לא בוגר",0,IF(BC754="לא קיים",0,IF(AB754=1,I754*0.1,E754*0.5)))),0),IF('חד גזעי'!$AM$4="לא",IF(BC754="לא בוגר",0,IF(BC754="לא קיים",0,IF(J754=0,0,I754*0.1))),IF(BC754="לא בוגר",0,IF(BC754="לא קיים",0,IF(AB754=1,I754*0.1,E754*0.5))))),IF(P754=0,IF(BC754="שימור",IF('חד גזעי'!$AM$4="לא",IF(BC754="לא בוגר",0,IF(BC754="לא קיים",0,IF(J754=0,0,I754*0.15))),IF(BC754="לא בוגר",0,IF(BC754="לא קיים",0,IF(AB754=1,I754*0.15,E754*0.5)))),0),IF('חד גזעי'!$AM$4="לא",IF(BC754="לא בוגר",0,IF(BC754="לא קיים",0,IF(J754=0,0,I754*0.15))),IF(BC754="לא בוגר",0,IF(BC754="לא קיים",0,IF(AB754=1,I754*0.15,E754*0.5))))))</f>
        <v>0</v>
      </c>
      <c r="V754" t="e">
        <f t="shared" si="758"/>
        <v>#N/A</v>
      </c>
      <c r="W754" t="e">
        <f t="shared" si="759"/>
        <v>#N/A</v>
      </c>
      <c r="X754" t="e">
        <f t="shared" si="760"/>
        <v>#N/A</v>
      </c>
      <c r="Y754">
        <f>IF('חד גזעי'!$AM$2 = "לא",0,IF(F754&gt;9,W754,0))</f>
        <v>0</v>
      </c>
      <c r="Z754">
        <f>IF('חד גזעי'!$AM$7 = "לא",0,IF(C754 = "זית אירופי",IF('חד גזעי'!$AN$7 &lt;=סקר!F754,W754,0),IF(C754 = "חרוב מצוי",IF('חד גזעי'!$AN$7 &lt;=סקר!F754,W754,0),0)))</f>
        <v>0</v>
      </c>
      <c r="AB754">
        <f t="shared" si="786"/>
        <v>1</v>
      </c>
      <c r="AC754" s="72"/>
      <c r="AD754" t="e">
        <f t="shared" si="804"/>
        <v>#N/A</v>
      </c>
      <c r="AE754" s="72"/>
      <c r="AF754" s="72" t="e">
        <f t="shared" si="787"/>
        <v>#N/A</v>
      </c>
      <c r="AG754" s="72" t="e">
        <f>IF('חד גזעי'!$AM$5="לא",(VLOOKUP(C754,'חד גזעי'!$P$1:$S$589,3,FALSE)),(VLOOKUP(C754,'חד גזעי'!$P$1:$S$589,4,FALSE)))</f>
        <v>#N/A</v>
      </c>
      <c r="AH754" s="72">
        <f t="shared" si="788"/>
        <v>0</v>
      </c>
      <c r="AI754" s="72">
        <f t="shared" si="789"/>
        <v>0</v>
      </c>
      <c r="AJ754" s="72">
        <f t="shared" si="790"/>
        <v>0</v>
      </c>
      <c r="AK754" s="72" t="e">
        <f t="shared" si="791"/>
        <v>#N/A</v>
      </c>
      <c r="AL754" t="e">
        <f>VLOOKUP(C754,'חד גזעי'!$AH$8:$AI$33,2,FALSE)</f>
        <v>#N/A</v>
      </c>
      <c r="AM754" s="72" t="b">
        <f t="shared" si="792"/>
        <v>0</v>
      </c>
      <c r="AN754" s="72" t="b">
        <f t="shared" si="793"/>
        <v>0</v>
      </c>
      <c r="AO754" s="72" t="b">
        <f t="shared" si="794"/>
        <v>0</v>
      </c>
      <c r="AS754" s="72">
        <f t="shared" si="795"/>
        <v>0</v>
      </c>
      <c r="AT754" s="72">
        <f t="shared" si="796"/>
        <v>0</v>
      </c>
      <c r="AU754" s="72">
        <f t="shared" si="805"/>
        <v>0</v>
      </c>
      <c r="AV754" s="72">
        <f t="shared" si="797"/>
        <v>0</v>
      </c>
      <c r="AW754" s="72">
        <f t="shared" si="798"/>
        <v>0</v>
      </c>
      <c r="AX754" s="72">
        <f t="shared" si="799"/>
        <v>0</v>
      </c>
      <c r="AY754" s="72">
        <f t="shared" si="800"/>
        <v>0</v>
      </c>
      <c r="AZ754" s="72">
        <f t="shared" si="801"/>
        <v>0</v>
      </c>
      <c r="BA754" s="72" t="e">
        <f t="shared" si="802"/>
        <v>#N/A</v>
      </c>
      <c r="BB754" s="72" t="e">
        <f t="shared" si="803"/>
        <v>#N/A</v>
      </c>
      <c r="BC754" s="77"/>
      <c r="BE754">
        <f t="shared" si="783"/>
        <v>0</v>
      </c>
      <c r="BF754" s="196"/>
      <c r="BG754" s="196"/>
      <c r="BH754" s="196"/>
      <c r="BI754" s="196"/>
      <c r="BJ754" s="196"/>
      <c r="BK754" s="196"/>
    </row>
    <row r="755" spans="2:63" hidden="1">
      <c r="B755" s="72"/>
      <c r="C755" s="135"/>
      <c r="D755" s="78"/>
      <c r="E755" s="78"/>
      <c r="F755" s="72"/>
      <c r="G755" s="72"/>
      <c r="H755" s="72"/>
      <c r="I755" s="73">
        <f t="shared" si="785"/>
        <v>0</v>
      </c>
      <c r="J755" s="78"/>
      <c r="K755" s="73"/>
      <c r="L755" s="74" t="e">
        <f>_xlfn.IFNA(VLOOKUP(C755,'חד גזעי'!$U$3:$V$509,2,0),VLOOKUP(C755,'חד גזעי'!$U$3:$V$509,2))</f>
        <v>#N/A</v>
      </c>
      <c r="M755" s="73"/>
      <c r="N755" s="72" t="e">
        <f>_xlfn.IFNA(IF(VLOOKUP(C755,'חד גזעי'!$AH$2:$AH$7,1,FALSE)&gt;0,0,IF('חד גזעי'!$AM$5="כן",IF(_xlfn.IFNA(VLOOKUP(C755,'חד גזעי'!$AH$2:$AH$33,1,FALSE),SUM(J755:M755))&lt;21,_xlfn.IFNA(VLOOKUP(C755,'חד גזעי'!$AH$2:$AH$33,1,FALSE),SUM(J755:M755)),0),SUM(J755:M755))),IF('חד גזעי'!$AM$5="כן",IF(_xlfn.IFNA(VLOOKUP(C755,'חד גזעי'!$AH$2:$AH$33,1,FALSE),SUM(J755:M755))&lt;21,_xlfn.IFNA(VLOOKUP(C755,'חד גזעי'!$AH$2:$AH$33,1,FALSE),SUM(J755:M755)),0),SUM(J755:M755)))</f>
        <v>#N/A</v>
      </c>
      <c r="O755" s="72">
        <f>IF('חד גזעי'!$AM$3 = "כן",IF(T755&gt;4,4,T755),T755)</f>
        <v>0</v>
      </c>
      <c r="P755" s="80">
        <f>IF(E755&lt;2,0,IF(Z755&gt;0,Z755,IF(N755 = 0,0,IF('חד גזעי'!$AM$2 = "לא",IF(F755&gt;19,W755,0),IF(F755&gt;9,Y755,0)))))</f>
        <v>0</v>
      </c>
      <c r="Q755" s="77"/>
      <c r="R755" s="75"/>
      <c r="S755" t="e">
        <f>VLOOKUP(C755,'חד גזעי'!$Y$4:$Y$18,1,0)</f>
        <v>#N/A</v>
      </c>
      <c r="T755" s="72">
        <f>IF('חד גזעי'!$AM$6="לא",IF(P755=0,IF(BC755="שימור",IF('חד גזעי'!$AM$4="לא",IF(BC755="לא בוגר",0,IF(BC755="לא קיים",0,IF(J755=0,0,I755*0.1))),IF(BC755="לא בוגר",0,IF(BC755="לא קיים",0,IF(AB755=1,I755*0.1,E755*0.5)))),0),IF('חד גזעי'!$AM$4="לא",IF(BC755="לא בוגר",0,IF(BC755="לא קיים",0,IF(J755=0,0,I755*0.1))),IF(BC755="לא בוגר",0,IF(BC755="לא קיים",0,IF(AB755=1,I755*0.1,E755*0.5))))),IF(P755=0,IF(BC755="שימור",IF('חד גזעי'!$AM$4="לא",IF(BC755="לא בוגר",0,IF(BC755="לא קיים",0,IF(J755=0,0,I755*0.15))),IF(BC755="לא בוגר",0,IF(BC755="לא קיים",0,IF(AB755=1,I755*0.15,E755*0.5)))),0),IF('חד גזעי'!$AM$4="לא",IF(BC755="לא בוגר",0,IF(BC755="לא קיים",0,IF(J755=0,0,I755*0.15))),IF(BC755="לא בוגר",0,IF(BC755="לא קיים",0,IF(AB755=1,I755*0.15,E755*0.5))))))</f>
        <v>0</v>
      </c>
      <c r="V755" t="e">
        <f t="shared" si="758"/>
        <v>#N/A</v>
      </c>
      <c r="W755" t="e">
        <f t="shared" si="759"/>
        <v>#N/A</v>
      </c>
      <c r="X755" t="e">
        <f t="shared" si="760"/>
        <v>#N/A</v>
      </c>
      <c r="Y755">
        <f>IF('חד גזעי'!$AM$2 = "לא",0,IF(F755&gt;9,W755,0))</f>
        <v>0</v>
      </c>
      <c r="Z755">
        <f>IF('חד גזעי'!$AM$7 = "לא",0,IF(C755 = "זית אירופי",IF('חד גזעי'!$AN$7 &lt;=סקר!F755,W755,0),IF(C755 = "חרוב מצוי",IF('חד גזעי'!$AN$7 &lt;=סקר!F755,W755,0),0)))</f>
        <v>0</v>
      </c>
      <c r="AB755">
        <f t="shared" si="786"/>
        <v>1</v>
      </c>
      <c r="AC755" s="72"/>
      <c r="AD755" t="e">
        <f t="shared" si="804"/>
        <v>#N/A</v>
      </c>
      <c r="AE755" s="72"/>
      <c r="AF755" s="72" t="e">
        <f t="shared" si="787"/>
        <v>#N/A</v>
      </c>
      <c r="AG755" s="72" t="e">
        <f>IF('חד גזעי'!$AM$5="לא",(VLOOKUP(C755,'חד גזעי'!$P$1:$S$589,3,FALSE)),(VLOOKUP(C755,'חד גזעי'!$P$1:$S$589,4,FALSE)))</f>
        <v>#N/A</v>
      </c>
      <c r="AH755" s="72">
        <f t="shared" si="788"/>
        <v>0</v>
      </c>
      <c r="AI755" s="72">
        <f t="shared" si="789"/>
        <v>0</v>
      </c>
      <c r="AJ755" s="72">
        <f t="shared" si="790"/>
        <v>0</v>
      </c>
      <c r="AK755" s="72" t="e">
        <f t="shared" si="791"/>
        <v>#N/A</v>
      </c>
      <c r="AL755" t="e">
        <f>VLOOKUP(C755,'חד גזעי'!$AH$8:$AI$33,2,FALSE)</f>
        <v>#N/A</v>
      </c>
      <c r="AM755" s="72" t="b">
        <f t="shared" si="792"/>
        <v>0</v>
      </c>
      <c r="AN755" s="72" t="b">
        <f t="shared" si="793"/>
        <v>0</v>
      </c>
      <c r="AO755" s="72" t="b">
        <f t="shared" si="794"/>
        <v>0</v>
      </c>
      <c r="AS755" s="72">
        <f t="shared" si="795"/>
        <v>0</v>
      </c>
      <c r="AT755" s="72">
        <f t="shared" si="796"/>
        <v>0</v>
      </c>
      <c r="AU755" s="72">
        <f t="shared" si="805"/>
        <v>0</v>
      </c>
      <c r="AV755" s="72">
        <f t="shared" si="797"/>
        <v>0</v>
      </c>
      <c r="AW755" s="72">
        <f t="shared" si="798"/>
        <v>0</v>
      </c>
      <c r="AX755" s="72">
        <f t="shared" si="799"/>
        <v>0</v>
      </c>
      <c r="AY755" s="72">
        <f t="shared" si="800"/>
        <v>0</v>
      </c>
      <c r="AZ755" s="72">
        <f t="shared" si="801"/>
        <v>0</v>
      </c>
      <c r="BA755" s="72" t="e">
        <f t="shared" si="802"/>
        <v>#N/A</v>
      </c>
      <c r="BB755" s="72" t="e">
        <f t="shared" si="803"/>
        <v>#N/A</v>
      </c>
      <c r="BC755" s="77"/>
      <c r="BE755">
        <f t="shared" si="783"/>
        <v>0</v>
      </c>
      <c r="BF755" s="196"/>
      <c r="BG755" s="196"/>
      <c r="BH755" s="196"/>
      <c r="BI755" s="196"/>
      <c r="BJ755" s="196"/>
      <c r="BK755" s="196"/>
    </row>
    <row r="756" spans="2:63" hidden="1">
      <c r="B756" s="72"/>
      <c r="C756" s="135"/>
      <c r="D756" s="78"/>
      <c r="E756" s="78"/>
      <c r="F756" s="72"/>
      <c r="G756" s="72"/>
      <c r="H756" s="72"/>
      <c r="I756" s="73">
        <f t="shared" si="785"/>
        <v>0</v>
      </c>
      <c r="J756" s="78"/>
      <c r="K756" s="73"/>
      <c r="L756" s="74" t="e">
        <f>_xlfn.IFNA(VLOOKUP(C756,'חד גזעי'!$U$3:$V$509,2,0),VLOOKUP(C756,'חד גזעי'!$U$3:$V$509,2))</f>
        <v>#N/A</v>
      </c>
      <c r="M756" s="73"/>
      <c r="N756" s="72" t="e">
        <f>_xlfn.IFNA(IF(VLOOKUP(C756,'חד גזעי'!$AH$2:$AH$7,1,FALSE)&gt;0,0,IF('חד גזעי'!$AM$5="כן",IF(_xlfn.IFNA(VLOOKUP(C756,'חד גזעי'!$AH$2:$AH$33,1,FALSE),SUM(J756:M756))&lt;21,_xlfn.IFNA(VLOOKUP(C756,'חד גזעי'!$AH$2:$AH$33,1,FALSE),SUM(J756:M756)),0),SUM(J756:M756))),IF('חד גזעי'!$AM$5="כן",IF(_xlfn.IFNA(VLOOKUP(C756,'חד גזעי'!$AH$2:$AH$33,1,FALSE),SUM(J756:M756))&lt;21,_xlfn.IFNA(VLOOKUP(C756,'חד גזעי'!$AH$2:$AH$33,1,FALSE),SUM(J756:M756)),0),SUM(J756:M756)))</f>
        <v>#N/A</v>
      </c>
      <c r="O756" s="72">
        <f>IF('חד גזעי'!$AM$3 = "כן",IF(T756&gt;4,4,T756),T756)</f>
        <v>0</v>
      </c>
      <c r="P756" s="80">
        <f>IF(E756&lt;2,0,IF(Z756&gt;0,Z756,IF(N756 = 0,0,IF('חד גזעי'!$AM$2 = "לא",IF(F756&gt;19,W756,0),IF(F756&gt;9,Y756,0)))))</f>
        <v>0</v>
      </c>
      <c r="Q756" s="77"/>
      <c r="R756" s="76"/>
      <c r="S756" t="e">
        <f>VLOOKUP(C756,'חד גזעי'!$Y$4:$Y$18,1,0)</f>
        <v>#N/A</v>
      </c>
      <c r="T756" s="72">
        <f>IF('חד גזעי'!$AM$6="לא",IF(P756=0,IF(BC756="שימור",IF('חד גזעי'!$AM$4="לא",IF(BC756="לא בוגר",0,IF(BC756="לא קיים",0,IF(J756=0,0,I756*0.1))),IF(BC756="לא בוגר",0,IF(BC756="לא קיים",0,IF(AB756=1,I756*0.1,E756*0.5)))),0),IF('חד גזעי'!$AM$4="לא",IF(BC756="לא בוגר",0,IF(BC756="לא קיים",0,IF(J756=0,0,I756*0.1))),IF(BC756="לא בוגר",0,IF(BC756="לא קיים",0,IF(AB756=1,I756*0.1,E756*0.5))))),IF(P756=0,IF(BC756="שימור",IF('חד גזעי'!$AM$4="לא",IF(BC756="לא בוגר",0,IF(BC756="לא קיים",0,IF(J756=0,0,I756*0.15))),IF(BC756="לא בוגר",0,IF(BC756="לא קיים",0,IF(AB756=1,I756*0.15,E756*0.5)))),0),IF('חד גזעי'!$AM$4="לא",IF(BC756="לא בוגר",0,IF(BC756="לא קיים",0,IF(J756=0,0,I756*0.15))),IF(BC756="לא בוגר",0,IF(BC756="לא קיים",0,IF(AB756=1,I756*0.15,E756*0.5))))))</f>
        <v>0</v>
      </c>
      <c r="V756" t="e">
        <f t="shared" si="758"/>
        <v>#N/A</v>
      </c>
      <c r="W756" t="e">
        <f t="shared" si="759"/>
        <v>#N/A</v>
      </c>
      <c r="X756" t="e">
        <f t="shared" si="760"/>
        <v>#N/A</v>
      </c>
      <c r="Y756">
        <f>IF('חד גזעי'!$AM$2 = "לא",0,IF(F756&gt;9,W756,0))</f>
        <v>0</v>
      </c>
      <c r="Z756">
        <f>IF('חד גזעי'!$AM$7 = "לא",0,IF(C756 = "זית אירופי",IF('חד גזעי'!$AN$7 &lt;=סקר!F756,W756,0),IF(C756 = "חרוב מצוי",IF('חד גזעי'!$AN$7 &lt;=סקר!F756,W756,0),0)))</f>
        <v>0</v>
      </c>
      <c r="AB756">
        <f t="shared" si="786"/>
        <v>1</v>
      </c>
      <c r="AC756" s="72"/>
      <c r="AD756" t="e">
        <f t="shared" si="804"/>
        <v>#N/A</v>
      </c>
      <c r="AE756" s="72"/>
      <c r="AF756" s="72" t="e">
        <f t="shared" si="787"/>
        <v>#N/A</v>
      </c>
      <c r="AG756" s="72" t="e">
        <f>IF('חד גזעי'!$AM$5="לא",(VLOOKUP(C756,'חד גזעי'!$P$1:$S$589,3,FALSE)),(VLOOKUP(C756,'חד גזעי'!$P$1:$S$589,4,FALSE)))</f>
        <v>#N/A</v>
      </c>
      <c r="AH756" s="72">
        <f t="shared" si="788"/>
        <v>0</v>
      </c>
      <c r="AI756" s="72">
        <f t="shared" si="789"/>
        <v>0</v>
      </c>
      <c r="AJ756" s="72">
        <f t="shared" si="790"/>
        <v>0</v>
      </c>
      <c r="AK756" s="72" t="e">
        <f t="shared" si="791"/>
        <v>#N/A</v>
      </c>
      <c r="AL756" t="e">
        <f>VLOOKUP(C756,'חד גזעי'!$AH$8:$AI$33,2,FALSE)</f>
        <v>#N/A</v>
      </c>
      <c r="AM756" s="72" t="b">
        <f t="shared" si="792"/>
        <v>0</v>
      </c>
      <c r="AN756" s="72" t="b">
        <f t="shared" si="793"/>
        <v>0</v>
      </c>
      <c r="AO756" s="72" t="b">
        <f t="shared" si="794"/>
        <v>0</v>
      </c>
      <c r="AS756" s="72">
        <f t="shared" si="795"/>
        <v>0</v>
      </c>
      <c r="AT756" s="72">
        <f t="shared" si="796"/>
        <v>0</v>
      </c>
      <c r="AU756" s="72">
        <f t="shared" si="805"/>
        <v>0</v>
      </c>
      <c r="AV756" s="72">
        <f t="shared" si="797"/>
        <v>0</v>
      </c>
      <c r="AW756" s="72">
        <f t="shared" si="798"/>
        <v>0</v>
      </c>
      <c r="AX756" s="72">
        <f t="shared" si="799"/>
        <v>0</v>
      </c>
      <c r="AY756" s="72">
        <f t="shared" si="800"/>
        <v>0</v>
      </c>
      <c r="AZ756" s="72">
        <f t="shared" si="801"/>
        <v>0</v>
      </c>
      <c r="BA756" s="72" t="e">
        <f t="shared" si="802"/>
        <v>#N/A</v>
      </c>
      <c r="BB756" s="72" t="e">
        <f t="shared" si="803"/>
        <v>#N/A</v>
      </c>
      <c r="BC756" s="77"/>
      <c r="BE756">
        <f t="shared" si="783"/>
        <v>0</v>
      </c>
      <c r="BF756" s="196"/>
      <c r="BG756" s="196"/>
      <c r="BH756" s="196"/>
      <c r="BI756" s="196"/>
      <c r="BJ756" s="196"/>
      <c r="BK756" s="196"/>
    </row>
    <row r="757" spans="2:63" hidden="1">
      <c r="B757" s="72"/>
      <c r="C757" s="135"/>
      <c r="D757" s="78"/>
      <c r="E757" s="78"/>
      <c r="F757" s="72"/>
      <c r="G757" s="72"/>
      <c r="H757" s="72"/>
      <c r="I757" s="73">
        <f t="shared" si="785"/>
        <v>0</v>
      </c>
      <c r="J757" s="78"/>
      <c r="K757" s="73"/>
      <c r="L757" s="74" t="e">
        <f>_xlfn.IFNA(VLOOKUP(C757,'חד גזעי'!$U$3:$V$509,2,0),VLOOKUP(C757,'חד גזעי'!$U$3:$V$509,2))</f>
        <v>#N/A</v>
      </c>
      <c r="M757" s="73"/>
      <c r="N757" s="72" t="e">
        <f>_xlfn.IFNA(IF(VLOOKUP(C757,'חד גזעי'!$AH$2:$AH$7,1,FALSE)&gt;0,0,IF('חד גזעי'!$AM$5="כן",IF(_xlfn.IFNA(VLOOKUP(C757,'חד גזעי'!$AH$2:$AH$33,1,FALSE),SUM(J757:M757))&lt;21,_xlfn.IFNA(VLOOKUP(C757,'חד גזעי'!$AH$2:$AH$33,1,FALSE),SUM(J757:M757)),0),SUM(J757:M757))),IF('חד גזעי'!$AM$5="כן",IF(_xlfn.IFNA(VLOOKUP(C757,'חד גזעי'!$AH$2:$AH$33,1,FALSE),SUM(J757:M757))&lt;21,_xlfn.IFNA(VLOOKUP(C757,'חד גזעי'!$AH$2:$AH$33,1,FALSE),SUM(J757:M757)),0),SUM(J757:M757)))</f>
        <v>#N/A</v>
      </c>
      <c r="O757" s="72">
        <f>IF('חד גזעי'!$AM$3 = "כן",IF(T757&gt;4,4,T757),T757)</f>
        <v>0</v>
      </c>
      <c r="P757" s="80">
        <f>IF(E757&lt;2,0,IF(Z757&gt;0,Z757,IF(N757 = 0,0,IF('חד גזעי'!$AM$2 = "לא",IF(F757&gt;19,W757,0),IF(F757&gt;9,Y757,0)))))</f>
        <v>0</v>
      </c>
      <c r="Q757" s="77"/>
      <c r="R757" s="76"/>
      <c r="S757" t="e">
        <f>VLOOKUP(C757,'חד גזעי'!$Y$4:$Y$18,1,0)</f>
        <v>#N/A</v>
      </c>
      <c r="T757" s="72">
        <f>IF('חד גזעי'!$AM$6="לא",IF(P757=0,IF(BC757="שימור",IF('חד גזעי'!$AM$4="לא",IF(BC757="לא בוגר",0,IF(BC757="לא קיים",0,IF(J757=0,0,I757*0.1))),IF(BC757="לא בוגר",0,IF(BC757="לא קיים",0,IF(AB757=1,I757*0.1,E757*0.5)))),0),IF('חד גזעי'!$AM$4="לא",IF(BC757="לא בוגר",0,IF(BC757="לא קיים",0,IF(J757=0,0,I757*0.1))),IF(BC757="לא בוגר",0,IF(BC757="לא קיים",0,IF(AB757=1,I757*0.1,E757*0.5))))),IF(P757=0,IF(BC757="שימור",IF('חד גזעי'!$AM$4="לא",IF(BC757="לא בוגר",0,IF(BC757="לא קיים",0,IF(J757=0,0,I757*0.15))),IF(BC757="לא בוגר",0,IF(BC757="לא קיים",0,IF(AB757=1,I757*0.15,E757*0.5)))),0),IF('חד גזעי'!$AM$4="לא",IF(BC757="לא בוגר",0,IF(BC757="לא קיים",0,IF(J757=0,0,I757*0.15))),IF(BC757="לא בוגר",0,IF(BC757="לא קיים",0,IF(AB757=1,I757*0.15,E757*0.5))))))</f>
        <v>0</v>
      </c>
      <c r="V757" t="e">
        <f t="shared" si="758"/>
        <v>#N/A</v>
      </c>
      <c r="W757" t="e">
        <f t="shared" si="759"/>
        <v>#N/A</v>
      </c>
      <c r="X757" t="e">
        <f t="shared" si="760"/>
        <v>#N/A</v>
      </c>
      <c r="Y757">
        <f>IF('חד גזעי'!$AM$2 = "לא",0,IF(F757&gt;9,W757,0))</f>
        <v>0</v>
      </c>
      <c r="Z757">
        <f>IF('חד גזעי'!$AM$7 = "לא",0,IF(C757 = "זית אירופי",IF('חד גזעי'!$AN$7 &lt;=סקר!F757,W757,0),IF(C757 = "חרוב מצוי",IF('חד גזעי'!$AN$7 &lt;=סקר!F757,W757,0),0)))</f>
        <v>0</v>
      </c>
      <c r="AB757">
        <f t="shared" si="786"/>
        <v>1</v>
      </c>
      <c r="AC757" s="72"/>
      <c r="AD757" t="e">
        <f t="shared" si="804"/>
        <v>#N/A</v>
      </c>
      <c r="AE757" s="72"/>
      <c r="AF757" s="72" t="e">
        <f t="shared" si="787"/>
        <v>#N/A</v>
      </c>
      <c r="AG757" s="72" t="e">
        <f>IF('חד גזעי'!$AM$5="לא",(VLOOKUP(C757,'חד גזעי'!$P$1:$S$589,3,FALSE)),(VLOOKUP(C757,'חד גזעי'!$P$1:$S$589,4,FALSE)))</f>
        <v>#N/A</v>
      </c>
      <c r="AH757" s="72">
        <f t="shared" si="788"/>
        <v>0</v>
      </c>
      <c r="AI757" s="72">
        <f t="shared" si="789"/>
        <v>0</v>
      </c>
      <c r="AJ757" s="72">
        <f t="shared" si="790"/>
        <v>0</v>
      </c>
      <c r="AK757" s="72" t="e">
        <f t="shared" si="791"/>
        <v>#N/A</v>
      </c>
      <c r="AL757" t="e">
        <f>VLOOKUP(C757,'חד גזעי'!$AH$8:$AI$33,2,FALSE)</f>
        <v>#N/A</v>
      </c>
      <c r="AM757" s="72" t="b">
        <f t="shared" si="792"/>
        <v>0</v>
      </c>
      <c r="AN757" s="72" t="b">
        <f t="shared" si="793"/>
        <v>0</v>
      </c>
      <c r="AO757" s="72" t="b">
        <f t="shared" si="794"/>
        <v>0</v>
      </c>
      <c r="AS757" s="72">
        <f t="shared" si="795"/>
        <v>0</v>
      </c>
      <c r="AT757" s="72">
        <f t="shared" si="796"/>
        <v>0</v>
      </c>
      <c r="AU757" s="72">
        <f t="shared" si="805"/>
        <v>0</v>
      </c>
      <c r="AV757" s="72">
        <f t="shared" si="797"/>
        <v>0</v>
      </c>
      <c r="AW757" s="72">
        <f t="shared" si="798"/>
        <v>0</v>
      </c>
      <c r="AX757" s="72">
        <f t="shared" si="799"/>
        <v>0</v>
      </c>
      <c r="AY757" s="72">
        <f t="shared" si="800"/>
        <v>0</v>
      </c>
      <c r="AZ757" s="72">
        <f t="shared" si="801"/>
        <v>0</v>
      </c>
      <c r="BA757" s="72" t="e">
        <f t="shared" si="802"/>
        <v>#N/A</v>
      </c>
      <c r="BB757" s="72" t="e">
        <f t="shared" si="803"/>
        <v>#N/A</v>
      </c>
      <c r="BC757" s="77"/>
      <c r="BE757">
        <f t="shared" si="783"/>
        <v>0</v>
      </c>
      <c r="BF757" s="196"/>
      <c r="BG757" s="196"/>
      <c r="BH757" s="196"/>
      <c r="BI757" s="196"/>
      <c r="BJ757" s="196"/>
      <c r="BK757" s="196"/>
    </row>
    <row r="758" spans="2:63" hidden="1">
      <c r="B758" s="72"/>
      <c r="C758" s="135"/>
      <c r="D758" s="78"/>
      <c r="E758" s="78"/>
      <c r="F758" s="72"/>
      <c r="G758" s="72"/>
      <c r="H758" s="72"/>
      <c r="I758" s="73">
        <f t="shared" si="785"/>
        <v>0</v>
      </c>
      <c r="J758" s="78"/>
      <c r="K758" s="73"/>
      <c r="L758" s="74" t="e">
        <f>_xlfn.IFNA(VLOOKUP(C758,'חד גזעי'!$U$3:$V$509,2,0),VLOOKUP(C758,'חד גזעי'!$U$3:$V$509,2))</f>
        <v>#N/A</v>
      </c>
      <c r="M758" s="73"/>
      <c r="N758" s="72" t="e">
        <f>_xlfn.IFNA(IF(VLOOKUP(C758,'חד גזעי'!$AH$2:$AH$7,1,FALSE)&gt;0,0,IF('חד גזעי'!$AM$5="כן",IF(_xlfn.IFNA(VLOOKUP(C758,'חד גזעי'!$AH$2:$AH$33,1,FALSE),SUM(J758:M758))&lt;21,_xlfn.IFNA(VLOOKUP(C758,'חד גזעי'!$AH$2:$AH$33,1,FALSE),SUM(J758:M758)),0),SUM(J758:M758))),IF('חד גזעי'!$AM$5="כן",IF(_xlfn.IFNA(VLOOKUP(C758,'חד גזעי'!$AH$2:$AH$33,1,FALSE),SUM(J758:M758))&lt;21,_xlfn.IFNA(VLOOKUP(C758,'חד גזעי'!$AH$2:$AH$33,1,FALSE),SUM(J758:M758)),0),SUM(J758:M758)))</f>
        <v>#N/A</v>
      </c>
      <c r="O758" s="72">
        <f>IF('חד גזעי'!$AM$3 = "כן",IF(T758&gt;4,4,T758),T758)</f>
        <v>0</v>
      </c>
      <c r="P758" s="80">
        <f>IF(E758&lt;2,0,IF(Z758&gt;0,Z758,IF(N758 = 0,0,IF('חד גזעי'!$AM$2 = "לא",IF(F758&gt;19,W758,0),IF(F758&gt;9,Y758,0)))))</f>
        <v>0</v>
      </c>
      <c r="Q758" s="77"/>
      <c r="R758" s="76"/>
      <c r="S758" t="e">
        <f>VLOOKUP(C758,'חד גזעי'!$Y$4:$Y$18,1,0)</f>
        <v>#N/A</v>
      </c>
      <c r="T758" s="72">
        <f>IF('חד גזעי'!$AM$6="לא",IF(P758=0,IF(BC758="שימור",IF('חד גזעי'!$AM$4="לא",IF(BC758="לא בוגר",0,IF(BC758="לא קיים",0,IF(J758=0,0,I758*0.1))),IF(BC758="לא בוגר",0,IF(BC758="לא קיים",0,IF(AB758=1,I758*0.1,E758*0.5)))),0),IF('חד גזעי'!$AM$4="לא",IF(BC758="לא בוגר",0,IF(BC758="לא קיים",0,IF(J758=0,0,I758*0.1))),IF(BC758="לא בוגר",0,IF(BC758="לא קיים",0,IF(AB758=1,I758*0.1,E758*0.5))))),IF(P758=0,IF(BC758="שימור",IF('חד גזעי'!$AM$4="לא",IF(BC758="לא בוגר",0,IF(BC758="לא קיים",0,IF(J758=0,0,I758*0.15))),IF(BC758="לא בוגר",0,IF(BC758="לא קיים",0,IF(AB758=1,I758*0.15,E758*0.5)))),0),IF('חד גזעי'!$AM$4="לא",IF(BC758="לא בוגר",0,IF(BC758="לא קיים",0,IF(J758=0,0,I758*0.15))),IF(BC758="לא בוגר",0,IF(BC758="לא קיים",0,IF(AB758=1,I758*0.15,E758*0.5))))))</f>
        <v>0</v>
      </c>
      <c r="V758" t="e">
        <f t="shared" si="758"/>
        <v>#N/A</v>
      </c>
      <c r="W758" t="e">
        <f t="shared" si="759"/>
        <v>#N/A</v>
      </c>
      <c r="X758" t="e">
        <f t="shared" si="760"/>
        <v>#N/A</v>
      </c>
      <c r="Y758">
        <f>IF('חד גזעי'!$AM$2 = "לא",0,IF(F758&gt;9,W758,0))</f>
        <v>0</v>
      </c>
      <c r="Z758">
        <f>IF('חד גזעי'!$AM$7 = "לא",0,IF(C758 = "זית אירופי",IF('חד גזעי'!$AN$7 &lt;=סקר!F758,W758,0),IF(C758 = "חרוב מצוי",IF('חד גזעי'!$AN$7 &lt;=סקר!F758,W758,0),0)))</f>
        <v>0</v>
      </c>
      <c r="AB758">
        <f t="shared" si="786"/>
        <v>1</v>
      </c>
      <c r="AC758" s="72"/>
      <c r="AD758" t="e">
        <f t="shared" si="804"/>
        <v>#N/A</v>
      </c>
      <c r="AE758" s="72"/>
      <c r="AF758" s="72" t="e">
        <f t="shared" si="787"/>
        <v>#N/A</v>
      </c>
      <c r="AG758" s="72" t="e">
        <f>IF('חד גזעי'!$AM$5="לא",(VLOOKUP(C758,'חד גזעי'!$P$1:$S$589,3,FALSE)),(VLOOKUP(C758,'חד גזעי'!$P$1:$S$589,4,FALSE)))</f>
        <v>#N/A</v>
      </c>
      <c r="AH758" s="72">
        <f t="shared" si="788"/>
        <v>0</v>
      </c>
      <c r="AI758" s="72">
        <f t="shared" si="789"/>
        <v>0</v>
      </c>
      <c r="AJ758" s="72">
        <f t="shared" si="790"/>
        <v>0</v>
      </c>
      <c r="AK758" s="72" t="e">
        <f t="shared" si="791"/>
        <v>#N/A</v>
      </c>
      <c r="AL758" t="e">
        <f>VLOOKUP(C758,'חד גזעי'!$AH$8:$AI$33,2,FALSE)</f>
        <v>#N/A</v>
      </c>
      <c r="AM758" s="72" t="b">
        <f t="shared" si="792"/>
        <v>0</v>
      </c>
      <c r="AN758" s="72" t="b">
        <f t="shared" si="793"/>
        <v>0</v>
      </c>
      <c r="AO758" s="72" t="b">
        <f t="shared" si="794"/>
        <v>0</v>
      </c>
      <c r="AS758" s="72">
        <f t="shared" si="795"/>
        <v>0</v>
      </c>
      <c r="AT758" s="72">
        <f t="shared" si="796"/>
        <v>0</v>
      </c>
      <c r="AU758" s="72">
        <f t="shared" si="805"/>
        <v>0</v>
      </c>
      <c r="AV758" s="72">
        <f t="shared" si="797"/>
        <v>0</v>
      </c>
      <c r="AW758" s="72">
        <f t="shared" si="798"/>
        <v>0</v>
      </c>
      <c r="AX758" s="72">
        <f t="shared" si="799"/>
        <v>0</v>
      </c>
      <c r="AY758" s="72">
        <f t="shared" si="800"/>
        <v>0</v>
      </c>
      <c r="AZ758" s="72">
        <f t="shared" si="801"/>
        <v>0</v>
      </c>
      <c r="BA758" s="72" t="e">
        <f t="shared" si="802"/>
        <v>#N/A</v>
      </c>
      <c r="BB758" s="72" t="e">
        <f t="shared" si="803"/>
        <v>#N/A</v>
      </c>
      <c r="BC758" s="77"/>
      <c r="BE758">
        <f t="shared" si="783"/>
        <v>0</v>
      </c>
      <c r="BF758" s="72"/>
      <c r="BG758" s="72"/>
      <c r="BH758" s="72"/>
      <c r="BI758" s="72"/>
      <c r="BJ758" s="72"/>
      <c r="BK758" s="72"/>
    </row>
    <row r="759" spans="2:63" hidden="1">
      <c r="B759" s="72"/>
      <c r="C759" s="135"/>
      <c r="D759" s="78"/>
      <c r="E759" s="78"/>
      <c r="F759" s="72"/>
      <c r="G759" s="72"/>
      <c r="H759" s="72"/>
      <c r="I759" s="73">
        <f t="shared" si="785"/>
        <v>0</v>
      </c>
      <c r="J759" s="78"/>
      <c r="K759" s="73"/>
      <c r="L759" s="74" t="e">
        <f>_xlfn.IFNA(VLOOKUP(C759,'חד גזעי'!$U$3:$V$509,2,0),VLOOKUP(C759,'חד גזעי'!$U$3:$V$509,2))</f>
        <v>#N/A</v>
      </c>
      <c r="M759" s="73"/>
      <c r="N759" s="72" t="e">
        <f>_xlfn.IFNA(IF(VLOOKUP(C759,'חד גזעי'!$AH$2:$AH$7,1,FALSE)&gt;0,0,IF('חד גזעי'!$AM$5="כן",IF(_xlfn.IFNA(VLOOKUP(C759,'חד גזעי'!$AH$2:$AH$33,1,FALSE),SUM(J759:M759))&lt;21,_xlfn.IFNA(VLOOKUP(C759,'חד גזעי'!$AH$2:$AH$33,1,FALSE),SUM(J759:M759)),0),SUM(J759:M759))),IF('חד גזעי'!$AM$5="כן",IF(_xlfn.IFNA(VLOOKUP(C759,'חד גזעי'!$AH$2:$AH$33,1,FALSE),SUM(J759:M759))&lt;21,_xlfn.IFNA(VLOOKUP(C759,'חד גזעי'!$AH$2:$AH$33,1,FALSE),SUM(J759:M759)),0),SUM(J759:M759)))</f>
        <v>#N/A</v>
      </c>
      <c r="O759" s="72">
        <f>IF('חד גזעי'!$AM$3 = "כן",IF(T759&gt;4,4,T759),T759)</f>
        <v>0</v>
      </c>
      <c r="P759" s="80">
        <f>IF(E759&lt;2,0,IF(Z759&gt;0,Z759,IF(N759 = 0,0,IF('חד גזעי'!$AM$2 = "לא",IF(F759&gt;19,W759,0),IF(F759&gt;9,Y759,0)))))</f>
        <v>0</v>
      </c>
      <c r="Q759" s="77"/>
      <c r="R759" s="75"/>
      <c r="S759" t="e">
        <f>VLOOKUP(C759,'חד גזעי'!$Y$4:$Y$18,1,0)</f>
        <v>#N/A</v>
      </c>
      <c r="T759" s="72">
        <f>IF('חד גזעי'!$AM$6="לא",IF(P759=0,IF(BC759="שימור",IF('חד גזעי'!$AM$4="לא",IF(BC759="לא בוגר",0,IF(BC759="לא קיים",0,IF(J759=0,0,I759*0.1))),IF(BC759="לא בוגר",0,IF(BC759="לא קיים",0,IF(AB759=1,I759*0.1,E759*0.5)))),0),IF('חד גזעי'!$AM$4="לא",IF(BC759="לא בוגר",0,IF(BC759="לא קיים",0,IF(J759=0,0,I759*0.1))),IF(BC759="לא בוגר",0,IF(BC759="לא קיים",0,IF(AB759=1,I759*0.1,E759*0.5))))),IF(P759=0,IF(BC759="שימור",IF('חד גזעי'!$AM$4="לא",IF(BC759="לא בוגר",0,IF(BC759="לא קיים",0,IF(J759=0,0,I759*0.15))),IF(BC759="לא בוגר",0,IF(BC759="לא קיים",0,IF(AB759=1,I759*0.15,E759*0.5)))),0),IF('חד גזעי'!$AM$4="לא",IF(BC759="לא בוגר",0,IF(BC759="לא קיים",0,IF(J759=0,0,I759*0.15))),IF(BC759="לא בוגר",0,IF(BC759="לא קיים",0,IF(AB759=1,I759*0.15,E759*0.5))))))</f>
        <v>0</v>
      </c>
      <c r="V759" t="e">
        <f t="shared" si="758"/>
        <v>#N/A</v>
      </c>
      <c r="W759" t="e">
        <f t="shared" si="759"/>
        <v>#N/A</v>
      </c>
      <c r="X759" t="e">
        <f t="shared" si="760"/>
        <v>#N/A</v>
      </c>
      <c r="Y759">
        <f>IF('חד גזעי'!$AM$2 = "לא",0,IF(F759&gt;9,W759,0))</f>
        <v>0</v>
      </c>
      <c r="Z759">
        <f>IF('חד גזעי'!$AM$7 = "לא",0,IF(C759 = "זית אירופי",IF('חד גזעי'!$AN$7 &lt;=סקר!F759,W759,0),IF(C759 = "חרוב מצוי",IF('חד גזעי'!$AN$7 &lt;=סקר!F759,W759,0),0)))</f>
        <v>0</v>
      </c>
      <c r="AB759">
        <f t="shared" si="786"/>
        <v>1</v>
      </c>
      <c r="AC759" s="72"/>
      <c r="AD759" t="e">
        <f t="shared" si="804"/>
        <v>#N/A</v>
      </c>
      <c r="AE759" s="72"/>
      <c r="AF759" s="72" t="e">
        <f t="shared" si="787"/>
        <v>#N/A</v>
      </c>
      <c r="AG759" s="72" t="e">
        <f>IF('חד גזעי'!$AM$5="לא",(VLOOKUP(C759,'חד גזעי'!$P$1:$S$589,3,FALSE)),(VLOOKUP(C759,'חד גזעי'!$P$1:$S$589,4,FALSE)))</f>
        <v>#N/A</v>
      </c>
      <c r="AH759" s="72">
        <f t="shared" si="788"/>
        <v>0</v>
      </c>
      <c r="AI759" s="72">
        <f t="shared" si="789"/>
        <v>0</v>
      </c>
      <c r="AJ759" s="72">
        <f t="shared" si="790"/>
        <v>0</v>
      </c>
      <c r="AK759" s="72" t="e">
        <f t="shared" si="791"/>
        <v>#N/A</v>
      </c>
      <c r="AL759" t="e">
        <f>VLOOKUP(C759,'חד גזעי'!$AH$8:$AI$33,2,FALSE)</f>
        <v>#N/A</v>
      </c>
      <c r="AM759" s="72" t="b">
        <f t="shared" si="792"/>
        <v>0</v>
      </c>
      <c r="AN759" s="72" t="b">
        <f t="shared" si="793"/>
        <v>0</v>
      </c>
      <c r="AO759" s="72" t="b">
        <f t="shared" si="794"/>
        <v>0</v>
      </c>
      <c r="AS759" s="72">
        <f t="shared" si="795"/>
        <v>0</v>
      </c>
      <c r="AT759" s="72">
        <f t="shared" si="796"/>
        <v>0</v>
      </c>
      <c r="AU759" s="72">
        <f t="shared" si="805"/>
        <v>0</v>
      </c>
      <c r="AV759" s="72">
        <f t="shared" si="797"/>
        <v>0</v>
      </c>
      <c r="AW759" s="72">
        <f t="shared" si="798"/>
        <v>0</v>
      </c>
      <c r="AX759" s="72">
        <f t="shared" si="799"/>
        <v>0</v>
      </c>
      <c r="AY759" s="72">
        <f t="shared" si="800"/>
        <v>0</v>
      </c>
      <c r="AZ759" s="72">
        <f t="shared" si="801"/>
        <v>0</v>
      </c>
      <c r="BA759" s="72" t="e">
        <f t="shared" si="802"/>
        <v>#N/A</v>
      </c>
      <c r="BB759" s="72" t="e">
        <f t="shared" si="803"/>
        <v>#N/A</v>
      </c>
      <c r="BC759" s="77"/>
      <c r="BE759">
        <f t="shared" si="783"/>
        <v>0</v>
      </c>
      <c r="BF759" s="196" t="str">
        <f>BF778</f>
        <v>C:\Users\origr\Pictures\0.jpg</v>
      </c>
      <c r="BG759" s="196" t="str">
        <f t="shared" ref="BG759:BK759" si="806">BG778</f>
        <v>C:\Users\origr\Pictures\0.jpg</v>
      </c>
      <c r="BH759" s="196" t="str">
        <f t="shared" si="806"/>
        <v>C:\Users\origr\Pictures\0.jpg</v>
      </c>
      <c r="BI759" s="196" t="str">
        <f t="shared" si="806"/>
        <v>C:\Users\origr\Pictures\0.jpg</v>
      </c>
      <c r="BJ759" s="196" t="str">
        <f t="shared" si="806"/>
        <v>C:\Users\origr\Pictures\0.jpg</v>
      </c>
      <c r="BK759" s="196" t="str">
        <f t="shared" si="806"/>
        <v>C:\Users\origr\Pictures\0.jpg</v>
      </c>
    </row>
    <row r="760" spans="2:63" hidden="1">
      <c r="B760" s="72"/>
      <c r="C760" s="135"/>
      <c r="D760" s="78"/>
      <c r="E760" s="78"/>
      <c r="F760" s="72"/>
      <c r="G760" s="72"/>
      <c r="H760" s="72"/>
      <c r="I760" s="73">
        <f t="shared" si="785"/>
        <v>0</v>
      </c>
      <c r="J760" s="78"/>
      <c r="K760" s="73"/>
      <c r="L760" s="74" t="e">
        <f>_xlfn.IFNA(VLOOKUP(C760,'חד גזעי'!$U$3:$V$509,2,0),VLOOKUP(C760,'חד גזעי'!$U$3:$V$509,2))</f>
        <v>#N/A</v>
      </c>
      <c r="M760" s="73"/>
      <c r="N760" s="72" t="e">
        <f>_xlfn.IFNA(IF(VLOOKUP(C760,'חד גזעי'!$AH$2:$AH$7,1,FALSE)&gt;0,0,IF('חד גזעי'!$AM$5="כן",IF(_xlfn.IFNA(VLOOKUP(C760,'חד גזעי'!$AH$2:$AH$33,1,FALSE),SUM(J760:M760))&lt;21,_xlfn.IFNA(VLOOKUP(C760,'חד גזעי'!$AH$2:$AH$33,1,FALSE),SUM(J760:M760)),0),SUM(J760:M760))),IF('חד גזעי'!$AM$5="כן",IF(_xlfn.IFNA(VLOOKUP(C760,'חד גזעי'!$AH$2:$AH$33,1,FALSE),SUM(J760:M760))&lt;21,_xlfn.IFNA(VLOOKUP(C760,'חד גזעי'!$AH$2:$AH$33,1,FALSE),SUM(J760:M760)),0),SUM(J760:M760)))</f>
        <v>#N/A</v>
      </c>
      <c r="O760" s="72">
        <f>IF('חד גזעי'!$AM$3 = "כן",IF(T760&gt;4,4,T760),T760)</f>
        <v>0</v>
      </c>
      <c r="P760" s="80">
        <f>IF(E760&lt;2,0,IF(Z760&gt;0,Z760,IF(N760 = 0,0,IF('חד גזעי'!$AM$2 = "לא",IF(F760&gt;19,W760,0),IF(F760&gt;9,Y760,0)))))</f>
        <v>0</v>
      </c>
      <c r="Q760" s="77"/>
      <c r="R760" s="76"/>
      <c r="S760" t="e">
        <f>VLOOKUP(C760,'חד גזעי'!$Y$4:$Y$18,1,0)</f>
        <v>#N/A</v>
      </c>
      <c r="T760" s="72">
        <f>IF('חד גזעי'!$AM$6="לא",IF(P760=0,IF(BC760="שימור",IF('חד גזעי'!$AM$4="לא",IF(BC760="לא בוגר",0,IF(BC760="לא קיים",0,IF(J760=0,0,I760*0.1))),IF(BC760="לא בוגר",0,IF(BC760="לא קיים",0,IF(AB760=1,I760*0.1,E760*0.5)))),0),IF('חד גזעי'!$AM$4="לא",IF(BC760="לא בוגר",0,IF(BC760="לא קיים",0,IF(J760=0,0,I760*0.1))),IF(BC760="לא בוגר",0,IF(BC760="לא קיים",0,IF(AB760=1,I760*0.1,E760*0.5))))),IF(P760=0,IF(BC760="שימור",IF('חד גזעי'!$AM$4="לא",IF(BC760="לא בוגר",0,IF(BC760="לא קיים",0,IF(J760=0,0,I760*0.15))),IF(BC760="לא בוגר",0,IF(BC760="לא קיים",0,IF(AB760=1,I760*0.15,E760*0.5)))),0),IF('חד גזעי'!$AM$4="לא",IF(BC760="לא בוגר",0,IF(BC760="לא קיים",0,IF(J760=0,0,I760*0.15))),IF(BC760="לא בוגר",0,IF(BC760="לא קיים",0,IF(AB760=1,I760*0.15,E760*0.5))))))</f>
        <v>0</v>
      </c>
      <c r="V760" t="e">
        <f t="shared" si="758"/>
        <v>#N/A</v>
      </c>
      <c r="W760" t="e">
        <f t="shared" si="759"/>
        <v>#N/A</v>
      </c>
      <c r="X760" t="e">
        <f t="shared" si="760"/>
        <v>#N/A</v>
      </c>
      <c r="Y760">
        <f>IF('חד גזעי'!$AM$2 = "לא",0,IF(F760&gt;9,W760,0))</f>
        <v>0</v>
      </c>
      <c r="Z760">
        <f>IF('חד גזעי'!$AM$7 = "לא",0,IF(C760 = "זית אירופי",IF('חד גזעי'!$AN$7 &lt;=סקר!F760,W760,0),IF(C760 = "חרוב מצוי",IF('חד גזעי'!$AN$7 &lt;=סקר!F760,W760,0),0)))</f>
        <v>0</v>
      </c>
      <c r="AB760">
        <f t="shared" si="786"/>
        <v>1</v>
      </c>
      <c r="AC760" s="72"/>
      <c r="AD760" t="e">
        <f t="shared" si="804"/>
        <v>#N/A</v>
      </c>
      <c r="AE760" s="72"/>
      <c r="AF760" s="72" t="e">
        <f t="shared" si="787"/>
        <v>#N/A</v>
      </c>
      <c r="AG760" s="72" t="e">
        <f>IF('חד גזעי'!$AM$5="לא",(VLOOKUP(C760,'חד גזעי'!$P$1:$S$589,3,FALSE)),(VLOOKUP(C760,'חד גזעי'!$P$1:$S$589,4,FALSE)))</f>
        <v>#N/A</v>
      </c>
      <c r="AH760" s="72">
        <f t="shared" si="788"/>
        <v>0</v>
      </c>
      <c r="AI760" s="72">
        <f t="shared" si="789"/>
        <v>0</v>
      </c>
      <c r="AJ760" s="72">
        <f t="shared" si="790"/>
        <v>0</v>
      </c>
      <c r="AK760" s="72" t="e">
        <f t="shared" si="791"/>
        <v>#N/A</v>
      </c>
      <c r="AL760" t="e">
        <f>VLOOKUP(C760,'חד גזעי'!$AH$8:$AI$33,2,FALSE)</f>
        <v>#N/A</v>
      </c>
      <c r="AM760" s="72" t="b">
        <f t="shared" si="792"/>
        <v>0</v>
      </c>
      <c r="AN760" s="72" t="b">
        <f t="shared" si="793"/>
        <v>0</v>
      </c>
      <c r="AO760" s="72" t="b">
        <f t="shared" si="794"/>
        <v>0</v>
      </c>
      <c r="AS760" s="72">
        <f t="shared" si="795"/>
        <v>0</v>
      </c>
      <c r="AT760" s="72">
        <f t="shared" si="796"/>
        <v>0</v>
      </c>
      <c r="AU760" s="72">
        <f t="shared" si="805"/>
        <v>0</v>
      </c>
      <c r="AV760" s="72">
        <f t="shared" si="797"/>
        <v>0</v>
      </c>
      <c r="AW760" s="72">
        <f t="shared" si="798"/>
        <v>0</v>
      </c>
      <c r="AX760" s="72">
        <f t="shared" si="799"/>
        <v>0</v>
      </c>
      <c r="AY760" s="72">
        <f t="shared" si="800"/>
        <v>0</v>
      </c>
      <c r="AZ760" s="72">
        <f t="shared" si="801"/>
        <v>0</v>
      </c>
      <c r="BA760" s="72" t="e">
        <f t="shared" si="802"/>
        <v>#N/A</v>
      </c>
      <c r="BB760" s="72" t="e">
        <f t="shared" si="803"/>
        <v>#N/A</v>
      </c>
      <c r="BC760" s="77"/>
      <c r="BE760">
        <f t="shared" si="783"/>
        <v>0</v>
      </c>
      <c r="BF760" s="196"/>
      <c r="BG760" s="196"/>
      <c r="BH760" s="196"/>
      <c r="BI760" s="196"/>
      <c r="BJ760" s="196"/>
      <c r="BK760" s="196"/>
    </row>
    <row r="761" spans="2:63" hidden="1">
      <c r="B761" s="72"/>
      <c r="C761" s="135"/>
      <c r="D761" s="78"/>
      <c r="E761" s="78"/>
      <c r="F761" s="72"/>
      <c r="G761" s="72"/>
      <c r="H761" s="72"/>
      <c r="I761" s="73">
        <f t="shared" si="785"/>
        <v>0</v>
      </c>
      <c r="J761" s="78"/>
      <c r="K761" s="73"/>
      <c r="L761" s="74" t="e">
        <f>_xlfn.IFNA(VLOOKUP(C761,'חד גזעי'!$U$3:$V$509,2,0),VLOOKUP(C761,'חד גזעי'!$U$3:$V$509,2))</f>
        <v>#N/A</v>
      </c>
      <c r="M761" s="73"/>
      <c r="N761" s="72" t="e">
        <f>_xlfn.IFNA(IF(VLOOKUP(C761,'חד גזעי'!$AH$2:$AH$7,1,FALSE)&gt;0,0,IF('חד גזעי'!$AM$5="כן",IF(_xlfn.IFNA(VLOOKUP(C761,'חד גזעי'!$AH$2:$AH$33,1,FALSE),SUM(J761:M761))&lt;21,_xlfn.IFNA(VLOOKUP(C761,'חד גזעי'!$AH$2:$AH$33,1,FALSE),SUM(J761:M761)),0),SUM(J761:M761))),IF('חד גזעי'!$AM$5="כן",IF(_xlfn.IFNA(VLOOKUP(C761,'חד גזעי'!$AH$2:$AH$33,1,FALSE),SUM(J761:M761))&lt;21,_xlfn.IFNA(VLOOKUP(C761,'חד גזעי'!$AH$2:$AH$33,1,FALSE),SUM(J761:M761)),0),SUM(J761:M761)))</f>
        <v>#N/A</v>
      </c>
      <c r="O761" s="72">
        <f>IF('חד גזעי'!$AM$3 = "כן",IF(T761&gt;4,4,T761),T761)</f>
        <v>0</v>
      </c>
      <c r="P761" s="80">
        <f>IF(E761&lt;2,0,IF(Z761&gt;0,Z761,IF(N761 = 0,0,IF('חד גזעי'!$AM$2 = "לא",IF(F761&gt;19,W761,0),IF(F761&gt;9,Y761,0)))))</f>
        <v>0</v>
      </c>
      <c r="Q761" s="77"/>
      <c r="R761" s="76"/>
      <c r="S761" t="e">
        <f>VLOOKUP(C761,'חד גזעי'!$Y$4:$Y$18,1,0)</f>
        <v>#N/A</v>
      </c>
      <c r="T761" s="72">
        <f>IF('חד גזעי'!$AM$6="לא",IF(P761=0,IF(BC761="שימור",IF('חד גזעי'!$AM$4="לא",IF(BC761="לא בוגר",0,IF(BC761="לא קיים",0,IF(J761=0,0,I761*0.1))),IF(BC761="לא בוגר",0,IF(BC761="לא קיים",0,IF(AB761=1,I761*0.1,E761*0.5)))),0),IF('חד גזעי'!$AM$4="לא",IF(BC761="לא בוגר",0,IF(BC761="לא קיים",0,IF(J761=0,0,I761*0.1))),IF(BC761="לא בוגר",0,IF(BC761="לא קיים",0,IF(AB761=1,I761*0.1,E761*0.5))))),IF(P761=0,IF(BC761="שימור",IF('חד גזעי'!$AM$4="לא",IF(BC761="לא בוגר",0,IF(BC761="לא קיים",0,IF(J761=0,0,I761*0.15))),IF(BC761="לא בוגר",0,IF(BC761="לא קיים",0,IF(AB761=1,I761*0.15,E761*0.5)))),0),IF('חד גזעי'!$AM$4="לא",IF(BC761="לא בוגר",0,IF(BC761="לא קיים",0,IF(J761=0,0,I761*0.15))),IF(BC761="לא בוגר",0,IF(BC761="לא קיים",0,IF(AB761=1,I761*0.15,E761*0.5))))))</f>
        <v>0</v>
      </c>
      <c r="V761" t="e">
        <f t="shared" si="758"/>
        <v>#N/A</v>
      </c>
      <c r="W761" t="e">
        <f t="shared" si="759"/>
        <v>#N/A</v>
      </c>
      <c r="X761" t="e">
        <f t="shared" si="760"/>
        <v>#N/A</v>
      </c>
      <c r="Y761">
        <f>IF('חד גזעי'!$AM$2 = "לא",0,IF(F761&gt;9,W761,0))</f>
        <v>0</v>
      </c>
      <c r="Z761">
        <f>IF('חד גזעי'!$AM$7 = "לא",0,IF(C761 = "זית אירופי",IF('חד גזעי'!$AN$7 &lt;=סקר!F761,W761,0),IF(C761 = "חרוב מצוי",IF('חד גזעי'!$AN$7 &lt;=סקר!F761,W761,0),0)))</f>
        <v>0</v>
      </c>
      <c r="AB761">
        <f t="shared" si="786"/>
        <v>1</v>
      </c>
      <c r="AC761" s="72"/>
      <c r="AD761" t="e">
        <f t="shared" si="804"/>
        <v>#N/A</v>
      </c>
      <c r="AE761" s="72"/>
      <c r="AF761" s="72" t="e">
        <f t="shared" si="787"/>
        <v>#N/A</v>
      </c>
      <c r="AG761" s="72" t="e">
        <f>IF('חד גזעי'!$AM$5="לא",(VLOOKUP(C761,'חד גזעי'!$P$1:$S$589,3,FALSE)),(VLOOKUP(C761,'חד גזעי'!$P$1:$S$589,4,FALSE)))</f>
        <v>#N/A</v>
      </c>
      <c r="AH761" s="72">
        <f t="shared" si="788"/>
        <v>0</v>
      </c>
      <c r="AI761" s="72">
        <f t="shared" si="789"/>
        <v>0</v>
      </c>
      <c r="AJ761" s="72">
        <f t="shared" si="790"/>
        <v>0</v>
      </c>
      <c r="AK761" s="72" t="e">
        <f t="shared" si="791"/>
        <v>#N/A</v>
      </c>
      <c r="AL761" t="e">
        <f>VLOOKUP(C761,'חד גזעי'!$AH$8:$AI$33,2,FALSE)</f>
        <v>#N/A</v>
      </c>
      <c r="AM761" s="72" t="b">
        <f t="shared" si="792"/>
        <v>0</v>
      </c>
      <c r="AN761" s="72" t="b">
        <f t="shared" si="793"/>
        <v>0</v>
      </c>
      <c r="AO761" s="72" t="b">
        <f t="shared" si="794"/>
        <v>0</v>
      </c>
      <c r="AS761" s="72">
        <f t="shared" si="795"/>
        <v>0</v>
      </c>
      <c r="AT761" s="72">
        <f t="shared" si="796"/>
        <v>0</v>
      </c>
      <c r="AU761" s="72">
        <f t="shared" si="805"/>
        <v>0</v>
      </c>
      <c r="AV761" s="72">
        <f t="shared" si="797"/>
        <v>0</v>
      </c>
      <c r="AW761" s="72">
        <f t="shared" si="798"/>
        <v>0</v>
      </c>
      <c r="AX761" s="72">
        <f t="shared" si="799"/>
        <v>0</v>
      </c>
      <c r="AY761" s="72">
        <f t="shared" si="800"/>
        <v>0</v>
      </c>
      <c r="AZ761" s="72">
        <f t="shared" si="801"/>
        <v>0</v>
      </c>
      <c r="BA761" s="72" t="e">
        <f t="shared" si="802"/>
        <v>#N/A</v>
      </c>
      <c r="BB761" s="72" t="e">
        <f t="shared" si="803"/>
        <v>#N/A</v>
      </c>
      <c r="BC761" s="77"/>
      <c r="BE761">
        <f t="shared" si="783"/>
        <v>0</v>
      </c>
      <c r="BF761" s="196"/>
      <c r="BG761" s="196"/>
      <c r="BH761" s="196"/>
      <c r="BI761" s="196"/>
      <c r="BJ761" s="196"/>
      <c r="BK761" s="196"/>
    </row>
    <row r="762" spans="2:63" hidden="1">
      <c r="B762" s="72"/>
      <c r="C762" s="135"/>
      <c r="D762" s="78"/>
      <c r="E762" s="78"/>
      <c r="F762" s="72"/>
      <c r="G762" s="72"/>
      <c r="H762" s="72"/>
      <c r="I762" s="73">
        <f t="shared" si="785"/>
        <v>0</v>
      </c>
      <c r="J762" s="78"/>
      <c r="K762" s="73"/>
      <c r="L762" s="74" t="e">
        <f>_xlfn.IFNA(VLOOKUP(C762,'חד גזעי'!$U$3:$V$509,2,0),VLOOKUP(C762,'חד גזעי'!$U$3:$V$509,2))</f>
        <v>#N/A</v>
      </c>
      <c r="M762" s="73"/>
      <c r="N762" s="72" t="e">
        <f>_xlfn.IFNA(IF(VLOOKUP(C762,'חד גזעי'!$AH$2:$AH$7,1,FALSE)&gt;0,0,IF('חד גזעי'!$AM$5="כן",IF(_xlfn.IFNA(VLOOKUP(C762,'חד גזעי'!$AH$2:$AH$33,1,FALSE),SUM(J762:M762))&lt;21,_xlfn.IFNA(VLOOKUP(C762,'חד גזעי'!$AH$2:$AH$33,1,FALSE),SUM(J762:M762)),0),SUM(J762:M762))),IF('חד גזעי'!$AM$5="כן",IF(_xlfn.IFNA(VLOOKUP(C762,'חד גזעי'!$AH$2:$AH$33,1,FALSE),SUM(J762:M762))&lt;21,_xlfn.IFNA(VLOOKUP(C762,'חד גזעי'!$AH$2:$AH$33,1,FALSE),SUM(J762:M762)),0),SUM(J762:M762)))</f>
        <v>#N/A</v>
      </c>
      <c r="O762" s="72">
        <f>IF('חד גזעי'!$AM$3 = "כן",IF(T762&gt;4,4,T762),T762)</f>
        <v>0</v>
      </c>
      <c r="P762" s="80">
        <f>IF(E762&lt;2,0,IF(Z762&gt;0,Z762,IF(N762 = 0,0,IF('חד גזעי'!$AM$2 = "לא",IF(F762&gt;19,W762,0),IF(F762&gt;9,Y762,0)))))</f>
        <v>0</v>
      </c>
      <c r="Q762" s="77"/>
      <c r="R762" s="75"/>
      <c r="S762" t="e">
        <f>VLOOKUP(C762,'חד גזעי'!$Y$4:$Y$18,1,0)</f>
        <v>#N/A</v>
      </c>
      <c r="T762" s="72">
        <f>IF('חד גזעי'!$AM$6="לא",IF(P762=0,IF(BC762="שימור",IF('חד גזעי'!$AM$4="לא",IF(BC762="לא בוגר",0,IF(BC762="לא קיים",0,IF(J762=0,0,I762*0.1))),IF(BC762="לא בוגר",0,IF(BC762="לא קיים",0,IF(AB762=1,I762*0.1,E762*0.5)))),0),IF('חד גזעי'!$AM$4="לא",IF(BC762="לא בוגר",0,IF(BC762="לא קיים",0,IF(J762=0,0,I762*0.1))),IF(BC762="לא בוגר",0,IF(BC762="לא קיים",0,IF(AB762=1,I762*0.1,E762*0.5))))),IF(P762=0,IF(BC762="שימור",IF('חד גזעי'!$AM$4="לא",IF(BC762="לא בוגר",0,IF(BC762="לא קיים",0,IF(J762=0,0,I762*0.15))),IF(BC762="לא בוגר",0,IF(BC762="לא קיים",0,IF(AB762=1,I762*0.15,E762*0.5)))),0),IF('חד גזעי'!$AM$4="לא",IF(BC762="לא בוגר",0,IF(BC762="לא קיים",0,IF(J762=0,0,I762*0.15))),IF(BC762="לא בוגר",0,IF(BC762="לא קיים",0,IF(AB762=1,I762*0.15,E762*0.5))))))</f>
        <v>0</v>
      </c>
      <c r="V762" t="e">
        <f t="shared" si="758"/>
        <v>#N/A</v>
      </c>
      <c r="W762" t="e">
        <f t="shared" si="759"/>
        <v>#N/A</v>
      </c>
      <c r="X762" t="e">
        <f t="shared" si="760"/>
        <v>#N/A</v>
      </c>
      <c r="Y762">
        <f>IF('חד גזעי'!$AM$2 = "לא",0,IF(F762&gt;9,W762,0))</f>
        <v>0</v>
      </c>
      <c r="Z762">
        <f>IF('חד גזעי'!$AM$7 = "לא",0,IF(C762 = "זית אירופי",IF('חד גזעי'!$AN$7 &lt;=סקר!F762,W762,0),IF(C762 = "חרוב מצוי",IF('חד גזעי'!$AN$7 &lt;=סקר!F762,W762,0),0)))</f>
        <v>0</v>
      </c>
      <c r="AB762">
        <f t="shared" si="786"/>
        <v>1</v>
      </c>
      <c r="AC762" s="72"/>
      <c r="AD762" t="e">
        <f t="shared" si="804"/>
        <v>#N/A</v>
      </c>
      <c r="AE762" s="72"/>
      <c r="AF762" s="72" t="e">
        <f t="shared" si="787"/>
        <v>#N/A</v>
      </c>
      <c r="AG762" s="72" t="e">
        <f>IF('חד גזעי'!$AM$5="לא",(VLOOKUP(C762,'חד גזעי'!$P$1:$S$589,3,FALSE)),(VLOOKUP(C762,'חד גזעי'!$P$1:$S$589,4,FALSE)))</f>
        <v>#N/A</v>
      </c>
      <c r="AH762" s="72">
        <f t="shared" si="788"/>
        <v>0</v>
      </c>
      <c r="AI762" s="72">
        <f t="shared" si="789"/>
        <v>0</v>
      </c>
      <c r="AJ762" s="72">
        <f t="shared" si="790"/>
        <v>0</v>
      </c>
      <c r="AK762" s="72" t="e">
        <f t="shared" si="791"/>
        <v>#N/A</v>
      </c>
      <c r="AL762" t="e">
        <f>VLOOKUP(C762,'חד גזעי'!$AH$8:$AI$33,2,FALSE)</f>
        <v>#N/A</v>
      </c>
      <c r="AM762" s="72" t="b">
        <f t="shared" si="792"/>
        <v>0</v>
      </c>
      <c r="AN762" s="72" t="b">
        <f t="shared" si="793"/>
        <v>0</v>
      </c>
      <c r="AO762" s="72" t="b">
        <f t="shared" si="794"/>
        <v>0</v>
      </c>
      <c r="AS762" s="72">
        <f t="shared" si="795"/>
        <v>0</v>
      </c>
      <c r="AT762" s="72">
        <f t="shared" si="796"/>
        <v>0</v>
      </c>
      <c r="AU762" s="72">
        <f t="shared" si="805"/>
        <v>0</v>
      </c>
      <c r="AV762" s="72">
        <f t="shared" si="797"/>
        <v>0</v>
      </c>
      <c r="AW762" s="72">
        <f t="shared" si="798"/>
        <v>0</v>
      </c>
      <c r="AX762" s="72">
        <f t="shared" si="799"/>
        <v>0</v>
      </c>
      <c r="AY762" s="72">
        <f t="shared" si="800"/>
        <v>0</v>
      </c>
      <c r="AZ762" s="72">
        <f t="shared" si="801"/>
        <v>0</v>
      </c>
      <c r="BA762" s="72" t="e">
        <f t="shared" si="802"/>
        <v>#N/A</v>
      </c>
      <c r="BB762" s="72" t="e">
        <f t="shared" si="803"/>
        <v>#N/A</v>
      </c>
      <c r="BC762" s="77"/>
      <c r="BE762">
        <f t="shared" si="783"/>
        <v>0</v>
      </c>
      <c r="BF762" s="196"/>
      <c r="BG762" s="196"/>
      <c r="BH762" s="196"/>
      <c r="BI762" s="196"/>
      <c r="BJ762" s="196"/>
      <c r="BK762" s="196"/>
    </row>
    <row r="763" spans="2:63" hidden="1">
      <c r="B763" s="72"/>
      <c r="C763" s="135"/>
      <c r="D763" s="78"/>
      <c r="E763" s="78"/>
      <c r="F763" s="72"/>
      <c r="G763" s="72"/>
      <c r="H763" s="72"/>
      <c r="I763" s="73">
        <f t="shared" si="785"/>
        <v>0</v>
      </c>
      <c r="J763" s="78"/>
      <c r="K763" s="73"/>
      <c r="L763" s="74" t="e">
        <f>_xlfn.IFNA(VLOOKUP(C763,'חד גזעי'!$U$3:$V$509,2,0),VLOOKUP(C763,'חד גזעי'!$U$3:$V$509,2))</f>
        <v>#N/A</v>
      </c>
      <c r="M763" s="73"/>
      <c r="N763" s="72" t="e">
        <f>_xlfn.IFNA(IF(VLOOKUP(C763,'חד גזעי'!$AH$2:$AH$7,1,FALSE)&gt;0,0,IF('חד גזעי'!$AM$5="כן",IF(_xlfn.IFNA(VLOOKUP(C763,'חד גזעי'!$AH$2:$AH$33,1,FALSE),SUM(J763:M763))&lt;21,_xlfn.IFNA(VLOOKUP(C763,'חד גזעי'!$AH$2:$AH$33,1,FALSE),SUM(J763:M763)),0),SUM(J763:M763))),IF('חד גזעי'!$AM$5="כן",IF(_xlfn.IFNA(VLOOKUP(C763,'חד גזעי'!$AH$2:$AH$33,1,FALSE),SUM(J763:M763))&lt;21,_xlfn.IFNA(VLOOKUP(C763,'חד גזעי'!$AH$2:$AH$33,1,FALSE),SUM(J763:M763)),0),SUM(J763:M763)))</f>
        <v>#N/A</v>
      </c>
      <c r="O763" s="72">
        <f>IF('חד גזעי'!$AM$3 = "כן",IF(T763&gt;4,4,T763),T763)</f>
        <v>0</v>
      </c>
      <c r="P763" s="80">
        <f>IF(E763&lt;2,0,IF(Z763&gt;0,Z763,IF(N763 = 0,0,IF('חד גזעי'!$AM$2 = "לא",IF(F763&gt;19,W763,0),IF(F763&gt;9,Y763,0)))))</f>
        <v>0</v>
      </c>
      <c r="Q763" s="77"/>
      <c r="R763" s="76"/>
      <c r="S763" t="e">
        <f>VLOOKUP(C763,'חד גזעי'!$Y$4:$Y$18,1,0)</f>
        <v>#N/A</v>
      </c>
      <c r="T763" s="72">
        <f>IF('חד גזעי'!$AM$6="לא",IF(P763=0,IF(BC763="שימור",IF('חד גזעי'!$AM$4="לא",IF(BC763="לא בוגר",0,IF(BC763="לא קיים",0,IF(J763=0,0,I763*0.1))),IF(BC763="לא בוגר",0,IF(BC763="לא קיים",0,IF(AB763=1,I763*0.1,E763*0.5)))),0),IF('חד גזעי'!$AM$4="לא",IF(BC763="לא בוגר",0,IF(BC763="לא קיים",0,IF(J763=0,0,I763*0.1))),IF(BC763="לא בוגר",0,IF(BC763="לא קיים",0,IF(AB763=1,I763*0.1,E763*0.5))))),IF(P763=0,IF(BC763="שימור",IF('חד גזעי'!$AM$4="לא",IF(BC763="לא בוגר",0,IF(BC763="לא קיים",0,IF(J763=0,0,I763*0.15))),IF(BC763="לא בוגר",0,IF(BC763="לא קיים",0,IF(AB763=1,I763*0.15,E763*0.5)))),0),IF('חד גזעי'!$AM$4="לא",IF(BC763="לא בוגר",0,IF(BC763="לא קיים",0,IF(J763=0,0,I763*0.15))),IF(BC763="לא בוגר",0,IF(BC763="לא קיים",0,IF(AB763=1,I763*0.15,E763*0.5))))))</f>
        <v>0</v>
      </c>
      <c r="V763" t="e">
        <f t="shared" si="758"/>
        <v>#N/A</v>
      </c>
      <c r="W763" t="e">
        <f t="shared" si="759"/>
        <v>#N/A</v>
      </c>
      <c r="X763" t="e">
        <f t="shared" si="760"/>
        <v>#N/A</v>
      </c>
      <c r="Y763">
        <f>IF('חד גזעי'!$AM$2 = "לא",0,IF(F763&gt;9,W763,0))</f>
        <v>0</v>
      </c>
      <c r="Z763">
        <f>IF('חד גזעי'!$AM$7 = "לא",0,IF(C763 = "זית אירופי",IF('חד גזעי'!$AN$7 &lt;=סקר!F763,W763,0),IF(C763 = "חרוב מצוי",IF('חד גזעי'!$AN$7 &lt;=סקר!F763,W763,0),0)))</f>
        <v>0</v>
      </c>
      <c r="AB763">
        <f t="shared" si="786"/>
        <v>1</v>
      </c>
      <c r="AC763" s="72"/>
      <c r="AD763" t="e">
        <f t="shared" si="804"/>
        <v>#N/A</v>
      </c>
      <c r="AE763" s="72"/>
      <c r="AF763" s="72" t="e">
        <f t="shared" si="787"/>
        <v>#N/A</v>
      </c>
      <c r="AG763" s="72" t="e">
        <f>IF('חד גזעי'!$AM$5="לא",(VLOOKUP(C763,'חד גזעי'!$P$1:$S$589,3,FALSE)),(VLOOKUP(C763,'חד גזעי'!$P$1:$S$589,4,FALSE)))</f>
        <v>#N/A</v>
      </c>
      <c r="AH763" s="72">
        <f t="shared" si="788"/>
        <v>0</v>
      </c>
      <c r="AI763" s="72">
        <f t="shared" si="789"/>
        <v>0</v>
      </c>
      <c r="AJ763" s="72">
        <f t="shared" si="790"/>
        <v>0</v>
      </c>
      <c r="AK763" s="72" t="e">
        <f t="shared" si="791"/>
        <v>#N/A</v>
      </c>
      <c r="AL763" t="e">
        <f>VLOOKUP(C763,'חד גזעי'!$AH$8:$AI$33,2,FALSE)</f>
        <v>#N/A</v>
      </c>
      <c r="AM763" s="72" t="b">
        <f t="shared" si="792"/>
        <v>0</v>
      </c>
      <c r="AN763" s="72" t="b">
        <f t="shared" si="793"/>
        <v>0</v>
      </c>
      <c r="AO763" s="72" t="b">
        <f t="shared" si="794"/>
        <v>0</v>
      </c>
      <c r="AS763" s="72">
        <f t="shared" si="795"/>
        <v>0</v>
      </c>
      <c r="AT763" s="72">
        <f t="shared" si="796"/>
        <v>0</v>
      </c>
      <c r="AU763" s="72">
        <f t="shared" si="805"/>
        <v>0</v>
      </c>
      <c r="AV763" s="72">
        <f t="shared" si="797"/>
        <v>0</v>
      </c>
      <c r="AW763" s="72">
        <f t="shared" si="798"/>
        <v>0</v>
      </c>
      <c r="AX763" s="72">
        <f t="shared" si="799"/>
        <v>0</v>
      </c>
      <c r="AY763" s="72">
        <f t="shared" si="800"/>
        <v>0</v>
      </c>
      <c r="AZ763" s="72">
        <f t="shared" si="801"/>
        <v>0</v>
      </c>
      <c r="BA763" s="72" t="e">
        <f t="shared" si="802"/>
        <v>#N/A</v>
      </c>
      <c r="BB763" s="72" t="e">
        <f t="shared" si="803"/>
        <v>#N/A</v>
      </c>
      <c r="BC763" s="77"/>
      <c r="BE763">
        <f t="shared" si="783"/>
        <v>0</v>
      </c>
      <c r="BF763" s="196"/>
      <c r="BG763" s="196"/>
      <c r="BH763" s="196"/>
      <c r="BI763" s="196"/>
      <c r="BJ763" s="196"/>
      <c r="BK763" s="196"/>
    </row>
    <row r="764" spans="2:63" hidden="1">
      <c r="B764" s="72"/>
      <c r="C764" s="135"/>
      <c r="D764" s="78"/>
      <c r="E764" s="78"/>
      <c r="F764" s="72"/>
      <c r="G764" s="72"/>
      <c r="H764" s="72"/>
      <c r="I764" s="73">
        <f t="shared" si="785"/>
        <v>0</v>
      </c>
      <c r="J764" s="78"/>
      <c r="K764" s="73"/>
      <c r="L764" s="74" t="e">
        <f>_xlfn.IFNA(VLOOKUP(C764,'חד גזעי'!$U$3:$V$509,2,0),VLOOKUP(C764,'חד גזעי'!$U$3:$V$509,2))</f>
        <v>#N/A</v>
      </c>
      <c r="M764" s="102"/>
      <c r="N764" s="72" t="e">
        <f>_xlfn.IFNA(IF(VLOOKUP(C764,'חד גזעי'!$AH$2:$AH$7,1,FALSE)&gt;0,0,IF('חד גזעי'!$AM$5="כן",IF(_xlfn.IFNA(VLOOKUP(C764,'חד גזעי'!$AH$2:$AH$33,1,FALSE),SUM(J764:M764))&lt;21,_xlfn.IFNA(VLOOKUP(C764,'חד גזעי'!$AH$2:$AH$33,1,FALSE),SUM(J764:M764)),0),SUM(J764:M764))),IF('חד גזעי'!$AM$5="כן",IF(_xlfn.IFNA(VLOOKUP(C764,'חד גזעי'!$AH$2:$AH$33,1,FALSE),SUM(J764:M764))&lt;21,_xlfn.IFNA(VLOOKUP(C764,'חד גזעי'!$AH$2:$AH$33,1,FALSE),SUM(J764:M764)),0),SUM(J764:M764)))</f>
        <v>#N/A</v>
      </c>
      <c r="O764" s="72">
        <f>IF('חד גזעי'!$AM$3 = "כן",IF(T764&gt;4,4,T764),T764)</f>
        <v>0</v>
      </c>
      <c r="P764" s="80">
        <f>IF(E764&lt;2,0,IF(Z764&gt;0,Z764,IF(N764 = 0,0,IF('חד גזעי'!$AM$2 = "לא",IF(F764&gt;19,W764,0),IF(F764&gt;9,Y764,0)))))</f>
        <v>0</v>
      </c>
      <c r="Q764" s="77"/>
      <c r="R764" s="76"/>
      <c r="S764" t="e">
        <f>VLOOKUP(C764,'חד גזעי'!$Y$4:$Y$18,1,0)</f>
        <v>#N/A</v>
      </c>
      <c r="T764" s="72">
        <f>IF('חד גזעי'!$AM$6="לא",IF(P764=0,IF(BC764="שימור",IF('חד גזעי'!$AM$4="לא",IF(BC764="לא בוגר",0,IF(BC764="לא קיים",0,IF(J764=0,0,I764*0.1))),IF(BC764="לא בוגר",0,IF(BC764="לא קיים",0,IF(AB764=1,I764*0.1,E764*0.5)))),0),IF('חד גזעי'!$AM$4="לא",IF(BC764="לא בוגר",0,IF(BC764="לא קיים",0,IF(J764=0,0,I764*0.1))),IF(BC764="לא בוגר",0,IF(BC764="לא קיים",0,IF(AB764=1,I764*0.1,E764*0.5))))),IF(P764=0,IF(BC764="שימור",IF('חד גזעי'!$AM$4="לא",IF(BC764="לא בוגר",0,IF(BC764="לא קיים",0,IF(J764=0,0,I764*0.15))),IF(BC764="לא בוגר",0,IF(BC764="לא קיים",0,IF(AB764=1,I764*0.15,E764*0.5)))),0),IF('חד גזעי'!$AM$4="לא",IF(BC764="לא בוגר",0,IF(BC764="לא קיים",0,IF(J764=0,0,I764*0.15))),IF(BC764="לא בוגר",0,IF(BC764="לא קיים",0,IF(AB764=1,I764*0.15,E764*0.5))))))</f>
        <v>0</v>
      </c>
      <c r="V764" t="e">
        <f t="shared" si="758"/>
        <v>#N/A</v>
      </c>
      <c r="W764" t="e">
        <f t="shared" si="759"/>
        <v>#N/A</v>
      </c>
      <c r="X764" t="e">
        <f t="shared" si="760"/>
        <v>#N/A</v>
      </c>
      <c r="Y764">
        <f>IF('חד גזעי'!$AM$2 = "לא",0,IF(F764&gt;9,W764,0))</f>
        <v>0</v>
      </c>
      <c r="Z764">
        <f>IF('חד גזעי'!$AM$7 = "לא",0,IF(C764 = "זית אירופי",IF('חד גזעי'!$AN$7 &lt;=סקר!F764,W764,0),IF(C764 = "חרוב מצוי",IF('חד גזעי'!$AN$7 &lt;=סקר!F764,W764,0),0)))</f>
        <v>0</v>
      </c>
      <c r="AB764">
        <f t="shared" si="786"/>
        <v>1</v>
      </c>
      <c r="AC764" s="72"/>
      <c r="AD764" t="e">
        <f t="shared" si="804"/>
        <v>#N/A</v>
      </c>
      <c r="AE764" s="72"/>
      <c r="AF764" s="72" t="e">
        <f t="shared" si="787"/>
        <v>#N/A</v>
      </c>
      <c r="AG764" s="72" t="e">
        <f>IF('חד גזעי'!$AM$5="לא",(VLOOKUP(C764,'חד גזעי'!$P$1:$S$589,3,FALSE)),(VLOOKUP(C764,'חד גזעי'!$P$1:$S$589,4,FALSE)))</f>
        <v>#N/A</v>
      </c>
      <c r="AH764" s="72">
        <f t="shared" si="788"/>
        <v>0</v>
      </c>
      <c r="AI764" s="72">
        <f t="shared" si="789"/>
        <v>0</v>
      </c>
      <c r="AJ764" s="72">
        <f t="shared" si="790"/>
        <v>0</v>
      </c>
      <c r="AK764" s="72" t="e">
        <f t="shared" si="791"/>
        <v>#N/A</v>
      </c>
      <c r="AL764" t="e">
        <f>VLOOKUP(C764,'חד גזעי'!$AH$8:$AI$33,2,FALSE)</f>
        <v>#N/A</v>
      </c>
      <c r="AM764" s="72" t="b">
        <f t="shared" si="792"/>
        <v>0</v>
      </c>
      <c r="AN764" s="72" t="b">
        <f t="shared" si="793"/>
        <v>0</v>
      </c>
      <c r="AO764" s="72" t="b">
        <f t="shared" si="794"/>
        <v>0</v>
      </c>
      <c r="AS764" s="72">
        <f t="shared" si="795"/>
        <v>0</v>
      </c>
      <c r="AT764" s="72">
        <f t="shared" si="796"/>
        <v>0</v>
      </c>
      <c r="AU764" s="72">
        <f t="shared" si="805"/>
        <v>0</v>
      </c>
      <c r="AV764" s="72">
        <f t="shared" si="797"/>
        <v>0</v>
      </c>
      <c r="AW764" s="72">
        <f t="shared" si="798"/>
        <v>0</v>
      </c>
      <c r="AX764" s="72">
        <f t="shared" si="799"/>
        <v>0</v>
      </c>
      <c r="AY764" s="72">
        <f t="shared" si="800"/>
        <v>0</v>
      </c>
      <c r="AZ764" s="72">
        <f t="shared" si="801"/>
        <v>0</v>
      </c>
      <c r="BA764" s="72" t="e">
        <f t="shared" si="802"/>
        <v>#N/A</v>
      </c>
      <c r="BB764" s="72" t="e">
        <f t="shared" si="803"/>
        <v>#N/A</v>
      </c>
      <c r="BC764" s="77"/>
      <c r="BE764">
        <f t="shared" si="783"/>
        <v>0</v>
      </c>
      <c r="BF764" s="196"/>
      <c r="BG764" s="196"/>
      <c r="BH764" s="196"/>
      <c r="BI764" s="196"/>
      <c r="BJ764" s="196"/>
      <c r="BK764" s="196"/>
    </row>
    <row r="765" spans="2:63" hidden="1">
      <c r="B765" s="72"/>
      <c r="C765" s="135"/>
      <c r="D765" s="73"/>
      <c r="E765" s="73"/>
      <c r="F765" s="72"/>
      <c r="G765" s="72"/>
      <c r="H765" s="72"/>
      <c r="I765" s="73">
        <f t="shared" si="785"/>
        <v>0</v>
      </c>
      <c r="J765" s="73"/>
      <c r="K765" s="73"/>
      <c r="L765" s="74" t="e">
        <f>_xlfn.IFNA(VLOOKUP(C765,'חד גזעי'!$U$3:$V$509,2,0),VLOOKUP(C765,'חד גזעי'!$U$3:$V$509,2))</f>
        <v>#N/A</v>
      </c>
      <c r="M765" s="73"/>
      <c r="N765" s="72" t="e">
        <f>_xlfn.IFNA(IF(VLOOKUP(C765,'חד גזעי'!$AH$2:$AH$7,1,FALSE)&gt;0,0,IF('חד גזעי'!$AM$5="כן",IF(_xlfn.IFNA(VLOOKUP(C765,'חד גזעי'!$AH$2:$AH$33,1,FALSE),SUM(J765:M765))&lt;21,_xlfn.IFNA(VLOOKUP(C765,'חד גזעי'!$AH$2:$AH$33,1,FALSE),SUM(J765:M765)),0),SUM(J765:M765))),IF('חד גזעי'!$AM$5="כן",IF(_xlfn.IFNA(VLOOKUP(C765,'חד גזעי'!$AH$2:$AH$33,1,FALSE),SUM(J765:M765))&lt;21,_xlfn.IFNA(VLOOKUP(C765,'חד גזעי'!$AH$2:$AH$33,1,FALSE),SUM(J765:M765)),0),SUM(J765:M765)))</f>
        <v>#N/A</v>
      </c>
      <c r="O765" s="72">
        <f>IF('חד גזעי'!$AM$3 = "כן",IF(T765&gt;4,4,T765),T765)</f>
        <v>0</v>
      </c>
      <c r="P765" s="80">
        <f>IF(E765&lt;2,0,IF(Z765&gt;0,Z765,IF(N765 = 0,0,IF('חד גזעי'!$AM$2 = "לא",IF(F765&gt;19,W765,0),IF(F765&gt;9,Y765,0)))))</f>
        <v>0</v>
      </c>
      <c r="Q765" s="77"/>
      <c r="R765" s="76"/>
      <c r="S765" t="e">
        <f>VLOOKUP(C765,'חד גזעי'!$Y$4:$Y$18,1,0)</f>
        <v>#N/A</v>
      </c>
      <c r="T765" s="72">
        <f>IF('חד גזעי'!$AM$6="לא",IF(P765=0,IF(BC765="שימור",IF('חד גזעי'!$AM$4="לא",IF(BC765="לא בוגר",0,IF(BC765="לא קיים",0,IF(J765=0,0,I765*0.1))),IF(BC765="לא בוגר",0,IF(BC765="לא קיים",0,IF(AB765=1,I765*0.1,E765*0.5)))),0),IF('חד גזעי'!$AM$4="לא",IF(BC765="לא בוגר",0,IF(BC765="לא קיים",0,IF(J765=0,0,I765*0.1))),IF(BC765="לא בוגר",0,IF(BC765="לא קיים",0,IF(AB765=1,I765*0.1,E765*0.5))))),IF(P765=0,IF(BC765="שימור",IF('חד גזעי'!$AM$4="לא",IF(BC765="לא בוגר",0,IF(BC765="לא קיים",0,IF(J765=0,0,I765*0.15))),IF(BC765="לא בוגר",0,IF(BC765="לא קיים",0,IF(AB765=1,I765*0.15,E765*0.5)))),0),IF('חד גזעי'!$AM$4="לא",IF(BC765="לא בוגר",0,IF(BC765="לא קיים",0,IF(J765=0,0,I765*0.15))),IF(BC765="לא בוגר",0,IF(BC765="לא קיים",0,IF(AB765=1,I765*0.15,E765*0.5))))))</f>
        <v>0</v>
      </c>
      <c r="V765" t="e">
        <f t="shared" si="758"/>
        <v>#N/A</v>
      </c>
      <c r="W765" t="e">
        <f t="shared" si="759"/>
        <v>#N/A</v>
      </c>
      <c r="X765" t="e">
        <f t="shared" si="760"/>
        <v>#N/A</v>
      </c>
      <c r="Y765">
        <f>IF('חד גזעי'!$AM$2 = "לא",0,IF(F765&gt;9,W765,0))</f>
        <v>0</v>
      </c>
      <c r="Z765">
        <f>IF('חד גזעי'!$AM$7 = "לא",0,IF(C765 = "זית אירופי",IF('חד גזעי'!$AN$7 &lt;=סקר!F765,W765,0),IF(C765 = "חרוב מצוי",IF('חד גזעי'!$AN$7 &lt;=סקר!F765,W765,0),0)))</f>
        <v>0</v>
      </c>
      <c r="AB765">
        <f t="shared" si="786"/>
        <v>1</v>
      </c>
      <c r="AC765" s="72"/>
      <c r="AD765" t="e">
        <f t="shared" si="804"/>
        <v>#N/A</v>
      </c>
      <c r="AE765" s="72"/>
      <c r="AF765" s="72" t="e">
        <f t="shared" si="787"/>
        <v>#N/A</v>
      </c>
      <c r="AG765" s="72" t="e">
        <f>IF('חד גזעי'!$AM$5="לא",(VLOOKUP(C765,'חד גזעי'!$P$1:$S$589,3,FALSE)),(VLOOKUP(C765,'חד גזעי'!$P$1:$S$589,4,FALSE)))</f>
        <v>#N/A</v>
      </c>
      <c r="AH765" s="72">
        <f t="shared" si="788"/>
        <v>0</v>
      </c>
      <c r="AI765" s="72">
        <f t="shared" si="789"/>
        <v>0</v>
      </c>
      <c r="AJ765" s="72">
        <f t="shared" si="790"/>
        <v>0</v>
      </c>
      <c r="AK765" s="72" t="e">
        <f t="shared" si="791"/>
        <v>#N/A</v>
      </c>
      <c r="AL765" t="e">
        <f>VLOOKUP(C765,'חד גזעי'!$AH$8:$AI$33,2,FALSE)</f>
        <v>#N/A</v>
      </c>
      <c r="AM765" s="72" t="b">
        <f t="shared" si="792"/>
        <v>0</v>
      </c>
      <c r="AN765" s="72" t="b">
        <f t="shared" si="793"/>
        <v>0</v>
      </c>
      <c r="AO765" s="72" t="b">
        <f t="shared" si="794"/>
        <v>0</v>
      </c>
      <c r="AS765" s="72">
        <f t="shared" si="795"/>
        <v>0</v>
      </c>
      <c r="AT765" s="72">
        <f t="shared" si="796"/>
        <v>0</v>
      </c>
      <c r="AU765" s="72">
        <f t="shared" si="805"/>
        <v>0</v>
      </c>
      <c r="AV765" s="72">
        <f t="shared" si="797"/>
        <v>0</v>
      </c>
      <c r="AW765" s="72">
        <f t="shared" si="798"/>
        <v>0</v>
      </c>
      <c r="AX765" s="72">
        <f t="shared" si="799"/>
        <v>0</v>
      </c>
      <c r="AY765" s="72">
        <f t="shared" si="800"/>
        <v>0</v>
      </c>
      <c r="AZ765" s="72">
        <f t="shared" si="801"/>
        <v>0</v>
      </c>
      <c r="BA765" s="72" t="e">
        <f t="shared" si="802"/>
        <v>#N/A</v>
      </c>
      <c r="BB765" s="72" t="e">
        <f t="shared" si="803"/>
        <v>#N/A</v>
      </c>
      <c r="BC765" s="77"/>
      <c r="BE765">
        <f t="shared" si="783"/>
        <v>0</v>
      </c>
      <c r="BF765" s="196"/>
      <c r="BG765" s="196"/>
      <c r="BH765" s="196"/>
      <c r="BI765" s="196"/>
      <c r="BJ765" s="196"/>
      <c r="BK765" s="196"/>
    </row>
    <row r="766" spans="2:63" ht="12.75" hidden="1" customHeight="1">
      <c r="B766" s="72"/>
      <c r="C766" s="135"/>
      <c r="D766" s="73"/>
      <c r="E766" s="73"/>
      <c r="F766" s="72"/>
      <c r="G766" s="72"/>
      <c r="H766" s="72"/>
      <c r="I766" s="73">
        <f t="shared" si="785"/>
        <v>0</v>
      </c>
      <c r="J766" s="73"/>
      <c r="K766" s="73"/>
      <c r="L766" s="74" t="e">
        <f>_xlfn.IFNA(VLOOKUP(C766,'חד גזעי'!$U$3:$V$509,2,0),VLOOKUP(C766,'חד גזעי'!$U$3:$V$509,2))</f>
        <v>#N/A</v>
      </c>
      <c r="M766" s="73"/>
      <c r="N766" s="72" t="e">
        <f>_xlfn.IFNA(IF(VLOOKUP(C766,'חד גזעי'!$AH$2:$AH$7,1,FALSE)&gt;0,0,IF('חד גזעי'!$AM$5="כן",IF(_xlfn.IFNA(VLOOKUP(C766,'חד גזעי'!$AH$2:$AH$33,1,FALSE),SUM(J766:M766))&lt;21,_xlfn.IFNA(VLOOKUP(C766,'חד גזעי'!$AH$2:$AH$33,1,FALSE),SUM(J766:M766)),0),SUM(J766:M766))),IF('חד גזעי'!$AM$5="כן",IF(_xlfn.IFNA(VLOOKUP(C766,'חד גזעי'!$AH$2:$AH$33,1,FALSE),SUM(J766:M766))&lt;21,_xlfn.IFNA(VLOOKUP(C766,'חד גזעי'!$AH$2:$AH$33,1,FALSE),SUM(J766:M766)),0),SUM(J766:M766)))</f>
        <v>#N/A</v>
      </c>
      <c r="O766" s="72">
        <f>IF('חד גזעי'!$AM$3 = "כן",IF(T766&gt;4,4,T766),T766)</f>
        <v>0</v>
      </c>
      <c r="P766" s="80">
        <f>IF(E766&lt;2,0,IF(Z766&gt;0,Z766,IF(N766 = 0,0,IF('חד גזעי'!$AM$2 = "לא",IF(F766&gt;19,W766,0),IF(F766&gt;9,Y766,0)))))</f>
        <v>0</v>
      </c>
      <c r="Q766" s="77"/>
      <c r="R766" s="76"/>
      <c r="S766" t="e">
        <f>VLOOKUP(C766,'חד גזעי'!$Y$4:$Y$18,1,0)</f>
        <v>#N/A</v>
      </c>
      <c r="T766" s="72">
        <f>IF('חד גזעי'!$AM$6="לא",IF(P766=0,IF(BC766="שימור",IF('חד גזעי'!$AM$4="לא",IF(BC766="לא בוגר",0,IF(BC766="לא קיים",0,IF(J766=0,0,I766*0.1))),IF(BC766="לא בוגר",0,IF(BC766="לא קיים",0,IF(AB766=1,I766*0.1,E766*0.5)))),0),IF('חד גזעי'!$AM$4="לא",IF(BC766="לא בוגר",0,IF(BC766="לא קיים",0,IF(J766=0,0,I766*0.1))),IF(BC766="לא בוגר",0,IF(BC766="לא קיים",0,IF(AB766=1,I766*0.1,E766*0.5))))),IF(P766=0,IF(BC766="שימור",IF('חד גזעי'!$AM$4="לא",IF(BC766="לא בוגר",0,IF(BC766="לא קיים",0,IF(J766=0,0,I766*0.15))),IF(BC766="לא בוגר",0,IF(BC766="לא קיים",0,IF(AB766=1,I766*0.15,E766*0.5)))),0),IF('חד גזעי'!$AM$4="לא",IF(BC766="לא בוגר",0,IF(BC766="לא קיים",0,IF(J766=0,0,I766*0.15))),IF(BC766="לא בוגר",0,IF(BC766="לא קיים",0,IF(AB766=1,I766*0.15,E766*0.5))))))</f>
        <v>0</v>
      </c>
      <c r="V766" t="e">
        <f t="shared" si="758"/>
        <v>#N/A</v>
      </c>
      <c r="W766" t="e">
        <f t="shared" si="759"/>
        <v>#N/A</v>
      </c>
      <c r="X766" t="e">
        <f t="shared" si="760"/>
        <v>#N/A</v>
      </c>
      <c r="Y766">
        <f>IF('חד גזעי'!$AM$2 = "לא",0,IF(F766&gt;9,W766,0))</f>
        <v>0</v>
      </c>
      <c r="Z766">
        <f>IF('חד גזעי'!$AM$7 = "לא",0,IF(C766 = "זית אירופי",IF('חד גזעי'!$AN$7 &lt;=סקר!F766,W766,0),IF(C766 = "חרוב מצוי",IF('חד גזעי'!$AN$7 &lt;=סקר!F766,W766,0),0)))</f>
        <v>0</v>
      </c>
      <c r="AB766">
        <f t="shared" si="786"/>
        <v>1</v>
      </c>
      <c r="AC766" s="72"/>
      <c r="AD766" t="e">
        <f t="shared" si="804"/>
        <v>#N/A</v>
      </c>
      <c r="AE766" s="72"/>
      <c r="AF766" s="72" t="e">
        <f t="shared" si="787"/>
        <v>#N/A</v>
      </c>
      <c r="AG766" s="72" t="e">
        <f>IF('חד גזעי'!$AM$5="לא",(VLOOKUP(C766,'חד גזעי'!$P$1:$S$589,3,FALSE)),(VLOOKUP(C766,'חד גזעי'!$P$1:$S$589,4,FALSE)))</f>
        <v>#N/A</v>
      </c>
      <c r="AH766" s="72">
        <f t="shared" si="788"/>
        <v>0</v>
      </c>
      <c r="AI766" s="72">
        <f t="shared" si="789"/>
        <v>0</v>
      </c>
      <c r="AJ766" s="72">
        <f t="shared" si="790"/>
        <v>0</v>
      </c>
      <c r="AK766" s="72" t="e">
        <f t="shared" si="791"/>
        <v>#N/A</v>
      </c>
      <c r="AL766" t="e">
        <f>VLOOKUP(C766,'חד גזעי'!$AH$8:$AI$33,2,FALSE)</f>
        <v>#N/A</v>
      </c>
      <c r="AM766" s="72" t="b">
        <f t="shared" si="792"/>
        <v>0</v>
      </c>
      <c r="AN766" s="72" t="b">
        <f t="shared" si="793"/>
        <v>0</v>
      </c>
      <c r="AO766" s="72" t="b">
        <f t="shared" si="794"/>
        <v>0</v>
      </c>
      <c r="AS766" s="72">
        <f t="shared" si="795"/>
        <v>0</v>
      </c>
      <c r="AT766" s="72">
        <f t="shared" si="796"/>
        <v>0</v>
      </c>
      <c r="AU766" s="72">
        <f t="shared" si="805"/>
        <v>0</v>
      </c>
      <c r="AV766" s="72">
        <f t="shared" si="797"/>
        <v>0</v>
      </c>
      <c r="AW766" s="72">
        <f t="shared" si="798"/>
        <v>0</v>
      </c>
      <c r="AX766" s="72">
        <f t="shared" si="799"/>
        <v>0</v>
      </c>
      <c r="AY766" s="72">
        <f t="shared" si="800"/>
        <v>0</v>
      </c>
      <c r="AZ766" s="72">
        <f t="shared" si="801"/>
        <v>0</v>
      </c>
      <c r="BA766" s="72" t="e">
        <f t="shared" si="802"/>
        <v>#N/A</v>
      </c>
      <c r="BB766" s="72" t="e">
        <f t="shared" si="803"/>
        <v>#N/A</v>
      </c>
      <c r="BC766" s="77"/>
      <c r="BE766">
        <f t="shared" si="783"/>
        <v>0</v>
      </c>
      <c r="BF766" s="196"/>
      <c r="BG766" s="196"/>
      <c r="BH766" s="196"/>
      <c r="BI766" s="196"/>
      <c r="BJ766" s="196"/>
      <c r="BK766" s="196"/>
    </row>
    <row r="767" spans="2:63" ht="12.75" hidden="1" customHeight="1">
      <c r="B767" s="72"/>
      <c r="C767" s="135"/>
      <c r="D767" s="73"/>
      <c r="E767" s="73"/>
      <c r="F767" s="72"/>
      <c r="G767" s="72"/>
      <c r="H767" s="72"/>
      <c r="I767" s="73">
        <f t="shared" si="785"/>
        <v>0</v>
      </c>
      <c r="J767" s="73"/>
      <c r="K767" s="73"/>
      <c r="L767" s="74" t="e">
        <f>_xlfn.IFNA(VLOOKUP(C767,'חד גזעי'!$U$3:$V$509,2,0),VLOOKUP(C767,'חד גזעי'!$U$3:$V$509,2))</f>
        <v>#N/A</v>
      </c>
      <c r="M767" s="73"/>
      <c r="N767" s="72" t="e">
        <f>_xlfn.IFNA(IF(VLOOKUP(C767,'חד גזעי'!$AH$2:$AH$7,1,FALSE)&gt;0,0,IF('חד גזעי'!$AM$5="כן",IF(_xlfn.IFNA(VLOOKUP(C767,'חד גזעי'!$AH$2:$AH$33,1,FALSE),SUM(J767:M767))&lt;21,_xlfn.IFNA(VLOOKUP(C767,'חד גזעי'!$AH$2:$AH$33,1,FALSE),SUM(J767:M767)),0),SUM(J767:M767))),IF('חד גזעי'!$AM$5="כן",IF(_xlfn.IFNA(VLOOKUP(C767,'חד גזעי'!$AH$2:$AH$33,1,FALSE),SUM(J767:M767))&lt;21,_xlfn.IFNA(VLOOKUP(C767,'חד גזעי'!$AH$2:$AH$33,1,FALSE),SUM(J767:M767)),0),SUM(J767:M767)))</f>
        <v>#N/A</v>
      </c>
      <c r="O767" s="72">
        <f>IF('חד גזעי'!$AM$3 = "כן",IF(T767&gt;4,4,T767),T767)</f>
        <v>0</v>
      </c>
      <c r="P767" s="80">
        <f>IF(E767&lt;2,0,IF(Z767&gt;0,Z767,IF(N767 = 0,0,IF('חד גזעי'!$AM$2 = "לא",IF(F767&gt;19,W767,0),IF(F767&gt;9,Y767,0)))))</f>
        <v>0</v>
      </c>
      <c r="Q767" s="77"/>
      <c r="R767" s="76"/>
      <c r="S767" t="e">
        <f>VLOOKUP(C767,'חד גזעי'!$Y$4:$Y$18,1,0)</f>
        <v>#N/A</v>
      </c>
      <c r="T767" s="72">
        <f>IF('חד גזעי'!$AM$6="לא",IF(P767=0,IF(BC767="שימור",IF('חד גזעי'!$AM$4="לא",IF(BC767="לא בוגר",0,IF(BC767="לא קיים",0,IF(J767=0,0,I767*0.1))),IF(BC767="לא בוגר",0,IF(BC767="לא קיים",0,IF(AB767=1,I767*0.1,E767*0.5)))),0),IF('חד גזעי'!$AM$4="לא",IF(BC767="לא בוגר",0,IF(BC767="לא קיים",0,IF(J767=0,0,I767*0.1))),IF(BC767="לא בוגר",0,IF(BC767="לא קיים",0,IF(AB767=1,I767*0.1,E767*0.5))))),IF(P767=0,IF(BC767="שימור",IF('חד גזעי'!$AM$4="לא",IF(BC767="לא בוגר",0,IF(BC767="לא קיים",0,IF(J767=0,0,I767*0.15))),IF(BC767="לא בוגר",0,IF(BC767="לא קיים",0,IF(AB767=1,I767*0.15,E767*0.5)))),0),IF('חד גזעי'!$AM$4="לא",IF(BC767="לא בוגר",0,IF(BC767="לא קיים",0,IF(J767=0,0,I767*0.15))),IF(BC767="לא בוגר",0,IF(BC767="לא קיים",0,IF(AB767=1,I767*0.15,E767*0.5))))))</f>
        <v>0</v>
      </c>
      <c r="V767" t="e">
        <f t="shared" si="758"/>
        <v>#N/A</v>
      </c>
      <c r="W767" t="e">
        <f t="shared" si="759"/>
        <v>#N/A</v>
      </c>
      <c r="X767" t="e">
        <f t="shared" si="760"/>
        <v>#N/A</v>
      </c>
      <c r="Y767">
        <f>IF('חד גזעי'!$AM$2 = "לא",0,IF(F767&gt;9,W767,0))</f>
        <v>0</v>
      </c>
      <c r="Z767">
        <f>IF('חד גזעי'!$AM$7 = "לא",0,IF(C767 = "זית אירופי",IF('חד גזעי'!$AN$7 &lt;=סקר!F767,W767,0),IF(C767 = "חרוב מצוי",IF('חד גזעי'!$AN$7 &lt;=סקר!F767,W767,0),0)))</f>
        <v>0</v>
      </c>
      <c r="AB767">
        <f t="shared" si="786"/>
        <v>1</v>
      </c>
      <c r="AC767" s="72"/>
      <c r="AD767" t="e">
        <f t="shared" si="804"/>
        <v>#N/A</v>
      </c>
      <c r="AE767" s="72"/>
      <c r="AF767" s="72" t="e">
        <f t="shared" si="787"/>
        <v>#N/A</v>
      </c>
      <c r="AG767" s="72" t="e">
        <f>IF('חד גזעי'!$AM$5="לא",(VLOOKUP(C767,'חד גזעי'!$P$1:$S$589,3,FALSE)),(VLOOKUP(C767,'חד גזעי'!$P$1:$S$589,4,FALSE)))</f>
        <v>#N/A</v>
      </c>
      <c r="AH767" s="72">
        <f t="shared" si="788"/>
        <v>0</v>
      </c>
      <c r="AI767" s="72">
        <f t="shared" si="789"/>
        <v>0</v>
      </c>
      <c r="AJ767" s="72">
        <f t="shared" si="790"/>
        <v>0</v>
      </c>
      <c r="AK767" s="72" t="e">
        <f t="shared" si="791"/>
        <v>#N/A</v>
      </c>
      <c r="AL767" t="e">
        <f>VLOOKUP(C767,'חד גזעי'!$AH$8:$AI$33,2,FALSE)</f>
        <v>#N/A</v>
      </c>
      <c r="AM767" s="72" t="b">
        <f t="shared" si="792"/>
        <v>0</v>
      </c>
      <c r="AN767" s="72" t="b">
        <f t="shared" si="793"/>
        <v>0</v>
      </c>
      <c r="AO767" s="72" t="b">
        <f t="shared" si="794"/>
        <v>0</v>
      </c>
      <c r="AS767" s="72">
        <f t="shared" si="795"/>
        <v>0</v>
      </c>
      <c r="AT767" s="72">
        <f t="shared" si="796"/>
        <v>0</v>
      </c>
      <c r="AU767" s="72">
        <f t="shared" si="805"/>
        <v>0</v>
      </c>
      <c r="AV767" s="72">
        <f t="shared" si="797"/>
        <v>0</v>
      </c>
      <c r="AW767" s="72">
        <f t="shared" si="798"/>
        <v>0</v>
      </c>
      <c r="AX767" s="72">
        <f t="shared" si="799"/>
        <v>0</v>
      </c>
      <c r="AY767" s="72">
        <f t="shared" si="800"/>
        <v>0</v>
      </c>
      <c r="AZ767" s="72">
        <f t="shared" si="801"/>
        <v>0</v>
      </c>
      <c r="BA767" s="72" t="e">
        <f t="shared" si="802"/>
        <v>#N/A</v>
      </c>
      <c r="BB767" s="72" t="e">
        <f t="shared" si="803"/>
        <v>#N/A</v>
      </c>
      <c r="BC767" s="77"/>
      <c r="BE767">
        <f t="shared" si="783"/>
        <v>0</v>
      </c>
      <c r="BF767" s="196"/>
      <c r="BG767" s="196"/>
      <c r="BH767" s="196"/>
      <c r="BI767" s="196"/>
      <c r="BJ767" s="196"/>
      <c r="BK767" s="196"/>
    </row>
    <row r="768" spans="2:63" ht="12.75" hidden="1" customHeight="1">
      <c r="B768" s="72"/>
      <c r="C768" s="135"/>
      <c r="D768" s="73"/>
      <c r="E768" s="73"/>
      <c r="F768" s="72"/>
      <c r="G768" s="72"/>
      <c r="H768" s="72"/>
      <c r="I768" s="73">
        <f t="shared" si="785"/>
        <v>0</v>
      </c>
      <c r="J768" s="73"/>
      <c r="K768" s="73"/>
      <c r="L768" s="74" t="e">
        <f>_xlfn.IFNA(VLOOKUP(C768,'חד גזעי'!$U$3:$V$509,2,0),VLOOKUP(C768,'חד גזעי'!$U$3:$V$509,2))</f>
        <v>#N/A</v>
      </c>
      <c r="M768" s="73"/>
      <c r="N768" s="72" t="e">
        <f>_xlfn.IFNA(IF(VLOOKUP(C768,'חד גזעי'!$AH$2:$AH$7,1,FALSE)&gt;0,0,IF('חד גזעי'!$AM$5="כן",IF(_xlfn.IFNA(VLOOKUP(C768,'חד גזעי'!$AH$2:$AH$33,1,FALSE),SUM(J768:M768))&lt;21,_xlfn.IFNA(VLOOKUP(C768,'חד גזעי'!$AH$2:$AH$33,1,FALSE),SUM(J768:M768)),0),SUM(J768:M768))),IF('חד גזעי'!$AM$5="כן",IF(_xlfn.IFNA(VLOOKUP(C768,'חד גזעי'!$AH$2:$AH$33,1,FALSE),SUM(J768:M768))&lt;21,_xlfn.IFNA(VLOOKUP(C768,'חד גזעי'!$AH$2:$AH$33,1,FALSE),SUM(J768:M768)),0),SUM(J768:M768)))</f>
        <v>#N/A</v>
      </c>
      <c r="O768" s="72">
        <f>IF('חד גזעי'!$AM$3 = "כן",IF(T768&gt;4,4,T768),T768)</f>
        <v>0</v>
      </c>
      <c r="P768" s="80">
        <f>IF(E768&lt;2,0,IF(Z768&gt;0,Z768,IF(N768 = 0,0,IF('חד גזעי'!$AM$2 = "לא",IF(F768&gt;19,W768,0),IF(F768&gt;9,Y768,0)))))</f>
        <v>0</v>
      </c>
      <c r="Q768" s="77"/>
      <c r="R768" s="76"/>
      <c r="S768" t="e">
        <f>VLOOKUP(C768,'חד גזעי'!$Y$4:$Y$18,1,0)</f>
        <v>#N/A</v>
      </c>
      <c r="T768" s="72">
        <f>IF('חד גזעי'!$AM$6="לא",IF(P768=0,IF(BC768="שימור",IF('חד גזעי'!$AM$4="לא",IF(BC768="לא בוגר",0,IF(BC768="לא קיים",0,IF(J768=0,0,I768*0.1))),IF(BC768="לא בוגר",0,IF(BC768="לא קיים",0,IF(AB768=1,I768*0.1,E768*0.5)))),0),IF('חד גזעי'!$AM$4="לא",IF(BC768="לא בוגר",0,IF(BC768="לא קיים",0,IF(J768=0,0,I768*0.1))),IF(BC768="לא בוגר",0,IF(BC768="לא קיים",0,IF(AB768=1,I768*0.1,E768*0.5))))),IF(P768=0,IF(BC768="שימור",IF('חד גזעי'!$AM$4="לא",IF(BC768="לא בוגר",0,IF(BC768="לא קיים",0,IF(J768=0,0,I768*0.15))),IF(BC768="לא בוגר",0,IF(BC768="לא קיים",0,IF(AB768=1,I768*0.15,E768*0.5)))),0),IF('חד גזעי'!$AM$4="לא",IF(BC768="לא בוגר",0,IF(BC768="לא קיים",0,IF(J768=0,0,I768*0.15))),IF(BC768="לא בוגר",0,IF(BC768="לא קיים",0,IF(AB768=1,I768*0.15,E768*0.5))))))</f>
        <v>0</v>
      </c>
      <c r="V768" t="e">
        <f t="shared" si="758"/>
        <v>#N/A</v>
      </c>
      <c r="W768" t="e">
        <f t="shared" si="759"/>
        <v>#N/A</v>
      </c>
      <c r="X768" t="e">
        <f t="shared" si="760"/>
        <v>#N/A</v>
      </c>
      <c r="Y768">
        <f>IF('חד גזעי'!$AM$2 = "לא",0,IF(F768&gt;9,W768,0))</f>
        <v>0</v>
      </c>
      <c r="Z768">
        <f>IF('חד גזעי'!$AM$7 = "לא",0,IF(C768 = "זית אירופי",IF('חד גזעי'!$AN$7 &lt;=סקר!F768,W768,0),IF(C768 = "חרוב מצוי",IF('חד גזעי'!$AN$7 &lt;=סקר!F768,W768,0),0)))</f>
        <v>0</v>
      </c>
      <c r="AB768">
        <f t="shared" si="786"/>
        <v>1</v>
      </c>
      <c r="AC768" s="72"/>
      <c r="AD768" t="e">
        <f>IF(AK768&gt;0,AK768,AF768)</f>
        <v>#N/A</v>
      </c>
      <c r="AE768" s="72"/>
      <c r="AF768" s="72" t="e">
        <f t="shared" si="787"/>
        <v>#N/A</v>
      </c>
      <c r="AG768" s="72" t="e">
        <f>IF('חד גזעי'!$AM$5="לא",(VLOOKUP(C768,'חד גזעי'!$P$1:$S$589,3,FALSE)),(VLOOKUP(C768,'חד גזעי'!$P$1:$S$589,4,FALSE)))</f>
        <v>#N/A</v>
      </c>
      <c r="AH768" s="72">
        <f t="shared" si="788"/>
        <v>0</v>
      </c>
      <c r="AI768" s="72">
        <f t="shared" si="789"/>
        <v>0</v>
      </c>
      <c r="AJ768" s="72">
        <f t="shared" si="790"/>
        <v>0</v>
      </c>
      <c r="AK768" s="72" t="e">
        <f t="shared" si="791"/>
        <v>#N/A</v>
      </c>
      <c r="AL768" t="e">
        <f>VLOOKUP(C768,'חד גזעי'!$AH$8:$AI$33,2,FALSE)</f>
        <v>#N/A</v>
      </c>
      <c r="AM768" s="72" t="b">
        <f t="shared" si="792"/>
        <v>0</v>
      </c>
      <c r="AN768" s="72" t="b">
        <f t="shared" si="793"/>
        <v>0</v>
      </c>
      <c r="AO768" s="72" t="b">
        <f t="shared" si="794"/>
        <v>0</v>
      </c>
      <c r="AS768" s="72">
        <f t="shared" si="795"/>
        <v>0</v>
      </c>
      <c r="AT768" s="72">
        <f t="shared" si="796"/>
        <v>0</v>
      </c>
      <c r="AU768" s="72">
        <f>IF(C768&gt;0,IF(D768&lt;2,1,D768),0)</f>
        <v>0</v>
      </c>
      <c r="AV768" s="72">
        <f t="shared" si="797"/>
        <v>0</v>
      </c>
      <c r="AW768" s="72">
        <f t="shared" si="798"/>
        <v>0</v>
      </c>
      <c r="AX768" s="72">
        <f t="shared" si="799"/>
        <v>0</v>
      </c>
      <c r="AY768" s="72">
        <f t="shared" si="800"/>
        <v>0</v>
      </c>
      <c r="AZ768" s="72">
        <f t="shared" si="801"/>
        <v>0</v>
      </c>
      <c r="BA768" s="72" t="e">
        <f t="shared" si="802"/>
        <v>#N/A</v>
      </c>
      <c r="BB768" s="72" t="e">
        <f t="shared" si="803"/>
        <v>#N/A</v>
      </c>
      <c r="BC768" s="77"/>
      <c r="BE768">
        <f t="shared" si="783"/>
        <v>0</v>
      </c>
      <c r="BF768" s="196"/>
      <c r="BG768" s="196"/>
      <c r="BH768" s="196"/>
      <c r="BI768" s="196"/>
      <c r="BJ768" s="196"/>
      <c r="BK768" s="196"/>
    </row>
    <row r="769" spans="1:63" ht="12.75" hidden="1" customHeight="1">
      <c r="B769" s="72"/>
      <c r="C769" s="135"/>
      <c r="D769" s="73"/>
      <c r="E769" s="73"/>
      <c r="F769" s="72"/>
      <c r="G769" s="72"/>
      <c r="H769" s="72"/>
      <c r="I769" s="73">
        <f t="shared" si="785"/>
        <v>0</v>
      </c>
      <c r="J769" s="73"/>
      <c r="K769" s="73"/>
      <c r="L769" s="74" t="e">
        <f>_xlfn.IFNA(VLOOKUP(C769,'חד גזעי'!$U$3:$V$509,2,0),VLOOKUP(C769,'חד גזעי'!$U$3:$V$509,2))</f>
        <v>#N/A</v>
      </c>
      <c r="M769" s="73"/>
      <c r="N769" s="72" t="e">
        <f>_xlfn.IFNA(IF(VLOOKUP(C769,'חד גזעי'!$AH$2:$AH$7,1,FALSE)&gt;0,0,IF('חד גזעי'!$AM$5="כן",IF(_xlfn.IFNA(VLOOKUP(C769,'חד גזעי'!$AH$2:$AH$33,1,FALSE),SUM(J769:M769))&lt;21,_xlfn.IFNA(VLOOKUP(C769,'חד גזעי'!$AH$2:$AH$33,1,FALSE),SUM(J769:M769)),0),SUM(J769:M769))),IF('חד גזעי'!$AM$5="כן",IF(_xlfn.IFNA(VLOOKUP(C769,'חד גזעי'!$AH$2:$AH$33,1,FALSE),SUM(J769:M769))&lt;21,_xlfn.IFNA(VLOOKUP(C769,'חד גזעי'!$AH$2:$AH$33,1,FALSE),SUM(J769:M769)),0),SUM(J769:M769)))</f>
        <v>#N/A</v>
      </c>
      <c r="O769" s="72">
        <f>IF('חד גזעי'!$AM$3 = "כן",IF(T769&gt;4,4,T769),T769)</f>
        <v>0</v>
      </c>
      <c r="P769" s="80">
        <f>IF(E769&lt;2,0,IF(Z769&gt;0,Z769,IF(N769 = 0,0,IF('חד גזעי'!$AM$2 = "לא",IF(F769&gt;19,W769,0),IF(F769&gt;9,Y769,0)))))</f>
        <v>0</v>
      </c>
      <c r="Q769" s="77"/>
      <c r="R769" s="76"/>
      <c r="S769" t="e">
        <f>VLOOKUP(C769,'חד גזעי'!$Y$4:$Y$18,1,0)</f>
        <v>#N/A</v>
      </c>
      <c r="T769" s="72">
        <f>IF('חד גזעי'!$AM$6="לא",IF(P769=0,IF(BC769="שימור",IF('חד גזעי'!$AM$4="לא",IF(BC769="לא בוגר",0,IF(BC769="לא קיים",0,IF(J769=0,0,I769*0.1))),IF(BC769="לא בוגר",0,IF(BC769="לא קיים",0,IF(AB769=1,I769*0.1,E769*0.5)))),0),IF('חד גזעי'!$AM$4="לא",IF(BC769="לא בוגר",0,IF(BC769="לא קיים",0,IF(J769=0,0,I769*0.1))),IF(BC769="לא בוגר",0,IF(BC769="לא קיים",0,IF(AB769=1,I769*0.1,E769*0.5))))),IF(P769=0,IF(BC769="שימור",IF('חד גזעי'!$AM$4="לא",IF(BC769="לא בוגר",0,IF(BC769="לא קיים",0,IF(J769=0,0,I769*0.15))),IF(BC769="לא בוגר",0,IF(BC769="לא קיים",0,IF(AB769=1,I769*0.15,E769*0.5)))),0),IF('חד גזעי'!$AM$4="לא",IF(BC769="לא בוגר",0,IF(BC769="לא קיים",0,IF(J769=0,0,I769*0.15))),IF(BC769="לא בוגר",0,IF(BC769="לא קיים",0,IF(AB769=1,I769*0.15,E769*0.5))))))</f>
        <v>0</v>
      </c>
      <c r="V769" t="e">
        <f t="shared" si="758"/>
        <v>#N/A</v>
      </c>
      <c r="W769" t="e">
        <f t="shared" si="759"/>
        <v>#N/A</v>
      </c>
      <c r="X769" t="e">
        <f t="shared" si="760"/>
        <v>#N/A</v>
      </c>
      <c r="Y769">
        <f>IF('חד גזעי'!$AM$2 = "לא",0,IF(F769&gt;9,W769,0))</f>
        <v>0</v>
      </c>
      <c r="Z769">
        <f>IF('חד גזעי'!$AM$7 = "לא",0,IF(C769 = "זית אירופי",IF('חד גזעי'!$AN$7 &lt;=סקר!F769,W769,0),IF(C769 = "חרוב מצוי",IF('חד גזעי'!$AN$7 &lt;=סקר!F769,W769,0),0)))</f>
        <v>0</v>
      </c>
      <c r="AB769">
        <f t="shared" si="786"/>
        <v>1</v>
      </c>
      <c r="AC769" s="72"/>
      <c r="AD769" t="e">
        <f t="shared" si="804"/>
        <v>#N/A</v>
      </c>
      <c r="AE769" s="72"/>
      <c r="AF769" s="72" t="e">
        <f t="shared" si="787"/>
        <v>#N/A</v>
      </c>
      <c r="AG769" s="72" t="e">
        <f>IF('חד גזעי'!$AM$5="לא",(VLOOKUP(C769,'חד גזעי'!$P$1:$S$589,3,FALSE)),(VLOOKUP(C769,'חד גזעי'!$P$1:$S$589,4,FALSE)))</f>
        <v>#N/A</v>
      </c>
      <c r="AH769" s="72">
        <f t="shared" si="788"/>
        <v>0</v>
      </c>
      <c r="AI769" s="72">
        <f t="shared" si="789"/>
        <v>0</v>
      </c>
      <c r="AJ769" s="72">
        <f t="shared" si="790"/>
        <v>0</v>
      </c>
      <c r="AK769" s="72" t="e">
        <f t="shared" si="791"/>
        <v>#N/A</v>
      </c>
      <c r="AL769" t="e">
        <f>VLOOKUP(C769,'חד גזעי'!$AH$8:$AI$33,2,FALSE)</f>
        <v>#N/A</v>
      </c>
      <c r="AM769" s="72" t="b">
        <f t="shared" si="792"/>
        <v>0</v>
      </c>
      <c r="AN769" s="72" t="b">
        <f t="shared" si="793"/>
        <v>0</v>
      </c>
      <c r="AO769" s="72" t="b">
        <f t="shared" si="794"/>
        <v>0</v>
      </c>
      <c r="AS769" s="72">
        <f t="shared" si="795"/>
        <v>0</v>
      </c>
      <c r="AT769" s="72">
        <f t="shared" si="796"/>
        <v>0</v>
      </c>
      <c r="AU769" s="72">
        <f t="shared" si="805"/>
        <v>0</v>
      </c>
      <c r="AV769" s="72">
        <f t="shared" si="797"/>
        <v>0</v>
      </c>
      <c r="AW769" s="72">
        <f t="shared" si="798"/>
        <v>0</v>
      </c>
      <c r="AX769" s="72">
        <f t="shared" si="799"/>
        <v>0</v>
      </c>
      <c r="AY769" s="72">
        <f t="shared" si="800"/>
        <v>0</v>
      </c>
      <c r="AZ769" s="72">
        <f t="shared" si="801"/>
        <v>0</v>
      </c>
      <c r="BA769" s="72" t="e">
        <f t="shared" si="802"/>
        <v>#N/A</v>
      </c>
      <c r="BB769" s="72" t="e">
        <f t="shared" si="803"/>
        <v>#N/A</v>
      </c>
      <c r="BC769" s="77"/>
      <c r="BE769">
        <f t="shared" si="783"/>
        <v>0</v>
      </c>
      <c r="BF769" s="196"/>
      <c r="BG769" s="196"/>
      <c r="BH769" s="196"/>
      <c r="BI769" s="196"/>
      <c r="BJ769" s="196"/>
      <c r="BK769" s="196"/>
    </row>
    <row r="770" spans="1:63" ht="12.75" hidden="1" customHeight="1">
      <c r="B770" s="72"/>
      <c r="C770" s="135"/>
      <c r="D770" s="73"/>
      <c r="E770" s="73"/>
      <c r="F770" s="72"/>
      <c r="G770" s="72"/>
      <c r="H770" s="72"/>
      <c r="I770" s="73">
        <f t="shared" si="785"/>
        <v>0</v>
      </c>
      <c r="J770" s="73"/>
      <c r="K770" s="73"/>
      <c r="L770" s="74" t="e">
        <f>_xlfn.IFNA(VLOOKUP(C770,'חד גזעי'!$U$3:$V$509,2,0),VLOOKUP(C770,'חד גזעי'!$U$3:$V$509,2))</f>
        <v>#N/A</v>
      </c>
      <c r="M770" s="73"/>
      <c r="N770" s="72" t="e">
        <f>_xlfn.IFNA(IF(VLOOKUP(C770,'חד גזעי'!$AH$2:$AH$7,1,FALSE)&gt;0,0,IF('חד גזעי'!$AM$5="כן",IF(_xlfn.IFNA(VLOOKUP(C770,'חד גזעי'!$AH$2:$AH$33,1,FALSE),SUM(J770:M770))&lt;21,_xlfn.IFNA(VLOOKUP(C770,'חד גזעי'!$AH$2:$AH$33,1,FALSE),SUM(J770:M770)),0),SUM(J770:M770))),IF('חד גזעי'!$AM$5="כן",IF(_xlfn.IFNA(VLOOKUP(C770,'חד גזעי'!$AH$2:$AH$33,1,FALSE),SUM(J770:M770))&lt;21,_xlfn.IFNA(VLOOKUP(C770,'חד גזעי'!$AH$2:$AH$33,1,FALSE),SUM(J770:M770)),0),SUM(J770:M770)))</f>
        <v>#N/A</v>
      </c>
      <c r="O770" s="72">
        <f>IF('חד גזעי'!$AM$3 = "כן",IF(T770&gt;4,4,T770),T770)</f>
        <v>0</v>
      </c>
      <c r="P770" s="80">
        <f>IF(E770&lt;2,0,IF(Z770&gt;0,Z770,IF(N770 = 0,0,IF('חד גזעי'!$AM$2 = "לא",IF(F770&gt;19,W770,0),IF(F770&gt;9,Y770,0)))))</f>
        <v>0</v>
      </c>
      <c r="Q770" s="77"/>
      <c r="R770" s="76"/>
      <c r="S770" t="e">
        <f>VLOOKUP(C770,'חד גזעי'!$Y$4:$Y$18,1,0)</f>
        <v>#N/A</v>
      </c>
      <c r="T770" s="72">
        <f>IF('חד גזעי'!$AM$6="לא",IF(P770=0,IF(BC770="שימור",IF('חד גזעי'!$AM$4="לא",IF(BC770="לא בוגר",0,IF(BC770="לא קיים",0,IF(J770=0,0,I770*0.1))),IF(BC770="לא בוגר",0,IF(BC770="לא קיים",0,IF(AB770=1,I770*0.1,E770*0.5)))),0),IF('חד גזעי'!$AM$4="לא",IF(BC770="לא בוגר",0,IF(BC770="לא קיים",0,IF(J770=0,0,I770*0.1))),IF(BC770="לא בוגר",0,IF(BC770="לא קיים",0,IF(AB770=1,I770*0.1,E770*0.5))))),IF(P770=0,IF(BC770="שימור",IF('חד גזעי'!$AM$4="לא",IF(BC770="לא בוגר",0,IF(BC770="לא קיים",0,IF(J770=0,0,I770*0.15))),IF(BC770="לא בוגר",0,IF(BC770="לא קיים",0,IF(AB770=1,I770*0.15,E770*0.5)))),0),IF('חד גזעי'!$AM$4="לא",IF(BC770="לא בוגר",0,IF(BC770="לא קיים",0,IF(J770=0,0,I770*0.15))),IF(BC770="לא בוגר",0,IF(BC770="לא קיים",0,IF(AB770=1,I770*0.15,E770*0.5))))))</f>
        <v>0</v>
      </c>
      <c r="V770" t="e">
        <f t="shared" si="758"/>
        <v>#N/A</v>
      </c>
      <c r="W770" t="e">
        <f t="shared" si="759"/>
        <v>#N/A</v>
      </c>
      <c r="X770" t="e">
        <f t="shared" si="760"/>
        <v>#N/A</v>
      </c>
      <c r="Y770">
        <f>IF('חד גזעי'!$AM$2 = "לא",0,IF(F770&gt;9,W770,0))</f>
        <v>0</v>
      </c>
      <c r="Z770">
        <f>IF('חד גזעי'!$AM$7 = "לא",0,IF(C770 = "זית אירופי",IF('חד גזעי'!$AN$7 &lt;=סקר!F770,W770,0),IF(C770 = "חרוב מצוי",IF('חד גזעי'!$AN$7 &lt;=סקר!F770,W770,0),0)))</f>
        <v>0</v>
      </c>
      <c r="AB770">
        <f t="shared" si="786"/>
        <v>1</v>
      </c>
      <c r="AC770" s="72"/>
      <c r="AD770" t="e">
        <f t="shared" si="804"/>
        <v>#N/A</v>
      </c>
      <c r="AE770" s="72"/>
      <c r="AF770" s="72" t="e">
        <f t="shared" si="787"/>
        <v>#N/A</v>
      </c>
      <c r="AG770" s="72" t="e">
        <f>IF('חד גזעי'!$AM$5="לא",(VLOOKUP(C770,'חד גזעי'!$P$1:$S$589,3,FALSE)),(VLOOKUP(C770,'חד גזעי'!$P$1:$S$589,4,FALSE)))</f>
        <v>#N/A</v>
      </c>
      <c r="AH770" s="72">
        <f t="shared" si="788"/>
        <v>0</v>
      </c>
      <c r="AI770" s="72">
        <f t="shared" si="789"/>
        <v>0</v>
      </c>
      <c r="AJ770" s="72">
        <f t="shared" si="790"/>
        <v>0</v>
      </c>
      <c r="AK770" s="72" t="e">
        <f t="shared" si="791"/>
        <v>#N/A</v>
      </c>
      <c r="AL770" t="e">
        <f>VLOOKUP(C770,'חד גזעי'!$AH$8:$AI$33,2,FALSE)</f>
        <v>#N/A</v>
      </c>
      <c r="AM770" s="72" t="b">
        <f t="shared" si="792"/>
        <v>0</v>
      </c>
      <c r="AN770" s="72" t="b">
        <f t="shared" si="793"/>
        <v>0</v>
      </c>
      <c r="AO770" s="72" t="b">
        <f t="shared" si="794"/>
        <v>0</v>
      </c>
      <c r="AS770" s="72">
        <f t="shared" si="795"/>
        <v>0</v>
      </c>
      <c r="AT770" s="72">
        <f t="shared" si="796"/>
        <v>0</v>
      </c>
      <c r="AU770" s="72">
        <f t="shared" si="805"/>
        <v>0</v>
      </c>
      <c r="AV770" s="72">
        <f t="shared" si="797"/>
        <v>0</v>
      </c>
      <c r="AW770" s="72">
        <f t="shared" si="798"/>
        <v>0</v>
      </c>
      <c r="AX770" s="72">
        <f t="shared" si="799"/>
        <v>0</v>
      </c>
      <c r="AY770" s="72">
        <f t="shared" si="800"/>
        <v>0</v>
      </c>
      <c r="AZ770" s="72">
        <f t="shared" si="801"/>
        <v>0</v>
      </c>
      <c r="BA770" s="72" t="e">
        <f t="shared" si="802"/>
        <v>#N/A</v>
      </c>
      <c r="BB770" s="72" t="e">
        <f t="shared" si="803"/>
        <v>#N/A</v>
      </c>
      <c r="BC770" s="77"/>
      <c r="BE770">
        <f t="shared" si="783"/>
        <v>0</v>
      </c>
      <c r="BF770" s="196"/>
      <c r="BG770" s="196"/>
      <c r="BH770" s="196"/>
      <c r="BI770" s="196"/>
      <c r="BJ770" s="196"/>
      <c r="BK770" s="196"/>
    </row>
    <row r="771" spans="1:63" hidden="1">
      <c r="B771" s="72"/>
      <c r="C771" s="135"/>
      <c r="D771" s="73"/>
      <c r="E771" s="73"/>
      <c r="F771" s="72"/>
      <c r="G771" s="72"/>
      <c r="H771" s="72"/>
      <c r="I771" s="73">
        <f t="shared" si="785"/>
        <v>0</v>
      </c>
      <c r="J771" s="73"/>
      <c r="K771" s="73"/>
      <c r="L771" s="74" t="e">
        <f>_xlfn.IFNA(VLOOKUP(C771,'חד גזעי'!$U$3:$V$509,2,0),VLOOKUP(C771,'חד גזעי'!$U$3:$V$509,2))</f>
        <v>#N/A</v>
      </c>
      <c r="M771" s="73"/>
      <c r="N771" s="72" t="e">
        <f>_xlfn.IFNA(IF(VLOOKUP(C771,'חד גזעי'!$AH$2:$AH$7,1,FALSE)&gt;0,0,IF('חד גזעי'!$AM$5="כן",IF(_xlfn.IFNA(VLOOKUP(C771,'חד גזעי'!$AH$2:$AH$33,1,FALSE),SUM(J771:M771))&lt;21,_xlfn.IFNA(VLOOKUP(C771,'חד גזעי'!$AH$2:$AH$33,1,FALSE),SUM(J771:M771)),0),SUM(J771:M771))),IF('חד גזעי'!$AM$5="כן",IF(_xlfn.IFNA(VLOOKUP(C771,'חד גזעי'!$AH$2:$AH$33,1,FALSE),SUM(J771:M771))&lt;21,_xlfn.IFNA(VLOOKUP(C771,'חד גזעי'!$AH$2:$AH$33,1,FALSE),SUM(J771:M771)),0),SUM(J771:M771)))</f>
        <v>#N/A</v>
      </c>
      <c r="O771" s="72">
        <f>IF('חד גזעי'!$AM$3 = "כן",IF(T771&gt;4,4,T771),T771)</f>
        <v>0</v>
      </c>
      <c r="P771" s="80">
        <f>IF(E771&lt;2,0,IF(Z771&gt;0,Z771,IF(N771 = 0,0,IF('חד גזעי'!$AM$2 = "לא",IF(F771&gt;19,W771,0),IF(F771&gt;9,Y771,0)))))</f>
        <v>0</v>
      </c>
      <c r="Q771" s="77"/>
      <c r="R771" s="76"/>
      <c r="S771" t="e">
        <f>VLOOKUP(C771,'חד גזעי'!$Y$4:$Y$18,1,0)</f>
        <v>#N/A</v>
      </c>
      <c r="T771" s="72">
        <f>IF('חד גזעי'!$AM$6="לא",IF(P771=0,IF(BC771="שימור",IF('חד גזעי'!$AM$4="לא",IF(BC771="לא בוגר",0,IF(BC771="לא קיים",0,IF(J771=0,0,I771*0.1))),IF(BC771="לא בוגר",0,IF(BC771="לא קיים",0,IF(AB771=1,I771*0.1,E771*0.5)))),0),IF('חד גזעי'!$AM$4="לא",IF(BC771="לא בוגר",0,IF(BC771="לא קיים",0,IF(J771=0,0,I771*0.1))),IF(BC771="לא בוגר",0,IF(BC771="לא קיים",0,IF(AB771=1,I771*0.1,E771*0.5))))),IF(P771=0,IF(BC771="שימור",IF('חד גזעי'!$AM$4="לא",IF(BC771="לא בוגר",0,IF(BC771="לא קיים",0,IF(J771=0,0,I771*0.15))),IF(BC771="לא בוגר",0,IF(BC771="לא קיים",0,IF(AB771=1,I771*0.15,E771*0.5)))),0),IF('חד גזעי'!$AM$4="לא",IF(BC771="לא בוגר",0,IF(BC771="לא קיים",0,IF(J771=0,0,I771*0.15))),IF(BC771="לא בוגר",0,IF(BC771="לא קיים",0,IF(AB771=1,I771*0.15,E771*0.5))))))</f>
        <v>0</v>
      </c>
      <c r="V771" t="e">
        <f t="shared" si="758"/>
        <v>#N/A</v>
      </c>
      <c r="W771" t="e">
        <f t="shared" si="759"/>
        <v>#N/A</v>
      </c>
      <c r="X771" t="e">
        <f t="shared" si="760"/>
        <v>#N/A</v>
      </c>
      <c r="Y771">
        <f>IF('חד גזעי'!$AM$2 = "לא",0,IF(F771&gt;9,W771,0))</f>
        <v>0</v>
      </c>
      <c r="Z771">
        <f>IF('חד גזעי'!$AM$7 = "לא",0,IF(C771 = "זית אירופי",IF('חד גזעי'!$AN$7 &lt;=סקר!F771,W771,0),IF(C771 = "חרוב מצוי",IF('חד גזעי'!$AN$7 &lt;=סקר!F771,W771,0),0)))</f>
        <v>0</v>
      </c>
      <c r="AB771">
        <f t="shared" si="786"/>
        <v>1</v>
      </c>
      <c r="AC771" s="72"/>
      <c r="AD771" t="e">
        <f t="shared" si="804"/>
        <v>#N/A</v>
      </c>
      <c r="AE771" s="72"/>
      <c r="AF771" s="72" t="e">
        <f t="shared" si="787"/>
        <v>#N/A</v>
      </c>
      <c r="AG771" s="72" t="e">
        <f>IF('חד גזעי'!$AM$5="לא",(VLOOKUP(C771,'חד גזעי'!$P$1:$S$589,3,FALSE)),(VLOOKUP(C771,'חד גזעי'!$P$1:$S$589,4,FALSE)))</f>
        <v>#N/A</v>
      </c>
      <c r="AH771" s="72">
        <f t="shared" si="788"/>
        <v>0</v>
      </c>
      <c r="AI771" s="72">
        <f t="shared" si="789"/>
        <v>0</v>
      </c>
      <c r="AJ771" s="72">
        <f t="shared" si="790"/>
        <v>0</v>
      </c>
      <c r="AK771" s="72" t="e">
        <f t="shared" si="791"/>
        <v>#N/A</v>
      </c>
      <c r="AL771" t="e">
        <f>VLOOKUP(C771,'חד גזעי'!$AH$8:$AI$33,2,FALSE)</f>
        <v>#N/A</v>
      </c>
      <c r="AM771" s="72" t="b">
        <f t="shared" si="792"/>
        <v>0</v>
      </c>
      <c r="AN771" s="72" t="b">
        <f t="shared" si="793"/>
        <v>0</v>
      </c>
      <c r="AO771" s="72" t="b">
        <f t="shared" si="794"/>
        <v>0</v>
      </c>
      <c r="AS771" s="72">
        <f t="shared" si="795"/>
        <v>0</v>
      </c>
      <c r="AT771" s="72">
        <f t="shared" si="796"/>
        <v>0</v>
      </c>
      <c r="AU771" s="72">
        <f t="shared" si="805"/>
        <v>0</v>
      </c>
      <c r="AV771" s="72">
        <f t="shared" si="797"/>
        <v>0</v>
      </c>
      <c r="AW771" s="72">
        <f t="shared" si="798"/>
        <v>0</v>
      </c>
      <c r="AX771" s="72">
        <f t="shared" si="799"/>
        <v>0</v>
      </c>
      <c r="AY771" s="72">
        <f t="shared" si="800"/>
        <v>0</v>
      </c>
      <c r="AZ771" s="72">
        <f t="shared" si="801"/>
        <v>0</v>
      </c>
      <c r="BA771" s="72" t="e">
        <f t="shared" si="802"/>
        <v>#N/A</v>
      </c>
      <c r="BB771" s="72" t="e">
        <f t="shared" si="803"/>
        <v>#N/A</v>
      </c>
      <c r="BC771" s="77"/>
      <c r="BE771">
        <f t="shared" si="783"/>
        <v>0</v>
      </c>
      <c r="BF771" s="196"/>
      <c r="BG771" s="196"/>
      <c r="BH771" s="196"/>
      <c r="BI771" s="196"/>
      <c r="BJ771" s="196"/>
      <c r="BK771" s="196"/>
    </row>
    <row r="772" spans="1:63" hidden="1">
      <c r="B772" s="72"/>
      <c r="C772" s="135"/>
      <c r="D772" s="73"/>
      <c r="E772" s="73"/>
      <c r="F772" s="72"/>
      <c r="G772" s="72"/>
      <c r="H772" s="72"/>
      <c r="I772" s="73">
        <f t="shared" si="785"/>
        <v>0</v>
      </c>
      <c r="J772" s="73"/>
      <c r="K772" s="73"/>
      <c r="L772" s="74" t="e">
        <f>_xlfn.IFNA(VLOOKUP(C772,'חד גזעי'!$U$3:$V$509,2,0),VLOOKUP(C772,'חד גזעי'!$U$3:$V$509,2))</f>
        <v>#N/A</v>
      </c>
      <c r="M772" s="73"/>
      <c r="N772" s="72" t="e">
        <f>_xlfn.IFNA(IF(VLOOKUP(C772,'חד גזעי'!$AH$2:$AH$7,1,FALSE)&gt;0,0,IF('חד גזעי'!$AM$5="כן",IF(_xlfn.IFNA(VLOOKUP(C772,'חד גזעי'!$AH$2:$AH$33,1,FALSE),SUM(J772:M772))&lt;21,_xlfn.IFNA(VLOOKUP(C772,'חד גזעי'!$AH$2:$AH$33,1,FALSE),SUM(J772:M772)),0),SUM(J772:M772))),IF('חד גזעי'!$AM$5="כן",IF(_xlfn.IFNA(VLOOKUP(C772,'חד גזעי'!$AH$2:$AH$33,1,FALSE),SUM(J772:M772))&lt;21,_xlfn.IFNA(VLOOKUP(C772,'חד גזעי'!$AH$2:$AH$33,1,FALSE),SUM(J772:M772)),0),SUM(J772:M772)))</f>
        <v>#N/A</v>
      </c>
      <c r="O772" s="72">
        <f>IF('חד גזעי'!$AM$3 = "כן",IF(T772&gt;4,4,T772),T772)</f>
        <v>0</v>
      </c>
      <c r="P772" s="80">
        <f>IF(E772&lt;2,0,IF(Z772&gt;0,Z772,IF(N772 = 0,0,IF('חד גזעי'!$AM$2 = "לא",IF(F772&gt;19,W772,0),IF(F772&gt;9,Y772,0)))))</f>
        <v>0</v>
      </c>
      <c r="Q772" s="77"/>
      <c r="R772" s="76"/>
      <c r="S772" t="e">
        <f>VLOOKUP(C772,'חד גזעי'!$Y$4:$Y$18,1,0)</f>
        <v>#N/A</v>
      </c>
      <c r="T772" s="72">
        <f>IF('חד גזעי'!$AM$6="לא",IF(P772=0,IF(BC772="שימור",IF('חד גזעי'!$AM$4="לא",IF(BC772="לא בוגר",0,IF(BC772="לא קיים",0,IF(J772=0,0,I772*0.1))),IF(BC772="לא בוגר",0,IF(BC772="לא קיים",0,IF(AB772=1,I772*0.1,E772*0.5)))),0),IF('חד גזעי'!$AM$4="לא",IF(BC772="לא בוגר",0,IF(BC772="לא קיים",0,IF(J772=0,0,I772*0.1))),IF(BC772="לא בוגר",0,IF(BC772="לא קיים",0,IF(AB772=1,I772*0.1,E772*0.5))))),IF(P772=0,IF(BC772="שימור",IF('חד גזעי'!$AM$4="לא",IF(BC772="לא בוגר",0,IF(BC772="לא קיים",0,IF(J772=0,0,I772*0.15))),IF(BC772="לא בוגר",0,IF(BC772="לא קיים",0,IF(AB772=1,I772*0.15,E772*0.5)))),0),IF('חד גזעי'!$AM$4="לא",IF(BC772="לא בוגר",0,IF(BC772="לא קיים",0,IF(J772=0,0,I772*0.15))),IF(BC772="לא בוגר",0,IF(BC772="לא קיים",0,IF(AB772=1,I772*0.15,E772*0.5))))))</f>
        <v>0</v>
      </c>
      <c r="V772" t="e">
        <f t="shared" si="758"/>
        <v>#N/A</v>
      </c>
      <c r="W772" t="e">
        <f t="shared" si="759"/>
        <v>#N/A</v>
      </c>
      <c r="X772" t="e">
        <f t="shared" si="760"/>
        <v>#N/A</v>
      </c>
      <c r="Y772">
        <f>IF('חד גזעי'!$AM$2 = "לא",0,IF(F772&gt;9,W772,0))</f>
        <v>0</v>
      </c>
      <c r="Z772">
        <f>IF('חד גזעי'!$AM$7 = "לא",0,IF(C772 = "זית אירופי",IF('חד גזעי'!$AN$7 &lt;=סקר!F772,W772,0),IF(C772 = "חרוב מצוי",IF('חד גזעי'!$AN$7 &lt;=סקר!F772,W772,0),0)))</f>
        <v>0</v>
      </c>
      <c r="AB772">
        <f t="shared" si="786"/>
        <v>1</v>
      </c>
      <c r="AC772" s="72"/>
      <c r="AD772" t="e">
        <f t="shared" si="804"/>
        <v>#N/A</v>
      </c>
      <c r="AE772" s="72"/>
      <c r="AF772" s="72" t="e">
        <f t="shared" si="787"/>
        <v>#N/A</v>
      </c>
      <c r="AG772" s="72" t="e">
        <f>IF('חד גזעי'!$AM$5="לא",(VLOOKUP(C772,'חד גזעי'!$P$1:$S$589,3,FALSE)),(VLOOKUP(C772,'חד גזעי'!$P$1:$S$589,4,FALSE)))</f>
        <v>#N/A</v>
      </c>
      <c r="AH772" s="72">
        <f t="shared" si="788"/>
        <v>0</v>
      </c>
      <c r="AI772" s="72">
        <f t="shared" si="789"/>
        <v>0</v>
      </c>
      <c r="AJ772" s="72">
        <f t="shared" si="790"/>
        <v>0</v>
      </c>
      <c r="AK772" s="72" t="e">
        <f t="shared" si="791"/>
        <v>#N/A</v>
      </c>
      <c r="AL772" t="e">
        <f>VLOOKUP(C772,'חד גזעי'!$AH$8:$AI$33,2,FALSE)</f>
        <v>#N/A</v>
      </c>
      <c r="AM772" s="72" t="b">
        <f t="shared" si="792"/>
        <v>0</v>
      </c>
      <c r="AN772" s="72" t="b">
        <f t="shared" si="793"/>
        <v>0</v>
      </c>
      <c r="AO772" s="72" t="b">
        <f t="shared" si="794"/>
        <v>0</v>
      </c>
      <c r="AS772" s="72">
        <f t="shared" si="795"/>
        <v>0</v>
      </c>
      <c r="AT772" s="72">
        <f t="shared" si="796"/>
        <v>0</v>
      </c>
      <c r="AU772" s="72">
        <f t="shared" si="805"/>
        <v>0</v>
      </c>
      <c r="AV772" s="72">
        <f t="shared" si="797"/>
        <v>0</v>
      </c>
      <c r="AW772" s="72">
        <f t="shared" si="798"/>
        <v>0</v>
      </c>
      <c r="AX772" s="72">
        <f t="shared" si="799"/>
        <v>0</v>
      </c>
      <c r="AY772" s="72">
        <f t="shared" si="800"/>
        <v>0</v>
      </c>
      <c r="AZ772" s="72">
        <f t="shared" si="801"/>
        <v>0</v>
      </c>
      <c r="BA772" s="72" t="e">
        <f t="shared" si="802"/>
        <v>#N/A</v>
      </c>
      <c r="BB772" s="72" t="e">
        <f t="shared" si="803"/>
        <v>#N/A</v>
      </c>
      <c r="BC772" s="77"/>
      <c r="BE772">
        <f t="shared" si="783"/>
        <v>0</v>
      </c>
      <c r="BF772" s="196"/>
      <c r="BG772" s="196"/>
      <c r="BH772" s="196"/>
      <c r="BI772" s="196"/>
      <c r="BJ772" s="196"/>
      <c r="BK772" s="196"/>
    </row>
    <row r="773" spans="1:63" hidden="1">
      <c r="B773" s="72"/>
      <c r="C773" s="135"/>
      <c r="D773" s="73"/>
      <c r="E773" s="73"/>
      <c r="F773" s="72"/>
      <c r="G773" s="72"/>
      <c r="H773" s="72"/>
      <c r="I773" s="73">
        <f t="shared" si="785"/>
        <v>0</v>
      </c>
      <c r="J773" s="73"/>
      <c r="K773" s="73"/>
      <c r="L773" s="74" t="e">
        <f>_xlfn.IFNA(VLOOKUP(C773,'חד גזעי'!$U$3:$V$509,2,0),VLOOKUP(C773,'חד גזעי'!$U$3:$V$509,2))</f>
        <v>#N/A</v>
      </c>
      <c r="M773" s="73"/>
      <c r="N773" s="72" t="e">
        <f>_xlfn.IFNA(IF(VLOOKUP(C773,'חד גזעי'!$AH$2:$AH$7,1,FALSE)&gt;0,0,IF('חד גזעי'!$AM$5="כן",IF(_xlfn.IFNA(VLOOKUP(C773,'חד גזעי'!$AH$2:$AH$33,1,FALSE),SUM(J773:M773))&lt;21,_xlfn.IFNA(VLOOKUP(C773,'חד גזעי'!$AH$2:$AH$33,1,FALSE),SUM(J773:M773)),0),SUM(J773:M773))),IF('חד גזעי'!$AM$5="כן",IF(_xlfn.IFNA(VLOOKUP(C773,'חד גזעי'!$AH$2:$AH$33,1,FALSE),SUM(J773:M773))&lt;21,_xlfn.IFNA(VLOOKUP(C773,'חד גזעי'!$AH$2:$AH$33,1,FALSE),SUM(J773:M773)),0),SUM(J773:M773)))</f>
        <v>#N/A</v>
      </c>
      <c r="O773" s="72">
        <f>IF('חד גזעי'!$AM$3 = "כן",IF(T773&gt;4,4,T773),T773)</f>
        <v>0</v>
      </c>
      <c r="P773" s="80">
        <f>IF(E773&lt;2,0,IF(Z773&gt;0,Z773,IF(N773 = 0,0,IF('חד גזעי'!$AM$2 = "לא",IF(F773&gt;19,W773,0),IF(F773&gt;9,Y773,0)))))</f>
        <v>0</v>
      </c>
      <c r="Q773" s="77"/>
      <c r="R773" s="76"/>
      <c r="S773" t="e">
        <f>VLOOKUP(C773,'חד גזעי'!$Y$4:$Y$18,1,0)</f>
        <v>#N/A</v>
      </c>
      <c r="T773" s="72">
        <f>IF('חד גזעי'!$AM$6="לא",IF(P773=0,IF(BC773="שימור",IF('חד גזעי'!$AM$4="לא",IF(BC773="לא בוגר",0,IF(BC773="לא קיים",0,IF(J773=0,0,I773*0.1))),IF(BC773="לא בוגר",0,IF(BC773="לא קיים",0,IF(AB773=1,I773*0.1,E773*0.5)))),0),IF('חד גזעי'!$AM$4="לא",IF(BC773="לא בוגר",0,IF(BC773="לא קיים",0,IF(J773=0,0,I773*0.1))),IF(BC773="לא בוגר",0,IF(BC773="לא קיים",0,IF(AB773=1,I773*0.1,E773*0.5))))),IF(P773=0,IF(BC773="שימור",IF('חד גזעי'!$AM$4="לא",IF(BC773="לא בוגר",0,IF(BC773="לא קיים",0,IF(J773=0,0,I773*0.15))),IF(BC773="לא בוגר",0,IF(BC773="לא קיים",0,IF(AB773=1,I773*0.15,E773*0.5)))),0),IF('חד גזעי'!$AM$4="לא",IF(BC773="לא בוגר",0,IF(BC773="לא קיים",0,IF(J773=0,0,I773*0.15))),IF(BC773="לא בוגר",0,IF(BC773="לא קיים",0,IF(AB773=1,I773*0.15,E773*0.5))))))</f>
        <v>0</v>
      </c>
      <c r="V773" t="e">
        <f t="shared" si="758"/>
        <v>#N/A</v>
      </c>
      <c r="W773" t="e">
        <f t="shared" si="759"/>
        <v>#N/A</v>
      </c>
      <c r="X773" t="e">
        <f t="shared" si="760"/>
        <v>#N/A</v>
      </c>
      <c r="Y773">
        <f>IF('חד גזעי'!$AM$2 = "לא",0,IF(F773&gt;9,W773,0))</f>
        <v>0</v>
      </c>
      <c r="Z773">
        <f>IF('חד גזעי'!$AM$7 = "לא",0,IF(C773 = "זית אירופי",IF('חד גזעי'!$AN$7 &lt;=סקר!F773,W773,0),IF(C773 = "חרוב מצוי",IF('חד גזעי'!$AN$7 &lt;=סקר!F773,W773,0),0)))</f>
        <v>0</v>
      </c>
      <c r="AB773">
        <f t="shared" si="786"/>
        <v>1</v>
      </c>
      <c r="AC773" s="72"/>
      <c r="AD773" t="e">
        <f t="shared" si="804"/>
        <v>#N/A</v>
      </c>
      <c r="AE773" s="72"/>
      <c r="AF773" s="72" t="e">
        <f t="shared" si="787"/>
        <v>#N/A</v>
      </c>
      <c r="AG773" s="72" t="e">
        <f>IF('חד גזעי'!$AM$5="לא",(VLOOKUP(C773,'חד גזעי'!$P$1:$S$589,3,FALSE)),(VLOOKUP(C773,'חד גזעי'!$P$1:$S$589,4,FALSE)))</f>
        <v>#N/A</v>
      </c>
      <c r="AH773" s="72">
        <f t="shared" si="788"/>
        <v>0</v>
      </c>
      <c r="AI773" s="72">
        <f t="shared" si="789"/>
        <v>0</v>
      </c>
      <c r="AJ773" s="72">
        <f t="shared" si="790"/>
        <v>0</v>
      </c>
      <c r="AK773" s="72" t="e">
        <f t="shared" si="791"/>
        <v>#N/A</v>
      </c>
      <c r="AL773" t="e">
        <f>VLOOKUP(C773,'חד גזעי'!$AH$8:$AI$33,2,FALSE)</f>
        <v>#N/A</v>
      </c>
      <c r="AM773" s="72" t="b">
        <f t="shared" si="792"/>
        <v>0</v>
      </c>
      <c r="AN773" s="72" t="b">
        <f t="shared" si="793"/>
        <v>0</v>
      </c>
      <c r="AO773" s="72" t="b">
        <f t="shared" si="794"/>
        <v>0</v>
      </c>
      <c r="AS773" s="72">
        <f t="shared" si="795"/>
        <v>0</v>
      </c>
      <c r="AT773" s="72">
        <f t="shared" si="796"/>
        <v>0</v>
      </c>
      <c r="AU773" s="72">
        <f t="shared" si="805"/>
        <v>0</v>
      </c>
      <c r="AV773" s="72">
        <f t="shared" si="797"/>
        <v>0</v>
      </c>
      <c r="AW773" s="72">
        <f t="shared" si="798"/>
        <v>0</v>
      </c>
      <c r="AX773" s="72">
        <f t="shared" si="799"/>
        <v>0</v>
      </c>
      <c r="AY773" s="72">
        <f t="shared" si="800"/>
        <v>0</v>
      </c>
      <c r="AZ773" s="72">
        <f t="shared" si="801"/>
        <v>0</v>
      </c>
      <c r="BA773" s="72" t="e">
        <f t="shared" si="802"/>
        <v>#N/A</v>
      </c>
      <c r="BB773" s="72" t="e">
        <f t="shared" si="803"/>
        <v>#N/A</v>
      </c>
      <c r="BC773" s="77"/>
      <c r="BE773">
        <f t="shared" si="783"/>
        <v>0</v>
      </c>
      <c r="BF773" s="196"/>
      <c r="BG773" s="196"/>
      <c r="BH773" s="196"/>
      <c r="BI773" s="196"/>
      <c r="BJ773" s="196"/>
      <c r="BK773" s="196"/>
    </row>
    <row r="774" spans="1:63" hidden="1">
      <c r="B774" s="72"/>
      <c r="C774" s="135"/>
      <c r="D774" s="73"/>
      <c r="E774" s="73"/>
      <c r="F774" s="72"/>
      <c r="G774" s="72"/>
      <c r="H774" s="72"/>
      <c r="I774" s="73">
        <f t="shared" si="785"/>
        <v>0</v>
      </c>
      <c r="J774" s="73"/>
      <c r="K774" s="73"/>
      <c r="L774" s="74" t="e">
        <f>_xlfn.IFNA(VLOOKUP(C774,'חד גזעי'!$U$3:$V$509,2,0),VLOOKUP(C774,'חד גזעי'!$U$3:$V$509,2))</f>
        <v>#N/A</v>
      </c>
      <c r="M774" s="73"/>
      <c r="N774" s="72" t="e">
        <f>_xlfn.IFNA(IF(VLOOKUP(C774,'חד גזעי'!$AH$2:$AH$7,1,FALSE)&gt;0,0,IF('חד גזעי'!$AM$5="כן",IF(_xlfn.IFNA(VLOOKUP(C774,'חד גזעי'!$AH$2:$AH$33,1,FALSE),SUM(J774:M774))&lt;21,_xlfn.IFNA(VLOOKUP(C774,'חד גזעי'!$AH$2:$AH$33,1,FALSE),SUM(J774:M774)),0),SUM(J774:M774))),IF('חד גזעי'!$AM$5="כן",IF(_xlfn.IFNA(VLOOKUP(C774,'חד גזעי'!$AH$2:$AH$33,1,FALSE),SUM(J774:M774))&lt;21,_xlfn.IFNA(VLOOKUP(C774,'חד גזעי'!$AH$2:$AH$33,1,FALSE),SUM(J774:M774)),0),SUM(J774:M774)))</f>
        <v>#N/A</v>
      </c>
      <c r="O774" s="72">
        <f>IF('חד גזעי'!$AM$3 = "כן",IF(T774&gt;4,4,T774),T774)</f>
        <v>0</v>
      </c>
      <c r="P774" s="80">
        <f>IF(E774&lt;2,0,IF(Z774&gt;0,Z774,IF(N774 = 0,0,IF('חד גזעי'!$AM$2 = "לא",IF(F774&gt;19,W774,0),IF(F774&gt;9,Y774,0)))))</f>
        <v>0</v>
      </c>
      <c r="Q774" s="77"/>
      <c r="R774" s="76"/>
      <c r="S774" t="e">
        <f>VLOOKUP(C774,'חד גזעי'!$Y$4:$Y$18,1,0)</f>
        <v>#N/A</v>
      </c>
      <c r="T774" s="72">
        <f>IF('חד גזעי'!$AM$6="לא",IF(P774=0,IF(BC774="שימור",IF('חד גזעי'!$AM$4="לא",IF(BC774="לא בוגר",0,IF(BC774="לא קיים",0,IF(J774=0,0,I774*0.1))),IF(BC774="לא בוגר",0,IF(BC774="לא קיים",0,IF(AB774=1,I774*0.1,E774*0.5)))),0),IF('חד גזעי'!$AM$4="לא",IF(BC774="לא בוגר",0,IF(BC774="לא קיים",0,IF(J774=0,0,I774*0.1))),IF(BC774="לא בוגר",0,IF(BC774="לא קיים",0,IF(AB774=1,I774*0.1,E774*0.5))))),IF(P774=0,IF(BC774="שימור",IF('חד גזעי'!$AM$4="לא",IF(BC774="לא בוגר",0,IF(BC774="לא קיים",0,IF(J774=0,0,I774*0.15))),IF(BC774="לא בוגר",0,IF(BC774="לא קיים",0,IF(AB774=1,I774*0.15,E774*0.5)))),0),IF('חד גזעי'!$AM$4="לא",IF(BC774="לא בוגר",0,IF(BC774="לא קיים",0,IF(J774=0,0,I774*0.15))),IF(BC774="לא בוגר",0,IF(BC774="לא קיים",0,IF(AB774=1,I774*0.15,E774*0.5))))))</f>
        <v>0</v>
      </c>
      <c r="V774" t="e">
        <f t="shared" si="758"/>
        <v>#N/A</v>
      </c>
      <c r="W774" t="e">
        <f t="shared" si="759"/>
        <v>#N/A</v>
      </c>
      <c r="X774" t="e">
        <f t="shared" si="760"/>
        <v>#N/A</v>
      </c>
      <c r="Y774">
        <f>IF('חד גזעי'!$AM$2 = "לא",0,IF(F774&gt;9,W774,0))</f>
        <v>0</v>
      </c>
      <c r="Z774">
        <f>IF('חד גזעי'!$AM$7 = "לא",0,IF(C774 = "זית אירופי",IF('חד גזעי'!$AN$7 &lt;=סקר!F774,W774,0),IF(C774 = "חרוב מצוי",IF('חד גזעי'!$AN$7 &lt;=סקר!F774,W774,0),0)))</f>
        <v>0</v>
      </c>
      <c r="AB774">
        <f t="shared" si="786"/>
        <v>1</v>
      </c>
      <c r="AC774" s="72"/>
      <c r="AD774" t="e">
        <f t="shared" si="804"/>
        <v>#N/A</v>
      </c>
      <c r="AE774" s="72"/>
      <c r="AF774" s="72" t="e">
        <f t="shared" si="787"/>
        <v>#N/A</v>
      </c>
      <c r="AG774" s="72" t="e">
        <f>IF('חד גזעי'!$AM$5="לא",(VLOOKUP(C774,'חד גזעי'!$P$1:$S$589,3,FALSE)),(VLOOKUP(C774,'חד גזעי'!$P$1:$S$589,4,FALSE)))</f>
        <v>#N/A</v>
      </c>
      <c r="AH774" s="72">
        <f t="shared" si="788"/>
        <v>0</v>
      </c>
      <c r="AI774" s="72">
        <f t="shared" si="789"/>
        <v>0</v>
      </c>
      <c r="AJ774" s="72">
        <f t="shared" si="790"/>
        <v>0</v>
      </c>
      <c r="AK774" s="72" t="e">
        <f t="shared" si="791"/>
        <v>#N/A</v>
      </c>
      <c r="AL774" t="e">
        <f>VLOOKUP(C774,'חד גזעי'!$AH$8:$AI$33,2,FALSE)</f>
        <v>#N/A</v>
      </c>
      <c r="AM774" s="72" t="b">
        <f t="shared" si="792"/>
        <v>0</v>
      </c>
      <c r="AN774" s="72" t="b">
        <f t="shared" si="793"/>
        <v>0</v>
      </c>
      <c r="AO774" s="72" t="b">
        <f t="shared" si="794"/>
        <v>0</v>
      </c>
      <c r="AS774" s="72">
        <f t="shared" si="795"/>
        <v>0</v>
      </c>
      <c r="AT774" s="72">
        <f t="shared" si="796"/>
        <v>0</v>
      </c>
      <c r="AU774" s="72">
        <f t="shared" si="805"/>
        <v>0</v>
      </c>
      <c r="AV774" s="72">
        <f t="shared" si="797"/>
        <v>0</v>
      </c>
      <c r="AW774" s="72">
        <f t="shared" si="798"/>
        <v>0</v>
      </c>
      <c r="AX774" s="72">
        <f t="shared" si="799"/>
        <v>0</v>
      </c>
      <c r="AY774" s="72">
        <f t="shared" si="800"/>
        <v>0</v>
      </c>
      <c r="AZ774" s="72">
        <f t="shared" si="801"/>
        <v>0</v>
      </c>
      <c r="BA774" s="72" t="e">
        <f t="shared" si="802"/>
        <v>#N/A</v>
      </c>
      <c r="BB774" s="72" t="e">
        <f t="shared" si="803"/>
        <v>#N/A</v>
      </c>
      <c r="BC774" s="77"/>
      <c r="BE774">
        <f t="shared" si="783"/>
        <v>0</v>
      </c>
      <c r="BF774" s="196"/>
      <c r="BG774" s="196"/>
      <c r="BH774" s="196"/>
      <c r="BI774" s="196"/>
      <c r="BJ774" s="196"/>
      <c r="BK774" s="196"/>
    </row>
    <row r="775" spans="1:63" ht="14.25" hidden="1">
      <c r="B775" s="71"/>
      <c r="C775" s="69"/>
      <c r="Q775" s="86"/>
      <c r="T775" s="72">
        <f>IF('חד גזעי'!$AM$6="לא",IF(P775=0,IF(BC775="שימור",IF('חד גזעי'!$AM$4="לא",IF(BC775="לא בוגר",0,IF(BC775="לא קיים",0,IF(J775=0,0,I775*0.1))),IF(BC775="לא בוגר",0,IF(BC775="לא קיים",0,IF(AB775=1,I775*0.1,E775*0.5)))),0),IF('חד גזעי'!$AM$4="לא",IF(BC775="לא בוגר",0,IF(BC775="לא קיים",0,IF(J775=0,0,I775*0.1))),IF(BC775="לא בוגר",0,IF(BC775="לא קיים",0,IF(AB775=1,I775*0.1,E775*0.5))))),IF(P775=0,IF(BC775="שימור",IF('חד גזעי'!$AM$4="לא",IF(BC775="לא בוגר",0,IF(BC775="לא קיים",0,IF(J775=0,0,I775*0.15))),IF(BC775="לא בוגר",0,IF(BC775="לא קיים",0,IF(AB775=1,I775*0.15,E775*0.5)))),0),IF('חד גזעי'!$AM$4="לא",IF(BC775="לא בוגר",0,IF(BC775="לא קיים",0,IF(J775=0,0,I775*0.15))),IF(BC775="לא בוגר",0,IF(BC775="לא קיים",0,IF(AB775=1,I775*0.15,E775*0.5))))))</f>
        <v>0</v>
      </c>
      <c r="V775">
        <f t="shared" si="758"/>
        <v>0</v>
      </c>
      <c r="W775">
        <f t="shared" si="759"/>
        <v>0</v>
      </c>
      <c r="X775">
        <f t="shared" si="760"/>
        <v>0</v>
      </c>
      <c r="Y775">
        <f>IF('חד גזעי'!$AM$2 = "לא",0,IF(F775&gt;9,W775,0))</f>
        <v>0</v>
      </c>
      <c r="Z775">
        <f>IF('חד גזעי'!$AM$7 = "לא",0,IF(C775 = "זית אירופי",IF('חד גזעי'!$AN$7 &lt;=סקר!F775,W775,0),IF(C775 = "חרוב מצוי",IF('חד גזעי'!$AN$7 &lt;=סקר!F775,W775,0),0)))</f>
        <v>0</v>
      </c>
      <c r="AD775" s="69" t="s">
        <v>807</v>
      </c>
      <c r="BE775">
        <f t="shared" si="783"/>
        <v>0</v>
      </c>
      <c r="BF775" s="196"/>
      <c r="BG775" s="196"/>
      <c r="BH775" s="196"/>
      <c r="BI775" s="196"/>
      <c r="BJ775" s="196"/>
      <c r="BK775" s="196"/>
    </row>
    <row r="776" spans="1:63" ht="14.25" hidden="1">
      <c r="A776" s="129"/>
      <c r="B776" s="132"/>
      <c r="C776" s="133"/>
      <c r="D776" s="129"/>
      <c r="E776" s="129"/>
      <c r="F776" s="129"/>
      <c r="G776" s="129"/>
      <c r="H776" s="129"/>
      <c r="I776" s="129"/>
      <c r="J776" s="129"/>
      <c r="K776" s="129"/>
      <c r="L776" s="129"/>
      <c r="M776" s="129"/>
      <c r="N776" s="129"/>
      <c r="O776" s="129"/>
      <c r="P776" s="129"/>
      <c r="Q776" s="134"/>
      <c r="R776" s="129"/>
      <c r="S776" s="129"/>
      <c r="T776" s="72">
        <f>IF('חד גזעי'!$AM$6="לא",IF(P776=0,IF(BC776="שימור",IF('חד גזעי'!$AM$4="לא",IF(BC776="לא בוגר",0,IF(BC776="לא קיים",0,IF(J776=0,0,I776*0.1))),IF(BC776="לא בוגר",0,IF(BC776="לא קיים",0,IF(AB776=1,I776*0.1,E776*0.5)))),0),IF('חד גזעי'!$AM$4="לא",IF(BC776="לא בוגר",0,IF(BC776="לא קיים",0,IF(J776=0,0,I776*0.1))),IF(BC776="לא בוגר",0,IF(BC776="לא קיים",0,IF(AB776=1,I776*0.1,E776*0.5))))),IF(P776=0,IF(BC776="שימור",IF('חד גזעי'!$AM$4="לא",IF(BC776="לא בוגר",0,IF(BC776="לא קיים",0,IF(J776=0,0,I776*0.15))),IF(BC776="לא בוגר",0,IF(BC776="לא קיים",0,IF(AB776=1,I776*0.15,E776*0.5)))),0),IF('חד גזעי'!$AM$4="לא",IF(BC776="לא בוגר",0,IF(BC776="לא קיים",0,IF(J776=0,0,I776*0.15))),IF(BC776="לא בוגר",0,IF(BC776="לא קיים",0,IF(AB776=1,I776*0.15,E776*0.5))))))</f>
        <v>0</v>
      </c>
      <c r="U776" s="129"/>
      <c r="V776">
        <f t="shared" si="758"/>
        <v>0</v>
      </c>
      <c r="W776">
        <f t="shared" si="759"/>
        <v>0</v>
      </c>
      <c r="X776">
        <f t="shared" si="760"/>
        <v>0</v>
      </c>
      <c r="Y776">
        <f>IF('חד גזעי'!$AM$2 = "לא",0,IF(F776&gt;9,W776,0))</f>
        <v>0</v>
      </c>
      <c r="Z776">
        <f>IF('חד גזעי'!$AM$7 = "לא",0,IF(C776 = "זית אירופי",IF('חד גזעי'!$AN$7 &lt;=סקר!F776,W776,0),IF(C776 = "חרוב מצוי",IF('חד גזעי'!$AN$7 &lt;=סקר!F776,W776,0),0)))</f>
        <v>0</v>
      </c>
      <c r="AA776" s="129"/>
      <c r="AB776" s="129"/>
      <c r="AC776" s="129"/>
      <c r="AD776" s="133"/>
      <c r="AE776" s="129"/>
      <c r="AF776" s="129"/>
      <c r="AG776" s="129"/>
      <c r="AH776" s="129"/>
      <c r="AI776" s="129"/>
      <c r="AJ776" s="129"/>
      <c r="AK776" s="129"/>
      <c r="AL776" s="129"/>
      <c r="AM776" s="129"/>
      <c r="AN776" s="129"/>
      <c r="AO776" s="129"/>
      <c r="AP776" s="129"/>
      <c r="AQ776" s="129"/>
      <c r="AR776" s="129"/>
      <c r="AS776" s="129"/>
      <c r="AT776" s="129"/>
      <c r="AU776" s="129"/>
      <c r="AV776" s="129"/>
      <c r="AW776" s="129"/>
      <c r="AX776" s="129"/>
      <c r="AY776" s="129"/>
      <c r="AZ776" s="129"/>
      <c r="BA776" s="129"/>
      <c r="BB776" s="129"/>
      <c r="BC776" s="129"/>
      <c r="BD776" s="129"/>
      <c r="BE776" s="129"/>
      <c r="BF776" s="129">
        <f>_xlfn.IFNA(_xlfn.IFNA(_xlfn.TEXTBEFORE(BF758,"--"),_xlfn.TEXTBEFORE(BF758,",")),BF758)</f>
        <v>0</v>
      </c>
      <c r="BG776" s="129">
        <f t="shared" ref="BG776:BK776" si="807">_xlfn.IFNA(_xlfn.IFNA(_xlfn.TEXTBEFORE(BG758,"--"),_xlfn.TEXTBEFORE(BG758,",")),BG758)</f>
        <v>0</v>
      </c>
      <c r="BH776" s="129">
        <f t="shared" si="807"/>
        <v>0</v>
      </c>
      <c r="BI776" s="129">
        <f>_xlfn.IFNA(_xlfn.IFNA(_xlfn.TEXTBEFORE(BI758,"--"),_xlfn.TEXTBEFORE(BI758,",")),BI758)</f>
        <v>0</v>
      </c>
      <c r="BJ776" s="129">
        <f t="shared" si="807"/>
        <v>0</v>
      </c>
      <c r="BK776" s="129">
        <f t="shared" si="807"/>
        <v>0</v>
      </c>
    </row>
    <row r="777" spans="1:63" ht="14.25" hidden="1">
      <c r="A777" s="129"/>
      <c r="B777" s="132"/>
      <c r="C777" s="133"/>
      <c r="D777" s="129"/>
      <c r="E777" s="129"/>
      <c r="F777" s="129"/>
      <c r="G777" s="129"/>
      <c r="H777" s="129"/>
      <c r="I777" s="129"/>
      <c r="J777" s="129"/>
      <c r="K777" s="129"/>
      <c r="L777" s="129"/>
      <c r="M777" s="129"/>
      <c r="N777" s="129"/>
      <c r="O777" s="129"/>
      <c r="P777" s="129"/>
      <c r="Q777" s="134"/>
      <c r="R777" s="129"/>
      <c r="S777" s="129"/>
      <c r="T777" s="72">
        <f>IF('חד גזעי'!$AM$6="לא",IF(P777=0,IF(BC777="שימור",IF('חד גזעי'!$AM$4="לא",IF(BC777="לא בוגר",0,IF(BC777="לא קיים",0,IF(J777=0,0,I777*0.1))),IF(BC777="לא בוגר",0,IF(BC777="לא קיים",0,IF(AB777=1,I777*0.1,E777*0.5)))),0),IF('חד גזעי'!$AM$4="לא",IF(BC777="לא בוגר",0,IF(BC777="לא קיים",0,IF(J777=0,0,I777*0.1))),IF(BC777="לא בוגר",0,IF(BC777="לא קיים",0,IF(AB777=1,I777*0.1,E777*0.5))))),IF(P777=0,IF(BC777="שימור",IF('חד גזעי'!$AM$4="לא",IF(BC777="לא בוגר",0,IF(BC777="לא קיים",0,IF(J777=0,0,I777*0.15))),IF(BC777="לא בוגר",0,IF(BC777="לא קיים",0,IF(AB777=1,I777*0.15,E777*0.5)))),0),IF('חד גזעי'!$AM$4="לא",IF(BC777="לא בוגר",0,IF(BC777="לא קיים",0,IF(J777=0,0,I777*0.15))),IF(BC777="לא בוגר",0,IF(BC777="לא קיים",0,IF(AB777=1,I777*0.15,E777*0.5))))))</f>
        <v>0</v>
      </c>
      <c r="U777" s="129"/>
      <c r="V777">
        <f t="shared" si="758"/>
        <v>0</v>
      </c>
      <c r="W777">
        <f t="shared" si="759"/>
        <v>0</v>
      </c>
      <c r="X777">
        <f t="shared" si="760"/>
        <v>0</v>
      </c>
      <c r="Y777">
        <f>IF('חד גזעי'!$AM$2 = "לא",0,IF(F777&gt;9,W777,0))</f>
        <v>0</v>
      </c>
      <c r="Z777">
        <f>IF('חד גזעי'!$AM$7 = "לא",0,IF(C777 = "זית אירופי",IF('חד גזעי'!$AN$7 &lt;=סקר!F777,W777,0),IF(C777 = "חרוב מצוי",IF('חד גזעי'!$AN$7 &lt;=סקר!F777,W777,0),0)))</f>
        <v>0</v>
      </c>
      <c r="AA777" s="129"/>
      <c r="AB777" s="129"/>
      <c r="AC777" s="129"/>
      <c r="AD777" s="133"/>
      <c r="AE777" s="129"/>
      <c r="AF777" s="129"/>
      <c r="AG777" s="129"/>
      <c r="AH777" s="129"/>
      <c r="AI777" s="129"/>
      <c r="AJ777" s="129"/>
      <c r="AK777" s="129"/>
      <c r="AL777" s="129"/>
      <c r="AM777" s="129"/>
      <c r="AN777" s="129"/>
      <c r="AO777" s="129"/>
      <c r="AP777" s="129"/>
      <c r="AQ777" s="129"/>
      <c r="AR777" s="129"/>
      <c r="AS777" s="129"/>
      <c r="AT777" s="129"/>
      <c r="AU777" s="129"/>
      <c r="AV777" s="129"/>
      <c r="AW777" s="129"/>
      <c r="AX777" s="129"/>
      <c r="AY777" s="129"/>
      <c r="AZ777" s="129"/>
      <c r="BA777" s="129"/>
      <c r="BB777" s="129"/>
      <c r="BC777" s="129"/>
      <c r="BD777" s="129"/>
      <c r="BE777" s="129"/>
      <c r="BF777" s="129" t="str">
        <f>"C:\Users\origr\Pictures\"&amp;BF776&amp;".jpg"</f>
        <v>C:\Users\origr\Pictures\0.jpg</v>
      </c>
      <c r="BG777" s="129" t="str">
        <f t="shared" ref="BG777" si="808">"C:\Users\origr\Pictures\"&amp;BG776&amp;".jpg"</f>
        <v>C:\Users\origr\Pictures\0.jpg</v>
      </c>
      <c r="BH777" s="129" t="str">
        <f t="shared" ref="BH777" si="809">"C:\Users\origr\Pictures\"&amp;BH776&amp;".jpg"</f>
        <v>C:\Users\origr\Pictures\0.jpg</v>
      </c>
      <c r="BI777" s="129" t="str">
        <f t="shared" ref="BI777" si="810">"C:\Users\origr\Pictures\"&amp;BI776&amp;".jpg"</f>
        <v>C:\Users\origr\Pictures\0.jpg</v>
      </c>
      <c r="BJ777" s="129" t="str">
        <f t="shared" ref="BJ777" si="811">"C:\Users\origr\Pictures\"&amp;BJ776&amp;".jpg"</f>
        <v>C:\Users\origr\Pictures\0.jpg</v>
      </c>
      <c r="BK777" s="129" t="str">
        <f t="shared" ref="BK777" si="812">"C:\Users\origr\Pictures\"&amp;BK776&amp;".jpg"</f>
        <v>C:\Users\origr\Pictures\0.jpg</v>
      </c>
    </row>
    <row r="778" spans="1:63" ht="14.25" hidden="1">
      <c r="A778" s="129"/>
      <c r="B778" s="132"/>
      <c r="C778" s="133"/>
      <c r="D778" s="129"/>
      <c r="E778" s="129"/>
      <c r="F778" s="129"/>
      <c r="G778" s="129"/>
      <c r="H778" s="129"/>
      <c r="I778" s="129"/>
      <c r="J778" s="129"/>
      <c r="K778" s="129"/>
      <c r="L778" s="129"/>
      <c r="M778" s="129"/>
      <c r="N778" s="129"/>
      <c r="O778" s="129"/>
      <c r="P778" s="129"/>
      <c r="Q778" s="134"/>
      <c r="R778" s="129"/>
      <c r="S778" s="129"/>
      <c r="T778" s="72">
        <f>IF('חד גזעי'!$AM$6="לא",IF(P778=0,IF(BC778="שימור",IF('חד גזעי'!$AM$4="לא",IF(BC778="לא בוגר",0,IF(BC778="לא קיים",0,IF(J778=0,0,I778*0.1))),IF(BC778="לא בוגר",0,IF(BC778="לא קיים",0,IF(AB778=1,I778*0.1,E778*0.5)))),0),IF('חד גזעי'!$AM$4="לא",IF(BC778="לא בוגר",0,IF(BC778="לא קיים",0,IF(J778=0,0,I778*0.1))),IF(BC778="לא בוגר",0,IF(BC778="לא קיים",0,IF(AB778=1,I778*0.1,E778*0.5))))),IF(P778=0,IF(BC778="שימור",IF('חד גזעי'!$AM$4="לא",IF(BC778="לא בוגר",0,IF(BC778="לא קיים",0,IF(J778=0,0,I778*0.15))),IF(BC778="לא בוגר",0,IF(BC778="לא קיים",0,IF(AB778=1,I778*0.15,E778*0.5)))),0),IF('חד גזעי'!$AM$4="לא",IF(BC778="לא בוגר",0,IF(BC778="לא קיים",0,IF(J778=0,0,I778*0.15))),IF(BC778="לא בוגר",0,IF(BC778="לא קיים",0,IF(AB778=1,I778*0.15,E778*0.5))))))</f>
        <v>0</v>
      </c>
      <c r="U778" s="129"/>
      <c r="V778">
        <f t="shared" si="758"/>
        <v>0</v>
      </c>
      <c r="W778">
        <f t="shared" si="759"/>
        <v>0</v>
      </c>
      <c r="X778">
        <f t="shared" si="760"/>
        <v>0</v>
      </c>
      <c r="Y778">
        <f>IF('חד גזעי'!$AM$2 = "לא",0,IF(F778&gt;9,W778,0))</f>
        <v>0</v>
      </c>
      <c r="Z778">
        <f>IF('חד גזעי'!$AM$7 = "לא",0,IF(C778 = "זית אירופי",IF('חד גזעי'!$AN$7 &lt;=סקר!F778,W778,0),IF(C778 = "חרוב מצוי",IF('חד גזעי'!$AN$7 &lt;=סקר!F778,W778,0),0)))</f>
        <v>0</v>
      </c>
      <c r="AA778" s="129"/>
      <c r="AB778" s="129"/>
      <c r="AC778" s="129"/>
      <c r="AD778" s="133"/>
      <c r="AE778" s="129"/>
      <c r="AF778" s="129"/>
      <c r="AG778" s="129"/>
      <c r="AH778" s="129"/>
      <c r="AI778" s="129"/>
      <c r="AJ778" s="129"/>
      <c r="AK778" s="129"/>
      <c r="AL778" s="129"/>
      <c r="AM778" s="129"/>
      <c r="AN778" s="129"/>
      <c r="AO778" s="129"/>
      <c r="AP778" s="129"/>
      <c r="AQ778" s="129"/>
      <c r="AR778" s="129"/>
      <c r="AS778" s="129"/>
      <c r="AT778" s="129"/>
      <c r="AU778" s="129"/>
      <c r="AV778" s="129"/>
      <c r="AW778" s="129"/>
      <c r="AX778" s="129"/>
      <c r="AY778" s="129"/>
      <c r="AZ778" s="129"/>
      <c r="BA778" s="129"/>
      <c r="BB778" s="129"/>
      <c r="BC778" s="129"/>
      <c r="BD778" s="129"/>
      <c r="BE778" s="129"/>
      <c r="BF778" s="129" t="str">
        <f>BF777</f>
        <v>C:\Users\origr\Pictures\0.jpg</v>
      </c>
      <c r="BG778" s="129" t="str">
        <f t="shared" ref="BG778" si="813">BG777</f>
        <v>C:\Users\origr\Pictures\0.jpg</v>
      </c>
      <c r="BH778" s="129" t="str">
        <f t="shared" ref="BH778" si="814">BH777</f>
        <v>C:\Users\origr\Pictures\0.jpg</v>
      </c>
      <c r="BI778" s="129" t="str">
        <f t="shared" ref="BI778" si="815">BI777</f>
        <v>C:\Users\origr\Pictures\0.jpg</v>
      </c>
      <c r="BJ778" s="129" t="str">
        <f t="shared" ref="BJ778" si="816">BJ777</f>
        <v>C:\Users\origr\Pictures\0.jpg</v>
      </c>
      <c r="BK778" s="129" t="str">
        <f t="shared" ref="BK778" si="817">BK777</f>
        <v>C:\Users\origr\Pictures\0.jpg</v>
      </c>
    </row>
    <row r="779" spans="1:63" hidden="1">
      <c r="T779" s="72">
        <f>IF('חד גזעי'!$AM$6="לא",IF(P779=0,IF(BC779="שימור",IF('חד גזעי'!$AM$4="לא",IF(BC779="לא בוגר",0,IF(BC779="לא קיים",0,IF(J779=0,0,I779*0.1))),IF(BC779="לא בוגר",0,IF(BC779="לא קיים",0,IF(AB779=1,I779*0.1,E779*0.5)))),0),IF('חד גזעי'!$AM$4="לא",IF(BC779="לא בוגר",0,IF(BC779="לא קיים",0,IF(J779=0,0,I779*0.1))),IF(BC779="לא בוגר",0,IF(BC779="לא קיים",0,IF(AB779=1,I779*0.1,E779*0.5))))),IF(P779=0,IF(BC779="שימור",IF('חד גזעי'!$AM$4="לא",IF(BC779="לא בוגר",0,IF(BC779="לא קיים",0,IF(J779=0,0,I779*0.15))),IF(BC779="לא בוגר",0,IF(BC779="לא קיים",0,IF(AB779=1,I779*0.15,E779*0.5)))),0),IF('חד גזעי'!$AM$4="לא",IF(BC779="לא בוגר",0,IF(BC779="לא קיים",0,IF(J779=0,0,I779*0.15))),IF(BC779="לא בוגר",0,IF(BC779="לא קיים",0,IF(AB779=1,I779*0.15,E779*0.5))))))</f>
        <v>0</v>
      </c>
      <c r="V779">
        <f t="shared" si="758"/>
        <v>0</v>
      </c>
      <c r="W779">
        <f t="shared" si="759"/>
        <v>0</v>
      </c>
      <c r="X779">
        <f t="shared" si="760"/>
        <v>0</v>
      </c>
      <c r="Y779">
        <f>IF('חד גזעי'!$AM$2 = "לא",0,IF(F779&gt;9,W779,0))</f>
        <v>0</v>
      </c>
      <c r="Z779">
        <f>IF('חד גזעי'!$AM$7 = "לא",0,IF(C779 = "זית אירופי",IF('חד גזעי'!$AN$7 &lt;=סקר!F779,W779,0),IF(C779 = "חרוב מצוי",IF('חד גזעי'!$AN$7 &lt;=סקר!F779,W779,0),0)))</f>
        <v>0</v>
      </c>
    </row>
    <row r="780" spans="1:63" hidden="1">
      <c r="T780" s="72">
        <f>IF('חד גזעי'!$AM$6="לא",IF(P780=0,IF(BC780="שימור",IF('חד גזעי'!$AM$4="לא",IF(BC780="לא בוגר",0,IF(BC780="לא קיים",0,IF(J780=0,0,I780*0.1))),IF(BC780="לא בוגר",0,IF(BC780="לא קיים",0,IF(AB780=1,I780*0.1,E780*0.5)))),0),IF('חד גזעי'!$AM$4="לא",IF(BC780="לא בוגר",0,IF(BC780="לא קיים",0,IF(J780=0,0,I780*0.1))),IF(BC780="לא בוגר",0,IF(BC780="לא קיים",0,IF(AB780=1,I780*0.1,E780*0.5))))),IF(P780=0,IF(BC780="שימור",IF('חד גזעי'!$AM$4="לא",IF(BC780="לא בוגר",0,IF(BC780="לא קיים",0,IF(J780=0,0,I780*0.15))),IF(BC780="לא בוגר",0,IF(BC780="לא קיים",0,IF(AB780=1,I780*0.15,E780*0.5)))),0),IF('חד גזעי'!$AM$4="לא",IF(BC780="לא בוגר",0,IF(BC780="לא קיים",0,IF(J780=0,0,I780*0.15))),IF(BC780="לא בוגר",0,IF(BC780="לא קיים",0,IF(AB780=1,I780*0.15,E780*0.5))))))</f>
        <v>0</v>
      </c>
      <c r="V780">
        <f t="shared" ref="V780:V843" si="818">_xlfn.IFNA(AK780,AF780)</f>
        <v>0</v>
      </c>
      <c r="W780">
        <f t="shared" ref="W780:W843" si="819">IF(D780=0,V780,D780*V780)</f>
        <v>0</v>
      </c>
      <c r="X780">
        <f t="shared" ref="X780:X843" si="820">IF(N780 = 0,0,Y780)</f>
        <v>0</v>
      </c>
      <c r="Y780">
        <f>IF('חד גזעי'!$AM$2 = "לא",0,IF(F780&gt;9,W780,0))</f>
        <v>0</v>
      </c>
      <c r="Z780">
        <f>IF('חד גזעי'!$AM$7 = "לא",0,IF(C780 = "זית אירופי",IF('חד גזעי'!$AN$7 &lt;=סקר!F780,W780,0),IF(C780 = "חרוב מצוי",IF('חד גזעי'!$AN$7 &lt;=סקר!F780,W780,0),0)))</f>
        <v>0</v>
      </c>
    </row>
    <row r="781" spans="1:63" hidden="1">
      <c r="T781" s="72">
        <f>IF('חד גזעי'!$AM$6="לא",IF(P781=0,IF(BC781="שימור",IF('חד גזעי'!$AM$4="לא",IF(BC781="לא בוגר",0,IF(BC781="לא קיים",0,IF(J781=0,0,I781*0.1))),IF(BC781="לא בוגר",0,IF(BC781="לא קיים",0,IF(AB781=1,I781*0.1,E781*0.5)))),0),IF('חד גזעי'!$AM$4="לא",IF(BC781="לא בוגר",0,IF(BC781="לא קיים",0,IF(J781=0,0,I781*0.1))),IF(BC781="לא בוגר",0,IF(BC781="לא קיים",0,IF(AB781=1,I781*0.1,E781*0.5))))),IF(P781=0,IF(BC781="שימור",IF('חד גזעי'!$AM$4="לא",IF(BC781="לא בוגר",0,IF(BC781="לא קיים",0,IF(J781=0,0,I781*0.15))),IF(BC781="לא בוגר",0,IF(BC781="לא קיים",0,IF(AB781=1,I781*0.15,E781*0.5)))),0),IF('חד גזעי'!$AM$4="לא",IF(BC781="לא בוגר",0,IF(BC781="לא קיים",0,IF(J781=0,0,I781*0.15))),IF(BC781="לא בוגר",0,IF(BC781="לא קיים",0,IF(AB781=1,I781*0.15,E781*0.5))))))</f>
        <v>0</v>
      </c>
      <c r="V781">
        <f t="shared" si="818"/>
        <v>0</v>
      </c>
      <c r="W781">
        <f t="shared" si="819"/>
        <v>0</v>
      </c>
      <c r="X781">
        <f t="shared" si="820"/>
        <v>0</v>
      </c>
      <c r="Y781">
        <f>IF('חד גזעי'!$AM$2 = "לא",0,IF(F781&gt;9,W781,0))</f>
        <v>0</v>
      </c>
      <c r="Z781">
        <f>IF('חד גזעי'!$AM$7 = "לא",0,IF(C781 = "זית אירופי",IF('חד גזעי'!$AN$7 &lt;=סקר!F781,W781,0),IF(C781 = "חרוב מצוי",IF('חד גזעי'!$AN$7 &lt;=סקר!F781,W781,0),0)))</f>
        <v>0</v>
      </c>
    </row>
    <row r="782" spans="1:63" hidden="1">
      <c r="A782" s="129"/>
      <c r="B782" s="129"/>
      <c r="C782" s="129"/>
      <c r="D782" s="129"/>
      <c r="E782" s="129"/>
      <c r="F782" s="129"/>
      <c r="G782" s="129"/>
      <c r="H782" s="129"/>
      <c r="I782" s="129"/>
      <c r="J782" s="129"/>
      <c r="K782" s="129"/>
      <c r="L782" s="129"/>
      <c r="M782" s="129"/>
      <c r="N782" s="129"/>
      <c r="O782" s="129"/>
      <c r="P782" s="129"/>
      <c r="Q782" s="129"/>
      <c r="R782" s="129"/>
      <c r="S782" s="129"/>
      <c r="T782" s="72">
        <f>IF('חד גזעי'!$AM$6="לא",IF(P782=0,IF(BC782="שימור",IF('חד גזעי'!$AM$4="לא",IF(BC782="לא בוגר",0,IF(BC782="לא קיים",0,IF(J782=0,0,I782*0.1))),IF(BC782="לא בוגר",0,IF(BC782="לא קיים",0,IF(AB782=1,I782*0.1,E782*0.5)))),0),IF('חד גזעי'!$AM$4="לא",IF(BC782="לא בוגר",0,IF(BC782="לא קיים",0,IF(J782=0,0,I782*0.1))),IF(BC782="לא בוגר",0,IF(BC782="לא קיים",0,IF(AB782=1,I782*0.1,E782*0.5))))),IF(P782=0,IF(BC782="שימור",IF('חד גזעי'!$AM$4="לא",IF(BC782="לא בוגר",0,IF(BC782="לא קיים",0,IF(J782=0,0,I782*0.15))),IF(BC782="לא בוגר",0,IF(BC782="לא קיים",0,IF(AB782=1,I782*0.15,E782*0.5)))),0),IF('חד גזעי'!$AM$4="לא",IF(BC782="לא בוגר",0,IF(BC782="לא קיים",0,IF(J782=0,0,I782*0.15))),IF(BC782="לא בוגר",0,IF(BC782="לא קיים",0,IF(AB782=1,I782*0.15,E782*0.5))))))</f>
        <v>0</v>
      </c>
      <c r="U782" s="129"/>
      <c r="V782">
        <f t="shared" si="818"/>
        <v>0</v>
      </c>
      <c r="W782">
        <f t="shared" si="819"/>
        <v>0</v>
      </c>
      <c r="X782">
        <f t="shared" si="820"/>
        <v>0</v>
      </c>
      <c r="Y782">
        <f>IF('חד גזעי'!$AM$2 = "לא",0,IF(F782&gt;9,W782,0))</f>
        <v>0</v>
      </c>
      <c r="Z782">
        <f>IF('חד גזעי'!$AM$7 = "לא",0,IF(C782 = "זית אירופי",IF('חד גזעי'!$AN$7 &lt;=סקר!F782,W782,0),IF(C782 = "חרוב מצוי",IF('חד גזעי'!$AN$7 &lt;=סקר!F782,W782,0),0)))</f>
        <v>0</v>
      </c>
      <c r="AA782" s="129"/>
      <c r="AB782" s="129"/>
      <c r="AC782" s="129"/>
      <c r="AD782" s="129"/>
      <c r="AE782" s="129"/>
      <c r="AF782" s="129"/>
      <c r="AG782" s="129"/>
      <c r="AH782" s="129"/>
      <c r="AI782" s="129"/>
      <c r="AJ782" s="129"/>
      <c r="AK782" s="129"/>
      <c r="AL782" s="129"/>
      <c r="AM782" s="129"/>
      <c r="AN782" s="129"/>
      <c r="AO782" s="129"/>
      <c r="AP782" s="129"/>
      <c r="AQ782" s="129"/>
      <c r="AR782" s="129"/>
      <c r="AS782" s="129"/>
      <c r="AT782" s="129"/>
      <c r="AU782" s="129"/>
      <c r="AV782" s="129"/>
      <c r="AW782" s="129"/>
      <c r="AX782" s="129"/>
      <c r="AY782" s="129"/>
      <c r="AZ782" s="129"/>
      <c r="BA782" s="129"/>
      <c r="BB782" s="129"/>
      <c r="BC782" s="129"/>
      <c r="BD782" s="129"/>
      <c r="BE782" s="129"/>
      <c r="BF782" s="129">
        <f>_xlfn.IFNA(_xlfn.IFNA(_xlfn.TEXTBEFORE(BF786,"--"),_xlfn.TEXTBEFORE(BF786,",")),BF786)</f>
        <v>0</v>
      </c>
      <c r="BG782" s="129">
        <f t="shared" ref="BG782:BK782" si="821">_xlfn.IFNA(_xlfn.IFNA(_xlfn.TEXTBEFORE(BG786,"--"),_xlfn.TEXTBEFORE(BG786,",")),BG786)</f>
        <v>0</v>
      </c>
      <c r="BH782" s="129">
        <f t="shared" si="821"/>
        <v>0</v>
      </c>
      <c r="BI782" s="129">
        <f>_xlfn.IFNA(_xlfn.IFNA(_xlfn.TEXTBEFORE(BI786,"--"),_xlfn.TEXTBEFORE(BI786,",")),BI786)</f>
        <v>0</v>
      </c>
      <c r="BJ782" s="129">
        <f t="shared" si="821"/>
        <v>0</v>
      </c>
      <c r="BK782" s="129">
        <f t="shared" si="821"/>
        <v>0</v>
      </c>
    </row>
    <row r="783" spans="1:63" hidden="1">
      <c r="A783" s="129"/>
      <c r="B783" s="129"/>
      <c r="C783" s="129"/>
      <c r="D783" s="129"/>
      <c r="E783" s="129"/>
      <c r="F783" s="129"/>
      <c r="G783" s="129"/>
      <c r="H783" s="129"/>
      <c r="I783" s="129"/>
      <c r="J783" s="129"/>
      <c r="K783" s="129"/>
      <c r="L783" s="129"/>
      <c r="M783" s="129"/>
      <c r="N783" s="129"/>
      <c r="O783" s="129"/>
      <c r="P783" s="129"/>
      <c r="Q783" s="129"/>
      <c r="R783" s="129"/>
      <c r="S783" s="129"/>
      <c r="T783" s="72">
        <f>IF('חד גזעי'!$AM$6="לא",IF(P783=0,IF(BC783="שימור",IF('חד גזעי'!$AM$4="לא",IF(BC783="לא בוגר",0,IF(BC783="לא קיים",0,IF(J783=0,0,I783*0.1))),IF(BC783="לא בוגר",0,IF(BC783="לא קיים",0,IF(AB783=1,I783*0.1,E783*0.5)))),0),IF('חד גזעי'!$AM$4="לא",IF(BC783="לא בוגר",0,IF(BC783="לא קיים",0,IF(J783=0,0,I783*0.1))),IF(BC783="לא בוגר",0,IF(BC783="לא קיים",0,IF(AB783=1,I783*0.1,E783*0.5))))),IF(P783=0,IF(BC783="שימור",IF('חד גזעי'!$AM$4="לא",IF(BC783="לא בוגר",0,IF(BC783="לא קיים",0,IF(J783=0,0,I783*0.15))),IF(BC783="לא בוגר",0,IF(BC783="לא קיים",0,IF(AB783=1,I783*0.15,E783*0.5)))),0),IF('חד גזעי'!$AM$4="לא",IF(BC783="לא בוגר",0,IF(BC783="לא קיים",0,IF(J783=0,0,I783*0.15))),IF(BC783="לא בוגר",0,IF(BC783="לא קיים",0,IF(AB783=1,I783*0.15,E783*0.5))))))</f>
        <v>0</v>
      </c>
      <c r="U783" s="129"/>
      <c r="V783">
        <f t="shared" si="818"/>
        <v>0</v>
      </c>
      <c r="W783">
        <f t="shared" si="819"/>
        <v>0</v>
      </c>
      <c r="X783">
        <f t="shared" si="820"/>
        <v>0</v>
      </c>
      <c r="Y783">
        <f>IF('חד גזעי'!$AM$2 = "לא",0,IF(F783&gt;9,W783,0))</f>
        <v>0</v>
      </c>
      <c r="Z783">
        <f>IF('חד גזעי'!$AM$7 = "לא",0,IF(C783 = "זית אירופי",IF('חד גזעי'!$AN$7 &lt;=סקר!F783,W783,0),IF(C783 = "חרוב מצוי",IF('חד גזעי'!$AN$7 &lt;=סקר!F783,W783,0),0)))</f>
        <v>0</v>
      </c>
      <c r="AA783" s="129"/>
      <c r="AB783" s="129"/>
      <c r="AC783" s="129"/>
      <c r="AD783" s="129"/>
      <c r="AE783" s="129"/>
      <c r="AF783" s="129"/>
      <c r="AG783" s="129"/>
      <c r="AH783" s="129"/>
      <c r="AI783" s="129"/>
      <c r="AJ783" s="129"/>
      <c r="AK783" s="129"/>
      <c r="AL783" s="129"/>
      <c r="AM783" s="129"/>
      <c r="AN783" s="129"/>
      <c r="AO783" s="129"/>
      <c r="AP783" s="129"/>
      <c r="AQ783" s="129"/>
      <c r="AR783" s="129"/>
      <c r="AS783" s="129"/>
      <c r="AT783" s="129"/>
      <c r="AU783" s="129"/>
      <c r="AV783" s="129"/>
      <c r="AW783" s="129"/>
      <c r="AX783" s="129"/>
      <c r="AY783" s="129"/>
      <c r="AZ783" s="129"/>
      <c r="BA783" s="129"/>
      <c r="BB783" s="129"/>
      <c r="BC783" s="129"/>
      <c r="BD783" s="129"/>
      <c r="BE783" s="129"/>
      <c r="BF783" s="129" t="str">
        <f>"C:\Users\origr\Pictures\"&amp;BF782&amp;".jpg"</f>
        <v>C:\Users\origr\Pictures\0.jpg</v>
      </c>
      <c r="BG783" s="129" t="str">
        <f t="shared" ref="BG783" si="822">"C:\Users\origr\Pictures\"&amp;BG782&amp;".jpg"</f>
        <v>C:\Users\origr\Pictures\0.jpg</v>
      </c>
      <c r="BH783" s="129" t="str">
        <f t="shared" ref="BH783" si="823">"C:\Users\origr\Pictures\"&amp;BH782&amp;".jpg"</f>
        <v>C:\Users\origr\Pictures\0.jpg</v>
      </c>
      <c r="BI783" s="129" t="str">
        <f t="shared" ref="BI783" si="824">"C:\Users\origr\Pictures\"&amp;BI782&amp;".jpg"</f>
        <v>C:\Users\origr\Pictures\0.jpg</v>
      </c>
      <c r="BJ783" s="129" t="str">
        <f t="shared" ref="BJ783" si="825">"C:\Users\origr\Pictures\"&amp;BJ782&amp;".jpg"</f>
        <v>C:\Users\origr\Pictures\0.jpg</v>
      </c>
      <c r="BK783" s="129" t="str">
        <f t="shared" ref="BK783" si="826">"C:\Users\origr\Pictures\"&amp;BK782&amp;".jpg"</f>
        <v>C:\Users\origr\Pictures\0.jpg</v>
      </c>
    </row>
    <row r="784" spans="1:63" hidden="1">
      <c r="A784" s="129"/>
      <c r="B784" s="129"/>
      <c r="C784" s="129"/>
      <c r="D784" s="129"/>
      <c r="E784" s="129"/>
      <c r="F784" s="129"/>
      <c r="G784" s="129"/>
      <c r="H784" s="129"/>
      <c r="I784" s="129"/>
      <c r="J784" s="129"/>
      <c r="K784" s="129"/>
      <c r="L784" s="129"/>
      <c r="M784" s="129"/>
      <c r="N784" s="129"/>
      <c r="O784" s="129"/>
      <c r="P784" s="129"/>
      <c r="Q784" s="129"/>
      <c r="R784" s="129"/>
      <c r="S784" s="129"/>
      <c r="T784" s="72">
        <f>IF('חד גזעי'!$AM$6="לא",IF(P784=0,IF(BC784="שימור",IF('חד גזעי'!$AM$4="לא",IF(BC784="לא בוגר",0,IF(BC784="לא קיים",0,IF(J784=0,0,I784*0.1))),IF(BC784="לא בוגר",0,IF(BC784="לא קיים",0,IF(AB784=1,I784*0.1,E784*0.5)))),0),IF('חד גזעי'!$AM$4="לא",IF(BC784="לא בוגר",0,IF(BC784="לא קיים",0,IF(J784=0,0,I784*0.1))),IF(BC784="לא בוגר",0,IF(BC784="לא קיים",0,IF(AB784=1,I784*0.1,E784*0.5))))),IF(P784=0,IF(BC784="שימור",IF('חד גזעי'!$AM$4="לא",IF(BC784="לא בוגר",0,IF(BC784="לא קיים",0,IF(J784=0,0,I784*0.15))),IF(BC784="לא בוגר",0,IF(BC784="לא קיים",0,IF(AB784=1,I784*0.15,E784*0.5)))),0),IF('חד גזעי'!$AM$4="לא",IF(BC784="לא בוגר",0,IF(BC784="לא קיים",0,IF(J784=0,0,I784*0.15))),IF(BC784="לא בוגר",0,IF(BC784="לא קיים",0,IF(AB784=1,I784*0.15,E784*0.5))))))</f>
        <v>0</v>
      </c>
      <c r="U784" s="129"/>
      <c r="V784">
        <f t="shared" si="818"/>
        <v>0</v>
      </c>
      <c r="W784">
        <f t="shared" si="819"/>
        <v>0</v>
      </c>
      <c r="X784">
        <f t="shared" si="820"/>
        <v>0</v>
      </c>
      <c r="Y784">
        <f>IF('חד גזעי'!$AM$2 = "לא",0,IF(F784&gt;9,W784,0))</f>
        <v>0</v>
      </c>
      <c r="Z784">
        <f>IF('חד גזעי'!$AM$7 = "לא",0,IF(C784 = "זית אירופי",IF('חד גזעי'!$AN$7 &lt;=סקר!F784,W784,0),IF(C784 = "חרוב מצוי",IF('חד גזעי'!$AN$7 &lt;=סקר!F784,W784,0),0)))</f>
        <v>0</v>
      </c>
      <c r="AA784" s="129"/>
      <c r="AB784" s="129"/>
      <c r="AC784" s="129"/>
      <c r="AD784" s="129"/>
      <c r="AE784" s="129"/>
      <c r="AF784" s="129"/>
      <c r="AG784" s="129"/>
      <c r="AH784" s="129"/>
      <c r="AI784" s="129"/>
      <c r="AJ784" s="129"/>
      <c r="AK784" s="129"/>
      <c r="AL784" s="129"/>
      <c r="AM784" s="129"/>
      <c r="AN784" s="129"/>
      <c r="AO784" s="129"/>
      <c r="AP784" s="129"/>
      <c r="AQ784" s="129"/>
      <c r="AR784" s="129"/>
      <c r="AS784" s="129"/>
      <c r="AT784" s="129"/>
      <c r="AU784" s="129"/>
      <c r="AV784" s="129"/>
      <c r="AW784" s="129"/>
      <c r="AX784" s="129"/>
      <c r="AY784" s="129"/>
      <c r="AZ784" s="129"/>
      <c r="BA784" s="129"/>
      <c r="BB784" s="129"/>
      <c r="BC784" s="129"/>
      <c r="BD784" s="129"/>
      <c r="BE784" s="129"/>
      <c r="BF784" s="129" t="str">
        <f>BF783</f>
        <v>C:\Users\origr\Pictures\0.jpg</v>
      </c>
      <c r="BG784" s="129" t="str">
        <f t="shared" ref="BG784" si="827">BG783</f>
        <v>C:\Users\origr\Pictures\0.jpg</v>
      </c>
      <c r="BH784" s="129" t="str">
        <f t="shared" ref="BH784" si="828">BH783</f>
        <v>C:\Users\origr\Pictures\0.jpg</v>
      </c>
      <c r="BI784" s="129" t="str">
        <f t="shared" ref="BI784" si="829">BI783</f>
        <v>C:\Users\origr\Pictures\0.jpg</v>
      </c>
      <c r="BJ784" s="129" t="str">
        <f t="shared" ref="BJ784" si="830">BJ783</f>
        <v>C:\Users\origr\Pictures\0.jpg</v>
      </c>
      <c r="BK784" s="129" t="str">
        <f t="shared" ref="BK784" si="831">BK783</f>
        <v>C:\Users\origr\Pictures\0.jpg</v>
      </c>
    </row>
    <row r="785" spans="2:63" ht="14.25" hidden="1">
      <c r="B785" s="71"/>
      <c r="C785" s="69"/>
      <c r="Q785" s="86"/>
      <c r="T785" s="72">
        <f>IF('חד גזעי'!$AM$6="לא",IF(P785=0,IF(BC785="שימור",IF('חד גזעי'!$AM$4="לא",IF(BC785="לא בוגר",0,IF(BC785="לא קיים",0,IF(J785=0,0,I785*0.1))),IF(BC785="לא בוגר",0,IF(BC785="לא קיים",0,IF(AB785=1,I785*0.1,E785*0.5)))),0),IF('חד גזעי'!$AM$4="לא",IF(BC785="לא בוגר",0,IF(BC785="לא קיים",0,IF(J785=0,0,I785*0.1))),IF(BC785="לא בוגר",0,IF(BC785="לא קיים",0,IF(AB785=1,I785*0.1,E785*0.5))))),IF(P785=0,IF(BC785="שימור",IF('חד גזעי'!$AM$4="לא",IF(BC785="לא בוגר",0,IF(BC785="לא קיים",0,IF(J785=0,0,I785*0.15))),IF(BC785="לא בוגר",0,IF(BC785="לא קיים",0,IF(AB785=1,I785*0.15,E785*0.5)))),0),IF('חד גזעי'!$AM$4="לא",IF(BC785="לא בוגר",0,IF(BC785="לא קיים",0,IF(J785=0,0,I785*0.15))),IF(BC785="לא בוגר",0,IF(BC785="לא קיים",0,IF(AB785=1,I785*0.15,E785*0.5))))))</f>
        <v>0</v>
      </c>
      <c r="V785">
        <f t="shared" si="818"/>
        <v>0</v>
      </c>
      <c r="W785">
        <f t="shared" si="819"/>
        <v>0</v>
      </c>
      <c r="X785">
        <f t="shared" si="820"/>
        <v>0</v>
      </c>
      <c r="Y785">
        <f>IF('חד גזעי'!$AM$2 = "לא",0,IF(F785&gt;9,W785,0))</f>
        <v>0</v>
      </c>
      <c r="Z785">
        <f>IF('חד גזעי'!$AM$7 = "לא",0,IF(C785 = "זית אירופי",IF('חד גזעי'!$AN$7 &lt;=סקר!F785,W785,0),IF(C785 = "חרוב מצוי",IF('חד גזעי'!$AN$7 &lt;=סקר!F785,W785,0),0)))</f>
        <v>0</v>
      </c>
      <c r="AD785" s="69" t="s">
        <v>807</v>
      </c>
    </row>
    <row r="786" spans="2:63" hidden="1">
      <c r="B786" s="197" t="s">
        <v>738</v>
      </c>
      <c r="C786" s="197" t="s">
        <v>739</v>
      </c>
      <c r="D786" s="197" t="s">
        <v>740</v>
      </c>
      <c r="E786" s="197" t="s">
        <v>741</v>
      </c>
      <c r="F786" s="200" t="s">
        <v>759</v>
      </c>
      <c r="G786" s="203" t="s">
        <v>760</v>
      </c>
      <c r="H786" s="203" t="s">
        <v>761</v>
      </c>
      <c r="I786" s="197" t="s">
        <v>742</v>
      </c>
      <c r="J786" s="197" t="s">
        <v>743</v>
      </c>
      <c r="K786" s="197" t="s">
        <v>744</v>
      </c>
      <c r="L786" s="197" t="s">
        <v>745</v>
      </c>
      <c r="M786" s="197" t="s">
        <v>746</v>
      </c>
      <c r="N786" s="197" t="s">
        <v>747</v>
      </c>
      <c r="O786" s="197" t="s">
        <v>748</v>
      </c>
      <c r="P786" s="197" t="s">
        <v>749</v>
      </c>
      <c r="Q786" s="197" t="s">
        <v>750</v>
      </c>
      <c r="R786" s="197" t="s">
        <v>751</v>
      </c>
      <c r="T786" s="72" t="e">
        <f>IF('חד גזעי'!$AM$6="לא",IF(P786=0,IF(BC786="שימור",IF('חד גזעי'!$AM$4="לא",IF(BC786="לא בוגר",0,IF(BC786="לא קיים",0,IF(J786=0,0,I786*0.1))),IF(BC786="לא בוגר",0,IF(BC786="לא קיים",0,IF(AB786=1,I786*0.1,E786*0.5)))),0),IF('חד גזעי'!$AM$4="לא",IF(BC786="לא בוגר",0,IF(BC786="לא קיים",0,IF(J786=0,0,I786*0.1))),IF(BC786="לא בוגר",0,IF(BC786="לא קיים",0,IF(AB786=1,I786*0.1,E786*0.5))))),IF(P786=0,IF(BC786="שימור",IF('חד גזעי'!$AM$4="לא",IF(BC786="לא בוגר",0,IF(BC786="לא קיים",0,IF(J786=0,0,I786*0.15))),IF(BC786="לא בוגר",0,IF(BC786="לא קיים",0,IF(AB786=1,I786*0.15,E786*0.5)))),0),IF('חד גזעי'!$AM$4="לא",IF(BC786="לא בוגר",0,IF(BC786="לא קיים",0,IF(J786=0,0,I786*0.15))),IF(BC786="לא בוגר",0,IF(BC786="לא קיים",0,IF(AB786=1,I786*0.15,E786*0.5))))))</f>
        <v>#VALUE!</v>
      </c>
      <c r="V786">
        <f t="shared" si="818"/>
        <v>0</v>
      </c>
      <c r="W786" t="e">
        <f t="shared" si="819"/>
        <v>#VALUE!</v>
      </c>
      <c r="X786">
        <f t="shared" si="820"/>
        <v>0</v>
      </c>
      <c r="Y786">
        <f>IF('חד גזעי'!$AM$2 = "לא",0,IF(F786&gt;9,W786,0))</f>
        <v>0</v>
      </c>
      <c r="Z786">
        <f>IF('חד גזעי'!$AM$7 = "לא",0,IF(C786 = "זית אירופי",IF('חד גזעי'!$AN$7 &lt;=סקר!F786,W786,0),IF(C786 = "חרוב מצוי",IF('חד גזעי'!$AN$7 &lt;=סקר!F786,W786,0),0)))</f>
        <v>0</v>
      </c>
      <c r="AC786" s="101"/>
      <c r="AD786" s="103"/>
      <c r="AE786" s="103"/>
      <c r="AF786" s="103"/>
      <c r="AG786" s="103"/>
      <c r="AH786" s="103"/>
      <c r="AI786" s="103"/>
      <c r="AJ786" s="103"/>
      <c r="AK786" s="83"/>
      <c r="AM786" s="73"/>
      <c r="AN786" s="73"/>
      <c r="AO786" s="73"/>
      <c r="AS786" s="197" t="s">
        <v>738</v>
      </c>
      <c r="AT786" s="197" t="s">
        <v>739</v>
      </c>
      <c r="AU786" s="197" t="s">
        <v>740</v>
      </c>
      <c r="AV786" s="197" t="s">
        <v>741</v>
      </c>
      <c r="AW786" s="203" t="s">
        <v>759</v>
      </c>
      <c r="AX786" s="203" t="s">
        <v>760</v>
      </c>
      <c r="AY786" s="203" t="s">
        <v>761</v>
      </c>
      <c r="AZ786" s="197" t="s">
        <v>812</v>
      </c>
      <c r="BA786" s="197" t="s">
        <v>817</v>
      </c>
      <c r="BB786" s="197" t="s">
        <v>805</v>
      </c>
      <c r="BC786" s="197" t="s">
        <v>806</v>
      </c>
      <c r="BE786">
        <f>IF(BC786="לא נדרש ברישיון",1,0)</f>
        <v>0</v>
      </c>
      <c r="BF786" s="72"/>
      <c r="BG786" s="72"/>
      <c r="BH786" s="72"/>
      <c r="BI786" s="72"/>
      <c r="BJ786" s="72"/>
      <c r="BK786" s="72"/>
    </row>
    <row r="787" spans="2:63" hidden="1">
      <c r="B787" s="198"/>
      <c r="C787" s="198"/>
      <c r="D787" s="198"/>
      <c r="E787" s="198"/>
      <c r="F787" s="201"/>
      <c r="G787" s="204"/>
      <c r="H787" s="204"/>
      <c r="I787" s="198"/>
      <c r="J787" s="198"/>
      <c r="K787" s="198"/>
      <c r="L787" s="198"/>
      <c r="M787" s="198"/>
      <c r="N787" s="198"/>
      <c r="O787" s="198"/>
      <c r="P787" s="198"/>
      <c r="Q787" s="198"/>
      <c r="R787" s="198"/>
      <c r="T787" s="72">
        <f>IF('חד גזעי'!$AM$6="לא",IF(P787=0,IF(BC787="שימור",IF('חד גזעי'!$AM$4="לא",IF(BC787="לא בוגר",0,IF(BC787="לא קיים",0,IF(J787=0,0,I787*0.1))),IF(BC787="לא בוגר",0,IF(BC787="לא קיים",0,IF(AB787=1,I787*0.1,E787*0.5)))),0),IF('חד גזעי'!$AM$4="לא",IF(BC787="לא בוגר",0,IF(BC787="לא קיים",0,IF(J787=0,0,I787*0.1))),IF(BC787="לא בוגר",0,IF(BC787="לא קיים",0,IF(AB787=1,I787*0.1,E787*0.5))))),IF(P787=0,IF(BC787="שימור",IF('חד גזעי'!$AM$4="לא",IF(BC787="לא בוגר",0,IF(BC787="לא קיים",0,IF(J787=0,0,I787*0.15))),IF(BC787="לא בוגר",0,IF(BC787="לא קיים",0,IF(AB787=1,I787*0.15,E787*0.5)))),0),IF('חד גזעי'!$AM$4="לא",IF(BC787="לא בוגר",0,IF(BC787="לא קיים",0,IF(J787=0,0,I787*0.15))),IF(BC787="לא בוגר",0,IF(BC787="לא קיים",0,IF(AB787=1,I787*0.15,E787*0.5))))))</f>
        <v>0</v>
      </c>
      <c r="V787">
        <f t="shared" si="818"/>
        <v>0</v>
      </c>
      <c r="W787">
        <f t="shared" si="819"/>
        <v>0</v>
      </c>
      <c r="X787">
        <f t="shared" si="820"/>
        <v>0</v>
      </c>
      <c r="Y787">
        <f>IF('חד גזעי'!$AM$2 = "לא",0,IF(F787&gt;9,W787,0))</f>
        <v>0</v>
      </c>
      <c r="Z787">
        <f>IF('חד גזעי'!$AM$7 = "לא",0,IF(C787 = "זית אירופי",IF('חד גזעי'!$AN$7 &lt;=סקר!F787,W787,0),IF(C787 = "חרוב מצוי",IF('חד גזעי'!$AN$7 &lt;=סקר!F787,W787,0),0)))</f>
        <v>0</v>
      </c>
      <c r="AC787" s="101"/>
      <c r="AD787" s="103"/>
      <c r="AE787" s="103"/>
      <c r="AF787" s="103"/>
      <c r="AG787" s="103"/>
      <c r="AH787" s="103"/>
      <c r="AI787" s="103"/>
      <c r="AJ787" s="103"/>
      <c r="AK787" s="83"/>
      <c r="AM787" s="73"/>
      <c r="AN787" s="73"/>
      <c r="AO787" s="73"/>
      <c r="AS787" s="198"/>
      <c r="AT787" s="198"/>
      <c r="AU787" s="198"/>
      <c r="AV787" s="198"/>
      <c r="AW787" s="204"/>
      <c r="AX787" s="204"/>
      <c r="AY787" s="204"/>
      <c r="AZ787" s="198"/>
      <c r="BA787" s="198"/>
      <c r="BB787" s="198"/>
      <c r="BC787" s="198"/>
      <c r="BE787">
        <f t="shared" ref="BE787:BE821" si="832">IF(BC787="לא נדרש ברישיון",1,0)</f>
        <v>0</v>
      </c>
      <c r="BF787" s="196" t="str">
        <f>BF784</f>
        <v>C:\Users\origr\Pictures\0.jpg</v>
      </c>
      <c r="BG787" s="196" t="str">
        <f t="shared" ref="BG787:BK787" si="833">BG784</f>
        <v>C:\Users\origr\Pictures\0.jpg</v>
      </c>
      <c r="BH787" s="196" t="str">
        <f t="shared" si="833"/>
        <v>C:\Users\origr\Pictures\0.jpg</v>
      </c>
      <c r="BI787" s="196" t="str">
        <f t="shared" si="833"/>
        <v>C:\Users\origr\Pictures\0.jpg</v>
      </c>
      <c r="BJ787" s="196" t="str">
        <f t="shared" si="833"/>
        <v>C:\Users\origr\Pictures\0.jpg</v>
      </c>
      <c r="BK787" s="196" t="str">
        <f t="shared" si="833"/>
        <v>C:\Users\origr\Pictures\0.jpg</v>
      </c>
    </row>
    <row r="788" spans="2:63" hidden="1">
      <c r="B788" s="199"/>
      <c r="C788" s="199"/>
      <c r="D788" s="199"/>
      <c r="E788" s="199"/>
      <c r="F788" s="202"/>
      <c r="G788" s="205"/>
      <c r="H788" s="205"/>
      <c r="I788" s="199"/>
      <c r="J788" s="199"/>
      <c r="K788" s="199"/>
      <c r="L788" s="199"/>
      <c r="M788" s="199"/>
      <c r="N788" s="199"/>
      <c r="O788" s="199"/>
      <c r="P788" s="199"/>
      <c r="Q788" s="199"/>
      <c r="R788" s="199"/>
      <c r="T788" s="72">
        <f>IF('חד גזעי'!$AM$6="לא",IF(P788=0,IF(BC788="שימור",IF('חד גזעי'!$AM$4="לא",IF(BC788="לא בוגר",0,IF(BC788="לא קיים",0,IF(J788=0,0,I788*0.1))),IF(BC788="לא בוגר",0,IF(BC788="לא קיים",0,IF(AB788=1,I788*0.1,E788*0.5)))),0),IF('חד גזעי'!$AM$4="לא",IF(BC788="לא בוגר",0,IF(BC788="לא קיים",0,IF(J788=0,0,I788*0.1))),IF(BC788="לא בוגר",0,IF(BC788="לא קיים",0,IF(AB788=1,I788*0.1,E788*0.5))))),IF(P788=0,IF(BC788="שימור",IF('חד גזעי'!$AM$4="לא",IF(BC788="לא בוגר",0,IF(BC788="לא קיים",0,IF(J788=0,0,I788*0.15))),IF(BC788="לא בוגר",0,IF(BC788="לא קיים",0,IF(AB788=1,I788*0.15,E788*0.5)))),0),IF('חד גזעי'!$AM$4="לא",IF(BC788="לא בוגר",0,IF(BC788="לא קיים",0,IF(J788=0,0,I788*0.15))),IF(BC788="לא בוגר",0,IF(BC788="לא קיים",0,IF(AB788=1,I788*0.15,E788*0.5))))))</f>
        <v>0</v>
      </c>
      <c r="V788" t="str">
        <f t="shared" si="818"/>
        <v>שווי דקל</v>
      </c>
      <c r="W788" t="str">
        <f t="shared" si="819"/>
        <v>שווי דקל</v>
      </c>
      <c r="X788">
        <f t="shared" si="820"/>
        <v>0</v>
      </c>
      <c r="Y788">
        <f>IF('חד גזעי'!$AM$2 = "לא",0,IF(F788&gt;9,W788,0))</f>
        <v>0</v>
      </c>
      <c r="Z788">
        <f>IF('חד גזעי'!$AM$7 = "לא",0,IF(C788 = "זית אירופי",IF('חד גזעי'!$AN$7 &lt;=סקר!F788,W788,0),IF(C788 = "חרוב מצוי",IF('חד גזעי'!$AN$7 &lt;=סקר!F788,W788,0),0)))</f>
        <v>0</v>
      </c>
      <c r="AC788" s="94"/>
      <c r="AD788" s="94"/>
      <c r="AE788" s="72"/>
      <c r="AF788" s="77" t="s">
        <v>767</v>
      </c>
      <c r="AG788" s="77" t="s">
        <v>768</v>
      </c>
      <c r="AH788" s="72" t="s">
        <v>762</v>
      </c>
      <c r="AI788" s="72" t="s">
        <v>763</v>
      </c>
      <c r="AJ788" s="72" t="s">
        <v>764</v>
      </c>
      <c r="AK788" s="77" t="s">
        <v>770</v>
      </c>
      <c r="AL788" t="s">
        <v>771</v>
      </c>
      <c r="AM788" s="77" t="s">
        <v>809</v>
      </c>
      <c r="AN788" s="77" t="s">
        <v>810</v>
      </c>
      <c r="AO788" s="77" t="s">
        <v>811</v>
      </c>
      <c r="AS788" s="199"/>
      <c r="AT788" s="199"/>
      <c r="AU788" s="199"/>
      <c r="AV788" s="199"/>
      <c r="AW788" s="205"/>
      <c r="AX788" s="205"/>
      <c r="AY788" s="205"/>
      <c r="AZ788" s="199"/>
      <c r="BA788" s="199"/>
      <c r="BB788" s="199"/>
      <c r="BC788" s="199"/>
      <c r="BE788">
        <f t="shared" si="832"/>
        <v>0</v>
      </c>
      <c r="BF788" s="196"/>
      <c r="BG788" s="196"/>
      <c r="BH788" s="196"/>
      <c r="BI788" s="196"/>
      <c r="BJ788" s="196"/>
      <c r="BK788" s="196"/>
    </row>
    <row r="789" spans="2:63" hidden="1">
      <c r="B789" s="72"/>
      <c r="C789" s="135"/>
      <c r="D789" s="73"/>
      <c r="E789" s="73"/>
      <c r="F789" s="72"/>
      <c r="G789" s="72"/>
      <c r="H789" s="72"/>
      <c r="I789" s="73">
        <f t="shared" ref="I789:I820" si="834">F789+(G789/2)+(H789/2)</f>
        <v>0</v>
      </c>
      <c r="J789" s="73"/>
      <c r="K789" s="73"/>
      <c r="L789" s="74" t="e">
        <f>_xlfn.IFNA(VLOOKUP(C789,'חד גזעי'!$U$3:$V$509,2,0),VLOOKUP(C789,'חד גזעי'!$U$3:$V$509,2))</f>
        <v>#N/A</v>
      </c>
      <c r="M789" s="73"/>
      <c r="N789" s="72" t="e">
        <f>_xlfn.IFNA(IF(VLOOKUP(C789,'חד גזעי'!$AH$2:$AH$7,1,FALSE)&gt;0,0,IF('חד גזעי'!$AM$5="כן",IF(_xlfn.IFNA(VLOOKUP(C789,'חד גזעי'!$AH$2:$AH$33,1,FALSE),SUM(J789:M789))&lt;21,_xlfn.IFNA(VLOOKUP(C789,'חד גזעי'!$AH$2:$AH$33,1,FALSE),SUM(J789:M789)),0),SUM(J789:M789))),IF('חד גזעי'!$AM$5="כן",IF(_xlfn.IFNA(VLOOKUP(C789,'חד גזעי'!$AH$2:$AH$33,1,FALSE),SUM(J789:M789))&lt;21,_xlfn.IFNA(VLOOKUP(C789,'חד גזעי'!$AH$2:$AH$33,1,FALSE),SUM(J789:M789)),0),SUM(J789:M789)))</f>
        <v>#N/A</v>
      </c>
      <c r="O789" s="72">
        <f>IF('חד גזעי'!$AM$3 = "כן",IF(T789&gt;4,4,T789),T789)</f>
        <v>0</v>
      </c>
      <c r="P789" s="80">
        <f>IF(E789&lt;2,0,IF(Z789&gt;0,Z789,IF(N789 = 0,0,IF('חד גזעי'!$AM$2 = "לא",IF(F789&gt;19,W789,0),IF(F789&gt;9,Y789,0)))))</f>
        <v>0</v>
      </c>
      <c r="Q789" s="77"/>
      <c r="R789" s="75"/>
      <c r="S789" t="e">
        <f>VLOOKUP(C789,'חד גזעי'!$Y$4:$Y$18,1,0)</f>
        <v>#N/A</v>
      </c>
      <c r="T789" s="72">
        <f>IF('חד גזעי'!$AM$6="לא",IF(P789=0,IF(BC789="שימור",IF('חד גזעי'!$AM$4="לא",IF(BC789="לא בוגר",0,IF(BC789="לא קיים",0,IF(J789=0,0,I789*0.1))),IF(BC789="לא בוגר",0,IF(BC789="לא קיים",0,IF(AB789=1,I789*0.1,E789*0.5)))),0),IF('חד גזעי'!$AM$4="לא",IF(BC789="לא בוגר",0,IF(BC789="לא קיים",0,IF(J789=0,0,I789*0.1))),IF(BC789="לא בוגר",0,IF(BC789="לא קיים",0,IF(AB789=1,I789*0.1,E789*0.5))))),IF(P789=0,IF(BC789="שימור",IF('חד גזעי'!$AM$4="לא",IF(BC789="לא בוגר",0,IF(BC789="לא קיים",0,IF(J789=0,0,I789*0.15))),IF(BC789="לא בוגר",0,IF(BC789="לא קיים",0,IF(AB789=1,I789*0.15,E789*0.5)))),0),IF('חד גזעי'!$AM$4="לא",IF(BC789="לא בוגר",0,IF(BC789="לא קיים",0,IF(J789=0,0,I789*0.15))),IF(BC789="לא בוגר",0,IF(BC789="לא קיים",0,IF(AB789=1,I789*0.15,E789*0.5))))))</f>
        <v>0</v>
      </c>
      <c r="V789" t="e">
        <f t="shared" si="818"/>
        <v>#N/A</v>
      </c>
      <c r="W789" t="e">
        <f t="shared" si="819"/>
        <v>#N/A</v>
      </c>
      <c r="X789" t="e">
        <f t="shared" si="820"/>
        <v>#N/A</v>
      </c>
      <c r="Y789">
        <f>IF('חד גזעי'!$AM$2 = "לא",0,IF(F789&gt;9,W789,0))</f>
        <v>0</v>
      </c>
      <c r="Z789">
        <f>IF('חד גזעי'!$AM$7 = "לא",0,IF(C789 = "זית אירופי",IF('חד גזעי'!$AN$7 &lt;=סקר!F789,W789,0),IF(C789 = "חרוב מצוי",IF('חד גזעי'!$AN$7 &lt;=סקר!F789,W789,0),0)))</f>
        <v>0</v>
      </c>
      <c r="AB789">
        <f t="shared" ref="AB789:AB820" si="835">_xlfn.IFNA(S789,1)</f>
        <v>1</v>
      </c>
      <c r="AC789" s="72"/>
      <c r="AD789" t="e">
        <f>IF(AK789&gt;0,AK789,AF789)</f>
        <v>#N/A</v>
      </c>
      <c r="AE789" s="72"/>
      <c r="AF789" s="72" t="e">
        <f t="shared" ref="AF789:AF820" si="836">((AJ789+AI789+AH789)*(AG789))*(J789*0.2)*(K789*0.2)*20</f>
        <v>#N/A</v>
      </c>
      <c r="AG789" s="72" t="e">
        <f>IF('חד גזעי'!$AM$5="לא",(VLOOKUP(C789,'חד גזעי'!$P$1:$S$589,3,FALSE)),(VLOOKUP(C789,'חד גזעי'!$P$1:$S$589,4,FALSE)))</f>
        <v>#N/A</v>
      </c>
      <c r="AH789" s="72">
        <f t="shared" ref="AH789:AH820" si="837">(3.14*((F789/2)^2))</f>
        <v>0</v>
      </c>
      <c r="AI789" s="72">
        <f t="shared" ref="AI789:AI820" si="838">3.14*(G789*G789/4)</f>
        <v>0</v>
      </c>
      <c r="AJ789" s="72">
        <f t="shared" ref="AJ789:AJ820" si="839">3.14*(H789*H789/4)</f>
        <v>0</v>
      </c>
      <c r="AK789" s="72" t="e">
        <f t="shared" ref="AK789:AK820" si="840">AL789*E789*(J789*0.2)*(0.2*K789)*1500</f>
        <v>#N/A</v>
      </c>
      <c r="AL789" t="e">
        <f>VLOOKUP(C789,'חד גזעי'!$AH$8:$AI$33,2,FALSE)</f>
        <v>#N/A</v>
      </c>
      <c r="AM789" s="72" t="b">
        <f t="shared" ref="AM789:AM820" si="841">IF(BC789="שימור",P789)</f>
        <v>0</v>
      </c>
      <c r="AN789" s="72" t="b">
        <f t="shared" ref="AN789:AN820" si="842">IF(BC789="כריתה",P789)</f>
        <v>0</v>
      </c>
      <c r="AO789" s="72" t="b">
        <f t="shared" ref="AO789:AO820" si="843">IF(BC789="העתקה",P789)</f>
        <v>0</v>
      </c>
      <c r="AS789" s="72">
        <f t="shared" ref="AS789:AS820" si="844">B789</f>
        <v>0</v>
      </c>
      <c r="AT789" s="72">
        <f t="shared" ref="AT789:AT820" si="845">C789</f>
        <v>0</v>
      </c>
      <c r="AU789" s="72">
        <f>IF(C789&gt;0,IF(D789&lt;2,1,D789),0)</f>
        <v>0</v>
      </c>
      <c r="AV789" s="72">
        <f t="shared" ref="AV789:AV820" si="846">E789</f>
        <v>0</v>
      </c>
      <c r="AW789" s="72">
        <f t="shared" ref="AW789:AW820" si="847">F789</f>
        <v>0</v>
      </c>
      <c r="AX789" s="72">
        <f t="shared" ref="AX789:AX820" si="848">G789</f>
        <v>0</v>
      </c>
      <c r="AY789" s="72">
        <f t="shared" ref="AY789:AY820" si="849">H789</f>
        <v>0</v>
      </c>
      <c r="AZ789" s="72">
        <f t="shared" ref="AZ789:AZ820" si="850">I789</f>
        <v>0</v>
      </c>
      <c r="BA789" s="72" t="e">
        <f t="shared" ref="BA789:BA820" si="851">N789</f>
        <v>#N/A</v>
      </c>
      <c r="BB789" s="72" t="e">
        <f t="shared" ref="BB789:BB820" si="852">IF(BA789&gt;6,IF(BA789&gt;13,IF(BA789&gt;16,"גבוה מאוד","גבוה"),"בינונית"),"נמוכה")</f>
        <v>#N/A</v>
      </c>
      <c r="BC789" s="77"/>
      <c r="BE789">
        <f t="shared" si="832"/>
        <v>0</v>
      </c>
      <c r="BF789" s="196"/>
      <c r="BG789" s="196"/>
      <c r="BH789" s="196"/>
      <c r="BI789" s="196"/>
      <c r="BJ789" s="196"/>
      <c r="BK789" s="196"/>
    </row>
    <row r="790" spans="2:63" hidden="1">
      <c r="B790" s="72"/>
      <c r="C790" s="135"/>
      <c r="D790" s="73"/>
      <c r="E790" s="73"/>
      <c r="F790" s="72"/>
      <c r="G790" s="72"/>
      <c r="H790" s="72"/>
      <c r="I790" s="73">
        <f t="shared" si="834"/>
        <v>0</v>
      </c>
      <c r="J790" s="73"/>
      <c r="K790" s="73"/>
      <c r="L790" s="74" t="e">
        <f>_xlfn.IFNA(VLOOKUP(C790,'חד גזעי'!$U$3:$V$509,2,0),VLOOKUP(C790,'חד גזעי'!$U$3:$V$509,2))</f>
        <v>#N/A</v>
      </c>
      <c r="M790" s="73"/>
      <c r="N790" s="72" t="e">
        <f>_xlfn.IFNA(IF(VLOOKUP(C790,'חד גזעי'!$AH$2:$AH$7,1,FALSE)&gt;0,0,IF('חד גזעי'!$AM$5="כן",IF(_xlfn.IFNA(VLOOKUP(C790,'חד גזעי'!$AH$2:$AH$33,1,FALSE),SUM(J790:M790))&lt;21,_xlfn.IFNA(VLOOKUP(C790,'חד גזעי'!$AH$2:$AH$33,1,FALSE),SUM(J790:M790)),0),SUM(J790:M790))),IF('חד גזעי'!$AM$5="כן",IF(_xlfn.IFNA(VLOOKUP(C790,'חד גזעי'!$AH$2:$AH$33,1,FALSE),SUM(J790:M790))&lt;21,_xlfn.IFNA(VLOOKUP(C790,'חד גזעי'!$AH$2:$AH$33,1,FALSE),SUM(J790:M790)),0),SUM(J790:M790)))</f>
        <v>#N/A</v>
      </c>
      <c r="O790" s="72">
        <f>IF('חד גזעי'!$AM$3 = "כן",IF(T790&gt;4,4,T790),T790)</f>
        <v>0</v>
      </c>
      <c r="P790" s="80">
        <f>IF(E790&lt;2,0,IF(Z790&gt;0,Z790,IF(N790 = 0,0,IF('חד גזעי'!$AM$2 = "לא",IF(F790&gt;19,W790,0),IF(F790&gt;9,Y790,0)))))</f>
        <v>0</v>
      </c>
      <c r="Q790" s="77"/>
      <c r="R790" s="75"/>
      <c r="S790" t="e">
        <f>VLOOKUP(C790,'חד גזעי'!$Y$4:$Y$18,1,0)</f>
        <v>#N/A</v>
      </c>
      <c r="T790" s="72">
        <f>IF('חד גזעי'!$AM$6="לא",IF(P790=0,IF(BC790="שימור",IF('חד גזעי'!$AM$4="לא",IF(BC790="לא בוגר",0,IF(BC790="לא קיים",0,IF(J790=0,0,I790*0.1))),IF(BC790="לא בוגר",0,IF(BC790="לא קיים",0,IF(AB790=1,I790*0.1,E790*0.5)))),0),IF('חד גזעי'!$AM$4="לא",IF(BC790="לא בוגר",0,IF(BC790="לא קיים",0,IF(J790=0,0,I790*0.1))),IF(BC790="לא בוגר",0,IF(BC790="לא קיים",0,IF(AB790=1,I790*0.1,E790*0.5))))),IF(P790=0,IF(BC790="שימור",IF('חד גזעי'!$AM$4="לא",IF(BC790="לא בוגר",0,IF(BC790="לא קיים",0,IF(J790=0,0,I790*0.15))),IF(BC790="לא בוגר",0,IF(BC790="לא קיים",0,IF(AB790=1,I790*0.15,E790*0.5)))),0),IF('חד גזעי'!$AM$4="לא",IF(BC790="לא בוגר",0,IF(BC790="לא קיים",0,IF(J790=0,0,I790*0.15))),IF(BC790="לא בוגר",0,IF(BC790="לא קיים",0,IF(AB790=1,I790*0.15,E790*0.5))))))</f>
        <v>0</v>
      </c>
      <c r="V790" t="e">
        <f t="shared" si="818"/>
        <v>#N/A</v>
      </c>
      <c r="W790" t="e">
        <f t="shared" si="819"/>
        <v>#N/A</v>
      </c>
      <c r="X790" t="e">
        <f t="shared" si="820"/>
        <v>#N/A</v>
      </c>
      <c r="Y790">
        <f>IF('חד גזעי'!$AM$2 = "לא",0,IF(F790&gt;9,W790,0))</f>
        <v>0</v>
      </c>
      <c r="Z790">
        <f>IF('חד גזעי'!$AM$7 = "לא",0,IF(C790 = "זית אירופי",IF('חד גזעי'!$AN$7 &lt;=סקר!F790,W790,0),IF(C790 = "חרוב מצוי",IF('חד גזעי'!$AN$7 &lt;=סקר!F790,W790,0),0)))</f>
        <v>0</v>
      </c>
      <c r="AB790">
        <f t="shared" si="835"/>
        <v>1</v>
      </c>
      <c r="AC790" s="72"/>
      <c r="AD790" t="e">
        <f t="shared" ref="AD790:AD820" si="853">IF(AK790&gt;0,AK790,AF790)</f>
        <v>#N/A</v>
      </c>
      <c r="AE790" s="72"/>
      <c r="AF790" s="72" t="e">
        <f t="shared" si="836"/>
        <v>#N/A</v>
      </c>
      <c r="AG790" s="72" t="e">
        <f>IF('חד גזעי'!$AM$5="לא",(VLOOKUP(C790,'חד גזעי'!$P$1:$S$589,3,FALSE)),(VLOOKUP(C790,'חד גזעי'!$P$1:$S$589,4,FALSE)))</f>
        <v>#N/A</v>
      </c>
      <c r="AH790" s="72">
        <f t="shared" si="837"/>
        <v>0</v>
      </c>
      <c r="AI790" s="72">
        <f t="shared" si="838"/>
        <v>0</v>
      </c>
      <c r="AJ790" s="72">
        <f t="shared" si="839"/>
        <v>0</v>
      </c>
      <c r="AK790" s="72" t="e">
        <f t="shared" si="840"/>
        <v>#N/A</v>
      </c>
      <c r="AL790" t="e">
        <f>VLOOKUP(C790,'חד גזעי'!$AH$8:$AI$33,2,FALSE)</f>
        <v>#N/A</v>
      </c>
      <c r="AM790" s="72" t="b">
        <f t="shared" si="841"/>
        <v>0</v>
      </c>
      <c r="AN790" s="72" t="b">
        <f t="shared" si="842"/>
        <v>0</v>
      </c>
      <c r="AO790" s="72" t="b">
        <f t="shared" si="843"/>
        <v>0</v>
      </c>
      <c r="AS790" s="72">
        <f t="shared" si="844"/>
        <v>0</v>
      </c>
      <c r="AT790" s="72">
        <f t="shared" si="845"/>
        <v>0</v>
      </c>
      <c r="AU790" s="72">
        <f t="shared" ref="AU790:AU820" si="854">IF(C790&gt;0,IF(D790&lt;2,1,D790),0)</f>
        <v>0</v>
      </c>
      <c r="AV790" s="72">
        <f t="shared" si="846"/>
        <v>0</v>
      </c>
      <c r="AW790" s="72">
        <f t="shared" si="847"/>
        <v>0</v>
      </c>
      <c r="AX790" s="72">
        <f t="shared" si="848"/>
        <v>0</v>
      </c>
      <c r="AY790" s="72">
        <f t="shared" si="849"/>
        <v>0</v>
      </c>
      <c r="AZ790" s="72">
        <f t="shared" si="850"/>
        <v>0</v>
      </c>
      <c r="BA790" s="72" t="e">
        <f t="shared" si="851"/>
        <v>#N/A</v>
      </c>
      <c r="BB790" s="72" t="e">
        <f t="shared" si="852"/>
        <v>#N/A</v>
      </c>
      <c r="BC790" s="77"/>
      <c r="BE790">
        <f t="shared" si="832"/>
        <v>0</v>
      </c>
      <c r="BF790" s="196"/>
      <c r="BG790" s="196"/>
      <c r="BH790" s="196"/>
      <c r="BI790" s="196"/>
      <c r="BJ790" s="196"/>
      <c r="BK790" s="196"/>
    </row>
    <row r="791" spans="2:63" hidden="1">
      <c r="B791" s="72"/>
      <c r="C791" s="135"/>
      <c r="D791" s="73"/>
      <c r="E791" s="73"/>
      <c r="F791" s="72"/>
      <c r="G791" s="72"/>
      <c r="H791" s="72"/>
      <c r="I791" s="73">
        <f t="shared" si="834"/>
        <v>0</v>
      </c>
      <c r="J791" s="73"/>
      <c r="K791" s="73"/>
      <c r="L791" s="74" t="e">
        <f>_xlfn.IFNA(VLOOKUP(C791,'חד גזעי'!$U$3:$V$509,2,0),VLOOKUP(C791,'חד גזעי'!$U$3:$V$509,2))</f>
        <v>#N/A</v>
      </c>
      <c r="M791" s="73"/>
      <c r="N791" s="72" t="e">
        <f>_xlfn.IFNA(IF(VLOOKUP(C791,'חד גזעי'!$AH$2:$AH$7,1,FALSE)&gt;0,0,IF('חד גזעי'!$AM$5="כן",IF(_xlfn.IFNA(VLOOKUP(C791,'חד גזעי'!$AH$2:$AH$33,1,FALSE),SUM(J791:M791))&lt;21,_xlfn.IFNA(VLOOKUP(C791,'חד גזעי'!$AH$2:$AH$33,1,FALSE),SUM(J791:M791)),0),SUM(J791:M791))),IF('חד גזעי'!$AM$5="כן",IF(_xlfn.IFNA(VLOOKUP(C791,'חד גזעי'!$AH$2:$AH$33,1,FALSE),SUM(J791:M791))&lt;21,_xlfn.IFNA(VLOOKUP(C791,'חד גזעי'!$AH$2:$AH$33,1,FALSE),SUM(J791:M791)),0),SUM(J791:M791)))</f>
        <v>#N/A</v>
      </c>
      <c r="O791" s="72">
        <f>IF('חד גזעי'!$AM$3 = "כן",IF(T791&gt;4,4,T791),T791)</f>
        <v>0</v>
      </c>
      <c r="P791" s="80">
        <f>IF(E791&lt;2,0,IF(Z791&gt;0,Z791,IF(N791 = 0,0,IF('חד גזעי'!$AM$2 = "לא",IF(F791&gt;19,W791,0),IF(F791&gt;9,Y791,0)))))</f>
        <v>0</v>
      </c>
      <c r="Q791" s="77"/>
      <c r="R791" s="75"/>
      <c r="S791" t="e">
        <f>VLOOKUP(C791,'חד גזעי'!$Y$4:$Y$18,1,0)</f>
        <v>#N/A</v>
      </c>
      <c r="T791" s="72">
        <f>IF('חד גזעי'!$AM$6="לא",IF(P791=0,IF(BC791="שימור",IF('חד גזעי'!$AM$4="לא",IF(BC791="לא בוגר",0,IF(BC791="לא קיים",0,IF(J791=0,0,I791*0.1))),IF(BC791="לא בוגר",0,IF(BC791="לא קיים",0,IF(AB791=1,I791*0.1,E791*0.5)))),0),IF('חד גזעי'!$AM$4="לא",IF(BC791="לא בוגר",0,IF(BC791="לא קיים",0,IF(J791=0,0,I791*0.1))),IF(BC791="לא בוגר",0,IF(BC791="לא קיים",0,IF(AB791=1,I791*0.1,E791*0.5))))),IF(P791=0,IF(BC791="שימור",IF('חד גזעי'!$AM$4="לא",IF(BC791="לא בוגר",0,IF(BC791="לא קיים",0,IF(J791=0,0,I791*0.15))),IF(BC791="לא בוגר",0,IF(BC791="לא קיים",0,IF(AB791=1,I791*0.15,E791*0.5)))),0),IF('חד גזעי'!$AM$4="לא",IF(BC791="לא בוגר",0,IF(BC791="לא קיים",0,IF(J791=0,0,I791*0.15))),IF(BC791="לא בוגר",0,IF(BC791="לא קיים",0,IF(AB791=1,I791*0.15,E791*0.5))))))</f>
        <v>0</v>
      </c>
      <c r="V791" t="e">
        <f t="shared" si="818"/>
        <v>#N/A</v>
      </c>
      <c r="W791" t="e">
        <f t="shared" si="819"/>
        <v>#N/A</v>
      </c>
      <c r="X791" t="e">
        <f t="shared" si="820"/>
        <v>#N/A</v>
      </c>
      <c r="Y791">
        <f>IF('חד גזעי'!$AM$2 = "לא",0,IF(F791&gt;9,W791,0))</f>
        <v>0</v>
      </c>
      <c r="Z791">
        <f>IF('חד גזעי'!$AM$7 = "לא",0,IF(C791 = "זית אירופי",IF('חד גזעי'!$AN$7 &lt;=סקר!F791,W791,0),IF(C791 = "חרוב מצוי",IF('חד גזעי'!$AN$7 &lt;=סקר!F791,W791,0),0)))</f>
        <v>0</v>
      </c>
      <c r="AB791">
        <f t="shared" si="835"/>
        <v>1</v>
      </c>
      <c r="AC791" s="72"/>
      <c r="AD791" t="e">
        <f t="shared" si="853"/>
        <v>#N/A</v>
      </c>
      <c r="AE791" s="72"/>
      <c r="AF791" s="72" t="e">
        <f t="shared" si="836"/>
        <v>#N/A</v>
      </c>
      <c r="AG791" s="72" t="e">
        <f>IF('חד גזעי'!$AM$5="לא",(VLOOKUP(C791,'חד גזעי'!$P$1:$S$589,3,FALSE)),(VLOOKUP(C791,'חד גזעי'!$P$1:$S$589,4,FALSE)))</f>
        <v>#N/A</v>
      </c>
      <c r="AH791" s="72">
        <f t="shared" si="837"/>
        <v>0</v>
      </c>
      <c r="AI791" s="72">
        <f t="shared" si="838"/>
        <v>0</v>
      </c>
      <c r="AJ791" s="72">
        <f t="shared" si="839"/>
        <v>0</v>
      </c>
      <c r="AK791" s="72" t="e">
        <f t="shared" si="840"/>
        <v>#N/A</v>
      </c>
      <c r="AL791" t="e">
        <f>VLOOKUP(C791,'חד גזעי'!$AH$8:$AI$33,2,FALSE)</f>
        <v>#N/A</v>
      </c>
      <c r="AM791" s="72" t="b">
        <f t="shared" si="841"/>
        <v>0</v>
      </c>
      <c r="AN791" s="72" t="b">
        <f t="shared" si="842"/>
        <v>0</v>
      </c>
      <c r="AO791" s="72" t="b">
        <f t="shared" si="843"/>
        <v>0</v>
      </c>
      <c r="AS791" s="72">
        <f t="shared" si="844"/>
        <v>0</v>
      </c>
      <c r="AT791" s="72">
        <f t="shared" si="845"/>
        <v>0</v>
      </c>
      <c r="AU791" s="72">
        <f t="shared" si="854"/>
        <v>0</v>
      </c>
      <c r="AV791" s="72">
        <f t="shared" si="846"/>
        <v>0</v>
      </c>
      <c r="AW791" s="72">
        <f t="shared" si="847"/>
        <v>0</v>
      </c>
      <c r="AX791" s="72">
        <f t="shared" si="848"/>
        <v>0</v>
      </c>
      <c r="AY791" s="72">
        <f t="shared" si="849"/>
        <v>0</v>
      </c>
      <c r="AZ791" s="72">
        <f t="shared" si="850"/>
        <v>0</v>
      </c>
      <c r="BA791" s="72" t="e">
        <f t="shared" si="851"/>
        <v>#N/A</v>
      </c>
      <c r="BB791" s="72" t="e">
        <f t="shared" si="852"/>
        <v>#N/A</v>
      </c>
      <c r="BC791" s="77"/>
      <c r="BE791">
        <f t="shared" si="832"/>
        <v>0</v>
      </c>
      <c r="BF791" s="196"/>
      <c r="BG791" s="196"/>
      <c r="BH791" s="196"/>
      <c r="BI791" s="196"/>
      <c r="BJ791" s="196"/>
      <c r="BK791" s="196"/>
    </row>
    <row r="792" spans="2:63" hidden="1">
      <c r="B792" s="72"/>
      <c r="C792" s="135"/>
      <c r="D792" s="73"/>
      <c r="E792" s="73"/>
      <c r="F792" s="72"/>
      <c r="G792" s="72"/>
      <c r="H792" s="72"/>
      <c r="I792" s="73">
        <f t="shared" si="834"/>
        <v>0</v>
      </c>
      <c r="J792" s="73"/>
      <c r="K792" s="73"/>
      <c r="L792" s="74" t="e">
        <f>_xlfn.IFNA(VLOOKUP(C792,'חד גזעי'!$U$3:$V$509,2,0),VLOOKUP(C792,'חד גזעי'!$U$3:$V$509,2))</f>
        <v>#N/A</v>
      </c>
      <c r="M792" s="73"/>
      <c r="N792" s="72" t="e">
        <f>_xlfn.IFNA(IF(VLOOKUP(C792,'חד גזעי'!$AH$2:$AH$7,1,FALSE)&gt;0,0,IF('חד גזעי'!$AM$5="כן",IF(_xlfn.IFNA(VLOOKUP(C792,'חד גזעי'!$AH$2:$AH$33,1,FALSE),SUM(J792:M792))&lt;21,_xlfn.IFNA(VLOOKUP(C792,'חד גזעי'!$AH$2:$AH$33,1,FALSE),SUM(J792:M792)),0),SUM(J792:M792))),IF('חד גזעי'!$AM$5="כן",IF(_xlfn.IFNA(VLOOKUP(C792,'חד גזעי'!$AH$2:$AH$33,1,FALSE),SUM(J792:M792))&lt;21,_xlfn.IFNA(VLOOKUP(C792,'חד גזעי'!$AH$2:$AH$33,1,FALSE),SUM(J792:M792)),0),SUM(J792:M792)))</f>
        <v>#N/A</v>
      </c>
      <c r="O792" s="72">
        <f>IF('חד גזעי'!$AM$3 = "כן",IF(T792&gt;4,4,T792),T792)</f>
        <v>0</v>
      </c>
      <c r="P792" s="80">
        <f>IF(E792&lt;2,0,IF(Z792&gt;0,Z792,IF(N792 = 0,0,IF('חד גזעי'!$AM$2 = "לא",IF(F792&gt;19,W792,0),IF(F792&gt;9,Y792,0)))))</f>
        <v>0</v>
      </c>
      <c r="Q792" s="77"/>
      <c r="R792" s="75"/>
      <c r="S792" t="e">
        <f>VLOOKUP(C792,'חד גזעי'!$Y$4:$Y$18,1,0)</f>
        <v>#N/A</v>
      </c>
      <c r="T792" s="72">
        <f>IF('חד גזעי'!$AM$6="לא",IF(P792=0,IF(BC792="שימור",IF('חד גזעי'!$AM$4="לא",IF(BC792="לא בוגר",0,IF(BC792="לא קיים",0,IF(J792=0,0,I792*0.1))),IF(BC792="לא בוגר",0,IF(BC792="לא קיים",0,IF(AB792=1,I792*0.1,E792*0.5)))),0),IF('חד גזעי'!$AM$4="לא",IF(BC792="לא בוגר",0,IF(BC792="לא קיים",0,IF(J792=0,0,I792*0.1))),IF(BC792="לא בוגר",0,IF(BC792="לא קיים",0,IF(AB792=1,I792*0.1,E792*0.5))))),IF(P792=0,IF(BC792="שימור",IF('חד גזעי'!$AM$4="לא",IF(BC792="לא בוגר",0,IF(BC792="לא קיים",0,IF(J792=0,0,I792*0.15))),IF(BC792="לא בוגר",0,IF(BC792="לא קיים",0,IF(AB792=1,I792*0.15,E792*0.5)))),0),IF('חד גזעי'!$AM$4="לא",IF(BC792="לא בוגר",0,IF(BC792="לא קיים",0,IF(J792=0,0,I792*0.15))),IF(BC792="לא בוגר",0,IF(BC792="לא קיים",0,IF(AB792=1,I792*0.15,E792*0.5))))))</f>
        <v>0</v>
      </c>
      <c r="V792" t="e">
        <f t="shared" si="818"/>
        <v>#N/A</v>
      </c>
      <c r="W792" t="e">
        <f t="shared" si="819"/>
        <v>#N/A</v>
      </c>
      <c r="X792" t="e">
        <f t="shared" si="820"/>
        <v>#N/A</v>
      </c>
      <c r="Y792">
        <f>IF('חד גזעי'!$AM$2 = "לא",0,IF(F792&gt;9,W792,0))</f>
        <v>0</v>
      </c>
      <c r="Z792">
        <f>IF('חד גזעי'!$AM$7 = "לא",0,IF(C792 = "זית אירופי",IF('חד גזעי'!$AN$7 &lt;=סקר!F792,W792,0),IF(C792 = "חרוב מצוי",IF('חד גזעי'!$AN$7 &lt;=סקר!F792,W792,0),0)))</f>
        <v>0</v>
      </c>
      <c r="AB792">
        <f t="shared" si="835"/>
        <v>1</v>
      </c>
      <c r="AC792" s="72"/>
      <c r="AD792" t="e">
        <f t="shared" si="853"/>
        <v>#N/A</v>
      </c>
      <c r="AE792" s="72"/>
      <c r="AF792" s="72" t="e">
        <f t="shared" si="836"/>
        <v>#N/A</v>
      </c>
      <c r="AG792" s="72" t="e">
        <f>IF('חד גזעי'!$AM$5="לא",(VLOOKUP(C792,'חד גזעי'!$P$1:$S$589,3,FALSE)),(VLOOKUP(C792,'חד גזעי'!$P$1:$S$589,4,FALSE)))</f>
        <v>#N/A</v>
      </c>
      <c r="AH792" s="72">
        <f t="shared" si="837"/>
        <v>0</v>
      </c>
      <c r="AI792" s="72">
        <f t="shared" si="838"/>
        <v>0</v>
      </c>
      <c r="AJ792" s="72">
        <f t="shared" si="839"/>
        <v>0</v>
      </c>
      <c r="AK792" s="72" t="e">
        <f t="shared" si="840"/>
        <v>#N/A</v>
      </c>
      <c r="AL792" t="e">
        <f>VLOOKUP(C792,'חד גזעי'!$AH$8:$AI$33,2,FALSE)</f>
        <v>#N/A</v>
      </c>
      <c r="AM792" s="72" t="b">
        <f t="shared" si="841"/>
        <v>0</v>
      </c>
      <c r="AN792" s="72" t="b">
        <f t="shared" si="842"/>
        <v>0</v>
      </c>
      <c r="AO792" s="72" t="b">
        <f t="shared" si="843"/>
        <v>0</v>
      </c>
      <c r="AS792" s="72">
        <f t="shared" si="844"/>
        <v>0</v>
      </c>
      <c r="AT792" s="72">
        <f t="shared" si="845"/>
        <v>0</v>
      </c>
      <c r="AU792" s="72">
        <f t="shared" si="854"/>
        <v>0</v>
      </c>
      <c r="AV792" s="72">
        <f t="shared" si="846"/>
        <v>0</v>
      </c>
      <c r="AW792" s="72">
        <f t="shared" si="847"/>
        <v>0</v>
      </c>
      <c r="AX792" s="72">
        <f t="shared" si="848"/>
        <v>0</v>
      </c>
      <c r="AY792" s="72">
        <f t="shared" si="849"/>
        <v>0</v>
      </c>
      <c r="AZ792" s="72">
        <f t="shared" si="850"/>
        <v>0</v>
      </c>
      <c r="BA792" s="72" t="e">
        <f t="shared" si="851"/>
        <v>#N/A</v>
      </c>
      <c r="BB792" s="72" t="e">
        <f t="shared" si="852"/>
        <v>#N/A</v>
      </c>
      <c r="BC792" s="77"/>
      <c r="BE792">
        <f t="shared" si="832"/>
        <v>0</v>
      </c>
      <c r="BF792" s="196"/>
      <c r="BG792" s="196"/>
      <c r="BH792" s="196"/>
      <c r="BI792" s="196"/>
      <c r="BJ792" s="196"/>
      <c r="BK792" s="196"/>
    </row>
    <row r="793" spans="2:63" hidden="1">
      <c r="B793" s="72"/>
      <c r="C793" s="135"/>
      <c r="D793" s="73"/>
      <c r="E793" s="73"/>
      <c r="F793" s="72"/>
      <c r="G793" s="72"/>
      <c r="H793" s="72"/>
      <c r="I793" s="73">
        <f t="shared" si="834"/>
        <v>0</v>
      </c>
      <c r="J793" s="73"/>
      <c r="K793" s="73"/>
      <c r="L793" s="74" t="e">
        <f>_xlfn.IFNA(VLOOKUP(C793,'חד גזעי'!$U$3:$V$509,2,0),VLOOKUP(C793,'חד גזעי'!$U$3:$V$509,2))</f>
        <v>#N/A</v>
      </c>
      <c r="M793" s="73"/>
      <c r="N793" s="72" t="e">
        <f>_xlfn.IFNA(IF(VLOOKUP(C793,'חד גזעי'!$AH$2:$AH$7,1,FALSE)&gt;0,0,IF('חד גזעי'!$AM$5="כן",IF(_xlfn.IFNA(VLOOKUP(C793,'חד גזעי'!$AH$2:$AH$33,1,FALSE),SUM(J793:M793))&lt;21,_xlfn.IFNA(VLOOKUP(C793,'חד גזעי'!$AH$2:$AH$33,1,FALSE),SUM(J793:M793)),0),SUM(J793:M793))),IF('חד גזעי'!$AM$5="כן",IF(_xlfn.IFNA(VLOOKUP(C793,'חד גזעי'!$AH$2:$AH$33,1,FALSE),SUM(J793:M793))&lt;21,_xlfn.IFNA(VLOOKUP(C793,'חד גזעי'!$AH$2:$AH$33,1,FALSE),SUM(J793:M793)),0),SUM(J793:M793)))</f>
        <v>#N/A</v>
      </c>
      <c r="O793" s="72">
        <f>IF('חד גזעי'!$AM$3 = "כן",IF(T793&gt;4,4,T793),T793)</f>
        <v>0</v>
      </c>
      <c r="P793" s="80">
        <f>IF(E793&lt;2,0,IF(Z793&gt;0,Z793,IF(N793 = 0,0,IF('חד גזעי'!$AM$2 = "לא",IF(F793&gt;19,W793,0),IF(F793&gt;9,Y793,0)))))</f>
        <v>0</v>
      </c>
      <c r="Q793" s="77"/>
      <c r="R793" s="75"/>
      <c r="S793" t="e">
        <f>VLOOKUP(C793,'חד גזעי'!$Y$4:$Y$18,1,0)</f>
        <v>#N/A</v>
      </c>
      <c r="T793" s="72">
        <f>IF('חד גזעי'!$AM$6="לא",IF(P793=0,IF(BC793="שימור",IF('חד גזעי'!$AM$4="לא",IF(BC793="לא בוגר",0,IF(BC793="לא קיים",0,IF(J793=0,0,I793*0.1))),IF(BC793="לא בוגר",0,IF(BC793="לא קיים",0,IF(AB793=1,I793*0.1,E793*0.5)))),0),IF('חד גזעי'!$AM$4="לא",IF(BC793="לא בוגר",0,IF(BC793="לא קיים",0,IF(J793=0,0,I793*0.1))),IF(BC793="לא בוגר",0,IF(BC793="לא קיים",0,IF(AB793=1,I793*0.1,E793*0.5))))),IF(P793=0,IF(BC793="שימור",IF('חד גזעי'!$AM$4="לא",IF(BC793="לא בוגר",0,IF(BC793="לא קיים",0,IF(J793=0,0,I793*0.15))),IF(BC793="לא בוגר",0,IF(BC793="לא קיים",0,IF(AB793=1,I793*0.15,E793*0.5)))),0),IF('חד גזעי'!$AM$4="לא",IF(BC793="לא בוגר",0,IF(BC793="לא קיים",0,IF(J793=0,0,I793*0.15))),IF(BC793="לא בוגר",0,IF(BC793="לא קיים",0,IF(AB793=1,I793*0.15,E793*0.5))))))</f>
        <v>0</v>
      </c>
      <c r="V793" t="e">
        <f t="shared" si="818"/>
        <v>#N/A</v>
      </c>
      <c r="W793" t="e">
        <f t="shared" si="819"/>
        <v>#N/A</v>
      </c>
      <c r="X793" t="e">
        <f t="shared" si="820"/>
        <v>#N/A</v>
      </c>
      <c r="Y793">
        <f>IF('חד גזעי'!$AM$2 = "לא",0,IF(F793&gt;9,W793,0))</f>
        <v>0</v>
      </c>
      <c r="Z793">
        <f>IF('חד גזעי'!$AM$7 = "לא",0,IF(C793 = "זית אירופי",IF('חד גזעי'!$AN$7 &lt;=סקר!F793,W793,0),IF(C793 = "חרוב מצוי",IF('חד גזעי'!$AN$7 &lt;=סקר!F793,W793,0),0)))</f>
        <v>0</v>
      </c>
      <c r="AB793">
        <f t="shared" si="835"/>
        <v>1</v>
      </c>
      <c r="AC793" s="72"/>
      <c r="AD793" t="e">
        <f t="shared" si="853"/>
        <v>#N/A</v>
      </c>
      <c r="AE793" s="72"/>
      <c r="AF793" s="72" t="e">
        <f t="shared" si="836"/>
        <v>#N/A</v>
      </c>
      <c r="AG793" s="72" t="e">
        <f>IF('חד גזעי'!$AM$5="לא",(VLOOKUP(C793,'חד גזעי'!$P$1:$S$589,3,FALSE)),(VLOOKUP(C793,'חד גזעי'!$P$1:$S$589,4,FALSE)))</f>
        <v>#N/A</v>
      </c>
      <c r="AH793" s="72">
        <f t="shared" si="837"/>
        <v>0</v>
      </c>
      <c r="AI793" s="72">
        <f t="shared" si="838"/>
        <v>0</v>
      </c>
      <c r="AJ793" s="72">
        <f t="shared" si="839"/>
        <v>0</v>
      </c>
      <c r="AK793" s="72" t="e">
        <f t="shared" si="840"/>
        <v>#N/A</v>
      </c>
      <c r="AL793" t="e">
        <f>VLOOKUP(C793,'חד גזעי'!$AH$8:$AI$33,2,FALSE)</f>
        <v>#N/A</v>
      </c>
      <c r="AM793" s="72" t="b">
        <f t="shared" si="841"/>
        <v>0</v>
      </c>
      <c r="AN793" s="72" t="b">
        <f t="shared" si="842"/>
        <v>0</v>
      </c>
      <c r="AO793" s="72" t="b">
        <f t="shared" si="843"/>
        <v>0</v>
      </c>
      <c r="AS793" s="72">
        <f t="shared" si="844"/>
        <v>0</v>
      </c>
      <c r="AT793" s="72">
        <f t="shared" si="845"/>
        <v>0</v>
      </c>
      <c r="AU793" s="72">
        <f t="shared" si="854"/>
        <v>0</v>
      </c>
      <c r="AV793" s="72">
        <f t="shared" si="846"/>
        <v>0</v>
      </c>
      <c r="AW793" s="72">
        <f t="shared" si="847"/>
        <v>0</v>
      </c>
      <c r="AX793" s="72">
        <f t="shared" si="848"/>
        <v>0</v>
      </c>
      <c r="AY793" s="72">
        <f t="shared" si="849"/>
        <v>0</v>
      </c>
      <c r="AZ793" s="72">
        <f t="shared" si="850"/>
        <v>0</v>
      </c>
      <c r="BA793" s="72" t="e">
        <f t="shared" si="851"/>
        <v>#N/A</v>
      </c>
      <c r="BB793" s="72" t="e">
        <f t="shared" si="852"/>
        <v>#N/A</v>
      </c>
      <c r="BC793" s="77"/>
      <c r="BE793">
        <f t="shared" si="832"/>
        <v>0</v>
      </c>
      <c r="BF793" s="196"/>
      <c r="BG793" s="196"/>
      <c r="BH793" s="196"/>
      <c r="BI793" s="196"/>
      <c r="BJ793" s="196"/>
      <c r="BK793" s="196"/>
    </row>
    <row r="794" spans="2:63" hidden="1">
      <c r="B794" s="72"/>
      <c r="C794" s="135"/>
      <c r="D794" s="78"/>
      <c r="E794" s="73"/>
      <c r="F794" s="72"/>
      <c r="G794" s="72"/>
      <c r="H794" s="72"/>
      <c r="I794" s="73">
        <f t="shared" si="834"/>
        <v>0</v>
      </c>
      <c r="J794" s="78"/>
      <c r="K794" s="73"/>
      <c r="L794" s="74" t="e">
        <f>_xlfn.IFNA(VLOOKUP(C794,'חד גזעי'!$U$3:$V$509,2,0),VLOOKUP(C794,'חד גזעי'!$U$3:$V$509,2))</f>
        <v>#N/A</v>
      </c>
      <c r="M794" s="73"/>
      <c r="N794" s="72" t="e">
        <f>_xlfn.IFNA(IF(VLOOKUP(C794,'חד גזעי'!$AH$2:$AH$7,1,FALSE)&gt;0,0,IF('חד גזעי'!$AM$5="כן",IF(_xlfn.IFNA(VLOOKUP(C794,'חד גזעי'!$AH$2:$AH$33,1,FALSE),SUM(J794:M794))&lt;21,_xlfn.IFNA(VLOOKUP(C794,'חד גזעי'!$AH$2:$AH$33,1,FALSE),SUM(J794:M794)),0),SUM(J794:M794))),IF('חד גזעי'!$AM$5="כן",IF(_xlfn.IFNA(VLOOKUP(C794,'חד גזעי'!$AH$2:$AH$33,1,FALSE),SUM(J794:M794))&lt;21,_xlfn.IFNA(VLOOKUP(C794,'חד גזעי'!$AH$2:$AH$33,1,FALSE),SUM(J794:M794)),0),SUM(J794:M794)))</f>
        <v>#N/A</v>
      </c>
      <c r="O794" s="72">
        <f>IF('חד גזעי'!$AM$3 = "כן",IF(T794&gt;4,4,T794),T794)</f>
        <v>0</v>
      </c>
      <c r="P794" s="80">
        <f>IF(E794&lt;2,0,IF(Z794&gt;0,Z794,IF(N794 = 0,0,IF('חד גזעי'!$AM$2 = "לא",IF(F794&gt;19,W794,0),IF(F794&gt;9,Y794,0)))))</f>
        <v>0</v>
      </c>
      <c r="Q794" s="77"/>
      <c r="R794" s="75"/>
      <c r="S794" t="e">
        <f>VLOOKUP(C794,'חד גזעי'!$Y$4:$Y$18,1,0)</f>
        <v>#N/A</v>
      </c>
      <c r="T794" s="72">
        <f>IF('חד גזעי'!$AM$6="לא",IF(P794=0,IF(BC794="שימור",IF('חד גזעי'!$AM$4="לא",IF(BC794="לא בוגר",0,IF(BC794="לא קיים",0,IF(J794=0,0,I794*0.1))),IF(BC794="לא בוגר",0,IF(BC794="לא קיים",0,IF(AB794=1,I794*0.1,E794*0.5)))),0),IF('חד גזעי'!$AM$4="לא",IF(BC794="לא בוגר",0,IF(BC794="לא קיים",0,IF(J794=0,0,I794*0.1))),IF(BC794="לא בוגר",0,IF(BC794="לא קיים",0,IF(AB794=1,I794*0.1,E794*0.5))))),IF(P794=0,IF(BC794="שימור",IF('חד גזעי'!$AM$4="לא",IF(BC794="לא בוגר",0,IF(BC794="לא קיים",0,IF(J794=0,0,I794*0.15))),IF(BC794="לא בוגר",0,IF(BC794="לא קיים",0,IF(AB794=1,I794*0.15,E794*0.5)))),0),IF('חד גזעי'!$AM$4="לא",IF(BC794="לא בוגר",0,IF(BC794="לא קיים",0,IF(J794=0,0,I794*0.15))),IF(BC794="לא בוגר",0,IF(BC794="לא קיים",0,IF(AB794=1,I794*0.15,E794*0.5))))))</f>
        <v>0</v>
      </c>
      <c r="V794" t="e">
        <f t="shared" si="818"/>
        <v>#N/A</v>
      </c>
      <c r="W794" t="e">
        <f t="shared" si="819"/>
        <v>#N/A</v>
      </c>
      <c r="X794" t="e">
        <f t="shared" si="820"/>
        <v>#N/A</v>
      </c>
      <c r="Y794">
        <f>IF('חד גזעי'!$AM$2 = "לא",0,IF(F794&gt;9,W794,0))</f>
        <v>0</v>
      </c>
      <c r="Z794">
        <f>IF('חד גזעי'!$AM$7 = "לא",0,IF(C794 = "זית אירופי",IF('חד גזעי'!$AN$7 &lt;=סקר!F794,W794,0),IF(C794 = "חרוב מצוי",IF('חד גזעי'!$AN$7 &lt;=סקר!F794,W794,0),0)))</f>
        <v>0</v>
      </c>
      <c r="AB794">
        <f t="shared" si="835"/>
        <v>1</v>
      </c>
      <c r="AC794" s="72"/>
      <c r="AD794" t="e">
        <f t="shared" si="853"/>
        <v>#N/A</v>
      </c>
      <c r="AE794" s="72"/>
      <c r="AF794" s="72" t="e">
        <f t="shared" si="836"/>
        <v>#N/A</v>
      </c>
      <c r="AG794" s="72" t="e">
        <f>IF('חד גזעי'!$AM$5="לא",(VLOOKUP(C794,'חד גזעי'!$P$1:$S$589,3,FALSE)),(VLOOKUP(C794,'חד גזעי'!$P$1:$S$589,4,FALSE)))</f>
        <v>#N/A</v>
      </c>
      <c r="AH794" s="72">
        <f t="shared" si="837"/>
        <v>0</v>
      </c>
      <c r="AI794" s="72">
        <f t="shared" si="838"/>
        <v>0</v>
      </c>
      <c r="AJ794" s="72">
        <f t="shared" si="839"/>
        <v>0</v>
      </c>
      <c r="AK794" s="72" t="e">
        <f t="shared" si="840"/>
        <v>#N/A</v>
      </c>
      <c r="AL794" t="e">
        <f>VLOOKUP(C794,'חד גזעי'!$AH$8:$AI$33,2,FALSE)</f>
        <v>#N/A</v>
      </c>
      <c r="AM794" s="72" t="b">
        <f t="shared" si="841"/>
        <v>0</v>
      </c>
      <c r="AN794" s="72" t="b">
        <f t="shared" si="842"/>
        <v>0</v>
      </c>
      <c r="AO794" s="72" t="b">
        <f t="shared" si="843"/>
        <v>0</v>
      </c>
      <c r="AS794" s="72">
        <f t="shared" si="844"/>
        <v>0</v>
      </c>
      <c r="AT794" s="72">
        <f t="shared" si="845"/>
        <v>0</v>
      </c>
      <c r="AU794" s="72">
        <f t="shared" si="854"/>
        <v>0</v>
      </c>
      <c r="AV794" s="72">
        <f t="shared" si="846"/>
        <v>0</v>
      </c>
      <c r="AW794" s="72">
        <f t="shared" si="847"/>
        <v>0</v>
      </c>
      <c r="AX794" s="72">
        <f t="shared" si="848"/>
        <v>0</v>
      </c>
      <c r="AY794" s="72">
        <f t="shared" si="849"/>
        <v>0</v>
      </c>
      <c r="AZ794" s="72">
        <f t="shared" si="850"/>
        <v>0</v>
      </c>
      <c r="BA794" s="72" t="e">
        <f t="shared" si="851"/>
        <v>#N/A</v>
      </c>
      <c r="BB794" s="72" t="e">
        <f t="shared" si="852"/>
        <v>#N/A</v>
      </c>
      <c r="BC794" s="77"/>
      <c r="BE794">
        <f t="shared" si="832"/>
        <v>0</v>
      </c>
      <c r="BF794" s="196"/>
      <c r="BG794" s="196"/>
      <c r="BH794" s="196"/>
      <c r="BI794" s="196"/>
      <c r="BJ794" s="196"/>
      <c r="BK794" s="196"/>
    </row>
    <row r="795" spans="2:63" hidden="1">
      <c r="B795" s="72"/>
      <c r="C795" s="135"/>
      <c r="D795" s="78"/>
      <c r="E795" s="73"/>
      <c r="F795" s="72"/>
      <c r="G795" s="72"/>
      <c r="H795" s="72"/>
      <c r="I795" s="73">
        <f t="shared" si="834"/>
        <v>0</v>
      </c>
      <c r="J795" s="78"/>
      <c r="K795" s="73"/>
      <c r="L795" s="74" t="e">
        <f>_xlfn.IFNA(VLOOKUP(C795,'חד גזעי'!$U$3:$V$509,2,0),VLOOKUP(C795,'חד גזעי'!$U$3:$V$509,2))</f>
        <v>#N/A</v>
      </c>
      <c r="M795" s="73"/>
      <c r="N795" s="72" t="e">
        <f>_xlfn.IFNA(IF(VLOOKUP(C795,'חד גזעי'!$AH$2:$AH$7,1,FALSE)&gt;0,0,IF('חד גזעי'!$AM$5="כן",IF(_xlfn.IFNA(VLOOKUP(C795,'חד גזעי'!$AH$2:$AH$33,1,FALSE),SUM(J795:M795))&lt;21,_xlfn.IFNA(VLOOKUP(C795,'חד גזעי'!$AH$2:$AH$33,1,FALSE),SUM(J795:M795)),0),SUM(J795:M795))),IF('חד גזעי'!$AM$5="כן",IF(_xlfn.IFNA(VLOOKUP(C795,'חד גזעי'!$AH$2:$AH$33,1,FALSE),SUM(J795:M795))&lt;21,_xlfn.IFNA(VLOOKUP(C795,'חד גזעי'!$AH$2:$AH$33,1,FALSE),SUM(J795:M795)),0),SUM(J795:M795)))</f>
        <v>#N/A</v>
      </c>
      <c r="O795" s="72">
        <f>IF('חד גזעי'!$AM$3 = "כן",IF(T795&gt;4,4,T795),T795)</f>
        <v>0</v>
      </c>
      <c r="P795" s="80">
        <f>IF(E795&lt;2,0,IF(Z795&gt;0,Z795,IF(N795 = 0,0,IF('חד גזעי'!$AM$2 = "לא",IF(F795&gt;19,W795,0),IF(F795&gt;9,Y795,0)))))</f>
        <v>0</v>
      </c>
      <c r="Q795" s="77"/>
      <c r="R795" s="75"/>
      <c r="S795" t="e">
        <f>VLOOKUP(C795,'חד גזעי'!$Y$4:$Y$18,1,0)</f>
        <v>#N/A</v>
      </c>
      <c r="T795" s="72">
        <f>IF('חד גזעי'!$AM$6="לא",IF(P795=0,IF(BC795="שימור",IF('חד גזעי'!$AM$4="לא",IF(BC795="לא בוגר",0,IF(BC795="לא קיים",0,IF(J795=0,0,I795*0.1))),IF(BC795="לא בוגר",0,IF(BC795="לא קיים",0,IF(AB795=1,I795*0.1,E795*0.5)))),0),IF('חד גזעי'!$AM$4="לא",IF(BC795="לא בוגר",0,IF(BC795="לא קיים",0,IF(J795=0,0,I795*0.1))),IF(BC795="לא בוגר",0,IF(BC795="לא קיים",0,IF(AB795=1,I795*0.1,E795*0.5))))),IF(P795=0,IF(BC795="שימור",IF('חד גזעי'!$AM$4="לא",IF(BC795="לא בוגר",0,IF(BC795="לא קיים",0,IF(J795=0,0,I795*0.15))),IF(BC795="לא בוגר",0,IF(BC795="לא קיים",0,IF(AB795=1,I795*0.15,E795*0.5)))),0),IF('חד גזעי'!$AM$4="לא",IF(BC795="לא בוגר",0,IF(BC795="לא קיים",0,IF(J795=0,0,I795*0.15))),IF(BC795="לא בוגר",0,IF(BC795="לא קיים",0,IF(AB795=1,I795*0.15,E795*0.5))))))</f>
        <v>0</v>
      </c>
      <c r="V795" t="e">
        <f t="shared" si="818"/>
        <v>#N/A</v>
      </c>
      <c r="W795" t="e">
        <f t="shared" si="819"/>
        <v>#N/A</v>
      </c>
      <c r="X795" t="e">
        <f t="shared" si="820"/>
        <v>#N/A</v>
      </c>
      <c r="Y795">
        <f>IF('חד גזעי'!$AM$2 = "לא",0,IF(F795&gt;9,W795,0))</f>
        <v>0</v>
      </c>
      <c r="Z795">
        <f>IF('חד גזעי'!$AM$7 = "לא",0,IF(C795 = "זית אירופי",IF('חד גזעי'!$AN$7 &lt;=סקר!F795,W795,0),IF(C795 = "חרוב מצוי",IF('חד גזעי'!$AN$7 &lt;=סקר!F795,W795,0),0)))</f>
        <v>0</v>
      </c>
      <c r="AB795">
        <f t="shared" si="835"/>
        <v>1</v>
      </c>
      <c r="AC795" s="72"/>
      <c r="AD795" t="e">
        <f t="shared" si="853"/>
        <v>#N/A</v>
      </c>
      <c r="AE795" s="72"/>
      <c r="AF795" s="72" t="e">
        <f t="shared" si="836"/>
        <v>#N/A</v>
      </c>
      <c r="AG795" s="72" t="e">
        <f>IF('חד גזעי'!$AM$5="לא",(VLOOKUP(C795,'חד גזעי'!$P$1:$S$589,3,FALSE)),(VLOOKUP(C795,'חד גזעי'!$P$1:$S$589,4,FALSE)))</f>
        <v>#N/A</v>
      </c>
      <c r="AH795" s="72">
        <f t="shared" si="837"/>
        <v>0</v>
      </c>
      <c r="AI795" s="72">
        <f t="shared" si="838"/>
        <v>0</v>
      </c>
      <c r="AJ795" s="72">
        <f t="shared" si="839"/>
        <v>0</v>
      </c>
      <c r="AK795" s="72" t="e">
        <f t="shared" si="840"/>
        <v>#N/A</v>
      </c>
      <c r="AL795" t="e">
        <f>VLOOKUP(C795,'חד גזעי'!$AH$8:$AI$33,2,FALSE)</f>
        <v>#N/A</v>
      </c>
      <c r="AM795" s="72" t="b">
        <f t="shared" si="841"/>
        <v>0</v>
      </c>
      <c r="AN795" s="72" t="b">
        <f t="shared" si="842"/>
        <v>0</v>
      </c>
      <c r="AO795" s="72" t="b">
        <f t="shared" si="843"/>
        <v>0</v>
      </c>
      <c r="AS795" s="72">
        <f t="shared" si="844"/>
        <v>0</v>
      </c>
      <c r="AT795" s="72">
        <f t="shared" si="845"/>
        <v>0</v>
      </c>
      <c r="AU795" s="72">
        <f t="shared" si="854"/>
        <v>0</v>
      </c>
      <c r="AV795" s="72">
        <f t="shared" si="846"/>
        <v>0</v>
      </c>
      <c r="AW795" s="72">
        <f t="shared" si="847"/>
        <v>0</v>
      </c>
      <c r="AX795" s="72">
        <f t="shared" si="848"/>
        <v>0</v>
      </c>
      <c r="AY795" s="72">
        <f t="shared" si="849"/>
        <v>0</v>
      </c>
      <c r="AZ795" s="72">
        <f t="shared" si="850"/>
        <v>0</v>
      </c>
      <c r="BA795" s="72" t="e">
        <f t="shared" si="851"/>
        <v>#N/A</v>
      </c>
      <c r="BB795" s="72" t="e">
        <f t="shared" si="852"/>
        <v>#N/A</v>
      </c>
      <c r="BC795" s="77"/>
      <c r="BE795">
        <f t="shared" si="832"/>
        <v>0</v>
      </c>
      <c r="BF795" s="196"/>
      <c r="BG795" s="196"/>
      <c r="BH795" s="196"/>
      <c r="BI795" s="196"/>
      <c r="BJ795" s="196"/>
      <c r="BK795" s="196"/>
    </row>
    <row r="796" spans="2:63" hidden="1">
      <c r="B796" s="72"/>
      <c r="C796" s="135"/>
      <c r="D796" s="78"/>
      <c r="E796" s="73"/>
      <c r="F796" s="72"/>
      <c r="G796" s="72"/>
      <c r="H796" s="72"/>
      <c r="I796" s="73">
        <f t="shared" si="834"/>
        <v>0</v>
      </c>
      <c r="J796" s="78"/>
      <c r="K796" s="73"/>
      <c r="L796" s="74" t="e">
        <f>_xlfn.IFNA(VLOOKUP(C796,'חד גזעי'!$U$3:$V$509,2,0),VLOOKUP(C796,'חד גזעי'!$U$3:$V$509,2))</f>
        <v>#N/A</v>
      </c>
      <c r="M796" s="73"/>
      <c r="N796" s="72" t="e">
        <f>_xlfn.IFNA(IF(VLOOKUP(C796,'חד גזעי'!$AH$2:$AH$7,1,FALSE)&gt;0,0,IF('חד גזעי'!$AM$5="כן",IF(_xlfn.IFNA(VLOOKUP(C796,'חד גזעי'!$AH$2:$AH$33,1,FALSE),SUM(J796:M796))&lt;21,_xlfn.IFNA(VLOOKUP(C796,'חד גזעי'!$AH$2:$AH$33,1,FALSE),SUM(J796:M796)),0),SUM(J796:M796))),IF('חד גזעי'!$AM$5="כן",IF(_xlfn.IFNA(VLOOKUP(C796,'חד גזעי'!$AH$2:$AH$33,1,FALSE),SUM(J796:M796))&lt;21,_xlfn.IFNA(VLOOKUP(C796,'חד גזעי'!$AH$2:$AH$33,1,FALSE),SUM(J796:M796)),0),SUM(J796:M796)))</f>
        <v>#N/A</v>
      </c>
      <c r="O796" s="72">
        <f>IF('חד גזעי'!$AM$3 = "כן",IF(T796&gt;4,4,T796),T796)</f>
        <v>0</v>
      </c>
      <c r="P796" s="80">
        <f>IF(E796&lt;2,0,IF(Z796&gt;0,Z796,IF(N796 = 0,0,IF('חד גזעי'!$AM$2 = "לא",IF(F796&gt;19,W796,0),IF(F796&gt;9,Y796,0)))))</f>
        <v>0</v>
      </c>
      <c r="Q796" s="77"/>
      <c r="R796" s="75"/>
      <c r="S796" t="e">
        <f>VLOOKUP(C796,'חד גזעי'!$Y$4:$Y$18,1,0)</f>
        <v>#N/A</v>
      </c>
      <c r="T796" s="72">
        <f>IF('חד גזעי'!$AM$6="לא",IF(P796=0,IF(BC796="שימור",IF('חד גזעי'!$AM$4="לא",IF(BC796="לא בוגר",0,IF(BC796="לא קיים",0,IF(J796=0,0,I796*0.1))),IF(BC796="לא בוגר",0,IF(BC796="לא קיים",0,IF(AB796=1,I796*0.1,E796*0.5)))),0),IF('חד גזעי'!$AM$4="לא",IF(BC796="לא בוגר",0,IF(BC796="לא קיים",0,IF(J796=0,0,I796*0.1))),IF(BC796="לא בוגר",0,IF(BC796="לא קיים",0,IF(AB796=1,I796*0.1,E796*0.5))))),IF(P796=0,IF(BC796="שימור",IF('חד גזעי'!$AM$4="לא",IF(BC796="לא בוגר",0,IF(BC796="לא קיים",0,IF(J796=0,0,I796*0.15))),IF(BC796="לא בוגר",0,IF(BC796="לא קיים",0,IF(AB796=1,I796*0.15,E796*0.5)))),0),IF('חד גזעי'!$AM$4="לא",IF(BC796="לא בוגר",0,IF(BC796="לא קיים",0,IF(J796=0,0,I796*0.15))),IF(BC796="לא בוגר",0,IF(BC796="לא קיים",0,IF(AB796=1,I796*0.15,E796*0.5))))))</f>
        <v>0</v>
      </c>
      <c r="V796" t="e">
        <f t="shared" si="818"/>
        <v>#N/A</v>
      </c>
      <c r="W796" t="e">
        <f t="shared" si="819"/>
        <v>#N/A</v>
      </c>
      <c r="X796" t="e">
        <f t="shared" si="820"/>
        <v>#N/A</v>
      </c>
      <c r="Y796">
        <f>IF('חד גזעי'!$AM$2 = "לא",0,IF(F796&gt;9,W796,0))</f>
        <v>0</v>
      </c>
      <c r="Z796">
        <f>IF('חד גזעי'!$AM$7 = "לא",0,IF(C796 = "זית אירופי",IF('חד גזעי'!$AN$7 &lt;=סקר!F796,W796,0),IF(C796 = "חרוב מצוי",IF('חד גזעי'!$AN$7 &lt;=סקר!F796,W796,0),0)))</f>
        <v>0</v>
      </c>
      <c r="AB796">
        <f t="shared" si="835"/>
        <v>1</v>
      </c>
      <c r="AC796" s="72"/>
      <c r="AD796" t="e">
        <f t="shared" si="853"/>
        <v>#N/A</v>
      </c>
      <c r="AE796" s="72"/>
      <c r="AF796" s="72" t="e">
        <f t="shared" si="836"/>
        <v>#N/A</v>
      </c>
      <c r="AG796" s="72" t="e">
        <f>IF('חד גזעי'!$AM$5="לא",(VLOOKUP(C796,'חד גזעי'!$P$1:$S$589,3,FALSE)),(VLOOKUP(C796,'חד גזעי'!$P$1:$S$589,4,FALSE)))</f>
        <v>#N/A</v>
      </c>
      <c r="AH796" s="72">
        <f t="shared" si="837"/>
        <v>0</v>
      </c>
      <c r="AI796" s="72">
        <f t="shared" si="838"/>
        <v>0</v>
      </c>
      <c r="AJ796" s="72">
        <f t="shared" si="839"/>
        <v>0</v>
      </c>
      <c r="AK796" s="72" t="e">
        <f t="shared" si="840"/>
        <v>#N/A</v>
      </c>
      <c r="AL796" t="e">
        <f>VLOOKUP(C796,'חד גזעי'!$AH$8:$AI$33,2,FALSE)</f>
        <v>#N/A</v>
      </c>
      <c r="AM796" s="72" t="b">
        <f t="shared" si="841"/>
        <v>0</v>
      </c>
      <c r="AN796" s="72" t="b">
        <f t="shared" si="842"/>
        <v>0</v>
      </c>
      <c r="AO796" s="72" t="b">
        <f t="shared" si="843"/>
        <v>0</v>
      </c>
      <c r="AS796" s="72">
        <f t="shared" si="844"/>
        <v>0</v>
      </c>
      <c r="AT796" s="72">
        <f t="shared" si="845"/>
        <v>0</v>
      </c>
      <c r="AU796" s="72">
        <f t="shared" si="854"/>
        <v>0</v>
      </c>
      <c r="AV796" s="72">
        <f t="shared" si="846"/>
        <v>0</v>
      </c>
      <c r="AW796" s="72">
        <f t="shared" si="847"/>
        <v>0</v>
      </c>
      <c r="AX796" s="72">
        <f t="shared" si="848"/>
        <v>0</v>
      </c>
      <c r="AY796" s="72">
        <f t="shared" si="849"/>
        <v>0</v>
      </c>
      <c r="AZ796" s="72">
        <f t="shared" si="850"/>
        <v>0</v>
      </c>
      <c r="BA796" s="72" t="e">
        <f t="shared" si="851"/>
        <v>#N/A</v>
      </c>
      <c r="BB796" s="72" t="e">
        <f t="shared" si="852"/>
        <v>#N/A</v>
      </c>
      <c r="BC796" s="77"/>
      <c r="BE796">
        <f t="shared" si="832"/>
        <v>0</v>
      </c>
      <c r="BF796" s="196"/>
      <c r="BG796" s="196"/>
      <c r="BH796" s="196"/>
      <c r="BI796" s="196"/>
      <c r="BJ796" s="196"/>
      <c r="BK796" s="196"/>
    </row>
    <row r="797" spans="2:63" hidden="1">
      <c r="B797" s="72"/>
      <c r="C797" s="135"/>
      <c r="D797" s="78"/>
      <c r="E797" s="73"/>
      <c r="F797" s="72"/>
      <c r="G797" s="72"/>
      <c r="H797" s="72"/>
      <c r="I797" s="73">
        <f t="shared" si="834"/>
        <v>0</v>
      </c>
      <c r="J797" s="78"/>
      <c r="K797" s="73"/>
      <c r="L797" s="74" t="e">
        <f>_xlfn.IFNA(VLOOKUP(C797,'חד גזעי'!$U$3:$V$509,2,0),VLOOKUP(C797,'חד גזעי'!$U$3:$V$509,2))</f>
        <v>#N/A</v>
      </c>
      <c r="M797" s="73"/>
      <c r="N797" s="72" t="e">
        <f>_xlfn.IFNA(IF(VLOOKUP(C797,'חד גזעי'!$AH$2:$AH$7,1,FALSE)&gt;0,0,IF('חד גזעי'!$AM$5="כן",IF(_xlfn.IFNA(VLOOKUP(C797,'חד גזעי'!$AH$2:$AH$33,1,FALSE),SUM(J797:M797))&lt;21,_xlfn.IFNA(VLOOKUP(C797,'חד גזעי'!$AH$2:$AH$33,1,FALSE),SUM(J797:M797)),0),SUM(J797:M797))),IF('חד גזעי'!$AM$5="כן",IF(_xlfn.IFNA(VLOOKUP(C797,'חד גזעי'!$AH$2:$AH$33,1,FALSE),SUM(J797:M797))&lt;21,_xlfn.IFNA(VLOOKUP(C797,'חד גזעי'!$AH$2:$AH$33,1,FALSE),SUM(J797:M797)),0),SUM(J797:M797)))</f>
        <v>#N/A</v>
      </c>
      <c r="O797" s="72">
        <f>IF('חד גזעי'!$AM$3 = "כן",IF(T797&gt;4,4,T797),T797)</f>
        <v>0</v>
      </c>
      <c r="P797" s="80">
        <f>IF(E797&lt;2,0,IF(Z797&gt;0,Z797,IF(N797 = 0,0,IF('חד גזעי'!$AM$2 = "לא",IF(F797&gt;19,W797,0),IF(F797&gt;9,Y797,0)))))</f>
        <v>0</v>
      </c>
      <c r="Q797" s="77"/>
      <c r="R797" s="75"/>
      <c r="S797" t="e">
        <f>VLOOKUP(C797,'חד גזעי'!$Y$4:$Y$18,1,0)</f>
        <v>#N/A</v>
      </c>
      <c r="T797" s="72">
        <f>IF('חד גזעי'!$AM$6="לא",IF(P797=0,IF(BC797="שימור",IF('חד גזעי'!$AM$4="לא",IF(BC797="לא בוגר",0,IF(BC797="לא קיים",0,IF(J797=0,0,I797*0.1))),IF(BC797="לא בוגר",0,IF(BC797="לא קיים",0,IF(AB797=1,I797*0.1,E797*0.5)))),0),IF('חד גזעי'!$AM$4="לא",IF(BC797="לא בוגר",0,IF(BC797="לא קיים",0,IF(J797=0,0,I797*0.1))),IF(BC797="לא בוגר",0,IF(BC797="לא קיים",0,IF(AB797=1,I797*0.1,E797*0.5))))),IF(P797=0,IF(BC797="שימור",IF('חד גזעי'!$AM$4="לא",IF(BC797="לא בוגר",0,IF(BC797="לא קיים",0,IF(J797=0,0,I797*0.15))),IF(BC797="לא בוגר",0,IF(BC797="לא קיים",0,IF(AB797=1,I797*0.15,E797*0.5)))),0),IF('חד גזעי'!$AM$4="לא",IF(BC797="לא בוגר",0,IF(BC797="לא קיים",0,IF(J797=0,0,I797*0.15))),IF(BC797="לא בוגר",0,IF(BC797="לא קיים",0,IF(AB797=1,I797*0.15,E797*0.5))))))</f>
        <v>0</v>
      </c>
      <c r="V797" t="e">
        <f t="shared" si="818"/>
        <v>#N/A</v>
      </c>
      <c r="W797" t="e">
        <f t="shared" si="819"/>
        <v>#N/A</v>
      </c>
      <c r="X797" t="e">
        <f t="shared" si="820"/>
        <v>#N/A</v>
      </c>
      <c r="Y797">
        <f>IF('חד גזעי'!$AM$2 = "לא",0,IF(F797&gt;9,W797,0))</f>
        <v>0</v>
      </c>
      <c r="Z797">
        <f>IF('חד גזעי'!$AM$7 = "לא",0,IF(C797 = "זית אירופי",IF('חד גזעי'!$AN$7 &lt;=סקר!F797,W797,0),IF(C797 = "חרוב מצוי",IF('חד גזעי'!$AN$7 &lt;=סקר!F797,W797,0),0)))</f>
        <v>0</v>
      </c>
      <c r="AB797">
        <f t="shared" si="835"/>
        <v>1</v>
      </c>
      <c r="AC797" s="72"/>
      <c r="AD797" t="e">
        <f t="shared" si="853"/>
        <v>#N/A</v>
      </c>
      <c r="AE797" s="72"/>
      <c r="AF797" s="72" t="e">
        <f t="shared" si="836"/>
        <v>#N/A</v>
      </c>
      <c r="AG797" s="72" t="e">
        <f>IF('חד גזעי'!$AM$5="לא",(VLOOKUP(C797,'חד גזעי'!$P$1:$S$589,3,FALSE)),(VLOOKUP(C797,'חד גזעי'!$P$1:$S$589,4,FALSE)))</f>
        <v>#N/A</v>
      </c>
      <c r="AH797" s="72">
        <f t="shared" si="837"/>
        <v>0</v>
      </c>
      <c r="AI797" s="72">
        <f t="shared" si="838"/>
        <v>0</v>
      </c>
      <c r="AJ797" s="72">
        <f t="shared" si="839"/>
        <v>0</v>
      </c>
      <c r="AK797" s="72" t="e">
        <f t="shared" si="840"/>
        <v>#N/A</v>
      </c>
      <c r="AL797" t="e">
        <f>VLOOKUP(C797,'חד גזעי'!$AH$8:$AI$33,2,FALSE)</f>
        <v>#N/A</v>
      </c>
      <c r="AM797" s="72" t="b">
        <f t="shared" si="841"/>
        <v>0</v>
      </c>
      <c r="AN797" s="72" t="b">
        <f t="shared" si="842"/>
        <v>0</v>
      </c>
      <c r="AO797" s="72" t="b">
        <f t="shared" si="843"/>
        <v>0</v>
      </c>
      <c r="AS797" s="72">
        <f t="shared" si="844"/>
        <v>0</v>
      </c>
      <c r="AT797" s="72">
        <f t="shared" si="845"/>
        <v>0</v>
      </c>
      <c r="AU797" s="72">
        <f t="shared" si="854"/>
        <v>0</v>
      </c>
      <c r="AV797" s="72">
        <f t="shared" si="846"/>
        <v>0</v>
      </c>
      <c r="AW797" s="72">
        <f t="shared" si="847"/>
        <v>0</v>
      </c>
      <c r="AX797" s="72">
        <f t="shared" si="848"/>
        <v>0</v>
      </c>
      <c r="AY797" s="72">
        <f t="shared" si="849"/>
        <v>0</v>
      </c>
      <c r="AZ797" s="72">
        <f t="shared" si="850"/>
        <v>0</v>
      </c>
      <c r="BA797" s="72" t="e">
        <f t="shared" si="851"/>
        <v>#N/A</v>
      </c>
      <c r="BB797" s="72" t="e">
        <f t="shared" si="852"/>
        <v>#N/A</v>
      </c>
      <c r="BC797" s="77"/>
      <c r="BE797">
        <f t="shared" si="832"/>
        <v>0</v>
      </c>
      <c r="BF797" s="196"/>
      <c r="BG797" s="196"/>
      <c r="BH797" s="196"/>
      <c r="BI797" s="196"/>
      <c r="BJ797" s="196"/>
      <c r="BK797" s="196"/>
    </row>
    <row r="798" spans="2:63" hidden="1">
      <c r="B798" s="72"/>
      <c r="C798" s="135"/>
      <c r="D798" s="78"/>
      <c r="E798" s="78"/>
      <c r="F798" s="72"/>
      <c r="G798" s="72"/>
      <c r="H798" s="72"/>
      <c r="I798" s="73">
        <f t="shared" si="834"/>
        <v>0</v>
      </c>
      <c r="J798" s="78"/>
      <c r="K798" s="73"/>
      <c r="L798" s="74" t="e">
        <f>_xlfn.IFNA(VLOOKUP(C798,'חד גזעי'!$U$3:$V$509,2,0),VLOOKUP(C798,'חד גזעי'!$U$3:$V$509,2))</f>
        <v>#N/A</v>
      </c>
      <c r="M798" s="73"/>
      <c r="N798" s="72" t="e">
        <f>_xlfn.IFNA(IF(VLOOKUP(C798,'חד גזעי'!$AH$2:$AH$7,1,FALSE)&gt;0,0,IF('חד גזעי'!$AM$5="כן",IF(_xlfn.IFNA(VLOOKUP(C798,'חד גזעי'!$AH$2:$AH$33,1,FALSE),SUM(J798:M798))&lt;21,_xlfn.IFNA(VLOOKUP(C798,'חד גזעי'!$AH$2:$AH$33,1,FALSE),SUM(J798:M798)),0),SUM(J798:M798))),IF('חד גזעי'!$AM$5="כן",IF(_xlfn.IFNA(VLOOKUP(C798,'חד גזעי'!$AH$2:$AH$33,1,FALSE),SUM(J798:M798))&lt;21,_xlfn.IFNA(VLOOKUP(C798,'חד גזעי'!$AH$2:$AH$33,1,FALSE),SUM(J798:M798)),0),SUM(J798:M798)))</f>
        <v>#N/A</v>
      </c>
      <c r="O798" s="72">
        <f>IF('חד גזעי'!$AM$3 = "כן",IF(T798&gt;4,4,T798),T798)</f>
        <v>0</v>
      </c>
      <c r="P798" s="80">
        <f>IF(E798&lt;2,0,IF(Z798&gt;0,Z798,IF(N798 = 0,0,IF('חד גזעי'!$AM$2 = "לא",IF(F798&gt;19,W798,0),IF(F798&gt;9,Y798,0)))))</f>
        <v>0</v>
      </c>
      <c r="Q798" s="77"/>
      <c r="R798" s="75"/>
      <c r="S798" t="e">
        <f>VLOOKUP(C798,'חד גזעי'!$Y$4:$Y$18,1,0)</f>
        <v>#N/A</v>
      </c>
      <c r="T798" s="72">
        <f>IF('חד גזעי'!$AM$6="לא",IF(P798=0,IF(BC798="שימור",IF('חד גזעי'!$AM$4="לא",IF(BC798="לא בוגר",0,IF(BC798="לא קיים",0,IF(J798=0,0,I798*0.1))),IF(BC798="לא בוגר",0,IF(BC798="לא קיים",0,IF(AB798=1,I798*0.1,E798*0.5)))),0),IF('חד גזעי'!$AM$4="לא",IF(BC798="לא בוגר",0,IF(BC798="לא קיים",0,IF(J798=0,0,I798*0.1))),IF(BC798="לא בוגר",0,IF(BC798="לא קיים",0,IF(AB798=1,I798*0.1,E798*0.5))))),IF(P798=0,IF(BC798="שימור",IF('חד גזעי'!$AM$4="לא",IF(BC798="לא בוגר",0,IF(BC798="לא קיים",0,IF(J798=0,0,I798*0.15))),IF(BC798="לא בוגר",0,IF(BC798="לא קיים",0,IF(AB798=1,I798*0.15,E798*0.5)))),0),IF('חד גזעי'!$AM$4="לא",IF(BC798="לא בוגר",0,IF(BC798="לא קיים",0,IF(J798=0,0,I798*0.15))),IF(BC798="לא בוגר",0,IF(BC798="לא קיים",0,IF(AB798=1,I798*0.15,E798*0.5))))))</f>
        <v>0</v>
      </c>
      <c r="V798" t="e">
        <f t="shared" si="818"/>
        <v>#N/A</v>
      </c>
      <c r="W798" t="e">
        <f t="shared" si="819"/>
        <v>#N/A</v>
      </c>
      <c r="X798" t="e">
        <f t="shared" si="820"/>
        <v>#N/A</v>
      </c>
      <c r="Y798">
        <f>IF('חד גזעי'!$AM$2 = "לא",0,IF(F798&gt;9,W798,0))</f>
        <v>0</v>
      </c>
      <c r="Z798">
        <f>IF('חד גזעי'!$AM$7 = "לא",0,IF(C798 = "זית אירופי",IF('חד גזעי'!$AN$7 &lt;=סקר!F798,W798,0),IF(C798 = "חרוב מצוי",IF('חד גזעי'!$AN$7 &lt;=סקר!F798,W798,0),0)))</f>
        <v>0</v>
      </c>
      <c r="AB798">
        <f t="shared" si="835"/>
        <v>1</v>
      </c>
      <c r="AC798" s="72"/>
      <c r="AD798" t="e">
        <f t="shared" si="853"/>
        <v>#N/A</v>
      </c>
      <c r="AE798" s="72"/>
      <c r="AF798" s="72" t="e">
        <f t="shared" si="836"/>
        <v>#N/A</v>
      </c>
      <c r="AG798" s="72" t="e">
        <f>IF('חד גזעי'!$AM$5="לא",(VLOOKUP(C798,'חד גזעי'!$P$1:$S$589,3,FALSE)),(VLOOKUP(C798,'חד גזעי'!$P$1:$S$589,4,FALSE)))</f>
        <v>#N/A</v>
      </c>
      <c r="AH798" s="72">
        <f t="shared" si="837"/>
        <v>0</v>
      </c>
      <c r="AI798" s="72">
        <f t="shared" si="838"/>
        <v>0</v>
      </c>
      <c r="AJ798" s="72">
        <f t="shared" si="839"/>
        <v>0</v>
      </c>
      <c r="AK798" s="72" t="e">
        <f t="shared" si="840"/>
        <v>#N/A</v>
      </c>
      <c r="AL798" t="e">
        <f>VLOOKUP(C798,'חד גזעי'!$AH$8:$AI$33,2,FALSE)</f>
        <v>#N/A</v>
      </c>
      <c r="AM798" s="72" t="b">
        <f t="shared" si="841"/>
        <v>0</v>
      </c>
      <c r="AN798" s="72" t="b">
        <f t="shared" si="842"/>
        <v>0</v>
      </c>
      <c r="AO798" s="72" t="b">
        <f t="shared" si="843"/>
        <v>0</v>
      </c>
      <c r="AS798" s="72">
        <f t="shared" si="844"/>
        <v>0</v>
      </c>
      <c r="AT798" s="72">
        <f t="shared" si="845"/>
        <v>0</v>
      </c>
      <c r="AU798" s="72">
        <f t="shared" si="854"/>
        <v>0</v>
      </c>
      <c r="AV798" s="72">
        <f t="shared" si="846"/>
        <v>0</v>
      </c>
      <c r="AW798" s="72">
        <f t="shared" si="847"/>
        <v>0</v>
      </c>
      <c r="AX798" s="72">
        <f t="shared" si="848"/>
        <v>0</v>
      </c>
      <c r="AY798" s="72">
        <f t="shared" si="849"/>
        <v>0</v>
      </c>
      <c r="AZ798" s="72">
        <f t="shared" si="850"/>
        <v>0</v>
      </c>
      <c r="BA798" s="72" t="e">
        <f t="shared" si="851"/>
        <v>#N/A</v>
      </c>
      <c r="BB798" s="72" t="e">
        <f t="shared" si="852"/>
        <v>#N/A</v>
      </c>
      <c r="BC798" s="77"/>
      <c r="BE798">
        <f t="shared" si="832"/>
        <v>0</v>
      </c>
      <c r="BF798" s="196"/>
      <c r="BG798" s="196"/>
      <c r="BH798" s="196"/>
      <c r="BI798" s="196"/>
      <c r="BJ798" s="196"/>
      <c r="BK798" s="196"/>
    </row>
    <row r="799" spans="2:63" hidden="1">
      <c r="B799" s="72"/>
      <c r="C799" s="135"/>
      <c r="D799" s="78"/>
      <c r="E799" s="78"/>
      <c r="F799" s="72"/>
      <c r="G799" s="72"/>
      <c r="H799" s="72"/>
      <c r="I799" s="73">
        <f t="shared" si="834"/>
        <v>0</v>
      </c>
      <c r="J799" s="78"/>
      <c r="K799" s="73"/>
      <c r="L799" s="74" t="e">
        <f>_xlfn.IFNA(VLOOKUP(C799,'חד גזעי'!$U$3:$V$509,2,0),VLOOKUP(C799,'חד גזעי'!$U$3:$V$509,2))</f>
        <v>#N/A</v>
      </c>
      <c r="M799" s="73"/>
      <c r="N799" s="72" t="e">
        <f>_xlfn.IFNA(IF(VLOOKUP(C799,'חד גזעי'!$AH$2:$AH$7,1,FALSE)&gt;0,0,IF('חד גזעי'!$AM$5="כן",IF(_xlfn.IFNA(VLOOKUP(C799,'חד גזעי'!$AH$2:$AH$33,1,FALSE),SUM(J799:M799))&lt;21,_xlfn.IFNA(VLOOKUP(C799,'חד גזעי'!$AH$2:$AH$33,1,FALSE),SUM(J799:M799)),0),SUM(J799:M799))),IF('חד גזעי'!$AM$5="כן",IF(_xlfn.IFNA(VLOOKUP(C799,'חד גזעי'!$AH$2:$AH$33,1,FALSE),SUM(J799:M799))&lt;21,_xlfn.IFNA(VLOOKUP(C799,'חד גזעי'!$AH$2:$AH$33,1,FALSE),SUM(J799:M799)),0),SUM(J799:M799)))</f>
        <v>#N/A</v>
      </c>
      <c r="O799" s="72">
        <f>IF('חד גזעי'!$AM$3 = "כן",IF(T799&gt;4,4,T799),T799)</f>
        <v>0</v>
      </c>
      <c r="P799" s="80">
        <f>IF(E799&lt;2,0,IF(Z799&gt;0,Z799,IF(N799 = 0,0,IF('חד גזעי'!$AM$2 = "לא",IF(F799&gt;19,W799,0),IF(F799&gt;9,Y799,0)))))</f>
        <v>0</v>
      </c>
      <c r="Q799" s="77"/>
      <c r="R799" s="75"/>
      <c r="S799" t="e">
        <f>VLOOKUP(C799,'חד גזעי'!$Y$4:$Y$18,1,0)</f>
        <v>#N/A</v>
      </c>
      <c r="T799" s="72">
        <f>IF('חד גזעי'!$AM$6="לא",IF(P799=0,IF(BC799="שימור",IF('חד גזעי'!$AM$4="לא",IF(BC799="לא בוגר",0,IF(BC799="לא קיים",0,IF(J799=0,0,I799*0.1))),IF(BC799="לא בוגר",0,IF(BC799="לא קיים",0,IF(AB799=1,I799*0.1,E799*0.5)))),0),IF('חד גזעי'!$AM$4="לא",IF(BC799="לא בוגר",0,IF(BC799="לא קיים",0,IF(J799=0,0,I799*0.1))),IF(BC799="לא בוגר",0,IF(BC799="לא קיים",0,IF(AB799=1,I799*0.1,E799*0.5))))),IF(P799=0,IF(BC799="שימור",IF('חד גזעי'!$AM$4="לא",IF(BC799="לא בוגר",0,IF(BC799="לא קיים",0,IF(J799=0,0,I799*0.15))),IF(BC799="לא בוגר",0,IF(BC799="לא קיים",0,IF(AB799=1,I799*0.15,E799*0.5)))),0),IF('חד גזעי'!$AM$4="לא",IF(BC799="לא בוגר",0,IF(BC799="לא קיים",0,IF(J799=0,0,I799*0.15))),IF(BC799="לא בוגר",0,IF(BC799="לא קיים",0,IF(AB799=1,I799*0.15,E799*0.5))))))</f>
        <v>0</v>
      </c>
      <c r="V799" t="e">
        <f t="shared" si="818"/>
        <v>#N/A</v>
      </c>
      <c r="W799" t="e">
        <f t="shared" si="819"/>
        <v>#N/A</v>
      </c>
      <c r="X799" t="e">
        <f t="shared" si="820"/>
        <v>#N/A</v>
      </c>
      <c r="Y799">
        <f>IF('חד גזעי'!$AM$2 = "לא",0,IF(F799&gt;9,W799,0))</f>
        <v>0</v>
      </c>
      <c r="Z799">
        <f>IF('חד גזעי'!$AM$7 = "לא",0,IF(C799 = "זית אירופי",IF('חד גזעי'!$AN$7 &lt;=סקר!F799,W799,0),IF(C799 = "חרוב מצוי",IF('חד גזעי'!$AN$7 &lt;=סקר!F799,W799,0),0)))</f>
        <v>0</v>
      </c>
      <c r="AB799">
        <f t="shared" si="835"/>
        <v>1</v>
      </c>
      <c r="AC799" s="72"/>
      <c r="AD799" t="e">
        <f t="shared" si="853"/>
        <v>#N/A</v>
      </c>
      <c r="AE799" s="72"/>
      <c r="AF799" s="72" t="e">
        <f t="shared" si="836"/>
        <v>#N/A</v>
      </c>
      <c r="AG799" s="72" t="e">
        <f>IF('חד גזעי'!$AM$5="לא",(VLOOKUP(C799,'חד גזעי'!$P$1:$S$589,3,FALSE)),(VLOOKUP(C799,'חד גזעי'!$P$1:$S$589,4,FALSE)))</f>
        <v>#N/A</v>
      </c>
      <c r="AH799" s="72">
        <f t="shared" si="837"/>
        <v>0</v>
      </c>
      <c r="AI799" s="72">
        <f t="shared" si="838"/>
        <v>0</v>
      </c>
      <c r="AJ799" s="72">
        <f t="shared" si="839"/>
        <v>0</v>
      </c>
      <c r="AK799" s="72" t="e">
        <f t="shared" si="840"/>
        <v>#N/A</v>
      </c>
      <c r="AL799" t="e">
        <f>VLOOKUP(C799,'חד גזעי'!$AH$8:$AI$33,2,FALSE)</f>
        <v>#N/A</v>
      </c>
      <c r="AM799" s="72" t="b">
        <f t="shared" si="841"/>
        <v>0</v>
      </c>
      <c r="AN799" s="72" t="b">
        <f t="shared" si="842"/>
        <v>0</v>
      </c>
      <c r="AO799" s="72" t="b">
        <f t="shared" si="843"/>
        <v>0</v>
      </c>
      <c r="AS799" s="72">
        <f t="shared" si="844"/>
        <v>0</v>
      </c>
      <c r="AT799" s="72">
        <f t="shared" si="845"/>
        <v>0</v>
      </c>
      <c r="AU799" s="72">
        <f t="shared" si="854"/>
        <v>0</v>
      </c>
      <c r="AV799" s="72">
        <f t="shared" si="846"/>
        <v>0</v>
      </c>
      <c r="AW799" s="72">
        <f t="shared" si="847"/>
        <v>0</v>
      </c>
      <c r="AX799" s="72">
        <f t="shared" si="848"/>
        <v>0</v>
      </c>
      <c r="AY799" s="72">
        <f t="shared" si="849"/>
        <v>0</v>
      </c>
      <c r="AZ799" s="72">
        <f t="shared" si="850"/>
        <v>0</v>
      </c>
      <c r="BA799" s="72" t="e">
        <f t="shared" si="851"/>
        <v>#N/A</v>
      </c>
      <c r="BB799" s="72" t="e">
        <f t="shared" si="852"/>
        <v>#N/A</v>
      </c>
      <c r="BC799" s="77"/>
      <c r="BE799">
        <f t="shared" si="832"/>
        <v>0</v>
      </c>
      <c r="BF799" s="196"/>
      <c r="BG799" s="196"/>
      <c r="BH799" s="196"/>
      <c r="BI799" s="196"/>
      <c r="BJ799" s="196"/>
      <c r="BK799" s="196"/>
    </row>
    <row r="800" spans="2:63" hidden="1">
      <c r="B800" s="72"/>
      <c r="C800" s="135"/>
      <c r="D800" s="78"/>
      <c r="E800" s="78"/>
      <c r="F800" s="72"/>
      <c r="G800" s="72"/>
      <c r="H800" s="72"/>
      <c r="I800" s="73">
        <f t="shared" si="834"/>
        <v>0</v>
      </c>
      <c r="J800" s="78"/>
      <c r="K800" s="73"/>
      <c r="L800" s="74" t="e">
        <f>_xlfn.IFNA(VLOOKUP(C800,'חד גזעי'!$U$3:$V$509,2,0),VLOOKUP(C800,'חד גזעי'!$U$3:$V$509,2))</f>
        <v>#N/A</v>
      </c>
      <c r="M800" s="73"/>
      <c r="N800" s="72" t="e">
        <f>_xlfn.IFNA(IF(VLOOKUP(C800,'חד גזעי'!$AH$2:$AH$7,1,FALSE)&gt;0,0,IF('חד גזעי'!$AM$5="כן",IF(_xlfn.IFNA(VLOOKUP(C800,'חד גזעי'!$AH$2:$AH$33,1,FALSE),SUM(J800:M800))&lt;21,_xlfn.IFNA(VLOOKUP(C800,'חד גזעי'!$AH$2:$AH$33,1,FALSE),SUM(J800:M800)),0),SUM(J800:M800))),IF('חד גזעי'!$AM$5="כן",IF(_xlfn.IFNA(VLOOKUP(C800,'חד גזעי'!$AH$2:$AH$33,1,FALSE),SUM(J800:M800))&lt;21,_xlfn.IFNA(VLOOKUP(C800,'חד גזעי'!$AH$2:$AH$33,1,FALSE),SUM(J800:M800)),0),SUM(J800:M800)))</f>
        <v>#N/A</v>
      </c>
      <c r="O800" s="72">
        <f>IF('חד גזעי'!$AM$3 = "כן",IF(T800&gt;4,4,T800),T800)</f>
        <v>0</v>
      </c>
      <c r="P800" s="80">
        <f>IF(E800&lt;2,0,IF(Z800&gt;0,Z800,IF(N800 = 0,0,IF('חד גזעי'!$AM$2 = "לא",IF(F800&gt;19,W800,0),IF(F800&gt;9,Y800,0)))))</f>
        <v>0</v>
      </c>
      <c r="Q800" s="77"/>
      <c r="R800" s="75"/>
      <c r="S800" t="e">
        <f>VLOOKUP(C800,'חד גזעי'!$Y$4:$Y$18,1,0)</f>
        <v>#N/A</v>
      </c>
      <c r="T800" s="72">
        <f>IF('חד גזעי'!$AM$6="לא",IF(P800=0,IF(BC800="שימור",IF('חד גזעי'!$AM$4="לא",IF(BC800="לא בוגר",0,IF(BC800="לא קיים",0,IF(J800=0,0,I800*0.1))),IF(BC800="לא בוגר",0,IF(BC800="לא קיים",0,IF(AB800=1,I800*0.1,E800*0.5)))),0),IF('חד גזעי'!$AM$4="לא",IF(BC800="לא בוגר",0,IF(BC800="לא קיים",0,IF(J800=0,0,I800*0.1))),IF(BC800="לא בוגר",0,IF(BC800="לא קיים",0,IF(AB800=1,I800*0.1,E800*0.5))))),IF(P800=0,IF(BC800="שימור",IF('חד גזעי'!$AM$4="לא",IF(BC800="לא בוגר",0,IF(BC800="לא קיים",0,IF(J800=0,0,I800*0.15))),IF(BC800="לא בוגר",0,IF(BC800="לא קיים",0,IF(AB800=1,I800*0.15,E800*0.5)))),0),IF('חד גזעי'!$AM$4="לא",IF(BC800="לא בוגר",0,IF(BC800="לא קיים",0,IF(J800=0,0,I800*0.15))),IF(BC800="לא בוגר",0,IF(BC800="לא קיים",0,IF(AB800=1,I800*0.15,E800*0.5))))))</f>
        <v>0</v>
      </c>
      <c r="V800" t="e">
        <f t="shared" si="818"/>
        <v>#N/A</v>
      </c>
      <c r="W800" t="e">
        <f t="shared" si="819"/>
        <v>#N/A</v>
      </c>
      <c r="X800" t="e">
        <f t="shared" si="820"/>
        <v>#N/A</v>
      </c>
      <c r="Y800">
        <f>IF('חד גזעי'!$AM$2 = "לא",0,IF(F800&gt;9,W800,0))</f>
        <v>0</v>
      </c>
      <c r="Z800">
        <f>IF('חד גזעי'!$AM$7 = "לא",0,IF(C800 = "זית אירופי",IF('חד גזעי'!$AN$7 &lt;=סקר!F800,W800,0),IF(C800 = "חרוב מצוי",IF('חד גזעי'!$AN$7 &lt;=סקר!F800,W800,0),0)))</f>
        <v>0</v>
      </c>
      <c r="AB800">
        <f t="shared" si="835"/>
        <v>1</v>
      </c>
      <c r="AC800" s="72"/>
      <c r="AD800" t="e">
        <f t="shared" si="853"/>
        <v>#N/A</v>
      </c>
      <c r="AE800" s="72"/>
      <c r="AF800" s="72" t="e">
        <f t="shared" si="836"/>
        <v>#N/A</v>
      </c>
      <c r="AG800" s="72" t="e">
        <f>IF('חד גזעי'!$AM$5="לא",(VLOOKUP(C800,'חד גזעי'!$P$1:$S$589,3,FALSE)),(VLOOKUP(C800,'חד גזעי'!$P$1:$S$589,4,FALSE)))</f>
        <v>#N/A</v>
      </c>
      <c r="AH800" s="72">
        <f t="shared" si="837"/>
        <v>0</v>
      </c>
      <c r="AI800" s="72">
        <f t="shared" si="838"/>
        <v>0</v>
      </c>
      <c r="AJ800" s="72">
        <f t="shared" si="839"/>
        <v>0</v>
      </c>
      <c r="AK800" s="72" t="e">
        <f t="shared" si="840"/>
        <v>#N/A</v>
      </c>
      <c r="AL800" t="e">
        <f>VLOOKUP(C800,'חד גזעי'!$AH$8:$AI$33,2,FALSE)</f>
        <v>#N/A</v>
      </c>
      <c r="AM800" s="72" t="b">
        <f t="shared" si="841"/>
        <v>0</v>
      </c>
      <c r="AN800" s="72" t="b">
        <f t="shared" si="842"/>
        <v>0</v>
      </c>
      <c r="AO800" s="72" t="b">
        <f t="shared" si="843"/>
        <v>0</v>
      </c>
      <c r="AS800" s="72">
        <f t="shared" si="844"/>
        <v>0</v>
      </c>
      <c r="AT800" s="72">
        <f t="shared" si="845"/>
        <v>0</v>
      </c>
      <c r="AU800" s="72">
        <f t="shared" si="854"/>
        <v>0</v>
      </c>
      <c r="AV800" s="72">
        <f t="shared" si="846"/>
        <v>0</v>
      </c>
      <c r="AW800" s="72">
        <f t="shared" si="847"/>
        <v>0</v>
      </c>
      <c r="AX800" s="72">
        <f t="shared" si="848"/>
        <v>0</v>
      </c>
      <c r="AY800" s="72">
        <f t="shared" si="849"/>
        <v>0</v>
      </c>
      <c r="AZ800" s="72">
        <f t="shared" si="850"/>
        <v>0</v>
      </c>
      <c r="BA800" s="72" t="e">
        <f t="shared" si="851"/>
        <v>#N/A</v>
      </c>
      <c r="BB800" s="72" t="e">
        <f t="shared" si="852"/>
        <v>#N/A</v>
      </c>
      <c r="BC800" s="77"/>
      <c r="BE800">
        <f t="shared" si="832"/>
        <v>0</v>
      </c>
      <c r="BF800" s="196"/>
      <c r="BG800" s="196"/>
      <c r="BH800" s="196"/>
      <c r="BI800" s="196"/>
      <c r="BJ800" s="196"/>
      <c r="BK800" s="196"/>
    </row>
    <row r="801" spans="2:63" hidden="1">
      <c r="B801" s="72"/>
      <c r="C801" s="135"/>
      <c r="D801" s="78"/>
      <c r="E801" s="78"/>
      <c r="F801" s="72"/>
      <c r="G801" s="72"/>
      <c r="H801" s="72"/>
      <c r="I801" s="73">
        <f t="shared" si="834"/>
        <v>0</v>
      </c>
      <c r="J801" s="78"/>
      <c r="K801" s="73"/>
      <c r="L801" s="74" t="e">
        <f>_xlfn.IFNA(VLOOKUP(C801,'חד גזעי'!$U$3:$V$509,2,0),VLOOKUP(C801,'חד גזעי'!$U$3:$V$509,2))</f>
        <v>#N/A</v>
      </c>
      <c r="M801" s="73"/>
      <c r="N801" s="72" t="e">
        <f>_xlfn.IFNA(IF(VLOOKUP(C801,'חד גזעי'!$AH$2:$AH$7,1,FALSE)&gt;0,0,IF('חד גזעי'!$AM$5="כן",IF(_xlfn.IFNA(VLOOKUP(C801,'חד גזעי'!$AH$2:$AH$33,1,FALSE),SUM(J801:M801))&lt;21,_xlfn.IFNA(VLOOKUP(C801,'חד גזעי'!$AH$2:$AH$33,1,FALSE),SUM(J801:M801)),0),SUM(J801:M801))),IF('חד גזעי'!$AM$5="כן",IF(_xlfn.IFNA(VLOOKUP(C801,'חד גזעי'!$AH$2:$AH$33,1,FALSE),SUM(J801:M801))&lt;21,_xlfn.IFNA(VLOOKUP(C801,'חד גזעי'!$AH$2:$AH$33,1,FALSE),SUM(J801:M801)),0),SUM(J801:M801)))</f>
        <v>#N/A</v>
      </c>
      <c r="O801" s="72">
        <f>IF('חד גזעי'!$AM$3 = "כן",IF(T801&gt;4,4,T801),T801)</f>
        <v>0</v>
      </c>
      <c r="P801" s="80">
        <f>IF(E801&lt;2,0,IF(Z801&gt;0,Z801,IF(N801 = 0,0,IF('חד גזעי'!$AM$2 = "לא",IF(F801&gt;19,W801,0),IF(F801&gt;9,Y801,0)))))</f>
        <v>0</v>
      </c>
      <c r="Q801" s="77"/>
      <c r="R801" s="75"/>
      <c r="S801" t="e">
        <f>VLOOKUP(C801,'חד גזעי'!$Y$4:$Y$18,1,0)</f>
        <v>#N/A</v>
      </c>
      <c r="T801" s="72">
        <f>IF('חד גזעי'!$AM$6="לא",IF(P801=0,IF(BC801="שימור",IF('חד גזעי'!$AM$4="לא",IF(BC801="לא בוגר",0,IF(BC801="לא קיים",0,IF(J801=0,0,I801*0.1))),IF(BC801="לא בוגר",0,IF(BC801="לא קיים",0,IF(AB801=1,I801*0.1,E801*0.5)))),0),IF('חד גזעי'!$AM$4="לא",IF(BC801="לא בוגר",0,IF(BC801="לא קיים",0,IF(J801=0,0,I801*0.1))),IF(BC801="לא בוגר",0,IF(BC801="לא קיים",0,IF(AB801=1,I801*0.1,E801*0.5))))),IF(P801=0,IF(BC801="שימור",IF('חד גזעי'!$AM$4="לא",IF(BC801="לא בוגר",0,IF(BC801="לא קיים",0,IF(J801=0,0,I801*0.15))),IF(BC801="לא בוגר",0,IF(BC801="לא קיים",0,IF(AB801=1,I801*0.15,E801*0.5)))),0),IF('חד גזעי'!$AM$4="לא",IF(BC801="לא בוגר",0,IF(BC801="לא קיים",0,IF(J801=0,0,I801*0.15))),IF(BC801="לא בוגר",0,IF(BC801="לא קיים",0,IF(AB801=1,I801*0.15,E801*0.5))))))</f>
        <v>0</v>
      </c>
      <c r="V801" t="e">
        <f t="shared" si="818"/>
        <v>#N/A</v>
      </c>
      <c r="W801" t="e">
        <f t="shared" si="819"/>
        <v>#N/A</v>
      </c>
      <c r="X801" t="e">
        <f t="shared" si="820"/>
        <v>#N/A</v>
      </c>
      <c r="Y801">
        <f>IF('חד גזעי'!$AM$2 = "לא",0,IF(F801&gt;9,W801,0))</f>
        <v>0</v>
      </c>
      <c r="Z801">
        <f>IF('חד גזעי'!$AM$7 = "לא",0,IF(C801 = "זית אירופי",IF('חד גזעי'!$AN$7 &lt;=סקר!F801,W801,0),IF(C801 = "חרוב מצוי",IF('חד גזעי'!$AN$7 &lt;=סקר!F801,W801,0),0)))</f>
        <v>0</v>
      </c>
      <c r="AB801">
        <f t="shared" si="835"/>
        <v>1</v>
      </c>
      <c r="AC801" s="72"/>
      <c r="AD801" t="e">
        <f t="shared" si="853"/>
        <v>#N/A</v>
      </c>
      <c r="AE801" s="72"/>
      <c r="AF801" s="72" t="e">
        <f t="shared" si="836"/>
        <v>#N/A</v>
      </c>
      <c r="AG801" s="72" t="e">
        <f>IF('חד גזעי'!$AM$5="לא",(VLOOKUP(C801,'חד גזעי'!$P$1:$S$589,3,FALSE)),(VLOOKUP(C801,'חד גזעי'!$P$1:$S$589,4,FALSE)))</f>
        <v>#N/A</v>
      </c>
      <c r="AH801" s="72">
        <f t="shared" si="837"/>
        <v>0</v>
      </c>
      <c r="AI801" s="72">
        <f t="shared" si="838"/>
        <v>0</v>
      </c>
      <c r="AJ801" s="72">
        <f t="shared" si="839"/>
        <v>0</v>
      </c>
      <c r="AK801" s="72" t="e">
        <f t="shared" si="840"/>
        <v>#N/A</v>
      </c>
      <c r="AL801" t="e">
        <f>VLOOKUP(C801,'חד גזעי'!$AH$8:$AI$33,2,FALSE)</f>
        <v>#N/A</v>
      </c>
      <c r="AM801" s="72" t="b">
        <f t="shared" si="841"/>
        <v>0</v>
      </c>
      <c r="AN801" s="72" t="b">
        <f t="shared" si="842"/>
        <v>0</v>
      </c>
      <c r="AO801" s="72" t="b">
        <f t="shared" si="843"/>
        <v>0</v>
      </c>
      <c r="AS801" s="72">
        <f t="shared" si="844"/>
        <v>0</v>
      </c>
      <c r="AT801" s="72">
        <f t="shared" si="845"/>
        <v>0</v>
      </c>
      <c r="AU801" s="72">
        <f t="shared" si="854"/>
        <v>0</v>
      </c>
      <c r="AV801" s="72">
        <f t="shared" si="846"/>
        <v>0</v>
      </c>
      <c r="AW801" s="72">
        <f t="shared" si="847"/>
        <v>0</v>
      </c>
      <c r="AX801" s="72">
        <f t="shared" si="848"/>
        <v>0</v>
      </c>
      <c r="AY801" s="72">
        <f t="shared" si="849"/>
        <v>0</v>
      </c>
      <c r="AZ801" s="72">
        <f t="shared" si="850"/>
        <v>0</v>
      </c>
      <c r="BA801" s="72" t="e">
        <f t="shared" si="851"/>
        <v>#N/A</v>
      </c>
      <c r="BB801" s="72" t="e">
        <f t="shared" si="852"/>
        <v>#N/A</v>
      </c>
      <c r="BC801" s="77"/>
      <c r="BE801">
        <f t="shared" si="832"/>
        <v>0</v>
      </c>
      <c r="BF801" s="196"/>
      <c r="BG801" s="196"/>
      <c r="BH801" s="196"/>
      <c r="BI801" s="196"/>
      <c r="BJ801" s="196"/>
      <c r="BK801" s="196"/>
    </row>
    <row r="802" spans="2:63" hidden="1">
      <c r="B802" s="72"/>
      <c r="C802" s="135"/>
      <c r="D802" s="78"/>
      <c r="E802" s="78"/>
      <c r="F802" s="72"/>
      <c r="G802" s="72"/>
      <c r="H802" s="72"/>
      <c r="I802" s="73">
        <f t="shared" si="834"/>
        <v>0</v>
      </c>
      <c r="J802" s="78"/>
      <c r="K802" s="73"/>
      <c r="L802" s="74" t="e">
        <f>_xlfn.IFNA(VLOOKUP(C802,'חד גזעי'!$U$3:$V$509,2,0),VLOOKUP(C802,'חד גזעי'!$U$3:$V$509,2))</f>
        <v>#N/A</v>
      </c>
      <c r="M802" s="73"/>
      <c r="N802" s="72" t="e">
        <f>_xlfn.IFNA(IF(VLOOKUP(C802,'חד גזעי'!$AH$2:$AH$7,1,FALSE)&gt;0,0,IF('חד גזעי'!$AM$5="כן",IF(_xlfn.IFNA(VLOOKUP(C802,'חד גזעי'!$AH$2:$AH$33,1,FALSE),SUM(J802:M802))&lt;21,_xlfn.IFNA(VLOOKUP(C802,'חד גזעי'!$AH$2:$AH$33,1,FALSE),SUM(J802:M802)),0),SUM(J802:M802))),IF('חד גזעי'!$AM$5="כן",IF(_xlfn.IFNA(VLOOKUP(C802,'חד גזעי'!$AH$2:$AH$33,1,FALSE),SUM(J802:M802))&lt;21,_xlfn.IFNA(VLOOKUP(C802,'חד גזעי'!$AH$2:$AH$33,1,FALSE),SUM(J802:M802)),0),SUM(J802:M802)))</f>
        <v>#N/A</v>
      </c>
      <c r="O802" s="72">
        <f>IF('חד גזעי'!$AM$3 = "כן",IF(T802&gt;4,4,T802),T802)</f>
        <v>0</v>
      </c>
      <c r="P802" s="80">
        <f>IF(E802&lt;2,0,IF(Z802&gt;0,Z802,IF(N802 = 0,0,IF('חד גזעי'!$AM$2 = "לא",IF(F802&gt;19,W802,0),IF(F802&gt;9,Y802,0)))))</f>
        <v>0</v>
      </c>
      <c r="Q802" s="77"/>
      <c r="R802" s="76"/>
      <c r="S802" t="e">
        <f>VLOOKUP(C802,'חד גזעי'!$Y$4:$Y$18,1,0)</f>
        <v>#N/A</v>
      </c>
      <c r="T802" s="72">
        <f>IF('חד גזעי'!$AM$6="לא",IF(P802=0,IF(BC802="שימור",IF('חד גזעי'!$AM$4="לא",IF(BC802="לא בוגר",0,IF(BC802="לא קיים",0,IF(J802=0,0,I802*0.1))),IF(BC802="לא בוגר",0,IF(BC802="לא קיים",0,IF(AB802=1,I802*0.1,E802*0.5)))),0),IF('חד גזעי'!$AM$4="לא",IF(BC802="לא בוגר",0,IF(BC802="לא קיים",0,IF(J802=0,0,I802*0.1))),IF(BC802="לא בוגר",0,IF(BC802="לא קיים",0,IF(AB802=1,I802*0.1,E802*0.5))))),IF(P802=0,IF(BC802="שימור",IF('חד גזעי'!$AM$4="לא",IF(BC802="לא בוגר",0,IF(BC802="לא קיים",0,IF(J802=0,0,I802*0.15))),IF(BC802="לא בוגר",0,IF(BC802="לא קיים",0,IF(AB802=1,I802*0.15,E802*0.5)))),0),IF('חד גזעי'!$AM$4="לא",IF(BC802="לא בוגר",0,IF(BC802="לא קיים",0,IF(J802=0,0,I802*0.15))),IF(BC802="לא בוגר",0,IF(BC802="לא קיים",0,IF(AB802=1,I802*0.15,E802*0.5))))))</f>
        <v>0</v>
      </c>
      <c r="V802" t="e">
        <f t="shared" si="818"/>
        <v>#N/A</v>
      </c>
      <c r="W802" t="e">
        <f t="shared" si="819"/>
        <v>#N/A</v>
      </c>
      <c r="X802" t="e">
        <f t="shared" si="820"/>
        <v>#N/A</v>
      </c>
      <c r="Y802">
        <f>IF('חד גזעי'!$AM$2 = "לא",0,IF(F802&gt;9,W802,0))</f>
        <v>0</v>
      </c>
      <c r="Z802">
        <f>IF('חד גזעי'!$AM$7 = "לא",0,IF(C802 = "זית אירופי",IF('חד גזעי'!$AN$7 &lt;=סקר!F802,W802,0),IF(C802 = "חרוב מצוי",IF('חד גזעי'!$AN$7 &lt;=סקר!F802,W802,0),0)))</f>
        <v>0</v>
      </c>
      <c r="AB802">
        <f t="shared" si="835"/>
        <v>1</v>
      </c>
      <c r="AC802" s="72"/>
      <c r="AD802" t="e">
        <f t="shared" si="853"/>
        <v>#N/A</v>
      </c>
      <c r="AE802" s="72"/>
      <c r="AF802" s="72" t="e">
        <f t="shared" si="836"/>
        <v>#N/A</v>
      </c>
      <c r="AG802" s="72" t="e">
        <f>IF('חד גזעי'!$AM$5="לא",(VLOOKUP(C802,'חד גזעי'!$P$1:$S$589,3,FALSE)),(VLOOKUP(C802,'חד גזעי'!$P$1:$S$589,4,FALSE)))</f>
        <v>#N/A</v>
      </c>
      <c r="AH802" s="72">
        <f t="shared" si="837"/>
        <v>0</v>
      </c>
      <c r="AI802" s="72">
        <f t="shared" si="838"/>
        <v>0</v>
      </c>
      <c r="AJ802" s="72">
        <f t="shared" si="839"/>
        <v>0</v>
      </c>
      <c r="AK802" s="72" t="e">
        <f t="shared" si="840"/>
        <v>#N/A</v>
      </c>
      <c r="AL802" t="e">
        <f>VLOOKUP(C802,'חד גזעי'!$AH$8:$AI$33,2,FALSE)</f>
        <v>#N/A</v>
      </c>
      <c r="AM802" s="72" t="b">
        <f t="shared" si="841"/>
        <v>0</v>
      </c>
      <c r="AN802" s="72" t="b">
        <f t="shared" si="842"/>
        <v>0</v>
      </c>
      <c r="AO802" s="72" t="b">
        <f t="shared" si="843"/>
        <v>0</v>
      </c>
      <c r="AS802" s="72">
        <f t="shared" si="844"/>
        <v>0</v>
      </c>
      <c r="AT802" s="72">
        <f t="shared" si="845"/>
        <v>0</v>
      </c>
      <c r="AU802" s="72">
        <f t="shared" si="854"/>
        <v>0</v>
      </c>
      <c r="AV802" s="72">
        <f t="shared" si="846"/>
        <v>0</v>
      </c>
      <c r="AW802" s="72">
        <f t="shared" si="847"/>
        <v>0</v>
      </c>
      <c r="AX802" s="72">
        <f t="shared" si="848"/>
        <v>0</v>
      </c>
      <c r="AY802" s="72">
        <f t="shared" si="849"/>
        <v>0</v>
      </c>
      <c r="AZ802" s="72">
        <f t="shared" si="850"/>
        <v>0</v>
      </c>
      <c r="BA802" s="72" t="e">
        <f t="shared" si="851"/>
        <v>#N/A</v>
      </c>
      <c r="BB802" s="72" t="e">
        <f t="shared" si="852"/>
        <v>#N/A</v>
      </c>
      <c r="BC802" s="77"/>
      <c r="BE802">
        <f t="shared" si="832"/>
        <v>0</v>
      </c>
      <c r="BF802" s="196"/>
      <c r="BG802" s="196"/>
      <c r="BH802" s="196"/>
      <c r="BI802" s="196"/>
      <c r="BJ802" s="196"/>
      <c r="BK802" s="196"/>
    </row>
    <row r="803" spans="2:63" hidden="1">
      <c r="B803" s="72"/>
      <c r="C803" s="135"/>
      <c r="D803" s="78"/>
      <c r="E803" s="78"/>
      <c r="F803" s="72"/>
      <c r="G803" s="72"/>
      <c r="H803" s="72"/>
      <c r="I803" s="73">
        <f t="shared" si="834"/>
        <v>0</v>
      </c>
      <c r="J803" s="78"/>
      <c r="K803" s="73"/>
      <c r="L803" s="74" t="e">
        <f>_xlfn.IFNA(VLOOKUP(C803,'חד גזעי'!$U$3:$V$509,2,0),VLOOKUP(C803,'חד גזעי'!$U$3:$V$509,2))</f>
        <v>#N/A</v>
      </c>
      <c r="M803" s="73"/>
      <c r="N803" s="72" t="e">
        <f>_xlfn.IFNA(IF(VLOOKUP(C803,'חד גזעי'!$AH$2:$AH$7,1,FALSE)&gt;0,0,IF('חד גזעי'!$AM$5="כן",IF(_xlfn.IFNA(VLOOKUP(C803,'חד גזעי'!$AH$2:$AH$33,1,FALSE),SUM(J803:M803))&lt;21,_xlfn.IFNA(VLOOKUP(C803,'חד גזעי'!$AH$2:$AH$33,1,FALSE),SUM(J803:M803)),0),SUM(J803:M803))),IF('חד גזעי'!$AM$5="כן",IF(_xlfn.IFNA(VLOOKUP(C803,'חד גזעי'!$AH$2:$AH$33,1,FALSE),SUM(J803:M803))&lt;21,_xlfn.IFNA(VLOOKUP(C803,'חד גזעי'!$AH$2:$AH$33,1,FALSE),SUM(J803:M803)),0),SUM(J803:M803)))</f>
        <v>#N/A</v>
      </c>
      <c r="O803" s="72">
        <f>IF('חד גזעי'!$AM$3 = "כן",IF(T803&gt;4,4,T803),T803)</f>
        <v>0</v>
      </c>
      <c r="P803" s="80">
        <f>IF(E803&lt;2,0,IF(Z803&gt;0,Z803,IF(N803 = 0,0,IF('חד גזעי'!$AM$2 = "לא",IF(F803&gt;19,W803,0),IF(F803&gt;9,Y803,0)))))</f>
        <v>0</v>
      </c>
      <c r="Q803" s="77"/>
      <c r="R803" s="76"/>
      <c r="S803" t="e">
        <f>VLOOKUP(C803,'חד גזעי'!$Y$4:$Y$18,1,0)</f>
        <v>#N/A</v>
      </c>
      <c r="T803" s="72">
        <f>IF('חד גזעי'!$AM$6="לא",IF(P803=0,IF(BC803="שימור",IF('חד גזעי'!$AM$4="לא",IF(BC803="לא בוגר",0,IF(BC803="לא קיים",0,IF(J803=0,0,I803*0.1))),IF(BC803="לא בוגר",0,IF(BC803="לא קיים",0,IF(AB803=1,I803*0.1,E803*0.5)))),0),IF('חד גזעי'!$AM$4="לא",IF(BC803="לא בוגר",0,IF(BC803="לא קיים",0,IF(J803=0,0,I803*0.1))),IF(BC803="לא בוגר",0,IF(BC803="לא קיים",0,IF(AB803=1,I803*0.1,E803*0.5))))),IF(P803=0,IF(BC803="שימור",IF('חד גזעי'!$AM$4="לא",IF(BC803="לא בוגר",0,IF(BC803="לא קיים",0,IF(J803=0,0,I803*0.15))),IF(BC803="לא בוגר",0,IF(BC803="לא קיים",0,IF(AB803=1,I803*0.15,E803*0.5)))),0),IF('חד גזעי'!$AM$4="לא",IF(BC803="לא בוגר",0,IF(BC803="לא קיים",0,IF(J803=0,0,I803*0.15))),IF(BC803="לא בוגר",0,IF(BC803="לא קיים",0,IF(AB803=1,I803*0.15,E803*0.5))))))</f>
        <v>0</v>
      </c>
      <c r="V803" t="e">
        <f t="shared" si="818"/>
        <v>#N/A</v>
      </c>
      <c r="W803" t="e">
        <f t="shared" si="819"/>
        <v>#N/A</v>
      </c>
      <c r="X803" t="e">
        <f t="shared" si="820"/>
        <v>#N/A</v>
      </c>
      <c r="Y803">
        <f>IF('חד גזעי'!$AM$2 = "לא",0,IF(F803&gt;9,W803,0))</f>
        <v>0</v>
      </c>
      <c r="Z803">
        <f>IF('חד גזעי'!$AM$7 = "לא",0,IF(C803 = "זית אירופי",IF('חד גזעי'!$AN$7 &lt;=סקר!F803,W803,0),IF(C803 = "חרוב מצוי",IF('חד גזעי'!$AN$7 &lt;=סקר!F803,W803,0),0)))</f>
        <v>0</v>
      </c>
      <c r="AB803">
        <f t="shared" si="835"/>
        <v>1</v>
      </c>
      <c r="AC803" s="72"/>
      <c r="AD803" t="e">
        <f t="shared" si="853"/>
        <v>#N/A</v>
      </c>
      <c r="AE803" s="72"/>
      <c r="AF803" s="72" t="e">
        <f t="shared" si="836"/>
        <v>#N/A</v>
      </c>
      <c r="AG803" s="72" t="e">
        <f>IF('חד גזעי'!$AM$5="לא",(VLOOKUP(C803,'חד גזעי'!$P$1:$S$589,3,FALSE)),(VLOOKUP(C803,'חד גזעי'!$P$1:$S$589,4,FALSE)))</f>
        <v>#N/A</v>
      </c>
      <c r="AH803" s="72">
        <f t="shared" si="837"/>
        <v>0</v>
      </c>
      <c r="AI803" s="72">
        <f t="shared" si="838"/>
        <v>0</v>
      </c>
      <c r="AJ803" s="72">
        <f t="shared" si="839"/>
        <v>0</v>
      </c>
      <c r="AK803" s="72" t="e">
        <f t="shared" si="840"/>
        <v>#N/A</v>
      </c>
      <c r="AL803" t="e">
        <f>VLOOKUP(C803,'חד גזעי'!$AH$8:$AI$33,2,FALSE)</f>
        <v>#N/A</v>
      </c>
      <c r="AM803" s="72" t="b">
        <f t="shared" si="841"/>
        <v>0</v>
      </c>
      <c r="AN803" s="72" t="b">
        <f t="shared" si="842"/>
        <v>0</v>
      </c>
      <c r="AO803" s="72" t="b">
        <f t="shared" si="843"/>
        <v>0</v>
      </c>
      <c r="AS803" s="72">
        <f t="shared" si="844"/>
        <v>0</v>
      </c>
      <c r="AT803" s="72">
        <f t="shared" si="845"/>
        <v>0</v>
      </c>
      <c r="AU803" s="72">
        <f t="shared" si="854"/>
        <v>0</v>
      </c>
      <c r="AV803" s="72">
        <f t="shared" si="846"/>
        <v>0</v>
      </c>
      <c r="AW803" s="72">
        <f t="shared" si="847"/>
        <v>0</v>
      </c>
      <c r="AX803" s="72">
        <f t="shared" si="848"/>
        <v>0</v>
      </c>
      <c r="AY803" s="72">
        <f t="shared" si="849"/>
        <v>0</v>
      </c>
      <c r="AZ803" s="72">
        <f t="shared" si="850"/>
        <v>0</v>
      </c>
      <c r="BA803" s="72" t="e">
        <f t="shared" si="851"/>
        <v>#N/A</v>
      </c>
      <c r="BB803" s="72" t="e">
        <f t="shared" si="852"/>
        <v>#N/A</v>
      </c>
      <c r="BC803" s="77"/>
      <c r="BE803">
        <f t="shared" si="832"/>
        <v>0</v>
      </c>
      <c r="BF803" s="196"/>
      <c r="BG803" s="196"/>
      <c r="BH803" s="196"/>
      <c r="BI803" s="196"/>
      <c r="BJ803" s="196"/>
      <c r="BK803" s="196"/>
    </row>
    <row r="804" spans="2:63" hidden="1">
      <c r="B804" s="72"/>
      <c r="C804" s="135"/>
      <c r="D804" s="78"/>
      <c r="E804" s="78"/>
      <c r="F804" s="72"/>
      <c r="G804" s="72"/>
      <c r="H804" s="72"/>
      <c r="I804" s="73">
        <f t="shared" si="834"/>
        <v>0</v>
      </c>
      <c r="J804" s="78"/>
      <c r="K804" s="73"/>
      <c r="L804" s="74" t="e">
        <f>_xlfn.IFNA(VLOOKUP(C804,'חד גזעי'!$U$3:$V$509,2,0),VLOOKUP(C804,'חד גזעי'!$U$3:$V$509,2))</f>
        <v>#N/A</v>
      </c>
      <c r="M804" s="73"/>
      <c r="N804" s="72" t="e">
        <f>_xlfn.IFNA(IF(VLOOKUP(C804,'חד גזעי'!$AH$2:$AH$7,1,FALSE)&gt;0,0,IF('חד גזעי'!$AM$5="כן",IF(_xlfn.IFNA(VLOOKUP(C804,'חד גזעי'!$AH$2:$AH$33,1,FALSE),SUM(J804:M804))&lt;21,_xlfn.IFNA(VLOOKUP(C804,'חד גזעי'!$AH$2:$AH$33,1,FALSE),SUM(J804:M804)),0),SUM(J804:M804))),IF('חד גזעי'!$AM$5="כן",IF(_xlfn.IFNA(VLOOKUP(C804,'חד גזעי'!$AH$2:$AH$33,1,FALSE),SUM(J804:M804))&lt;21,_xlfn.IFNA(VLOOKUP(C804,'חד גזעי'!$AH$2:$AH$33,1,FALSE),SUM(J804:M804)),0),SUM(J804:M804)))</f>
        <v>#N/A</v>
      </c>
      <c r="O804" s="72">
        <f>IF('חד גזעי'!$AM$3 = "כן",IF(T804&gt;4,4,T804),T804)</f>
        <v>0</v>
      </c>
      <c r="P804" s="80">
        <f>IF(E804&lt;2,0,IF(Z804&gt;0,Z804,IF(N804 = 0,0,IF('חד גזעי'!$AM$2 = "לא",IF(F804&gt;19,W804,0),IF(F804&gt;9,Y804,0)))))</f>
        <v>0</v>
      </c>
      <c r="Q804" s="77"/>
      <c r="R804" s="76"/>
      <c r="S804" t="e">
        <f>VLOOKUP(C804,'חד גזעי'!$Y$4:$Y$18,1,0)</f>
        <v>#N/A</v>
      </c>
      <c r="T804" s="72">
        <f>IF('חד גזעי'!$AM$6="לא",IF(P804=0,IF(BC804="שימור",IF('חד גזעי'!$AM$4="לא",IF(BC804="לא בוגר",0,IF(BC804="לא קיים",0,IF(J804=0,0,I804*0.1))),IF(BC804="לא בוגר",0,IF(BC804="לא קיים",0,IF(AB804=1,I804*0.1,E804*0.5)))),0),IF('חד גזעי'!$AM$4="לא",IF(BC804="לא בוגר",0,IF(BC804="לא קיים",0,IF(J804=0,0,I804*0.1))),IF(BC804="לא בוגר",0,IF(BC804="לא קיים",0,IF(AB804=1,I804*0.1,E804*0.5))))),IF(P804=0,IF(BC804="שימור",IF('חד גזעי'!$AM$4="לא",IF(BC804="לא בוגר",0,IF(BC804="לא קיים",0,IF(J804=0,0,I804*0.15))),IF(BC804="לא בוגר",0,IF(BC804="לא קיים",0,IF(AB804=1,I804*0.15,E804*0.5)))),0),IF('חד גזעי'!$AM$4="לא",IF(BC804="לא בוגר",0,IF(BC804="לא קיים",0,IF(J804=0,0,I804*0.15))),IF(BC804="לא בוגר",0,IF(BC804="לא קיים",0,IF(AB804=1,I804*0.15,E804*0.5))))))</f>
        <v>0</v>
      </c>
      <c r="V804" t="e">
        <f t="shared" si="818"/>
        <v>#N/A</v>
      </c>
      <c r="W804" t="e">
        <f t="shared" si="819"/>
        <v>#N/A</v>
      </c>
      <c r="X804" t="e">
        <f t="shared" si="820"/>
        <v>#N/A</v>
      </c>
      <c r="Y804">
        <f>IF('חד גזעי'!$AM$2 = "לא",0,IF(F804&gt;9,W804,0))</f>
        <v>0</v>
      </c>
      <c r="Z804">
        <f>IF('חד גזעי'!$AM$7 = "לא",0,IF(C804 = "זית אירופי",IF('חד גזעי'!$AN$7 &lt;=סקר!F804,W804,0),IF(C804 = "חרוב מצוי",IF('חד גזעי'!$AN$7 &lt;=סקר!F804,W804,0),0)))</f>
        <v>0</v>
      </c>
      <c r="AB804">
        <f t="shared" si="835"/>
        <v>1</v>
      </c>
      <c r="AC804" s="72"/>
      <c r="AD804" t="e">
        <f t="shared" si="853"/>
        <v>#N/A</v>
      </c>
      <c r="AE804" s="72"/>
      <c r="AF804" s="72" t="e">
        <f t="shared" si="836"/>
        <v>#N/A</v>
      </c>
      <c r="AG804" s="72" t="e">
        <f>IF('חד גזעי'!$AM$5="לא",(VLOOKUP(C804,'חד גזעי'!$P$1:$S$589,3,FALSE)),(VLOOKUP(C804,'חד גזעי'!$P$1:$S$589,4,FALSE)))</f>
        <v>#N/A</v>
      </c>
      <c r="AH804" s="72">
        <f t="shared" si="837"/>
        <v>0</v>
      </c>
      <c r="AI804" s="72">
        <f t="shared" si="838"/>
        <v>0</v>
      </c>
      <c r="AJ804" s="72">
        <f t="shared" si="839"/>
        <v>0</v>
      </c>
      <c r="AK804" s="72" t="e">
        <f t="shared" si="840"/>
        <v>#N/A</v>
      </c>
      <c r="AL804" t="e">
        <f>VLOOKUP(C804,'חד גזעי'!$AH$8:$AI$33,2,FALSE)</f>
        <v>#N/A</v>
      </c>
      <c r="AM804" s="72" t="b">
        <f t="shared" si="841"/>
        <v>0</v>
      </c>
      <c r="AN804" s="72" t="b">
        <f t="shared" si="842"/>
        <v>0</v>
      </c>
      <c r="AO804" s="72" t="b">
        <f t="shared" si="843"/>
        <v>0</v>
      </c>
      <c r="AS804" s="72">
        <f t="shared" si="844"/>
        <v>0</v>
      </c>
      <c r="AT804" s="72">
        <f t="shared" si="845"/>
        <v>0</v>
      </c>
      <c r="AU804" s="72">
        <f t="shared" si="854"/>
        <v>0</v>
      </c>
      <c r="AV804" s="72">
        <f t="shared" si="846"/>
        <v>0</v>
      </c>
      <c r="AW804" s="72">
        <f t="shared" si="847"/>
        <v>0</v>
      </c>
      <c r="AX804" s="72">
        <f t="shared" si="848"/>
        <v>0</v>
      </c>
      <c r="AY804" s="72">
        <f t="shared" si="849"/>
        <v>0</v>
      </c>
      <c r="AZ804" s="72">
        <f t="shared" si="850"/>
        <v>0</v>
      </c>
      <c r="BA804" s="72" t="e">
        <f t="shared" si="851"/>
        <v>#N/A</v>
      </c>
      <c r="BB804" s="72" t="e">
        <f t="shared" si="852"/>
        <v>#N/A</v>
      </c>
      <c r="BC804" s="77"/>
      <c r="BE804">
        <f t="shared" si="832"/>
        <v>0</v>
      </c>
      <c r="BF804" s="72"/>
      <c r="BG804" s="72"/>
      <c r="BH804" s="72"/>
      <c r="BI804" s="72"/>
      <c r="BJ804" s="72"/>
      <c r="BK804" s="72"/>
    </row>
    <row r="805" spans="2:63" ht="12.75" hidden="1" customHeight="1">
      <c r="B805" s="72"/>
      <c r="C805" s="135"/>
      <c r="D805" s="78"/>
      <c r="E805" s="78"/>
      <c r="F805" s="72"/>
      <c r="G805" s="72"/>
      <c r="H805" s="72"/>
      <c r="I805" s="73">
        <f t="shared" si="834"/>
        <v>0</v>
      </c>
      <c r="J805" s="78"/>
      <c r="K805" s="73"/>
      <c r="L805" s="74" t="e">
        <f>_xlfn.IFNA(VLOOKUP(C805,'חד גזעי'!$U$3:$V$509,2,0),VLOOKUP(C805,'חד גזעי'!$U$3:$V$509,2))</f>
        <v>#N/A</v>
      </c>
      <c r="M805" s="73"/>
      <c r="N805" s="72" t="e">
        <f>_xlfn.IFNA(IF(VLOOKUP(C805,'חד גזעי'!$AH$2:$AH$7,1,FALSE)&gt;0,0,IF('חד גזעי'!$AM$5="כן",IF(_xlfn.IFNA(VLOOKUP(C805,'חד גזעי'!$AH$2:$AH$33,1,FALSE),SUM(J805:M805))&lt;21,_xlfn.IFNA(VLOOKUP(C805,'חד גזעי'!$AH$2:$AH$33,1,FALSE),SUM(J805:M805)),0),SUM(J805:M805))),IF('חד גזעי'!$AM$5="כן",IF(_xlfn.IFNA(VLOOKUP(C805,'חד גזעי'!$AH$2:$AH$33,1,FALSE),SUM(J805:M805))&lt;21,_xlfn.IFNA(VLOOKUP(C805,'חד גזעי'!$AH$2:$AH$33,1,FALSE),SUM(J805:M805)),0),SUM(J805:M805)))</f>
        <v>#N/A</v>
      </c>
      <c r="O805" s="72">
        <f>IF('חד גזעי'!$AM$3 = "כן",IF(T805&gt;4,4,T805),T805)</f>
        <v>0</v>
      </c>
      <c r="P805" s="80">
        <f>IF(E805&lt;2,0,IF(Z805&gt;0,Z805,IF(N805 = 0,0,IF('חד גזעי'!$AM$2 = "לא",IF(F805&gt;19,W805,0),IF(F805&gt;9,Y805,0)))))</f>
        <v>0</v>
      </c>
      <c r="Q805" s="77"/>
      <c r="R805" s="75"/>
      <c r="S805" t="e">
        <f>VLOOKUP(C805,'חד גזעי'!$Y$4:$Y$18,1,0)</f>
        <v>#N/A</v>
      </c>
      <c r="T805" s="72">
        <f>IF('חד גזעי'!$AM$6="לא",IF(P805=0,IF(BC805="שימור",IF('חד גזעי'!$AM$4="לא",IF(BC805="לא בוגר",0,IF(BC805="לא קיים",0,IF(J805=0,0,I805*0.1))),IF(BC805="לא בוגר",0,IF(BC805="לא קיים",0,IF(AB805=1,I805*0.1,E805*0.5)))),0),IF('חד גזעי'!$AM$4="לא",IF(BC805="לא בוגר",0,IF(BC805="לא קיים",0,IF(J805=0,0,I805*0.1))),IF(BC805="לא בוגר",0,IF(BC805="לא קיים",0,IF(AB805=1,I805*0.1,E805*0.5))))),IF(P805=0,IF(BC805="שימור",IF('חד גזעי'!$AM$4="לא",IF(BC805="לא בוגר",0,IF(BC805="לא קיים",0,IF(J805=0,0,I805*0.15))),IF(BC805="לא בוגר",0,IF(BC805="לא קיים",0,IF(AB805=1,I805*0.15,E805*0.5)))),0),IF('חד גזעי'!$AM$4="לא",IF(BC805="לא בוגר",0,IF(BC805="לא קיים",0,IF(J805=0,0,I805*0.15))),IF(BC805="לא בוגר",0,IF(BC805="לא קיים",0,IF(AB805=1,I805*0.15,E805*0.5))))))</f>
        <v>0</v>
      </c>
      <c r="V805" t="e">
        <f t="shared" si="818"/>
        <v>#N/A</v>
      </c>
      <c r="W805" t="e">
        <f t="shared" si="819"/>
        <v>#N/A</v>
      </c>
      <c r="X805" t="e">
        <f t="shared" si="820"/>
        <v>#N/A</v>
      </c>
      <c r="Y805">
        <f>IF('חד גזעי'!$AM$2 = "לא",0,IF(F805&gt;9,W805,0))</f>
        <v>0</v>
      </c>
      <c r="Z805">
        <f>IF('חד גזעי'!$AM$7 = "לא",0,IF(C805 = "זית אירופי",IF('חד גזעי'!$AN$7 &lt;=סקר!F805,W805,0),IF(C805 = "חרוב מצוי",IF('חד גזעי'!$AN$7 &lt;=סקר!F805,W805,0),0)))</f>
        <v>0</v>
      </c>
      <c r="AB805">
        <f t="shared" si="835"/>
        <v>1</v>
      </c>
      <c r="AC805" s="72"/>
      <c r="AD805" t="e">
        <f t="shared" si="853"/>
        <v>#N/A</v>
      </c>
      <c r="AE805" s="72"/>
      <c r="AF805" s="72" t="e">
        <f t="shared" si="836"/>
        <v>#N/A</v>
      </c>
      <c r="AG805" s="72" t="e">
        <f>IF('חד גזעי'!$AM$5="לא",(VLOOKUP(C805,'חד גזעי'!$P$1:$S$589,3,FALSE)),(VLOOKUP(C805,'חד גזעי'!$P$1:$S$589,4,FALSE)))</f>
        <v>#N/A</v>
      </c>
      <c r="AH805" s="72">
        <f t="shared" si="837"/>
        <v>0</v>
      </c>
      <c r="AI805" s="72">
        <f t="shared" si="838"/>
        <v>0</v>
      </c>
      <c r="AJ805" s="72">
        <f t="shared" si="839"/>
        <v>0</v>
      </c>
      <c r="AK805" s="72" t="e">
        <f t="shared" si="840"/>
        <v>#N/A</v>
      </c>
      <c r="AL805" t="e">
        <f>VLOOKUP(C805,'חד גזעי'!$AH$8:$AI$33,2,FALSE)</f>
        <v>#N/A</v>
      </c>
      <c r="AM805" s="72" t="b">
        <f t="shared" si="841"/>
        <v>0</v>
      </c>
      <c r="AN805" s="72" t="b">
        <f t="shared" si="842"/>
        <v>0</v>
      </c>
      <c r="AO805" s="72" t="b">
        <f t="shared" si="843"/>
        <v>0</v>
      </c>
      <c r="AS805" s="72">
        <f t="shared" si="844"/>
        <v>0</v>
      </c>
      <c r="AT805" s="72">
        <f t="shared" si="845"/>
        <v>0</v>
      </c>
      <c r="AU805" s="72">
        <f t="shared" si="854"/>
        <v>0</v>
      </c>
      <c r="AV805" s="72">
        <f t="shared" si="846"/>
        <v>0</v>
      </c>
      <c r="AW805" s="72">
        <f t="shared" si="847"/>
        <v>0</v>
      </c>
      <c r="AX805" s="72">
        <f t="shared" si="848"/>
        <v>0</v>
      </c>
      <c r="AY805" s="72">
        <f t="shared" si="849"/>
        <v>0</v>
      </c>
      <c r="AZ805" s="72">
        <f t="shared" si="850"/>
        <v>0</v>
      </c>
      <c r="BA805" s="72" t="e">
        <f t="shared" si="851"/>
        <v>#N/A</v>
      </c>
      <c r="BB805" s="72" t="e">
        <f t="shared" si="852"/>
        <v>#N/A</v>
      </c>
      <c r="BC805" s="77"/>
      <c r="BE805">
        <f t="shared" si="832"/>
        <v>0</v>
      </c>
      <c r="BF805" s="196" t="str">
        <f>BF824</f>
        <v>C:\Users\origr\Pictures\0.jpg</v>
      </c>
      <c r="BG805" s="196" t="str">
        <f t="shared" ref="BG805:BK805" si="855">BG824</f>
        <v>C:\Users\origr\Pictures\0.jpg</v>
      </c>
      <c r="BH805" s="196" t="str">
        <f t="shared" si="855"/>
        <v>C:\Users\origr\Pictures\0.jpg</v>
      </c>
      <c r="BI805" s="196" t="str">
        <f t="shared" si="855"/>
        <v>C:\Users\origr\Pictures\0.jpg</v>
      </c>
      <c r="BJ805" s="196" t="str">
        <f t="shared" si="855"/>
        <v>C:\Users\origr\Pictures\0.jpg</v>
      </c>
      <c r="BK805" s="196" t="str">
        <f t="shared" si="855"/>
        <v>C:\Users\origr\Pictures\0.jpg</v>
      </c>
    </row>
    <row r="806" spans="2:63" ht="12.75" hidden="1" customHeight="1">
      <c r="B806" s="72"/>
      <c r="C806" s="135"/>
      <c r="D806" s="78"/>
      <c r="E806" s="78"/>
      <c r="F806" s="72"/>
      <c r="G806" s="72"/>
      <c r="H806" s="72"/>
      <c r="I806" s="73">
        <f t="shared" si="834"/>
        <v>0</v>
      </c>
      <c r="J806" s="78"/>
      <c r="K806" s="73"/>
      <c r="L806" s="74" t="e">
        <f>_xlfn.IFNA(VLOOKUP(C806,'חד גזעי'!$U$3:$V$509,2,0),VLOOKUP(C806,'חד גזעי'!$U$3:$V$509,2))</f>
        <v>#N/A</v>
      </c>
      <c r="M806" s="73"/>
      <c r="N806" s="72" t="e">
        <f>_xlfn.IFNA(IF(VLOOKUP(C806,'חד גזעי'!$AH$2:$AH$7,1,FALSE)&gt;0,0,IF('חד גזעי'!$AM$5="כן",IF(_xlfn.IFNA(VLOOKUP(C806,'חד גזעי'!$AH$2:$AH$33,1,FALSE),SUM(J806:M806))&lt;21,_xlfn.IFNA(VLOOKUP(C806,'חד גזעי'!$AH$2:$AH$33,1,FALSE),SUM(J806:M806)),0),SUM(J806:M806))),IF('חד גזעי'!$AM$5="כן",IF(_xlfn.IFNA(VLOOKUP(C806,'חד גזעי'!$AH$2:$AH$33,1,FALSE),SUM(J806:M806))&lt;21,_xlfn.IFNA(VLOOKUP(C806,'חד גזעי'!$AH$2:$AH$33,1,FALSE),SUM(J806:M806)),0),SUM(J806:M806)))</f>
        <v>#N/A</v>
      </c>
      <c r="O806" s="72">
        <f>IF('חד גזעי'!$AM$3 = "כן",IF(T806&gt;4,4,T806),T806)</f>
        <v>0</v>
      </c>
      <c r="P806" s="80">
        <f>IF(E806&lt;2,0,IF(Z806&gt;0,Z806,IF(N806 = 0,0,IF('חד גזעי'!$AM$2 = "לא",IF(F806&gt;19,W806,0),IF(F806&gt;9,Y806,0)))))</f>
        <v>0</v>
      </c>
      <c r="Q806" s="77"/>
      <c r="R806" s="76"/>
      <c r="S806" t="e">
        <f>VLOOKUP(C806,'חד גזעי'!$Y$4:$Y$18,1,0)</f>
        <v>#N/A</v>
      </c>
      <c r="T806" s="72">
        <f>IF('חד גזעי'!$AM$6="לא",IF(P806=0,IF(BC806="שימור",IF('חד גזעי'!$AM$4="לא",IF(BC806="לא בוגר",0,IF(BC806="לא קיים",0,IF(J806=0,0,I806*0.1))),IF(BC806="לא בוגר",0,IF(BC806="לא קיים",0,IF(AB806=1,I806*0.1,E806*0.5)))),0),IF('חד גזעי'!$AM$4="לא",IF(BC806="לא בוגר",0,IF(BC806="לא קיים",0,IF(J806=0,0,I806*0.1))),IF(BC806="לא בוגר",0,IF(BC806="לא קיים",0,IF(AB806=1,I806*0.1,E806*0.5))))),IF(P806=0,IF(BC806="שימור",IF('חד גזעי'!$AM$4="לא",IF(BC806="לא בוגר",0,IF(BC806="לא קיים",0,IF(J806=0,0,I806*0.15))),IF(BC806="לא בוגר",0,IF(BC806="לא קיים",0,IF(AB806=1,I806*0.15,E806*0.5)))),0),IF('חד גזעי'!$AM$4="לא",IF(BC806="לא בוגר",0,IF(BC806="לא קיים",0,IF(J806=0,0,I806*0.15))),IF(BC806="לא בוגר",0,IF(BC806="לא קיים",0,IF(AB806=1,I806*0.15,E806*0.5))))))</f>
        <v>0</v>
      </c>
      <c r="V806" t="e">
        <f t="shared" si="818"/>
        <v>#N/A</v>
      </c>
      <c r="W806" t="e">
        <f t="shared" si="819"/>
        <v>#N/A</v>
      </c>
      <c r="X806" t="e">
        <f t="shared" si="820"/>
        <v>#N/A</v>
      </c>
      <c r="Y806">
        <f>IF('חד גזעי'!$AM$2 = "לא",0,IF(F806&gt;9,W806,0))</f>
        <v>0</v>
      </c>
      <c r="Z806">
        <f>IF('חד גזעי'!$AM$7 = "לא",0,IF(C806 = "זית אירופי",IF('חד גזעי'!$AN$7 &lt;=סקר!F806,W806,0),IF(C806 = "חרוב מצוי",IF('חד גזעי'!$AN$7 &lt;=סקר!F806,W806,0),0)))</f>
        <v>0</v>
      </c>
      <c r="AB806">
        <f t="shared" si="835"/>
        <v>1</v>
      </c>
      <c r="AC806" s="72"/>
      <c r="AD806" t="e">
        <f t="shared" si="853"/>
        <v>#N/A</v>
      </c>
      <c r="AE806" s="72"/>
      <c r="AF806" s="72" t="e">
        <f t="shared" si="836"/>
        <v>#N/A</v>
      </c>
      <c r="AG806" s="72" t="e">
        <f>IF('חד גזעי'!$AM$5="לא",(VLOOKUP(C806,'חד גזעי'!$P$1:$S$589,3,FALSE)),(VLOOKUP(C806,'חד גזעי'!$P$1:$S$589,4,FALSE)))</f>
        <v>#N/A</v>
      </c>
      <c r="AH806" s="72">
        <f t="shared" si="837"/>
        <v>0</v>
      </c>
      <c r="AI806" s="72">
        <f t="shared" si="838"/>
        <v>0</v>
      </c>
      <c r="AJ806" s="72">
        <f t="shared" si="839"/>
        <v>0</v>
      </c>
      <c r="AK806" s="72" t="e">
        <f t="shared" si="840"/>
        <v>#N/A</v>
      </c>
      <c r="AL806" t="e">
        <f>VLOOKUP(C806,'חד גזעי'!$AH$8:$AI$33,2,FALSE)</f>
        <v>#N/A</v>
      </c>
      <c r="AM806" s="72" t="b">
        <f t="shared" si="841"/>
        <v>0</v>
      </c>
      <c r="AN806" s="72" t="b">
        <f t="shared" si="842"/>
        <v>0</v>
      </c>
      <c r="AO806" s="72" t="b">
        <f t="shared" si="843"/>
        <v>0</v>
      </c>
      <c r="AS806" s="72">
        <f t="shared" si="844"/>
        <v>0</v>
      </c>
      <c r="AT806" s="72">
        <f t="shared" si="845"/>
        <v>0</v>
      </c>
      <c r="AU806" s="72">
        <f t="shared" si="854"/>
        <v>0</v>
      </c>
      <c r="AV806" s="72">
        <f t="shared" si="846"/>
        <v>0</v>
      </c>
      <c r="AW806" s="72">
        <f t="shared" si="847"/>
        <v>0</v>
      </c>
      <c r="AX806" s="72">
        <f t="shared" si="848"/>
        <v>0</v>
      </c>
      <c r="AY806" s="72">
        <f t="shared" si="849"/>
        <v>0</v>
      </c>
      <c r="AZ806" s="72">
        <f t="shared" si="850"/>
        <v>0</v>
      </c>
      <c r="BA806" s="72" t="e">
        <f t="shared" si="851"/>
        <v>#N/A</v>
      </c>
      <c r="BB806" s="72" t="e">
        <f t="shared" si="852"/>
        <v>#N/A</v>
      </c>
      <c r="BC806" s="77"/>
      <c r="BE806">
        <f t="shared" si="832"/>
        <v>0</v>
      </c>
      <c r="BF806" s="196"/>
      <c r="BG806" s="196"/>
      <c r="BH806" s="196"/>
      <c r="BI806" s="196"/>
      <c r="BJ806" s="196"/>
      <c r="BK806" s="196"/>
    </row>
    <row r="807" spans="2:63" ht="12.75" hidden="1" customHeight="1">
      <c r="B807" s="72"/>
      <c r="C807" s="135"/>
      <c r="D807" s="78"/>
      <c r="E807" s="78"/>
      <c r="F807" s="72"/>
      <c r="G807" s="72"/>
      <c r="H807" s="72"/>
      <c r="I807" s="73">
        <f t="shared" si="834"/>
        <v>0</v>
      </c>
      <c r="J807" s="78"/>
      <c r="K807" s="73"/>
      <c r="L807" s="74" t="e">
        <f>_xlfn.IFNA(VLOOKUP(C807,'חד גזעי'!$U$3:$V$509,2,0),VLOOKUP(C807,'חד גזעי'!$U$3:$V$509,2))</f>
        <v>#N/A</v>
      </c>
      <c r="M807" s="73"/>
      <c r="N807" s="72" t="e">
        <f>_xlfn.IFNA(IF(VLOOKUP(C807,'חד גזעי'!$AH$2:$AH$7,1,FALSE)&gt;0,0,IF('חד גזעי'!$AM$5="כן",IF(_xlfn.IFNA(VLOOKUP(C807,'חד גזעי'!$AH$2:$AH$33,1,FALSE),SUM(J807:M807))&lt;21,_xlfn.IFNA(VLOOKUP(C807,'חד גזעי'!$AH$2:$AH$33,1,FALSE),SUM(J807:M807)),0),SUM(J807:M807))),IF('חד גזעי'!$AM$5="כן",IF(_xlfn.IFNA(VLOOKUP(C807,'חד גזעי'!$AH$2:$AH$33,1,FALSE),SUM(J807:M807))&lt;21,_xlfn.IFNA(VLOOKUP(C807,'חד גזעי'!$AH$2:$AH$33,1,FALSE),SUM(J807:M807)),0),SUM(J807:M807)))</f>
        <v>#N/A</v>
      </c>
      <c r="O807" s="72">
        <f>IF('חד גזעי'!$AM$3 = "כן",IF(T807&gt;4,4,T807),T807)</f>
        <v>0</v>
      </c>
      <c r="P807" s="80">
        <f>IF(E807&lt;2,0,IF(Z807&gt;0,Z807,IF(N807 = 0,0,IF('חד גזעי'!$AM$2 = "לא",IF(F807&gt;19,W807,0),IF(F807&gt;9,Y807,0)))))</f>
        <v>0</v>
      </c>
      <c r="Q807" s="77"/>
      <c r="R807" s="76"/>
      <c r="S807" t="e">
        <f>VLOOKUP(C807,'חד גזעי'!$Y$4:$Y$18,1,0)</f>
        <v>#N/A</v>
      </c>
      <c r="T807" s="72">
        <f>IF('חד גזעי'!$AM$6="לא",IF(P807=0,IF(BC807="שימור",IF('חד גזעי'!$AM$4="לא",IF(BC807="לא בוגר",0,IF(BC807="לא קיים",0,IF(J807=0,0,I807*0.1))),IF(BC807="לא בוגר",0,IF(BC807="לא קיים",0,IF(AB807=1,I807*0.1,E807*0.5)))),0),IF('חד גזעי'!$AM$4="לא",IF(BC807="לא בוגר",0,IF(BC807="לא קיים",0,IF(J807=0,0,I807*0.1))),IF(BC807="לא בוגר",0,IF(BC807="לא קיים",0,IF(AB807=1,I807*0.1,E807*0.5))))),IF(P807=0,IF(BC807="שימור",IF('חד גזעי'!$AM$4="לא",IF(BC807="לא בוגר",0,IF(BC807="לא קיים",0,IF(J807=0,0,I807*0.15))),IF(BC807="לא בוגר",0,IF(BC807="לא קיים",0,IF(AB807=1,I807*0.15,E807*0.5)))),0),IF('חד גזעי'!$AM$4="לא",IF(BC807="לא בוגר",0,IF(BC807="לא קיים",0,IF(J807=0,0,I807*0.15))),IF(BC807="לא בוגר",0,IF(BC807="לא קיים",0,IF(AB807=1,I807*0.15,E807*0.5))))))</f>
        <v>0</v>
      </c>
      <c r="V807" t="e">
        <f t="shared" si="818"/>
        <v>#N/A</v>
      </c>
      <c r="W807" t="e">
        <f t="shared" si="819"/>
        <v>#N/A</v>
      </c>
      <c r="X807" t="e">
        <f t="shared" si="820"/>
        <v>#N/A</v>
      </c>
      <c r="Y807">
        <f>IF('חד גזעי'!$AM$2 = "לא",0,IF(F807&gt;9,W807,0))</f>
        <v>0</v>
      </c>
      <c r="Z807">
        <f>IF('חד גזעי'!$AM$7 = "לא",0,IF(C807 = "זית אירופי",IF('חד גזעי'!$AN$7 &lt;=סקר!F807,W807,0),IF(C807 = "חרוב מצוי",IF('חד גזעי'!$AN$7 &lt;=סקר!F807,W807,0),0)))</f>
        <v>0</v>
      </c>
      <c r="AB807">
        <f t="shared" si="835"/>
        <v>1</v>
      </c>
      <c r="AC807" s="72"/>
      <c r="AD807" t="e">
        <f t="shared" si="853"/>
        <v>#N/A</v>
      </c>
      <c r="AE807" s="72"/>
      <c r="AF807" s="72" t="e">
        <f t="shared" si="836"/>
        <v>#N/A</v>
      </c>
      <c r="AG807" s="72" t="e">
        <f>IF('חד גזעי'!$AM$5="לא",(VLOOKUP(C807,'חד גזעי'!$P$1:$S$589,3,FALSE)),(VLOOKUP(C807,'חד גזעי'!$P$1:$S$589,4,FALSE)))</f>
        <v>#N/A</v>
      </c>
      <c r="AH807" s="72">
        <f t="shared" si="837"/>
        <v>0</v>
      </c>
      <c r="AI807" s="72">
        <f t="shared" si="838"/>
        <v>0</v>
      </c>
      <c r="AJ807" s="72">
        <f t="shared" si="839"/>
        <v>0</v>
      </c>
      <c r="AK807" s="72" t="e">
        <f t="shared" si="840"/>
        <v>#N/A</v>
      </c>
      <c r="AL807" t="e">
        <f>VLOOKUP(C807,'חד גזעי'!$AH$8:$AI$33,2,FALSE)</f>
        <v>#N/A</v>
      </c>
      <c r="AM807" s="72" t="b">
        <f t="shared" si="841"/>
        <v>0</v>
      </c>
      <c r="AN807" s="72" t="b">
        <f t="shared" si="842"/>
        <v>0</v>
      </c>
      <c r="AO807" s="72" t="b">
        <f t="shared" si="843"/>
        <v>0</v>
      </c>
      <c r="AS807" s="72">
        <f t="shared" si="844"/>
        <v>0</v>
      </c>
      <c r="AT807" s="72">
        <f t="shared" si="845"/>
        <v>0</v>
      </c>
      <c r="AU807" s="72">
        <f t="shared" si="854"/>
        <v>0</v>
      </c>
      <c r="AV807" s="72">
        <f t="shared" si="846"/>
        <v>0</v>
      </c>
      <c r="AW807" s="72">
        <f t="shared" si="847"/>
        <v>0</v>
      </c>
      <c r="AX807" s="72">
        <f t="shared" si="848"/>
        <v>0</v>
      </c>
      <c r="AY807" s="72">
        <f t="shared" si="849"/>
        <v>0</v>
      </c>
      <c r="AZ807" s="72">
        <f t="shared" si="850"/>
        <v>0</v>
      </c>
      <c r="BA807" s="72" t="e">
        <f t="shared" si="851"/>
        <v>#N/A</v>
      </c>
      <c r="BB807" s="72" t="e">
        <f t="shared" si="852"/>
        <v>#N/A</v>
      </c>
      <c r="BC807" s="77"/>
      <c r="BE807">
        <f t="shared" si="832"/>
        <v>0</v>
      </c>
      <c r="BF807" s="196"/>
      <c r="BG807" s="196"/>
      <c r="BH807" s="196"/>
      <c r="BI807" s="196"/>
      <c r="BJ807" s="196"/>
      <c r="BK807" s="196"/>
    </row>
    <row r="808" spans="2:63" ht="12.75" hidden="1" customHeight="1">
      <c r="B808" s="72"/>
      <c r="C808" s="135"/>
      <c r="D808" s="78"/>
      <c r="E808" s="78"/>
      <c r="F808" s="72"/>
      <c r="G808" s="72"/>
      <c r="H808" s="72"/>
      <c r="I808" s="73">
        <f t="shared" si="834"/>
        <v>0</v>
      </c>
      <c r="J808" s="78"/>
      <c r="K808" s="73"/>
      <c r="L808" s="74" t="e">
        <f>_xlfn.IFNA(VLOOKUP(C808,'חד גזעי'!$U$3:$V$509,2,0),VLOOKUP(C808,'חד גזעי'!$U$3:$V$509,2))</f>
        <v>#N/A</v>
      </c>
      <c r="M808" s="73"/>
      <c r="N808" s="72" t="e">
        <f>_xlfn.IFNA(IF(VLOOKUP(C808,'חד גזעי'!$AH$2:$AH$7,1,FALSE)&gt;0,0,IF('חד גזעי'!$AM$5="כן",IF(_xlfn.IFNA(VLOOKUP(C808,'חד גזעי'!$AH$2:$AH$33,1,FALSE),SUM(J808:M808))&lt;21,_xlfn.IFNA(VLOOKUP(C808,'חד גזעי'!$AH$2:$AH$33,1,FALSE),SUM(J808:M808)),0),SUM(J808:M808))),IF('חד גזעי'!$AM$5="כן",IF(_xlfn.IFNA(VLOOKUP(C808,'חד גזעי'!$AH$2:$AH$33,1,FALSE),SUM(J808:M808))&lt;21,_xlfn.IFNA(VLOOKUP(C808,'חד גזעי'!$AH$2:$AH$33,1,FALSE),SUM(J808:M808)),0),SUM(J808:M808)))</f>
        <v>#N/A</v>
      </c>
      <c r="O808" s="72">
        <f>IF('חד גזעי'!$AM$3 = "כן",IF(T808&gt;4,4,T808),T808)</f>
        <v>0</v>
      </c>
      <c r="P808" s="80">
        <f>IF(E808&lt;2,0,IF(Z808&gt;0,Z808,IF(N808 = 0,0,IF('חד גזעי'!$AM$2 = "לא",IF(F808&gt;19,W808,0),IF(F808&gt;9,Y808,0)))))</f>
        <v>0</v>
      </c>
      <c r="Q808" s="77"/>
      <c r="R808" s="75"/>
      <c r="S808" t="e">
        <f>VLOOKUP(C808,'חד גזעי'!$Y$4:$Y$18,1,0)</f>
        <v>#N/A</v>
      </c>
      <c r="T808" s="72">
        <f>IF('חד גזעי'!$AM$6="לא",IF(P808=0,IF(BC808="שימור",IF('חד גזעי'!$AM$4="לא",IF(BC808="לא בוגר",0,IF(BC808="לא קיים",0,IF(J808=0,0,I808*0.1))),IF(BC808="לא בוגר",0,IF(BC808="לא קיים",0,IF(AB808=1,I808*0.1,E808*0.5)))),0),IF('חד גזעי'!$AM$4="לא",IF(BC808="לא בוגר",0,IF(BC808="לא קיים",0,IF(J808=0,0,I808*0.1))),IF(BC808="לא בוגר",0,IF(BC808="לא קיים",0,IF(AB808=1,I808*0.1,E808*0.5))))),IF(P808=0,IF(BC808="שימור",IF('חד גזעי'!$AM$4="לא",IF(BC808="לא בוגר",0,IF(BC808="לא קיים",0,IF(J808=0,0,I808*0.15))),IF(BC808="לא בוגר",0,IF(BC808="לא קיים",0,IF(AB808=1,I808*0.15,E808*0.5)))),0),IF('חד גזעי'!$AM$4="לא",IF(BC808="לא בוגר",0,IF(BC808="לא קיים",0,IF(J808=0,0,I808*0.15))),IF(BC808="לא בוגר",0,IF(BC808="לא קיים",0,IF(AB808=1,I808*0.15,E808*0.5))))))</f>
        <v>0</v>
      </c>
      <c r="V808" t="e">
        <f t="shared" si="818"/>
        <v>#N/A</v>
      </c>
      <c r="W808" t="e">
        <f t="shared" si="819"/>
        <v>#N/A</v>
      </c>
      <c r="X808" t="e">
        <f t="shared" si="820"/>
        <v>#N/A</v>
      </c>
      <c r="Y808">
        <f>IF('חד גזעי'!$AM$2 = "לא",0,IF(F808&gt;9,W808,0))</f>
        <v>0</v>
      </c>
      <c r="Z808">
        <f>IF('חד גזעי'!$AM$7 = "לא",0,IF(C808 = "זית אירופי",IF('חד גזעי'!$AN$7 &lt;=סקר!F808,W808,0),IF(C808 = "חרוב מצוי",IF('חד גזעי'!$AN$7 &lt;=סקר!F808,W808,0),0)))</f>
        <v>0</v>
      </c>
      <c r="AB808">
        <f t="shared" si="835"/>
        <v>1</v>
      </c>
      <c r="AC808" s="72"/>
      <c r="AD808" t="e">
        <f t="shared" si="853"/>
        <v>#N/A</v>
      </c>
      <c r="AE808" s="72"/>
      <c r="AF808" s="72" t="e">
        <f t="shared" si="836"/>
        <v>#N/A</v>
      </c>
      <c r="AG808" s="72" t="e">
        <f>IF('חד גזעי'!$AM$5="לא",(VLOOKUP(C808,'חד גזעי'!$P$1:$S$589,3,FALSE)),(VLOOKUP(C808,'חד גזעי'!$P$1:$S$589,4,FALSE)))</f>
        <v>#N/A</v>
      </c>
      <c r="AH808" s="72">
        <f t="shared" si="837"/>
        <v>0</v>
      </c>
      <c r="AI808" s="72">
        <f t="shared" si="838"/>
        <v>0</v>
      </c>
      <c r="AJ808" s="72">
        <f t="shared" si="839"/>
        <v>0</v>
      </c>
      <c r="AK808" s="72" t="e">
        <f t="shared" si="840"/>
        <v>#N/A</v>
      </c>
      <c r="AL808" t="e">
        <f>VLOOKUP(C808,'חד גזעי'!$AH$8:$AI$33,2,FALSE)</f>
        <v>#N/A</v>
      </c>
      <c r="AM808" s="72" t="b">
        <f t="shared" si="841"/>
        <v>0</v>
      </c>
      <c r="AN808" s="72" t="b">
        <f t="shared" si="842"/>
        <v>0</v>
      </c>
      <c r="AO808" s="72" t="b">
        <f t="shared" si="843"/>
        <v>0</v>
      </c>
      <c r="AS808" s="72">
        <f t="shared" si="844"/>
        <v>0</v>
      </c>
      <c r="AT808" s="72">
        <f t="shared" si="845"/>
        <v>0</v>
      </c>
      <c r="AU808" s="72">
        <f t="shared" si="854"/>
        <v>0</v>
      </c>
      <c r="AV808" s="72">
        <f t="shared" si="846"/>
        <v>0</v>
      </c>
      <c r="AW808" s="72">
        <f t="shared" si="847"/>
        <v>0</v>
      </c>
      <c r="AX808" s="72">
        <f t="shared" si="848"/>
        <v>0</v>
      </c>
      <c r="AY808" s="72">
        <f t="shared" si="849"/>
        <v>0</v>
      </c>
      <c r="AZ808" s="72">
        <f t="shared" si="850"/>
        <v>0</v>
      </c>
      <c r="BA808" s="72" t="e">
        <f t="shared" si="851"/>
        <v>#N/A</v>
      </c>
      <c r="BB808" s="72" t="e">
        <f t="shared" si="852"/>
        <v>#N/A</v>
      </c>
      <c r="BC808" s="77"/>
      <c r="BE808">
        <f t="shared" si="832"/>
        <v>0</v>
      </c>
      <c r="BF808" s="196"/>
      <c r="BG808" s="196"/>
      <c r="BH808" s="196"/>
      <c r="BI808" s="196"/>
      <c r="BJ808" s="196"/>
      <c r="BK808" s="196"/>
    </row>
    <row r="809" spans="2:63" ht="12.75" hidden="1" customHeight="1">
      <c r="B809" s="72"/>
      <c r="C809" s="135"/>
      <c r="D809" s="78"/>
      <c r="E809" s="78"/>
      <c r="F809" s="72"/>
      <c r="G809" s="72"/>
      <c r="H809" s="72"/>
      <c r="I809" s="73">
        <f t="shared" si="834"/>
        <v>0</v>
      </c>
      <c r="J809" s="78"/>
      <c r="K809" s="73"/>
      <c r="L809" s="74" t="e">
        <f>_xlfn.IFNA(VLOOKUP(C809,'חד גזעי'!$U$3:$V$509,2,0),VLOOKUP(C809,'חד גזעי'!$U$3:$V$509,2))</f>
        <v>#N/A</v>
      </c>
      <c r="M809" s="73"/>
      <c r="N809" s="72" t="e">
        <f>_xlfn.IFNA(IF(VLOOKUP(C809,'חד גזעי'!$AH$2:$AH$7,1,FALSE)&gt;0,0,IF('חד גזעי'!$AM$5="כן",IF(_xlfn.IFNA(VLOOKUP(C809,'חד גזעי'!$AH$2:$AH$33,1,FALSE),SUM(J809:M809))&lt;21,_xlfn.IFNA(VLOOKUP(C809,'חד גזעי'!$AH$2:$AH$33,1,FALSE),SUM(J809:M809)),0),SUM(J809:M809))),IF('חד גזעי'!$AM$5="כן",IF(_xlfn.IFNA(VLOOKUP(C809,'חד גזעי'!$AH$2:$AH$33,1,FALSE),SUM(J809:M809))&lt;21,_xlfn.IFNA(VLOOKUP(C809,'חד גזעי'!$AH$2:$AH$33,1,FALSE),SUM(J809:M809)),0),SUM(J809:M809)))</f>
        <v>#N/A</v>
      </c>
      <c r="O809" s="72">
        <f>IF('חד גזעי'!$AM$3 = "כן",IF(T809&gt;4,4,T809),T809)</f>
        <v>0</v>
      </c>
      <c r="P809" s="80">
        <f>IF(E809&lt;2,0,IF(Z809&gt;0,Z809,IF(N809 = 0,0,IF('חד גזעי'!$AM$2 = "לא",IF(F809&gt;19,W809,0),IF(F809&gt;9,Y809,0)))))</f>
        <v>0</v>
      </c>
      <c r="Q809" s="77"/>
      <c r="R809" s="76"/>
      <c r="S809" t="e">
        <f>VLOOKUP(C809,'חד גזעי'!$Y$4:$Y$18,1,0)</f>
        <v>#N/A</v>
      </c>
      <c r="T809" s="72">
        <f>IF('חד גזעי'!$AM$6="לא",IF(P809=0,IF(BC809="שימור",IF('חד גזעי'!$AM$4="לא",IF(BC809="לא בוגר",0,IF(BC809="לא קיים",0,IF(J809=0,0,I809*0.1))),IF(BC809="לא בוגר",0,IF(BC809="לא קיים",0,IF(AB809=1,I809*0.1,E809*0.5)))),0),IF('חד גזעי'!$AM$4="לא",IF(BC809="לא בוגר",0,IF(BC809="לא קיים",0,IF(J809=0,0,I809*0.1))),IF(BC809="לא בוגר",0,IF(BC809="לא קיים",0,IF(AB809=1,I809*0.1,E809*0.5))))),IF(P809=0,IF(BC809="שימור",IF('חד גזעי'!$AM$4="לא",IF(BC809="לא בוגר",0,IF(BC809="לא קיים",0,IF(J809=0,0,I809*0.15))),IF(BC809="לא בוגר",0,IF(BC809="לא קיים",0,IF(AB809=1,I809*0.15,E809*0.5)))),0),IF('חד גזעי'!$AM$4="לא",IF(BC809="לא בוגר",0,IF(BC809="לא קיים",0,IF(J809=0,0,I809*0.15))),IF(BC809="לא בוגר",0,IF(BC809="לא קיים",0,IF(AB809=1,I809*0.15,E809*0.5))))))</f>
        <v>0</v>
      </c>
      <c r="V809" t="e">
        <f t="shared" si="818"/>
        <v>#N/A</v>
      </c>
      <c r="W809" t="e">
        <f t="shared" si="819"/>
        <v>#N/A</v>
      </c>
      <c r="X809" t="e">
        <f t="shared" si="820"/>
        <v>#N/A</v>
      </c>
      <c r="Y809">
        <f>IF('חד גזעי'!$AM$2 = "לא",0,IF(F809&gt;9,W809,0))</f>
        <v>0</v>
      </c>
      <c r="Z809">
        <f>IF('חד גזעי'!$AM$7 = "לא",0,IF(C809 = "זית אירופי",IF('חד גזעי'!$AN$7 &lt;=סקר!F809,W809,0),IF(C809 = "חרוב מצוי",IF('חד גזעי'!$AN$7 &lt;=סקר!F809,W809,0),0)))</f>
        <v>0</v>
      </c>
      <c r="AB809">
        <f t="shared" si="835"/>
        <v>1</v>
      </c>
      <c r="AC809" s="72"/>
      <c r="AD809" t="e">
        <f t="shared" si="853"/>
        <v>#N/A</v>
      </c>
      <c r="AE809" s="72"/>
      <c r="AF809" s="72" t="e">
        <f t="shared" si="836"/>
        <v>#N/A</v>
      </c>
      <c r="AG809" s="72" t="e">
        <f>IF('חד גזעי'!$AM$5="לא",(VLOOKUP(C809,'חד גזעי'!$P$1:$S$589,3,FALSE)),(VLOOKUP(C809,'חד גזעי'!$P$1:$S$589,4,FALSE)))</f>
        <v>#N/A</v>
      </c>
      <c r="AH809" s="72">
        <f t="shared" si="837"/>
        <v>0</v>
      </c>
      <c r="AI809" s="72">
        <f t="shared" si="838"/>
        <v>0</v>
      </c>
      <c r="AJ809" s="72">
        <f t="shared" si="839"/>
        <v>0</v>
      </c>
      <c r="AK809" s="72" t="e">
        <f t="shared" si="840"/>
        <v>#N/A</v>
      </c>
      <c r="AL809" t="e">
        <f>VLOOKUP(C809,'חד גזעי'!$AH$8:$AI$33,2,FALSE)</f>
        <v>#N/A</v>
      </c>
      <c r="AM809" s="72" t="b">
        <f t="shared" si="841"/>
        <v>0</v>
      </c>
      <c r="AN809" s="72" t="b">
        <f t="shared" si="842"/>
        <v>0</v>
      </c>
      <c r="AO809" s="72" t="b">
        <f t="shared" si="843"/>
        <v>0</v>
      </c>
      <c r="AS809" s="72">
        <f t="shared" si="844"/>
        <v>0</v>
      </c>
      <c r="AT809" s="72">
        <f t="shared" si="845"/>
        <v>0</v>
      </c>
      <c r="AU809" s="72">
        <f t="shared" si="854"/>
        <v>0</v>
      </c>
      <c r="AV809" s="72">
        <f t="shared" si="846"/>
        <v>0</v>
      </c>
      <c r="AW809" s="72">
        <f t="shared" si="847"/>
        <v>0</v>
      </c>
      <c r="AX809" s="72">
        <f t="shared" si="848"/>
        <v>0</v>
      </c>
      <c r="AY809" s="72">
        <f t="shared" si="849"/>
        <v>0</v>
      </c>
      <c r="AZ809" s="72">
        <f t="shared" si="850"/>
        <v>0</v>
      </c>
      <c r="BA809" s="72" t="e">
        <f t="shared" si="851"/>
        <v>#N/A</v>
      </c>
      <c r="BB809" s="72" t="e">
        <f t="shared" si="852"/>
        <v>#N/A</v>
      </c>
      <c r="BC809" s="77"/>
      <c r="BE809">
        <f t="shared" si="832"/>
        <v>0</v>
      </c>
      <c r="BF809" s="196"/>
      <c r="BG809" s="196"/>
      <c r="BH809" s="196"/>
      <c r="BI809" s="196"/>
      <c r="BJ809" s="196"/>
      <c r="BK809" s="196"/>
    </row>
    <row r="810" spans="2:63" hidden="1">
      <c r="B810" s="72"/>
      <c r="C810" s="135"/>
      <c r="D810" s="78"/>
      <c r="E810" s="78"/>
      <c r="F810" s="72"/>
      <c r="G810" s="72"/>
      <c r="H810" s="72"/>
      <c r="I810" s="73">
        <f t="shared" si="834"/>
        <v>0</v>
      </c>
      <c r="J810" s="78"/>
      <c r="K810" s="73"/>
      <c r="L810" s="74" t="e">
        <f>_xlfn.IFNA(VLOOKUP(C810,'חד גזעי'!$U$3:$V$509,2,0),VLOOKUP(C810,'חד גזעי'!$U$3:$V$509,2))</f>
        <v>#N/A</v>
      </c>
      <c r="M810" s="102"/>
      <c r="N810" s="72" t="e">
        <f>_xlfn.IFNA(IF(VLOOKUP(C810,'חד גזעי'!$AH$2:$AH$7,1,FALSE)&gt;0,0,IF('חד גזעי'!$AM$5="כן",IF(_xlfn.IFNA(VLOOKUP(C810,'חד גזעי'!$AH$2:$AH$33,1,FALSE),SUM(J810:M810))&lt;21,_xlfn.IFNA(VLOOKUP(C810,'חד גזעי'!$AH$2:$AH$33,1,FALSE),SUM(J810:M810)),0),SUM(J810:M810))),IF('חד גזעי'!$AM$5="כן",IF(_xlfn.IFNA(VLOOKUP(C810,'חד גזעי'!$AH$2:$AH$33,1,FALSE),SUM(J810:M810))&lt;21,_xlfn.IFNA(VLOOKUP(C810,'חד גזעי'!$AH$2:$AH$33,1,FALSE),SUM(J810:M810)),0),SUM(J810:M810)))</f>
        <v>#N/A</v>
      </c>
      <c r="O810" s="72">
        <f>IF('חד גזעי'!$AM$3 = "כן",IF(T810&gt;4,4,T810),T810)</f>
        <v>0</v>
      </c>
      <c r="P810" s="80">
        <f>IF(E810&lt;2,0,IF(Z810&gt;0,Z810,IF(N810 = 0,0,IF('חד גזעי'!$AM$2 = "לא",IF(F810&gt;19,W810,0),IF(F810&gt;9,Y810,0)))))</f>
        <v>0</v>
      </c>
      <c r="Q810" s="77"/>
      <c r="R810" s="76"/>
      <c r="S810" t="e">
        <f>VLOOKUP(C810,'חד גזעי'!$Y$4:$Y$18,1,0)</f>
        <v>#N/A</v>
      </c>
      <c r="T810" s="72">
        <f>IF('חד גזעי'!$AM$6="לא",IF(P810=0,IF(BC810="שימור",IF('חד גזעי'!$AM$4="לא",IF(BC810="לא בוגר",0,IF(BC810="לא קיים",0,IF(J810=0,0,I810*0.1))),IF(BC810="לא בוגר",0,IF(BC810="לא קיים",0,IF(AB810=1,I810*0.1,E810*0.5)))),0),IF('חד גזעי'!$AM$4="לא",IF(BC810="לא בוגר",0,IF(BC810="לא קיים",0,IF(J810=0,0,I810*0.1))),IF(BC810="לא בוגר",0,IF(BC810="לא קיים",0,IF(AB810=1,I810*0.1,E810*0.5))))),IF(P810=0,IF(BC810="שימור",IF('חד גזעי'!$AM$4="לא",IF(BC810="לא בוגר",0,IF(BC810="לא קיים",0,IF(J810=0,0,I810*0.15))),IF(BC810="לא בוגר",0,IF(BC810="לא קיים",0,IF(AB810=1,I810*0.15,E810*0.5)))),0),IF('חד גזעי'!$AM$4="לא",IF(BC810="לא בוגר",0,IF(BC810="לא קיים",0,IF(J810=0,0,I810*0.15))),IF(BC810="לא בוגר",0,IF(BC810="לא קיים",0,IF(AB810=1,I810*0.15,E810*0.5))))))</f>
        <v>0</v>
      </c>
      <c r="V810" t="e">
        <f t="shared" si="818"/>
        <v>#N/A</v>
      </c>
      <c r="W810" t="e">
        <f t="shared" si="819"/>
        <v>#N/A</v>
      </c>
      <c r="X810" t="e">
        <f t="shared" si="820"/>
        <v>#N/A</v>
      </c>
      <c r="Y810">
        <f>IF('חד גזעי'!$AM$2 = "לא",0,IF(F810&gt;9,W810,0))</f>
        <v>0</v>
      </c>
      <c r="Z810">
        <f>IF('חד גזעי'!$AM$7 = "לא",0,IF(C810 = "זית אירופי",IF('חד גזעי'!$AN$7 &lt;=סקר!F810,W810,0),IF(C810 = "חרוב מצוי",IF('חד גזעי'!$AN$7 &lt;=סקר!F810,W810,0),0)))</f>
        <v>0</v>
      </c>
      <c r="AB810">
        <f t="shared" si="835"/>
        <v>1</v>
      </c>
      <c r="AC810" s="72"/>
      <c r="AD810" t="e">
        <f t="shared" si="853"/>
        <v>#N/A</v>
      </c>
      <c r="AE810" s="72"/>
      <c r="AF810" s="72" t="e">
        <f t="shared" si="836"/>
        <v>#N/A</v>
      </c>
      <c r="AG810" s="72" t="e">
        <f>IF('חד גזעי'!$AM$5="לא",(VLOOKUP(C810,'חד גזעי'!$P$1:$S$589,3,FALSE)),(VLOOKUP(C810,'חד גזעי'!$P$1:$S$589,4,FALSE)))</f>
        <v>#N/A</v>
      </c>
      <c r="AH810" s="72">
        <f t="shared" si="837"/>
        <v>0</v>
      </c>
      <c r="AI810" s="72">
        <f t="shared" si="838"/>
        <v>0</v>
      </c>
      <c r="AJ810" s="72">
        <f t="shared" si="839"/>
        <v>0</v>
      </c>
      <c r="AK810" s="72" t="e">
        <f t="shared" si="840"/>
        <v>#N/A</v>
      </c>
      <c r="AL810" t="e">
        <f>VLOOKUP(C810,'חד גזעי'!$AH$8:$AI$33,2,FALSE)</f>
        <v>#N/A</v>
      </c>
      <c r="AM810" s="72" t="b">
        <f t="shared" si="841"/>
        <v>0</v>
      </c>
      <c r="AN810" s="72" t="b">
        <f t="shared" si="842"/>
        <v>0</v>
      </c>
      <c r="AO810" s="72" t="b">
        <f t="shared" si="843"/>
        <v>0</v>
      </c>
      <c r="AS810" s="72">
        <f t="shared" si="844"/>
        <v>0</v>
      </c>
      <c r="AT810" s="72">
        <f t="shared" si="845"/>
        <v>0</v>
      </c>
      <c r="AU810" s="72">
        <f t="shared" si="854"/>
        <v>0</v>
      </c>
      <c r="AV810" s="72">
        <f t="shared" si="846"/>
        <v>0</v>
      </c>
      <c r="AW810" s="72">
        <f t="shared" si="847"/>
        <v>0</v>
      </c>
      <c r="AX810" s="72">
        <f t="shared" si="848"/>
        <v>0</v>
      </c>
      <c r="AY810" s="72">
        <f t="shared" si="849"/>
        <v>0</v>
      </c>
      <c r="AZ810" s="72">
        <f t="shared" si="850"/>
        <v>0</v>
      </c>
      <c r="BA810" s="72" t="e">
        <f t="shared" si="851"/>
        <v>#N/A</v>
      </c>
      <c r="BB810" s="72" t="e">
        <f t="shared" si="852"/>
        <v>#N/A</v>
      </c>
      <c r="BC810" s="77"/>
      <c r="BE810">
        <f t="shared" si="832"/>
        <v>0</v>
      </c>
      <c r="BF810" s="196"/>
      <c r="BG810" s="196"/>
      <c r="BH810" s="196"/>
      <c r="BI810" s="196"/>
      <c r="BJ810" s="196"/>
      <c r="BK810" s="196"/>
    </row>
    <row r="811" spans="2:63" hidden="1">
      <c r="B811" s="72"/>
      <c r="C811" s="135"/>
      <c r="D811" s="73"/>
      <c r="E811" s="73"/>
      <c r="F811" s="72"/>
      <c r="G811" s="72"/>
      <c r="H811" s="72"/>
      <c r="I811" s="73">
        <f t="shared" si="834"/>
        <v>0</v>
      </c>
      <c r="J811" s="73"/>
      <c r="K811" s="73"/>
      <c r="L811" s="74" t="e">
        <f>_xlfn.IFNA(VLOOKUP(C811,'חד גזעי'!$U$3:$V$509,2,0),VLOOKUP(C811,'חד גזעי'!$U$3:$V$509,2))</f>
        <v>#N/A</v>
      </c>
      <c r="M811" s="73"/>
      <c r="N811" s="72" t="e">
        <f>_xlfn.IFNA(IF(VLOOKUP(C811,'חד גזעי'!$AH$2:$AH$7,1,FALSE)&gt;0,0,IF('חד גזעי'!$AM$5="כן",IF(_xlfn.IFNA(VLOOKUP(C811,'חד גזעי'!$AH$2:$AH$33,1,FALSE),SUM(J811:M811))&lt;21,_xlfn.IFNA(VLOOKUP(C811,'חד גזעי'!$AH$2:$AH$33,1,FALSE),SUM(J811:M811)),0),SUM(J811:M811))),IF('חד גזעי'!$AM$5="כן",IF(_xlfn.IFNA(VLOOKUP(C811,'חד גזעי'!$AH$2:$AH$33,1,FALSE),SUM(J811:M811))&lt;21,_xlfn.IFNA(VLOOKUP(C811,'חד גזעי'!$AH$2:$AH$33,1,FALSE),SUM(J811:M811)),0),SUM(J811:M811)))</f>
        <v>#N/A</v>
      </c>
      <c r="O811" s="72">
        <f>IF('חד גזעי'!$AM$3 = "כן",IF(T811&gt;4,4,T811),T811)</f>
        <v>0</v>
      </c>
      <c r="P811" s="80">
        <f>IF(E811&lt;2,0,IF(Z811&gt;0,Z811,IF(N811 = 0,0,IF('חד גזעי'!$AM$2 = "לא",IF(F811&gt;19,W811,0),IF(F811&gt;9,Y811,0)))))</f>
        <v>0</v>
      </c>
      <c r="Q811" s="77"/>
      <c r="R811" s="76"/>
      <c r="S811" t="e">
        <f>VLOOKUP(C811,'חד גזעי'!$Y$4:$Y$18,1,0)</f>
        <v>#N/A</v>
      </c>
      <c r="T811" s="72">
        <f>IF('חד גזעי'!$AM$6="לא",IF(P811=0,IF(BC811="שימור",IF('חד גזעי'!$AM$4="לא",IF(BC811="לא בוגר",0,IF(BC811="לא קיים",0,IF(J811=0,0,I811*0.1))),IF(BC811="לא בוגר",0,IF(BC811="לא קיים",0,IF(AB811=1,I811*0.1,E811*0.5)))),0),IF('חד גזעי'!$AM$4="לא",IF(BC811="לא בוגר",0,IF(BC811="לא קיים",0,IF(J811=0,0,I811*0.1))),IF(BC811="לא בוגר",0,IF(BC811="לא קיים",0,IF(AB811=1,I811*0.1,E811*0.5))))),IF(P811=0,IF(BC811="שימור",IF('חד גזעי'!$AM$4="לא",IF(BC811="לא בוגר",0,IF(BC811="לא קיים",0,IF(J811=0,0,I811*0.15))),IF(BC811="לא בוגר",0,IF(BC811="לא קיים",0,IF(AB811=1,I811*0.15,E811*0.5)))),0),IF('חד גזעי'!$AM$4="לא",IF(BC811="לא בוגר",0,IF(BC811="לא קיים",0,IF(J811=0,0,I811*0.15))),IF(BC811="לא בוגר",0,IF(BC811="לא קיים",0,IF(AB811=1,I811*0.15,E811*0.5))))))</f>
        <v>0</v>
      </c>
      <c r="V811" t="e">
        <f t="shared" si="818"/>
        <v>#N/A</v>
      </c>
      <c r="W811" t="e">
        <f t="shared" si="819"/>
        <v>#N/A</v>
      </c>
      <c r="X811" t="e">
        <f t="shared" si="820"/>
        <v>#N/A</v>
      </c>
      <c r="Y811">
        <f>IF('חד גזעי'!$AM$2 = "לא",0,IF(F811&gt;9,W811,0))</f>
        <v>0</v>
      </c>
      <c r="Z811">
        <f>IF('חד גזעי'!$AM$7 = "לא",0,IF(C811 = "זית אירופי",IF('חד גזעי'!$AN$7 &lt;=סקר!F811,W811,0),IF(C811 = "חרוב מצוי",IF('חד גזעי'!$AN$7 &lt;=סקר!F811,W811,0),0)))</f>
        <v>0</v>
      </c>
      <c r="AB811">
        <f t="shared" si="835"/>
        <v>1</v>
      </c>
      <c r="AC811" s="72"/>
      <c r="AD811" t="e">
        <f t="shared" si="853"/>
        <v>#N/A</v>
      </c>
      <c r="AE811" s="72"/>
      <c r="AF811" s="72" t="e">
        <f t="shared" si="836"/>
        <v>#N/A</v>
      </c>
      <c r="AG811" s="72" t="e">
        <f>IF('חד גזעי'!$AM$5="לא",(VLOOKUP(C811,'חד גזעי'!$P$1:$S$589,3,FALSE)),(VLOOKUP(C811,'חד גזעי'!$P$1:$S$589,4,FALSE)))</f>
        <v>#N/A</v>
      </c>
      <c r="AH811" s="72">
        <f t="shared" si="837"/>
        <v>0</v>
      </c>
      <c r="AI811" s="72">
        <f t="shared" si="838"/>
        <v>0</v>
      </c>
      <c r="AJ811" s="72">
        <f t="shared" si="839"/>
        <v>0</v>
      </c>
      <c r="AK811" s="72" t="e">
        <f t="shared" si="840"/>
        <v>#N/A</v>
      </c>
      <c r="AL811" t="e">
        <f>VLOOKUP(C811,'חד גזעי'!$AH$8:$AI$33,2,FALSE)</f>
        <v>#N/A</v>
      </c>
      <c r="AM811" s="72" t="b">
        <f t="shared" si="841"/>
        <v>0</v>
      </c>
      <c r="AN811" s="72" t="b">
        <f t="shared" si="842"/>
        <v>0</v>
      </c>
      <c r="AO811" s="72" t="b">
        <f t="shared" si="843"/>
        <v>0</v>
      </c>
      <c r="AS811" s="72">
        <f t="shared" si="844"/>
        <v>0</v>
      </c>
      <c r="AT811" s="72">
        <f t="shared" si="845"/>
        <v>0</v>
      </c>
      <c r="AU811" s="72">
        <f t="shared" si="854"/>
        <v>0</v>
      </c>
      <c r="AV811" s="72">
        <f t="shared" si="846"/>
        <v>0</v>
      </c>
      <c r="AW811" s="72">
        <f t="shared" si="847"/>
        <v>0</v>
      </c>
      <c r="AX811" s="72">
        <f t="shared" si="848"/>
        <v>0</v>
      </c>
      <c r="AY811" s="72">
        <f t="shared" si="849"/>
        <v>0</v>
      </c>
      <c r="AZ811" s="72">
        <f t="shared" si="850"/>
        <v>0</v>
      </c>
      <c r="BA811" s="72" t="e">
        <f t="shared" si="851"/>
        <v>#N/A</v>
      </c>
      <c r="BB811" s="72" t="e">
        <f t="shared" si="852"/>
        <v>#N/A</v>
      </c>
      <c r="BC811" s="77"/>
      <c r="BE811">
        <f t="shared" si="832"/>
        <v>0</v>
      </c>
      <c r="BF811" s="196"/>
      <c r="BG811" s="196"/>
      <c r="BH811" s="196"/>
      <c r="BI811" s="196"/>
      <c r="BJ811" s="196"/>
      <c r="BK811" s="196"/>
    </row>
    <row r="812" spans="2:63" hidden="1">
      <c r="B812" s="72"/>
      <c r="C812" s="135"/>
      <c r="D812" s="73"/>
      <c r="E812" s="73"/>
      <c r="F812" s="72"/>
      <c r="G812" s="72"/>
      <c r="H812" s="72"/>
      <c r="I812" s="73">
        <f t="shared" si="834"/>
        <v>0</v>
      </c>
      <c r="J812" s="73"/>
      <c r="K812" s="73"/>
      <c r="L812" s="74" t="e">
        <f>_xlfn.IFNA(VLOOKUP(C812,'חד גזעי'!$U$3:$V$509,2,0),VLOOKUP(C812,'חד גזעי'!$U$3:$V$509,2))</f>
        <v>#N/A</v>
      </c>
      <c r="M812" s="73"/>
      <c r="N812" s="72" t="e">
        <f>_xlfn.IFNA(IF(VLOOKUP(C812,'חד גזעי'!$AH$2:$AH$7,1,FALSE)&gt;0,0,IF('חד גזעי'!$AM$5="כן",IF(_xlfn.IFNA(VLOOKUP(C812,'חד גזעי'!$AH$2:$AH$33,1,FALSE),SUM(J812:M812))&lt;21,_xlfn.IFNA(VLOOKUP(C812,'חד גזעי'!$AH$2:$AH$33,1,FALSE),SUM(J812:M812)),0),SUM(J812:M812))),IF('חד גזעי'!$AM$5="כן",IF(_xlfn.IFNA(VLOOKUP(C812,'חד גזעי'!$AH$2:$AH$33,1,FALSE),SUM(J812:M812))&lt;21,_xlfn.IFNA(VLOOKUP(C812,'חד גזעי'!$AH$2:$AH$33,1,FALSE),SUM(J812:M812)),0),SUM(J812:M812)))</f>
        <v>#N/A</v>
      </c>
      <c r="O812" s="72">
        <f>IF('חד גזעי'!$AM$3 = "כן",IF(T812&gt;4,4,T812),T812)</f>
        <v>0</v>
      </c>
      <c r="P812" s="80">
        <f>IF(E812&lt;2,0,IF(Z812&gt;0,Z812,IF(N812 = 0,0,IF('חד גזעי'!$AM$2 = "לא",IF(F812&gt;19,W812,0),IF(F812&gt;9,Y812,0)))))</f>
        <v>0</v>
      </c>
      <c r="Q812" s="77"/>
      <c r="R812" s="76"/>
      <c r="S812" t="e">
        <f>VLOOKUP(C812,'חד גזעי'!$Y$4:$Y$18,1,0)</f>
        <v>#N/A</v>
      </c>
      <c r="T812" s="72">
        <f>IF('חד גזעי'!$AM$6="לא",IF(P812=0,IF(BC812="שימור",IF('חד גזעי'!$AM$4="לא",IF(BC812="לא בוגר",0,IF(BC812="לא קיים",0,IF(J812=0,0,I812*0.1))),IF(BC812="לא בוגר",0,IF(BC812="לא קיים",0,IF(AB812=1,I812*0.1,E812*0.5)))),0),IF('חד גזעי'!$AM$4="לא",IF(BC812="לא בוגר",0,IF(BC812="לא קיים",0,IF(J812=0,0,I812*0.1))),IF(BC812="לא בוגר",0,IF(BC812="לא קיים",0,IF(AB812=1,I812*0.1,E812*0.5))))),IF(P812=0,IF(BC812="שימור",IF('חד גזעי'!$AM$4="לא",IF(BC812="לא בוגר",0,IF(BC812="לא קיים",0,IF(J812=0,0,I812*0.15))),IF(BC812="לא בוגר",0,IF(BC812="לא קיים",0,IF(AB812=1,I812*0.15,E812*0.5)))),0),IF('חד גזעי'!$AM$4="לא",IF(BC812="לא בוגר",0,IF(BC812="לא קיים",0,IF(J812=0,0,I812*0.15))),IF(BC812="לא בוגר",0,IF(BC812="לא קיים",0,IF(AB812=1,I812*0.15,E812*0.5))))))</f>
        <v>0</v>
      </c>
      <c r="V812" t="e">
        <f t="shared" si="818"/>
        <v>#N/A</v>
      </c>
      <c r="W812" t="e">
        <f t="shared" si="819"/>
        <v>#N/A</v>
      </c>
      <c r="X812" t="e">
        <f t="shared" si="820"/>
        <v>#N/A</v>
      </c>
      <c r="Y812">
        <f>IF('חד גזעי'!$AM$2 = "לא",0,IF(F812&gt;9,W812,0))</f>
        <v>0</v>
      </c>
      <c r="Z812">
        <f>IF('חד גזעי'!$AM$7 = "לא",0,IF(C812 = "זית אירופי",IF('חד גזעי'!$AN$7 &lt;=סקר!F812,W812,0),IF(C812 = "חרוב מצוי",IF('חד גזעי'!$AN$7 &lt;=סקר!F812,W812,0),0)))</f>
        <v>0</v>
      </c>
      <c r="AB812">
        <f t="shared" si="835"/>
        <v>1</v>
      </c>
      <c r="AC812" s="72"/>
      <c r="AD812" t="e">
        <f t="shared" si="853"/>
        <v>#N/A</v>
      </c>
      <c r="AE812" s="72"/>
      <c r="AF812" s="72" t="e">
        <f t="shared" si="836"/>
        <v>#N/A</v>
      </c>
      <c r="AG812" s="72" t="e">
        <f>IF('חד גזעי'!$AM$5="לא",(VLOOKUP(C812,'חד גזעי'!$P$1:$S$589,3,FALSE)),(VLOOKUP(C812,'חד גזעי'!$P$1:$S$589,4,FALSE)))</f>
        <v>#N/A</v>
      </c>
      <c r="AH812" s="72">
        <f t="shared" si="837"/>
        <v>0</v>
      </c>
      <c r="AI812" s="72">
        <f t="shared" si="838"/>
        <v>0</v>
      </c>
      <c r="AJ812" s="72">
        <f t="shared" si="839"/>
        <v>0</v>
      </c>
      <c r="AK812" s="72" t="e">
        <f t="shared" si="840"/>
        <v>#N/A</v>
      </c>
      <c r="AL812" t="e">
        <f>VLOOKUP(C812,'חד גזעי'!$AH$8:$AI$33,2,FALSE)</f>
        <v>#N/A</v>
      </c>
      <c r="AM812" s="72" t="b">
        <f t="shared" si="841"/>
        <v>0</v>
      </c>
      <c r="AN812" s="72" t="b">
        <f t="shared" si="842"/>
        <v>0</v>
      </c>
      <c r="AO812" s="72" t="b">
        <f t="shared" si="843"/>
        <v>0</v>
      </c>
      <c r="AS812" s="72">
        <f t="shared" si="844"/>
        <v>0</v>
      </c>
      <c r="AT812" s="72">
        <f t="shared" si="845"/>
        <v>0</v>
      </c>
      <c r="AU812" s="72">
        <f t="shared" si="854"/>
        <v>0</v>
      </c>
      <c r="AV812" s="72">
        <f t="shared" si="846"/>
        <v>0</v>
      </c>
      <c r="AW812" s="72">
        <f t="shared" si="847"/>
        <v>0</v>
      </c>
      <c r="AX812" s="72">
        <f t="shared" si="848"/>
        <v>0</v>
      </c>
      <c r="AY812" s="72">
        <f t="shared" si="849"/>
        <v>0</v>
      </c>
      <c r="AZ812" s="72">
        <f t="shared" si="850"/>
        <v>0</v>
      </c>
      <c r="BA812" s="72" t="e">
        <f t="shared" si="851"/>
        <v>#N/A</v>
      </c>
      <c r="BB812" s="72" t="e">
        <f t="shared" si="852"/>
        <v>#N/A</v>
      </c>
      <c r="BC812" s="77"/>
      <c r="BE812">
        <f t="shared" si="832"/>
        <v>0</v>
      </c>
      <c r="BF812" s="196"/>
      <c r="BG812" s="196"/>
      <c r="BH812" s="196"/>
      <c r="BI812" s="196"/>
      <c r="BJ812" s="196"/>
      <c r="BK812" s="196"/>
    </row>
    <row r="813" spans="2:63" hidden="1">
      <c r="B813" s="72"/>
      <c r="C813" s="135"/>
      <c r="D813" s="73"/>
      <c r="E813" s="73"/>
      <c r="F813" s="72"/>
      <c r="G813" s="72"/>
      <c r="H813" s="72"/>
      <c r="I813" s="73">
        <f t="shared" si="834"/>
        <v>0</v>
      </c>
      <c r="J813" s="73"/>
      <c r="K813" s="73"/>
      <c r="L813" s="74" t="e">
        <f>_xlfn.IFNA(VLOOKUP(C813,'חד גזעי'!$U$3:$V$509,2,0),VLOOKUP(C813,'חד גזעי'!$U$3:$V$509,2))</f>
        <v>#N/A</v>
      </c>
      <c r="M813" s="73"/>
      <c r="N813" s="72" t="e">
        <f>_xlfn.IFNA(IF(VLOOKUP(C813,'חד גזעי'!$AH$2:$AH$7,1,FALSE)&gt;0,0,IF('חד גזעי'!$AM$5="כן",IF(_xlfn.IFNA(VLOOKUP(C813,'חד גזעי'!$AH$2:$AH$33,1,FALSE),SUM(J813:M813))&lt;21,_xlfn.IFNA(VLOOKUP(C813,'חד גזעי'!$AH$2:$AH$33,1,FALSE),SUM(J813:M813)),0),SUM(J813:M813))),IF('חד גזעי'!$AM$5="כן",IF(_xlfn.IFNA(VLOOKUP(C813,'חד גזעי'!$AH$2:$AH$33,1,FALSE),SUM(J813:M813))&lt;21,_xlfn.IFNA(VLOOKUP(C813,'חד גזעי'!$AH$2:$AH$33,1,FALSE),SUM(J813:M813)),0),SUM(J813:M813)))</f>
        <v>#N/A</v>
      </c>
      <c r="O813" s="72">
        <f>IF('חד גזעי'!$AM$3 = "כן",IF(T813&gt;4,4,T813),T813)</f>
        <v>0</v>
      </c>
      <c r="P813" s="80">
        <f>IF(E813&lt;2,0,IF(Z813&gt;0,Z813,IF(N813 = 0,0,IF('חד גזעי'!$AM$2 = "לא",IF(F813&gt;19,W813,0),IF(F813&gt;9,Y813,0)))))</f>
        <v>0</v>
      </c>
      <c r="Q813" s="77"/>
      <c r="R813" s="76"/>
      <c r="S813" t="e">
        <f>VLOOKUP(C813,'חד גזעי'!$Y$4:$Y$18,1,0)</f>
        <v>#N/A</v>
      </c>
      <c r="T813" s="72">
        <f>IF('חד גזעי'!$AM$6="לא",IF(P813=0,IF(BC813="שימור",IF('חד גזעי'!$AM$4="לא",IF(BC813="לא בוגר",0,IF(BC813="לא קיים",0,IF(J813=0,0,I813*0.1))),IF(BC813="לא בוגר",0,IF(BC813="לא קיים",0,IF(AB813=1,I813*0.1,E813*0.5)))),0),IF('חד גזעי'!$AM$4="לא",IF(BC813="לא בוגר",0,IF(BC813="לא קיים",0,IF(J813=0,0,I813*0.1))),IF(BC813="לא בוגר",0,IF(BC813="לא קיים",0,IF(AB813=1,I813*0.1,E813*0.5))))),IF(P813=0,IF(BC813="שימור",IF('חד גזעי'!$AM$4="לא",IF(BC813="לא בוגר",0,IF(BC813="לא קיים",0,IF(J813=0,0,I813*0.15))),IF(BC813="לא בוגר",0,IF(BC813="לא קיים",0,IF(AB813=1,I813*0.15,E813*0.5)))),0),IF('חד גזעי'!$AM$4="לא",IF(BC813="לא בוגר",0,IF(BC813="לא קיים",0,IF(J813=0,0,I813*0.15))),IF(BC813="לא בוגר",0,IF(BC813="לא קיים",0,IF(AB813=1,I813*0.15,E813*0.5))))))</f>
        <v>0</v>
      </c>
      <c r="V813" t="e">
        <f t="shared" si="818"/>
        <v>#N/A</v>
      </c>
      <c r="W813" t="e">
        <f t="shared" si="819"/>
        <v>#N/A</v>
      </c>
      <c r="X813" t="e">
        <f t="shared" si="820"/>
        <v>#N/A</v>
      </c>
      <c r="Y813">
        <f>IF('חד גזעי'!$AM$2 = "לא",0,IF(F813&gt;9,W813,0))</f>
        <v>0</v>
      </c>
      <c r="Z813">
        <f>IF('חד גזעי'!$AM$7 = "לא",0,IF(C813 = "זית אירופי",IF('חד גזעי'!$AN$7 &lt;=סקר!F813,W813,0),IF(C813 = "חרוב מצוי",IF('חד גזעי'!$AN$7 &lt;=סקר!F813,W813,0),0)))</f>
        <v>0</v>
      </c>
      <c r="AB813">
        <f t="shared" si="835"/>
        <v>1</v>
      </c>
      <c r="AC813" s="72"/>
      <c r="AD813" t="e">
        <f t="shared" si="853"/>
        <v>#N/A</v>
      </c>
      <c r="AE813" s="72"/>
      <c r="AF813" s="72" t="e">
        <f t="shared" si="836"/>
        <v>#N/A</v>
      </c>
      <c r="AG813" s="72" t="e">
        <f>IF('חד גזעי'!$AM$5="לא",(VLOOKUP(C813,'חד גזעי'!$P$1:$S$589,3,FALSE)),(VLOOKUP(C813,'חד גזעי'!$P$1:$S$589,4,FALSE)))</f>
        <v>#N/A</v>
      </c>
      <c r="AH813" s="72">
        <f t="shared" si="837"/>
        <v>0</v>
      </c>
      <c r="AI813" s="72">
        <f t="shared" si="838"/>
        <v>0</v>
      </c>
      <c r="AJ813" s="72">
        <f t="shared" si="839"/>
        <v>0</v>
      </c>
      <c r="AK813" s="72" t="e">
        <f t="shared" si="840"/>
        <v>#N/A</v>
      </c>
      <c r="AL813" t="e">
        <f>VLOOKUP(C813,'חד גזעי'!$AH$8:$AI$33,2,FALSE)</f>
        <v>#N/A</v>
      </c>
      <c r="AM813" s="72" t="b">
        <f t="shared" si="841"/>
        <v>0</v>
      </c>
      <c r="AN813" s="72" t="b">
        <f t="shared" si="842"/>
        <v>0</v>
      </c>
      <c r="AO813" s="72" t="b">
        <f t="shared" si="843"/>
        <v>0</v>
      </c>
      <c r="AS813" s="72">
        <f t="shared" si="844"/>
        <v>0</v>
      </c>
      <c r="AT813" s="72">
        <f t="shared" si="845"/>
        <v>0</v>
      </c>
      <c r="AU813" s="72">
        <f t="shared" si="854"/>
        <v>0</v>
      </c>
      <c r="AV813" s="72">
        <f t="shared" si="846"/>
        <v>0</v>
      </c>
      <c r="AW813" s="72">
        <f t="shared" si="847"/>
        <v>0</v>
      </c>
      <c r="AX813" s="72">
        <f t="shared" si="848"/>
        <v>0</v>
      </c>
      <c r="AY813" s="72">
        <f t="shared" si="849"/>
        <v>0</v>
      </c>
      <c r="AZ813" s="72">
        <f t="shared" si="850"/>
        <v>0</v>
      </c>
      <c r="BA813" s="72" t="e">
        <f t="shared" si="851"/>
        <v>#N/A</v>
      </c>
      <c r="BB813" s="72" t="e">
        <f t="shared" si="852"/>
        <v>#N/A</v>
      </c>
      <c r="BC813" s="77"/>
      <c r="BE813">
        <f t="shared" si="832"/>
        <v>0</v>
      </c>
      <c r="BF813" s="196"/>
      <c r="BG813" s="196"/>
      <c r="BH813" s="196"/>
      <c r="BI813" s="196"/>
      <c r="BJ813" s="196"/>
      <c r="BK813" s="196"/>
    </row>
    <row r="814" spans="2:63" hidden="1">
      <c r="B814" s="72"/>
      <c r="C814" s="135"/>
      <c r="D814" s="73"/>
      <c r="E814" s="73"/>
      <c r="F814" s="72"/>
      <c r="G814" s="72"/>
      <c r="H814" s="72"/>
      <c r="I814" s="73">
        <f t="shared" si="834"/>
        <v>0</v>
      </c>
      <c r="J814" s="73"/>
      <c r="K814" s="73"/>
      <c r="L814" s="74" t="e">
        <f>_xlfn.IFNA(VLOOKUP(C814,'חד גזעי'!$U$3:$V$509,2,0),VLOOKUP(C814,'חד גזעי'!$U$3:$V$509,2))</f>
        <v>#N/A</v>
      </c>
      <c r="M814" s="73"/>
      <c r="N814" s="72" t="e">
        <f>_xlfn.IFNA(IF(VLOOKUP(C814,'חד גזעי'!$AH$2:$AH$7,1,FALSE)&gt;0,0,IF('חד גזעי'!$AM$5="כן",IF(_xlfn.IFNA(VLOOKUP(C814,'חד גזעי'!$AH$2:$AH$33,1,FALSE),SUM(J814:M814))&lt;21,_xlfn.IFNA(VLOOKUP(C814,'חד גזעי'!$AH$2:$AH$33,1,FALSE),SUM(J814:M814)),0),SUM(J814:M814))),IF('חד גזעי'!$AM$5="כן",IF(_xlfn.IFNA(VLOOKUP(C814,'חד גזעי'!$AH$2:$AH$33,1,FALSE),SUM(J814:M814))&lt;21,_xlfn.IFNA(VLOOKUP(C814,'חד גזעי'!$AH$2:$AH$33,1,FALSE),SUM(J814:M814)),0),SUM(J814:M814)))</f>
        <v>#N/A</v>
      </c>
      <c r="O814" s="72">
        <f>IF('חד גזעי'!$AM$3 = "כן",IF(T814&gt;4,4,T814),T814)</f>
        <v>0</v>
      </c>
      <c r="P814" s="80">
        <f>IF(E814&lt;2,0,IF(Z814&gt;0,Z814,IF(N814 = 0,0,IF('חד גזעי'!$AM$2 = "לא",IF(F814&gt;19,W814,0),IF(F814&gt;9,Y814,0)))))</f>
        <v>0</v>
      </c>
      <c r="Q814" s="77"/>
      <c r="R814" s="76"/>
      <c r="S814" t="e">
        <f>VLOOKUP(C814,'חד גזעי'!$Y$4:$Y$18,1,0)</f>
        <v>#N/A</v>
      </c>
      <c r="T814" s="72">
        <f>IF('חד גזעי'!$AM$6="לא",IF(P814=0,IF(BC814="שימור",IF('חד גזעי'!$AM$4="לא",IF(BC814="לא בוגר",0,IF(BC814="לא קיים",0,IF(J814=0,0,I814*0.1))),IF(BC814="לא בוגר",0,IF(BC814="לא קיים",0,IF(AB814=1,I814*0.1,E814*0.5)))),0),IF('חד גזעי'!$AM$4="לא",IF(BC814="לא בוגר",0,IF(BC814="לא קיים",0,IF(J814=0,0,I814*0.1))),IF(BC814="לא בוגר",0,IF(BC814="לא קיים",0,IF(AB814=1,I814*0.1,E814*0.5))))),IF(P814=0,IF(BC814="שימור",IF('חד גזעי'!$AM$4="לא",IF(BC814="לא בוגר",0,IF(BC814="לא קיים",0,IF(J814=0,0,I814*0.15))),IF(BC814="לא בוגר",0,IF(BC814="לא קיים",0,IF(AB814=1,I814*0.15,E814*0.5)))),0),IF('חד גזעי'!$AM$4="לא",IF(BC814="לא בוגר",0,IF(BC814="לא קיים",0,IF(J814=0,0,I814*0.15))),IF(BC814="לא בוגר",0,IF(BC814="לא קיים",0,IF(AB814=1,I814*0.15,E814*0.5))))))</f>
        <v>0</v>
      </c>
      <c r="V814" t="e">
        <f t="shared" si="818"/>
        <v>#N/A</v>
      </c>
      <c r="W814" t="e">
        <f t="shared" si="819"/>
        <v>#N/A</v>
      </c>
      <c r="X814" t="e">
        <f t="shared" si="820"/>
        <v>#N/A</v>
      </c>
      <c r="Y814">
        <f>IF('חד גזעי'!$AM$2 = "לא",0,IF(F814&gt;9,W814,0))</f>
        <v>0</v>
      </c>
      <c r="Z814">
        <f>IF('חד גזעי'!$AM$7 = "לא",0,IF(C814 = "זית אירופי",IF('חד גזעי'!$AN$7 &lt;=סקר!F814,W814,0),IF(C814 = "חרוב מצוי",IF('חד גזעי'!$AN$7 &lt;=סקר!F814,W814,0),0)))</f>
        <v>0</v>
      </c>
      <c r="AB814">
        <f t="shared" si="835"/>
        <v>1</v>
      </c>
      <c r="AC814" s="72"/>
      <c r="AD814" t="e">
        <f>IF(AK814&gt;0,AK814,AF814)</f>
        <v>#N/A</v>
      </c>
      <c r="AE814" s="72"/>
      <c r="AF814" s="72" t="e">
        <f t="shared" si="836"/>
        <v>#N/A</v>
      </c>
      <c r="AG814" s="72" t="e">
        <f>IF('חד גזעי'!$AM$5="לא",(VLOOKUP(C814,'חד גזעי'!$P$1:$S$589,3,FALSE)),(VLOOKUP(C814,'חד גזעי'!$P$1:$S$589,4,FALSE)))</f>
        <v>#N/A</v>
      </c>
      <c r="AH814" s="72">
        <f t="shared" si="837"/>
        <v>0</v>
      </c>
      <c r="AI814" s="72">
        <f t="shared" si="838"/>
        <v>0</v>
      </c>
      <c r="AJ814" s="72">
        <f t="shared" si="839"/>
        <v>0</v>
      </c>
      <c r="AK814" s="72" t="e">
        <f t="shared" si="840"/>
        <v>#N/A</v>
      </c>
      <c r="AL814" t="e">
        <f>VLOOKUP(C814,'חד גזעי'!$AH$8:$AI$33,2,FALSE)</f>
        <v>#N/A</v>
      </c>
      <c r="AM814" s="72" t="b">
        <f t="shared" si="841"/>
        <v>0</v>
      </c>
      <c r="AN814" s="72" t="b">
        <f t="shared" si="842"/>
        <v>0</v>
      </c>
      <c r="AO814" s="72" t="b">
        <f t="shared" si="843"/>
        <v>0</v>
      </c>
      <c r="AS814" s="72">
        <f t="shared" si="844"/>
        <v>0</v>
      </c>
      <c r="AT814" s="72">
        <f t="shared" si="845"/>
        <v>0</v>
      </c>
      <c r="AU814" s="72">
        <f>IF(C814&gt;0,IF(D814&lt;2,1,D814),0)</f>
        <v>0</v>
      </c>
      <c r="AV814" s="72">
        <f t="shared" si="846"/>
        <v>0</v>
      </c>
      <c r="AW814" s="72">
        <f t="shared" si="847"/>
        <v>0</v>
      </c>
      <c r="AX814" s="72">
        <f t="shared" si="848"/>
        <v>0</v>
      </c>
      <c r="AY814" s="72">
        <f t="shared" si="849"/>
        <v>0</v>
      </c>
      <c r="AZ814" s="72">
        <f t="shared" si="850"/>
        <v>0</v>
      </c>
      <c r="BA814" s="72" t="e">
        <f t="shared" si="851"/>
        <v>#N/A</v>
      </c>
      <c r="BB814" s="72" t="e">
        <f t="shared" si="852"/>
        <v>#N/A</v>
      </c>
      <c r="BC814" s="77"/>
      <c r="BE814">
        <f t="shared" si="832"/>
        <v>0</v>
      </c>
      <c r="BF814" s="196"/>
      <c r="BG814" s="196"/>
      <c r="BH814" s="196"/>
      <c r="BI814" s="196"/>
      <c r="BJ814" s="196"/>
      <c r="BK814" s="196"/>
    </row>
    <row r="815" spans="2:63" hidden="1">
      <c r="B815" s="72"/>
      <c r="C815" s="135"/>
      <c r="D815" s="73"/>
      <c r="E815" s="73"/>
      <c r="F815" s="72"/>
      <c r="G815" s="72"/>
      <c r="H815" s="72"/>
      <c r="I815" s="73">
        <f t="shared" si="834"/>
        <v>0</v>
      </c>
      <c r="J815" s="73"/>
      <c r="K815" s="73"/>
      <c r="L815" s="74" t="e">
        <f>_xlfn.IFNA(VLOOKUP(C815,'חד גזעי'!$U$3:$V$509,2,0),VLOOKUP(C815,'חד גזעי'!$U$3:$V$509,2))</f>
        <v>#N/A</v>
      </c>
      <c r="M815" s="73"/>
      <c r="N815" s="72" t="e">
        <f>_xlfn.IFNA(IF(VLOOKUP(C815,'חד גזעי'!$AH$2:$AH$7,1,FALSE)&gt;0,0,IF('חד גזעי'!$AM$5="כן",IF(_xlfn.IFNA(VLOOKUP(C815,'חד גזעי'!$AH$2:$AH$33,1,FALSE),SUM(J815:M815))&lt;21,_xlfn.IFNA(VLOOKUP(C815,'חד גזעי'!$AH$2:$AH$33,1,FALSE),SUM(J815:M815)),0),SUM(J815:M815))),IF('חד גזעי'!$AM$5="כן",IF(_xlfn.IFNA(VLOOKUP(C815,'חד גזעי'!$AH$2:$AH$33,1,FALSE),SUM(J815:M815))&lt;21,_xlfn.IFNA(VLOOKUP(C815,'חד גזעי'!$AH$2:$AH$33,1,FALSE),SUM(J815:M815)),0),SUM(J815:M815)))</f>
        <v>#N/A</v>
      </c>
      <c r="O815" s="72">
        <f>IF('חד גזעי'!$AM$3 = "כן",IF(T815&gt;4,4,T815),T815)</f>
        <v>0</v>
      </c>
      <c r="P815" s="80">
        <f>IF(E815&lt;2,0,IF(Z815&gt;0,Z815,IF(N815 = 0,0,IF('חד גזעי'!$AM$2 = "לא",IF(F815&gt;19,W815,0),IF(F815&gt;9,Y815,0)))))</f>
        <v>0</v>
      </c>
      <c r="Q815" s="77"/>
      <c r="R815" s="76"/>
      <c r="S815" t="e">
        <f>VLOOKUP(C815,'חד גזעי'!$Y$4:$Y$18,1,0)</f>
        <v>#N/A</v>
      </c>
      <c r="T815" s="72">
        <f>IF('חד גזעי'!$AM$6="לא",IF(P815=0,IF(BC815="שימור",IF('חד גזעי'!$AM$4="לא",IF(BC815="לא בוגר",0,IF(BC815="לא קיים",0,IF(J815=0,0,I815*0.1))),IF(BC815="לא בוגר",0,IF(BC815="לא קיים",0,IF(AB815=1,I815*0.1,E815*0.5)))),0),IF('חד גזעי'!$AM$4="לא",IF(BC815="לא בוגר",0,IF(BC815="לא קיים",0,IF(J815=0,0,I815*0.1))),IF(BC815="לא בוגר",0,IF(BC815="לא קיים",0,IF(AB815=1,I815*0.1,E815*0.5))))),IF(P815=0,IF(BC815="שימור",IF('חד גזעי'!$AM$4="לא",IF(BC815="לא בוגר",0,IF(BC815="לא קיים",0,IF(J815=0,0,I815*0.15))),IF(BC815="לא בוגר",0,IF(BC815="לא קיים",0,IF(AB815=1,I815*0.15,E815*0.5)))),0),IF('חד גזעי'!$AM$4="לא",IF(BC815="לא בוגר",0,IF(BC815="לא קיים",0,IF(J815=0,0,I815*0.15))),IF(BC815="לא בוגר",0,IF(BC815="לא קיים",0,IF(AB815=1,I815*0.15,E815*0.5))))))</f>
        <v>0</v>
      </c>
      <c r="V815" t="e">
        <f t="shared" si="818"/>
        <v>#N/A</v>
      </c>
      <c r="W815" t="e">
        <f t="shared" si="819"/>
        <v>#N/A</v>
      </c>
      <c r="X815" t="e">
        <f t="shared" si="820"/>
        <v>#N/A</v>
      </c>
      <c r="Y815">
        <f>IF('חד גזעי'!$AM$2 = "לא",0,IF(F815&gt;9,W815,0))</f>
        <v>0</v>
      </c>
      <c r="Z815">
        <f>IF('חד גזעי'!$AM$7 = "לא",0,IF(C815 = "זית אירופי",IF('חד גזעי'!$AN$7 &lt;=סקר!F815,W815,0),IF(C815 = "חרוב מצוי",IF('חד גזעי'!$AN$7 &lt;=סקר!F815,W815,0),0)))</f>
        <v>0</v>
      </c>
      <c r="AB815">
        <f t="shared" si="835"/>
        <v>1</v>
      </c>
      <c r="AC815" s="72"/>
      <c r="AD815" t="e">
        <f t="shared" si="853"/>
        <v>#N/A</v>
      </c>
      <c r="AE815" s="72"/>
      <c r="AF815" s="72" t="e">
        <f t="shared" si="836"/>
        <v>#N/A</v>
      </c>
      <c r="AG815" s="72" t="e">
        <f>IF('חד גזעי'!$AM$5="לא",(VLOOKUP(C815,'חד גזעי'!$P$1:$S$589,3,FALSE)),(VLOOKUP(C815,'חד גזעי'!$P$1:$S$589,4,FALSE)))</f>
        <v>#N/A</v>
      </c>
      <c r="AH815" s="72">
        <f t="shared" si="837"/>
        <v>0</v>
      </c>
      <c r="AI815" s="72">
        <f t="shared" si="838"/>
        <v>0</v>
      </c>
      <c r="AJ815" s="72">
        <f t="shared" si="839"/>
        <v>0</v>
      </c>
      <c r="AK815" s="72" t="e">
        <f t="shared" si="840"/>
        <v>#N/A</v>
      </c>
      <c r="AL815" t="e">
        <f>VLOOKUP(C815,'חד גזעי'!$AH$8:$AI$33,2,FALSE)</f>
        <v>#N/A</v>
      </c>
      <c r="AM815" s="72" t="b">
        <f t="shared" si="841"/>
        <v>0</v>
      </c>
      <c r="AN815" s="72" t="b">
        <f t="shared" si="842"/>
        <v>0</v>
      </c>
      <c r="AO815" s="72" t="b">
        <f t="shared" si="843"/>
        <v>0</v>
      </c>
      <c r="AS815" s="72">
        <f t="shared" si="844"/>
        <v>0</v>
      </c>
      <c r="AT815" s="72">
        <f t="shared" si="845"/>
        <v>0</v>
      </c>
      <c r="AU815" s="72">
        <f t="shared" si="854"/>
        <v>0</v>
      </c>
      <c r="AV815" s="72">
        <f t="shared" si="846"/>
        <v>0</v>
      </c>
      <c r="AW815" s="72">
        <f t="shared" si="847"/>
        <v>0</v>
      </c>
      <c r="AX815" s="72">
        <f t="shared" si="848"/>
        <v>0</v>
      </c>
      <c r="AY815" s="72">
        <f t="shared" si="849"/>
        <v>0</v>
      </c>
      <c r="AZ815" s="72">
        <f t="shared" si="850"/>
        <v>0</v>
      </c>
      <c r="BA815" s="72" t="e">
        <f t="shared" si="851"/>
        <v>#N/A</v>
      </c>
      <c r="BB815" s="72" t="e">
        <f t="shared" si="852"/>
        <v>#N/A</v>
      </c>
      <c r="BC815" s="77"/>
      <c r="BE815">
        <f t="shared" si="832"/>
        <v>0</v>
      </c>
      <c r="BF815" s="196"/>
      <c r="BG815" s="196"/>
      <c r="BH815" s="196"/>
      <c r="BI815" s="196"/>
      <c r="BJ815" s="196"/>
      <c r="BK815" s="196"/>
    </row>
    <row r="816" spans="2:63" hidden="1">
      <c r="B816" s="72"/>
      <c r="C816" s="135"/>
      <c r="D816" s="73"/>
      <c r="E816" s="73"/>
      <c r="F816" s="72"/>
      <c r="G816" s="72"/>
      <c r="H816" s="72"/>
      <c r="I816" s="73">
        <f t="shared" si="834"/>
        <v>0</v>
      </c>
      <c r="J816" s="73"/>
      <c r="K816" s="73"/>
      <c r="L816" s="74" t="e">
        <f>_xlfn.IFNA(VLOOKUP(C816,'חד גזעי'!$U$3:$V$509,2,0),VLOOKUP(C816,'חד גזעי'!$U$3:$V$509,2))</f>
        <v>#N/A</v>
      </c>
      <c r="M816" s="73"/>
      <c r="N816" s="72" t="e">
        <f>_xlfn.IFNA(IF(VLOOKUP(C816,'חד גזעי'!$AH$2:$AH$7,1,FALSE)&gt;0,0,IF('חד גזעי'!$AM$5="כן",IF(_xlfn.IFNA(VLOOKUP(C816,'חד גזעי'!$AH$2:$AH$33,1,FALSE),SUM(J816:M816))&lt;21,_xlfn.IFNA(VLOOKUP(C816,'חד גזעי'!$AH$2:$AH$33,1,FALSE),SUM(J816:M816)),0),SUM(J816:M816))),IF('חד גזעי'!$AM$5="כן",IF(_xlfn.IFNA(VLOOKUP(C816,'חד גזעי'!$AH$2:$AH$33,1,FALSE),SUM(J816:M816))&lt;21,_xlfn.IFNA(VLOOKUP(C816,'חד גזעי'!$AH$2:$AH$33,1,FALSE),SUM(J816:M816)),0),SUM(J816:M816)))</f>
        <v>#N/A</v>
      </c>
      <c r="O816" s="72">
        <f>IF('חד גזעי'!$AM$3 = "כן",IF(T816&gt;4,4,T816),T816)</f>
        <v>0</v>
      </c>
      <c r="P816" s="80">
        <f>IF(E816&lt;2,0,IF(Z816&gt;0,Z816,IF(N816 = 0,0,IF('חד גזעי'!$AM$2 = "לא",IF(F816&gt;19,W816,0),IF(F816&gt;9,Y816,0)))))</f>
        <v>0</v>
      </c>
      <c r="Q816" s="77"/>
      <c r="R816" s="76"/>
      <c r="S816" t="e">
        <f>VLOOKUP(C816,'חד גזעי'!$Y$4:$Y$18,1,0)</f>
        <v>#N/A</v>
      </c>
      <c r="T816" s="72">
        <f>IF('חד גזעי'!$AM$6="לא",IF(P816=0,IF(BC816="שימור",IF('חד גזעי'!$AM$4="לא",IF(BC816="לא בוגר",0,IF(BC816="לא קיים",0,IF(J816=0,0,I816*0.1))),IF(BC816="לא בוגר",0,IF(BC816="לא קיים",0,IF(AB816=1,I816*0.1,E816*0.5)))),0),IF('חד גזעי'!$AM$4="לא",IF(BC816="לא בוגר",0,IF(BC816="לא קיים",0,IF(J816=0,0,I816*0.1))),IF(BC816="לא בוגר",0,IF(BC816="לא קיים",0,IF(AB816=1,I816*0.1,E816*0.5))))),IF(P816=0,IF(BC816="שימור",IF('חד גזעי'!$AM$4="לא",IF(BC816="לא בוגר",0,IF(BC816="לא קיים",0,IF(J816=0,0,I816*0.15))),IF(BC816="לא בוגר",0,IF(BC816="לא קיים",0,IF(AB816=1,I816*0.15,E816*0.5)))),0),IF('חד גזעי'!$AM$4="לא",IF(BC816="לא בוגר",0,IF(BC816="לא קיים",0,IF(J816=0,0,I816*0.15))),IF(BC816="לא בוגר",0,IF(BC816="לא קיים",0,IF(AB816=1,I816*0.15,E816*0.5))))))</f>
        <v>0</v>
      </c>
      <c r="V816" t="e">
        <f t="shared" si="818"/>
        <v>#N/A</v>
      </c>
      <c r="W816" t="e">
        <f t="shared" si="819"/>
        <v>#N/A</v>
      </c>
      <c r="X816" t="e">
        <f t="shared" si="820"/>
        <v>#N/A</v>
      </c>
      <c r="Y816">
        <f>IF('חד גזעי'!$AM$2 = "לא",0,IF(F816&gt;9,W816,0))</f>
        <v>0</v>
      </c>
      <c r="Z816">
        <f>IF('חד גזעי'!$AM$7 = "לא",0,IF(C816 = "זית אירופי",IF('חד גזעי'!$AN$7 &lt;=סקר!F816,W816,0),IF(C816 = "חרוב מצוי",IF('חד גזעי'!$AN$7 &lt;=סקר!F816,W816,0),0)))</f>
        <v>0</v>
      </c>
      <c r="AB816">
        <f t="shared" si="835"/>
        <v>1</v>
      </c>
      <c r="AC816" s="72"/>
      <c r="AD816" t="e">
        <f t="shared" si="853"/>
        <v>#N/A</v>
      </c>
      <c r="AE816" s="72"/>
      <c r="AF816" s="72" t="e">
        <f t="shared" si="836"/>
        <v>#N/A</v>
      </c>
      <c r="AG816" s="72" t="e">
        <f>IF('חד גזעי'!$AM$5="לא",(VLOOKUP(C816,'חד גזעי'!$P$1:$S$589,3,FALSE)),(VLOOKUP(C816,'חד גזעי'!$P$1:$S$589,4,FALSE)))</f>
        <v>#N/A</v>
      </c>
      <c r="AH816" s="72">
        <f t="shared" si="837"/>
        <v>0</v>
      </c>
      <c r="AI816" s="72">
        <f t="shared" si="838"/>
        <v>0</v>
      </c>
      <c r="AJ816" s="72">
        <f t="shared" si="839"/>
        <v>0</v>
      </c>
      <c r="AK816" s="72" t="e">
        <f t="shared" si="840"/>
        <v>#N/A</v>
      </c>
      <c r="AL816" t="e">
        <f>VLOOKUP(C816,'חד גזעי'!$AH$8:$AI$33,2,FALSE)</f>
        <v>#N/A</v>
      </c>
      <c r="AM816" s="72" t="b">
        <f t="shared" si="841"/>
        <v>0</v>
      </c>
      <c r="AN816" s="72" t="b">
        <f t="shared" si="842"/>
        <v>0</v>
      </c>
      <c r="AO816" s="72" t="b">
        <f t="shared" si="843"/>
        <v>0</v>
      </c>
      <c r="AS816" s="72">
        <f t="shared" si="844"/>
        <v>0</v>
      </c>
      <c r="AT816" s="72">
        <f t="shared" si="845"/>
        <v>0</v>
      </c>
      <c r="AU816" s="72">
        <f t="shared" si="854"/>
        <v>0</v>
      </c>
      <c r="AV816" s="72">
        <f t="shared" si="846"/>
        <v>0</v>
      </c>
      <c r="AW816" s="72">
        <f t="shared" si="847"/>
        <v>0</v>
      </c>
      <c r="AX816" s="72">
        <f t="shared" si="848"/>
        <v>0</v>
      </c>
      <c r="AY816" s="72">
        <f t="shared" si="849"/>
        <v>0</v>
      </c>
      <c r="AZ816" s="72">
        <f t="shared" si="850"/>
        <v>0</v>
      </c>
      <c r="BA816" s="72" t="e">
        <f t="shared" si="851"/>
        <v>#N/A</v>
      </c>
      <c r="BB816" s="72" t="e">
        <f t="shared" si="852"/>
        <v>#N/A</v>
      </c>
      <c r="BC816" s="77"/>
      <c r="BE816">
        <f t="shared" si="832"/>
        <v>0</v>
      </c>
      <c r="BF816" s="196"/>
      <c r="BG816" s="196"/>
      <c r="BH816" s="196"/>
      <c r="BI816" s="196"/>
      <c r="BJ816" s="196"/>
      <c r="BK816" s="196"/>
    </row>
    <row r="817" spans="1:63" hidden="1">
      <c r="B817" s="72"/>
      <c r="C817" s="135"/>
      <c r="D817" s="73"/>
      <c r="E817" s="73"/>
      <c r="F817" s="72"/>
      <c r="G817" s="72"/>
      <c r="H817" s="72"/>
      <c r="I817" s="73">
        <f t="shared" si="834"/>
        <v>0</v>
      </c>
      <c r="J817" s="73"/>
      <c r="K817" s="73"/>
      <c r="L817" s="74" t="e">
        <f>_xlfn.IFNA(VLOOKUP(C817,'חד גזעי'!$U$3:$V$509,2,0),VLOOKUP(C817,'חד גזעי'!$U$3:$V$509,2))</f>
        <v>#N/A</v>
      </c>
      <c r="M817" s="73"/>
      <c r="N817" s="72" t="e">
        <f>_xlfn.IFNA(IF(VLOOKUP(C817,'חד גזעי'!$AH$2:$AH$7,1,FALSE)&gt;0,0,IF('חד גזעי'!$AM$5="כן",IF(_xlfn.IFNA(VLOOKUP(C817,'חד גזעי'!$AH$2:$AH$33,1,FALSE),SUM(J817:M817))&lt;21,_xlfn.IFNA(VLOOKUP(C817,'חד גזעי'!$AH$2:$AH$33,1,FALSE),SUM(J817:M817)),0),SUM(J817:M817))),IF('חד גזעי'!$AM$5="כן",IF(_xlfn.IFNA(VLOOKUP(C817,'חד גזעי'!$AH$2:$AH$33,1,FALSE),SUM(J817:M817))&lt;21,_xlfn.IFNA(VLOOKUP(C817,'חד גזעי'!$AH$2:$AH$33,1,FALSE),SUM(J817:M817)),0),SUM(J817:M817)))</f>
        <v>#N/A</v>
      </c>
      <c r="O817" s="72">
        <f>IF('חד גזעי'!$AM$3 = "כן",IF(T817&gt;4,4,T817),T817)</f>
        <v>0</v>
      </c>
      <c r="P817" s="80">
        <f>IF(E817&lt;2,0,IF(Z817&gt;0,Z817,IF(N817 = 0,0,IF('חד גזעי'!$AM$2 = "לא",IF(F817&gt;19,W817,0),IF(F817&gt;9,Y817,0)))))</f>
        <v>0</v>
      </c>
      <c r="Q817" s="77"/>
      <c r="R817" s="76"/>
      <c r="S817" t="e">
        <f>VLOOKUP(C817,'חד גזעי'!$Y$4:$Y$18,1,0)</f>
        <v>#N/A</v>
      </c>
      <c r="T817" s="72">
        <f>IF('חד גזעי'!$AM$6="לא",IF(P817=0,IF(BC817="שימור",IF('חד גזעי'!$AM$4="לא",IF(BC817="לא בוגר",0,IF(BC817="לא קיים",0,IF(J817=0,0,I817*0.1))),IF(BC817="לא בוגר",0,IF(BC817="לא קיים",0,IF(AB817=1,I817*0.1,E817*0.5)))),0),IF('חד גזעי'!$AM$4="לא",IF(BC817="לא בוגר",0,IF(BC817="לא קיים",0,IF(J817=0,0,I817*0.1))),IF(BC817="לא בוגר",0,IF(BC817="לא קיים",0,IF(AB817=1,I817*0.1,E817*0.5))))),IF(P817=0,IF(BC817="שימור",IF('חד גזעי'!$AM$4="לא",IF(BC817="לא בוגר",0,IF(BC817="לא קיים",0,IF(J817=0,0,I817*0.15))),IF(BC817="לא בוגר",0,IF(BC817="לא קיים",0,IF(AB817=1,I817*0.15,E817*0.5)))),0),IF('חד גזעי'!$AM$4="לא",IF(BC817="לא בוגר",0,IF(BC817="לא קיים",0,IF(J817=0,0,I817*0.15))),IF(BC817="לא בוגר",0,IF(BC817="לא קיים",0,IF(AB817=1,I817*0.15,E817*0.5))))))</f>
        <v>0</v>
      </c>
      <c r="V817" t="e">
        <f t="shared" si="818"/>
        <v>#N/A</v>
      </c>
      <c r="W817" t="e">
        <f t="shared" si="819"/>
        <v>#N/A</v>
      </c>
      <c r="X817" t="e">
        <f t="shared" si="820"/>
        <v>#N/A</v>
      </c>
      <c r="Y817">
        <f>IF('חד גזעי'!$AM$2 = "לא",0,IF(F817&gt;9,W817,0))</f>
        <v>0</v>
      </c>
      <c r="Z817">
        <f>IF('חד גזעי'!$AM$7 = "לא",0,IF(C817 = "זית אירופי",IF('חד גזעי'!$AN$7 &lt;=סקר!F817,W817,0),IF(C817 = "חרוב מצוי",IF('חד גזעי'!$AN$7 &lt;=סקר!F817,W817,0),0)))</f>
        <v>0</v>
      </c>
      <c r="AB817">
        <f t="shared" si="835"/>
        <v>1</v>
      </c>
      <c r="AC817" s="72"/>
      <c r="AD817" t="e">
        <f t="shared" si="853"/>
        <v>#N/A</v>
      </c>
      <c r="AE817" s="72"/>
      <c r="AF817" s="72" t="e">
        <f t="shared" si="836"/>
        <v>#N/A</v>
      </c>
      <c r="AG817" s="72" t="e">
        <f>IF('חד גזעי'!$AM$5="לא",(VLOOKUP(C817,'חד גזעי'!$P$1:$S$589,3,FALSE)),(VLOOKUP(C817,'חד גזעי'!$P$1:$S$589,4,FALSE)))</f>
        <v>#N/A</v>
      </c>
      <c r="AH817" s="72">
        <f t="shared" si="837"/>
        <v>0</v>
      </c>
      <c r="AI817" s="72">
        <f t="shared" si="838"/>
        <v>0</v>
      </c>
      <c r="AJ817" s="72">
        <f t="shared" si="839"/>
        <v>0</v>
      </c>
      <c r="AK817" s="72" t="e">
        <f t="shared" si="840"/>
        <v>#N/A</v>
      </c>
      <c r="AL817" t="e">
        <f>VLOOKUP(C817,'חד גזעי'!$AH$8:$AI$33,2,FALSE)</f>
        <v>#N/A</v>
      </c>
      <c r="AM817" s="72" t="b">
        <f t="shared" si="841"/>
        <v>0</v>
      </c>
      <c r="AN817" s="72" t="b">
        <f t="shared" si="842"/>
        <v>0</v>
      </c>
      <c r="AO817" s="72" t="b">
        <f t="shared" si="843"/>
        <v>0</v>
      </c>
      <c r="AS817" s="72">
        <f t="shared" si="844"/>
        <v>0</v>
      </c>
      <c r="AT817" s="72">
        <f t="shared" si="845"/>
        <v>0</v>
      </c>
      <c r="AU817" s="72">
        <f t="shared" si="854"/>
        <v>0</v>
      </c>
      <c r="AV817" s="72">
        <f t="shared" si="846"/>
        <v>0</v>
      </c>
      <c r="AW817" s="72">
        <f t="shared" si="847"/>
        <v>0</v>
      </c>
      <c r="AX817" s="72">
        <f t="shared" si="848"/>
        <v>0</v>
      </c>
      <c r="AY817" s="72">
        <f t="shared" si="849"/>
        <v>0</v>
      </c>
      <c r="AZ817" s="72">
        <f t="shared" si="850"/>
        <v>0</v>
      </c>
      <c r="BA817" s="72" t="e">
        <f t="shared" si="851"/>
        <v>#N/A</v>
      </c>
      <c r="BB817" s="72" t="e">
        <f t="shared" si="852"/>
        <v>#N/A</v>
      </c>
      <c r="BC817" s="77"/>
      <c r="BE817">
        <f t="shared" si="832"/>
        <v>0</v>
      </c>
      <c r="BF817" s="196"/>
      <c r="BG817" s="196"/>
      <c r="BH817" s="196"/>
      <c r="BI817" s="196"/>
      <c r="BJ817" s="196"/>
      <c r="BK817" s="196"/>
    </row>
    <row r="818" spans="1:63" hidden="1">
      <c r="B818" s="72"/>
      <c r="C818" s="135"/>
      <c r="D818" s="73"/>
      <c r="E818" s="73"/>
      <c r="F818" s="72"/>
      <c r="G818" s="72"/>
      <c r="H818" s="72"/>
      <c r="I818" s="73">
        <f t="shared" si="834"/>
        <v>0</v>
      </c>
      <c r="J818" s="73"/>
      <c r="K818" s="73"/>
      <c r="L818" s="74" t="e">
        <f>_xlfn.IFNA(VLOOKUP(C818,'חד גזעי'!$U$3:$V$509,2,0),VLOOKUP(C818,'חד גזעי'!$U$3:$V$509,2))</f>
        <v>#N/A</v>
      </c>
      <c r="M818" s="73"/>
      <c r="N818" s="72" t="e">
        <f>_xlfn.IFNA(IF(VLOOKUP(C818,'חד גזעי'!$AH$2:$AH$7,1,FALSE)&gt;0,0,IF('חד גזעי'!$AM$5="כן",IF(_xlfn.IFNA(VLOOKUP(C818,'חד גזעי'!$AH$2:$AH$33,1,FALSE),SUM(J818:M818))&lt;21,_xlfn.IFNA(VLOOKUP(C818,'חד גזעי'!$AH$2:$AH$33,1,FALSE),SUM(J818:M818)),0),SUM(J818:M818))),IF('חד גזעי'!$AM$5="כן",IF(_xlfn.IFNA(VLOOKUP(C818,'חד גזעי'!$AH$2:$AH$33,1,FALSE),SUM(J818:M818))&lt;21,_xlfn.IFNA(VLOOKUP(C818,'חד גזעי'!$AH$2:$AH$33,1,FALSE),SUM(J818:M818)),0),SUM(J818:M818)))</f>
        <v>#N/A</v>
      </c>
      <c r="O818" s="72">
        <f>IF('חד גזעי'!$AM$3 = "כן",IF(T818&gt;4,4,T818),T818)</f>
        <v>0</v>
      </c>
      <c r="P818" s="80">
        <f>IF(E818&lt;2,0,IF(Z818&gt;0,Z818,IF(N818 = 0,0,IF('חד גזעי'!$AM$2 = "לא",IF(F818&gt;19,W818,0),IF(F818&gt;9,Y818,0)))))</f>
        <v>0</v>
      </c>
      <c r="Q818" s="77"/>
      <c r="R818" s="76"/>
      <c r="S818" t="e">
        <f>VLOOKUP(C818,'חד גזעי'!$Y$4:$Y$18,1,0)</f>
        <v>#N/A</v>
      </c>
      <c r="T818" s="72">
        <f>IF('חד גזעי'!$AM$6="לא",IF(P818=0,IF(BC818="שימור",IF('חד גזעי'!$AM$4="לא",IF(BC818="לא בוגר",0,IF(BC818="לא קיים",0,IF(J818=0,0,I818*0.1))),IF(BC818="לא בוגר",0,IF(BC818="לא קיים",0,IF(AB818=1,I818*0.1,E818*0.5)))),0),IF('חד גזעי'!$AM$4="לא",IF(BC818="לא בוגר",0,IF(BC818="לא קיים",0,IF(J818=0,0,I818*0.1))),IF(BC818="לא בוגר",0,IF(BC818="לא קיים",0,IF(AB818=1,I818*0.1,E818*0.5))))),IF(P818=0,IF(BC818="שימור",IF('חד גזעי'!$AM$4="לא",IF(BC818="לא בוגר",0,IF(BC818="לא קיים",0,IF(J818=0,0,I818*0.15))),IF(BC818="לא בוגר",0,IF(BC818="לא קיים",0,IF(AB818=1,I818*0.15,E818*0.5)))),0),IF('חד גזעי'!$AM$4="לא",IF(BC818="לא בוגר",0,IF(BC818="לא קיים",0,IF(J818=0,0,I818*0.15))),IF(BC818="לא בוגר",0,IF(BC818="לא קיים",0,IF(AB818=1,I818*0.15,E818*0.5))))))</f>
        <v>0</v>
      </c>
      <c r="V818" t="e">
        <f t="shared" si="818"/>
        <v>#N/A</v>
      </c>
      <c r="W818" t="e">
        <f t="shared" si="819"/>
        <v>#N/A</v>
      </c>
      <c r="X818" t="e">
        <f t="shared" si="820"/>
        <v>#N/A</v>
      </c>
      <c r="Y818">
        <f>IF('חד גזעי'!$AM$2 = "לא",0,IF(F818&gt;9,W818,0))</f>
        <v>0</v>
      </c>
      <c r="Z818">
        <f>IF('חד גזעי'!$AM$7 = "לא",0,IF(C818 = "זית אירופי",IF('חד גזעי'!$AN$7 &lt;=סקר!F818,W818,0),IF(C818 = "חרוב מצוי",IF('חד גזעי'!$AN$7 &lt;=סקר!F818,W818,0),0)))</f>
        <v>0</v>
      </c>
      <c r="AB818">
        <f t="shared" si="835"/>
        <v>1</v>
      </c>
      <c r="AC818" s="72"/>
      <c r="AD818" t="e">
        <f t="shared" si="853"/>
        <v>#N/A</v>
      </c>
      <c r="AE818" s="72"/>
      <c r="AF818" s="72" t="e">
        <f t="shared" si="836"/>
        <v>#N/A</v>
      </c>
      <c r="AG818" s="72" t="e">
        <f>IF('חד גזעי'!$AM$5="לא",(VLOOKUP(C818,'חד גזעי'!$P$1:$S$589,3,FALSE)),(VLOOKUP(C818,'חד גזעי'!$P$1:$S$589,4,FALSE)))</f>
        <v>#N/A</v>
      </c>
      <c r="AH818" s="72">
        <f t="shared" si="837"/>
        <v>0</v>
      </c>
      <c r="AI818" s="72">
        <f t="shared" si="838"/>
        <v>0</v>
      </c>
      <c r="AJ818" s="72">
        <f t="shared" si="839"/>
        <v>0</v>
      </c>
      <c r="AK818" s="72" t="e">
        <f t="shared" si="840"/>
        <v>#N/A</v>
      </c>
      <c r="AL818" t="e">
        <f>VLOOKUP(C818,'חד גזעי'!$AH$8:$AI$33,2,FALSE)</f>
        <v>#N/A</v>
      </c>
      <c r="AM818" s="72" t="b">
        <f t="shared" si="841"/>
        <v>0</v>
      </c>
      <c r="AN818" s="72" t="b">
        <f t="shared" si="842"/>
        <v>0</v>
      </c>
      <c r="AO818" s="72" t="b">
        <f t="shared" si="843"/>
        <v>0</v>
      </c>
      <c r="AS818" s="72">
        <f t="shared" si="844"/>
        <v>0</v>
      </c>
      <c r="AT818" s="72">
        <f t="shared" si="845"/>
        <v>0</v>
      </c>
      <c r="AU818" s="72">
        <f t="shared" si="854"/>
        <v>0</v>
      </c>
      <c r="AV818" s="72">
        <f t="shared" si="846"/>
        <v>0</v>
      </c>
      <c r="AW818" s="72">
        <f t="shared" si="847"/>
        <v>0</v>
      </c>
      <c r="AX818" s="72">
        <f t="shared" si="848"/>
        <v>0</v>
      </c>
      <c r="AY818" s="72">
        <f t="shared" si="849"/>
        <v>0</v>
      </c>
      <c r="AZ818" s="72">
        <f t="shared" si="850"/>
        <v>0</v>
      </c>
      <c r="BA818" s="72" t="e">
        <f t="shared" si="851"/>
        <v>#N/A</v>
      </c>
      <c r="BB818" s="72" t="e">
        <f t="shared" si="852"/>
        <v>#N/A</v>
      </c>
      <c r="BC818" s="77"/>
      <c r="BE818">
        <f t="shared" si="832"/>
        <v>0</v>
      </c>
      <c r="BF818" s="196"/>
      <c r="BG818" s="196"/>
      <c r="BH818" s="196"/>
      <c r="BI818" s="196"/>
      <c r="BJ818" s="196"/>
      <c r="BK818" s="196"/>
    </row>
    <row r="819" spans="1:63" hidden="1">
      <c r="B819" s="72"/>
      <c r="C819" s="135"/>
      <c r="D819" s="73"/>
      <c r="E819" s="73"/>
      <c r="F819" s="72"/>
      <c r="G819" s="72"/>
      <c r="H819" s="72"/>
      <c r="I819" s="73">
        <f t="shared" si="834"/>
        <v>0</v>
      </c>
      <c r="J819" s="73"/>
      <c r="K819" s="73"/>
      <c r="L819" s="74" t="e">
        <f>_xlfn.IFNA(VLOOKUP(C819,'חד גזעי'!$U$3:$V$509,2,0),VLOOKUP(C819,'חד גזעי'!$U$3:$V$509,2))</f>
        <v>#N/A</v>
      </c>
      <c r="M819" s="73"/>
      <c r="N819" s="72" t="e">
        <f>_xlfn.IFNA(IF(VLOOKUP(C819,'חד גזעי'!$AH$2:$AH$7,1,FALSE)&gt;0,0,IF('חד גזעי'!$AM$5="כן",IF(_xlfn.IFNA(VLOOKUP(C819,'חד גזעי'!$AH$2:$AH$33,1,FALSE),SUM(J819:M819))&lt;21,_xlfn.IFNA(VLOOKUP(C819,'חד גזעי'!$AH$2:$AH$33,1,FALSE),SUM(J819:M819)),0),SUM(J819:M819))),IF('חד גזעי'!$AM$5="כן",IF(_xlfn.IFNA(VLOOKUP(C819,'חד גזעי'!$AH$2:$AH$33,1,FALSE),SUM(J819:M819))&lt;21,_xlfn.IFNA(VLOOKUP(C819,'חד גזעי'!$AH$2:$AH$33,1,FALSE),SUM(J819:M819)),0),SUM(J819:M819)))</f>
        <v>#N/A</v>
      </c>
      <c r="O819" s="72">
        <f>IF('חד גזעי'!$AM$3 = "כן",IF(T819&gt;4,4,T819),T819)</f>
        <v>0</v>
      </c>
      <c r="P819" s="80">
        <f>IF(E819&lt;2,0,IF(Z819&gt;0,Z819,IF(N819 = 0,0,IF('חד גזעי'!$AM$2 = "לא",IF(F819&gt;19,W819,0),IF(F819&gt;9,Y819,0)))))</f>
        <v>0</v>
      </c>
      <c r="Q819" s="77"/>
      <c r="R819" s="76"/>
      <c r="S819" t="e">
        <f>VLOOKUP(C819,'חד גזעי'!$Y$4:$Y$18,1,0)</f>
        <v>#N/A</v>
      </c>
      <c r="T819" s="72">
        <f>IF('חד גזעי'!$AM$6="לא",IF(P819=0,IF(BC819="שימור",IF('חד גזעי'!$AM$4="לא",IF(BC819="לא בוגר",0,IF(BC819="לא קיים",0,IF(J819=0,0,I819*0.1))),IF(BC819="לא בוגר",0,IF(BC819="לא קיים",0,IF(AB819=1,I819*0.1,E819*0.5)))),0),IF('חד גזעי'!$AM$4="לא",IF(BC819="לא בוגר",0,IF(BC819="לא קיים",0,IF(J819=0,0,I819*0.1))),IF(BC819="לא בוגר",0,IF(BC819="לא קיים",0,IF(AB819=1,I819*0.1,E819*0.5))))),IF(P819=0,IF(BC819="שימור",IF('חד גזעי'!$AM$4="לא",IF(BC819="לא בוגר",0,IF(BC819="לא קיים",0,IF(J819=0,0,I819*0.15))),IF(BC819="לא בוגר",0,IF(BC819="לא קיים",0,IF(AB819=1,I819*0.15,E819*0.5)))),0),IF('חד גזעי'!$AM$4="לא",IF(BC819="לא בוגר",0,IF(BC819="לא קיים",0,IF(J819=0,0,I819*0.15))),IF(BC819="לא בוגר",0,IF(BC819="לא קיים",0,IF(AB819=1,I819*0.15,E819*0.5))))))</f>
        <v>0</v>
      </c>
      <c r="V819" t="e">
        <f t="shared" si="818"/>
        <v>#N/A</v>
      </c>
      <c r="W819" t="e">
        <f t="shared" si="819"/>
        <v>#N/A</v>
      </c>
      <c r="X819" t="e">
        <f t="shared" si="820"/>
        <v>#N/A</v>
      </c>
      <c r="Y819">
        <f>IF('חד גזעי'!$AM$2 = "לא",0,IF(F819&gt;9,W819,0))</f>
        <v>0</v>
      </c>
      <c r="Z819">
        <f>IF('חד גזעי'!$AM$7 = "לא",0,IF(C819 = "זית אירופי",IF('חד גזעי'!$AN$7 &lt;=סקר!F819,W819,0),IF(C819 = "חרוב מצוי",IF('חד גזעי'!$AN$7 &lt;=סקר!F819,W819,0),0)))</f>
        <v>0</v>
      </c>
      <c r="AB819">
        <f t="shared" si="835"/>
        <v>1</v>
      </c>
      <c r="AC819" s="72"/>
      <c r="AD819" t="e">
        <f t="shared" si="853"/>
        <v>#N/A</v>
      </c>
      <c r="AE819" s="72"/>
      <c r="AF819" s="72" t="e">
        <f t="shared" si="836"/>
        <v>#N/A</v>
      </c>
      <c r="AG819" s="72" t="e">
        <f>IF('חד גזעי'!$AM$5="לא",(VLOOKUP(C819,'חד גזעי'!$P$1:$S$589,3,FALSE)),(VLOOKUP(C819,'חד גזעי'!$P$1:$S$589,4,FALSE)))</f>
        <v>#N/A</v>
      </c>
      <c r="AH819" s="72">
        <f t="shared" si="837"/>
        <v>0</v>
      </c>
      <c r="AI819" s="72">
        <f t="shared" si="838"/>
        <v>0</v>
      </c>
      <c r="AJ819" s="72">
        <f t="shared" si="839"/>
        <v>0</v>
      </c>
      <c r="AK819" s="72" t="e">
        <f t="shared" si="840"/>
        <v>#N/A</v>
      </c>
      <c r="AL819" t="e">
        <f>VLOOKUP(C819,'חד גזעי'!$AH$8:$AI$33,2,FALSE)</f>
        <v>#N/A</v>
      </c>
      <c r="AM819" s="72" t="b">
        <f t="shared" si="841"/>
        <v>0</v>
      </c>
      <c r="AN819" s="72" t="b">
        <f t="shared" si="842"/>
        <v>0</v>
      </c>
      <c r="AO819" s="72" t="b">
        <f t="shared" si="843"/>
        <v>0</v>
      </c>
      <c r="AS819" s="72">
        <f t="shared" si="844"/>
        <v>0</v>
      </c>
      <c r="AT819" s="72">
        <f t="shared" si="845"/>
        <v>0</v>
      </c>
      <c r="AU819" s="72">
        <f t="shared" si="854"/>
        <v>0</v>
      </c>
      <c r="AV819" s="72">
        <f t="shared" si="846"/>
        <v>0</v>
      </c>
      <c r="AW819" s="72">
        <f t="shared" si="847"/>
        <v>0</v>
      </c>
      <c r="AX819" s="72">
        <f t="shared" si="848"/>
        <v>0</v>
      </c>
      <c r="AY819" s="72">
        <f t="shared" si="849"/>
        <v>0</v>
      </c>
      <c r="AZ819" s="72">
        <f t="shared" si="850"/>
        <v>0</v>
      </c>
      <c r="BA819" s="72" t="e">
        <f t="shared" si="851"/>
        <v>#N/A</v>
      </c>
      <c r="BB819" s="72" t="e">
        <f t="shared" si="852"/>
        <v>#N/A</v>
      </c>
      <c r="BC819" s="77"/>
      <c r="BE819">
        <f t="shared" si="832"/>
        <v>0</v>
      </c>
      <c r="BF819" s="196"/>
      <c r="BG819" s="196"/>
      <c r="BH819" s="196"/>
      <c r="BI819" s="196"/>
      <c r="BJ819" s="196"/>
      <c r="BK819" s="196"/>
    </row>
    <row r="820" spans="1:63" hidden="1">
      <c r="B820" s="72"/>
      <c r="C820" s="135"/>
      <c r="D820" s="73"/>
      <c r="E820" s="73"/>
      <c r="F820" s="72"/>
      <c r="G820" s="72"/>
      <c r="H820" s="72"/>
      <c r="I820" s="73">
        <f t="shared" si="834"/>
        <v>0</v>
      </c>
      <c r="J820" s="73"/>
      <c r="K820" s="73"/>
      <c r="L820" s="74" t="e">
        <f>_xlfn.IFNA(VLOOKUP(C820,'חד גזעי'!$U$3:$V$509,2,0),VLOOKUP(C820,'חד גזעי'!$U$3:$V$509,2))</f>
        <v>#N/A</v>
      </c>
      <c r="M820" s="73"/>
      <c r="N820" s="72" t="e">
        <f>_xlfn.IFNA(IF(VLOOKUP(C820,'חד גזעי'!$AH$2:$AH$7,1,FALSE)&gt;0,0,IF('חד גזעי'!$AM$5="כן",IF(_xlfn.IFNA(VLOOKUP(C820,'חד גזעי'!$AH$2:$AH$33,1,FALSE),SUM(J820:M820))&lt;21,_xlfn.IFNA(VLOOKUP(C820,'חד גזעי'!$AH$2:$AH$33,1,FALSE),SUM(J820:M820)),0),SUM(J820:M820))),IF('חד גזעי'!$AM$5="כן",IF(_xlfn.IFNA(VLOOKUP(C820,'חד גזעי'!$AH$2:$AH$33,1,FALSE),SUM(J820:M820))&lt;21,_xlfn.IFNA(VLOOKUP(C820,'חד גזעי'!$AH$2:$AH$33,1,FALSE),SUM(J820:M820)),0),SUM(J820:M820)))</f>
        <v>#N/A</v>
      </c>
      <c r="O820" s="72">
        <f>IF('חד גזעי'!$AM$3 = "כן",IF(T820&gt;4,4,T820),T820)</f>
        <v>0</v>
      </c>
      <c r="P820" s="80">
        <f>IF(E820&lt;2,0,IF(Z820&gt;0,Z820,IF(N820 = 0,0,IF('חד גזעי'!$AM$2 = "לא",IF(F820&gt;19,W820,0),IF(F820&gt;9,Y820,0)))))</f>
        <v>0</v>
      </c>
      <c r="Q820" s="77"/>
      <c r="R820" s="76"/>
      <c r="S820" t="e">
        <f>VLOOKUP(C820,'חד גזעי'!$Y$4:$Y$18,1,0)</f>
        <v>#N/A</v>
      </c>
      <c r="T820" s="72">
        <f>IF('חד גזעי'!$AM$6="לא",IF(P820=0,IF(BC820="שימור",IF('חד גזעי'!$AM$4="לא",IF(BC820="לא בוגר",0,IF(BC820="לא קיים",0,IF(J820=0,0,I820*0.1))),IF(BC820="לא בוגר",0,IF(BC820="לא קיים",0,IF(AB820=1,I820*0.1,E820*0.5)))),0),IF('חד גזעי'!$AM$4="לא",IF(BC820="לא בוגר",0,IF(BC820="לא קיים",0,IF(J820=0,0,I820*0.1))),IF(BC820="לא בוגר",0,IF(BC820="לא קיים",0,IF(AB820=1,I820*0.1,E820*0.5))))),IF(P820=0,IF(BC820="שימור",IF('חד גזעי'!$AM$4="לא",IF(BC820="לא בוגר",0,IF(BC820="לא קיים",0,IF(J820=0,0,I820*0.15))),IF(BC820="לא בוגר",0,IF(BC820="לא קיים",0,IF(AB820=1,I820*0.15,E820*0.5)))),0),IF('חד גזעי'!$AM$4="לא",IF(BC820="לא בוגר",0,IF(BC820="לא קיים",0,IF(J820=0,0,I820*0.15))),IF(BC820="לא בוגר",0,IF(BC820="לא קיים",0,IF(AB820=1,I820*0.15,E820*0.5))))))</f>
        <v>0</v>
      </c>
      <c r="V820" t="e">
        <f t="shared" si="818"/>
        <v>#N/A</v>
      </c>
      <c r="W820" t="e">
        <f t="shared" si="819"/>
        <v>#N/A</v>
      </c>
      <c r="X820" t="e">
        <f t="shared" si="820"/>
        <v>#N/A</v>
      </c>
      <c r="Y820">
        <f>IF('חד גזעי'!$AM$2 = "לא",0,IF(F820&gt;9,W820,0))</f>
        <v>0</v>
      </c>
      <c r="Z820">
        <f>IF('חד גזעי'!$AM$7 = "לא",0,IF(C820 = "זית אירופי",IF('חד גזעי'!$AN$7 &lt;=סקר!F820,W820,0),IF(C820 = "חרוב מצוי",IF('חד גזעי'!$AN$7 &lt;=סקר!F820,W820,0),0)))</f>
        <v>0</v>
      </c>
      <c r="AB820">
        <f t="shared" si="835"/>
        <v>1</v>
      </c>
      <c r="AC820" s="72"/>
      <c r="AD820" t="e">
        <f t="shared" si="853"/>
        <v>#N/A</v>
      </c>
      <c r="AE820" s="72"/>
      <c r="AF820" s="72" t="e">
        <f t="shared" si="836"/>
        <v>#N/A</v>
      </c>
      <c r="AG820" s="72" t="e">
        <f>IF('חד גזעי'!$AM$5="לא",(VLOOKUP(C820,'חד גזעי'!$P$1:$S$589,3,FALSE)),(VLOOKUP(C820,'חד גזעי'!$P$1:$S$589,4,FALSE)))</f>
        <v>#N/A</v>
      </c>
      <c r="AH820" s="72">
        <f t="shared" si="837"/>
        <v>0</v>
      </c>
      <c r="AI820" s="72">
        <f t="shared" si="838"/>
        <v>0</v>
      </c>
      <c r="AJ820" s="72">
        <f t="shared" si="839"/>
        <v>0</v>
      </c>
      <c r="AK820" s="72" t="e">
        <f t="shared" si="840"/>
        <v>#N/A</v>
      </c>
      <c r="AL820" t="e">
        <f>VLOOKUP(C820,'חד גזעי'!$AH$8:$AI$33,2,FALSE)</f>
        <v>#N/A</v>
      </c>
      <c r="AM820" s="72" t="b">
        <f t="shared" si="841"/>
        <v>0</v>
      </c>
      <c r="AN820" s="72" t="b">
        <f t="shared" si="842"/>
        <v>0</v>
      </c>
      <c r="AO820" s="72" t="b">
        <f t="shared" si="843"/>
        <v>0</v>
      </c>
      <c r="AS820" s="72">
        <f t="shared" si="844"/>
        <v>0</v>
      </c>
      <c r="AT820" s="72">
        <f t="shared" si="845"/>
        <v>0</v>
      </c>
      <c r="AU820" s="72">
        <f t="shared" si="854"/>
        <v>0</v>
      </c>
      <c r="AV820" s="72">
        <f t="shared" si="846"/>
        <v>0</v>
      </c>
      <c r="AW820" s="72">
        <f t="shared" si="847"/>
        <v>0</v>
      </c>
      <c r="AX820" s="72">
        <f t="shared" si="848"/>
        <v>0</v>
      </c>
      <c r="AY820" s="72">
        <f t="shared" si="849"/>
        <v>0</v>
      </c>
      <c r="AZ820" s="72">
        <f t="shared" si="850"/>
        <v>0</v>
      </c>
      <c r="BA820" s="72" t="e">
        <f t="shared" si="851"/>
        <v>#N/A</v>
      </c>
      <c r="BB820" s="72" t="e">
        <f t="shared" si="852"/>
        <v>#N/A</v>
      </c>
      <c r="BC820" s="77"/>
      <c r="BE820">
        <f t="shared" si="832"/>
        <v>0</v>
      </c>
      <c r="BF820" s="196"/>
      <c r="BG820" s="196"/>
      <c r="BH820" s="196"/>
      <c r="BI820" s="196"/>
      <c r="BJ820" s="196"/>
      <c r="BK820" s="196"/>
    </row>
    <row r="821" spans="1:63" ht="14.25" hidden="1">
      <c r="B821" s="71"/>
      <c r="C821" s="69"/>
      <c r="Q821" s="86"/>
      <c r="T821" s="72">
        <f>IF('חד גזעי'!$AM$6="לא",IF(P821=0,IF(BC821="שימור",IF('חד גזעי'!$AM$4="לא",IF(BC821="לא בוגר",0,IF(BC821="לא קיים",0,IF(J821=0,0,I821*0.1))),IF(BC821="לא בוגר",0,IF(BC821="לא קיים",0,IF(AB821=1,I821*0.1,E821*0.5)))),0),IF('חד גזעי'!$AM$4="לא",IF(BC821="לא בוגר",0,IF(BC821="לא קיים",0,IF(J821=0,0,I821*0.1))),IF(BC821="לא בוגר",0,IF(BC821="לא קיים",0,IF(AB821=1,I821*0.1,E821*0.5))))),IF(P821=0,IF(BC821="שימור",IF('חד גזעי'!$AM$4="לא",IF(BC821="לא בוגר",0,IF(BC821="לא קיים",0,IF(J821=0,0,I821*0.15))),IF(BC821="לא בוגר",0,IF(BC821="לא קיים",0,IF(AB821=1,I821*0.15,E821*0.5)))),0),IF('חד גזעי'!$AM$4="לא",IF(BC821="לא בוגר",0,IF(BC821="לא קיים",0,IF(J821=0,0,I821*0.15))),IF(BC821="לא בוגר",0,IF(BC821="לא קיים",0,IF(AB821=1,I821*0.15,E821*0.5))))))</f>
        <v>0</v>
      </c>
      <c r="V821">
        <f t="shared" si="818"/>
        <v>0</v>
      </c>
      <c r="W821">
        <f t="shared" si="819"/>
        <v>0</v>
      </c>
      <c r="X821">
        <f t="shared" si="820"/>
        <v>0</v>
      </c>
      <c r="Y821">
        <f>IF('חד גזעי'!$AM$2 = "לא",0,IF(F821&gt;9,W821,0))</f>
        <v>0</v>
      </c>
      <c r="Z821">
        <f>IF('חד גזעי'!$AM$7 = "לא",0,IF(C821 = "זית אירופי",IF('חד גזעי'!$AN$7 &lt;=סקר!F821,W821,0),IF(C821 = "חרוב מצוי",IF('חד גזעי'!$AN$7 &lt;=סקר!F821,W821,0),0)))</f>
        <v>0</v>
      </c>
      <c r="AD821" s="69" t="s">
        <v>807</v>
      </c>
      <c r="BE821">
        <f t="shared" si="832"/>
        <v>0</v>
      </c>
      <c r="BF821" s="196"/>
      <c r="BG821" s="196"/>
      <c r="BH821" s="196"/>
      <c r="BI821" s="196"/>
      <c r="BJ821" s="196"/>
      <c r="BK821" s="196"/>
    </row>
    <row r="822" spans="1:63" ht="14.25" hidden="1">
      <c r="A822" s="129"/>
      <c r="B822" s="132"/>
      <c r="C822" s="133"/>
      <c r="D822" s="129"/>
      <c r="E822" s="129"/>
      <c r="F822" s="129"/>
      <c r="G822" s="129"/>
      <c r="H822" s="129"/>
      <c r="I822" s="129"/>
      <c r="J822" s="129"/>
      <c r="K822" s="129"/>
      <c r="L822" s="129"/>
      <c r="M822" s="129"/>
      <c r="N822" s="129"/>
      <c r="O822" s="129"/>
      <c r="P822" s="129"/>
      <c r="Q822" s="134"/>
      <c r="R822" s="129"/>
      <c r="S822" s="129"/>
      <c r="T822" s="72">
        <f>IF('חד גזעי'!$AM$6="לא",IF(P822=0,IF(BC822="שימור",IF('חד גזעי'!$AM$4="לא",IF(BC822="לא בוגר",0,IF(BC822="לא קיים",0,IF(J822=0,0,I822*0.1))),IF(BC822="לא בוגר",0,IF(BC822="לא קיים",0,IF(AB822=1,I822*0.1,E822*0.5)))),0),IF('חד גזעי'!$AM$4="לא",IF(BC822="לא בוגר",0,IF(BC822="לא קיים",0,IF(J822=0,0,I822*0.1))),IF(BC822="לא בוגר",0,IF(BC822="לא קיים",0,IF(AB822=1,I822*0.1,E822*0.5))))),IF(P822=0,IF(BC822="שימור",IF('חד גזעי'!$AM$4="לא",IF(BC822="לא בוגר",0,IF(BC822="לא קיים",0,IF(J822=0,0,I822*0.15))),IF(BC822="לא בוגר",0,IF(BC822="לא קיים",0,IF(AB822=1,I822*0.15,E822*0.5)))),0),IF('חד גזעי'!$AM$4="לא",IF(BC822="לא בוגר",0,IF(BC822="לא קיים",0,IF(J822=0,0,I822*0.15))),IF(BC822="לא בוגר",0,IF(BC822="לא קיים",0,IF(AB822=1,I822*0.15,E822*0.5))))))</f>
        <v>0</v>
      </c>
      <c r="U822" s="129"/>
      <c r="V822">
        <f t="shared" si="818"/>
        <v>0</v>
      </c>
      <c r="W822">
        <f t="shared" si="819"/>
        <v>0</v>
      </c>
      <c r="X822">
        <f t="shared" si="820"/>
        <v>0</v>
      </c>
      <c r="Y822">
        <f>IF('חד גזעי'!$AM$2 = "לא",0,IF(F822&gt;9,W822,0))</f>
        <v>0</v>
      </c>
      <c r="Z822">
        <f>IF('חד גזעי'!$AM$7 = "לא",0,IF(C822 = "זית אירופי",IF('חד גזעי'!$AN$7 &lt;=סקר!F822,W822,0),IF(C822 = "חרוב מצוי",IF('חד גזעי'!$AN$7 &lt;=סקר!F822,W822,0),0)))</f>
        <v>0</v>
      </c>
      <c r="AA822" s="129"/>
      <c r="AB822" s="129"/>
      <c r="AC822" s="129"/>
      <c r="AD822" s="133"/>
      <c r="AE822" s="129"/>
      <c r="AF822" s="129"/>
      <c r="AG822" s="129"/>
      <c r="AH822" s="129"/>
      <c r="AI822" s="129"/>
      <c r="AJ822" s="129"/>
      <c r="AK822" s="129"/>
      <c r="AL822" s="129"/>
      <c r="AM822" s="129"/>
      <c r="AN822" s="129"/>
      <c r="AO822" s="129"/>
      <c r="AP822" s="129"/>
      <c r="AQ822" s="129"/>
      <c r="AR822" s="129"/>
      <c r="AS822" s="129"/>
      <c r="AT822" s="129"/>
      <c r="AU822" s="129"/>
      <c r="AV822" s="129"/>
      <c r="AW822" s="129"/>
      <c r="AX822" s="129"/>
      <c r="AY822" s="129"/>
      <c r="AZ822" s="129"/>
      <c r="BA822" s="129"/>
      <c r="BB822" s="129"/>
      <c r="BC822" s="129"/>
      <c r="BD822" s="129"/>
      <c r="BE822" s="129"/>
      <c r="BF822" s="129">
        <f>_xlfn.IFNA(_xlfn.IFNA(_xlfn.TEXTBEFORE(BF804,"--"),_xlfn.TEXTBEFORE(BF804,",")),BF804)</f>
        <v>0</v>
      </c>
      <c r="BG822" s="129">
        <f t="shared" ref="BG822:BK822" si="856">_xlfn.IFNA(_xlfn.IFNA(_xlfn.TEXTBEFORE(BG804,"--"),_xlfn.TEXTBEFORE(BG804,",")),BG804)</f>
        <v>0</v>
      </c>
      <c r="BH822" s="129">
        <f t="shared" si="856"/>
        <v>0</v>
      </c>
      <c r="BI822" s="129">
        <f>_xlfn.IFNA(_xlfn.IFNA(_xlfn.TEXTBEFORE(BI804,"--"),_xlfn.TEXTBEFORE(BI804,",")),BI804)</f>
        <v>0</v>
      </c>
      <c r="BJ822" s="129">
        <f t="shared" si="856"/>
        <v>0</v>
      </c>
      <c r="BK822" s="129">
        <f t="shared" si="856"/>
        <v>0</v>
      </c>
    </row>
    <row r="823" spans="1:63" ht="14.25" hidden="1">
      <c r="A823" s="129"/>
      <c r="B823" s="132"/>
      <c r="C823" s="133"/>
      <c r="D823" s="129"/>
      <c r="E823" s="129"/>
      <c r="F823" s="129"/>
      <c r="G823" s="129"/>
      <c r="H823" s="129"/>
      <c r="I823" s="129"/>
      <c r="J823" s="129"/>
      <c r="K823" s="129"/>
      <c r="L823" s="129"/>
      <c r="M823" s="129"/>
      <c r="N823" s="129"/>
      <c r="O823" s="129"/>
      <c r="P823" s="129"/>
      <c r="Q823" s="134"/>
      <c r="R823" s="129"/>
      <c r="S823" s="129"/>
      <c r="T823" s="72">
        <f>IF('חד גזעי'!$AM$6="לא",IF(P823=0,IF(BC823="שימור",IF('חד גזעי'!$AM$4="לא",IF(BC823="לא בוגר",0,IF(BC823="לא קיים",0,IF(J823=0,0,I823*0.1))),IF(BC823="לא בוגר",0,IF(BC823="לא קיים",0,IF(AB823=1,I823*0.1,E823*0.5)))),0),IF('חד גזעי'!$AM$4="לא",IF(BC823="לא בוגר",0,IF(BC823="לא קיים",0,IF(J823=0,0,I823*0.1))),IF(BC823="לא בוגר",0,IF(BC823="לא קיים",0,IF(AB823=1,I823*0.1,E823*0.5))))),IF(P823=0,IF(BC823="שימור",IF('חד גזעי'!$AM$4="לא",IF(BC823="לא בוגר",0,IF(BC823="לא קיים",0,IF(J823=0,0,I823*0.15))),IF(BC823="לא בוגר",0,IF(BC823="לא קיים",0,IF(AB823=1,I823*0.15,E823*0.5)))),0),IF('חד גזעי'!$AM$4="לא",IF(BC823="לא בוגר",0,IF(BC823="לא קיים",0,IF(J823=0,0,I823*0.15))),IF(BC823="לא בוגר",0,IF(BC823="לא קיים",0,IF(AB823=1,I823*0.15,E823*0.5))))))</f>
        <v>0</v>
      </c>
      <c r="U823" s="129"/>
      <c r="V823">
        <f t="shared" si="818"/>
        <v>0</v>
      </c>
      <c r="W823">
        <f t="shared" si="819"/>
        <v>0</v>
      </c>
      <c r="X823">
        <f t="shared" si="820"/>
        <v>0</v>
      </c>
      <c r="Y823">
        <f>IF('חד גזעי'!$AM$2 = "לא",0,IF(F823&gt;9,W823,0))</f>
        <v>0</v>
      </c>
      <c r="Z823">
        <f>IF('חד גזעי'!$AM$7 = "לא",0,IF(C823 = "זית אירופי",IF('חד גזעי'!$AN$7 &lt;=סקר!F823,W823,0),IF(C823 = "חרוב מצוי",IF('חד גזעי'!$AN$7 &lt;=סקר!F823,W823,0),0)))</f>
        <v>0</v>
      </c>
      <c r="AA823" s="129"/>
      <c r="AB823" s="129"/>
      <c r="AC823" s="129"/>
      <c r="AD823" s="133"/>
      <c r="AE823" s="129"/>
      <c r="AF823" s="129"/>
      <c r="AG823" s="129"/>
      <c r="AH823" s="129"/>
      <c r="AI823" s="129"/>
      <c r="AJ823" s="129"/>
      <c r="AK823" s="129"/>
      <c r="AL823" s="129"/>
      <c r="AM823" s="129"/>
      <c r="AN823" s="129"/>
      <c r="AO823" s="129"/>
      <c r="AP823" s="129"/>
      <c r="AQ823" s="129"/>
      <c r="AR823" s="129"/>
      <c r="AS823" s="129"/>
      <c r="AT823" s="129"/>
      <c r="AU823" s="129"/>
      <c r="AV823" s="129"/>
      <c r="AW823" s="129"/>
      <c r="AX823" s="129"/>
      <c r="AY823" s="129"/>
      <c r="AZ823" s="129"/>
      <c r="BA823" s="129"/>
      <c r="BB823" s="129"/>
      <c r="BC823" s="129"/>
      <c r="BD823" s="129"/>
      <c r="BE823" s="129"/>
      <c r="BF823" s="129" t="str">
        <f>"C:\Users\origr\Pictures\"&amp;BF822&amp;".jpg"</f>
        <v>C:\Users\origr\Pictures\0.jpg</v>
      </c>
      <c r="BG823" s="129" t="str">
        <f t="shared" ref="BG823" si="857">"C:\Users\origr\Pictures\"&amp;BG822&amp;".jpg"</f>
        <v>C:\Users\origr\Pictures\0.jpg</v>
      </c>
      <c r="BH823" s="129" t="str">
        <f t="shared" ref="BH823" si="858">"C:\Users\origr\Pictures\"&amp;BH822&amp;".jpg"</f>
        <v>C:\Users\origr\Pictures\0.jpg</v>
      </c>
      <c r="BI823" s="129" t="str">
        <f t="shared" ref="BI823" si="859">"C:\Users\origr\Pictures\"&amp;BI822&amp;".jpg"</f>
        <v>C:\Users\origr\Pictures\0.jpg</v>
      </c>
      <c r="BJ823" s="129" t="str">
        <f t="shared" ref="BJ823" si="860">"C:\Users\origr\Pictures\"&amp;BJ822&amp;".jpg"</f>
        <v>C:\Users\origr\Pictures\0.jpg</v>
      </c>
      <c r="BK823" s="129" t="str">
        <f t="shared" ref="BK823" si="861">"C:\Users\origr\Pictures\"&amp;BK822&amp;".jpg"</f>
        <v>C:\Users\origr\Pictures\0.jpg</v>
      </c>
    </row>
    <row r="824" spans="1:63" ht="14.25" hidden="1">
      <c r="A824" s="129"/>
      <c r="B824" s="132"/>
      <c r="C824" s="133"/>
      <c r="D824" s="129"/>
      <c r="E824" s="129"/>
      <c r="F824" s="129"/>
      <c r="G824" s="129"/>
      <c r="H824" s="129"/>
      <c r="I824" s="129"/>
      <c r="J824" s="129"/>
      <c r="K824" s="129"/>
      <c r="L824" s="129"/>
      <c r="M824" s="129"/>
      <c r="N824" s="129"/>
      <c r="O824" s="129"/>
      <c r="P824" s="129"/>
      <c r="Q824" s="134"/>
      <c r="R824" s="129"/>
      <c r="S824" s="129"/>
      <c r="T824" s="72">
        <f>IF('חד גזעי'!$AM$6="לא",IF(P824=0,IF(BC824="שימור",IF('חד גזעי'!$AM$4="לא",IF(BC824="לא בוגר",0,IF(BC824="לא קיים",0,IF(J824=0,0,I824*0.1))),IF(BC824="לא בוגר",0,IF(BC824="לא קיים",0,IF(AB824=1,I824*0.1,E824*0.5)))),0),IF('חד גזעי'!$AM$4="לא",IF(BC824="לא בוגר",0,IF(BC824="לא קיים",0,IF(J824=0,0,I824*0.1))),IF(BC824="לא בוגר",0,IF(BC824="לא קיים",0,IF(AB824=1,I824*0.1,E824*0.5))))),IF(P824=0,IF(BC824="שימור",IF('חד גזעי'!$AM$4="לא",IF(BC824="לא בוגר",0,IF(BC824="לא קיים",0,IF(J824=0,0,I824*0.15))),IF(BC824="לא בוגר",0,IF(BC824="לא קיים",0,IF(AB824=1,I824*0.15,E824*0.5)))),0),IF('חד גזעי'!$AM$4="לא",IF(BC824="לא בוגר",0,IF(BC824="לא קיים",0,IF(J824=0,0,I824*0.15))),IF(BC824="לא בוגר",0,IF(BC824="לא קיים",0,IF(AB824=1,I824*0.15,E824*0.5))))))</f>
        <v>0</v>
      </c>
      <c r="U824" s="129"/>
      <c r="V824">
        <f t="shared" si="818"/>
        <v>0</v>
      </c>
      <c r="W824">
        <f t="shared" si="819"/>
        <v>0</v>
      </c>
      <c r="X824">
        <f t="shared" si="820"/>
        <v>0</v>
      </c>
      <c r="Y824">
        <f>IF('חד גזעי'!$AM$2 = "לא",0,IF(F824&gt;9,W824,0))</f>
        <v>0</v>
      </c>
      <c r="Z824">
        <f>IF('חד גזעי'!$AM$7 = "לא",0,IF(C824 = "זית אירופי",IF('חד גזעי'!$AN$7 &lt;=סקר!F824,W824,0),IF(C824 = "חרוב מצוי",IF('חד גזעי'!$AN$7 &lt;=סקר!F824,W824,0),0)))</f>
        <v>0</v>
      </c>
      <c r="AA824" s="129"/>
      <c r="AB824" s="129"/>
      <c r="AC824" s="129"/>
      <c r="AD824" s="133"/>
      <c r="AE824" s="129"/>
      <c r="AF824" s="129"/>
      <c r="AG824" s="129"/>
      <c r="AH824" s="129"/>
      <c r="AI824" s="129"/>
      <c r="AJ824" s="129"/>
      <c r="AK824" s="129"/>
      <c r="AL824" s="129"/>
      <c r="AM824" s="129"/>
      <c r="AN824" s="129"/>
      <c r="AO824" s="129"/>
      <c r="AP824" s="129"/>
      <c r="AQ824" s="129"/>
      <c r="AR824" s="129"/>
      <c r="AS824" s="129"/>
      <c r="AT824" s="129"/>
      <c r="AU824" s="129"/>
      <c r="AV824" s="129"/>
      <c r="AW824" s="129"/>
      <c r="AX824" s="129"/>
      <c r="AY824" s="129"/>
      <c r="AZ824" s="129"/>
      <c r="BA824" s="129"/>
      <c r="BB824" s="129"/>
      <c r="BC824" s="129"/>
      <c r="BD824" s="129"/>
      <c r="BE824" s="129"/>
      <c r="BF824" s="129" t="str">
        <f>BF823</f>
        <v>C:\Users\origr\Pictures\0.jpg</v>
      </c>
      <c r="BG824" s="129" t="str">
        <f t="shared" ref="BG824" si="862">BG823</f>
        <v>C:\Users\origr\Pictures\0.jpg</v>
      </c>
      <c r="BH824" s="129" t="str">
        <f t="shared" ref="BH824" si="863">BH823</f>
        <v>C:\Users\origr\Pictures\0.jpg</v>
      </c>
      <c r="BI824" s="129" t="str">
        <f t="shared" ref="BI824" si="864">BI823</f>
        <v>C:\Users\origr\Pictures\0.jpg</v>
      </c>
      <c r="BJ824" s="129" t="str">
        <f t="shared" ref="BJ824" si="865">BJ823</f>
        <v>C:\Users\origr\Pictures\0.jpg</v>
      </c>
      <c r="BK824" s="129" t="str">
        <f t="shared" ref="BK824" si="866">BK823</f>
        <v>C:\Users\origr\Pictures\0.jpg</v>
      </c>
    </row>
    <row r="825" spans="1:63" hidden="1">
      <c r="T825" s="72">
        <f>IF('חד גזעי'!$AM$6="לא",IF(P825=0,IF(BC825="שימור",IF('חד גזעי'!$AM$4="לא",IF(BC825="לא בוגר",0,IF(BC825="לא קיים",0,IF(J825=0,0,I825*0.1))),IF(BC825="לא בוגר",0,IF(BC825="לא קיים",0,IF(AB825=1,I825*0.1,E825*0.5)))),0),IF('חד גזעי'!$AM$4="לא",IF(BC825="לא בוגר",0,IF(BC825="לא קיים",0,IF(J825=0,0,I825*0.1))),IF(BC825="לא בוגר",0,IF(BC825="לא קיים",0,IF(AB825=1,I825*0.1,E825*0.5))))),IF(P825=0,IF(BC825="שימור",IF('חד גזעי'!$AM$4="לא",IF(BC825="לא בוגר",0,IF(BC825="לא קיים",0,IF(J825=0,0,I825*0.15))),IF(BC825="לא בוגר",0,IF(BC825="לא קיים",0,IF(AB825=1,I825*0.15,E825*0.5)))),0),IF('חד גזעי'!$AM$4="לא",IF(BC825="לא בוגר",0,IF(BC825="לא קיים",0,IF(J825=0,0,I825*0.15))),IF(BC825="לא בוגר",0,IF(BC825="לא קיים",0,IF(AB825=1,I825*0.15,E825*0.5))))))</f>
        <v>0</v>
      </c>
      <c r="V825">
        <f t="shared" si="818"/>
        <v>0</v>
      </c>
      <c r="W825">
        <f t="shared" si="819"/>
        <v>0</v>
      </c>
      <c r="X825">
        <f t="shared" si="820"/>
        <v>0</v>
      </c>
      <c r="Y825">
        <f>IF('חד גזעי'!$AM$2 = "לא",0,IF(F825&gt;9,W825,0))</f>
        <v>0</v>
      </c>
      <c r="Z825">
        <f>IF('חד גזעי'!$AM$7 = "לא",0,IF(C825 = "זית אירופי",IF('חד גזעי'!$AN$7 &lt;=סקר!F825,W825,0),IF(C825 = "חרוב מצוי",IF('חד גזעי'!$AN$7 &lt;=סקר!F825,W825,0),0)))</f>
        <v>0</v>
      </c>
    </row>
    <row r="826" spans="1:63" hidden="1">
      <c r="T826" s="72">
        <f>IF('חד גזעי'!$AM$6="לא",IF(P826=0,IF(BC826="שימור",IF('חד גזעי'!$AM$4="לא",IF(BC826="לא בוגר",0,IF(BC826="לא קיים",0,IF(J826=0,0,I826*0.1))),IF(BC826="לא בוגר",0,IF(BC826="לא קיים",0,IF(AB826=1,I826*0.1,E826*0.5)))),0),IF('חד גזעי'!$AM$4="לא",IF(BC826="לא בוגר",0,IF(BC826="לא קיים",0,IF(J826=0,0,I826*0.1))),IF(BC826="לא בוגר",0,IF(BC826="לא קיים",0,IF(AB826=1,I826*0.1,E826*0.5))))),IF(P826=0,IF(BC826="שימור",IF('חד גזעי'!$AM$4="לא",IF(BC826="לא בוגר",0,IF(BC826="לא קיים",0,IF(J826=0,0,I826*0.15))),IF(BC826="לא בוגר",0,IF(BC826="לא קיים",0,IF(AB826=1,I826*0.15,E826*0.5)))),0),IF('חד גזעי'!$AM$4="לא",IF(BC826="לא בוגר",0,IF(BC826="לא קיים",0,IF(J826=0,0,I826*0.15))),IF(BC826="לא בוגר",0,IF(BC826="לא קיים",0,IF(AB826=1,I826*0.15,E826*0.5))))))</f>
        <v>0</v>
      </c>
      <c r="V826">
        <f t="shared" si="818"/>
        <v>0</v>
      </c>
      <c r="W826">
        <f t="shared" si="819"/>
        <v>0</v>
      </c>
      <c r="X826">
        <f t="shared" si="820"/>
        <v>0</v>
      </c>
      <c r="Y826">
        <f>IF('חד גזעי'!$AM$2 = "לא",0,IF(F826&gt;9,W826,0))</f>
        <v>0</v>
      </c>
      <c r="Z826">
        <f>IF('חד גזעי'!$AM$7 = "לא",0,IF(C826 = "זית אירופי",IF('חד גזעי'!$AN$7 &lt;=סקר!F826,W826,0),IF(C826 = "חרוב מצוי",IF('חד גזעי'!$AN$7 &lt;=סקר!F826,W826,0),0)))</f>
        <v>0</v>
      </c>
    </row>
    <row r="827" spans="1:63" hidden="1">
      <c r="T827" s="72">
        <f>IF('חד גזעי'!$AM$6="לא",IF(P827=0,IF(BC827="שימור",IF('חד גזעי'!$AM$4="לא",IF(BC827="לא בוגר",0,IF(BC827="לא קיים",0,IF(J827=0,0,I827*0.1))),IF(BC827="לא בוגר",0,IF(BC827="לא קיים",0,IF(AB827=1,I827*0.1,E827*0.5)))),0),IF('חד גזעי'!$AM$4="לא",IF(BC827="לא בוגר",0,IF(BC827="לא קיים",0,IF(J827=0,0,I827*0.1))),IF(BC827="לא בוגר",0,IF(BC827="לא קיים",0,IF(AB827=1,I827*0.1,E827*0.5))))),IF(P827=0,IF(BC827="שימור",IF('חד גזעי'!$AM$4="לא",IF(BC827="לא בוגר",0,IF(BC827="לא קיים",0,IF(J827=0,0,I827*0.15))),IF(BC827="לא בוגר",0,IF(BC827="לא קיים",0,IF(AB827=1,I827*0.15,E827*0.5)))),0),IF('חד גזעי'!$AM$4="לא",IF(BC827="לא בוגר",0,IF(BC827="לא קיים",0,IF(J827=0,0,I827*0.15))),IF(BC827="לא בוגר",0,IF(BC827="לא קיים",0,IF(AB827=1,I827*0.15,E827*0.5))))))</f>
        <v>0</v>
      </c>
      <c r="V827">
        <f t="shared" si="818"/>
        <v>0</v>
      </c>
      <c r="W827">
        <f t="shared" si="819"/>
        <v>0</v>
      </c>
      <c r="X827">
        <f t="shared" si="820"/>
        <v>0</v>
      </c>
      <c r="Y827">
        <f>IF('חד גזעי'!$AM$2 = "לא",0,IF(F827&gt;9,W827,0))</f>
        <v>0</v>
      </c>
      <c r="Z827">
        <f>IF('חד גזעי'!$AM$7 = "לא",0,IF(C827 = "זית אירופי",IF('חד גזעי'!$AN$7 &lt;=סקר!F827,W827,0),IF(C827 = "חרוב מצוי",IF('חד גזעי'!$AN$7 &lt;=סקר!F827,W827,0),0)))</f>
        <v>0</v>
      </c>
    </row>
    <row r="828" spans="1:63" hidden="1">
      <c r="A828" s="129"/>
      <c r="B828" s="129"/>
      <c r="C828" s="129"/>
      <c r="D828" s="129"/>
      <c r="E828" s="129"/>
      <c r="F828" s="129"/>
      <c r="G828" s="129"/>
      <c r="H828" s="129"/>
      <c r="I828" s="129"/>
      <c r="J828" s="129"/>
      <c r="K828" s="129"/>
      <c r="L828" s="129"/>
      <c r="M828" s="129"/>
      <c r="N828" s="129"/>
      <c r="O828" s="129"/>
      <c r="P828" s="129"/>
      <c r="Q828" s="129"/>
      <c r="R828" s="129"/>
      <c r="S828" s="129"/>
      <c r="T828" s="72">
        <f>IF('חד גזעי'!$AM$6="לא",IF(P828=0,IF(BC828="שימור",IF('חד גזעי'!$AM$4="לא",IF(BC828="לא בוגר",0,IF(BC828="לא קיים",0,IF(J828=0,0,I828*0.1))),IF(BC828="לא בוגר",0,IF(BC828="לא קיים",0,IF(AB828=1,I828*0.1,E828*0.5)))),0),IF('חד גזעי'!$AM$4="לא",IF(BC828="לא בוגר",0,IF(BC828="לא קיים",0,IF(J828=0,0,I828*0.1))),IF(BC828="לא בוגר",0,IF(BC828="לא קיים",0,IF(AB828=1,I828*0.1,E828*0.5))))),IF(P828=0,IF(BC828="שימור",IF('חד גזעי'!$AM$4="לא",IF(BC828="לא בוגר",0,IF(BC828="לא קיים",0,IF(J828=0,0,I828*0.15))),IF(BC828="לא בוגר",0,IF(BC828="לא קיים",0,IF(AB828=1,I828*0.15,E828*0.5)))),0),IF('חד גזעי'!$AM$4="לא",IF(BC828="לא בוגר",0,IF(BC828="לא קיים",0,IF(J828=0,0,I828*0.15))),IF(BC828="לא בוגר",0,IF(BC828="לא קיים",0,IF(AB828=1,I828*0.15,E828*0.5))))))</f>
        <v>0</v>
      </c>
      <c r="U828" s="129"/>
      <c r="V828">
        <f t="shared" si="818"/>
        <v>0</v>
      </c>
      <c r="W828">
        <f t="shared" si="819"/>
        <v>0</v>
      </c>
      <c r="X828">
        <f t="shared" si="820"/>
        <v>0</v>
      </c>
      <c r="Y828">
        <f>IF('חד גזעי'!$AM$2 = "לא",0,IF(F828&gt;9,W828,0))</f>
        <v>0</v>
      </c>
      <c r="Z828">
        <f>IF('חד גזעי'!$AM$7 = "לא",0,IF(C828 = "זית אירופי",IF('חד גזעי'!$AN$7 &lt;=סקר!F828,W828,0),IF(C828 = "חרוב מצוי",IF('חד גזעי'!$AN$7 &lt;=סקר!F828,W828,0),0)))</f>
        <v>0</v>
      </c>
      <c r="AA828" s="129"/>
      <c r="AB828" s="129"/>
      <c r="AC828" s="129"/>
      <c r="AD828" s="129"/>
      <c r="AE828" s="129"/>
      <c r="AF828" s="129"/>
      <c r="AG828" s="129"/>
      <c r="AH828" s="129"/>
      <c r="AI828" s="129"/>
      <c r="AJ828" s="129"/>
      <c r="AK828" s="129"/>
      <c r="AL828" s="129"/>
      <c r="AM828" s="129"/>
      <c r="AN828" s="129"/>
      <c r="AO828" s="129"/>
      <c r="AP828" s="129"/>
      <c r="AQ828" s="129"/>
      <c r="AR828" s="129"/>
      <c r="AS828" s="129"/>
      <c r="AT828" s="129"/>
      <c r="AU828" s="129"/>
      <c r="AV828" s="129"/>
      <c r="AW828" s="129"/>
      <c r="AX828" s="129"/>
      <c r="AY828" s="129"/>
      <c r="AZ828" s="129"/>
      <c r="BA828" s="129"/>
      <c r="BB828" s="129"/>
      <c r="BC828" s="129"/>
      <c r="BD828" s="129"/>
      <c r="BE828" s="129"/>
      <c r="BF828" s="129">
        <f>_xlfn.IFNA(_xlfn.IFNA(_xlfn.TEXTBEFORE(BF832,"--"),_xlfn.TEXTBEFORE(BF832,",")),BF832)</f>
        <v>0</v>
      </c>
      <c r="BG828" s="129">
        <f t="shared" ref="BG828:BK828" si="867">_xlfn.IFNA(_xlfn.IFNA(_xlfn.TEXTBEFORE(BG832,"--"),_xlfn.TEXTBEFORE(BG832,",")),BG832)</f>
        <v>0</v>
      </c>
      <c r="BH828" s="129">
        <f t="shared" si="867"/>
        <v>0</v>
      </c>
      <c r="BI828" s="129">
        <f>_xlfn.IFNA(_xlfn.IFNA(_xlfn.TEXTBEFORE(BI832,"--"),_xlfn.TEXTBEFORE(BI832,",")),BI832)</f>
        <v>0</v>
      </c>
      <c r="BJ828" s="129">
        <f t="shared" si="867"/>
        <v>0</v>
      </c>
      <c r="BK828" s="129">
        <f t="shared" si="867"/>
        <v>0</v>
      </c>
    </row>
    <row r="829" spans="1:63" hidden="1">
      <c r="A829" s="129"/>
      <c r="B829" s="129"/>
      <c r="C829" s="129"/>
      <c r="D829" s="129"/>
      <c r="E829" s="129"/>
      <c r="F829" s="129"/>
      <c r="G829" s="129"/>
      <c r="H829" s="129"/>
      <c r="I829" s="129"/>
      <c r="J829" s="129"/>
      <c r="K829" s="129"/>
      <c r="L829" s="129"/>
      <c r="M829" s="129"/>
      <c r="N829" s="129"/>
      <c r="O829" s="129"/>
      <c r="P829" s="129"/>
      <c r="Q829" s="129"/>
      <c r="R829" s="129"/>
      <c r="S829" s="129"/>
      <c r="T829" s="72">
        <f>IF('חד גזעי'!$AM$6="לא",IF(P829=0,IF(BC829="שימור",IF('חד גזעי'!$AM$4="לא",IF(BC829="לא בוגר",0,IF(BC829="לא קיים",0,IF(J829=0,0,I829*0.1))),IF(BC829="לא בוגר",0,IF(BC829="לא קיים",0,IF(AB829=1,I829*0.1,E829*0.5)))),0),IF('חד גזעי'!$AM$4="לא",IF(BC829="לא בוגר",0,IF(BC829="לא קיים",0,IF(J829=0,0,I829*0.1))),IF(BC829="לא בוגר",0,IF(BC829="לא קיים",0,IF(AB829=1,I829*0.1,E829*0.5))))),IF(P829=0,IF(BC829="שימור",IF('חד גזעי'!$AM$4="לא",IF(BC829="לא בוגר",0,IF(BC829="לא קיים",0,IF(J829=0,0,I829*0.15))),IF(BC829="לא בוגר",0,IF(BC829="לא קיים",0,IF(AB829=1,I829*0.15,E829*0.5)))),0),IF('חד גזעי'!$AM$4="לא",IF(BC829="לא בוגר",0,IF(BC829="לא קיים",0,IF(J829=0,0,I829*0.15))),IF(BC829="לא בוגר",0,IF(BC829="לא קיים",0,IF(AB829=1,I829*0.15,E829*0.5))))))</f>
        <v>0</v>
      </c>
      <c r="U829" s="129"/>
      <c r="V829">
        <f t="shared" si="818"/>
        <v>0</v>
      </c>
      <c r="W829">
        <f t="shared" si="819"/>
        <v>0</v>
      </c>
      <c r="X829">
        <f t="shared" si="820"/>
        <v>0</v>
      </c>
      <c r="Y829">
        <f>IF('חד גזעי'!$AM$2 = "לא",0,IF(F829&gt;9,W829,0))</f>
        <v>0</v>
      </c>
      <c r="Z829">
        <f>IF('חד גזעי'!$AM$7 = "לא",0,IF(C829 = "זית אירופי",IF('חד גזעי'!$AN$7 &lt;=סקר!F829,W829,0),IF(C829 = "חרוב מצוי",IF('חד גזעי'!$AN$7 &lt;=סקר!F829,W829,0),0)))</f>
        <v>0</v>
      </c>
      <c r="AA829" s="129"/>
      <c r="AB829" s="129"/>
      <c r="AC829" s="129"/>
      <c r="AD829" s="129"/>
      <c r="AE829" s="129"/>
      <c r="AF829" s="129"/>
      <c r="AG829" s="129"/>
      <c r="AH829" s="129"/>
      <c r="AI829" s="129"/>
      <c r="AJ829" s="129"/>
      <c r="AK829" s="129"/>
      <c r="AL829" s="129"/>
      <c r="AM829" s="129"/>
      <c r="AN829" s="129"/>
      <c r="AO829" s="129"/>
      <c r="AP829" s="129"/>
      <c r="AQ829" s="129"/>
      <c r="AR829" s="129"/>
      <c r="AS829" s="129"/>
      <c r="AT829" s="129"/>
      <c r="AU829" s="129"/>
      <c r="AV829" s="129"/>
      <c r="AW829" s="129"/>
      <c r="AX829" s="129"/>
      <c r="AY829" s="129"/>
      <c r="AZ829" s="129"/>
      <c r="BA829" s="129"/>
      <c r="BB829" s="129"/>
      <c r="BC829" s="129"/>
      <c r="BD829" s="129"/>
      <c r="BE829" s="129"/>
      <c r="BF829" s="129" t="str">
        <f>"C:\Users\origr\Pictures\"&amp;BF828&amp;".jpg"</f>
        <v>C:\Users\origr\Pictures\0.jpg</v>
      </c>
      <c r="BG829" s="129" t="str">
        <f t="shared" ref="BG829" si="868">"C:\Users\origr\Pictures\"&amp;BG828&amp;".jpg"</f>
        <v>C:\Users\origr\Pictures\0.jpg</v>
      </c>
      <c r="BH829" s="129" t="str">
        <f t="shared" ref="BH829" si="869">"C:\Users\origr\Pictures\"&amp;BH828&amp;".jpg"</f>
        <v>C:\Users\origr\Pictures\0.jpg</v>
      </c>
      <c r="BI829" s="129" t="str">
        <f t="shared" ref="BI829" si="870">"C:\Users\origr\Pictures\"&amp;BI828&amp;".jpg"</f>
        <v>C:\Users\origr\Pictures\0.jpg</v>
      </c>
      <c r="BJ829" s="129" t="str">
        <f t="shared" ref="BJ829" si="871">"C:\Users\origr\Pictures\"&amp;BJ828&amp;".jpg"</f>
        <v>C:\Users\origr\Pictures\0.jpg</v>
      </c>
      <c r="BK829" s="129" t="str">
        <f t="shared" ref="BK829" si="872">"C:\Users\origr\Pictures\"&amp;BK828&amp;".jpg"</f>
        <v>C:\Users\origr\Pictures\0.jpg</v>
      </c>
    </row>
    <row r="830" spans="1:63" hidden="1">
      <c r="A830" s="129"/>
      <c r="B830" s="129"/>
      <c r="C830" s="129"/>
      <c r="D830" s="129"/>
      <c r="E830" s="129"/>
      <c r="F830" s="129"/>
      <c r="G830" s="129"/>
      <c r="H830" s="129"/>
      <c r="I830" s="129"/>
      <c r="J830" s="129"/>
      <c r="K830" s="129"/>
      <c r="L830" s="129"/>
      <c r="M830" s="129"/>
      <c r="N830" s="129"/>
      <c r="O830" s="129"/>
      <c r="P830" s="129"/>
      <c r="Q830" s="129"/>
      <c r="R830" s="129"/>
      <c r="S830" s="129"/>
      <c r="T830" s="72">
        <f>IF('חד גזעי'!$AM$6="לא",IF(P830=0,IF(BC830="שימור",IF('חד גזעי'!$AM$4="לא",IF(BC830="לא בוגר",0,IF(BC830="לא קיים",0,IF(J830=0,0,I830*0.1))),IF(BC830="לא בוגר",0,IF(BC830="לא קיים",0,IF(AB830=1,I830*0.1,E830*0.5)))),0),IF('חד גזעי'!$AM$4="לא",IF(BC830="לא בוגר",0,IF(BC830="לא קיים",0,IF(J830=0,0,I830*0.1))),IF(BC830="לא בוגר",0,IF(BC830="לא קיים",0,IF(AB830=1,I830*0.1,E830*0.5))))),IF(P830=0,IF(BC830="שימור",IF('חד גזעי'!$AM$4="לא",IF(BC830="לא בוגר",0,IF(BC830="לא קיים",0,IF(J830=0,0,I830*0.15))),IF(BC830="לא בוגר",0,IF(BC830="לא קיים",0,IF(AB830=1,I830*0.15,E830*0.5)))),0),IF('חד גזעי'!$AM$4="לא",IF(BC830="לא בוגר",0,IF(BC830="לא קיים",0,IF(J830=0,0,I830*0.15))),IF(BC830="לא בוגר",0,IF(BC830="לא קיים",0,IF(AB830=1,I830*0.15,E830*0.5))))))</f>
        <v>0</v>
      </c>
      <c r="U830" s="129"/>
      <c r="V830">
        <f t="shared" si="818"/>
        <v>0</v>
      </c>
      <c r="W830">
        <f t="shared" si="819"/>
        <v>0</v>
      </c>
      <c r="X830">
        <f t="shared" si="820"/>
        <v>0</v>
      </c>
      <c r="Y830">
        <f>IF('חד גזעי'!$AM$2 = "לא",0,IF(F830&gt;9,W830,0))</f>
        <v>0</v>
      </c>
      <c r="Z830">
        <f>IF('חד גזעי'!$AM$7 = "לא",0,IF(C830 = "זית אירופי",IF('חד גזעי'!$AN$7 &lt;=סקר!F830,W830,0),IF(C830 = "חרוב מצוי",IF('חד גזעי'!$AN$7 &lt;=סקר!F830,W830,0),0)))</f>
        <v>0</v>
      </c>
      <c r="AA830" s="129"/>
      <c r="AB830" s="129"/>
      <c r="AC830" s="129"/>
      <c r="AD830" s="129"/>
      <c r="AE830" s="129"/>
      <c r="AF830" s="129"/>
      <c r="AG830" s="129"/>
      <c r="AH830" s="129"/>
      <c r="AI830" s="129"/>
      <c r="AJ830" s="129"/>
      <c r="AK830" s="129"/>
      <c r="AL830" s="129"/>
      <c r="AM830" s="129"/>
      <c r="AN830" s="129"/>
      <c r="AO830" s="129"/>
      <c r="AP830" s="129"/>
      <c r="AQ830" s="129"/>
      <c r="AR830" s="129"/>
      <c r="AS830" s="129"/>
      <c r="AT830" s="129"/>
      <c r="AU830" s="129"/>
      <c r="AV830" s="129"/>
      <c r="AW830" s="129"/>
      <c r="AX830" s="129"/>
      <c r="AY830" s="129"/>
      <c r="AZ830" s="129"/>
      <c r="BA830" s="129"/>
      <c r="BB830" s="129"/>
      <c r="BC830" s="129"/>
      <c r="BD830" s="129"/>
      <c r="BE830" s="129"/>
      <c r="BF830" s="129" t="str">
        <f>BF829</f>
        <v>C:\Users\origr\Pictures\0.jpg</v>
      </c>
      <c r="BG830" s="129" t="str">
        <f t="shared" ref="BG830" si="873">BG829</f>
        <v>C:\Users\origr\Pictures\0.jpg</v>
      </c>
      <c r="BH830" s="129" t="str">
        <f t="shared" ref="BH830" si="874">BH829</f>
        <v>C:\Users\origr\Pictures\0.jpg</v>
      </c>
      <c r="BI830" s="129" t="str">
        <f t="shared" ref="BI830" si="875">BI829</f>
        <v>C:\Users\origr\Pictures\0.jpg</v>
      </c>
      <c r="BJ830" s="129" t="str">
        <f t="shared" ref="BJ830" si="876">BJ829</f>
        <v>C:\Users\origr\Pictures\0.jpg</v>
      </c>
      <c r="BK830" s="129" t="str">
        <f t="shared" ref="BK830" si="877">BK829</f>
        <v>C:\Users\origr\Pictures\0.jpg</v>
      </c>
    </row>
    <row r="831" spans="1:63" ht="14.25" hidden="1">
      <c r="B831" s="71"/>
      <c r="C831" s="69"/>
      <c r="Q831" s="86"/>
      <c r="T831" s="72">
        <f>IF('חד גזעי'!$AM$6="לא",IF(P831=0,IF(BC831="שימור",IF('חד גזעי'!$AM$4="לא",IF(BC831="לא בוגר",0,IF(BC831="לא קיים",0,IF(J831=0,0,I831*0.1))),IF(BC831="לא בוגר",0,IF(BC831="לא קיים",0,IF(AB831=1,I831*0.1,E831*0.5)))),0),IF('חד גזעי'!$AM$4="לא",IF(BC831="לא בוגר",0,IF(BC831="לא קיים",0,IF(J831=0,0,I831*0.1))),IF(BC831="לא בוגר",0,IF(BC831="לא קיים",0,IF(AB831=1,I831*0.1,E831*0.5))))),IF(P831=0,IF(BC831="שימור",IF('חד גזעי'!$AM$4="לא",IF(BC831="לא בוגר",0,IF(BC831="לא קיים",0,IF(J831=0,0,I831*0.15))),IF(BC831="לא בוגר",0,IF(BC831="לא קיים",0,IF(AB831=1,I831*0.15,E831*0.5)))),0),IF('חד גזעי'!$AM$4="לא",IF(BC831="לא בוגר",0,IF(BC831="לא קיים",0,IF(J831=0,0,I831*0.15))),IF(BC831="לא בוגר",0,IF(BC831="לא קיים",0,IF(AB831=1,I831*0.15,E831*0.5))))))</f>
        <v>0</v>
      </c>
      <c r="V831">
        <f t="shared" si="818"/>
        <v>0</v>
      </c>
      <c r="W831">
        <f t="shared" si="819"/>
        <v>0</v>
      </c>
      <c r="X831">
        <f t="shared" si="820"/>
        <v>0</v>
      </c>
      <c r="Y831">
        <f>IF('חד גזעי'!$AM$2 = "לא",0,IF(F831&gt;9,W831,0))</f>
        <v>0</v>
      </c>
      <c r="Z831">
        <f>IF('חד גזעי'!$AM$7 = "לא",0,IF(C831 = "זית אירופי",IF('חד גזעי'!$AN$7 &lt;=סקר!F831,W831,0),IF(C831 = "חרוב מצוי",IF('חד גזעי'!$AN$7 &lt;=סקר!F831,W831,0),0)))</f>
        <v>0</v>
      </c>
      <c r="AD831" s="69" t="s">
        <v>807</v>
      </c>
    </row>
    <row r="832" spans="1:63" hidden="1">
      <c r="B832" s="197" t="s">
        <v>738</v>
      </c>
      <c r="C832" s="197" t="s">
        <v>739</v>
      </c>
      <c r="D832" s="197" t="s">
        <v>740</v>
      </c>
      <c r="E832" s="197" t="s">
        <v>741</v>
      </c>
      <c r="F832" s="200" t="s">
        <v>759</v>
      </c>
      <c r="G832" s="203" t="s">
        <v>760</v>
      </c>
      <c r="H832" s="203" t="s">
        <v>761</v>
      </c>
      <c r="I832" s="197" t="s">
        <v>742</v>
      </c>
      <c r="J832" s="197" t="s">
        <v>743</v>
      </c>
      <c r="K832" s="197" t="s">
        <v>744</v>
      </c>
      <c r="L832" s="197" t="s">
        <v>745</v>
      </c>
      <c r="M832" s="197" t="s">
        <v>746</v>
      </c>
      <c r="N832" s="197" t="s">
        <v>747</v>
      </c>
      <c r="O832" s="197" t="s">
        <v>748</v>
      </c>
      <c r="P832" s="197" t="s">
        <v>749</v>
      </c>
      <c r="Q832" s="197" t="s">
        <v>750</v>
      </c>
      <c r="R832" s="197" t="s">
        <v>751</v>
      </c>
      <c r="T832" s="72" t="e">
        <f>IF('חד גזעי'!$AM$6="לא",IF(P832=0,IF(BC832="שימור",IF('חד גזעי'!$AM$4="לא",IF(BC832="לא בוגר",0,IF(BC832="לא קיים",0,IF(J832=0,0,I832*0.1))),IF(BC832="לא בוגר",0,IF(BC832="לא קיים",0,IF(AB832=1,I832*0.1,E832*0.5)))),0),IF('חד גזעי'!$AM$4="לא",IF(BC832="לא בוגר",0,IF(BC832="לא קיים",0,IF(J832=0,0,I832*0.1))),IF(BC832="לא בוגר",0,IF(BC832="לא קיים",0,IF(AB832=1,I832*0.1,E832*0.5))))),IF(P832=0,IF(BC832="שימור",IF('חד גזעי'!$AM$4="לא",IF(BC832="לא בוגר",0,IF(BC832="לא קיים",0,IF(J832=0,0,I832*0.15))),IF(BC832="לא בוגר",0,IF(BC832="לא קיים",0,IF(AB832=1,I832*0.15,E832*0.5)))),0),IF('חד גזעי'!$AM$4="לא",IF(BC832="לא בוגר",0,IF(BC832="לא קיים",0,IF(J832=0,0,I832*0.15))),IF(BC832="לא בוגר",0,IF(BC832="לא קיים",0,IF(AB832=1,I832*0.15,E832*0.5))))))</f>
        <v>#VALUE!</v>
      </c>
      <c r="V832">
        <f t="shared" si="818"/>
        <v>0</v>
      </c>
      <c r="W832" t="e">
        <f t="shared" si="819"/>
        <v>#VALUE!</v>
      </c>
      <c r="X832">
        <f t="shared" si="820"/>
        <v>0</v>
      </c>
      <c r="Y832">
        <f>IF('חד גזעי'!$AM$2 = "לא",0,IF(F832&gt;9,W832,0))</f>
        <v>0</v>
      </c>
      <c r="Z832">
        <f>IF('חד גזעי'!$AM$7 = "לא",0,IF(C832 = "זית אירופי",IF('חד גזעי'!$AN$7 &lt;=סקר!F832,W832,0),IF(C832 = "חרוב מצוי",IF('חד גזעי'!$AN$7 &lt;=סקר!F832,W832,0),0)))</f>
        <v>0</v>
      </c>
      <c r="AC832" s="101"/>
      <c r="AD832" s="103"/>
      <c r="AE832" s="103"/>
      <c r="AF832" s="103"/>
      <c r="AG832" s="103"/>
      <c r="AH832" s="103"/>
      <c r="AI832" s="103"/>
      <c r="AJ832" s="103"/>
      <c r="AK832" s="83"/>
      <c r="AM832" s="73"/>
      <c r="AN832" s="73"/>
      <c r="AO832" s="73"/>
      <c r="AS832" s="197" t="s">
        <v>738</v>
      </c>
      <c r="AT832" s="197" t="s">
        <v>739</v>
      </c>
      <c r="AU832" s="197" t="s">
        <v>740</v>
      </c>
      <c r="AV832" s="197" t="s">
        <v>741</v>
      </c>
      <c r="AW832" s="203" t="s">
        <v>759</v>
      </c>
      <c r="AX832" s="203" t="s">
        <v>760</v>
      </c>
      <c r="AY832" s="203" t="s">
        <v>761</v>
      </c>
      <c r="AZ832" s="197" t="s">
        <v>812</v>
      </c>
      <c r="BA832" s="197" t="s">
        <v>817</v>
      </c>
      <c r="BB832" s="197" t="s">
        <v>805</v>
      </c>
      <c r="BC832" s="197" t="s">
        <v>806</v>
      </c>
      <c r="BE832">
        <f>IF(BC832="לא נדרש ברישיון",1,0)</f>
        <v>0</v>
      </c>
      <c r="BF832" s="72"/>
      <c r="BG832" s="72"/>
      <c r="BH832" s="72"/>
      <c r="BI832" s="72"/>
      <c r="BJ832" s="72"/>
      <c r="BK832" s="72"/>
    </row>
    <row r="833" spans="2:63" hidden="1">
      <c r="B833" s="198"/>
      <c r="C833" s="198"/>
      <c r="D833" s="198"/>
      <c r="E833" s="198"/>
      <c r="F833" s="201"/>
      <c r="G833" s="204"/>
      <c r="H833" s="204"/>
      <c r="I833" s="198"/>
      <c r="J833" s="198"/>
      <c r="K833" s="198"/>
      <c r="L833" s="198"/>
      <c r="M833" s="198"/>
      <c r="N833" s="198"/>
      <c r="O833" s="198"/>
      <c r="P833" s="198"/>
      <c r="Q833" s="198"/>
      <c r="R833" s="198"/>
      <c r="T833" s="72">
        <f>IF('חד גזעי'!$AM$6="לא",IF(P833=0,IF(BC833="שימור",IF('חד גזעי'!$AM$4="לא",IF(BC833="לא בוגר",0,IF(BC833="לא קיים",0,IF(J833=0,0,I833*0.1))),IF(BC833="לא בוגר",0,IF(BC833="לא קיים",0,IF(AB833=1,I833*0.1,E833*0.5)))),0),IF('חד גזעי'!$AM$4="לא",IF(BC833="לא בוגר",0,IF(BC833="לא קיים",0,IF(J833=0,0,I833*0.1))),IF(BC833="לא בוגר",0,IF(BC833="לא קיים",0,IF(AB833=1,I833*0.1,E833*0.5))))),IF(P833=0,IF(BC833="שימור",IF('חד גזעי'!$AM$4="לא",IF(BC833="לא בוגר",0,IF(BC833="לא קיים",0,IF(J833=0,0,I833*0.15))),IF(BC833="לא בוגר",0,IF(BC833="לא קיים",0,IF(AB833=1,I833*0.15,E833*0.5)))),0),IF('חד גזעי'!$AM$4="לא",IF(BC833="לא בוגר",0,IF(BC833="לא קיים",0,IF(J833=0,0,I833*0.15))),IF(BC833="לא בוגר",0,IF(BC833="לא קיים",0,IF(AB833=1,I833*0.15,E833*0.5))))))</f>
        <v>0</v>
      </c>
      <c r="V833">
        <f t="shared" si="818"/>
        <v>0</v>
      </c>
      <c r="W833">
        <f t="shared" si="819"/>
        <v>0</v>
      </c>
      <c r="X833">
        <f t="shared" si="820"/>
        <v>0</v>
      </c>
      <c r="Y833">
        <f>IF('חד גזעי'!$AM$2 = "לא",0,IF(F833&gt;9,W833,0))</f>
        <v>0</v>
      </c>
      <c r="Z833">
        <f>IF('חד גזעי'!$AM$7 = "לא",0,IF(C833 = "זית אירופי",IF('חד גזעי'!$AN$7 &lt;=סקר!F833,W833,0),IF(C833 = "חרוב מצוי",IF('חד גזעי'!$AN$7 &lt;=סקר!F833,W833,0),0)))</f>
        <v>0</v>
      </c>
      <c r="AC833" s="101"/>
      <c r="AD833" s="103"/>
      <c r="AE833" s="103"/>
      <c r="AF833" s="103"/>
      <c r="AG833" s="103"/>
      <c r="AH833" s="103"/>
      <c r="AI833" s="103"/>
      <c r="AJ833" s="103"/>
      <c r="AK833" s="83"/>
      <c r="AM833" s="73"/>
      <c r="AN833" s="73"/>
      <c r="AO833" s="73"/>
      <c r="AS833" s="198"/>
      <c r="AT833" s="198"/>
      <c r="AU833" s="198"/>
      <c r="AV833" s="198"/>
      <c r="AW833" s="204"/>
      <c r="AX833" s="204"/>
      <c r="AY833" s="204"/>
      <c r="AZ833" s="198"/>
      <c r="BA833" s="198"/>
      <c r="BB833" s="198"/>
      <c r="BC833" s="198"/>
      <c r="BE833">
        <f t="shared" ref="BE833:BE867" si="878">IF(BC833="לא נדרש ברישיון",1,0)</f>
        <v>0</v>
      </c>
      <c r="BF833" s="196" t="str">
        <f>BF830</f>
        <v>C:\Users\origr\Pictures\0.jpg</v>
      </c>
      <c r="BG833" s="196" t="str">
        <f t="shared" ref="BG833:BK833" si="879">BG830</f>
        <v>C:\Users\origr\Pictures\0.jpg</v>
      </c>
      <c r="BH833" s="196" t="str">
        <f t="shared" si="879"/>
        <v>C:\Users\origr\Pictures\0.jpg</v>
      </c>
      <c r="BI833" s="196" t="str">
        <f t="shared" si="879"/>
        <v>C:\Users\origr\Pictures\0.jpg</v>
      </c>
      <c r="BJ833" s="196" t="str">
        <f t="shared" si="879"/>
        <v>C:\Users\origr\Pictures\0.jpg</v>
      </c>
      <c r="BK833" s="196" t="str">
        <f t="shared" si="879"/>
        <v>C:\Users\origr\Pictures\0.jpg</v>
      </c>
    </row>
    <row r="834" spans="2:63" hidden="1">
      <c r="B834" s="199"/>
      <c r="C834" s="199"/>
      <c r="D834" s="199"/>
      <c r="E834" s="199"/>
      <c r="F834" s="202"/>
      <c r="G834" s="205"/>
      <c r="H834" s="205"/>
      <c r="I834" s="199"/>
      <c r="J834" s="199"/>
      <c r="K834" s="199"/>
      <c r="L834" s="199"/>
      <c r="M834" s="199"/>
      <c r="N834" s="199"/>
      <c r="O834" s="199"/>
      <c r="P834" s="199"/>
      <c r="Q834" s="199"/>
      <c r="R834" s="199"/>
      <c r="T834" s="72">
        <f>IF('חד גזעי'!$AM$6="לא",IF(P834=0,IF(BC834="שימור",IF('חד גזעי'!$AM$4="לא",IF(BC834="לא בוגר",0,IF(BC834="לא קיים",0,IF(J834=0,0,I834*0.1))),IF(BC834="לא בוגר",0,IF(BC834="לא קיים",0,IF(AB834=1,I834*0.1,E834*0.5)))),0),IF('חד גזעי'!$AM$4="לא",IF(BC834="לא בוגר",0,IF(BC834="לא קיים",0,IF(J834=0,0,I834*0.1))),IF(BC834="לא בוגר",0,IF(BC834="לא קיים",0,IF(AB834=1,I834*0.1,E834*0.5))))),IF(P834=0,IF(BC834="שימור",IF('חד גזעי'!$AM$4="לא",IF(BC834="לא בוגר",0,IF(BC834="לא קיים",0,IF(J834=0,0,I834*0.15))),IF(BC834="לא בוגר",0,IF(BC834="לא קיים",0,IF(AB834=1,I834*0.15,E834*0.5)))),0),IF('חד גזעי'!$AM$4="לא",IF(BC834="לא בוגר",0,IF(BC834="לא קיים",0,IF(J834=0,0,I834*0.15))),IF(BC834="לא בוגר",0,IF(BC834="לא קיים",0,IF(AB834=1,I834*0.15,E834*0.5))))))</f>
        <v>0</v>
      </c>
      <c r="V834" t="str">
        <f t="shared" si="818"/>
        <v>שווי דקל</v>
      </c>
      <c r="W834" t="str">
        <f t="shared" si="819"/>
        <v>שווי דקל</v>
      </c>
      <c r="X834">
        <f t="shared" si="820"/>
        <v>0</v>
      </c>
      <c r="Y834">
        <f>IF('חד גזעי'!$AM$2 = "לא",0,IF(F834&gt;9,W834,0))</f>
        <v>0</v>
      </c>
      <c r="Z834">
        <f>IF('חד גזעי'!$AM$7 = "לא",0,IF(C834 = "זית אירופי",IF('חד גזעי'!$AN$7 &lt;=סקר!F834,W834,0),IF(C834 = "חרוב מצוי",IF('חד גזעי'!$AN$7 &lt;=סקר!F834,W834,0),0)))</f>
        <v>0</v>
      </c>
      <c r="AC834" s="94"/>
      <c r="AD834" s="94"/>
      <c r="AE834" s="72"/>
      <c r="AF834" s="77" t="s">
        <v>767</v>
      </c>
      <c r="AG834" s="77" t="s">
        <v>768</v>
      </c>
      <c r="AH834" s="72" t="s">
        <v>762</v>
      </c>
      <c r="AI834" s="72" t="s">
        <v>763</v>
      </c>
      <c r="AJ834" s="72" t="s">
        <v>764</v>
      </c>
      <c r="AK834" s="77" t="s">
        <v>770</v>
      </c>
      <c r="AL834" t="s">
        <v>771</v>
      </c>
      <c r="AM834" s="77" t="s">
        <v>809</v>
      </c>
      <c r="AN834" s="77" t="s">
        <v>810</v>
      </c>
      <c r="AO834" s="77" t="s">
        <v>811</v>
      </c>
      <c r="AS834" s="199"/>
      <c r="AT834" s="199"/>
      <c r="AU834" s="199"/>
      <c r="AV834" s="199"/>
      <c r="AW834" s="205"/>
      <c r="AX834" s="205"/>
      <c r="AY834" s="205"/>
      <c r="AZ834" s="199"/>
      <c r="BA834" s="199"/>
      <c r="BB834" s="199"/>
      <c r="BC834" s="199"/>
      <c r="BE834">
        <f t="shared" si="878"/>
        <v>0</v>
      </c>
      <c r="BF834" s="196"/>
      <c r="BG834" s="196"/>
      <c r="BH834" s="196"/>
      <c r="BI834" s="196"/>
      <c r="BJ834" s="196"/>
      <c r="BK834" s="196"/>
    </row>
    <row r="835" spans="2:63" hidden="1">
      <c r="B835" s="72"/>
      <c r="C835" s="135"/>
      <c r="D835" s="73"/>
      <c r="E835" s="73"/>
      <c r="F835" s="72"/>
      <c r="G835" s="72"/>
      <c r="H835" s="72"/>
      <c r="I835" s="73">
        <f t="shared" ref="I835:I866" si="880">F835+(G835/2)+(H835/2)</f>
        <v>0</v>
      </c>
      <c r="J835" s="73"/>
      <c r="K835" s="73"/>
      <c r="L835" s="74" t="e">
        <f>_xlfn.IFNA(VLOOKUP(C835,'חד גזעי'!$U$3:$V$509,2,0),VLOOKUP(C835,'חד גזעי'!$U$3:$V$509,2))</f>
        <v>#N/A</v>
      </c>
      <c r="M835" s="73"/>
      <c r="N835" s="72" t="e">
        <f>_xlfn.IFNA(IF(VLOOKUP(C835,'חד גזעי'!$AH$2:$AH$7,1,FALSE)&gt;0,0,IF('חד גזעי'!$AM$5="כן",IF(_xlfn.IFNA(VLOOKUP(C835,'חד גזעי'!$AH$2:$AH$33,1,FALSE),SUM(J835:M835))&lt;21,_xlfn.IFNA(VLOOKUP(C835,'חד גזעי'!$AH$2:$AH$33,1,FALSE),SUM(J835:M835)),0),SUM(J835:M835))),IF('חד גזעי'!$AM$5="כן",IF(_xlfn.IFNA(VLOOKUP(C835,'חד גזעי'!$AH$2:$AH$33,1,FALSE),SUM(J835:M835))&lt;21,_xlfn.IFNA(VLOOKUP(C835,'חד גזעי'!$AH$2:$AH$33,1,FALSE),SUM(J835:M835)),0),SUM(J835:M835)))</f>
        <v>#N/A</v>
      </c>
      <c r="O835" s="72">
        <f>IF('חד גזעי'!$AM$3 = "כן",IF(T835&gt;4,4,T835),T835)</f>
        <v>0</v>
      </c>
      <c r="P835" s="80">
        <f>IF(E835&lt;2,0,IF(Z835&gt;0,Z835,IF(N835 = 0,0,IF('חד גזעי'!$AM$2 = "לא",IF(F835&gt;19,W835,0),IF(F835&gt;9,Y835,0)))))</f>
        <v>0</v>
      </c>
      <c r="Q835" s="77"/>
      <c r="R835" s="75"/>
      <c r="S835" t="e">
        <f>VLOOKUP(C835,'חד גזעי'!$Y$4:$Y$18,1,0)</f>
        <v>#N/A</v>
      </c>
      <c r="T835" s="72">
        <f>IF('חד גזעי'!$AM$6="לא",IF(P835=0,IF(BC835="שימור",IF('חד גזעי'!$AM$4="לא",IF(BC835="לא בוגר",0,IF(BC835="לא קיים",0,IF(J835=0,0,I835*0.1))),IF(BC835="לא בוגר",0,IF(BC835="לא קיים",0,IF(AB835=1,I835*0.1,E835*0.5)))),0),IF('חד גזעי'!$AM$4="לא",IF(BC835="לא בוגר",0,IF(BC835="לא קיים",0,IF(J835=0,0,I835*0.1))),IF(BC835="לא בוגר",0,IF(BC835="לא קיים",0,IF(AB835=1,I835*0.1,E835*0.5))))),IF(P835=0,IF(BC835="שימור",IF('חד גזעי'!$AM$4="לא",IF(BC835="לא בוגר",0,IF(BC835="לא קיים",0,IF(J835=0,0,I835*0.15))),IF(BC835="לא בוגר",0,IF(BC835="לא קיים",0,IF(AB835=1,I835*0.15,E835*0.5)))),0),IF('חד גזעי'!$AM$4="לא",IF(BC835="לא בוגר",0,IF(BC835="לא קיים",0,IF(J835=0,0,I835*0.15))),IF(BC835="לא בוגר",0,IF(BC835="לא קיים",0,IF(AB835=1,I835*0.15,E835*0.5))))))</f>
        <v>0</v>
      </c>
      <c r="V835" t="e">
        <f t="shared" si="818"/>
        <v>#N/A</v>
      </c>
      <c r="W835" t="e">
        <f t="shared" si="819"/>
        <v>#N/A</v>
      </c>
      <c r="X835" t="e">
        <f t="shared" si="820"/>
        <v>#N/A</v>
      </c>
      <c r="Y835">
        <f>IF('חד גזעי'!$AM$2 = "לא",0,IF(F835&gt;9,W835,0))</f>
        <v>0</v>
      </c>
      <c r="Z835">
        <f>IF('חד גזעי'!$AM$7 = "לא",0,IF(C835 = "זית אירופי",IF('חד גזעי'!$AN$7 &lt;=סקר!F835,W835,0),IF(C835 = "חרוב מצוי",IF('חד גזעי'!$AN$7 &lt;=סקר!F835,W835,0),0)))</f>
        <v>0</v>
      </c>
      <c r="AB835">
        <f t="shared" ref="AB835:AB866" si="881">_xlfn.IFNA(S835,1)</f>
        <v>1</v>
      </c>
      <c r="AC835" s="72"/>
      <c r="AD835" t="e">
        <f>IF(AK835&gt;0,AK835,AF835)</f>
        <v>#N/A</v>
      </c>
      <c r="AE835" s="72"/>
      <c r="AF835" s="72" t="e">
        <f t="shared" ref="AF835:AF866" si="882">((AJ835+AI835+AH835)*(AG835))*(J835*0.2)*(K835*0.2)*20</f>
        <v>#N/A</v>
      </c>
      <c r="AG835" s="72" t="e">
        <f>IF('חד גזעי'!$AM$5="לא",(VLOOKUP(C835,'חד גזעי'!$P$1:$S$589,3,FALSE)),(VLOOKUP(C835,'חד גזעי'!$P$1:$S$589,4,FALSE)))</f>
        <v>#N/A</v>
      </c>
      <c r="AH835" s="72">
        <f t="shared" ref="AH835:AH866" si="883">(3.14*((F835/2)^2))</f>
        <v>0</v>
      </c>
      <c r="AI835" s="72">
        <f t="shared" ref="AI835:AI866" si="884">3.14*(G835*G835/4)</f>
        <v>0</v>
      </c>
      <c r="AJ835" s="72">
        <f t="shared" ref="AJ835:AJ866" si="885">3.14*(H835*H835/4)</f>
        <v>0</v>
      </c>
      <c r="AK835" s="72" t="e">
        <f t="shared" ref="AK835:AK866" si="886">AL835*E835*(J835*0.2)*(0.2*K835)*1500</f>
        <v>#N/A</v>
      </c>
      <c r="AL835" t="e">
        <f>VLOOKUP(C835,'חד גזעי'!$AH$8:$AI$33,2,FALSE)</f>
        <v>#N/A</v>
      </c>
      <c r="AM835" s="72" t="b">
        <f t="shared" ref="AM835:AM866" si="887">IF(BC835="שימור",P835)</f>
        <v>0</v>
      </c>
      <c r="AN835" s="72" t="b">
        <f t="shared" ref="AN835:AN866" si="888">IF(BC835="כריתה",P835)</f>
        <v>0</v>
      </c>
      <c r="AO835" s="72" t="b">
        <f t="shared" ref="AO835:AO866" si="889">IF(BC835="העתקה",P835)</f>
        <v>0</v>
      </c>
      <c r="AS835" s="72">
        <f t="shared" ref="AS835:AS866" si="890">B835</f>
        <v>0</v>
      </c>
      <c r="AT835" s="72">
        <f t="shared" ref="AT835:AT866" si="891">C835</f>
        <v>0</v>
      </c>
      <c r="AU835" s="72">
        <f>IF(C835&gt;0,IF(D835&lt;2,1,D835),0)</f>
        <v>0</v>
      </c>
      <c r="AV835" s="72">
        <f t="shared" ref="AV835:AV866" si="892">E835</f>
        <v>0</v>
      </c>
      <c r="AW835" s="72">
        <f t="shared" ref="AW835:AW866" si="893">F835</f>
        <v>0</v>
      </c>
      <c r="AX835" s="72">
        <f t="shared" ref="AX835:AX866" si="894">G835</f>
        <v>0</v>
      </c>
      <c r="AY835" s="72">
        <f t="shared" ref="AY835:AY866" si="895">H835</f>
        <v>0</v>
      </c>
      <c r="AZ835" s="72">
        <f t="shared" ref="AZ835:AZ866" si="896">I835</f>
        <v>0</v>
      </c>
      <c r="BA835" s="72" t="e">
        <f t="shared" ref="BA835:BA866" si="897">N835</f>
        <v>#N/A</v>
      </c>
      <c r="BB835" s="72" t="e">
        <f t="shared" ref="BB835:BB866" si="898">IF(BA835&gt;6,IF(BA835&gt;13,IF(BA835&gt;16,"גבוה מאוד","גבוה"),"בינונית"),"נמוכה")</f>
        <v>#N/A</v>
      </c>
      <c r="BC835" s="77"/>
      <c r="BE835">
        <f t="shared" si="878"/>
        <v>0</v>
      </c>
      <c r="BF835" s="196"/>
      <c r="BG835" s="196"/>
      <c r="BH835" s="196"/>
      <c r="BI835" s="196"/>
      <c r="BJ835" s="196"/>
      <c r="BK835" s="196"/>
    </row>
    <row r="836" spans="2:63" hidden="1">
      <c r="B836" s="72"/>
      <c r="C836" s="135"/>
      <c r="D836" s="73"/>
      <c r="E836" s="73"/>
      <c r="F836" s="72"/>
      <c r="G836" s="72"/>
      <c r="H836" s="72"/>
      <c r="I836" s="73">
        <f t="shared" si="880"/>
        <v>0</v>
      </c>
      <c r="J836" s="73"/>
      <c r="K836" s="73"/>
      <c r="L836" s="74" t="e">
        <f>_xlfn.IFNA(VLOOKUP(C836,'חד גזעי'!$U$3:$V$509,2,0),VLOOKUP(C836,'חד גזעי'!$U$3:$V$509,2))</f>
        <v>#N/A</v>
      </c>
      <c r="M836" s="73"/>
      <c r="N836" s="72" t="e">
        <f>_xlfn.IFNA(IF(VLOOKUP(C836,'חד גזעי'!$AH$2:$AH$7,1,FALSE)&gt;0,0,IF('חד גזעי'!$AM$5="כן",IF(_xlfn.IFNA(VLOOKUP(C836,'חד גזעי'!$AH$2:$AH$33,1,FALSE),SUM(J836:M836))&lt;21,_xlfn.IFNA(VLOOKUP(C836,'חד גזעי'!$AH$2:$AH$33,1,FALSE),SUM(J836:M836)),0),SUM(J836:M836))),IF('חד גזעי'!$AM$5="כן",IF(_xlfn.IFNA(VLOOKUP(C836,'חד גזעי'!$AH$2:$AH$33,1,FALSE),SUM(J836:M836))&lt;21,_xlfn.IFNA(VLOOKUP(C836,'חד גזעי'!$AH$2:$AH$33,1,FALSE),SUM(J836:M836)),0),SUM(J836:M836)))</f>
        <v>#N/A</v>
      </c>
      <c r="O836" s="72">
        <f>IF('חד גזעי'!$AM$3 = "כן",IF(T836&gt;4,4,T836),T836)</f>
        <v>0</v>
      </c>
      <c r="P836" s="80">
        <f>IF(E836&lt;2,0,IF(Z836&gt;0,Z836,IF(N836 = 0,0,IF('חד גזעי'!$AM$2 = "לא",IF(F836&gt;19,W836,0),IF(F836&gt;9,Y836,0)))))</f>
        <v>0</v>
      </c>
      <c r="Q836" s="77"/>
      <c r="R836" s="75"/>
      <c r="S836" t="e">
        <f>VLOOKUP(C836,'חד גזעי'!$Y$4:$Y$18,1,0)</f>
        <v>#N/A</v>
      </c>
      <c r="T836" s="72">
        <f>IF('חד גזעי'!$AM$6="לא",IF(P836=0,IF(BC836="שימור",IF('חד גזעי'!$AM$4="לא",IF(BC836="לא בוגר",0,IF(BC836="לא קיים",0,IF(J836=0,0,I836*0.1))),IF(BC836="לא בוגר",0,IF(BC836="לא קיים",0,IF(AB836=1,I836*0.1,E836*0.5)))),0),IF('חד גזעי'!$AM$4="לא",IF(BC836="לא בוגר",0,IF(BC836="לא קיים",0,IF(J836=0,0,I836*0.1))),IF(BC836="לא בוגר",0,IF(BC836="לא קיים",0,IF(AB836=1,I836*0.1,E836*0.5))))),IF(P836=0,IF(BC836="שימור",IF('חד גזעי'!$AM$4="לא",IF(BC836="לא בוגר",0,IF(BC836="לא קיים",0,IF(J836=0,0,I836*0.15))),IF(BC836="לא בוגר",0,IF(BC836="לא קיים",0,IF(AB836=1,I836*0.15,E836*0.5)))),0),IF('חד גזעי'!$AM$4="לא",IF(BC836="לא בוגר",0,IF(BC836="לא קיים",0,IF(J836=0,0,I836*0.15))),IF(BC836="לא בוגר",0,IF(BC836="לא קיים",0,IF(AB836=1,I836*0.15,E836*0.5))))))</f>
        <v>0</v>
      </c>
      <c r="V836" t="e">
        <f t="shared" si="818"/>
        <v>#N/A</v>
      </c>
      <c r="W836" t="e">
        <f t="shared" si="819"/>
        <v>#N/A</v>
      </c>
      <c r="X836" t="e">
        <f t="shared" si="820"/>
        <v>#N/A</v>
      </c>
      <c r="Y836">
        <f>IF('חד גזעי'!$AM$2 = "לא",0,IF(F836&gt;9,W836,0))</f>
        <v>0</v>
      </c>
      <c r="Z836">
        <f>IF('חד גזעי'!$AM$7 = "לא",0,IF(C836 = "זית אירופי",IF('חד גזעי'!$AN$7 &lt;=סקר!F836,W836,0),IF(C836 = "חרוב מצוי",IF('חד גזעי'!$AN$7 &lt;=סקר!F836,W836,0),0)))</f>
        <v>0</v>
      </c>
      <c r="AB836">
        <f t="shared" si="881"/>
        <v>1</v>
      </c>
      <c r="AC836" s="72"/>
      <c r="AD836" t="e">
        <f t="shared" ref="AD836:AD866" si="899">IF(AK836&gt;0,AK836,AF836)</f>
        <v>#N/A</v>
      </c>
      <c r="AE836" s="72"/>
      <c r="AF836" s="72" t="e">
        <f t="shared" si="882"/>
        <v>#N/A</v>
      </c>
      <c r="AG836" s="72" t="e">
        <f>IF('חד גזעי'!$AM$5="לא",(VLOOKUP(C836,'חד גזעי'!$P$1:$S$589,3,FALSE)),(VLOOKUP(C836,'חד גזעי'!$P$1:$S$589,4,FALSE)))</f>
        <v>#N/A</v>
      </c>
      <c r="AH836" s="72">
        <f t="shared" si="883"/>
        <v>0</v>
      </c>
      <c r="AI836" s="72">
        <f t="shared" si="884"/>
        <v>0</v>
      </c>
      <c r="AJ836" s="72">
        <f t="shared" si="885"/>
        <v>0</v>
      </c>
      <c r="AK836" s="72" t="e">
        <f t="shared" si="886"/>
        <v>#N/A</v>
      </c>
      <c r="AL836" t="e">
        <f>VLOOKUP(C836,'חד גזעי'!$AH$8:$AI$33,2,FALSE)</f>
        <v>#N/A</v>
      </c>
      <c r="AM836" s="72" t="b">
        <f t="shared" si="887"/>
        <v>0</v>
      </c>
      <c r="AN836" s="72" t="b">
        <f t="shared" si="888"/>
        <v>0</v>
      </c>
      <c r="AO836" s="72" t="b">
        <f t="shared" si="889"/>
        <v>0</v>
      </c>
      <c r="AS836" s="72">
        <f t="shared" si="890"/>
        <v>0</v>
      </c>
      <c r="AT836" s="72">
        <f t="shared" si="891"/>
        <v>0</v>
      </c>
      <c r="AU836" s="72">
        <f t="shared" ref="AU836:AU866" si="900">IF(C836&gt;0,IF(D836&lt;2,1,D836),0)</f>
        <v>0</v>
      </c>
      <c r="AV836" s="72">
        <f t="shared" si="892"/>
        <v>0</v>
      </c>
      <c r="AW836" s="72">
        <f t="shared" si="893"/>
        <v>0</v>
      </c>
      <c r="AX836" s="72">
        <f t="shared" si="894"/>
        <v>0</v>
      </c>
      <c r="AY836" s="72">
        <f t="shared" si="895"/>
        <v>0</v>
      </c>
      <c r="AZ836" s="72">
        <f t="shared" si="896"/>
        <v>0</v>
      </c>
      <c r="BA836" s="72" t="e">
        <f t="shared" si="897"/>
        <v>#N/A</v>
      </c>
      <c r="BB836" s="72" t="e">
        <f t="shared" si="898"/>
        <v>#N/A</v>
      </c>
      <c r="BC836" s="77"/>
      <c r="BE836">
        <f t="shared" si="878"/>
        <v>0</v>
      </c>
      <c r="BF836" s="196"/>
      <c r="BG836" s="196"/>
      <c r="BH836" s="196"/>
      <c r="BI836" s="196"/>
      <c r="BJ836" s="196"/>
      <c r="BK836" s="196"/>
    </row>
    <row r="837" spans="2:63" hidden="1">
      <c r="B837" s="72"/>
      <c r="C837" s="135"/>
      <c r="D837" s="73"/>
      <c r="E837" s="73"/>
      <c r="F837" s="72"/>
      <c r="G837" s="72"/>
      <c r="H837" s="72"/>
      <c r="I837" s="73">
        <f t="shared" si="880"/>
        <v>0</v>
      </c>
      <c r="J837" s="73"/>
      <c r="K837" s="73"/>
      <c r="L837" s="74" t="e">
        <f>_xlfn.IFNA(VLOOKUP(C837,'חד גזעי'!$U$3:$V$509,2,0),VLOOKUP(C837,'חד גזעי'!$U$3:$V$509,2))</f>
        <v>#N/A</v>
      </c>
      <c r="M837" s="73"/>
      <c r="N837" s="72" t="e">
        <f>_xlfn.IFNA(IF(VLOOKUP(C837,'חד גזעי'!$AH$2:$AH$7,1,FALSE)&gt;0,0,IF('חד גזעי'!$AM$5="כן",IF(_xlfn.IFNA(VLOOKUP(C837,'חד גזעי'!$AH$2:$AH$33,1,FALSE),SUM(J837:M837))&lt;21,_xlfn.IFNA(VLOOKUP(C837,'חד גזעי'!$AH$2:$AH$33,1,FALSE),SUM(J837:M837)),0),SUM(J837:M837))),IF('חד גזעי'!$AM$5="כן",IF(_xlfn.IFNA(VLOOKUP(C837,'חד גזעי'!$AH$2:$AH$33,1,FALSE),SUM(J837:M837))&lt;21,_xlfn.IFNA(VLOOKUP(C837,'חד גזעי'!$AH$2:$AH$33,1,FALSE),SUM(J837:M837)),0),SUM(J837:M837)))</f>
        <v>#N/A</v>
      </c>
      <c r="O837" s="72">
        <f>IF('חד גזעי'!$AM$3 = "כן",IF(T837&gt;4,4,T837),T837)</f>
        <v>0</v>
      </c>
      <c r="P837" s="80">
        <f>IF(E837&lt;2,0,IF(Z837&gt;0,Z837,IF(N837 = 0,0,IF('חד גזעי'!$AM$2 = "לא",IF(F837&gt;19,W837,0),IF(F837&gt;9,Y837,0)))))</f>
        <v>0</v>
      </c>
      <c r="Q837" s="77"/>
      <c r="R837" s="75"/>
      <c r="S837" t="e">
        <f>VLOOKUP(C837,'חד גזעי'!$Y$4:$Y$18,1,0)</f>
        <v>#N/A</v>
      </c>
      <c r="T837" s="72">
        <f>IF('חד גזעי'!$AM$6="לא",IF(P837=0,IF(BC837="שימור",IF('חד גזעי'!$AM$4="לא",IF(BC837="לא בוגר",0,IF(BC837="לא קיים",0,IF(J837=0,0,I837*0.1))),IF(BC837="לא בוגר",0,IF(BC837="לא קיים",0,IF(AB837=1,I837*0.1,E837*0.5)))),0),IF('חד גזעי'!$AM$4="לא",IF(BC837="לא בוגר",0,IF(BC837="לא קיים",0,IF(J837=0,0,I837*0.1))),IF(BC837="לא בוגר",0,IF(BC837="לא קיים",0,IF(AB837=1,I837*0.1,E837*0.5))))),IF(P837=0,IF(BC837="שימור",IF('חד גזעי'!$AM$4="לא",IF(BC837="לא בוגר",0,IF(BC837="לא קיים",0,IF(J837=0,0,I837*0.15))),IF(BC837="לא בוגר",0,IF(BC837="לא קיים",0,IF(AB837=1,I837*0.15,E837*0.5)))),0),IF('חד גזעי'!$AM$4="לא",IF(BC837="לא בוגר",0,IF(BC837="לא קיים",0,IF(J837=0,0,I837*0.15))),IF(BC837="לא בוגר",0,IF(BC837="לא קיים",0,IF(AB837=1,I837*0.15,E837*0.5))))))</f>
        <v>0</v>
      </c>
      <c r="V837" t="e">
        <f t="shared" si="818"/>
        <v>#N/A</v>
      </c>
      <c r="W837" t="e">
        <f t="shared" si="819"/>
        <v>#N/A</v>
      </c>
      <c r="X837" t="e">
        <f t="shared" si="820"/>
        <v>#N/A</v>
      </c>
      <c r="Y837">
        <f>IF('חד גזעי'!$AM$2 = "לא",0,IF(F837&gt;9,W837,0))</f>
        <v>0</v>
      </c>
      <c r="Z837">
        <f>IF('חד גזעי'!$AM$7 = "לא",0,IF(C837 = "זית אירופי",IF('חד גזעי'!$AN$7 &lt;=סקר!F837,W837,0),IF(C837 = "חרוב מצוי",IF('חד גזעי'!$AN$7 &lt;=סקר!F837,W837,0),0)))</f>
        <v>0</v>
      </c>
      <c r="AB837">
        <f t="shared" si="881"/>
        <v>1</v>
      </c>
      <c r="AC837" s="72"/>
      <c r="AD837" t="e">
        <f t="shared" si="899"/>
        <v>#N/A</v>
      </c>
      <c r="AE837" s="72"/>
      <c r="AF837" s="72" t="e">
        <f t="shared" si="882"/>
        <v>#N/A</v>
      </c>
      <c r="AG837" s="72" t="e">
        <f>IF('חד גזעי'!$AM$5="לא",(VLOOKUP(C837,'חד גזעי'!$P$1:$S$589,3,FALSE)),(VLOOKUP(C837,'חד גזעי'!$P$1:$S$589,4,FALSE)))</f>
        <v>#N/A</v>
      </c>
      <c r="AH837" s="72">
        <f t="shared" si="883"/>
        <v>0</v>
      </c>
      <c r="AI837" s="72">
        <f t="shared" si="884"/>
        <v>0</v>
      </c>
      <c r="AJ837" s="72">
        <f t="shared" si="885"/>
        <v>0</v>
      </c>
      <c r="AK837" s="72" t="e">
        <f t="shared" si="886"/>
        <v>#N/A</v>
      </c>
      <c r="AL837" t="e">
        <f>VLOOKUP(C837,'חד גזעי'!$AH$8:$AI$33,2,FALSE)</f>
        <v>#N/A</v>
      </c>
      <c r="AM837" s="72" t="b">
        <f t="shared" si="887"/>
        <v>0</v>
      </c>
      <c r="AN837" s="72" t="b">
        <f t="shared" si="888"/>
        <v>0</v>
      </c>
      <c r="AO837" s="72" t="b">
        <f t="shared" si="889"/>
        <v>0</v>
      </c>
      <c r="AS837" s="72">
        <f t="shared" si="890"/>
        <v>0</v>
      </c>
      <c r="AT837" s="72">
        <f t="shared" si="891"/>
        <v>0</v>
      </c>
      <c r="AU837" s="72">
        <f t="shared" si="900"/>
        <v>0</v>
      </c>
      <c r="AV837" s="72">
        <f t="shared" si="892"/>
        <v>0</v>
      </c>
      <c r="AW837" s="72">
        <f t="shared" si="893"/>
        <v>0</v>
      </c>
      <c r="AX837" s="72">
        <f t="shared" si="894"/>
        <v>0</v>
      </c>
      <c r="AY837" s="72">
        <f t="shared" si="895"/>
        <v>0</v>
      </c>
      <c r="AZ837" s="72">
        <f t="shared" si="896"/>
        <v>0</v>
      </c>
      <c r="BA837" s="72" t="e">
        <f t="shared" si="897"/>
        <v>#N/A</v>
      </c>
      <c r="BB837" s="72" t="e">
        <f t="shared" si="898"/>
        <v>#N/A</v>
      </c>
      <c r="BC837" s="77"/>
      <c r="BE837">
        <f t="shared" si="878"/>
        <v>0</v>
      </c>
      <c r="BF837" s="196"/>
      <c r="BG837" s="196"/>
      <c r="BH837" s="196"/>
      <c r="BI837" s="196"/>
      <c r="BJ837" s="196"/>
      <c r="BK837" s="196"/>
    </row>
    <row r="838" spans="2:63" hidden="1">
      <c r="B838" s="72"/>
      <c r="C838" s="135"/>
      <c r="D838" s="73"/>
      <c r="E838" s="73"/>
      <c r="F838" s="72"/>
      <c r="G838" s="72"/>
      <c r="H838" s="72"/>
      <c r="I838" s="73">
        <f t="shared" si="880"/>
        <v>0</v>
      </c>
      <c r="J838" s="73"/>
      <c r="K838" s="73"/>
      <c r="L838" s="74" t="e">
        <f>_xlfn.IFNA(VLOOKUP(C838,'חד גזעי'!$U$3:$V$509,2,0),VLOOKUP(C838,'חד גזעי'!$U$3:$V$509,2))</f>
        <v>#N/A</v>
      </c>
      <c r="M838" s="73"/>
      <c r="N838" s="72" t="e">
        <f>_xlfn.IFNA(IF(VLOOKUP(C838,'חד גזעי'!$AH$2:$AH$7,1,FALSE)&gt;0,0,IF('חד גזעי'!$AM$5="כן",IF(_xlfn.IFNA(VLOOKUP(C838,'חד גזעי'!$AH$2:$AH$33,1,FALSE),SUM(J838:M838))&lt;21,_xlfn.IFNA(VLOOKUP(C838,'חד גזעי'!$AH$2:$AH$33,1,FALSE),SUM(J838:M838)),0),SUM(J838:M838))),IF('חד גזעי'!$AM$5="כן",IF(_xlfn.IFNA(VLOOKUP(C838,'חד גזעי'!$AH$2:$AH$33,1,FALSE),SUM(J838:M838))&lt;21,_xlfn.IFNA(VLOOKUP(C838,'חד גזעי'!$AH$2:$AH$33,1,FALSE),SUM(J838:M838)),0),SUM(J838:M838)))</f>
        <v>#N/A</v>
      </c>
      <c r="O838" s="72">
        <f>IF('חד גזעי'!$AM$3 = "כן",IF(T838&gt;4,4,T838),T838)</f>
        <v>0</v>
      </c>
      <c r="P838" s="80">
        <f>IF(E838&lt;2,0,IF(Z838&gt;0,Z838,IF(N838 = 0,0,IF('חד גזעי'!$AM$2 = "לא",IF(F838&gt;19,W838,0),IF(F838&gt;9,Y838,0)))))</f>
        <v>0</v>
      </c>
      <c r="Q838" s="77"/>
      <c r="R838" s="75"/>
      <c r="S838" t="e">
        <f>VLOOKUP(C838,'חד גזעי'!$Y$4:$Y$18,1,0)</f>
        <v>#N/A</v>
      </c>
      <c r="T838" s="72">
        <f>IF('חד גזעי'!$AM$6="לא",IF(P838=0,IF(BC838="שימור",IF('חד גזעי'!$AM$4="לא",IF(BC838="לא בוגר",0,IF(BC838="לא קיים",0,IF(J838=0,0,I838*0.1))),IF(BC838="לא בוגר",0,IF(BC838="לא קיים",0,IF(AB838=1,I838*0.1,E838*0.5)))),0),IF('חד גזעי'!$AM$4="לא",IF(BC838="לא בוגר",0,IF(BC838="לא קיים",0,IF(J838=0,0,I838*0.1))),IF(BC838="לא בוגר",0,IF(BC838="לא קיים",0,IF(AB838=1,I838*0.1,E838*0.5))))),IF(P838=0,IF(BC838="שימור",IF('חד גזעי'!$AM$4="לא",IF(BC838="לא בוגר",0,IF(BC838="לא קיים",0,IF(J838=0,0,I838*0.15))),IF(BC838="לא בוגר",0,IF(BC838="לא קיים",0,IF(AB838=1,I838*0.15,E838*0.5)))),0),IF('חד גזעי'!$AM$4="לא",IF(BC838="לא בוגר",0,IF(BC838="לא קיים",0,IF(J838=0,0,I838*0.15))),IF(BC838="לא בוגר",0,IF(BC838="לא קיים",0,IF(AB838=1,I838*0.15,E838*0.5))))))</f>
        <v>0</v>
      </c>
      <c r="V838" t="e">
        <f t="shared" si="818"/>
        <v>#N/A</v>
      </c>
      <c r="W838" t="e">
        <f t="shared" si="819"/>
        <v>#N/A</v>
      </c>
      <c r="X838" t="e">
        <f t="shared" si="820"/>
        <v>#N/A</v>
      </c>
      <c r="Y838">
        <f>IF('חד גזעי'!$AM$2 = "לא",0,IF(F838&gt;9,W838,0))</f>
        <v>0</v>
      </c>
      <c r="Z838">
        <f>IF('חד גזעי'!$AM$7 = "לא",0,IF(C838 = "זית אירופי",IF('חד גזעי'!$AN$7 &lt;=סקר!F838,W838,0),IF(C838 = "חרוב מצוי",IF('חד גזעי'!$AN$7 &lt;=סקר!F838,W838,0),0)))</f>
        <v>0</v>
      </c>
      <c r="AB838">
        <f t="shared" si="881"/>
        <v>1</v>
      </c>
      <c r="AC838" s="72"/>
      <c r="AD838" t="e">
        <f t="shared" si="899"/>
        <v>#N/A</v>
      </c>
      <c r="AE838" s="72"/>
      <c r="AF838" s="72" t="e">
        <f t="shared" si="882"/>
        <v>#N/A</v>
      </c>
      <c r="AG838" s="72" t="e">
        <f>IF('חד גזעי'!$AM$5="לא",(VLOOKUP(C838,'חד גזעי'!$P$1:$S$589,3,FALSE)),(VLOOKUP(C838,'חד גזעי'!$P$1:$S$589,4,FALSE)))</f>
        <v>#N/A</v>
      </c>
      <c r="AH838" s="72">
        <f t="shared" si="883"/>
        <v>0</v>
      </c>
      <c r="AI838" s="72">
        <f t="shared" si="884"/>
        <v>0</v>
      </c>
      <c r="AJ838" s="72">
        <f t="shared" si="885"/>
        <v>0</v>
      </c>
      <c r="AK838" s="72" t="e">
        <f t="shared" si="886"/>
        <v>#N/A</v>
      </c>
      <c r="AL838" t="e">
        <f>VLOOKUP(C838,'חד גזעי'!$AH$8:$AI$33,2,FALSE)</f>
        <v>#N/A</v>
      </c>
      <c r="AM838" s="72" t="b">
        <f t="shared" si="887"/>
        <v>0</v>
      </c>
      <c r="AN838" s="72" t="b">
        <f t="shared" si="888"/>
        <v>0</v>
      </c>
      <c r="AO838" s="72" t="b">
        <f t="shared" si="889"/>
        <v>0</v>
      </c>
      <c r="AS838" s="72">
        <f t="shared" si="890"/>
        <v>0</v>
      </c>
      <c r="AT838" s="72">
        <f t="shared" si="891"/>
        <v>0</v>
      </c>
      <c r="AU838" s="72">
        <f t="shared" si="900"/>
        <v>0</v>
      </c>
      <c r="AV838" s="72">
        <f t="shared" si="892"/>
        <v>0</v>
      </c>
      <c r="AW838" s="72">
        <f t="shared" si="893"/>
        <v>0</v>
      </c>
      <c r="AX838" s="72">
        <f t="shared" si="894"/>
        <v>0</v>
      </c>
      <c r="AY838" s="72">
        <f t="shared" si="895"/>
        <v>0</v>
      </c>
      <c r="AZ838" s="72">
        <f t="shared" si="896"/>
        <v>0</v>
      </c>
      <c r="BA838" s="72" t="e">
        <f t="shared" si="897"/>
        <v>#N/A</v>
      </c>
      <c r="BB838" s="72" t="e">
        <f t="shared" si="898"/>
        <v>#N/A</v>
      </c>
      <c r="BC838" s="77"/>
      <c r="BE838">
        <f t="shared" si="878"/>
        <v>0</v>
      </c>
      <c r="BF838" s="196"/>
      <c r="BG838" s="196"/>
      <c r="BH838" s="196"/>
      <c r="BI838" s="196"/>
      <c r="BJ838" s="196"/>
      <c r="BK838" s="196"/>
    </row>
    <row r="839" spans="2:63" hidden="1">
      <c r="B839" s="72"/>
      <c r="C839" s="135"/>
      <c r="D839" s="73"/>
      <c r="E839" s="73"/>
      <c r="F839" s="72"/>
      <c r="G839" s="72"/>
      <c r="H839" s="72"/>
      <c r="I839" s="73">
        <f t="shared" si="880"/>
        <v>0</v>
      </c>
      <c r="J839" s="73"/>
      <c r="K839" s="73"/>
      <c r="L839" s="74" t="e">
        <f>_xlfn.IFNA(VLOOKUP(C839,'חד גזעי'!$U$3:$V$509,2,0),VLOOKUP(C839,'חד גזעי'!$U$3:$V$509,2))</f>
        <v>#N/A</v>
      </c>
      <c r="M839" s="73"/>
      <c r="N839" s="72" t="e">
        <f>_xlfn.IFNA(IF(VLOOKUP(C839,'חד גזעי'!$AH$2:$AH$7,1,FALSE)&gt;0,0,IF('חד גזעי'!$AM$5="כן",IF(_xlfn.IFNA(VLOOKUP(C839,'חד גזעי'!$AH$2:$AH$33,1,FALSE),SUM(J839:M839))&lt;21,_xlfn.IFNA(VLOOKUP(C839,'חד גזעי'!$AH$2:$AH$33,1,FALSE),SUM(J839:M839)),0),SUM(J839:M839))),IF('חד גזעי'!$AM$5="כן",IF(_xlfn.IFNA(VLOOKUP(C839,'חד גזעי'!$AH$2:$AH$33,1,FALSE),SUM(J839:M839))&lt;21,_xlfn.IFNA(VLOOKUP(C839,'חד גזעי'!$AH$2:$AH$33,1,FALSE),SUM(J839:M839)),0),SUM(J839:M839)))</f>
        <v>#N/A</v>
      </c>
      <c r="O839" s="72">
        <f>IF('חד גזעי'!$AM$3 = "כן",IF(T839&gt;4,4,T839),T839)</f>
        <v>0</v>
      </c>
      <c r="P839" s="80">
        <f>IF(E839&lt;2,0,IF(Z839&gt;0,Z839,IF(N839 = 0,0,IF('חד גזעי'!$AM$2 = "לא",IF(F839&gt;19,W839,0),IF(F839&gt;9,Y839,0)))))</f>
        <v>0</v>
      </c>
      <c r="Q839" s="77"/>
      <c r="R839" s="75"/>
      <c r="S839" t="e">
        <f>VLOOKUP(C839,'חד גזעי'!$Y$4:$Y$18,1,0)</f>
        <v>#N/A</v>
      </c>
      <c r="T839" s="72">
        <f>IF('חד גזעי'!$AM$6="לא",IF(P839=0,IF(BC839="שימור",IF('חד גזעי'!$AM$4="לא",IF(BC839="לא בוגר",0,IF(BC839="לא קיים",0,IF(J839=0,0,I839*0.1))),IF(BC839="לא בוגר",0,IF(BC839="לא קיים",0,IF(AB839=1,I839*0.1,E839*0.5)))),0),IF('חד גזעי'!$AM$4="לא",IF(BC839="לא בוגר",0,IF(BC839="לא קיים",0,IF(J839=0,0,I839*0.1))),IF(BC839="לא בוגר",0,IF(BC839="לא קיים",0,IF(AB839=1,I839*0.1,E839*0.5))))),IF(P839=0,IF(BC839="שימור",IF('חד גזעי'!$AM$4="לא",IF(BC839="לא בוגר",0,IF(BC839="לא קיים",0,IF(J839=0,0,I839*0.15))),IF(BC839="לא בוגר",0,IF(BC839="לא קיים",0,IF(AB839=1,I839*0.15,E839*0.5)))),0),IF('חד גזעי'!$AM$4="לא",IF(BC839="לא בוגר",0,IF(BC839="לא קיים",0,IF(J839=0,0,I839*0.15))),IF(BC839="לא בוגר",0,IF(BC839="לא קיים",0,IF(AB839=1,I839*0.15,E839*0.5))))))</f>
        <v>0</v>
      </c>
      <c r="V839" t="e">
        <f t="shared" si="818"/>
        <v>#N/A</v>
      </c>
      <c r="W839" t="e">
        <f t="shared" si="819"/>
        <v>#N/A</v>
      </c>
      <c r="X839" t="e">
        <f t="shared" si="820"/>
        <v>#N/A</v>
      </c>
      <c r="Y839">
        <f>IF('חד גזעי'!$AM$2 = "לא",0,IF(F839&gt;9,W839,0))</f>
        <v>0</v>
      </c>
      <c r="Z839">
        <f>IF('חד גזעי'!$AM$7 = "לא",0,IF(C839 = "זית אירופי",IF('חד גזעי'!$AN$7 &lt;=סקר!F839,W839,0),IF(C839 = "חרוב מצוי",IF('חד גזעי'!$AN$7 &lt;=סקר!F839,W839,0),0)))</f>
        <v>0</v>
      </c>
      <c r="AB839">
        <f t="shared" si="881"/>
        <v>1</v>
      </c>
      <c r="AC839" s="72"/>
      <c r="AD839" t="e">
        <f t="shared" si="899"/>
        <v>#N/A</v>
      </c>
      <c r="AE839" s="72"/>
      <c r="AF839" s="72" t="e">
        <f t="shared" si="882"/>
        <v>#N/A</v>
      </c>
      <c r="AG839" s="72" t="e">
        <f>IF('חד גזעי'!$AM$5="לא",(VLOOKUP(C839,'חד גזעי'!$P$1:$S$589,3,FALSE)),(VLOOKUP(C839,'חד גזעי'!$P$1:$S$589,4,FALSE)))</f>
        <v>#N/A</v>
      </c>
      <c r="AH839" s="72">
        <f t="shared" si="883"/>
        <v>0</v>
      </c>
      <c r="AI839" s="72">
        <f t="shared" si="884"/>
        <v>0</v>
      </c>
      <c r="AJ839" s="72">
        <f t="shared" si="885"/>
        <v>0</v>
      </c>
      <c r="AK839" s="72" t="e">
        <f t="shared" si="886"/>
        <v>#N/A</v>
      </c>
      <c r="AL839" t="e">
        <f>VLOOKUP(C839,'חד גזעי'!$AH$8:$AI$33,2,FALSE)</f>
        <v>#N/A</v>
      </c>
      <c r="AM839" s="72" t="b">
        <f t="shared" si="887"/>
        <v>0</v>
      </c>
      <c r="AN839" s="72" t="b">
        <f t="shared" si="888"/>
        <v>0</v>
      </c>
      <c r="AO839" s="72" t="b">
        <f t="shared" si="889"/>
        <v>0</v>
      </c>
      <c r="AS839" s="72">
        <f t="shared" si="890"/>
        <v>0</v>
      </c>
      <c r="AT839" s="72">
        <f t="shared" si="891"/>
        <v>0</v>
      </c>
      <c r="AU839" s="72">
        <f t="shared" si="900"/>
        <v>0</v>
      </c>
      <c r="AV839" s="72">
        <f t="shared" si="892"/>
        <v>0</v>
      </c>
      <c r="AW839" s="72">
        <f t="shared" si="893"/>
        <v>0</v>
      </c>
      <c r="AX839" s="72">
        <f t="shared" si="894"/>
        <v>0</v>
      </c>
      <c r="AY839" s="72">
        <f t="shared" si="895"/>
        <v>0</v>
      </c>
      <c r="AZ839" s="72">
        <f t="shared" si="896"/>
        <v>0</v>
      </c>
      <c r="BA839" s="72" t="e">
        <f t="shared" si="897"/>
        <v>#N/A</v>
      </c>
      <c r="BB839" s="72" t="e">
        <f t="shared" si="898"/>
        <v>#N/A</v>
      </c>
      <c r="BC839" s="77"/>
      <c r="BE839">
        <f t="shared" si="878"/>
        <v>0</v>
      </c>
      <c r="BF839" s="196"/>
      <c r="BG839" s="196"/>
      <c r="BH839" s="196"/>
      <c r="BI839" s="196"/>
      <c r="BJ839" s="196"/>
      <c r="BK839" s="196"/>
    </row>
    <row r="840" spans="2:63" hidden="1">
      <c r="B840" s="72"/>
      <c r="C840" s="135"/>
      <c r="D840" s="78"/>
      <c r="E840" s="73"/>
      <c r="F840" s="72"/>
      <c r="G840" s="72"/>
      <c r="H840" s="72"/>
      <c r="I840" s="73">
        <f t="shared" si="880"/>
        <v>0</v>
      </c>
      <c r="J840" s="78"/>
      <c r="K840" s="73"/>
      <c r="L840" s="74" t="e">
        <f>_xlfn.IFNA(VLOOKUP(C840,'חד גזעי'!$U$3:$V$509,2,0),VLOOKUP(C840,'חד גזעי'!$U$3:$V$509,2))</f>
        <v>#N/A</v>
      </c>
      <c r="M840" s="73"/>
      <c r="N840" s="72" t="e">
        <f>_xlfn.IFNA(IF(VLOOKUP(C840,'חד גזעי'!$AH$2:$AH$7,1,FALSE)&gt;0,0,IF('חד גזעי'!$AM$5="כן",IF(_xlfn.IFNA(VLOOKUP(C840,'חד גזעי'!$AH$2:$AH$33,1,FALSE),SUM(J840:M840))&lt;21,_xlfn.IFNA(VLOOKUP(C840,'חד גזעי'!$AH$2:$AH$33,1,FALSE),SUM(J840:M840)),0),SUM(J840:M840))),IF('חד גזעי'!$AM$5="כן",IF(_xlfn.IFNA(VLOOKUP(C840,'חד גזעי'!$AH$2:$AH$33,1,FALSE),SUM(J840:M840))&lt;21,_xlfn.IFNA(VLOOKUP(C840,'חד גזעי'!$AH$2:$AH$33,1,FALSE),SUM(J840:M840)),0),SUM(J840:M840)))</f>
        <v>#N/A</v>
      </c>
      <c r="O840" s="72">
        <f>IF('חד גזעי'!$AM$3 = "כן",IF(T840&gt;4,4,T840),T840)</f>
        <v>0</v>
      </c>
      <c r="P840" s="80">
        <f>IF(E840&lt;2,0,IF(Z840&gt;0,Z840,IF(N840 = 0,0,IF('חד גזעי'!$AM$2 = "לא",IF(F840&gt;19,W840,0),IF(F840&gt;9,Y840,0)))))</f>
        <v>0</v>
      </c>
      <c r="Q840" s="77"/>
      <c r="R840" s="75"/>
      <c r="S840" t="e">
        <f>VLOOKUP(C840,'חד גזעי'!$Y$4:$Y$18,1,0)</f>
        <v>#N/A</v>
      </c>
      <c r="T840" s="72">
        <f>IF('חד גזעי'!$AM$6="לא",IF(P840=0,IF(BC840="שימור",IF('חד גזעי'!$AM$4="לא",IF(BC840="לא בוגר",0,IF(BC840="לא קיים",0,IF(J840=0,0,I840*0.1))),IF(BC840="לא בוגר",0,IF(BC840="לא קיים",0,IF(AB840=1,I840*0.1,E840*0.5)))),0),IF('חד גזעי'!$AM$4="לא",IF(BC840="לא בוגר",0,IF(BC840="לא קיים",0,IF(J840=0,0,I840*0.1))),IF(BC840="לא בוגר",0,IF(BC840="לא קיים",0,IF(AB840=1,I840*0.1,E840*0.5))))),IF(P840=0,IF(BC840="שימור",IF('חד גזעי'!$AM$4="לא",IF(BC840="לא בוגר",0,IF(BC840="לא קיים",0,IF(J840=0,0,I840*0.15))),IF(BC840="לא בוגר",0,IF(BC840="לא קיים",0,IF(AB840=1,I840*0.15,E840*0.5)))),0),IF('חד גזעי'!$AM$4="לא",IF(BC840="לא בוגר",0,IF(BC840="לא קיים",0,IF(J840=0,0,I840*0.15))),IF(BC840="לא בוגר",0,IF(BC840="לא קיים",0,IF(AB840=1,I840*0.15,E840*0.5))))))</f>
        <v>0</v>
      </c>
      <c r="V840" t="e">
        <f t="shared" si="818"/>
        <v>#N/A</v>
      </c>
      <c r="W840" t="e">
        <f t="shared" si="819"/>
        <v>#N/A</v>
      </c>
      <c r="X840" t="e">
        <f t="shared" si="820"/>
        <v>#N/A</v>
      </c>
      <c r="Y840">
        <f>IF('חד גזעי'!$AM$2 = "לא",0,IF(F840&gt;9,W840,0))</f>
        <v>0</v>
      </c>
      <c r="Z840">
        <f>IF('חד גזעי'!$AM$7 = "לא",0,IF(C840 = "זית אירופי",IF('חד גזעי'!$AN$7 &lt;=סקר!F840,W840,0),IF(C840 = "חרוב מצוי",IF('חד גזעי'!$AN$7 &lt;=סקר!F840,W840,0),0)))</f>
        <v>0</v>
      </c>
      <c r="AB840">
        <f t="shared" si="881"/>
        <v>1</v>
      </c>
      <c r="AC840" s="72"/>
      <c r="AD840" t="e">
        <f t="shared" si="899"/>
        <v>#N/A</v>
      </c>
      <c r="AE840" s="72"/>
      <c r="AF840" s="72" t="e">
        <f t="shared" si="882"/>
        <v>#N/A</v>
      </c>
      <c r="AG840" s="72" t="e">
        <f>IF('חד גזעי'!$AM$5="לא",(VLOOKUP(C840,'חד גזעי'!$P$1:$S$589,3,FALSE)),(VLOOKUP(C840,'חד גזעי'!$P$1:$S$589,4,FALSE)))</f>
        <v>#N/A</v>
      </c>
      <c r="AH840" s="72">
        <f t="shared" si="883"/>
        <v>0</v>
      </c>
      <c r="AI840" s="72">
        <f t="shared" si="884"/>
        <v>0</v>
      </c>
      <c r="AJ840" s="72">
        <f t="shared" si="885"/>
        <v>0</v>
      </c>
      <c r="AK840" s="72" t="e">
        <f t="shared" si="886"/>
        <v>#N/A</v>
      </c>
      <c r="AL840" t="e">
        <f>VLOOKUP(C840,'חד גזעי'!$AH$8:$AI$33,2,FALSE)</f>
        <v>#N/A</v>
      </c>
      <c r="AM840" s="72" t="b">
        <f t="shared" si="887"/>
        <v>0</v>
      </c>
      <c r="AN840" s="72" t="b">
        <f t="shared" si="888"/>
        <v>0</v>
      </c>
      <c r="AO840" s="72" t="b">
        <f t="shared" si="889"/>
        <v>0</v>
      </c>
      <c r="AS840" s="72">
        <f t="shared" si="890"/>
        <v>0</v>
      </c>
      <c r="AT840" s="72">
        <f t="shared" si="891"/>
        <v>0</v>
      </c>
      <c r="AU840" s="72">
        <f t="shared" si="900"/>
        <v>0</v>
      </c>
      <c r="AV840" s="72">
        <f t="shared" si="892"/>
        <v>0</v>
      </c>
      <c r="AW840" s="72">
        <f t="shared" si="893"/>
        <v>0</v>
      </c>
      <c r="AX840" s="72">
        <f t="shared" si="894"/>
        <v>0</v>
      </c>
      <c r="AY840" s="72">
        <f t="shared" si="895"/>
        <v>0</v>
      </c>
      <c r="AZ840" s="72">
        <f t="shared" si="896"/>
        <v>0</v>
      </c>
      <c r="BA840" s="72" t="e">
        <f t="shared" si="897"/>
        <v>#N/A</v>
      </c>
      <c r="BB840" s="72" t="e">
        <f t="shared" si="898"/>
        <v>#N/A</v>
      </c>
      <c r="BC840" s="77"/>
      <c r="BE840">
        <f t="shared" si="878"/>
        <v>0</v>
      </c>
      <c r="BF840" s="196"/>
      <c r="BG840" s="196"/>
      <c r="BH840" s="196"/>
      <c r="BI840" s="196"/>
      <c r="BJ840" s="196"/>
      <c r="BK840" s="196"/>
    </row>
    <row r="841" spans="2:63" hidden="1">
      <c r="B841" s="72"/>
      <c r="C841" s="135"/>
      <c r="D841" s="78"/>
      <c r="E841" s="73"/>
      <c r="F841" s="72"/>
      <c r="G841" s="72"/>
      <c r="H841" s="72"/>
      <c r="I841" s="73">
        <f t="shared" si="880"/>
        <v>0</v>
      </c>
      <c r="J841" s="78"/>
      <c r="K841" s="73"/>
      <c r="L841" s="74" t="e">
        <f>_xlfn.IFNA(VLOOKUP(C841,'חד גזעי'!$U$3:$V$509,2,0),VLOOKUP(C841,'חד גזעי'!$U$3:$V$509,2))</f>
        <v>#N/A</v>
      </c>
      <c r="M841" s="73"/>
      <c r="N841" s="72" t="e">
        <f>_xlfn.IFNA(IF(VLOOKUP(C841,'חד גזעי'!$AH$2:$AH$7,1,FALSE)&gt;0,0,IF('חד גזעי'!$AM$5="כן",IF(_xlfn.IFNA(VLOOKUP(C841,'חד גזעי'!$AH$2:$AH$33,1,FALSE),SUM(J841:M841))&lt;21,_xlfn.IFNA(VLOOKUP(C841,'חד גזעי'!$AH$2:$AH$33,1,FALSE),SUM(J841:M841)),0),SUM(J841:M841))),IF('חד גזעי'!$AM$5="כן",IF(_xlfn.IFNA(VLOOKUP(C841,'חד גזעי'!$AH$2:$AH$33,1,FALSE),SUM(J841:M841))&lt;21,_xlfn.IFNA(VLOOKUP(C841,'חד גזעי'!$AH$2:$AH$33,1,FALSE),SUM(J841:M841)),0),SUM(J841:M841)))</f>
        <v>#N/A</v>
      </c>
      <c r="O841" s="72">
        <f>IF('חד גזעי'!$AM$3 = "כן",IF(T841&gt;4,4,T841),T841)</f>
        <v>0</v>
      </c>
      <c r="P841" s="80">
        <f>IF(E841&lt;2,0,IF(Z841&gt;0,Z841,IF(N841 = 0,0,IF('חד גזעי'!$AM$2 = "לא",IF(F841&gt;19,W841,0),IF(F841&gt;9,Y841,0)))))</f>
        <v>0</v>
      </c>
      <c r="Q841" s="77"/>
      <c r="R841" s="75"/>
      <c r="S841" t="e">
        <f>VLOOKUP(C841,'חד גזעי'!$Y$4:$Y$18,1,0)</f>
        <v>#N/A</v>
      </c>
      <c r="T841" s="72">
        <f>IF('חד גזעי'!$AM$6="לא",IF(P841=0,IF(BC841="שימור",IF('חד גזעי'!$AM$4="לא",IF(BC841="לא בוגר",0,IF(BC841="לא קיים",0,IF(J841=0,0,I841*0.1))),IF(BC841="לא בוגר",0,IF(BC841="לא קיים",0,IF(AB841=1,I841*0.1,E841*0.5)))),0),IF('חד גזעי'!$AM$4="לא",IF(BC841="לא בוגר",0,IF(BC841="לא קיים",0,IF(J841=0,0,I841*0.1))),IF(BC841="לא בוגר",0,IF(BC841="לא קיים",0,IF(AB841=1,I841*0.1,E841*0.5))))),IF(P841=0,IF(BC841="שימור",IF('חד גזעי'!$AM$4="לא",IF(BC841="לא בוגר",0,IF(BC841="לא קיים",0,IF(J841=0,0,I841*0.15))),IF(BC841="לא בוגר",0,IF(BC841="לא קיים",0,IF(AB841=1,I841*0.15,E841*0.5)))),0),IF('חד גזעי'!$AM$4="לא",IF(BC841="לא בוגר",0,IF(BC841="לא קיים",0,IF(J841=0,0,I841*0.15))),IF(BC841="לא בוגר",0,IF(BC841="לא קיים",0,IF(AB841=1,I841*0.15,E841*0.5))))))</f>
        <v>0</v>
      </c>
      <c r="V841" t="e">
        <f t="shared" si="818"/>
        <v>#N/A</v>
      </c>
      <c r="W841" t="e">
        <f t="shared" si="819"/>
        <v>#N/A</v>
      </c>
      <c r="X841" t="e">
        <f t="shared" si="820"/>
        <v>#N/A</v>
      </c>
      <c r="Y841">
        <f>IF('חד גזעי'!$AM$2 = "לא",0,IF(F841&gt;9,W841,0))</f>
        <v>0</v>
      </c>
      <c r="Z841">
        <f>IF('חד גזעי'!$AM$7 = "לא",0,IF(C841 = "זית אירופי",IF('חד גזעי'!$AN$7 &lt;=סקר!F841,W841,0),IF(C841 = "חרוב מצוי",IF('חד גזעי'!$AN$7 &lt;=סקר!F841,W841,0),0)))</f>
        <v>0</v>
      </c>
      <c r="AB841">
        <f t="shared" si="881"/>
        <v>1</v>
      </c>
      <c r="AC841" s="72"/>
      <c r="AD841" t="e">
        <f t="shared" si="899"/>
        <v>#N/A</v>
      </c>
      <c r="AE841" s="72"/>
      <c r="AF841" s="72" t="e">
        <f t="shared" si="882"/>
        <v>#N/A</v>
      </c>
      <c r="AG841" s="72" t="e">
        <f>IF('חד גזעי'!$AM$5="לא",(VLOOKUP(C841,'חד גזעי'!$P$1:$S$589,3,FALSE)),(VLOOKUP(C841,'חד גזעי'!$P$1:$S$589,4,FALSE)))</f>
        <v>#N/A</v>
      </c>
      <c r="AH841" s="72">
        <f t="shared" si="883"/>
        <v>0</v>
      </c>
      <c r="AI841" s="72">
        <f t="shared" si="884"/>
        <v>0</v>
      </c>
      <c r="AJ841" s="72">
        <f t="shared" si="885"/>
        <v>0</v>
      </c>
      <c r="AK841" s="72" t="e">
        <f t="shared" si="886"/>
        <v>#N/A</v>
      </c>
      <c r="AL841" t="e">
        <f>VLOOKUP(C841,'חד גזעי'!$AH$8:$AI$33,2,FALSE)</f>
        <v>#N/A</v>
      </c>
      <c r="AM841" s="72" t="b">
        <f t="shared" si="887"/>
        <v>0</v>
      </c>
      <c r="AN841" s="72" t="b">
        <f t="shared" si="888"/>
        <v>0</v>
      </c>
      <c r="AO841" s="72" t="b">
        <f t="shared" si="889"/>
        <v>0</v>
      </c>
      <c r="AS841" s="72">
        <f t="shared" si="890"/>
        <v>0</v>
      </c>
      <c r="AT841" s="72">
        <f t="shared" si="891"/>
        <v>0</v>
      </c>
      <c r="AU841" s="72">
        <f t="shared" si="900"/>
        <v>0</v>
      </c>
      <c r="AV841" s="72">
        <f t="shared" si="892"/>
        <v>0</v>
      </c>
      <c r="AW841" s="72">
        <f t="shared" si="893"/>
        <v>0</v>
      </c>
      <c r="AX841" s="72">
        <f t="shared" si="894"/>
        <v>0</v>
      </c>
      <c r="AY841" s="72">
        <f t="shared" si="895"/>
        <v>0</v>
      </c>
      <c r="AZ841" s="72">
        <f t="shared" si="896"/>
        <v>0</v>
      </c>
      <c r="BA841" s="72" t="e">
        <f t="shared" si="897"/>
        <v>#N/A</v>
      </c>
      <c r="BB841" s="72" t="e">
        <f t="shared" si="898"/>
        <v>#N/A</v>
      </c>
      <c r="BC841" s="77"/>
      <c r="BE841">
        <f t="shared" si="878"/>
        <v>0</v>
      </c>
      <c r="BF841" s="196"/>
      <c r="BG841" s="196"/>
      <c r="BH841" s="196"/>
      <c r="BI841" s="196"/>
      <c r="BJ841" s="196"/>
      <c r="BK841" s="196"/>
    </row>
    <row r="842" spans="2:63" hidden="1">
      <c r="B842" s="72"/>
      <c r="C842" s="135"/>
      <c r="D842" s="78"/>
      <c r="E842" s="73"/>
      <c r="F842" s="72"/>
      <c r="G842" s="72"/>
      <c r="H842" s="72"/>
      <c r="I842" s="73">
        <f t="shared" si="880"/>
        <v>0</v>
      </c>
      <c r="J842" s="78"/>
      <c r="K842" s="73"/>
      <c r="L842" s="74" t="e">
        <f>_xlfn.IFNA(VLOOKUP(C842,'חד גזעי'!$U$3:$V$509,2,0),VLOOKUP(C842,'חד גזעי'!$U$3:$V$509,2))</f>
        <v>#N/A</v>
      </c>
      <c r="M842" s="73"/>
      <c r="N842" s="72" t="e">
        <f>_xlfn.IFNA(IF(VLOOKUP(C842,'חד גזעי'!$AH$2:$AH$7,1,FALSE)&gt;0,0,IF('חד גזעי'!$AM$5="כן",IF(_xlfn.IFNA(VLOOKUP(C842,'חד גזעי'!$AH$2:$AH$33,1,FALSE),SUM(J842:M842))&lt;21,_xlfn.IFNA(VLOOKUP(C842,'חד גזעי'!$AH$2:$AH$33,1,FALSE),SUM(J842:M842)),0),SUM(J842:M842))),IF('חד גזעי'!$AM$5="כן",IF(_xlfn.IFNA(VLOOKUP(C842,'חד גזעי'!$AH$2:$AH$33,1,FALSE),SUM(J842:M842))&lt;21,_xlfn.IFNA(VLOOKUP(C842,'חד גזעי'!$AH$2:$AH$33,1,FALSE),SUM(J842:M842)),0),SUM(J842:M842)))</f>
        <v>#N/A</v>
      </c>
      <c r="O842" s="72">
        <f>IF('חד גזעי'!$AM$3 = "כן",IF(T842&gt;4,4,T842),T842)</f>
        <v>0</v>
      </c>
      <c r="P842" s="80">
        <f>IF(E842&lt;2,0,IF(Z842&gt;0,Z842,IF(N842 = 0,0,IF('חד גזעי'!$AM$2 = "לא",IF(F842&gt;19,W842,0),IF(F842&gt;9,Y842,0)))))</f>
        <v>0</v>
      </c>
      <c r="Q842" s="77"/>
      <c r="R842" s="75"/>
      <c r="S842" t="e">
        <f>VLOOKUP(C842,'חד גזעי'!$Y$4:$Y$18,1,0)</f>
        <v>#N/A</v>
      </c>
      <c r="T842" s="72">
        <f>IF('חד גזעי'!$AM$6="לא",IF(P842=0,IF(BC842="שימור",IF('חד גזעי'!$AM$4="לא",IF(BC842="לא בוגר",0,IF(BC842="לא קיים",0,IF(J842=0,0,I842*0.1))),IF(BC842="לא בוגר",0,IF(BC842="לא קיים",0,IF(AB842=1,I842*0.1,E842*0.5)))),0),IF('חד גזעי'!$AM$4="לא",IF(BC842="לא בוגר",0,IF(BC842="לא קיים",0,IF(J842=0,0,I842*0.1))),IF(BC842="לא בוגר",0,IF(BC842="לא קיים",0,IF(AB842=1,I842*0.1,E842*0.5))))),IF(P842=0,IF(BC842="שימור",IF('חד גזעי'!$AM$4="לא",IF(BC842="לא בוגר",0,IF(BC842="לא קיים",0,IF(J842=0,0,I842*0.15))),IF(BC842="לא בוגר",0,IF(BC842="לא קיים",0,IF(AB842=1,I842*0.15,E842*0.5)))),0),IF('חד גזעי'!$AM$4="לא",IF(BC842="לא בוגר",0,IF(BC842="לא קיים",0,IF(J842=0,0,I842*0.15))),IF(BC842="לא בוגר",0,IF(BC842="לא קיים",0,IF(AB842=1,I842*0.15,E842*0.5))))))</f>
        <v>0</v>
      </c>
      <c r="V842" t="e">
        <f t="shared" si="818"/>
        <v>#N/A</v>
      </c>
      <c r="W842" t="e">
        <f t="shared" si="819"/>
        <v>#N/A</v>
      </c>
      <c r="X842" t="e">
        <f t="shared" si="820"/>
        <v>#N/A</v>
      </c>
      <c r="Y842">
        <f>IF('חד גזעי'!$AM$2 = "לא",0,IF(F842&gt;9,W842,0))</f>
        <v>0</v>
      </c>
      <c r="Z842">
        <f>IF('חד גזעי'!$AM$7 = "לא",0,IF(C842 = "זית אירופי",IF('חד גזעי'!$AN$7 &lt;=סקר!F842,W842,0),IF(C842 = "חרוב מצוי",IF('חד גזעי'!$AN$7 &lt;=סקר!F842,W842,0),0)))</f>
        <v>0</v>
      </c>
      <c r="AB842">
        <f t="shared" si="881"/>
        <v>1</v>
      </c>
      <c r="AC842" s="72"/>
      <c r="AD842" t="e">
        <f t="shared" si="899"/>
        <v>#N/A</v>
      </c>
      <c r="AE842" s="72"/>
      <c r="AF842" s="72" t="e">
        <f t="shared" si="882"/>
        <v>#N/A</v>
      </c>
      <c r="AG842" s="72" t="e">
        <f>IF('חד גזעי'!$AM$5="לא",(VLOOKUP(C842,'חד גזעי'!$P$1:$S$589,3,FALSE)),(VLOOKUP(C842,'חד גזעי'!$P$1:$S$589,4,FALSE)))</f>
        <v>#N/A</v>
      </c>
      <c r="AH842" s="72">
        <f t="shared" si="883"/>
        <v>0</v>
      </c>
      <c r="AI842" s="72">
        <f t="shared" si="884"/>
        <v>0</v>
      </c>
      <c r="AJ842" s="72">
        <f t="shared" si="885"/>
        <v>0</v>
      </c>
      <c r="AK842" s="72" t="e">
        <f t="shared" si="886"/>
        <v>#N/A</v>
      </c>
      <c r="AL842" t="e">
        <f>VLOOKUP(C842,'חד גזעי'!$AH$8:$AI$33,2,FALSE)</f>
        <v>#N/A</v>
      </c>
      <c r="AM842" s="72" t="b">
        <f t="shared" si="887"/>
        <v>0</v>
      </c>
      <c r="AN842" s="72" t="b">
        <f t="shared" si="888"/>
        <v>0</v>
      </c>
      <c r="AO842" s="72" t="b">
        <f t="shared" si="889"/>
        <v>0</v>
      </c>
      <c r="AS842" s="72">
        <f t="shared" si="890"/>
        <v>0</v>
      </c>
      <c r="AT842" s="72">
        <f t="shared" si="891"/>
        <v>0</v>
      </c>
      <c r="AU842" s="72">
        <f t="shared" si="900"/>
        <v>0</v>
      </c>
      <c r="AV842" s="72">
        <f t="shared" si="892"/>
        <v>0</v>
      </c>
      <c r="AW842" s="72">
        <f t="shared" si="893"/>
        <v>0</v>
      </c>
      <c r="AX842" s="72">
        <f t="shared" si="894"/>
        <v>0</v>
      </c>
      <c r="AY842" s="72">
        <f t="shared" si="895"/>
        <v>0</v>
      </c>
      <c r="AZ842" s="72">
        <f t="shared" si="896"/>
        <v>0</v>
      </c>
      <c r="BA842" s="72" t="e">
        <f t="shared" si="897"/>
        <v>#N/A</v>
      </c>
      <c r="BB842" s="72" t="e">
        <f t="shared" si="898"/>
        <v>#N/A</v>
      </c>
      <c r="BC842" s="77"/>
      <c r="BE842">
        <f t="shared" si="878"/>
        <v>0</v>
      </c>
      <c r="BF842" s="196"/>
      <c r="BG842" s="196"/>
      <c r="BH842" s="196"/>
      <c r="BI842" s="196"/>
      <c r="BJ842" s="196"/>
      <c r="BK842" s="196"/>
    </row>
    <row r="843" spans="2:63" hidden="1">
      <c r="B843" s="72"/>
      <c r="C843" s="135"/>
      <c r="D843" s="78"/>
      <c r="E843" s="73"/>
      <c r="F843" s="72"/>
      <c r="G843" s="72"/>
      <c r="H843" s="72"/>
      <c r="I843" s="73">
        <f t="shared" si="880"/>
        <v>0</v>
      </c>
      <c r="J843" s="78"/>
      <c r="K843" s="73"/>
      <c r="L843" s="74" t="e">
        <f>_xlfn.IFNA(VLOOKUP(C843,'חד גזעי'!$U$3:$V$509,2,0),VLOOKUP(C843,'חד גזעי'!$U$3:$V$509,2))</f>
        <v>#N/A</v>
      </c>
      <c r="M843" s="73"/>
      <c r="N843" s="72" t="e">
        <f>_xlfn.IFNA(IF(VLOOKUP(C843,'חד גזעי'!$AH$2:$AH$7,1,FALSE)&gt;0,0,IF('חד גזעי'!$AM$5="כן",IF(_xlfn.IFNA(VLOOKUP(C843,'חד גזעי'!$AH$2:$AH$33,1,FALSE),SUM(J843:M843))&lt;21,_xlfn.IFNA(VLOOKUP(C843,'חד גזעי'!$AH$2:$AH$33,1,FALSE),SUM(J843:M843)),0),SUM(J843:M843))),IF('חד גזעי'!$AM$5="כן",IF(_xlfn.IFNA(VLOOKUP(C843,'חד גזעי'!$AH$2:$AH$33,1,FALSE),SUM(J843:M843))&lt;21,_xlfn.IFNA(VLOOKUP(C843,'חד גזעי'!$AH$2:$AH$33,1,FALSE),SUM(J843:M843)),0),SUM(J843:M843)))</f>
        <v>#N/A</v>
      </c>
      <c r="O843" s="72">
        <f>IF('חד גזעי'!$AM$3 = "כן",IF(T843&gt;4,4,T843),T843)</f>
        <v>0</v>
      </c>
      <c r="P843" s="80">
        <f>IF(E843&lt;2,0,IF(Z843&gt;0,Z843,IF(N843 = 0,0,IF('חד גזעי'!$AM$2 = "לא",IF(F843&gt;19,W843,0),IF(F843&gt;9,Y843,0)))))</f>
        <v>0</v>
      </c>
      <c r="Q843" s="77"/>
      <c r="R843" s="75"/>
      <c r="S843" t="e">
        <f>VLOOKUP(C843,'חד גזעי'!$Y$4:$Y$18,1,0)</f>
        <v>#N/A</v>
      </c>
      <c r="T843" s="72">
        <f>IF('חד גזעי'!$AM$6="לא",IF(P843=0,IF(BC843="שימור",IF('חד גזעי'!$AM$4="לא",IF(BC843="לא בוגר",0,IF(BC843="לא קיים",0,IF(J843=0,0,I843*0.1))),IF(BC843="לא בוגר",0,IF(BC843="לא קיים",0,IF(AB843=1,I843*0.1,E843*0.5)))),0),IF('חד גזעי'!$AM$4="לא",IF(BC843="לא בוגר",0,IF(BC843="לא קיים",0,IF(J843=0,0,I843*0.1))),IF(BC843="לא בוגר",0,IF(BC843="לא קיים",0,IF(AB843=1,I843*0.1,E843*0.5))))),IF(P843=0,IF(BC843="שימור",IF('חד גזעי'!$AM$4="לא",IF(BC843="לא בוגר",0,IF(BC843="לא קיים",0,IF(J843=0,0,I843*0.15))),IF(BC843="לא בוגר",0,IF(BC843="לא קיים",0,IF(AB843=1,I843*0.15,E843*0.5)))),0),IF('חד גזעי'!$AM$4="לא",IF(BC843="לא בוגר",0,IF(BC843="לא קיים",0,IF(J843=0,0,I843*0.15))),IF(BC843="לא בוגר",0,IF(BC843="לא קיים",0,IF(AB843=1,I843*0.15,E843*0.5))))))</f>
        <v>0</v>
      </c>
      <c r="V843" t="e">
        <f t="shared" si="818"/>
        <v>#N/A</v>
      </c>
      <c r="W843" t="e">
        <f t="shared" si="819"/>
        <v>#N/A</v>
      </c>
      <c r="X843" t="e">
        <f t="shared" si="820"/>
        <v>#N/A</v>
      </c>
      <c r="Y843">
        <f>IF('חד גזעי'!$AM$2 = "לא",0,IF(F843&gt;9,W843,0))</f>
        <v>0</v>
      </c>
      <c r="Z843">
        <f>IF('חד גזעי'!$AM$7 = "לא",0,IF(C843 = "זית אירופי",IF('חד גזעי'!$AN$7 &lt;=סקר!F843,W843,0),IF(C843 = "חרוב מצוי",IF('חד גזעי'!$AN$7 &lt;=סקר!F843,W843,0),0)))</f>
        <v>0</v>
      </c>
      <c r="AB843">
        <f t="shared" si="881"/>
        <v>1</v>
      </c>
      <c r="AC843" s="72"/>
      <c r="AD843" t="e">
        <f t="shared" si="899"/>
        <v>#N/A</v>
      </c>
      <c r="AE843" s="72"/>
      <c r="AF843" s="72" t="e">
        <f t="shared" si="882"/>
        <v>#N/A</v>
      </c>
      <c r="AG843" s="72" t="e">
        <f>IF('חד גזעי'!$AM$5="לא",(VLOOKUP(C843,'חד גזעי'!$P$1:$S$589,3,FALSE)),(VLOOKUP(C843,'חד גזעי'!$P$1:$S$589,4,FALSE)))</f>
        <v>#N/A</v>
      </c>
      <c r="AH843" s="72">
        <f t="shared" si="883"/>
        <v>0</v>
      </c>
      <c r="AI843" s="72">
        <f t="shared" si="884"/>
        <v>0</v>
      </c>
      <c r="AJ843" s="72">
        <f t="shared" si="885"/>
        <v>0</v>
      </c>
      <c r="AK843" s="72" t="e">
        <f t="shared" si="886"/>
        <v>#N/A</v>
      </c>
      <c r="AL843" t="e">
        <f>VLOOKUP(C843,'חד גזעי'!$AH$8:$AI$33,2,FALSE)</f>
        <v>#N/A</v>
      </c>
      <c r="AM843" s="72" t="b">
        <f t="shared" si="887"/>
        <v>0</v>
      </c>
      <c r="AN843" s="72" t="b">
        <f t="shared" si="888"/>
        <v>0</v>
      </c>
      <c r="AO843" s="72" t="b">
        <f t="shared" si="889"/>
        <v>0</v>
      </c>
      <c r="AS843" s="72">
        <f t="shared" si="890"/>
        <v>0</v>
      </c>
      <c r="AT843" s="72">
        <f t="shared" si="891"/>
        <v>0</v>
      </c>
      <c r="AU843" s="72">
        <f t="shared" si="900"/>
        <v>0</v>
      </c>
      <c r="AV843" s="72">
        <f t="shared" si="892"/>
        <v>0</v>
      </c>
      <c r="AW843" s="72">
        <f t="shared" si="893"/>
        <v>0</v>
      </c>
      <c r="AX843" s="72">
        <f t="shared" si="894"/>
        <v>0</v>
      </c>
      <c r="AY843" s="72">
        <f t="shared" si="895"/>
        <v>0</v>
      </c>
      <c r="AZ843" s="72">
        <f t="shared" si="896"/>
        <v>0</v>
      </c>
      <c r="BA843" s="72" t="e">
        <f t="shared" si="897"/>
        <v>#N/A</v>
      </c>
      <c r="BB843" s="72" t="e">
        <f t="shared" si="898"/>
        <v>#N/A</v>
      </c>
      <c r="BC843" s="77"/>
      <c r="BE843">
        <f t="shared" si="878"/>
        <v>0</v>
      </c>
      <c r="BF843" s="196"/>
      <c r="BG843" s="196"/>
      <c r="BH843" s="196"/>
      <c r="BI843" s="196"/>
      <c r="BJ843" s="196"/>
      <c r="BK843" s="196"/>
    </row>
    <row r="844" spans="2:63" ht="12.75" hidden="1" customHeight="1">
      <c r="B844" s="72"/>
      <c r="C844" s="135"/>
      <c r="D844" s="78"/>
      <c r="E844" s="78"/>
      <c r="F844" s="72"/>
      <c r="G844" s="72"/>
      <c r="H844" s="72"/>
      <c r="I844" s="73">
        <f t="shared" si="880"/>
        <v>0</v>
      </c>
      <c r="J844" s="78"/>
      <c r="K844" s="73"/>
      <c r="L844" s="74" t="e">
        <f>_xlfn.IFNA(VLOOKUP(C844,'חד גזעי'!$U$3:$V$509,2,0),VLOOKUP(C844,'חד גזעי'!$U$3:$V$509,2))</f>
        <v>#N/A</v>
      </c>
      <c r="M844" s="73"/>
      <c r="N844" s="72" t="e">
        <f>_xlfn.IFNA(IF(VLOOKUP(C844,'חד גזעי'!$AH$2:$AH$7,1,FALSE)&gt;0,0,IF('חד גזעי'!$AM$5="כן",IF(_xlfn.IFNA(VLOOKUP(C844,'חד גזעי'!$AH$2:$AH$33,1,FALSE),SUM(J844:M844))&lt;21,_xlfn.IFNA(VLOOKUP(C844,'חד גזעי'!$AH$2:$AH$33,1,FALSE),SUM(J844:M844)),0),SUM(J844:M844))),IF('חד גזעי'!$AM$5="כן",IF(_xlfn.IFNA(VLOOKUP(C844,'חד גזעי'!$AH$2:$AH$33,1,FALSE),SUM(J844:M844))&lt;21,_xlfn.IFNA(VLOOKUP(C844,'חד גזעי'!$AH$2:$AH$33,1,FALSE),SUM(J844:M844)),0),SUM(J844:M844)))</f>
        <v>#N/A</v>
      </c>
      <c r="O844" s="72">
        <f>IF('חד גזעי'!$AM$3 = "כן",IF(T844&gt;4,4,T844),T844)</f>
        <v>0</v>
      </c>
      <c r="P844" s="80">
        <f>IF(E844&lt;2,0,IF(Z844&gt;0,Z844,IF(N844 = 0,0,IF('חד גזעי'!$AM$2 = "לא",IF(F844&gt;19,W844,0),IF(F844&gt;9,Y844,0)))))</f>
        <v>0</v>
      </c>
      <c r="Q844" s="77"/>
      <c r="R844" s="75"/>
      <c r="S844" t="e">
        <f>VLOOKUP(C844,'חד גזעי'!$Y$4:$Y$18,1,0)</f>
        <v>#N/A</v>
      </c>
      <c r="T844" s="72">
        <f>IF('חד גזעי'!$AM$6="לא",IF(P844=0,IF(BC844="שימור",IF('חד גזעי'!$AM$4="לא",IF(BC844="לא בוגר",0,IF(BC844="לא קיים",0,IF(J844=0,0,I844*0.1))),IF(BC844="לא בוגר",0,IF(BC844="לא קיים",0,IF(AB844=1,I844*0.1,E844*0.5)))),0),IF('חד גזעי'!$AM$4="לא",IF(BC844="לא בוגר",0,IF(BC844="לא קיים",0,IF(J844=0,0,I844*0.1))),IF(BC844="לא בוגר",0,IF(BC844="לא קיים",0,IF(AB844=1,I844*0.1,E844*0.5))))),IF(P844=0,IF(BC844="שימור",IF('חד גזעי'!$AM$4="לא",IF(BC844="לא בוגר",0,IF(BC844="לא קיים",0,IF(J844=0,0,I844*0.15))),IF(BC844="לא בוגר",0,IF(BC844="לא קיים",0,IF(AB844=1,I844*0.15,E844*0.5)))),0),IF('חד גזעי'!$AM$4="לא",IF(BC844="לא בוגר",0,IF(BC844="לא קיים",0,IF(J844=0,0,I844*0.15))),IF(BC844="לא בוגר",0,IF(BC844="לא קיים",0,IF(AB844=1,I844*0.15,E844*0.5))))))</f>
        <v>0</v>
      </c>
      <c r="V844" t="e">
        <f t="shared" ref="V844:V867" si="901">_xlfn.IFNA(AK844,AF844)</f>
        <v>#N/A</v>
      </c>
      <c r="W844" t="e">
        <f t="shared" ref="W844:W867" si="902">IF(D844=0,V844,D844*V844)</f>
        <v>#N/A</v>
      </c>
      <c r="X844" t="e">
        <f t="shared" ref="X844:X867" si="903">IF(N844 = 0,0,Y844)</f>
        <v>#N/A</v>
      </c>
      <c r="Y844">
        <f>IF('חד גזעי'!$AM$2 = "לא",0,IF(F844&gt;9,W844,0))</f>
        <v>0</v>
      </c>
      <c r="Z844">
        <f>IF('חד גזעי'!$AM$7 = "לא",0,IF(C844 = "זית אירופי",IF('חד גזעי'!$AN$7 &lt;=סקר!F844,W844,0),IF(C844 = "חרוב מצוי",IF('חד גזעי'!$AN$7 &lt;=סקר!F844,W844,0),0)))</f>
        <v>0</v>
      </c>
      <c r="AB844">
        <f t="shared" si="881"/>
        <v>1</v>
      </c>
      <c r="AC844" s="72"/>
      <c r="AD844" t="e">
        <f t="shared" si="899"/>
        <v>#N/A</v>
      </c>
      <c r="AE844" s="72"/>
      <c r="AF844" s="72" t="e">
        <f t="shared" si="882"/>
        <v>#N/A</v>
      </c>
      <c r="AG844" s="72" t="e">
        <f>IF('חד גזעי'!$AM$5="לא",(VLOOKUP(C844,'חד גזעי'!$P$1:$S$589,3,FALSE)),(VLOOKUP(C844,'חד גזעי'!$P$1:$S$589,4,FALSE)))</f>
        <v>#N/A</v>
      </c>
      <c r="AH844" s="72">
        <f t="shared" si="883"/>
        <v>0</v>
      </c>
      <c r="AI844" s="72">
        <f t="shared" si="884"/>
        <v>0</v>
      </c>
      <c r="AJ844" s="72">
        <f t="shared" si="885"/>
        <v>0</v>
      </c>
      <c r="AK844" s="72" t="e">
        <f t="shared" si="886"/>
        <v>#N/A</v>
      </c>
      <c r="AL844" t="e">
        <f>VLOOKUP(C844,'חד גזעי'!$AH$8:$AI$33,2,FALSE)</f>
        <v>#N/A</v>
      </c>
      <c r="AM844" s="72" t="b">
        <f t="shared" si="887"/>
        <v>0</v>
      </c>
      <c r="AN844" s="72" t="b">
        <f t="shared" si="888"/>
        <v>0</v>
      </c>
      <c r="AO844" s="72" t="b">
        <f t="shared" si="889"/>
        <v>0</v>
      </c>
      <c r="AS844" s="72">
        <f t="shared" si="890"/>
        <v>0</v>
      </c>
      <c r="AT844" s="72">
        <f t="shared" si="891"/>
        <v>0</v>
      </c>
      <c r="AU844" s="72">
        <f t="shared" si="900"/>
        <v>0</v>
      </c>
      <c r="AV844" s="72">
        <f t="shared" si="892"/>
        <v>0</v>
      </c>
      <c r="AW844" s="72">
        <f t="shared" si="893"/>
        <v>0</v>
      </c>
      <c r="AX844" s="72">
        <f t="shared" si="894"/>
        <v>0</v>
      </c>
      <c r="AY844" s="72">
        <f t="shared" si="895"/>
        <v>0</v>
      </c>
      <c r="AZ844" s="72">
        <f t="shared" si="896"/>
        <v>0</v>
      </c>
      <c r="BA844" s="72" t="e">
        <f t="shared" si="897"/>
        <v>#N/A</v>
      </c>
      <c r="BB844" s="72" t="e">
        <f t="shared" si="898"/>
        <v>#N/A</v>
      </c>
      <c r="BC844" s="77"/>
      <c r="BE844">
        <f t="shared" si="878"/>
        <v>0</v>
      </c>
      <c r="BF844" s="196"/>
      <c r="BG844" s="196"/>
      <c r="BH844" s="196"/>
      <c r="BI844" s="196"/>
      <c r="BJ844" s="196"/>
      <c r="BK844" s="196"/>
    </row>
    <row r="845" spans="2:63" ht="12.75" hidden="1" customHeight="1">
      <c r="B845" s="72"/>
      <c r="C845" s="135"/>
      <c r="D845" s="78"/>
      <c r="E845" s="78"/>
      <c r="F845" s="72"/>
      <c r="G845" s="72"/>
      <c r="H845" s="72"/>
      <c r="I845" s="73">
        <f t="shared" si="880"/>
        <v>0</v>
      </c>
      <c r="J845" s="78"/>
      <c r="K845" s="73"/>
      <c r="L845" s="74" t="e">
        <f>_xlfn.IFNA(VLOOKUP(C845,'חד גזעי'!$U$3:$V$509,2,0),VLOOKUP(C845,'חד גזעי'!$U$3:$V$509,2))</f>
        <v>#N/A</v>
      </c>
      <c r="M845" s="73"/>
      <c r="N845" s="72" t="e">
        <f>_xlfn.IFNA(IF(VLOOKUP(C845,'חד גזעי'!$AH$2:$AH$7,1,FALSE)&gt;0,0,IF('חד גזעי'!$AM$5="כן",IF(_xlfn.IFNA(VLOOKUP(C845,'חד גזעי'!$AH$2:$AH$33,1,FALSE),SUM(J845:M845))&lt;21,_xlfn.IFNA(VLOOKUP(C845,'חד גזעי'!$AH$2:$AH$33,1,FALSE),SUM(J845:M845)),0),SUM(J845:M845))),IF('חד גזעי'!$AM$5="כן",IF(_xlfn.IFNA(VLOOKUP(C845,'חד גזעי'!$AH$2:$AH$33,1,FALSE),SUM(J845:M845))&lt;21,_xlfn.IFNA(VLOOKUP(C845,'חד גזעי'!$AH$2:$AH$33,1,FALSE),SUM(J845:M845)),0),SUM(J845:M845)))</f>
        <v>#N/A</v>
      </c>
      <c r="O845" s="72">
        <f>IF('חד גזעי'!$AM$3 = "כן",IF(T845&gt;4,4,T845),T845)</f>
        <v>0</v>
      </c>
      <c r="P845" s="80">
        <f>IF(E845&lt;2,0,IF(Z845&gt;0,Z845,IF(N845 = 0,0,IF('חד גזעי'!$AM$2 = "לא",IF(F845&gt;19,W845,0),IF(F845&gt;9,Y845,0)))))</f>
        <v>0</v>
      </c>
      <c r="Q845" s="77"/>
      <c r="R845" s="75"/>
      <c r="S845" t="e">
        <f>VLOOKUP(C845,'חד גזעי'!$Y$4:$Y$18,1,0)</f>
        <v>#N/A</v>
      </c>
      <c r="T845" s="72">
        <f>IF('חד גזעי'!$AM$6="לא",IF(P845=0,IF(BC845="שימור",IF('חד גזעי'!$AM$4="לא",IF(BC845="לא בוגר",0,IF(BC845="לא קיים",0,IF(J845=0,0,I845*0.1))),IF(BC845="לא בוגר",0,IF(BC845="לא קיים",0,IF(AB845=1,I845*0.1,E845*0.5)))),0),IF('חד גזעי'!$AM$4="לא",IF(BC845="לא בוגר",0,IF(BC845="לא קיים",0,IF(J845=0,0,I845*0.1))),IF(BC845="לא בוגר",0,IF(BC845="לא קיים",0,IF(AB845=1,I845*0.1,E845*0.5))))),IF(P845=0,IF(BC845="שימור",IF('חד גזעי'!$AM$4="לא",IF(BC845="לא בוגר",0,IF(BC845="לא קיים",0,IF(J845=0,0,I845*0.15))),IF(BC845="לא בוגר",0,IF(BC845="לא קיים",0,IF(AB845=1,I845*0.15,E845*0.5)))),0),IF('חד גזעי'!$AM$4="לא",IF(BC845="לא בוגר",0,IF(BC845="לא קיים",0,IF(J845=0,0,I845*0.15))),IF(BC845="לא בוגר",0,IF(BC845="לא קיים",0,IF(AB845=1,I845*0.15,E845*0.5))))))</f>
        <v>0</v>
      </c>
      <c r="V845" t="e">
        <f t="shared" si="901"/>
        <v>#N/A</v>
      </c>
      <c r="W845" t="e">
        <f t="shared" si="902"/>
        <v>#N/A</v>
      </c>
      <c r="X845" t="e">
        <f t="shared" si="903"/>
        <v>#N/A</v>
      </c>
      <c r="Y845">
        <f>IF('חד גזעי'!$AM$2 = "לא",0,IF(F845&gt;9,W845,0))</f>
        <v>0</v>
      </c>
      <c r="Z845">
        <f>IF('חד גזעי'!$AM$7 = "לא",0,IF(C845 = "זית אירופי",IF('חד גזעי'!$AN$7 &lt;=סקר!F845,W845,0),IF(C845 = "חרוב מצוי",IF('חד גזעי'!$AN$7 &lt;=סקר!F845,W845,0),0)))</f>
        <v>0</v>
      </c>
      <c r="AB845">
        <f t="shared" si="881"/>
        <v>1</v>
      </c>
      <c r="AC845" s="72"/>
      <c r="AD845" t="e">
        <f t="shared" si="899"/>
        <v>#N/A</v>
      </c>
      <c r="AE845" s="72"/>
      <c r="AF845" s="72" t="e">
        <f t="shared" si="882"/>
        <v>#N/A</v>
      </c>
      <c r="AG845" s="72" t="e">
        <f>IF('חד גזעי'!$AM$5="לא",(VLOOKUP(C845,'חד גזעי'!$P$1:$S$589,3,FALSE)),(VLOOKUP(C845,'חד גזעי'!$P$1:$S$589,4,FALSE)))</f>
        <v>#N/A</v>
      </c>
      <c r="AH845" s="72">
        <f t="shared" si="883"/>
        <v>0</v>
      </c>
      <c r="AI845" s="72">
        <f t="shared" si="884"/>
        <v>0</v>
      </c>
      <c r="AJ845" s="72">
        <f t="shared" si="885"/>
        <v>0</v>
      </c>
      <c r="AK845" s="72" t="e">
        <f t="shared" si="886"/>
        <v>#N/A</v>
      </c>
      <c r="AL845" t="e">
        <f>VLOOKUP(C845,'חד גזעי'!$AH$8:$AI$33,2,FALSE)</f>
        <v>#N/A</v>
      </c>
      <c r="AM845" s="72" t="b">
        <f t="shared" si="887"/>
        <v>0</v>
      </c>
      <c r="AN845" s="72" t="b">
        <f t="shared" si="888"/>
        <v>0</v>
      </c>
      <c r="AO845" s="72" t="b">
        <f t="shared" si="889"/>
        <v>0</v>
      </c>
      <c r="AS845" s="72">
        <f t="shared" si="890"/>
        <v>0</v>
      </c>
      <c r="AT845" s="72">
        <f t="shared" si="891"/>
        <v>0</v>
      </c>
      <c r="AU845" s="72">
        <f t="shared" si="900"/>
        <v>0</v>
      </c>
      <c r="AV845" s="72">
        <f t="shared" si="892"/>
        <v>0</v>
      </c>
      <c r="AW845" s="72">
        <f t="shared" si="893"/>
        <v>0</v>
      </c>
      <c r="AX845" s="72">
        <f t="shared" si="894"/>
        <v>0</v>
      </c>
      <c r="AY845" s="72">
        <f t="shared" si="895"/>
        <v>0</v>
      </c>
      <c r="AZ845" s="72">
        <f t="shared" si="896"/>
        <v>0</v>
      </c>
      <c r="BA845" s="72" t="e">
        <f t="shared" si="897"/>
        <v>#N/A</v>
      </c>
      <c r="BB845" s="72" t="e">
        <f t="shared" si="898"/>
        <v>#N/A</v>
      </c>
      <c r="BC845" s="77"/>
      <c r="BE845">
        <f t="shared" si="878"/>
        <v>0</v>
      </c>
      <c r="BF845" s="196"/>
      <c r="BG845" s="196"/>
      <c r="BH845" s="196"/>
      <c r="BI845" s="196"/>
      <c r="BJ845" s="196"/>
      <c r="BK845" s="196"/>
    </row>
    <row r="846" spans="2:63" ht="12.75" hidden="1" customHeight="1">
      <c r="B846" s="72"/>
      <c r="C846" s="135"/>
      <c r="D846" s="78"/>
      <c r="E846" s="78"/>
      <c r="F846" s="72"/>
      <c r="G846" s="72"/>
      <c r="H846" s="72"/>
      <c r="I846" s="73">
        <f t="shared" si="880"/>
        <v>0</v>
      </c>
      <c r="J846" s="78"/>
      <c r="K846" s="73"/>
      <c r="L846" s="74" t="e">
        <f>_xlfn.IFNA(VLOOKUP(C846,'חד גזעי'!$U$3:$V$509,2,0),VLOOKUP(C846,'חד גזעי'!$U$3:$V$509,2))</f>
        <v>#N/A</v>
      </c>
      <c r="M846" s="73"/>
      <c r="N846" s="72" t="e">
        <f>_xlfn.IFNA(IF(VLOOKUP(C846,'חד גזעי'!$AH$2:$AH$7,1,FALSE)&gt;0,0,IF('חד גזעי'!$AM$5="כן",IF(_xlfn.IFNA(VLOOKUP(C846,'חד גזעי'!$AH$2:$AH$33,1,FALSE),SUM(J846:M846))&lt;21,_xlfn.IFNA(VLOOKUP(C846,'חד גזעי'!$AH$2:$AH$33,1,FALSE),SUM(J846:M846)),0),SUM(J846:M846))),IF('חד גזעי'!$AM$5="כן",IF(_xlfn.IFNA(VLOOKUP(C846,'חד גזעי'!$AH$2:$AH$33,1,FALSE),SUM(J846:M846))&lt;21,_xlfn.IFNA(VLOOKUP(C846,'חד גזעי'!$AH$2:$AH$33,1,FALSE),SUM(J846:M846)),0),SUM(J846:M846)))</f>
        <v>#N/A</v>
      </c>
      <c r="O846" s="72">
        <f>IF('חד גזעי'!$AM$3 = "כן",IF(T846&gt;4,4,T846),T846)</f>
        <v>0</v>
      </c>
      <c r="P846" s="80">
        <f>IF(E846&lt;2,0,IF(Z846&gt;0,Z846,IF(N846 = 0,0,IF('חד גזעי'!$AM$2 = "לא",IF(F846&gt;19,W846,0),IF(F846&gt;9,Y846,0)))))</f>
        <v>0</v>
      </c>
      <c r="Q846" s="77"/>
      <c r="R846" s="75"/>
      <c r="S846" t="e">
        <f>VLOOKUP(C846,'חד גזעי'!$Y$4:$Y$18,1,0)</f>
        <v>#N/A</v>
      </c>
      <c r="T846" s="72">
        <f>IF('חד גזעי'!$AM$6="לא",IF(P846=0,IF(BC846="שימור",IF('חד גזעי'!$AM$4="לא",IF(BC846="לא בוגר",0,IF(BC846="לא קיים",0,IF(J846=0,0,I846*0.1))),IF(BC846="לא בוגר",0,IF(BC846="לא קיים",0,IF(AB846=1,I846*0.1,E846*0.5)))),0),IF('חד גזעי'!$AM$4="לא",IF(BC846="לא בוגר",0,IF(BC846="לא קיים",0,IF(J846=0,0,I846*0.1))),IF(BC846="לא בוגר",0,IF(BC846="לא קיים",0,IF(AB846=1,I846*0.1,E846*0.5))))),IF(P846=0,IF(BC846="שימור",IF('חד גזעי'!$AM$4="לא",IF(BC846="לא בוגר",0,IF(BC846="לא קיים",0,IF(J846=0,0,I846*0.15))),IF(BC846="לא בוגר",0,IF(BC846="לא קיים",0,IF(AB846=1,I846*0.15,E846*0.5)))),0),IF('חד גזעי'!$AM$4="לא",IF(BC846="לא בוגר",0,IF(BC846="לא קיים",0,IF(J846=0,0,I846*0.15))),IF(BC846="לא בוגר",0,IF(BC846="לא קיים",0,IF(AB846=1,I846*0.15,E846*0.5))))))</f>
        <v>0</v>
      </c>
      <c r="V846" t="e">
        <f t="shared" si="901"/>
        <v>#N/A</v>
      </c>
      <c r="W846" t="e">
        <f t="shared" si="902"/>
        <v>#N/A</v>
      </c>
      <c r="X846" t="e">
        <f t="shared" si="903"/>
        <v>#N/A</v>
      </c>
      <c r="Y846">
        <f>IF('חד גזעי'!$AM$2 = "לא",0,IF(F846&gt;9,W846,0))</f>
        <v>0</v>
      </c>
      <c r="Z846">
        <f>IF('חד גזעי'!$AM$7 = "לא",0,IF(C846 = "זית אירופי",IF('חד גזעי'!$AN$7 &lt;=סקר!F846,W846,0),IF(C846 = "חרוב מצוי",IF('חד גזעי'!$AN$7 &lt;=סקר!F846,W846,0),0)))</f>
        <v>0</v>
      </c>
      <c r="AB846">
        <f t="shared" si="881"/>
        <v>1</v>
      </c>
      <c r="AC846" s="72"/>
      <c r="AD846" t="e">
        <f t="shared" si="899"/>
        <v>#N/A</v>
      </c>
      <c r="AE846" s="72"/>
      <c r="AF846" s="72" t="e">
        <f t="shared" si="882"/>
        <v>#N/A</v>
      </c>
      <c r="AG846" s="72" t="e">
        <f>IF('חד גזעי'!$AM$5="לא",(VLOOKUP(C846,'חד גזעי'!$P$1:$S$589,3,FALSE)),(VLOOKUP(C846,'חד גזעי'!$P$1:$S$589,4,FALSE)))</f>
        <v>#N/A</v>
      </c>
      <c r="AH846" s="72">
        <f t="shared" si="883"/>
        <v>0</v>
      </c>
      <c r="AI846" s="72">
        <f t="shared" si="884"/>
        <v>0</v>
      </c>
      <c r="AJ846" s="72">
        <f t="shared" si="885"/>
        <v>0</v>
      </c>
      <c r="AK846" s="72" t="e">
        <f t="shared" si="886"/>
        <v>#N/A</v>
      </c>
      <c r="AL846" t="e">
        <f>VLOOKUP(C846,'חד גזעי'!$AH$8:$AI$33,2,FALSE)</f>
        <v>#N/A</v>
      </c>
      <c r="AM846" s="72" t="b">
        <f t="shared" si="887"/>
        <v>0</v>
      </c>
      <c r="AN846" s="72" t="b">
        <f t="shared" si="888"/>
        <v>0</v>
      </c>
      <c r="AO846" s="72" t="b">
        <f t="shared" si="889"/>
        <v>0</v>
      </c>
      <c r="AS846" s="72">
        <f t="shared" si="890"/>
        <v>0</v>
      </c>
      <c r="AT846" s="72">
        <f t="shared" si="891"/>
        <v>0</v>
      </c>
      <c r="AU846" s="72">
        <f t="shared" si="900"/>
        <v>0</v>
      </c>
      <c r="AV846" s="72">
        <f t="shared" si="892"/>
        <v>0</v>
      </c>
      <c r="AW846" s="72">
        <f t="shared" si="893"/>
        <v>0</v>
      </c>
      <c r="AX846" s="72">
        <f t="shared" si="894"/>
        <v>0</v>
      </c>
      <c r="AY846" s="72">
        <f t="shared" si="895"/>
        <v>0</v>
      </c>
      <c r="AZ846" s="72">
        <f t="shared" si="896"/>
        <v>0</v>
      </c>
      <c r="BA846" s="72" t="e">
        <f t="shared" si="897"/>
        <v>#N/A</v>
      </c>
      <c r="BB846" s="72" t="e">
        <f t="shared" si="898"/>
        <v>#N/A</v>
      </c>
      <c r="BC846" s="77"/>
      <c r="BE846">
        <f t="shared" si="878"/>
        <v>0</v>
      </c>
      <c r="BF846" s="196"/>
      <c r="BG846" s="196"/>
      <c r="BH846" s="196"/>
      <c r="BI846" s="196"/>
      <c r="BJ846" s="196"/>
      <c r="BK846" s="196"/>
    </row>
    <row r="847" spans="2:63" ht="12.75" hidden="1" customHeight="1">
      <c r="B847" s="72"/>
      <c r="C847" s="135"/>
      <c r="D847" s="78"/>
      <c r="E847" s="78"/>
      <c r="F847" s="72"/>
      <c r="G847" s="72"/>
      <c r="H847" s="72"/>
      <c r="I847" s="73">
        <f t="shared" si="880"/>
        <v>0</v>
      </c>
      <c r="J847" s="78"/>
      <c r="K847" s="73"/>
      <c r="L847" s="74" t="e">
        <f>_xlfn.IFNA(VLOOKUP(C847,'חד גזעי'!$U$3:$V$509,2,0),VLOOKUP(C847,'חד גזעי'!$U$3:$V$509,2))</f>
        <v>#N/A</v>
      </c>
      <c r="M847" s="73"/>
      <c r="N847" s="72" t="e">
        <f>_xlfn.IFNA(IF(VLOOKUP(C847,'חד גזעי'!$AH$2:$AH$7,1,FALSE)&gt;0,0,IF('חד גזעי'!$AM$5="כן",IF(_xlfn.IFNA(VLOOKUP(C847,'חד גזעי'!$AH$2:$AH$33,1,FALSE),SUM(J847:M847))&lt;21,_xlfn.IFNA(VLOOKUP(C847,'חד גזעי'!$AH$2:$AH$33,1,FALSE),SUM(J847:M847)),0),SUM(J847:M847))),IF('חד גזעי'!$AM$5="כן",IF(_xlfn.IFNA(VLOOKUP(C847,'חד גזעי'!$AH$2:$AH$33,1,FALSE),SUM(J847:M847))&lt;21,_xlfn.IFNA(VLOOKUP(C847,'חד גזעי'!$AH$2:$AH$33,1,FALSE),SUM(J847:M847)),0),SUM(J847:M847)))</f>
        <v>#N/A</v>
      </c>
      <c r="O847" s="72">
        <f>IF('חד גזעי'!$AM$3 = "כן",IF(T847&gt;4,4,T847),T847)</f>
        <v>0</v>
      </c>
      <c r="P847" s="80">
        <f>IF(E847&lt;2,0,IF(Z847&gt;0,Z847,IF(N847 = 0,0,IF('חד גזעי'!$AM$2 = "לא",IF(F847&gt;19,W847,0),IF(F847&gt;9,Y847,0)))))</f>
        <v>0</v>
      </c>
      <c r="Q847" s="77"/>
      <c r="R847" s="75"/>
      <c r="S847" t="e">
        <f>VLOOKUP(C847,'חד גזעי'!$Y$4:$Y$18,1,0)</f>
        <v>#N/A</v>
      </c>
      <c r="T847" s="72">
        <f>IF('חד גזעי'!$AM$6="לא",IF(P847=0,IF(BC847="שימור",IF('חד גזעי'!$AM$4="לא",IF(BC847="לא בוגר",0,IF(BC847="לא קיים",0,IF(J847=0,0,I847*0.1))),IF(BC847="לא בוגר",0,IF(BC847="לא קיים",0,IF(AB847=1,I847*0.1,E847*0.5)))),0),IF('חד גזעי'!$AM$4="לא",IF(BC847="לא בוגר",0,IF(BC847="לא קיים",0,IF(J847=0,0,I847*0.1))),IF(BC847="לא בוגר",0,IF(BC847="לא קיים",0,IF(AB847=1,I847*0.1,E847*0.5))))),IF(P847=0,IF(BC847="שימור",IF('חד גזעי'!$AM$4="לא",IF(BC847="לא בוגר",0,IF(BC847="לא קיים",0,IF(J847=0,0,I847*0.15))),IF(BC847="לא בוגר",0,IF(BC847="לא קיים",0,IF(AB847=1,I847*0.15,E847*0.5)))),0),IF('חד גזעי'!$AM$4="לא",IF(BC847="לא בוגר",0,IF(BC847="לא קיים",0,IF(J847=0,0,I847*0.15))),IF(BC847="לא בוגר",0,IF(BC847="לא קיים",0,IF(AB847=1,I847*0.15,E847*0.5))))))</f>
        <v>0</v>
      </c>
      <c r="V847" t="e">
        <f t="shared" si="901"/>
        <v>#N/A</v>
      </c>
      <c r="W847" t="e">
        <f t="shared" si="902"/>
        <v>#N/A</v>
      </c>
      <c r="X847" t="e">
        <f t="shared" si="903"/>
        <v>#N/A</v>
      </c>
      <c r="Y847">
        <f>IF('חד גזעי'!$AM$2 = "לא",0,IF(F847&gt;9,W847,0))</f>
        <v>0</v>
      </c>
      <c r="Z847">
        <f>IF('חד גזעי'!$AM$7 = "לא",0,IF(C847 = "זית אירופי",IF('חד גזעי'!$AN$7 &lt;=סקר!F847,W847,0),IF(C847 = "חרוב מצוי",IF('חד גזעי'!$AN$7 &lt;=סקר!F847,W847,0),0)))</f>
        <v>0</v>
      </c>
      <c r="AB847">
        <f t="shared" si="881"/>
        <v>1</v>
      </c>
      <c r="AC847" s="72"/>
      <c r="AD847" t="e">
        <f t="shared" si="899"/>
        <v>#N/A</v>
      </c>
      <c r="AE847" s="72"/>
      <c r="AF847" s="72" t="e">
        <f t="shared" si="882"/>
        <v>#N/A</v>
      </c>
      <c r="AG847" s="72" t="e">
        <f>IF('חד גזעי'!$AM$5="לא",(VLOOKUP(C847,'חד גזעי'!$P$1:$S$589,3,FALSE)),(VLOOKUP(C847,'חד גזעי'!$P$1:$S$589,4,FALSE)))</f>
        <v>#N/A</v>
      </c>
      <c r="AH847" s="72">
        <f t="shared" si="883"/>
        <v>0</v>
      </c>
      <c r="AI847" s="72">
        <f t="shared" si="884"/>
        <v>0</v>
      </c>
      <c r="AJ847" s="72">
        <f t="shared" si="885"/>
        <v>0</v>
      </c>
      <c r="AK847" s="72" t="e">
        <f t="shared" si="886"/>
        <v>#N/A</v>
      </c>
      <c r="AL847" t="e">
        <f>VLOOKUP(C847,'חד גזעי'!$AH$8:$AI$33,2,FALSE)</f>
        <v>#N/A</v>
      </c>
      <c r="AM847" s="72" t="b">
        <f t="shared" si="887"/>
        <v>0</v>
      </c>
      <c r="AN847" s="72" t="b">
        <f t="shared" si="888"/>
        <v>0</v>
      </c>
      <c r="AO847" s="72" t="b">
        <f t="shared" si="889"/>
        <v>0</v>
      </c>
      <c r="AS847" s="72">
        <f t="shared" si="890"/>
        <v>0</v>
      </c>
      <c r="AT847" s="72">
        <f t="shared" si="891"/>
        <v>0</v>
      </c>
      <c r="AU847" s="72">
        <f t="shared" si="900"/>
        <v>0</v>
      </c>
      <c r="AV847" s="72">
        <f t="shared" si="892"/>
        <v>0</v>
      </c>
      <c r="AW847" s="72">
        <f t="shared" si="893"/>
        <v>0</v>
      </c>
      <c r="AX847" s="72">
        <f t="shared" si="894"/>
        <v>0</v>
      </c>
      <c r="AY847" s="72">
        <f t="shared" si="895"/>
        <v>0</v>
      </c>
      <c r="AZ847" s="72">
        <f t="shared" si="896"/>
        <v>0</v>
      </c>
      <c r="BA847" s="72" t="e">
        <f t="shared" si="897"/>
        <v>#N/A</v>
      </c>
      <c r="BB847" s="72" t="e">
        <f t="shared" si="898"/>
        <v>#N/A</v>
      </c>
      <c r="BC847" s="77"/>
      <c r="BE847">
        <f t="shared" si="878"/>
        <v>0</v>
      </c>
      <c r="BF847" s="196"/>
      <c r="BG847" s="196"/>
      <c r="BH847" s="196"/>
      <c r="BI847" s="196"/>
      <c r="BJ847" s="196"/>
      <c r="BK847" s="196"/>
    </row>
    <row r="848" spans="2:63" ht="12.75" hidden="1" customHeight="1">
      <c r="B848" s="72"/>
      <c r="C848" s="135"/>
      <c r="D848" s="78"/>
      <c r="E848" s="78"/>
      <c r="F848" s="72"/>
      <c r="G848" s="72"/>
      <c r="H848" s="72"/>
      <c r="I848" s="73">
        <f t="shared" si="880"/>
        <v>0</v>
      </c>
      <c r="J848" s="78"/>
      <c r="K848" s="73"/>
      <c r="L848" s="74" t="e">
        <f>_xlfn.IFNA(VLOOKUP(C848,'חד גזעי'!$U$3:$V$509,2,0),VLOOKUP(C848,'חד גזעי'!$U$3:$V$509,2))</f>
        <v>#N/A</v>
      </c>
      <c r="M848" s="73"/>
      <c r="N848" s="72" t="e">
        <f>_xlfn.IFNA(IF(VLOOKUP(C848,'חד גזעי'!$AH$2:$AH$7,1,FALSE)&gt;0,0,IF('חד גזעי'!$AM$5="כן",IF(_xlfn.IFNA(VLOOKUP(C848,'חד גזעי'!$AH$2:$AH$33,1,FALSE),SUM(J848:M848))&lt;21,_xlfn.IFNA(VLOOKUP(C848,'חד גזעי'!$AH$2:$AH$33,1,FALSE),SUM(J848:M848)),0),SUM(J848:M848))),IF('חד גזעי'!$AM$5="כן",IF(_xlfn.IFNA(VLOOKUP(C848,'חד גזעי'!$AH$2:$AH$33,1,FALSE),SUM(J848:M848))&lt;21,_xlfn.IFNA(VLOOKUP(C848,'חד גזעי'!$AH$2:$AH$33,1,FALSE),SUM(J848:M848)),0),SUM(J848:M848)))</f>
        <v>#N/A</v>
      </c>
      <c r="O848" s="72">
        <f>IF('חד גזעי'!$AM$3 = "כן",IF(T848&gt;4,4,T848),T848)</f>
        <v>0</v>
      </c>
      <c r="P848" s="80">
        <f>IF(E848&lt;2,0,IF(Z848&gt;0,Z848,IF(N848 = 0,0,IF('חד גזעי'!$AM$2 = "לא",IF(F848&gt;19,W848,0),IF(F848&gt;9,Y848,0)))))</f>
        <v>0</v>
      </c>
      <c r="Q848" s="77"/>
      <c r="R848" s="76"/>
      <c r="S848" t="e">
        <f>VLOOKUP(C848,'חד גזעי'!$Y$4:$Y$18,1,0)</f>
        <v>#N/A</v>
      </c>
      <c r="T848" s="72">
        <f>IF('חד גזעי'!$AM$6="לא",IF(P848=0,IF(BC848="שימור",IF('חד גזעי'!$AM$4="לא",IF(BC848="לא בוגר",0,IF(BC848="לא קיים",0,IF(J848=0,0,I848*0.1))),IF(BC848="לא בוגר",0,IF(BC848="לא קיים",0,IF(AB848=1,I848*0.1,E848*0.5)))),0),IF('חד גזעי'!$AM$4="לא",IF(BC848="לא בוגר",0,IF(BC848="לא קיים",0,IF(J848=0,0,I848*0.1))),IF(BC848="לא בוגר",0,IF(BC848="לא קיים",0,IF(AB848=1,I848*0.1,E848*0.5))))),IF(P848=0,IF(BC848="שימור",IF('חד גזעי'!$AM$4="לא",IF(BC848="לא בוגר",0,IF(BC848="לא קיים",0,IF(J848=0,0,I848*0.15))),IF(BC848="לא בוגר",0,IF(BC848="לא קיים",0,IF(AB848=1,I848*0.15,E848*0.5)))),0),IF('חד גזעי'!$AM$4="לא",IF(BC848="לא בוגר",0,IF(BC848="לא קיים",0,IF(J848=0,0,I848*0.15))),IF(BC848="לא בוגר",0,IF(BC848="לא קיים",0,IF(AB848=1,I848*0.15,E848*0.5))))))</f>
        <v>0</v>
      </c>
      <c r="V848" t="e">
        <f t="shared" si="901"/>
        <v>#N/A</v>
      </c>
      <c r="W848" t="e">
        <f t="shared" si="902"/>
        <v>#N/A</v>
      </c>
      <c r="X848" t="e">
        <f t="shared" si="903"/>
        <v>#N/A</v>
      </c>
      <c r="Y848">
        <f>IF('חד גזעי'!$AM$2 = "לא",0,IF(F848&gt;9,W848,0))</f>
        <v>0</v>
      </c>
      <c r="Z848">
        <f>IF('חד גזעי'!$AM$7 = "לא",0,IF(C848 = "זית אירופי",IF('חד גזעי'!$AN$7 &lt;=סקר!F848,W848,0),IF(C848 = "חרוב מצוי",IF('חד גזעי'!$AN$7 &lt;=סקר!F848,W848,0),0)))</f>
        <v>0</v>
      </c>
      <c r="AB848">
        <f t="shared" si="881"/>
        <v>1</v>
      </c>
      <c r="AC848" s="72"/>
      <c r="AD848" t="e">
        <f t="shared" si="899"/>
        <v>#N/A</v>
      </c>
      <c r="AE848" s="72"/>
      <c r="AF848" s="72" t="e">
        <f t="shared" si="882"/>
        <v>#N/A</v>
      </c>
      <c r="AG848" s="72" t="e">
        <f>IF('חד גזעי'!$AM$5="לא",(VLOOKUP(C848,'חד גזעי'!$P$1:$S$589,3,FALSE)),(VLOOKUP(C848,'חד גזעי'!$P$1:$S$589,4,FALSE)))</f>
        <v>#N/A</v>
      </c>
      <c r="AH848" s="72">
        <f t="shared" si="883"/>
        <v>0</v>
      </c>
      <c r="AI848" s="72">
        <f t="shared" si="884"/>
        <v>0</v>
      </c>
      <c r="AJ848" s="72">
        <f t="shared" si="885"/>
        <v>0</v>
      </c>
      <c r="AK848" s="72" t="e">
        <f t="shared" si="886"/>
        <v>#N/A</v>
      </c>
      <c r="AL848" t="e">
        <f>VLOOKUP(C848,'חד גזעי'!$AH$8:$AI$33,2,FALSE)</f>
        <v>#N/A</v>
      </c>
      <c r="AM848" s="72" t="b">
        <f t="shared" si="887"/>
        <v>0</v>
      </c>
      <c r="AN848" s="72" t="b">
        <f t="shared" si="888"/>
        <v>0</v>
      </c>
      <c r="AO848" s="72" t="b">
        <f t="shared" si="889"/>
        <v>0</v>
      </c>
      <c r="AS848" s="72">
        <f t="shared" si="890"/>
        <v>0</v>
      </c>
      <c r="AT848" s="72">
        <f t="shared" si="891"/>
        <v>0</v>
      </c>
      <c r="AU848" s="72">
        <f t="shared" si="900"/>
        <v>0</v>
      </c>
      <c r="AV848" s="72">
        <f t="shared" si="892"/>
        <v>0</v>
      </c>
      <c r="AW848" s="72">
        <f t="shared" si="893"/>
        <v>0</v>
      </c>
      <c r="AX848" s="72">
        <f t="shared" si="894"/>
        <v>0</v>
      </c>
      <c r="AY848" s="72">
        <f t="shared" si="895"/>
        <v>0</v>
      </c>
      <c r="AZ848" s="72">
        <f t="shared" si="896"/>
        <v>0</v>
      </c>
      <c r="BA848" s="72" t="e">
        <f t="shared" si="897"/>
        <v>#N/A</v>
      </c>
      <c r="BB848" s="72" t="e">
        <f t="shared" si="898"/>
        <v>#N/A</v>
      </c>
      <c r="BC848" s="77"/>
      <c r="BE848">
        <f t="shared" si="878"/>
        <v>0</v>
      </c>
      <c r="BF848" s="196"/>
      <c r="BG848" s="196"/>
      <c r="BH848" s="196"/>
      <c r="BI848" s="196"/>
      <c r="BJ848" s="196"/>
      <c r="BK848" s="196"/>
    </row>
    <row r="849" spans="2:63" hidden="1">
      <c r="B849" s="72"/>
      <c r="C849" s="135"/>
      <c r="D849" s="78"/>
      <c r="E849" s="78"/>
      <c r="F849" s="72"/>
      <c r="G849" s="72"/>
      <c r="H849" s="72"/>
      <c r="I849" s="73">
        <f t="shared" si="880"/>
        <v>0</v>
      </c>
      <c r="J849" s="78"/>
      <c r="K849" s="73"/>
      <c r="L849" s="74" t="e">
        <f>_xlfn.IFNA(VLOOKUP(C849,'חד גזעי'!$U$3:$V$509,2,0),VLOOKUP(C849,'חד גזעי'!$U$3:$V$509,2))</f>
        <v>#N/A</v>
      </c>
      <c r="M849" s="73"/>
      <c r="N849" s="72" t="e">
        <f>_xlfn.IFNA(IF(VLOOKUP(C849,'חד גזעי'!$AH$2:$AH$7,1,FALSE)&gt;0,0,IF('חד גזעי'!$AM$5="כן",IF(_xlfn.IFNA(VLOOKUP(C849,'חד גזעי'!$AH$2:$AH$33,1,FALSE),SUM(J849:M849))&lt;21,_xlfn.IFNA(VLOOKUP(C849,'חד גזעי'!$AH$2:$AH$33,1,FALSE),SUM(J849:M849)),0),SUM(J849:M849))),IF('חד גזעי'!$AM$5="כן",IF(_xlfn.IFNA(VLOOKUP(C849,'חד גזעי'!$AH$2:$AH$33,1,FALSE),SUM(J849:M849))&lt;21,_xlfn.IFNA(VLOOKUP(C849,'חד גזעי'!$AH$2:$AH$33,1,FALSE),SUM(J849:M849)),0),SUM(J849:M849)))</f>
        <v>#N/A</v>
      </c>
      <c r="O849" s="72">
        <f>IF('חד גזעי'!$AM$3 = "כן",IF(T849&gt;4,4,T849),T849)</f>
        <v>0</v>
      </c>
      <c r="P849" s="80">
        <f>IF(E849&lt;2,0,IF(Z849&gt;0,Z849,IF(N849 = 0,0,IF('חד גזעי'!$AM$2 = "לא",IF(F849&gt;19,W849,0),IF(F849&gt;9,Y849,0)))))</f>
        <v>0</v>
      </c>
      <c r="Q849" s="77"/>
      <c r="R849" s="76"/>
      <c r="S849" t="e">
        <f>VLOOKUP(C849,'חד גזעי'!$Y$4:$Y$18,1,0)</f>
        <v>#N/A</v>
      </c>
      <c r="T849" s="72">
        <f>IF('חד גזעי'!$AM$6="לא",IF(P849=0,IF(BC849="שימור",IF('חד גזעי'!$AM$4="לא",IF(BC849="לא בוגר",0,IF(BC849="לא קיים",0,IF(J849=0,0,I849*0.1))),IF(BC849="לא בוגר",0,IF(BC849="לא קיים",0,IF(AB849=1,I849*0.1,E849*0.5)))),0),IF('חד גזעי'!$AM$4="לא",IF(BC849="לא בוגר",0,IF(BC849="לא קיים",0,IF(J849=0,0,I849*0.1))),IF(BC849="לא בוגר",0,IF(BC849="לא קיים",0,IF(AB849=1,I849*0.1,E849*0.5))))),IF(P849=0,IF(BC849="שימור",IF('חד גזעי'!$AM$4="לא",IF(BC849="לא בוגר",0,IF(BC849="לא קיים",0,IF(J849=0,0,I849*0.15))),IF(BC849="לא בוגר",0,IF(BC849="לא קיים",0,IF(AB849=1,I849*0.15,E849*0.5)))),0),IF('חד גזעי'!$AM$4="לא",IF(BC849="לא בוגר",0,IF(BC849="לא קיים",0,IF(J849=0,0,I849*0.15))),IF(BC849="לא בוגר",0,IF(BC849="לא קיים",0,IF(AB849=1,I849*0.15,E849*0.5))))))</f>
        <v>0</v>
      </c>
      <c r="V849" t="e">
        <f t="shared" si="901"/>
        <v>#N/A</v>
      </c>
      <c r="W849" t="e">
        <f t="shared" si="902"/>
        <v>#N/A</v>
      </c>
      <c r="X849" t="e">
        <f t="shared" si="903"/>
        <v>#N/A</v>
      </c>
      <c r="Y849">
        <f>IF('חד גזעי'!$AM$2 = "לא",0,IF(F849&gt;9,W849,0))</f>
        <v>0</v>
      </c>
      <c r="Z849">
        <f>IF('חד גזעי'!$AM$7 = "לא",0,IF(C849 = "זית אירופי",IF('חד גזעי'!$AN$7 &lt;=סקר!F849,W849,0),IF(C849 = "חרוב מצוי",IF('חד גזעי'!$AN$7 &lt;=סקר!F849,W849,0),0)))</f>
        <v>0</v>
      </c>
      <c r="AB849">
        <f t="shared" si="881"/>
        <v>1</v>
      </c>
      <c r="AC849" s="72"/>
      <c r="AD849" t="e">
        <f t="shared" si="899"/>
        <v>#N/A</v>
      </c>
      <c r="AE849" s="72"/>
      <c r="AF849" s="72" t="e">
        <f t="shared" si="882"/>
        <v>#N/A</v>
      </c>
      <c r="AG849" s="72" t="e">
        <f>IF('חד גזעי'!$AM$5="לא",(VLOOKUP(C849,'חד גזעי'!$P$1:$S$589,3,FALSE)),(VLOOKUP(C849,'חד גזעי'!$P$1:$S$589,4,FALSE)))</f>
        <v>#N/A</v>
      </c>
      <c r="AH849" s="72">
        <f t="shared" si="883"/>
        <v>0</v>
      </c>
      <c r="AI849" s="72">
        <f t="shared" si="884"/>
        <v>0</v>
      </c>
      <c r="AJ849" s="72">
        <f t="shared" si="885"/>
        <v>0</v>
      </c>
      <c r="AK849" s="72" t="e">
        <f t="shared" si="886"/>
        <v>#N/A</v>
      </c>
      <c r="AL849" t="e">
        <f>VLOOKUP(C849,'חד גזעי'!$AH$8:$AI$33,2,FALSE)</f>
        <v>#N/A</v>
      </c>
      <c r="AM849" s="72" t="b">
        <f t="shared" si="887"/>
        <v>0</v>
      </c>
      <c r="AN849" s="72" t="b">
        <f t="shared" si="888"/>
        <v>0</v>
      </c>
      <c r="AO849" s="72" t="b">
        <f t="shared" si="889"/>
        <v>0</v>
      </c>
      <c r="AS849" s="72">
        <f t="shared" si="890"/>
        <v>0</v>
      </c>
      <c r="AT849" s="72">
        <f t="shared" si="891"/>
        <v>0</v>
      </c>
      <c r="AU849" s="72">
        <f t="shared" si="900"/>
        <v>0</v>
      </c>
      <c r="AV849" s="72">
        <f t="shared" si="892"/>
        <v>0</v>
      </c>
      <c r="AW849" s="72">
        <f t="shared" si="893"/>
        <v>0</v>
      </c>
      <c r="AX849" s="72">
        <f t="shared" si="894"/>
        <v>0</v>
      </c>
      <c r="AY849" s="72">
        <f t="shared" si="895"/>
        <v>0</v>
      </c>
      <c r="AZ849" s="72">
        <f t="shared" si="896"/>
        <v>0</v>
      </c>
      <c r="BA849" s="72" t="e">
        <f t="shared" si="897"/>
        <v>#N/A</v>
      </c>
      <c r="BB849" s="72" t="e">
        <f t="shared" si="898"/>
        <v>#N/A</v>
      </c>
      <c r="BC849" s="77"/>
      <c r="BE849">
        <f t="shared" si="878"/>
        <v>0</v>
      </c>
      <c r="BF849" s="196"/>
      <c r="BG849" s="196"/>
      <c r="BH849" s="196"/>
      <c r="BI849" s="196"/>
      <c r="BJ849" s="196"/>
      <c r="BK849" s="196"/>
    </row>
    <row r="850" spans="2:63" hidden="1">
      <c r="B850" s="72"/>
      <c r="C850" s="135"/>
      <c r="D850" s="78"/>
      <c r="E850" s="78"/>
      <c r="F850" s="72"/>
      <c r="G850" s="72"/>
      <c r="H850" s="72"/>
      <c r="I850" s="73">
        <f t="shared" si="880"/>
        <v>0</v>
      </c>
      <c r="J850" s="78"/>
      <c r="K850" s="73"/>
      <c r="L850" s="74" t="e">
        <f>_xlfn.IFNA(VLOOKUP(C850,'חד גזעי'!$U$3:$V$509,2,0),VLOOKUP(C850,'חד גזעי'!$U$3:$V$509,2))</f>
        <v>#N/A</v>
      </c>
      <c r="M850" s="73"/>
      <c r="N850" s="72" t="e">
        <f>_xlfn.IFNA(IF(VLOOKUP(C850,'חד גזעי'!$AH$2:$AH$7,1,FALSE)&gt;0,0,IF('חד גזעי'!$AM$5="כן",IF(_xlfn.IFNA(VLOOKUP(C850,'חד גזעי'!$AH$2:$AH$33,1,FALSE),SUM(J850:M850))&lt;21,_xlfn.IFNA(VLOOKUP(C850,'חד גזעי'!$AH$2:$AH$33,1,FALSE),SUM(J850:M850)),0),SUM(J850:M850))),IF('חד גזעי'!$AM$5="כן",IF(_xlfn.IFNA(VLOOKUP(C850,'חד גזעי'!$AH$2:$AH$33,1,FALSE),SUM(J850:M850))&lt;21,_xlfn.IFNA(VLOOKUP(C850,'חד גזעי'!$AH$2:$AH$33,1,FALSE),SUM(J850:M850)),0),SUM(J850:M850)))</f>
        <v>#N/A</v>
      </c>
      <c r="O850" s="72">
        <f>IF('חד גזעי'!$AM$3 = "כן",IF(T850&gt;4,4,T850),T850)</f>
        <v>0</v>
      </c>
      <c r="P850" s="80">
        <f>IF(E850&lt;2,0,IF(Z850&gt;0,Z850,IF(N850 = 0,0,IF('חד גזעי'!$AM$2 = "לא",IF(F850&gt;19,W850,0),IF(F850&gt;9,Y850,0)))))</f>
        <v>0</v>
      </c>
      <c r="Q850" s="77"/>
      <c r="R850" s="76"/>
      <c r="S850" t="e">
        <f>VLOOKUP(C850,'חד גזעי'!$Y$4:$Y$18,1,0)</f>
        <v>#N/A</v>
      </c>
      <c r="T850" s="72">
        <f>IF('חד גזעי'!$AM$6="לא",IF(P850=0,IF(BC850="שימור",IF('חד גזעי'!$AM$4="לא",IF(BC850="לא בוגר",0,IF(BC850="לא קיים",0,IF(J850=0,0,I850*0.1))),IF(BC850="לא בוגר",0,IF(BC850="לא קיים",0,IF(AB850=1,I850*0.1,E850*0.5)))),0),IF('חד גזעי'!$AM$4="לא",IF(BC850="לא בוגר",0,IF(BC850="לא קיים",0,IF(J850=0,0,I850*0.1))),IF(BC850="לא בוגר",0,IF(BC850="לא קיים",0,IF(AB850=1,I850*0.1,E850*0.5))))),IF(P850=0,IF(BC850="שימור",IF('חד גזעי'!$AM$4="לא",IF(BC850="לא בוגר",0,IF(BC850="לא קיים",0,IF(J850=0,0,I850*0.15))),IF(BC850="לא בוגר",0,IF(BC850="לא קיים",0,IF(AB850=1,I850*0.15,E850*0.5)))),0),IF('חד גזעי'!$AM$4="לא",IF(BC850="לא בוגר",0,IF(BC850="לא קיים",0,IF(J850=0,0,I850*0.15))),IF(BC850="לא בוגר",0,IF(BC850="לא קיים",0,IF(AB850=1,I850*0.15,E850*0.5))))))</f>
        <v>0</v>
      </c>
      <c r="V850" t="e">
        <f t="shared" si="901"/>
        <v>#N/A</v>
      </c>
      <c r="W850" t="e">
        <f t="shared" si="902"/>
        <v>#N/A</v>
      </c>
      <c r="X850" t="e">
        <f t="shared" si="903"/>
        <v>#N/A</v>
      </c>
      <c r="Y850">
        <f>IF('חד גזעי'!$AM$2 = "לא",0,IF(F850&gt;9,W850,0))</f>
        <v>0</v>
      </c>
      <c r="Z850">
        <f>IF('חד גזעי'!$AM$7 = "לא",0,IF(C850 = "זית אירופי",IF('חד גזעי'!$AN$7 &lt;=סקר!F850,W850,0),IF(C850 = "חרוב מצוי",IF('חד גזעי'!$AN$7 &lt;=סקר!F850,W850,0),0)))</f>
        <v>0</v>
      </c>
      <c r="AB850">
        <f t="shared" si="881"/>
        <v>1</v>
      </c>
      <c r="AC850" s="72"/>
      <c r="AD850" t="e">
        <f t="shared" si="899"/>
        <v>#N/A</v>
      </c>
      <c r="AE850" s="72"/>
      <c r="AF850" s="72" t="e">
        <f t="shared" si="882"/>
        <v>#N/A</v>
      </c>
      <c r="AG850" s="72" t="e">
        <f>IF('חד גזעי'!$AM$5="לא",(VLOOKUP(C850,'חד גזעי'!$P$1:$S$589,3,FALSE)),(VLOOKUP(C850,'חד גזעי'!$P$1:$S$589,4,FALSE)))</f>
        <v>#N/A</v>
      </c>
      <c r="AH850" s="72">
        <f t="shared" si="883"/>
        <v>0</v>
      </c>
      <c r="AI850" s="72">
        <f t="shared" si="884"/>
        <v>0</v>
      </c>
      <c r="AJ850" s="72">
        <f t="shared" si="885"/>
        <v>0</v>
      </c>
      <c r="AK850" s="72" t="e">
        <f t="shared" si="886"/>
        <v>#N/A</v>
      </c>
      <c r="AL850" t="e">
        <f>VLOOKUP(C850,'חד גזעי'!$AH$8:$AI$33,2,FALSE)</f>
        <v>#N/A</v>
      </c>
      <c r="AM850" s="72" t="b">
        <f t="shared" si="887"/>
        <v>0</v>
      </c>
      <c r="AN850" s="72" t="b">
        <f t="shared" si="888"/>
        <v>0</v>
      </c>
      <c r="AO850" s="72" t="b">
        <f t="shared" si="889"/>
        <v>0</v>
      </c>
      <c r="AS850" s="72">
        <f t="shared" si="890"/>
        <v>0</v>
      </c>
      <c r="AT850" s="72">
        <f t="shared" si="891"/>
        <v>0</v>
      </c>
      <c r="AU850" s="72">
        <f t="shared" si="900"/>
        <v>0</v>
      </c>
      <c r="AV850" s="72">
        <f t="shared" si="892"/>
        <v>0</v>
      </c>
      <c r="AW850" s="72">
        <f t="shared" si="893"/>
        <v>0</v>
      </c>
      <c r="AX850" s="72">
        <f t="shared" si="894"/>
        <v>0</v>
      </c>
      <c r="AY850" s="72">
        <f t="shared" si="895"/>
        <v>0</v>
      </c>
      <c r="AZ850" s="72">
        <f t="shared" si="896"/>
        <v>0</v>
      </c>
      <c r="BA850" s="72" t="e">
        <f t="shared" si="897"/>
        <v>#N/A</v>
      </c>
      <c r="BB850" s="72" t="e">
        <f t="shared" si="898"/>
        <v>#N/A</v>
      </c>
      <c r="BC850" s="77"/>
      <c r="BE850">
        <f t="shared" si="878"/>
        <v>0</v>
      </c>
      <c r="BF850" s="72"/>
      <c r="BG850" s="72"/>
      <c r="BH850" s="72"/>
      <c r="BI850" s="72"/>
      <c r="BJ850" s="72"/>
      <c r="BK850" s="72"/>
    </row>
    <row r="851" spans="2:63" hidden="1">
      <c r="B851" s="72"/>
      <c r="C851" s="135"/>
      <c r="D851" s="78"/>
      <c r="E851" s="78"/>
      <c r="F851" s="72"/>
      <c r="G851" s="72"/>
      <c r="H851" s="72"/>
      <c r="I851" s="73">
        <f t="shared" si="880"/>
        <v>0</v>
      </c>
      <c r="J851" s="78"/>
      <c r="K851" s="73"/>
      <c r="L851" s="74" t="e">
        <f>_xlfn.IFNA(VLOOKUP(C851,'חד גזעי'!$U$3:$V$509,2,0),VLOOKUP(C851,'חד גזעי'!$U$3:$V$509,2))</f>
        <v>#N/A</v>
      </c>
      <c r="M851" s="73"/>
      <c r="N851" s="72" t="e">
        <f>_xlfn.IFNA(IF(VLOOKUP(C851,'חד גזעי'!$AH$2:$AH$7,1,FALSE)&gt;0,0,IF('חד גזעי'!$AM$5="כן",IF(_xlfn.IFNA(VLOOKUP(C851,'חד גזעי'!$AH$2:$AH$33,1,FALSE),SUM(J851:M851))&lt;21,_xlfn.IFNA(VLOOKUP(C851,'חד גזעי'!$AH$2:$AH$33,1,FALSE),SUM(J851:M851)),0),SUM(J851:M851))),IF('חד גזעי'!$AM$5="כן",IF(_xlfn.IFNA(VLOOKUP(C851,'חד גזעי'!$AH$2:$AH$33,1,FALSE),SUM(J851:M851))&lt;21,_xlfn.IFNA(VLOOKUP(C851,'חד גזעי'!$AH$2:$AH$33,1,FALSE),SUM(J851:M851)),0),SUM(J851:M851)))</f>
        <v>#N/A</v>
      </c>
      <c r="O851" s="72">
        <f>IF('חד גזעי'!$AM$3 = "כן",IF(T851&gt;4,4,T851),T851)</f>
        <v>0</v>
      </c>
      <c r="P851" s="80">
        <f>IF(E851&lt;2,0,IF(Z851&gt;0,Z851,IF(N851 = 0,0,IF('חד גזעי'!$AM$2 = "לא",IF(F851&gt;19,W851,0),IF(F851&gt;9,Y851,0)))))</f>
        <v>0</v>
      </c>
      <c r="Q851" s="77"/>
      <c r="R851" s="75"/>
      <c r="S851" t="e">
        <f>VLOOKUP(C851,'חד גזעי'!$Y$4:$Y$18,1,0)</f>
        <v>#N/A</v>
      </c>
      <c r="T851" s="72">
        <f>IF('חד גזעי'!$AM$6="לא",IF(P851=0,IF(BC851="שימור",IF('חד גזעי'!$AM$4="לא",IF(BC851="לא בוגר",0,IF(BC851="לא קיים",0,IF(J851=0,0,I851*0.1))),IF(BC851="לא בוגר",0,IF(BC851="לא קיים",0,IF(AB851=1,I851*0.1,E851*0.5)))),0),IF('חד גזעי'!$AM$4="לא",IF(BC851="לא בוגר",0,IF(BC851="לא קיים",0,IF(J851=0,0,I851*0.1))),IF(BC851="לא בוגר",0,IF(BC851="לא קיים",0,IF(AB851=1,I851*0.1,E851*0.5))))),IF(P851=0,IF(BC851="שימור",IF('חד גזעי'!$AM$4="לא",IF(BC851="לא בוגר",0,IF(BC851="לא קיים",0,IF(J851=0,0,I851*0.15))),IF(BC851="לא בוגר",0,IF(BC851="לא קיים",0,IF(AB851=1,I851*0.15,E851*0.5)))),0),IF('חד גזעי'!$AM$4="לא",IF(BC851="לא בוגר",0,IF(BC851="לא קיים",0,IF(J851=0,0,I851*0.15))),IF(BC851="לא בוגר",0,IF(BC851="לא קיים",0,IF(AB851=1,I851*0.15,E851*0.5))))))</f>
        <v>0</v>
      </c>
      <c r="V851" t="e">
        <f t="shared" si="901"/>
        <v>#N/A</v>
      </c>
      <c r="W851" t="e">
        <f t="shared" si="902"/>
        <v>#N/A</v>
      </c>
      <c r="X851" t="e">
        <f t="shared" si="903"/>
        <v>#N/A</v>
      </c>
      <c r="Y851">
        <f>IF('חד גזעי'!$AM$2 = "לא",0,IF(F851&gt;9,W851,0))</f>
        <v>0</v>
      </c>
      <c r="Z851">
        <f>IF('חד גזעי'!$AM$7 = "לא",0,IF(C851 = "זית אירופי",IF('חד גזעי'!$AN$7 &lt;=סקר!F851,W851,0),IF(C851 = "חרוב מצוי",IF('חד גזעי'!$AN$7 &lt;=סקר!F851,W851,0),0)))</f>
        <v>0</v>
      </c>
      <c r="AB851">
        <f t="shared" si="881"/>
        <v>1</v>
      </c>
      <c r="AC851" s="72"/>
      <c r="AD851" t="e">
        <f t="shared" si="899"/>
        <v>#N/A</v>
      </c>
      <c r="AE851" s="72"/>
      <c r="AF851" s="72" t="e">
        <f t="shared" si="882"/>
        <v>#N/A</v>
      </c>
      <c r="AG851" s="72" t="e">
        <f>IF('חד גזעי'!$AM$5="לא",(VLOOKUP(C851,'חד גזעי'!$P$1:$S$589,3,FALSE)),(VLOOKUP(C851,'חד גזעי'!$P$1:$S$589,4,FALSE)))</f>
        <v>#N/A</v>
      </c>
      <c r="AH851" s="72">
        <f t="shared" si="883"/>
        <v>0</v>
      </c>
      <c r="AI851" s="72">
        <f t="shared" si="884"/>
        <v>0</v>
      </c>
      <c r="AJ851" s="72">
        <f t="shared" si="885"/>
        <v>0</v>
      </c>
      <c r="AK851" s="72" t="e">
        <f t="shared" si="886"/>
        <v>#N/A</v>
      </c>
      <c r="AL851" t="e">
        <f>VLOOKUP(C851,'חד גזעי'!$AH$8:$AI$33,2,FALSE)</f>
        <v>#N/A</v>
      </c>
      <c r="AM851" s="72" t="b">
        <f t="shared" si="887"/>
        <v>0</v>
      </c>
      <c r="AN851" s="72" t="b">
        <f t="shared" si="888"/>
        <v>0</v>
      </c>
      <c r="AO851" s="72" t="b">
        <f t="shared" si="889"/>
        <v>0</v>
      </c>
      <c r="AS851" s="72">
        <f t="shared" si="890"/>
        <v>0</v>
      </c>
      <c r="AT851" s="72">
        <f t="shared" si="891"/>
        <v>0</v>
      </c>
      <c r="AU851" s="72">
        <f t="shared" si="900"/>
        <v>0</v>
      </c>
      <c r="AV851" s="72">
        <f t="shared" si="892"/>
        <v>0</v>
      </c>
      <c r="AW851" s="72">
        <f t="shared" si="893"/>
        <v>0</v>
      </c>
      <c r="AX851" s="72">
        <f t="shared" si="894"/>
        <v>0</v>
      </c>
      <c r="AY851" s="72">
        <f t="shared" si="895"/>
        <v>0</v>
      </c>
      <c r="AZ851" s="72">
        <f t="shared" si="896"/>
        <v>0</v>
      </c>
      <c r="BA851" s="72" t="e">
        <f t="shared" si="897"/>
        <v>#N/A</v>
      </c>
      <c r="BB851" s="72" t="e">
        <f t="shared" si="898"/>
        <v>#N/A</v>
      </c>
      <c r="BC851" s="77"/>
      <c r="BE851">
        <f t="shared" si="878"/>
        <v>0</v>
      </c>
      <c r="BF851" s="196" t="str">
        <f>BF870</f>
        <v>C:\Users\origr\Pictures\0.jpg</v>
      </c>
      <c r="BG851" s="196" t="str">
        <f t="shared" ref="BG851:BK851" si="904">BG870</f>
        <v>C:\Users\origr\Pictures\0.jpg</v>
      </c>
      <c r="BH851" s="196" t="str">
        <f t="shared" si="904"/>
        <v>C:\Users\origr\Pictures\0.jpg</v>
      </c>
      <c r="BI851" s="196" t="str">
        <f t="shared" si="904"/>
        <v>C:\Users\origr\Pictures\0.jpg</v>
      </c>
      <c r="BJ851" s="196" t="str">
        <f t="shared" si="904"/>
        <v>C:\Users\origr\Pictures\0.jpg</v>
      </c>
      <c r="BK851" s="196" t="str">
        <f t="shared" si="904"/>
        <v>C:\Users\origr\Pictures\0.jpg</v>
      </c>
    </row>
    <row r="852" spans="2:63" hidden="1">
      <c r="B852" s="72"/>
      <c r="C852" s="135"/>
      <c r="D852" s="78"/>
      <c r="E852" s="78"/>
      <c r="F852" s="72"/>
      <c r="G852" s="72"/>
      <c r="H852" s="72"/>
      <c r="I852" s="73">
        <f t="shared" si="880"/>
        <v>0</v>
      </c>
      <c r="J852" s="78"/>
      <c r="K852" s="73"/>
      <c r="L852" s="74" t="e">
        <f>_xlfn.IFNA(VLOOKUP(C852,'חד גזעי'!$U$3:$V$509,2,0),VLOOKUP(C852,'חד גזעי'!$U$3:$V$509,2))</f>
        <v>#N/A</v>
      </c>
      <c r="M852" s="73"/>
      <c r="N852" s="72" t="e">
        <f>_xlfn.IFNA(IF(VLOOKUP(C852,'חד גזעי'!$AH$2:$AH$7,1,FALSE)&gt;0,0,IF('חד גזעי'!$AM$5="כן",IF(_xlfn.IFNA(VLOOKUP(C852,'חד גזעי'!$AH$2:$AH$33,1,FALSE),SUM(J852:M852))&lt;21,_xlfn.IFNA(VLOOKUP(C852,'חד גזעי'!$AH$2:$AH$33,1,FALSE),SUM(J852:M852)),0),SUM(J852:M852))),IF('חד גזעי'!$AM$5="כן",IF(_xlfn.IFNA(VLOOKUP(C852,'חד גזעי'!$AH$2:$AH$33,1,FALSE),SUM(J852:M852))&lt;21,_xlfn.IFNA(VLOOKUP(C852,'חד גזעי'!$AH$2:$AH$33,1,FALSE),SUM(J852:M852)),0),SUM(J852:M852)))</f>
        <v>#N/A</v>
      </c>
      <c r="O852" s="72">
        <f>IF('חד גזעי'!$AM$3 = "כן",IF(T852&gt;4,4,T852),T852)</f>
        <v>0</v>
      </c>
      <c r="P852" s="80">
        <f>IF(E852&lt;2,0,IF(Z852&gt;0,Z852,IF(N852 = 0,0,IF('חד גזעי'!$AM$2 = "לא",IF(F852&gt;19,W852,0),IF(F852&gt;9,Y852,0)))))</f>
        <v>0</v>
      </c>
      <c r="Q852" s="77"/>
      <c r="R852" s="76"/>
      <c r="S852" t="e">
        <f>VLOOKUP(C852,'חד גזעי'!$Y$4:$Y$18,1,0)</f>
        <v>#N/A</v>
      </c>
      <c r="T852" s="72">
        <f>IF('חד גזעי'!$AM$6="לא",IF(P852=0,IF(BC852="שימור",IF('חד גזעי'!$AM$4="לא",IF(BC852="לא בוגר",0,IF(BC852="לא קיים",0,IF(J852=0,0,I852*0.1))),IF(BC852="לא בוגר",0,IF(BC852="לא קיים",0,IF(AB852=1,I852*0.1,E852*0.5)))),0),IF('חד גזעי'!$AM$4="לא",IF(BC852="לא בוגר",0,IF(BC852="לא קיים",0,IF(J852=0,0,I852*0.1))),IF(BC852="לא בוגר",0,IF(BC852="לא קיים",0,IF(AB852=1,I852*0.1,E852*0.5))))),IF(P852=0,IF(BC852="שימור",IF('חד גזעי'!$AM$4="לא",IF(BC852="לא בוגר",0,IF(BC852="לא קיים",0,IF(J852=0,0,I852*0.15))),IF(BC852="לא בוגר",0,IF(BC852="לא קיים",0,IF(AB852=1,I852*0.15,E852*0.5)))),0),IF('חד גזעי'!$AM$4="לא",IF(BC852="לא בוגר",0,IF(BC852="לא קיים",0,IF(J852=0,0,I852*0.15))),IF(BC852="לא בוגר",0,IF(BC852="לא קיים",0,IF(AB852=1,I852*0.15,E852*0.5))))))</f>
        <v>0</v>
      </c>
      <c r="V852" t="e">
        <f t="shared" si="901"/>
        <v>#N/A</v>
      </c>
      <c r="W852" t="e">
        <f t="shared" si="902"/>
        <v>#N/A</v>
      </c>
      <c r="X852" t="e">
        <f t="shared" si="903"/>
        <v>#N/A</v>
      </c>
      <c r="Y852">
        <f>IF('חד גזעי'!$AM$2 = "לא",0,IF(F852&gt;9,W852,0))</f>
        <v>0</v>
      </c>
      <c r="Z852">
        <f>IF('חד גזעי'!$AM$7 = "לא",0,IF(C852 = "זית אירופי",IF('חד גזעי'!$AN$7 &lt;=סקר!F852,W852,0),IF(C852 = "חרוב מצוי",IF('חד גזעי'!$AN$7 &lt;=סקר!F852,W852,0),0)))</f>
        <v>0</v>
      </c>
      <c r="AB852">
        <f t="shared" si="881"/>
        <v>1</v>
      </c>
      <c r="AC852" s="72"/>
      <c r="AD852" t="e">
        <f t="shared" si="899"/>
        <v>#N/A</v>
      </c>
      <c r="AE852" s="72"/>
      <c r="AF852" s="72" t="e">
        <f t="shared" si="882"/>
        <v>#N/A</v>
      </c>
      <c r="AG852" s="72" t="e">
        <f>IF('חד גזעי'!$AM$5="לא",(VLOOKUP(C852,'חד גזעי'!$P$1:$S$589,3,FALSE)),(VLOOKUP(C852,'חד גזעי'!$P$1:$S$589,4,FALSE)))</f>
        <v>#N/A</v>
      </c>
      <c r="AH852" s="72">
        <f t="shared" si="883"/>
        <v>0</v>
      </c>
      <c r="AI852" s="72">
        <f t="shared" si="884"/>
        <v>0</v>
      </c>
      <c r="AJ852" s="72">
        <f t="shared" si="885"/>
        <v>0</v>
      </c>
      <c r="AK852" s="72" t="e">
        <f t="shared" si="886"/>
        <v>#N/A</v>
      </c>
      <c r="AL852" t="e">
        <f>VLOOKUP(C852,'חד גזעי'!$AH$8:$AI$33,2,FALSE)</f>
        <v>#N/A</v>
      </c>
      <c r="AM852" s="72" t="b">
        <f t="shared" si="887"/>
        <v>0</v>
      </c>
      <c r="AN852" s="72" t="b">
        <f t="shared" si="888"/>
        <v>0</v>
      </c>
      <c r="AO852" s="72" t="b">
        <f t="shared" si="889"/>
        <v>0</v>
      </c>
      <c r="AS852" s="72">
        <f t="shared" si="890"/>
        <v>0</v>
      </c>
      <c r="AT852" s="72">
        <f t="shared" si="891"/>
        <v>0</v>
      </c>
      <c r="AU852" s="72">
        <f t="shared" si="900"/>
        <v>0</v>
      </c>
      <c r="AV852" s="72">
        <f t="shared" si="892"/>
        <v>0</v>
      </c>
      <c r="AW852" s="72">
        <f t="shared" si="893"/>
        <v>0</v>
      </c>
      <c r="AX852" s="72">
        <f t="shared" si="894"/>
        <v>0</v>
      </c>
      <c r="AY852" s="72">
        <f t="shared" si="895"/>
        <v>0</v>
      </c>
      <c r="AZ852" s="72">
        <f t="shared" si="896"/>
        <v>0</v>
      </c>
      <c r="BA852" s="72" t="e">
        <f t="shared" si="897"/>
        <v>#N/A</v>
      </c>
      <c r="BB852" s="72" t="e">
        <f t="shared" si="898"/>
        <v>#N/A</v>
      </c>
      <c r="BC852" s="77"/>
      <c r="BE852">
        <f t="shared" si="878"/>
        <v>0</v>
      </c>
      <c r="BF852" s="196"/>
      <c r="BG852" s="196"/>
      <c r="BH852" s="196"/>
      <c r="BI852" s="196"/>
      <c r="BJ852" s="196"/>
      <c r="BK852" s="196"/>
    </row>
    <row r="853" spans="2:63" hidden="1">
      <c r="B853" s="72"/>
      <c r="C853" s="135"/>
      <c r="D853" s="78"/>
      <c r="E853" s="78"/>
      <c r="F853" s="72"/>
      <c r="G853" s="72"/>
      <c r="H853" s="72"/>
      <c r="I853" s="73">
        <f t="shared" si="880"/>
        <v>0</v>
      </c>
      <c r="J853" s="78"/>
      <c r="K853" s="73"/>
      <c r="L853" s="74" t="e">
        <f>_xlfn.IFNA(VLOOKUP(C853,'חד גזעי'!$U$3:$V$509,2,0),VLOOKUP(C853,'חד גזעי'!$U$3:$V$509,2))</f>
        <v>#N/A</v>
      </c>
      <c r="M853" s="73"/>
      <c r="N853" s="72" t="e">
        <f>_xlfn.IFNA(IF(VLOOKUP(C853,'חד גזעי'!$AH$2:$AH$7,1,FALSE)&gt;0,0,IF('חד גזעי'!$AM$5="כן",IF(_xlfn.IFNA(VLOOKUP(C853,'חד גזעי'!$AH$2:$AH$33,1,FALSE),SUM(J853:M853))&lt;21,_xlfn.IFNA(VLOOKUP(C853,'חד גזעי'!$AH$2:$AH$33,1,FALSE),SUM(J853:M853)),0),SUM(J853:M853))),IF('חד גזעי'!$AM$5="כן",IF(_xlfn.IFNA(VLOOKUP(C853,'חד גזעי'!$AH$2:$AH$33,1,FALSE),SUM(J853:M853))&lt;21,_xlfn.IFNA(VLOOKUP(C853,'חד גזעי'!$AH$2:$AH$33,1,FALSE),SUM(J853:M853)),0),SUM(J853:M853)))</f>
        <v>#N/A</v>
      </c>
      <c r="O853" s="72">
        <f>IF('חד גזעי'!$AM$3 = "כן",IF(T853&gt;4,4,T853),T853)</f>
        <v>0</v>
      </c>
      <c r="P853" s="80">
        <f>IF(E853&lt;2,0,IF(Z853&gt;0,Z853,IF(N853 = 0,0,IF('חד גזעי'!$AM$2 = "לא",IF(F853&gt;19,W853,0),IF(F853&gt;9,Y853,0)))))</f>
        <v>0</v>
      </c>
      <c r="Q853" s="77"/>
      <c r="R853" s="76"/>
      <c r="S853" t="e">
        <f>VLOOKUP(C853,'חד גזעי'!$Y$4:$Y$18,1,0)</f>
        <v>#N/A</v>
      </c>
      <c r="T853" s="72">
        <f>IF('חד גזעי'!$AM$6="לא",IF(P853=0,IF(BC853="שימור",IF('חד גזעי'!$AM$4="לא",IF(BC853="לא בוגר",0,IF(BC853="לא קיים",0,IF(J853=0,0,I853*0.1))),IF(BC853="לא בוגר",0,IF(BC853="לא קיים",0,IF(AB853=1,I853*0.1,E853*0.5)))),0),IF('חד גזעי'!$AM$4="לא",IF(BC853="לא בוגר",0,IF(BC853="לא קיים",0,IF(J853=0,0,I853*0.1))),IF(BC853="לא בוגר",0,IF(BC853="לא קיים",0,IF(AB853=1,I853*0.1,E853*0.5))))),IF(P853=0,IF(BC853="שימור",IF('חד גזעי'!$AM$4="לא",IF(BC853="לא בוגר",0,IF(BC853="לא קיים",0,IF(J853=0,0,I853*0.15))),IF(BC853="לא בוגר",0,IF(BC853="לא קיים",0,IF(AB853=1,I853*0.15,E853*0.5)))),0),IF('חד גזעי'!$AM$4="לא",IF(BC853="לא בוגר",0,IF(BC853="לא קיים",0,IF(J853=0,0,I853*0.15))),IF(BC853="לא בוגר",0,IF(BC853="לא קיים",0,IF(AB853=1,I853*0.15,E853*0.5))))))</f>
        <v>0</v>
      </c>
      <c r="V853" t="e">
        <f t="shared" si="901"/>
        <v>#N/A</v>
      </c>
      <c r="W853" t="e">
        <f t="shared" si="902"/>
        <v>#N/A</v>
      </c>
      <c r="X853" t="e">
        <f t="shared" si="903"/>
        <v>#N/A</v>
      </c>
      <c r="Y853">
        <f>IF('חד גזעי'!$AM$2 = "לא",0,IF(F853&gt;9,W853,0))</f>
        <v>0</v>
      </c>
      <c r="Z853">
        <f>IF('חד גזעי'!$AM$7 = "לא",0,IF(C853 = "זית אירופי",IF('חד גזעי'!$AN$7 &lt;=סקר!F853,W853,0),IF(C853 = "חרוב מצוי",IF('חד גזעי'!$AN$7 &lt;=סקר!F853,W853,0),0)))</f>
        <v>0</v>
      </c>
      <c r="AB853">
        <f t="shared" si="881"/>
        <v>1</v>
      </c>
      <c r="AC853" s="72"/>
      <c r="AD853" t="e">
        <f t="shared" si="899"/>
        <v>#N/A</v>
      </c>
      <c r="AE853" s="72"/>
      <c r="AF853" s="72" t="e">
        <f t="shared" si="882"/>
        <v>#N/A</v>
      </c>
      <c r="AG853" s="72" t="e">
        <f>IF('חד גזעי'!$AM$5="לא",(VLOOKUP(C853,'חד גזעי'!$P$1:$S$589,3,FALSE)),(VLOOKUP(C853,'חד גזעי'!$P$1:$S$589,4,FALSE)))</f>
        <v>#N/A</v>
      </c>
      <c r="AH853" s="72">
        <f t="shared" si="883"/>
        <v>0</v>
      </c>
      <c r="AI853" s="72">
        <f t="shared" si="884"/>
        <v>0</v>
      </c>
      <c r="AJ853" s="72">
        <f t="shared" si="885"/>
        <v>0</v>
      </c>
      <c r="AK853" s="72" t="e">
        <f t="shared" si="886"/>
        <v>#N/A</v>
      </c>
      <c r="AL853" t="e">
        <f>VLOOKUP(C853,'חד גזעי'!$AH$8:$AI$33,2,FALSE)</f>
        <v>#N/A</v>
      </c>
      <c r="AM853" s="72" t="b">
        <f t="shared" si="887"/>
        <v>0</v>
      </c>
      <c r="AN853" s="72" t="b">
        <f t="shared" si="888"/>
        <v>0</v>
      </c>
      <c r="AO853" s="72" t="b">
        <f t="shared" si="889"/>
        <v>0</v>
      </c>
      <c r="AS853" s="72">
        <f t="shared" si="890"/>
        <v>0</v>
      </c>
      <c r="AT853" s="72">
        <f t="shared" si="891"/>
        <v>0</v>
      </c>
      <c r="AU853" s="72">
        <f t="shared" si="900"/>
        <v>0</v>
      </c>
      <c r="AV853" s="72">
        <f t="shared" si="892"/>
        <v>0</v>
      </c>
      <c r="AW853" s="72">
        <f t="shared" si="893"/>
        <v>0</v>
      </c>
      <c r="AX853" s="72">
        <f t="shared" si="894"/>
        <v>0</v>
      </c>
      <c r="AY853" s="72">
        <f t="shared" si="895"/>
        <v>0</v>
      </c>
      <c r="AZ853" s="72">
        <f t="shared" si="896"/>
        <v>0</v>
      </c>
      <c r="BA853" s="72" t="e">
        <f t="shared" si="897"/>
        <v>#N/A</v>
      </c>
      <c r="BB853" s="72" t="e">
        <f t="shared" si="898"/>
        <v>#N/A</v>
      </c>
      <c r="BC853" s="77"/>
      <c r="BE853">
        <f t="shared" si="878"/>
        <v>0</v>
      </c>
      <c r="BF853" s="196"/>
      <c r="BG853" s="196"/>
      <c r="BH853" s="196"/>
      <c r="BI853" s="196"/>
      <c r="BJ853" s="196"/>
      <c r="BK853" s="196"/>
    </row>
    <row r="854" spans="2:63" hidden="1">
      <c r="B854" s="72"/>
      <c r="C854" s="135"/>
      <c r="D854" s="78"/>
      <c r="E854" s="78"/>
      <c r="F854" s="72"/>
      <c r="G854" s="72"/>
      <c r="H854" s="72"/>
      <c r="I854" s="73">
        <f t="shared" si="880"/>
        <v>0</v>
      </c>
      <c r="J854" s="78"/>
      <c r="K854" s="73"/>
      <c r="L854" s="74" t="e">
        <f>_xlfn.IFNA(VLOOKUP(C854,'חד גזעי'!$U$3:$V$509,2,0),VLOOKUP(C854,'חד גזעי'!$U$3:$V$509,2))</f>
        <v>#N/A</v>
      </c>
      <c r="M854" s="73"/>
      <c r="N854" s="72" t="e">
        <f>_xlfn.IFNA(IF(VLOOKUP(C854,'חד גזעי'!$AH$2:$AH$7,1,FALSE)&gt;0,0,IF('חד גזעי'!$AM$5="כן",IF(_xlfn.IFNA(VLOOKUP(C854,'חד גזעי'!$AH$2:$AH$33,1,FALSE),SUM(J854:M854))&lt;21,_xlfn.IFNA(VLOOKUP(C854,'חד גזעי'!$AH$2:$AH$33,1,FALSE),SUM(J854:M854)),0),SUM(J854:M854))),IF('חד גזעי'!$AM$5="כן",IF(_xlfn.IFNA(VLOOKUP(C854,'חד גזעי'!$AH$2:$AH$33,1,FALSE),SUM(J854:M854))&lt;21,_xlfn.IFNA(VLOOKUP(C854,'חד גזעי'!$AH$2:$AH$33,1,FALSE),SUM(J854:M854)),0),SUM(J854:M854)))</f>
        <v>#N/A</v>
      </c>
      <c r="O854" s="72">
        <f>IF('חד גזעי'!$AM$3 = "כן",IF(T854&gt;4,4,T854),T854)</f>
        <v>0</v>
      </c>
      <c r="P854" s="80">
        <f>IF(E854&lt;2,0,IF(Z854&gt;0,Z854,IF(N854 = 0,0,IF('חד גזעי'!$AM$2 = "לא",IF(F854&gt;19,W854,0),IF(F854&gt;9,Y854,0)))))</f>
        <v>0</v>
      </c>
      <c r="Q854" s="77"/>
      <c r="R854" s="75"/>
      <c r="S854" t="e">
        <f>VLOOKUP(C854,'חד גזעי'!$Y$4:$Y$18,1,0)</f>
        <v>#N/A</v>
      </c>
      <c r="T854" s="72">
        <f>IF('חד גזעי'!$AM$6="לא",IF(P854=0,IF(BC854="שימור",IF('חד גזעי'!$AM$4="לא",IF(BC854="לא בוגר",0,IF(BC854="לא קיים",0,IF(J854=0,0,I854*0.1))),IF(BC854="לא בוגר",0,IF(BC854="לא קיים",0,IF(AB854=1,I854*0.1,E854*0.5)))),0),IF('חד גזעי'!$AM$4="לא",IF(BC854="לא בוגר",0,IF(BC854="לא קיים",0,IF(J854=0,0,I854*0.1))),IF(BC854="לא בוגר",0,IF(BC854="לא קיים",0,IF(AB854=1,I854*0.1,E854*0.5))))),IF(P854=0,IF(BC854="שימור",IF('חד גזעי'!$AM$4="לא",IF(BC854="לא בוגר",0,IF(BC854="לא קיים",0,IF(J854=0,0,I854*0.15))),IF(BC854="לא בוגר",0,IF(BC854="לא קיים",0,IF(AB854=1,I854*0.15,E854*0.5)))),0),IF('חד גזעי'!$AM$4="לא",IF(BC854="לא בוגר",0,IF(BC854="לא קיים",0,IF(J854=0,0,I854*0.15))),IF(BC854="לא בוגר",0,IF(BC854="לא קיים",0,IF(AB854=1,I854*0.15,E854*0.5))))))</f>
        <v>0</v>
      </c>
      <c r="V854" t="e">
        <f t="shared" si="901"/>
        <v>#N/A</v>
      </c>
      <c r="W854" t="e">
        <f t="shared" si="902"/>
        <v>#N/A</v>
      </c>
      <c r="X854" t="e">
        <f t="shared" si="903"/>
        <v>#N/A</v>
      </c>
      <c r="Y854">
        <f>IF('חד גזעי'!$AM$2 = "לא",0,IF(F854&gt;9,W854,0))</f>
        <v>0</v>
      </c>
      <c r="Z854">
        <f>IF('חד גזעי'!$AM$7 = "לא",0,IF(C854 = "זית אירופי",IF('חד גזעי'!$AN$7 &lt;=סקר!F854,W854,0),IF(C854 = "חרוב מצוי",IF('חד גזעי'!$AN$7 &lt;=סקר!F854,W854,0),0)))</f>
        <v>0</v>
      </c>
      <c r="AB854">
        <f t="shared" si="881"/>
        <v>1</v>
      </c>
      <c r="AC854" s="72"/>
      <c r="AD854" t="e">
        <f t="shared" si="899"/>
        <v>#N/A</v>
      </c>
      <c r="AE854" s="72"/>
      <c r="AF854" s="72" t="e">
        <f t="shared" si="882"/>
        <v>#N/A</v>
      </c>
      <c r="AG854" s="72" t="e">
        <f>IF('חד גזעי'!$AM$5="לא",(VLOOKUP(C854,'חד גזעי'!$P$1:$S$589,3,FALSE)),(VLOOKUP(C854,'חד גזעי'!$P$1:$S$589,4,FALSE)))</f>
        <v>#N/A</v>
      </c>
      <c r="AH854" s="72">
        <f t="shared" si="883"/>
        <v>0</v>
      </c>
      <c r="AI854" s="72">
        <f t="shared" si="884"/>
        <v>0</v>
      </c>
      <c r="AJ854" s="72">
        <f t="shared" si="885"/>
        <v>0</v>
      </c>
      <c r="AK854" s="72" t="e">
        <f t="shared" si="886"/>
        <v>#N/A</v>
      </c>
      <c r="AL854" t="e">
        <f>VLOOKUP(C854,'חד גזעי'!$AH$8:$AI$33,2,FALSE)</f>
        <v>#N/A</v>
      </c>
      <c r="AM854" s="72" t="b">
        <f t="shared" si="887"/>
        <v>0</v>
      </c>
      <c r="AN854" s="72" t="b">
        <f t="shared" si="888"/>
        <v>0</v>
      </c>
      <c r="AO854" s="72" t="b">
        <f t="shared" si="889"/>
        <v>0</v>
      </c>
      <c r="AS854" s="72">
        <f t="shared" si="890"/>
        <v>0</v>
      </c>
      <c r="AT854" s="72">
        <f t="shared" si="891"/>
        <v>0</v>
      </c>
      <c r="AU854" s="72">
        <f t="shared" si="900"/>
        <v>0</v>
      </c>
      <c r="AV854" s="72">
        <f t="shared" si="892"/>
        <v>0</v>
      </c>
      <c r="AW854" s="72">
        <f t="shared" si="893"/>
        <v>0</v>
      </c>
      <c r="AX854" s="72">
        <f t="shared" si="894"/>
        <v>0</v>
      </c>
      <c r="AY854" s="72">
        <f t="shared" si="895"/>
        <v>0</v>
      </c>
      <c r="AZ854" s="72">
        <f t="shared" si="896"/>
        <v>0</v>
      </c>
      <c r="BA854" s="72" t="e">
        <f t="shared" si="897"/>
        <v>#N/A</v>
      </c>
      <c r="BB854" s="72" t="e">
        <f t="shared" si="898"/>
        <v>#N/A</v>
      </c>
      <c r="BC854" s="77"/>
      <c r="BE854">
        <f t="shared" si="878"/>
        <v>0</v>
      </c>
      <c r="BF854" s="196"/>
      <c r="BG854" s="196"/>
      <c r="BH854" s="196"/>
      <c r="BI854" s="196"/>
      <c r="BJ854" s="196"/>
      <c r="BK854" s="196"/>
    </row>
    <row r="855" spans="2:63" hidden="1">
      <c r="B855" s="72"/>
      <c r="C855" s="135"/>
      <c r="D855" s="78"/>
      <c r="E855" s="78"/>
      <c r="F855" s="72"/>
      <c r="G855" s="72"/>
      <c r="H855" s="72"/>
      <c r="I855" s="73">
        <f t="shared" si="880"/>
        <v>0</v>
      </c>
      <c r="J855" s="78"/>
      <c r="K855" s="73"/>
      <c r="L855" s="74" t="e">
        <f>_xlfn.IFNA(VLOOKUP(C855,'חד גזעי'!$U$3:$V$509,2,0),VLOOKUP(C855,'חד גזעי'!$U$3:$V$509,2))</f>
        <v>#N/A</v>
      </c>
      <c r="M855" s="73"/>
      <c r="N855" s="72" t="e">
        <f>_xlfn.IFNA(IF(VLOOKUP(C855,'חד גזעי'!$AH$2:$AH$7,1,FALSE)&gt;0,0,IF('חד גזעי'!$AM$5="כן",IF(_xlfn.IFNA(VLOOKUP(C855,'חד גזעי'!$AH$2:$AH$33,1,FALSE),SUM(J855:M855))&lt;21,_xlfn.IFNA(VLOOKUP(C855,'חד גזעי'!$AH$2:$AH$33,1,FALSE),SUM(J855:M855)),0),SUM(J855:M855))),IF('חד גזעי'!$AM$5="כן",IF(_xlfn.IFNA(VLOOKUP(C855,'חד גזעי'!$AH$2:$AH$33,1,FALSE),SUM(J855:M855))&lt;21,_xlfn.IFNA(VLOOKUP(C855,'חד גזעי'!$AH$2:$AH$33,1,FALSE),SUM(J855:M855)),0),SUM(J855:M855)))</f>
        <v>#N/A</v>
      </c>
      <c r="O855" s="72">
        <f>IF('חד גזעי'!$AM$3 = "כן",IF(T855&gt;4,4,T855),T855)</f>
        <v>0</v>
      </c>
      <c r="P855" s="80">
        <f>IF(E855&lt;2,0,IF(Z855&gt;0,Z855,IF(N855 = 0,0,IF('חד גזעי'!$AM$2 = "לא",IF(F855&gt;19,W855,0),IF(F855&gt;9,Y855,0)))))</f>
        <v>0</v>
      </c>
      <c r="Q855" s="77"/>
      <c r="R855" s="76"/>
      <c r="S855" t="e">
        <f>VLOOKUP(C855,'חד גזעי'!$Y$4:$Y$18,1,0)</f>
        <v>#N/A</v>
      </c>
      <c r="T855" s="72">
        <f>IF('חד גזעי'!$AM$6="לא",IF(P855=0,IF(BC855="שימור",IF('חד גזעי'!$AM$4="לא",IF(BC855="לא בוגר",0,IF(BC855="לא קיים",0,IF(J855=0,0,I855*0.1))),IF(BC855="לא בוגר",0,IF(BC855="לא קיים",0,IF(AB855=1,I855*0.1,E855*0.5)))),0),IF('חד גזעי'!$AM$4="לא",IF(BC855="לא בוגר",0,IF(BC855="לא קיים",0,IF(J855=0,0,I855*0.1))),IF(BC855="לא בוגר",0,IF(BC855="לא קיים",0,IF(AB855=1,I855*0.1,E855*0.5))))),IF(P855=0,IF(BC855="שימור",IF('חד גזעי'!$AM$4="לא",IF(BC855="לא בוגר",0,IF(BC855="לא קיים",0,IF(J855=0,0,I855*0.15))),IF(BC855="לא בוגר",0,IF(BC855="לא קיים",0,IF(AB855=1,I855*0.15,E855*0.5)))),0),IF('חד גזעי'!$AM$4="לא",IF(BC855="לא בוגר",0,IF(BC855="לא קיים",0,IF(J855=0,0,I855*0.15))),IF(BC855="לא בוגר",0,IF(BC855="לא קיים",0,IF(AB855=1,I855*0.15,E855*0.5))))))</f>
        <v>0</v>
      </c>
      <c r="V855" t="e">
        <f t="shared" si="901"/>
        <v>#N/A</v>
      </c>
      <c r="W855" t="e">
        <f t="shared" si="902"/>
        <v>#N/A</v>
      </c>
      <c r="X855" t="e">
        <f t="shared" si="903"/>
        <v>#N/A</v>
      </c>
      <c r="Y855">
        <f>IF('חד גזעי'!$AM$2 = "לא",0,IF(F855&gt;9,W855,0))</f>
        <v>0</v>
      </c>
      <c r="Z855">
        <f>IF('חד גזעי'!$AM$7 = "לא",0,IF(C855 = "זית אירופי",IF('חד גזעי'!$AN$7 &lt;=סקר!F855,W855,0),IF(C855 = "חרוב מצוי",IF('חד גזעי'!$AN$7 &lt;=סקר!F855,W855,0),0)))</f>
        <v>0</v>
      </c>
      <c r="AB855">
        <f t="shared" si="881"/>
        <v>1</v>
      </c>
      <c r="AC855" s="72"/>
      <c r="AD855" t="e">
        <f t="shared" si="899"/>
        <v>#N/A</v>
      </c>
      <c r="AE855" s="72"/>
      <c r="AF855" s="72" t="e">
        <f t="shared" si="882"/>
        <v>#N/A</v>
      </c>
      <c r="AG855" s="72" t="e">
        <f>IF('חד גזעי'!$AM$5="לא",(VLOOKUP(C855,'חד גזעי'!$P$1:$S$589,3,FALSE)),(VLOOKUP(C855,'חד גזעי'!$P$1:$S$589,4,FALSE)))</f>
        <v>#N/A</v>
      </c>
      <c r="AH855" s="72">
        <f t="shared" si="883"/>
        <v>0</v>
      </c>
      <c r="AI855" s="72">
        <f t="shared" si="884"/>
        <v>0</v>
      </c>
      <c r="AJ855" s="72">
        <f t="shared" si="885"/>
        <v>0</v>
      </c>
      <c r="AK855" s="72" t="e">
        <f t="shared" si="886"/>
        <v>#N/A</v>
      </c>
      <c r="AL855" t="e">
        <f>VLOOKUP(C855,'חד גזעי'!$AH$8:$AI$33,2,FALSE)</f>
        <v>#N/A</v>
      </c>
      <c r="AM855" s="72" t="b">
        <f t="shared" si="887"/>
        <v>0</v>
      </c>
      <c r="AN855" s="72" t="b">
        <f t="shared" si="888"/>
        <v>0</v>
      </c>
      <c r="AO855" s="72" t="b">
        <f t="shared" si="889"/>
        <v>0</v>
      </c>
      <c r="AS855" s="72">
        <f t="shared" si="890"/>
        <v>0</v>
      </c>
      <c r="AT855" s="72">
        <f t="shared" si="891"/>
        <v>0</v>
      </c>
      <c r="AU855" s="72">
        <f t="shared" si="900"/>
        <v>0</v>
      </c>
      <c r="AV855" s="72">
        <f t="shared" si="892"/>
        <v>0</v>
      </c>
      <c r="AW855" s="72">
        <f t="shared" si="893"/>
        <v>0</v>
      </c>
      <c r="AX855" s="72">
        <f t="shared" si="894"/>
        <v>0</v>
      </c>
      <c r="AY855" s="72">
        <f t="shared" si="895"/>
        <v>0</v>
      </c>
      <c r="AZ855" s="72">
        <f t="shared" si="896"/>
        <v>0</v>
      </c>
      <c r="BA855" s="72" t="e">
        <f t="shared" si="897"/>
        <v>#N/A</v>
      </c>
      <c r="BB855" s="72" t="e">
        <f t="shared" si="898"/>
        <v>#N/A</v>
      </c>
      <c r="BC855" s="77"/>
      <c r="BE855">
        <f t="shared" si="878"/>
        <v>0</v>
      </c>
      <c r="BF855" s="196"/>
      <c r="BG855" s="196"/>
      <c r="BH855" s="196"/>
      <c r="BI855" s="196"/>
      <c r="BJ855" s="196"/>
      <c r="BK855" s="196"/>
    </row>
    <row r="856" spans="2:63" hidden="1">
      <c r="B856" s="72"/>
      <c r="C856" s="135"/>
      <c r="D856" s="78"/>
      <c r="E856" s="78"/>
      <c r="F856" s="72"/>
      <c r="G856" s="72"/>
      <c r="H856" s="72"/>
      <c r="I856" s="73">
        <f t="shared" si="880"/>
        <v>0</v>
      </c>
      <c r="J856" s="78"/>
      <c r="K856" s="73"/>
      <c r="L856" s="74" t="e">
        <f>_xlfn.IFNA(VLOOKUP(C856,'חד גזעי'!$U$3:$V$509,2,0),VLOOKUP(C856,'חד גזעי'!$U$3:$V$509,2))</f>
        <v>#N/A</v>
      </c>
      <c r="M856" s="102"/>
      <c r="N856" s="72" t="e">
        <f>_xlfn.IFNA(IF(VLOOKUP(C856,'חד גזעי'!$AH$2:$AH$7,1,FALSE)&gt;0,0,IF('חד גזעי'!$AM$5="כן",IF(_xlfn.IFNA(VLOOKUP(C856,'חד גזעי'!$AH$2:$AH$33,1,FALSE),SUM(J856:M856))&lt;21,_xlfn.IFNA(VLOOKUP(C856,'חד גזעי'!$AH$2:$AH$33,1,FALSE),SUM(J856:M856)),0),SUM(J856:M856))),IF('חד גזעי'!$AM$5="כן",IF(_xlfn.IFNA(VLOOKUP(C856,'חד גזעי'!$AH$2:$AH$33,1,FALSE),SUM(J856:M856))&lt;21,_xlfn.IFNA(VLOOKUP(C856,'חד גזעי'!$AH$2:$AH$33,1,FALSE),SUM(J856:M856)),0),SUM(J856:M856)))</f>
        <v>#N/A</v>
      </c>
      <c r="O856" s="72">
        <f>IF('חד גזעי'!$AM$3 = "כן",IF(T856&gt;4,4,T856),T856)</f>
        <v>0</v>
      </c>
      <c r="P856" s="80">
        <f>IF(E856&lt;2,0,IF(Z856&gt;0,Z856,IF(N856 = 0,0,IF('חד גזעי'!$AM$2 = "לא",IF(F856&gt;19,W856,0),IF(F856&gt;9,Y856,0)))))</f>
        <v>0</v>
      </c>
      <c r="Q856" s="77"/>
      <c r="R856" s="76"/>
      <c r="S856" t="e">
        <f>VLOOKUP(C856,'חד גזעי'!$Y$4:$Y$18,1,0)</f>
        <v>#N/A</v>
      </c>
      <c r="T856" s="72">
        <f>IF('חד גזעי'!$AM$6="לא",IF(P856=0,IF(BC856="שימור",IF('חד גזעי'!$AM$4="לא",IF(BC856="לא בוגר",0,IF(BC856="לא קיים",0,IF(J856=0,0,I856*0.1))),IF(BC856="לא בוגר",0,IF(BC856="לא קיים",0,IF(AB856=1,I856*0.1,E856*0.5)))),0),IF('חד גזעי'!$AM$4="לא",IF(BC856="לא בוגר",0,IF(BC856="לא קיים",0,IF(J856=0,0,I856*0.1))),IF(BC856="לא בוגר",0,IF(BC856="לא קיים",0,IF(AB856=1,I856*0.1,E856*0.5))))),IF(P856=0,IF(BC856="שימור",IF('חד גזעי'!$AM$4="לא",IF(BC856="לא בוגר",0,IF(BC856="לא קיים",0,IF(J856=0,0,I856*0.15))),IF(BC856="לא בוגר",0,IF(BC856="לא קיים",0,IF(AB856=1,I856*0.15,E856*0.5)))),0),IF('חד גזעי'!$AM$4="לא",IF(BC856="לא בוגר",0,IF(BC856="לא קיים",0,IF(J856=0,0,I856*0.15))),IF(BC856="לא בוגר",0,IF(BC856="לא קיים",0,IF(AB856=1,I856*0.15,E856*0.5))))))</f>
        <v>0</v>
      </c>
      <c r="V856" t="e">
        <f t="shared" si="901"/>
        <v>#N/A</v>
      </c>
      <c r="W856" t="e">
        <f t="shared" si="902"/>
        <v>#N/A</v>
      </c>
      <c r="X856" t="e">
        <f t="shared" si="903"/>
        <v>#N/A</v>
      </c>
      <c r="Y856">
        <f>IF('חד גזעי'!$AM$2 = "לא",0,IF(F856&gt;9,W856,0))</f>
        <v>0</v>
      </c>
      <c r="Z856">
        <f>IF('חד גזעי'!$AM$7 = "לא",0,IF(C856 = "זית אירופי",IF('חד גזעי'!$AN$7 &lt;=סקר!F856,W856,0),IF(C856 = "חרוב מצוי",IF('חד גזעי'!$AN$7 &lt;=סקר!F856,W856,0),0)))</f>
        <v>0</v>
      </c>
      <c r="AB856">
        <f t="shared" si="881"/>
        <v>1</v>
      </c>
      <c r="AC856" s="72"/>
      <c r="AD856" t="e">
        <f t="shared" si="899"/>
        <v>#N/A</v>
      </c>
      <c r="AE856" s="72"/>
      <c r="AF856" s="72" t="e">
        <f t="shared" si="882"/>
        <v>#N/A</v>
      </c>
      <c r="AG856" s="72" t="e">
        <f>IF('חד גזעי'!$AM$5="לא",(VLOOKUP(C856,'חד גזעי'!$P$1:$S$589,3,FALSE)),(VLOOKUP(C856,'חד גזעי'!$P$1:$S$589,4,FALSE)))</f>
        <v>#N/A</v>
      </c>
      <c r="AH856" s="72">
        <f t="shared" si="883"/>
        <v>0</v>
      </c>
      <c r="AI856" s="72">
        <f t="shared" si="884"/>
        <v>0</v>
      </c>
      <c r="AJ856" s="72">
        <f t="shared" si="885"/>
        <v>0</v>
      </c>
      <c r="AK856" s="72" t="e">
        <f t="shared" si="886"/>
        <v>#N/A</v>
      </c>
      <c r="AL856" t="e">
        <f>VLOOKUP(C856,'חד גזעי'!$AH$8:$AI$33,2,FALSE)</f>
        <v>#N/A</v>
      </c>
      <c r="AM856" s="72" t="b">
        <f t="shared" si="887"/>
        <v>0</v>
      </c>
      <c r="AN856" s="72" t="b">
        <f t="shared" si="888"/>
        <v>0</v>
      </c>
      <c r="AO856" s="72" t="b">
        <f t="shared" si="889"/>
        <v>0</v>
      </c>
      <c r="AS856" s="72">
        <f t="shared" si="890"/>
        <v>0</v>
      </c>
      <c r="AT856" s="72">
        <f t="shared" si="891"/>
        <v>0</v>
      </c>
      <c r="AU856" s="72">
        <f t="shared" si="900"/>
        <v>0</v>
      </c>
      <c r="AV856" s="72">
        <f t="shared" si="892"/>
        <v>0</v>
      </c>
      <c r="AW856" s="72">
        <f t="shared" si="893"/>
        <v>0</v>
      </c>
      <c r="AX856" s="72">
        <f t="shared" si="894"/>
        <v>0</v>
      </c>
      <c r="AY856" s="72">
        <f t="shared" si="895"/>
        <v>0</v>
      </c>
      <c r="AZ856" s="72">
        <f t="shared" si="896"/>
        <v>0</v>
      </c>
      <c r="BA856" s="72" t="e">
        <f t="shared" si="897"/>
        <v>#N/A</v>
      </c>
      <c r="BB856" s="72" t="e">
        <f t="shared" si="898"/>
        <v>#N/A</v>
      </c>
      <c r="BC856" s="77"/>
      <c r="BE856">
        <f t="shared" si="878"/>
        <v>0</v>
      </c>
      <c r="BF856" s="196"/>
      <c r="BG856" s="196"/>
      <c r="BH856" s="196"/>
      <c r="BI856" s="196"/>
      <c r="BJ856" s="196"/>
      <c r="BK856" s="196"/>
    </row>
    <row r="857" spans="2:63" hidden="1">
      <c r="B857" s="72"/>
      <c r="C857" s="135"/>
      <c r="D857" s="73"/>
      <c r="E857" s="73"/>
      <c r="F857" s="72"/>
      <c r="G857" s="72"/>
      <c r="H857" s="72"/>
      <c r="I857" s="73">
        <f t="shared" si="880"/>
        <v>0</v>
      </c>
      <c r="J857" s="73"/>
      <c r="K857" s="73"/>
      <c r="L857" s="74" t="e">
        <f>_xlfn.IFNA(VLOOKUP(C857,'חד גזעי'!$U$3:$V$509,2,0),VLOOKUP(C857,'חד גזעי'!$U$3:$V$509,2))</f>
        <v>#N/A</v>
      </c>
      <c r="M857" s="73"/>
      <c r="N857" s="72" t="e">
        <f>_xlfn.IFNA(IF(VLOOKUP(C857,'חד גזעי'!$AH$2:$AH$7,1,FALSE)&gt;0,0,IF('חד גזעי'!$AM$5="כן",IF(_xlfn.IFNA(VLOOKUP(C857,'חד גזעי'!$AH$2:$AH$33,1,FALSE),SUM(J857:M857))&lt;21,_xlfn.IFNA(VLOOKUP(C857,'חד גזעי'!$AH$2:$AH$33,1,FALSE),SUM(J857:M857)),0),SUM(J857:M857))),IF('חד גזעי'!$AM$5="כן",IF(_xlfn.IFNA(VLOOKUP(C857,'חד גזעי'!$AH$2:$AH$33,1,FALSE),SUM(J857:M857))&lt;21,_xlfn.IFNA(VLOOKUP(C857,'חד גזעי'!$AH$2:$AH$33,1,FALSE),SUM(J857:M857)),0),SUM(J857:M857)))</f>
        <v>#N/A</v>
      </c>
      <c r="O857" s="72">
        <f>IF('חד גזעי'!$AM$3 = "כן",IF(T857&gt;4,4,T857),T857)</f>
        <v>0</v>
      </c>
      <c r="P857" s="80">
        <f>IF(E857&lt;2,0,IF(Z857&gt;0,Z857,IF(N857 = 0,0,IF('חד גזעי'!$AM$2 = "לא",IF(F857&gt;19,W857,0),IF(F857&gt;9,Y857,0)))))</f>
        <v>0</v>
      </c>
      <c r="Q857" s="77"/>
      <c r="R857" s="76"/>
      <c r="S857" t="e">
        <f>VLOOKUP(C857,'חד גזעי'!$Y$4:$Y$18,1,0)</f>
        <v>#N/A</v>
      </c>
      <c r="T857" s="72">
        <f>IF('חד גזעי'!$AM$6="לא",IF(P857=0,IF(BC857="שימור",IF('חד גזעי'!$AM$4="לא",IF(BC857="לא בוגר",0,IF(BC857="לא קיים",0,IF(J857=0,0,I857*0.1))),IF(BC857="לא בוגר",0,IF(BC857="לא קיים",0,IF(AB857=1,I857*0.1,E857*0.5)))),0),IF('חד גזעי'!$AM$4="לא",IF(BC857="לא בוגר",0,IF(BC857="לא קיים",0,IF(J857=0,0,I857*0.1))),IF(BC857="לא בוגר",0,IF(BC857="לא קיים",0,IF(AB857=1,I857*0.1,E857*0.5))))),IF(P857=0,IF(BC857="שימור",IF('חד גזעי'!$AM$4="לא",IF(BC857="לא בוגר",0,IF(BC857="לא קיים",0,IF(J857=0,0,I857*0.15))),IF(BC857="לא בוגר",0,IF(BC857="לא קיים",0,IF(AB857=1,I857*0.15,E857*0.5)))),0),IF('חד גזעי'!$AM$4="לא",IF(BC857="לא בוגר",0,IF(BC857="לא קיים",0,IF(J857=0,0,I857*0.15))),IF(BC857="לא בוגר",0,IF(BC857="לא קיים",0,IF(AB857=1,I857*0.15,E857*0.5))))))</f>
        <v>0</v>
      </c>
      <c r="V857" t="e">
        <f t="shared" si="901"/>
        <v>#N/A</v>
      </c>
      <c r="W857" t="e">
        <f t="shared" si="902"/>
        <v>#N/A</v>
      </c>
      <c r="X857" t="e">
        <f t="shared" si="903"/>
        <v>#N/A</v>
      </c>
      <c r="Y857">
        <f>IF('חד גזעי'!$AM$2 = "לא",0,IF(F857&gt;9,W857,0))</f>
        <v>0</v>
      </c>
      <c r="Z857">
        <f>IF('חד גזעי'!$AM$7 = "לא",0,IF(C857 = "זית אירופי",IF('חד גזעי'!$AN$7 &lt;=סקר!F857,W857,0),IF(C857 = "חרוב מצוי",IF('חד גזעי'!$AN$7 &lt;=סקר!F857,W857,0),0)))</f>
        <v>0</v>
      </c>
      <c r="AB857">
        <f>_xlfn.IFNA(S857,1)</f>
        <v>1</v>
      </c>
      <c r="AC857" s="72"/>
      <c r="AD857" t="e">
        <f t="shared" si="899"/>
        <v>#N/A</v>
      </c>
      <c r="AE857" s="72"/>
      <c r="AF857" s="72" t="e">
        <f t="shared" si="882"/>
        <v>#N/A</v>
      </c>
      <c r="AG857" s="72" t="e">
        <f>IF('חד גזעי'!$AM$5="לא",(VLOOKUP(C857,'חד גזעי'!$P$1:$S$589,3,FALSE)),(VLOOKUP(C857,'חד גזעי'!$P$1:$S$589,4,FALSE)))</f>
        <v>#N/A</v>
      </c>
      <c r="AH857" s="72">
        <f t="shared" si="883"/>
        <v>0</v>
      </c>
      <c r="AI857" s="72">
        <f t="shared" si="884"/>
        <v>0</v>
      </c>
      <c r="AJ857" s="72">
        <f t="shared" si="885"/>
        <v>0</v>
      </c>
      <c r="AK857" s="72" t="e">
        <f t="shared" si="886"/>
        <v>#N/A</v>
      </c>
      <c r="AL857" t="e">
        <f>VLOOKUP(C857,'חד גזעי'!$AH$8:$AI$33,2,FALSE)</f>
        <v>#N/A</v>
      </c>
      <c r="AM857" s="72" t="b">
        <f t="shared" si="887"/>
        <v>0</v>
      </c>
      <c r="AN857" s="72" t="b">
        <f t="shared" si="888"/>
        <v>0</v>
      </c>
      <c r="AO857" s="72" t="b">
        <f t="shared" si="889"/>
        <v>0</v>
      </c>
      <c r="AS857" s="72">
        <f t="shared" si="890"/>
        <v>0</v>
      </c>
      <c r="AT857" s="72">
        <f t="shared" si="891"/>
        <v>0</v>
      </c>
      <c r="AU857" s="72">
        <f t="shared" si="900"/>
        <v>0</v>
      </c>
      <c r="AV857" s="72">
        <f t="shared" si="892"/>
        <v>0</v>
      </c>
      <c r="AW857" s="72">
        <f t="shared" si="893"/>
        <v>0</v>
      </c>
      <c r="AX857" s="72">
        <f t="shared" si="894"/>
        <v>0</v>
      </c>
      <c r="AY857" s="72">
        <f t="shared" si="895"/>
        <v>0</v>
      </c>
      <c r="AZ857" s="72">
        <f t="shared" si="896"/>
        <v>0</v>
      </c>
      <c r="BA857" s="72" t="e">
        <f t="shared" si="897"/>
        <v>#N/A</v>
      </c>
      <c r="BB857" s="72" t="e">
        <f t="shared" si="898"/>
        <v>#N/A</v>
      </c>
      <c r="BC857" s="77"/>
      <c r="BE857">
        <f t="shared" si="878"/>
        <v>0</v>
      </c>
      <c r="BF857" s="196"/>
      <c r="BG857" s="196"/>
      <c r="BH857" s="196"/>
      <c r="BI857" s="196"/>
      <c r="BJ857" s="196"/>
      <c r="BK857" s="196"/>
    </row>
    <row r="858" spans="2:63" hidden="1">
      <c r="B858" s="72"/>
      <c r="C858" s="135"/>
      <c r="D858" s="73"/>
      <c r="E858" s="73"/>
      <c r="F858" s="72"/>
      <c r="G858" s="72"/>
      <c r="H858" s="72"/>
      <c r="I858" s="73">
        <f t="shared" si="880"/>
        <v>0</v>
      </c>
      <c r="J858" s="73"/>
      <c r="K858" s="73"/>
      <c r="L858" s="74" t="e">
        <f>_xlfn.IFNA(VLOOKUP(C858,'חד גזעי'!$U$3:$V$509,2,0),VLOOKUP(C858,'חד גזעי'!$U$3:$V$509,2))</f>
        <v>#N/A</v>
      </c>
      <c r="M858" s="73"/>
      <c r="N858" s="72" t="e">
        <f>_xlfn.IFNA(IF(VLOOKUP(C858,'חד גזעי'!$AH$2:$AH$7,1,FALSE)&gt;0,0,IF('חד גזעי'!$AM$5="כן",IF(_xlfn.IFNA(VLOOKUP(C858,'חד גזעי'!$AH$2:$AH$33,1,FALSE),SUM(J858:M858))&lt;21,_xlfn.IFNA(VLOOKUP(C858,'חד גזעי'!$AH$2:$AH$33,1,FALSE),SUM(J858:M858)),0),SUM(J858:M858))),IF('חד גזעי'!$AM$5="כן",IF(_xlfn.IFNA(VLOOKUP(C858,'חד גזעי'!$AH$2:$AH$33,1,FALSE),SUM(J858:M858))&lt;21,_xlfn.IFNA(VLOOKUP(C858,'חד גזעי'!$AH$2:$AH$33,1,FALSE),SUM(J858:M858)),0),SUM(J858:M858)))</f>
        <v>#N/A</v>
      </c>
      <c r="O858" s="72">
        <f>IF('חד גזעי'!$AM$3 = "כן",IF(T858&gt;4,4,T858),T858)</f>
        <v>0</v>
      </c>
      <c r="P858" s="80">
        <f>IF(E858&lt;2,0,IF(Z858&gt;0,Z858,IF(N858 = 0,0,IF('חד גזעי'!$AM$2 = "לא",IF(F858&gt;19,W858,0),IF(F858&gt;9,Y858,0)))))</f>
        <v>0</v>
      </c>
      <c r="Q858" s="77"/>
      <c r="R858" s="76"/>
      <c r="S858" t="e">
        <f>VLOOKUP(C858,'חד גזעי'!$Y$4:$Y$18,1,0)</f>
        <v>#N/A</v>
      </c>
      <c r="T858" s="72">
        <f>IF('חד גזעי'!$AM$6="לא",IF(P858=0,IF(BC858="שימור",IF('חד גזעי'!$AM$4="לא",IF(BC858="לא בוגר",0,IF(BC858="לא קיים",0,IF(J858=0,0,I858*0.1))),IF(BC858="לא בוגר",0,IF(BC858="לא קיים",0,IF(AB858=1,I858*0.1,E858*0.5)))),0),IF('חד גזעי'!$AM$4="לא",IF(BC858="לא בוגר",0,IF(BC858="לא קיים",0,IF(J858=0,0,I858*0.1))),IF(BC858="לא בוגר",0,IF(BC858="לא קיים",0,IF(AB858=1,I858*0.1,E858*0.5))))),IF(P858=0,IF(BC858="שימור",IF('חד גזעי'!$AM$4="לא",IF(BC858="לא בוגר",0,IF(BC858="לא קיים",0,IF(J858=0,0,I858*0.15))),IF(BC858="לא בוגר",0,IF(BC858="לא קיים",0,IF(AB858=1,I858*0.15,E858*0.5)))),0),IF('חד גזעי'!$AM$4="לא",IF(BC858="לא בוגר",0,IF(BC858="לא קיים",0,IF(J858=0,0,I858*0.15))),IF(BC858="לא בוגר",0,IF(BC858="לא קיים",0,IF(AB858=1,I858*0.15,E858*0.5))))))</f>
        <v>0</v>
      </c>
      <c r="V858" t="e">
        <f t="shared" si="901"/>
        <v>#N/A</v>
      </c>
      <c r="W858" t="e">
        <f t="shared" si="902"/>
        <v>#N/A</v>
      </c>
      <c r="X858" t="e">
        <f t="shared" si="903"/>
        <v>#N/A</v>
      </c>
      <c r="Y858">
        <f>IF('חד גזעי'!$AM$2 = "לא",0,IF(F858&gt;9,W858,0))</f>
        <v>0</v>
      </c>
      <c r="Z858">
        <f>IF('חד גזעי'!$AM$7 = "לא",0,IF(C858 = "זית אירופי",IF('חד גזעי'!$AN$7 &lt;=סקר!F858,W858,0),IF(C858 = "חרוב מצוי",IF('חד גזעי'!$AN$7 &lt;=סקר!F858,W858,0),0)))</f>
        <v>0</v>
      </c>
      <c r="AB858">
        <f t="shared" si="881"/>
        <v>1</v>
      </c>
      <c r="AC858" s="72"/>
      <c r="AD858" t="e">
        <f t="shared" si="899"/>
        <v>#N/A</v>
      </c>
      <c r="AE858" s="72"/>
      <c r="AF858" s="72" t="e">
        <f t="shared" si="882"/>
        <v>#N/A</v>
      </c>
      <c r="AG858" s="72" t="e">
        <f>IF('חד גזעי'!$AM$5="לא",(VLOOKUP(C858,'חד גזעי'!$P$1:$S$589,3,FALSE)),(VLOOKUP(C858,'חד גזעי'!$P$1:$S$589,4,FALSE)))</f>
        <v>#N/A</v>
      </c>
      <c r="AH858" s="72">
        <f t="shared" si="883"/>
        <v>0</v>
      </c>
      <c r="AI858" s="72">
        <f t="shared" si="884"/>
        <v>0</v>
      </c>
      <c r="AJ858" s="72">
        <f t="shared" si="885"/>
        <v>0</v>
      </c>
      <c r="AK858" s="72" t="e">
        <f t="shared" si="886"/>
        <v>#N/A</v>
      </c>
      <c r="AL858" t="e">
        <f>VLOOKUP(C858,'חד גזעי'!$AH$8:$AI$33,2,FALSE)</f>
        <v>#N/A</v>
      </c>
      <c r="AM858" s="72" t="b">
        <f t="shared" si="887"/>
        <v>0</v>
      </c>
      <c r="AN858" s="72" t="b">
        <f t="shared" si="888"/>
        <v>0</v>
      </c>
      <c r="AO858" s="72" t="b">
        <f t="shared" si="889"/>
        <v>0</v>
      </c>
      <c r="AS858" s="72">
        <f t="shared" si="890"/>
        <v>0</v>
      </c>
      <c r="AT858" s="72">
        <f t="shared" si="891"/>
        <v>0</v>
      </c>
      <c r="AU858" s="72">
        <f t="shared" si="900"/>
        <v>0</v>
      </c>
      <c r="AV858" s="72">
        <f t="shared" si="892"/>
        <v>0</v>
      </c>
      <c r="AW858" s="72">
        <f t="shared" si="893"/>
        <v>0</v>
      </c>
      <c r="AX858" s="72">
        <f t="shared" si="894"/>
        <v>0</v>
      </c>
      <c r="AY858" s="72">
        <f t="shared" si="895"/>
        <v>0</v>
      </c>
      <c r="AZ858" s="72">
        <f t="shared" si="896"/>
        <v>0</v>
      </c>
      <c r="BA858" s="72" t="e">
        <f t="shared" si="897"/>
        <v>#N/A</v>
      </c>
      <c r="BB858" s="72" t="e">
        <f t="shared" si="898"/>
        <v>#N/A</v>
      </c>
      <c r="BC858" s="77"/>
      <c r="BE858">
        <f t="shared" si="878"/>
        <v>0</v>
      </c>
      <c r="BF858" s="196"/>
      <c r="BG858" s="196"/>
      <c r="BH858" s="196"/>
      <c r="BI858" s="196"/>
      <c r="BJ858" s="196"/>
      <c r="BK858" s="196"/>
    </row>
    <row r="859" spans="2:63" hidden="1">
      <c r="B859" s="72"/>
      <c r="C859" s="135"/>
      <c r="D859" s="73"/>
      <c r="E859" s="73"/>
      <c r="F859" s="72"/>
      <c r="G859" s="72"/>
      <c r="H859" s="72"/>
      <c r="I859" s="73">
        <f t="shared" si="880"/>
        <v>0</v>
      </c>
      <c r="J859" s="73"/>
      <c r="K859" s="73"/>
      <c r="L859" s="74" t="e">
        <f>_xlfn.IFNA(VLOOKUP(C859,'חד גזעי'!$U$3:$V$509,2,0),VLOOKUP(C859,'חד גזעי'!$U$3:$V$509,2))</f>
        <v>#N/A</v>
      </c>
      <c r="M859" s="73"/>
      <c r="N859" s="72" t="e">
        <f>_xlfn.IFNA(IF(VLOOKUP(C859,'חד גזעי'!$AH$2:$AH$7,1,FALSE)&gt;0,0,IF('חד גזעי'!$AM$5="כן",IF(_xlfn.IFNA(VLOOKUP(C859,'חד גזעי'!$AH$2:$AH$33,1,FALSE),SUM(J859:M859))&lt;21,_xlfn.IFNA(VLOOKUP(C859,'חד גזעי'!$AH$2:$AH$33,1,FALSE),SUM(J859:M859)),0),SUM(J859:M859))),IF('חד גזעי'!$AM$5="כן",IF(_xlfn.IFNA(VLOOKUP(C859,'חד גזעי'!$AH$2:$AH$33,1,FALSE),SUM(J859:M859))&lt;21,_xlfn.IFNA(VLOOKUP(C859,'חד גזעי'!$AH$2:$AH$33,1,FALSE),SUM(J859:M859)),0),SUM(J859:M859)))</f>
        <v>#N/A</v>
      </c>
      <c r="O859" s="72">
        <f>IF('חד גזעי'!$AM$3 = "כן",IF(T859&gt;4,4,T859),T859)</f>
        <v>0</v>
      </c>
      <c r="P859" s="80">
        <f>IF(E859&lt;2,0,IF(Z859&gt;0,Z859,IF(N859 = 0,0,IF('חד גזעי'!$AM$2 = "לא",IF(F859&gt;19,W859,0),IF(F859&gt;9,Y859,0)))))</f>
        <v>0</v>
      </c>
      <c r="Q859" s="77"/>
      <c r="R859" s="76"/>
      <c r="S859" t="e">
        <f>VLOOKUP(C859,'חד גזעי'!$Y$4:$Y$18,1,0)</f>
        <v>#N/A</v>
      </c>
      <c r="T859" s="72">
        <f>IF('חד גזעי'!$AM$6="לא",IF(P859=0,IF(BC859="שימור",IF('חד גזעי'!$AM$4="לא",IF(BC859="לא בוגר",0,IF(BC859="לא קיים",0,IF(J859=0,0,I859*0.1))),IF(BC859="לא בוגר",0,IF(BC859="לא קיים",0,IF(AB859=1,I859*0.1,E859*0.5)))),0),IF('חד גזעי'!$AM$4="לא",IF(BC859="לא בוגר",0,IF(BC859="לא קיים",0,IF(J859=0,0,I859*0.1))),IF(BC859="לא בוגר",0,IF(BC859="לא קיים",0,IF(AB859=1,I859*0.1,E859*0.5))))),IF(P859=0,IF(BC859="שימור",IF('חד גזעי'!$AM$4="לא",IF(BC859="לא בוגר",0,IF(BC859="לא קיים",0,IF(J859=0,0,I859*0.15))),IF(BC859="לא בוגר",0,IF(BC859="לא קיים",0,IF(AB859=1,I859*0.15,E859*0.5)))),0),IF('חד גזעי'!$AM$4="לא",IF(BC859="לא בוגר",0,IF(BC859="לא קיים",0,IF(J859=0,0,I859*0.15))),IF(BC859="לא בוגר",0,IF(BC859="לא קיים",0,IF(AB859=1,I859*0.15,E859*0.5))))))</f>
        <v>0</v>
      </c>
      <c r="V859" t="e">
        <f t="shared" si="901"/>
        <v>#N/A</v>
      </c>
      <c r="W859" t="e">
        <f t="shared" si="902"/>
        <v>#N/A</v>
      </c>
      <c r="X859" t="e">
        <f t="shared" si="903"/>
        <v>#N/A</v>
      </c>
      <c r="Y859">
        <f>IF('חד גזעי'!$AM$2 = "לא",0,IF(F859&gt;9,W859,0))</f>
        <v>0</v>
      </c>
      <c r="Z859">
        <f>IF('חד גזעי'!$AM$7 = "לא",0,IF(C859 = "זית אירופי",IF('חד גזעי'!$AN$7 &lt;=סקר!F859,W859,0),IF(C859 = "חרוב מצוי",IF('חד גזעי'!$AN$7 &lt;=סקר!F859,W859,0),0)))</f>
        <v>0</v>
      </c>
      <c r="AB859">
        <f t="shared" si="881"/>
        <v>1</v>
      </c>
      <c r="AC859" s="72"/>
      <c r="AD859" t="e">
        <f t="shared" si="899"/>
        <v>#N/A</v>
      </c>
      <c r="AE859" s="72"/>
      <c r="AF859" s="72" t="e">
        <f t="shared" si="882"/>
        <v>#N/A</v>
      </c>
      <c r="AG859" s="72" t="e">
        <f>IF('חד גזעי'!$AM$5="לא",(VLOOKUP(C859,'חד גזעי'!$P$1:$S$589,3,FALSE)),(VLOOKUP(C859,'חד גזעי'!$P$1:$S$589,4,FALSE)))</f>
        <v>#N/A</v>
      </c>
      <c r="AH859" s="72">
        <f t="shared" si="883"/>
        <v>0</v>
      </c>
      <c r="AI859" s="72">
        <f t="shared" si="884"/>
        <v>0</v>
      </c>
      <c r="AJ859" s="72">
        <f t="shared" si="885"/>
        <v>0</v>
      </c>
      <c r="AK859" s="72" t="e">
        <f t="shared" si="886"/>
        <v>#N/A</v>
      </c>
      <c r="AL859" t="e">
        <f>VLOOKUP(C859,'חד גזעי'!$AH$8:$AI$33,2,FALSE)</f>
        <v>#N/A</v>
      </c>
      <c r="AM859" s="72" t="b">
        <f t="shared" si="887"/>
        <v>0</v>
      </c>
      <c r="AN859" s="72" t="b">
        <f t="shared" si="888"/>
        <v>0</v>
      </c>
      <c r="AO859" s="72" t="b">
        <f t="shared" si="889"/>
        <v>0</v>
      </c>
      <c r="AS859" s="72">
        <f t="shared" si="890"/>
        <v>0</v>
      </c>
      <c r="AT859" s="72">
        <f t="shared" si="891"/>
        <v>0</v>
      </c>
      <c r="AU859" s="72">
        <f t="shared" si="900"/>
        <v>0</v>
      </c>
      <c r="AV859" s="72">
        <f t="shared" si="892"/>
        <v>0</v>
      </c>
      <c r="AW859" s="72">
        <f t="shared" si="893"/>
        <v>0</v>
      </c>
      <c r="AX859" s="72">
        <f t="shared" si="894"/>
        <v>0</v>
      </c>
      <c r="AY859" s="72">
        <f t="shared" si="895"/>
        <v>0</v>
      </c>
      <c r="AZ859" s="72">
        <f t="shared" si="896"/>
        <v>0</v>
      </c>
      <c r="BA859" s="72" t="e">
        <f t="shared" si="897"/>
        <v>#N/A</v>
      </c>
      <c r="BB859" s="72" t="e">
        <f t="shared" si="898"/>
        <v>#N/A</v>
      </c>
      <c r="BC859" s="77"/>
      <c r="BE859">
        <f t="shared" si="878"/>
        <v>0</v>
      </c>
      <c r="BF859" s="196"/>
      <c r="BG859" s="196"/>
      <c r="BH859" s="196"/>
      <c r="BI859" s="196"/>
      <c r="BJ859" s="196"/>
      <c r="BK859" s="196"/>
    </row>
    <row r="860" spans="2:63" hidden="1">
      <c r="B860" s="72"/>
      <c r="C860" s="135"/>
      <c r="D860" s="73"/>
      <c r="E860" s="73"/>
      <c r="F860" s="72"/>
      <c r="G860" s="72"/>
      <c r="H860" s="72"/>
      <c r="I860" s="73">
        <f t="shared" si="880"/>
        <v>0</v>
      </c>
      <c r="J860" s="73"/>
      <c r="K860" s="73"/>
      <c r="L860" s="74" t="e">
        <f>_xlfn.IFNA(VLOOKUP(C860,'חד גזעי'!$U$3:$V$509,2,0),VLOOKUP(C860,'חד גזעי'!$U$3:$V$509,2))</f>
        <v>#N/A</v>
      </c>
      <c r="M860" s="73"/>
      <c r="N860" s="72" t="e">
        <f>_xlfn.IFNA(IF(VLOOKUP(C860,'חד גזעי'!$AH$2:$AH$7,1,FALSE)&gt;0,0,IF('חד גזעי'!$AM$5="כן",IF(_xlfn.IFNA(VLOOKUP(C860,'חד גזעי'!$AH$2:$AH$33,1,FALSE),SUM(J860:M860))&lt;21,_xlfn.IFNA(VLOOKUP(C860,'חד גזעי'!$AH$2:$AH$33,1,FALSE),SUM(J860:M860)),0),SUM(J860:M860))),IF('חד גזעי'!$AM$5="כן",IF(_xlfn.IFNA(VLOOKUP(C860,'חד גזעי'!$AH$2:$AH$33,1,FALSE),SUM(J860:M860))&lt;21,_xlfn.IFNA(VLOOKUP(C860,'חד גזעי'!$AH$2:$AH$33,1,FALSE),SUM(J860:M860)),0),SUM(J860:M860)))</f>
        <v>#N/A</v>
      </c>
      <c r="O860" s="72">
        <f>IF('חד גזעי'!$AM$3 = "כן",IF(T860&gt;4,4,T860),T860)</f>
        <v>0</v>
      </c>
      <c r="P860" s="80">
        <f>IF(E860&lt;2,0,IF(Z860&gt;0,Z860,IF(N860 = 0,0,IF('חד גזעי'!$AM$2 = "לא",IF(F860&gt;19,W860,0),IF(F860&gt;9,Y860,0)))))</f>
        <v>0</v>
      </c>
      <c r="Q860" s="77"/>
      <c r="R860" s="76"/>
      <c r="S860" t="e">
        <f>VLOOKUP(C860,'חד גזעי'!$Y$4:$Y$18,1,0)</f>
        <v>#N/A</v>
      </c>
      <c r="T860" s="72">
        <f>IF('חד גזעי'!$AM$6="לא",IF(P860=0,IF(BC860="שימור",IF('חד גזעי'!$AM$4="לא",IF(BC860="לא בוגר",0,IF(BC860="לא קיים",0,IF(J860=0,0,I860*0.1))),IF(BC860="לא בוגר",0,IF(BC860="לא קיים",0,IF(AB860=1,I860*0.1,E860*0.5)))),0),IF('חד גזעי'!$AM$4="לא",IF(BC860="לא בוגר",0,IF(BC860="לא קיים",0,IF(J860=0,0,I860*0.1))),IF(BC860="לא בוגר",0,IF(BC860="לא קיים",0,IF(AB860=1,I860*0.1,E860*0.5))))),IF(P860=0,IF(BC860="שימור",IF('חד גזעי'!$AM$4="לא",IF(BC860="לא בוגר",0,IF(BC860="לא קיים",0,IF(J860=0,0,I860*0.15))),IF(BC860="לא בוגר",0,IF(BC860="לא קיים",0,IF(AB860=1,I860*0.15,E860*0.5)))),0),IF('חד גזעי'!$AM$4="לא",IF(BC860="לא בוגר",0,IF(BC860="לא קיים",0,IF(J860=0,0,I860*0.15))),IF(BC860="לא בוגר",0,IF(BC860="לא קיים",0,IF(AB860=1,I860*0.15,E860*0.5))))))</f>
        <v>0</v>
      </c>
      <c r="V860" t="e">
        <f t="shared" si="901"/>
        <v>#N/A</v>
      </c>
      <c r="W860" t="e">
        <f t="shared" si="902"/>
        <v>#N/A</v>
      </c>
      <c r="X860" t="e">
        <f t="shared" si="903"/>
        <v>#N/A</v>
      </c>
      <c r="Y860">
        <f>IF('חד גזעי'!$AM$2 = "לא",0,IF(F860&gt;9,W860,0))</f>
        <v>0</v>
      </c>
      <c r="Z860">
        <f>IF('חד גזעי'!$AM$7 = "לא",0,IF(C860 = "זית אירופי",IF('חד גזעי'!$AN$7 &lt;=סקר!F860,W860,0),IF(C860 = "חרוב מצוי",IF('חד גזעי'!$AN$7 &lt;=סקר!F860,W860,0),0)))</f>
        <v>0</v>
      </c>
      <c r="AB860">
        <f t="shared" si="881"/>
        <v>1</v>
      </c>
      <c r="AC860" s="72"/>
      <c r="AD860" t="e">
        <f>IF(AK860&gt;0,AK860,AF860)</f>
        <v>#N/A</v>
      </c>
      <c r="AE860" s="72"/>
      <c r="AF860" s="72" t="e">
        <f t="shared" si="882"/>
        <v>#N/A</v>
      </c>
      <c r="AG860" s="72" t="e">
        <f>IF('חד גזעי'!$AM$5="לא",(VLOOKUP(C860,'חד גזעי'!$P$1:$S$589,3,FALSE)),(VLOOKUP(C860,'חד גזעי'!$P$1:$S$589,4,FALSE)))</f>
        <v>#N/A</v>
      </c>
      <c r="AH860" s="72">
        <f t="shared" si="883"/>
        <v>0</v>
      </c>
      <c r="AI860" s="72">
        <f t="shared" si="884"/>
        <v>0</v>
      </c>
      <c r="AJ860" s="72">
        <f t="shared" si="885"/>
        <v>0</v>
      </c>
      <c r="AK860" s="72" t="e">
        <f t="shared" si="886"/>
        <v>#N/A</v>
      </c>
      <c r="AL860" t="e">
        <f>VLOOKUP(C860,'חד גזעי'!$AH$8:$AI$33,2,FALSE)</f>
        <v>#N/A</v>
      </c>
      <c r="AM860" s="72" t="b">
        <f t="shared" si="887"/>
        <v>0</v>
      </c>
      <c r="AN860" s="72" t="b">
        <f t="shared" si="888"/>
        <v>0</v>
      </c>
      <c r="AO860" s="72" t="b">
        <f t="shared" si="889"/>
        <v>0</v>
      </c>
      <c r="AS860" s="72">
        <f t="shared" si="890"/>
        <v>0</v>
      </c>
      <c r="AT860" s="72">
        <f t="shared" si="891"/>
        <v>0</v>
      </c>
      <c r="AU860" s="72">
        <f>IF(C860&gt;0,IF(D860&lt;2,1,D860),0)</f>
        <v>0</v>
      </c>
      <c r="AV860" s="72">
        <f t="shared" si="892"/>
        <v>0</v>
      </c>
      <c r="AW860" s="72">
        <f t="shared" si="893"/>
        <v>0</v>
      </c>
      <c r="AX860" s="72">
        <f t="shared" si="894"/>
        <v>0</v>
      </c>
      <c r="AY860" s="72">
        <f t="shared" si="895"/>
        <v>0</v>
      </c>
      <c r="AZ860" s="72">
        <f t="shared" si="896"/>
        <v>0</v>
      </c>
      <c r="BA860" s="72" t="e">
        <f t="shared" si="897"/>
        <v>#N/A</v>
      </c>
      <c r="BB860" s="72" t="e">
        <f t="shared" si="898"/>
        <v>#N/A</v>
      </c>
      <c r="BC860" s="77"/>
      <c r="BE860">
        <f t="shared" si="878"/>
        <v>0</v>
      </c>
      <c r="BF860" s="196"/>
      <c r="BG860" s="196"/>
      <c r="BH860" s="196"/>
      <c r="BI860" s="196"/>
      <c r="BJ860" s="196"/>
      <c r="BK860" s="196"/>
    </row>
    <row r="861" spans="2:63" hidden="1">
      <c r="B861" s="72"/>
      <c r="C861" s="135"/>
      <c r="D861" s="73"/>
      <c r="E861" s="73"/>
      <c r="F861" s="72"/>
      <c r="G861" s="72"/>
      <c r="H861" s="72"/>
      <c r="I861" s="73">
        <f t="shared" si="880"/>
        <v>0</v>
      </c>
      <c r="J861" s="73"/>
      <c r="K861" s="73"/>
      <c r="L861" s="74" t="e">
        <f>_xlfn.IFNA(VLOOKUP(C861,'חד גזעי'!$U$3:$V$509,2,0),VLOOKUP(C861,'חד גזעי'!$U$3:$V$509,2))</f>
        <v>#N/A</v>
      </c>
      <c r="M861" s="73"/>
      <c r="N861" s="72" t="e">
        <f>_xlfn.IFNA(IF(VLOOKUP(C861,'חד גזעי'!$AH$2:$AH$7,1,FALSE)&gt;0,0,IF('חד גזעי'!$AM$5="כן",IF(_xlfn.IFNA(VLOOKUP(C861,'חד גזעי'!$AH$2:$AH$33,1,FALSE),SUM(J861:M861))&lt;21,_xlfn.IFNA(VLOOKUP(C861,'חד גזעי'!$AH$2:$AH$33,1,FALSE),SUM(J861:M861)),0),SUM(J861:M861))),IF('חד גזעי'!$AM$5="כן",IF(_xlfn.IFNA(VLOOKUP(C861,'חד גזעי'!$AH$2:$AH$33,1,FALSE),SUM(J861:M861))&lt;21,_xlfn.IFNA(VLOOKUP(C861,'חד גזעי'!$AH$2:$AH$33,1,FALSE),SUM(J861:M861)),0),SUM(J861:M861)))</f>
        <v>#N/A</v>
      </c>
      <c r="O861" s="72">
        <f>IF('חד גזעי'!$AM$3 = "כן",IF(T861&gt;4,4,T861),T861)</f>
        <v>0</v>
      </c>
      <c r="P861" s="80">
        <f>IF(E861&lt;2,0,IF(Z861&gt;0,Z861,IF(N861 = 0,0,IF('חד גזעי'!$AM$2 = "לא",IF(F861&gt;19,W861,0),IF(F861&gt;9,Y861,0)))))</f>
        <v>0</v>
      </c>
      <c r="Q861" s="77"/>
      <c r="R861" s="76"/>
      <c r="S861" t="e">
        <f>VLOOKUP(C861,'חד גזעי'!$Y$4:$Y$18,1,0)</f>
        <v>#N/A</v>
      </c>
      <c r="T861" s="72">
        <f>IF('חד גזעי'!$AM$6="לא",IF(P861=0,IF(BC861="שימור",IF('חד גזעי'!$AM$4="לא",IF(BC861="לא בוגר",0,IF(BC861="לא קיים",0,IF(J861=0,0,I861*0.1))),IF(BC861="לא בוגר",0,IF(BC861="לא קיים",0,IF(AB861=1,I861*0.1,E861*0.5)))),0),IF('חד גזעי'!$AM$4="לא",IF(BC861="לא בוגר",0,IF(BC861="לא קיים",0,IF(J861=0,0,I861*0.1))),IF(BC861="לא בוגר",0,IF(BC861="לא קיים",0,IF(AB861=1,I861*0.1,E861*0.5))))),IF(P861=0,IF(BC861="שימור",IF('חד גזעי'!$AM$4="לא",IF(BC861="לא בוגר",0,IF(BC861="לא קיים",0,IF(J861=0,0,I861*0.15))),IF(BC861="לא בוגר",0,IF(BC861="לא קיים",0,IF(AB861=1,I861*0.15,E861*0.5)))),0),IF('חד גזעי'!$AM$4="לא",IF(BC861="לא בוגר",0,IF(BC861="לא קיים",0,IF(J861=0,0,I861*0.15))),IF(BC861="לא בוגר",0,IF(BC861="לא קיים",0,IF(AB861=1,I861*0.15,E861*0.5))))))</f>
        <v>0</v>
      </c>
      <c r="V861" t="e">
        <f t="shared" si="901"/>
        <v>#N/A</v>
      </c>
      <c r="W861" t="e">
        <f t="shared" si="902"/>
        <v>#N/A</v>
      </c>
      <c r="X861" t="e">
        <f t="shared" si="903"/>
        <v>#N/A</v>
      </c>
      <c r="Y861">
        <f>IF('חד גזעי'!$AM$2 = "לא",0,IF(F861&gt;9,W861,0))</f>
        <v>0</v>
      </c>
      <c r="Z861">
        <f>IF('חד גזעי'!$AM$7 = "לא",0,IF(C861 = "זית אירופי",IF('חד גזעי'!$AN$7 &lt;=סקר!F861,W861,0),IF(C861 = "חרוב מצוי",IF('חד גזעי'!$AN$7 &lt;=סקר!F861,W861,0),0)))</f>
        <v>0</v>
      </c>
      <c r="AB861">
        <f t="shared" si="881"/>
        <v>1</v>
      </c>
      <c r="AC861" s="72"/>
      <c r="AD861" t="e">
        <f t="shared" si="899"/>
        <v>#N/A</v>
      </c>
      <c r="AE861" s="72"/>
      <c r="AF861" s="72" t="e">
        <f t="shared" si="882"/>
        <v>#N/A</v>
      </c>
      <c r="AG861" s="72" t="e">
        <f>IF('חד גזעי'!$AM$5="לא",(VLOOKUP(C861,'חד גזעי'!$P$1:$S$589,3,FALSE)),(VLOOKUP(C861,'חד גזעי'!$P$1:$S$589,4,FALSE)))</f>
        <v>#N/A</v>
      </c>
      <c r="AH861" s="72">
        <f t="shared" si="883"/>
        <v>0</v>
      </c>
      <c r="AI861" s="72">
        <f t="shared" si="884"/>
        <v>0</v>
      </c>
      <c r="AJ861" s="72">
        <f t="shared" si="885"/>
        <v>0</v>
      </c>
      <c r="AK861" s="72" t="e">
        <f t="shared" si="886"/>
        <v>#N/A</v>
      </c>
      <c r="AL861" t="e">
        <f>VLOOKUP(C861,'חד גזעי'!$AH$8:$AI$33,2,FALSE)</f>
        <v>#N/A</v>
      </c>
      <c r="AM861" s="72" t="b">
        <f t="shared" si="887"/>
        <v>0</v>
      </c>
      <c r="AN861" s="72" t="b">
        <f t="shared" si="888"/>
        <v>0</v>
      </c>
      <c r="AO861" s="72" t="b">
        <f t="shared" si="889"/>
        <v>0</v>
      </c>
      <c r="AS861" s="72">
        <f t="shared" si="890"/>
        <v>0</v>
      </c>
      <c r="AT861" s="72">
        <f t="shared" si="891"/>
        <v>0</v>
      </c>
      <c r="AU861" s="72">
        <f t="shared" si="900"/>
        <v>0</v>
      </c>
      <c r="AV861" s="72">
        <f t="shared" si="892"/>
        <v>0</v>
      </c>
      <c r="AW861" s="72">
        <f t="shared" si="893"/>
        <v>0</v>
      </c>
      <c r="AX861" s="72">
        <f t="shared" si="894"/>
        <v>0</v>
      </c>
      <c r="AY861" s="72">
        <f t="shared" si="895"/>
        <v>0</v>
      </c>
      <c r="AZ861" s="72">
        <f t="shared" si="896"/>
        <v>0</v>
      </c>
      <c r="BA861" s="72" t="e">
        <f t="shared" si="897"/>
        <v>#N/A</v>
      </c>
      <c r="BB861" s="72" t="e">
        <f t="shared" si="898"/>
        <v>#N/A</v>
      </c>
      <c r="BC861" s="77"/>
      <c r="BE861">
        <f t="shared" si="878"/>
        <v>0</v>
      </c>
      <c r="BF861" s="196"/>
      <c r="BG861" s="196"/>
      <c r="BH861" s="196"/>
      <c r="BI861" s="196"/>
      <c r="BJ861" s="196"/>
      <c r="BK861" s="196"/>
    </row>
    <row r="862" spans="2:63" hidden="1">
      <c r="B862" s="72"/>
      <c r="C862" s="135"/>
      <c r="D862" s="73"/>
      <c r="E862" s="73"/>
      <c r="F862" s="72"/>
      <c r="G862" s="72"/>
      <c r="H862" s="72"/>
      <c r="I862" s="73">
        <f t="shared" si="880"/>
        <v>0</v>
      </c>
      <c r="J862" s="73"/>
      <c r="K862" s="73"/>
      <c r="L862" s="74" t="e">
        <f>_xlfn.IFNA(VLOOKUP(C862,'חד גזעי'!$U$3:$V$509,2,0),VLOOKUP(C862,'חד גזעי'!$U$3:$V$509,2))</f>
        <v>#N/A</v>
      </c>
      <c r="M862" s="73"/>
      <c r="N862" s="72" t="e">
        <f>_xlfn.IFNA(IF(VLOOKUP(C862,'חד גזעי'!$AH$2:$AH$7,1,FALSE)&gt;0,0,IF('חד גזעי'!$AM$5="כן",IF(_xlfn.IFNA(VLOOKUP(C862,'חד גזעי'!$AH$2:$AH$33,1,FALSE),SUM(J862:M862))&lt;21,_xlfn.IFNA(VLOOKUP(C862,'חד גזעי'!$AH$2:$AH$33,1,FALSE),SUM(J862:M862)),0),SUM(J862:M862))),IF('חד גזעי'!$AM$5="כן",IF(_xlfn.IFNA(VLOOKUP(C862,'חד גזעי'!$AH$2:$AH$33,1,FALSE),SUM(J862:M862))&lt;21,_xlfn.IFNA(VLOOKUP(C862,'חד גזעי'!$AH$2:$AH$33,1,FALSE),SUM(J862:M862)),0),SUM(J862:M862)))</f>
        <v>#N/A</v>
      </c>
      <c r="O862" s="72">
        <f>IF('חד גזעי'!$AM$3 = "כן",IF(T862&gt;4,4,T862),T862)</f>
        <v>0</v>
      </c>
      <c r="P862" s="80">
        <f>IF(E862&lt;2,0,IF(Z862&gt;0,Z862,IF(N862 = 0,0,IF('חד גזעי'!$AM$2 = "לא",IF(F862&gt;19,W862,0),IF(F862&gt;9,Y862,0)))))</f>
        <v>0</v>
      </c>
      <c r="Q862" s="77"/>
      <c r="R862" s="76"/>
      <c r="S862" t="e">
        <f>VLOOKUP(C862,'חד גזעי'!$Y$4:$Y$18,1,0)</f>
        <v>#N/A</v>
      </c>
      <c r="T862" s="72">
        <f>IF('חד גזעי'!$AM$6="לא",IF(P862=0,IF(BC862="שימור",IF('חד גזעי'!$AM$4="לא",IF(BC862="לא בוגר",0,IF(BC862="לא קיים",0,IF(J862=0,0,I862*0.1))),IF(BC862="לא בוגר",0,IF(BC862="לא קיים",0,IF(AB862=1,I862*0.1,E862*0.5)))),0),IF('חד גזעי'!$AM$4="לא",IF(BC862="לא בוגר",0,IF(BC862="לא קיים",0,IF(J862=0,0,I862*0.1))),IF(BC862="לא בוגר",0,IF(BC862="לא קיים",0,IF(AB862=1,I862*0.1,E862*0.5))))),IF(P862=0,IF(BC862="שימור",IF('חד גזעי'!$AM$4="לא",IF(BC862="לא בוגר",0,IF(BC862="לא קיים",0,IF(J862=0,0,I862*0.15))),IF(BC862="לא בוגר",0,IF(BC862="לא קיים",0,IF(AB862=1,I862*0.15,E862*0.5)))),0),IF('חד גזעי'!$AM$4="לא",IF(BC862="לא בוגר",0,IF(BC862="לא קיים",0,IF(J862=0,0,I862*0.15))),IF(BC862="לא בוגר",0,IF(BC862="לא קיים",0,IF(AB862=1,I862*0.15,E862*0.5))))))</f>
        <v>0</v>
      </c>
      <c r="V862" t="e">
        <f t="shared" si="901"/>
        <v>#N/A</v>
      </c>
      <c r="W862" t="e">
        <f t="shared" si="902"/>
        <v>#N/A</v>
      </c>
      <c r="X862" t="e">
        <f t="shared" si="903"/>
        <v>#N/A</v>
      </c>
      <c r="Y862">
        <f>IF('חד גזעי'!$AM$2 = "לא",0,IF(F862&gt;9,W862,0))</f>
        <v>0</v>
      </c>
      <c r="Z862">
        <f>IF('חד גזעי'!$AM$7 = "לא",0,IF(C862 = "זית אירופי",IF('חד גזעי'!$AN$7 &lt;=סקר!F862,W862,0),IF(C862 = "חרוב מצוי",IF('חד גזעי'!$AN$7 &lt;=סקר!F862,W862,0),0)))</f>
        <v>0</v>
      </c>
      <c r="AB862">
        <f t="shared" si="881"/>
        <v>1</v>
      </c>
      <c r="AC862" s="72"/>
      <c r="AD862" t="e">
        <f t="shared" si="899"/>
        <v>#N/A</v>
      </c>
      <c r="AE862" s="72"/>
      <c r="AF862" s="72" t="e">
        <f t="shared" si="882"/>
        <v>#N/A</v>
      </c>
      <c r="AG862" s="72" t="e">
        <f>IF('חד גזעי'!$AM$5="לא",(VLOOKUP(C862,'חד גזעי'!$P$1:$S$589,3,FALSE)),(VLOOKUP(C862,'חד גזעי'!$P$1:$S$589,4,FALSE)))</f>
        <v>#N/A</v>
      </c>
      <c r="AH862" s="72">
        <f t="shared" si="883"/>
        <v>0</v>
      </c>
      <c r="AI862" s="72">
        <f t="shared" si="884"/>
        <v>0</v>
      </c>
      <c r="AJ862" s="72">
        <f t="shared" si="885"/>
        <v>0</v>
      </c>
      <c r="AK862" s="72" t="e">
        <f t="shared" si="886"/>
        <v>#N/A</v>
      </c>
      <c r="AL862" t="e">
        <f>VLOOKUP(C862,'חד גזעי'!$AH$8:$AI$33,2,FALSE)</f>
        <v>#N/A</v>
      </c>
      <c r="AM862" s="72" t="b">
        <f t="shared" si="887"/>
        <v>0</v>
      </c>
      <c r="AN862" s="72" t="b">
        <f t="shared" si="888"/>
        <v>0</v>
      </c>
      <c r="AO862" s="72" t="b">
        <f t="shared" si="889"/>
        <v>0</v>
      </c>
      <c r="AS862" s="72">
        <f t="shared" si="890"/>
        <v>0</v>
      </c>
      <c r="AT862" s="72">
        <f t="shared" si="891"/>
        <v>0</v>
      </c>
      <c r="AU862" s="72">
        <f t="shared" si="900"/>
        <v>0</v>
      </c>
      <c r="AV862" s="72">
        <f t="shared" si="892"/>
        <v>0</v>
      </c>
      <c r="AW862" s="72">
        <f t="shared" si="893"/>
        <v>0</v>
      </c>
      <c r="AX862" s="72">
        <f t="shared" si="894"/>
        <v>0</v>
      </c>
      <c r="AY862" s="72">
        <f t="shared" si="895"/>
        <v>0</v>
      </c>
      <c r="AZ862" s="72">
        <f t="shared" si="896"/>
        <v>0</v>
      </c>
      <c r="BA862" s="72" t="e">
        <f t="shared" si="897"/>
        <v>#N/A</v>
      </c>
      <c r="BB862" s="72" t="e">
        <f t="shared" si="898"/>
        <v>#N/A</v>
      </c>
      <c r="BC862" s="77"/>
      <c r="BE862">
        <f t="shared" si="878"/>
        <v>0</v>
      </c>
      <c r="BF862" s="196"/>
      <c r="BG862" s="196"/>
      <c r="BH862" s="196"/>
      <c r="BI862" s="196"/>
      <c r="BJ862" s="196"/>
      <c r="BK862" s="196"/>
    </row>
    <row r="863" spans="2:63" hidden="1">
      <c r="B863" s="72"/>
      <c r="C863" s="135"/>
      <c r="D863" s="73"/>
      <c r="E863" s="73"/>
      <c r="F863" s="72"/>
      <c r="G863" s="72"/>
      <c r="H863" s="72"/>
      <c r="I863" s="73">
        <f t="shared" si="880"/>
        <v>0</v>
      </c>
      <c r="J863" s="73"/>
      <c r="K863" s="73"/>
      <c r="L863" s="74" t="e">
        <f>_xlfn.IFNA(VLOOKUP(C863,'חד גזעי'!$U$3:$V$509,2,0),VLOOKUP(C863,'חד גזעי'!$U$3:$V$509,2))</f>
        <v>#N/A</v>
      </c>
      <c r="M863" s="73"/>
      <c r="N863" s="72" t="e">
        <f>_xlfn.IFNA(IF(VLOOKUP(C863,'חד גזעי'!$AH$2:$AH$7,1,FALSE)&gt;0,0,IF('חד גזעי'!$AM$5="כן",IF(_xlfn.IFNA(VLOOKUP(C863,'חד גזעי'!$AH$2:$AH$33,1,FALSE),SUM(J863:M863))&lt;21,_xlfn.IFNA(VLOOKUP(C863,'חד גזעי'!$AH$2:$AH$33,1,FALSE),SUM(J863:M863)),0),SUM(J863:M863))),IF('חד גזעי'!$AM$5="כן",IF(_xlfn.IFNA(VLOOKUP(C863,'חד גזעי'!$AH$2:$AH$33,1,FALSE),SUM(J863:M863))&lt;21,_xlfn.IFNA(VLOOKUP(C863,'חד גזעי'!$AH$2:$AH$33,1,FALSE),SUM(J863:M863)),0),SUM(J863:M863)))</f>
        <v>#N/A</v>
      </c>
      <c r="O863" s="72">
        <f>IF('חד גזעי'!$AM$3 = "כן",IF(T863&gt;4,4,T863),T863)</f>
        <v>0</v>
      </c>
      <c r="P863" s="80">
        <f>IF(E863&lt;2,0,IF(Z863&gt;0,Z863,IF(N863 = 0,0,IF('חד גזעי'!$AM$2 = "לא",IF(F863&gt;19,W863,0),IF(F863&gt;9,Y863,0)))))</f>
        <v>0</v>
      </c>
      <c r="Q863" s="77"/>
      <c r="R863" s="76"/>
      <c r="S863" t="e">
        <f>VLOOKUP(C863,'חד גזעי'!$Y$4:$Y$18,1,0)</f>
        <v>#N/A</v>
      </c>
      <c r="T863" s="72">
        <f>IF('חד גזעי'!$AM$6="לא",IF(P863=0,IF(BC863="שימור",IF('חד גזעי'!$AM$4="לא",IF(BC863="לא בוגר",0,IF(BC863="לא קיים",0,IF(J863=0,0,I863*0.1))),IF(BC863="לא בוגר",0,IF(BC863="לא קיים",0,IF(AB863=1,I863*0.1,E863*0.5)))),0),IF('חד גזעי'!$AM$4="לא",IF(BC863="לא בוגר",0,IF(BC863="לא קיים",0,IF(J863=0,0,I863*0.1))),IF(BC863="לא בוגר",0,IF(BC863="לא קיים",0,IF(AB863=1,I863*0.1,E863*0.5))))),IF(P863=0,IF(BC863="שימור",IF('חד גזעי'!$AM$4="לא",IF(BC863="לא בוגר",0,IF(BC863="לא קיים",0,IF(J863=0,0,I863*0.15))),IF(BC863="לא בוגר",0,IF(BC863="לא קיים",0,IF(AB863=1,I863*0.15,E863*0.5)))),0),IF('חד גזעי'!$AM$4="לא",IF(BC863="לא בוגר",0,IF(BC863="לא קיים",0,IF(J863=0,0,I863*0.15))),IF(BC863="לא בוגר",0,IF(BC863="לא קיים",0,IF(AB863=1,I863*0.15,E863*0.5))))))</f>
        <v>0</v>
      </c>
      <c r="V863" t="e">
        <f t="shared" si="901"/>
        <v>#N/A</v>
      </c>
      <c r="W863" t="e">
        <f t="shared" si="902"/>
        <v>#N/A</v>
      </c>
      <c r="X863" t="e">
        <f t="shared" si="903"/>
        <v>#N/A</v>
      </c>
      <c r="Y863">
        <f>IF('חד גזעי'!$AM$2 = "לא",0,IF(F863&gt;9,W863,0))</f>
        <v>0</v>
      </c>
      <c r="Z863">
        <f>IF('חד גזעי'!$AM$7 = "לא",0,IF(C863 = "זית אירופי",IF('חד גזעי'!$AN$7 &lt;=סקר!F863,W863,0),IF(C863 = "חרוב מצוי",IF('חד גזעי'!$AN$7 &lt;=סקר!F863,W863,0),0)))</f>
        <v>0</v>
      </c>
      <c r="AB863">
        <f t="shared" si="881"/>
        <v>1</v>
      </c>
      <c r="AC863" s="72"/>
      <c r="AD863" t="e">
        <f t="shared" si="899"/>
        <v>#N/A</v>
      </c>
      <c r="AE863" s="72"/>
      <c r="AF863" s="72" t="e">
        <f t="shared" si="882"/>
        <v>#N/A</v>
      </c>
      <c r="AG863" s="72" t="e">
        <f>IF('חד גזעי'!$AM$5="לא",(VLOOKUP(C863,'חד גזעי'!$P$1:$S$589,3,FALSE)),(VLOOKUP(C863,'חד גזעי'!$P$1:$S$589,4,FALSE)))</f>
        <v>#N/A</v>
      </c>
      <c r="AH863" s="72">
        <f t="shared" si="883"/>
        <v>0</v>
      </c>
      <c r="AI863" s="72">
        <f t="shared" si="884"/>
        <v>0</v>
      </c>
      <c r="AJ863" s="72">
        <f t="shared" si="885"/>
        <v>0</v>
      </c>
      <c r="AK863" s="72" t="e">
        <f t="shared" si="886"/>
        <v>#N/A</v>
      </c>
      <c r="AL863" t="e">
        <f>VLOOKUP(C863,'חד גזעי'!$AH$8:$AI$33,2,FALSE)</f>
        <v>#N/A</v>
      </c>
      <c r="AM863" s="72" t="b">
        <f t="shared" si="887"/>
        <v>0</v>
      </c>
      <c r="AN863" s="72" t="b">
        <f t="shared" si="888"/>
        <v>0</v>
      </c>
      <c r="AO863" s="72" t="b">
        <f t="shared" si="889"/>
        <v>0</v>
      </c>
      <c r="AS863" s="72">
        <f t="shared" si="890"/>
        <v>0</v>
      </c>
      <c r="AT863" s="72">
        <f t="shared" si="891"/>
        <v>0</v>
      </c>
      <c r="AU863" s="72">
        <f t="shared" si="900"/>
        <v>0</v>
      </c>
      <c r="AV863" s="72">
        <f t="shared" si="892"/>
        <v>0</v>
      </c>
      <c r="AW863" s="72">
        <f t="shared" si="893"/>
        <v>0</v>
      </c>
      <c r="AX863" s="72">
        <f t="shared" si="894"/>
        <v>0</v>
      </c>
      <c r="AY863" s="72">
        <f t="shared" si="895"/>
        <v>0</v>
      </c>
      <c r="AZ863" s="72">
        <f t="shared" si="896"/>
        <v>0</v>
      </c>
      <c r="BA863" s="72" t="e">
        <f t="shared" si="897"/>
        <v>#N/A</v>
      </c>
      <c r="BB863" s="72" t="e">
        <f t="shared" si="898"/>
        <v>#N/A</v>
      </c>
      <c r="BC863" s="77"/>
      <c r="BE863">
        <f t="shared" si="878"/>
        <v>0</v>
      </c>
      <c r="BF863" s="196"/>
      <c r="BG863" s="196"/>
      <c r="BH863" s="196"/>
      <c r="BI863" s="196"/>
      <c r="BJ863" s="196"/>
      <c r="BK863" s="196"/>
    </row>
    <row r="864" spans="2:63" hidden="1">
      <c r="B864" s="72"/>
      <c r="C864" s="135"/>
      <c r="D864" s="73"/>
      <c r="E864" s="73"/>
      <c r="F864" s="72"/>
      <c r="G864" s="72"/>
      <c r="H864" s="72"/>
      <c r="I864" s="73">
        <f t="shared" si="880"/>
        <v>0</v>
      </c>
      <c r="J864" s="73"/>
      <c r="K864" s="73"/>
      <c r="L864" s="74" t="e">
        <f>_xlfn.IFNA(VLOOKUP(C864,'חד גזעי'!$U$3:$V$509,2,0),VLOOKUP(C864,'חד גזעי'!$U$3:$V$509,2))</f>
        <v>#N/A</v>
      </c>
      <c r="M864" s="73"/>
      <c r="N864" s="72" t="e">
        <f>_xlfn.IFNA(IF(VLOOKUP(C864,'חד גזעי'!$AH$2:$AH$7,1,FALSE)&gt;0,0,IF('חד גזעי'!$AM$5="כן",IF(_xlfn.IFNA(VLOOKUP(C864,'חד גזעי'!$AH$2:$AH$33,1,FALSE),SUM(J864:M864))&lt;21,_xlfn.IFNA(VLOOKUP(C864,'חד גזעי'!$AH$2:$AH$33,1,FALSE),SUM(J864:M864)),0),SUM(J864:M864))),IF('חד גזעי'!$AM$5="כן",IF(_xlfn.IFNA(VLOOKUP(C864,'חד גזעי'!$AH$2:$AH$33,1,FALSE),SUM(J864:M864))&lt;21,_xlfn.IFNA(VLOOKUP(C864,'חד גזעי'!$AH$2:$AH$33,1,FALSE),SUM(J864:M864)),0),SUM(J864:M864)))</f>
        <v>#N/A</v>
      </c>
      <c r="O864" s="72">
        <f>IF('חד גזעי'!$AM$3 = "כן",IF(T864&gt;4,4,T864),T864)</f>
        <v>0</v>
      </c>
      <c r="P864" s="80">
        <f>IF(E864&lt;2,0,IF(Z864&gt;0,Z864,IF(N864 = 0,0,IF('חד גזעי'!$AM$2 = "לא",IF(F864&gt;19,W864,0),IF(F864&gt;9,Y864,0)))))</f>
        <v>0</v>
      </c>
      <c r="Q864" s="77"/>
      <c r="R864" s="76"/>
      <c r="S864" t="e">
        <f>VLOOKUP(C864,'חד גזעי'!$Y$4:$Y$18,1,0)</f>
        <v>#N/A</v>
      </c>
      <c r="T864" s="72">
        <f>IF('חד גזעי'!$AM$6="לא",IF(P864=0,IF(BC864="שימור",IF('חד גזעי'!$AM$4="לא",IF(BC864="לא בוגר",0,IF(BC864="לא קיים",0,IF(J864=0,0,I864*0.1))),IF(BC864="לא בוגר",0,IF(BC864="לא קיים",0,IF(AB864=1,I864*0.1,E864*0.5)))),0),IF('חד גזעי'!$AM$4="לא",IF(BC864="לא בוגר",0,IF(BC864="לא קיים",0,IF(J864=0,0,I864*0.1))),IF(BC864="לא בוגר",0,IF(BC864="לא קיים",0,IF(AB864=1,I864*0.1,E864*0.5))))),IF(P864=0,IF(BC864="שימור",IF('חד גזעי'!$AM$4="לא",IF(BC864="לא בוגר",0,IF(BC864="לא קיים",0,IF(J864=0,0,I864*0.15))),IF(BC864="לא בוגר",0,IF(BC864="לא קיים",0,IF(AB864=1,I864*0.15,E864*0.5)))),0),IF('חד גזעי'!$AM$4="לא",IF(BC864="לא בוגר",0,IF(BC864="לא קיים",0,IF(J864=0,0,I864*0.15))),IF(BC864="לא בוגר",0,IF(BC864="לא קיים",0,IF(AB864=1,I864*0.15,E864*0.5))))))</f>
        <v>0</v>
      </c>
      <c r="V864" t="e">
        <f t="shared" si="901"/>
        <v>#N/A</v>
      </c>
      <c r="W864" t="e">
        <f t="shared" si="902"/>
        <v>#N/A</v>
      </c>
      <c r="X864" t="e">
        <f t="shared" si="903"/>
        <v>#N/A</v>
      </c>
      <c r="Y864">
        <f>IF('חד גזעי'!$AM$2 = "לא",0,IF(F864&gt;9,W864,0))</f>
        <v>0</v>
      </c>
      <c r="Z864">
        <f>IF('חד גזעי'!$AM$7 = "לא",0,IF(C864 = "זית אירופי",IF('חד גזעי'!$AN$7 &lt;=סקר!F864,W864,0),IF(C864 = "חרוב מצוי",IF('חד גזעי'!$AN$7 &lt;=סקר!F864,W864,0),0)))</f>
        <v>0</v>
      </c>
      <c r="AB864">
        <f t="shared" si="881"/>
        <v>1</v>
      </c>
      <c r="AC864" s="72"/>
      <c r="AD864" t="e">
        <f t="shared" si="899"/>
        <v>#N/A</v>
      </c>
      <c r="AE864" s="72"/>
      <c r="AF864" s="72" t="e">
        <f t="shared" si="882"/>
        <v>#N/A</v>
      </c>
      <c r="AG864" s="72" t="e">
        <f>IF('חד גזעי'!$AM$5="לא",(VLOOKUP(C864,'חד גזעי'!$P$1:$S$589,3,FALSE)),(VLOOKUP(C864,'חד גזעי'!$P$1:$S$589,4,FALSE)))</f>
        <v>#N/A</v>
      </c>
      <c r="AH864" s="72">
        <f t="shared" si="883"/>
        <v>0</v>
      </c>
      <c r="AI864" s="72">
        <f t="shared" si="884"/>
        <v>0</v>
      </c>
      <c r="AJ864" s="72">
        <f t="shared" si="885"/>
        <v>0</v>
      </c>
      <c r="AK864" s="72" t="e">
        <f t="shared" si="886"/>
        <v>#N/A</v>
      </c>
      <c r="AL864" t="e">
        <f>VLOOKUP(C864,'חד גזעי'!$AH$8:$AI$33,2,FALSE)</f>
        <v>#N/A</v>
      </c>
      <c r="AM864" s="72" t="b">
        <f t="shared" si="887"/>
        <v>0</v>
      </c>
      <c r="AN864" s="72" t="b">
        <f t="shared" si="888"/>
        <v>0</v>
      </c>
      <c r="AO864" s="72" t="b">
        <f t="shared" si="889"/>
        <v>0</v>
      </c>
      <c r="AS864" s="72">
        <f t="shared" si="890"/>
        <v>0</v>
      </c>
      <c r="AT864" s="72">
        <f t="shared" si="891"/>
        <v>0</v>
      </c>
      <c r="AU864" s="72">
        <f t="shared" si="900"/>
        <v>0</v>
      </c>
      <c r="AV864" s="72">
        <f t="shared" si="892"/>
        <v>0</v>
      </c>
      <c r="AW864" s="72">
        <f t="shared" si="893"/>
        <v>0</v>
      </c>
      <c r="AX864" s="72">
        <f t="shared" si="894"/>
        <v>0</v>
      </c>
      <c r="AY864" s="72">
        <f t="shared" si="895"/>
        <v>0</v>
      </c>
      <c r="AZ864" s="72">
        <f t="shared" si="896"/>
        <v>0</v>
      </c>
      <c r="BA864" s="72" t="e">
        <f t="shared" si="897"/>
        <v>#N/A</v>
      </c>
      <c r="BB864" s="72" t="e">
        <f t="shared" si="898"/>
        <v>#N/A</v>
      </c>
      <c r="BC864" s="77"/>
      <c r="BE864">
        <f t="shared" si="878"/>
        <v>0</v>
      </c>
      <c r="BF864" s="196"/>
      <c r="BG864" s="196"/>
      <c r="BH864" s="196"/>
      <c r="BI864" s="196"/>
      <c r="BJ864" s="196"/>
      <c r="BK864" s="196"/>
    </row>
    <row r="865" spans="1:63" hidden="1">
      <c r="B865" s="72"/>
      <c r="C865" s="135"/>
      <c r="D865" s="73"/>
      <c r="E865" s="73"/>
      <c r="F865" s="72"/>
      <c r="G865" s="72"/>
      <c r="H865" s="72"/>
      <c r="I865" s="73">
        <f t="shared" si="880"/>
        <v>0</v>
      </c>
      <c r="J865" s="73"/>
      <c r="K865" s="73"/>
      <c r="L865" s="74" t="e">
        <f>_xlfn.IFNA(VLOOKUP(C865,'חד גזעי'!$U$3:$V$509,2,0),VLOOKUP(C865,'חד גזעי'!$U$3:$V$509,2))</f>
        <v>#N/A</v>
      </c>
      <c r="M865" s="73"/>
      <c r="N865" s="72" t="e">
        <f>_xlfn.IFNA(IF(VLOOKUP(C865,'חד גזעי'!$AH$2:$AH$7,1,FALSE)&gt;0,0,IF('חד גזעי'!$AM$5="כן",IF(_xlfn.IFNA(VLOOKUP(C865,'חד גזעי'!$AH$2:$AH$33,1,FALSE),SUM(J865:M865))&lt;21,_xlfn.IFNA(VLOOKUP(C865,'חד גזעי'!$AH$2:$AH$33,1,FALSE),SUM(J865:M865)),0),SUM(J865:M865))),IF('חד גזעי'!$AM$5="כן",IF(_xlfn.IFNA(VLOOKUP(C865,'חד גזעי'!$AH$2:$AH$33,1,FALSE),SUM(J865:M865))&lt;21,_xlfn.IFNA(VLOOKUP(C865,'חד גזעי'!$AH$2:$AH$33,1,FALSE),SUM(J865:M865)),0),SUM(J865:M865)))</f>
        <v>#N/A</v>
      </c>
      <c r="O865" s="72">
        <f>IF('חד גזעי'!$AM$3 = "כן",IF(T865&gt;4,4,T865),T865)</f>
        <v>0</v>
      </c>
      <c r="P865" s="80">
        <f>IF(E865&lt;2,0,IF(Z865&gt;0,Z865,IF(N865 = 0,0,IF('חד גזעי'!$AM$2 = "לא",IF(F865&gt;19,W865,0),IF(F865&gt;9,Y865,0)))))</f>
        <v>0</v>
      </c>
      <c r="Q865" s="77"/>
      <c r="R865" s="76"/>
      <c r="S865" t="e">
        <f>VLOOKUP(C865,'חד גזעי'!$Y$4:$Y$18,1,0)</f>
        <v>#N/A</v>
      </c>
      <c r="T865" s="72">
        <f>IF('חד גזעי'!$AM$6="לא",IF(P865=0,IF(BC865="שימור",IF('חד גזעי'!$AM$4="לא",IF(BC865="לא בוגר",0,IF(BC865="לא קיים",0,IF(J865=0,0,I865*0.1))),IF(BC865="לא בוגר",0,IF(BC865="לא קיים",0,IF(AB865=1,I865*0.1,E865*0.5)))),0),IF('חד גזעי'!$AM$4="לא",IF(BC865="לא בוגר",0,IF(BC865="לא קיים",0,IF(J865=0,0,I865*0.1))),IF(BC865="לא בוגר",0,IF(BC865="לא קיים",0,IF(AB865=1,I865*0.1,E865*0.5))))),IF(P865=0,IF(BC865="שימור",IF('חד גזעי'!$AM$4="לא",IF(BC865="לא בוגר",0,IF(BC865="לא קיים",0,IF(J865=0,0,I865*0.15))),IF(BC865="לא בוגר",0,IF(BC865="לא קיים",0,IF(AB865=1,I865*0.15,E865*0.5)))),0),IF('חד גזעי'!$AM$4="לא",IF(BC865="לא בוגר",0,IF(BC865="לא קיים",0,IF(J865=0,0,I865*0.15))),IF(BC865="לא בוגר",0,IF(BC865="לא קיים",0,IF(AB865=1,I865*0.15,E865*0.5))))))</f>
        <v>0</v>
      </c>
      <c r="V865" t="e">
        <f t="shared" si="901"/>
        <v>#N/A</v>
      </c>
      <c r="W865" t="e">
        <f t="shared" si="902"/>
        <v>#N/A</v>
      </c>
      <c r="X865" t="e">
        <f t="shared" si="903"/>
        <v>#N/A</v>
      </c>
      <c r="Y865">
        <f>IF('חד גזעי'!$AM$2 = "לא",0,IF(F865&gt;9,W865,0))</f>
        <v>0</v>
      </c>
      <c r="Z865">
        <f>IF('חד גזעי'!$AM$7 = "לא",0,IF(C865 = "זית אירופי",IF('חד גזעי'!$AN$7 &lt;=סקר!F865,W865,0),IF(C865 = "חרוב מצוי",IF('חד גזעי'!$AN$7 &lt;=סקר!F865,W865,0),0)))</f>
        <v>0</v>
      </c>
      <c r="AB865">
        <f t="shared" si="881"/>
        <v>1</v>
      </c>
      <c r="AC865" s="72"/>
      <c r="AD865" t="e">
        <f t="shared" si="899"/>
        <v>#N/A</v>
      </c>
      <c r="AE865" s="72"/>
      <c r="AF865" s="72" t="e">
        <f t="shared" si="882"/>
        <v>#N/A</v>
      </c>
      <c r="AG865" s="72" t="e">
        <f>IF('חד גזעי'!$AM$5="לא",(VLOOKUP(C865,'חד גזעי'!$P$1:$S$589,3,FALSE)),(VLOOKUP(C865,'חד גזעי'!$P$1:$S$589,4,FALSE)))</f>
        <v>#N/A</v>
      </c>
      <c r="AH865" s="72">
        <f t="shared" si="883"/>
        <v>0</v>
      </c>
      <c r="AI865" s="72">
        <f t="shared" si="884"/>
        <v>0</v>
      </c>
      <c r="AJ865" s="72">
        <f t="shared" si="885"/>
        <v>0</v>
      </c>
      <c r="AK865" s="72" t="e">
        <f t="shared" si="886"/>
        <v>#N/A</v>
      </c>
      <c r="AL865" t="e">
        <f>VLOOKUP(C865,'חד גזעי'!$AH$8:$AI$33,2,FALSE)</f>
        <v>#N/A</v>
      </c>
      <c r="AM865" s="72" t="b">
        <f t="shared" si="887"/>
        <v>0</v>
      </c>
      <c r="AN865" s="72" t="b">
        <f t="shared" si="888"/>
        <v>0</v>
      </c>
      <c r="AO865" s="72" t="b">
        <f t="shared" si="889"/>
        <v>0</v>
      </c>
      <c r="AS865" s="72">
        <f t="shared" si="890"/>
        <v>0</v>
      </c>
      <c r="AT865" s="72">
        <f t="shared" si="891"/>
        <v>0</v>
      </c>
      <c r="AU865" s="72">
        <f t="shared" si="900"/>
        <v>0</v>
      </c>
      <c r="AV865" s="72">
        <f t="shared" si="892"/>
        <v>0</v>
      </c>
      <c r="AW865" s="72">
        <f t="shared" si="893"/>
        <v>0</v>
      </c>
      <c r="AX865" s="72">
        <f t="shared" si="894"/>
        <v>0</v>
      </c>
      <c r="AY865" s="72">
        <f t="shared" si="895"/>
        <v>0</v>
      </c>
      <c r="AZ865" s="72">
        <f t="shared" si="896"/>
        <v>0</v>
      </c>
      <c r="BA865" s="72" t="e">
        <f t="shared" si="897"/>
        <v>#N/A</v>
      </c>
      <c r="BB865" s="72" t="e">
        <f t="shared" si="898"/>
        <v>#N/A</v>
      </c>
      <c r="BC865" s="77"/>
      <c r="BE865">
        <f t="shared" si="878"/>
        <v>0</v>
      </c>
      <c r="BF865" s="196"/>
      <c r="BG865" s="196"/>
      <c r="BH865" s="196"/>
      <c r="BI865" s="196"/>
      <c r="BJ865" s="196"/>
      <c r="BK865" s="196"/>
    </row>
    <row r="866" spans="1:63" hidden="1">
      <c r="B866" s="72"/>
      <c r="C866" s="135"/>
      <c r="D866" s="73"/>
      <c r="E866" s="73"/>
      <c r="F866" s="72"/>
      <c r="G866" s="72"/>
      <c r="H866" s="72"/>
      <c r="I866" s="73">
        <f t="shared" si="880"/>
        <v>0</v>
      </c>
      <c r="J866" s="73"/>
      <c r="K866" s="73"/>
      <c r="L866" s="74" t="e">
        <f>_xlfn.IFNA(VLOOKUP(C866,'חד גזעי'!$U$3:$V$509,2,0),VLOOKUP(C866,'חד גזעי'!$U$3:$V$509,2))</f>
        <v>#N/A</v>
      </c>
      <c r="M866" s="73"/>
      <c r="N866" s="72" t="e">
        <f>_xlfn.IFNA(IF(VLOOKUP(C866,'חד גזעי'!$AH$2:$AH$7,1,FALSE)&gt;0,0,IF('חד גזעי'!$AM$5="כן",IF(_xlfn.IFNA(VLOOKUP(C866,'חד גזעי'!$AH$2:$AH$33,1,FALSE),SUM(J866:M866))&lt;21,_xlfn.IFNA(VLOOKUP(C866,'חד גזעי'!$AH$2:$AH$33,1,FALSE),SUM(J866:M866)),0),SUM(J866:M866))),IF('חד גזעי'!$AM$5="כן",IF(_xlfn.IFNA(VLOOKUP(C866,'חד גזעי'!$AH$2:$AH$33,1,FALSE),SUM(J866:M866))&lt;21,_xlfn.IFNA(VLOOKUP(C866,'חד גזעי'!$AH$2:$AH$33,1,FALSE),SUM(J866:M866)),0),SUM(J866:M866)))</f>
        <v>#N/A</v>
      </c>
      <c r="O866" s="72">
        <f>IF('חד גזעי'!$AM$3 = "כן",IF(T866&gt;4,4,T866),T866)</f>
        <v>0</v>
      </c>
      <c r="P866" s="80">
        <f>IF(E866&lt;2,0,IF(Z866&gt;0,Z866,IF(N866 = 0,0,IF('חד גזעי'!$AM$2 = "לא",IF(F866&gt;19,W866,0),IF(F866&gt;9,Y866,0)))))</f>
        <v>0</v>
      </c>
      <c r="Q866" s="77"/>
      <c r="R866" s="76"/>
      <c r="S866" t="e">
        <f>VLOOKUP(C866,'חד גזעי'!$Y$4:$Y$18,1,0)</f>
        <v>#N/A</v>
      </c>
      <c r="T866" s="72">
        <f>IF('חד גזעי'!$AM$6="לא",IF(P866=0,IF(BC866="שימור",IF('חד גזעי'!$AM$4="לא",IF(BC866="לא בוגר",0,IF(BC866="לא קיים",0,IF(J866=0,0,I866*0.1))),IF(BC866="לא בוגר",0,IF(BC866="לא קיים",0,IF(AB866=1,I866*0.1,E866*0.5)))),0),IF('חד גזעי'!$AM$4="לא",IF(BC866="לא בוגר",0,IF(BC866="לא קיים",0,IF(J866=0,0,I866*0.1))),IF(BC866="לא בוגר",0,IF(BC866="לא קיים",0,IF(AB866=1,I866*0.1,E866*0.5))))),IF(P866=0,IF(BC866="שימור",IF('חד גזעי'!$AM$4="לא",IF(BC866="לא בוגר",0,IF(BC866="לא קיים",0,IF(J866=0,0,I866*0.15))),IF(BC866="לא בוגר",0,IF(BC866="לא קיים",0,IF(AB866=1,I866*0.15,E866*0.5)))),0),IF('חד גזעי'!$AM$4="לא",IF(BC866="לא בוגר",0,IF(BC866="לא קיים",0,IF(J866=0,0,I866*0.15))),IF(BC866="לא בוגר",0,IF(BC866="לא קיים",0,IF(AB866=1,I866*0.15,E866*0.5))))))</f>
        <v>0</v>
      </c>
      <c r="V866" t="e">
        <f t="shared" si="901"/>
        <v>#N/A</v>
      </c>
      <c r="W866" t="e">
        <f t="shared" si="902"/>
        <v>#N/A</v>
      </c>
      <c r="X866" t="e">
        <f t="shared" si="903"/>
        <v>#N/A</v>
      </c>
      <c r="Y866">
        <f>IF('חד גזעי'!$AM$2 = "לא",0,IF(F866&gt;9,W866,0))</f>
        <v>0</v>
      </c>
      <c r="Z866">
        <f>IF('חד גזעי'!$AM$7 = "לא",0,IF(C866 = "זית אירופי",IF('חד גזעי'!$AN$7 &lt;=סקר!F866,W866,0),IF(C866 = "חרוב מצוי",IF('חד גזעי'!$AN$7 &lt;=סקר!F866,W866,0),0)))</f>
        <v>0</v>
      </c>
      <c r="AB866">
        <f t="shared" si="881"/>
        <v>1</v>
      </c>
      <c r="AC866" s="72"/>
      <c r="AD866" t="e">
        <f t="shared" si="899"/>
        <v>#N/A</v>
      </c>
      <c r="AE866" s="72"/>
      <c r="AF866" s="72" t="e">
        <f t="shared" si="882"/>
        <v>#N/A</v>
      </c>
      <c r="AG866" s="72" t="e">
        <f>IF('חד גזעי'!$AM$5="לא",(VLOOKUP(C866,'חד גזעי'!$P$1:$S$589,3,FALSE)),(VLOOKUP(C866,'חד גזעי'!$P$1:$S$589,4,FALSE)))</f>
        <v>#N/A</v>
      </c>
      <c r="AH866" s="72">
        <f t="shared" si="883"/>
        <v>0</v>
      </c>
      <c r="AI866" s="72">
        <f t="shared" si="884"/>
        <v>0</v>
      </c>
      <c r="AJ866" s="72">
        <f t="shared" si="885"/>
        <v>0</v>
      </c>
      <c r="AK866" s="72" t="e">
        <f t="shared" si="886"/>
        <v>#N/A</v>
      </c>
      <c r="AL866" t="e">
        <f>VLOOKUP(C866,'חד גזעי'!$AH$8:$AI$33,2,FALSE)</f>
        <v>#N/A</v>
      </c>
      <c r="AM866" s="72" t="b">
        <f t="shared" si="887"/>
        <v>0</v>
      </c>
      <c r="AN866" s="72" t="b">
        <f t="shared" si="888"/>
        <v>0</v>
      </c>
      <c r="AO866" s="72" t="b">
        <f t="shared" si="889"/>
        <v>0</v>
      </c>
      <c r="AS866" s="72">
        <f t="shared" si="890"/>
        <v>0</v>
      </c>
      <c r="AT866" s="72">
        <f t="shared" si="891"/>
        <v>0</v>
      </c>
      <c r="AU866" s="72">
        <f t="shared" si="900"/>
        <v>0</v>
      </c>
      <c r="AV866" s="72">
        <f t="shared" si="892"/>
        <v>0</v>
      </c>
      <c r="AW866" s="72">
        <f t="shared" si="893"/>
        <v>0</v>
      </c>
      <c r="AX866" s="72">
        <f t="shared" si="894"/>
        <v>0</v>
      </c>
      <c r="AY866" s="72">
        <f t="shared" si="895"/>
        <v>0</v>
      </c>
      <c r="AZ866" s="72">
        <f t="shared" si="896"/>
        <v>0</v>
      </c>
      <c r="BA866" s="72" t="e">
        <f t="shared" si="897"/>
        <v>#N/A</v>
      </c>
      <c r="BB866" s="72" t="e">
        <f t="shared" si="898"/>
        <v>#N/A</v>
      </c>
      <c r="BC866" s="77"/>
      <c r="BE866">
        <f t="shared" si="878"/>
        <v>0</v>
      </c>
      <c r="BF866" s="196"/>
      <c r="BG866" s="196"/>
      <c r="BH866" s="196"/>
      <c r="BI866" s="196"/>
      <c r="BJ866" s="196"/>
      <c r="BK866" s="196"/>
    </row>
    <row r="867" spans="1:63" ht="14.25" hidden="1">
      <c r="B867" s="71"/>
      <c r="C867" s="69"/>
      <c r="Q867" s="86"/>
      <c r="T867" s="72"/>
      <c r="V867">
        <f t="shared" si="901"/>
        <v>0</v>
      </c>
      <c r="W867">
        <f t="shared" si="902"/>
        <v>0</v>
      </c>
      <c r="X867">
        <f t="shared" si="903"/>
        <v>0</v>
      </c>
      <c r="Y867">
        <f>IF('חד גזעי'!$AM$2 = "לא",0,IF(F867&gt;9,W867,0))</f>
        <v>0</v>
      </c>
      <c r="Z867">
        <f>IF('חד גזעי'!$AM$7 = "לא",0,IF(C867 = "זית אירופי",IF('חד גזעי'!$AN$7 &lt;=סקר!F867,W867,0),IF(C867 = "חרוב מצוי",IF('חד גזעי'!$AN$7 &lt;=סקר!F867,W867,0),0)))</f>
        <v>0</v>
      </c>
      <c r="AD867" s="69" t="s">
        <v>807</v>
      </c>
      <c r="BE867">
        <f t="shared" si="878"/>
        <v>0</v>
      </c>
      <c r="BF867" s="196"/>
      <c r="BG867" s="196"/>
      <c r="BH867" s="196"/>
      <c r="BI867" s="196"/>
      <c r="BJ867" s="196"/>
      <c r="BK867" s="196"/>
    </row>
    <row r="868" spans="1:63" ht="38.25" hidden="1">
      <c r="A868" s="129"/>
      <c r="B868" s="132"/>
      <c r="C868" s="133"/>
      <c r="D868" s="129"/>
      <c r="E868" s="129"/>
      <c r="F868" s="129"/>
      <c r="G868" s="129"/>
      <c r="H868" s="129"/>
      <c r="I868" s="129"/>
      <c r="J868" s="129"/>
      <c r="K868" s="129"/>
      <c r="L868" s="129"/>
      <c r="M868" s="129"/>
      <c r="N868" s="129"/>
      <c r="O868" s="129"/>
      <c r="P868" s="129"/>
      <c r="Q868" s="134"/>
      <c r="R868" s="129"/>
      <c r="S868" s="129"/>
      <c r="T868" s="129"/>
      <c r="U868" s="129"/>
      <c r="V868" s="96" t="s">
        <v>1342</v>
      </c>
      <c r="W868" s="106" t="s">
        <v>1341</v>
      </c>
      <c r="X868" s="129"/>
      <c r="Y868" s="129"/>
      <c r="Z868" s="129"/>
      <c r="AA868" s="129"/>
      <c r="AB868" s="129"/>
      <c r="AC868" s="129"/>
      <c r="AD868" s="133"/>
      <c r="AE868" s="129"/>
      <c r="AF868" s="129"/>
      <c r="AG868" s="129"/>
      <c r="AH868" s="129"/>
      <c r="AI868" s="129"/>
      <c r="AJ868" s="129"/>
      <c r="AK868" s="129"/>
      <c r="AL868" s="129"/>
      <c r="AM868" s="129"/>
      <c r="AN868" s="129"/>
      <c r="AO868" s="129"/>
      <c r="AP868" s="129"/>
      <c r="AQ868" s="129"/>
      <c r="AR868" s="129"/>
      <c r="AS868" s="129"/>
      <c r="AT868" s="129"/>
      <c r="AU868" s="129"/>
      <c r="AV868" s="129"/>
      <c r="AW868" s="129"/>
      <c r="AX868" s="129"/>
      <c r="AY868" s="129"/>
      <c r="AZ868" s="129"/>
      <c r="BA868" s="129"/>
      <c r="BB868" s="129"/>
      <c r="BC868" s="129"/>
      <c r="BD868" s="129"/>
      <c r="BE868" s="129"/>
      <c r="BF868" s="129">
        <f>_xlfn.IFNA(_xlfn.IFNA(_xlfn.TEXTBEFORE(BF850,"--"),_xlfn.TEXTBEFORE(BF850,",")),BF850)</f>
        <v>0</v>
      </c>
      <c r="BG868" s="129">
        <f t="shared" ref="BG868:BK868" si="905">_xlfn.IFNA(_xlfn.IFNA(_xlfn.TEXTBEFORE(BG850,"--"),_xlfn.TEXTBEFORE(BG850,",")),BG850)</f>
        <v>0</v>
      </c>
      <c r="BH868" s="129">
        <f t="shared" si="905"/>
        <v>0</v>
      </c>
      <c r="BI868" s="129">
        <f>_xlfn.IFNA(_xlfn.IFNA(_xlfn.TEXTBEFORE(BI850,"--"),_xlfn.TEXTBEFORE(BI850,",")),BI850)</f>
        <v>0</v>
      </c>
      <c r="BJ868" s="129">
        <f t="shared" si="905"/>
        <v>0</v>
      </c>
      <c r="BK868" s="129">
        <f t="shared" si="905"/>
        <v>0</v>
      </c>
    </row>
    <row r="869" spans="1:63" ht="14.25" hidden="1">
      <c r="A869" s="129"/>
      <c r="B869" s="132"/>
      <c r="C869" s="133"/>
      <c r="D869" s="129"/>
      <c r="E869" s="129"/>
      <c r="F869" s="129"/>
      <c r="G869" s="129"/>
      <c r="H869" s="129"/>
      <c r="I869" s="129"/>
      <c r="J869" s="129"/>
      <c r="K869" s="129"/>
      <c r="L869" s="129"/>
      <c r="M869" s="129"/>
      <c r="N869" s="129"/>
      <c r="O869" s="129"/>
      <c r="P869" s="129"/>
      <c r="Q869" s="134"/>
      <c r="R869" s="129"/>
      <c r="S869" s="129"/>
      <c r="T869" s="129"/>
      <c r="U869" s="129"/>
      <c r="V869" s="129"/>
      <c r="W869" s="129"/>
      <c r="X869" s="129"/>
      <c r="Y869" s="129"/>
      <c r="Z869" s="129"/>
      <c r="AA869" s="129"/>
      <c r="AB869" s="129"/>
      <c r="AC869" s="129"/>
      <c r="AD869" s="133"/>
      <c r="AE869" s="129"/>
      <c r="AF869" s="129"/>
      <c r="AG869" s="129"/>
      <c r="AH869" s="129"/>
      <c r="AI869" s="129"/>
      <c r="AJ869" s="129"/>
      <c r="AK869" s="129"/>
      <c r="AL869" s="129"/>
      <c r="AM869" s="129"/>
      <c r="AN869" s="129"/>
      <c r="AO869" s="129"/>
      <c r="AP869" s="129"/>
      <c r="AQ869" s="129"/>
      <c r="AR869" s="129"/>
      <c r="AS869" s="129"/>
      <c r="AT869" s="129"/>
      <c r="AU869" s="129"/>
      <c r="AV869" s="129"/>
      <c r="AW869" s="129"/>
      <c r="AX869" s="129"/>
      <c r="AY869" s="129"/>
      <c r="AZ869" s="129"/>
      <c r="BA869" s="129"/>
      <c r="BB869" s="129"/>
      <c r="BC869" s="129"/>
      <c r="BD869" s="129"/>
      <c r="BE869" s="129"/>
      <c r="BF869" s="129" t="str">
        <f>"C:\Users\origr\Pictures\"&amp;BF868&amp;".jpg"</f>
        <v>C:\Users\origr\Pictures\0.jpg</v>
      </c>
      <c r="BG869" s="129" t="str">
        <f t="shared" ref="BG869" si="906">"C:\Users\origr\Pictures\"&amp;BG868&amp;".jpg"</f>
        <v>C:\Users\origr\Pictures\0.jpg</v>
      </c>
      <c r="BH869" s="129" t="str">
        <f t="shared" ref="BH869" si="907">"C:\Users\origr\Pictures\"&amp;BH868&amp;".jpg"</f>
        <v>C:\Users\origr\Pictures\0.jpg</v>
      </c>
      <c r="BI869" s="129" t="str">
        <f t="shared" ref="BI869" si="908">"C:\Users\origr\Pictures\"&amp;BI868&amp;".jpg"</f>
        <v>C:\Users\origr\Pictures\0.jpg</v>
      </c>
      <c r="BJ869" s="129" t="str">
        <f t="shared" ref="BJ869" si="909">"C:\Users\origr\Pictures\"&amp;BJ868&amp;".jpg"</f>
        <v>C:\Users\origr\Pictures\0.jpg</v>
      </c>
      <c r="BK869" s="129" t="str">
        <f t="shared" ref="BK869" si="910">"C:\Users\origr\Pictures\"&amp;BK868&amp;".jpg"</f>
        <v>C:\Users\origr\Pictures\0.jpg</v>
      </c>
    </row>
    <row r="870" spans="1:63" ht="14.25" hidden="1">
      <c r="A870" s="129"/>
      <c r="B870" s="132"/>
      <c r="C870" s="133"/>
      <c r="D870" s="129"/>
      <c r="E870" s="129"/>
      <c r="F870" s="129"/>
      <c r="G870" s="129"/>
      <c r="H870" s="129"/>
      <c r="I870" s="129"/>
      <c r="J870" s="129"/>
      <c r="K870" s="129"/>
      <c r="L870" s="129"/>
      <c r="M870" s="129"/>
      <c r="N870" s="129"/>
      <c r="O870" s="129"/>
      <c r="P870" s="129"/>
      <c r="Q870" s="134"/>
      <c r="R870" s="129"/>
      <c r="S870" s="129"/>
      <c r="T870" s="129"/>
      <c r="U870" s="129"/>
      <c r="V870" s="129"/>
      <c r="W870" s="129"/>
      <c r="X870" s="129"/>
      <c r="Y870" s="129"/>
      <c r="Z870" s="129"/>
      <c r="AA870" s="129"/>
      <c r="AB870" s="129"/>
      <c r="AC870" s="129"/>
      <c r="AD870" s="133"/>
      <c r="AE870" s="129"/>
      <c r="AF870" s="129"/>
      <c r="AG870" s="129"/>
      <c r="AH870" s="129"/>
      <c r="AI870" s="129"/>
      <c r="AJ870" s="129"/>
      <c r="AK870" s="129"/>
      <c r="AL870" s="129"/>
      <c r="AM870" s="129"/>
      <c r="AN870" s="129"/>
      <c r="AO870" s="129"/>
      <c r="AP870" s="129"/>
      <c r="AQ870" s="129"/>
      <c r="AR870" s="129"/>
      <c r="AS870" s="129"/>
      <c r="AT870" s="129"/>
      <c r="AU870" s="129"/>
      <c r="AV870" s="129"/>
      <c r="AW870" s="129"/>
      <c r="AX870" s="129"/>
      <c r="AY870" s="129"/>
      <c r="AZ870" s="129"/>
      <c r="BA870" s="129"/>
      <c r="BB870" s="129"/>
      <c r="BC870" s="129"/>
      <c r="BD870" s="129"/>
      <c r="BE870" s="129"/>
      <c r="BF870" s="129" t="str">
        <f>BF869</f>
        <v>C:\Users\origr\Pictures\0.jpg</v>
      </c>
      <c r="BG870" s="129" t="str">
        <f t="shared" ref="BG870" si="911">BG869</f>
        <v>C:\Users\origr\Pictures\0.jpg</v>
      </c>
      <c r="BH870" s="129" t="str">
        <f t="shared" ref="BH870" si="912">BH869</f>
        <v>C:\Users\origr\Pictures\0.jpg</v>
      </c>
      <c r="BI870" s="129" t="str">
        <f t="shared" ref="BI870" si="913">BI869</f>
        <v>C:\Users\origr\Pictures\0.jpg</v>
      </c>
      <c r="BJ870" s="129" t="str">
        <f t="shared" ref="BJ870" si="914">BJ869</f>
        <v>C:\Users\origr\Pictures\0.jpg</v>
      </c>
      <c r="BK870" s="129" t="str">
        <f t="shared" ref="BK870" si="915">BK869</f>
        <v>C:\Users\origr\Pictures\0.jpg</v>
      </c>
    </row>
    <row r="871" spans="1:63" hidden="1"/>
    <row r="872" spans="1:63" hidden="1"/>
    <row r="873" spans="1:63" hidden="1"/>
    <row r="874" spans="1:63" hidden="1"/>
    <row r="875" spans="1:63" hidden="1"/>
    <row r="876" spans="1:63" hidden="1"/>
    <row r="877" spans="1:63" hidden="1"/>
    <row r="878" spans="1:63" hidden="1"/>
    <row r="879" spans="1:63" hidden="1"/>
    <row r="880" spans="1:63" hidden="1"/>
    <row r="881" spans="3:63" hidden="1"/>
    <row r="882" spans="3:63" hidden="1">
      <c r="BF882" s="1"/>
      <c r="BG882" s="1"/>
      <c r="BH882" s="1"/>
      <c r="BI882" s="1"/>
      <c r="BJ882" s="1"/>
      <c r="BK882" s="1"/>
    </row>
    <row r="883" spans="3:63" ht="18">
      <c r="C883" s="121"/>
      <c r="D883" s="237" t="s">
        <v>843</v>
      </c>
      <c r="E883" s="238"/>
      <c r="F883" s="238"/>
      <c r="G883" s="238"/>
      <c r="H883" s="238"/>
      <c r="I883" s="238"/>
      <c r="J883" s="238"/>
      <c r="K883" s="238"/>
      <c r="L883" s="238"/>
      <c r="M883" s="238"/>
      <c r="N883" s="238"/>
      <c r="O883" s="238"/>
      <c r="P883" s="238"/>
      <c r="Q883" s="239"/>
      <c r="AT883" s="120"/>
      <c r="AU883" s="237" t="s">
        <v>844</v>
      </c>
      <c r="AV883" s="238"/>
      <c r="AW883" s="238"/>
      <c r="AX883" s="238"/>
      <c r="AY883" s="238"/>
      <c r="AZ883" s="238"/>
      <c r="BA883" s="238"/>
      <c r="BB883" s="239"/>
    </row>
    <row r="884" spans="3:63" ht="27">
      <c r="C884" s="122" t="s">
        <v>739</v>
      </c>
      <c r="D884" s="240" t="s">
        <v>754</v>
      </c>
      <c r="E884" s="246"/>
      <c r="F884" s="246"/>
      <c r="G884" s="246"/>
      <c r="H884" s="246"/>
      <c r="I884" s="241"/>
      <c r="J884" s="247" t="s">
        <v>755</v>
      </c>
      <c r="K884" s="248"/>
      <c r="L884" s="249" t="s">
        <v>756</v>
      </c>
      <c r="M884" s="250"/>
      <c r="N884" s="251"/>
      <c r="O884" s="242" t="s">
        <v>757</v>
      </c>
      <c r="P884" s="243"/>
      <c r="Q884" s="77" t="s">
        <v>758</v>
      </c>
      <c r="AC884" s="97"/>
      <c r="AD884" s="97"/>
      <c r="AE884" s="97"/>
      <c r="AF884" s="97"/>
      <c r="AG884" s="97"/>
      <c r="AH884" s="97"/>
      <c r="AI884" s="97"/>
      <c r="AJ884" s="97"/>
      <c r="AK884" s="97"/>
      <c r="AL884" s="97"/>
      <c r="AM884" s="97"/>
      <c r="AN884" s="97"/>
      <c r="AO884" s="97"/>
      <c r="AP884" s="97"/>
      <c r="AQ884" s="97"/>
      <c r="AR884" s="97"/>
      <c r="AS884" s="97"/>
      <c r="AT884" s="122" t="s">
        <v>739</v>
      </c>
      <c r="AU884" s="240" t="s">
        <v>809</v>
      </c>
      <c r="AV884" s="241"/>
      <c r="AW884" s="242" t="s">
        <v>810</v>
      </c>
      <c r="AX884" s="243"/>
      <c r="AY884" s="244" t="s">
        <v>811</v>
      </c>
      <c r="AZ884" s="245"/>
      <c r="BA884" s="126" t="s">
        <v>850</v>
      </c>
      <c r="BB884" s="127" t="s">
        <v>758</v>
      </c>
    </row>
    <row r="885" spans="3:63">
      <c r="C885" s="72" t="e" cm="1" vm="1">
        <f t="array" ref="C885">_xlfn._xlws.FILTER('חד גזעי'!AF3:AF509,'חד גזעי'!AF3:AF509&lt;&gt;0)</f>
        <v>#VALUE!</v>
      </c>
      <c r="D885" s="221">
        <f>SUMIFS($AU$11:$AU$880,$AT$11:$AT$880,C885,$BB$11:$BB$880,"גבוה מאוד")</f>
        <v>0</v>
      </c>
      <c r="E885" s="236"/>
      <c r="F885" s="236"/>
      <c r="G885" s="236"/>
      <c r="H885" s="236"/>
      <c r="I885" s="222"/>
      <c r="J885" s="221">
        <f>SUMIFS($AU$11:$AU$880,$AT$11:$AT$880,C885,$BB$11:$BB$880,"גבוה")</f>
        <v>0</v>
      </c>
      <c r="K885" s="222"/>
      <c r="L885" s="221">
        <f>SUMIFS($AU$11:$AU$880,$AT$11:$AT$880,C885,$BB$11:$BB$880,"בינונית")</f>
        <v>0</v>
      </c>
      <c r="M885" s="236"/>
      <c r="N885" s="222"/>
      <c r="O885" s="221">
        <f>SUMIFS($AU$11:$AU$880,$AT$11:$AT$880,C885,$BB$11:$BB$880,"נמוכה")</f>
        <v>0</v>
      </c>
      <c r="P885" s="222"/>
      <c r="Q885" s="110">
        <f>SUM(D885:P885)</f>
        <v>0</v>
      </c>
      <c r="AT885" s="128" t="e" vm="2">
        <f t="shared" ref="AT885:AT918" si="916">C885</f>
        <v>#VALUE!</v>
      </c>
      <c r="AU885" s="221">
        <f>SUMIFS($AU$11:$AU$880,$AT$11:$AT$880,C885,$BC$11:$BC$880,"שימור")</f>
        <v>0</v>
      </c>
      <c r="AV885" s="222"/>
      <c r="AW885" s="221">
        <f>SUMIFS($AU$11:$AU$880,$AT$11:$AT$880,C885,$BC$11:$BC$880,"כריתה")</f>
        <v>0</v>
      </c>
      <c r="AX885" s="222"/>
      <c r="AY885" s="221">
        <f>SUMIFS($AU$11:$AU$880,$AT$11:$AT$880,C885,$BC$11:$BC$880,"העתקה")</f>
        <v>0</v>
      </c>
      <c r="AZ885" s="222"/>
      <c r="BA885" s="110">
        <f>SUMIFS($AU$11:$AU$880,$AT$11:$AT$880,C885,$BC$11:$BC$880,"לא נדרש ברישיון")</f>
        <v>0</v>
      </c>
      <c r="BB885" s="110">
        <f>SUM(AU885:BA885)</f>
        <v>0</v>
      </c>
    </row>
    <row r="886" spans="3:63">
      <c r="C886" s="72"/>
      <c r="D886" s="221">
        <f t="shared" ref="D886:D918" si="917">SUMIFS($AU$11:$AU$880,$AT$11:$AT$880,C886,$BB$11:$BB$880,"גבוה מאוד")</f>
        <v>0</v>
      </c>
      <c r="E886" s="236"/>
      <c r="F886" s="236"/>
      <c r="G886" s="236"/>
      <c r="H886" s="236"/>
      <c r="I886" s="222"/>
      <c r="J886" s="221">
        <f t="shared" ref="J886:J918" si="918">SUMIFS($AU$11:$AU$880,$AT$11:$AT$880,C886,$BB$11:$BB$880,"גבוה")</f>
        <v>0</v>
      </c>
      <c r="K886" s="222"/>
      <c r="L886" s="221">
        <f t="shared" ref="L886:L918" si="919">SUMIFS($AU$11:$AU$880,$AT$11:$AT$880,C886,$BB$11:$BB$880,"בינונית")</f>
        <v>0</v>
      </c>
      <c r="M886" s="236"/>
      <c r="N886" s="222"/>
      <c r="O886" s="221">
        <f t="shared" ref="O886:O918" si="920">SUMIFS($AU$11:$AU$880,$AT$11:$AT$880,C886,$BB$11:$BB$880,"נמוכה")</f>
        <v>0</v>
      </c>
      <c r="P886" s="222"/>
      <c r="Q886" s="110">
        <f t="shared" ref="Q886:Q917" si="921">SUM(D886:P886)</f>
        <v>0</v>
      </c>
      <c r="AT886" s="128">
        <f t="shared" si="916"/>
        <v>0</v>
      </c>
      <c r="AU886" s="221">
        <f t="shared" ref="AU886:AU918" si="922">SUMIFS($AU$11:$AU$880,$AT$11:$AT$880,C886,$BC$11:$BC$880,"שימור")</f>
        <v>0</v>
      </c>
      <c r="AV886" s="222"/>
      <c r="AW886" s="221">
        <f t="shared" ref="AW886:AW918" si="923">SUMIFS($AU$11:$AU$880,$AT$11:$AT$880,C886,$BC$11:$BC$880,"כריתה")</f>
        <v>0</v>
      </c>
      <c r="AX886" s="222"/>
      <c r="AY886" s="221">
        <f t="shared" ref="AY886:AY918" si="924">SUMIFS($AU$11:$AU$880,$AT$11:$AT$880,C886,$BC$11:$BC$880,"העתקה")</f>
        <v>0</v>
      </c>
      <c r="AZ886" s="222"/>
      <c r="BA886" s="110">
        <f t="shared" ref="BA886:BA918" si="925">SUMIFS($AU$11:$AU$880,$AT$11:$AT$880,C886,$BC$11:$BC$880,"לא נדרש ברישיון")</f>
        <v>0</v>
      </c>
      <c r="BB886" s="110">
        <f t="shared" ref="BB886:BB918" si="926">SUM(AU886:BA886)</f>
        <v>0</v>
      </c>
    </row>
    <row r="887" spans="3:63">
      <c r="C887" s="72"/>
      <c r="D887" s="221">
        <f t="shared" si="917"/>
        <v>0</v>
      </c>
      <c r="E887" s="236"/>
      <c r="F887" s="236"/>
      <c r="G887" s="236"/>
      <c r="H887" s="236"/>
      <c r="I887" s="222"/>
      <c r="J887" s="221">
        <f t="shared" si="918"/>
        <v>0</v>
      </c>
      <c r="K887" s="222"/>
      <c r="L887" s="221">
        <f t="shared" si="919"/>
        <v>0</v>
      </c>
      <c r="M887" s="236"/>
      <c r="N887" s="222"/>
      <c r="O887" s="221">
        <f t="shared" si="920"/>
        <v>0</v>
      </c>
      <c r="P887" s="222"/>
      <c r="Q887" s="110">
        <f t="shared" si="921"/>
        <v>0</v>
      </c>
      <c r="AT887" s="128">
        <f t="shared" si="916"/>
        <v>0</v>
      </c>
      <c r="AU887" s="221">
        <f t="shared" si="922"/>
        <v>0</v>
      </c>
      <c r="AV887" s="222"/>
      <c r="AW887" s="221">
        <f t="shared" si="923"/>
        <v>0</v>
      </c>
      <c r="AX887" s="222"/>
      <c r="AY887" s="221">
        <f t="shared" si="924"/>
        <v>0</v>
      </c>
      <c r="AZ887" s="222"/>
      <c r="BA887" s="110">
        <f t="shared" si="925"/>
        <v>0</v>
      </c>
      <c r="BB887" s="110">
        <f t="shared" si="926"/>
        <v>0</v>
      </c>
    </row>
    <row r="888" spans="3:63">
      <c r="C888" s="72"/>
      <c r="D888" s="221">
        <f t="shared" si="917"/>
        <v>0</v>
      </c>
      <c r="E888" s="236"/>
      <c r="F888" s="236"/>
      <c r="G888" s="236"/>
      <c r="H888" s="236"/>
      <c r="I888" s="222"/>
      <c r="J888" s="221">
        <f t="shared" si="918"/>
        <v>0</v>
      </c>
      <c r="K888" s="222"/>
      <c r="L888" s="221">
        <f t="shared" si="919"/>
        <v>0</v>
      </c>
      <c r="M888" s="236"/>
      <c r="N888" s="222"/>
      <c r="O888" s="221">
        <f t="shared" si="920"/>
        <v>0</v>
      </c>
      <c r="P888" s="222"/>
      <c r="Q888" s="110">
        <f t="shared" si="921"/>
        <v>0</v>
      </c>
      <c r="AT888" s="128">
        <f t="shared" si="916"/>
        <v>0</v>
      </c>
      <c r="AU888" s="221">
        <f t="shared" si="922"/>
        <v>0</v>
      </c>
      <c r="AV888" s="222"/>
      <c r="AW888" s="221">
        <f t="shared" si="923"/>
        <v>0</v>
      </c>
      <c r="AX888" s="222"/>
      <c r="AY888" s="221">
        <f t="shared" si="924"/>
        <v>0</v>
      </c>
      <c r="AZ888" s="222"/>
      <c r="BA888" s="110">
        <f t="shared" si="925"/>
        <v>0</v>
      </c>
      <c r="BB888" s="110">
        <f t="shared" si="926"/>
        <v>0</v>
      </c>
    </row>
    <row r="889" spans="3:63">
      <c r="C889" s="72"/>
      <c r="D889" s="221">
        <f t="shared" si="917"/>
        <v>0</v>
      </c>
      <c r="E889" s="236"/>
      <c r="F889" s="236"/>
      <c r="G889" s="236"/>
      <c r="H889" s="236"/>
      <c r="I889" s="222"/>
      <c r="J889" s="221">
        <f t="shared" si="918"/>
        <v>0</v>
      </c>
      <c r="K889" s="222"/>
      <c r="L889" s="221">
        <f t="shared" si="919"/>
        <v>0</v>
      </c>
      <c r="M889" s="236"/>
      <c r="N889" s="222"/>
      <c r="O889" s="221">
        <f t="shared" si="920"/>
        <v>0</v>
      </c>
      <c r="P889" s="222"/>
      <c r="Q889" s="110">
        <f t="shared" si="921"/>
        <v>0</v>
      </c>
      <c r="AT889" s="128">
        <f t="shared" si="916"/>
        <v>0</v>
      </c>
      <c r="AU889" s="221">
        <f t="shared" si="922"/>
        <v>0</v>
      </c>
      <c r="AV889" s="222"/>
      <c r="AW889" s="221">
        <f t="shared" si="923"/>
        <v>0</v>
      </c>
      <c r="AX889" s="222"/>
      <c r="AY889" s="221">
        <f t="shared" si="924"/>
        <v>0</v>
      </c>
      <c r="AZ889" s="222"/>
      <c r="BA889" s="110">
        <f t="shared" si="925"/>
        <v>0</v>
      </c>
      <c r="BB889" s="110">
        <f t="shared" si="926"/>
        <v>0</v>
      </c>
    </row>
    <row r="890" spans="3:63">
      <c r="C890" s="72"/>
      <c r="D890" s="221">
        <f t="shared" si="917"/>
        <v>0</v>
      </c>
      <c r="E890" s="236"/>
      <c r="F890" s="236"/>
      <c r="G890" s="236"/>
      <c r="H890" s="236"/>
      <c r="I890" s="222"/>
      <c r="J890" s="221">
        <f t="shared" si="918"/>
        <v>0</v>
      </c>
      <c r="K890" s="222"/>
      <c r="L890" s="221">
        <f t="shared" si="919"/>
        <v>0</v>
      </c>
      <c r="M890" s="236"/>
      <c r="N890" s="222"/>
      <c r="O890" s="221">
        <f t="shared" si="920"/>
        <v>0</v>
      </c>
      <c r="P890" s="222"/>
      <c r="Q890" s="110">
        <f t="shared" si="921"/>
        <v>0</v>
      </c>
      <c r="AT890" s="128">
        <f t="shared" si="916"/>
        <v>0</v>
      </c>
      <c r="AU890" s="221">
        <f t="shared" si="922"/>
        <v>0</v>
      </c>
      <c r="AV890" s="222"/>
      <c r="AW890" s="221">
        <f t="shared" si="923"/>
        <v>0</v>
      </c>
      <c r="AX890" s="222"/>
      <c r="AY890" s="221">
        <f t="shared" si="924"/>
        <v>0</v>
      </c>
      <c r="AZ890" s="222"/>
      <c r="BA890" s="110">
        <f t="shared" si="925"/>
        <v>0</v>
      </c>
      <c r="BB890" s="110">
        <f t="shared" si="926"/>
        <v>0</v>
      </c>
    </row>
    <row r="891" spans="3:63">
      <c r="C891" s="72"/>
      <c r="D891" s="221">
        <f t="shared" si="917"/>
        <v>0</v>
      </c>
      <c r="E891" s="236"/>
      <c r="F891" s="236"/>
      <c r="G891" s="236"/>
      <c r="H891" s="236"/>
      <c r="I891" s="222"/>
      <c r="J891" s="221">
        <f t="shared" si="918"/>
        <v>0</v>
      </c>
      <c r="K891" s="222"/>
      <c r="L891" s="221">
        <f t="shared" si="919"/>
        <v>0</v>
      </c>
      <c r="M891" s="236"/>
      <c r="N891" s="222"/>
      <c r="O891" s="221">
        <f t="shared" si="920"/>
        <v>0</v>
      </c>
      <c r="P891" s="222"/>
      <c r="Q891" s="110">
        <f t="shared" si="921"/>
        <v>0</v>
      </c>
      <c r="AT891" s="128">
        <f t="shared" si="916"/>
        <v>0</v>
      </c>
      <c r="AU891" s="221">
        <f t="shared" si="922"/>
        <v>0</v>
      </c>
      <c r="AV891" s="222"/>
      <c r="AW891" s="221">
        <f t="shared" si="923"/>
        <v>0</v>
      </c>
      <c r="AX891" s="222"/>
      <c r="AY891" s="221">
        <f t="shared" si="924"/>
        <v>0</v>
      </c>
      <c r="AZ891" s="222"/>
      <c r="BA891" s="110">
        <f t="shared" si="925"/>
        <v>0</v>
      </c>
      <c r="BB891" s="110">
        <f t="shared" si="926"/>
        <v>0</v>
      </c>
    </row>
    <row r="892" spans="3:63">
      <c r="C892" s="72"/>
      <c r="D892" s="221">
        <f t="shared" si="917"/>
        <v>0</v>
      </c>
      <c r="E892" s="236"/>
      <c r="F892" s="236"/>
      <c r="G892" s="236"/>
      <c r="H892" s="236"/>
      <c r="I892" s="222"/>
      <c r="J892" s="221">
        <f t="shared" si="918"/>
        <v>0</v>
      </c>
      <c r="K892" s="222"/>
      <c r="L892" s="221">
        <f t="shared" si="919"/>
        <v>0</v>
      </c>
      <c r="M892" s="236"/>
      <c r="N892" s="222"/>
      <c r="O892" s="221">
        <f t="shared" si="920"/>
        <v>0</v>
      </c>
      <c r="P892" s="222"/>
      <c r="Q892" s="110">
        <f t="shared" si="921"/>
        <v>0</v>
      </c>
      <c r="AT892" s="128">
        <f t="shared" si="916"/>
        <v>0</v>
      </c>
      <c r="AU892" s="221">
        <f t="shared" si="922"/>
        <v>0</v>
      </c>
      <c r="AV892" s="222"/>
      <c r="AW892" s="221">
        <f t="shared" si="923"/>
        <v>0</v>
      </c>
      <c r="AX892" s="222"/>
      <c r="AY892" s="221">
        <f t="shared" si="924"/>
        <v>0</v>
      </c>
      <c r="AZ892" s="222"/>
      <c r="BA892" s="110">
        <f t="shared" si="925"/>
        <v>0</v>
      </c>
      <c r="BB892" s="110">
        <f t="shared" si="926"/>
        <v>0</v>
      </c>
    </row>
    <row r="893" spans="3:63">
      <c r="C893" s="72"/>
      <c r="D893" s="221">
        <f t="shared" si="917"/>
        <v>0</v>
      </c>
      <c r="E893" s="236"/>
      <c r="F893" s="236"/>
      <c r="G893" s="236"/>
      <c r="H893" s="236"/>
      <c r="I893" s="222"/>
      <c r="J893" s="221">
        <f t="shared" si="918"/>
        <v>0</v>
      </c>
      <c r="K893" s="222"/>
      <c r="L893" s="221">
        <f t="shared" si="919"/>
        <v>0</v>
      </c>
      <c r="M893" s="236"/>
      <c r="N893" s="222"/>
      <c r="O893" s="221">
        <f t="shared" si="920"/>
        <v>0</v>
      </c>
      <c r="P893" s="222"/>
      <c r="Q893" s="110">
        <f t="shared" si="921"/>
        <v>0</v>
      </c>
      <c r="AT893" s="128">
        <f t="shared" si="916"/>
        <v>0</v>
      </c>
      <c r="AU893" s="221">
        <f t="shared" si="922"/>
        <v>0</v>
      </c>
      <c r="AV893" s="222"/>
      <c r="AW893" s="221">
        <f t="shared" si="923"/>
        <v>0</v>
      </c>
      <c r="AX893" s="222"/>
      <c r="AY893" s="221">
        <f t="shared" si="924"/>
        <v>0</v>
      </c>
      <c r="AZ893" s="222"/>
      <c r="BA893" s="110">
        <f t="shared" si="925"/>
        <v>0</v>
      </c>
      <c r="BB893" s="110">
        <f t="shared" si="926"/>
        <v>0</v>
      </c>
    </row>
    <row r="894" spans="3:63">
      <c r="C894" s="72"/>
      <c r="D894" s="221">
        <f t="shared" si="917"/>
        <v>0</v>
      </c>
      <c r="E894" s="236"/>
      <c r="F894" s="236"/>
      <c r="G894" s="236"/>
      <c r="H894" s="236"/>
      <c r="I894" s="222"/>
      <c r="J894" s="221">
        <f t="shared" si="918"/>
        <v>0</v>
      </c>
      <c r="K894" s="222"/>
      <c r="L894" s="221">
        <f t="shared" si="919"/>
        <v>0</v>
      </c>
      <c r="M894" s="236"/>
      <c r="N894" s="222"/>
      <c r="O894" s="221">
        <f t="shared" si="920"/>
        <v>0</v>
      </c>
      <c r="P894" s="222"/>
      <c r="Q894" s="110">
        <f t="shared" si="921"/>
        <v>0</v>
      </c>
      <c r="AT894" s="128">
        <f t="shared" si="916"/>
        <v>0</v>
      </c>
      <c r="AU894" s="221">
        <f t="shared" si="922"/>
        <v>0</v>
      </c>
      <c r="AV894" s="222"/>
      <c r="AW894" s="221">
        <f t="shared" si="923"/>
        <v>0</v>
      </c>
      <c r="AX894" s="222"/>
      <c r="AY894" s="221">
        <f t="shared" si="924"/>
        <v>0</v>
      </c>
      <c r="AZ894" s="222"/>
      <c r="BA894" s="110">
        <f t="shared" si="925"/>
        <v>0</v>
      </c>
      <c r="BB894" s="110">
        <f t="shared" si="926"/>
        <v>0</v>
      </c>
    </row>
    <row r="895" spans="3:63" ht="12.75" customHeight="1">
      <c r="C895" s="72"/>
      <c r="D895" s="221">
        <f t="shared" si="917"/>
        <v>0</v>
      </c>
      <c r="E895" s="236"/>
      <c r="F895" s="236"/>
      <c r="G895" s="236"/>
      <c r="H895" s="236"/>
      <c r="I895" s="222"/>
      <c r="J895" s="221">
        <f t="shared" si="918"/>
        <v>0</v>
      </c>
      <c r="K895" s="222"/>
      <c r="L895" s="221">
        <f t="shared" si="919"/>
        <v>0</v>
      </c>
      <c r="M895" s="236"/>
      <c r="N895" s="222"/>
      <c r="O895" s="221">
        <f t="shared" si="920"/>
        <v>0</v>
      </c>
      <c r="P895" s="222"/>
      <c r="Q895" s="110">
        <f t="shared" si="921"/>
        <v>0</v>
      </c>
      <c r="AT895" s="128">
        <f t="shared" si="916"/>
        <v>0</v>
      </c>
      <c r="AU895" s="221">
        <f t="shared" si="922"/>
        <v>0</v>
      </c>
      <c r="AV895" s="222"/>
      <c r="AW895" s="221">
        <f t="shared" si="923"/>
        <v>0</v>
      </c>
      <c r="AX895" s="222"/>
      <c r="AY895" s="221">
        <f t="shared" si="924"/>
        <v>0</v>
      </c>
      <c r="AZ895" s="222"/>
      <c r="BA895" s="110">
        <f t="shared" si="925"/>
        <v>0</v>
      </c>
      <c r="BB895" s="110">
        <f t="shared" si="926"/>
        <v>0</v>
      </c>
    </row>
    <row r="896" spans="3:63">
      <c r="C896" s="72"/>
      <c r="D896" s="221">
        <f t="shared" si="917"/>
        <v>0</v>
      </c>
      <c r="E896" s="236"/>
      <c r="F896" s="236"/>
      <c r="G896" s="236"/>
      <c r="H896" s="236"/>
      <c r="I896" s="222"/>
      <c r="J896" s="221">
        <f t="shared" si="918"/>
        <v>0</v>
      </c>
      <c r="K896" s="222"/>
      <c r="L896" s="221">
        <f t="shared" si="919"/>
        <v>0</v>
      </c>
      <c r="M896" s="236"/>
      <c r="N896" s="222"/>
      <c r="O896" s="221">
        <f t="shared" si="920"/>
        <v>0</v>
      </c>
      <c r="P896" s="222"/>
      <c r="Q896" s="110">
        <f t="shared" si="921"/>
        <v>0</v>
      </c>
      <c r="AT896" s="128">
        <f t="shared" si="916"/>
        <v>0</v>
      </c>
      <c r="AU896" s="221">
        <f t="shared" si="922"/>
        <v>0</v>
      </c>
      <c r="AV896" s="222"/>
      <c r="AW896" s="221">
        <f t="shared" si="923"/>
        <v>0</v>
      </c>
      <c r="AX896" s="222"/>
      <c r="AY896" s="221">
        <f t="shared" si="924"/>
        <v>0</v>
      </c>
      <c r="AZ896" s="222"/>
      <c r="BA896" s="110">
        <f t="shared" si="925"/>
        <v>0</v>
      </c>
      <c r="BB896" s="110">
        <f t="shared" si="926"/>
        <v>0</v>
      </c>
    </row>
    <row r="897" spans="3:54">
      <c r="C897" s="72"/>
      <c r="D897" s="221">
        <f t="shared" si="917"/>
        <v>0</v>
      </c>
      <c r="E897" s="236"/>
      <c r="F897" s="236"/>
      <c r="G897" s="236"/>
      <c r="H897" s="236"/>
      <c r="I897" s="222"/>
      <c r="J897" s="221">
        <f t="shared" si="918"/>
        <v>0</v>
      </c>
      <c r="K897" s="222"/>
      <c r="L897" s="221">
        <f t="shared" si="919"/>
        <v>0</v>
      </c>
      <c r="M897" s="236"/>
      <c r="N897" s="222"/>
      <c r="O897" s="221">
        <f t="shared" si="920"/>
        <v>0</v>
      </c>
      <c r="P897" s="222"/>
      <c r="Q897" s="110">
        <f t="shared" si="921"/>
        <v>0</v>
      </c>
      <c r="AT897" s="128">
        <f t="shared" si="916"/>
        <v>0</v>
      </c>
      <c r="AU897" s="221">
        <f t="shared" si="922"/>
        <v>0</v>
      </c>
      <c r="AV897" s="222"/>
      <c r="AW897" s="221">
        <f t="shared" si="923"/>
        <v>0</v>
      </c>
      <c r="AX897" s="222"/>
      <c r="AY897" s="221">
        <f t="shared" si="924"/>
        <v>0</v>
      </c>
      <c r="AZ897" s="222"/>
      <c r="BA897" s="110">
        <f t="shared" si="925"/>
        <v>0</v>
      </c>
      <c r="BB897" s="110">
        <f t="shared" si="926"/>
        <v>0</v>
      </c>
    </row>
    <row r="898" spans="3:54">
      <c r="C898" s="72"/>
      <c r="D898" s="221">
        <f t="shared" si="917"/>
        <v>0</v>
      </c>
      <c r="E898" s="236"/>
      <c r="F898" s="236"/>
      <c r="G898" s="236"/>
      <c r="H898" s="236"/>
      <c r="I898" s="222"/>
      <c r="J898" s="221">
        <f t="shared" si="918"/>
        <v>0</v>
      </c>
      <c r="K898" s="222"/>
      <c r="L898" s="221">
        <f t="shared" si="919"/>
        <v>0</v>
      </c>
      <c r="M898" s="236"/>
      <c r="N898" s="222"/>
      <c r="O898" s="221">
        <f t="shared" si="920"/>
        <v>0</v>
      </c>
      <c r="P898" s="222"/>
      <c r="Q898" s="110">
        <f t="shared" si="921"/>
        <v>0</v>
      </c>
      <c r="AT898" s="128">
        <f t="shared" si="916"/>
        <v>0</v>
      </c>
      <c r="AU898" s="221">
        <f t="shared" si="922"/>
        <v>0</v>
      </c>
      <c r="AV898" s="222"/>
      <c r="AW898" s="221">
        <f t="shared" si="923"/>
        <v>0</v>
      </c>
      <c r="AX898" s="222"/>
      <c r="AY898" s="221">
        <f t="shared" si="924"/>
        <v>0</v>
      </c>
      <c r="AZ898" s="222"/>
      <c r="BA898" s="110">
        <f t="shared" si="925"/>
        <v>0</v>
      </c>
      <c r="BB898" s="110">
        <f t="shared" si="926"/>
        <v>0</v>
      </c>
    </row>
    <row r="899" spans="3:54">
      <c r="C899" s="72"/>
      <c r="D899" s="221">
        <f t="shared" si="917"/>
        <v>0</v>
      </c>
      <c r="E899" s="236"/>
      <c r="F899" s="236"/>
      <c r="G899" s="236"/>
      <c r="H899" s="236"/>
      <c r="I899" s="222"/>
      <c r="J899" s="221">
        <f t="shared" si="918"/>
        <v>0</v>
      </c>
      <c r="K899" s="222"/>
      <c r="L899" s="221">
        <f t="shared" si="919"/>
        <v>0</v>
      </c>
      <c r="M899" s="236"/>
      <c r="N899" s="222"/>
      <c r="O899" s="221">
        <f t="shared" si="920"/>
        <v>0</v>
      </c>
      <c r="P899" s="222"/>
      <c r="Q899" s="110">
        <f t="shared" si="921"/>
        <v>0</v>
      </c>
      <c r="AT899" s="128">
        <f t="shared" si="916"/>
        <v>0</v>
      </c>
      <c r="AU899" s="221">
        <f t="shared" si="922"/>
        <v>0</v>
      </c>
      <c r="AV899" s="222"/>
      <c r="AW899" s="221">
        <f t="shared" si="923"/>
        <v>0</v>
      </c>
      <c r="AX899" s="222"/>
      <c r="AY899" s="221">
        <f t="shared" si="924"/>
        <v>0</v>
      </c>
      <c r="AZ899" s="222"/>
      <c r="BA899" s="110">
        <f t="shared" si="925"/>
        <v>0</v>
      </c>
      <c r="BB899" s="110">
        <f t="shared" si="926"/>
        <v>0</v>
      </c>
    </row>
    <row r="900" spans="3:54">
      <c r="C900" s="72"/>
      <c r="D900" s="221">
        <f t="shared" si="917"/>
        <v>0</v>
      </c>
      <c r="E900" s="236"/>
      <c r="F900" s="236"/>
      <c r="G900" s="236"/>
      <c r="H900" s="236"/>
      <c r="I900" s="222"/>
      <c r="J900" s="221">
        <f t="shared" si="918"/>
        <v>0</v>
      </c>
      <c r="K900" s="222"/>
      <c r="L900" s="221">
        <f t="shared" si="919"/>
        <v>0</v>
      </c>
      <c r="M900" s="236"/>
      <c r="N900" s="222"/>
      <c r="O900" s="221">
        <f t="shared" si="920"/>
        <v>0</v>
      </c>
      <c r="P900" s="222"/>
      <c r="Q900" s="110">
        <f t="shared" si="921"/>
        <v>0</v>
      </c>
      <c r="AT900" s="128">
        <f t="shared" si="916"/>
        <v>0</v>
      </c>
      <c r="AU900" s="221">
        <f t="shared" si="922"/>
        <v>0</v>
      </c>
      <c r="AV900" s="222"/>
      <c r="AW900" s="221">
        <f t="shared" si="923"/>
        <v>0</v>
      </c>
      <c r="AX900" s="222"/>
      <c r="AY900" s="221">
        <f t="shared" si="924"/>
        <v>0</v>
      </c>
      <c r="AZ900" s="222"/>
      <c r="BA900" s="110">
        <f t="shared" si="925"/>
        <v>0</v>
      </c>
      <c r="BB900" s="110">
        <f t="shared" si="926"/>
        <v>0</v>
      </c>
    </row>
    <row r="901" spans="3:54">
      <c r="C901" s="72"/>
      <c r="D901" s="221">
        <f t="shared" si="917"/>
        <v>0</v>
      </c>
      <c r="E901" s="236"/>
      <c r="F901" s="236"/>
      <c r="G901" s="236"/>
      <c r="H901" s="236"/>
      <c r="I901" s="222"/>
      <c r="J901" s="221">
        <f t="shared" si="918"/>
        <v>0</v>
      </c>
      <c r="K901" s="222"/>
      <c r="L901" s="221">
        <f t="shared" si="919"/>
        <v>0</v>
      </c>
      <c r="M901" s="236"/>
      <c r="N901" s="222"/>
      <c r="O901" s="221">
        <f t="shared" si="920"/>
        <v>0</v>
      </c>
      <c r="P901" s="222"/>
      <c r="Q901" s="110">
        <f t="shared" si="921"/>
        <v>0</v>
      </c>
      <c r="AT901" s="128">
        <f t="shared" si="916"/>
        <v>0</v>
      </c>
      <c r="AU901" s="221">
        <f t="shared" si="922"/>
        <v>0</v>
      </c>
      <c r="AV901" s="222"/>
      <c r="AW901" s="221">
        <f t="shared" si="923"/>
        <v>0</v>
      </c>
      <c r="AX901" s="222"/>
      <c r="AY901" s="221">
        <f t="shared" si="924"/>
        <v>0</v>
      </c>
      <c r="AZ901" s="222"/>
      <c r="BA901" s="110">
        <f t="shared" si="925"/>
        <v>0</v>
      </c>
      <c r="BB901" s="110">
        <f t="shared" si="926"/>
        <v>0</v>
      </c>
    </row>
    <row r="902" spans="3:54">
      <c r="C902" s="72"/>
      <c r="D902" s="221">
        <f t="shared" si="917"/>
        <v>0</v>
      </c>
      <c r="E902" s="236"/>
      <c r="F902" s="236"/>
      <c r="G902" s="236"/>
      <c r="H902" s="236"/>
      <c r="I902" s="222"/>
      <c r="J902" s="221">
        <f t="shared" si="918"/>
        <v>0</v>
      </c>
      <c r="K902" s="222"/>
      <c r="L902" s="221">
        <f t="shared" si="919"/>
        <v>0</v>
      </c>
      <c r="M902" s="236"/>
      <c r="N902" s="222"/>
      <c r="O902" s="221">
        <f t="shared" si="920"/>
        <v>0</v>
      </c>
      <c r="P902" s="222"/>
      <c r="Q902" s="110">
        <f t="shared" si="921"/>
        <v>0</v>
      </c>
      <c r="AT902" s="128">
        <f t="shared" si="916"/>
        <v>0</v>
      </c>
      <c r="AU902" s="221">
        <f t="shared" si="922"/>
        <v>0</v>
      </c>
      <c r="AV902" s="222"/>
      <c r="AW902" s="221">
        <f t="shared" si="923"/>
        <v>0</v>
      </c>
      <c r="AX902" s="222"/>
      <c r="AY902" s="221">
        <f t="shared" si="924"/>
        <v>0</v>
      </c>
      <c r="AZ902" s="222"/>
      <c r="BA902" s="110">
        <f t="shared" si="925"/>
        <v>0</v>
      </c>
      <c r="BB902" s="110">
        <f t="shared" si="926"/>
        <v>0</v>
      </c>
    </row>
    <row r="903" spans="3:54">
      <c r="C903" s="72"/>
      <c r="D903" s="221">
        <f t="shared" si="917"/>
        <v>0</v>
      </c>
      <c r="E903" s="236"/>
      <c r="F903" s="236"/>
      <c r="G903" s="236"/>
      <c r="H903" s="236"/>
      <c r="I903" s="222"/>
      <c r="J903" s="221">
        <f t="shared" si="918"/>
        <v>0</v>
      </c>
      <c r="K903" s="222"/>
      <c r="L903" s="221">
        <f t="shared" si="919"/>
        <v>0</v>
      </c>
      <c r="M903" s="236"/>
      <c r="N903" s="222"/>
      <c r="O903" s="221">
        <f t="shared" si="920"/>
        <v>0</v>
      </c>
      <c r="P903" s="222"/>
      <c r="Q903" s="110">
        <f t="shared" si="921"/>
        <v>0</v>
      </c>
      <c r="AT903" s="128">
        <f t="shared" si="916"/>
        <v>0</v>
      </c>
      <c r="AU903" s="221">
        <f t="shared" si="922"/>
        <v>0</v>
      </c>
      <c r="AV903" s="222"/>
      <c r="AW903" s="221">
        <f t="shared" si="923"/>
        <v>0</v>
      </c>
      <c r="AX903" s="222"/>
      <c r="AY903" s="221">
        <f t="shared" si="924"/>
        <v>0</v>
      </c>
      <c r="AZ903" s="222"/>
      <c r="BA903" s="110">
        <f t="shared" si="925"/>
        <v>0</v>
      </c>
      <c r="BB903" s="110">
        <f t="shared" si="926"/>
        <v>0</v>
      </c>
    </row>
    <row r="904" spans="3:54">
      <c r="C904" s="72"/>
      <c r="D904" s="221">
        <f t="shared" si="917"/>
        <v>0</v>
      </c>
      <c r="E904" s="236"/>
      <c r="F904" s="236"/>
      <c r="G904" s="236"/>
      <c r="H904" s="236"/>
      <c r="I904" s="222"/>
      <c r="J904" s="221">
        <f t="shared" si="918"/>
        <v>0</v>
      </c>
      <c r="K904" s="222"/>
      <c r="L904" s="221">
        <f t="shared" si="919"/>
        <v>0</v>
      </c>
      <c r="M904" s="236"/>
      <c r="N904" s="222"/>
      <c r="O904" s="221">
        <f t="shared" si="920"/>
        <v>0</v>
      </c>
      <c r="P904" s="222"/>
      <c r="Q904" s="110">
        <f t="shared" si="921"/>
        <v>0</v>
      </c>
      <c r="AT904" s="128">
        <f t="shared" si="916"/>
        <v>0</v>
      </c>
      <c r="AU904" s="221">
        <f t="shared" si="922"/>
        <v>0</v>
      </c>
      <c r="AV904" s="222"/>
      <c r="AW904" s="221">
        <f t="shared" si="923"/>
        <v>0</v>
      </c>
      <c r="AX904" s="222"/>
      <c r="AY904" s="221">
        <f t="shared" si="924"/>
        <v>0</v>
      </c>
      <c r="AZ904" s="222"/>
      <c r="BA904" s="110">
        <f t="shared" si="925"/>
        <v>0</v>
      </c>
      <c r="BB904" s="110">
        <f t="shared" si="926"/>
        <v>0</v>
      </c>
    </row>
    <row r="905" spans="3:54">
      <c r="C905" s="72"/>
      <c r="D905" s="221">
        <f t="shared" si="917"/>
        <v>0</v>
      </c>
      <c r="E905" s="236"/>
      <c r="F905" s="236"/>
      <c r="G905" s="236"/>
      <c r="H905" s="236"/>
      <c r="I905" s="222"/>
      <c r="J905" s="221">
        <f t="shared" si="918"/>
        <v>0</v>
      </c>
      <c r="K905" s="222"/>
      <c r="L905" s="221">
        <f t="shared" si="919"/>
        <v>0</v>
      </c>
      <c r="M905" s="236"/>
      <c r="N905" s="222"/>
      <c r="O905" s="221">
        <f t="shared" si="920"/>
        <v>0</v>
      </c>
      <c r="P905" s="222"/>
      <c r="Q905" s="110">
        <f t="shared" si="921"/>
        <v>0</v>
      </c>
      <c r="AT905" s="128">
        <f t="shared" si="916"/>
        <v>0</v>
      </c>
      <c r="AU905" s="221">
        <f t="shared" si="922"/>
        <v>0</v>
      </c>
      <c r="AV905" s="222"/>
      <c r="AW905" s="221">
        <f t="shared" si="923"/>
        <v>0</v>
      </c>
      <c r="AX905" s="222"/>
      <c r="AY905" s="221">
        <f t="shared" si="924"/>
        <v>0</v>
      </c>
      <c r="AZ905" s="222"/>
      <c r="BA905" s="110">
        <f t="shared" si="925"/>
        <v>0</v>
      </c>
      <c r="BB905" s="110">
        <f t="shared" si="926"/>
        <v>0</v>
      </c>
    </row>
    <row r="906" spans="3:54">
      <c r="C906" s="72"/>
      <c r="D906" s="221">
        <f t="shared" si="917"/>
        <v>0</v>
      </c>
      <c r="E906" s="236"/>
      <c r="F906" s="236"/>
      <c r="G906" s="236"/>
      <c r="H906" s="236"/>
      <c r="I906" s="222"/>
      <c r="J906" s="221">
        <f t="shared" si="918"/>
        <v>0</v>
      </c>
      <c r="K906" s="222"/>
      <c r="L906" s="221">
        <f t="shared" si="919"/>
        <v>0</v>
      </c>
      <c r="M906" s="236"/>
      <c r="N906" s="222"/>
      <c r="O906" s="221">
        <f t="shared" si="920"/>
        <v>0</v>
      </c>
      <c r="P906" s="222"/>
      <c r="Q906" s="110">
        <f t="shared" si="921"/>
        <v>0</v>
      </c>
      <c r="AT906" s="128">
        <f t="shared" si="916"/>
        <v>0</v>
      </c>
      <c r="AU906" s="221">
        <f t="shared" si="922"/>
        <v>0</v>
      </c>
      <c r="AV906" s="222"/>
      <c r="AW906" s="221">
        <f t="shared" si="923"/>
        <v>0</v>
      </c>
      <c r="AX906" s="222"/>
      <c r="AY906" s="221">
        <f t="shared" si="924"/>
        <v>0</v>
      </c>
      <c r="AZ906" s="222"/>
      <c r="BA906" s="110">
        <f t="shared" si="925"/>
        <v>0</v>
      </c>
      <c r="BB906" s="110">
        <f t="shared" si="926"/>
        <v>0</v>
      </c>
    </row>
    <row r="907" spans="3:54">
      <c r="C907" s="72"/>
      <c r="D907" s="221">
        <f t="shared" si="917"/>
        <v>0</v>
      </c>
      <c r="E907" s="236"/>
      <c r="F907" s="236"/>
      <c r="G907" s="236"/>
      <c r="H907" s="236"/>
      <c r="I907" s="222"/>
      <c r="J907" s="221">
        <f t="shared" si="918"/>
        <v>0</v>
      </c>
      <c r="K907" s="222"/>
      <c r="L907" s="221">
        <f t="shared" si="919"/>
        <v>0</v>
      </c>
      <c r="M907" s="236"/>
      <c r="N907" s="222"/>
      <c r="O907" s="221">
        <f t="shared" si="920"/>
        <v>0</v>
      </c>
      <c r="P907" s="222"/>
      <c r="Q907" s="110">
        <f t="shared" si="921"/>
        <v>0</v>
      </c>
      <c r="AT907" s="128">
        <f t="shared" si="916"/>
        <v>0</v>
      </c>
      <c r="AU907" s="221">
        <f t="shared" si="922"/>
        <v>0</v>
      </c>
      <c r="AV907" s="222"/>
      <c r="AW907" s="221">
        <f t="shared" si="923"/>
        <v>0</v>
      </c>
      <c r="AX907" s="222"/>
      <c r="AY907" s="221">
        <f t="shared" si="924"/>
        <v>0</v>
      </c>
      <c r="AZ907" s="222"/>
      <c r="BA907" s="110">
        <f t="shared" si="925"/>
        <v>0</v>
      </c>
      <c r="BB907" s="110">
        <f t="shared" si="926"/>
        <v>0</v>
      </c>
    </row>
    <row r="908" spans="3:54">
      <c r="C908" s="72"/>
      <c r="D908" s="221">
        <f t="shared" si="917"/>
        <v>0</v>
      </c>
      <c r="E908" s="236"/>
      <c r="F908" s="236"/>
      <c r="G908" s="236"/>
      <c r="H908" s="236"/>
      <c r="I908" s="222"/>
      <c r="J908" s="221">
        <f t="shared" si="918"/>
        <v>0</v>
      </c>
      <c r="K908" s="222"/>
      <c r="L908" s="221">
        <f t="shared" si="919"/>
        <v>0</v>
      </c>
      <c r="M908" s="236"/>
      <c r="N908" s="222"/>
      <c r="O908" s="221">
        <f t="shared" si="920"/>
        <v>0</v>
      </c>
      <c r="P908" s="222"/>
      <c r="Q908" s="110">
        <f t="shared" si="921"/>
        <v>0</v>
      </c>
      <c r="AT908" s="128">
        <f t="shared" si="916"/>
        <v>0</v>
      </c>
      <c r="AU908" s="221">
        <f t="shared" si="922"/>
        <v>0</v>
      </c>
      <c r="AV908" s="222"/>
      <c r="AW908" s="221">
        <f t="shared" si="923"/>
        <v>0</v>
      </c>
      <c r="AX908" s="222"/>
      <c r="AY908" s="221">
        <f t="shared" si="924"/>
        <v>0</v>
      </c>
      <c r="AZ908" s="222"/>
      <c r="BA908" s="110">
        <f t="shared" si="925"/>
        <v>0</v>
      </c>
      <c r="BB908" s="110">
        <f t="shared" si="926"/>
        <v>0</v>
      </c>
    </row>
    <row r="909" spans="3:54">
      <c r="C909" s="72"/>
      <c r="D909" s="221">
        <f t="shared" si="917"/>
        <v>0</v>
      </c>
      <c r="E909" s="236"/>
      <c r="F909" s="236"/>
      <c r="G909" s="236"/>
      <c r="H909" s="236"/>
      <c r="I909" s="222"/>
      <c r="J909" s="221">
        <f t="shared" si="918"/>
        <v>0</v>
      </c>
      <c r="K909" s="222"/>
      <c r="L909" s="221">
        <f t="shared" si="919"/>
        <v>0</v>
      </c>
      <c r="M909" s="236"/>
      <c r="N909" s="222"/>
      <c r="O909" s="221">
        <f t="shared" si="920"/>
        <v>0</v>
      </c>
      <c r="P909" s="222"/>
      <c r="Q909" s="110">
        <f t="shared" si="921"/>
        <v>0</v>
      </c>
      <c r="AT909" s="128">
        <f t="shared" si="916"/>
        <v>0</v>
      </c>
      <c r="AU909" s="221">
        <f t="shared" si="922"/>
        <v>0</v>
      </c>
      <c r="AV909" s="222"/>
      <c r="AW909" s="221">
        <f t="shared" si="923"/>
        <v>0</v>
      </c>
      <c r="AX909" s="222"/>
      <c r="AY909" s="221">
        <f t="shared" si="924"/>
        <v>0</v>
      </c>
      <c r="AZ909" s="222"/>
      <c r="BA909" s="110">
        <f t="shared" si="925"/>
        <v>0</v>
      </c>
      <c r="BB909" s="110">
        <f t="shared" si="926"/>
        <v>0</v>
      </c>
    </row>
    <row r="910" spans="3:54">
      <c r="C910" s="72"/>
      <c r="D910" s="221">
        <f t="shared" si="917"/>
        <v>0</v>
      </c>
      <c r="E910" s="236"/>
      <c r="F910" s="236"/>
      <c r="G910" s="236"/>
      <c r="H910" s="236"/>
      <c r="I910" s="222"/>
      <c r="J910" s="221">
        <f t="shared" si="918"/>
        <v>0</v>
      </c>
      <c r="K910" s="222"/>
      <c r="L910" s="221">
        <f t="shared" si="919"/>
        <v>0</v>
      </c>
      <c r="M910" s="236"/>
      <c r="N910" s="222"/>
      <c r="O910" s="221">
        <f t="shared" si="920"/>
        <v>0</v>
      </c>
      <c r="P910" s="222"/>
      <c r="Q910" s="110">
        <f t="shared" si="921"/>
        <v>0</v>
      </c>
      <c r="AT910" s="128">
        <f t="shared" si="916"/>
        <v>0</v>
      </c>
      <c r="AU910" s="221">
        <f t="shared" si="922"/>
        <v>0</v>
      </c>
      <c r="AV910" s="222"/>
      <c r="AW910" s="221">
        <f t="shared" si="923"/>
        <v>0</v>
      </c>
      <c r="AX910" s="222"/>
      <c r="AY910" s="221">
        <f t="shared" si="924"/>
        <v>0</v>
      </c>
      <c r="AZ910" s="222"/>
      <c r="BA910" s="110">
        <f t="shared" si="925"/>
        <v>0</v>
      </c>
      <c r="BB910" s="110">
        <f t="shared" si="926"/>
        <v>0</v>
      </c>
    </row>
    <row r="911" spans="3:54">
      <c r="C911" s="72"/>
      <c r="D911" s="221">
        <f t="shared" si="917"/>
        <v>0</v>
      </c>
      <c r="E911" s="236"/>
      <c r="F911" s="236"/>
      <c r="G911" s="236"/>
      <c r="H911" s="236"/>
      <c r="I911" s="222"/>
      <c r="J911" s="221">
        <f t="shared" si="918"/>
        <v>0</v>
      </c>
      <c r="K911" s="222"/>
      <c r="L911" s="221">
        <f t="shared" si="919"/>
        <v>0</v>
      </c>
      <c r="M911" s="236"/>
      <c r="N911" s="222"/>
      <c r="O911" s="221">
        <f t="shared" si="920"/>
        <v>0</v>
      </c>
      <c r="P911" s="222"/>
      <c r="Q911" s="110">
        <f t="shared" si="921"/>
        <v>0</v>
      </c>
      <c r="AT911" s="128">
        <f t="shared" si="916"/>
        <v>0</v>
      </c>
      <c r="AU911" s="221">
        <f t="shared" si="922"/>
        <v>0</v>
      </c>
      <c r="AV911" s="222"/>
      <c r="AW911" s="221">
        <f t="shared" si="923"/>
        <v>0</v>
      </c>
      <c r="AX911" s="222"/>
      <c r="AY911" s="221">
        <f t="shared" si="924"/>
        <v>0</v>
      </c>
      <c r="AZ911" s="222"/>
      <c r="BA911" s="110">
        <f t="shared" si="925"/>
        <v>0</v>
      </c>
      <c r="BB911" s="110">
        <f t="shared" si="926"/>
        <v>0</v>
      </c>
    </row>
    <row r="912" spans="3:54">
      <c r="C912" s="72"/>
      <c r="D912" s="221">
        <f t="shared" si="917"/>
        <v>0</v>
      </c>
      <c r="E912" s="236"/>
      <c r="F912" s="236"/>
      <c r="G912" s="236"/>
      <c r="H912" s="236"/>
      <c r="I912" s="222"/>
      <c r="J912" s="221">
        <f t="shared" si="918"/>
        <v>0</v>
      </c>
      <c r="K912" s="222"/>
      <c r="L912" s="221">
        <f t="shared" si="919"/>
        <v>0</v>
      </c>
      <c r="M912" s="236"/>
      <c r="N912" s="222"/>
      <c r="O912" s="221">
        <f t="shared" si="920"/>
        <v>0</v>
      </c>
      <c r="P912" s="222"/>
      <c r="Q912" s="110">
        <f t="shared" si="921"/>
        <v>0</v>
      </c>
      <c r="AT912" s="128">
        <f t="shared" si="916"/>
        <v>0</v>
      </c>
      <c r="AU912" s="221">
        <f t="shared" si="922"/>
        <v>0</v>
      </c>
      <c r="AV912" s="222"/>
      <c r="AW912" s="221">
        <f t="shared" si="923"/>
        <v>0</v>
      </c>
      <c r="AX912" s="222"/>
      <c r="AY912" s="221">
        <f t="shared" si="924"/>
        <v>0</v>
      </c>
      <c r="AZ912" s="222"/>
      <c r="BA912" s="110">
        <f t="shared" si="925"/>
        <v>0</v>
      </c>
      <c r="BB912" s="110">
        <f t="shared" si="926"/>
        <v>0</v>
      </c>
    </row>
    <row r="913" spans="3:54">
      <c r="C913" s="72"/>
      <c r="D913" s="221">
        <f t="shared" si="917"/>
        <v>0</v>
      </c>
      <c r="E913" s="236"/>
      <c r="F913" s="236"/>
      <c r="G913" s="236"/>
      <c r="H913" s="236"/>
      <c r="I913" s="222"/>
      <c r="J913" s="221">
        <f t="shared" si="918"/>
        <v>0</v>
      </c>
      <c r="K913" s="222"/>
      <c r="L913" s="221">
        <f t="shared" si="919"/>
        <v>0</v>
      </c>
      <c r="M913" s="236"/>
      <c r="N913" s="222"/>
      <c r="O913" s="221">
        <f t="shared" si="920"/>
        <v>0</v>
      </c>
      <c r="P913" s="222"/>
      <c r="Q913" s="110">
        <f t="shared" si="921"/>
        <v>0</v>
      </c>
      <c r="AT913" s="128">
        <f t="shared" si="916"/>
        <v>0</v>
      </c>
      <c r="AU913" s="221">
        <f t="shared" si="922"/>
        <v>0</v>
      </c>
      <c r="AV913" s="222"/>
      <c r="AW913" s="221">
        <f t="shared" si="923"/>
        <v>0</v>
      </c>
      <c r="AX913" s="222"/>
      <c r="AY913" s="221">
        <f t="shared" si="924"/>
        <v>0</v>
      </c>
      <c r="AZ913" s="222"/>
      <c r="BA913" s="110">
        <f t="shared" si="925"/>
        <v>0</v>
      </c>
      <c r="BB913" s="110">
        <f t="shared" si="926"/>
        <v>0</v>
      </c>
    </row>
    <row r="914" spans="3:54">
      <c r="C914" s="72"/>
      <c r="D914" s="221">
        <f t="shared" si="917"/>
        <v>0</v>
      </c>
      <c r="E914" s="236"/>
      <c r="F914" s="236"/>
      <c r="G914" s="236"/>
      <c r="H914" s="236"/>
      <c r="I914" s="222"/>
      <c r="J914" s="221">
        <f t="shared" si="918"/>
        <v>0</v>
      </c>
      <c r="K914" s="222"/>
      <c r="L914" s="221">
        <f t="shared" si="919"/>
        <v>0</v>
      </c>
      <c r="M914" s="236"/>
      <c r="N914" s="222"/>
      <c r="O914" s="221">
        <f t="shared" si="920"/>
        <v>0</v>
      </c>
      <c r="P914" s="222"/>
      <c r="Q914" s="110">
        <f t="shared" si="921"/>
        <v>0</v>
      </c>
      <c r="AT914" s="128">
        <f t="shared" si="916"/>
        <v>0</v>
      </c>
      <c r="AU914" s="221">
        <f t="shared" si="922"/>
        <v>0</v>
      </c>
      <c r="AV914" s="222"/>
      <c r="AW914" s="221">
        <f t="shared" si="923"/>
        <v>0</v>
      </c>
      <c r="AX914" s="222"/>
      <c r="AY914" s="221">
        <f t="shared" si="924"/>
        <v>0</v>
      </c>
      <c r="AZ914" s="222"/>
      <c r="BA914" s="110">
        <f t="shared" si="925"/>
        <v>0</v>
      </c>
      <c r="BB914" s="110">
        <f t="shared" si="926"/>
        <v>0</v>
      </c>
    </row>
    <row r="915" spans="3:54">
      <c r="C915" s="72"/>
      <c r="D915" s="221">
        <f t="shared" si="917"/>
        <v>0</v>
      </c>
      <c r="E915" s="236"/>
      <c r="F915" s="236"/>
      <c r="G915" s="236"/>
      <c r="H915" s="236"/>
      <c r="I915" s="222"/>
      <c r="J915" s="221">
        <f t="shared" si="918"/>
        <v>0</v>
      </c>
      <c r="K915" s="222"/>
      <c r="L915" s="221">
        <f t="shared" si="919"/>
        <v>0</v>
      </c>
      <c r="M915" s="236"/>
      <c r="N915" s="222"/>
      <c r="O915" s="221">
        <f t="shared" si="920"/>
        <v>0</v>
      </c>
      <c r="P915" s="222"/>
      <c r="Q915" s="110">
        <f t="shared" si="921"/>
        <v>0</v>
      </c>
      <c r="AT915" s="128">
        <f t="shared" si="916"/>
        <v>0</v>
      </c>
      <c r="AU915" s="221">
        <f t="shared" si="922"/>
        <v>0</v>
      </c>
      <c r="AV915" s="222"/>
      <c r="AW915" s="221">
        <f t="shared" si="923"/>
        <v>0</v>
      </c>
      <c r="AX915" s="222"/>
      <c r="AY915" s="221">
        <f t="shared" si="924"/>
        <v>0</v>
      </c>
      <c r="AZ915" s="222"/>
      <c r="BA915" s="110">
        <f t="shared" si="925"/>
        <v>0</v>
      </c>
      <c r="BB915" s="110">
        <f t="shared" si="926"/>
        <v>0</v>
      </c>
    </row>
    <row r="916" spans="3:54">
      <c r="C916" s="72"/>
      <c r="D916" s="221">
        <f t="shared" si="917"/>
        <v>0</v>
      </c>
      <c r="E916" s="236"/>
      <c r="F916" s="236"/>
      <c r="G916" s="236"/>
      <c r="H916" s="236"/>
      <c r="I916" s="222"/>
      <c r="J916" s="221">
        <f t="shared" si="918"/>
        <v>0</v>
      </c>
      <c r="K916" s="222"/>
      <c r="L916" s="221">
        <f t="shared" si="919"/>
        <v>0</v>
      </c>
      <c r="M916" s="236"/>
      <c r="N916" s="222"/>
      <c r="O916" s="221">
        <f t="shared" si="920"/>
        <v>0</v>
      </c>
      <c r="P916" s="222"/>
      <c r="Q916" s="110">
        <f t="shared" si="921"/>
        <v>0</v>
      </c>
      <c r="AT916" s="128">
        <f t="shared" si="916"/>
        <v>0</v>
      </c>
      <c r="AU916" s="221">
        <f t="shared" si="922"/>
        <v>0</v>
      </c>
      <c r="AV916" s="222"/>
      <c r="AW916" s="221">
        <f t="shared" si="923"/>
        <v>0</v>
      </c>
      <c r="AX916" s="222"/>
      <c r="AY916" s="221">
        <f t="shared" si="924"/>
        <v>0</v>
      </c>
      <c r="AZ916" s="222"/>
      <c r="BA916" s="110">
        <f t="shared" si="925"/>
        <v>0</v>
      </c>
      <c r="BB916" s="110">
        <f t="shared" si="926"/>
        <v>0</v>
      </c>
    </row>
    <row r="917" spans="3:54">
      <c r="C917" s="72"/>
      <c r="D917" s="221">
        <f t="shared" si="917"/>
        <v>0</v>
      </c>
      <c r="E917" s="236"/>
      <c r="F917" s="236"/>
      <c r="G917" s="236"/>
      <c r="H917" s="236"/>
      <c r="I917" s="222"/>
      <c r="J917" s="221">
        <f t="shared" si="918"/>
        <v>0</v>
      </c>
      <c r="K917" s="222"/>
      <c r="L917" s="221">
        <f t="shared" si="919"/>
        <v>0</v>
      </c>
      <c r="M917" s="236"/>
      <c r="N917" s="222"/>
      <c r="O917" s="221">
        <f t="shared" si="920"/>
        <v>0</v>
      </c>
      <c r="P917" s="222"/>
      <c r="Q917" s="110">
        <f t="shared" si="921"/>
        <v>0</v>
      </c>
      <c r="AT917" s="128">
        <f t="shared" si="916"/>
        <v>0</v>
      </c>
      <c r="AU917" s="221">
        <f t="shared" si="922"/>
        <v>0</v>
      </c>
      <c r="AV917" s="222"/>
      <c r="AW917" s="221">
        <f t="shared" si="923"/>
        <v>0</v>
      </c>
      <c r="AX917" s="222"/>
      <c r="AY917" s="221">
        <f t="shared" si="924"/>
        <v>0</v>
      </c>
      <c r="AZ917" s="222"/>
      <c r="BA917" s="110">
        <f t="shared" si="925"/>
        <v>0</v>
      </c>
      <c r="BB917" s="110">
        <f>SUM(AU917:BA917)</f>
        <v>0</v>
      </c>
    </row>
    <row r="918" spans="3:54" ht="13.5" thickBot="1">
      <c r="C918" s="72"/>
      <c r="D918" s="221">
        <f t="shared" si="917"/>
        <v>0</v>
      </c>
      <c r="E918" s="236"/>
      <c r="F918" s="236"/>
      <c r="G918" s="236"/>
      <c r="H918" s="236"/>
      <c r="I918" s="222"/>
      <c r="J918" s="221">
        <f t="shared" si="918"/>
        <v>0</v>
      </c>
      <c r="K918" s="222"/>
      <c r="L918" s="221">
        <f t="shared" si="919"/>
        <v>0</v>
      </c>
      <c r="M918" s="236"/>
      <c r="N918" s="222"/>
      <c r="O918" s="221">
        <f t="shared" si="920"/>
        <v>0</v>
      </c>
      <c r="P918" s="222"/>
      <c r="Q918" s="110">
        <f>SUM(D918:P918)</f>
        <v>0</v>
      </c>
      <c r="AT918" s="128">
        <f t="shared" si="916"/>
        <v>0</v>
      </c>
      <c r="AU918" s="221">
        <f t="shared" si="922"/>
        <v>0</v>
      </c>
      <c r="AV918" s="222"/>
      <c r="AW918" s="221">
        <f t="shared" si="923"/>
        <v>0</v>
      </c>
      <c r="AX918" s="222"/>
      <c r="AY918" s="221">
        <f t="shared" si="924"/>
        <v>0</v>
      </c>
      <c r="AZ918" s="222"/>
      <c r="BA918" s="110">
        <f t="shared" si="925"/>
        <v>0</v>
      </c>
      <c r="BB918" s="110">
        <f t="shared" si="926"/>
        <v>0</v>
      </c>
    </row>
    <row r="919" spans="3:54" ht="13.5" thickBot="1">
      <c r="C919" s="79" t="s">
        <v>816</v>
      </c>
      <c r="D919" s="226">
        <f>SUM(D885:I918)</f>
        <v>0</v>
      </c>
      <c r="E919" s="227"/>
      <c r="F919" s="227"/>
      <c r="G919" s="227"/>
      <c r="H919" s="227"/>
      <c r="I919" s="228"/>
      <c r="J919" s="229">
        <f>SUM(J885:K918)</f>
        <v>0</v>
      </c>
      <c r="K919" s="230"/>
      <c r="L919" s="233">
        <f>SUM(L885:N918)</f>
        <v>0</v>
      </c>
      <c r="M919" s="234"/>
      <c r="N919" s="235"/>
      <c r="O919" s="231">
        <f>SUM(O885:P918)</f>
        <v>0</v>
      </c>
      <c r="P919" s="232"/>
      <c r="Q919" s="123">
        <f>SUM(D919:P919)</f>
        <v>0</v>
      </c>
      <c r="AT919" s="98" t="s">
        <v>815</v>
      </c>
      <c r="AU919" s="219">
        <f>SUM(AU885:AV918)</f>
        <v>0</v>
      </c>
      <c r="AV919" s="220"/>
      <c r="AW919" s="219">
        <f>SUM(AW885:AX918)</f>
        <v>0</v>
      </c>
      <c r="AX919" s="220"/>
      <c r="AY919" s="219">
        <f>SUM(AY885:AZ918)</f>
        <v>0</v>
      </c>
      <c r="AZ919" s="220"/>
      <c r="BA919" s="113">
        <f>SUM(BA885:BA918)</f>
        <v>0</v>
      </c>
      <c r="BB919" s="114">
        <f>SUM(AU919:BA919)</f>
        <v>0</v>
      </c>
    </row>
    <row r="920" spans="3:54" ht="13.5" thickBot="1">
      <c r="C920" s="72" t="s">
        <v>839</v>
      </c>
      <c r="D920" s="188" t="e">
        <f>D919/Q919</f>
        <v>#DIV/0!</v>
      </c>
      <c r="E920" s="189"/>
      <c r="F920" s="189"/>
      <c r="G920" s="189"/>
      <c r="H920" s="189"/>
      <c r="I920" s="190"/>
      <c r="J920" s="191" t="e">
        <f>J919/Q919</f>
        <v>#DIV/0!</v>
      </c>
      <c r="K920" s="192"/>
      <c r="L920" s="193" t="e">
        <f>L919/Q919</f>
        <v>#DIV/0!</v>
      </c>
      <c r="M920" s="194"/>
      <c r="N920" s="195"/>
      <c r="O920" s="185" t="e">
        <f>O919/Q919</f>
        <v>#DIV/0!</v>
      </c>
      <c r="P920" s="186"/>
      <c r="Q920" s="117" t="e">
        <f>SUM(D920:P920)</f>
        <v>#DIV/0!</v>
      </c>
      <c r="AT920" s="72" t="s">
        <v>813</v>
      </c>
      <c r="AU920" s="223">
        <f>SUM(AM11:AM880)</f>
        <v>0</v>
      </c>
      <c r="AV920" s="223"/>
      <c r="AW920" s="224">
        <f>SUM(AN11:AN880)</f>
        <v>0</v>
      </c>
      <c r="AX920" s="224"/>
      <c r="AY920" s="225">
        <f>SUM(AO11:AO880)</f>
        <v>0</v>
      </c>
      <c r="AZ920" s="225"/>
      <c r="BA920" s="105"/>
      <c r="BB920" s="99">
        <f>SUM(AU920:AZ920)</f>
        <v>0</v>
      </c>
    </row>
    <row r="921" spans="3:54">
      <c r="AT921" s="72" t="s">
        <v>839</v>
      </c>
      <c r="AU921" s="184" t="e">
        <f>AU919/BB919</f>
        <v>#DIV/0!</v>
      </c>
      <c r="AV921" s="184"/>
      <c r="AW921" s="185" t="e">
        <f>AW919/BB919</f>
        <v>#DIV/0!</v>
      </c>
      <c r="AX921" s="186"/>
      <c r="AY921" s="187" t="e">
        <f>AY919/BB919</f>
        <v>#DIV/0!</v>
      </c>
      <c r="AZ921" s="187"/>
      <c r="BA921" s="118" t="e">
        <f>BA919/BB919</f>
        <v>#DIV/0!</v>
      </c>
      <c r="BB921" s="119" t="e">
        <f>SUM(AU921:BA921)</f>
        <v>#DIV/0!</v>
      </c>
    </row>
  </sheetData>
  <mergeCells count="1015">
    <mergeCell ref="P832:P834"/>
    <mergeCell ref="Q832:Q834"/>
    <mergeCell ref="R832:R834"/>
    <mergeCell ref="BF787:BF803"/>
    <mergeCell ref="BK833:BK849"/>
    <mergeCell ref="BJ833:BJ849"/>
    <mergeCell ref="BG787:BG803"/>
    <mergeCell ref="BH787:BH803"/>
    <mergeCell ref="BI787:BI803"/>
    <mergeCell ref="BJ787:BJ803"/>
    <mergeCell ref="BF851:BF867"/>
    <mergeCell ref="BG851:BG867"/>
    <mergeCell ref="BH851:BH867"/>
    <mergeCell ref="BI851:BI867"/>
    <mergeCell ref="BJ851:BJ867"/>
    <mergeCell ref="BK851:BK867"/>
    <mergeCell ref="BB786:BB788"/>
    <mergeCell ref="BC786:BC788"/>
    <mergeCell ref="BF805:BF821"/>
    <mergeCell ref="BG805:BG821"/>
    <mergeCell ref="BH805:BH821"/>
    <mergeCell ref="BI805:BI821"/>
    <mergeCell ref="BJ805:BJ821"/>
    <mergeCell ref="BK805:BK821"/>
    <mergeCell ref="AS832:AS834"/>
    <mergeCell ref="AT832:AT834"/>
    <mergeCell ref="AU832:AU834"/>
    <mergeCell ref="AV832:AV834"/>
    <mergeCell ref="AW832:AW834"/>
    <mergeCell ref="AX832:AX834"/>
    <mergeCell ref="AY832:AY834"/>
    <mergeCell ref="BK787:BK803"/>
    <mergeCell ref="B786:B788"/>
    <mergeCell ref="C786:C788"/>
    <mergeCell ref="D786:D788"/>
    <mergeCell ref="E786:E788"/>
    <mergeCell ref="F786:F788"/>
    <mergeCell ref="G786:G788"/>
    <mergeCell ref="H786:H788"/>
    <mergeCell ref="I786:I788"/>
    <mergeCell ref="J786:J788"/>
    <mergeCell ref="K786:K788"/>
    <mergeCell ref="L786:L788"/>
    <mergeCell ref="M786:M788"/>
    <mergeCell ref="N786:N788"/>
    <mergeCell ref="O786:O788"/>
    <mergeCell ref="P786:P788"/>
    <mergeCell ref="Q786:Q788"/>
    <mergeCell ref="R786:R788"/>
    <mergeCell ref="B832:B834"/>
    <mergeCell ref="C832:C834"/>
    <mergeCell ref="D832:D834"/>
    <mergeCell ref="E832:E834"/>
    <mergeCell ref="F832:F834"/>
    <mergeCell ref="G832:G834"/>
    <mergeCell ref="H832:H834"/>
    <mergeCell ref="I832:I834"/>
    <mergeCell ref="J832:J834"/>
    <mergeCell ref="K832:K834"/>
    <mergeCell ref="L832:L834"/>
    <mergeCell ref="M832:M834"/>
    <mergeCell ref="N832:N834"/>
    <mergeCell ref="O832:O834"/>
    <mergeCell ref="AW694:AW696"/>
    <mergeCell ref="AX694:AX696"/>
    <mergeCell ref="AY694:AY696"/>
    <mergeCell ref="I694:I696"/>
    <mergeCell ref="J694:J696"/>
    <mergeCell ref="K694:K696"/>
    <mergeCell ref="L694:L696"/>
    <mergeCell ref="M694:M696"/>
    <mergeCell ref="N694:N696"/>
    <mergeCell ref="O694:O696"/>
    <mergeCell ref="P694:P696"/>
    <mergeCell ref="Q694:Q696"/>
    <mergeCell ref="R694:R696"/>
    <mergeCell ref="AS694:AS696"/>
    <mergeCell ref="AT694:AT696"/>
    <mergeCell ref="AU694:AU696"/>
    <mergeCell ref="AV694:AV696"/>
    <mergeCell ref="AS786:AS788"/>
    <mergeCell ref="AZ694:AZ696"/>
    <mergeCell ref="BA694:BA696"/>
    <mergeCell ref="BB694:BB696"/>
    <mergeCell ref="BC694:BC696"/>
    <mergeCell ref="BF695:BF711"/>
    <mergeCell ref="B740:B742"/>
    <mergeCell ref="C740:C742"/>
    <mergeCell ref="D740:D742"/>
    <mergeCell ref="E740:E742"/>
    <mergeCell ref="F740:F742"/>
    <mergeCell ref="G740:G742"/>
    <mergeCell ref="H740:H742"/>
    <mergeCell ref="I740:I742"/>
    <mergeCell ref="J740:J742"/>
    <mergeCell ref="K740:K742"/>
    <mergeCell ref="L740:L742"/>
    <mergeCell ref="M740:M742"/>
    <mergeCell ref="N740:N742"/>
    <mergeCell ref="O740:O742"/>
    <mergeCell ref="P740:P742"/>
    <mergeCell ref="Q740:Q742"/>
    <mergeCell ref="R740:R742"/>
    <mergeCell ref="AV740:AV742"/>
    <mergeCell ref="AW740:AW742"/>
    <mergeCell ref="AX740:AX742"/>
    <mergeCell ref="AY740:AY742"/>
    <mergeCell ref="AZ740:AZ742"/>
    <mergeCell ref="BA740:BA742"/>
    <mergeCell ref="BB740:BB742"/>
    <mergeCell ref="F694:F696"/>
    <mergeCell ref="G694:G696"/>
    <mergeCell ref="H694:H696"/>
    <mergeCell ref="M648:M650"/>
    <mergeCell ref="N648:N650"/>
    <mergeCell ref="O648:O650"/>
    <mergeCell ref="P648:P650"/>
    <mergeCell ref="Q648:Q650"/>
    <mergeCell ref="R648:R650"/>
    <mergeCell ref="AS648:AS650"/>
    <mergeCell ref="AT648:AT650"/>
    <mergeCell ref="AU648:AU650"/>
    <mergeCell ref="AV648:AV650"/>
    <mergeCell ref="AW648:AW650"/>
    <mergeCell ref="AX648:AX650"/>
    <mergeCell ref="AY648:AY650"/>
    <mergeCell ref="AZ648:AZ650"/>
    <mergeCell ref="BA648:BA650"/>
    <mergeCell ref="BB648:BB650"/>
    <mergeCell ref="BC648:BC650"/>
    <mergeCell ref="AV602:AV604"/>
    <mergeCell ref="AW602:AW604"/>
    <mergeCell ref="AX602:AX604"/>
    <mergeCell ref="AY602:AY604"/>
    <mergeCell ref="AZ602:AZ604"/>
    <mergeCell ref="BA602:BA604"/>
    <mergeCell ref="BB602:BB604"/>
    <mergeCell ref="BC602:BC604"/>
    <mergeCell ref="BF603:BF619"/>
    <mergeCell ref="BG603:BG619"/>
    <mergeCell ref="BH603:BH619"/>
    <mergeCell ref="BI603:BI619"/>
    <mergeCell ref="BJ603:BJ619"/>
    <mergeCell ref="BK603:BK619"/>
    <mergeCell ref="BF621:BF637"/>
    <mergeCell ref="BG621:BG637"/>
    <mergeCell ref="BH621:BH637"/>
    <mergeCell ref="BI621:BI637"/>
    <mergeCell ref="BJ621:BJ637"/>
    <mergeCell ref="BK621:BK637"/>
    <mergeCell ref="B602:B604"/>
    <mergeCell ref="C602:C604"/>
    <mergeCell ref="D602:D604"/>
    <mergeCell ref="E602:E604"/>
    <mergeCell ref="F602:F604"/>
    <mergeCell ref="G602:G604"/>
    <mergeCell ref="H602:H604"/>
    <mergeCell ref="I602:I604"/>
    <mergeCell ref="J602:J604"/>
    <mergeCell ref="K602:K604"/>
    <mergeCell ref="L602:L604"/>
    <mergeCell ref="M602:M604"/>
    <mergeCell ref="N602:N604"/>
    <mergeCell ref="O602:O604"/>
    <mergeCell ref="P602:P604"/>
    <mergeCell ref="Q602:Q604"/>
    <mergeCell ref="R602:R604"/>
    <mergeCell ref="AS556:AS558"/>
    <mergeCell ref="AT556:AT558"/>
    <mergeCell ref="AU556:AU558"/>
    <mergeCell ref="AV556:AV558"/>
    <mergeCell ref="AW556:AW558"/>
    <mergeCell ref="AX556:AX558"/>
    <mergeCell ref="AY556:AY558"/>
    <mergeCell ref="AZ556:AZ558"/>
    <mergeCell ref="BA556:BA558"/>
    <mergeCell ref="BB556:BB558"/>
    <mergeCell ref="BC556:BC558"/>
    <mergeCell ref="BF557:BF573"/>
    <mergeCell ref="BG557:BG573"/>
    <mergeCell ref="BH557:BH573"/>
    <mergeCell ref="BI557:BI573"/>
    <mergeCell ref="BJ557:BJ573"/>
    <mergeCell ref="BK557:BK573"/>
    <mergeCell ref="B556:B558"/>
    <mergeCell ref="C556:C558"/>
    <mergeCell ref="D556:D558"/>
    <mergeCell ref="E556:E558"/>
    <mergeCell ref="F556:F558"/>
    <mergeCell ref="G556:G558"/>
    <mergeCell ref="H556:H558"/>
    <mergeCell ref="I556:I558"/>
    <mergeCell ref="J556:J558"/>
    <mergeCell ref="K556:K558"/>
    <mergeCell ref="L556:L558"/>
    <mergeCell ref="M556:M558"/>
    <mergeCell ref="N556:N558"/>
    <mergeCell ref="O556:O558"/>
    <mergeCell ref="P556:P558"/>
    <mergeCell ref="Q556:Q558"/>
    <mergeCell ref="R556:R558"/>
    <mergeCell ref="AT510:AT512"/>
    <mergeCell ref="AU510:AU512"/>
    <mergeCell ref="AV510:AV512"/>
    <mergeCell ref="AW510:AW512"/>
    <mergeCell ref="AX510:AX512"/>
    <mergeCell ref="AY510:AY512"/>
    <mergeCell ref="AZ510:AZ512"/>
    <mergeCell ref="BA510:BA512"/>
    <mergeCell ref="BB510:BB512"/>
    <mergeCell ref="BC510:BC512"/>
    <mergeCell ref="BF511:BF527"/>
    <mergeCell ref="BG511:BG527"/>
    <mergeCell ref="BH511:BH527"/>
    <mergeCell ref="BI511:BI527"/>
    <mergeCell ref="BJ511:BJ527"/>
    <mergeCell ref="BK511:BK527"/>
    <mergeCell ref="BF529:BF545"/>
    <mergeCell ref="BG529:BG545"/>
    <mergeCell ref="BH529:BH545"/>
    <mergeCell ref="BI529:BI545"/>
    <mergeCell ref="BJ529:BJ545"/>
    <mergeCell ref="BK529:BK545"/>
    <mergeCell ref="BB464:BB466"/>
    <mergeCell ref="BC464:BC466"/>
    <mergeCell ref="BF465:BF481"/>
    <mergeCell ref="BG465:BG481"/>
    <mergeCell ref="BH465:BH481"/>
    <mergeCell ref="BI465:BI481"/>
    <mergeCell ref="BJ465:BJ481"/>
    <mergeCell ref="BK465:BK481"/>
    <mergeCell ref="BF483:BF499"/>
    <mergeCell ref="BG483:BG499"/>
    <mergeCell ref="BH483:BH499"/>
    <mergeCell ref="BI483:BI499"/>
    <mergeCell ref="BJ483:BJ499"/>
    <mergeCell ref="BK483:BK499"/>
    <mergeCell ref="B510:B512"/>
    <mergeCell ref="C510:C512"/>
    <mergeCell ref="D510:D512"/>
    <mergeCell ref="E510:E512"/>
    <mergeCell ref="F510:F512"/>
    <mergeCell ref="G510:G512"/>
    <mergeCell ref="H510:H512"/>
    <mergeCell ref="I510:I512"/>
    <mergeCell ref="J510:J512"/>
    <mergeCell ref="K510:K512"/>
    <mergeCell ref="L510:L512"/>
    <mergeCell ref="M510:M512"/>
    <mergeCell ref="N510:N512"/>
    <mergeCell ref="O510:O512"/>
    <mergeCell ref="P510:P512"/>
    <mergeCell ref="Q510:Q512"/>
    <mergeCell ref="R510:R512"/>
    <mergeCell ref="AS510:AS512"/>
    <mergeCell ref="B464:B466"/>
    <mergeCell ref="C464:C466"/>
    <mergeCell ref="D464:D466"/>
    <mergeCell ref="E464:E466"/>
    <mergeCell ref="F464:F466"/>
    <mergeCell ref="G464:G466"/>
    <mergeCell ref="H464:H466"/>
    <mergeCell ref="I464:I466"/>
    <mergeCell ref="J464:J466"/>
    <mergeCell ref="K464:K466"/>
    <mergeCell ref="L464:L466"/>
    <mergeCell ref="M464:M466"/>
    <mergeCell ref="N464:N466"/>
    <mergeCell ref="O464:O466"/>
    <mergeCell ref="P464:P466"/>
    <mergeCell ref="Q464:Q466"/>
    <mergeCell ref="R464:R466"/>
    <mergeCell ref="BC372:BC374"/>
    <mergeCell ref="BF373:BF389"/>
    <mergeCell ref="BG373:BG389"/>
    <mergeCell ref="BH373:BH389"/>
    <mergeCell ref="BI373:BI389"/>
    <mergeCell ref="BJ373:BJ389"/>
    <mergeCell ref="BK373:BK389"/>
    <mergeCell ref="BF391:BF407"/>
    <mergeCell ref="BG391:BG407"/>
    <mergeCell ref="BH391:BH407"/>
    <mergeCell ref="BI391:BI407"/>
    <mergeCell ref="BJ391:BJ407"/>
    <mergeCell ref="BK391:BK407"/>
    <mergeCell ref="AY418:AY420"/>
    <mergeCell ref="AZ418:AZ420"/>
    <mergeCell ref="BA418:BA420"/>
    <mergeCell ref="BB418:BB420"/>
    <mergeCell ref="BC418:BC420"/>
    <mergeCell ref="BF419:BF435"/>
    <mergeCell ref="BG419:BG435"/>
    <mergeCell ref="BH419:BH435"/>
    <mergeCell ref="BI419:BI435"/>
    <mergeCell ref="BI327:BI343"/>
    <mergeCell ref="BJ327:BJ343"/>
    <mergeCell ref="BK327:BK343"/>
    <mergeCell ref="BF345:BF361"/>
    <mergeCell ref="BG345:BG361"/>
    <mergeCell ref="BH345:BH361"/>
    <mergeCell ref="BI345:BI361"/>
    <mergeCell ref="BJ345:BJ361"/>
    <mergeCell ref="BK345:BK361"/>
    <mergeCell ref="B372:B374"/>
    <mergeCell ref="C372:C374"/>
    <mergeCell ref="D372:D374"/>
    <mergeCell ref="E372:E374"/>
    <mergeCell ref="F372:F374"/>
    <mergeCell ref="G372:G374"/>
    <mergeCell ref="H372:H374"/>
    <mergeCell ref="I372:I374"/>
    <mergeCell ref="J372:J374"/>
    <mergeCell ref="K372:K374"/>
    <mergeCell ref="L372:L374"/>
    <mergeCell ref="M372:M374"/>
    <mergeCell ref="N372:N374"/>
    <mergeCell ref="O372:O374"/>
    <mergeCell ref="P372:P374"/>
    <mergeCell ref="Q372:Q374"/>
    <mergeCell ref="R372:R374"/>
    <mergeCell ref="AS372:AS374"/>
    <mergeCell ref="AT372:AT374"/>
    <mergeCell ref="AY372:AY374"/>
    <mergeCell ref="AZ372:AZ374"/>
    <mergeCell ref="BA372:BA374"/>
    <mergeCell ref="BB372:BB374"/>
    <mergeCell ref="AY280:AY282"/>
    <mergeCell ref="AZ280:AZ282"/>
    <mergeCell ref="BA280:BA282"/>
    <mergeCell ref="BB280:BB282"/>
    <mergeCell ref="BC280:BC282"/>
    <mergeCell ref="BF281:BF297"/>
    <mergeCell ref="BG281:BG297"/>
    <mergeCell ref="BH281:BH297"/>
    <mergeCell ref="BI281:BI297"/>
    <mergeCell ref="BJ281:BJ297"/>
    <mergeCell ref="BK281:BK297"/>
    <mergeCell ref="L326:L328"/>
    <mergeCell ref="M326:M328"/>
    <mergeCell ref="N326:N328"/>
    <mergeCell ref="O326:O328"/>
    <mergeCell ref="P326:P328"/>
    <mergeCell ref="Q326:Q328"/>
    <mergeCell ref="R326:R328"/>
    <mergeCell ref="AS326:AS328"/>
    <mergeCell ref="AT326:AT328"/>
    <mergeCell ref="AU326:AU328"/>
    <mergeCell ref="AV326:AV328"/>
    <mergeCell ref="AW326:AW328"/>
    <mergeCell ref="AX326:AX328"/>
    <mergeCell ref="AY326:AY328"/>
    <mergeCell ref="AZ326:AZ328"/>
    <mergeCell ref="BA326:BA328"/>
    <mergeCell ref="BB326:BB328"/>
    <mergeCell ref="BC326:BC328"/>
    <mergeCell ref="BF327:BF343"/>
    <mergeCell ref="BG327:BG343"/>
    <mergeCell ref="BH327:BH343"/>
    <mergeCell ref="BA234:BA236"/>
    <mergeCell ref="BB234:BB236"/>
    <mergeCell ref="BC234:BC236"/>
    <mergeCell ref="BF235:BF251"/>
    <mergeCell ref="BG235:BG251"/>
    <mergeCell ref="BH235:BH251"/>
    <mergeCell ref="BI235:BI251"/>
    <mergeCell ref="BJ235:BJ251"/>
    <mergeCell ref="BK235:BK251"/>
    <mergeCell ref="B280:B282"/>
    <mergeCell ref="C280:C282"/>
    <mergeCell ref="D280:D282"/>
    <mergeCell ref="E280:E282"/>
    <mergeCell ref="F280:F282"/>
    <mergeCell ref="G280:G282"/>
    <mergeCell ref="H280:H282"/>
    <mergeCell ref="I280:I282"/>
    <mergeCell ref="J280:J282"/>
    <mergeCell ref="K280:K282"/>
    <mergeCell ref="L280:L282"/>
    <mergeCell ref="M280:M282"/>
    <mergeCell ref="N280:N282"/>
    <mergeCell ref="O280:O282"/>
    <mergeCell ref="P280:P282"/>
    <mergeCell ref="Q280:Q282"/>
    <mergeCell ref="R280:R282"/>
    <mergeCell ref="AS280:AS282"/>
    <mergeCell ref="AT280:AT282"/>
    <mergeCell ref="AU280:AU282"/>
    <mergeCell ref="AV280:AV282"/>
    <mergeCell ref="AW280:AW282"/>
    <mergeCell ref="AX280:AX282"/>
    <mergeCell ref="B234:B236"/>
    <mergeCell ref="C234:C236"/>
    <mergeCell ref="D234:D236"/>
    <mergeCell ref="E234:E236"/>
    <mergeCell ref="F234:F236"/>
    <mergeCell ref="G234:G236"/>
    <mergeCell ref="H234:H236"/>
    <mergeCell ref="I234:I236"/>
    <mergeCell ref="J234:J236"/>
    <mergeCell ref="K234:K236"/>
    <mergeCell ref="L234:L236"/>
    <mergeCell ref="M234:M236"/>
    <mergeCell ref="N234:N236"/>
    <mergeCell ref="O234:O236"/>
    <mergeCell ref="P234:P236"/>
    <mergeCell ref="Q234:Q236"/>
    <mergeCell ref="R234:R236"/>
    <mergeCell ref="BF299:BF315"/>
    <mergeCell ref="BG299:BG315"/>
    <mergeCell ref="BH299:BH315"/>
    <mergeCell ref="BI299:BI315"/>
    <mergeCell ref="BJ299:BJ315"/>
    <mergeCell ref="BK299:BK315"/>
    <mergeCell ref="BB188:BB190"/>
    <mergeCell ref="BC188:BC190"/>
    <mergeCell ref="BF189:BF205"/>
    <mergeCell ref="BG189:BG205"/>
    <mergeCell ref="BH189:BH205"/>
    <mergeCell ref="BI189:BI205"/>
    <mergeCell ref="BJ189:BJ205"/>
    <mergeCell ref="BK189:BK205"/>
    <mergeCell ref="BF207:BF223"/>
    <mergeCell ref="BG207:BG223"/>
    <mergeCell ref="BH207:BH223"/>
    <mergeCell ref="BI207:BI223"/>
    <mergeCell ref="BJ207:BJ223"/>
    <mergeCell ref="BK207:BK223"/>
    <mergeCell ref="BF161:BF177"/>
    <mergeCell ref="BG161:BG177"/>
    <mergeCell ref="BH161:BH177"/>
    <mergeCell ref="BI161:BI177"/>
    <mergeCell ref="BJ161:BJ177"/>
    <mergeCell ref="BK161:BK177"/>
    <mergeCell ref="B188:B190"/>
    <mergeCell ref="C188:C190"/>
    <mergeCell ref="D188:D190"/>
    <mergeCell ref="E188:E190"/>
    <mergeCell ref="F188:F190"/>
    <mergeCell ref="G188:G190"/>
    <mergeCell ref="H188:H190"/>
    <mergeCell ref="I188:I190"/>
    <mergeCell ref="J188:J190"/>
    <mergeCell ref="K188:K190"/>
    <mergeCell ref="L188:L190"/>
    <mergeCell ref="M188:M190"/>
    <mergeCell ref="N188:N190"/>
    <mergeCell ref="O188:O190"/>
    <mergeCell ref="P188:P190"/>
    <mergeCell ref="Q188:Q190"/>
    <mergeCell ref="R188:R190"/>
    <mergeCell ref="AS188:AS190"/>
    <mergeCell ref="AT188:AT190"/>
    <mergeCell ref="AU188:AU190"/>
    <mergeCell ref="AV188:AV190"/>
    <mergeCell ref="AW188:AW190"/>
    <mergeCell ref="AX188:AX190"/>
    <mergeCell ref="AY188:AY190"/>
    <mergeCell ref="AZ188:AZ190"/>
    <mergeCell ref="BA188:BA190"/>
    <mergeCell ref="D883:Q883"/>
    <mergeCell ref="L912:N912"/>
    <mergeCell ref="L913:N913"/>
    <mergeCell ref="L914:N914"/>
    <mergeCell ref="L915:N915"/>
    <mergeCell ref="L916:N916"/>
    <mergeCell ref="L917:N917"/>
    <mergeCell ref="O885:P885"/>
    <mergeCell ref="O887:P887"/>
    <mergeCell ref="O888:P888"/>
    <mergeCell ref="O889:P889"/>
    <mergeCell ref="O890:P890"/>
    <mergeCell ref="O891:P891"/>
    <mergeCell ref="O897:P897"/>
    <mergeCell ref="O903:P903"/>
    <mergeCell ref="O904:P904"/>
    <mergeCell ref="O905:P905"/>
    <mergeCell ref="O907:P907"/>
    <mergeCell ref="O909:P909"/>
    <mergeCell ref="O911:P911"/>
    <mergeCell ref="O912:P912"/>
    <mergeCell ref="O913:P913"/>
    <mergeCell ref="D917:I917"/>
    <mergeCell ref="D897:I897"/>
    <mergeCell ref="D898:I898"/>
    <mergeCell ref="D899:I899"/>
    <mergeCell ref="D900:I900"/>
    <mergeCell ref="D901:I901"/>
    <mergeCell ref="D902:I902"/>
    <mergeCell ref="D903:I903"/>
    <mergeCell ref="D904:I904"/>
    <mergeCell ref="L888:N888"/>
    <mergeCell ref="D918:I918"/>
    <mergeCell ref="D884:I884"/>
    <mergeCell ref="J884:K884"/>
    <mergeCell ref="L884:N884"/>
    <mergeCell ref="O884:P884"/>
    <mergeCell ref="J885:K885"/>
    <mergeCell ref="J897:K897"/>
    <mergeCell ref="J898:K898"/>
    <mergeCell ref="J899:K899"/>
    <mergeCell ref="J900:K900"/>
    <mergeCell ref="J901:K901"/>
    <mergeCell ref="J903:K903"/>
    <mergeCell ref="J904:K904"/>
    <mergeCell ref="J905:K905"/>
    <mergeCell ref="J907:K907"/>
    <mergeCell ref="J909:K909"/>
    <mergeCell ref="J911:K911"/>
    <mergeCell ref="J912:K912"/>
    <mergeCell ref="J913:K913"/>
    <mergeCell ref="J914:K914"/>
    <mergeCell ref="J915:K915"/>
    <mergeCell ref="O893:P893"/>
    <mergeCell ref="O894:P894"/>
    <mergeCell ref="O895:P895"/>
    <mergeCell ref="O918:P918"/>
    <mergeCell ref="D915:I915"/>
    <mergeCell ref="D916:I916"/>
    <mergeCell ref="O914:P914"/>
    <mergeCell ref="O915:P915"/>
    <mergeCell ref="O916:P916"/>
    <mergeCell ref="O917:P917"/>
    <mergeCell ref="D885:I885"/>
    <mergeCell ref="AB2:AF2"/>
    <mergeCell ref="AU883:BB883"/>
    <mergeCell ref="AU885:AV885"/>
    <mergeCell ref="AU884:AV884"/>
    <mergeCell ref="AW884:AX884"/>
    <mergeCell ref="AY884:AZ884"/>
    <mergeCell ref="AW885:AX885"/>
    <mergeCell ref="AY885:AZ885"/>
    <mergeCell ref="AY910:AZ910"/>
    <mergeCell ref="AY911:AZ911"/>
    <mergeCell ref="AU912:AV912"/>
    <mergeCell ref="AU913:AV913"/>
    <mergeCell ref="AU914:AV914"/>
    <mergeCell ref="AU915:AV915"/>
    <mergeCell ref="AU916:AV916"/>
    <mergeCell ref="AY908:AZ908"/>
    <mergeCell ref="AU910:AV910"/>
    <mergeCell ref="AU911:AV911"/>
    <mergeCell ref="AU903:AV903"/>
    <mergeCell ref="AW903:AX903"/>
    <mergeCell ref="AY903:AZ903"/>
    <mergeCell ref="AW898:AX898"/>
    <mergeCell ref="AW899:AX899"/>
    <mergeCell ref="AW900:AX900"/>
    <mergeCell ref="AS234:AS236"/>
    <mergeCell ref="AT234:AT236"/>
    <mergeCell ref="AU234:AU236"/>
    <mergeCell ref="AV234:AV236"/>
    <mergeCell ref="AW234:AW236"/>
    <mergeCell ref="AX234:AX236"/>
    <mergeCell ref="AY234:AY236"/>
    <mergeCell ref="AZ234:AZ236"/>
    <mergeCell ref="L889:N889"/>
    <mergeCell ref="L890:N890"/>
    <mergeCell ref="L891:N891"/>
    <mergeCell ref="L897:N897"/>
    <mergeCell ref="L899:N899"/>
    <mergeCell ref="L900:N900"/>
    <mergeCell ref="AY888:AZ888"/>
    <mergeCell ref="AY889:AZ889"/>
    <mergeCell ref="AY890:AZ890"/>
    <mergeCell ref="AY891:AZ891"/>
    <mergeCell ref="AY892:AZ892"/>
    <mergeCell ref="AY893:AZ893"/>
    <mergeCell ref="AY894:AZ894"/>
    <mergeCell ref="AY895:AZ895"/>
    <mergeCell ref="AY896:AZ896"/>
    <mergeCell ref="AY898:AZ898"/>
    <mergeCell ref="L885:N885"/>
    <mergeCell ref="L887:N887"/>
    <mergeCell ref="AW886:AX886"/>
    <mergeCell ref="AU886:AV886"/>
    <mergeCell ref="AY886:AZ886"/>
    <mergeCell ref="AY887:AZ887"/>
    <mergeCell ref="AW887:AX887"/>
    <mergeCell ref="AW888:AX888"/>
    <mergeCell ref="AW889:AX889"/>
    <mergeCell ref="AW890:AX890"/>
    <mergeCell ref="AW891:AX891"/>
    <mergeCell ref="AW892:AX892"/>
    <mergeCell ref="AW893:AX893"/>
    <mergeCell ref="AW894:AX894"/>
    <mergeCell ref="AW895:AX895"/>
    <mergeCell ref="AW896:AX896"/>
    <mergeCell ref="AY900:AZ900"/>
    <mergeCell ref="AY901:AZ901"/>
    <mergeCell ref="O910:P910"/>
    <mergeCell ref="J906:K906"/>
    <mergeCell ref="L906:N906"/>
    <mergeCell ref="O906:P906"/>
    <mergeCell ref="J902:K902"/>
    <mergeCell ref="O902:P902"/>
    <mergeCell ref="L918:N918"/>
    <mergeCell ref="J893:K893"/>
    <mergeCell ref="J894:K894"/>
    <mergeCell ref="J895:K895"/>
    <mergeCell ref="J896:K896"/>
    <mergeCell ref="J917:K917"/>
    <mergeCell ref="J918:K918"/>
    <mergeCell ref="AY914:AZ914"/>
    <mergeCell ref="AY915:AZ915"/>
    <mergeCell ref="AY916:AZ916"/>
    <mergeCell ref="AY917:AZ917"/>
    <mergeCell ref="AY918:AZ918"/>
    <mergeCell ref="AW913:AX913"/>
    <mergeCell ref="AW914:AX914"/>
    <mergeCell ref="AW915:AX915"/>
    <mergeCell ref="AW916:AX916"/>
    <mergeCell ref="AW917:AX917"/>
    <mergeCell ref="AW918:AX918"/>
    <mergeCell ref="AU917:AV917"/>
    <mergeCell ref="AU918:AV918"/>
    <mergeCell ref="L892:N892"/>
    <mergeCell ref="L893:N893"/>
    <mergeCell ref="L894:N894"/>
    <mergeCell ref="L895:N895"/>
    <mergeCell ref="L896:N896"/>
    <mergeCell ref="L898:N898"/>
    <mergeCell ref="L905:N905"/>
    <mergeCell ref="L907:N907"/>
    <mergeCell ref="L909:N909"/>
    <mergeCell ref="L910:N910"/>
    <mergeCell ref="L911:N911"/>
    <mergeCell ref="L901:N901"/>
    <mergeCell ref="L902:N902"/>
    <mergeCell ref="L903:N903"/>
    <mergeCell ref="L904:N904"/>
    <mergeCell ref="O892:P892"/>
    <mergeCell ref="J916:K916"/>
    <mergeCell ref="J910:K910"/>
    <mergeCell ref="D910:I910"/>
    <mergeCell ref="D911:I911"/>
    <mergeCell ref="D912:I912"/>
    <mergeCell ref="D913:I913"/>
    <mergeCell ref="D914:I914"/>
    <mergeCell ref="D886:I886"/>
    <mergeCell ref="D887:I887"/>
    <mergeCell ref="D888:I888"/>
    <mergeCell ref="D889:I889"/>
    <mergeCell ref="D890:I890"/>
    <mergeCell ref="D891:I891"/>
    <mergeCell ref="D892:I892"/>
    <mergeCell ref="J887:K887"/>
    <mergeCell ref="J888:K888"/>
    <mergeCell ref="J889:K889"/>
    <mergeCell ref="J890:K890"/>
    <mergeCell ref="J891:K891"/>
    <mergeCell ref="J892:K892"/>
    <mergeCell ref="D909:I909"/>
    <mergeCell ref="D905:I905"/>
    <mergeCell ref="D907:I907"/>
    <mergeCell ref="L886:N886"/>
    <mergeCell ref="J886:K886"/>
    <mergeCell ref="O886:P886"/>
    <mergeCell ref="D908:I908"/>
    <mergeCell ref="J908:K908"/>
    <mergeCell ref="L908:N908"/>
    <mergeCell ref="O908:P908"/>
    <mergeCell ref="D906:I906"/>
    <mergeCell ref="AW902:AX902"/>
    <mergeCell ref="AZ832:AZ834"/>
    <mergeCell ref="BA832:BA834"/>
    <mergeCell ref="BB832:BB834"/>
    <mergeCell ref="BC832:BC834"/>
    <mergeCell ref="BF833:BF849"/>
    <mergeCell ref="BG833:BG849"/>
    <mergeCell ref="BH833:BH849"/>
    <mergeCell ref="BI833:BI849"/>
    <mergeCell ref="D893:I893"/>
    <mergeCell ref="D894:I894"/>
    <mergeCell ref="D895:I895"/>
    <mergeCell ref="D896:I896"/>
    <mergeCell ref="O896:P896"/>
    <mergeCell ref="O898:P898"/>
    <mergeCell ref="O899:P899"/>
    <mergeCell ref="O900:P900"/>
    <mergeCell ref="O901:P901"/>
    <mergeCell ref="AU908:AV908"/>
    <mergeCell ref="AW908:AX908"/>
    <mergeCell ref="AU906:AV906"/>
    <mergeCell ref="AU887:AV887"/>
    <mergeCell ref="AU888:AV888"/>
    <mergeCell ref="AU889:AV889"/>
    <mergeCell ref="AT786:AT788"/>
    <mergeCell ref="AU786:AU788"/>
    <mergeCell ref="AV786:AV788"/>
    <mergeCell ref="AW786:AW788"/>
    <mergeCell ref="AX786:AX788"/>
    <mergeCell ref="AY786:AY788"/>
    <mergeCell ref="AZ786:AZ788"/>
    <mergeCell ref="BA786:BA788"/>
    <mergeCell ref="BF713:BF729"/>
    <mergeCell ref="BG713:BG729"/>
    <mergeCell ref="BH713:BH729"/>
    <mergeCell ref="BI713:BI729"/>
    <mergeCell ref="BJ713:BJ729"/>
    <mergeCell ref="BK713:BK729"/>
    <mergeCell ref="AS740:AS742"/>
    <mergeCell ref="AT740:AT742"/>
    <mergeCell ref="AU740:AU742"/>
    <mergeCell ref="BC740:BC742"/>
    <mergeCell ref="BF741:BF757"/>
    <mergeCell ref="BG741:BG757"/>
    <mergeCell ref="BH741:BH757"/>
    <mergeCell ref="BI741:BI757"/>
    <mergeCell ref="BJ741:BJ757"/>
    <mergeCell ref="BK741:BK757"/>
    <mergeCell ref="BF759:BF775"/>
    <mergeCell ref="BG759:BG775"/>
    <mergeCell ref="BH759:BH775"/>
    <mergeCell ref="BI759:BI775"/>
    <mergeCell ref="BJ759:BJ775"/>
    <mergeCell ref="BK759:BK775"/>
    <mergeCell ref="BG695:BG711"/>
    <mergeCell ref="BH695:BH711"/>
    <mergeCell ref="BI695:BI711"/>
    <mergeCell ref="BJ695:BJ711"/>
    <mergeCell ref="BK695:BK711"/>
    <mergeCell ref="BF649:BF665"/>
    <mergeCell ref="BG649:BG665"/>
    <mergeCell ref="BH649:BH665"/>
    <mergeCell ref="BI649:BI665"/>
    <mergeCell ref="BJ649:BJ665"/>
    <mergeCell ref="BK649:BK665"/>
    <mergeCell ref="BF667:BF683"/>
    <mergeCell ref="BG667:BG683"/>
    <mergeCell ref="BH667:BH683"/>
    <mergeCell ref="B648:B650"/>
    <mergeCell ref="C648:C650"/>
    <mergeCell ref="D648:D650"/>
    <mergeCell ref="E648:E650"/>
    <mergeCell ref="F648:F650"/>
    <mergeCell ref="G648:G650"/>
    <mergeCell ref="H648:H650"/>
    <mergeCell ref="I648:I650"/>
    <mergeCell ref="J648:J650"/>
    <mergeCell ref="K648:K650"/>
    <mergeCell ref="L648:L650"/>
    <mergeCell ref="BI667:BI683"/>
    <mergeCell ref="BJ667:BJ683"/>
    <mergeCell ref="BK667:BK683"/>
    <mergeCell ref="B694:B696"/>
    <mergeCell ref="C694:C696"/>
    <mergeCell ref="D694:D696"/>
    <mergeCell ref="E694:E696"/>
    <mergeCell ref="BF575:BF591"/>
    <mergeCell ref="BG575:BG591"/>
    <mergeCell ref="BH575:BH591"/>
    <mergeCell ref="BI575:BI591"/>
    <mergeCell ref="BJ575:BJ591"/>
    <mergeCell ref="BK575:BK591"/>
    <mergeCell ref="AS602:AS604"/>
    <mergeCell ref="AT602:AT604"/>
    <mergeCell ref="AU602:AU604"/>
    <mergeCell ref="AU920:AV920"/>
    <mergeCell ref="AW920:AX920"/>
    <mergeCell ref="AY920:AZ920"/>
    <mergeCell ref="D919:I919"/>
    <mergeCell ref="J919:K919"/>
    <mergeCell ref="O919:P919"/>
    <mergeCell ref="L919:N919"/>
    <mergeCell ref="AW906:AX906"/>
    <mergeCell ref="AY906:AZ906"/>
    <mergeCell ref="AU907:AV907"/>
    <mergeCell ref="AW907:AX907"/>
    <mergeCell ref="AY907:AZ907"/>
    <mergeCell ref="AU909:AV909"/>
    <mergeCell ref="AW909:AX909"/>
    <mergeCell ref="AY909:AZ909"/>
    <mergeCell ref="AU904:AV904"/>
    <mergeCell ref="AW904:AX904"/>
    <mergeCell ref="AY904:AZ904"/>
    <mergeCell ref="AU905:AV905"/>
    <mergeCell ref="AW905:AX905"/>
    <mergeCell ref="AY905:AZ905"/>
    <mergeCell ref="AY912:AZ912"/>
    <mergeCell ref="AY913:AZ913"/>
    <mergeCell ref="AU919:AV919"/>
    <mergeCell ref="AW919:AX919"/>
    <mergeCell ref="AY919:AZ919"/>
    <mergeCell ref="AW912:AX912"/>
    <mergeCell ref="AS464:AS466"/>
    <mergeCell ref="AT464:AT466"/>
    <mergeCell ref="AU464:AU466"/>
    <mergeCell ref="AV464:AV466"/>
    <mergeCell ref="AW464:AW466"/>
    <mergeCell ref="AX464:AX466"/>
    <mergeCell ref="AY464:AY466"/>
    <mergeCell ref="AZ464:AZ466"/>
    <mergeCell ref="AW910:AX910"/>
    <mergeCell ref="AW911:AX911"/>
    <mergeCell ref="AU890:AV890"/>
    <mergeCell ref="AU891:AV891"/>
    <mergeCell ref="AU892:AV892"/>
    <mergeCell ref="AU893:AV893"/>
    <mergeCell ref="AU894:AV894"/>
    <mergeCell ref="AU895:AV895"/>
    <mergeCell ref="AU896:AV896"/>
    <mergeCell ref="AU898:AV898"/>
    <mergeCell ref="AU899:AV899"/>
    <mergeCell ref="AU900:AV900"/>
    <mergeCell ref="AU901:AV901"/>
    <mergeCell ref="AU902:AV902"/>
    <mergeCell ref="AY902:AZ902"/>
    <mergeCell ref="AW901:AX901"/>
    <mergeCell ref="AU897:AV897"/>
    <mergeCell ref="AW897:AX897"/>
    <mergeCell ref="AY897:AZ897"/>
    <mergeCell ref="AY899:AZ899"/>
    <mergeCell ref="BA464:BA466"/>
    <mergeCell ref="BJ419:BJ435"/>
    <mergeCell ref="BK419:BK435"/>
    <mergeCell ref="BF437:BF453"/>
    <mergeCell ref="BG437:BG453"/>
    <mergeCell ref="BH437:BH453"/>
    <mergeCell ref="BI437:BI453"/>
    <mergeCell ref="BJ437:BJ453"/>
    <mergeCell ref="BK437:BK453"/>
    <mergeCell ref="B418:B420"/>
    <mergeCell ref="C418:C420"/>
    <mergeCell ref="D418:D420"/>
    <mergeCell ref="E418:E420"/>
    <mergeCell ref="F418:F420"/>
    <mergeCell ref="G418:G420"/>
    <mergeCell ref="H418:H420"/>
    <mergeCell ref="I418:I420"/>
    <mergeCell ref="J418:J420"/>
    <mergeCell ref="K418:K420"/>
    <mergeCell ref="L418:L420"/>
    <mergeCell ref="M418:M420"/>
    <mergeCell ref="N418:N420"/>
    <mergeCell ref="O418:O420"/>
    <mergeCell ref="P418:P420"/>
    <mergeCell ref="Q418:Q420"/>
    <mergeCell ref="R418:R420"/>
    <mergeCell ref="AS418:AS420"/>
    <mergeCell ref="AT418:AT420"/>
    <mergeCell ref="AU418:AU420"/>
    <mergeCell ref="AV418:AV420"/>
    <mergeCell ref="AW418:AW420"/>
    <mergeCell ref="AX418:AX420"/>
    <mergeCell ref="AU372:AU374"/>
    <mergeCell ref="AV372:AV374"/>
    <mergeCell ref="AW372:AW374"/>
    <mergeCell ref="AX372:AX374"/>
    <mergeCell ref="B326:B328"/>
    <mergeCell ref="C326:C328"/>
    <mergeCell ref="D326:D328"/>
    <mergeCell ref="E326:E328"/>
    <mergeCell ref="F326:F328"/>
    <mergeCell ref="G326:G328"/>
    <mergeCell ref="H326:H328"/>
    <mergeCell ref="I326:I328"/>
    <mergeCell ref="J326:J328"/>
    <mergeCell ref="K326:K328"/>
    <mergeCell ref="B2:R2"/>
    <mergeCell ref="BF2:BK2"/>
    <mergeCell ref="BG24:BG40"/>
    <mergeCell ref="BH24:BH40"/>
    <mergeCell ref="BI24:BI40"/>
    <mergeCell ref="BJ24:BJ40"/>
    <mergeCell ref="BK24:BK40"/>
    <mergeCell ref="AM9:AO9"/>
    <mergeCell ref="BI97:BI113"/>
    <mergeCell ref="BJ97:BJ113"/>
    <mergeCell ref="BK97:BK113"/>
    <mergeCell ref="BF115:BF131"/>
    <mergeCell ref="BG115:BG131"/>
    <mergeCell ref="BH115:BH131"/>
    <mergeCell ref="BI115:BI131"/>
    <mergeCell ref="BJ115:BJ131"/>
    <mergeCell ref="BK115:BK131"/>
    <mergeCell ref="BF97:BF113"/>
    <mergeCell ref="BB142:BB144"/>
    <mergeCell ref="BC142:BC144"/>
    <mergeCell ref="BG97:BG113"/>
    <mergeCell ref="BH97:BH113"/>
    <mergeCell ref="BG69:BG85"/>
    <mergeCell ref="BH69:BH85"/>
    <mergeCell ref="BF69:BF85"/>
    <mergeCell ref="BF24:BF40"/>
    <mergeCell ref="BJ69:BJ85"/>
    <mergeCell ref="BK69:BK85"/>
    <mergeCell ref="BF51:BF67"/>
    <mergeCell ref="BG51:BG67"/>
    <mergeCell ref="BH51:BH67"/>
    <mergeCell ref="BI51:BI67"/>
    <mergeCell ref="BJ51:BJ67"/>
    <mergeCell ref="BK51:BK67"/>
    <mergeCell ref="BI69:BI85"/>
    <mergeCell ref="BF143:BF159"/>
    <mergeCell ref="BG143:BG159"/>
    <mergeCell ref="BH143:BH159"/>
    <mergeCell ref="BI143:BI159"/>
    <mergeCell ref="BJ143:BJ159"/>
    <mergeCell ref="BK143:BK159"/>
    <mergeCell ref="BF8:BF22"/>
    <mergeCell ref="BB96:BB98"/>
    <mergeCell ref="BC96:BC98"/>
    <mergeCell ref="W7:W9"/>
    <mergeCell ref="X7:X9"/>
    <mergeCell ref="Y7:Y9"/>
    <mergeCell ref="Z7:Z9"/>
    <mergeCell ref="BG8:BG22"/>
    <mergeCell ref="BH8:BH22"/>
    <mergeCell ref="BI8:BI22"/>
    <mergeCell ref="BJ8:BJ22"/>
    <mergeCell ref="BK8:BK22"/>
    <mergeCell ref="AP7:BD9"/>
    <mergeCell ref="B7:R9"/>
    <mergeCell ref="AY50:AY52"/>
    <mergeCell ref="AZ50:AZ52"/>
    <mergeCell ref="BA50:BA52"/>
    <mergeCell ref="AC9:AJ9"/>
    <mergeCell ref="B38:R38"/>
    <mergeCell ref="BB50:BB52"/>
    <mergeCell ref="BC50:BC52"/>
    <mergeCell ref="AS50:AS52"/>
    <mergeCell ref="AT50:AT52"/>
    <mergeCell ref="AU50:AU52"/>
    <mergeCell ref="AV50:AV52"/>
    <mergeCell ref="B50:B52"/>
    <mergeCell ref="C50:C52"/>
    <mergeCell ref="D50:D52"/>
    <mergeCell ref="E50:E52"/>
    <mergeCell ref="F50:F52"/>
    <mergeCell ref="G50:G52"/>
    <mergeCell ref="H50:H52"/>
    <mergeCell ref="AZ96:AZ98"/>
    <mergeCell ref="B36:R36"/>
    <mergeCell ref="BA96:BA98"/>
    <mergeCell ref="AW50:AW52"/>
    <mergeCell ref="AX50:AX52"/>
    <mergeCell ref="AS96:AS98"/>
    <mergeCell ref="AT96:AT98"/>
    <mergeCell ref="AU96:AU98"/>
    <mergeCell ref="AV96:AV98"/>
    <mergeCell ref="J96:J98"/>
    <mergeCell ref="K96:K98"/>
    <mergeCell ref="L96:L98"/>
    <mergeCell ref="M96:M98"/>
    <mergeCell ref="K50:K52"/>
    <mergeCell ref="L50:L52"/>
    <mergeCell ref="M50:M52"/>
    <mergeCell ref="N50:N52"/>
    <mergeCell ref="O50:O52"/>
    <mergeCell ref="I50:I52"/>
    <mergeCell ref="J50:J52"/>
    <mergeCell ref="AS142:AS144"/>
    <mergeCell ref="AT142:AT144"/>
    <mergeCell ref="AU142:AU144"/>
    <mergeCell ref="AV142:AV144"/>
    <mergeCell ref="AW142:AW144"/>
    <mergeCell ref="AX142:AX144"/>
    <mergeCell ref="AY142:AY144"/>
    <mergeCell ref="AZ142:AZ144"/>
    <mergeCell ref="R142:R144"/>
    <mergeCell ref="B96:B98"/>
    <mergeCell ref="C96:C98"/>
    <mergeCell ref="D96:D98"/>
    <mergeCell ref="B49:R49"/>
    <mergeCell ref="B3:R4"/>
    <mergeCell ref="B39:R39"/>
    <mergeCell ref="B40:R40"/>
    <mergeCell ref="P50:P52"/>
    <mergeCell ref="Q50:Q52"/>
    <mergeCell ref="R50:R52"/>
    <mergeCell ref="N96:N98"/>
    <mergeCell ref="O96:O98"/>
    <mergeCell ref="P96:P98"/>
    <mergeCell ref="Q96:Q98"/>
    <mergeCell ref="R96:R98"/>
    <mergeCell ref="E96:E98"/>
    <mergeCell ref="F96:F98"/>
    <mergeCell ref="G96:G98"/>
    <mergeCell ref="H96:H98"/>
    <mergeCell ref="I96:I98"/>
    <mergeCell ref="AW96:AW98"/>
    <mergeCell ref="AX96:AX98"/>
    <mergeCell ref="AY96:AY98"/>
    <mergeCell ref="W2:W3"/>
    <mergeCell ref="X2:X3"/>
    <mergeCell ref="AU921:AV921"/>
    <mergeCell ref="AW921:AX921"/>
    <mergeCell ref="AY921:AZ921"/>
    <mergeCell ref="D920:I920"/>
    <mergeCell ref="J920:K920"/>
    <mergeCell ref="L920:N920"/>
    <mergeCell ref="O920:P920"/>
    <mergeCell ref="BF253:BF269"/>
    <mergeCell ref="BG253:BG269"/>
    <mergeCell ref="BH253:BH269"/>
    <mergeCell ref="BI253:BI269"/>
    <mergeCell ref="BJ253:BJ269"/>
    <mergeCell ref="BK253:BK269"/>
    <mergeCell ref="B142:B144"/>
    <mergeCell ref="C142:C144"/>
    <mergeCell ref="D142:D144"/>
    <mergeCell ref="E142:E144"/>
    <mergeCell ref="I142:I144"/>
    <mergeCell ref="J142:J144"/>
    <mergeCell ref="K142:K144"/>
    <mergeCell ref="L142:L144"/>
    <mergeCell ref="M142:M144"/>
    <mergeCell ref="F142:F144"/>
    <mergeCell ref="N142:N144"/>
    <mergeCell ref="O142:O144"/>
    <mergeCell ref="H142:H144"/>
    <mergeCell ref="G142:G144"/>
    <mergeCell ref="BA142:BA144"/>
    <mergeCell ref="P142:P144"/>
    <mergeCell ref="Q142:Q144"/>
  </mergeCells>
  <conditionalFormatting sqref="N11:N35">
    <cfRule type="cellIs" dxfId="410" priority="1096" operator="between">
      <formula>17</formula>
      <formula>20</formula>
    </cfRule>
    <cfRule type="cellIs" dxfId="409" priority="1097" operator="between">
      <formula>14</formula>
      <formula>16</formula>
    </cfRule>
    <cfRule type="cellIs" dxfId="408" priority="1098" operator="between">
      <formula>7</formula>
      <formula>13</formula>
    </cfRule>
    <cfRule type="cellIs" dxfId="407" priority="1099" operator="between">
      <formula>0</formula>
      <formula>6</formula>
    </cfRule>
  </conditionalFormatting>
  <conditionalFormatting sqref="BA11:BA35">
    <cfRule type="cellIs" dxfId="406" priority="1091" operator="between">
      <formula>0</formula>
      <formula>6</formula>
    </cfRule>
    <cfRule type="cellIs" dxfId="405" priority="1092" operator="between">
      <formula>7</formula>
      <formula>13</formula>
    </cfRule>
    <cfRule type="cellIs" dxfId="404" priority="1093" operator="between">
      <formula>14</formula>
      <formula>16</formula>
    </cfRule>
    <cfRule type="cellIs" dxfId="403" priority="1094" operator="between">
      <formula>17</formula>
      <formula>20</formula>
    </cfRule>
  </conditionalFormatting>
  <conditionalFormatting sqref="BA53:BA84">
    <cfRule type="cellIs" dxfId="402" priority="1071" operator="between">
      <formula>0</formula>
      <formula>6</formula>
    </cfRule>
    <cfRule type="cellIs" dxfId="401" priority="1072" operator="between">
      <formula>7</formula>
      <formula>13</formula>
    </cfRule>
    <cfRule type="cellIs" dxfId="400" priority="1073" operator="between">
      <formula>14</formula>
      <formula>16</formula>
    </cfRule>
    <cfRule type="cellIs" dxfId="399" priority="1074" operator="between">
      <formula>17</formula>
      <formula>20</formula>
    </cfRule>
  </conditionalFormatting>
  <conditionalFormatting sqref="BA99:BA130">
    <cfRule type="cellIs" dxfId="398" priority="1056" operator="between">
      <formula>0</formula>
      <formula>6</formula>
    </cfRule>
    <cfRule type="cellIs" dxfId="397" priority="1057" operator="between">
      <formula>7</formula>
      <formula>13</formula>
    </cfRule>
    <cfRule type="cellIs" dxfId="396" priority="1058" operator="between">
      <formula>14</formula>
      <formula>16</formula>
    </cfRule>
    <cfRule type="cellIs" dxfId="395" priority="1059" operator="between">
      <formula>17</formula>
      <formula>20</formula>
    </cfRule>
  </conditionalFormatting>
  <conditionalFormatting sqref="BA145:BA176">
    <cfRule type="cellIs" dxfId="394" priority="484" operator="between">
      <formula>0</formula>
      <formula>6</formula>
    </cfRule>
    <cfRule type="cellIs" dxfId="393" priority="485" operator="between">
      <formula>7</formula>
      <formula>13</formula>
    </cfRule>
    <cfRule type="cellIs" dxfId="392" priority="486" operator="between">
      <formula>14</formula>
      <formula>16</formula>
    </cfRule>
    <cfRule type="cellIs" dxfId="391" priority="487" operator="between">
      <formula>17</formula>
      <formula>20</formula>
    </cfRule>
  </conditionalFormatting>
  <conditionalFormatting sqref="BA191:BA222">
    <cfRule type="cellIs" dxfId="390" priority="462" operator="between">
      <formula>0</formula>
      <formula>6</formula>
    </cfRule>
    <cfRule type="cellIs" dxfId="389" priority="463" operator="between">
      <formula>7</formula>
      <formula>13</formula>
    </cfRule>
    <cfRule type="cellIs" dxfId="388" priority="464" operator="between">
      <formula>14</formula>
      <formula>16</formula>
    </cfRule>
    <cfRule type="cellIs" dxfId="387" priority="465" operator="between">
      <formula>17</formula>
      <formula>20</formula>
    </cfRule>
  </conditionalFormatting>
  <conditionalFormatting sqref="BA237:BA268">
    <cfRule type="cellIs" dxfId="386" priority="440" operator="between">
      <formula>0</formula>
      <formula>6</formula>
    </cfRule>
    <cfRule type="cellIs" dxfId="385" priority="441" operator="between">
      <formula>7</formula>
      <formula>13</formula>
    </cfRule>
    <cfRule type="cellIs" dxfId="384" priority="442" operator="between">
      <formula>14</formula>
      <formula>16</formula>
    </cfRule>
    <cfRule type="cellIs" dxfId="383" priority="443" operator="between">
      <formula>17</formula>
      <formula>20</formula>
    </cfRule>
  </conditionalFormatting>
  <conditionalFormatting sqref="BA283:BA314">
    <cfRule type="cellIs" dxfId="382" priority="418" operator="between">
      <formula>0</formula>
      <formula>6</formula>
    </cfRule>
    <cfRule type="cellIs" dxfId="381" priority="419" operator="between">
      <formula>7</formula>
      <formula>13</formula>
    </cfRule>
    <cfRule type="cellIs" dxfId="380" priority="420" operator="between">
      <formula>14</formula>
      <formula>16</formula>
    </cfRule>
    <cfRule type="cellIs" dxfId="379" priority="421" operator="between">
      <formula>17</formula>
      <formula>20</formula>
    </cfRule>
  </conditionalFormatting>
  <conditionalFormatting sqref="BA329:BA360">
    <cfRule type="cellIs" dxfId="378" priority="396" operator="between">
      <formula>0</formula>
      <formula>6</formula>
    </cfRule>
    <cfRule type="cellIs" dxfId="377" priority="397" operator="between">
      <formula>7</formula>
      <formula>13</formula>
    </cfRule>
    <cfRule type="cellIs" dxfId="376" priority="398" operator="between">
      <formula>14</formula>
      <formula>16</formula>
    </cfRule>
    <cfRule type="cellIs" dxfId="375" priority="399" operator="between">
      <formula>17</formula>
      <formula>20</formula>
    </cfRule>
  </conditionalFormatting>
  <conditionalFormatting sqref="BA375:BA406">
    <cfRule type="cellIs" dxfId="374" priority="374" operator="between">
      <formula>0</formula>
      <formula>6</formula>
    </cfRule>
    <cfRule type="cellIs" dxfId="373" priority="375" operator="between">
      <formula>7</formula>
      <formula>13</formula>
    </cfRule>
    <cfRule type="cellIs" dxfId="372" priority="376" operator="between">
      <formula>14</formula>
      <formula>16</formula>
    </cfRule>
    <cfRule type="cellIs" dxfId="371" priority="377" operator="between">
      <formula>17</formula>
      <formula>20</formula>
    </cfRule>
  </conditionalFormatting>
  <conditionalFormatting sqref="BA421:BA452">
    <cfRule type="cellIs" dxfId="370" priority="352" operator="between">
      <formula>0</formula>
      <formula>6</formula>
    </cfRule>
    <cfRule type="cellIs" dxfId="369" priority="353" operator="between">
      <formula>7</formula>
      <formula>13</formula>
    </cfRule>
    <cfRule type="cellIs" dxfId="368" priority="354" operator="between">
      <formula>14</formula>
      <formula>16</formula>
    </cfRule>
    <cfRule type="cellIs" dxfId="367" priority="355" operator="between">
      <formula>17</formula>
      <formula>20</formula>
    </cfRule>
  </conditionalFormatting>
  <conditionalFormatting sqref="BA467:BA498">
    <cfRule type="cellIs" dxfId="366" priority="330" operator="between">
      <formula>0</formula>
      <formula>6</formula>
    </cfRule>
    <cfRule type="cellIs" dxfId="365" priority="331" operator="between">
      <formula>7</formula>
      <formula>13</formula>
    </cfRule>
    <cfRule type="cellIs" dxfId="364" priority="332" operator="between">
      <formula>14</formula>
      <formula>16</formula>
    </cfRule>
    <cfRule type="cellIs" dxfId="363" priority="333" operator="between">
      <formula>17</formula>
      <formula>20</formula>
    </cfRule>
  </conditionalFormatting>
  <conditionalFormatting sqref="BA513:BA544">
    <cfRule type="cellIs" dxfId="362" priority="308" operator="between">
      <formula>0</formula>
      <formula>6</formula>
    </cfRule>
    <cfRule type="cellIs" dxfId="361" priority="309" operator="between">
      <formula>7</formula>
      <formula>13</formula>
    </cfRule>
    <cfRule type="cellIs" dxfId="360" priority="310" operator="between">
      <formula>14</formula>
      <formula>16</formula>
    </cfRule>
    <cfRule type="cellIs" dxfId="359" priority="311" operator="between">
      <formula>17</formula>
      <formula>20</formula>
    </cfRule>
  </conditionalFormatting>
  <conditionalFormatting sqref="BA559:BA590">
    <cfRule type="cellIs" dxfId="358" priority="286" operator="between">
      <formula>0</formula>
      <formula>6</formula>
    </cfRule>
    <cfRule type="cellIs" dxfId="357" priority="287" operator="between">
      <formula>7</formula>
      <formula>13</formula>
    </cfRule>
    <cfRule type="cellIs" dxfId="356" priority="288" operator="between">
      <formula>14</formula>
      <formula>16</formula>
    </cfRule>
    <cfRule type="cellIs" dxfId="355" priority="289" operator="between">
      <formula>17</formula>
      <formula>20</formula>
    </cfRule>
  </conditionalFormatting>
  <conditionalFormatting sqref="BA605:BA636">
    <cfRule type="cellIs" dxfId="354" priority="264" operator="between">
      <formula>0</formula>
      <formula>6</formula>
    </cfRule>
    <cfRule type="cellIs" dxfId="353" priority="265" operator="between">
      <formula>7</formula>
      <formula>13</formula>
    </cfRule>
    <cfRule type="cellIs" dxfId="352" priority="266" operator="between">
      <formula>14</formula>
      <formula>16</formula>
    </cfRule>
    <cfRule type="cellIs" dxfId="351" priority="267" operator="between">
      <formula>17</formula>
      <formula>20</formula>
    </cfRule>
  </conditionalFormatting>
  <conditionalFormatting sqref="BA651:BA682">
    <cfRule type="cellIs" dxfId="350" priority="242" operator="between">
      <formula>0</formula>
      <formula>6</formula>
    </cfRule>
    <cfRule type="cellIs" dxfId="349" priority="243" operator="between">
      <formula>7</formula>
      <formula>13</formula>
    </cfRule>
    <cfRule type="cellIs" dxfId="348" priority="244" operator="between">
      <formula>14</formula>
      <formula>16</formula>
    </cfRule>
    <cfRule type="cellIs" dxfId="347" priority="245" operator="between">
      <formula>17</formula>
      <formula>20</formula>
    </cfRule>
  </conditionalFormatting>
  <conditionalFormatting sqref="BA697:BA728">
    <cfRule type="cellIs" dxfId="346" priority="220" operator="between">
      <formula>0</formula>
      <formula>6</formula>
    </cfRule>
    <cfRule type="cellIs" dxfId="345" priority="221" operator="between">
      <formula>7</formula>
      <formula>13</formula>
    </cfRule>
    <cfRule type="cellIs" dxfId="344" priority="222" operator="between">
      <formula>14</formula>
      <formula>16</formula>
    </cfRule>
    <cfRule type="cellIs" dxfId="343" priority="223" operator="between">
      <formula>17</formula>
      <formula>20</formula>
    </cfRule>
  </conditionalFormatting>
  <conditionalFormatting sqref="BA743:BA774">
    <cfRule type="cellIs" dxfId="342" priority="198" operator="between">
      <formula>0</formula>
      <formula>6</formula>
    </cfRule>
    <cfRule type="cellIs" dxfId="341" priority="199" operator="between">
      <formula>7</formula>
      <formula>13</formula>
    </cfRule>
    <cfRule type="cellIs" dxfId="340" priority="200" operator="between">
      <formula>14</formula>
      <formula>16</formula>
    </cfRule>
    <cfRule type="cellIs" dxfId="339" priority="201" operator="between">
      <formula>17</formula>
      <formula>20</formula>
    </cfRule>
  </conditionalFormatting>
  <conditionalFormatting sqref="BA789:BA820">
    <cfRule type="cellIs" dxfId="338" priority="176" operator="between">
      <formula>0</formula>
      <formula>6</formula>
    </cfRule>
    <cfRule type="cellIs" dxfId="337" priority="177" operator="between">
      <formula>7</formula>
      <formula>13</formula>
    </cfRule>
    <cfRule type="cellIs" dxfId="336" priority="178" operator="between">
      <formula>14</formula>
      <formula>16</formula>
    </cfRule>
    <cfRule type="cellIs" dxfId="335" priority="179" operator="between">
      <formula>17</formula>
      <formula>20</formula>
    </cfRule>
  </conditionalFormatting>
  <conditionalFormatting sqref="BA835:BA866">
    <cfRule type="cellIs" dxfId="334" priority="154" operator="between">
      <formula>0</formula>
      <formula>6</formula>
    </cfRule>
    <cfRule type="cellIs" dxfId="333" priority="155" operator="between">
      <formula>7</formula>
      <formula>13</formula>
    </cfRule>
    <cfRule type="cellIs" dxfId="332" priority="156" operator="between">
      <formula>14</formula>
      <formula>16</formula>
    </cfRule>
    <cfRule type="cellIs" dxfId="331" priority="157" operator="between">
      <formula>17</formula>
      <formula>20</formula>
    </cfRule>
  </conditionalFormatting>
  <conditionalFormatting sqref="BB11:BB35">
    <cfRule type="containsText" dxfId="330" priority="1083" operator="containsText" text="גבוה מאוד">
      <formula>NOT(ISERROR(SEARCH("גבוה מאוד",BB11)))</formula>
    </cfRule>
    <cfRule type="containsText" dxfId="329" priority="1084" operator="containsText" text="גבוה">
      <formula>NOT(ISERROR(SEARCH("גבוה",BB11)))</formula>
    </cfRule>
    <cfRule type="containsText" dxfId="328" priority="1085" operator="containsText" text="בינוני">
      <formula>NOT(ISERROR(SEARCH("בינוני",BB11)))</formula>
    </cfRule>
    <cfRule type="containsText" dxfId="327" priority="1086" operator="containsText" text="נמוכה">
      <formula>NOT(ISERROR(SEARCH("נמוכה",BB11)))</formula>
    </cfRule>
  </conditionalFormatting>
  <conditionalFormatting sqref="BB53:BB84">
    <cfRule type="containsText" dxfId="326" priority="1067" operator="containsText" text="גבוה מאוד">
      <formula>NOT(ISERROR(SEARCH("גבוה מאוד",BB53)))</formula>
    </cfRule>
    <cfRule type="containsText" dxfId="325" priority="1068" operator="containsText" text="גבוה">
      <formula>NOT(ISERROR(SEARCH("גבוה",BB53)))</formula>
    </cfRule>
    <cfRule type="containsText" dxfId="324" priority="1069" operator="containsText" text="בינוני">
      <formula>NOT(ISERROR(SEARCH("בינוני",BB53)))</formula>
    </cfRule>
    <cfRule type="containsText" dxfId="323" priority="1070" operator="containsText" text="נמוכה">
      <formula>NOT(ISERROR(SEARCH("נמוכה",BB53)))</formula>
    </cfRule>
  </conditionalFormatting>
  <conditionalFormatting sqref="BB99:BB130">
    <cfRule type="containsText" dxfId="322" priority="1052" operator="containsText" text="גבוה מאוד">
      <formula>NOT(ISERROR(SEARCH("גבוה מאוד",BB99)))</formula>
    </cfRule>
    <cfRule type="containsText" dxfId="321" priority="1053" operator="containsText" text="גבוה">
      <formula>NOT(ISERROR(SEARCH("גבוה",BB99)))</formula>
    </cfRule>
    <cfRule type="containsText" dxfId="320" priority="1054" operator="containsText" text="בינוני">
      <formula>NOT(ISERROR(SEARCH("בינוני",BB99)))</formula>
    </cfRule>
    <cfRule type="containsText" dxfId="319" priority="1055" operator="containsText" text="נמוכה">
      <formula>NOT(ISERROR(SEARCH("נמוכה",BB99)))</formula>
    </cfRule>
  </conditionalFormatting>
  <conditionalFormatting sqref="BB145:BB176">
    <cfRule type="containsText" dxfId="318" priority="480" operator="containsText" text="גבוה מאוד">
      <formula>NOT(ISERROR(SEARCH("גבוה מאוד",BB145)))</formula>
    </cfRule>
    <cfRule type="containsText" dxfId="317" priority="481" operator="containsText" text="גבוה">
      <formula>NOT(ISERROR(SEARCH("גבוה",BB145)))</formula>
    </cfRule>
    <cfRule type="containsText" dxfId="316" priority="482" operator="containsText" text="בינוני">
      <formula>NOT(ISERROR(SEARCH("בינוני",BB145)))</formula>
    </cfRule>
    <cfRule type="containsText" dxfId="315" priority="483" operator="containsText" text="נמוכה">
      <formula>NOT(ISERROR(SEARCH("נמוכה",BB145)))</formula>
    </cfRule>
  </conditionalFormatting>
  <conditionalFormatting sqref="BB191:BB222">
    <cfRule type="containsText" dxfId="314" priority="458" operator="containsText" text="גבוה מאוד">
      <formula>NOT(ISERROR(SEARCH("גבוה מאוד",BB191)))</formula>
    </cfRule>
    <cfRule type="containsText" dxfId="313" priority="459" operator="containsText" text="גבוה">
      <formula>NOT(ISERROR(SEARCH("גבוה",BB191)))</formula>
    </cfRule>
    <cfRule type="containsText" dxfId="312" priority="460" operator="containsText" text="בינוני">
      <formula>NOT(ISERROR(SEARCH("בינוני",BB191)))</formula>
    </cfRule>
    <cfRule type="containsText" dxfId="311" priority="461" operator="containsText" text="נמוכה">
      <formula>NOT(ISERROR(SEARCH("נמוכה",BB191)))</formula>
    </cfRule>
  </conditionalFormatting>
  <conditionalFormatting sqref="BB237:BB268">
    <cfRule type="containsText" dxfId="310" priority="436" operator="containsText" text="גבוה מאוד">
      <formula>NOT(ISERROR(SEARCH("גבוה מאוד",BB237)))</formula>
    </cfRule>
    <cfRule type="containsText" dxfId="309" priority="437" operator="containsText" text="גבוה">
      <formula>NOT(ISERROR(SEARCH("גבוה",BB237)))</formula>
    </cfRule>
    <cfRule type="containsText" dxfId="308" priority="438" operator="containsText" text="בינוני">
      <formula>NOT(ISERROR(SEARCH("בינוני",BB237)))</formula>
    </cfRule>
    <cfRule type="containsText" dxfId="307" priority="439" operator="containsText" text="נמוכה">
      <formula>NOT(ISERROR(SEARCH("נמוכה",BB237)))</formula>
    </cfRule>
  </conditionalFormatting>
  <conditionalFormatting sqref="BB283:BB314">
    <cfRule type="containsText" dxfId="306" priority="414" operator="containsText" text="גבוה מאוד">
      <formula>NOT(ISERROR(SEARCH("גבוה מאוד",BB283)))</formula>
    </cfRule>
    <cfRule type="containsText" dxfId="305" priority="415" operator="containsText" text="גבוה">
      <formula>NOT(ISERROR(SEARCH("גבוה",BB283)))</formula>
    </cfRule>
    <cfRule type="containsText" dxfId="304" priority="416" operator="containsText" text="בינוני">
      <formula>NOT(ISERROR(SEARCH("בינוני",BB283)))</formula>
    </cfRule>
    <cfRule type="containsText" dxfId="303" priority="417" operator="containsText" text="נמוכה">
      <formula>NOT(ISERROR(SEARCH("נמוכה",BB283)))</formula>
    </cfRule>
  </conditionalFormatting>
  <conditionalFormatting sqref="BB329:BB360">
    <cfRule type="containsText" dxfId="302" priority="392" operator="containsText" text="גבוה מאוד">
      <formula>NOT(ISERROR(SEARCH("גבוה מאוד",BB329)))</formula>
    </cfRule>
    <cfRule type="containsText" dxfId="301" priority="393" operator="containsText" text="גבוה">
      <formula>NOT(ISERROR(SEARCH("גבוה",BB329)))</formula>
    </cfRule>
    <cfRule type="containsText" dxfId="300" priority="394" operator="containsText" text="בינוני">
      <formula>NOT(ISERROR(SEARCH("בינוני",BB329)))</formula>
    </cfRule>
    <cfRule type="containsText" dxfId="299" priority="395" operator="containsText" text="נמוכה">
      <formula>NOT(ISERROR(SEARCH("נמוכה",BB329)))</formula>
    </cfRule>
  </conditionalFormatting>
  <conditionalFormatting sqref="BB375:BB406">
    <cfRule type="containsText" dxfId="298" priority="370" operator="containsText" text="גבוה מאוד">
      <formula>NOT(ISERROR(SEARCH("גבוה מאוד",BB375)))</formula>
    </cfRule>
    <cfRule type="containsText" dxfId="297" priority="371" operator="containsText" text="גבוה">
      <formula>NOT(ISERROR(SEARCH("גבוה",BB375)))</formula>
    </cfRule>
    <cfRule type="containsText" dxfId="296" priority="372" operator="containsText" text="בינוני">
      <formula>NOT(ISERROR(SEARCH("בינוני",BB375)))</formula>
    </cfRule>
    <cfRule type="containsText" dxfId="295" priority="373" operator="containsText" text="נמוכה">
      <formula>NOT(ISERROR(SEARCH("נמוכה",BB375)))</formula>
    </cfRule>
  </conditionalFormatting>
  <conditionalFormatting sqref="BB421:BB452">
    <cfRule type="containsText" dxfId="294" priority="348" operator="containsText" text="גבוה מאוד">
      <formula>NOT(ISERROR(SEARCH("גבוה מאוד",BB421)))</formula>
    </cfRule>
    <cfRule type="containsText" dxfId="293" priority="349" operator="containsText" text="גבוה">
      <formula>NOT(ISERROR(SEARCH("גבוה",BB421)))</formula>
    </cfRule>
    <cfRule type="containsText" dxfId="292" priority="350" operator="containsText" text="בינוני">
      <formula>NOT(ISERROR(SEARCH("בינוני",BB421)))</formula>
    </cfRule>
    <cfRule type="containsText" dxfId="291" priority="351" operator="containsText" text="נמוכה">
      <formula>NOT(ISERROR(SEARCH("נמוכה",BB421)))</formula>
    </cfRule>
  </conditionalFormatting>
  <conditionalFormatting sqref="BB467:BB498">
    <cfRule type="containsText" dxfId="290" priority="326" operator="containsText" text="גבוה מאוד">
      <formula>NOT(ISERROR(SEARCH("גבוה מאוד",BB467)))</formula>
    </cfRule>
    <cfRule type="containsText" dxfId="289" priority="327" operator="containsText" text="גבוה">
      <formula>NOT(ISERROR(SEARCH("גבוה",BB467)))</formula>
    </cfRule>
    <cfRule type="containsText" dxfId="288" priority="328" operator="containsText" text="בינוני">
      <formula>NOT(ISERROR(SEARCH("בינוני",BB467)))</formula>
    </cfRule>
    <cfRule type="containsText" dxfId="287" priority="329" operator="containsText" text="נמוכה">
      <formula>NOT(ISERROR(SEARCH("נמוכה",BB467)))</formula>
    </cfRule>
  </conditionalFormatting>
  <conditionalFormatting sqref="BB513:BB544">
    <cfRule type="containsText" dxfId="286" priority="304" operator="containsText" text="גבוה מאוד">
      <formula>NOT(ISERROR(SEARCH("גבוה מאוד",BB513)))</formula>
    </cfRule>
    <cfRule type="containsText" dxfId="285" priority="305" operator="containsText" text="גבוה">
      <formula>NOT(ISERROR(SEARCH("גבוה",BB513)))</formula>
    </cfRule>
    <cfRule type="containsText" dxfId="284" priority="306" operator="containsText" text="בינוני">
      <formula>NOT(ISERROR(SEARCH("בינוני",BB513)))</formula>
    </cfRule>
    <cfRule type="containsText" dxfId="283" priority="307" operator="containsText" text="נמוכה">
      <formula>NOT(ISERROR(SEARCH("נמוכה",BB513)))</formula>
    </cfRule>
  </conditionalFormatting>
  <conditionalFormatting sqref="BB559:BB590">
    <cfRule type="containsText" dxfId="282" priority="282" operator="containsText" text="גבוה מאוד">
      <formula>NOT(ISERROR(SEARCH("גבוה מאוד",BB559)))</formula>
    </cfRule>
    <cfRule type="containsText" dxfId="281" priority="283" operator="containsText" text="גבוה">
      <formula>NOT(ISERROR(SEARCH("גבוה",BB559)))</formula>
    </cfRule>
    <cfRule type="containsText" dxfId="280" priority="284" operator="containsText" text="בינוני">
      <formula>NOT(ISERROR(SEARCH("בינוני",BB559)))</formula>
    </cfRule>
    <cfRule type="containsText" dxfId="279" priority="285" operator="containsText" text="נמוכה">
      <formula>NOT(ISERROR(SEARCH("נמוכה",BB559)))</formula>
    </cfRule>
  </conditionalFormatting>
  <conditionalFormatting sqref="BB605:BB636">
    <cfRule type="containsText" dxfId="278" priority="260" operator="containsText" text="גבוה מאוד">
      <formula>NOT(ISERROR(SEARCH("גבוה מאוד",BB605)))</formula>
    </cfRule>
    <cfRule type="containsText" dxfId="277" priority="261" operator="containsText" text="גבוה">
      <formula>NOT(ISERROR(SEARCH("גבוה",BB605)))</formula>
    </cfRule>
    <cfRule type="containsText" dxfId="276" priority="262" operator="containsText" text="בינוני">
      <formula>NOT(ISERROR(SEARCH("בינוני",BB605)))</formula>
    </cfRule>
    <cfRule type="containsText" dxfId="275" priority="263" operator="containsText" text="נמוכה">
      <formula>NOT(ISERROR(SEARCH("נמוכה",BB605)))</formula>
    </cfRule>
  </conditionalFormatting>
  <conditionalFormatting sqref="BB651:BB682">
    <cfRule type="containsText" dxfId="274" priority="238" operator="containsText" text="גבוה מאוד">
      <formula>NOT(ISERROR(SEARCH("גבוה מאוד",BB651)))</formula>
    </cfRule>
    <cfRule type="containsText" dxfId="273" priority="239" operator="containsText" text="גבוה">
      <formula>NOT(ISERROR(SEARCH("גבוה",BB651)))</formula>
    </cfRule>
    <cfRule type="containsText" dxfId="272" priority="240" operator="containsText" text="בינוני">
      <formula>NOT(ISERROR(SEARCH("בינוני",BB651)))</formula>
    </cfRule>
    <cfRule type="containsText" dxfId="271" priority="241" operator="containsText" text="נמוכה">
      <formula>NOT(ISERROR(SEARCH("נמוכה",BB651)))</formula>
    </cfRule>
  </conditionalFormatting>
  <conditionalFormatting sqref="BB697:BB728">
    <cfRule type="containsText" dxfId="270" priority="216" operator="containsText" text="גבוה מאוד">
      <formula>NOT(ISERROR(SEARCH("גבוה מאוד",BB697)))</formula>
    </cfRule>
    <cfRule type="containsText" dxfId="269" priority="217" operator="containsText" text="גבוה">
      <formula>NOT(ISERROR(SEARCH("גבוה",BB697)))</formula>
    </cfRule>
    <cfRule type="containsText" dxfId="268" priority="218" operator="containsText" text="בינוני">
      <formula>NOT(ISERROR(SEARCH("בינוני",BB697)))</formula>
    </cfRule>
    <cfRule type="containsText" dxfId="267" priority="219" operator="containsText" text="נמוכה">
      <formula>NOT(ISERROR(SEARCH("נמוכה",BB697)))</formula>
    </cfRule>
  </conditionalFormatting>
  <conditionalFormatting sqref="BB743:BB774">
    <cfRule type="containsText" dxfId="266" priority="194" operator="containsText" text="גבוה מאוד">
      <formula>NOT(ISERROR(SEARCH("גבוה מאוד",BB743)))</formula>
    </cfRule>
    <cfRule type="containsText" dxfId="265" priority="195" operator="containsText" text="גבוה">
      <formula>NOT(ISERROR(SEARCH("גבוה",BB743)))</formula>
    </cfRule>
    <cfRule type="containsText" dxfId="264" priority="196" operator="containsText" text="בינוני">
      <formula>NOT(ISERROR(SEARCH("בינוני",BB743)))</formula>
    </cfRule>
    <cfRule type="containsText" dxfId="263" priority="197" operator="containsText" text="נמוכה">
      <formula>NOT(ISERROR(SEARCH("נמוכה",BB743)))</formula>
    </cfRule>
  </conditionalFormatting>
  <conditionalFormatting sqref="BB789:BB820">
    <cfRule type="containsText" dxfId="262" priority="172" operator="containsText" text="גבוה מאוד">
      <formula>NOT(ISERROR(SEARCH("גבוה מאוד",BB789)))</formula>
    </cfRule>
    <cfRule type="containsText" dxfId="261" priority="173" operator="containsText" text="גבוה">
      <formula>NOT(ISERROR(SEARCH("גבוה",BB789)))</formula>
    </cfRule>
    <cfRule type="containsText" dxfId="260" priority="174" operator="containsText" text="בינוני">
      <formula>NOT(ISERROR(SEARCH("בינוני",BB789)))</formula>
    </cfRule>
    <cfRule type="containsText" dxfId="259" priority="175" operator="containsText" text="נמוכה">
      <formula>NOT(ISERROR(SEARCH("נמוכה",BB789)))</formula>
    </cfRule>
  </conditionalFormatting>
  <conditionalFormatting sqref="BB835:BB866">
    <cfRule type="containsText" dxfId="258" priority="150" operator="containsText" text="גבוה מאוד">
      <formula>NOT(ISERROR(SEARCH("גבוה מאוד",BB835)))</formula>
    </cfRule>
    <cfRule type="containsText" dxfId="257" priority="151" operator="containsText" text="גבוה">
      <formula>NOT(ISERROR(SEARCH("גבוה",BB835)))</formula>
    </cfRule>
    <cfRule type="containsText" dxfId="256" priority="152" operator="containsText" text="בינוני">
      <formula>NOT(ISERROR(SEARCH("בינוני",BB835)))</formula>
    </cfRule>
    <cfRule type="containsText" dxfId="255" priority="153" operator="containsText" text="נמוכה">
      <formula>NOT(ISERROR(SEARCH("נמוכה",BB835)))</formula>
    </cfRule>
  </conditionalFormatting>
  <conditionalFormatting sqref="BC11:BC35">
    <cfRule type="containsText" dxfId="254" priority="1001" operator="containsText" text="לא נדרש ברישיון">
      <formula>NOT(ISERROR(SEARCH("לא נדרש ברישיון",BC11)))</formula>
    </cfRule>
    <cfRule type="containsText" dxfId="253" priority="1008" operator="containsText" text="העתקה">
      <formula>NOT(ISERROR(SEARCH("העתקה",BC11)))</formula>
    </cfRule>
    <cfRule type="containsText" dxfId="252" priority="1009" operator="containsText" text="שימור">
      <formula>NOT(ISERROR(SEARCH("שימור",BC11)))</formula>
    </cfRule>
    <cfRule type="containsText" dxfId="251" priority="1010" operator="containsText" text="כריתה">
      <formula>NOT(ISERROR(SEARCH("כריתה",BC11)))</formula>
    </cfRule>
  </conditionalFormatting>
  <conditionalFormatting sqref="BC178:BC179">
    <cfRule type="containsText" dxfId="250" priority="599" operator="containsText" text="לא קיים">
      <formula>NOT(ISERROR(SEARCH("לא קיים",BC178)))</formula>
    </cfRule>
    <cfRule type="containsText" dxfId="249" priority="600" operator="containsText" text="לא אילן מוגן">
      <formula>NOT(ISERROR(SEARCH("לא אילן מוגן",BC178)))</formula>
    </cfRule>
    <cfRule type="containsText" dxfId="248" priority="601" operator="containsText" text="העתקה">
      <formula>NOT(ISERROR(SEARCH("העתקה",BC178)))</formula>
    </cfRule>
    <cfRule type="containsText" dxfId="247" priority="602" operator="containsText" text="שימור">
      <formula>NOT(ISERROR(SEARCH("שימור",BC178)))</formula>
    </cfRule>
    <cfRule type="containsText" dxfId="246" priority="603" operator="containsText" text="כריתה">
      <formula>NOT(ISERROR(SEARCH("כריתה",BC178)))</formula>
    </cfRule>
  </conditionalFormatting>
  <conditionalFormatting sqref="BC224:BC225">
    <cfRule type="containsText" dxfId="245" priority="470" operator="containsText" text="לא קיים">
      <formula>NOT(ISERROR(SEARCH("לא קיים",BC224)))</formula>
    </cfRule>
    <cfRule type="containsText" dxfId="244" priority="471" operator="containsText" text="לא אילן מוגן">
      <formula>NOT(ISERROR(SEARCH("לא אילן מוגן",BC224)))</formula>
    </cfRule>
    <cfRule type="containsText" dxfId="243" priority="472" operator="containsText" text="העתקה">
      <formula>NOT(ISERROR(SEARCH("העתקה",BC224)))</formula>
    </cfRule>
    <cfRule type="containsText" dxfId="242" priority="473" operator="containsText" text="שימור">
      <formula>NOT(ISERROR(SEARCH("שימור",BC224)))</formula>
    </cfRule>
    <cfRule type="containsText" dxfId="241" priority="474" operator="containsText" text="כריתה">
      <formula>NOT(ISERROR(SEARCH("כריתה",BC224)))</formula>
    </cfRule>
  </conditionalFormatting>
  <conditionalFormatting sqref="BC270:BC271">
    <cfRule type="containsText" dxfId="240" priority="448" operator="containsText" text="לא קיים">
      <formula>NOT(ISERROR(SEARCH("לא קיים",BC270)))</formula>
    </cfRule>
    <cfRule type="containsText" dxfId="239" priority="449" operator="containsText" text="לא אילן מוגן">
      <formula>NOT(ISERROR(SEARCH("לא אילן מוגן",BC270)))</formula>
    </cfRule>
    <cfRule type="containsText" dxfId="238" priority="450" operator="containsText" text="העתקה">
      <formula>NOT(ISERROR(SEARCH("העתקה",BC270)))</formula>
    </cfRule>
    <cfRule type="containsText" dxfId="237" priority="451" operator="containsText" text="שימור">
      <formula>NOT(ISERROR(SEARCH("שימור",BC270)))</formula>
    </cfRule>
    <cfRule type="containsText" dxfId="236" priority="452" operator="containsText" text="כריתה">
      <formula>NOT(ISERROR(SEARCH("כריתה",BC270)))</formula>
    </cfRule>
  </conditionalFormatting>
  <conditionalFormatting sqref="BC316:BC317">
    <cfRule type="containsText" dxfId="235" priority="426" operator="containsText" text="לא קיים">
      <formula>NOT(ISERROR(SEARCH("לא קיים",BC316)))</formula>
    </cfRule>
    <cfRule type="containsText" dxfId="234" priority="427" operator="containsText" text="לא אילן מוגן">
      <formula>NOT(ISERROR(SEARCH("לא אילן מוגן",BC316)))</formula>
    </cfRule>
    <cfRule type="containsText" dxfId="233" priority="428" operator="containsText" text="העתקה">
      <formula>NOT(ISERROR(SEARCH("העתקה",BC316)))</formula>
    </cfRule>
    <cfRule type="containsText" dxfId="232" priority="429" operator="containsText" text="שימור">
      <formula>NOT(ISERROR(SEARCH("שימור",BC316)))</formula>
    </cfRule>
    <cfRule type="containsText" dxfId="231" priority="430" operator="containsText" text="כריתה">
      <formula>NOT(ISERROR(SEARCH("כריתה",BC316)))</formula>
    </cfRule>
  </conditionalFormatting>
  <conditionalFormatting sqref="BC362:BC363">
    <cfRule type="containsText" dxfId="230" priority="404" operator="containsText" text="לא קיים">
      <formula>NOT(ISERROR(SEARCH("לא קיים",BC362)))</formula>
    </cfRule>
    <cfRule type="containsText" dxfId="229" priority="405" operator="containsText" text="לא אילן מוגן">
      <formula>NOT(ISERROR(SEARCH("לא אילן מוגן",BC362)))</formula>
    </cfRule>
    <cfRule type="containsText" dxfId="228" priority="406" operator="containsText" text="העתקה">
      <formula>NOT(ISERROR(SEARCH("העתקה",BC362)))</formula>
    </cfRule>
    <cfRule type="containsText" dxfId="227" priority="407" operator="containsText" text="שימור">
      <formula>NOT(ISERROR(SEARCH("שימור",BC362)))</formula>
    </cfRule>
    <cfRule type="containsText" dxfId="226" priority="408" operator="containsText" text="כריתה">
      <formula>NOT(ISERROR(SEARCH("כריתה",BC362)))</formula>
    </cfRule>
  </conditionalFormatting>
  <conditionalFormatting sqref="BC408:BC409">
    <cfRule type="containsText" dxfId="225" priority="382" operator="containsText" text="לא קיים">
      <formula>NOT(ISERROR(SEARCH("לא קיים",BC408)))</formula>
    </cfRule>
    <cfRule type="containsText" dxfId="224" priority="383" operator="containsText" text="לא אילן מוגן">
      <formula>NOT(ISERROR(SEARCH("לא אילן מוגן",BC408)))</formula>
    </cfRule>
    <cfRule type="containsText" dxfId="223" priority="384" operator="containsText" text="העתקה">
      <formula>NOT(ISERROR(SEARCH("העתקה",BC408)))</formula>
    </cfRule>
    <cfRule type="containsText" dxfId="222" priority="385" operator="containsText" text="שימור">
      <formula>NOT(ISERROR(SEARCH("שימור",BC408)))</formula>
    </cfRule>
    <cfRule type="containsText" dxfId="221" priority="386" operator="containsText" text="כריתה">
      <formula>NOT(ISERROR(SEARCH("כריתה",BC408)))</formula>
    </cfRule>
  </conditionalFormatting>
  <conditionalFormatting sqref="BC454:BC455">
    <cfRule type="containsText" dxfId="220" priority="360" operator="containsText" text="לא קיים">
      <formula>NOT(ISERROR(SEARCH("לא קיים",BC454)))</formula>
    </cfRule>
    <cfRule type="containsText" dxfId="219" priority="361" operator="containsText" text="לא אילן מוגן">
      <formula>NOT(ISERROR(SEARCH("לא אילן מוגן",BC454)))</formula>
    </cfRule>
    <cfRule type="containsText" dxfId="218" priority="362" operator="containsText" text="העתקה">
      <formula>NOT(ISERROR(SEARCH("העתקה",BC454)))</formula>
    </cfRule>
    <cfRule type="containsText" dxfId="217" priority="363" operator="containsText" text="שימור">
      <formula>NOT(ISERROR(SEARCH("שימור",BC454)))</formula>
    </cfRule>
    <cfRule type="containsText" dxfId="216" priority="364" operator="containsText" text="כריתה">
      <formula>NOT(ISERROR(SEARCH("כריתה",BC454)))</formula>
    </cfRule>
  </conditionalFormatting>
  <conditionalFormatting sqref="BC500:BC501">
    <cfRule type="containsText" dxfId="215" priority="338" operator="containsText" text="לא קיים">
      <formula>NOT(ISERROR(SEARCH("לא קיים",BC500)))</formula>
    </cfRule>
    <cfRule type="containsText" dxfId="214" priority="339" operator="containsText" text="לא אילן מוגן">
      <formula>NOT(ISERROR(SEARCH("לא אילן מוגן",BC500)))</formula>
    </cfRule>
    <cfRule type="containsText" dxfId="213" priority="340" operator="containsText" text="העתקה">
      <formula>NOT(ISERROR(SEARCH("העתקה",BC500)))</formula>
    </cfRule>
    <cfRule type="containsText" dxfId="212" priority="341" operator="containsText" text="שימור">
      <formula>NOT(ISERROR(SEARCH("שימור",BC500)))</formula>
    </cfRule>
    <cfRule type="containsText" dxfId="211" priority="342" operator="containsText" text="כריתה">
      <formula>NOT(ISERROR(SEARCH("כריתה",BC500)))</formula>
    </cfRule>
  </conditionalFormatting>
  <conditionalFormatting sqref="BC546:BC547">
    <cfRule type="containsText" dxfId="210" priority="316" operator="containsText" text="לא קיים">
      <formula>NOT(ISERROR(SEARCH("לא קיים",BC546)))</formula>
    </cfRule>
    <cfRule type="containsText" dxfId="209" priority="317" operator="containsText" text="לא אילן מוגן">
      <formula>NOT(ISERROR(SEARCH("לא אילן מוגן",BC546)))</formula>
    </cfRule>
    <cfRule type="containsText" dxfId="208" priority="318" operator="containsText" text="העתקה">
      <formula>NOT(ISERROR(SEARCH("העתקה",BC546)))</formula>
    </cfRule>
    <cfRule type="containsText" dxfId="207" priority="319" operator="containsText" text="שימור">
      <formula>NOT(ISERROR(SEARCH("שימור",BC546)))</formula>
    </cfRule>
    <cfRule type="containsText" dxfId="206" priority="320" operator="containsText" text="כריתה">
      <formula>NOT(ISERROR(SEARCH("כריתה",BC546)))</formula>
    </cfRule>
  </conditionalFormatting>
  <conditionalFormatting sqref="BC592:BC593">
    <cfRule type="containsText" dxfId="205" priority="294" operator="containsText" text="לא קיים">
      <formula>NOT(ISERROR(SEARCH("לא קיים",BC592)))</formula>
    </cfRule>
    <cfRule type="containsText" dxfId="204" priority="295" operator="containsText" text="לא אילן מוגן">
      <formula>NOT(ISERROR(SEARCH("לא אילן מוגן",BC592)))</formula>
    </cfRule>
    <cfRule type="containsText" dxfId="203" priority="296" operator="containsText" text="העתקה">
      <formula>NOT(ISERROR(SEARCH("העתקה",BC592)))</formula>
    </cfRule>
    <cfRule type="containsText" dxfId="202" priority="297" operator="containsText" text="שימור">
      <formula>NOT(ISERROR(SEARCH("שימור",BC592)))</formula>
    </cfRule>
    <cfRule type="containsText" dxfId="201" priority="298" operator="containsText" text="כריתה">
      <formula>NOT(ISERROR(SEARCH("כריתה",BC592)))</formula>
    </cfRule>
  </conditionalFormatting>
  <conditionalFormatting sqref="BC638:BC639">
    <cfRule type="containsText" dxfId="200" priority="272" operator="containsText" text="לא קיים">
      <formula>NOT(ISERROR(SEARCH("לא קיים",BC638)))</formula>
    </cfRule>
    <cfRule type="containsText" dxfId="199" priority="273" operator="containsText" text="לא אילן מוגן">
      <formula>NOT(ISERROR(SEARCH("לא אילן מוגן",BC638)))</formula>
    </cfRule>
    <cfRule type="containsText" dxfId="198" priority="274" operator="containsText" text="העתקה">
      <formula>NOT(ISERROR(SEARCH("העתקה",BC638)))</formula>
    </cfRule>
    <cfRule type="containsText" dxfId="197" priority="275" operator="containsText" text="שימור">
      <formula>NOT(ISERROR(SEARCH("שימור",BC638)))</formula>
    </cfRule>
    <cfRule type="containsText" dxfId="196" priority="276" operator="containsText" text="כריתה">
      <formula>NOT(ISERROR(SEARCH("כריתה",BC638)))</formula>
    </cfRule>
  </conditionalFormatting>
  <conditionalFormatting sqref="BC684:BC685">
    <cfRule type="containsText" dxfId="195" priority="250" operator="containsText" text="לא קיים">
      <formula>NOT(ISERROR(SEARCH("לא קיים",BC684)))</formula>
    </cfRule>
    <cfRule type="containsText" dxfId="194" priority="251" operator="containsText" text="לא אילן מוגן">
      <formula>NOT(ISERROR(SEARCH("לא אילן מוגן",BC684)))</formula>
    </cfRule>
    <cfRule type="containsText" dxfId="193" priority="252" operator="containsText" text="העתקה">
      <formula>NOT(ISERROR(SEARCH("העתקה",BC684)))</formula>
    </cfRule>
    <cfRule type="containsText" dxfId="192" priority="253" operator="containsText" text="שימור">
      <formula>NOT(ISERROR(SEARCH("שימור",BC684)))</formula>
    </cfRule>
    <cfRule type="containsText" dxfId="191" priority="254" operator="containsText" text="כריתה">
      <formula>NOT(ISERROR(SEARCH("כריתה",BC684)))</formula>
    </cfRule>
  </conditionalFormatting>
  <conditionalFormatting sqref="BC730:BC731">
    <cfRule type="containsText" dxfId="190" priority="228" operator="containsText" text="לא קיים">
      <formula>NOT(ISERROR(SEARCH("לא קיים",BC730)))</formula>
    </cfRule>
    <cfRule type="containsText" dxfId="189" priority="229" operator="containsText" text="לא אילן מוגן">
      <formula>NOT(ISERROR(SEARCH("לא אילן מוגן",BC730)))</formula>
    </cfRule>
    <cfRule type="containsText" dxfId="188" priority="230" operator="containsText" text="העתקה">
      <formula>NOT(ISERROR(SEARCH("העתקה",BC730)))</formula>
    </cfRule>
    <cfRule type="containsText" dxfId="187" priority="231" operator="containsText" text="שימור">
      <formula>NOT(ISERROR(SEARCH("שימור",BC730)))</formula>
    </cfRule>
    <cfRule type="containsText" dxfId="186" priority="232" operator="containsText" text="כריתה">
      <formula>NOT(ISERROR(SEARCH("כריתה",BC730)))</formula>
    </cfRule>
  </conditionalFormatting>
  <conditionalFormatting sqref="BC776:BC777">
    <cfRule type="containsText" dxfId="185" priority="206" operator="containsText" text="לא קיים">
      <formula>NOT(ISERROR(SEARCH("לא קיים",BC776)))</formula>
    </cfRule>
    <cfRule type="containsText" dxfId="184" priority="207" operator="containsText" text="לא אילן מוגן">
      <formula>NOT(ISERROR(SEARCH("לא אילן מוגן",BC776)))</formula>
    </cfRule>
    <cfRule type="containsText" dxfId="183" priority="208" operator="containsText" text="העתקה">
      <formula>NOT(ISERROR(SEARCH("העתקה",BC776)))</formula>
    </cfRule>
    <cfRule type="containsText" dxfId="182" priority="209" operator="containsText" text="שימור">
      <formula>NOT(ISERROR(SEARCH("שימור",BC776)))</formula>
    </cfRule>
    <cfRule type="containsText" dxfId="181" priority="210" operator="containsText" text="כריתה">
      <formula>NOT(ISERROR(SEARCH("כריתה",BC776)))</formula>
    </cfRule>
  </conditionalFormatting>
  <conditionalFormatting sqref="BC822:BC823">
    <cfRule type="containsText" dxfId="180" priority="184" operator="containsText" text="לא קיים">
      <formula>NOT(ISERROR(SEARCH("לא קיים",BC822)))</formula>
    </cfRule>
    <cfRule type="containsText" dxfId="179" priority="185" operator="containsText" text="לא אילן מוגן">
      <formula>NOT(ISERROR(SEARCH("לא אילן מוגן",BC822)))</formula>
    </cfRule>
    <cfRule type="containsText" dxfId="178" priority="186" operator="containsText" text="העתקה">
      <formula>NOT(ISERROR(SEARCH("העתקה",BC822)))</formula>
    </cfRule>
    <cfRule type="containsText" dxfId="177" priority="187" operator="containsText" text="שימור">
      <formula>NOT(ISERROR(SEARCH("שימור",BC822)))</formula>
    </cfRule>
    <cfRule type="containsText" dxfId="176" priority="188" operator="containsText" text="כריתה">
      <formula>NOT(ISERROR(SEARCH("כריתה",BC822)))</formula>
    </cfRule>
  </conditionalFormatting>
  <conditionalFormatting sqref="BC868:BC869">
    <cfRule type="containsText" dxfId="175" priority="162" operator="containsText" text="לא קיים">
      <formula>NOT(ISERROR(SEARCH("לא קיים",BC868)))</formula>
    </cfRule>
    <cfRule type="containsText" dxfId="174" priority="163" operator="containsText" text="לא אילן מוגן">
      <formula>NOT(ISERROR(SEARCH("לא אילן מוגן",BC868)))</formula>
    </cfRule>
    <cfRule type="containsText" dxfId="173" priority="164" operator="containsText" text="העתקה">
      <formula>NOT(ISERROR(SEARCH("העתקה",BC868)))</formula>
    </cfRule>
    <cfRule type="containsText" dxfId="172" priority="165" operator="containsText" text="שימור">
      <formula>NOT(ISERROR(SEARCH("שימור",BC868)))</formula>
    </cfRule>
    <cfRule type="containsText" dxfId="171" priority="166" operator="containsText" text="כריתה">
      <formula>NOT(ISERROR(SEARCH("כריתה",BC868)))</formula>
    </cfRule>
  </conditionalFormatting>
  <conditionalFormatting sqref="BC53:BC84">
    <cfRule type="containsText" dxfId="170" priority="141" operator="containsText" text="לא נדרש ברישיון">
      <formula>NOT(ISERROR(SEARCH("לא נדרש ברישיון",BC53)))</formula>
    </cfRule>
    <cfRule type="containsText" dxfId="169" priority="142" operator="containsText" text="העתקה">
      <formula>NOT(ISERROR(SEARCH("העתקה",BC53)))</formula>
    </cfRule>
    <cfRule type="containsText" dxfId="168" priority="143" operator="containsText" text="שימור">
      <formula>NOT(ISERROR(SEARCH("שימור",BC53)))</formula>
    </cfRule>
    <cfRule type="containsText" dxfId="167" priority="144" operator="containsText" text="כריתה">
      <formula>NOT(ISERROR(SEARCH("כריתה",BC53)))</formula>
    </cfRule>
  </conditionalFormatting>
  <conditionalFormatting sqref="BC99:BC130">
    <cfRule type="containsText" dxfId="166" priority="137" operator="containsText" text="לא נדרש ברישיון">
      <formula>NOT(ISERROR(SEARCH("לא נדרש ברישיון",BC99)))</formula>
    </cfRule>
    <cfRule type="containsText" dxfId="165" priority="138" operator="containsText" text="העתקה">
      <formula>NOT(ISERROR(SEARCH("העתקה",BC99)))</formula>
    </cfRule>
    <cfRule type="containsText" dxfId="164" priority="139" operator="containsText" text="שימור">
      <formula>NOT(ISERROR(SEARCH("שימור",BC99)))</formula>
    </cfRule>
    <cfRule type="containsText" dxfId="163" priority="140" operator="containsText" text="כריתה">
      <formula>NOT(ISERROR(SEARCH("כריתה",BC99)))</formula>
    </cfRule>
  </conditionalFormatting>
  <conditionalFormatting sqref="BC145:BC176">
    <cfRule type="containsText" dxfId="162" priority="133" operator="containsText" text="לא נדרש ברישיון">
      <formula>NOT(ISERROR(SEARCH("לא נדרש ברישיון",BC145)))</formula>
    </cfRule>
    <cfRule type="containsText" dxfId="161" priority="134" operator="containsText" text="העתקה">
      <formula>NOT(ISERROR(SEARCH("העתקה",BC145)))</formula>
    </cfRule>
    <cfRule type="containsText" dxfId="160" priority="135" operator="containsText" text="שימור">
      <formula>NOT(ISERROR(SEARCH("שימור",BC145)))</formula>
    </cfRule>
    <cfRule type="containsText" dxfId="159" priority="136" operator="containsText" text="כריתה">
      <formula>NOT(ISERROR(SEARCH("כריתה",BC145)))</formula>
    </cfRule>
  </conditionalFormatting>
  <conditionalFormatting sqref="BC191:BC222">
    <cfRule type="containsText" dxfId="158" priority="129" operator="containsText" text="לא נדרש ברישיון">
      <formula>NOT(ISERROR(SEARCH("לא נדרש ברישיון",BC191)))</formula>
    </cfRule>
    <cfRule type="containsText" dxfId="157" priority="130" operator="containsText" text="העתקה">
      <formula>NOT(ISERROR(SEARCH("העתקה",BC191)))</formula>
    </cfRule>
    <cfRule type="containsText" dxfId="156" priority="131" operator="containsText" text="שימור">
      <formula>NOT(ISERROR(SEARCH("שימור",BC191)))</formula>
    </cfRule>
    <cfRule type="containsText" dxfId="155" priority="132" operator="containsText" text="כריתה">
      <formula>NOT(ISERROR(SEARCH("כריתה",BC191)))</formula>
    </cfRule>
  </conditionalFormatting>
  <conditionalFormatting sqref="BC237:BC268">
    <cfRule type="containsText" dxfId="154" priority="125" operator="containsText" text="לא נדרש ברישיון">
      <formula>NOT(ISERROR(SEARCH("לא נדרש ברישיון",BC237)))</formula>
    </cfRule>
    <cfRule type="containsText" dxfId="153" priority="126" operator="containsText" text="העתקה">
      <formula>NOT(ISERROR(SEARCH("העתקה",BC237)))</formula>
    </cfRule>
    <cfRule type="containsText" dxfId="152" priority="127" operator="containsText" text="שימור">
      <formula>NOT(ISERROR(SEARCH("שימור",BC237)))</formula>
    </cfRule>
    <cfRule type="containsText" dxfId="151" priority="128" operator="containsText" text="כריתה">
      <formula>NOT(ISERROR(SEARCH("כריתה",BC237)))</formula>
    </cfRule>
  </conditionalFormatting>
  <conditionalFormatting sqref="BC283:BC314">
    <cfRule type="containsText" dxfId="150" priority="121" operator="containsText" text="לא נדרש ברישיון">
      <formula>NOT(ISERROR(SEARCH("לא נדרש ברישיון",BC283)))</formula>
    </cfRule>
    <cfRule type="containsText" dxfId="149" priority="122" operator="containsText" text="העתקה">
      <formula>NOT(ISERROR(SEARCH("העתקה",BC283)))</formula>
    </cfRule>
    <cfRule type="containsText" dxfId="148" priority="123" operator="containsText" text="שימור">
      <formula>NOT(ISERROR(SEARCH("שימור",BC283)))</formula>
    </cfRule>
    <cfRule type="containsText" dxfId="147" priority="124" operator="containsText" text="כריתה">
      <formula>NOT(ISERROR(SEARCH("כריתה",BC283)))</formula>
    </cfRule>
  </conditionalFormatting>
  <conditionalFormatting sqref="BC329:BC360">
    <cfRule type="containsText" dxfId="146" priority="117" operator="containsText" text="לא נדרש ברישיון">
      <formula>NOT(ISERROR(SEARCH("לא נדרש ברישיון",BC329)))</formula>
    </cfRule>
    <cfRule type="containsText" dxfId="145" priority="118" operator="containsText" text="העתקה">
      <formula>NOT(ISERROR(SEARCH("העתקה",BC329)))</formula>
    </cfRule>
    <cfRule type="containsText" dxfId="144" priority="119" operator="containsText" text="שימור">
      <formula>NOT(ISERROR(SEARCH("שימור",BC329)))</formula>
    </cfRule>
    <cfRule type="containsText" dxfId="143" priority="120" operator="containsText" text="כריתה">
      <formula>NOT(ISERROR(SEARCH("כריתה",BC329)))</formula>
    </cfRule>
  </conditionalFormatting>
  <conditionalFormatting sqref="BC375:BC406">
    <cfRule type="containsText" dxfId="142" priority="113" operator="containsText" text="לא נדרש ברישיון">
      <formula>NOT(ISERROR(SEARCH("לא נדרש ברישיון",BC375)))</formula>
    </cfRule>
    <cfRule type="containsText" dxfId="141" priority="114" operator="containsText" text="העתקה">
      <formula>NOT(ISERROR(SEARCH("העתקה",BC375)))</formula>
    </cfRule>
    <cfRule type="containsText" dxfId="140" priority="115" operator="containsText" text="שימור">
      <formula>NOT(ISERROR(SEARCH("שימור",BC375)))</formula>
    </cfRule>
    <cfRule type="containsText" dxfId="139" priority="116" operator="containsText" text="כריתה">
      <formula>NOT(ISERROR(SEARCH("כריתה",BC375)))</formula>
    </cfRule>
  </conditionalFormatting>
  <conditionalFormatting sqref="BC421:BC452">
    <cfRule type="containsText" dxfId="138" priority="109" operator="containsText" text="לא נדרש ברישיון">
      <formula>NOT(ISERROR(SEARCH("לא נדרש ברישיון",BC421)))</formula>
    </cfRule>
    <cfRule type="containsText" dxfId="137" priority="110" operator="containsText" text="העתקה">
      <formula>NOT(ISERROR(SEARCH("העתקה",BC421)))</formula>
    </cfRule>
    <cfRule type="containsText" dxfId="136" priority="111" operator="containsText" text="שימור">
      <formula>NOT(ISERROR(SEARCH("שימור",BC421)))</formula>
    </cfRule>
    <cfRule type="containsText" dxfId="135" priority="112" operator="containsText" text="כריתה">
      <formula>NOT(ISERROR(SEARCH("כריתה",BC421)))</formula>
    </cfRule>
  </conditionalFormatting>
  <conditionalFormatting sqref="BC467:BC498">
    <cfRule type="containsText" dxfId="134" priority="105" operator="containsText" text="לא נדרש ברישיון">
      <formula>NOT(ISERROR(SEARCH("לא נדרש ברישיון",BC467)))</formula>
    </cfRule>
    <cfRule type="containsText" dxfId="133" priority="106" operator="containsText" text="העתקה">
      <formula>NOT(ISERROR(SEARCH("העתקה",BC467)))</formula>
    </cfRule>
    <cfRule type="containsText" dxfId="132" priority="107" operator="containsText" text="שימור">
      <formula>NOT(ISERROR(SEARCH("שימור",BC467)))</formula>
    </cfRule>
    <cfRule type="containsText" dxfId="131" priority="108" operator="containsText" text="כריתה">
      <formula>NOT(ISERROR(SEARCH("כריתה",BC467)))</formula>
    </cfRule>
  </conditionalFormatting>
  <conditionalFormatting sqref="BC513:BC544">
    <cfRule type="containsText" dxfId="130" priority="101" operator="containsText" text="לא נדרש ברישיון">
      <formula>NOT(ISERROR(SEARCH("לא נדרש ברישיון",BC513)))</formula>
    </cfRule>
    <cfRule type="containsText" dxfId="129" priority="102" operator="containsText" text="העתקה">
      <formula>NOT(ISERROR(SEARCH("העתקה",BC513)))</formula>
    </cfRule>
    <cfRule type="containsText" dxfId="128" priority="103" operator="containsText" text="שימור">
      <formula>NOT(ISERROR(SEARCH("שימור",BC513)))</formula>
    </cfRule>
    <cfRule type="containsText" dxfId="127" priority="104" operator="containsText" text="כריתה">
      <formula>NOT(ISERROR(SEARCH("כריתה",BC513)))</formula>
    </cfRule>
  </conditionalFormatting>
  <conditionalFormatting sqref="BC559:BC590">
    <cfRule type="containsText" dxfId="126" priority="97" operator="containsText" text="לא נדרש ברישיון">
      <formula>NOT(ISERROR(SEARCH("לא נדרש ברישיון",BC559)))</formula>
    </cfRule>
    <cfRule type="containsText" dxfId="125" priority="98" operator="containsText" text="העתקה">
      <formula>NOT(ISERROR(SEARCH("העתקה",BC559)))</formula>
    </cfRule>
    <cfRule type="containsText" dxfId="124" priority="99" operator="containsText" text="שימור">
      <formula>NOT(ISERROR(SEARCH("שימור",BC559)))</formula>
    </cfRule>
    <cfRule type="containsText" dxfId="123" priority="100" operator="containsText" text="כריתה">
      <formula>NOT(ISERROR(SEARCH("כריתה",BC559)))</formula>
    </cfRule>
  </conditionalFormatting>
  <conditionalFormatting sqref="BC605:BC636">
    <cfRule type="containsText" dxfId="122" priority="93" operator="containsText" text="לא נדרש ברישיון">
      <formula>NOT(ISERROR(SEARCH("לא נדרש ברישיון",BC605)))</formula>
    </cfRule>
    <cfRule type="containsText" dxfId="121" priority="94" operator="containsText" text="העתקה">
      <formula>NOT(ISERROR(SEARCH("העתקה",BC605)))</formula>
    </cfRule>
    <cfRule type="containsText" dxfId="120" priority="95" operator="containsText" text="שימור">
      <formula>NOT(ISERROR(SEARCH("שימור",BC605)))</formula>
    </cfRule>
    <cfRule type="containsText" dxfId="119" priority="96" operator="containsText" text="כריתה">
      <formula>NOT(ISERROR(SEARCH("כריתה",BC605)))</formula>
    </cfRule>
  </conditionalFormatting>
  <conditionalFormatting sqref="BC651:BC682">
    <cfRule type="containsText" dxfId="118" priority="89" operator="containsText" text="לא נדרש ברישיון">
      <formula>NOT(ISERROR(SEARCH("לא נדרש ברישיון",BC651)))</formula>
    </cfRule>
    <cfRule type="containsText" dxfId="117" priority="90" operator="containsText" text="העתקה">
      <formula>NOT(ISERROR(SEARCH("העתקה",BC651)))</formula>
    </cfRule>
    <cfRule type="containsText" dxfId="116" priority="91" operator="containsText" text="שימור">
      <formula>NOT(ISERROR(SEARCH("שימור",BC651)))</formula>
    </cfRule>
    <cfRule type="containsText" dxfId="115" priority="92" operator="containsText" text="כריתה">
      <formula>NOT(ISERROR(SEARCH("כריתה",BC651)))</formula>
    </cfRule>
  </conditionalFormatting>
  <conditionalFormatting sqref="BC697:BC728">
    <cfRule type="containsText" dxfId="114" priority="85" operator="containsText" text="לא נדרש ברישיון">
      <formula>NOT(ISERROR(SEARCH("לא נדרש ברישיון",BC697)))</formula>
    </cfRule>
    <cfRule type="containsText" dxfId="113" priority="86" operator="containsText" text="העתקה">
      <formula>NOT(ISERROR(SEARCH("העתקה",BC697)))</formula>
    </cfRule>
    <cfRule type="containsText" dxfId="112" priority="87" operator="containsText" text="שימור">
      <formula>NOT(ISERROR(SEARCH("שימור",BC697)))</formula>
    </cfRule>
    <cfRule type="containsText" dxfId="111" priority="88" operator="containsText" text="כריתה">
      <formula>NOT(ISERROR(SEARCH("כריתה",BC697)))</formula>
    </cfRule>
  </conditionalFormatting>
  <conditionalFormatting sqref="BC743:BC774">
    <cfRule type="containsText" dxfId="110" priority="81" operator="containsText" text="לא נדרש ברישיון">
      <formula>NOT(ISERROR(SEARCH("לא נדרש ברישיון",BC743)))</formula>
    </cfRule>
    <cfRule type="containsText" dxfId="109" priority="82" operator="containsText" text="העתקה">
      <formula>NOT(ISERROR(SEARCH("העתקה",BC743)))</formula>
    </cfRule>
    <cfRule type="containsText" dxfId="108" priority="83" operator="containsText" text="שימור">
      <formula>NOT(ISERROR(SEARCH("שימור",BC743)))</formula>
    </cfRule>
    <cfRule type="containsText" dxfId="107" priority="84" operator="containsText" text="כריתה">
      <formula>NOT(ISERROR(SEARCH("כריתה",BC743)))</formula>
    </cfRule>
  </conditionalFormatting>
  <conditionalFormatting sqref="BC789:BC820">
    <cfRule type="containsText" dxfId="106" priority="77" operator="containsText" text="לא נדרש ברישיון">
      <formula>NOT(ISERROR(SEARCH("לא נדרש ברישיון",BC789)))</formula>
    </cfRule>
    <cfRule type="containsText" dxfId="105" priority="78" operator="containsText" text="העתקה">
      <formula>NOT(ISERROR(SEARCH("העתקה",BC789)))</formula>
    </cfRule>
    <cfRule type="containsText" dxfId="104" priority="79" operator="containsText" text="שימור">
      <formula>NOT(ISERROR(SEARCH("שימור",BC789)))</formula>
    </cfRule>
    <cfRule type="containsText" dxfId="103" priority="80" operator="containsText" text="כריתה">
      <formula>NOT(ISERROR(SEARCH("כריתה",BC789)))</formula>
    </cfRule>
  </conditionalFormatting>
  <conditionalFormatting sqref="BC835:BC866">
    <cfRule type="containsText" dxfId="102" priority="73" operator="containsText" text="לא נדרש ברישיון">
      <formula>NOT(ISERROR(SEARCH("לא נדרש ברישיון",BC835)))</formula>
    </cfRule>
    <cfRule type="containsText" dxfId="101" priority="74" operator="containsText" text="העתקה">
      <formula>NOT(ISERROR(SEARCH("העתקה",BC835)))</formula>
    </cfRule>
    <cfRule type="containsText" dxfId="100" priority="75" operator="containsText" text="שימור">
      <formula>NOT(ISERROR(SEARCH("שימור",BC835)))</formula>
    </cfRule>
    <cfRule type="containsText" dxfId="99" priority="76" operator="containsText" text="כריתה">
      <formula>NOT(ISERROR(SEARCH("כריתה",BC835)))</formula>
    </cfRule>
  </conditionalFormatting>
  <conditionalFormatting sqref="N53:N84">
    <cfRule type="cellIs" dxfId="98" priority="69" operator="between">
      <formula>17</formula>
      <formula>20</formula>
    </cfRule>
    <cfRule type="cellIs" dxfId="97" priority="70" operator="between">
      <formula>14</formula>
      <formula>16</formula>
    </cfRule>
    <cfRule type="cellIs" dxfId="96" priority="71" operator="between">
      <formula>7</formula>
      <formula>13</formula>
    </cfRule>
    <cfRule type="cellIs" dxfId="95" priority="72" operator="between">
      <formula>0</formula>
      <formula>6</formula>
    </cfRule>
  </conditionalFormatting>
  <conditionalFormatting sqref="N99:N130">
    <cfRule type="cellIs" dxfId="94" priority="65" operator="between">
      <formula>17</formula>
      <formula>20</formula>
    </cfRule>
    <cfRule type="cellIs" dxfId="93" priority="66" operator="between">
      <formula>14</formula>
      <formula>16</formula>
    </cfRule>
    <cfRule type="cellIs" dxfId="92" priority="67" operator="between">
      <formula>7</formula>
      <formula>13</formula>
    </cfRule>
    <cfRule type="cellIs" dxfId="91" priority="68" operator="between">
      <formula>0</formula>
      <formula>6</formula>
    </cfRule>
  </conditionalFormatting>
  <conditionalFormatting sqref="N145:N176">
    <cfRule type="cellIs" dxfId="90" priority="61" operator="between">
      <formula>17</formula>
      <formula>20</formula>
    </cfRule>
    <cfRule type="cellIs" dxfId="89" priority="62" operator="between">
      <formula>14</formula>
      <formula>16</formula>
    </cfRule>
    <cfRule type="cellIs" dxfId="88" priority="63" operator="between">
      <formula>7</formula>
      <formula>13</formula>
    </cfRule>
    <cfRule type="cellIs" dxfId="87" priority="64" operator="between">
      <formula>0</formula>
      <formula>6</formula>
    </cfRule>
  </conditionalFormatting>
  <conditionalFormatting sqref="N191:N222">
    <cfRule type="cellIs" dxfId="86" priority="57" operator="between">
      <formula>17</formula>
      <formula>20</formula>
    </cfRule>
    <cfRule type="cellIs" dxfId="85" priority="58" operator="between">
      <formula>14</formula>
      <formula>16</formula>
    </cfRule>
    <cfRule type="cellIs" dxfId="84" priority="59" operator="between">
      <formula>7</formula>
      <formula>13</formula>
    </cfRule>
    <cfRule type="cellIs" dxfId="83" priority="60" operator="between">
      <formula>0</formula>
      <formula>6</formula>
    </cfRule>
  </conditionalFormatting>
  <conditionalFormatting sqref="N237:N268">
    <cfRule type="cellIs" dxfId="82" priority="53" operator="between">
      <formula>17</formula>
      <formula>20</formula>
    </cfRule>
    <cfRule type="cellIs" dxfId="81" priority="54" operator="between">
      <formula>14</formula>
      <formula>16</formula>
    </cfRule>
    <cfRule type="cellIs" dxfId="80" priority="55" operator="between">
      <formula>7</formula>
      <formula>13</formula>
    </cfRule>
    <cfRule type="cellIs" dxfId="79" priority="56" operator="between">
      <formula>0</formula>
      <formula>6</formula>
    </cfRule>
  </conditionalFormatting>
  <conditionalFormatting sqref="N283:N314">
    <cfRule type="cellIs" dxfId="78" priority="49" operator="between">
      <formula>17</formula>
      <formula>20</formula>
    </cfRule>
    <cfRule type="cellIs" dxfId="77" priority="50" operator="between">
      <formula>14</formula>
      <formula>16</formula>
    </cfRule>
    <cfRule type="cellIs" dxfId="76" priority="51" operator="between">
      <formula>7</formula>
      <formula>13</formula>
    </cfRule>
    <cfRule type="cellIs" dxfId="75" priority="52" operator="between">
      <formula>0</formula>
      <formula>6</formula>
    </cfRule>
  </conditionalFormatting>
  <conditionalFormatting sqref="N329:N360">
    <cfRule type="cellIs" dxfId="74" priority="45" operator="between">
      <formula>17</formula>
      <formula>20</formula>
    </cfRule>
    <cfRule type="cellIs" dxfId="73" priority="46" operator="between">
      <formula>14</formula>
      <formula>16</formula>
    </cfRule>
    <cfRule type="cellIs" dxfId="72" priority="47" operator="between">
      <formula>7</formula>
      <formula>13</formula>
    </cfRule>
    <cfRule type="cellIs" dxfId="71" priority="48" operator="between">
      <formula>0</formula>
      <formula>6</formula>
    </cfRule>
  </conditionalFormatting>
  <conditionalFormatting sqref="N375:N406">
    <cfRule type="cellIs" dxfId="70" priority="41" operator="between">
      <formula>17</formula>
      <formula>20</formula>
    </cfRule>
    <cfRule type="cellIs" dxfId="69" priority="42" operator="between">
      <formula>14</formula>
      <formula>16</formula>
    </cfRule>
    <cfRule type="cellIs" dxfId="68" priority="43" operator="between">
      <formula>7</formula>
      <formula>13</formula>
    </cfRule>
    <cfRule type="cellIs" dxfId="67" priority="44" operator="between">
      <formula>0</formula>
      <formula>6</formula>
    </cfRule>
  </conditionalFormatting>
  <conditionalFormatting sqref="N421:N452">
    <cfRule type="cellIs" dxfId="66" priority="37" operator="between">
      <formula>17</formula>
      <formula>20</formula>
    </cfRule>
    <cfRule type="cellIs" dxfId="65" priority="38" operator="between">
      <formula>14</formula>
      <formula>16</formula>
    </cfRule>
    <cfRule type="cellIs" dxfId="64" priority="39" operator="between">
      <formula>7</formula>
      <formula>13</formula>
    </cfRule>
    <cfRule type="cellIs" dxfId="63" priority="40" operator="between">
      <formula>0</formula>
      <formula>6</formula>
    </cfRule>
  </conditionalFormatting>
  <conditionalFormatting sqref="N467:N498">
    <cfRule type="cellIs" dxfId="62" priority="33" operator="between">
      <formula>17</formula>
      <formula>20</formula>
    </cfRule>
    <cfRule type="cellIs" dxfId="61" priority="34" operator="between">
      <formula>14</formula>
      <formula>16</formula>
    </cfRule>
    <cfRule type="cellIs" dxfId="60" priority="35" operator="between">
      <formula>7</formula>
      <formula>13</formula>
    </cfRule>
    <cfRule type="cellIs" dxfId="59" priority="36" operator="between">
      <formula>0</formula>
      <formula>6</formula>
    </cfRule>
  </conditionalFormatting>
  <conditionalFormatting sqref="N513:N544">
    <cfRule type="cellIs" dxfId="58" priority="29" operator="between">
      <formula>17</formula>
      <formula>20</formula>
    </cfRule>
    <cfRule type="cellIs" dxfId="57" priority="30" operator="between">
      <formula>14</formula>
      <formula>16</formula>
    </cfRule>
    <cfRule type="cellIs" dxfId="56" priority="31" operator="between">
      <formula>7</formula>
      <formula>13</formula>
    </cfRule>
    <cfRule type="cellIs" dxfId="55" priority="32" operator="between">
      <formula>0</formula>
      <formula>6</formula>
    </cfRule>
  </conditionalFormatting>
  <conditionalFormatting sqref="N559:N590">
    <cfRule type="cellIs" dxfId="54" priority="25" operator="between">
      <formula>17</formula>
      <formula>20</formula>
    </cfRule>
    <cfRule type="cellIs" dxfId="53" priority="26" operator="between">
      <formula>14</formula>
      <formula>16</formula>
    </cfRule>
    <cfRule type="cellIs" dxfId="52" priority="27" operator="between">
      <formula>7</formula>
      <formula>13</formula>
    </cfRule>
    <cfRule type="cellIs" dxfId="51" priority="28" operator="between">
      <formula>0</formula>
      <formula>6</formula>
    </cfRule>
  </conditionalFormatting>
  <conditionalFormatting sqref="N605:N636">
    <cfRule type="cellIs" dxfId="50" priority="21" operator="between">
      <formula>17</formula>
      <formula>20</formula>
    </cfRule>
    <cfRule type="cellIs" dxfId="49" priority="22" operator="between">
      <formula>14</formula>
      <formula>16</formula>
    </cfRule>
    <cfRule type="cellIs" dxfId="48" priority="23" operator="between">
      <formula>7</formula>
      <formula>13</formula>
    </cfRule>
    <cfRule type="cellIs" dxfId="47" priority="24" operator="between">
      <formula>0</formula>
      <formula>6</formula>
    </cfRule>
  </conditionalFormatting>
  <conditionalFormatting sqref="N651:N682">
    <cfRule type="cellIs" dxfId="46" priority="17" operator="between">
      <formula>17</formula>
      <formula>20</formula>
    </cfRule>
    <cfRule type="cellIs" dxfId="45" priority="18" operator="between">
      <formula>14</formula>
      <formula>16</formula>
    </cfRule>
    <cfRule type="cellIs" dxfId="44" priority="19" operator="between">
      <formula>7</formula>
      <formula>13</formula>
    </cfRule>
    <cfRule type="cellIs" dxfId="43" priority="20" operator="between">
      <formula>0</formula>
      <formula>6</formula>
    </cfRule>
  </conditionalFormatting>
  <conditionalFormatting sqref="N697:N728">
    <cfRule type="cellIs" dxfId="42" priority="13" operator="between">
      <formula>17</formula>
      <formula>20</formula>
    </cfRule>
    <cfRule type="cellIs" dxfId="41" priority="14" operator="between">
      <formula>14</formula>
      <formula>16</formula>
    </cfRule>
    <cfRule type="cellIs" dxfId="40" priority="15" operator="between">
      <formula>7</formula>
      <formula>13</formula>
    </cfRule>
    <cfRule type="cellIs" dxfId="39" priority="16" operator="between">
      <formula>0</formula>
      <formula>6</formula>
    </cfRule>
  </conditionalFormatting>
  <conditionalFormatting sqref="N743:N774">
    <cfRule type="cellIs" dxfId="38" priority="9" operator="between">
      <formula>17</formula>
      <formula>20</formula>
    </cfRule>
    <cfRule type="cellIs" dxfId="37" priority="10" operator="between">
      <formula>14</formula>
      <formula>16</formula>
    </cfRule>
    <cfRule type="cellIs" dxfId="36" priority="11" operator="between">
      <formula>7</formula>
      <formula>13</formula>
    </cfRule>
    <cfRule type="cellIs" dxfId="35" priority="12" operator="between">
      <formula>0</formula>
      <formula>6</formula>
    </cfRule>
  </conditionalFormatting>
  <conditionalFormatting sqref="N789:N820">
    <cfRule type="cellIs" dxfId="34" priority="5" operator="between">
      <formula>17</formula>
      <formula>20</formula>
    </cfRule>
    <cfRule type="cellIs" dxfId="33" priority="6" operator="between">
      <formula>14</formula>
      <formula>16</formula>
    </cfRule>
    <cfRule type="cellIs" dxfId="32" priority="7" operator="between">
      <formula>7</formula>
      <formula>13</formula>
    </cfRule>
    <cfRule type="cellIs" dxfId="31" priority="8" operator="between">
      <formula>0</formula>
      <formula>6</formula>
    </cfRule>
  </conditionalFormatting>
  <conditionalFormatting sqref="N835:N866">
    <cfRule type="cellIs" dxfId="30" priority="1" operator="between">
      <formula>17</formula>
      <formula>20</formula>
    </cfRule>
    <cfRule type="cellIs" dxfId="29" priority="2" operator="between">
      <formula>14</formula>
      <formula>16</formula>
    </cfRule>
    <cfRule type="cellIs" dxfId="28" priority="3" operator="between">
      <formula>7</formula>
      <formula>13</formula>
    </cfRule>
    <cfRule type="cellIs" dxfId="27" priority="4" operator="between">
      <formula>0</formula>
      <formula>6</formula>
    </cfRule>
  </conditionalFormatting>
  <pageMargins left="0.23622047244094491" right="0.23622047244094491" top="0.74803149606299213" bottom="0.74803149606299213" header="0.31496062992125984" footer="0.31496062992125984"/>
  <pageSetup orientation="landscape" horizontalDpi="1200" verticalDpi="1200" r:id="rId1"/>
  <headerFooter>
    <oddHeader>&amp;L&amp;G&amp;Rבס"ד</oddHeader>
    <oddFooter>&amp;C&amp;G</oddFooter>
  </headerFooter>
  <drawing r:id="rId2"/>
  <legacyDrawingHF r:id="rId3"/>
  <extLst>
    <ext xmlns:x14="http://schemas.microsoft.com/office/spreadsheetml/2009/9/main" uri="{CCE6A557-97BC-4b89-ADB6-D9C93CAAB3DF}">
      <x14:dataValidations xmlns:xm="http://schemas.microsoft.com/office/excel/2006/main" count="2">
        <x14:dataValidation type="list" showInputMessage="1" showErrorMessage="1" xr:uid="{6722F2FD-8C19-4BA4-A113-1D7268F1DB50}">
          <x14:formula1>
            <xm:f>'חד גזעי'!$AB$5:$AB$10</xm:f>
          </x14:formula1>
          <xm:sqref>BC145:BC176 BC835:BC866 BC789:BC820 BC743:BC774 BC697:BC728 BC651:BC682 BC605:BC636 BC559:BC590 BC513:BC544 BC467:BC498 BC421:BC452 BC375:BC406 BC329:BC360 BC283:BC314 BC237:BC268 BC191:BC222 BC99:BC130 BC53:BC84 BC11:BC35</xm:sqref>
        </x14:dataValidation>
        <x14:dataValidation type="list" allowBlank="1" showInputMessage="1" showErrorMessage="1" xr:uid="{E9459325-958F-4BEC-AA1C-07C8C7572EDF}">
          <x14:formula1>
            <xm:f>'חד גזעי'!$P$2:$P$509</xm:f>
          </x14:formula1>
          <xm:sqref>C835:C866 C53:C84 C99:C130 C145:C176 C191:C222 C237:C268 C283:C314 C329:C360 C375:C406 C421:C452 C467:C498 C513:C544 C559:C590 C605:C636 C651:C682 C697:C728 C743:C774 C789:C820 C11:C35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8AB43-665E-41B0-AB12-9E010B56E3C5}">
  <sheetPr codeName="גיליון12"/>
  <dimension ref="A1:T1226"/>
  <sheetViews>
    <sheetView rightToLeft="1" workbookViewId="0">
      <selection activeCell="H252" sqref="H252"/>
    </sheetView>
  </sheetViews>
  <sheetFormatPr defaultRowHeight="12.75"/>
  <cols>
    <col min="3" max="8" width="9.140625" customWidth="1"/>
    <col min="9" max="10" width="9.140625" style="158" customWidth="1"/>
    <col min="11" max="11" width="9.140625" customWidth="1"/>
    <col min="13" max="15" width="9.140625" customWidth="1"/>
    <col min="17" max="17" width="9.140625" customWidth="1"/>
    <col min="18" max="18" width="9.140625" style="158" customWidth="1"/>
    <col min="19" max="20" width="9.140625" customWidth="1"/>
    <col min="26" max="26" width="37.7109375" bestFit="1" customWidth="1"/>
  </cols>
  <sheetData>
    <row r="1" spans="1:20" ht="56.25">
      <c r="A1" s="146" t="s">
        <v>1319</v>
      </c>
      <c r="B1" s="147" t="s">
        <v>1320</v>
      </c>
      <c r="C1" s="148" t="s">
        <v>740</v>
      </c>
      <c r="D1" s="148" t="s">
        <v>739</v>
      </c>
      <c r="E1" s="148" t="s">
        <v>1321</v>
      </c>
      <c r="F1" s="148" t="s">
        <v>1322</v>
      </c>
      <c r="G1" s="148" t="s">
        <v>1331</v>
      </c>
      <c r="H1" s="148" t="s">
        <v>1332</v>
      </c>
      <c r="I1" s="148" t="s">
        <v>1333</v>
      </c>
      <c r="J1" s="148" t="s">
        <v>1334</v>
      </c>
      <c r="K1" s="148" t="s">
        <v>1323</v>
      </c>
      <c r="L1" s="148" t="s">
        <v>1324</v>
      </c>
      <c r="M1" s="148" t="s">
        <v>1325</v>
      </c>
      <c r="N1" s="148" t="s">
        <v>1326</v>
      </c>
      <c r="O1" s="148" t="s">
        <v>1327</v>
      </c>
      <c r="P1" s="148" t="s">
        <v>1335</v>
      </c>
      <c r="Q1" s="148" t="s">
        <v>1336</v>
      </c>
      <c r="R1" s="149" t="s">
        <v>1328</v>
      </c>
      <c r="S1" s="148" t="s">
        <v>1329</v>
      </c>
      <c r="T1" s="148" t="s">
        <v>1330</v>
      </c>
    </row>
    <row r="2" spans="1:20" ht="12.75" customHeight="1">
      <c r="A2" s="152" t="str">
        <f>IF(סקר!D11&lt;2,"עץ","פוליגון")</f>
        <v>עץ</v>
      </c>
      <c r="B2" s="152">
        <f>סקר!B11</f>
        <v>0</v>
      </c>
      <c r="C2" s="152">
        <f>IF(סקר!D11&lt;2,1,סקר!D11)</f>
        <v>1</v>
      </c>
      <c r="D2" s="152">
        <f>סקר!C11</f>
        <v>0</v>
      </c>
      <c r="E2" s="152" t="str">
        <f>IFERROR(VLOOKUP(F2,[1]TreeType!$A:$E,5,0),"")</f>
        <v/>
      </c>
      <c r="F2" s="153" t="str">
        <f>IFERROR(VLOOKUP(D2,[1]TreeType!$A:$B,2,0),"")</f>
        <v/>
      </c>
      <c r="G2" s="152">
        <f>IF(B2&gt;0,IF(סקר!E11 = 0,1,סקר!E11),0)</f>
        <v>0</v>
      </c>
      <c r="H2" s="152">
        <f>IF(B2&gt;0,IF(סקר!F11 = 0,1,סקר!F11),0)</f>
        <v>0</v>
      </c>
      <c r="I2" s="152">
        <f>סקר!G11</f>
        <v>0</v>
      </c>
      <c r="J2" s="152">
        <f>סקר!H11</f>
        <v>0</v>
      </c>
      <c r="K2" s="152" t="e">
        <f>IF(D2="","",VLOOKUP(D2,[1]TreeType!$A$2:$E$508,3,3))</f>
        <v>#N/A</v>
      </c>
      <c r="L2" s="152">
        <f>IF(D2&gt;0,IF(סקר!M11=0,1,IF(סקר!M11=0,1,סקר!M11)),0)</f>
        <v>0</v>
      </c>
      <c r="M2" s="152">
        <f>סקר!J11</f>
        <v>0</v>
      </c>
      <c r="N2" s="152">
        <f>IF(D2&gt;0,IF(סקר!K11=0,1,IF(סקר!K11=0,1,סקר!K11)),0)</f>
        <v>0</v>
      </c>
      <c r="O2" s="152" t="e">
        <f t="shared" ref="O2" si="0">IF(SUM(K2:N2)=0,"",SUM(K2:N2))</f>
        <v>#N/A</v>
      </c>
      <c r="P2" s="152">
        <f>IF(B2&gt;0,IF(סקר!O11 &lt;=1,1,סקר!O11),0)</f>
        <v>0</v>
      </c>
      <c r="Q2" s="152">
        <f>סקר!P11</f>
        <v>0</v>
      </c>
      <c r="R2" s="152">
        <f>סקר!R11</f>
        <v>0</v>
      </c>
      <c r="S2" s="152">
        <f>סקר!BC11</f>
        <v>0</v>
      </c>
      <c r="T2" s="156"/>
    </row>
    <row r="3" spans="1:20" ht="12.75" customHeight="1">
      <c r="A3" s="152" t="str">
        <f>IF(סקר!D12&lt;2,"עץ","פוליגון")</f>
        <v>עץ</v>
      </c>
      <c r="B3" s="152">
        <f>סקר!B12</f>
        <v>0</v>
      </c>
      <c r="C3" s="152">
        <f>IF(סקר!D12&lt;2,1,סקר!D12)</f>
        <v>1</v>
      </c>
      <c r="D3" s="152">
        <f>סקר!C12</f>
        <v>0</v>
      </c>
      <c r="E3" s="152" t="str">
        <f>IFERROR(VLOOKUP(F3,[1]TreeType!$A:$E,5,0),"")</f>
        <v/>
      </c>
      <c r="F3" s="153" t="str">
        <f>IFERROR(VLOOKUP(D3,[1]TreeType!$A:$B,2,0),"")</f>
        <v/>
      </c>
      <c r="G3" s="152">
        <f>IF(B3&gt;0,IF(סקר!E12 = 0,1,סקר!E12),0)</f>
        <v>0</v>
      </c>
      <c r="H3" s="152">
        <f>IF(B3&gt;0,IF(סקר!F12 = 0,1,סקר!F12),0)</f>
        <v>0</v>
      </c>
      <c r="I3" s="152">
        <f>סקר!G12</f>
        <v>0</v>
      </c>
      <c r="J3" s="152">
        <f>סקר!H12</f>
        <v>0</v>
      </c>
      <c r="K3" s="152" t="e">
        <f>IF(D3="","",VLOOKUP(D3,[1]TreeType!$A$2:$E$508,3,3))</f>
        <v>#N/A</v>
      </c>
      <c r="L3" s="152">
        <f>IF(D3&gt;0,IF(סקר!M12=0,1,IF(סקר!M12=0,1,סקר!M12)),0)</f>
        <v>0</v>
      </c>
      <c r="M3" s="152">
        <f>סקר!J12</f>
        <v>0</v>
      </c>
      <c r="N3" s="152">
        <f>IF(D3&gt;0,IF(סקר!K12=0,1,IF(סקר!K12=0,1,סקר!K12)),0)</f>
        <v>0</v>
      </c>
      <c r="O3" s="152" t="e">
        <f t="shared" ref="O3:O47" si="1">IF(SUM(K3:N3)=0,"",SUM(K3:N3))</f>
        <v>#N/A</v>
      </c>
      <c r="P3" s="152">
        <f>IF(B3&gt;0,IF(סקר!O12 &lt;=1,1,סקר!O12),0)</f>
        <v>0</v>
      </c>
      <c r="Q3" s="152">
        <f>סקר!P12</f>
        <v>0</v>
      </c>
      <c r="R3" s="152">
        <f>סקר!R12</f>
        <v>0</v>
      </c>
      <c r="S3" s="152">
        <f>סקר!BC12</f>
        <v>0</v>
      </c>
      <c r="T3" s="156"/>
    </row>
    <row r="4" spans="1:20" ht="12.75" customHeight="1">
      <c r="A4" s="152" t="str">
        <f>IF(סקר!D13&lt;2,"עץ","פוליגון")</f>
        <v>עץ</v>
      </c>
      <c r="B4" s="152">
        <f>סקר!B13</f>
        <v>0</v>
      </c>
      <c r="C4" s="152">
        <f>IF(סקר!D13&lt;2,1,סקר!D13)</f>
        <v>1</v>
      </c>
      <c r="D4" s="152">
        <f>סקר!C13</f>
        <v>0</v>
      </c>
      <c r="E4" s="152" t="str">
        <f>IFERROR(VLOOKUP(F4,[1]TreeType!$A:$E,5,0),"")</f>
        <v/>
      </c>
      <c r="F4" s="153" t="str">
        <f>IFERROR(VLOOKUP(D4,[1]TreeType!$A:$B,2,0),"")</f>
        <v/>
      </c>
      <c r="G4" s="152">
        <f>IF(B4&gt;0,IF(סקר!E13 = 0,1,סקר!E13),0)</f>
        <v>0</v>
      </c>
      <c r="H4" s="152">
        <f>IF(B4&gt;0,IF(סקר!F13 = 0,1,סקר!F13),0)</f>
        <v>0</v>
      </c>
      <c r="I4" s="152">
        <f>סקר!G13</f>
        <v>0</v>
      </c>
      <c r="J4" s="152">
        <f>סקר!H13</f>
        <v>0</v>
      </c>
      <c r="K4" s="152" t="e">
        <f>IF(D4="","",VLOOKUP(D4,[1]TreeType!$A$2:$E$508,3,3))</f>
        <v>#N/A</v>
      </c>
      <c r="L4" s="152">
        <f>IF(D4&gt;0,IF(סקר!M13=0,1,IF(סקר!M13=0,1,סקר!M13)),0)</f>
        <v>0</v>
      </c>
      <c r="M4" s="152">
        <f>סקר!J13</f>
        <v>0</v>
      </c>
      <c r="N4" s="152">
        <f>IF(D4&gt;0,IF(סקר!K13=0,1,IF(סקר!K13=0,1,סקר!K13)),0)</f>
        <v>0</v>
      </c>
      <c r="O4" s="152" t="e">
        <f t="shared" si="1"/>
        <v>#N/A</v>
      </c>
      <c r="P4" s="152">
        <f>IF(B4&gt;0,IF(סקר!O13 &lt;=1,1,סקר!O13),0)</f>
        <v>0</v>
      </c>
      <c r="Q4" s="152">
        <f>סקר!P13</f>
        <v>0</v>
      </c>
      <c r="R4" s="152">
        <f>סקר!R13</f>
        <v>0</v>
      </c>
      <c r="S4" s="152">
        <f>סקר!BC13</f>
        <v>0</v>
      </c>
      <c r="T4" s="156"/>
    </row>
    <row r="5" spans="1:20">
      <c r="A5" s="152" t="str">
        <f>IF(סקר!D14&lt;2,"עץ","פוליגון")</f>
        <v>עץ</v>
      </c>
      <c r="B5" s="152">
        <f>סקר!B14</f>
        <v>0</v>
      </c>
      <c r="C5" s="152">
        <f>IF(סקר!D14&lt;2,1,סקר!D14)</f>
        <v>1</v>
      </c>
      <c r="D5" s="152">
        <f>סקר!C14</f>
        <v>0</v>
      </c>
      <c r="E5" s="152" t="str">
        <f>IFERROR(VLOOKUP(F5,[1]TreeType!$A:$E,5,0),"")</f>
        <v/>
      </c>
      <c r="F5" s="153" t="str">
        <f>IFERROR(VLOOKUP(D5,[1]TreeType!$A:$B,2,0),"")</f>
        <v/>
      </c>
      <c r="G5" s="152">
        <f>IF(B5&gt;0,IF(סקר!E14 = 0,1,סקר!E14),0)</f>
        <v>0</v>
      </c>
      <c r="H5" s="152">
        <f>IF(B5&gt;0,IF(סקר!F14 = 0,1,סקר!F14),0)</f>
        <v>0</v>
      </c>
      <c r="I5" s="152">
        <f>סקר!G14</f>
        <v>0</v>
      </c>
      <c r="J5" s="152">
        <f>סקר!H14</f>
        <v>0</v>
      </c>
      <c r="K5" s="152" t="e">
        <f>IF(D5="","",VLOOKUP(D5,[1]TreeType!$A$2:$E$508,3,3))</f>
        <v>#N/A</v>
      </c>
      <c r="L5" s="152">
        <f>IF(D5&gt;0,IF(סקר!M14=0,1,IF(סקר!M14=0,1,סקר!M14)),0)</f>
        <v>0</v>
      </c>
      <c r="M5" s="152">
        <f>סקר!J14</f>
        <v>0</v>
      </c>
      <c r="N5" s="152">
        <f>IF(D5&gt;0,IF(סקר!K14=0,1,IF(סקר!K14=0,1,סקר!K14)),0)</f>
        <v>0</v>
      </c>
      <c r="O5" s="152" t="e">
        <f t="shared" si="1"/>
        <v>#N/A</v>
      </c>
      <c r="P5" s="152">
        <f>IF(B5&gt;0,IF(סקר!O14 &lt;=1,1,סקר!O14),0)</f>
        <v>0</v>
      </c>
      <c r="Q5" s="152">
        <f>סקר!P14</f>
        <v>0</v>
      </c>
      <c r="R5" s="152">
        <f>סקר!R14</f>
        <v>0</v>
      </c>
      <c r="S5" s="152">
        <f>סקר!BC14</f>
        <v>0</v>
      </c>
      <c r="T5" s="156"/>
    </row>
    <row r="6" spans="1:20">
      <c r="A6" s="152" t="str">
        <f>IF(סקר!D15&lt;2,"עץ","פוליגון")</f>
        <v>עץ</v>
      </c>
      <c r="B6" s="152">
        <f>סקר!B15</f>
        <v>0</v>
      </c>
      <c r="C6" s="152">
        <f>IF(סקר!D15&lt;2,1,סקר!D15)</f>
        <v>1</v>
      </c>
      <c r="D6" s="152">
        <f>סקר!C15</f>
        <v>0</v>
      </c>
      <c r="E6" s="152" t="str">
        <f>IFERROR(VLOOKUP(F6,[1]TreeType!$A:$E,5,0),"")</f>
        <v/>
      </c>
      <c r="F6" s="153" t="str">
        <f>IFERROR(VLOOKUP(D6,[1]TreeType!$A:$B,2,0),"")</f>
        <v/>
      </c>
      <c r="G6" s="152">
        <f>IF(B6&gt;0,IF(סקר!E15 = 0,1,סקר!E15),0)</f>
        <v>0</v>
      </c>
      <c r="H6" s="152">
        <f>IF(B6&gt;0,IF(סקר!F15 = 0,1,סקר!F15),0)</f>
        <v>0</v>
      </c>
      <c r="I6" s="152">
        <f>סקר!G15</f>
        <v>0</v>
      </c>
      <c r="J6" s="152">
        <f>סקר!H15</f>
        <v>0</v>
      </c>
      <c r="K6" s="152" t="e">
        <f>IF(D6="","",VLOOKUP(D6,[1]TreeType!$A$2:$E$508,3,3))</f>
        <v>#N/A</v>
      </c>
      <c r="L6" s="152">
        <f>IF(D6&gt;0,IF(סקר!M15=0,1,IF(סקר!M15=0,1,סקר!M15)),0)</f>
        <v>0</v>
      </c>
      <c r="M6" s="152">
        <f>סקר!J15</f>
        <v>0</v>
      </c>
      <c r="N6" s="152">
        <f>IF(D6&gt;0,IF(סקר!K15=0,1,IF(סקר!K15=0,1,סקר!K15)),0)</f>
        <v>0</v>
      </c>
      <c r="O6" s="152" t="e">
        <f t="shared" si="1"/>
        <v>#N/A</v>
      </c>
      <c r="P6" s="152">
        <f>IF(B6&gt;0,IF(סקר!O15 &lt;=1,1,סקר!O15),0)</f>
        <v>0</v>
      </c>
      <c r="Q6" s="152">
        <f>סקר!P15</f>
        <v>0</v>
      </c>
      <c r="R6" s="152">
        <f>סקר!R15</f>
        <v>0</v>
      </c>
      <c r="S6" s="152">
        <f>סקר!BC15</f>
        <v>0</v>
      </c>
      <c r="T6" s="156"/>
    </row>
    <row r="7" spans="1:20">
      <c r="A7" s="152" t="str">
        <f>IF(סקר!D16&lt;2,"עץ","פוליגון")</f>
        <v>עץ</v>
      </c>
      <c r="B7" s="152">
        <f>סקר!B16</f>
        <v>0</v>
      </c>
      <c r="C7" s="152">
        <f>IF(סקר!D16&lt;2,1,סקר!D16)</f>
        <v>1</v>
      </c>
      <c r="D7" s="152">
        <f>סקר!C16</f>
        <v>0</v>
      </c>
      <c r="E7" s="152" t="str">
        <f>IFERROR(VLOOKUP(F7,[1]TreeType!$A:$E,5,0),"")</f>
        <v/>
      </c>
      <c r="F7" s="153" t="str">
        <f>IFERROR(VLOOKUP(D7,[1]TreeType!$A:$B,2,0),"")</f>
        <v/>
      </c>
      <c r="G7" s="152">
        <f>IF(B7&gt;0,IF(סקר!E16 = 0,1,סקר!E16),0)</f>
        <v>0</v>
      </c>
      <c r="H7" s="152">
        <f>IF(B7&gt;0,IF(סקר!F16 = 0,1,סקר!F16),0)</f>
        <v>0</v>
      </c>
      <c r="I7" s="152">
        <f>סקר!G16</f>
        <v>0</v>
      </c>
      <c r="J7" s="152">
        <f>סקר!H16</f>
        <v>0</v>
      </c>
      <c r="K7" s="152" t="e">
        <f>IF(D7="","",VLOOKUP(D7,[1]TreeType!$A$2:$E$508,3,3))</f>
        <v>#N/A</v>
      </c>
      <c r="L7" s="152">
        <f>IF(D7&gt;0,IF(סקר!M16=0,1,IF(סקר!M16=0,1,סקר!M16)),0)</f>
        <v>0</v>
      </c>
      <c r="M7" s="152">
        <f>סקר!J16</f>
        <v>0</v>
      </c>
      <c r="N7" s="152">
        <f>IF(D7&gt;0,IF(סקר!K16=0,1,IF(סקר!K16=0,1,סקר!K16)),0)</f>
        <v>0</v>
      </c>
      <c r="O7" s="152" t="e">
        <f t="shared" si="1"/>
        <v>#N/A</v>
      </c>
      <c r="P7" s="152">
        <f>IF(B7&gt;0,IF(סקר!O16 &lt;=1,1,סקר!O16),0)</f>
        <v>0</v>
      </c>
      <c r="Q7" s="152">
        <f>סקר!P16</f>
        <v>0</v>
      </c>
      <c r="R7" s="152">
        <f>סקר!R16</f>
        <v>0</v>
      </c>
      <c r="S7" s="152">
        <f>סקר!BC16</f>
        <v>0</v>
      </c>
      <c r="T7" s="156"/>
    </row>
    <row r="8" spans="1:20">
      <c r="A8" s="152" t="str">
        <f>IF(סקר!D17&lt;2,"עץ","פוליגון")</f>
        <v>עץ</v>
      </c>
      <c r="B8" s="152">
        <f>סקר!B17</f>
        <v>0</v>
      </c>
      <c r="C8" s="152">
        <f>IF(סקר!D17&lt;2,1,סקר!D17)</f>
        <v>1</v>
      </c>
      <c r="D8" s="152">
        <f>סקר!C17</f>
        <v>0</v>
      </c>
      <c r="E8" s="152" t="str">
        <f>IFERROR(VLOOKUP(F8,[1]TreeType!$A:$E,5,0),"")</f>
        <v/>
      </c>
      <c r="F8" s="153" t="str">
        <f>IFERROR(VLOOKUP(D8,[1]TreeType!$A:$B,2,0),"")</f>
        <v/>
      </c>
      <c r="G8" s="152">
        <f>IF(B8&gt;0,IF(סקר!E17 = 0,1,סקר!E17),0)</f>
        <v>0</v>
      </c>
      <c r="H8" s="152">
        <f>IF(B8&gt;0,IF(סקר!F17 = 0,1,סקר!F17),0)</f>
        <v>0</v>
      </c>
      <c r="I8" s="152">
        <f>סקר!G17</f>
        <v>0</v>
      </c>
      <c r="J8" s="152">
        <f>סקר!H17</f>
        <v>0</v>
      </c>
      <c r="K8" s="152" t="e">
        <f>IF(D8="","",VLOOKUP(D8,[1]TreeType!$A$2:$E$508,3,3))</f>
        <v>#N/A</v>
      </c>
      <c r="L8" s="152">
        <f>IF(D8&gt;0,IF(סקר!M17=0,1,IF(סקר!M17=0,1,סקר!M17)),0)</f>
        <v>0</v>
      </c>
      <c r="M8" s="152">
        <f>סקר!J17</f>
        <v>0</v>
      </c>
      <c r="N8" s="152">
        <f>IF(D8&gt;0,IF(סקר!K17=0,1,IF(סקר!K17=0,1,סקר!K17)),0)</f>
        <v>0</v>
      </c>
      <c r="O8" s="152" t="e">
        <f t="shared" si="1"/>
        <v>#N/A</v>
      </c>
      <c r="P8" s="152">
        <f>IF(B8&gt;0,IF(סקר!O17 &lt;=1,1,סקר!O17),0)</f>
        <v>0</v>
      </c>
      <c r="Q8" s="152">
        <f>סקר!P17</f>
        <v>0</v>
      </c>
      <c r="R8" s="152">
        <f>סקר!R17</f>
        <v>0</v>
      </c>
      <c r="S8" s="152">
        <f>סקר!BC17</f>
        <v>0</v>
      </c>
      <c r="T8" s="156"/>
    </row>
    <row r="9" spans="1:20">
      <c r="A9" s="152" t="str">
        <f>IF(סקר!D18&lt;2,"עץ","פוליגון")</f>
        <v>עץ</v>
      </c>
      <c r="B9" s="152">
        <f>סקר!B18</f>
        <v>0</v>
      </c>
      <c r="C9" s="152">
        <f>IF(סקר!D18&lt;2,1,סקר!D18)</f>
        <v>1</v>
      </c>
      <c r="D9" s="152">
        <f>סקר!C18</f>
        <v>0</v>
      </c>
      <c r="E9" s="152" t="str">
        <f>IFERROR(VLOOKUP(F9,[1]TreeType!$A:$E,5,0),"")</f>
        <v/>
      </c>
      <c r="F9" s="153" t="str">
        <f>IFERROR(VLOOKUP(D9,[1]TreeType!$A:$B,2,0),"")</f>
        <v/>
      </c>
      <c r="G9" s="152">
        <f>IF(B9&gt;0,IF(סקר!E18 = 0,1,סקר!E18),0)</f>
        <v>0</v>
      </c>
      <c r="H9" s="152">
        <f>IF(B9&gt;0,IF(סקר!F18 = 0,1,סקר!F18),0)</f>
        <v>0</v>
      </c>
      <c r="I9" s="152">
        <f>סקר!G18</f>
        <v>0</v>
      </c>
      <c r="J9" s="152">
        <f>סקר!H18</f>
        <v>0</v>
      </c>
      <c r="K9" s="152" t="e">
        <f>IF(D9="","",VLOOKUP(D9,[1]TreeType!$A$2:$E$508,3,3))</f>
        <v>#N/A</v>
      </c>
      <c r="L9" s="152">
        <f>IF(D9&gt;0,IF(סקר!M18=0,1,IF(סקר!M18=0,1,סקר!M18)),0)</f>
        <v>0</v>
      </c>
      <c r="M9" s="152">
        <f>סקר!J18</f>
        <v>0</v>
      </c>
      <c r="N9" s="152">
        <f>IF(D9&gt;0,IF(סקר!K18=0,1,IF(סקר!K18=0,1,סקר!K18)),0)</f>
        <v>0</v>
      </c>
      <c r="O9" s="152" t="e">
        <f t="shared" si="1"/>
        <v>#N/A</v>
      </c>
      <c r="P9" s="152">
        <f>IF(B9&gt;0,IF(סקר!O18 &lt;=1,1,סקר!O18),0)</f>
        <v>0</v>
      </c>
      <c r="Q9" s="152">
        <f>סקר!P18</f>
        <v>0</v>
      </c>
      <c r="R9" s="152">
        <f>סקר!R18</f>
        <v>0</v>
      </c>
      <c r="S9" s="152">
        <f>סקר!BC18</f>
        <v>0</v>
      </c>
      <c r="T9" s="156"/>
    </row>
    <row r="10" spans="1:20">
      <c r="A10" s="152" t="str">
        <f>IF(סקר!D19&lt;2,"עץ","פוליגון")</f>
        <v>עץ</v>
      </c>
      <c r="B10" s="152">
        <f>סקר!B19</f>
        <v>0</v>
      </c>
      <c r="C10" s="152">
        <f>IF(סקר!D19&lt;2,1,סקר!D19)</f>
        <v>1</v>
      </c>
      <c r="D10" s="152">
        <f>סקר!C19</f>
        <v>0</v>
      </c>
      <c r="E10" s="152" t="str">
        <f>IFERROR(VLOOKUP(F10,[1]TreeType!$A:$E,5,0),"")</f>
        <v/>
      </c>
      <c r="F10" s="153" t="str">
        <f>IFERROR(VLOOKUP(D10,[1]TreeType!$A:$B,2,0),"")</f>
        <v/>
      </c>
      <c r="G10" s="152">
        <f>IF(B10&gt;0,IF(סקר!E19 = 0,1,סקר!E19),0)</f>
        <v>0</v>
      </c>
      <c r="H10" s="152">
        <f>IF(B10&gt;0,IF(סקר!F19 = 0,1,סקר!F19),0)</f>
        <v>0</v>
      </c>
      <c r="I10" s="152">
        <f>סקר!G19</f>
        <v>0</v>
      </c>
      <c r="J10" s="152">
        <f>סקר!H19</f>
        <v>0</v>
      </c>
      <c r="K10" s="152" t="e">
        <f>IF(D10="","",VLOOKUP(D10,[1]TreeType!$A$2:$E$508,3,3))</f>
        <v>#N/A</v>
      </c>
      <c r="L10" s="152">
        <f>IF(D10&gt;0,IF(סקר!M19=0,1,IF(סקר!M19=0,1,סקר!M19)),0)</f>
        <v>0</v>
      </c>
      <c r="M10" s="152">
        <f>סקר!J19</f>
        <v>0</v>
      </c>
      <c r="N10" s="152">
        <f>IF(D10&gt;0,IF(סקר!K19=0,1,IF(סקר!K19=0,1,סקר!K19)),0)</f>
        <v>0</v>
      </c>
      <c r="O10" s="152" t="e">
        <f t="shared" si="1"/>
        <v>#N/A</v>
      </c>
      <c r="P10" s="152">
        <f>IF(B10&gt;0,IF(סקר!O19 &lt;=1,1,סקר!O19),0)</f>
        <v>0</v>
      </c>
      <c r="Q10" s="152">
        <f>סקר!P19</f>
        <v>0</v>
      </c>
      <c r="R10" s="152">
        <f>סקר!R19</f>
        <v>0</v>
      </c>
      <c r="S10" s="152">
        <f>סקר!BC19</f>
        <v>0</v>
      </c>
      <c r="T10" s="156"/>
    </row>
    <row r="11" spans="1:20">
      <c r="A11" s="152" t="str">
        <f>IF(סקר!D20&lt;2,"עץ","פוליגון")</f>
        <v>עץ</v>
      </c>
      <c r="B11" s="152">
        <f>סקר!B20</f>
        <v>0</v>
      </c>
      <c r="C11" s="152">
        <f>IF(סקר!D20&lt;2,1,סקר!D20)</f>
        <v>1</v>
      </c>
      <c r="D11" s="152">
        <f>סקר!C20</f>
        <v>0</v>
      </c>
      <c r="E11" s="152" t="str">
        <f>IFERROR(VLOOKUP(F11,[1]TreeType!$A:$E,5,0),"")</f>
        <v/>
      </c>
      <c r="F11" s="153" t="str">
        <f>IFERROR(VLOOKUP(D11,[1]TreeType!$A:$B,2,0),"")</f>
        <v/>
      </c>
      <c r="G11" s="152">
        <f>IF(B11&gt;0,IF(סקר!E20 = 0,1,סקר!E20),0)</f>
        <v>0</v>
      </c>
      <c r="H11" s="152">
        <f>IF(B11&gt;0,IF(סקר!F20 = 0,1,סקר!F20),0)</f>
        <v>0</v>
      </c>
      <c r="I11" s="152">
        <f>סקר!G20</f>
        <v>0</v>
      </c>
      <c r="J11" s="152">
        <f>סקר!H20</f>
        <v>0</v>
      </c>
      <c r="K11" s="152" t="e">
        <f>IF(D11="","",VLOOKUP(D11,[1]TreeType!$A$2:$E$508,3,3))</f>
        <v>#N/A</v>
      </c>
      <c r="L11" s="152">
        <f>IF(D11&gt;0,IF(סקר!M20=0,1,IF(סקר!M20=0,1,סקר!M20)),0)</f>
        <v>0</v>
      </c>
      <c r="M11" s="152">
        <f>סקר!J20</f>
        <v>0</v>
      </c>
      <c r="N11" s="152">
        <f>IF(D11&gt;0,IF(סקר!K20=0,1,IF(סקר!K20=0,1,סקר!K20)),0)</f>
        <v>0</v>
      </c>
      <c r="O11" s="152" t="e">
        <f t="shared" si="1"/>
        <v>#N/A</v>
      </c>
      <c r="P11" s="152">
        <f>IF(B11&gt;0,IF(סקר!O20 &lt;=1,1,סקר!O20),0)</f>
        <v>0</v>
      </c>
      <c r="Q11" s="152">
        <f>סקר!P20</f>
        <v>0</v>
      </c>
      <c r="R11" s="152">
        <f>סקר!R20</f>
        <v>0</v>
      </c>
      <c r="S11" s="152">
        <f>סקר!BC20</f>
        <v>0</v>
      </c>
      <c r="T11" s="156"/>
    </row>
    <row r="12" spans="1:20">
      <c r="A12" s="152" t="str">
        <f>IF(סקר!D21&lt;2,"עץ","פוליגון")</f>
        <v>עץ</v>
      </c>
      <c r="B12" s="152">
        <f>סקר!B21</f>
        <v>0</v>
      </c>
      <c r="C12" s="152">
        <f>IF(סקר!D21&lt;2,1,סקר!D21)</f>
        <v>1</v>
      </c>
      <c r="D12" s="152">
        <f>סקר!C21</f>
        <v>0</v>
      </c>
      <c r="E12" s="152" t="str">
        <f>IFERROR(VLOOKUP(F12,[1]TreeType!$A:$E,5,0),"")</f>
        <v/>
      </c>
      <c r="F12" s="153" t="str">
        <f>IFERROR(VLOOKUP(D12,[1]TreeType!$A:$B,2,0),"")</f>
        <v/>
      </c>
      <c r="G12" s="152">
        <f>IF(B12&gt;0,IF(סקר!E21 = 0,1,סקר!E21),0)</f>
        <v>0</v>
      </c>
      <c r="H12" s="152">
        <f>IF(B12&gt;0,IF(סקר!F21 = 0,1,סקר!F21),0)</f>
        <v>0</v>
      </c>
      <c r="I12" s="152">
        <f>סקר!G21</f>
        <v>0</v>
      </c>
      <c r="J12" s="152">
        <f>סקר!H21</f>
        <v>0</v>
      </c>
      <c r="K12" s="152" t="e">
        <f>IF(D12="","",VLOOKUP(D12,[1]TreeType!$A$2:$E$508,3,3))</f>
        <v>#N/A</v>
      </c>
      <c r="L12" s="152">
        <f>IF(D12&gt;0,IF(סקר!M21=0,1,IF(סקר!M21=0,1,סקר!M21)),0)</f>
        <v>0</v>
      </c>
      <c r="M12" s="152">
        <f>סקר!J21</f>
        <v>0</v>
      </c>
      <c r="N12" s="152">
        <f>IF(D12&gt;0,IF(סקר!K21=0,1,IF(סקר!K21=0,1,סקר!K21)),0)</f>
        <v>0</v>
      </c>
      <c r="O12" s="152" t="e">
        <f t="shared" si="1"/>
        <v>#N/A</v>
      </c>
      <c r="P12" s="152">
        <f>IF(B12&gt;0,IF(סקר!O21 &lt;=1,1,סקר!O21),0)</f>
        <v>0</v>
      </c>
      <c r="Q12" s="152">
        <f>סקר!P21</f>
        <v>0</v>
      </c>
      <c r="R12" s="152">
        <f>סקר!R21</f>
        <v>0</v>
      </c>
      <c r="S12" s="152">
        <f>סקר!BC21</f>
        <v>0</v>
      </c>
      <c r="T12" s="156"/>
    </row>
    <row r="13" spans="1:20">
      <c r="A13" s="152" t="str">
        <f>IF(סקר!D22&lt;2,"עץ","פוליגון")</f>
        <v>עץ</v>
      </c>
      <c r="B13" s="152">
        <f>סקר!B22</f>
        <v>0</v>
      </c>
      <c r="C13" s="152">
        <f>IF(סקר!D22&lt;2,1,סקר!D22)</f>
        <v>1</v>
      </c>
      <c r="D13" s="152">
        <f>סקר!C22</f>
        <v>0</v>
      </c>
      <c r="E13" s="152" t="str">
        <f>IFERROR(VLOOKUP(F13,[1]TreeType!$A:$E,5,0),"")</f>
        <v/>
      </c>
      <c r="F13" s="153" t="str">
        <f>IFERROR(VLOOKUP(D13,[1]TreeType!$A:$B,2,0),"")</f>
        <v/>
      </c>
      <c r="G13" s="152">
        <f>IF(B13&gt;0,IF(סקר!E22 = 0,1,סקר!E22),0)</f>
        <v>0</v>
      </c>
      <c r="H13" s="152">
        <f>IF(B13&gt;0,IF(סקר!F22 = 0,1,סקר!F22),0)</f>
        <v>0</v>
      </c>
      <c r="I13" s="152">
        <f>סקר!G22</f>
        <v>0</v>
      </c>
      <c r="J13" s="152">
        <f>סקר!H22</f>
        <v>0</v>
      </c>
      <c r="K13" s="152" t="e">
        <f>IF(D13="","",VLOOKUP(D13,[1]TreeType!$A$2:$E$508,3,3))</f>
        <v>#N/A</v>
      </c>
      <c r="L13" s="152">
        <f>IF(D13&gt;0,IF(סקר!M22=0,1,IF(סקר!M22=0,1,סקר!M22)),0)</f>
        <v>0</v>
      </c>
      <c r="M13" s="152">
        <f>סקר!J22</f>
        <v>0</v>
      </c>
      <c r="N13" s="152">
        <f>IF(D13&gt;0,IF(סקר!K22=0,1,IF(סקר!K22=0,1,סקר!K22)),0)</f>
        <v>0</v>
      </c>
      <c r="O13" s="152" t="e">
        <f t="shared" si="1"/>
        <v>#N/A</v>
      </c>
      <c r="P13" s="152">
        <f>IF(B13&gt;0,IF(סקר!O22 &lt;=1,1,סקר!O22),0)</f>
        <v>0</v>
      </c>
      <c r="Q13" s="152">
        <f>סקר!P22</f>
        <v>0</v>
      </c>
      <c r="R13" s="152">
        <f>סקר!R22</f>
        <v>0</v>
      </c>
      <c r="S13" s="152">
        <f>סקר!BC22</f>
        <v>0</v>
      </c>
      <c r="T13" s="156"/>
    </row>
    <row r="14" spans="1:20">
      <c r="A14" s="152" t="str">
        <f>IF(סקר!D23&lt;2,"עץ","פוליגון")</f>
        <v>עץ</v>
      </c>
      <c r="B14" s="152">
        <f>סקר!B23</f>
        <v>0</v>
      </c>
      <c r="C14" s="152">
        <f>IF(סקר!D23&lt;2,1,סקר!D23)</f>
        <v>1</v>
      </c>
      <c r="D14" s="152">
        <f>סקר!C23</f>
        <v>0</v>
      </c>
      <c r="E14" s="152" t="str">
        <f>IFERROR(VLOOKUP(F14,[1]TreeType!$A:$E,5,0),"")</f>
        <v/>
      </c>
      <c r="F14" s="153" t="str">
        <f>IFERROR(VLOOKUP(D14,[1]TreeType!$A:$B,2,0),"")</f>
        <v/>
      </c>
      <c r="G14" s="152">
        <f>IF(B14&gt;0,IF(סקר!E23 = 0,1,סקר!E23),0)</f>
        <v>0</v>
      </c>
      <c r="H14" s="152">
        <f>IF(B14&gt;0,IF(סקר!F23 = 0,1,סקר!F23),0)</f>
        <v>0</v>
      </c>
      <c r="I14" s="152">
        <f>סקר!G23</f>
        <v>0</v>
      </c>
      <c r="J14" s="152">
        <f>סקר!H23</f>
        <v>0</v>
      </c>
      <c r="K14" s="152" t="e">
        <f>IF(D14="","",VLOOKUP(D14,[1]TreeType!$A$2:$E$508,3,3))</f>
        <v>#N/A</v>
      </c>
      <c r="L14" s="152">
        <f>IF(D14&gt;0,IF(סקר!M23=0,1,IF(סקר!M23=0,1,סקר!M23)),0)</f>
        <v>0</v>
      </c>
      <c r="M14" s="152">
        <f>סקר!J23</f>
        <v>0</v>
      </c>
      <c r="N14" s="152">
        <f>IF(D14&gt;0,IF(סקר!K23=0,1,IF(סקר!K23=0,1,סקר!K23)),0)</f>
        <v>0</v>
      </c>
      <c r="O14" s="152" t="e">
        <f t="shared" si="1"/>
        <v>#N/A</v>
      </c>
      <c r="P14" s="152">
        <f>IF(B14&gt;0,IF(סקר!O23 &lt;=1,1,סקר!O23),0)</f>
        <v>0</v>
      </c>
      <c r="Q14" s="152">
        <f>סקר!P23</f>
        <v>0</v>
      </c>
      <c r="R14" s="152">
        <f>סקר!R23</f>
        <v>0</v>
      </c>
      <c r="S14" s="152">
        <f>סקר!BC23</f>
        <v>0</v>
      </c>
      <c r="T14" s="156"/>
    </row>
    <row r="15" spans="1:20">
      <c r="A15" s="152" t="str">
        <f>IF(סקר!D24&lt;2,"עץ","פוליגון")</f>
        <v>עץ</v>
      </c>
      <c r="B15" s="152">
        <f>סקר!B24</f>
        <v>0</v>
      </c>
      <c r="C15" s="152">
        <f>IF(סקר!D24&lt;2,1,סקר!D24)</f>
        <v>1</v>
      </c>
      <c r="D15" s="152">
        <f>סקר!C24</f>
        <v>0</v>
      </c>
      <c r="E15" s="152" t="str">
        <f>IFERROR(VLOOKUP(F15,[1]TreeType!$A:$E,5,0),"")</f>
        <v/>
      </c>
      <c r="F15" s="153" t="str">
        <f>IFERROR(VLOOKUP(D15,[1]TreeType!$A:$B,2,0),"")</f>
        <v/>
      </c>
      <c r="G15" s="152">
        <f>IF(B15&gt;0,IF(סקר!E24 = 0,1,סקר!E24),0)</f>
        <v>0</v>
      </c>
      <c r="H15" s="152">
        <f>IF(B15&gt;0,IF(סקר!F24 = 0,1,סקר!F24),0)</f>
        <v>0</v>
      </c>
      <c r="I15" s="152">
        <f>סקר!G24</f>
        <v>0</v>
      </c>
      <c r="J15" s="152">
        <f>סקר!H24</f>
        <v>0</v>
      </c>
      <c r="K15" s="152" t="e">
        <f>IF(D15="","",VLOOKUP(D15,[1]TreeType!$A$2:$E$508,3,3))</f>
        <v>#N/A</v>
      </c>
      <c r="L15" s="152">
        <f>IF(D15&gt;0,IF(סקר!M24=0,1,IF(סקר!M24=0,1,סקר!M24)),0)</f>
        <v>0</v>
      </c>
      <c r="M15" s="152">
        <f>סקר!J24</f>
        <v>0</v>
      </c>
      <c r="N15" s="152">
        <f>IF(D15&gt;0,IF(סקר!K24=0,1,IF(סקר!K24=0,1,סקר!K24)),0)</f>
        <v>0</v>
      </c>
      <c r="O15" s="152" t="e">
        <f t="shared" si="1"/>
        <v>#N/A</v>
      </c>
      <c r="P15" s="152">
        <f>IF(B15&gt;0,IF(סקר!O24 &lt;=1,1,סקר!O24),0)</f>
        <v>0</v>
      </c>
      <c r="Q15" s="152">
        <f>סקר!P24</f>
        <v>0</v>
      </c>
      <c r="R15" s="152">
        <f>סקר!R24</f>
        <v>0</v>
      </c>
      <c r="S15" s="152">
        <f>סקר!BC24</f>
        <v>0</v>
      </c>
      <c r="T15" s="156"/>
    </row>
    <row r="16" spans="1:20">
      <c r="A16" s="152" t="str">
        <f>IF(סקר!D25&lt;2,"עץ","פוליגון")</f>
        <v>עץ</v>
      </c>
      <c r="B16" s="152">
        <f>סקר!B25</f>
        <v>0</v>
      </c>
      <c r="C16" s="152">
        <f>IF(סקר!D25&lt;2,1,סקר!D25)</f>
        <v>1</v>
      </c>
      <c r="D16" s="152">
        <f>סקר!C25</f>
        <v>0</v>
      </c>
      <c r="E16" s="152" t="str">
        <f>IFERROR(VLOOKUP(F16,[1]TreeType!$A:$E,5,0),"")</f>
        <v/>
      </c>
      <c r="F16" s="153" t="str">
        <f>IFERROR(VLOOKUP(D16,[1]TreeType!$A:$B,2,0),"")</f>
        <v/>
      </c>
      <c r="G16" s="152">
        <f>IF(B16&gt;0,IF(סקר!E25 = 0,1,סקר!E25),0)</f>
        <v>0</v>
      </c>
      <c r="H16" s="152">
        <f>IF(B16&gt;0,IF(סקר!F25 = 0,1,סקר!F25),0)</f>
        <v>0</v>
      </c>
      <c r="I16" s="152">
        <f>סקר!G25</f>
        <v>0</v>
      </c>
      <c r="J16" s="152">
        <f>סקר!H25</f>
        <v>0</v>
      </c>
      <c r="K16" s="152" t="e">
        <f>IF(D16="","",VLOOKUP(D16,[1]TreeType!$A$2:$E$508,3,3))</f>
        <v>#N/A</v>
      </c>
      <c r="L16" s="152">
        <f>IF(D16&gt;0,IF(סקר!M25=0,1,IF(סקר!M25=0,1,סקר!M25)),0)</f>
        <v>0</v>
      </c>
      <c r="M16" s="152">
        <f>סקר!J25</f>
        <v>0</v>
      </c>
      <c r="N16" s="152">
        <f>IF(D16&gt;0,IF(סקר!K25=0,1,IF(סקר!K25=0,1,סקר!K25)),0)</f>
        <v>0</v>
      </c>
      <c r="O16" s="152" t="e">
        <f t="shared" si="1"/>
        <v>#N/A</v>
      </c>
      <c r="P16" s="152">
        <f>IF(B16&gt;0,IF(סקר!O25 &lt;=1,1,סקר!O25),0)</f>
        <v>0</v>
      </c>
      <c r="Q16" s="152">
        <f>סקר!P25</f>
        <v>0</v>
      </c>
      <c r="R16" s="152">
        <f>סקר!R25</f>
        <v>0</v>
      </c>
      <c r="S16" s="152">
        <f>סקר!BC25</f>
        <v>0</v>
      </c>
      <c r="T16" s="156"/>
    </row>
    <row r="17" spans="1:20">
      <c r="A17" s="152" t="str">
        <f>IF(סקר!D26&lt;2,"עץ","פוליגון")</f>
        <v>עץ</v>
      </c>
      <c r="B17" s="152">
        <f>סקר!B26</f>
        <v>0</v>
      </c>
      <c r="C17" s="152">
        <f>IF(סקר!D26&lt;2,1,סקר!D26)</f>
        <v>1</v>
      </c>
      <c r="D17" s="152">
        <f>סקר!C26</f>
        <v>0</v>
      </c>
      <c r="E17" s="152" t="str">
        <f>IFERROR(VLOOKUP(F17,[1]TreeType!$A:$E,5,0),"")</f>
        <v/>
      </c>
      <c r="F17" s="153" t="str">
        <f>IFERROR(VLOOKUP(D17,[1]TreeType!$A:$B,2,0),"")</f>
        <v/>
      </c>
      <c r="G17" s="152">
        <f>IF(B17&gt;0,IF(סקר!E26 = 0,1,סקר!E26),0)</f>
        <v>0</v>
      </c>
      <c r="H17" s="152">
        <f>IF(B17&gt;0,IF(סקר!F26 = 0,1,סקר!F26),0)</f>
        <v>0</v>
      </c>
      <c r="I17" s="152">
        <f>סקר!G26</f>
        <v>0</v>
      </c>
      <c r="J17" s="152">
        <f>סקר!H26</f>
        <v>0</v>
      </c>
      <c r="K17" s="152" t="e">
        <f>IF(D17="","",VLOOKUP(D17,[1]TreeType!$A$2:$E$508,3,3))</f>
        <v>#N/A</v>
      </c>
      <c r="L17" s="152">
        <f>IF(D17&gt;0,IF(סקר!M26=0,1,IF(סקר!M26=0,1,סקר!M26)),0)</f>
        <v>0</v>
      </c>
      <c r="M17" s="152">
        <f>סקר!J26</f>
        <v>0</v>
      </c>
      <c r="N17" s="152">
        <f>IF(D17&gt;0,IF(סקר!K26=0,1,IF(סקר!K26=0,1,סקר!K26)),0)</f>
        <v>0</v>
      </c>
      <c r="O17" s="152" t="e">
        <f t="shared" si="1"/>
        <v>#N/A</v>
      </c>
      <c r="P17" s="152">
        <f>IF(B17&gt;0,IF(סקר!O26 &lt;=1,1,סקר!O26),0)</f>
        <v>0</v>
      </c>
      <c r="Q17" s="152">
        <f>סקר!P26</f>
        <v>0</v>
      </c>
      <c r="R17" s="152">
        <f>סקר!R26</f>
        <v>0</v>
      </c>
      <c r="S17" s="152">
        <f>סקר!BC26</f>
        <v>0</v>
      </c>
      <c r="T17" s="156"/>
    </row>
    <row r="18" spans="1:20">
      <c r="A18" s="152" t="str">
        <f>IF(סקר!D27&lt;2,"עץ","פוליגון")</f>
        <v>עץ</v>
      </c>
      <c r="B18" s="152">
        <f>סקר!B27</f>
        <v>0</v>
      </c>
      <c r="C18" s="152">
        <f>IF(סקר!D27&lt;2,1,סקר!D27)</f>
        <v>1</v>
      </c>
      <c r="D18" s="152">
        <f>סקר!C27</f>
        <v>0</v>
      </c>
      <c r="E18" s="152" t="str">
        <f>IFERROR(VLOOKUP(F18,[1]TreeType!$A:$E,5,0),"")</f>
        <v/>
      </c>
      <c r="F18" s="153" t="str">
        <f>IFERROR(VLOOKUP(D18,[1]TreeType!$A:$B,2,0),"")</f>
        <v/>
      </c>
      <c r="G18" s="152">
        <f>IF(B18&gt;0,IF(סקר!E27 = 0,1,סקר!E27),0)</f>
        <v>0</v>
      </c>
      <c r="H18" s="152">
        <f>IF(B18&gt;0,IF(סקר!F27 = 0,1,סקר!F27),0)</f>
        <v>0</v>
      </c>
      <c r="I18" s="152">
        <f>סקר!G27</f>
        <v>0</v>
      </c>
      <c r="J18" s="152">
        <f>סקר!H27</f>
        <v>0</v>
      </c>
      <c r="K18" s="152" t="e">
        <f>IF(D18="","",VLOOKUP(D18,[1]TreeType!$A$2:$E$508,3,3))</f>
        <v>#N/A</v>
      </c>
      <c r="L18" s="152">
        <f>IF(D18&gt;0,IF(סקר!M27=0,1,IF(סקר!M27=0,1,סקר!M27)),0)</f>
        <v>0</v>
      </c>
      <c r="M18" s="152">
        <f>סקר!J27</f>
        <v>0</v>
      </c>
      <c r="N18" s="152">
        <f>IF(D18&gt;0,IF(סקר!K27=0,1,IF(סקר!K27=0,1,סקר!K27)),0)</f>
        <v>0</v>
      </c>
      <c r="O18" s="152" t="e">
        <f t="shared" si="1"/>
        <v>#N/A</v>
      </c>
      <c r="P18" s="152">
        <f>IF(B18&gt;0,IF(סקר!O27 &lt;=1,1,סקר!O27),0)</f>
        <v>0</v>
      </c>
      <c r="Q18" s="152">
        <f>סקר!P27</f>
        <v>0</v>
      </c>
      <c r="R18" s="152">
        <f>סקר!R27</f>
        <v>0</v>
      </c>
      <c r="S18" s="152">
        <f>סקר!BC27</f>
        <v>0</v>
      </c>
      <c r="T18" s="156"/>
    </row>
    <row r="19" spans="1:20">
      <c r="A19" s="152" t="str">
        <f>IF(סקר!D28&lt;2,"עץ","פוליגון")</f>
        <v>עץ</v>
      </c>
      <c r="B19" s="152">
        <f>סקר!B28</f>
        <v>0</v>
      </c>
      <c r="C19" s="152">
        <f>IF(סקר!D28&lt;2,1,סקר!D28)</f>
        <v>1</v>
      </c>
      <c r="D19" s="152">
        <f>סקר!C28</f>
        <v>0</v>
      </c>
      <c r="E19" s="152" t="str">
        <f>IFERROR(VLOOKUP(F19,[1]TreeType!$A:$E,5,0),"")</f>
        <v/>
      </c>
      <c r="F19" s="153" t="str">
        <f>IFERROR(VLOOKUP(D19,[1]TreeType!$A:$B,2,0),"")</f>
        <v/>
      </c>
      <c r="G19" s="152">
        <f>IF(B19&gt;0,IF(סקר!E28 = 0,1,סקר!E28),0)</f>
        <v>0</v>
      </c>
      <c r="H19" s="152">
        <f>IF(B19&gt;0,IF(סקר!F28 = 0,1,סקר!F28),0)</f>
        <v>0</v>
      </c>
      <c r="I19" s="152">
        <f>סקר!G28</f>
        <v>0</v>
      </c>
      <c r="J19" s="152">
        <f>סקר!H28</f>
        <v>0</v>
      </c>
      <c r="K19" s="152" t="e">
        <f>IF(D19="","",VLOOKUP(D19,[1]TreeType!$A$2:$E$508,3,3))</f>
        <v>#N/A</v>
      </c>
      <c r="L19" s="152">
        <f>IF(D19&gt;0,IF(סקר!M28=0,1,IF(סקר!M28=0,1,סקר!M28)),0)</f>
        <v>0</v>
      </c>
      <c r="M19" s="152">
        <f>סקר!J28</f>
        <v>0</v>
      </c>
      <c r="N19" s="152">
        <f>IF(D19&gt;0,IF(סקר!K28=0,1,IF(סקר!K28=0,1,סקר!K28)),0)</f>
        <v>0</v>
      </c>
      <c r="O19" s="152" t="e">
        <f t="shared" si="1"/>
        <v>#N/A</v>
      </c>
      <c r="P19" s="152">
        <f>IF(B19&gt;0,IF(סקר!O28 &lt;=1,1,סקר!O28),0)</f>
        <v>0</v>
      </c>
      <c r="Q19" s="152">
        <f>סקר!P28</f>
        <v>0</v>
      </c>
      <c r="R19" s="152">
        <f>סקר!R28</f>
        <v>0</v>
      </c>
      <c r="S19" s="152">
        <f>סקר!BC28</f>
        <v>0</v>
      </c>
      <c r="T19" s="156"/>
    </row>
    <row r="20" spans="1:20">
      <c r="A20" s="152" t="str">
        <f>IF(סקר!D29&lt;2,"עץ","פוליגון")</f>
        <v>עץ</v>
      </c>
      <c r="B20" s="152">
        <f>סקר!B29</f>
        <v>0</v>
      </c>
      <c r="C20" s="152">
        <f>IF(סקר!D29&lt;2,1,סקר!D29)</f>
        <v>1</v>
      </c>
      <c r="D20" s="152">
        <f>סקר!C29</f>
        <v>0</v>
      </c>
      <c r="E20" s="152" t="str">
        <f>IFERROR(VLOOKUP(F20,[1]TreeType!$A:$E,5,0),"")</f>
        <v/>
      </c>
      <c r="F20" s="153" t="str">
        <f>IFERROR(VLOOKUP(D20,[1]TreeType!$A:$B,2,0),"")</f>
        <v/>
      </c>
      <c r="G20" s="152">
        <f>IF(B20&gt;0,IF(סקר!E29 = 0,1,סקר!E29),0)</f>
        <v>0</v>
      </c>
      <c r="H20" s="152">
        <f>IF(B20&gt;0,IF(סקר!F29 = 0,1,סקר!F29),0)</f>
        <v>0</v>
      </c>
      <c r="I20" s="152">
        <f>סקר!G29</f>
        <v>0</v>
      </c>
      <c r="J20" s="152">
        <f>סקר!H29</f>
        <v>0</v>
      </c>
      <c r="K20" s="152" t="e">
        <f>IF(D20="","",VLOOKUP(D20,[1]TreeType!$A$2:$E$508,3,3))</f>
        <v>#N/A</v>
      </c>
      <c r="L20" s="152">
        <f>IF(D20&gt;0,IF(סקר!M29=0,1,IF(סקר!M29=0,1,סקר!M29)),0)</f>
        <v>0</v>
      </c>
      <c r="M20" s="152">
        <f>סקר!J29</f>
        <v>0</v>
      </c>
      <c r="N20" s="152">
        <f>IF(D20&gt;0,IF(סקר!K29=0,1,IF(סקר!K29=0,1,סקר!K29)),0)</f>
        <v>0</v>
      </c>
      <c r="O20" s="152" t="e">
        <f t="shared" si="1"/>
        <v>#N/A</v>
      </c>
      <c r="P20" s="152">
        <f>IF(B20&gt;0,IF(סקר!O29 &lt;=1,1,סקר!O29),0)</f>
        <v>0</v>
      </c>
      <c r="Q20" s="152">
        <f>סקר!P29</f>
        <v>0</v>
      </c>
      <c r="R20" s="152">
        <f>סקר!R29</f>
        <v>0</v>
      </c>
      <c r="S20" s="152">
        <f>סקר!BC29</f>
        <v>0</v>
      </c>
      <c r="T20" s="156"/>
    </row>
    <row r="21" spans="1:20">
      <c r="A21" s="152" t="str">
        <f>IF(סקר!D30&lt;2,"עץ","פוליגון")</f>
        <v>עץ</v>
      </c>
      <c r="B21" s="152">
        <f>סקר!B30</f>
        <v>0</v>
      </c>
      <c r="C21" s="152">
        <f>IF(סקר!D30&lt;2,1,סקר!D30)</f>
        <v>1</v>
      </c>
      <c r="D21" s="152">
        <f>סקר!C30</f>
        <v>0</v>
      </c>
      <c r="E21" s="152" t="str">
        <f>IFERROR(VLOOKUP(F21,[1]TreeType!$A:$E,5,0),"")</f>
        <v/>
      </c>
      <c r="F21" s="153" t="str">
        <f>IFERROR(VLOOKUP(D21,[1]TreeType!$A:$B,2,0),"")</f>
        <v/>
      </c>
      <c r="G21" s="152">
        <f>IF(B21&gt;0,IF(סקר!E30 = 0,1,סקר!E30),0)</f>
        <v>0</v>
      </c>
      <c r="H21" s="152">
        <f>IF(B21&gt;0,IF(סקר!F30 = 0,1,סקר!F30),0)</f>
        <v>0</v>
      </c>
      <c r="I21" s="152">
        <f>סקר!G30</f>
        <v>0</v>
      </c>
      <c r="J21" s="152">
        <f>סקר!H30</f>
        <v>0</v>
      </c>
      <c r="K21" s="152" t="e">
        <f>IF(D21="","",VLOOKUP(D21,[1]TreeType!$A$2:$E$508,3,3))</f>
        <v>#N/A</v>
      </c>
      <c r="L21" s="152">
        <f>IF(D21&gt;0,IF(סקר!M30=0,1,IF(סקר!M30=0,1,סקר!M30)),0)</f>
        <v>0</v>
      </c>
      <c r="M21" s="152">
        <f>סקר!J30</f>
        <v>0</v>
      </c>
      <c r="N21" s="152">
        <f>IF(D21&gt;0,IF(סקר!K30=0,1,IF(סקר!K30=0,1,סקר!K30)),0)</f>
        <v>0</v>
      </c>
      <c r="O21" s="152" t="e">
        <f t="shared" si="1"/>
        <v>#N/A</v>
      </c>
      <c r="P21" s="152">
        <f>IF(B21&gt;0,IF(סקר!O30 &lt;=1,1,סקר!O30),0)</f>
        <v>0</v>
      </c>
      <c r="Q21" s="152">
        <f>סקר!P30</f>
        <v>0</v>
      </c>
      <c r="R21" s="152">
        <f>סקר!R30</f>
        <v>0</v>
      </c>
      <c r="S21" s="152">
        <f>סקר!BC30</f>
        <v>0</v>
      </c>
      <c r="T21" s="156"/>
    </row>
    <row r="22" spans="1:20">
      <c r="A22" s="152" t="str">
        <f>IF(סקר!D31&lt;2,"עץ","פוליגון")</f>
        <v>עץ</v>
      </c>
      <c r="B22" s="152">
        <f>סקר!B31</f>
        <v>0</v>
      </c>
      <c r="C22" s="152">
        <f>IF(סקר!D31&lt;2,1,סקר!D31)</f>
        <v>1</v>
      </c>
      <c r="D22" s="152">
        <f>סקר!C31</f>
        <v>0</v>
      </c>
      <c r="E22" s="152" t="str">
        <f>IFERROR(VLOOKUP(F22,[1]TreeType!$A:$E,5,0),"")</f>
        <v/>
      </c>
      <c r="F22" s="153" t="str">
        <f>IFERROR(VLOOKUP(D22,[1]TreeType!$A:$B,2,0),"")</f>
        <v/>
      </c>
      <c r="G22" s="152">
        <f>IF(B22&gt;0,IF(סקר!E31 = 0,1,סקר!E31),0)</f>
        <v>0</v>
      </c>
      <c r="H22" s="152">
        <f>IF(B22&gt;0,IF(סקר!F31 = 0,1,סקר!F31),0)</f>
        <v>0</v>
      </c>
      <c r="I22" s="152">
        <f>סקר!G31</f>
        <v>0</v>
      </c>
      <c r="J22" s="152">
        <f>סקר!H31</f>
        <v>0</v>
      </c>
      <c r="K22" s="152" t="e">
        <f>IF(D22="","",VLOOKUP(D22,[1]TreeType!$A$2:$E$508,3,3))</f>
        <v>#N/A</v>
      </c>
      <c r="L22" s="152">
        <f>IF(D22&gt;0,IF(סקר!M31=0,1,IF(סקר!M31=0,1,סקר!M31)),0)</f>
        <v>0</v>
      </c>
      <c r="M22" s="152">
        <f>סקר!J31</f>
        <v>0</v>
      </c>
      <c r="N22" s="152">
        <f>IF(D22&gt;0,IF(סקר!K31=0,1,IF(סקר!K31=0,1,סקר!K31)),0)</f>
        <v>0</v>
      </c>
      <c r="O22" s="152" t="e">
        <f t="shared" si="1"/>
        <v>#N/A</v>
      </c>
      <c r="P22" s="152">
        <f>IF(B22&gt;0,IF(סקר!O31 &lt;=1,1,סקר!O31),0)</f>
        <v>0</v>
      </c>
      <c r="Q22" s="152">
        <f>סקר!P31</f>
        <v>0</v>
      </c>
      <c r="R22" s="152">
        <f>סקר!R31</f>
        <v>0</v>
      </c>
      <c r="S22" s="152">
        <f>סקר!BC31</f>
        <v>0</v>
      </c>
      <c r="T22" s="156"/>
    </row>
    <row r="23" spans="1:20">
      <c r="A23" s="152" t="str">
        <f>IF(סקר!D32&lt;2,"עץ","פוליגון")</f>
        <v>עץ</v>
      </c>
      <c r="B23" s="152">
        <f>סקר!B32</f>
        <v>0</v>
      </c>
      <c r="C23" s="152">
        <f>IF(סקר!D32&lt;2,1,סקר!D32)</f>
        <v>1</v>
      </c>
      <c r="D23" s="152">
        <f>סקר!C32</f>
        <v>0</v>
      </c>
      <c r="E23" s="152" t="str">
        <f>IFERROR(VLOOKUP(F23,[1]TreeType!$A:$E,5,0),"")</f>
        <v/>
      </c>
      <c r="F23" s="153" t="str">
        <f>IFERROR(VLOOKUP(D23,[1]TreeType!$A:$B,2,0),"")</f>
        <v/>
      </c>
      <c r="G23" s="152">
        <f>IF(B23&gt;0,IF(סקר!E32 = 0,1,סקר!E32),0)</f>
        <v>0</v>
      </c>
      <c r="H23" s="152">
        <f>IF(B23&gt;0,IF(סקר!F32 = 0,1,סקר!F32),0)</f>
        <v>0</v>
      </c>
      <c r="I23" s="152">
        <f>סקר!G32</f>
        <v>0</v>
      </c>
      <c r="J23" s="152">
        <f>סקר!H32</f>
        <v>0</v>
      </c>
      <c r="K23" s="152" t="e">
        <f>IF(D23="","",VLOOKUP(D23,[1]TreeType!$A$2:$E$508,3,3))</f>
        <v>#N/A</v>
      </c>
      <c r="L23" s="152">
        <f>IF(D23&gt;0,IF(סקר!M32=0,1,IF(סקר!M32=0,1,סקר!M32)),0)</f>
        <v>0</v>
      </c>
      <c r="M23" s="152">
        <f>סקר!J32</f>
        <v>0</v>
      </c>
      <c r="N23" s="152">
        <f>IF(D23&gt;0,IF(סקר!K32=0,1,IF(סקר!K32=0,1,סקר!K32)),0)</f>
        <v>0</v>
      </c>
      <c r="O23" s="152" t="e">
        <f t="shared" si="1"/>
        <v>#N/A</v>
      </c>
      <c r="P23" s="152">
        <f>IF(B23&gt;0,IF(סקר!O32 &lt;=1,1,סקר!O32),0)</f>
        <v>0</v>
      </c>
      <c r="Q23" s="152">
        <f>סקר!P32</f>
        <v>0</v>
      </c>
      <c r="R23" s="152">
        <f>סקר!R32</f>
        <v>0</v>
      </c>
      <c r="S23" s="152">
        <f>סקר!BC32</f>
        <v>0</v>
      </c>
      <c r="T23" s="156"/>
    </row>
    <row r="24" spans="1:20">
      <c r="A24" s="152" t="str">
        <f>IF(סקר!D33&lt;2,"עץ","פוליגון")</f>
        <v>עץ</v>
      </c>
      <c r="B24" s="152">
        <f>סקר!B33</f>
        <v>0</v>
      </c>
      <c r="C24" s="152">
        <f>IF(סקר!D33&lt;2,1,סקר!D33)</f>
        <v>1</v>
      </c>
      <c r="D24" s="152">
        <f>סקר!C33</f>
        <v>0</v>
      </c>
      <c r="E24" s="152" t="str">
        <f>IFERROR(VLOOKUP(F24,[1]TreeType!$A:$E,5,0),"")</f>
        <v/>
      </c>
      <c r="F24" s="153" t="str">
        <f>IFERROR(VLOOKUP(D24,[1]TreeType!$A:$B,2,0),"")</f>
        <v/>
      </c>
      <c r="G24" s="152">
        <f>IF(B24&gt;0,IF(סקר!E33 = 0,1,סקר!E33),0)</f>
        <v>0</v>
      </c>
      <c r="H24" s="152">
        <f>IF(B24&gt;0,IF(סקר!F33 = 0,1,סקר!F33),0)</f>
        <v>0</v>
      </c>
      <c r="I24" s="152">
        <f>סקר!G33</f>
        <v>0</v>
      </c>
      <c r="J24" s="152">
        <f>סקר!H33</f>
        <v>0</v>
      </c>
      <c r="K24" s="152" t="e">
        <f>IF(D24="","",VLOOKUP(D24,[1]TreeType!$A$2:$E$508,3,3))</f>
        <v>#N/A</v>
      </c>
      <c r="L24" s="152">
        <f>IF(D24&gt;0,IF(סקר!M33=0,1,IF(סקר!M33=0,1,סקר!M33)),0)</f>
        <v>0</v>
      </c>
      <c r="M24" s="152">
        <f>סקר!J33</f>
        <v>0</v>
      </c>
      <c r="N24" s="152">
        <f>IF(D24&gt;0,IF(סקר!K33=0,1,IF(סקר!K33=0,1,סקר!K33)),0)</f>
        <v>0</v>
      </c>
      <c r="O24" s="152" t="e">
        <f t="shared" si="1"/>
        <v>#N/A</v>
      </c>
      <c r="P24" s="152">
        <f>IF(B24&gt;0,IF(סקר!O33 &lt;=1,1,סקר!O33),0)</f>
        <v>0</v>
      </c>
      <c r="Q24" s="152">
        <f>סקר!P33</f>
        <v>0</v>
      </c>
      <c r="R24" s="152">
        <f>סקר!R33</f>
        <v>0</v>
      </c>
      <c r="S24" s="152">
        <f>סקר!BC33</f>
        <v>0</v>
      </c>
      <c r="T24" s="156"/>
    </row>
    <row r="25" spans="1:20">
      <c r="A25" s="152" t="str">
        <f>IF(סקר!D34&lt;2,"עץ","פוליגון")</f>
        <v>עץ</v>
      </c>
      <c r="B25" s="152">
        <f>סקר!B34</f>
        <v>0</v>
      </c>
      <c r="C25" s="152">
        <f>IF(סקר!D34&lt;2,1,סקר!D34)</f>
        <v>1</v>
      </c>
      <c r="D25" s="152">
        <f>סקר!C34</f>
        <v>0</v>
      </c>
      <c r="E25" s="152" t="str">
        <f>IFERROR(VLOOKUP(F25,[1]TreeType!$A:$E,5,0),"")</f>
        <v/>
      </c>
      <c r="F25" s="153" t="str">
        <f>IFERROR(VLOOKUP(D25,[1]TreeType!$A:$B,2,0),"")</f>
        <v/>
      </c>
      <c r="G25" s="152">
        <f>IF(B25&gt;0,IF(סקר!E34 = 0,1,סקר!E34),0)</f>
        <v>0</v>
      </c>
      <c r="H25" s="152">
        <f>IF(B25&gt;0,IF(סקר!F34 = 0,1,סקר!F34),0)</f>
        <v>0</v>
      </c>
      <c r="I25" s="152">
        <f>סקר!G34</f>
        <v>0</v>
      </c>
      <c r="J25" s="152">
        <f>סקר!H34</f>
        <v>0</v>
      </c>
      <c r="K25" s="152" t="e">
        <f>IF(D25="","",VLOOKUP(D25,[1]TreeType!$A$2:$E$508,3,3))</f>
        <v>#N/A</v>
      </c>
      <c r="L25" s="152">
        <f>IF(D25&gt;0,IF(סקר!M34=0,1,IF(סקר!M34=0,1,סקר!M34)),0)</f>
        <v>0</v>
      </c>
      <c r="M25" s="152">
        <f>סקר!J34</f>
        <v>0</v>
      </c>
      <c r="N25" s="152">
        <f>IF(D25&gt;0,IF(סקר!K34=0,1,IF(סקר!K34=0,1,סקר!K34)),0)</f>
        <v>0</v>
      </c>
      <c r="O25" s="152" t="e">
        <f t="shared" si="1"/>
        <v>#N/A</v>
      </c>
      <c r="P25" s="152">
        <f>IF(B25&gt;0,IF(סקר!O34 &lt;=1,1,סקר!O34),0)</f>
        <v>0</v>
      </c>
      <c r="Q25" s="152">
        <f>סקר!P34</f>
        <v>0</v>
      </c>
      <c r="R25" s="152">
        <f>סקר!R34</f>
        <v>0</v>
      </c>
      <c r="S25" s="152">
        <f>סקר!BC34</f>
        <v>0</v>
      </c>
      <c r="T25" s="156"/>
    </row>
    <row r="26" spans="1:20">
      <c r="A26" s="152" t="str">
        <f>IF(סקר!D35&lt;2,"עץ","פוליגון")</f>
        <v>עץ</v>
      </c>
      <c r="B26" s="152">
        <f>סקר!B35</f>
        <v>0</v>
      </c>
      <c r="C26" s="152">
        <f>IF(סקר!D35&lt;2,1,סקר!D35)</f>
        <v>1</v>
      </c>
      <c r="D26" s="152">
        <f>סקר!C35</f>
        <v>0</v>
      </c>
      <c r="E26" s="152" t="str">
        <f>IFERROR(VLOOKUP(F26,[1]TreeType!$A:$E,5,0),"")</f>
        <v/>
      </c>
      <c r="F26" s="153" t="str">
        <f>IFERROR(VLOOKUP(D26,[1]TreeType!$A:$B,2,0),"")</f>
        <v/>
      </c>
      <c r="G26" s="152">
        <f>IF(B26&gt;0,IF(סקר!E35 = 0,1,סקר!E35),0)</f>
        <v>0</v>
      </c>
      <c r="H26" s="152">
        <f>IF(B26&gt;0,IF(סקר!F35 = 0,1,סקר!F35),0)</f>
        <v>0</v>
      </c>
      <c r="I26" s="152">
        <f>סקר!G35</f>
        <v>0</v>
      </c>
      <c r="J26" s="152">
        <f>סקר!H35</f>
        <v>0</v>
      </c>
      <c r="K26" s="152" t="e">
        <f>IF(D26="","",VLOOKUP(D26,[1]TreeType!$A$2:$E$508,3,3))</f>
        <v>#N/A</v>
      </c>
      <c r="L26" s="152">
        <f>IF(D26&gt;0,IF(סקר!M35=0,1,IF(סקר!M35=0,1,סקר!M35)),0)</f>
        <v>0</v>
      </c>
      <c r="M26" s="152">
        <f>סקר!J35</f>
        <v>0</v>
      </c>
      <c r="N26" s="152">
        <f>IF(D26&gt;0,IF(סקר!K35=0,1,IF(סקר!K35=0,1,סקר!K35)),0)</f>
        <v>0</v>
      </c>
      <c r="O26" s="152" t="e">
        <f t="shared" si="1"/>
        <v>#N/A</v>
      </c>
      <c r="P26" s="152">
        <f>IF(B26&gt;0,IF(סקר!O35 &lt;=1,1,סקר!O35),0)</f>
        <v>0</v>
      </c>
      <c r="Q26" s="152">
        <f>סקר!P35</f>
        <v>0</v>
      </c>
      <c r="R26" s="152">
        <f>סקר!R35</f>
        <v>0</v>
      </c>
      <c r="S26" s="152">
        <f>סקר!BC35</f>
        <v>0</v>
      </c>
      <c r="T26" s="156"/>
    </row>
    <row r="27" spans="1:20">
      <c r="A27" s="152" t="str">
        <f>IF(סקר!D53&lt;2,"עץ","פוליגון")</f>
        <v>עץ</v>
      </c>
      <c r="B27" s="152">
        <f>סקר!B53</f>
        <v>0</v>
      </c>
      <c r="C27" s="152">
        <f>IF(סקר!D53&lt;2,1,סקר!D53)</f>
        <v>1</v>
      </c>
      <c r="D27" s="152">
        <f>סקר!C53</f>
        <v>0</v>
      </c>
      <c r="E27" s="152" t="str">
        <f>IFERROR(VLOOKUP(F27,[1]TreeType!$A:$E,5,0),"")</f>
        <v/>
      </c>
      <c r="F27" s="153" t="str">
        <f>IFERROR(VLOOKUP(D27,[1]TreeType!$A:$B,2,0),"")</f>
        <v/>
      </c>
      <c r="G27" s="152">
        <f>IF(B27&gt;0,IF(סקר!E53=0,1,סקר!E53),0)</f>
        <v>0</v>
      </c>
      <c r="H27" s="152">
        <f>IF(B27&gt;0,IF(סקר!F53 = 0,1,סקר!F53),0)</f>
        <v>0</v>
      </c>
      <c r="I27" s="152">
        <f>סקר!G53</f>
        <v>0</v>
      </c>
      <c r="J27" s="152">
        <f>סקר!H53</f>
        <v>0</v>
      </c>
      <c r="K27" s="152" t="e">
        <f>IF(D27="","",VLOOKUP(D27,[1]TreeType!$A$2:$E$508,3,3))</f>
        <v>#N/A</v>
      </c>
      <c r="L27" s="152">
        <f>IF(D27&gt;0,IF(סקר!M53=0,1,IF(סקר!M53=0,1,סקר!M53)),0)</f>
        <v>0</v>
      </c>
      <c r="M27" s="152">
        <f>סקר!J53</f>
        <v>0</v>
      </c>
      <c r="N27" s="152">
        <f>IF(D27&gt;0,IF(סקר!K53=0,1,IF(סקר!K53=0,1,סקר!K53)),0)</f>
        <v>0</v>
      </c>
      <c r="O27" s="152" t="e">
        <f t="shared" si="1"/>
        <v>#N/A</v>
      </c>
      <c r="P27" s="152">
        <f>IF(B27&gt;0,IF(סקר!O53 &lt;=1,1,סקר!O53),0)</f>
        <v>0</v>
      </c>
      <c r="Q27" s="152">
        <f>סקר!P53</f>
        <v>0</v>
      </c>
      <c r="R27" s="152">
        <f>סקר!R53</f>
        <v>0</v>
      </c>
      <c r="S27" s="152">
        <f>סקר!BC53</f>
        <v>0</v>
      </c>
      <c r="T27" s="156"/>
    </row>
    <row r="28" spans="1:20">
      <c r="A28" s="152" t="str">
        <f>IF(סקר!D54&lt;2,"עץ","פוליגון")</f>
        <v>עץ</v>
      </c>
      <c r="B28" s="152">
        <f>סקר!B54</f>
        <v>0</v>
      </c>
      <c r="C28" s="152">
        <f>IF(סקר!D54&lt;2,1,סקר!D54)</f>
        <v>1</v>
      </c>
      <c r="D28" s="152">
        <f>סקר!C54</f>
        <v>0</v>
      </c>
      <c r="E28" s="152" t="str">
        <f>IFERROR(VLOOKUP(F28,[1]TreeType!$A:$E,5,0),"")</f>
        <v/>
      </c>
      <c r="F28" s="153" t="str">
        <f>IFERROR(VLOOKUP(D28,[1]TreeType!$A:$B,2,0),"")</f>
        <v/>
      </c>
      <c r="G28" s="152">
        <f>IF(B28&gt;0,IF(סקר!E54=0,1,סקר!E54),0)</f>
        <v>0</v>
      </c>
      <c r="H28" s="152">
        <f>IF(B28&gt;0,IF(סקר!F54 = 0,1,סקר!F54),0)</f>
        <v>0</v>
      </c>
      <c r="I28" s="152">
        <f>סקר!G54</f>
        <v>0</v>
      </c>
      <c r="J28" s="152">
        <f>סקר!H54</f>
        <v>0</v>
      </c>
      <c r="K28" s="152" t="e">
        <f>IF(D28="","",VLOOKUP(D28,[1]TreeType!$A$2:$E$508,3,3))</f>
        <v>#N/A</v>
      </c>
      <c r="L28" s="152">
        <f>IF(D28&gt;0,IF(סקר!M54=0,1,IF(סקר!M54=0,1,סקר!M54)),0)</f>
        <v>0</v>
      </c>
      <c r="M28" s="152">
        <f>סקר!J54</f>
        <v>0</v>
      </c>
      <c r="N28" s="152">
        <f>IF(D28&gt;0,IF(סקר!K54=0,1,IF(סקר!K54=0,1,סקר!K54)),0)</f>
        <v>0</v>
      </c>
      <c r="O28" s="152" t="e">
        <f t="shared" si="1"/>
        <v>#N/A</v>
      </c>
      <c r="P28" s="152">
        <f>IF(B28&gt;0,IF(סקר!O54 &lt;=1,1,סקר!O54),0)</f>
        <v>0</v>
      </c>
      <c r="Q28" s="152">
        <f>סקר!P54</f>
        <v>0</v>
      </c>
      <c r="R28" s="152">
        <f>סקר!R54</f>
        <v>0</v>
      </c>
      <c r="S28" s="152">
        <f>סקר!BC54</f>
        <v>0</v>
      </c>
      <c r="T28" s="156"/>
    </row>
    <row r="29" spans="1:20">
      <c r="A29" s="152" t="str">
        <f>IF(סקר!D55&lt;2,"עץ","פוליגון")</f>
        <v>עץ</v>
      </c>
      <c r="B29" s="152">
        <f>סקר!B55</f>
        <v>0</v>
      </c>
      <c r="C29" s="152">
        <f>IF(סקר!D55&lt;2,1,סקר!D55)</f>
        <v>1</v>
      </c>
      <c r="D29" s="152">
        <f>סקר!C55</f>
        <v>0</v>
      </c>
      <c r="E29" s="152" t="str">
        <f>IFERROR(VLOOKUP(F29,[1]TreeType!$A:$E,5,0),"")</f>
        <v/>
      </c>
      <c r="F29" s="153" t="str">
        <f>IFERROR(VLOOKUP(D29,[1]TreeType!$A:$B,2,0),"")</f>
        <v/>
      </c>
      <c r="G29" s="152">
        <f>IF(B29&gt;0,IF(סקר!E55=0,1,סקר!E55),0)</f>
        <v>0</v>
      </c>
      <c r="H29" s="152">
        <f>IF(B29&gt;0,IF(סקר!F55 = 0,1,סקר!F55),0)</f>
        <v>0</v>
      </c>
      <c r="I29" s="152">
        <f>סקר!G55</f>
        <v>0</v>
      </c>
      <c r="J29" s="152">
        <f>סקר!H55</f>
        <v>0</v>
      </c>
      <c r="K29" s="152" t="e">
        <f>IF(D29="","",VLOOKUP(D29,[1]TreeType!$A$2:$E$508,3,3))</f>
        <v>#N/A</v>
      </c>
      <c r="L29" s="152">
        <f>IF(D29&gt;0,IF(סקר!M55=0,1,IF(סקר!M55=0,1,סקר!M55)),0)</f>
        <v>0</v>
      </c>
      <c r="M29" s="152">
        <f>סקר!J55</f>
        <v>0</v>
      </c>
      <c r="N29" s="152">
        <f>IF(D29&gt;0,IF(סקר!K55=0,1,IF(סקר!K55=0,1,סקר!K55)),0)</f>
        <v>0</v>
      </c>
      <c r="O29" s="152" t="e">
        <f t="shared" si="1"/>
        <v>#N/A</v>
      </c>
      <c r="P29" s="152">
        <f>IF(B29&gt;0,IF(סקר!O55 &lt;=1,1,סקר!O55),0)</f>
        <v>0</v>
      </c>
      <c r="Q29" s="152">
        <f>סקר!P55</f>
        <v>0</v>
      </c>
      <c r="R29" s="152">
        <f>סקר!R55</f>
        <v>0</v>
      </c>
      <c r="S29" s="152">
        <f>סקר!BC55</f>
        <v>0</v>
      </c>
      <c r="T29" s="156"/>
    </row>
    <row r="30" spans="1:20">
      <c r="A30" s="152" t="str">
        <f>IF(סקר!D56&lt;2,"עץ","פוליגון")</f>
        <v>עץ</v>
      </c>
      <c r="B30" s="152">
        <f>סקר!B56</f>
        <v>0</v>
      </c>
      <c r="C30" s="152">
        <f>IF(סקר!D56&lt;2,1,סקר!D56)</f>
        <v>1</v>
      </c>
      <c r="D30" s="152">
        <f>סקר!C56</f>
        <v>0</v>
      </c>
      <c r="E30" s="152" t="str">
        <f>IFERROR(VLOOKUP(F30,[1]TreeType!$A:$E,5,0),"")</f>
        <v/>
      </c>
      <c r="F30" s="153" t="str">
        <f>IFERROR(VLOOKUP(D30,[1]TreeType!$A:$B,2,0),"")</f>
        <v/>
      </c>
      <c r="G30" s="152">
        <f>IF(B30&gt;0,IF(סקר!E56=0,1,סקר!E56),0)</f>
        <v>0</v>
      </c>
      <c r="H30" s="152">
        <f>IF(B30&gt;0,IF(סקר!F56 = 0,1,סקר!F56),0)</f>
        <v>0</v>
      </c>
      <c r="I30" s="152">
        <f>סקר!G56</f>
        <v>0</v>
      </c>
      <c r="J30" s="152">
        <f>סקר!H56</f>
        <v>0</v>
      </c>
      <c r="K30" s="152" t="e">
        <f>IF(D30="","",VLOOKUP(D30,[1]TreeType!$A$2:$E$508,3,3))</f>
        <v>#N/A</v>
      </c>
      <c r="L30" s="152">
        <f>IF(D30&gt;0,IF(סקר!M56=0,1,IF(סקר!M56=0,1,סקר!M56)),0)</f>
        <v>0</v>
      </c>
      <c r="M30" s="152">
        <f>סקר!J56</f>
        <v>0</v>
      </c>
      <c r="N30" s="152">
        <f>IF(D30&gt;0,IF(סקר!K56=0,1,IF(סקר!K56=0,1,סקר!K56)),0)</f>
        <v>0</v>
      </c>
      <c r="O30" s="152" t="e">
        <f t="shared" si="1"/>
        <v>#N/A</v>
      </c>
      <c r="P30" s="152">
        <f>IF(B30&gt;0,IF(סקר!O56 &lt;=1,1,סקר!O56),0)</f>
        <v>0</v>
      </c>
      <c r="Q30" s="152">
        <f>סקר!P56</f>
        <v>0</v>
      </c>
      <c r="R30" s="152">
        <f>סקר!R56</f>
        <v>0</v>
      </c>
      <c r="S30" s="152">
        <f>סקר!BC56</f>
        <v>0</v>
      </c>
      <c r="T30" s="156"/>
    </row>
    <row r="31" spans="1:20">
      <c r="A31" s="152" t="str">
        <f>IF(סקר!D57&lt;2,"עץ","פוליגון")</f>
        <v>עץ</v>
      </c>
      <c r="B31" s="152">
        <f>סקר!B57</f>
        <v>0</v>
      </c>
      <c r="C31" s="152">
        <f>IF(סקר!D57&lt;2,1,סקר!D57)</f>
        <v>1</v>
      </c>
      <c r="D31" s="152">
        <f>סקר!C57</f>
        <v>0</v>
      </c>
      <c r="E31" s="152" t="str">
        <f>IFERROR(VLOOKUP(F31,[1]TreeType!$A:$E,5,0),"")</f>
        <v/>
      </c>
      <c r="F31" s="153" t="str">
        <f>IFERROR(VLOOKUP(D31,[1]TreeType!$A:$B,2,0),"")</f>
        <v/>
      </c>
      <c r="G31" s="152">
        <f>IF(B31&gt;0,IF(סקר!E57=0,1,סקר!E57),0)</f>
        <v>0</v>
      </c>
      <c r="H31" s="152">
        <f>IF(B31&gt;0,IF(סקר!F57 = 0,1,סקר!F57),0)</f>
        <v>0</v>
      </c>
      <c r="I31" s="152">
        <f>סקר!G57</f>
        <v>0</v>
      </c>
      <c r="J31" s="152">
        <f>סקר!H57</f>
        <v>0</v>
      </c>
      <c r="K31" s="152" t="e">
        <f>IF(D31="","",VLOOKUP(D31,[1]TreeType!$A$2:$E$508,3,3))</f>
        <v>#N/A</v>
      </c>
      <c r="L31" s="152">
        <f>IF(D31&gt;0,IF(סקר!M57=0,1,IF(סקר!M57=0,1,סקר!M57)),0)</f>
        <v>0</v>
      </c>
      <c r="M31" s="152">
        <f>סקר!J57</f>
        <v>0</v>
      </c>
      <c r="N31" s="152">
        <f>IF(D31&gt;0,IF(סקר!K57=0,1,IF(סקר!K57=0,1,סקר!K57)),0)</f>
        <v>0</v>
      </c>
      <c r="O31" s="152" t="e">
        <f t="shared" si="1"/>
        <v>#N/A</v>
      </c>
      <c r="P31" s="152">
        <f>IF(B31&gt;0,IF(סקר!O57 &lt;=1,1,סקר!O57),0)</f>
        <v>0</v>
      </c>
      <c r="Q31" s="152">
        <f>סקר!P57</f>
        <v>0</v>
      </c>
      <c r="R31" s="152">
        <f>סקר!R57</f>
        <v>0</v>
      </c>
      <c r="S31" s="152">
        <f>סקר!BC57</f>
        <v>0</v>
      </c>
      <c r="T31" s="156"/>
    </row>
    <row r="32" spans="1:20">
      <c r="A32" s="152" t="str">
        <f>IF(סקר!D58&lt;2,"עץ","פוליגון")</f>
        <v>עץ</v>
      </c>
      <c r="B32" s="152">
        <f>סקר!B58</f>
        <v>0</v>
      </c>
      <c r="C32" s="152">
        <f>IF(סקר!D58&lt;2,1,סקר!D58)</f>
        <v>1</v>
      </c>
      <c r="D32" s="152">
        <f>סקר!C58</f>
        <v>0</v>
      </c>
      <c r="E32" s="152" t="str">
        <f>IFERROR(VLOOKUP(F32,[1]TreeType!$A:$E,5,0),"")</f>
        <v/>
      </c>
      <c r="F32" s="153" t="str">
        <f>IFERROR(VLOOKUP(D32,[1]TreeType!$A:$B,2,0),"")</f>
        <v/>
      </c>
      <c r="G32" s="152">
        <f>IF(B32&gt;0,IF(סקר!E58=0,1,סקר!E58),0)</f>
        <v>0</v>
      </c>
      <c r="H32" s="152">
        <f>IF(B32&gt;0,IF(סקר!F58 = 0,1,סקר!F58),0)</f>
        <v>0</v>
      </c>
      <c r="I32" s="152">
        <f>סקר!G58</f>
        <v>0</v>
      </c>
      <c r="J32" s="152">
        <f>סקר!H58</f>
        <v>0</v>
      </c>
      <c r="K32" s="152" t="e">
        <f>IF(D32="","",VLOOKUP(D32,[1]TreeType!$A$2:$E$508,3,3))</f>
        <v>#N/A</v>
      </c>
      <c r="L32" s="152">
        <f>IF(D32&gt;0,IF(סקר!M58=0,1,IF(סקר!M58=0,1,סקר!M58)),0)</f>
        <v>0</v>
      </c>
      <c r="M32" s="152">
        <f>סקר!J58</f>
        <v>0</v>
      </c>
      <c r="N32" s="152">
        <f>IF(D32&gt;0,IF(סקר!K58=0,1,IF(סקר!K58=0,1,סקר!K58)),0)</f>
        <v>0</v>
      </c>
      <c r="O32" s="152" t="e">
        <f t="shared" si="1"/>
        <v>#N/A</v>
      </c>
      <c r="P32" s="152">
        <f>IF(B32&gt;0,IF(סקר!O58 &lt;=1,1,סקר!O58),0)</f>
        <v>0</v>
      </c>
      <c r="Q32" s="152">
        <f>סקר!P58</f>
        <v>0</v>
      </c>
      <c r="R32" s="152">
        <f>סקר!R58</f>
        <v>0</v>
      </c>
      <c r="S32" s="152">
        <f>סקר!BC58</f>
        <v>0</v>
      </c>
      <c r="T32" s="156"/>
    </row>
    <row r="33" spans="1:20">
      <c r="A33" s="152" t="str">
        <f>IF(סקר!D59&lt;2,"עץ","פוליגון")</f>
        <v>עץ</v>
      </c>
      <c r="B33" s="152">
        <f>סקר!B59</f>
        <v>0</v>
      </c>
      <c r="C33" s="152">
        <f>IF(סקר!D59&lt;2,1,סקר!D59)</f>
        <v>1</v>
      </c>
      <c r="D33" s="152">
        <f>סקר!C59</f>
        <v>0</v>
      </c>
      <c r="E33" s="152" t="str">
        <f>IFERROR(VLOOKUP(F33,[1]TreeType!$A:$E,5,0),"")</f>
        <v/>
      </c>
      <c r="F33" s="153" t="str">
        <f>IFERROR(VLOOKUP(D33,[1]TreeType!$A:$B,2,0),"")</f>
        <v/>
      </c>
      <c r="G33" s="152">
        <f>IF(B33&gt;0,IF(סקר!E59=0,1,סקר!E59),0)</f>
        <v>0</v>
      </c>
      <c r="H33" s="152">
        <f>IF(B33&gt;0,IF(סקר!F59 = 0,1,סקר!F59),0)</f>
        <v>0</v>
      </c>
      <c r="I33" s="152">
        <f>סקר!G59</f>
        <v>0</v>
      </c>
      <c r="J33" s="152">
        <f>סקר!H59</f>
        <v>0</v>
      </c>
      <c r="K33" s="152" t="e">
        <f>IF(D33="","",VLOOKUP(D33,[1]TreeType!$A$2:$E$508,3,3))</f>
        <v>#N/A</v>
      </c>
      <c r="L33" s="152">
        <f>IF(D33&gt;0,IF(סקר!M59=0,1,IF(סקר!M59=0,1,סקר!M59)),0)</f>
        <v>0</v>
      </c>
      <c r="M33" s="152">
        <f>סקר!J59</f>
        <v>0</v>
      </c>
      <c r="N33" s="152">
        <f>IF(D33&gt;0,IF(סקר!K59=0,1,IF(סקר!K59=0,1,סקר!K59)),0)</f>
        <v>0</v>
      </c>
      <c r="O33" s="152" t="e">
        <f t="shared" si="1"/>
        <v>#N/A</v>
      </c>
      <c r="P33" s="152">
        <f>IF(B33&gt;0,IF(סקר!O59 &lt;=1,1,סקר!O59),0)</f>
        <v>0</v>
      </c>
      <c r="Q33" s="152">
        <f>סקר!P59</f>
        <v>0</v>
      </c>
      <c r="R33" s="152">
        <f>סקר!R59</f>
        <v>0</v>
      </c>
      <c r="S33" s="152">
        <f>סקר!BC59</f>
        <v>0</v>
      </c>
      <c r="T33" s="156"/>
    </row>
    <row r="34" spans="1:20">
      <c r="A34" s="152" t="str">
        <f>IF(סקר!D60&lt;2,"עץ","פוליגון")</f>
        <v>עץ</v>
      </c>
      <c r="B34" s="152">
        <f>סקר!B60</f>
        <v>0</v>
      </c>
      <c r="C34" s="152">
        <f>IF(סקר!D60&lt;2,1,סקר!D60)</f>
        <v>1</v>
      </c>
      <c r="D34" s="152">
        <f>סקר!C60</f>
        <v>0</v>
      </c>
      <c r="E34" s="152" t="str">
        <f>IFERROR(VLOOKUP(F34,[1]TreeType!$A:$E,5,0),"")</f>
        <v/>
      </c>
      <c r="F34" s="153" t="str">
        <f>IFERROR(VLOOKUP(D34,[1]TreeType!$A:$B,2,0),"")</f>
        <v/>
      </c>
      <c r="G34" s="152">
        <f>IF(B34&gt;0,IF(סקר!E60=0,1,סקר!E60),0)</f>
        <v>0</v>
      </c>
      <c r="H34" s="152">
        <f>IF(B34&gt;0,IF(סקר!F60 = 0,1,סקר!F60),0)</f>
        <v>0</v>
      </c>
      <c r="I34" s="152">
        <f>סקר!G60</f>
        <v>0</v>
      </c>
      <c r="J34" s="152">
        <f>סקר!H60</f>
        <v>0</v>
      </c>
      <c r="K34" s="152" t="e">
        <f>IF(D34="","",VLOOKUP(D34,[1]TreeType!$A$2:$E$508,3,3))</f>
        <v>#N/A</v>
      </c>
      <c r="L34" s="152">
        <f>IF(D34&gt;0,IF(סקר!M60=0,1,IF(סקר!M60=0,1,סקר!M60)),0)</f>
        <v>0</v>
      </c>
      <c r="M34" s="152">
        <f>סקר!J60</f>
        <v>0</v>
      </c>
      <c r="N34" s="152">
        <f>IF(D34&gt;0,IF(סקר!K60=0,1,IF(סקר!K60=0,1,סקר!K60)),0)</f>
        <v>0</v>
      </c>
      <c r="O34" s="152" t="e">
        <f t="shared" si="1"/>
        <v>#N/A</v>
      </c>
      <c r="P34" s="152">
        <f>IF(B34&gt;0,IF(סקר!O60 &lt;=1,1,סקר!O60),0)</f>
        <v>0</v>
      </c>
      <c r="Q34" s="152">
        <f>סקר!P60</f>
        <v>0</v>
      </c>
      <c r="R34" s="152">
        <f>סקר!R60</f>
        <v>0</v>
      </c>
      <c r="S34" s="152">
        <f>סקר!BC60</f>
        <v>0</v>
      </c>
      <c r="T34" s="156"/>
    </row>
    <row r="35" spans="1:20">
      <c r="A35" s="152" t="str">
        <f>IF(סקר!D61&lt;2,"עץ","פוליגון")</f>
        <v>עץ</v>
      </c>
      <c r="B35" s="152">
        <f>סקר!B61</f>
        <v>0</v>
      </c>
      <c r="C35" s="152">
        <f>IF(סקר!D61&lt;2,1,סקר!D61)</f>
        <v>1</v>
      </c>
      <c r="D35" s="152">
        <f>סקר!C61</f>
        <v>0</v>
      </c>
      <c r="E35" s="152" t="str">
        <f>IFERROR(VLOOKUP(F35,[1]TreeType!$A:$E,5,0),"")</f>
        <v/>
      </c>
      <c r="F35" s="153" t="str">
        <f>IFERROR(VLOOKUP(D35,[1]TreeType!$A:$B,2,0),"")</f>
        <v/>
      </c>
      <c r="G35" s="152">
        <f>IF(B35&gt;0,IF(סקר!E61=0,1,סקר!E61),0)</f>
        <v>0</v>
      </c>
      <c r="H35" s="152">
        <f>IF(B35&gt;0,IF(סקר!F61 = 0,1,סקר!F61),0)</f>
        <v>0</v>
      </c>
      <c r="I35" s="152">
        <f>סקר!G61</f>
        <v>0</v>
      </c>
      <c r="J35" s="152">
        <f>סקר!H61</f>
        <v>0</v>
      </c>
      <c r="K35" s="152" t="e">
        <f>IF(D35="","",VLOOKUP(D35,[1]TreeType!$A$2:$E$508,3,3))</f>
        <v>#N/A</v>
      </c>
      <c r="L35" s="152">
        <f>IF(D35&gt;0,IF(סקר!M61=0,1,IF(סקר!M61=0,1,סקר!M61)),0)</f>
        <v>0</v>
      </c>
      <c r="M35" s="152">
        <f>סקר!J61</f>
        <v>0</v>
      </c>
      <c r="N35" s="152">
        <f>IF(D35&gt;0,IF(סקר!K61=0,1,IF(סקר!K61=0,1,סקר!K61)),0)</f>
        <v>0</v>
      </c>
      <c r="O35" s="152" t="e">
        <f t="shared" si="1"/>
        <v>#N/A</v>
      </c>
      <c r="P35" s="152">
        <f>IF(B35&gt;0,IF(סקר!O61 &lt;=1,1,סקר!O61),0)</f>
        <v>0</v>
      </c>
      <c r="Q35" s="152">
        <f>סקר!P61</f>
        <v>0</v>
      </c>
      <c r="R35" s="152">
        <f>סקר!R61</f>
        <v>0</v>
      </c>
      <c r="S35" s="152">
        <f>סקר!BC61</f>
        <v>0</v>
      </c>
      <c r="T35" s="156"/>
    </row>
    <row r="36" spans="1:20">
      <c r="A36" s="152" t="str">
        <f>IF(סקר!D62&lt;2,"עץ","פוליגון")</f>
        <v>עץ</v>
      </c>
      <c r="B36" s="152">
        <f>סקר!B62</f>
        <v>0</v>
      </c>
      <c r="C36" s="152">
        <f>IF(סקר!D62&lt;2,1,סקר!D62)</f>
        <v>1</v>
      </c>
      <c r="D36" s="152">
        <f>סקר!C62</f>
        <v>0</v>
      </c>
      <c r="E36" s="152" t="str">
        <f>IFERROR(VLOOKUP(F36,[1]TreeType!$A:$E,5,0),"")</f>
        <v/>
      </c>
      <c r="F36" s="153" t="str">
        <f>IFERROR(VLOOKUP(D36,[1]TreeType!$A:$B,2,0),"")</f>
        <v/>
      </c>
      <c r="G36" s="152">
        <f>IF(B36&gt;0,IF(סקר!E62=0,1,סקר!E62),0)</f>
        <v>0</v>
      </c>
      <c r="H36" s="152">
        <f>IF(B36&gt;0,IF(סקר!F62 = 0,1,סקר!F62),0)</f>
        <v>0</v>
      </c>
      <c r="I36" s="152">
        <f>סקר!G62</f>
        <v>0</v>
      </c>
      <c r="J36" s="152">
        <f>סקר!H62</f>
        <v>0</v>
      </c>
      <c r="K36" s="152" t="e">
        <f>IF(D36="","",VLOOKUP(D36,[1]TreeType!$A$2:$E$508,3,3))</f>
        <v>#N/A</v>
      </c>
      <c r="L36" s="152">
        <f>IF(D36&gt;0,IF(סקר!M62=0,1,IF(סקר!M62=0,1,סקר!M62)),0)</f>
        <v>0</v>
      </c>
      <c r="M36" s="152">
        <f>סקר!J62</f>
        <v>0</v>
      </c>
      <c r="N36" s="152">
        <f>IF(D36&gt;0,IF(סקר!K62=0,1,IF(סקר!K62=0,1,סקר!K62)),0)</f>
        <v>0</v>
      </c>
      <c r="O36" s="152" t="e">
        <f t="shared" si="1"/>
        <v>#N/A</v>
      </c>
      <c r="P36" s="152">
        <f>IF(B36&gt;0,IF(סקר!O62 &lt;=1,1,סקר!O62),0)</f>
        <v>0</v>
      </c>
      <c r="Q36" s="152">
        <f>סקר!P62</f>
        <v>0</v>
      </c>
      <c r="R36" s="152">
        <f>סקר!R62</f>
        <v>0</v>
      </c>
      <c r="S36" s="152">
        <f>סקר!BC62</f>
        <v>0</v>
      </c>
      <c r="T36" s="156"/>
    </row>
    <row r="37" spans="1:20">
      <c r="A37" s="152" t="str">
        <f>IF(סקר!D63&lt;2,"עץ","פוליגון")</f>
        <v>עץ</v>
      </c>
      <c r="B37" s="152">
        <f>סקר!B63</f>
        <v>0</v>
      </c>
      <c r="C37" s="152">
        <f>IF(סקר!D63&lt;2,1,סקר!D63)</f>
        <v>1</v>
      </c>
      <c r="D37" s="152">
        <f>סקר!C63</f>
        <v>0</v>
      </c>
      <c r="E37" s="152" t="str">
        <f>IFERROR(VLOOKUP(F37,[1]TreeType!$A:$E,5,0),"")</f>
        <v/>
      </c>
      <c r="F37" s="153" t="str">
        <f>IFERROR(VLOOKUP(D37,[1]TreeType!$A:$B,2,0),"")</f>
        <v/>
      </c>
      <c r="G37" s="152">
        <f>IF(B37&gt;0,IF(סקר!E63=0,1,סקר!E63),0)</f>
        <v>0</v>
      </c>
      <c r="H37" s="152">
        <f>IF(B37&gt;0,IF(סקר!F63 = 0,1,סקר!F63),0)</f>
        <v>0</v>
      </c>
      <c r="I37" s="152">
        <f>סקר!G63</f>
        <v>0</v>
      </c>
      <c r="J37" s="152">
        <f>סקר!H63</f>
        <v>0</v>
      </c>
      <c r="K37" s="152" t="e">
        <f>IF(D37="","",VLOOKUP(D37,[1]TreeType!$A$2:$E$508,3,3))</f>
        <v>#N/A</v>
      </c>
      <c r="L37" s="152">
        <f>IF(D37&gt;0,IF(סקר!M63=0,1,IF(סקר!M63=0,1,סקר!M63)),0)</f>
        <v>0</v>
      </c>
      <c r="M37" s="152">
        <f>סקר!J63</f>
        <v>0</v>
      </c>
      <c r="N37" s="152">
        <f>IF(D37&gt;0,IF(סקר!K63=0,1,IF(סקר!K63=0,1,סקר!K63)),0)</f>
        <v>0</v>
      </c>
      <c r="O37" s="152" t="e">
        <f t="shared" si="1"/>
        <v>#N/A</v>
      </c>
      <c r="P37" s="152">
        <f>IF(B37&gt;0,IF(סקר!O63 &lt;=1,1,סקר!O63),0)</f>
        <v>0</v>
      </c>
      <c r="Q37" s="152">
        <f>סקר!P63</f>
        <v>0</v>
      </c>
      <c r="R37" s="152">
        <f>סקר!R63</f>
        <v>0</v>
      </c>
      <c r="S37" s="152">
        <f>סקר!BC63</f>
        <v>0</v>
      </c>
      <c r="T37" s="156"/>
    </row>
    <row r="38" spans="1:20">
      <c r="A38" s="152" t="str">
        <f>IF(סקר!D64&lt;2,"עץ","פוליגון")</f>
        <v>עץ</v>
      </c>
      <c r="B38" s="152">
        <f>סקר!B64</f>
        <v>0</v>
      </c>
      <c r="C38" s="152">
        <f>IF(סקר!D64&lt;2,1,סקר!D64)</f>
        <v>1</v>
      </c>
      <c r="D38" s="152">
        <f>סקר!C64</f>
        <v>0</v>
      </c>
      <c r="E38" s="152" t="str">
        <f>IFERROR(VLOOKUP(F38,[1]TreeType!$A:$E,5,0),"")</f>
        <v/>
      </c>
      <c r="F38" s="153" t="str">
        <f>IFERROR(VLOOKUP(D38,[1]TreeType!$A:$B,2,0),"")</f>
        <v/>
      </c>
      <c r="G38" s="152">
        <f>IF(B38&gt;0,IF(סקר!E64=0,1,סקר!E64),0)</f>
        <v>0</v>
      </c>
      <c r="H38" s="152">
        <f>IF(B38&gt;0,IF(סקר!F64 = 0,1,סקר!F64),0)</f>
        <v>0</v>
      </c>
      <c r="I38" s="152">
        <f>סקר!G64</f>
        <v>0</v>
      </c>
      <c r="J38" s="152">
        <f>סקר!H64</f>
        <v>0</v>
      </c>
      <c r="K38" s="152" t="e">
        <f>IF(D38="","",VLOOKUP(D38,[1]TreeType!$A$2:$E$508,3,3))</f>
        <v>#N/A</v>
      </c>
      <c r="L38" s="152">
        <f>IF(D38&gt;0,IF(סקר!M64=0,1,IF(סקר!M64=0,1,סקר!M64)),0)</f>
        <v>0</v>
      </c>
      <c r="M38" s="152">
        <f>סקר!J64</f>
        <v>0</v>
      </c>
      <c r="N38" s="152">
        <f>IF(D38&gt;0,IF(סקר!K64=0,1,IF(סקר!K64=0,1,סקר!K64)),0)</f>
        <v>0</v>
      </c>
      <c r="O38" s="152" t="e">
        <f t="shared" si="1"/>
        <v>#N/A</v>
      </c>
      <c r="P38" s="152">
        <f>IF(B38&gt;0,IF(סקר!O64 &lt;=1,1,סקר!O64),0)</f>
        <v>0</v>
      </c>
      <c r="Q38" s="152">
        <f>סקר!P64</f>
        <v>0</v>
      </c>
      <c r="R38" s="152">
        <f>סקר!R64</f>
        <v>0</v>
      </c>
      <c r="S38" s="152">
        <f>סקר!BC64</f>
        <v>0</v>
      </c>
      <c r="T38" s="156"/>
    </row>
    <row r="39" spans="1:20">
      <c r="A39" s="152" t="str">
        <f>IF(סקר!D65&lt;2,"עץ","פוליגון")</f>
        <v>עץ</v>
      </c>
      <c r="B39" s="152">
        <f>סקר!B65</f>
        <v>0</v>
      </c>
      <c r="C39" s="152">
        <f>IF(סקר!D65&lt;2,1,סקר!D65)</f>
        <v>1</v>
      </c>
      <c r="D39" s="152">
        <f>סקר!C65</f>
        <v>0</v>
      </c>
      <c r="E39" s="152" t="str">
        <f>IFERROR(VLOOKUP(F39,[1]TreeType!$A:$E,5,0),"")</f>
        <v/>
      </c>
      <c r="F39" s="153" t="str">
        <f>IFERROR(VLOOKUP(D39,[1]TreeType!$A:$B,2,0),"")</f>
        <v/>
      </c>
      <c r="G39" s="152">
        <f>IF(B39&gt;0,IF(סקר!E65=0,1,סקר!E65),0)</f>
        <v>0</v>
      </c>
      <c r="H39" s="152">
        <f>IF(B39&gt;0,IF(סקר!F65 = 0,1,סקר!F65),0)</f>
        <v>0</v>
      </c>
      <c r="I39" s="152">
        <f>סקר!G65</f>
        <v>0</v>
      </c>
      <c r="J39" s="152">
        <f>סקר!H65</f>
        <v>0</v>
      </c>
      <c r="K39" s="152" t="e">
        <f>IF(D39="","",VLOOKUP(D39,[1]TreeType!$A$2:$E$508,3,3))</f>
        <v>#N/A</v>
      </c>
      <c r="L39" s="152">
        <f>IF(D39&gt;0,IF(סקר!M65=0,1,IF(סקר!M65=0,1,סקר!M65)),0)</f>
        <v>0</v>
      </c>
      <c r="M39" s="152">
        <f>סקר!J65</f>
        <v>0</v>
      </c>
      <c r="N39" s="152">
        <f>IF(D39&gt;0,IF(סקר!K65=0,1,IF(סקר!K65=0,1,סקר!K65)),0)</f>
        <v>0</v>
      </c>
      <c r="O39" s="152" t="e">
        <f t="shared" si="1"/>
        <v>#N/A</v>
      </c>
      <c r="P39" s="152">
        <f>IF(B39&gt;0,IF(סקר!O65 &lt;=1,1,סקר!O65),0)</f>
        <v>0</v>
      </c>
      <c r="Q39" s="152">
        <f>סקר!P65</f>
        <v>0</v>
      </c>
      <c r="R39" s="152">
        <f>סקר!R65</f>
        <v>0</v>
      </c>
      <c r="S39" s="152">
        <f>סקר!BC65</f>
        <v>0</v>
      </c>
      <c r="T39" s="156"/>
    </row>
    <row r="40" spans="1:20">
      <c r="A40" s="152" t="str">
        <f>IF(סקר!D66&lt;2,"עץ","פוליגון")</f>
        <v>עץ</v>
      </c>
      <c r="B40" s="152">
        <f>סקר!B66</f>
        <v>0</v>
      </c>
      <c r="C40" s="152">
        <f>IF(סקר!D66&lt;2,1,סקר!D66)</f>
        <v>1</v>
      </c>
      <c r="D40" s="152">
        <f>סקר!C66</f>
        <v>0</v>
      </c>
      <c r="E40" s="152" t="str">
        <f>IFERROR(VLOOKUP(F40,[1]TreeType!$A:$E,5,0),"")</f>
        <v/>
      </c>
      <c r="F40" s="153" t="str">
        <f>IFERROR(VLOOKUP(D40,[1]TreeType!$A:$B,2,0),"")</f>
        <v/>
      </c>
      <c r="G40" s="152">
        <f>IF(B40&gt;0,IF(סקר!E66=0,1,סקר!E66),0)</f>
        <v>0</v>
      </c>
      <c r="H40" s="152">
        <f>IF(B40&gt;0,IF(סקר!F66 = 0,1,סקר!F66),0)</f>
        <v>0</v>
      </c>
      <c r="I40" s="152">
        <f>סקר!G66</f>
        <v>0</v>
      </c>
      <c r="J40" s="152">
        <f>סקר!H66</f>
        <v>0</v>
      </c>
      <c r="K40" s="152" t="e">
        <f>IF(D40="","",VLOOKUP(D40,[1]TreeType!$A$2:$E$508,3,3))</f>
        <v>#N/A</v>
      </c>
      <c r="L40" s="152">
        <f>IF(D40&gt;0,IF(סקר!M66=0,1,IF(סקר!M66=0,1,סקר!M66)),0)</f>
        <v>0</v>
      </c>
      <c r="M40" s="152">
        <f>סקר!J66</f>
        <v>0</v>
      </c>
      <c r="N40" s="152">
        <f>IF(D40&gt;0,IF(סקר!K66=0,1,IF(סקר!K66=0,1,סקר!K66)),0)</f>
        <v>0</v>
      </c>
      <c r="O40" s="152" t="e">
        <f t="shared" si="1"/>
        <v>#N/A</v>
      </c>
      <c r="P40" s="152">
        <f>IF(B40&gt;0,IF(סקר!O66 &lt;=1,1,סקר!O66),0)</f>
        <v>0</v>
      </c>
      <c r="Q40" s="152">
        <f>סקר!P66</f>
        <v>0</v>
      </c>
      <c r="R40" s="152">
        <f>סקר!R66</f>
        <v>0</v>
      </c>
      <c r="S40" s="152">
        <f>סקר!BC66</f>
        <v>0</v>
      </c>
      <c r="T40" s="156"/>
    </row>
    <row r="41" spans="1:20">
      <c r="A41" s="152" t="str">
        <f>IF(סקר!D67&lt;2,"עץ","פוליגון")</f>
        <v>עץ</v>
      </c>
      <c r="B41" s="152">
        <f>סקר!B67</f>
        <v>0</v>
      </c>
      <c r="C41" s="152">
        <f>IF(סקר!D67&lt;2,1,סקר!D67)</f>
        <v>1</v>
      </c>
      <c r="D41" s="152">
        <f>סקר!C67</f>
        <v>0</v>
      </c>
      <c r="E41" s="152" t="str">
        <f>IFERROR(VLOOKUP(F41,[1]TreeType!$A:$E,5,0),"")</f>
        <v/>
      </c>
      <c r="F41" s="153" t="str">
        <f>IFERROR(VLOOKUP(D41,[1]TreeType!$A:$B,2,0),"")</f>
        <v/>
      </c>
      <c r="G41" s="152">
        <f>IF(B41&gt;0,IF(סקר!E67=0,1,סקר!E67),0)</f>
        <v>0</v>
      </c>
      <c r="H41" s="152">
        <f>IF(B41&gt;0,IF(סקר!F67 = 0,1,סקר!F67),0)</f>
        <v>0</v>
      </c>
      <c r="I41" s="152">
        <f>סקר!G67</f>
        <v>0</v>
      </c>
      <c r="J41" s="152">
        <f>סקר!H67</f>
        <v>0</v>
      </c>
      <c r="K41" s="152" t="e">
        <f>IF(D41="","",VLOOKUP(D41,[1]TreeType!$A$2:$E$508,3,3))</f>
        <v>#N/A</v>
      </c>
      <c r="L41" s="152">
        <f>IF(D41&gt;0,IF(סקר!M67=0,1,IF(סקר!M67=0,1,סקר!M67)),0)</f>
        <v>0</v>
      </c>
      <c r="M41" s="152">
        <f>סקר!J67</f>
        <v>0</v>
      </c>
      <c r="N41" s="152">
        <f>IF(D41&gt;0,IF(סקר!K67=0,1,IF(סקר!K67=0,1,סקר!K67)),0)</f>
        <v>0</v>
      </c>
      <c r="O41" s="152" t="e">
        <f t="shared" si="1"/>
        <v>#N/A</v>
      </c>
      <c r="P41" s="152">
        <f>IF(B41&gt;0,IF(סקר!O67 &lt;=1,1,סקר!O67),0)</f>
        <v>0</v>
      </c>
      <c r="Q41" s="152">
        <f>סקר!P67</f>
        <v>0</v>
      </c>
      <c r="R41" s="152">
        <f>סקר!R67</f>
        <v>0</v>
      </c>
      <c r="S41" s="152">
        <f>סקר!BC67</f>
        <v>0</v>
      </c>
      <c r="T41" s="156"/>
    </row>
    <row r="42" spans="1:20">
      <c r="A42" s="152" t="str">
        <f>IF(סקר!D68&lt;2,"עץ","פוליגון")</f>
        <v>עץ</v>
      </c>
      <c r="B42" s="152">
        <f>סקר!B68</f>
        <v>0</v>
      </c>
      <c r="C42" s="152">
        <f>IF(סקר!D68&lt;2,1,סקר!D68)</f>
        <v>1</v>
      </c>
      <c r="D42" s="152">
        <f>סקר!C68</f>
        <v>0</v>
      </c>
      <c r="E42" s="152" t="str">
        <f>IFERROR(VLOOKUP(F42,[1]TreeType!$A:$E,5,0),"")</f>
        <v/>
      </c>
      <c r="F42" s="153" t="str">
        <f>IFERROR(VLOOKUP(D42,[1]TreeType!$A:$B,2,0),"")</f>
        <v/>
      </c>
      <c r="G42" s="152">
        <f>IF(B42&gt;0,IF(סקר!E68=0,1,סקר!E68),0)</f>
        <v>0</v>
      </c>
      <c r="H42" s="152">
        <f>IF(B42&gt;0,IF(סקר!F68 = 0,1,סקר!F68),0)</f>
        <v>0</v>
      </c>
      <c r="I42" s="152">
        <f>סקר!G68</f>
        <v>0</v>
      </c>
      <c r="J42" s="152">
        <f>סקר!H68</f>
        <v>0</v>
      </c>
      <c r="K42" s="152" t="e">
        <f>IF(D42="","",VLOOKUP(D42,[1]TreeType!$A$2:$E$508,3,3))</f>
        <v>#N/A</v>
      </c>
      <c r="L42" s="152">
        <f>IF(D42&gt;0,IF(סקר!M68=0,1,IF(סקר!M68=0,1,סקר!M68)),0)</f>
        <v>0</v>
      </c>
      <c r="M42" s="152">
        <f>סקר!J68</f>
        <v>0</v>
      </c>
      <c r="N42" s="152">
        <f>IF(D42&gt;0,IF(סקר!K68=0,1,IF(סקר!K68=0,1,סקר!K68)),0)</f>
        <v>0</v>
      </c>
      <c r="O42" s="152" t="e">
        <f t="shared" si="1"/>
        <v>#N/A</v>
      </c>
      <c r="P42" s="152">
        <f>IF(B42&gt;0,IF(סקר!O68 &lt;=1,1,סקר!O68),0)</f>
        <v>0</v>
      </c>
      <c r="Q42" s="152">
        <f>סקר!P68</f>
        <v>0</v>
      </c>
      <c r="R42" s="152">
        <f>סקר!R68</f>
        <v>0</v>
      </c>
      <c r="S42" s="152">
        <f>סקר!BC68</f>
        <v>0</v>
      </c>
      <c r="T42" s="156"/>
    </row>
    <row r="43" spans="1:20">
      <c r="A43" s="152" t="str">
        <f>IF(סקר!D69&lt;2,"עץ","פוליגון")</f>
        <v>עץ</v>
      </c>
      <c r="B43" s="152">
        <f>סקר!B69</f>
        <v>0</v>
      </c>
      <c r="C43" s="152">
        <f>IF(סקר!D69&lt;2,1,סקר!D69)</f>
        <v>1</v>
      </c>
      <c r="D43" s="152">
        <f>סקר!C69</f>
        <v>0</v>
      </c>
      <c r="E43" s="152" t="str">
        <f>IFERROR(VLOOKUP(F43,[1]TreeType!$A:$E,5,0),"")</f>
        <v/>
      </c>
      <c r="F43" s="153" t="str">
        <f>IFERROR(VLOOKUP(D43,[1]TreeType!$A:$B,2,0),"")</f>
        <v/>
      </c>
      <c r="G43" s="152">
        <f>IF(B43&gt;0,IF(סקר!E69=0,1,סקר!E69),0)</f>
        <v>0</v>
      </c>
      <c r="H43" s="152">
        <f>IF(B43&gt;0,IF(סקר!F69 = 0,1,סקר!F69),0)</f>
        <v>0</v>
      </c>
      <c r="I43" s="152">
        <f>סקר!G69</f>
        <v>0</v>
      </c>
      <c r="J43" s="152">
        <f>סקר!H69</f>
        <v>0</v>
      </c>
      <c r="K43" s="152" t="e">
        <f>IF(D43="","",VLOOKUP(D43,[1]TreeType!$A$2:$E$508,3,3))</f>
        <v>#N/A</v>
      </c>
      <c r="L43" s="152">
        <f>IF(D43&gt;0,IF(סקר!M69=0,1,IF(סקר!M69=0,1,סקר!M69)),0)</f>
        <v>0</v>
      </c>
      <c r="M43" s="152">
        <f>סקר!J69</f>
        <v>0</v>
      </c>
      <c r="N43" s="152">
        <f>IF(D43&gt;0,IF(סקר!K69=0,1,IF(סקר!K69=0,1,סקר!K69)),0)</f>
        <v>0</v>
      </c>
      <c r="O43" s="152" t="e">
        <f t="shared" si="1"/>
        <v>#N/A</v>
      </c>
      <c r="P43" s="152">
        <f>IF(B43&gt;0,IF(סקר!O69 &lt;=1,1,סקר!O69),0)</f>
        <v>0</v>
      </c>
      <c r="Q43" s="152">
        <f>סקר!P69</f>
        <v>0</v>
      </c>
      <c r="R43" s="152">
        <f>סקר!R69</f>
        <v>0</v>
      </c>
      <c r="S43" s="152">
        <f>סקר!BC69</f>
        <v>0</v>
      </c>
      <c r="T43" s="156"/>
    </row>
    <row r="44" spans="1:20">
      <c r="A44" s="152" t="str">
        <f>IF(סקר!D70&lt;2,"עץ","פוליגון")</f>
        <v>עץ</v>
      </c>
      <c r="B44" s="152">
        <f>סקר!B70</f>
        <v>0</v>
      </c>
      <c r="C44" s="152">
        <f>IF(סקר!D70&lt;2,1,סקר!D70)</f>
        <v>1</v>
      </c>
      <c r="D44" s="152">
        <f>סקר!C70</f>
        <v>0</v>
      </c>
      <c r="E44" s="152" t="str">
        <f>IFERROR(VLOOKUP(F44,[1]TreeType!$A:$E,5,0),"")</f>
        <v/>
      </c>
      <c r="F44" s="153" t="str">
        <f>IFERROR(VLOOKUP(D44,[1]TreeType!$A:$B,2,0),"")</f>
        <v/>
      </c>
      <c r="G44" s="152">
        <f>IF(B44&gt;0,IF(סקר!E70=0,1,סקר!E70),0)</f>
        <v>0</v>
      </c>
      <c r="H44" s="152">
        <f>IF(B44&gt;0,IF(סקר!F70 = 0,1,סקר!F70),0)</f>
        <v>0</v>
      </c>
      <c r="I44" s="152">
        <f>סקר!G70</f>
        <v>0</v>
      </c>
      <c r="J44" s="152">
        <f>סקר!H70</f>
        <v>0</v>
      </c>
      <c r="K44" s="152" t="e">
        <f>IF(D44="","",VLOOKUP(D44,[1]TreeType!$A$2:$E$508,3,3))</f>
        <v>#N/A</v>
      </c>
      <c r="L44" s="152">
        <f>IF(D44&gt;0,IF(סקר!M70=0,1,IF(סקר!M70=0,1,סקר!M70)),0)</f>
        <v>0</v>
      </c>
      <c r="M44" s="152">
        <f>סקר!J70</f>
        <v>0</v>
      </c>
      <c r="N44" s="152">
        <f>IF(D44&gt;0,IF(סקר!K70=0,1,IF(סקר!K70=0,1,סקר!K70)),0)</f>
        <v>0</v>
      </c>
      <c r="O44" s="152" t="e">
        <f t="shared" si="1"/>
        <v>#N/A</v>
      </c>
      <c r="P44" s="152">
        <f>IF(B44&gt;0,IF(סקר!O70 &lt;=1,1,סקר!O70),0)</f>
        <v>0</v>
      </c>
      <c r="Q44" s="152">
        <f>סקר!P70</f>
        <v>0</v>
      </c>
      <c r="R44" s="152">
        <f>סקר!R70</f>
        <v>0</v>
      </c>
      <c r="S44" s="152">
        <f>סקר!BC70</f>
        <v>0</v>
      </c>
      <c r="T44" s="156"/>
    </row>
    <row r="45" spans="1:20">
      <c r="A45" s="152" t="str">
        <f>IF(סקר!D71&lt;2,"עץ","פוליגון")</f>
        <v>עץ</v>
      </c>
      <c r="B45" s="152">
        <f>סקר!B71</f>
        <v>0</v>
      </c>
      <c r="C45" s="152">
        <f>IF(סקר!D71&lt;2,1,סקר!D71)</f>
        <v>1</v>
      </c>
      <c r="D45" s="152">
        <f>סקר!C71</f>
        <v>0</v>
      </c>
      <c r="E45" s="152" t="str">
        <f>IFERROR(VLOOKUP(F45,[1]TreeType!$A:$E,5,0),"")</f>
        <v/>
      </c>
      <c r="F45" s="153" t="str">
        <f>IFERROR(VLOOKUP(D45,[1]TreeType!$A:$B,2,0),"")</f>
        <v/>
      </c>
      <c r="G45" s="152">
        <f>IF(B45&gt;0,IF(סקר!E71=0,1,סקר!E71),0)</f>
        <v>0</v>
      </c>
      <c r="H45" s="152">
        <f>IF(B45&gt;0,IF(סקר!F71 = 0,1,סקר!F71),0)</f>
        <v>0</v>
      </c>
      <c r="I45" s="152">
        <f>סקר!G71</f>
        <v>0</v>
      </c>
      <c r="J45" s="152">
        <f>סקר!H71</f>
        <v>0</v>
      </c>
      <c r="K45" s="152" t="e">
        <f>IF(D45="","",VLOOKUP(D45,[1]TreeType!$A$2:$E$508,3,3))</f>
        <v>#N/A</v>
      </c>
      <c r="L45" s="152">
        <f>IF(D45&gt;0,IF(סקר!M71=0,1,IF(סקר!M71=0,1,סקר!M71)),0)</f>
        <v>0</v>
      </c>
      <c r="M45" s="152">
        <f>סקר!J71</f>
        <v>0</v>
      </c>
      <c r="N45" s="152">
        <f>IF(D45&gt;0,IF(סקר!K71=0,1,IF(סקר!K71=0,1,סקר!K71)),0)</f>
        <v>0</v>
      </c>
      <c r="O45" s="152" t="e">
        <f t="shared" si="1"/>
        <v>#N/A</v>
      </c>
      <c r="P45" s="152">
        <f>IF(B45&gt;0,IF(סקר!O71 &lt;=1,1,סקר!O71),0)</f>
        <v>0</v>
      </c>
      <c r="Q45" s="152">
        <f>סקר!P71</f>
        <v>0</v>
      </c>
      <c r="R45" s="152">
        <f>סקר!R71</f>
        <v>0</v>
      </c>
      <c r="S45" s="152">
        <f>סקר!BC71</f>
        <v>0</v>
      </c>
      <c r="T45" s="156"/>
    </row>
    <row r="46" spans="1:20">
      <c r="A46" s="152" t="str">
        <f>IF(סקר!D72&lt;2,"עץ","פוליגון")</f>
        <v>עץ</v>
      </c>
      <c r="B46" s="152">
        <f>סקר!B72</f>
        <v>0</v>
      </c>
      <c r="C46" s="152">
        <f>IF(סקר!D72&lt;2,1,סקר!D72)</f>
        <v>1</v>
      </c>
      <c r="D46" s="152">
        <f>סקר!C72</f>
        <v>0</v>
      </c>
      <c r="E46" s="152" t="str">
        <f>IFERROR(VLOOKUP(F46,[1]TreeType!$A:$E,5,0),"")</f>
        <v/>
      </c>
      <c r="F46" s="153" t="str">
        <f>IFERROR(VLOOKUP(D46,[1]TreeType!$A:$B,2,0),"")</f>
        <v/>
      </c>
      <c r="G46" s="152">
        <f>IF(B46&gt;0,IF(סקר!E72=0,1,סקר!E72),0)</f>
        <v>0</v>
      </c>
      <c r="H46" s="152">
        <f>IF(B46&gt;0,IF(סקר!F72 = 0,1,סקר!F72),0)</f>
        <v>0</v>
      </c>
      <c r="I46" s="152">
        <f>סקר!G72</f>
        <v>0</v>
      </c>
      <c r="J46" s="152">
        <f>סקר!H72</f>
        <v>0</v>
      </c>
      <c r="K46" s="152" t="e">
        <f>IF(D46="","",VLOOKUP(D46,[1]TreeType!$A$2:$E$508,3,3))</f>
        <v>#N/A</v>
      </c>
      <c r="L46" s="152">
        <f>IF(D46&gt;0,IF(סקר!M72=0,1,IF(סקר!M72=0,1,סקר!M72)),0)</f>
        <v>0</v>
      </c>
      <c r="M46" s="152">
        <f>סקר!J72</f>
        <v>0</v>
      </c>
      <c r="N46" s="152">
        <f>IF(D46&gt;0,IF(סקר!K72=0,1,IF(סקר!K72=0,1,סקר!K72)),0)</f>
        <v>0</v>
      </c>
      <c r="O46" s="152" t="e">
        <f t="shared" si="1"/>
        <v>#N/A</v>
      </c>
      <c r="P46" s="152">
        <f>IF(B46&gt;0,IF(סקר!O72 &lt;=1,1,סקר!O72),0)</f>
        <v>0</v>
      </c>
      <c r="Q46" s="152">
        <f>סקר!P72</f>
        <v>0</v>
      </c>
      <c r="R46" s="152">
        <f>סקר!R72</f>
        <v>0</v>
      </c>
      <c r="S46" s="152">
        <f>סקר!BC72</f>
        <v>0</v>
      </c>
      <c r="T46" s="156"/>
    </row>
    <row r="47" spans="1:20">
      <c r="A47" s="152" t="str">
        <f>IF(סקר!D73&lt;2,"עץ","פוליגון")</f>
        <v>עץ</v>
      </c>
      <c r="B47" s="152">
        <f>סקר!B73</f>
        <v>0</v>
      </c>
      <c r="C47" s="152">
        <f>IF(סקר!D73&lt;2,1,סקר!D73)</f>
        <v>1</v>
      </c>
      <c r="D47" s="152">
        <f>סקר!C73</f>
        <v>0</v>
      </c>
      <c r="E47" s="152" t="str">
        <f>IFERROR(VLOOKUP(F47,[1]TreeType!$A:$E,5,0),"")</f>
        <v/>
      </c>
      <c r="F47" s="153" t="str">
        <f>IFERROR(VLOOKUP(D47,[1]TreeType!$A:$B,2,0),"")</f>
        <v/>
      </c>
      <c r="G47" s="152">
        <f>IF(B47&gt;0,IF(סקר!E73=0,1,סקר!E73),0)</f>
        <v>0</v>
      </c>
      <c r="H47" s="152">
        <f>IF(B47&gt;0,IF(סקר!F73 = 0,1,סקר!F73),0)</f>
        <v>0</v>
      </c>
      <c r="I47" s="152">
        <f>סקר!G73</f>
        <v>0</v>
      </c>
      <c r="J47" s="152">
        <f>סקר!H73</f>
        <v>0</v>
      </c>
      <c r="K47" s="152" t="e">
        <f>IF(D47="","",VLOOKUP(D47,[1]TreeType!$A$2:$E$508,3,3))</f>
        <v>#N/A</v>
      </c>
      <c r="L47" s="152">
        <f>IF(D47&gt;0,IF(סקר!M73=0,1,IF(סקר!M73=0,1,סקר!M73)),0)</f>
        <v>0</v>
      </c>
      <c r="M47" s="152">
        <f>סקר!J73</f>
        <v>0</v>
      </c>
      <c r="N47" s="152">
        <f>IF(D47&gt;0,IF(סקר!K73=0,1,IF(סקר!K73=0,1,סקר!K73)),0)</f>
        <v>0</v>
      </c>
      <c r="O47" s="152" t="e">
        <f t="shared" si="1"/>
        <v>#N/A</v>
      </c>
      <c r="P47" s="152">
        <f>IF(B47&gt;0,IF(סקר!O73 &lt;=1,1,סקר!O73),0)</f>
        <v>0</v>
      </c>
      <c r="Q47" s="152">
        <f>סקר!P73</f>
        <v>0</v>
      </c>
      <c r="R47" s="152">
        <f>סקר!R73</f>
        <v>0</v>
      </c>
      <c r="S47" s="152">
        <f>סקר!BC73</f>
        <v>0</v>
      </c>
      <c r="T47" s="156"/>
    </row>
    <row r="48" spans="1:20">
      <c r="A48" s="152" t="str">
        <f>IF(סקר!D74&lt;2,"עץ","פוליגון")</f>
        <v>עץ</v>
      </c>
      <c r="B48" s="152">
        <f>סקר!B74</f>
        <v>0</v>
      </c>
      <c r="C48" s="152">
        <f>IF(סקר!D74&lt;2,1,סקר!D74)</f>
        <v>1</v>
      </c>
      <c r="D48" s="152">
        <f>סקר!C74</f>
        <v>0</v>
      </c>
      <c r="E48" s="152" t="str">
        <f>IFERROR(VLOOKUP(F48,[1]TreeType!$A:$E,5,0),"")</f>
        <v/>
      </c>
      <c r="F48" s="153" t="str">
        <f>IFERROR(VLOOKUP(D48,[1]TreeType!$A:$B,2,0),"")</f>
        <v/>
      </c>
      <c r="G48" s="152">
        <f>IF(B48&gt;0,IF(סקר!E74=0,1,סקר!E74),0)</f>
        <v>0</v>
      </c>
      <c r="H48" s="152">
        <f>IF(B48&gt;0,IF(סקר!F74 = 0,1,סקר!F74),0)</f>
        <v>0</v>
      </c>
      <c r="I48" s="152">
        <f>סקר!G74</f>
        <v>0</v>
      </c>
      <c r="J48" s="152">
        <f>סקר!H74</f>
        <v>0</v>
      </c>
      <c r="K48" s="152" t="e">
        <f>IF(D48="","",VLOOKUP(D48,[1]TreeType!$A$2:$E$508,3,3))</f>
        <v>#N/A</v>
      </c>
      <c r="L48" s="152">
        <f>IF(D48&gt;0,IF(סקר!M74=0,1,IF(סקר!M74=0,1,סקר!M74)),0)</f>
        <v>0</v>
      </c>
      <c r="M48" s="152">
        <f>סקר!J74</f>
        <v>0</v>
      </c>
      <c r="N48" s="152">
        <f>IF(D48&gt;0,IF(סקר!K74=0,1,IF(סקר!K74=0,1,סקר!K74)),0)</f>
        <v>0</v>
      </c>
      <c r="O48" s="152" t="e">
        <f t="shared" ref="O48:O90" si="2">IF(SUM(K48:N48)=0,"",SUM(K48:N48))</f>
        <v>#N/A</v>
      </c>
      <c r="P48" s="152">
        <f>IF(B48&gt;0,IF(סקר!O74 &lt;=1,1,סקר!O74),0)</f>
        <v>0</v>
      </c>
      <c r="Q48" s="152">
        <f>סקר!P74</f>
        <v>0</v>
      </c>
      <c r="R48" s="152">
        <f>סקר!R74</f>
        <v>0</v>
      </c>
      <c r="S48" s="152">
        <f>סקר!BC74</f>
        <v>0</v>
      </c>
      <c r="T48" s="156"/>
    </row>
    <row r="49" spans="1:20">
      <c r="A49" s="152" t="str">
        <f>IF(סקר!D75&lt;2,"עץ","פוליגון")</f>
        <v>עץ</v>
      </c>
      <c r="B49" s="152">
        <f>סקר!B75</f>
        <v>0</v>
      </c>
      <c r="C49" s="152">
        <f>IF(סקר!D75&lt;2,1,סקר!D75)</f>
        <v>1</v>
      </c>
      <c r="D49" s="152">
        <f>סקר!C75</f>
        <v>0</v>
      </c>
      <c r="E49" s="152" t="str">
        <f>IFERROR(VLOOKUP(F49,[1]TreeType!$A:$E,5,0),"")</f>
        <v/>
      </c>
      <c r="F49" s="153" t="str">
        <f>IFERROR(VLOOKUP(D49,[1]TreeType!$A:$B,2,0),"")</f>
        <v/>
      </c>
      <c r="G49" s="152">
        <f>IF(B49&gt;0,IF(סקר!E75=0,1,סקר!E75),0)</f>
        <v>0</v>
      </c>
      <c r="H49" s="152">
        <f>IF(B49&gt;0,IF(סקר!F75 = 0,1,סקר!F75),0)</f>
        <v>0</v>
      </c>
      <c r="I49" s="152">
        <f>סקר!G75</f>
        <v>0</v>
      </c>
      <c r="J49" s="152">
        <f>סקר!H75</f>
        <v>0</v>
      </c>
      <c r="K49" s="152" t="e">
        <f>IF(D49="","",VLOOKUP(D49,[1]TreeType!$A$2:$E$508,3,3))</f>
        <v>#N/A</v>
      </c>
      <c r="L49" s="152">
        <f>IF(D49&gt;0,IF(סקר!M75=0,1,IF(סקר!M75=0,1,סקר!M75)),0)</f>
        <v>0</v>
      </c>
      <c r="M49" s="152">
        <f>סקר!J75</f>
        <v>0</v>
      </c>
      <c r="N49" s="152">
        <f>IF(D49&gt;0,IF(סקר!K75=0,1,IF(סקר!K75=0,1,סקר!K75)),0)</f>
        <v>0</v>
      </c>
      <c r="O49" s="152" t="e">
        <f t="shared" si="2"/>
        <v>#N/A</v>
      </c>
      <c r="P49" s="152">
        <f>IF(B49&gt;0,IF(סקר!O75 &lt;=1,1,סקר!O75),0)</f>
        <v>0</v>
      </c>
      <c r="Q49" s="152">
        <f>סקר!P75</f>
        <v>0</v>
      </c>
      <c r="R49" s="152">
        <f>סקר!R75</f>
        <v>0</v>
      </c>
      <c r="S49" s="152">
        <f>סקר!BC75</f>
        <v>0</v>
      </c>
      <c r="T49" s="156"/>
    </row>
    <row r="50" spans="1:20">
      <c r="A50" s="152" t="str">
        <f>IF(סקר!D76&lt;2,"עץ","פוליגון")</f>
        <v>עץ</v>
      </c>
      <c r="B50" s="152">
        <f>סקר!B76</f>
        <v>0</v>
      </c>
      <c r="C50" s="152">
        <f>IF(סקר!D76&lt;2,1,סקר!D76)</f>
        <v>1</v>
      </c>
      <c r="D50" s="152">
        <f>סקר!C76</f>
        <v>0</v>
      </c>
      <c r="E50" s="152" t="str">
        <f>IFERROR(VLOOKUP(F50,[1]TreeType!$A:$E,5,0),"")</f>
        <v/>
      </c>
      <c r="F50" s="153" t="str">
        <f>IFERROR(VLOOKUP(D50,[1]TreeType!$A:$B,2,0),"")</f>
        <v/>
      </c>
      <c r="G50" s="152">
        <f>IF(B50&gt;0,IF(סקר!E76=0,1,סקר!E76),0)</f>
        <v>0</v>
      </c>
      <c r="H50" s="152">
        <f>IF(B50&gt;0,IF(סקר!F76 = 0,1,סקר!F76),0)</f>
        <v>0</v>
      </c>
      <c r="I50" s="152">
        <f>סקר!G76</f>
        <v>0</v>
      </c>
      <c r="J50" s="152">
        <f>סקר!H76</f>
        <v>0</v>
      </c>
      <c r="K50" s="152" t="e">
        <f>IF(D50="","",VLOOKUP(D50,[1]TreeType!$A$2:$E$508,3,3))</f>
        <v>#N/A</v>
      </c>
      <c r="L50" s="152">
        <f>IF(D50&gt;0,IF(סקר!M76=0,1,IF(סקר!M76=0,1,סקר!M76)),0)</f>
        <v>0</v>
      </c>
      <c r="M50" s="152">
        <f>סקר!J76</f>
        <v>0</v>
      </c>
      <c r="N50" s="152">
        <f>IF(D50&gt;0,IF(סקר!K76=0,1,IF(סקר!K76=0,1,סקר!K76)),0)</f>
        <v>0</v>
      </c>
      <c r="O50" s="152" t="e">
        <f t="shared" si="2"/>
        <v>#N/A</v>
      </c>
      <c r="P50" s="152">
        <f>IF(B50&gt;0,IF(סקר!O76 &lt;=1,1,סקר!O76),0)</f>
        <v>0</v>
      </c>
      <c r="Q50" s="152">
        <f>סקר!P76</f>
        <v>0</v>
      </c>
      <c r="R50" s="152">
        <f>סקר!R76</f>
        <v>0</v>
      </c>
      <c r="S50" s="152">
        <f>סקר!BC76</f>
        <v>0</v>
      </c>
      <c r="T50" s="156"/>
    </row>
    <row r="51" spans="1:20">
      <c r="A51" s="152" t="str">
        <f>IF(סקר!D77&lt;2,"עץ","פוליגון")</f>
        <v>עץ</v>
      </c>
      <c r="B51" s="152">
        <f>סקר!B77</f>
        <v>0</v>
      </c>
      <c r="C51" s="152">
        <f>IF(סקר!D77&lt;2,1,סקר!D77)</f>
        <v>1</v>
      </c>
      <c r="D51" s="152">
        <f>סקר!C77</f>
        <v>0</v>
      </c>
      <c r="E51" s="152" t="str">
        <f>IFERROR(VLOOKUP(F51,[1]TreeType!$A:$E,5,0),"")</f>
        <v/>
      </c>
      <c r="F51" s="153" t="str">
        <f>IFERROR(VLOOKUP(D51,[1]TreeType!$A:$B,2,0),"")</f>
        <v/>
      </c>
      <c r="G51" s="152">
        <f>IF(B51&gt;0,IF(סקר!E77=0,1,סקר!E77),0)</f>
        <v>0</v>
      </c>
      <c r="H51" s="152">
        <f>IF(B51&gt;0,IF(סקר!F77 = 0,1,סקר!F77),0)</f>
        <v>0</v>
      </c>
      <c r="I51" s="152">
        <f>סקר!G77</f>
        <v>0</v>
      </c>
      <c r="J51" s="152">
        <f>סקר!H77</f>
        <v>0</v>
      </c>
      <c r="K51" s="152" t="e">
        <f>IF(D51="","",VLOOKUP(D51,[1]TreeType!$A$2:$E$508,3,3))</f>
        <v>#N/A</v>
      </c>
      <c r="L51" s="152">
        <f>IF(D51&gt;0,IF(סקר!M77=0,1,IF(סקר!M77=0,1,סקר!M77)),0)</f>
        <v>0</v>
      </c>
      <c r="M51" s="152">
        <f>סקר!J77</f>
        <v>0</v>
      </c>
      <c r="N51" s="152">
        <f>IF(D51&gt;0,IF(סקר!K77=0,1,IF(סקר!K77=0,1,סקר!K77)),0)</f>
        <v>0</v>
      </c>
      <c r="O51" s="152" t="e">
        <f t="shared" si="2"/>
        <v>#N/A</v>
      </c>
      <c r="P51" s="152">
        <f>IF(B51&gt;0,IF(סקר!O77 &lt;=1,1,סקר!O77),0)</f>
        <v>0</v>
      </c>
      <c r="Q51" s="152">
        <f>סקר!P77</f>
        <v>0</v>
      </c>
      <c r="R51" s="152">
        <f>סקר!R77</f>
        <v>0</v>
      </c>
      <c r="S51" s="152">
        <f>סקר!BC77</f>
        <v>0</v>
      </c>
      <c r="T51" s="156"/>
    </row>
    <row r="52" spans="1:20">
      <c r="A52" s="152" t="str">
        <f>IF(סקר!D78&lt;2,"עץ","פוליגון")</f>
        <v>עץ</v>
      </c>
      <c r="B52" s="152">
        <f>סקר!B78</f>
        <v>0</v>
      </c>
      <c r="C52" s="152">
        <f>IF(סקר!D78&lt;2,1,סקר!D78)</f>
        <v>1</v>
      </c>
      <c r="D52" s="152">
        <f>סקר!C78</f>
        <v>0</v>
      </c>
      <c r="E52" s="152" t="str">
        <f>IFERROR(VLOOKUP(F52,[1]TreeType!$A:$E,5,0),"")</f>
        <v/>
      </c>
      <c r="F52" s="153" t="str">
        <f>IFERROR(VLOOKUP(D52,[1]TreeType!$A:$B,2,0),"")</f>
        <v/>
      </c>
      <c r="G52" s="152">
        <f>IF(B52&gt;0,IF(סקר!E78=0,1,סקר!E78),0)</f>
        <v>0</v>
      </c>
      <c r="H52" s="152">
        <f>IF(B52&gt;0,IF(סקר!F78 = 0,1,סקר!F78),0)</f>
        <v>0</v>
      </c>
      <c r="I52" s="152">
        <f>סקר!G78</f>
        <v>0</v>
      </c>
      <c r="J52" s="152">
        <f>סקר!H78</f>
        <v>0</v>
      </c>
      <c r="K52" s="152" t="e">
        <f>IF(D52="","",VLOOKUP(D52,[1]TreeType!$A$2:$E$508,3,3))</f>
        <v>#N/A</v>
      </c>
      <c r="L52" s="152">
        <f>IF(D52&gt;0,IF(סקר!M78=0,1,IF(סקר!M78=0,1,סקר!M78)),0)</f>
        <v>0</v>
      </c>
      <c r="M52" s="152">
        <f>סקר!J78</f>
        <v>0</v>
      </c>
      <c r="N52" s="152">
        <f>IF(D52&gt;0,IF(סקר!K78=0,1,IF(סקר!K78=0,1,סקר!K78)),0)</f>
        <v>0</v>
      </c>
      <c r="O52" s="152" t="e">
        <f t="shared" si="2"/>
        <v>#N/A</v>
      </c>
      <c r="P52" s="152">
        <f>IF(B52&gt;0,IF(סקר!O78 &lt;=1,1,סקר!O78),0)</f>
        <v>0</v>
      </c>
      <c r="Q52" s="152">
        <f>סקר!P78</f>
        <v>0</v>
      </c>
      <c r="R52" s="152">
        <f>סקר!R78</f>
        <v>0</v>
      </c>
      <c r="S52" s="152">
        <f>סקר!BC78</f>
        <v>0</v>
      </c>
      <c r="T52" s="156"/>
    </row>
    <row r="53" spans="1:20">
      <c r="A53" s="152" t="str">
        <f>IF(סקר!D79&lt;2,"עץ","פוליגון")</f>
        <v>עץ</v>
      </c>
      <c r="B53" s="152">
        <f>סקר!B79</f>
        <v>0</v>
      </c>
      <c r="C53" s="152">
        <f>IF(סקר!D79&lt;2,1,סקר!D79)</f>
        <v>1</v>
      </c>
      <c r="D53" s="152">
        <f>סקר!C79</f>
        <v>0</v>
      </c>
      <c r="E53" s="152" t="str">
        <f>IFERROR(VLOOKUP(F53,[1]TreeType!$A:$E,5,0),"")</f>
        <v/>
      </c>
      <c r="F53" s="153" t="str">
        <f>IFERROR(VLOOKUP(D53,[1]TreeType!$A:$B,2,0),"")</f>
        <v/>
      </c>
      <c r="G53" s="152">
        <f>IF(B53&gt;0,IF(סקר!E79=0,1,סקר!E79),0)</f>
        <v>0</v>
      </c>
      <c r="H53" s="152">
        <f>IF(B53&gt;0,IF(סקר!F79 = 0,1,סקר!F79),0)</f>
        <v>0</v>
      </c>
      <c r="I53" s="152">
        <f>סקר!G79</f>
        <v>0</v>
      </c>
      <c r="J53" s="152">
        <f>סקר!H79</f>
        <v>0</v>
      </c>
      <c r="K53" s="152" t="e">
        <f>IF(D53="","",VLOOKUP(D53,[1]TreeType!$A$2:$E$508,3,3))</f>
        <v>#N/A</v>
      </c>
      <c r="L53" s="152">
        <f>IF(D53&gt;0,IF(סקר!M79=0,1,IF(סקר!M79=0,1,סקר!M79)),0)</f>
        <v>0</v>
      </c>
      <c r="M53" s="152">
        <f>סקר!J79</f>
        <v>0</v>
      </c>
      <c r="N53" s="152">
        <f>IF(D53&gt;0,IF(סקר!K79=0,1,IF(סקר!K79=0,1,סקר!K79)),0)</f>
        <v>0</v>
      </c>
      <c r="O53" s="152" t="e">
        <f t="shared" si="2"/>
        <v>#N/A</v>
      </c>
      <c r="P53" s="152">
        <f>IF(B53&gt;0,IF(סקר!O79 &lt;=1,1,סקר!O79),0)</f>
        <v>0</v>
      </c>
      <c r="Q53" s="152">
        <f>סקר!P79</f>
        <v>0</v>
      </c>
      <c r="R53" s="152">
        <f>סקר!R79</f>
        <v>0</v>
      </c>
      <c r="S53" s="152">
        <f>סקר!BC79</f>
        <v>0</v>
      </c>
      <c r="T53" s="156"/>
    </row>
    <row r="54" spans="1:20">
      <c r="A54" s="152" t="str">
        <f>IF(סקר!D80&lt;2,"עץ","פוליגון")</f>
        <v>עץ</v>
      </c>
      <c r="B54" s="152">
        <f>סקר!B80</f>
        <v>0</v>
      </c>
      <c r="C54" s="152">
        <f>IF(סקר!D80&lt;2,1,סקר!D80)</f>
        <v>1</v>
      </c>
      <c r="D54" s="152">
        <f>סקר!C80</f>
        <v>0</v>
      </c>
      <c r="E54" s="152" t="str">
        <f>IFERROR(VLOOKUP(F54,[1]TreeType!$A:$E,5,0),"")</f>
        <v/>
      </c>
      <c r="F54" s="153" t="str">
        <f>IFERROR(VLOOKUP(D54,[1]TreeType!$A:$B,2,0),"")</f>
        <v/>
      </c>
      <c r="G54" s="152">
        <f>IF(B54&gt;0,IF(סקר!E80=0,1,סקר!E80),0)</f>
        <v>0</v>
      </c>
      <c r="H54" s="152">
        <f>IF(B54&gt;0,IF(סקר!F80 = 0,1,סקר!F80),0)</f>
        <v>0</v>
      </c>
      <c r="I54" s="152">
        <f>סקר!G80</f>
        <v>0</v>
      </c>
      <c r="J54" s="152">
        <f>סקר!H80</f>
        <v>0</v>
      </c>
      <c r="K54" s="152" t="e">
        <f>IF(D54="","",VLOOKUP(D54,[1]TreeType!$A$2:$E$508,3,3))</f>
        <v>#N/A</v>
      </c>
      <c r="L54" s="152">
        <f>IF(D54&gt;0,IF(סקר!M80=0,1,IF(סקר!M80=0,1,סקר!M80)),0)</f>
        <v>0</v>
      </c>
      <c r="M54" s="152">
        <f>סקר!J80</f>
        <v>0</v>
      </c>
      <c r="N54" s="152">
        <f>IF(D54&gt;0,IF(סקר!K80=0,1,IF(סקר!K80=0,1,סקר!K80)),0)</f>
        <v>0</v>
      </c>
      <c r="O54" s="152" t="e">
        <f t="shared" si="2"/>
        <v>#N/A</v>
      </c>
      <c r="P54" s="152">
        <f>IF(B54&gt;0,IF(סקר!O80 &lt;=1,1,סקר!O80),0)</f>
        <v>0</v>
      </c>
      <c r="Q54" s="152">
        <f>סקר!P80</f>
        <v>0</v>
      </c>
      <c r="R54" s="152">
        <f>סקר!R80</f>
        <v>0</v>
      </c>
      <c r="S54" s="152">
        <f>סקר!BC80</f>
        <v>0</v>
      </c>
      <c r="T54" s="156"/>
    </row>
    <row r="55" spans="1:20">
      <c r="A55" s="152" t="str">
        <f>IF(סקר!D81&lt;2,"עץ","פוליגון")</f>
        <v>עץ</v>
      </c>
      <c r="B55" s="152">
        <f>סקר!B81</f>
        <v>0</v>
      </c>
      <c r="C55" s="152">
        <f>IF(סקר!D81&lt;2,1,סקר!D81)</f>
        <v>1</v>
      </c>
      <c r="D55" s="152">
        <f>סקר!C81</f>
        <v>0</v>
      </c>
      <c r="E55" s="152" t="str">
        <f>IFERROR(VLOOKUP(F55,[1]TreeType!$A:$E,5,0),"")</f>
        <v/>
      </c>
      <c r="F55" s="153" t="str">
        <f>IFERROR(VLOOKUP(D55,[1]TreeType!$A:$B,2,0),"")</f>
        <v/>
      </c>
      <c r="G55" s="152">
        <f>IF(B55&gt;0,IF(סקר!E81=0,1,סקר!E81),0)</f>
        <v>0</v>
      </c>
      <c r="H55" s="152">
        <f>IF(B55&gt;0,IF(סקר!F81 = 0,1,סקר!F81),0)</f>
        <v>0</v>
      </c>
      <c r="I55" s="152">
        <f>סקר!G81</f>
        <v>0</v>
      </c>
      <c r="J55" s="152">
        <f>סקר!H81</f>
        <v>0</v>
      </c>
      <c r="K55" s="152" t="e">
        <f>IF(D55="","",VLOOKUP(D55,[1]TreeType!$A$2:$E$508,3,3))</f>
        <v>#N/A</v>
      </c>
      <c r="L55" s="152">
        <f>IF(D55&gt;0,IF(סקר!M81=0,1,IF(סקר!M81=0,1,סקר!M81)),0)</f>
        <v>0</v>
      </c>
      <c r="M55" s="152">
        <f>סקר!J81</f>
        <v>0</v>
      </c>
      <c r="N55" s="152">
        <f>IF(D55&gt;0,IF(סקר!K81=0,1,IF(סקר!K81=0,1,סקר!K81)),0)</f>
        <v>0</v>
      </c>
      <c r="O55" s="152" t="e">
        <f t="shared" si="2"/>
        <v>#N/A</v>
      </c>
      <c r="P55" s="152">
        <f>IF(B55&gt;0,IF(סקר!O81 &lt;=1,1,סקר!O81),0)</f>
        <v>0</v>
      </c>
      <c r="Q55" s="152">
        <f>סקר!P81</f>
        <v>0</v>
      </c>
      <c r="R55" s="152">
        <f>סקר!R81</f>
        <v>0</v>
      </c>
      <c r="S55" s="152">
        <f>סקר!BC81</f>
        <v>0</v>
      </c>
      <c r="T55" s="156"/>
    </row>
    <row r="56" spans="1:20">
      <c r="A56" s="152" t="str">
        <f>IF(סקר!D82&lt;2,"עץ","פוליגון")</f>
        <v>עץ</v>
      </c>
      <c r="B56" s="152">
        <f>סקר!B82</f>
        <v>0</v>
      </c>
      <c r="C56" s="152">
        <f>IF(סקר!D82&lt;2,1,סקר!D82)</f>
        <v>1</v>
      </c>
      <c r="D56" s="152">
        <f>סקר!C82</f>
        <v>0</v>
      </c>
      <c r="E56" s="152" t="str">
        <f>IFERROR(VLOOKUP(F56,[1]TreeType!$A:$E,5,0),"")</f>
        <v/>
      </c>
      <c r="F56" s="153" t="str">
        <f>IFERROR(VLOOKUP(D56,[1]TreeType!$A:$B,2,0),"")</f>
        <v/>
      </c>
      <c r="G56" s="152">
        <f>IF(B56&gt;0,IF(סקר!E82=0,1,סקר!E82),0)</f>
        <v>0</v>
      </c>
      <c r="H56" s="152">
        <f>IF(B56&gt;0,IF(סקר!F82 = 0,1,סקר!F82),0)</f>
        <v>0</v>
      </c>
      <c r="I56" s="152">
        <f>סקר!G82</f>
        <v>0</v>
      </c>
      <c r="J56" s="152">
        <f>סקר!H82</f>
        <v>0</v>
      </c>
      <c r="K56" s="152" t="e">
        <f>IF(D56="","",VLOOKUP(D56,[1]TreeType!$A$2:$E$508,3,3))</f>
        <v>#N/A</v>
      </c>
      <c r="L56" s="152">
        <f>IF(D56&gt;0,IF(סקר!M82=0,1,IF(סקר!M82=0,1,סקר!M82)),0)</f>
        <v>0</v>
      </c>
      <c r="M56" s="152">
        <f>סקר!J82</f>
        <v>0</v>
      </c>
      <c r="N56" s="152">
        <f>IF(D56&gt;0,IF(סקר!K82=0,1,IF(סקר!K82=0,1,סקר!K82)),0)</f>
        <v>0</v>
      </c>
      <c r="O56" s="152" t="e">
        <f t="shared" si="2"/>
        <v>#N/A</v>
      </c>
      <c r="P56" s="152">
        <f>IF(B56&gt;0,IF(סקר!O82 &lt;=1,1,סקר!O82),0)</f>
        <v>0</v>
      </c>
      <c r="Q56" s="152">
        <f>סקר!P82</f>
        <v>0</v>
      </c>
      <c r="R56" s="152">
        <f>סקר!R82</f>
        <v>0</v>
      </c>
      <c r="S56" s="152">
        <f>סקר!BC82</f>
        <v>0</v>
      </c>
      <c r="T56" s="156"/>
    </row>
    <row r="57" spans="1:20">
      <c r="A57" s="152" t="str">
        <f>IF(סקר!D83&lt;2,"עץ","פוליגון")</f>
        <v>עץ</v>
      </c>
      <c r="B57" s="152">
        <f>סקר!B83</f>
        <v>0</v>
      </c>
      <c r="C57" s="152">
        <f>IF(סקר!D83&lt;2,1,סקר!D83)</f>
        <v>1</v>
      </c>
      <c r="D57" s="152">
        <f>סקר!C83</f>
        <v>0</v>
      </c>
      <c r="E57" s="152" t="str">
        <f>IFERROR(VLOOKUP(F57,[1]TreeType!$A:$E,5,0),"")</f>
        <v/>
      </c>
      <c r="F57" s="153" t="str">
        <f>IFERROR(VLOOKUP(D57,[1]TreeType!$A:$B,2,0),"")</f>
        <v/>
      </c>
      <c r="G57" s="152">
        <f>IF(B57&gt;0,IF(סקר!E83=0,1,סקר!E83),0)</f>
        <v>0</v>
      </c>
      <c r="H57" s="152">
        <f>IF(B57&gt;0,IF(סקר!F83 = 0,1,סקר!F83),0)</f>
        <v>0</v>
      </c>
      <c r="I57" s="152">
        <f>סקר!G83</f>
        <v>0</v>
      </c>
      <c r="J57" s="152">
        <f>סקר!H83</f>
        <v>0</v>
      </c>
      <c r="K57" s="152" t="e">
        <f>IF(D57="","",VLOOKUP(D57,[1]TreeType!$A$2:$E$508,3,3))</f>
        <v>#N/A</v>
      </c>
      <c r="L57" s="152">
        <f>IF(D57&gt;0,IF(סקר!M83=0,1,IF(סקר!M83=0,1,סקר!M83)),0)</f>
        <v>0</v>
      </c>
      <c r="M57" s="152">
        <f>סקר!J83</f>
        <v>0</v>
      </c>
      <c r="N57" s="152">
        <f>IF(D57&gt;0,IF(סקר!K83=0,1,IF(סקר!K83=0,1,סקר!K83)),0)</f>
        <v>0</v>
      </c>
      <c r="O57" s="152" t="e">
        <f t="shared" si="2"/>
        <v>#N/A</v>
      </c>
      <c r="P57" s="152">
        <f>IF(B57&gt;0,IF(סקר!O83 &lt;=1,1,סקר!O83),0)</f>
        <v>0</v>
      </c>
      <c r="Q57" s="152">
        <f>סקר!P83</f>
        <v>0</v>
      </c>
      <c r="R57" s="152">
        <f>סקר!R83</f>
        <v>0</v>
      </c>
      <c r="S57" s="152">
        <f>סקר!BC83</f>
        <v>0</v>
      </c>
      <c r="T57" s="156"/>
    </row>
    <row r="58" spans="1:20">
      <c r="A58" s="152" t="str">
        <f>IF(סקר!D84&lt;2,"עץ","פוליגון")</f>
        <v>עץ</v>
      </c>
      <c r="B58" s="152">
        <f>סקר!B84</f>
        <v>0</v>
      </c>
      <c r="C58" s="152">
        <f>IF(סקר!D84&lt;2,1,סקר!D84)</f>
        <v>1</v>
      </c>
      <c r="D58" s="152">
        <f>סקר!C84</f>
        <v>0</v>
      </c>
      <c r="E58" s="152" t="str">
        <f>IFERROR(VLOOKUP(F58,[1]TreeType!$A:$E,5,0),"")</f>
        <v/>
      </c>
      <c r="F58" s="153" t="str">
        <f>IFERROR(VLOOKUP(D58,[1]TreeType!$A:$B,2,0),"")</f>
        <v/>
      </c>
      <c r="G58" s="152">
        <f>IF(B58&gt;0,IF(סקר!E84=0,1,סקר!E84),0)</f>
        <v>0</v>
      </c>
      <c r="H58" s="152">
        <f>IF(B58&gt;0,IF(סקר!F84 = 0,1,סקר!F84),0)</f>
        <v>0</v>
      </c>
      <c r="I58" s="152">
        <f>סקר!G84</f>
        <v>0</v>
      </c>
      <c r="J58" s="152">
        <f>סקר!H84</f>
        <v>0</v>
      </c>
      <c r="K58" s="152" t="e">
        <f>IF(D58="","",VLOOKUP(D58,[1]TreeType!$A$2:$E$508,3,3))</f>
        <v>#N/A</v>
      </c>
      <c r="L58" s="152">
        <f>IF(D58&gt;0,IF(סקר!M84=0,1,IF(סקר!M84=0,1,סקר!M84)),0)</f>
        <v>0</v>
      </c>
      <c r="M58" s="152">
        <f>סקר!J84</f>
        <v>0</v>
      </c>
      <c r="N58" s="152">
        <f>IF(D58&gt;0,IF(סקר!K84=0,1,IF(סקר!K84=0,1,סקר!K84)),0)</f>
        <v>0</v>
      </c>
      <c r="O58" s="152" t="e">
        <f t="shared" si="2"/>
        <v>#N/A</v>
      </c>
      <c r="P58" s="152">
        <f>IF(B58&gt;0,IF(סקר!O84 &lt;=1,1,סקר!O84),0)</f>
        <v>0</v>
      </c>
      <c r="Q58" s="152">
        <f>סקר!P84</f>
        <v>0</v>
      </c>
      <c r="R58" s="152">
        <f>סקר!R84</f>
        <v>0</v>
      </c>
      <c r="S58" s="152">
        <f>סקר!BC84</f>
        <v>0</v>
      </c>
      <c r="T58" s="156"/>
    </row>
    <row r="59" spans="1:20">
      <c r="A59" s="152" t="str">
        <f>IF(סקר!D99&lt;2,"עץ","פוליגון")</f>
        <v>עץ</v>
      </c>
      <c r="B59" s="152">
        <f>סקר!B99</f>
        <v>0</v>
      </c>
      <c r="C59" s="152">
        <f>IF(סקר!D99&lt;2,1,סקר!D99)</f>
        <v>1</v>
      </c>
      <c r="D59" s="152">
        <f>סקר!C99</f>
        <v>0</v>
      </c>
      <c r="E59" s="152" t="str">
        <f>IFERROR(VLOOKUP(F59,[1]TreeType!$A:$E,5,0),"")</f>
        <v/>
      </c>
      <c r="F59" s="153" t="str">
        <f>IFERROR(VLOOKUP(D59,[1]TreeType!$A:$B,2,0),"")</f>
        <v/>
      </c>
      <c r="G59" s="152">
        <f>IF(B59&gt;0,IF(סקר!E99=0,1,סקר!E99),0)</f>
        <v>0</v>
      </c>
      <c r="H59" s="152">
        <f>IF(B59&gt;0,IF(סקר!F99 = 0,1,סקר!F99),0)</f>
        <v>0</v>
      </c>
      <c r="I59" s="152">
        <f>סקר!G99</f>
        <v>0</v>
      </c>
      <c r="J59" s="152">
        <f>סקר!H99</f>
        <v>0</v>
      </c>
      <c r="K59" s="152" t="e">
        <f>IF(D59="","",VLOOKUP(D59,[1]TreeType!$A$2:$E$508,3,3))</f>
        <v>#N/A</v>
      </c>
      <c r="L59" s="152">
        <f>IF(D59&gt;0,IF(סקר!M99=0,1,IF(סקר!M99=0,1,סקר!M99)),0)</f>
        <v>0</v>
      </c>
      <c r="M59" s="152">
        <f>סקר!J99</f>
        <v>0</v>
      </c>
      <c r="N59" s="152">
        <f>IF(D59&gt;0,IF(סקר!K99=0,1,IF(סקר!K99=0,1,סקר!K99)),0)</f>
        <v>0</v>
      </c>
      <c r="O59" s="152" t="e">
        <f t="shared" si="2"/>
        <v>#N/A</v>
      </c>
      <c r="P59" s="152">
        <f>IF(B59&gt;0,IF(סקר!O99 &lt;=1,1,סקר!O99),0)</f>
        <v>0</v>
      </c>
      <c r="Q59" s="152">
        <f>סקר!P99</f>
        <v>0</v>
      </c>
      <c r="R59" s="152">
        <f>סקר!R99</f>
        <v>0</v>
      </c>
      <c r="S59" s="152">
        <f>סקר!BC99</f>
        <v>0</v>
      </c>
      <c r="T59" s="156"/>
    </row>
    <row r="60" spans="1:20">
      <c r="A60" s="152" t="str">
        <f>IF(סקר!D100&lt;2,"עץ","פוליגון")</f>
        <v>עץ</v>
      </c>
      <c r="B60" s="152">
        <f>סקר!B100</f>
        <v>0</v>
      </c>
      <c r="C60" s="152">
        <f>IF(סקר!D100&lt;2,1,סקר!D100)</f>
        <v>1</v>
      </c>
      <c r="D60" s="152">
        <f>סקר!C100</f>
        <v>0</v>
      </c>
      <c r="E60" s="152" t="str">
        <f>IFERROR(VLOOKUP(F60,[1]TreeType!$A:$E,5,0),"")</f>
        <v/>
      </c>
      <c r="F60" s="153" t="str">
        <f>IFERROR(VLOOKUP(D60,[1]TreeType!$A:$B,2,0),"")</f>
        <v/>
      </c>
      <c r="G60" s="152">
        <f>IF(B60&gt;0,IF(סקר!E100=0,1,סקר!E100),0)</f>
        <v>0</v>
      </c>
      <c r="H60" s="152">
        <f>IF(B60&gt;0,IF(סקר!F100 = 0,1,סקר!F100),0)</f>
        <v>0</v>
      </c>
      <c r="I60" s="152">
        <f>סקר!G100</f>
        <v>0</v>
      </c>
      <c r="J60" s="152">
        <f>סקר!H100</f>
        <v>0</v>
      </c>
      <c r="K60" s="152" t="e">
        <f>IF(D60="","",VLOOKUP(D60,[1]TreeType!$A$2:$E$508,3,3))</f>
        <v>#N/A</v>
      </c>
      <c r="L60" s="152">
        <f>IF(D60&gt;0,IF(סקר!M100=0,1,IF(סקר!M100=0,1,סקר!M100)),0)</f>
        <v>0</v>
      </c>
      <c r="M60" s="152">
        <f>סקר!J100</f>
        <v>0</v>
      </c>
      <c r="N60" s="152">
        <f>IF(D60&gt;0,IF(סקר!K100=0,1,IF(סקר!K100=0,1,סקר!K100)),0)</f>
        <v>0</v>
      </c>
      <c r="O60" s="152" t="e">
        <f t="shared" si="2"/>
        <v>#N/A</v>
      </c>
      <c r="P60" s="152">
        <f>IF(B60&gt;0,IF(סקר!O100 &lt;=1,1,סקר!O100),0)</f>
        <v>0</v>
      </c>
      <c r="Q60" s="152">
        <f>סקר!P100</f>
        <v>0</v>
      </c>
      <c r="R60" s="152">
        <f>סקר!R100</f>
        <v>0</v>
      </c>
      <c r="S60" s="152">
        <f>סקר!BC100</f>
        <v>0</v>
      </c>
      <c r="T60" s="156"/>
    </row>
    <row r="61" spans="1:20">
      <c r="A61" s="152" t="str">
        <f>IF(סקר!D101&lt;2,"עץ","פוליגון")</f>
        <v>עץ</v>
      </c>
      <c r="B61" s="152">
        <f>סקר!B101</f>
        <v>0</v>
      </c>
      <c r="C61" s="152">
        <f>IF(סקר!D101&lt;2,1,סקר!D101)</f>
        <v>1</v>
      </c>
      <c r="D61" s="152">
        <f>סקר!C101</f>
        <v>0</v>
      </c>
      <c r="E61" s="152" t="str">
        <f>IFERROR(VLOOKUP(F61,[1]TreeType!$A:$E,5,0),"")</f>
        <v/>
      </c>
      <c r="F61" s="153" t="str">
        <f>IFERROR(VLOOKUP(D61,[1]TreeType!$A:$B,2,0),"")</f>
        <v/>
      </c>
      <c r="G61" s="152">
        <f>IF(B61&gt;0,IF(סקר!E101=0,1,סקר!E101),0)</f>
        <v>0</v>
      </c>
      <c r="H61" s="152">
        <f>IF(B61&gt;0,IF(סקר!F101 = 0,1,סקר!F101),0)</f>
        <v>0</v>
      </c>
      <c r="I61" s="152">
        <f>סקר!G101</f>
        <v>0</v>
      </c>
      <c r="J61" s="152">
        <f>סקר!H101</f>
        <v>0</v>
      </c>
      <c r="K61" s="152" t="e">
        <f>IF(D61="","",VLOOKUP(D61,[1]TreeType!$A$2:$E$508,3,3))</f>
        <v>#N/A</v>
      </c>
      <c r="L61" s="152">
        <f>IF(D61&gt;0,IF(סקר!M101=0,1,IF(סקר!M101=0,1,סקר!M101)),0)</f>
        <v>0</v>
      </c>
      <c r="M61" s="152">
        <f>סקר!J101</f>
        <v>0</v>
      </c>
      <c r="N61" s="152">
        <f>IF(D61&gt;0,IF(סקר!K101=0,1,IF(סקר!K101=0,1,סקר!K101)),0)</f>
        <v>0</v>
      </c>
      <c r="O61" s="152" t="e">
        <f t="shared" si="2"/>
        <v>#N/A</v>
      </c>
      <c r="P61" s="152">
        <f>IF(B61&gt;0,IF(סקר!O101 &lt;=1,1,סקר!O101),0)</f>
        <v>0</v>
      </c>
      <c r="Q61" s="152">
        <f>סקר!P101</f>
        <v>0</v>
      </c>
      <c r="R61" s="152">
        <f>סקר!R101</f>
        <v>0</v>
      </c>
      <c r="S61" s="152">
        <f>סקר!BC101</f>
        <v>0</v>
      </c>
      <c r="T61" s="156"/>
    </row>
    <row r="62" spans="1:20">
      <c r="A62" s="152" t="str">
        <f>IF(סקר!D102&lt;2,"עץ","פוליגון")</f>
        <v>עץ</v>
      </c>
      <c r="B62" s="152">
        <f>סקר!B102</f>
        <v>0</v>
      </c>
      <c r="C62" s="152">
        <f>IF(סקר!D102&lt;2,1,סקר!D102)</f>
        <v>1</v>
      </c>
      <c r="D62" s="152">
        <f>סקר!C102</f>
        <v>0</v>
      </c>
      <c r="E62" s="152" t="str">
        <f>IFERROR(VLOOKUP(F62,[1]TreeType!$A:$E,5,0),"")</f>
        <v/>
      </c>
      <c r="F62" s="153" t="str">
        <f>IFERROR(VLOOKUP(D62,[1]TreeType!$A:$B,2,0),"")</f>
        <v/>
      </c>
      <c r="G62" s="152">
        <f>IF(B62&gt;0,IF(סקר!E102=0,1,סקר!E102),0)</f>
        <v>0</v>
      </c>
      <c r="H62" s="152">
        <f>IF(B62&gt;0,IF(סקר!F102 = 0,1,סקר!F102),0)</f>
        <v>0</v>
      </c>
      <c r="I62" s="152">
        <f>סקר!G102</f>
        <v>0</v>
      </c>
      <c r="J62" s="152">
        <f>סקר!H102</f>
        <v>0</v>
      </c>
      <c r="K62" s="152" t="e">
        <f>IF(D62="","",VLOOKUP(D62,[1]TreeType!$A$2:$E$508,3,3))</f>
        <v>#N/A</v>
      </c>
      <c r="L62" s="152">
        <f>IF(D62&gt;0,IF(סקר!M102=0,1,IF(סקר!M102=0,1,סקר!M102)),0)</f>
        <v>0</v>
      </c>
      <c r="M62" s="152">
        <f>סקר!J102</f>
        <v>0</v>
      </c>
      <c r="N62" s="152">
        <f>IF(D62&gt;0,IF(סקר!K102=0,1,IF(סקר!K102=0,1,סקר!K102)),0)</f>
        <v>0</v>
      </c>
      <c r="O62" s="152" t="e">
        <f t="shared" si="2"/>
        <v>#N/A</v>
      </c>
      <c r="P62" s="152">
        <f>IF(B62&gt;0,IF(סקר!O102 &lt;=1,1,סקר!O102),0)</f>
        <v>0</v>
      </c>
      <c r="Q62" s="152">
        <f>סקר!P102</f>
        <v>0</v>
      </c>
      <c r="R62" s="152">
        <f>סקר!R102</f>
        <v>0</v>
      </c>
      <c r="S62" s="152">
        <f>סקר!BC102</f>
        <v>0</v>
      </c>
      <c r="T62" s="156"/>
    </row>
    <row r="63" spans="1:20">
      <c r="A63" s="152" t="str">
        <f>IF(סקר!D103&lt;2,"עץ","פוליגון")</f>
        <v>עץ</v>
      </c>
      <c r="B63" s="152">
        <f>סקר!B103</f>
        <v>0</v>
      </c>
      <c r="C63" s="152">
        <f>IF(סקר!D103&lt;2,1,סקר!D103)</f>
        <v>1</v>
      </c>
      <c r="D63" s="152">
        <f>סקר!C103</f>
        <v>0</v>
      </c>
      <c r="E63" s="152" t="str">
        <f>IFERROR(VLOOKUP(F63,[1]TreeType!$A:$E,5,0),"")</f>
        <v/>
      </c>
      <c r="F63" s="153" t="str">
        <f>IFERROR(VLOOKUP(D63,[1]TreeType!$A:$B,2,0),"")</f>
        <v/>
      </c>
      <c r="G63" s="152">
        <f>IF(B63&gt;0,IF(סקר!E103=0,1,סקר!E103),0)</f>
        <v>0</v>
      </c>
      <c r="H63" s="152">
        <f>IF(B63&gt;0,IF(סקר!F103 = 0,1,סקר!F103),0)</f>
        <v>0</v>
      </c>
      <c r="I63" s="152">
        <f>סקר!G103</f>
        <v>0</v>
      </c>
      <c r="J63" s="152">
        <f>סקר!H103</f>
        <v>0</v>
      </c>
      <c r="K63" s="152" t="e">
        <f>IF(D63="","",VLOOKUP(D63,[1]TreeType!$A$2:$E$508,3,3))</f>
        <v>#N/A</v>
      </c>
      <c r="L63" s="152">
        <f>IF(D63&gt;0,IF(סקר!M103=0,1,IF(סקר!M103=0,1,סקר!M103)),0)</f>
        <v>0</v>
      </c>
      <c r="M63" s="152">
        <f>סקר!J103</f>
        <v>0</v>
      </c>
      <c r="N63" s="152">
        <f>IF(D63&gt;0,IF(סקר!K103=0,1,IF(סקר!K103=0,1,סקר!K103)),0)</f>
        <v>0</v>
      </c>
      <c r="O63" s="152" t="e">
        <f t="shared" si="2"/>
        <v>#N/A</v>
      </c>
      <c r="P63" s="152">
        <f>IF(B63&gt;0,IF(סקר!O103 &lt;=1,1,סקר!O103),0)</f>
        <v>0</v>
      </c>
      <c r="Q63" s="152">
        <f>סקר!P103</f>
        <v>0</v>
      </c>
      <c r="R63" s="152">
        <f>סקר!R103</f>
        <v>0</v>
      </c>
      <c r="S63" s="152">
        <f>סקר!BC103</f>
        <v>0</v>
      </c>
      <c r="T63" s="156"/>
    </row>
    <row r="64" spans="1:20">
      <c r="A64" s="152" t="str">
        <f>IF(סקר!D104&lt;2,"עץ","פוליגון")</f>
        <v>עץ</v>
      </c>
      <c r="B64" s="152">
        <f>סקר!B104</f>
        <v>0</v>
      </c>
      <c r="C64" s="152">
        <f>IF(סקר!D104&lt;2,1,סקר!D104)</f>
        <v>1</v>
      </c>
      <c r="D64" s="152">
        <f>סקר!C104</f>
        <v>0</v>
      </c>
      <c r="E64" s="152" t="str">
        <f>IFERROR(VLOOKUP(F64,[1]TreeType!$A:$E,5,0),"")</f>
        <v/>
      </c>
      <c r="F64" s="153" t="str">
        <f>IFERROR(VLOOKUP(D64,[1]TreeType!$A:$B,2,0),"")</f>
        <v/>
      </c>
      <c r="G64" s="152">
        <f>IF(B64&gt;0,IF(סקר!E104=0,1,סקר!E104),0)</f>
        <v>0</v>
      </c>
      <c r="H64" s="152">
        <f>IF(B64&gt;0,IF(סקר!F104 = 0,1,סקר!F104),0)</f>
        <v>0</v>
      </c>
      <c r="I64" s="152">
        <f>סקר!G104</f>
        <v>0</v>
      </c>
      <c r="J64" s="152">
        <f>סקר!H104</f>
        <v>0</v>
      </c>
      <c r="K64" s="152" t="e">
        <f>IF(D64="","",VLOOKUP(D64,[1]TreeType!$A$2:$E$508,3,3))</f>
        <v>#N/A</v>
      </c>
      <c r="L64" s="152">
        <f>IF(D64&gt;0,IF(סקר!M104=0,1,IF(סקר!M104=0,1,סקר!M104)),0)</f>
        <v>0</v>
      </c>
      <c r="M64" s="152">
        <f>סקר!J104</f>
        <v>0</v>
      </c>
      <c r="N64" s="152">
        <f>IF(D64&gt;0,IF(סקר!K104=0,1,IF(סקר!K104=0,1,סקר!K104)),0)</f>
        <v>0</v>
      </c>
      <c r="O64" s="152" t="e">
        <f t="shared" si="2"/>
        <v>#N/A</v>
      </c>
      <c r="P64" s="152">
        <f>IF(B64&gt;0,IF(סקר!O104 &lt;=1,1,סקר!O104),0)</f>
        <v>0</v>
      </c>
      <c r="Q64" s="152">
        <f>סקר!P104</f>
        <v>0</v>
      </c>
      <c r="R64" s="152">
        <f>סקר!R104</f>
        <v>0</v>
      </c>
      <c r="S64" s="152">
        <f>סקר!BC104</f>
        <v>0</v>
      </c>
      <c r="T64" s="156"/>
    </row>
    <row r="65" spans="1:20">
      <c r="A65" s="152" t="str">
        <f>IF(סקר!D105&lt;2,"עץ","פוליגון")</f>
        <v>עץ</v>
      </c>
      <c r="B65" s="152">
        <f>סקר!B105</f>
        <v>0</v>
      </c>
      <c r="C65" s="152">
        <f>IF(סקר!D105&lt;2,1,סקר!D105)</f>
        <v>1</v>
      </c>
      <c r="D65" s="152">
        <f>סקר!C105</f>
        <v>0</v>
      </c>
      <c r="E65" s="152" t="str">
        <f>IFERROR(VLOOKUP(F65,[1]TreeType!$A:$E,5,0),"")</f>
        <v/>
      </c>
      <c r="F65" s="153" t="str">
        <f>IFERROR(VLOOKUP(D65,[1]TreeType!$A:$B,2,0),"")</f>
        <v/>
      </c>
      <c r="G65" s="152">
        <f>IF(B65&gt;0,IF(סקר!E105=0,1,סקר!E105),0)</f>
        <v>0</v>
      </c>
      <c r="H65" s="152">
        <f>IF(B65&gt;0,IF(סקר!F105 = 0,1,סקר!F105),0)</f>
        <v>0</v>
      </c>
      <c r="I65" s="152">
        <f>סקר!G105</f>
        <v>0</v>
      </c>
      <c r="J65" s="152">
        <f>סקר!H105</f>
        <v>0</v>
      </c>
      <c r="K65" s="152" t="e">
        <f>IF(D65="","",VLOOKUP(D65,[1]TreeType!$A$2:$E$508,3,3))</f>
        <v>#N/A</v>
      </c>
      <c r="L65" s="152">
        <f>IF(D65&gt;0,IF(סקר!M105=0,1,IF(סקר!M105=0,1,סקר!M105)),0)</f>
        <v>0</v>
      </c>
      <c r="M65" s="152">
        <f>סקר!J105</f>
        <v>0</v>
      </c>
      <c r="N65" s="152">
        <f>IF(D65&gt;0,IF(סקר!K105=0,1,IF(סקר!K105=0,1,סקר!K105)),0)</f>
        <v>0</v>
      </c>
      <c r="O65" s="152" t="e">
        <f t="shared" si="2"/>
        <v>#N/A</v>
      </c>
      <c r="P65" s="152">
        <f>IF(B65&gt;0,IF(סקר!O105 &lt;=1,1,סקר!O105),0)</f>
        <v>0</v>
      </c>
      <c r="Q65" s="152">
        <f>סקר!P105</f>
        <v>0</v>
      </c>
      <c r="R65" s="152">
        <f>סקר!R105</f>
        <v>0</v>
      </c>
      <c r="S65" s="152">
        <f>סקר!BC105</f>
        <v>0</v>
      </c>
      <c r="T65" s="156"/>
    </row>
    <row r="66" spans="1:20">
      <c r="A66" s="152" t="str">
        <f>IF(סקר!D106&lt;2,"עץ","פוליגון")</f>
        <v>עץ</v>
      </c>
      <c r="B66" s="152">
        <f>סקר!B106</f>
        <v>0</v>
      </c>
      <c r="C66" s="152">
        <f>IF(סקר!D106&lt;2,1,סקר!D106)</f>
        <v>1</v>
      </c>
      <c r="D66" s="152">
        <f>סקר!C106</f>
        <v>0</v>
      </c>
      <c r="E66" s="152" t="str">
        <f>IFERROR(VLOOKUP(F66,[1]TreeType!$A:$E,5,0),"")</f>
        <v/>
      </c>
      <c r="F66" s="153" t="str">
        <f>IFERROR(VLOOKUP(D66,[1]TreeType!$A:$B,2,0),"")</f>
        <v/>
      </c>
      <c r="G66" s="152">
        <f>IF(B66&gt;0,IF(סקר!E106=0,1,סקר!E106),0)</f>
        <v>0</v>
      </c>
      <c r="H66" s="152">
        <f>IF(B66&gt;0,IF(סקר!F106 = 0,1,סקר!F106),0)</f>
        <v>0</v>
      </c>
      <c r="I66" s="152">
        <f>סקר!G106</f>
        <v>0</v>
      </c>
      <c r="J66" s="152">
        <f>סקר!H106</f>
        <v>0</v>
      </c>
      <c r="K66" s="152" t="e">
        <f>IF(D66="","",VLOOKUP(D66,[1]TreeType!$A$2:$E$508,3,3))</f>
        <v>#N/A</v>
      </c>
      <c r="L66" s="152">
        <f>IF(D66&gt;0,IF(סקר!M106=0,1,IF(סקר!M106=0,1,סקר!M106)),0)</f>
        <v>0</v>
      </c>
      <c r="M66" s="152">
        <f>סקר!J106</f>
        <v>0</v>
      </c>
      <c r="N66" s="152">
        <f>IF(D66&gt;0,IF(סקר!K106=0,1,IF(סקר!K106=0,1,סקר!K106)),0)</f>
        <v>0</v>
      </c>
      <c r="O66" s="152" t="e">
        <f t="shared" si="2"/>
        <v>#N/A</v>
      </c>
      <c r="P66" s="152">
        <f>IF(B66&gt;0,IF(סקר!O106 &lt;=1,1,סקר!O106),0)</f>
        <v>0</v>
      </c>
      <c r="Q66" s="152">
        <f>סקר!P106</f>
        <v>0</v>
      </c>
      <c r="R66" s="152">
        <f>סקר!R106</f>
        <v>0</v>
      </c>
      <c r="S66" s="152">
        <f>סקר!BC106</f>
        <v>0</v>
      </c>
      <c r="T66" s="156"/>
    </row>
    <row r="67" spans="1:20">
      <c r="A67" s="152" t="str">
        <f>IF(סקר!D107&lt;2,"עץ","פוליגון")</f>
        <v>עץ</v>
      </c>
      <c r="B67" s="152">
        <f>סקר!B107</f>
        <v>0</v>
      </c>
      <c r="C67" s="152">
        <f>IF(סקר!D107&lt;2,1,סקר!D107)</f>
        <v>1</v>
      </c>
      <c r="D67" s="152">
        <f>סקר!C107</f>
        <v>0</v>
      </c>
      <c r="E67" s="152" t="str">
        <f>IFERROR(VLOOKUP(F67,[1]TreeType!$A:$E,5,0),"")</f>
        <v/>
      </c>
      <c r="F67" s="153" t="str">
        <f>IFERROR(VLOOKUP(D67,[1]TreeType!$A:$B,2,0),"")</f>
        <v/>
      </c>
      <c r="G67" s="152">
        <f>IF(B67&gt;0,IF(סקר!E107=0,1,סקר!E107),0)</f>
        <v>0</v>
      </c>
      <c r="H67" s="152">
        <f>IF(B67&gt;0,IF(סקר!F107 = 0,1,סקר!F107),0)</f>
        <v>0</v>
      </c>
      <c r="I67" s="152">
        <f>סקר!G107</f>
        <v>0</v>
      </c>
      <c r="J67" s="152">
        <f>סקר!H107</f>
        <v>0</v>
      </c>
      <c r="K67" s="152" t="e">
        <f>IF(D67="","",VLOOKUP(D67,[1]TreeType!$A$2:$E$508,3,3))</f>
        <v>#N/A</v>
      </c>
      <c r="L67" s="152">
        <f>IF(D67&gt;0,IF(סקר!M107=0,1,IF(סקר!M107=0,1,סקר!M107)),0)</f>
        <v>0</v>
      </c>
      <c r="M67" s="152">
        <f>סקר!J107</f>
        <v>0</v>
      </c>
      <c r="N67" s="152">
        <f>IF(D67&gt;0,IF(סקר!K107=0,1,IF(סקר!K107=0,1,סקר!K107)),0)</f>
        <v>0</v>
      </c>
      <c r="O67" s="152" t="e">
        <f t="shared" si="2"/>
        <v>#N/A</v>
      </c>
      <c r="P67" s="152">
        <f>IF(B67&gt;0,IF(סקר!O107 &lt;=1,1,סקר!O107),0)</f>
        <v>0</v>
      </c>
      <c r="Q67" s="152">
        <f>סקר!P107</f>
        <v>0</v>
      </c>
      <c r="R67" s="152">
        <f>סקר!R107</f>
        <v>0</v>
      </c>
      <c r="S67" s="152">
        <f>סקר!BC107</f>
        <v>0</v>
      </c>
      <c r="T67" s="156"/>
    </row>
    <row r="68" spans="1:20">
      <c r="A68" s="152" t="str">
        <f>IF(סקר!D108&lt;2,"עץ","פוליגון")</f>
        <v>עץ</v>
      </c>
      <c r="B68" s="152">
        <f>סקר!B108</f>
        <v>0</v>
      </c>
      <c r="C68" s="152">
        <f>IF(סקר!D108&lt;2,1,סקר!D108)</f>
        <v>1</v>
      </c>
      <c r="D68" s="152">
        <f>סקר!C108</f>
        <v>0</v>
      </c>
      <c r="E68" s="152" t="str">
        <f>IFERROR(VLOOKUP(F68,[1]TreeType!$A:$E,5,0),"")</f>
        <v/>
      </c>
      <c r="F68" s="153" t="str">
        <f>IFERROR(VLOOKUP(D68,[1]TreeType!$A:$B,2,0),"")</f>
        <v/>
      </c>
      <c r="G68" s="152">
        <f>IF(B68&gt;0,IF(סקר!E108=0,1,סקר!E108),0)</f>
        <v>0</v>
      </c>
      <c r="H68" s="152">
        <f>IF(B68&gt;0,IF(סקר!F108 = 0,1,סקר!F108),0)</f>
        <v>0</v>
      </c>
      <c r="I68" s="152">
        <f>סקר!G108</f>
        <v>0</v>
      </c>
      <c r="J68" s="152">
        <f>סקר!H108</f>
        <v>0</v>
      </c>
      <c r="K68" s="152" t="e">
        <f>IF(D68="","",VLOOKUP(D68,[1]TreeType!$A$2:$E$508,3,3))</f>
        <v>#N/A</v>
      </c>
      <c r="L68" s="152">
        <f>IF(D68&gt;0,IF(סקר!M108=0,1,IF(סקר!M108=0,1,סקר!M108)),0)</f>
        <v>0</v>
      </c>
      <c r="M68" s="152">
        <f>סקר!J108</f>
        <v>0</v>
      </c>
      <c r="N68" s="152">
        <f>IF(D68&gt;0,IF(סקר!K108=0,1,IF(סקר!K108=0,1,סקר!K108)),0)</f>
        <v>0</v>
      </c>
      <c r="O68" s="152" t="e">
        <f t="shared" si="2"/>
        <v>#N/A</v>
      </c>
      <c r="P68" s="152">
        <f>IF(B68&gt;0,IF(סקר!O108 &lt;=1,1,סקר!O108),0)</f>
        <v>0</v>
      </c>
      <c r="Q68" s="152">
        <f>סקר!P108</f>
        <v>0</v>
      </c>
      <c r="R68" s="152">
        <f>סקר!R108</f>
        <v>0</v>
      </c>
      <c r="S68" s="152">
        <f>סקר!BC108</f>
        <v>0</v>
      </c>
      <c r="T68" s="156"/>
    </row>
    <row r="69" spans="1:20">
      <c r="A69" s="152" t="str">
        <f>IF(סקר!D109&lt;2,"עץ","פוליגון")</f>
        <v>עץ</v>
      </c>
      <c r="B69" s="152">
        <f>סקר!B109</f>
        <v>0</v>
      </c>
      <c r="C69" s="152">
        <f>IF(סקר!D109&lt;2,1,סקר!D109)</f>
        <v>1</v>
      </c>
      <c r="D69" s="152">
        <f>סקר!C109</f>
        <v>0</v>
      </c>
      <c r="E69" s="152" t="str">
        <f>IFERROR(VLOOKUP(F69,[1]TreeType!$A:$E,5,0),"")</f>
        <v/>
      </c>
      <c r="F69" s="153" t="str">
        <f>IFERROR(VLOOKUP(D69,[1]TreeType!$A:$B,2,0),"")</f>
        <v/>
      </c>
      <c r="G69" s="152">
        <f>IF(B69&gt;0,IF(סקר!E109=0,1,סקר!E109),0)</f>
        <v>0</v>
      </c>
      <c r="H69" s="152">
        <f>IF(B69&gt;0,IF(סקר!F109 = 0,1,סקר!F109),0)</f>
        <v>0</v>
      </c>
      <c r="I69" s="152">
        <f>סקר!G109</f>
        <v>0</v>
      </c>
      <c r="J69" s="152">
        <f>סקר!H109</f>
        <v>0</v>
      </c>
      <c r="K69" s="152" t="e">
        <f>IF(D69="","",VLOOKUP(D69,[1]TreeType!$A$2:$E$508,3,3))</f>
        <v>#N/A</v>
      </c>
      <c r="L69" s="152">
        <f>IF(D69&gt;0,IF(סקר!M109=0,1,IF(סקר!M109=0,1,סקר!M109)),0)</f>
        <v>0</v>
      </c>
      <c r="M69" s="152">
        <f>סקר!J109</f>
        <v>0</v>
      </c>
      <c r="N69" s="152">
        <f>IF(D69&gt;0,IF(סקר!K109=0,1,IF(סקר!K109=0,1,סקר!K109)),0)</f>
        <v>0</v>
      </c>
      <c r="O69" s="152" t="e">
        <f t="shared" si="2"/>
        <v>#N/A</v>
      </c>
      <c r="P69" s="152">
        <f>IF(B69&gt;0,IF(סקר!O109 &lt;=1,1,סקר!O109),0)</f>
        <v>0</v>
      </c>
      <c r="Q69" s="152">
        <f>סקר!P109</f>
        <v>0</v>
      </c>
      <c r="R69" s="152">
        <f>סקר!R109</f>
        <v>0</v>
      </c>
      <c r="S69" s="152">
        <f>סקר!BC109</f>
        <v>0</v>
      </c>
      <c r="T69" s="156"/>
    </row>
    <row r="70" spans="1:20">
      <c r="A70" s="152" t="str">
        <f>IF(סקר!D110&lt;2,"עץ","פוליגון")</f>
        <v>עץ</v>
      </c>
      <c r="B70" s="152">
        <f>סקר!B110</f>
        <v>0</v>
      </c>
      <c r="C70" s="152">
        <f>IF(סקר!D110&lt;2,1,סקר!D110)</f>
        <v>1</v>
      </c>
      <c r="D70" s="152">
        <f>סקר!C110</f>
        <v>0</v>
      </c>
      <c r="E70" s="152" t="str">
        <f>IFERROR(VLOOKUP(F70,[1]TreeType!$A:$E,5,0),"")</f>
        <v/>
      </c>
      <c r="F70" s="153" t="str">
        <f>IFERROR(VLOOKUP(D70,[1]TreeType!$A:$B,2,0),"")</f>
        <v/>
      </c>
      <c r="G70" s="152">
        <f>IF(B70&gt;0,IF(סקר!E110=0,1,סקר!E110),0)</f>
        <v>0</v>
      </c>
      <c r="H70" s="152">
        <f>IF(B70&gt;0,IF(סקר!F110 = 0,1,סקר!F110),0)</f>
        <v>0</v>
      </c>
      <c r="I70" s="152">
        <f>סקר!G110</f>
        <v>0</v>
      </c>
      <c r="J70" s="152">
        <f>סקר!H110</f>
        <v>0</v>
      </c>
      <c r="K70" s="152" t="e">
        <f>IF(D70="","",VLOOKUP(D70,[1]TreeType!$A$2:$E$508,3,3))</f>
        <v>#N/A</v>
      </c>
      <c r="L70" s="152">
        <f>IF(D70&gt;0,IF(סקר!M110=0,1,IF(סקר!M110=0,1,סקר!M110)),0)</f>
        <v>0</v>
      </c>
      <c r="M70" s="152">
        <f>סקר!J110</f>
        <v>0</v>
      </c>
      <c r="N70" s="152">
        <f>IF(D70&gt;0,IF(סקר!K110=0,1,IF(סקר!K110=0,1,סקר!K110)),0)</f>
        <v>0</v>
      </c>
      <c r="O70" s="152" t="e">
        <f t="shared" si="2"/>
        <v>#N/A</v>
      </c>
      <c r="P70" s="152">
        <f>IF(B70&gt;0,IF(סקר!O110 &lt;=1,1,סקר!O110),0)</f>
        <v>0</v>
      </c>
      <c r="Q70" s="152">
        <f>סקר!P110</f>
        <v>0</v>
      </c>
      <c r="R70" s="152">
        <f>סקר!R110</f>
        <v>0</v>
      </c>
      <c r="S70" s="152">
        <f>סקר!BC110</f>
        <v>0</v>
      </c>
      <c r="T70" s="156"/>
    </row>
    <row r="71" spans="1:20">
      <c r="A71" s="152" t="str">
        <f>IF(סקר!D111&lt;2,"עץ","פוליגון")</f>
        <v>עץ</v>
      </c>
      <c r="B71" s="152">
        <f>סקר!B111</f>
        <v>0</v>
      </c>
      <c r="C71" s="152">
        <f>IF(סקר!D111&lt;2,1,סקר!D111)</f>
        <v>1</v>
      </c>
      <c r="D71" s="152">
        <f>סקר!C111</f>
        <v>0</v>
      </c>
      <c r="E71" s="152" t="str">
        <f>IFERROR(VLOOKUP(F71,[1]TreeType!$A:$E,5,0),"")</f>
        <v/>
      </c>
      <c r="F71" s="153" t="str">
        <f>IFERROR(VLOOKUP(D71,[1]TreeType!$A:$B,2,0),"")</f>
        <v/>
      </c>
      <c r="G71" s="152">
        <f>IF(B71&gt;0,IF(סקר!E111=0,1,סקר!E111),0)</f>
        <v>0</v>
      </c>
      <c r="H71" s="152">
        <f>IF(B71&gt;0,IF(סקר!F111 = 0,1,סקר!F111),0)</f>
        <v>0</v>
      </c>
      <c r="I71" s="152">
        <f>סקר!G111</f>
        <v>0</v>
      </c>
      <c r="J71" s="152">
        <f>סקר!H111</f>
        <v>0</v>
      </c>
      <c r="K71" s="152" t="e">
        <f>IF(D71="","",VLOOKUP(D71,[1]TreeType!$A$2:$E$508,3,3))</f>
        <v>#N/A</v>
      </c>
      <c r="L71" s="152">
        <f>IF(D71&gt;0,IF(סקר!M111=0,1,IF(סקר!M111=0,1,סקר!M111)),0)</f>
        <v>0</v>
      </c>
      <c r="M71" s="152">
        <f>סקר!J111</f>
        <v>0</v>
      </c>
      <c r="N71" s="152">
        <f>IF(D71&gt;0,IF(סקר!K111=0,1,IF(סקר!K111=0,1,סקר!K111)),0)</f>
        <v>0</v>
      </c>
      <c r="O71" s="152" t="e">
        <f t="shared" si="2"/>
        <v>#N/A</v>
      </c>
      <c r="P71" s="152">
        <f>IF(B71&gt;0,IF(סקר!O111 &lt;=1,1,סקר!O111),0)</f>
        <v>0</v>
      </c>
      <c r="Q71" s="152">
        <f>סקר!P111</f>
        <v>0</v>
      </c>
      <c r="R71" s="152">
        <f>סקר!R111</f>
        <v>0</v>
      </c>
      <c r="S71" s="152">
        <f>סקר!BC111</f>
        <v>0</v>
      </c>
      <c r="T71" s="156"/>
    </row>
    <row r="72" spans="1:20">
      <c r="A72" s="152" t="str">
        <f>IF(סקר!D112&lt;2,"עץ","פוליגון")</f>
        <v>עץ</v>
      </c>
      <c r="B72" s="152">
        <f>סקר!B112</f>
        <v>0</v>
      </c>
      <c r="C72" s="152">
        <f>IF(סקר!D112&lt;2,1,סקר!D112)</f>
        <v>1</v>
      </c>
      <c r="D72" s="152">
        <f>סקר!C112</f>
        <v>0</v>
      </c>
      <c r="E72" s="152" t="str">
        <f>IFERROR(VLOOKUP(F72,[1]TreeType!$A:$E,5,0),"")</f>
        <v/>
      </c>
      <c r="F72" s="153" t="str">
        <f>IFERROR(VLOOKUP(D72,[1]TreeType!$A:$B,2,0),"")</f>
        <v/>
      </c>
      <c r="G72" s="152">
        <f>IF(B72&gt;0,IF(סקר!E112=0,1,סקר!E112),0)</f>
        <v>0</v>
      </c>
      <c r="H72" s="152">
        <f>IF(B72&gt;0,IF(סקר!F112 = 0,1,סקר!F112),0)</f>
        <v>0</v>
      </c>
      <c r="I72" s="152">
        <f>סקר!G112</f>
        <v>0</v>
      </c>
      <c r="J72" s="152">
        <f>סקר!H112</f>
        <v>0</v>
      </c>
      <c r="K72" s="152" t="e">
        <f>IF(D72="","",VLOOKUP(D72,[1]TreeType!$A$2:$E$508,3,3))</f>
        <v>#N/A</v>
      </c>
      <c r="L72" s="152">
        <f>IF(D72&gt;0,IF(סקר!M112=0,1,IF(סקר!M112=0,1,סקר!M112)),0)</f>
        <v>0</v>
      </c>
      <c r="M72" s="152">
        <f>סקר!J112</f>
        <v>0</v>
      </c>
      <c r="N72" s="152">
        <f>IF(D72&gt;0,IF(סקר!K112=0,1,IF(סקר!K112=0,1,סקר!K112)),0)</f>
        <v>0</v>
      </c>
      <c r="O72" s="152" t="e">
        <f t="shared" si="2"/>
        <v>#N/A</v>
      </c>
      <c r="P72" s="152">
        <f>IF(B72&gt;0,IF(סקר!O112 &lt;=1,1,סקר!O112),0)</f>
        <v>0</v>
      </c>
      <c r="Q72" s="152">
        <f>סקר!P112</f>
        <v>0</v>
      </c>
      <c r="R72" s="152">
        <f>סקר!R112</f>
        <v>0</v>
      </c>
      <c r="S72" s="152">
        <f>סקר!BC112</f>
        <v>0</v>
      </c>
      <c r="T72" s="156"/>
    </row>
    <row r="73" spans="1:20">
      <c r="A73" s="152" t="str">
        <f>IF(סקר!D113&lt;2,"עץ","פוליגון")</f>
        <v>עץ</v>
      </c>
      <c r="B73" s="152">
        <f>סקר!B113</f>
        <v>0</v>
      </c>
      <c r="C73" s="152">
        <f>IF(סקר!D113&lt;2,1,סקר!D113)</f>
        <v>1</v>
      </c>
      <c r="D73" s="152">
        <f>סקר!C113</f>
        <v>0</v>
      </c>
      <c r="E73" s="152" t="str">
        <f>IFERROR(VLOOKUP(F73,[1]TreeType!$A:$E,5,0),"")</f>
        <v/>
      </c>
      <c r="F73" s="153" t="str">
        <f>IFERROR(VLOOKUP(D73,[1]TreeType!$A:$B,2,0),"")</f>
        <v/>
      </c>
      <c r="G73" s="152">
        <f>IF(B73&gt;0,IF(סקר!E113=0,1,סקר!E113),0)</f>
        <v>0</v>
      </c>
      <c r="H73" s="152">
        <f>IF(B73&gt;0,IF(סקר!F113 = 0,1,סקר!F113),0)</f>
        <v>0</v>
      </c>
      <c r="I73" s="152">
        <f>סקר!G113</f>
        <v>0</v>
      </c>
      <c r="J73" s="152">
        <f>סקר!H113</f>
        <v>0</v>
      </c>
      <c r="K73" s="152" t="e">
        <f>IF(D73="","",VLOOKUP(D73,[1]TreeType!$A$2:$E$508,3,3))</f>
        <v>#N/A</v>
      </c>
      <c r="L73" s="152">
        <f>IF(D73&gt;0,IF(סקר!M113=0,1,IF(סקר!M113=0,1,סקר!M113)),0)</f>
        <v>0</v>
      </c>
      <c r="M73" s="152">
        <f>סקר!J113</f>
        <v>0</v>
      </c>
      <c r="N73" s="152">
        <f>IF(D73&gt;0,IF(סקר!K113=0,1,IF(סקר!K113=0,1,סקר!K113)),0)</f>
        <v>0</v>
      </c>
      <c r="O73" s="152" t="e">
        <f t="shared" si="2"/>
        <v>#N/A</v>
      </c>
      <c r="P73" s="152">
        <f>IF(B73&gt;0,IF(סקר!O113 &lt;=1,1,סקר!O113),0)</f>
        <v>0</v>
      </c>
      <c r="Q73" s="152">
        <f>סקר!P113</f>
        <v>0</v>
      </c>
      <c r="R73" s="152">
        <f>סקר!R113</f>
        <v>0</v>
      </c>
      <c r="S73" s="152">
        <f>סקר!BC113</f>
        <v>0</v>
      </c>
      <c r="T73" s="156"/>
    </row>
    <row r="74" spans="1:20">
      <c r="A74" s="152" t="str">
        <f>IF(סקר!D114&lt;2,"עץ","פוליגון")</f>
        <v>עץ</v>
      </c>
      <c r="B74" s="152">
        <f>סקר!B114</f>
        <v>0</v>
      </c>
      <c r="C74" s="152">
        <f>IF(סקר!D114&lt;2,1,סקר!D114)</f>
        <v>1</v>
      </c>
      <c r="D74" s="152">
        <f>סקר!C114</f>
        <v>0</v>
      </c>
      <c r="E74" s="152" t="str">
        <f>IFERROR(VLOOKUP(F74,[1]TreeType!$A:$E,5,0),"")</f>
        <v/>
      </c>
      <c r="F74" s="153" t="str">
        <f>IFERROR(VLOOKUP(D74,[1]TreeType!$A:$B,2,0),"")</f>
        <v/>
      </c>
      <c r="G74" s="152">
        <f>IF(B74&gt;0,IF(סקר!E114=0,1,סקר!E114),0)</f>
        <v>0</v>
      </c>
      <c r="H74" s="152">
        <f>IF(B74&gt;0,IF(סקר!F114 = 0,1,סקר!F114),0)</f>
        <v>0</v>
      </c>
      <c r="I74" s="152">
        <f>סקר!G114</f>
        <v>0</v>
      </c>
      <c r="J74" s="152">
        <f>סקר!H114</f>
        <v>0</v>
      </c>
      <c r="K74" s="152" t="e">
        <f>IF(D74="","",VLOOKUP(D74,[1]TreeType!$A$2:$E$508,3,3))</f>
        <v>#N/A</v>
      </c>
      <c r="L74" s="152">
        <f>IF(D74&gt;0,IF(סקר!M114=0,1,IF(סקר!M114=0,1,סקר!M114)),0)</f>
        <v>0</v>
      </c>
      <c r="M74" s="152">
        <f>סקר!J114</f>
        <v>0</v>
      </c>
      <c r="N74" s="152">
        <f>IF(D74&gt;0,IF(סקר!K114=0,1,IF(סקר!K114=0,1,סקר!K114)),0)</f>
        <v>0</v>
      </c>
      <c r="O74" s="152" t="e">
        <f t="shared" si="2"/>
        <v>#N/A</v>
      </c>
      <c r="P74" s="152">
        <f>IF(B74&gt;0,IF(סקר!O114 &lt;=1,1,סקר!O114),0)</f>
        <v>0</v>
      </c>
      <c r="Q74" s="152">
        <f>סקר!P114</f>
        <v>0</v>
      </c>
      <c r="R74" s="152">
        <f>סקר!R114</f>
        <v>0</v>
      </c>
      <c r="S74" s="152">
        <f>סקר!BC114</f>
        <v>0</v>
      </c>
      <c r="T74" s="156"/>
    </row>
    <row r="75" spans="1:20">
      <c r="A75" s="152" t="str">
        <f>IF(סקר!D115&lt;2,"עץ","פוליגון")</f>
        <v>עץ</v>
      </c>
      <c r="B75" s="152">
        <f>סקר!B115</f>
        <v>0</v>
      </c>
      <c r="C75" s="152">
        <f>IF(סקר!D115&lt;2,1,סקר!D115)</f>
        <v>1</v>
      </c>
      <c r="D75" s="152">
        <f>סקר!C115</f>
        <v>0</v>
      </c>
      <c r="E75" s="152" t="str">
        <f>IFERROR(VLOOKUP(F75,[1]TreeType!$A:$E,5,0),"")</f>
        <v/>
      </c>
      <c r="F75" s="153" t="str">
        <f>IFERROR(VLOOKUP(D75,[1]TreeType!$A:$B,2,0),"")</f>
        <v/>
      </c>
      <c r="G75" s="152">
        <f>IF(B75&gt;0,IF(סקר!E115=0,1,סקר!E115),0)</f>
        <v>0</v>
      </c>
      <c r="H75" s="152">
        <f>IF(B75&gt;0,IF(סקר!F115 = 0,1,סקר!F115),0)</f>
        <v>0</v>
      </c>
      <c r="I75" s="152">
        <f>סקר!G115</f>
        <v>0</v>
      </c>
      <c r="J75" s="152">
        <f>סקר!H115</f>
        <v>0</v>
      </c>
      <c r="K75" s="152" t="e">
        <f>IF(D75="","",VLOOKUP(D75,[1]TreeType!$A$2:$E$508,3,3))</f>
        <v>#N/A</v>
      </c>
      <c r="L75" s="152">
        <f>IF(D75&gt;0,IF(סקר!M115=0,1,IF(סקר!M115=0,1,סקר!M115)),0)</f>
        <v>0</v>
      </c>
      <c r="M75" s="152">
        <f>סקר!J115</f>
        <v>0</v>
      </c>
      <c r="N75" s="152">
        <f>IF(D75&gt;0,IF(סקר!K115=0,1,IF(סקר!K115=0,1,סקר!K115)),0)</f>
        <v>0</v>
      </c>
      <c r="O75" s="152" t="e">
        <f t="shared" si="2"/>
        <v>#N/A</v>
      </c>
      <c r="P75" s="152">
        <f>IF(B75&gt;0,IF(סקר!O115 &lt;=1,1,סקר!O115),0)</f>
        <v>0</v>
      </c>
      <c r="Q75" s="152">
        <f>סקר!P115</f>
        <v>0</v>
      </c>
      <c r="R75" s="152">
        <f>סקר!R115</f>
        <v>0</v>
      </c>
      <c r="S75" s="152">
        <f>סקר!BC115</f>
        <v>0</v>
      </c>
      <c r="T75" s="156"/>
    </row>
    <row r="76" spans="1:20">
      <c r="A76" s="152" t="str">
        <f>IF(סקר!D116&lt;2,"עץ","פוליגון")</f>
        <v>עץ</v>
      </c>
      <c r="B76" s="152">
        <f>סקר!B116</f>
        <v>0</v>
      </c>
      <c r="C76" s="152">
        <f>IF(סקר!D116&lt;2,1,סקר!D116)</f>
        <v>1</v>
      </c>
      <c r="D76" s="152">
        <f>סקר!C116</f>
        <v>0</v>
      </c>
      <c r="E76" s="152" t="str">
        <f>IFERROR(VLOOKUP(F76,[1]TreeType!$A:$E,5,0),"")</f>
        <v/>
      </c>
      <c r="F76" s="153" t="str">
        <f>IFERROR(VLOOKUP(D76,[1]TreeType!$A:$B,2,0),"")</f>
        <v/>
      </c>
      <c r="G76" s="152">
        <f>IF(B76&gt;0,IF(סקר!E116=0,1,סקר!E116),0)</f>
        <v>0</v>
      </c>
      <c r="H76" s="152">
        <f>IF(B76&gt;0,IF(סקר!F116 = 0,1,סקר!F116),0)</f>
        <v>0</v>
      </c>
      <c r="I76" s="152">
        <f>סקר!G116</f>
        <v>0</v>
      </c>
      <c r="J76" s="152">
        <f>סקר!H116</f>
        <v>0</v>
      </c>
      <c r="K76" s="152" t="e">
        <f>IF(D76="","",VLOOKUP(D76,[1]TreeType!$A$2:$E$508,3,3))</f>
        <v>#N/A</v>
      </c>
      <c r="L76" s="152">
        <f>IF(D76&gt;0,IF(סקר!M116=0,1,IF(סקר!M116=0,1,סקר!M116)),0)</f>
        <v>0</v>
      </c>
      <c r="M76" s="152">
        <f>סקר!J116</f>
        <v>0</v>
      </c>
      <c r="N76" s="152">
        <f>IF(D76&gt;0,IF(סקר!K116=0,1,IF(סקר!K116=0,1,סקר!K116)),0)</f>
        <v>0</v>
      </c>
      <c r="O76" s="152" t="e">
        <f t="shared" si="2"/>
        <v>#N/A</v>
      </c>
      <c r="P76" s="152">
        <f>IF(B76&gt;0,IF(סקר!O116 &lt;=1,1,סקר!O116),0)</f>
        <v>0</v>
      </c>
      <c r="Q76" s="152">
        <f>סקר!P116</f>
        <v>0</v>
      </c>
      <c r="R76" s="152">
        <f>סקר!R116</f>
        <v>0</v>
      </c>
      <c r="S76" s="152">
        <f>סקר!BC116</f>
        <v>0</v>
      </c>
      <c r="T76" s="156"/>
    </row>
    <row r="77" spans="1:20">
      <c r="A77" s="152" t="str">
        <f>IF(סקר!D117&lt;2,"עץ","פוליגון")</f>
        <v>עץ</v>
      </c>
      <c r="B77" s="152">
        <f>סקר!B117</f>
        <v>0</v>
      </c>
      <c r="C77" s="152">
        <f>IF(סקר!D117&lt;2,1,סקר!D117)</f>
        <v>1</v>
      </c>
      <c r="D77" s="152">
        <f>סקר!C117</f>
        <v>0</v>
      </c>
      <c r="E77" s="152" t="str">
        <f>IFERROR(VLOOKUP(F77,[1]TreeType!$A:$E,5,0),"")</f>
        <v/>
      </c>
      <c r="F77" s="153" t="str">
        <f>IFERROR(VLOOKUP(D77,[1]TreeType!$A:$B,2,0),"")</f>
        <v/>
      </c>
      <c r="G77" s="152">
        <f>IF(B77&gt;0,IF(סקר!E117=0,1,סקר!E117),0)</f>
        <v>0</v>
      </c>
      <c r="H77" s="152">
        <f>IF(B77&gt;0,IF(סקר!F117 = 0,1,סקר!F117),0)</f>
        <v>0</v>
      </c>
      <c r="I77" s="152">
        <f>סקר!G117</f>
        <v>0</v>
      </c>
      <c r="J77" s="152">
        <f>סקר!H117</f>
        <v>0</v>
      </c>
      <c r="K77" s="152" t="e">
        <f>IF(D77="","",VLOOKUP(D77,[1]TreeType!$A$2:$E$508,3,3))</f>
        <v>#N/A</v>
      </c>
      <c r="L77" s="152">
        <f>IF(D77&gt;0,IF(סקר!M117=0,1,IF(סקר!M117=0,1,סקר!M117)),0)</f>
        <v>0</v>
      </c>
      <c r="M77" s="152">
        <f>סקר!J117</f>
        <v>0</v>
      </c>
      <c r="N77" s="152">
        <f>IF(D77&gt;0,IF(סקר!K117=0,1,IF(סקר!K117=0,1,סקר!K117)),0)</f>
        <v>0</v>
      </c>
      <c r="O77" s="152" t="e">
        <f t="shared" si="2"/>
        <v>#N/A</v>
      </c>
      <c r="P77" s="152">
        <f>IF(B77&gt;0,IF(סקר!O117 &lt;=1,1,סקר!O117),0)</f>
        <v>0</v>
      </c>
      <c r="Q77" s="152">
        <f>סקר!P117</f>
        <v>0</v>
      </c>
      <c r="R77" s="152">
        <f>סקר!R117</f>
        <v>0</v>
      </c>
      <c r="S77" s="152">
        <f>סקר!BC117</f>
        <v>0</v>
      </c>
      <c r="T77" s="156"/>
    </row>
    <row r="78" spans="1:20">
      <c r="A78" s="152" t="str">
        <f>IF(סקר!D118&lt;2,"עץ","פוליגון")</f>
        <v>עץ</v>
      </c>
      <c r="B78" s="152">
        <f>סקר!B118</f>
        <v>0</v>
      </c>
      <c r="C78" s="152">
        <f>IF(סקר!D118&lt;2,1,סקר!D118)</f>
        <v>1</v>
      </c>
      <c r="D78" s="152">
        <f>סקר!C118</f>
        <v>0</v>
      </c>
      <c r="E78" s="152" t="str">
        <f>IFERROR(VLOOKUP(F78,[1]TreeType!$A:$E,5,0),"")</f>
        <v/>
      </c>
      <c r="F78" s="153" t="str">
        <f>IFERROR(VLOOKUP(D78,[1]TreeType!$A:$B,2,0),"")</f>
        <v/>
      </c>
      <c r="G78" s="152">
        <f>IF(B78&gt;0,IF(סקר!E118=0,1,סקר!E118),0)</f>
        <v>0</v>
      </c>
      <c r="H78" s="152">
        <f>IF(B78&gt;0,IF(סקר!F118 = 0,1,סקר!F118),0)</f>
        <v>0</v>
      </c>
      <c r="I78" s="152">
        <f>סקר!G118</f>
        <v>0</v>
      </c>
      <c r="J78" s="152">
        <f>סקר!H118</f>
        <v>0</v>
      </c>
      <c r="K78" s="152" t="e">
        <f>IF(D78="","",VLOOKUP(D78,[1]TreeType!$A$2:$E$508,3,3))</f>
        <v>#N/A</v>
      </c>
      <c r="L78" s="152">
        <f>IF(D78&gt;0,IF(סקר!M118=0,1,IF(סקר!M118=0,1,סקר!M118)),0)</f>
        <v>0</v>
      </c>
      <c r="M78" s="152">
        <f>סקר!J118</f>
        <v>0</v>
      </c>
      <c r="N78" s="152">
        <f>IF(D78&gt;0,IF(סקר!K118=0,1,IF(סקר!K118=0,1,סקר!K118)),0)</f>
        <v>0</v>
      </c>
      <c r="O78" s="152" t="e">
        <f t="shared" si="2"/>
        <v>#N/A</v>
      </c>
      <c r="P78" s="152">
        <f>IF(B78&gt;0,IF(סקר!O118 &lt;=1,1,סקר!O118),0)</f>
        <v>0</v>
      </c>
      <c r="Q78" s="152">
        <f>סקר!P118</f>
        <v>0</v>
      </c>
      <c r="R78" s="152">
        <f>סקר!R118</f>
        <v>0</v>
      </c>
      <c r="S78" s="152">
        <f>סקר!BC118</f>
        <v>0</v>
      </c>
      <c r="T78" s="156"/>
    </row>
    <row r="79" spans="1:20">
      <c r="A79" s="152" t="str">
        <f>IF(סקר!D119&lt;2,"עץ","פוליגון")</f>
        <v>עץ</v>
      </c>
      <c r="B79" s="152">
        <f>סקר!B119</f>
        <v>0</v>
      </c>
      <c r="C79" s="152">
        <f>IF(סקר!D119&lt;2,1,סקר!D119)</f>
        <v>1</v>
      </c>
      <c r="D79" s="152">
        <f>סקר!C119</f>
        <v>0</v>
      </c>
      <c r="E79" s="152" t="str">
        <f>IFERROR(VLOOKUP(F79,[1]TreeType!$A:$E,5,0),"")</f>
        <v/>
      </c>
      <c r="F79" s="153" t="str">
        <f>IFERROR(VLOOKUP(D79,[1]TreeType!$A:$B,2,0),"")</f>
        <v/>
      </c>
      <c r="G79" s="152">
        <f>IF(B79&gt;0,IF(סקר!E119=0,1,סקר!E119),0)</f>
        <v>0</v>
      </c>
      <c r="H79" s="152">
        <f>IF(B79&gt;0,IF(סקר!F119 = 0,1,סקר!F119),0)</f>
        <v>0</v>
      </c>
      <c r="I79" s="152">
        <f>סקר!G119</f>
        <v>0</v>
      </c>
      <c r="J79" s="152">
        <f>סקר!H119</f>
        <v>0</v>
      </c>
      <c r="K79" s="152" t="e">
        <f>IF(D79="","",VLOOKUP(D79,[1]TreeType!$A$2:$E$508,3,3))</f>
        <v>#N/A</v>
      </c>
      <c r="L79" s="152">
        <f>IF(D79&gt;0,IF(סקר!M119=0,1,IF(סקר!M119=0,1,סקר!M119)),0)</f>
        <v>0</v>
      </c>
      <c r="M79" s="152">
        <f>סקר!J119</f>
        <v>0</v>
      </c>
      <c r="N79" s="152">
        <f>IF(D79&gt;0,IF(סקר!K119=0,1,IF(סקר!K119=0,1,סקר!K119)),0)</f>
        <v>0</v>
      </c>
      <c r="O79" s="152" t="e">
        <f t="shared" si="2"/>
        <v>#N/A</v>
      </c>
      <c r="P79" s="152">
        <f>IF(B79&gt;0,IF(סקר!O119 &lt;=1,1,סקר!O119),0)</f>
        <v>0</v>
      </c>
      <c r="Q79" s="152">
        <f>סקר!P119</f>
        <v>0</v>
      </c>
      <c r="R79" s="152">
        <f>סקר!R119</f>
        <v>0</v>
      </c>
      <c r="S79" s="152">
        <f>סקר!BC119</f>
        <v>0</v>
      </c>
      <c r="T79" s="156"/>
    </row>
    <row r="80" spans="1:20">
      <c r="A80" s="152" t="str">
        <f>IF(סקר!D120&lt;2,"עץ","פוליגון")</f>
        <v>עץ</v>
      </c>
      <c r="B80" s="152">
        <f>סקר!B120</f>
        <v>0</v>
      </c>
      <c r="C80" s="152">
        <f>IF(סקר!D120&lt;2,1,סקר!D120)</f>
        <v>1</v>
      </c>
      <c r="D80" s="152">
        <f>סקר!C120</f>
        <v>0</v>
      </c>
      <c r="E80" s="152" t="str">
        <f>IFERROR(VLOOKUP(F80,[1]TreeType!$A:$E,5,0),"")</f>
        <v/>
      </c>
      <c r="F80" s="153" t="str">
        <f>IFERROR(VLOOKUP(D80,[1]TreeType!$A:$B,2,0),"")</f>
        <v/>
      </c>
      <c r="G80" s="152">
        <f>IF(B80&gt;0,IF(סקר!E120=0,1,סקר!E120),0)</f>
        <v>0</v>
      </c>
      <c r="H80" s="152">
        <f>IF(B80&gt;0,IF(סקר!F120 = 0,1,סקר!F120),0)</f>
        <v>0</v>
      </c>
      <c r="I80" s="152">
        <f>סקר!G120</f>
        <v>0</v>
      </c>
      <c r="J80" s="152">
        <f>סקר!H120</f>
        <v>0</v>
      </c>
      <c r="K80" s="152" t="e">
        <f>IF(D80="","",VLOOKUP(D80,[1]TreeType!$A$2:$E$508,3,3))</f>
        <v>#N/A</v>
      </c>
      <c r="L80" s="152">
        <f>IF(D80&gt;0,IF(סקר!M120=0,1,IF(סקר!M120=0,1,סקר!M120)),0)</f>
        <v>0</v>
      </c>
      <c r="M80" s="152">
        <f>סקר!J120</f>
        <v>0</v>
      </c>
      <c r="N80" s="152">
        <f>IF(D80&gt;0,IF(סקר!K120=0,1,IF(סקר!K120=0,1,סקר!K120)),0)</f>
        <v>0</v>
      </c>
      <c r="O80" s="152" t="e">
        <f t="shared" si="2"/>
        <v>#N/A</v>
      </c>
      <c r="P80" s="152">
        <f>IF(B80&gt;0,IF(סקר!O120 &lt;=1,1,סקר!O120),0)</f>
        <v>0</v>
      </c>
      <c r="Q80" s="152">
        <f>סקר!P120</f>
        <v>0</v>
      </c>
      <c r="R80" s="152">
        <f>סקר!R120</f>
        <v>0</v>
      </c>
      <c r="S80" s="152">
        <f>סקר!BC120</f>
        <v>0</v>
      </c>
      <c r="T80" s="156"/>
    </row>
    <row r="81" spans="1:20">
      <c r="A81" s="152" t="str">
        <f>IF(סקר!D121&lt;2,"עץ","פוליגון")</f>
        <v>עץ</v>
      </c>
      <c r="B81" s="152">
        <f>סקר!B121</f>
        <v>0</v>
      </c>
      <c r="C81" s="152">
        <f>IF(סקר!D121&lt;2,1,סקר!D121)</f>
        <v>1</v>
      </c>
      <c r="D81" s="152">
        <f>סקר!C121</f>
        <v>0</v>
      </c>
      <c r="E81" s="152" t="str">
        <f>IFERROR(VLOOKUP(F81,[1]TreeType!$A:$E,5,0),"")</f>
        <v/>
      </c>
      <c r="F81" s="153" t="str">
        <f>IFERROR(VLOOKUP(D81,[1]TreeType!$A:$B,2,0),"")</f>
        <v/>
      </c>
      <c r="G81" s="152">
        <f>IF(B81&gt;0,IF(סקר!E121=0,1,סקר!E121),0)</f>
        <v>0</v>
      </c>
      <c r="H81" s="152">
        <f>IF(B81&gt;0,IF(סקר!F121 = 0,1,סקר!F121),0)</f>
        <v>0</v>
      </c>
      <c r="I81" s="152">
        <f>סקר!G121</f>
        <v>0</v>
      </c>
      <c r="J81" s="152">
        <f>סקר!H121</f>
        <v>0</v>
      </c>
      <c r="K81" s="152" t="e">
        <f>IF(D81="","",VLOOKUP(D81,[1]TreeType!$A$2:$E$508,3,3))</f>
        <v>#N/A</v>
      </c>
      <c r="L81" s="152">
        <f>IF(D81&gt;0,IF(סקר!M121=0,1,IF(סקר!M121=0,1,סקר!M121)),0)</f>
        <v>0</v>
      </c>
      <c r="M81" s="152">
        <f>סקר!J121</f>
        <v>0</v>
      </c>
      <c r="N81" s="152">
        <f>IF(D81&gt;0,IF(סקר!K121=0,1,IF(סקר!K121=0,1,סקר!K121)),0)</f>
        <v>0</v>
      </c>
      <c r="O81" s="152" t="e">
        <f t="shared" si="2"/>
        <v>#N/A</v>
      </c>
      <c r="P81" s="152">
        <f>IF(B81&gt;0,IF(סקר!O121 &lt;=1,1,סקר!O121),0)</f>
        <v>0</v>
      </c>
      <c r="Q81" s="152">
        <f>סקר!P121</f>
        <v>0</v>
      </c>
      <c r="R81" s="152">
        <f>סקר!R121</f>
        <v>0</v>
      </c>
      <c r="S81" s="152">
        <f>סקר!BC121</f>
        <v>0</v>
      </c>
      <c r="T81" s="156"/>
    </row>
    <row r="82" spans="1:20">
      <c r="A82" s="152" t="str">
        <f>IF(סקר!D122&lt;2,"עץ","פוליגון")</f>
        <v>עץ</v>
      </c>
      <c r="B82" s="152">
        <f>סקר!B122</f>
        <v>0</v>
      </c>
      <c r="C82" s="152">
        <f>IF(סקר!D122&lt;2,1,סקר!D122)</f>
        <v>1</v>
      </c>
      <c r="D82" s="152">
        <f>סקר!C122</f>
        <v>0</v>
      </c>
      <c r="E82" s="152" t="str">
        <f>IFERROR(VLOOKUP(F82,[1]TreeType!$A:$E,5,0),"")</f>
        <v/>
      </c>
      <c r="F82" s="153" t="str">
        <f>IFERROR(VLOOKUP(D82,[1]TreeType!$A:$B,2,0),"")</f>
        <v/>
      </c>
      <c r="G82" s="152">
        <f>IF(B82&gt;0,IF(סקר!E122=0,1,סקר!E122),0)</f>
        <v>0</v>
      </c>
      <c r="H82" s="152">
        <f>IF(B82&gt;0,IF(סקר!F122 = 0,1,סקר!F122),0)</f>
        <v>0</v>
      </c>
      <c r="I82" s="152">
        <f>סקר!G122</f>
        <v>0</v>
      </c>
      <c r="J82" s="152">
        <f>סקר!H122</f>
        <v>0</v>
      </c>
      <c r="K82" s="152" t="e">
        <f>IF(D82="","",VLOOKUP(D82,[1]TreeType!$A$2:$E$508,3,3))</f>
        <v>#N/A</v>
      </c>
      <c r="L82" s="152">
        <f>IF(D82&gt;0,IF(סקר!M122=0,1,IF(סקר!M122=0,1,סקר!M122)),0)</f>
        <v>0</v>
      </c>
      <c r="M82" s="152">
        <f>סקר!J122</f>
        <v>0</v>
      </c>
      <c r="N82" s="152">
        <f>IF(D82&gt;0,IF(סקר!K122=0,1,IF(סקר!K122=0,1,סקר!K122)),0)</f>
        <v>0</v>
      </c>
      <c r="O82" s="152" t="e">
        <f t="shared" si="2"/>
        <v>#N/A</v>
      </c>
      <c r="P82" s="152">
        <f>IF(B82&gt;0,IF(סקר!O122 &lt;=1,1,סקר!O122),0)</f>
        <v>0</v>
      </c>
      <c r="Q82" s="152">
        <f>סקר!P122</f>
        <v>0</v>
      </c>
      <c r="R82" s="152">
        <f>סקר!R122</f>
        <v>0</v>
      </c>
      <c r="S82" s="152">
        <f>סקר!BC122</f>
        <v>0</v>
      </c>
      <c r="T82" s="156"/>
    </row>
    <row r="83" spans="1:20">
      <c r="A83" s="152" t="str">
        <f>IF(סקר!D123&lt;2,"עץ","פוליגון")</f>
        <v>עץ</v>
      </c>
      <c r="B83" s="152">
        <f>סקר!B123</f>
        <v>0</v>
      </c>
      <c r="C83" s="152">
        <f>IF(סקר!D123&lt;2,1,סקר!D123)</f>
        <v>1</v>
      </c>
      <c r="D83" s="152">
        <f>סקר!C123</f>
        <v>0</v>
      </c>
      <c r="E83" s="152" t="str">
        <f>IFERROR(VLOOKUP(F83,[1]TreeType!$A:$E,5,0),"")</f>
        <v/>
      </c>
      <c r="F83" s="153" t="str">
        <f>IFERROR(VLOOKUP(D83,[1]TreeType!$A:$B,2,0),"")</f>
        <v/>
      </c>
      <c r="G83" s="152">
        <f>IF(B83&gt;0,IF(סקר!E123=0,1,סקר!E123),0)</f>
        <v>0</v>
      </c>
      <c r="H83" s="152">
        <f>IF(B83&gt;0,IF(סקר!F123 = 0,1,סקר!F123),0)</f>
        <v>0</v>
      </c>
      <c r="I83" s="152">
        <f>סקר!G123</f>
        <v>0</v>
      </c>
      <c r="J83" s="152">
        <f>סקר!H123</f>
        <v>0</v>
      </c>
      <c r="K83" s="152" t="e">
        <f>IF(D83="","",VLOOKUP(D83,[1]TreeType!$A$2:$E$508,3,3))</f>
        <v>#N/A</v>
      </c>
      <c r="L83" s="152">
        <f>IF(D83&gt;0,IF(סקר!M123=0,1,IF(סקר!M123=0,1,סקר!M123)),0)</f>
        <v>0</v>
      </c>
      <c r="M83" s="152">
        <f>סקר!J123</f>
        <v>0</v>
      </c>
      <c r="N83" s="152">
        <f>IF(D83&gt;0,IF(סקר!K123=0,1,IF(סקר!K123=0,1,סקר!K123)),0)</f>
        <v>0</v>
      </c>
      <c r="O83" s="152" t="e">
        <f t="shared" si="2"/>
        <v>#N/A</v>
      </c>
      <c r="P83" s="152">
        <f>IF(B83&gt;0,IF(סקר!O123 &lt;=1,1,סקר!O123),0)</f>
        <v>0</v>
      </c>
      <c r="Q83" s="152">
        <f>סקר!P123</f>
        <v>0</v>
      </c>
      <c r="R83" s="152">
        <f>סקר!R123</f>
        <v>0</v>
      </c>
      <c r="S83" s="152">
        <f>סקר!BC123</f>
        <v>0</v>
      </c>
      <c r="T83" s="156"/>
    </row>
    <row r="84" spans="1:20">
      <c r="A84" s="152" t="str">
        <f>IF(סקר!D124&lt;2,"עץ","פוליגון")</f>
        <v>עץ</v>
      </c>
      <c r="B84" s="152">
        <f>סקר!B124</f>
        <v>0</v>
      </c>
      <c r="C84" s="152">
        <f>IF(סקר!D124&lt;2,1,סקר!D124)</f>
        <v>1</v>
      </c>
      <c r="D84" s="152">
        <f>סקר!C124</f>
        <v>0</v>
      </c>
      <c r="E84" s="152" t="str">
        <f>IFERROR(VLOOKUP(F84,[1]TreeType!$A:$E,5,0),"")</f>
        <v/>
      </c>
      <c r="F84" s="153" t="str">
        <f>IFERROR(VLOOKUP(D84,[1]TreeType!$A:$B,2,0),"")</f>
        <v/>
      </c>
      <c r="G84" s="152">
        <f>IF(B84&gt;0,IF(סקר!E124=0,1,סקר!E124),0)</f>
        <v>0</v>
      </c>
      <c r="H84" s="152">
        <f>IF(B84&gt;0,IF(סקר!F124 = 0,1,סקר!F124),0)</f>
        <v>0</v>
      </c>
      <c r="I84" s="152">
        <f>סקר!G124</f>
        <v>0</v>
      </c>
      <c r="J84" s="152">
        <f>סקר!H124</f>
        <v>0</v>
      </c>
      <c r="K84" s="152" t="e">
        <f>IF(D84="","",VLOOKUP(D84,[1]TreeType!$A$2:$E$508,3,3))</f>
        <v>#N/A</v>
      </c>
      <c r="L84" s="152">
        <f>IF(D84&gt;0,IF(סקר!M124=0,1,IF(סקר!M124=0,1,סקר!M124)),0)</f>
        <v>0</v>
      </c>
      <c r="M84" s="152">
        <f>סקר!J124</f>
        <v>0</v>
      </c>
      <c r="N84" s="152">
        <f>IF(D84&gt;0,IF(סקר!K124=0,1,IF(סקר!K124=0,1,סקר!K124)),0)</f>
        <v>0</v>
      </c>
      <c r="O84" s="152" t="e">
        <f t="shared" si="2"/>
        <v>#N/A</v>
      </c>
      <c r="P84" s="152">
        <f>IF(B84&gt;0,IF(סקר!O124 &lt;=1,1,סקר!O124),0)</f>
        <v>0</v>
      </c>
      <c r="Q84" s="152">
        <f>סקר!P124</f>
        <v>0</v>
      </c>
      <c r="R84" s="152">
        <f>סקר!R124</f>
        <v>0</v>
      </c>
      <c r="S84" s="152">
        <f>סקר!BC124</f>
        <v>0</v>
      </c>
      <c r="T84" s="156"/>
    </row>
    <row r="85" spans="1:20">
      <c r="A85" s="152" t="str">
        <f>IF(סקר!D125&lt;2,"עץ","פוליגון")</f>
        <v>עץ</v>
      </c>
      <c r="B85" s="152">
        <f>סקר!B125</f>
        <v>0</v>
      </c>
      <c r="C85" s="152">
        <f>IF(סקר!D125&lt;2,1,סקר!D125)</f>
        <v>1</v>
      </c>
      <c r="D85" s="152">
        <f>סקר!C125</f>
        <v>0</v>
      </c>
      <c r="E85" s="152" t="str">
        <f>IFERROR(VLOOKUP(F85,[1]TreeType!$A:$E,5,0),"")</f>
        <v/>
      </c>
      <c r="F85" s="153" t="str">
        <f>IFERROR(VLOOKUP(D85,[1]TreeType!$A:$B,2,0),"")</f>
        <v/>
      </c>
      <c r="G85" s="152">
        <f>IF(B85&gt;0,IF(סקר!E125=0,1,סקר!E125),0)</f>
        <v>0</v>
      </c>
      <c r="H85" s="152">
        <f>IF(B85&gt;0,IF(סקר!F125 = 0,1,סקר!F125),0)</f>
        <v>0</v>
      </c>
      <c r="I85" s="152">
        <f>סקר!G125</f>
        <v>0</v>
      </c>
      <c r="J85" s="152">
        <f>סקר!H125</f>
        <v>0</v>
      </c>
      <c r="K85" s="152" t="e">
        <f>IF(D85="","",VLOOKUP(D85,[1]TreeType!$A$2:$E$508,3,3))</f>
        <v>#N/A</v>
      </c>
      <c r="L85" s="152">
        <f>IF(D85&gt;0,IF(סקר!M125=0,1,IF(סקר!M125=0,1,סקר!M125)),0)</f>
        <v>0</v>
      </c>
      <c r="M85" s="152">
        <f>סקר!J125</f>
        <v>0</v>
      </c>
      <c r="N85" s="152">
        <f>IF(D85&gt;0,IF(סקר!K125=0,1,IF(סקר!K125=0,1,סקר!K125)),0)</f>
        <v>0</v>
      </c>
      <c r="O85" s="152" t="e">
        <f t="shared" si="2"/>
        <v>#N/A</v>
      </c>
      <c r="P85" s="152">
        <f>IF(B85&gt;0,IF(סקר!O125 &lt;=1,1,סקר!O125),0)</f>
        <v>0</v>
      </c>
      <c r="Q85" s="152">
        <f>סקר!P125</f>
        <v>0</v>
      </c>
      <c r="R85" s="152">
        <f>סקר!R125</f>
        <v>0</v>
      </c>
      <c r="S85" s="152">
        <f>סקר!BC125</f>
        <v>0</v>
      </c>
      <c r="T85" s="156"/>
    </row>
    <row r="86" spans="1:20">
      <c r="A86" s="152" t="str">
        <f>IF(סקר!D126&lt;2,"עץ","פוליגון")</f>
        <v>עץ</v>
      </c>
      <c r="B86" s="152">
        <f>סקר!B126</f>
        <v>0</v>
      </c>
      <c r="C86" s="152">
        <f>IF(סקר!D126&lt;2,1,סקר!D126)</f>
        <v>1</v>
      </c>
      <c r="D86" s="152">
        <f>סקר!C126</f>
        <v>0</v>
      </c>
      <c r="E86" s="152" t="str">
        <f>IFERROR(VLOOKUP(F86,[1]TreeType!$A:$E,5,0),"")</f>
        <v/>
      </c>
      <c r="F86" s="153" t="str">
        <f>IFERROR(VLOOKUP(D86,[1]TreeType!$A:$B,2,0),"")</f>
        <v/>
      </c>
      <c r="G86" s="152">
        <f>IF(B86&gt;0,IF(סקר!E126=0,1,סקר!E126),0)</f>
        <v>0</v>
      </c>
      <c r="H86" s="152">
        <f>IF(B86&gt;0,IF(סקר!F126 = 0,1,סקר!F126),0)</f>
        <v>0</v>
      </c>
      <c r="I86" s="152">
        <f>סקר!G126</f>
        <v>0</v>
      </c>
      <c r="J86" s="152">
        <f>סקר!H126</f>
        <v>0</v>
      </c>
      <c r="K86" s="152" t="e">
        <f>IF(D86="","",VLOOKUP(D86,[1]TreeType!$A$2:$E$508,3,3))</f>
        <v>#N/A</v>
      </c>
      <c r="L86" s="152">
        <f>IF(D86&gt;0,IF(סקר!M126=0,1,IF(סקר!M126=0,1,סקר!M126)),0)</f>
        <v>0</v>
      </c>
      <c r="M86" s="152">
        <f>סקר!J126</f>
        <v>0</v>
      </c>
      <c r="N86" s="152">
        <f>IF(D86&gt;0,IF(סקר!K126=0,1,IF(סקר!K126=0,1,סקר!K126)),0)</f>
        <v>0</v>
      </c>
      <c r="O86" s="152" t="e">
        <f t="shared" si="2"/>
        <v>#N/A</v>
      </c>
      <c r="P86" s="152">
        <f>IF(B86&gt;0,IF(סקר!O126 &lt;=1,1,סקר!O126),0)</f>
        <v>0</v>
      </c>
      <c r="Q86" s="152">
        <f>סקר!P126</f>
        <v>0</v>
      </c>
      <c r="R86" s="152">
        <f>סקר!R126</f>
        <v>0</v>
      </c>
      <c r="S86" s="152">
        <f>סקר!BC126</f>
        <v>0</v>
      </c>
      <c r="T86" s="156"/>
    </row>
    <row r="87" spans="1:20">
      <c r="A87" s="152" t="str">
        <f>IF(סקר!D127&lt;2,"עץ","פוליגון")</f>
        <v>עץ</v>
      </c>
      <c r="B87" s="152">
        <f>סקר!B127</f>
        <v>0</v>
      </c>
      <c r="C87" s="152">
        <f>IF(סקר!D127&lt;2,1,סקר!D127)</f>
        <v>1</v>
      </c>
      <c r="D87" s="152">
        <f>סקר!C127</f>
        <v>0</v>
      </c>
      <c r="E87" s="152" t="str">
        <f>IFERROR(VLOOKUP(F87,[1]TreeType!$A:$E,5,0),"")</f>
        <v/>
      </c>
      <c r="F87" s="153" t="str">
        <f>IFERROR(VLOOKUP(D87,[1]TreeType!$A:$B,2,0),"")</f>
        <v/>
      </c>
      <c r="G87" s="152">
        <f>IF(B87&gt;0,IF(סקר!E127=0,1,סקר!E127),0)</f>
        <v>0</v>
      </c>
      <c r="H87" s="152">
        <f>IF(B87&gt;0,IF(סקר!F127 = 0,1,סקר!F127),0)</f>
        <v>0</v>
      </c>
      <c r="I87" s="152">
        <f>סקר!G127</f>
        <v>0</v>
      </c>
      <c r="J87" s="152">
        <f>סקר!H127</f>
        <v>0</v>
      </c>
      <c r="K87" s="152" t="e">
        <f>IF(D87="","",VLOOKUP(D87,[1]TreeType!$A$2:$E$508,3,3))</f>
        <v>#N/A</v>
      </c>
      <c r="L87" s="152">
        <f>IF(D87&gt;0,IF(סקר!M127=0,1,IF(סקר!M127=0,1,סקר!M127)),0)</f>
        <v>0</v>
      </c>
      <c r="M87" s="152">
        <f>סקר!J127</f>
        <v>0</v>
      </c>
      <c r="N87" s="152">
        <f>IF(D87&gt;0,IF(סקר!K127=0,1,IF(סקר!K127=0,1,סקר!K127)),0)</f>
        <v>0</v>
      </c>
      <c r="O87" s="152" t="e">
        <f t="shared" si="2"/>
        <v>#N/A</v>
      </c>
      <c r="P87" s="152">
        <f>IF(B87&gt;0,IF(סקר!O127 &lt;=1,1,סקר!O127),0)</f>
        <v>0</v>
      </c>
      <c r="Q87" s="152">
        <f>סקר!P127</f>
        <v>0</v>
      </c>
      <c r="R87" s="152">
        <f>סקר!R127</f>
        <v>0</v>
      </c>
      <c r="S87" s="152">
        <f>סקר!BC127</f>
        <v>0</v>
      </c>
      <c r="T87" s="156"/>
    </row>
    <row r="88" spans="1:20">
      <c r="A88" s="152" t="str">
        <f>IF(סקר!D128&lt;2,"עץ","פוליגון")</f>
        <v>עץ</v>
      </c>
      <c r="B88" s="152">
        <f>סקר!B128</f>
        <v>0</v>
      </c>
      <c r="C88" s="152">
        <f>IF(סקר!D128&lt;2,1,סקר!D128)</f>
        <v>1</v>
      </c>
      <c r="D88" s="152">
        <f>סקר!C128</f>
        <v>0</v>
      </c>
      <c r="E88" s="152" t="str">
        <f>IFERROR(VLOOKUP(F88,[1]TreeType!$A:$E,5,0),"")</f>
        <v/>
      </c>
      <c r="F88" s="153" t="str">
        <f>IFERROR(VLOOKUP(D88,[1]TreeType!$A:$B,2,0),"")</f>
        <v/>
      </c>
      <c r="G88" s="152">
        <f>IF(B88&gt;0,IF(סקר!E128=0,1,סקר!E128),0)</f>
        <v>0</v>
      </c>
      <c r="H88" s="152">
        <f>IF(B88&gt;0,IF(סקר!F128 = 0,1,סקר!F128),0)</f>
        <v>0</v>
      </c>
      <c r="I88" s="152">
        <f>סקר!G128</f>
        <v>0</v>
      </c>
      <c r="J88" s="152">
        <f>סקר!H128</f>
        <v>0</v>
      </c>
      <c r="K88" s="152" t="e">
        <f>IF(D88="","",VLOOKUP(D88,[1]TreeType!$A$2:$E$508,3,3))</f>
        <v>#N/A</v>
      </c>
      <c r="L88" s="152">
        <f>IF(D88&gt;0,IF(סקר!M128=0,1,IF(סקר!M128=0,1,סקר!M128)),0)</f>
        <v>0</v>
      </c>
      <c r="M88" s="152">
        <f>סקר!J128</f>
        <v>0</v>
      </c>
      <c r="N88" s="152">
        <f>IF(D88&gt;0,IF(סקר!K128=0,1,IF(סקר!K128=0,1,סקר!K128)),0)</f>
        <v>0</v>
      </c>
      <c r="O88" s="152" t="e">
        <f t="shared" si="2"/>
        <v>#N/A</v>
      </c>
      <c r="P88" s="152">
        <f>IF(B88&gt;0,IF(סקר!O128 &lt;=1,1,סקר!O128),0)</f>
        <v>0</v>
      </c>
      <c r="Q88" s="152">
        <f>סקר!P128</f>
        <v>0</v>
      </c>
      <c r="R88" s="152">
        <f>סקר!R128</f>
        <v>0</v>
      </c>
      <c r="S88" s="152">
        <f>סקר!BC128</f>
        <v>0</v>
      </c>
      <c r="T88" s="156"/>
    </row>
    <row r="89" spans="1:20">
      <c r="A89" s="152" t="str">
        <f>IF(סקר!D129&lt;2,"עץ","פוליגון")</f>
        <v>עץ</v>
      </c>
      <c r="B89" s="152">
        <f>סקר!B129</f>
        <v>0</v>
      </c>
      <c r="C89" s="152">
        <f>IF(סקר!D129&lt;2,1,סקר!D129)</f>
        <v>1</v>
      </c>
      <c r="D89" s="152">
        <f>סקר!C129</f>
        <v>0</v>
      </c>
      <c r="E89" s="152" t="str">
        <f>IFERROR(VLOOKUP(F89,[1]TreeType!$A:$E,5,0),"")</f>
        <v/>
      </c>
      <c r="F89" s="153" t="str">
        <f>IFERROR(VLOOKUP(D89,[1]TreeType!$A:$B,2,0),"")</f>
        <v/>
      </c>
      <c r="G89" s="152">
        <f>IF(B89&gt;0,IF(סקר!E129=0,1,סקר!E129),0)</f>
        <v>0</v>
      </c>
      <c r="H89" s="152">
        <f>IF(B89&gt;0,IF(סקר!F129 = 0,1,סקר!F129),0)</f>
        <v>0</v>
      </c>
      <c r="I89" s="152">
        <f>סקר!G129</f>
        <v>0</v>
      </c>
      <c r="J89" s="152">
        <f>סקר!H129</f>
        <v>0</v>
      </c>
      <c r="K89" s="152" t="e">
        <f>IF(D89="","",VLOOKUP(D89,[1]TreeType!$A$2:$E$508,3,3))</f>
        <v>#N/A</v>
      </c>
      <c r="L89" s="152">
        <f>IF(D89&gt;0,IF(סקר!M129=0,1,IF(סקר!M129=0,1,סקר!M129)),0)</f>
        <v>0</v>
      </c>
      <c r="M89" s="152">
        <f>סקר!J129</f>
        <v>0</v>
      </c>
      <c r="N89" s="152">
        <f>IF(D89&gt;0,IF(סקר!K129=0,1,IF(סקר!K129=0,1,סקר!K129)),0)</f>
        <v>0</v>
      </c>
      <c r="O89" s="152" t="e">
        <f t="shared" si="2"/>
        <v>#N/A</v>
      </c>
      <c r="P89" s="152">
        <f>IF(B89&gt;0,IF(סקר!O129 &lt;=1,1,סקר!O129),0)</f>
        <v>0</v>
      </c>
      <c r="Q89" s="152">
        <f>סקר!P129</f>
        <v>0</v>
      </c>
      <c r="R89" s="152">
        <f>סקר!R129</f>
        <v>0</v>
      </c>
      <c r="S89" s="152">
        <f>סקר!BC129</f>
        <v>0</v>
      </c>
      <c r="T89" s="156"/>
    </row>
    <row r="90" spans="1:20">
      <c r="A90" s="152" t="str">
        <f>IF(סקר!D130&lt;2,"עץ","פוליגון")</f>
        <v>עץ</v>
      </c>
      <c r="B90" s="152">
        <f>סקר!B130</f>
        <v>0</v>
      </c>
      <c r="C90" s="152">
        <f>IF(סקר!D130&lt;2,1,סקר!D130)</f>
        <v>1</v>
      </c>
      <c r="D90" s="152">
        <f>סקר!C130</f>
        <v>0</v>
      </c>
      <c r="E90" s="152" t="str">
        <f>IFERROR(VLOOKUP(F90,[1]TreeType!$A:$E,5,0),"")</f>
        <v/>
      </c>
      <c r="F90" s="153" t="str">
        <f>IFERROR(VLOOKUP(D90,[1]TreeType!$A:$B,2,0),"")</f>
        <v/>
      </c>
      <c r="G90" s="152">
        <f>IF(B90&gt;0,IF(סקר!E130=0,1,סקר!E130),0)</f>
        <v>0</v>
      </c>
      <c r="H90" s="152">
        <f>IF(B90&gt;0,IF(סקר!F130 = 0,1,סקר!F130),0)</f>
        <v>0</v>
      </c>
      <c r="I90" s="152">
        <f>סקר!G130</f>
        <v>0</v>
      </c>
      <c r="J90" s="152">
        <f>סקר!H130</f>
        <v>0</v>
      </c>
      <c r="K90" s="152" t="e">
        <f>IF(D90="","",VLOOKUP(D90,[1]TreeType!$A$2:$E$508,3,3))</f>
        <v>#N/A</v>
      </c>
      <c r="L90" s="152">
        <f>IF(D90&gt;0,IF(סקר!M130=0,1,IF(סקר!M130=0,1,סקר!M130)),0)</f>
        <v>0</v>
      </c>
      <c r="M90" s="152">
        <f>סקר!J130</f>
        <v>0</v>
      </c>
      <c r="N90" s="152">
        <f>IF(D90&gt;0,IF(סקר!K130=0,1,IF(סקר!K130=0,1,סקר!K130)),0)</f>
        <v>0</v>
      </c>
      <c r="O90" s="152" t="e">
        <f t="shared" si="2"/>
        <v>#N/A</v>
      </c>
      <c r="P90" s="152">
        <f>IF(B90&gt;0,IF(סקר!O130 &lt;=1,1,סקר!O130),0)</f>
        <v>0</v>
      </c>
      <c r="Q90" s="152">
        <f>סקר!P130</f>
        <v>0</v>
      </c>
      <c r="R90" s="152">
        <f>סקר!R130</f>
        <v>0</v>
      </c>
      <c r="S90" s="152">
        <f>סקר!BC130</f>
        <v>0</v>
      </c>
      <c r="T90" s="156"/>
    </row>
    <row r="91" spans="1:20">
      <c r="A91" s="152" t="str">
        <f>IF(סקר!D145&lt;2,"עץ","פוליגון")</f>
        <v>עץ</v>
      </c>
      <c r="B91" s="152">
        <f>סקר!B145</f>
        <v>0</v>
      </c>
      <c r="C91" s="152">
        <f>IF(סקר!D145&lt;2,1,סקר!D145)</f>
        <v>1</v>
      </c>
      <c r="D91" s="152">
        <f>סקר!C145</f>
        <v>0</v>
      </c>
      <c r="E91" s="152" t="str">
        <f>IFERROR(VLOOKUP(F91,[1]TreeType!$A:$E,5,0),"")</f>
        <v/>
      </c>
      <c r="F91" s="153" t="str">
        <f>IFERROR(VLOOKUP(D91,[1]TreeType!$A:$B,2,0),"")</f>
        <v/>
      </c>
      <c r="G91" s="152">
        <f>IF(B91&gt;0,IF(סקר!E145=0,1,סקר!E145),0)</f>
        <v>0</v>
      </c>
      <c r="H91" s="152">
        <f>IF(B91&gt;0,IF(סקר!F145 = 0,1,סקר!F145),0)</f>
        <v>0</v>
      </c>
      <c r="I91" s="152">
        <f>סקר!G145</f>
        <v>0</v>
      </c>
      <c r="J91" s="152">
        <f>סקר!H145</f>
        <v>0</v>
      </c>
      <c r="K91" s="152" t="e">
        <f>IF(D91="","",VLOOKUP(D91,[1]TreeType!$A$2:$E$508,3,3))</f>
        <v>#N/A</v>
      </c>
      <c r="L91" s="152">
        <f>IF(D91&gt;0,IF(סקר!M145=0,1,IF(סקר!M145=0,1,סקר!M145)),0)</f>
        <v>0</v>
      </c>
      <c r="M91" s="152">
        <f>סקר!J145</f>
        <v>0</v>
      </c>
      <c r="N91" s="152">
        <f>IF(D91&gt;0,IF(סקר!K145=0,1,IF(סקר!K145=0,1,סקר!K145)),0)</f>
        <v>0</v>
      </c>
      <c r="O91" s="152" t="e">
        <f t="shared" ref="O91:O133" si="3">IF(SUM(K91:N91)=0,"",SUM(K91:N91))</f>
        <v>#N/A</v>
      </c>
      <c r="P91" s="152">
        <f>IF(B91&gt;0,IF(סקר!O145 &lt;=1,1,סקר!O145),0)</f>
        <v>0</v>
      </c>
      <c r="Q91" s="152">
        <f>סקר!P145</f>
        <v>0</v>
      </c>
      <c r="R91" s="152">
        <f>סקר!R145</f>
        <v>0</v>
      </c>
      <c r="S91" s="152">
        <f>סקר!BC145</f>
        <v>0</v>
      </c>
      <c r="T91" s="156"/>
    </row>
    <row r="92" spans="1:20">
      <c r="A92" s="152" t="str">
        <f>IF(סקר!D146&lt;2,"עץ","פוליגון")</f>
        <v>עץ</v>
      </c>
      <c r="B92" s="152">
        <f>סקר!B146</f>
        <v>0</v>
      </c>
      <c r="C92" s="152">
        <f>IF(סקר!D146&lt;2,1,סקר!D146)</f>
        <v>1</v>
      </c>
      <c r="D92" s="152">
        <f>סקר!C146</f>
        <v>0</v>
      </c>
      <c r="E92" s="152" t="str">
        <f>IFERROR(VLOOKUP(F92,[1]TreeType!$A:$E,5,0),"")</f>
        <v/>
      </c>
      <c r="F92" s="153" t="str">
        <f>IFERROR(VLOOKUP(D92,[1]TreeType!$A:$B,2,0),"")</f>
        <v/>
      </c>
      <c r="G92" s="152">
        <f>IF(B92&gt;0,IF(סקר!E146=0,1,סקר!E146),0)</f>
        <v>0</v>
      </c>
      <c r="H92" s="152">
        <f>IF(B92&gt;0,IF(סקר!F146 = 0,1,סקר!F146),0)</f>
        <v>0</v>
      </c>
      <c r="I92" s="152">
        <f>סקר!G146</f>
        <v>0</v>
      </c>
      <c r="J92" s="152">
        <f>סקר!H146</f>
        <v>0</v>
      </c>
      <c r="K92" s="152" t="e">
        <f>IF(D92="","",VLOOKUP(D92,[1]TreeType!$A$2:$E$508,3,3))</f>
        <v>#N/A</v>
      </c>
      <c r="L92" s="152">
        <f>IF(D92&gt;0,IF(סקר!M146=0,1,IF(סקר!M146=0,1,סקר!M146)),0)</f>
        <v>0</v>
      </c>
      <c r="M92" s="152">
        <f>סקר!J146</f>
        <v>0</v>
      </c>
      <c r="N92" s="152">
        <f>IF(D92&gt;0,IF(סקר!K146=0,1,IF(סקר!K146=0,1,סקר!K146)),0)</f>
        <v>0</v>
      </c>
      <c r="O92" s="152" t="e">
        <f t="shared" si="3"/>
        <v>#N/A</v>
      </c>
      <c r="P92" s="152">
        <f>IF(B92&gt;0,IF(סקר!O146 &lt;=1,1,סקר!O146),0)</f>
        <v>0</v>
      </c>
      <c r="Q92" s="152">
        <f>סקר!P146</f>
        <v>0</v>
      </c>
      <c r="R92" s="152">
        <f>סקר!R146</f>
        <v>0</v>
      </c>
      <c r="S92" s="152">
        <f>סקר!BC146</f>
        <v>0</v>
      </c>
      <c r="T92" s="156"/>
    </row>
    <row r="93" spans="1:20">
      <c r="A93" s="152" t="str">
        <f>IF(סקר!D147&lt;2,"עץ","פוליגון")</f>
        <v>עץ</v>
      </c>
      <c r="B93" s="152">
        <f>סקר!B147</f>
        <v>0</v>
      </c>
      <c r="C93" s="152">
        <f>IF(סקר!D147&lt;2,1,סקר!D147)</f>
        <v>1</v>
      </c>
      <c r="D93" s="152">
        <f>סקר!C147</f>
        <v>0</v>
      </c>
      <c r="E93" s="152" t="str">
        <f>IFERROR(VLOOKUP(F93,[1]TreeType!$A:$E,5,0),"")</f>
        <v/>
      </c>
      <c r="F93" s="153" t="str">
        <f>IFERROR(VLOOKUP(D93,[1]TreeType!$A:$B,2,0),"")</f>
        <v/>
      </c>
      <c r="G93" s="152">
        <f>IF(B93&gt;0,IF(סקר!E147=0,1,סקר!E147),0)</f>
        <v>0</v>
      </c>
      <c r="H93" s="152">
        <f>IF(B93&gt;0,IF(סקר!F147 = 0,1,סקר!F147),0)</f>
        <v>0</v>
      </c>
      <c r="I93" s="152">
        <f>סקר!G147</f>
        <v>0</v>
      </c>
      <c r="J93" s="152">
        <f>סקר!H147</f>
        <v>0</v>
      </c>
      <c r="K93" s="152" t="e">
        <f>IF(D93="","",VLOOKUP(D93,[1]TreeType!$A$2:$E$508,3,3))</f>
        <v>#N/A</v>
      </c>
      <c r="L93" s="152">
        <f>IF(D93&gt;0,IF(סקר!M147=0,1,IF(סקר!M147=0,1,סקר!M147)),0)</f>
        <v>0</v>
      </c>
      <c r="M93" s="152">
        <f>סקר!J147</f>
        <v>0</v>
      </c>
      <c r="N93" s="152">
        <f>IF(D93&gt;0,IF(סקר!K147=0,1,IF(סקר!K147=0,1,סקר!K147)),0)</f>
        <v>0</v>
      </c>
      <c r="O93" s="152" t="e">
        <f t="shared" si="3"/>
        <v>#N/A</v>
      </c>
      <c r="P93" s="152">
        <f>IF(B93&gt;0,IF(סקר!O147 &lt;=1,1,סקר!O147),0)</f>
        <v>0</v>
      </c>
      <c r="Q93" s="152">
        <f>סקר!P147</f>
        <v>0</v>
      </c>
      <c r="R93" s="152">
        <f>סקר!R147</f>
        <v>0</v>
      </c>
      <c r="S93" s="152">
        <f>סקר!BC147</f>
        <v>0</v>
      </c>
      <c r="T93" s="156"/>
    </row>
    <row r="94" spans="1:20">
      <c r="A94" s="152" t="str">
        <f>IF(סקר!D148&lt;2,"עץ","פוליגון")</f>
        <v>עץ</v>
      </c>
      <c r="B94" s="152">
        <f>סקר!B148</f>
        <v>0</v>
      </c>
      <c r="C94" s="152">
        <f>IF(סקר!D148&lt;2,1,סקר!D148)</f>
        <v>1</v>
      </c>
      <c r="D94" s="152">
        <f>סקר!C148</f>
        <v>0</v>
      </c>
      <c r="E94" s="152" t="str">
        <f>IFERROR(VLOOKUP(F94,[1]TreeType!$A:$E,5,0),"")</f>
        <v/>
      </c>
      <c r="F94" s="153" t="str">
        <f>IFERROR(VLOOKUP(D94,[1]TreeType!$A:$B,2,0),"")</f>
        <v/>
      </c>
      <c r="G94" s="152">
        <f>IF(B94&gt;0,IF(סקר!E148=0,1,סקר!E148),0)</f>
        <v>0</v>
      </c>
      <c r="H94" s="152">
        <f>IF(B94&gt;0,IF(סקר!F148 = 0,1,סקר!F148),0)</f>
        <v>0</v>
      </c>
      <c r="I94" s="152">
        <f>סקר!G148</f>
        <v>0</v>
      </c>
      <c r="J94" s="152">
        <f>סקר!H148</f>
        <v>0</v>
      </c>
      <c r="K94" s="152" t="e">
        <f>IF(D94="","",VLOOKUP(D94,[1]TreeType!$A$2:$E$508,3,3))</f>
        <v>#N/A</v>
      </c>
      <c r="L94" s="152">
        <f>IF(D94&gt;0,IF(סקר!M148=0,1,IF(סקר!M148=0,1,סקר!M148)),0)</f>
        <v>0</v>
      </c>
      <c r="M94" s="152">
        <f>סקר!J148</f>
        <v>0</v>
      </c>
      <c r="N94" s="152">
        <f>IF(D94&gt;0,IF(סקר!K148=0,1,IF(סקר!K148=0,1,סקר!K148)),0)</f>
        <v>0</v>
      </c>
      <c r="O94" s="152" t="e">
        <f t="shared" si="3"/>
        <v>#N/A</v>
      </c>
      <c r="P94" s="152">
        <f>IF(B94&gt;0,IF(סקר!O148 &lt;=1,1,סקר!O148),0)</f>
        <v>0</v>
      </c>
      <c r="Q94" s="152">
        <f>סקר!P148</f>
        <v>0</v>
      </c>
      <c r="R94" s="152">
        <f>סקר!R148</f>
        <v>0</v>
      </c>
      <c r="S94" s="152">
        <f>סקר!BC148</f>
        <v>0</v>
      </c>
      <c r="T94" s="156"/>
    </row>
    <row r="95" spans="1:20">
      <c r="A95" s="152" t="str">
        <f>IF(סקר!D149&lt;2,"עץ","פוליגון")</f>
        <v>עץ</v>
      </c>
      <c r="B95" s="152">
        <f>סקר!B149</f>
        <v>0</v>
      </c>
      <c r="C95" s="152">
        <f>IF(סקר!D149&lt;2,1,סקר!D149)</f>
        <v>1</v>
      </c>
      <c r="D95" s="152">
        <f>סקר!C149</f>
        <v>0</v>
      </c>
      <c r="E95" s="152" t="str">
        <f>IFERROR(VLOOKUP(F95,[1]TreeType!$A:$E,5,0),"")</f>
        <v/>
      </c>
      <c r="F95" s="153" t="str">
        <f>IFERROR(VLOOKUP(D95,[1]TreeType!$A:$B,2,0),"")</f>
        <v/>
      </c>
      <c r="G95" s="152">
        <f>IF(B95&gt;0,IF(סקר!E149=0,1,סקר!E149),0)</f>
        <v>0</v>
      </c>
      <c r="H95" s="152">
        <f>IF(B95&gt;0,IF(סקר!F149 = 0,1,סקר!F149),0)</f>
        <v>0</v>
      </c>
      <c r="I95" s="152">
        <f>סקר!G149</f>
        <v>0</v>
      </c>
      <c r="J95" s="152">
        <f>סקר!H149</f>
        <v>0</v>
      </c>
      <c r="K95" s="152" t="e">
        <f>IF(D95="","",VLOOKUP(D95,[1]TreeType!$A$2:$E$508,3,3))</f>
        <v>#N/A</v>
      </c>
      <c r="L95" s="152">
        <f>IF(D95&gt;0,IF(סקר!M149=0,1,IF(סקר!M149=0,1,סקר!M149)),0)</f>
        <v>0</v>
      </c>
      <c r="M95" s="152">
        <f>סקר!J149</f>
        <v>0</v>
      </c>
      <c r="N95" s="152">
        <f>IF(D95&gt;0,IF(סקר!K149=0,1,IF(סקר!K149=0,1,סקר!K149)),0)</f>
        <v>0</v>
      </c>
      <c r="O95" s="152" t="e">
        <f t="shared" si="3"/>
        <v>#N/A</v>
      </c>
      <c r="P95" s="152">
        <f>IF(B95&gt;0,IF(סקר!O149 &lt;=1,1,סקר!O149),0)</f>
        <v>0</v>
      </c>
      <c r="Q95" s="152">
        <f>סקר!P149</f>
        <v>0</v>
      </c>
      <c r="R95" s="152">
        <f>סקר!R149</f>
        <v>0</v>
      </c>
      <c r="S95" s="152">
        <f>סקר!BC149</f>
        <v>0</v>
      </c>
      <c r="T95" s="156"/>
    </row>
    <row r="96" spans="1:20">
      <c r="A96" s="152" t="str">
        <f>IF(סקר!D150&lt;2,"עץ","פוליגון")</f>
        <v>עץ</v>
      </c>
      <c r="B96" s="152">
        <f>סקר!B150</f>
        <v>0</v>
      </c>
      <c r="C96" s="152">
        <f>IF(סקר!D150&lt;2,1,סקר!D150)</f>
        <v>1</v>
      </c>
      <c r="D96" s="152">
        <f>סקר!C150</f>
        <v>0</v>
      </c>
      <c r="E96" s="152" t="str">
        <f>IFERROR(VLOOKUP(F96,[1]TreeType!$A:$E,5,0),"")</f>
        <v/>
      </c>
      <c r="F96" s="153" t="str">
        <f>IFERROR(VLOOKUP(D96,[1]TreeType!$A:$B,2,0),"")</f>
        <v/>
      </c>
      <c r="G96" s="152">
        <f>IF(B96&gt;0,IF(סקר!E150=0,1,סקר!E150),0)</f>
        <v>0</v>
      </c>
      <c r="H96" s="152">
        <f>IF(B96&gt;0,IF(סקר!F150 = 0,1,סקר!F150),0)</f>
        <v>0</v>
      </c>
      <c r="I96" s="152">
        <f>סקר!G150</f>
        <v>0</v>
      </c>
      <c r="J96" s="152">
        <f>סקר!H150</f>
        <v>0</v>
      </c>
      <c r="K96" s="152" t="e">
        <f>IF(D96="","",VLOOKUP(D96,[1]TreeType!$A$2:$E$508,3,3))</f>
        <v>#N/A</v>
      </c>
      <c r="L96" s="152">
        <f>IF(D96&gt;0,IF(סקר!M150=0,1,IF(סקר!M150=0,1,סקר!M150)),0)</f>
        <v>0</v>
      </c>
      <c r="M96" s="152">
        <f>סקר!J150</f>
        <v>0</v>
      </c>
      <c r="N96" s="152">
        <f>IF(D96&gt;0,IF(סקר!K150=0,1,IF(סקר!K150=0,1,סקר!K150)),0)</f>
        <v>0</v>
      </c>
      <c r="O96" s="152" t="e">
        <f t="shared" si="3"/>
        <v>#N/A</v>
      </c>
      <c r="P96" s="152">
        <f>IF(B96&gt;0,IF(סקר!O150 &lt;=1,1,סקר!O150),0)</f>
        <v>0</v>
      </c>
      <c r="Q96" s="152">
        <f>סקר!P150</f>
        <v>0</v>
      </c>
      <c r="R96" s="152">
        <f>סקר!R150</f>
        <v>0</v>
      </c>
      <c r="S96" s="152">
        <f>סקר!BC150</f>
        <v>0</v>
      </c>
      <c r="T96" s="156"/>
    </row>
    <row r="97" spans="1:20">
      <c r="A97" s="152" t="str">
        <f>IF(סקר!D151&lt;2,"עץ","פוליגון")</f>
        <v>עץ</v>
      </c>
      <c r="B97" s="152">
        <f>סקר!B151</f>
        <v>0</v>
      </c>
      <c r="C97" s="152">
        <f>IF(סקר!D151&lt;2,1,סקר!D151)</f>
        <v>1</v>
      </c>
      <c r="D97" s="152">
        <f>סקר!C151</f>
        <v>0</v>
      </c>
      <c r="E97" s="152" t="str">
        <f>IFERROR(VLOOKUP(F97,[1]TreeType!$A:$E,5,0),"")</f>
        <v/>
      </c>
      <c r="F97" s="153" t="str">
        <f>IFERROR(VLOOKUP(D97,[1]TreeType!$A:$B,2,0),"")</f>
        <v/>
      </c>
      <c r="G97" s="152">
        <f>IF(B97&gt;0,IF(סקר!E151=0,1,סקר!E151),0)</f>
        <v>0</v>
      </c>
      <c r="H97" s="152">
        <f>IF(B97&gt;0,IF(סקר!F151 = 0,1,סקר!F151),0)</f>
        <v>0</v>
      </c>
      <c r="I97" s="152">
        <f>סקר!G151</f>
        <v>0</v>
      </c>
      <c r="J97" s="152">
        <f>סקר!H151</f>
        <v>0</v>
      </c>
      <c r="K97" s="152" t="e">
        <f>IF(D97="","",VLOOKUP(D97,[1]TreeType!$A$2:$E$508,3,3))</f>
        <v>#N/A</v>
      </c>
      <c r="L97" s="152">
        <f>IF(D97&gt;0,IF(סקר!M151=0,1,IF(סקר!M151=0,1,סקר!M151)),0)</f>
        <v>0</v>
      </c>
      <c r="M97" s="152">
        <f>סקר!J151</f>
        <v>0</v>
      </c>
      <c r="N97" s="152">
        <f>IF(D97&gt;0,IF(סקר!K151=0,1,IF(סקר!K151=0,1,סקר!K151)),0)</f>
        <v>0</v>
      </c>
      <c r="O97" s="152" t="e">
        <f t="shared" si="3"/>
        <v>#N/A</v>
      </c>
      <c r="P97" s="152">
        <f>IF(B97&gt;0,IF(סקר!O151 &lt;=1,1,סקר!O151),0)</f>
        <v>0</v>
      </c>
      <c r="Q97" s="152">
        <f>סקר!P151</f>
        <v>0</v>
      </c>
      <c r="R97" s="152">
        <f>סקר!R151</f>
        <v>0</v>
      </c>
      <c r="S97" s="152">
        <f>סקר!BC151</f>
        <v>0</v>
      </c>
      <c r="T97" s="156"/>
    </row>
    <row r="98" spans="1:20">
      <c r="A98" s="152" t="str">
        <f>IF(סקר!D152&lt;2,"עץ","פוליגון")</f>
        <v>עץ</v>
      </c>
      <c r="B98" s="152">
        <f>סקר!B152</f>
        <v>0</v>
      </c>
      <c r="C98" s="152">
        <f>IF(סקר!D152&lt;2,1,סקר!D152)</f>
        <v>1</v>
      </c>
      <c r="D98" s="152">
        <f>סקר!C152</f>
        <v>0</v>
      </c>
      <c r="E98" s="152" t="str">
        <f>IFERROR(VLOOKUP(F98,[1]TreeType!$A:$E,5,0),"")</f>
        <v/>
      </c>
      <c r="F98" s="153" t="str">
        <f>IFERROR(VLOOKUP(D98,[1]TreeType!$A:$B,2,0),"")</f>
        <v/>
      </c>
      <c r="G98" s="152">
        <f>IF(B98&gt;0,IF(סקר!E152=0,1,סקר!E152),0)</f>
        <v>0</v>
      </c>
      <c r="H98" s="152">
        <f>IF(B98&gt;0,IF(סקר!F152 = 0,1,סקר!F152),0)</f>
        <v>0</v>
      </c>
      <c r="I98" s="152">
        <f>סקר!G152</f>
        <v>0</v>
      </c>
      <c r="J98" s="152">
        <f>סקר!H152</f>
        <v>0</v>
      </c>
      <c r="K98" s="152" t="e">
        <f>IF(D98="","",VLOOKUP(D98,[1]TreeType!$A$2:$E$508,3,3))</f>
        <v>#N/A</v>
      </c>
      <c r="L98" s="152">
        <f>IF(D98&gt;0,IF(סקר!M152=0,1,IF(סקר!M152=0,1,סקר!M152)),0)</f>
        <v>0</v>
      </c>
      <c r="M98" s="152">
        <f>סקר!J152</f>
        <v>0</v>
      </c>
      <c r="N98" s="152">
        <f>IF(D98&gt;0,IF(סקר!K152=0,1,IF(סקר!K152=0,1,סקר!K152)),0)</f>
        <v>0</v>
      </c>
      <c r="O98" s="152" t="e">
        <f t="shared" si="3"/>
        <v>#N/A</v>
      </c>
      <c r="P98" s="152">
        <f>IF(B98&gt;0,IF(סקר!O152 &lt;=1,1,סקר!O152),0)</f>
        <v>0</v>
      </c>
      <c r="Q98" s="152">
        <f>סקר!P152</f>
        <v>0</v>
      </c>
      <c r="R98" s="152">
        <f>סקר!R152</f>
        <v>0</v>
      </c>
      <c r="S98" s="152">
        <f>סקר!BC152</f>
        <v>0</v>
      </c>
      <c r="T98" s="156"/>
    </row>
    <row r="99" spans="1:20">
      <c r="A99" s="152" t="str">
        <f>IF(סקר!D153&lt;2,"עץ","פוליגון")</f>
        <v>עץ</v>
      </c>
      <c r="B99" s="152">
        <f>סקר!B153</f>
        <v>0</v>
      </c>
      <c r="C99" s="152">
        <f>IF(סקר!D153&lt;2,1,סקר!D153)</f>
        <v>1</v>
      </c>
      <c r="D99" s="152">
        <f>סקר!C153</f>
        <v>0</v>
      </c>
      <c r="E99" s="152" t="str">
        <f>IFERROR(VLOOKUP(F99,[1]TreeType!$A:$E,5,0),"")</f>
        <v/>
      </c>
      <c r="F99" s="153" t="str">
        <f>IFERROR(VLOOKUP(D99,[1]TreeType!$A:$B,2,0),"")</f>
        <v/>
      </c>
      <c r="G99" s="152">
        <f>IF(B99&gt;0,IF(סקר!E153=0,1,סקר!E153),0)</f>
        <v>0</v>
      </c>
      <c r="H99" s="152">
        <f>IF(B99&gt;0,IF(סקר!F153 = 0,1,סקר!F153),0)</f>
        <v>0</v>
      </c>
      <c r="I99" s="152">
        <f>סקר!G153</f>
        <v>0</v>
      </c>
      <c r="J99" s="152">
        <f>סקר!H153</f>
        <v>0</v>
      </c>
      <c r="K99" s="152" t="e">
        <f>IF(D99="","",VLOOKUP(D99,[1]TreeType!$A$2:$E$508,3,3))</f>
        <v>#N/A</v>
      </c>
      <c r="L99" s="152">
        <f>IF(D99&gt;0,IF(סקר!M153=0,1,IF(סקר!M153=0,1,סקר!M153)),0)</f>
        <v>0</v>
      </c>
      <c r="M99" s="152">
        <f>סקר!J153</f>
        <v>0</v>
      </c>
      <c r="N99" s="152">
        <f>IF(D99&gt;0,IF(סקר!K153=0,1,IF(סקר!K153=0,1,סקר!K153)),0)</f>
        <v>0</v>
      </c>
      <c r="O99" s="152" t="e">
        <f t="shared" si="3"/>
        <v>#N/A</v>
      </c>
      <c r="P99" s="152">
        <f>IF(B99&gt;0,IF(סקר!O153 &lt;=1,1,סקר!O153),0)</f>
        <v>0</v>
      </c>
      <c r="Q99" s="152">
        <f>סקר!P153</f>
        <v>0</v>
      </c>
      <c r="R99" s="152">
        <f>סקר!R153</f>
        <v>0</v>
      </c>
      <c r="S99" s="152">
        <f>סקר!BC153</f>
        <v>0</v>
      </c>
      <c r="T99" s="156"/>
    </row>
    <row r="100" spans="1:20">
      <c r="A100" s="152" t="str">
        <f>IF(סקר!D154&lt;2,"עץ","פוליגון")</f>
        <v>עץ</v>
      </c>
      <c r="B100" s="152">
        <f>סקר!B154</f>
        <v>0</v>
      </c>
      <c r="C100" s="152">
        <f>IF(סקר!D154&lt;2,1,סקר!D154)</f>
        <v>1</v>
      </c>
      <c r="D100" s="152">
        <f>סקר!C154</f>
        <v>0</v>
      </c>
      <c r="E100" s="152" t="str">
        <f>IFERROR(VLOOKUP(F100,[1]TreeType!$A:$E,5,0),"")</f>
        <v/>
      </c>
      <c r="F100" s="153" t="str">
        <f>IFERROR(VLOOKUP(D100,[1]TreeType!$A:$B,2,0),"")</f>
        <v/>
      </c>
      <c r="G100" s="152">
        <f>IF(B100&gt;0,IF(סקר!E154=0,1,סקר!E154),0)</f>
        <v>0</v>
      </c>
      <c r="H100" s="152">
        <f>IF(B100&gt;0,IF(סקר!F154 = 0,1,סקר!F154),0)</f>
        <v>0</v>
      </c>
      <c r="I100" s="152">
        <f>סקר!G154</f>
        <v>0</v>
      </c>
      <c r="J100" s="152">
        <f>סקר!H154</f>
        <v>0</v>
      </c>
      <c r="K100" s="152" t="e">
        <f>IF(D100="","",VLOOKUP(D100,[1]TreeType!$A$2:$E$508,3,3))</f>
        <v>#N/A</v>
      </c>
      <c r="L100" s="152">
        <f>IF(D100&gt;0,IF(סקר!M154=0,1,IF(סקר!M154=0,1,סקר!M154)),0)</f>
        <v>0</v>
      </c>
      <c r="M100" s="152">
        <f>סקר!J154</f>
        <v>0</v>
      </c>
      <c r="N100" s="152">
        <f>IF(D100&gt;0,IF(סקר!K154=0,1,IF(סקר!K154=0,1,סקר!K154)),0)</f>
        <v>0</v>
      </c>
      <c r="O100" s="152" t="e">
        <f t="shared" si="3"/>
        <v>#N/A</v>
      </c>
      <c r="P100" s="152">
        <f>IF(B100&gt;0,IF(סקר!O154 &lt;=1,1,סקר!O154),0)</f>
        <v>0</v>
      </c>
      <c r="Q100" s="152">
        <f>סקר!P154</f>
        <v>0</v>
      </c>
      <c r="R100" s="152">
        <f>סקר!R154</f>
        <v>0</v>
      </c>
      <c r="S100" s="152">
        <f>סקר!BC154</f>
        <v>0</v>
      </c>
      <c r="T100" s="156"/>
    </row>
    <row r="101" spans="1:20">
      <c r="A101" s="152" t="str">
        <f>IF(סקר!D155&lt;2,"עץ","פוליגון")</f>
        <v>עץ</v>
      </c>
      <c r="B101" s="152">
        <f>סקר!B155</f>
        <v>0</v>
      </c>
      <c r="C101" s="152">
        <f>IF(סקר!D155&lt;2,1,סקר!D155)</f>
        <v>1</v>
      </c>
      <c r="D101" s="152">
        <f>סקר!C155</f>
        <v>0</v>
      </c>
      <c r="E101" s="152" t="str">
        <f>IFERROR(VLOOKUP(F101,[1]TreeType!$A:$E,5,0),"")</f>
        <v/>
      </c>
      <c r="F101" s="153" t="str">
        <f>IFERROR(VLOOKUP(D101,[1]TreeType!$A:$B,2,0),"")</f>
        <v/>
      </c>
      <c r="G101" s="152">
        <f>IF(B101&gt;0,IF(סקר!E155=0,1,סקר!E155),0)</f>
        <v>0</v>
      </c>
      <c r="H101" s="152">
        <f>IF(B101&gt;0,IF(סקר!F155 = 0,1,סקר!F155),0)</f>
        <v>0</v>
      </c>
      <c r="I101" s="152">
        <f>סקר!G155</f>
        <v>0</v>
      </c>
      <c r="J101" s="152">
        <f>סקר!H155</f>
        <v>0</v>
      </c>
      <c r="K101" s="152" t="e">
        <f>IF(D101="","",VLOOKUP(D101,[1]TreeType!$A$2:$E$508,3,3))</f>
        <v>#N/A</v>
      </c>
      <c r="L101" s="152">
        <f>IF(D101&gt;0,IF(סקר!M155=0,1,IF(סקר!M155=0,1,סקר!M155)),0)</f>
        <v>0</v>
      </c>
      <c r="M101" s="152">
        <f>סקר!J155</f>
        <v>0</v>
      </c>
      <c r="N101" s="152">
        <f>IF(D101&gt;0,IF(סקר!K155=0,1,IF(סקר!K155=0,1,סקר!K155)),0)</f>
        <v>0</v>
      </c>
      <c r="O101" s="152" t="e">
        <f t="shared" si="3"/>
        <v>#N/A</v>
      </c>
      <c r="P101" s="152">
        <f>IF(B101&gt;0,IF(סקר!O155 &lt;=1,1,סקר!O155),0)</f>
        <v>0</v>
      </c>
      <c r="Q101" s="152">
        <f>סקר!P155</f>
        <v>0</v>
      </c>
      <c r="R101" s="152">
        <f>סקר!R155</f>
        <v>0</v>
      </c>
      <c r="S101" s="152">
        <f>סקר!BC155</f>
        <v>0</v>
      </c>
      <c r="T101" s="156"/>
    </row>
    <row r="102" spans="1:20">
      <c r="A102" s="152" t="str">
        <f>IF(סקר!D156&lt;2,"עץ","פוליגון")</f>
        <v>עץ</v>
      </c>
      <c r="B102" s="152">
        <f>סקר!B156</f>
        <v>0</v>
      </c>
      <c r="C102" s="152">
        <f>IF(סקר!D156&lt;2,1,סקר!D156)</f>
        <v>1</v>
      </c>
      <c r="D102" s="152">
        <f>סקר!C156</f>
        <v>0</v>
      </c>
      <c r="E102" s="152" t="str">
        <f>IFERROR(VLOOKUP(F102,[1]TreeType!$A:$E,5,0),"")</f>
        <v/>
      </c>
      <c r="F102" s="153" t="str">
        <f>IFERROR(VLOOKUP(D102,[1]TreeType!$A:$B,2,0),"")</f>
        <v/>
      </c>
      <c r="G102" s="152">
        <f>IF(B102&gt;0,IF(סקר!E156=0,1,סקר!E156),0)</f>
        <v>0</v>
      </c>
      <c r="H102" s="152">
        <f>IF(B102&gt;0,IF(סקר!F156 = 0,1,סקר!F156),0)</f>
        <v>0</v>
      </c>
      <c r="I102" s="152">
        <f>סקר!G156</f>
        <v>0</v>
      </c>
      <c r="J102" s="152">
        <f>סקר!H156</f>
        <v>0</v>
      </c>
      <c r="K102" s="152" t="e">
        <f>IF(D102="","",VLOOKUP(D102,[1]TreeType!$A$2:$E$508,3,3))</f>
        <v>#N/A</v>
      </c>
      <c r="L102" s="152">
        <f>IF(D102&gt;0,IF(סקר!M156=0,1,IF(סקר!M156=0,1,סקר!M156)),0)</f>
        <v>0</v>
      </c>
      <c r="M102" s="152">
        <f>סקר!J156</f>
        <v>0</v>
      </c>
      <c r="N102" s="152">
        <f>IF(D102&gt;0,IF(סקר!K156=0,1,IF(סקר!K156=0,1,סקר!K156)),0)</f>
        <v>0</v>
      </c>
      <c r="O102" s="152" t="e">
        <f t="shared" si="3"/>
        <v>#N/A</v>
      </c>
      <c r="P102" s="152">
        <f>IF(B102&gt;0,IF(סקר!O156 &lt;=1,1,סקר!O156),0)</f>
        <v>0</v>
      </c>
      <c r="Q102" s="152">
        <f>סקר!P156</f>
        <v>0</v>
      </c>
      <c r="R102" s="152">
        <f>סקר!R156</f>
        <v>0</v>
      </c>
      <c r="S102" s="152">
        <f>סקר!BC156</f>
        <v>0</v>
      </c>
      <c r="T102" s="156"/>
    </row>
    <row r="103" spans="1:20">
      <c r="A103" s="152" t="str">
        <f>IF(סקר!D157&lt;2,"עץ","פוליגון")</f>
        <v>עץ</v>
      </c>
      <c r="B103" s="152">
        <f>סקר!B157</f>
        <v>0</v>
      </c>
      <c r="C103" s="152">
        <f>IF(סקר!D157&lt;2,1,סקר!D157)</f>
        <v>1</v>
      </c>
      <c r="D103" s="152">
        <f>סקר!C157</f>
        <v>0</v>
      </c>
      <c r="E103" s="152" t="str">
        <f>IFERROR(VLOOKUP(F103,[1]TreeType!$A:$E,5,0),"")</f>
        <v/>
      </c>
      <c r="F103" s="153" t="str">
        <f>IFERROR(VLOOKUP(D103,[1]TreeType!$A:$B,2,0),"")</f>
        <v/>
      </c>
      <c r="G103" s="152">
        <f>IF(B103&gt;0,IF(סקר!E157=0,1,סקר!E157),0)</f>
        <v>0</v>
      </c>
      <c r="H103" s="152">
        <f>IF(B103&gt;0,IF(סקר!F157 = 0,1,סקר!F157),0)</f>
        <v>0</v>
      </c>
      <c r="I103" s="152">
        <f>סקר!G157</f>
        <v>0</v>
      </c>
      <c r="J103" s="152">
        <f>סקר!H157</f>
        <v>0</v>
      </c>
      <c r="K103" s="152" t="e">
        <f>IF(D103="","",VLOOKUP(D103,[1]TreeType!$A$2:$E$508,3,3))</f>
        <v>#N/A</v>
      </c>
      <c r="L103" s="152">
        <f>IF(D103&gt;0,IF(סקר!M157=0,1,IF(סקר!M157=0,1,סקר!M157)),0)</f>
        <v>0</v>
      </c>
      <c r="M103" s="152">
        <f>סקר!J157</f>
        <v>0</v>
      </c>
      <c r="N103" s="152">
        <f>IF(D103&gt;0,IF(סקר!K157=0,1,IF(סקר!K157=0,1,סקר!K157)),0)</f>
        <v>0</v>
      </c>
      <c r="O103" s="152" t="e">
        <f t="shared" si="3"/>
        <v>#N/A</v>
      </c>
      <c r="P103" s="152">
        <f>IF(B103&gt;0,IF(סקר!O157 &lt;=1,1,סקר!O157),0)</f>
        <v>0</v>
      </c>
      <c r="Q103" s="152">
        <f>סקר!P157</f>
        <v>0</v>
      </c>
      <c r="R103" s="152">
        <f>סקר!R157</f>
        <v>0</v>
      </c>
      <c r="S103" s="152">
        <f>סקר!BC157</f>
        <v>0</v>
      </c>
      <c r="T103" s="156"/>
    </row>
    <row r="104" spans="1:20">
      <c r="A104" s="152" t="str">
        <f>IF(סקר!D158&lt;2,"עץ","פוליגון")</f>
        <v>עץ</v>
      </c>
      <c r="B104" s="152">
        <f>סקר!B158</f>
        <v>0</v>
      </c>
      <c r="C104" s="152">
        <f>IF(סקר!D158&lt;2,1,סקר!D158)</f>
        <v>1</v>
      </c>
      <c r="D104" s="152">
        <f>סקר!C158</f>
        <v>0</v>
      </c>
      <c r="E104" s="152" t="str">
        <f>IFERROR(VLOOKUP(F104,[1]TreeType!$A:$E,5,0),"")</f>
        <v/>
      </c>
      <c r="F104" s="153" t="str">
        <f>IFERROR(VLOOKUP(D104,[1]TreeType!$A:$B,2,0),"")</f>
        <v/>
      </c>
      <c r="G104" s="152">
        <f>IF(B104&gt;0,IF(סקר!E158=0,1,סקר!E158),0)</f>
        <v>0</v>
      </c>
      <c r="H104" s="152">
        <f>IF(B104&gt;0,IF(סקר!F158 = 0,1,סקר!F158),0)</f>
        <v>0</v>
      </c>
      <c r="I104" s="152">
        <f>סקר!G158</f>
        <v>0</v>
      </c>
      <c r="J104" s="152">
        <f>סקר!H158</f>
        <v>0</v>
      </c>
      <c r="K104" s="152" t="e">
        <f>IF(D104="","",VLOOKUP(D104,[1]TreeType!$A$2:$E$508,3,3))</f>
        <v>#N/A</v>
      </c>
      <c r="L104" s="152">
        <f>IF(D104&gt;0,IF(סקר!M158=0,1,IF(סקר!M158=0,1,סקר!M158)),0)</f>
        <v>0</v>
      </c>
      <c r="M104" s="152">
        <f>סקר!J158</f>
        <v>0</v>
      </c>
      <c r="N104" s="152">
        <f>IF(D104&gt;0,IF(סקר!K158=0,1,IF(סקר!K158=0,1,סקר!K158)),0)</f>
        <v>0</v>
      </c>
      <c r="O104" s="152" t="e">
        <f t="shared" si="3"/>
        <v>#N/A</v>
      </c>
      <c r="P104" s="152">
        <f>IF(B104&gt;0,IF(סקר!O158 &lt;=1,1,סקר!O158),0)</f>
        <v>0</v>
      </c>
      <c r="Q104" s="152">
        <f>סקר!P158</f>
        <v>0</v>
      </c>
      <c r="R104" s="152">
        <f>סקר!R158</f>
        <v>0</v>
      </c>
      <c r="S104" s="152">
        <f>סקר!BC158</f>
        <v>0</v>
      </c>
      <c r="T104" s="156"/>
    </row>
    <row r="105" spans="1:20">
      <c r="A105" s="152" t="str">
        <f>IF(סקר!D159&lt;2,"עץ","פוליגון")</f>
        <v>עץ</v>
      </c>
      <c r="B105" s="152">
        <f>סקר!B159</f>
        <v>0</v>
      </c>
      <c r="C105" s="152">
        <f>IF(סקר!D159&lt;2,1,סקר!D159)</f>
        <v>1</v>
      </c>
      <c r="D105" s="152">
        <f>סקר!C159</f>
        <v>0</v>
      </c>
      <c r="E105" s="152" t="str">
        <f>IFERROR(VLOOKUP(F105,[1]TreeType!$A:$E,5,0),"")</f>
        <v/>
      </c>
      <c r="F105" s="153" t="str">
        <f>IFERROR(VLOOKUP(D105,[1]TreeType!$A:$B,2,0),"")</f>
        <v/>
      </c>
      <c r="G105" s="152">
        <f>IF(B105&gt;0,IF(סקר!E159=0,1,סקר!E159),0)</f>
        <v>0</v>
      </c>
      <c r="H105" s="152">
        <f>IF(B105&gt;0,IF(סקר!F159 = 0,1,סקר!F159),0)</f>
        <v>0</v>
      </c>
      <c r="I105" s="152">
        <f>סקר!G159</f>
        <v>0</v>
      </c>
      <c r="J105" s="152">
        <f>סקר!H159</f>
        <v>0</v>
      </c>
      <c r="K105" s="152" t="e">
        <f>IF(D105="","",VLOOKUP(D105,[1]TreeType!$A$2:$E$508,3,3))</f>
        <v>#N/A</v>
      </c>
      <c r="L105" s="152">
        <f>IF(D105&gt;0,IF(סקר!M159=0,1,IF(סקר!M159=0,1,סקר!M159)),0)</f>
        <v>0</v>
      </c>
      <c r="M105" s="152">
        <f>סקר!J159</f>
        <v>0</v>
      </c>
      <c r="N105" s="152">
        <f>IF(D105&gt;0,IF(סקר!K159=0,1,IF(סקר!K159=0,1,סקר!K159)),0)</f>
        <v>0</v>
      </c>
      <c r="O105" s="152" t="e">
        <f t="shared" si="3"/>
        <v>#N/A</v>
      </c>
      <c r="P105" s="152">
        <f>IF(B105&gt;0,IF(סקר!O159 &lt;=1,1,סקר!O159),0)</f>
        <v>0</v>
      </c>
      <c r="Q105" s="152">
        <f>סקר!P159</f>
        <v>0</v>
      </c>
      <c r="R105" s="152">
        <f>סקר!R159</f>
        <v>0</v>
      </c>
      <c r="S105" s="152">
        <f>סקר!BC159</f>
        <v>0</v>
      </c>
      <c r="T105" s="156"/>
    </row>
    <row r="106" spans="1:20">
      <c r="A106" s="152" t="str">
        <f>IF(סקר!D160&lt;2,"עץ","פוליגון")</f>
        <v>עץ</v>
      </c>
      <c r="B106" s="152">
        <f>סקר!B160</f>
        <v>0</v>
      </c>
      <c r="C106" s="152">
        <f>IF(סקר!D160&lt;2,1,סקר!D160)</f>
        <v>1</v>
      </c>
      <c r="D106" s="152">
        <f>סקר!C160</f>
        <v>0</v>
      </c>
      <c r="E106" s="152" t="str">
        <f>IFERROR(VLOOKUP(F106,[1]TreeType!$A:$E,5,0),"")</f>
        <v/>
      </c>
      <c r="F106" s="153" t="str">
        <f>IFERROR(VLOOKUP(D106,[1]TreeType!$A:$B,2,0),"")</f>
        <v/>
      </c>
      <c r="G106" s="152">
        <f>IF(B106&gt;0,IF(סקר!E160=0,1,סקר!E160),0)</f>
        <v>0</v>
      </c>
      <c r="H106" s="152">
        <f>IF(B106&gt;0,IF(סקר!F160 = 0,1,סקר!F160),0)</f>
        <v>0</v>
      </c>
      <c r="I106" s="152">
        <f>סקר!G160</f>
        <v>0</v>
      </c>
      <c r="J106" s="152">
        <f>סקר!H160</f>
        <v>0</v>
      </c>
      <c r="K106" s="152" t="e">
        <f>IF(D106="","",VLOOKUP(D106,[1]TreeType!$A$2:$E$508,3,3))</f>
        <v>#N/A</v>
      </c>
      <c r="L106" s="152">
        <f>IF(D106&gt;0,IF(סקר!M160=0,1,IF(סקר!M160=0,1,סקר!M160)),0)</f>
        <v>0</v>
      </c>
      <c r="M106" s="152">
        <f>סקר!J160</f>
        <v>0</v>
      </c>
      <c r="N106" s="152">
        <f>IF(D106&gt;0,IF(סקר!K160=0,1,IF(סקר!K160=0,1,סקר!K160)),0)</f>
        <v>0</v>
      </c>
      <c r="O106" s="152" t="e">
        <f t="shared" si="3"/>
        <v>#N/A</v>
      </c>
      <c r="P106" s="152">
        <f>IF(B106&gt;0,IF(סקר!O160 &lt;=1,1,סקר!O160),0)</f>
        <v>0</v>
      </c>
      <c r="Q106" s="152">
        <f>סקר!P160</f>
        <v>0</v>
      </c>
      <c r="R106" s="152">
        <f>סקר!R160</f>
        <v>0</v>
      </c>
      <c r="S106" s="152">
        <f>סקר!BC160</f>
        <v>0</v>
      </c>
      <c r="T106" s="156"/>
    </row>
    <row r="107" spans="1:20">
      <c r="A107" s="152" t="str">
        <f>IF(סקר!D161&lt;2,"עץ","פוליגון")</f>
        <v>עץ</v>
      </c>
      <c r="B107" s="152">
        <f>סקר!B161</f>
        <v>0</v>
      </c>
      <c r="C107" s="152">
        <f>IF(סקר!D161&lt;2,1,סקר!D161)</f>
        <v>1</v>
      </c>
      <c r="D107" s="152">
        <f>סקר!C161</f>
        <v>0</v>
      </c>
      <c r="E107" s="152" t="str">
        <f>IFERROR(VLOOKUP(F107,[1]TreeType!$A:$E,5,0),"")</f>
        <v/>
      </c>
      <c r="F107" s="153" t="str">
        <f>IFERROR(VLOOKUP(D107,[1]TreeType!$A:$B,2,0),"")</f>
        <v/>
      </c>
      <c r="G107" s="152">
        <f>IF(B107&gt;0,IF(סקר!E161=0,1,סקר!E161),0)</f>
        <v>0</v>
      </c>
      <c r="H107" s="152">
        <f>IF(B107&gt;0,IF(סקר!F161 = 0,1,סקר!F161),0)</f>
        <v>0</v>
      </c>
      <c r="I107" s="152">
        <f>סקר!G161</f>
        <v>0</v>
      </c>
      <c r="J107" s="152">
        <f>סקר!H161</f>
        <v>0</v>
      </c>
      <c r="K107" s="152" t="e">
        <f>IF(D107="","",VLOOKUP(D107,[1]TreeType!$A$2:$E$508,3,3))</f>
        <v>#N/A</v>
      </c>
      <c r="L107" s="152">
        <f>IF(D107&gt;0,IF(סקר!M161=0,1,IF(סקר!M161=0,1,סקר!M161)),0)</f>
        <v>0</v>
      </c>
      <c r="M107" s="152">
        <f>סקר!J161</f>
        <v>0</v>
      </c>
      <c r="N107" s="152">
        <f>IF(D107&gt;0,IF(סקר!K161=0,1,IF(סקר!K161=0,1,סקר!K161)),0)</f>
        <v>0</v>
      </c>
      <c r="O107" s="152" t="e">
        <f t="shared" si="3"/>
        <v>#N/A</v>
      </c>
      <c r="P107" s="152">
        <f>IF(B107&gt;0,IF(סקר!O161 &lt;=1,1,סקר!O161),0)</f>
        <v>0</v>
      </c>
      <c r="Q107" s="152">
        <f>סקר!P161</f>
        <v>0</v>
      </c>
      <c r="R107" s="152">
        <f>סקר!R161</f>
        <v>0</v>
      </c>
      <c r="S107" s="152">
        <f>סקר!BC161</f>
        <v>0</v>
      </c>
      <c r="T107" s="156"/>
    </row>
    <row r="108" spans="1:20">
      <c r="A108" s="152" t="str">
        <f>IF(סקר!D162&lt;2,"עץ","פוליגון")</f>
        <v>עץ</v>
      </c>
      <c r="B108" s="152">
        <f>סקר!B162</f>
        <v>0</v>
      </c>
      <c r="C108" s="152">
        <f>IF(סקר!D162&lt;2,1,סקר!D162)</f>
        <v>1</v>
      </c>
      <c r="D108" s="152">
        <f>סקר!C162</f>
        <v>0</v>
      </c>
      <c r="E108" s="152" t="str">
        <f>IFERROR(VLOOKUP(F108,[1]TreeType!$A:$E,5,0),"")</f>
        <v/>
      </c>
      <c r="F108" s="153" t="str">
        <f>IFERROR(VLOOKUP(D108,[1]TreeType!$A:$B,2,0),"")</f>
        <v/>
      </c>
      <c r="G108" s="152">
        <f>IF(B108&gt;0,IF(סקר!E162=0,1,סקר!E162),0)</f>
        <v>0</v>
      </c>
      <c r="H108" s="152">
        <f>IF(B108&gt;0,IF(סקר!F162 = 0,1,סקר!F162),0)</f>
        <v>0</v>
      </c>
      <c r="I108" s="152">
        <f>סקר!G162</f>
        <v>0</v>
      </c>
      <c r="J108" s="152">
        <f>סקר!H162</f>
        <v>0</v>
      </c>
      <c r="K108" s="152" t="e">
        <f>IF(D108="","",VLOOKUP(D108,[1]TreeType!$A$2:$E$508,3,3))</f>
        <v>#N/A</v>
      </c>
      <c r="L108" s="152">
        <f>IF(D108&gt;0,IF(סקר!M162=0,1,IF(סקר!M162=0,1,סקר!M162)),0)</f>
        <v>0</v>
      </c>
      <c r="M108" s="152">
        <f>סקר!J162</f>
        <v>0</v>
      </c>
      <c r="N108" s="152">
        <f>IF(D108&gt;0,IF(סקר!K162=0,1,IF(סקר!K162=0,1,סקר!K162)),0)</f>
        <v>0</v>
      </c>
      <c r="O108" s="152" t="e">
        <f t="shared" si="3"/>
        <v>#N/A</v>
      </c>
      <c r="P108" s="152">
        <f>IF(B108&gt;0,IF(סקר!O162 &lt;=1,1,סקר!O162),0)</f>
        <v>0</v>
      </c>
      <c r="Q108" s="152">
        <f>סקר!P162</f>
        <v>0</v>
      </c>
      <c r="R108" s="152">
        <f>סקר!R162</f>
        <v>0</v>
      </c>
      <c r="S108" s="152">
        <f>סקר!BC162</f>
        <v>0</v>
      </c>
      <c r="T108" s="156"/>
    </row>
    <row r="109" spans="1:20">
      <c r="A109" s="152" t="str">
        <f>IF(סקר!D163&lt;2,"עץ","פוליגון")</f>
        <v>עץ</v>
      </c>
      <c r="B109" s="152">
        <f>סקר!B163</f>
        <v>0</v>
      </c>
      <c r="C109" s="152">
        <f>IF(סקר!D163&lt;2,1,סקר!D163)</f>
        <v>1</v>
      </c>
      <c r="D109" s="152">
        <f>סקר!C163</f>
        <v>0</v>
      </c>
      <c r="E109" s="152" t="str">
        <f>IFERROR(VLOOKUP(F109,[1]TreeType!$A:$E,5,0),"")</f>
        <v/>
      </c>
      <c r="F109" s="153" t="str">
        <f>IFERROR(VLOOKUP(D109,[1]TreeType!$A:$B,2,0),"")</f>
        <v/>
      </c>
      <c r="G109" s="152">
        <f>IF(B109&gt;0,IF(סקר!E163=0,1,סקר!E163),0)</f>
        <v>0</v>
      </c>
      <c r="H109" s="152">
        <f>IF(B109&gt;0,IF(סקר!F163 = 0,1,סקר!F163),0)</f>
        <v>0</v>
      </c>
      <c r="I109" s="152">
        <f>סקר!G163</f>
        <v>0</v>
      </c>
      <c r="J109" s="152">
        <f>סקר!H163</f>
        <v>0</v>
      </c>
      <c r="K109" s="152" t="e">
        <f>IF(D109="","",VLOOKUP(D109,[1]TreeType!$A$2:$E$508,3,3))</f>
        <v>#N/A</v>
      </c>
      <c r="L109" s="152">
        <f>IF(D109&gt;0,IF(סקר!M163=0,1,IF(סקר!M163=0,1,סקר!M163)),0)</f>
        <v>0</v>
      </c>
      <c r="M109" s="152">
        <f>סקר!J163</f>
        <v>0</v>
      </c>
      <c r="N109" s="152">
        <f>IF(D109&gt;0,IF(סקר!K163=0,1,IF(סקר!K163=0,1,סקר!K163)),0)</f>
        <v>0</v>
      </c>
      <c r="O109" s="152" t="e">
        <f t="shared" si="3"/>
        <v>#N/A</v>
      </c>
      <c r="P109" s="152">
        <f>IF(B109&gt;0,IF(סקר!O163 &lt;=1,1,סקר!O163),0)</f>
        <v>0</v>
      </c>
      <c r="Q109" s="152">
        <f>סקר!P163</f>
        <v>0</v>
      </c>
      <c r="R109" s="152">
        <f>סקר!R163</f>
        <v>0</v>
      </c>
      <c r="S109" s="152">
        <f>סקר!BC163</f>
        <v>0</v>
      </c>
      <c r="T109" s="156"/>
    </row>
    <row r="110" spans="1:20">
      <c r="A110" s="152" t="str">
        <f>IF(סקר!D164&lt;2,"עץ","פוליגון")</f>
        <v>עץ</v>
      </c>
      <c r="B110" s="152">
        <f>סקר!B164</f>
        <v>0</v>
      </c>
      <c r="C110" s="152">
        <f>IF(סקר!D164&lt;2,1,סקר!D164)</f>
        <v>1</v>
      </c>
      <c r="D110" s="152">
        <f>סקר!C164</f>
        <v>0</v>
      </c>
      <c r="E110" s="152" t="str">
        <f>IFERROR(VLOOKUP(F110,[1]TreeType!$A:$E,5,0),"")</f>
        <v/>
      </c>
      <c r="F110" s="153" t="str">
        <f>IFERROR(VLOOKUP(D110,[1]TreeType!$A:$B,2,0),"")</f>
        <v/>
      </c>
      <c r="G110" s="152">
        <f>IF(B110&gt;0,IF(סקר!E164=0,1,סקר!E164),0)</f>
        <v>0</v>
      </c>
      <c r="H110" s="152">
        <f>IF(B110&gt;0,IF(סקר!F164 = 0,1,סקר!F164),0)</f>
        <v>0</v>
      </c>
      <c r="I110" s="152">
        <f>סקר!G164</f>
        <v>0</v>
      </c>
      <c r="J110" s="152">
        <f>סקר!H164</f>
        <v>0</v>
      </c>
      <c r="K110" s="152" t="e">
        <f>IF(D110="","",VLOOKUP(D110,[1]TreeType!$A$2:$E$508,3,3))</f>
        <v>#N/A</v>
      </c>
      <c r="L110" s="152">
        <f>IF(D110&gt;0,IF(סקר!M164=0,1,IF(סקר!M164=0,1,סקר!M164)),0)</f>
        <v>0</v>
      </c>
      <c r="M110" s="152">
        <f>סקר!J164</f>
        <v>0</v>
      </c>
      <c r="N110" s="152">
        <f>IF(D110&gt;0,IF(סקר!K164=0,1,IF(סקר!K164=0,1,סקר!K164)),0)</f>
        <v>0</v>
      </c>
      <c r="O110" s="152" t="e">
        <f t="shared" si="3"/>
        <v>#N/A</v>
      </c>
      <c r="P110" s="152">
        <f>IF(B110&gt;0,IF(סקר!O164 &lt;=1,1,סקר!O164),0)</f>
        <v>0</v>
      </c>
      <c r="Q110" s="152">
        <f>סקר!P164</f>
        <v>0</v>
      </c>
      <c r="R110" s="152">
        <f>סקר!R164</f>
        <v>0</v>
      </c>
      <c r="S110" s="152">
        <f>סקר!BC164</f>
        <v>0</v>
      </c>
      <c r="T110" s="156"/>
    </row>
    <row r="111" spans="1:20">
      <c r="A111" s="152" t="str">
        <f>IF(סקר!D165&lt;2,"עץ","פוליגון")</f>
        <v>עץ</v>
      </c>
      <c r="B111" s="152">
        <f>סקר!B165</f>
        <v>0</v>
      </c>
      <c r="C111" s="152">
        <f>IF(סקר!D165&lt;2,1,סקר!D165)</f>
        <v>1</v>
      </c>
      <c r="D111" s="152">
        <f>סקר!C165</f>
        <v>0</v>
      </c>
      <c r="E111" s="152" t="str">
        <f>IFERROR(VLOOKUP(F111,[1]TreeType!$A:$E,5,0),"")</f>
        <v/>
      </c>
      <c r="F111" s="153" t="str">
        <f>IFERROR(VLOOKUP(D111,[1]TreeType!$A:$B,2,0),"")</f>
        <v/>
      </c>
      <c r="G111" s="152">
        <f>IF(B111&gt;0,IF(סקר!E165=0,1,סקר!E165),0)</f>
        <v>0</v>
      </c>
      <c r="H111" s="152">
        <f>IF(B111&gt;0,IF(סקר!F165 = 0,1,סקר!F165),0)</f>
        <v>0</v>
      </c>
      <c r="I111" s="152">
        <f>סקר!G165</f>
        <v>0</v>
      </c>
      <c r="J111" s="152">
        <f>סקר!H165</f>
        <v>0</v>
      </c>
      <c r="K111" s="152" t="e">
        <f>IF(D111="","",VLOOKUP(D111,[1]TreeType!$A$2:$E$508,3,3))</f>
        <v>#N/A</v>
      </c>
      <c r="L111" s="152">
        <f>IF(D111&gt;0,IF(סקר!M165=0,1,IF(סקר!M165=0,1,סקר!M165)),0)</f>
        <v>0</v>
      </c>
      <c r="M111" s="152">
        <f>סקר!J165</f>
        <v>0</v>
      </c>
      <c r="N111" s="152">
        <f>IF(D111&gt;0,IF(סקר!K165=0,1,IF(סקר!K165=0,1,סקר!K165)),0)</f>
        <v>0</v>
      </c>
      <c r="O111" s="152" t="e">
        <f t="shared" si="3"/>
        <v>#N/A</v>
      </c>
      <c r="P111" s="152">
        <f>IF(B111&gt;0,IF(סקר!O165 &lt;=1,1,סקר!O165),0)</f>
        <v>0</v>
      </c>
      <c r="Q111" s="152">
        <f>סקר!P165</f>
        <v>0</v>
      </c>
      <c r="R111" s="152">
        <f>סקר!R165</f>
        <v>0</v>
      </c>
      <c r="S111" s="152">
        <f>סקר!BC165</f>
        <v>0</v>
      </c>
      <c r="T111" s="156"/>
    </row>
    <row r="112" spans="1:20">
      <c r="A112" s="152" t="str">
        <f>IF(סקר!D166&lt;2,"עץ","פוליגון")</f>
        <v>עץ</v>
      </c>
      <c r="B112" s="152">
        <f>סקר!B166</f>
        <v>0</v>
      </c>
      <c r="C112" s="152">
        <f>IF(סקר!D166&lt;2,1,סקר!D166)</f>
        <v>1</v>
      </c>
      <c r="D112" s="152">
        <f>סקר!C166</f>
        <v>0</v>
      </c>
      <c r="E112" s="152" t="str">
        <f>IFERROR(VLOOKUP(F112,[1]TreeType!$A:$E,5,0),"")</f>
        <v/>
      </c>
      <c r="F112" s="153" t="str">
        <f>IFERROR(VLOOKUP(D112,[1]TreeType!$A:$B,2,0),"")</f>
        <v/>
      </c>
      <c r="G112" s="152">
        <f>IF(B112&gt;0,IF(סקר!E166=0,1,סקר!E166),0)</f>
        <v>0</v>
      </c>
      <c r="H112" s="152">
        <f>IF(B112&gt;0,IF(סקר!F166 = 0,1,סקר!F166),0)</f>
        <v>0</v>
      </c>
      <c r="I112" s="152">
        <f>סקר!G166</f>
        <v>0</v>
      </c>
      <c r="J112" s="152">
        <f>סקר!H166</f>
        <v>0</v>
      </c>
      <c r="K112" s="152" t="e">
        <f>IF(D112="","",VLOOKUP(D112,[1]TreeType!$A$2:$E$508,3,3))</f>
        <v>#N/A</v>
      </c>
      <c r="L112" s="152">
        <f>IF(D112&gt;0,IF(סקר!M166=0,1,IF(סקר!M166=0,1,סקר!M166)),0)</f>
        <v>0</v>
      </c>
      <c r="M112" s="152">
        <f>סקר!J166</f>
        <v>0</v>
      </c>
      <c r="N112" s="152">
        <f>IF(D112&gt;0,IF(סקר!K166=0,1,IF(סקר!K166=0,1,סקר!K166)),0)</f>
        <v>0</v>
      </c>
      <c r="O112" s="152" t="e">
        <f t="shared" si="3"/>
        <v>#N/A</v>
      </c>
      <c r="P112" s="152">
        <f>IF(B112&gt;0,IF(סקר!O166 &lt;=1,1,סקר!O166),0)</f>
        <v>0</v>
      </c>
      <c r="Q112" s="152">
        <f>סקר!P166</f>
        <v>0</v>
      </c>
      <c r="R112" s="152">
        <f>סקר!R166</f>
        <v>0</v>
      </c>
      <c r="S112" s="152">
        <f>סקר!BC166</f>
        <v>0</v>
      </c>
      <c r="T112" s="156"/>
    </row>
    <row r="113" spans="1:20">
      <c r="A113" s="152" t="str">
        <f>IF(סקר!D167&lt;2,"עץ","פוליגון")</f>
        <v>עץ</v>
      </c>
      <c r="B113" s="152">
        <f>סקר!B167</f>
        <v>0</v>
      </c>
      <c r="C113" s="152">
        <f>IF(סקר!D167&lt;2,1,סקר!D167)</f>
        <v>1</v>
      </c>
      <c r="D113" s="152">
        <f>סקר!C167</f>
        <v>0</v>
      </c>
      <c r="E113" s="152" t="str">
        <f>IFERROR(VLOOKUP(F113,[1]TreeType!$A:$E,5,0),"")</f>
        <v/>
      </c>
      <c r="F113" s="153" t="str">
        <f>IFERROR(VLOOKUP(D113,[1]TreeType!$A:$B,2,0),"")</f>
        <v/>
      </c>
      <c r="G113" s="152">
        <f>IF(B113&gt;0,IF(סקר!E167=0,1,סקר!E167),0)</f>
        <v>0</v>
      </c>
      <c r="H113" s="152">
        <f>IF(B113&gt;0,IF(סקר!F167 = 0,1,סקר!F167),0)</f>
        <v>0</v>
      </c>
      <c r="I113" s="152">
        <f>סקר!G167</f>
        <v>0</v>
      </c>
      <c r="J113" s="152">
        <f>סקר!H167</f>
        <v>0</v>
      </c>
      <c r="K113" s="152" t="e">
        <f>IF(D113="","",VLOOKUP(D113,[1]TreeType!$A$2:$E$508,3,3))</f>
        <v>#N/A</v>
      </c>
      <c r="L113" s="152">
        <f>IF(D113&gt;0,IF(סקר!M167=0,1,IF(סקר!M167=0,1,סקר!M167)),0)</f>
        <v>0</v>
      </c>
      <c r="M113" s="152">
        <f>סקר!J167</f>
        <v>0</v>
      </c>
      <c r="N113" s="152">
        <f>IF(D113&gt;0,IF(סקר!K167=0,1,IF(סקר!K167=0,1,סקר!K167)),0)</f>
        <v>0</v>
      </c>
      <c r="O113" s="152" t="e">
        <f t="shared" si="3"/>
        <v>#N/A</v>
      </c>
      <c r="P113" s="152">
        <f>IF(B113&gt;0,IF(סקר!O167 &lt;=1,1,סקר!O167),0)</f>
        <v>0</v>
      </c>
      <c r="Q113" s="152">
        <f>סקר!P167</f>
        <v>0</v>
      </c>
      <c r="R113" s="152">
        <f>סקר!R167</f>
        <v>0</v>
      </c>
      <c r="S113" s="152">
        <f>סקר!BC167</f>
        <v>0</v>
      </c>
      <c r="T113" s="156"/>
    </row>
    <row r="114" spans="1:20">
      <c r="A114" s="152" t="str">
        <f>IF(סקר!D168&lt;2,"עץ","פוליגון")</f>
        <v>עץ</v>
      </c>
      <c r="B114" s="152">
        <f>סקר!B168</f>
        <v>0</v>
      </c>
      <c r="C114" s="152">
        <f>IF(סקר!D168&lt;2,1,סקר!D168)</f>
        <v>1</v>
      </c>
      <c r="D114" s="152">
        <f>סקר!C168</f>
        <v>0</v>
      </c>
      <c r="E114" s="152" t="str">
        <f>IFERROR(VLOOKUP(F114,[1]TreeType!$A:$E,5,0),"")</f>
        <v/>
      </c>
      <c r="F114" s="153" t="str">
        <f>IFERROR(VLOOKUP(D114,[1]TreeType!$A:$B,2,0),"")</f>
        <v/>
      </c>
      <c r="G114" s="152">
        <f>IF(B114&gt;0,IF(סקר!E168=0,1,סקר!E168),0)</f>
        <v>0</v>
      </c>
      <c r="H114" s="152">
        <f>IF(B114&gt;0,IF(סקר!F168 = 0,1,סקר!F168),0)</f>
        <v>0</v>
      </c>
      <c r="I114" s="152">
        <f>סקר!G168</f>
        <v>0</v>
      </c>
      <c r="J114" s="152">
        <f>סקר!H168</f>
        <v>0</v>
      </c>
      <c r="K114" s="152" t="e">
        <f>IF(D114="","",VLOOKUP(D114,[1]TreeType!$A$2:$E$508,3,3))</f>
        <v>#N/A</v>
      </c>
      <c r="L114" s="152">
        <f>IF(D114&gt;0,IF(סקר!M168=0,1,IF(סקר!M168=0,1,סקר!M168)),0)</f>
        <v>0</v>
      </c>
      <c r="M114" s="152">
        <f>סקר!J168</f>
        <v>0</v>
      </c>
      <c r="N114" s="152">
        <f>IF(D114&gt;0,IF(סקר!K168=0,1,IF(סקר!K168=0,1,סקר!K168)),0)</f>
        <v>0</v>
      </c>
      <c r="O114" s="152" t="e">
        <f t="shared" si="3"/>
        <v>#N/A</v>
      </c>
      <c r="P114" s="152">
        <f>IF(B114&gt;0,IF(סקר!O168 &lt;=1,1,סקר!O168),0)</f>
        <v>0</v>
      </c>
      <c r="Q114" s="152">
        <f>סקר!P168</f>
        <v>0</v>
      </c>
      <c r="R114" s="152">
        <f>סקר!R168</f>
        <v>0</v>
      </c>
      <c r="S114" s="152">
        <f>סקר!BC168</f>
        <v>0</v>
      </c>
      <c r="T114" s="156"/>
    </row>
    <row r="115" spans="1:20">
      <c r="A115" s="152" t="str">
        <f>IF(סקר!D169&lt;2,"עץ","פוליגון")</f>
        <v>עץ</v>
      </c>
      <c r="B115" s="152">
        <f>סקר!B169</f>
        <v>0</v>
      </c>
      <c r="C115" s="152">
        <f>IF(סקר!D169&lt;2,1,סקר!D169)</f>
        <v>1</v>
      </c>
      <c r="D115" s="152">
        <f>סקר!C169</f>
        <v>0</v>
      </c>
      <c r="E115" s="152" t="str">
        <f>IFERROR(VLOOKUP(F115,[1]TreeType!$A:$E,5,0),"")</f>
        <v/>
      </c>
      <c r="F115" s="153" t="str">
        <f>IFERROR(VLOOKUP(D115,[1]TreeType!$A:$B,2,0),"")</f>
        <v/>
      </c>
      <c r="G115" s="152">
        <f>IF(B115&gt;0,IF(סקר!E169=0,1,סקר!E169),0)</f>
        <v>0</v>
      </c>
      <c r="H115" s="152">
        <f>IF(B115&gt;0,IF(סקר!F169 = 0,1,סקר!F169),0)</f>
        <v>0</v>
      </c>
      <c r="I115" s="152">
        <f>סקר!G169</f>
        <v>0</v>
      </c>
      <c r="J115" s="152">
        <f>סקר!H169</f>
        <v>0</v>
      </c>
      <c r="K115" s="152" t="e">
        <f>IF(D115="","",VLOOKUP(D115,[1]TreeType!$A$2:$E$508,3,3))</f>
        <v>#N/A</v>
      </c>
      <c r="L115" s="152">
        <f>IF(D115&gt;0,IF(סקר!M169=0,1,IF(סקר!M169=0,1,סקר!M169)),0)</f>
        <v>0</v>
      </c>
      <c r="M115" s="152">
        <f>סקר!J169</f>
        <v>0</v>
      </c>
      <c r="N115" s="152">
        <f>IF(D115&gt;0,IF(סקר!K169=0,1,IF(סקר!K169=0,1,סקר!K169)),0)</f>
        <v>0</v>
      </c>
      <c r="O115" s="152" t="e">
        <f t="shared" si="3"/>
        <v>#N/A</v>
      </c>
      <c r="P115" s="152">
        <f>IF(B115&gt;0,IF(סקר!O169 &lt;=1,1,סקר!O169),0)</f>
        <v>0</v>
      </c>
      <c r="Q115" s="152">
        <f>סקר!P169</f>
        <v>0</v>
      </c>
      <c r="R115" s="152">
        <f>סקר!R169</f>
        <v>0</v>
      </c>
      <c r="S115" s="152">
        <f>סקר!BC169</f>
        <v>0</v>
      </c>
      <c r="T115" s="156"/>
    </row>
    <row r="116" spans="1:20">
      <c r="A116" s="152" t="str">
        <f>IF(סקר!D170&lt;2,"עץ","פוליגון")</f>
        <v>עץ</v>
      </c>
      <c r="B116" s="152">
        <f>סקר!B170</f>
        <v>0</v>
      </c>
      <c r="C116" s="152">
        <f>IF(סקר!D170&lt;2,1,סקר!D170)</f>
        <v>1</v>
      </c>
      <c r="D116" s="152">
        <f>סקר!C170</f>
        <v>0</v>
      </c>
      <c r="E116" s="152" t="str">
        <f>IFERROR(VLOOKUP(F116,[1]TreeType!$A:$E,5,0),"")</f>
        <v/>
      </c>
      <c r="F116" s="153" t="str">
        <f>IFERROR(VLOOKUP(D116,[1]TreeType!$A:$B,2,0),"")</f>
        <v/>
      </c>
      <c r="G116" s="152">
        <f>IF(B116&gt;0,IF(סקר!E170=0,1,סקר!E170),0)</f>
        <v>0</v>
      </c>
      <c r="H116" s="152">
        <f>IF(B116&gt;0,IF(סקר!F170 = 0,1,סקר!F170),0)</f>
        <v>0</v>
      </c>
      <c r="I116" s="152">
        <f>סקר!G170</f>
        <v>0</v>
      </c>
      <c r="J116" s="152">
        <f>סקר!H170</f>
        <v>0</v>
      </c>
      <c r="K116" s="152" t="e">
        <f>IF(D116="","",VLOOKUP(D116,[1]TreeType!$A$2:$E$508,3,3))</f>
        <v>#N/A</v>
      </c>
      <c r="L116" s="152">
        <f>IF(D116&gt;0,IF(סקר!M170=0,1,IF(סקר!M170=0,1,סקר!M170)),0)</f>
        <v>0</v>
      </c>
      <c r="M116" s="152">
        <f>סקר!J170</f>
        <v>0</v>
      </c>
      <c r="N116" s="152">
        <f>IF(D116&gt;0,IF(סקר!K170=0,1,IF(סקר!K170=0,1,סקר!K170)),0)</f>
        <v>0</v>
      </c>
      <c r="O116" s="152" t="e">
        <f t="shared" si="3"/>
        <v>#N/A</v>
      </c>
      <c r="P116" s="152">
        <f>IF(B116&gt;0,IF(סקר!O170 &lt;=1,1,סקר!O170),0)</f>
        <v>0</v>
      </c>
      <c r="Q116" s="152">
        <f>סקר!P170</f>
        <v>0</v>
      </c>
      <c r="R116" s="152">
        <f>סקר!R170</f>
        <v>0</v>
      </c>
      <c r="S116" s="152">
        <f>סקר!BC170</f>
        <v>0</v>
      </c>
      <c r="T116" s="156"/>
    </row>
    <row r="117" spans="1:20">
      <c r="A117" s="152" t="str">
        <f>IF(סקר!D171&lt;2,"עץ","פוליגון")</f>
        <v>עץ</v>
      </c>
      <c r="B117" s="152">
        <f>סקר!B171</f>
        <v>0</v>
      </c>
      <c r="C117" s="152">
        <f>IF(סקר!D171&lt;2,1,סקר!D171)</f>
        <v>1</v>
      </c>
      <c r="D117" s="152">
        <f>סקר!C171</f>
        <v>0</v>
      </c>
      <c r="E117" s="152" t="str">
        <f>IFERROR(VLOOKUP(F117,[1]TreeType!$A:$E,5,0),"")</f>
        <v/>
      </c>
      <c r="F117" s="153" t="str">
        <f>IFERROR(VLOOKUP(D117,[1]TreeType!$A:$B,2,0),"")</f>
        <v/>
      </c>
      <c r="G117" s="152">
        <f>IF(B117&gt;0,IF(סקר!E171=0,1,סקר!E171),0)</f>
        <v>0</v>
      </c>
      <c r="H117" s="152">
        <f>IF(B117&gt;0,IF(סקר!F171 = 0,1,סקר!F171),0)</f>
        <v>0</v>
      </c>
      <c r="I117" s="152">
        <f>סקר!G171</f>
        <v>0</v>
      </c>
      <c r="J117" s="152">
        <f>סקר!H171</f>
        <v>0</v>
      </c>
      <c r="K117" s="152" t="e">
        <f>IF(D117="","",VLOOKUP(D117,[1]TreeType!$A$2:$E$508,3,3))</f>
        <v>#N/A</v>
      </c>
      <c r="L117" s="152">
        <f>IF(D117&gt;0,IF(סקר!M171=0,1,IF(סקר!M171=0,1,סקר!M171)),0)</f>
        <v>0</v>
      </c>
      <c r="M117" s="152">
        <f>סקר!J171</f>
        <v>0</v>
      </c>
      <c r="N117" s="152">
        <f>IF(D117&gt;0,IF(סקר!K171=0,1,IF(סקר!K171=0,1,סקר!K171)),0)</f>
        <v>0</v>
      </c>
      <c r="O117" s="152" t="e">
        <f t="shared" si="3"/>
        <v>#N/A</v>
      </c>
      <c r="P117" s="152">
        <f>IF(B117&gt;0,IF(סקר!O171 &lt;=1,1,סקר!O171),0)</f>
        <v>0</v>
      </c>
      <c r="Q117" s="152">
        <f>סקר!P171</f>
        <v>0</v>
      </c>
      <c r="R117" s="152">
        <f>סקר!R171</f>
        <v>0</v>
      </c>
      <c r="S117" s="152">
        <f>סקר!BC171</f>
        <v>0</v>
      </c>
      <c r="T117" s="156"/>
    </row>
    <row r="118" spans="1:20">
      <c r="A118" s="152" t="str">
        <f>IF(סקר!D172&lt;2,"עץ","פוליגון")</f>
        <v>עץ</v>
      </c>
      <c r="B118" s="152">
        <f>סקר!B172</f>
        <v>0</v>
      </c>
      <c r="C118" s="152">
        <f>IF(סקר!D172&lt;2,1,סקר!D172)</f>
        <v>1</v>
      </c>
      <c r="D118" s="152">
        <f>סקר!C172</f>
        <v>0</v>
      </c>
      <c r="E118" s="152" t="str">
        <f>IFERROR(VLOOKUP(F118,[1]TreeType!$A:$E,5,0),"")</f>
        <v/>
      </c>
      <c r="F118" s="153" t="str">
        <f>IFERROR(VLOOKUP(D118,[1]TreeType!$A:$B,2,0),"")</f>
        <v/>
      </c>
      <c r="G118" s="152">
        <f>IF(B118&gt;0,IF(סקר!E172=0,1,סקר!E172),0)</f>
        <v>0</v>
      </c>
      <c r="H118" s="152">
        <f>IF(B118&gt;0,IF(סקר!F172 = 0,1,סקר!F172),0)</f>
        <v>0</v>
      </c>
      <c r="I118" s="152">
        <f>סקר!G172</f>
        <v>0</v>
      </c>
      <c r="J118" s="152">
        <f>סקר!H172</f>
        <v>0</v>
      </c>
      <c r="K118" s="152" t="e">
        <f>IF(D118="","",VLOOKUP(D118,[1]TreeType!$A$2:$E$508,3,3))</f>
        <v>#N/A</v>
      </c>
      <c r="L118" s="152">
        <f>IF(D118&gt;0,IF(סקר!M172=0,1,IF(סקר!M172=0,1,סקר!M172)),0)</f>
        <v>0</v>
      </c>
      <c r="M118" s="152">
        <f>סקר!J172</f>
        <v>0</v>
      </c>
      <c r="N118" s="152">
        <f>IF(D118&gt;0,IF(סקר!K172=0,1,IF(סקר!K172=0,1,סקר!K172)),0)</f>
        <v>0</v>
      </c>
      <c r="O118" s="152" t="e">
        <f t="shared" si="3"/>
        <v>#N/A</v>
      </c>
      <c r="P118" s="152">
        <f>IF(B118&gt;0,IF(סקר!O172 &lt;=1,1,סקר!O172),0)</f>
        <v>0</v>
      </c>
      <c r="Q118" s="152">
        <f>סקר!P172</f>
        <v>0</v>
      </c>
      <c r="R118" s="152">
        <f>סקר!R172</f>
        <v>0</v>
      </c>
      <c r="S118" s="152">
        <f>סקר!BC172</f>
        <v>0</v>
      </c>
      <c r="T118" s="156"/>
    </row>
    <row r="119" spans="1:20">
      <c r="A119" s="152" t="str">
        <f>IF(סקר!D173&lt;2,"עץ","פוליגון")</f>
        <v>עץ</v>
      </c>
      <c r="B119" s="152">
        <f>סקר!B173</f>
        <v>0</v>
      </c>
      <c r="C119" s="152">
        <f>IF(סקר!D173&lt;2,1,סקר!D173)</f>
        <v>1</v>
      </c>
      <c r="D119" s="152">
        <f>סקר!C173</f>
        <v>0</v>
      </c>
      <c r="E119" s="152" t="str">
        <f>IFERROR(VLOOKUP(F119,[1]TreeType!$A:$E,5,0),"")</f>
        <v/>
      </c>
      <c r="F119" s="153" t="str">
        <f>IFERROR(VLOOKUP(D119,[1]TreeType!$A:$B,2,0),"")</f>
        <v/>
      </c>
      <c r="G119" s="152">
        <f>IF(B119&gt;0,IF(סקר!E173=0,1,סקר!E173),0)</f>
        <v>0</v>
      </c>
      <c r="H119" s="152">
        <f>IF(B119&gt;0,IF(סקר!F173 = 0,1,סקר!F173),0)</f>
        <v>0</v>
      </c>
      <c r="I119" s="152">
        <f>סקר!G173</f>
        <v>0</v>
      </c>
      <c r="J119" s="152">
        <f>סקר!H173</f>
        <v>0</v>
      </c>
      <c r="K119" s="152" t="e">
        <f>IF(D119="","",VLOOKUP(D119,[1]TreeType!$A$2:$E$508,3,3))</f>
        <v>#N/A</v>
      </c>
      <c r="L119" s="152">
        <f>IF(D119&gt;0,IF(סקר!M173=0,1,IF(סקר!M173=0,1,סקר!M173)),0)</f>
        <v>0</v>
      </c>
      <c r="M119" s="152">
        <f>סקר!J173</f>
        <v>0</v>
      </c>
      <c r="N119" s="152">
        <f>IF(D119&gt;0,IF(סקר!K173=0,1,IF(סקר!K173=0,1,סקר!K173)),0)</f>
        <v>0</v>
      </c>
      <c r="O119" s="152" t="e">
        <f t="shared" si="3"/>
        <v>#N/A</v>
      </c>
      <c r="P119" s="152">
        <f>IF(B119&gt;0,IF(סקר!O173 &lt;=1,1,סקר!O173),0)</f>
        <v>0</v>
      </c>
      <c r="Q119" s="152">
        <f>סקר!P173</f>
        <v>0</v>
      </c>
      <c r="R119" s="152">
        <f>סקר!R173</f>
        <v>0</v>
      </c>
      <c r="S119" s="152">
        <f>סקר!BC173</f>
        <v>0</v>
      </c>
      <c r="T119" s="156"/>
    </row>
    <row r="120" spans="1:20">
      <c r="A120" s="152" t="str">
        <f>IF(סקר!D174&lt;2,"עץ","פוליגון")</f>
        <v>עץ</v>
      </c>
      <c r="B120" s="152">
        <f>סקר!B174</f>
        <v>0</v>
      </c>
      <c r="C120" s="152">
        <f>IF(סקר!D174&lt;2,1,סקר!D174)</f>
        <v>1</v>
      </c>
      <c r="D120" s="152">
        <f>סקר!C174</f>
        <v>0</v>
      </c>
      <c r="E120" s="152" t="str">
        <f>IFERROR(VLOOKUP(F120,[1]TreeType!$A:$E,5,0),"")</f>
        <v/>
      </c>
      <c r="F120" s="153" t="str">
        <f>IFERROR(VLOOKUP(D120,[1]TreeType!$A:$B,2,0),"")</f>
        <v/>
      </c>
      <c r="G120" s="152">
        <f>IF(B120&gt;0,IF(סקר!E174=0,1,סקר!E174),0)</f>
        <v>0</v>
      </c>
      <c r="H120" s="152">
        <f>IF(B120&gt;0,IF(סקר!F174 = 0,1,סקר!F174),0)</f>
        <v>0</v>
      </c>
      <c r="I120" s="152">
        <f>סקר!G174</f>
        <v>0</v>
      </c>
      <c r="J120" s="152">
        <f>סקר!H174</f>
        <v>0</v>
      </c>
      <c r="K120" s="152" t="e">
        <f>IF(D120="","",VLOOKUP(D120,[1]TreeType!$A$2:$E$508,3,3))</f>
        <v>#N/A</v>
      </c>
      <c r="L120" s="152">
        <f>IF(D120&gt;0,IF(סקר!M174=0,1,IF(סקר!M174=0,1,סקר!M174)),0)</f>
        <v>0</v>
      </c>
      <c r="M120" s="152">
        <f>סקר!J174</f>
        <v>0</v>
      </c>
      <c r="N120" s="152">
        <f>IF(D120&gt;0,IF(סקר!K174=0,1,IF(סקר!K174=0,1,סקר!K174)),0)</f>
        <v>0</v>
      </c>
      <c r="O120" s="152" t="e">
        <f t="shared" si="3"/>
        <v>#N/A</v>
      </c>
      <c r="P120" s="152">
        <f>IF(B120&gt;0,IF(סקר!O174 &lt;=1,1,סקר!O174),0)</f>
        <v>0</v>
      </c>
      <c r="Q120" s="152">
        <f>סקר!P174</f>
        <v>0</v>
      </c>
      <c r="R120" s="152">
        <f>סקר!R174</f>
        <v>0</v>
      </c>
      <c r="S120" s="152">
        <f>סקר!BC174</f>
        <v>0</v>
      </c>
      <c r="T120" s="156"/>
    </row>
    <row r="121" spans="1:20">
      <c r="A121" s="152" t="str">
        <f>IF(סקר!D175&lt;2,"עץ","פוליגון")</f>
        <v>עץ</v>
      </c>
      <c r="B121" s="152">
        <f>סקר!B175</f>
        <v>0</v>
      </c>
      <c r="C121" s="152">
        <f>IF(סקר!D175&lt;2,1,סקר!D175)</f>
        <v>1</v>
      </c>
      <c r="D121" s="152">
        <f>סקר!C175</f>
        <v>0</v>
      </c>
      <c r="E121" s="152" t="str">
        <f>IFERROR(VLOOKUP(F121,[1]TreeType!$A:$E,5,0),"")</f>
        <v/>
      </c>
      <c r="F121" s="153" t="str">
        <f>IFERROR(VLOOKUP(D121,[1]TreeType!$A:$B,2,0),"")</f>
        <v/>
      </c>
      <c r="G121" s="152">
        <f>IF(B121&gt;0,IF(סקר!E175=0,1,סקר!E175),0)</f>
        <v>0</v>
      </c>
      <c r="H121" s="152">
        <f>IF(B121&gt;0,IF(סקר!F175 = 0,1,סקר!F175),0)</f>
        <v>0</v>
      </c>
      <c r="I121" s="152">
        <f>סקר!G175</f>
        <v>0</v>
      </c>
      <c r="J121" s="152">
        <f>סקר!H175</f>
        <v>0</v>
      </c>
      <c r="K121" s="152" t="e">
        <f>IF(D121="","",VLOOKUP(D121,[1]TreeType!$A$2:$E$508,3,3))</f>
        <v>#N/A</v>
      </c>
      <c r="L121" s="152">
        <f>IF(D121&gt;0,IF(סקר!M175=0,1,IF(סקר!M175=0,1,סקר!M175)),0)</f>
        <v>0</v>
      </c>
      <c r="M121" s="152">
        <f>סקר!J175</f>
        <v>0</v>
      </c>
      <c r="N121" s="152">
        <f>IF(D121&gt;0,IF(סקר!K175=0,1,IF(סקר!K175=0,1,סקר!K175)),0)</f>
        <v>0</v>
      </c>
      <c r="O121" s="152" t="e">
        <f t="shared" si="3"/>
        <v>#N/A</v>
      </c>
      <c r="P121" s="152">
        <f>IF(B121&gt;0,IF(סקר!O175 &lt;=1,1,סקר!O175),0)</f>
        <v>0</v>
      </c>
      <c r="Q121" s="152">
        <f>סקר!P175</f>
        <v>0</v>
      </c>
      <c r="R121" s="152">
        <f>סקר!R175</f>
        <v>0</v>
      </c>
      <c r="S121" s="152">
        <f>סקר!BC175</f>
        <v>0</v>
      </c>
      <c r="T121" s="156"/>
    </row>
    <row r="122" spans="1:20">
      <c r="A122" s="152" t="str">
        <f>IF(סקר!D176&lt;2,"עץ","פוליגון")</f>
        <v>עץ</v>
      </c>
      <c r="B122" s="152">
        <f>סקר!B176</f>
        <v>0</v>
      </c>
      <c r="C122" s="152">
        <f>IF(סקר!D176&lt;2,1,סקר!D176)</f>
        <v>1</v>
      </c>
      <c r="D122" s="152">
        <f>סקר!C176</f>
        <v>0</v>
      </c>
      <c r="E122" s="152" t="str">
        <f>IFERROR(VLOOKUP(F122,[1]TreeType!$A:$E,5,0),"")</f>
        <v/>
      </c>
      <c r="F122" s="153" t="str">
        <f>IFERROR(VLOOKUP(D122,[1]TreeType!$A:$B,2,0),"")</f>
        <v/>
      </c>
      <c r="G122" s="152">
        <f>IF(B122&gt;0,IF(סקר!E176=0,1,סקר!E176),0)</f>
        <v>0</v>
      </c>
      <c r="H122" s="152">
        <f>IF(B122&gt;0,IF(סקר!F176 = 0,1,סקר!F176),0)</f>
        <v>0</v>
      </c>
      <c r="I122" s="152">
        <f>סקר!G176</f>
        <v>0</v>
      </c>
      <c r="J122" s="152">
        <f>סקר!H176</f>
        <v>0</v>
      </c>
      <c r="K122" s="152" t="e">
        <f>IF(D122="","",VLOOKUP(D122,[1]TreeType!$A$2:$E$508,3,3))</f>
        <v>#N/A</v>
      </c>
      <c r="L122" s="152">
        <f>IF(D122&gt;0,IF(סקר!M176=0,1,IF(סקר!M176=0,1,סקר!M176)),0)</f>
        <v>0</v>
      </c>
      <c r="M122" s="152">
        <f>סקר!J176</f>
        <v>0</v>
      </c>
      <c r="N122" s="152">
        <f>IF(D122&gt;0,IF(סקר!K176=0,1,IF(סקר!K176=0,1,סקר!K176)),0)</f>
        <v>0</v>
      </c>
      <c r="O122" s="152" t="e">
        <f t="shared" si="3"/>
        <v>#N/A</v>
      </c>
      <c r="P122" s="152">
        <f>IF(B122&gt;0,IF(סקר!O176 &lt;=1,1,סקר!O176),0)</f>
        <v>0</v>
      </c>
      <c r="Q122" s="152">
        <f>סקר!P176</f>
        <v>0</v>
      </c>
      <c r="R122" s="152">
        <f>סקר!R176</f>
        <v>0</v>
      </c>
      <c r="S122" s="152">
        <f>סקר!BC176</f>
        <v>0</v>
      </c>
      <c r="T122" s="156"/>
    </row>
    <row r="123" spans="1:20">
      <c r="A123" s="152" t="str">
        <f>IF(סקר!D191&lt;2,"עץ","פוליגון")</f>
        <v>עץ</v>
      </c>
      <c r="B123" s="152">
        <f>סקר!B191</f>
        <v>0</v>
      </c>
      <c r="C123" s="152">
        <f>IF(סקר!D191&lt;2,1,סקר!D191)</f>
        <v>1</v>
      </c>
      <c r="D123" s="152">
        <f>סקר!C191</f>
        <v>0</v>
      </c>
      <c r="E123" s="152" t="str">
        <f>IFERROR(VLOOKUP(F123,[1]TreeType!$A:$E,5,0),"")</f>
        <v/>
      </c>
      <c r="F123" s="153" t="str">
        <f>IFERROR(VLOOKUP(D123,[1]TreeType!$A:$B,2,0),"")</f>
        <v/>
      </c>
      <c r="G123" s="152">
        <f>IF(B123&gt;0,IF(סקר!E191=0,1,סקר!E191),0)</f>
        <v>0</v>
      </c>
      <c r="H123" s="152">
        <f>IF(B123&gt;0,IF(סקר!F191 = 0,1,סקר!F191),0)</f>
        <v>0</v>
      </c>
      <c r="I123" s="152">
        <f>סקר!G191</f>
        <v>0</v>
      </c>
      <c r="J123" s="152">
        <f>סקר!H191</f>
        <v>0</v>
      </c>
      <c r="K123" s="152" t="e">
        <f>IF(D123="","",VLOOKUP(D123,[1]TreeType!$A$2:$E$508,3,3))</f>
        <v>#N/A</v>
      </c>
      <c r="L123" s="152">
        <f>IF(D123&gt;0,IF(סקר!M191=0,1,IF(סקר!M191=0,1,סקר!M191)),0)</f>
        <v>0</v>
      </c>
      <c r="M123" s="152">
        <f>סקר!J191</f>
        <v>0</v>
      </c>
      <c r="N123" s="152">
        <f>IF(D123&gt;0,IF(סקר!K191=0,1,IF(סקר!K191=0,1,סקר!K191)),0)</f>
        <v>0</v>
      </c>
      <c r="O123" s="152" t="e">
        <f t="shared" si="3"/>
        <v>#N/A</v>
      </c>
      <c r="P123" s="152">
        <f>IF(B123&gt;0,IF(סקר!O191 &lt;=1,1,סקר!O191),0)</f>
        <v>0</v>
      </c>
      <c r="Q123" s="152">
        <f>סקר!P191</f>
        <v>0</v>
      </c>
      <c r="R123" s="152">
        <f>סקר!R191</f>
        <v>0</v>
      </c>
      <c r="S123" s="152">
        <f>סקר!BC191</f>
        <v>0</v>
      </c>
      <c r="T123" s="156"/>
    </row>
    <row r="124" spans="1:20">
      <c r="A124" s="152" t="str">
        <f>IF(סקר!D192&lt;2,"עץ","פוליגון")</f>
        <v>עץ</v>
      </c>
      <c r="B124" s="152">
        <f>סקר!B192</f>
        <v>0</v>
      </c>
      <c r="C124" s="152">
        <f>IF(סקר!D192&lt;2,1,סקר!D192)</f>
        <v>1</v>
      </c>
      <c r="D124" s="152">
        <f>סקר!C192</f>
        <v>0</v>
      </c>
      <c r="E124" s="152" t="str">
        <f>IFERROR(VLOOKUP(F124,[1]TreeType!$A:$E,5,0),"")</f>
        <v/>
      </c>
      <c r="F124" s="153" t="str">
        <f>IFERROR(VLOOKUP(D124,[1]TreeType!$A:$B,2,0),"")</f>
        <v/>
      </c>
      <c r="G124" s="152">
        <f>IF(B124&gt;0,IF(סקר!E192=0,1,סקר!E192),0)</f>
        <v>0</v>
      </c>
      <c r="H124" s="152">
        <f>IF(B124&gt;0,IF(סקר!F192 = 0,1,סקר!F192),0)</f>
        <v>0</v>
      </c>
      <c r="I124" s="152">
        <f>סקר!G192</f>
        <v>0</v>
      </c>
      <c r="J124" s="152">
        <f>סקר!H192</f>
        <v>0</v>
      </c>
      <c r="K124" s="152" t="e">
        <f>IF(D124="","",VLOOKUP(D124,[1]TreeType!$A$2:$E$508,3,3))</f>
        <v>#N/A</v>
      </c>
      <c r="L124" s="152">
        <f>IF(D124&gt;0,IF(סקר!M192=0,1,IF(סקר!M192=0,1,סקר!M192)),0)</f>
        <v>0</v>
      </c>
      <c r="M124" s="152">
        <f>סקר!J192</f>
        <v>0</v>
      </c>
      <c r="N124" s="152">
        <f>IF(D124&gt;0,IF(סקר!K192=0,1,IF(סקר!K192=0,1,סקר!K192)),0)</f>
        <v>0</v>
      </c>
      <c r="O124" s="152" t="e">
        <f t="shared" si="3"/>
        <v>#N/A</v>
      </c>
      <c r="P124" s="152">
        <f>IF(B124&gt;0,IF(סקר!O192 &lt;=1,1,סקר!O192),0)</f>
        <v>0</v>
      </c>
      <c r="Q124" s="152">
        <f>סקר!P192</f>
        <v>0</v>
      </c>
      <c r="R124" s="152">
        <f>סקר!R192</f>
        <v>0</v>
      </c>
      <c r="S124" s="152">
        <f>סקר!BC192</f>
        <v>0</v>
      </c>
      <c r="T124" s="156"/>
    </row>
    <row r="125" spans="1:20">
      <c r="A125" s="152" t="str">
        <f>IF(סקר!D193&lt;2,"עץ","פוליגון")</f>
        <v>עץ</v>
      </c>
      <c r="B125" s="152">
        <f>סקר!B193</f>
        <v>0</v>
      </c>
      <c r="C125" s="152">
        <f>IF(סקר!D193&lt;2,1,סקר!D193)</f>
        <v>1</v>
      </c>
      <c r="D125" s="152">
        <f>סקר!C193</f>
        <v>0</v>
      </c>
      <c r="E125" s="152" t="str">
        <f>IFERROR(VLOOKUP(F125,[1]TreeType!$A:$E,5,0),"")</f>
        <v/>
      </c>
      <c r="F125" s="153" t="str">
        <f>IFERROR(VLOOKUP(D125,[1]TreeType!$A:$B,2,0),"")</f>
        <v/>
      </c>
      <c r="G125" s="152">
        <f>IF(B125&gt;0,IF(סקר!E193=0,1,סקר!E193),0)</f>
        <v>0</v>
      </c>
      <c r="H125" s="152">
        <f>IF(B125&gt;0,IF(סקר!F193 = 0,1,סקר!F193),0)</f>
        <v>0</v>
      </c>
      <c r="I125" s="152">
        <f>סקר!G193</f>
        <v>0</v>
      </c>
      <c r="J125" s="152">
        <f>סקר!H193</f>
        <v>0</v>
      </c>
      <c r="K125" s="152" t="e">
        <f>IF(D125="","",VLOOKUP(D125,[1]TreeType!$A$2:$E$508,3,3))</f>
        <v>#N/A</v>
      </c>
      <c r="L125" s="152">
        <f>IF(D125&gt;0,IF(סקר!M193=0,1,IF(סקר!M193=0,1,סקר!M193)),0)</f>
        <v>0</v>
      </c>
      <c r="M125" s="152">
        <f>סקר!J193</f>
        <v>0</v>
      </c>
      <c r="N125" s="152">
        <f>IF(D125&gt;0,IF(סקר!K193=0,1,IF(סקר!K193=0,1,סקר!K193)),0)</f>
        <v>0</v>
      </c>
      <c r="O125" s="152" t="e">
        <f t="shared" si="3"/>
        <v>#N/A</v>
      </c>
      <c r="P125" s="152">
        <f>IF(B125&gt;0,IF(סקר!O193 &lt;=1,1,סקר!O193),0)</f>
        <v>0</v>
      </c>
      <c r="Q125" s="152">
        <f>סקר!P193</f>
        <v>0</v>
      </c>
      <c r="R125" s="152">
        <f>סקר!R193</f>
        <v>0</v>
      </c>
      <c r="S125" s="152">
        <f>סקר!BC193</f>
        <v>0</v>
      </c>
      <c r="T125" s="156"/>
    </row>
    <row r="126" spans="1:20">
      <c r="A126" s="152" t="str">
        <f>IF(סקר!D194&lt;2,"עץ","פוליגון")</f>
        <v>עץ</v>
      </c>
      <c r="B126" s="152">
        <f>סקר!B194</f>
        <v>0</v>
      </c>
      <c r="C126" s="152">
        <f>IF(סקר!D194&lt;2,1,סקר!D194)</f>
        <v>1</v>
      </c>
      <c r="D126" s="152">
        <f>סקר!C194</f>
        <v>0</v>
      </c>
      <c r="E126" s="152" t="str">
        <f>IFERROR(VLOOKUP(F126,[1]TreeType!$A:$E,5,0),"")</f>
        <v/>
      </c>
      <c r="F126" s="153" t="str">
        <f>IFERROR(VLOOKUP(D126,[1]TreeType!$A:$B,2,0),"")</f>
        <v/>
      </c>
      <c r="G126" s="152">
        <f>IF(B126&gt;0,IF(סקר!E194=0,1,סקר!E194),0)</f>
        <v>0</v>
      </c>
      <c r="H126" s="152">
        <f>IF(B126&gt;0,IF(סקר!F194 = 0,1,סקר!F194),0)</f>
        <v>0</v>
      </c>
      <c r="I126" s="152">
        <f>סקר!G194</f>
        <v>0</v>
      </c>
      <c r="J126" s="152">
        <f>סקר!H194</f>
        <v>0</v>
      </c>
      <c r="K126" s="152" t="e">
        <f>IF(D126="","",VLOOKUP(D126,[1]TreeType!$A$2:$E$508,3,3))</f>
        <v>#N/A</v>
      </c>
      <c r="L126" s="152">
        <f>IF(D126&gt;0,IF(סקר!M194=0,1,IF(סקר!M194=0,1,סקר!M194)),0)</f>
        <v>0</v>
      </c>
      <c r="M126" s="152">
        <f>סקר!J194</f>
        <v>0</v>
      </c>
      <c r="N126" s="152">
        <f>IF(D126&gt;0,IF(סקר!K194=0,1,IF(סקר!K194=0,1,סקר!K194)),0)</f>
        <v>0</v>
      </c>
      <c r="O126" s="152" t="e">
        <f t="shared" si="3"/>
        <v>#N/A</v>
      </c>
      <c r="P126" s="152">
        <f>IF(B126&gt;0,IF(סקר!O194 &lt;=1,1,סקר!O194),0)</f>
        <v>0</v>
      </c>
      <c r="Q126" s="152">
        <f>סקר!P194</f>
        <v>0</v>
      </c>
      <c r="R126" s="152">
        <f>סקר!R194</f>
        <v>0</v>
      </c>
      <c r="S126" s="152">
        <f>סקר!BC194</f>
        <v>0</v>
      </c>
      <c r="T126" s="156"/>
    </row>
    <row r="127" spans="1:20">
      <c r="A127" s="152" t="str">
        <f>IF(סקר!D195&lt;2,"עץ","פוליגון")</f>
        <v>עץ</v>
      </c>
      <c r="B127" s="152">
        <f>סקר!B195</f>
        <v>0</v>
      </c>
      <c r="C127" s="152">
        <f>IF(סקר!D195&lt;2,1,סקר!D195)</f>
        <v>1</v>
      </c>
      <c r="D127" s="152">
        <f>סקר!C195</f>
        <v>0</v>
      </c>
      <c r="E127" s="152" t="str">
        <f>IFERROR(VLOOKUP(F127,[1]TreeType!$A:$E,5,0),"")</f>
        <v/>
      </c>
      <c r="F127" s="153" t="str">
        <f>IFERROR(VLOOKUP(D127,[1]TreeType!$A:$B,2,0),"")</f>
        <v/>
      </c>
      <c r="G127" s="152">
        <f>IF(B127&gt;0,IF(סקר!E195=0,1,סקר!E195),0)</f>
        <v>0</v>
      </c>
      <c r="H127" s="152">
        <f>IF(B127&gt;0,IF(סקר!F195 = 0,1,סקר!F195),0)</f>
        <v>0</v>
      </c>
      <c r="I127" s="152">
        <f>סקר!G195</f>
        <v>0</v>
      </c>
      <c r="J127" s="152">
        <f>סקר!H195</f>
        <v>0</v>
      </c>
      <c r="K127" s="152" t="e">
        <f>IF(D127="","",VLOOKUP(D127,[1]TreeType!$A$2:$E$508,3,3))</f>
        <v>#N/A</v>
      </c>
      <c r="L127" s="152">
        <f>IF(D127&gt;0,IF(סקר!M195=0,1,IF(סקר!M195=0,1,סקר!M195)),0)</f>
        <v>0</v>
      </c>
      <c r="M127" s="152">
        <f>סקר!J195</f>
        <v>0</v>
      </c>
      <c r="N127" s="152">
        <f>IF(D127&gt;0,IF(סקר!K195=0,1,IF(סקר!K195=0,1,סקר!K195)),0)</f>
        <v>0</v>
      </c>
      <c r="O127" s="152" t="e">
        <f t="shared" si="3"/>
        <v>#N/A</v>
      </c>
      <c r="P127" s="152">
        <f>IF(B127&gt;0,IF(סקר!O195 &lt;=1,1,סקר!O195),0)</f>
        <v>0</v>
      </c>
      <c r="Q127" s="152">
        <f>סקר!P195</f>
        <v>0</v>
      </c>
      <c r="R127" s="152">
        <f>סקר!R195</f>
        <v>0</v>
      </c>
      <c r="S127" s="152">
        <f>סקר!BC195</f>
        <v>0</v>
      </c>
      <c r="T127" s="156"/>
    </row>
    <row r="128" spans="1:20">
      <c r="A128" s="152" t="str">
        <f>IF(סקר!D196&lt;2,"עץ","פוליגון")</f>
        <v>עץ</v>
      </c>
      <c r="B128" s="152">
        <f>סקר!B196</f>
        <v>0</v>
      </c>
      <c r="C128" s="152">
        <f>IF(סקר!D196&lt;2,1,סקר!D196)</f>
        <v>1</v>
      </c>
      <c r="D128" s="152">
        <f>סקר!C196</f>
        <v>0</v>
      </c>
      <c r="E128" s="152" t="str">
        <f>IFERROR(VLOOKUP(F128,[1]TreeType!$A:$E,5,0),"")</f>
        <v/>
      </c>
      <c r="F128" s="153" t="str">
        <f>IFERROR(VLOOKUP(D128,[1]TreeType!$A:$B,2,0),"")</f>
        <v/>
      </c>
      <c r="G128" s="152">
        <f>IF(B128&gt;0,IF(סקר!E196=0,1,סקר!E196),0)</f>
        <v>0</v>
      </c>
      <c r="H128" s="152">
        <f>IF(B128&gt;0,IF(סקר!F196 = 0,1,סקר!F196),0)</f>
        <v>0</v>
      </c>
      <c r="I128" s="152">
        <f>סקר!G196</f>
        <v>0</v>
      </c>
      <c r="J128" s="152">
        <f>סקר!H196</f>
        <v>0</v>
      </c>
      <c r="K128" s="152" t="e">
        <f>IF(D128="","",VLOOKUP(D128,[1]TreeType!$A$2:$E$508,3,3))</f>
        <v>#N/A</v>
      </c>
      <c r="L128" s="152">
        <f>IF(D128&gt;0,IF(סקר!M196=0,1,IF(סקר!M196=0,1,סקר!M196)),0)</f>
        <v>0</v>
      </c>
      <c r="M128" s="152">
        <f>סקר!J196</f>
        <v>0</v>
      </c>
      <c r="N128" s="152">
        <f>IF(D128&gt;0,IF(סקר!K196=0,1,IF(סקר!K196=0,1,סקר!K196)),0)</f>
        <v>0</v>
      </c>
      <c r="O128" s="152" t="e">
        <f t="shared" si="3"/>
        <v>#N/A</v>
      </c>
      <c r="P128" s="152">
        <f>IF(B128&gt;0,IF(סקר!O196 &lt;=1,1,סקר!O196),0)</f>
        <v>0</v>
      </c>
      <c r="Q128" s="152">
        <f>סקר!P196</f>
        <v>0</v>
      </c>
      <c r="R128" s="152">
        <f>סקר!R196</f>
        <v>0</v>
      </c>
      <c r="S128" s="152">
        <f>סקר!BC196</f>
        <v>0</v>
      </c>
      <c r="T128" s="156"/>
    </row>
    <row r="129" spans="1:20">
      <c r="A129" s="152" t="str">
        <f>IF(סקר!D197&lt;2,"עץ","פוליגון")</f>
        <v>עץ</v>
      </c>
      <c r="B129" s="152">
        <f>סקר!B197</f>
        <v>0</v>
      </c>
      <c r="C129" s="152">
        <f>IF(סקר!D197&lt;2,1,סקר!D197)</f>
        <v>1</v>
      </c>
      <c r="D129" s="152">
        <f>סקר!C197</f>
        <v>0</v>
      </c>
      <c r="E129" s="152" t="str">
        <f>IFERROR(VLOOKUP(F129,[1]TreeType!$A:$E,5,0),"")</f>
        <v/>
      </c>
      <c r="F129" s="153" t="str">
        <f>IFERROR(VLOOKUP(D129,[1]TreeType!$A:$B,2,0),"")</f>
        <v/>
      </c>
      <c r="G129" s="152">
        <f>IF(B129&gt;0,IF(סקר!E197=0,1,סקר!E197),0)</f>
        <v>0</v>
      </c>
      <c r="H129" s="152">
        <f>IF(B129&gt;0,IF(סקר!F197 = 0,1,סקר!F197),0)</f>
        <v>0</v>
      </c>
      <c r="I129" s="152">
        <f>סקר!G197</f>
        <v>0</v>
      </c>
      <c r="J129" s="152">
        <f>סקר!H197</f>
        <v>0</v>
      </c>
      <c r="K129" s="152" t="e">
        <f>IF(D129="","",VLOOKUP(D129,[1]TreeType!$A$2:$E$508,3,3))</f>
        <v>#N/A</v>
      </c>
      <c r="L129" s="152">
        <f>IF(D129&gt;0,IF(סקר!M197=0,1,IF(סקר!M197=0,1,סקר!M197)),0)</f>
        <v>0</v>
      </c>
      <c r="M129" s="152">
        <f>סקר!J197</f>
        <v>0</v>
      </c>
      <c r="N129" s="152">
        <f>IF(D129&gt;0,IF(סקר!K197=0,1,IF(סקר!K197=0,1,סקר!K197)),0)</f>
        <v>0</v>
      </c>
      <c r="O129" s="152" t="e">
        <f t="shared" si="3"/>
        <v>#N/A</v>
      </c>
      <c r="P129" s="152">
        <f>IF(B129&gt;0,IF(סקר!O197 &lt;=1,1,סקר!O197),0)</f>
        <v>0</v>
      </c>
      <c r="Q129" s="152">
        <f>סקר!P197</f>
        <v>0</v>
      </c>
      <c r="R129" s="152">
        <f>סקר!R197</f>
        <v>0</v>
      </c>
      <c r="S129" s="152">
        <f>סקר!BC197</f>
        <v>0</v>
      </c>
      <c r="T129" s="156"/>
    </row>
    <row r="130" spans="1:20">
      <c r="A130" s="152" t="str">
        <f>IF(סקר!D198&lt;2,"עץ","פוליגון")</f>
        <v>עץ</v>
      </c>
      <c r="B130" s="152">
        <f>סקר!B198</f>
        <v>0</v>
      </c>
      <c r="C130" s="152">
        <f>IF(סקר!D198&lt;2,1,סקר!D198)</f>
        <v>1</v>
      </c>
      <c r="D130" s="152">
        <f>סקר!C198</f>
        <v>0</v>
      </c>
      <c r="E130" s="152" t="str">
        <f>IFERROR(VLOOKUP(F130,[1]TreeType!$A:$E,5,0),"")</f>
        <v/>
      </c>
      <c r="F130" s="153" t="str">
        <f>IFERROR(VLOOKUP(D130,[1]TreeType!$A:$B,2,0),"")</f>
        <v/>
      </c>
      <c r="G130" s="152">
        <f>IF(B130&gt;0,IF(סקר!E198=0,1,סקר!E198),0)</f>
        <v>0</v>
      </c>
      <c r="H130" s="152">
        <f>IF(B130&gt;0,IF(סקר!F198 = 0,1,סקר!F198),0)</f>
        <v>0</v>
      </c>
      <c r="I130" s="152">
        <f>סקר!G198</f>
        <v>0</v>
      </c>
      <c r="J130" s="152">
        <f>סקר!H198</f>
        <v>0</v>
      </c>
      <c r="K130" s="152" t="e">
        <f>IF(D130="","",VLOOKUP(D130,[1]TreeType!$A$2:$E$508,3,3))</f>
        <v>#N/A</v>
      </c>
      <c r="L130" s="152">
        <f>IF(D130&gt;0,IF(סקר!M198=0,1,IF(סקר!M198=0,1,סקר!M198)),0)</f>
        <v>0</v>
      </c>
      <c r="M130" s="152">
        <f>סקר!J198</f>
        <v>0</v>
      </c>
      <c r="N130" s="152">
        <f>IF(D130&gt;0,IF(סקר!K198=0,1,IF(סקר!K198=0,1,סקר!K198)),0)</f>
        <v>0</v>
      </c>
      <c r="O130" s="152" t="e">
        <f t="shared" si="3"/>
        <v>#N/A</v>
      </c>
      <c r="P130" s="152">
        <f>IF(B130&gt;0,IF(סקר!O198 &lt;=1,1,סקר!O198),0)</f>
        <v>0</v>
      </c>
      <c r="Q130" s="152">
        <f>סקר!P198</f>
        <v>0</v>
      </c>
      <c r="R130" s="152">
        <f>סקר!R198</f>
        <v>0</v>
      </c>
      <c r="S130" s="152">
        <f>סקר!BC198</f>
        <v>0</v>
      </c>
      <c r="T130" s="156"/>
    </row>
    <row r="131" spans="1:20">
      <c r="A131" s="152" t="str">
        <f>IF(סקר!D199&lt;2,"עץ","פוליגון")</f>
        <v>עץ</v>
      </c>
      <c r="B131" s="152">
        <f>סקר!B199</f>
        <v>0</v>
      </c>
      <c r="C131" s="152">
        <f>IF(סקר!D199&lt;2,1,סקר!D199)</f>
        <v>1</v>
      </c>
      <c r="D131" s="152">
        <f>סקר!C199</f>
        <v>0</v>
      </c>
      <c r="E131" s="152" t="str">
        <f>IFERROR(VLOOKUP(F131,[1]TreeType!$A:$E,5,0),"")</f>
        <v/>
      </c>
      <c r="F131" s="153" t="str">
        <f>IFERROR(VLOOKUP(D131,[1]TreeType!$A:$B,2,0),"")</f>
        <v/>
      </c>
      <c r="G131" s="152">
        <f>IF(B131&gt;0,IF(סקר!E199=0,1,סקר!E199),0)</f>
        <v>0</v>
      </c>
      <c r="H131" s="152">
        <f>IF(B131&gt;0,IF(סקר!F199 = 0,1,סקר!F199),0)</f>
        <v>0</v>
      </c>
      <c r="I131" s="152">
        <f>סקר!G199</f>
        <v>0</v>
      </c>
      <c r="J131" s="152">
        <f>סקר!H199</f>
        <v>0</v>
      </c>
      <c r="K131" s="152" t="e">
        <f>IF(D131="","",VLOOKUP(D131,[1]TreeType!$A$2:$E$508,3,3))</f>
        <v>#N/A</v>
      </c>
      <c r="L131" s="152">
        <f>IF(D131&gt;0,IF(סקר!M199=0,1,IF(סקר!M199=0,1,סקר!M199)),0)</f>
        <v>0</v>
      </c>
      <c r="M131" s="152">
        <f>סקר!J199</f>
        <v>0</v>
      </c>
      <c r="N131" s="152">
        <f>IF(D131&gt;0,IF(סקר!K199=0,1,IF(סקר!K199=0,1,סקר!K199)),0)</f>
        <v>0</v>
      </c>
      <c r="O131" s="152" t="e">
        <f t="shared" si="3"/>
        <v>#N/A</v>
      </c>
      <c r="P131" s="152">
        <f>IF(B131&gt;0,IF(סקר!O199 &lt;=1,1,סקר!O199),0)</f>
        <v>0</v>
      </c>
      <c r="Q131" s="152">
        <f>סקר!P199</f>
        <v>0</v>
      </c>
      <c r="R131" s="152">
        <f>סקר!R199</f>
        <v>0</v>
      </c>
      <c r="S131" s="152">
        <f>סקר!BC199</f>
        <v>0</v>
      </c>
      <c r="T131" s="156"/>
    </row>
    <row r="132" spans="1:20">
      <c r="A132" s="152" t="str">
        <f>IF(סקר!D200&lt;2,"עץ","פוליגון")</f>
        <v>עץ</v>
      </c>
      <c r="B132" s="152">
        <f>סקר!B200</f>
        <v>0</v>
      </c>
      <c r="C132" s="152">
        <f>IF(סקר!D200&lt;2,1,סקר!D200)</f>
        <v>1</v>
      </c>
      <c r="D132" s="152">
        <f>סקר!C200</f>
        <v>0</v>
      </c>
      <c r="E132" s="152" t="str">
        <f>IFERROR(VLOOKUP(F132,[1]TreeType!$A:$E,5,0),"")</f>
        <v/>
      </c>
      <c r="F132" s="153" t="str">
        <f>IFERROR(VLOOKUP(D132,[1]TreeType!$A:$B,2,0),"")</f>
        <v/>
      </c>
      <c r="G132" s="152">
        <f>IF(B132&gt;0,IF(סקר!E200=0,1,סקר!E200),0)</f>
        <v>0</v>
      </c>
      <c r="H132" s="152">
        <f>IF(B132&gt;0,IF(סקר!F200 = 0,1,סקר!F200),0)</f>
        <v>0</v>
      </c>
      <c r="I132" s="152">
        <f>סקר!G200</f>
        <v>0</v>
      </c>
      <c r="J132" s="152">
        <f>סקר!H200</f>
        <v>0</v>
      </c>
      <c r="K132" s="152" t="e">
        <f>IF(D132="","",VLOOKUP(D132,[1]TreeType!$A$2:$E$508,3,3))</f>
        <v>#N/A</v>
      </c>
      <c r="L132" s="152">
        <f>IF(D132&gt;0,IF(סקר!M200=0,1,IF(סקר!M200=0,1,סקר!M200)),0)</f>
        <v>0</v>
      </c>
      <c r="M132" s="152">
        <f>סקר!J200</f>
        <v>0</v>
      </c>
      <c r="N132" s="152">
        <f>IF(D132&gt;0,IF(סקר!K200=0,1,IF(סקר!K200=0,1,סקר!K200)),0)</f>
        <v>0</v>
      </c>
      <c r="O132" s="152" t="e">
        <f t="shared" si="3"/>
        <v>#N/A</v>
      </c>
      <c r="P132" s="152">
        <f>IF(B132&gt;0,IF(סקר!O200 &lt;=1,1,סקר!O200),0)</f>
        <v>0</v>
      </c>
      <c r="Q132" s="152">
        <f>סקר!P200</f>
        <v>0</v>
      </c>
      <c r="R132" s="152">
        <f>סקר!R200</f>
        <v>0</v>
      </c>
      <c r="S132" s="152">
        <f>סקר!BC200</f>
        <v>0</v>
      </c>
      <c r="T132" s="156"/>
    </row>
    <row r="133" spans="1:20">
      <c r="A133" s="152" t="str">
        <f>IF(סקר!D201&lt;2,"עץ","פוליגון")</f>
        <v>עץ</v>
      </c>
      <c r="B133" s="152">
        <f>סקר!B201</f>
        <v>0</v>
      </c>
      <c r="C133" s="152">
        <f>IF(סקר!D201&lt;2,1,סקר!D201)</f>
        <v>1</v>
      </c>
      <c r="D133" s="152">
        <f>סקר!C201</f>
        <v>0</v>
      </c>
      <c r="E133" s="152" t="str">
        <f>IFERROR(VLOOKUP(F133,[1]TreeType!$A:$E,5,0),"")</f>
        <v/>
      </c>
      <c r="F133" s="153" t="str">
        <f>IFERROR(VLOOKUP(D133,[1]TreeType!$A:$B,2,0),"")</f>
        <v/>
      </c>
      <c r="G133" s="152">
        <f>IF(B133&gt;0,IF(סקר!E201=0,1,סקר!E201),0)</f>
        <v>0</v>
      </c>
      <c r="H133" s="152">
        <f>IF(B133&gt;0,IF(סקר!F201 = 0,1,סקר!F201),0)</f>
        <v>0</v>
      </c>
      <c r="I133" s="152">
        <f>סקר!G201</f>
        <v>0</v>
      </c>
      <c r="J133" s="152">
        <f>סקר!H201</f>
        <v>0</v>
      </c>
      <c r="K133" s="152" t="e">
        <f>IF(D133="","",VLOOKUP(D133,[1]TreeType!$A$2:$E$508,3,3))</f>
        <v>#N/A</v>
      </c>
      <c r="L133" s="152">
        <f>IF(D133&gt;0,IF(סקר!M201=0,1,IF(סקר!M201=0,1,סקר!M201)),0)</f>
        <v>0</v>
      </c>
      <c r="M133" s="152">
        <f>סקר!J201</f>
        <v>0</v>
      </c>
      <c r="N133" s="152">
        <f>IF(D133&gt;0,IF(סקר!K201=0,1,IF(סקר!K201=0,1,סקר!K201)),0)</f>
        <v>0</v>
      </c>
      <c r="O133" s="152" t="e">
        <f t="shared" si="3"/>
        <v>#N/A</v>
      </c>
      <c r="P133" s="152">
        <f>IF(B133&gt;0,IF(סקר!O201 &lt;=1,1,סקר!O201),0)</f>
        <v>0</v>
      </c>
      <c r="Q133" s="152">
        <f>סקר!P201</f>
        <v>0</v>
      </c>
      <c r="R133" s="152">
        <f>סקר!R201</f>
        <v>0</v>
      </c>
      <c r="S133" s="152">
        <f>סקר!BC201</f>
        <v>0</v>
      </c>
      <c r="T133" s="156"/>
    </row>
    <row r="134" spans="1:20">
      <c r="A134" s="152" t="str">
        <f>IF(סקר!D202&lt;2,"עץ","פוליגון")</f>
        <v>עץ</v>
      </c>
      <c r="B134" s="152">
        <f>סקר!B202</f>
        <v>0</v>
      </c>
      <c r="C134" s="152">
        <f>IF(סקר!D202&lt;2,1,סקר!D202)</f>
        <v>1</v>
      </c>
      <c r="D134" s="152">
        <f>סקר!C202</f>
        <v>0</v>
      </c>
      <c r="E134" s="152" t="str">
        <f>IFERROR(VLOOKUP(F134,[1]TreeType!$A:$E,5,0),"")</f>
        <v/>
      </c>
      <c r="F134" s="153" t="str">
        <f>IFERROR(VLOOKUP(D134,[1]TreeType!$A:$B,2,0),"")</f>
        <v/>
      </c>
      <c r="G134" s="152">
        <f>IF(B134&gt;0,IF(סקר!E202=0,1,סקר!E202),0)</f>
        <v>0</v>
      </c>
      <c r="H134" s="152">
        <f>IF(B134&gt;0,IF(סקר!F202 = 0,1,סקר!F202),0)</f>
        <v>0</v>
      </c>
      <c r="I134" s="152">
        <f>סקר!G202</f>
        <v>0</v>
      </c>
      <c r="J134" s="152">
        <f>סקר!H202</f>
        <v>0</v>
      </c>
      <c r="K134" s="152" t="e">
        <f>IF(D134="","",VLOOKUP(D134,[1]TreeType!$A$2:$E$508,3,3))</f>
        <v>#N/A</v>
      </c>
      <c r="L134" s="152">
        <f>IF(D134&gt;0,IF(סקר!M202=0,1,IF(סקר!M202=0,1,סקר!M202)),0)</f>
        <v>0</v>
      </c>
      <c r="M134" s="152">
        <f>סקר!J202</f>
        <v>0</v>
      </c>
      <c r="N134" s="152">
        <f>IF(D134&gt;0,IF(סקר!K202=0,1,IF(סקר!K202=0,1,סקר!K202)),0)</f>
        <v>0</v>
      </c>
      <c r="O134" s="152" t="e">
        <f t="shared" ref="O134:O183" si="4">IF(SUM(K134:N134)=0,"",SUM(K134:N134))</f>
        <v>#N/A</v>
      </c>
      <c r="P134" s="152">
        <f>IF(B134&gt;0,IF(סקר!O202 &lt;=1,1,סקר!O202),0)</f>
        <v>0</v>
      </c>
      <c r="Q134" s="152">
        <f>סקר!P202</f>
        <v>0</v>
      </c>
      <c r="R134" s="152">
        <f>סקר!R202</f>
        <v>0</v>
      </c>
      <c r="S134" s="152">
        <f>סקר!BC202</f>
        <v>0</v>
      </c>
      <c r="T134" s="156"/>
    </row>
    <row r="135" spans="1:20">
      <c r="A135" s="152" t="str">
        <f>IF(סקר!D203&lt;2,"עץ","פוליגון")</f>
        <v>עץ</v>
      </c>
      <c r="B135" s="152">
        <f>סקר!B203</f>
        <v>0</v>
      </c>
      <c r="C135" s="152">
        <f>IF(סקר!D203&lt;2,1,סקר!D203)</f>
        <v>1</v>
      </c>
      <c r="D135" s="152">
        <f>סקר!C203</f>
        <v>0</v>
      </c>
      <c r="E135" s="152" t="str">
        <f>IFERROR(VLOOKUP(F135,[1]TreeType!$A:$E,5,0),"")</f>
        <v/>
      </c>
      <c r="F135" s="153" t="str">
        <f>IFERROR(VLOOKUP(D135,[1]TreeType!$A:$B,2,0),"")</f>
        <v/>
      </c>
      <c r="G135" s="152">
        <f>IF(B135&gt;0,IF(סקר!E203=0,1,סקר!E203),0)</f>
        <v>0</v>
      </c>
      <c r="H135" s="152">
        <f>IF(B135&gt;0,IF(סקר!F203 = 0,1,סקר!F203),0)</f>
        <v>0</v>
      </c>
      <c r="I135" s="152">
        <f>סקר!G203</f>
        <v>0</v>
      </c>
      <c r="J135" s="152">
        <f>סקר!H203</f>
        <v>0</v>
      </c>
      <c r="K135" s="152" t="e">
        <f>IF(D135="","",VLOOKUP(D135,[1]TreeType!$A$2:$E$508,3,3))</f>
        <v>#N/A</v>
      </c>
      <c r="L135" s="152">
        <f>IF(D135&gt;0,IF(סקר!M203=0,1,IF(סקר!M203=0,1,סקר!M203)),0)</f>
        <v>0</v>
      </c>
      <c r="M135" s="152">
        <f>סקר!J203</f>
        <v>0</v>
      </c>
      <c r="N135" s="152">
        <f>IF(D135&gt;0,IF(סקר!K203=0,1,IF(סקר!K203=0,1,סקר!K203)),0)</f>
        <v>0</v>
      </c>
      <c r="O135" s="152" t="e">
        <f t="shared" si="4"/>
        <v>#N/A</v>
      </c>
      <c r="P135" s="152">
        <f>IF(B135&gt;0,IF(סקר!O203 &lt;=1,1,סקר!O203),0)</f>
        <v>0</v>
      </c>
      <c r="Q135" s="152">
        <f>סקר!P203</f>
        <v>0</v>
      </c>
      <c r="R135" s="152">
        <f>סקר!R203</f>
        <v>0</v>
      </c>
      <c r="S135" s="152">
        <f>סקר!BC203</f>
        <v>0</v>
      </c>
      <c r="T135" s="156"/>
    </row>
    <row r="136" spans="1:20">
      <c r="A136" s="152" t="str">
        <f>IF(סקר!D204&lt;2,"עץ","פוליגון")</f>
        <v>עץ</v>
      </c>
      <c r="B136" s="152">
        <f>סקר!B204</f>
        <v>0</v>
      </c>
      <c r="C136" s="152">
        <f>IF(סקר!D204&lt;2,1,סקר!D204)</f>
        <v>1</v>
      </c>
      <c r="D136" s="152">
        <f>סקר!C204</f>
        <v>0</v>
      </c>
      <c r="E136" s="152" t="str">
        <f>IFERROR(VLOOKUP(F136,[1]TreeType!$A:$E,5,0),"")</f>
        <v/>
      </c>
      <c r="F136" s="153" t="str">
        <f>IFERROR(VLOOKUP(D136,[1]TreeType!$A:$B,2,0),"")</f>
        <v/>
      </c>
      <c r="G136" s="152">
        <f>IF(B136&gt;0,IF(סקר!E204=0,1,סקר!E204),0)</f>
        <v>0</v>
      </c>
      <c r="H136" s="152">
        <f>IF(B136&gt;0,IF(סקר!F204 = 0,1,סקר!F204),0)</f>
        <v>0</v>
      </c>
      <c r="I136" s="152">
        <f>סקר!G204</f>
        <v>0</v>
      </c>
      <c r="J136" s="152">
        <f>סקר!H204</f>
        <v>0</v>
      </c>
      <c r="K136" s="152" t="e">
        <f>IF(D136="","",VLOOKUP(D136,[1]TreeType!$A$2:$E$508,3,3))</f>
        <v>#N/A</v>
      </c>
      <c r="L136" s="152">
        <f>IF(D136&gt;0,IF(סקר!M204=0,1,IF(סקר!M204=0,1,סקר!M204)),0)</f>
        <v>0</v>
      </c>
      <c r="M136" s="152">
        <f>סקר!J204</f>
        <v>0</v>
      </c>
      <c r="N136" s="152">
        <f>IF(D136&gt;0,IF(סקר!K204=0,1,IF(סקר!K204=0,1,סקר!K204)),0)</f>
        <v>0</v>
      </c>
      <c r="O136" s="152" t="e">
        <f t="shared" si="4"/>
        <v>#N/A</v>
      </c>
      <c r="P136" s="152">
        <f>IF(B136&gt;0,IF(סקר!O204 &lt;=1,1,סקר!O204),0)</f>
        <v>0</v>
      </c>
      <c r="Q136" s="152">
        <f>סקר!P204</f>
        <v>0</v>
      </c>
      <c r="R136" s="152">
        <f>סקר!R204</f>
        <v>0</v>
      </c>
      <c r="S136" s="152">
        <f>סקר!BC204</f>
        <v>0</v>
      </c>
      <c r="T136" s="156"/>
    </row>
    <row r="137" spans="1:20">
      <c r="A137" s="152" t="str">
        <f>IF(סקר!D205&lt;2,"עץ","פוליגון")</f>
        <v>עץ</v>
      </c>
      <c r="B137" s="152">
        <f>סקר!B205</f>
        <v>0</v>
      </c>
      <c r="C137" s="152">
        <f>IF(סקר!D205&lt;2,1,סקר!D205)</f>
        <v>1</v>
      </c>
      <c r="D137" s="152">
        <f>סקר!C205</f>
        <v>0</v>
      </c>
      <c r="E137" s="152" t="str">
        <f>IFERROR(VLOOKUP(F137,[1]TreeType!$A:$E,5,0),"")</f>
        <v/>
      </c>
      <c r="F137" s="153" t="str">
        <f>IFERROR(VLOOKUP(D137,[1]TreeType!$A:$B,2,0),"")</f>
        <v/>
      </c>
      <c r="G137" s="152">
        <f>IF(B137&gt;0,IF(סקר!E205=0,1,סקר!E205),0)</f>
        <v>0</v>
      </c>
      <c r="H137" s="152">
        <f>IF(B137&gt;0,IF(סקר!F205 = 0,1,סקר!F205),0)</f>
        <v>0</v>
      </c>
      <c r="I137" s="152">
        <f>סקר!G205</f>
        <v>0</v>
      </c>
      <c r="J137" s="152">
        <f>סקר!H205</f>
        <v>0</v>
      </c>
      <c r="K137" s="152" t="e">
        <f>IF(D137="","",VLOOKUP(D137,[1]TreeType!$A$2:$E$508,3,3))</f>
        <v>#N/A</v>
      </c>
      <c r="L137" s="152">
        <f>IF(D137&gt;0,IF(סקר!M205=0,1,IF(סקר!M205=0,1,סקר!M205)),0)</f>
        <v>0</v>
      </c>
      <c r="M137" s="152">
        <f>סקר!J205</f>
        <v>0</v>
      </c>
      <c r="N137" s="152">
        <f>IF(D137&gt;0,IF(סקר!K205=0,1,IF(סקר!K205=0,1,סקר!K205)),0)</f>
        <v>0</v>
      </c>
      <c r="O137" s="152" t="e">
        <f t="shared" si="4"/>
        <v>#N/A</v>
      </c>
      <c r="P137" s="152">
        <f>IF(B137&gt;0,IF(סקר!O205 &lt;=1,1,סקר!O205),0)</f>
        <v>0</v>
      </c>
      <c r="Q137" s="152">
        <f>סקר!P205</f>
        <v>0</v>
      </c>
      <c r="R137" s="152">
        <f>סקר!R205</f>
        <v>0</v>
      </c>
      <c r="S137" s="152">
        <f>סקר!BC205</f>
        <v>0</v>
      </c>
      <c r="T137" s="156"/>
    </row>
    <row r="138" spans="1:20">
      <c r="A138" s="152" t="str">
        <f>IF(סקר!D206&lt;2,"עץ","פוליגון")</f>
        <v>עץ</v>
      </c>
      <c r="B138" s="152">
        <f>סקר!B206</f>
        <v>0</v>
      </c>
      <c r="C138" s="152">
        <f>IF(סקר!D206&lt;2,1,סקר!D206)</f>
        <v>1</v>
      </c>
      <c r="D138" s="152">
        <f>סקר!C206</f>
        <v>0</v>
      </c>
      <c r="E138" s="152" t="str">
        <f>IFERROR(VLOOKUP(F138,[1]TreeType!$A:$E,5,0),"")</f>
        <v/>
      </c>
      <c r="F138" s="153" t="str">
        <f>IFERROR(VLOOKUP(D138,[1]TreeType!$A:$B,2,0),"")</f>
        <v/>
      </c>
      <c r="G138" s="152">
        <f>IF(B138&gt;0,IF(סקר!E206=0,1,סקר!E206),0)</f>
        <v>0</v>
      </c>
      <c r="H138" s="152">
        <f>IF(B138&gt;0,IF(סקר!F206 = 0,1,סקר!F206),0)</f>
        <v>0</v>
      </c>
      <c r="I138" s="152">
        <f>סקר!G206</f>
        <v>0</v>
      </c>
      <c r="J138" s="152">
        <f>סקר!H206</f>
        <v>0</v>
      </c>
      <c r="K138" s="152" t="e">
        <f>IF(D138="","",VLOOKUP(D138,[1]TreeType!$A$2:$E$508,3,3))</f>
        <v>#N/A</v>
      </c>
      <c r="L138" s="152">
        <f>IF(D138&gt;0,IF(סקר!M206=0,1,IF(סקר!M206=0,1,סקר!M206)),0)</f>
        <v>0</v>
      </c>
      <c r="M138" s="152">
        <f>סקר!J206</f>
        <v>0</v>
      </c>
      <c r="N138" s="152">
        <f>IF(D138&gt;0,IF(סקר!K206=0,1,IF(סקר!K206=0,1,סקר!K206)),0)</f>
        <v>0</v>
      </c>
      <c r="O138" s="152" t="e">
        <f t="shared" si="4"/>
        <v>#N/A</v>
      </c>
      <c r="P138" s="152">
        <f>IF(B138&gt;0,IF(סקר!O206 &lt;=1,1,סקר!O206),0)</f>
        <v>0</v>
      </c>
      <c r="Q138" s="152">
        <f>סקר!P206</f>
        <v>0</v>
      </c>
      <c r="R138" s="152">
        <f>סקר!R206</f>
        <v>0</v>
      </c>
      <c r="S138" s="152">
        <f>סקר!BC206</f>
        <v>0</v>
      </c>
      <c r="T138" s="156"/>
    </row>
    <row r="139" spans="1:20">
      <c r="A139" s="152" t="str">
        <f>IF(סקר!D207&lt;2,"עץ","פוליגון")</f>
        <v>עץ</v>
      </c>
      <c r="B139" s="152">
        <f>סקר!B207</f>
        <v>0</v>
      </c>
      <c r="C139" s="152">
        <f>IF(סקר!D207&lt;2,1,סקר!D207)</f>
        <v>1</v>
      </c>
      <c r="D139" s="152">
        <f>סקר!C207</f>
        <v>0</v>
      </c>
      <c r="E139" s="152" t="str">
        <f>IFERROR(VLOOKUP(F139,[1]TreeType!$A:$E,5,0),"")</f>
        <v/>
      </c>
      <c r="F139" s="153" t="str">
        <f>IFERROR(VLOOKUP(D139,[1]TreeType!$A:$B,2,0),"")</f>
        <v/>
      </c>
      <c r="G139" s="152">
        <f>IF(B139&gt;0,IF(סקר!E207=0,1,סקר!E207),0)</f>
        <v>0</v>
      </c>
      <c r="H139" s="152">
        <f>IF(B139&gt;0,IF(סקר!F207 = 0,1,סקר!F207),0)</f>
        <v>0</v>
      </c>
      <c r="I139" s="152">
        <f>סקר!G207</f>
        <v>0</v>
      </c>
      <c r="J139" s="152">
        <f>סקר!H207</f>
        <v>0</v>
      </c>
      <c r="K139" s="152" t="e">
        <f>IF(D139="","",VLOOKUP(D139,[1]TreeType!$A$2:$E$508,3,3))</f>
        <v>#N/A</v>
      </c>
      <c r="L139" s="152">
        <f>IF(D139&gt;0,IF(סקר!M207=0,1,IF(סקר!M207=0,1,סקר!M207)),0)</f>
        <v>0</v>
      </c>
      <c r="M139" s="152">
        <f>סקר!J207</f>
        <v>0</v>
      </c>
      <c r="N139" s="152">
        <f>IF(D139&gt;0,IF(סקר!K207=0,1,IF(סקר!K207=0,1,סקר!K207)),0)</f>
        <v>0</v>
      </c>
      <c r="O139" s="152" t="e">
        <f t="shared" si="4"/>
        <v>#N/A</v>
      </c>
      <c r="P139" s="152">
        <f>IF(B139&gt;0,IF(סקר!O207 &lt;=1,1,סקר!O207),0)</f>
        <v>0</v>
      </c>
      <c r="Q139" s="152">
        <f>סקר!P207</f>
        <v>0</v>
      </c>
      <c r="R139" s="152">
        <f>סקר!R207</f>
        <v>0</v>
      </c>
      <c r="S139" s="152">
        <f>סקר!BC207</f>
        <v>0</v>
      </c>
      <c r="T139" s="156"/>
    </row>
    <row r="140" spans="1:20">
      <c r="A140" s="152" t="str">
        <f>IF(סקר!D208&lt;2,"עץ","פוליגון")</f>
        <v>עץ</v>
      </c>
      <c r="B140" s="152">
        <f>סקר!B208</f>
        <v>0</v>
      </c>
      <c r="C140" s="152">
        <f>IF(סקר!D208&lt;2,1,סקר!D208)</f>
        <v>1</v>
      </c>
      <c r="D140" s="152">
        <f>סקר!C208</f>
        <v>0</v>
      </c>
      <c r="E140" s="152" t="str">
        <f>IFERROR(VLOOKUP(F140,[1]TreeType!$A:$E,5,0),"")</f>
        <v/>
      </c>
      <c r="F140" s="153" t="str">
        <f>IFERROR(VLOOKUP(D140,[1]TreeType!$A:$B,2,0),"")</f>
        <v/>
      </c>
      <c r="G140" s="152">
        <f>IF(B140&gt;0,IF(סקר!E208=0,1,סקר!E208),0)</f>
        <v>0</v>
      </c>
      <c r="H140" s="152">
        <f>IF(B140&gt;0,IF(סקר!F208 = 0,1,סקר!F208),0)</f>
        <v>0</v>
      </c>
      <c r="I140" s="152">
        <f>סקר!G208</f>
        <v>0</v>
      </c>
      <c r="J140" s="152">
        <f>סקר!H208</f>
        <v>0</v>
      </c>
      <c r="K140" s="152" t="e">
        <f>IF(D140="","",VLOOKUP(D140,[1]TreeType!$A$2:$E$508,3,3))</f>
        <v>#N/A</v>
      </c>
      <c r="L140" s="152">
        <f>IF(D140&gt;0,IF(סקר!M208=0,1,IF(סקר!M208=0,1,סקר!M208)),0)</f>
        <v>0</v>
      </c>
      <c r="M140" s="152">
        <f>סקר!J208</f>
        <v>0</v>
      </c>
      <c r="N140" s="152">
        <f>IF(D140&gt;0,IF(סקר!K208=0,1,IF(סקר!K208=0,1,סקר!K208)),0)</f>
        <v>0</v>
      </c>
      <c r="O140" s="152" t="e">
        <f t="shared" si="4"/>
        <v>#N/A</v>
      </c>
      <c r="P140" s="152">
        <f>IF(B140&gt;0,IF(סקר!O208 &lt;=1,1,סקר!O208),0)</f>
        <v>0</v>
      </c>
      <c r="Q140" s="152">
        <f>סקר!P208</f>
        <v>0</v>
      </c>
      <c r="R140" s="152">
        <f>סקר!R208</f>
        <v>0</v>
      </c>
      <c r="S140" s="152">
        <f>סקר!BC208</f>
        <v>0</v>
      </c>
      <c r="T140" s="156"/>
    </row>
    <row r="141" spans="1:20">
      <c r="A141" s="152" t="str">
        <f>IF(סקר!D209&lt;2,"עץ","פוליגון")</f>
        <v>עץ</v>
      </c>
      <c r="B141" s="152">
        <f>סקר!B209</f>
        <v>0</v>
      </c>
      <c r="C141" s="152">
        <f>IF(סקר!D209&lt;2,1,סקר!D209)</f>
        <v>1</v>
      </c>
      <c r="D141" s="152">
        <f>סקר!C209</f>
        <v>0</v>
      </c>
      <c r="E141" s="152" t="str">
        <f>IFERROR(VLOOKUP(F141,[1]TreeType!$A:$E,5,0),"")</f>
        <v/>
      </c>
      <c r="F141" s="153" t="str">
        <f>IFERROR(VLOOKUP(D141,[1]TreeType!$A:$B,2,0),"")</f>
        <v/>
      </c>
      <c r="G141" s="152">
        <f>IF(B141&gt;0,IF(סקר!E209=0,1,סקר!E209),0)</f>
        <v>0</v>
      </c>
      <c r="H141" s="152">
        <f>IF(B141&gt;0,IF(סקר!F209 = 0,1,סקר!F209),0)</f>
        <v>0</v>
      </c>
      <c r="I141" s="152">
        <f>סקר!G209</f>
        <v>0</v>
      </c>
      <c r="J141" s="152">
        <f>סקר!H209</f>
        <v>0</v>
      </c>
      <c r="K141" s="152" t="e">
        <f>IF(D141="","",VLOOKUP(D141,[1]TreeType!$A$2:$E$508,3,3))</f>
        <v>#N/A</v>
      </c>
      <c r="L141" s="152">
        <f>IF(D141&gt;0,IF(סקר!M209=0,1,IF(סקר!M209=0,1,סקר!M209)),0)</f>
        <v>0</v>
      </c>
      <c r="M141" s="152">
        <f>סקר!J209</f>
        <v>0</v>
      </c>
      <c r="N141" s="152">
        <f>IF(D141&gt;0,IF(סקר!K209=0,1,IF(סקר!K209=0,1,סקר!K209)),0)</f>
        <v>0</v>
      </c>
      <c r="O141" s="152" t="e">
        <f t="shared" si="4"/>
        <v>#N/A</v>
      </c>
      <c r="P141" s="152">
        <f>IF(B141&gt;0,IF(סקר!O209 &lt;=1,1,סקר!O209),0)</f>
        <v>0</v>
      </c>
      <c r="Q141" s="152">
        <f>סקר!P209</f>
        <v>0</v>
      </c>
      <c r="R141" s="152">
        <f>סקר!R209</f>
        <v>0</v>
      </c>
      <c r="S141" s="152">
        <f>סקר!BC209</f>
        <v>0</v>
      </c>
      <c r="T141" s="156"/>
    </row>
    <row r="142" spans="1:20">
      <c r="A142" s="152" t="str">
        <f>IF(סקר!D210&lt;2,"עץ","פוליגון")</f>
        <v>עץ</v>
      </c>
      <c r="B142" s="152">
        <f>סקר!B210</f>
        <v>0</v>
      </c>
      <c r="C142" s="152">
        <f>IF(סקר!D210&lt;2,1,סקר!D210)</f>
        <v>1</v>
      </c>
      <c r="D142" s="152">
        <f>סקר!C210</f>
        <v>0</v>
      </c>
      <c r="E142" s="152" t="str">
        <f>IFERROR(VLOOKUP(F142,[1]TreeType!$A:$E,5,0),"")</f>
        <v/>
      </c>
      <c r="F142" s="153" t="str">
        <f>IFERROR(VLOOKUP(D142,[1]TreeType!$A:$B,2,0),"")</f>
        <v/>
      </c>
      <c r="G142" s="152">
        <f>IF(B142&gt;0,IF(סקר!E210=0,1,סקר!E210),0)</f>
        <v>0</v>
      </c>
      <c r="H142" s="152">
        <f>IF(B142&gt;0,IF(סקר!F210 = 0,1,סקר!F210),0)</f>
        <v>0</v>
      </c>
      <c r="I142" s="152">
        <f>סקר!G210</f>
        <v>0</v>
      </c>
      <c r="J142" s="152">
        <f>סקר!H210</f>
        <v>0</v>
      </c>
      <c r="K142" s="152" t="e">
        <f>IF(D142="","",VLOOKUP(D142,[1]TreeType!$A$2:$E$508,3,3))</f>
        <v>#N/A</v>
      </c>
      <c r="L142" s="152">
        <f>IF(D142&gt;0,IF(סקר!M210=0,1,IF(סקר!M210=0,1,סקר!M210)),0)</f>
        <v>0</v>
      </c>
      <c r="M142" s="152">
        <f>סקר!J210</f>
        <v>0</v>
      </c>
      <c r="N142" s="152">
        <f>IF(D142&gt;0,IF(סקר!K210=0,1,IF(סקר!K210=0,1,סקר!K210)),0)</f>
        <v>0</v>
      </c>
      <c r="O142" s="152" t="e">
        <f t="shared" si="4"/>
        <v>#N/A</v>
      </c>
      <c r="P142" s="152">
        <f>IF(B142&gt;0,IF(סקר!O210 &lt;=1,1,סקר!O210),0)</f>
        <v>0</v>
      </c>
      <c r="Q142" s="152">
        <f>סקר!P210</f>
        <v>0</v>
      </c>
      <c r="R142" s="152">
        <f>סקר!R210</f>
        <v>0</v>
      </c>
      <c r="S142" s="152">
        <f>סקר!BC210</f>
        <v>0</v>
      </c>
      <c r="T142" s="156"/>
    </row>
    <row r="143" spans="1:20">
      <c r="A143" s="152" t="str">
        <f>IF(סקר!D211&lt;2,"עץ","פוליגון")</f>
        <v>עץ</v>
      </c>
      <c r="B143" s="152">
        <f>סקר!B211</f>
        <v>0</v>
      </c>
      <c r="C143" s="152">
        <f>IF(סקר!D211&lt;2,1,סקר!D211)</f>
        <v>1</v>
      </c>
      <c r="D143" s="152">
        <f>סקר!C211</f>
        <v>0</v>
      </c>
      <c r="E143" s="152" t="str">
        <f>IFERROR(VLOOKUP(F143,[1]TreeType!$A:$E,5,0),"")</f>
        <v/>
      </c>
      <c r="F143" s="153" t="str">
        <f>IFERROR(VLOOKUP(D143,[1]TreeType!$A:$B,2,0),"")</f>
        <v/>
      </c>
      <c r="G143" s="152">
        <f>IF(B143&gt;0,IF(סקר!E211=0,1,סקר!E211),0)</f>
        <v>0</v>
      </c>
      <c r="H143" s="152">
        <f>IF(B143&gt;0,IF(סקר!F211 = 0,1,סקר!F211),0)</f>
        <v>0</v>
      </c>
      <c r="I143" s="152">
        <f>סקר!G211</f>
        <v>0</v>
      </c>
      <c r="J143" s="152">
        <f>סקר!H211</f>
        <v>0</v>
      </c>
      <c r="K143" s="152" t="e">
        <f>IF(D143="","",VLOOKUP(D143,[1]TreeType!$A$2:$E$508,3,3))</f>
        <v>#N/A</v>
      </c>
      <c r="L143" s="152">
        <f>IF(D143&gt;0,IF(סקר!M211=0,1,IF(סקר!M211=0,1,סקר!M211)),0)</f>
        <v>0</v>
      </c>
      <c r="M143" s="152">
        <f>סקר!J211</f>
        <v>0</v>
      </c>
      <c r="N143" s="152">
        <f>IF(D143&gt;0,IF(סקר!K211=0,1,IF(סקר!K211=0,1,סקר!K211)),0)</f>
        <v>0</v>
      </c>
      <c r="O143" s="152" t="e">
        <f t="shared" si="4"/>
        <v>#N/A</v>
      </c>
      <c r="P143" s="152">
        <f>IF(B143&gt;0,IF(סקר!O211 &lt;=1,1,סקר!O211),0)</f>
        <v>0</v>
      </c>
      <c r="Q143" s="152">
        <f>סקר!P211</f>
        <v>0</v>
      </c>
      <c r="R143" s="152">
        <f>סקר!R211</f>
        <v>0</v>
      </c>
      <c r="S143" s="152">
        <f>סקר!BC211</f>
        <v>0</v>
      </c>
      <c r="T143" s="156"/>
    </row>
    <row r="144" spans="1:20">
      <c r="A144" s="152" t="str">
        <f>IF(סקר!D212&lt;2,"עץ","פוליגון")</f>
        <v>עץ</v>
      </c>
      <c r="B144" s="152">
        <f>סקר!B212</f>
        <v>0</v>
      </c>
      <c r="C144" s="152">
        <f>IF(סקר!D212&lt;2,1,סקר!D212)</f>
        <v>1</v>
      </c>
      <c r="D144" s="152">
        <f>סקר!C212</f>
        <v>0</v>
      </c>
      <c r="E144" s="152" t="str">
        <f>IFERROR(VLOOKUP(F144,[1]TreeType!$A:$E,5,0),"")</f>
        <v/>
      </c>
      <c r="F144" s="153" t="str">
        <f>IFERROR(VLOOKUP(D144,[1]TreeType!$A:$B,2,0),"")</f>
        <v/>
      </c>
      <c r="G144" s="152">
        <f>IF(B144&gt;0,IF(סקר!E212=0,1,סקר!E212),0)</f>
        <v>0</v>
      </c>
      <c r="H144" s="152">
        <f>IF(B144&gt;0,IF(סקר!F212 = 0,1,סקר!F212),0)</f>
        <v>0</v>
      </c>
      <c r="I144" s="152">
        <f>סקר!G212</f>
        <v>0</v>
      </c>
      <c r="J144" s="152">
        <f>סקר!H212</f>
        <v>0</v>
      </c>
      <c r="K144" s="152" t="e">
        <f>IF(D144="","",VLOOKUP(D144,[1]TreeType!$A$2:$E$508,3,3))</f>
        <v>#N/A</v>
      </c>
      <c r="L144" s="152">
        <f>IF(D144&gt;0,IF(סקר!M212=0,1,IF(סקר!M212=0,1,סקר!M212)),0)</f>
        <v>0</v>
      </c>
      <c r="M144" s="152">
        <f>סקר!J212</f>
        <v>0</v>
      </c>
      <c r="N144" s="152">
        <f>IF(D144&gt;0,IF(סקר!K212=0,1,IF(סקר!K212=0,1,סקר!K212)),0)</f>
        <v>0</v>
      </c>
      <c r="O144" s="152" t="e">
        <f t="shared" si="4"/>
        <v>#N/A</v>
      </c>
      <c r="P144" s="152">
        <f>IF(B144&gt;0,IF(סקר!O212 &lt;=1,1,סקר!O212),0)</f>
        <v>0</v>
      </c>
      <c r="Q144" s="152">
        <f>סקר!P212</f>
        <v>0</v>
      </c>
      <c r="R144" s="152">
        <f>סקר!R212</f>
        <v>0</v>
      </c>
      <c r="S144" s="152">
        <f>סקר!BC212</f>
        <v>0</v>
      </c>
      <c r="T144" s="156"/>
    </row>
    <row r="145" spans="1:20">
      <c r="A145" s="152" t="str">
        <f>IF(סקר!D213&lt;2,"עץ","פוליגון")</f>
        <v>עץ</v>
      </c>
      <c r="B145" s="152">
        <f>סקר!B213</f>
        <v>0</v>
      </c>
      <c r="C145" s="152">
        <f>IF(סקר!D213&lt;2,1,סקר!D213)</f>
        <v>1</v>
      </c>
      <c r="D145" s="152">
        <f>סקר!C213</f>
        <v>0</v>
      </c>
      <c r="E145" s="152" t="str">
        <f>IFERROR(VLOOKUP(F145,[1]TreeType!$A:$E,5,0),"")</f>
        <v/>
      </c>
      <c r="F145" s="153" t="str">
        <f>IFERROR(VLOOKUP(D145,[1]TreeType!$A:$B,2,0),"")</f>
        <v/>
      </c>
      <c r="G145" s="152">
        <f>IF(B145&gt;0,IF(סקר!E213=0,1,סקר!E213),0)</f>
        <v>0</v>
      </c>
      <c r="H145" s="152">
        <f>IF(B145&gt;0,IF(סקר!F213 = 0,1,סקר!F213),0)</f>
        <v>0</v>
      </c>
      <c r="I145" s="152">
        <f>סקר!G213</f>
        <v>0</v>
      </c>
      <c r="J145" s="152">
        <f>סקר!H213</f>
        <v>0</v>
      </c>
      <c r="K145" s="152" t="e">
        <f>IF(D145="","",VLOOKUP(D145,[1]TreeType!$A$2:$E$508,3,3))</f>
        <v>#N/A</v>
      </c>
      <c r="L145" s="152">
        <f>IF(D145&gt;0,IF(סקר!M213=0,1,IF(סקר!M213=0,1,סקר!M213)),0)</f>
        <v>0</v>
      </c>
      <c r="M145" s="152">
        <f>סקר!J213</f>
        <v>0</v>
      </c>
      <c r="N145" s="152">
        <f>IF(D145&gt;0,IF(סקר!K213=0,1,IF(סקר!K213=0,1,סקר!K213)),0)</f>
        <v>0</v>
      </c>
      <c r="O145" s="152" t="e">
        <f t="shared" si="4"/>
        <v>#N/A</v>
      </c>
      <c r="P145" s="152">
        <f>IF(B145&gt;0,IF(סקר!O213 &lt;=1,1,סקר!O213),0)</f>
        <v>0</v>
      </c>
      <c r="Q145" s="152">
        <f>סקר!P213</f>
        <v>0</v>
      </c>
      <c r="R145" s="152">
        <f>סקר!R213</f>
        <v>0</v>
      </c>
      <c r="S145" s="152">
        <f>סקר!BC213</f>
        <v>0</v>
      </c>
      <c r="T145" s="156"/>
    </row>
    <row r="146" spans="1:20">
      <c r="A146" s="152" t="str">
        <f>IF(סקר!D214&lt;2,"עץ","פוליגון")</f>
        <v>עץ</v>
      </c>
      <c r="B146" s="152">
        <f>סקר!B214</f>
        <v>0</v>
      </c>
      <c r="C146" s="152">
        <f>IF(סקר!D214&lt;2,1,סקר!D214)</f>
        <v>1</v>
      </c>
      <c r="D146" s="152">
        <f>סקר!C214</f>
        <v>0</v>
      </c>
      <c r="E146" s="152" t="str">
        <f>IFERROR(VLOOKUP(F146,[1]TreeType!$A:$E,5,0),"")</f>
        <v/>
      </c>
      <c r="F146" s="153" t="str">
        <f>IFERROR(VLOOKUP(D146,[1]TreeType!$A:$B,2,0),"")</f>
        <v/>
      </c>
      <c r="G146" s="152">
        <f>IF(B146&gt;0,IF(סקר!E214=0,1,סקר!E214),0)</f>
        <v>0</v>
      </c>
      <c r="H146" s="152">
        <f>IF(B146&gt;0,IF(סקר!F214 = 0,1,סקר!F214),0)</f>
        <v>0</v>
      </c>
      <c r="I146" s="152">
        <f>סקר!G214</f>
        <v>0</v>
      </c>
      <c r="J146" s="152">
        <f>סקר!H214</f>
        <v>0</v>
      </c>
      <c r="K146" s="152" t="e">
        <f>IF(D146="","",VLOOKUP(D146,[1]TreeType!$A$2:$E$508,3,3))</f>
        <v>#N/A</v>
      </c>
      <c r="L146" s="152">
        <f>IF(D146&gt;0,IF(סקר!M214=0,1,IF(סקר!M214=0,1,סקר!M214)),0)</f>
        <v>0</v>
      </c>
      <c r="M146" s="152">
        <f>סקר!J214</f>
        <v>0</v>
      </c>
      <c r="N146" s="152">
        <f>IF(D146&gt;0,IF(סקר!K214=0,1,IF(סקר!K214=0,1,סקר!K214)),0)</f>
        <v>0</v>
      </c>
      <c r="O146" s="152" t="e">
        <f t="shared" si="4"/>
        <v>#N/A</v>
      </c>
      <c r="P146" s="152">
        <f>IF(B146&gt;0,IF(סקר!O214 &lt;=1,1,סקר!O214),0)</f>
        <v>0</v>
      </c>
      <c r="Q146" s="152">
        <f>סקר!P214</f>
        <v>0</v>
      </c>
      <c r="R146" s="152">
        <f>סקר!R214</f>
        <v>0</v>
      </c>
      <c r="S146" s="152">
        <f>סקר!BC214</f>
        <v>0</v>
      </c>
      <c r="T146" s="156"/>
    </row>
    <row r="147" spans="1:20">
      <c r="A147" s="152" t="str">
        <f>IF(סקר!D215&lt;2,"עץ","פוליגון")</f>
        <v>עץ</v>
      </c>
      <c r="B147" s="152">
        <f>סקר!B215</f>
        <v>0</v>
      </c>
      <c r="C147" s="152">
        <f>IF(סקר!D215&lt;2,1,סקר!D215)</f>
        <v>1</v>
      </c>
      <c r="D147" s="152">
        <f>סקר!C215</f>
        <v>0</v>
      </c>
      <c r="E147" s="152" t="str">
        <f>IFERROR(VLOOKUP(F147,[1]TreeType!$A:$E,5,0),"")</f>
        <v/>
      </c>
      <c r="F147" s="153" t="str">
        <f>IFERROR(VLOOKUP(D147,[1]TreeType!$A:$B,2,0),"")</f>
        <v/>
      </c>
      <c r="G147" s="152">
        <f>IF(B147&gt;0,IF(סקר!E215=0,1,סקר!E215),0)</f>
        <v>0</v>
      </c>
      <c r="H147" s="152">
        <f>IF(B147&gt;0,IF(סקר!F215 = 0,1,סקר!F215),0)</f>
        <v>0</v>
      </c>
      <c r="I147" s="152">
        <f>סקר!G215</f>
        <v>0</v>
      </c>
      <c r="J147" s="152">
        <f>סקר!H215</f>
        <v>0</v>
      </c>
      <c r="K147" s="152" t="e">
        <f>IF(D147="","",VLOOKUP(D147,[1]TreeType!$A$2:$E$508,3,3))</f>
        <v>#N/A</v>
      </c>
      <c r="L147" s="152">
        <f>IF(D147&gt;0,IF(סקר!M215=0,1,IF(סקר!M215=0,1,סקר!M215)),0)</f>
        <v>0</v>
      </c>
      <c r="M147" s="152">
        <f>סקר!J215</f>
        <v>0</v>
      </c>
      <c r="N147" s="152">
        <f>IF(D147&gt;0,IF(סקר!K215=0,1,IF(סקר!K215=0,1,סקר!K215)),0)</f>
        <v>0</v>
      </c>
      <c r="O147" s="152" t="e">
        <f t="shared" si="4"/>
        <v>#N/A</v>
      </c>
      <c r="P147" s="152">
        <f>IF(B147&gt;0,IF(סקר!O215 &lt;=1,1,סקר!O215),0)</f>
        <v>0</v>
      </c>
      <c r="Q147" s="152">
        <f>סקר!P215</f>
        <v>0</v>
      </c>
      <c r="R147" s="152">
        <f>סקר!R215</f>
        <v>0</v>
      </c>
      <c r="S147" s="152">
        <f>סקר!BC215</f>
        <v>0</v>
      </c>
      <c r="T147" s="156"/>
    </row>
    <row r="148" spans="1:20">
      <c r="A148" s="152" t="str">
        <f>IF(סקר!D216&lt;2,"עץ","פוליגון")</f>
        <v>עץ</v>
      </c>
      <c r="B148" s="152">
        <f>סקר!B216</f>
        <v>0</v>
      </c>
      <c r="C148" s="152">
        <f>IF(סקר!D216&lt;2,1,סקר!D216)</f>
        <v>1</v>
      </c>
      <c r="D148" s="152">
        <f>סקר!C216</f>
        <v>0</v>
      </c>
      <c r="E148" s="152" t="str">
        <f>IFERROR(VLOOKUP(F148,[1]TreeType!$A:$E,5,0),"")</f>
        <v/>
      </c>
      <c r="F148" s="153" t="str">
        <f>IFERROR(VLOOKUP(D148,[1]TreeType!$A:$B,2,0),"")</f>
        <v/>
      </c>
      <c r="G148" s="152">
        <f>IF(B148&gt;0,IF(סקר!E216=0,1,סקר!E216),0)</f>
        <v>0</v>
      </c>
      <c r="H148" s="152">
        <f>IF(B148&gt;0,IF(סקר!F216 = 0,1,סקר!F216),0)</f>
        <v>0</v>
      </c>
      <c r="I148" s="152">
        <f>סקר!G216</f>
        <v>0</v>
      </c>
      <c r="J148" s="152">
        <f>סקר!H216</f>
        <v>0</v>
      </c>
      <c r="K148" s="152" t="e">
        <f>IF(D148="","",VLOOKUP(D148,[1]TreeType!$A$2:$E$508,3,3))</f>
        <v>#N/A</v>
      </c>
      <c r="L148" s="152">
        <f>IF(D148&gt;0,IF(סקר!M216=0,1,IF(סקר!M216=0,1,סקר!M216)),0)</f>
        <v>0</v>
      </c>
      <c r="M148" s="152">
        <f>סקר!J216</f>
        <v>0</v>
      </c>
      <c r="N148" s="152">
        <f>IF(D148&gt;0,IF(סקר!K216=0,1,IF(סקר!K216=0,1,סקר!K216)),0)</f>
        <v>0</v>
      </c>
      <c r="O148" s="152" t="e">
        <f t="shared" si="4"/>
        <v>#N/A</v>
      </c>
      <c r="P148" s="152">
        <f>IF(B148&gt;0,IF(סקר!O216 &lt;=1,1,סקר!O216),0)</f>
        <v>0</v>
      </c>
      <c r="Q148" s="152">
        <f>סקר!P216</f>
        <v>0</v>
      </c>
      <c r="R148" s="152">
        <f>סקר!R216</f>
        <v>0</v>
      </c>
      <c r="S148" s="152">
        <f>סקר!BC216</f>
        <v>0</v>
      </c>
      <c r="T148" s="156"/>
    </row>
    <row r="149" spans="1:20">
      <c r="A149" s="152" t="str">
        <f>IF(סקר!D217&lt;2,"עץ","פוליגון")</f>
        <v>עץ</v>
      </c>
      <c r="B149" s="152">
        <f>סקר!B217</f>
        <v>0</v>
      </c>
      <c r="C149" s="152">
        <f>IF(סקר!D217&lt;2,1,סקר!D217)</f>
        <v>1</v>
      </c>
      <c r="D149" s="152">
        <f>סקר!C217</f>
        <v>0</v>
      </c>
      <c r="E149" s="152" t="str">
        <f>IFERROR(VLOOKUP(F149,[1]TreeType!$A:$E,5,0),"")</f>
        <v/>
      </c>
      <c r="F149" s="153" t="str">
        <f>IFERROR(VLOOKUP(D149,[1]TreeType!$A:$B,2,0),"")</f>
        <v/>
      </c>
      <c r="G149" s="152">
        <f>IF(B149&gt;0,IF(סקר!E217=0,1,סקר!E217),0)</f>
        <v>0</v>
      </c>
      <c r="H149" s="152">
        <f>IF(B149&gt;0,IF(סקר!F217 = 0,1,סקר!F217),0)</f>
        <v>0</v>
      </c>
      <c r="I149" s="152">
        <f>סקר!G217</f>
        <v>0</v>
      </c>
      <c r="J149" s="152">
        <f>סקר!H217</f>
        <v>0</v>
      </c>
      <c r="K149" s="152" t="e">
        <f>IF(D149="","",VLOOKUP(D149,[1]TreeType!$A$2:$E$508,3,3))</f>
        <v>#N/A</v>
      </c>
      <c r="L149" s="152">
        <f>IF(D149&gt;0,IF(סקר!M217=0,1,IF(סקר!M217=0,1,סקר!M217)),0)</f>
        <v>0</v>
      </c>
      <c r="M149" s="152">
        <f>סקר!J217</f>
        <v>0</v>
      </c>
      <c r="N149" s="152">
        <f>IF(D149&gt;0,IF(סקר!K217=0,1,IF(סקר!K217=0,1,סקר!K217)),0)</f>
        <v>0</v>
      </c>
      <c r="O149" s="152" t="e">
        <f t="shared" si="4"/>
        <v>#N/A</v>
      </c>
      <c r="P149" s="152">
        <f>IF(B149&gt;0,IF(סקר!O217 &lt;=1,1,סקר!O217),0)</f>
        <v>0</v>
      </c>
      <c r="Q149" s="152">
        <f>סקר!P217</f>
        <v>0</v>
      </c>
      <c r="R149" s="152">
        <f>סקר!R217</f>
        <v>0</v>
      </c>
      <c r="S149" s="152">
        <f>סקר!BC217</f>
        <v>0</v>
      </c>
      <c r="T149" s="156"/>
    </row>
    <row r="150" spans="1:20">
      <c r="A150" s="152" t="str">
        <f>IF(סקר!D218&lt;2,"עץ","פוליגון")</f>
        <v>עץ</v>
      </c>
      <c r="B150" s="152">
        <f>סקר!B218</f>
        <v>0</v>
      </c>
      <c r="C150" s="152">
        <f>IF(סקר!D218&lt;2,1,סקר!D218)</f>
        <v>1</v>
      </c>
      <c r="D150" s="152">
        <f>סקר!C218</f>
        <v>0</v>
      </c>
      <c r="E150" s="152" t="str">
        <f>IFERROR(VLOOKUP(F150,[1]TreeType!$A:$E,5,0),"")</f>
        <v/>
      </c>
      <c r="F150" s="153" t="str">
        <f>IFERROR(VLOOKUP(D150,[1]TreeType!$A:$B,2,0),"")</f>
        <v/>
      </c>
      <c r="G150" s="152">
        <f>IF(B150&gt;0,IF(סקר!E218=0,1,סקר!E218),0)</f>
        <v>0</v>
      </c>
      <c r="H150" s="152">
        <f>IF(B150&gt;0,IF(סקר!F218 = 0,1,סקר!F218),0)</f>
        <v>0</v>
      </c>
      <c r="I150" s="152">
        <f>סקר!G218</f>
        <v>0</v>
      </c>
      <c r="J150" s="152">
        <f>סקר!H218</f>
        <v>0</v>
      </c>
      <c r="K150" s="152" t="e">
        <f>IF(D150="","",VLOOKUP(D150,[1]TreeType!$A$2:$E$508,3,3))</f>
        <v>#N/A</v>
      </c>
      <c r="L150" s="152">
        <f>IF(D150&gt;0,IF(סקר!M218=0,1,IF(סקר!M218=0,1,סקר!M218)),0)</f>
        <v>0</v>
      </c>
      <c r="M150" s="152">
        <f>סקר!J218</f>
        <v>0</v>
      </c>
      <c r="N150" s="152">
        <f>IF(D150&gt;0,IF(סקר!K218=0,1,IF(סקר!K218=0,1,סקר!K218)),0)</f>
        <v>0</v>
      </c>
      <c r="O150" s="152" t="e">
        <f t="shared" si="4"/>
        <v>#N/A</v>
      </c>
      <c r="P150" s="152">
        <f>IF(B150&gt;0,IF(סקר!O218 &lt;=1,1,סקר!O218),0)</f>
        <v>0</v>
      </c>
      <c r="Q150" s="152">
        <f>סקר!P218</f>
        <v>0</v>
      </c>
      <c r="R150" s="152">
        <f>סקר!R218</f>
        <v>0</v>
      </c>
      <c r="S150" s="152">
        <f>סקר!BC218</f>
        <v>0</v>
      </c>
      <c r="T150" s="156"/>
    </row>
    <row r="151" spans="1:20">
      <c r="A151" s="152" t="str">
        <f>IF(סקר!D219&lt;2,"עץ","פוליגון")</f>
        <v>עץ</v>
      </c>
      <c r="B151" s="152">
        <f>סקר!B219</f>
        <v>0</v>
      </c>
      <c r="C151" s="152">
        <f>IF(סקר!D219&lt;2,1,סקר!D219)</f>
        <v>1</v>
      </c>
      <c r="D151" s="152">
        <f>סקר!C219</f>
        <v>0</v>
      </c>
      <c r="E151" s="152" t="str">
        <f>IFERROR(VLOOKUP(F151,[1]TreeType!$A:$E,5,0),"")</f>
        <v/>
      </c>
      <c r="F151" s="153" t="str">
        <f>IFERROR(VLOOKUP(D151,[1]TreeType!$A:$B,2,0),"")</f>
        <v/>
      </c>
      <c r="G151" s="152">
        <f>IF(B151&gt;0,IF(סקר!E219=0,1,סקר!E219),0)</f>
        <v>0</v>
      </c>
      <c r="H151" s="152">
        <f>IF(B151&gt;0,IF(סקר!F219 = 0,1,סקר!F219),0)</f>
        <v>0</v>
      </c>
      <c r="I151" s="152">
        <f>סקר!G219</f>
        <v>0</v>
      </c>
      <c r="J151" s="152">
        <f>סקר!H219</f>
        <v>0</v>
      </c>
      <c r="K151" s="152" t="e">
        <f>IF(D151="","",VLOOKUP(D151,[1]TreeType!$A$2:$E$508,3,3))</f>
        <v>#N/A</v>
      </c>
      <c r="L151" s="152">
        <f>IF(D151&gt;0,IF(סקר!M219=0,1,IF(סקר!M219=0,1,סקר!M219)),0)</f>
        <v>0</v>
      </c>
      <c r="M151" s="152">
        <f>סקר!J219</f>
        <v>0</v>
      </c>
      <c r="N151" s="152">
        <f>IF(D151&gt;0,IF(סקר!K219=0,1,IF(סקר!K219=0,1,סקר!K219)),0)</f>
        <v>0</v>
      </c>
      <c r="O151" s="152" t="e">
        <f t="shared" si="4"/>
        <v>#N/A</v>
      </c>
      <c r="P151" s="152">
        <f>IF(B151&gt;0,IF(סקר!O219 &lt;=1,1,סקר!O219),0)</f>
        <v>0</v>
      </c>
      <c r="Q151" s="152">
        <f>סקר!P219</f>
        <v>0</v>
      </c>
      <c r="R151" s="152">
        <f>סקר!R219</f>
        <v>0</v>
      </c>
      <c r="S151" s="152">
        <f>סקר!BC219</f>
        <v>0</v>
      </c>
      <c r="T151" s="156"/>
    </row>
    <row r="152" spans="1:20">
      <c r="A152" s="152" t="str">
        <f>IF(סקר!D220&lt;2,"עץ","פוליגון")</f>
        <v>עץ</v>
      </c>
      <c r="B152" s="152">
        <f>סקר!B220</f>
        <v>0</v>
      </c>
      <c r="C152" s="152">
        <f>IF(סקר!D220&lt;2,1,סקר!D220)</f>
        <v>1</v>
      </c>
      <c r="D152" s="152">
        <f>סקר!C220</f>
        <v>0</v>
      </c>
      <c r="E152" s="152" t="str">
        <f>IFERROR(VLOOKUP(F152,[1]TreeType!$A:$E,5,0),"")</f>
        <v/>
      </c>
      <c r="F152" s="153" t="str">
        <f>IFERROR(VLOOKUP(D152,[1]TreeType!$A:$B,2,0),"")</f>
        <v/>
      </c>
      <c r="G152" s="152">
        <f>IF(B152&gt;0,IF(סקר!E220=0,1,סקר!E220),0)</f>
        <v>0</v>
      </c>
      <c r="H152" s="152">
        <f>IF(B152&gt;0,IF(סקר!F220 = 0,1,סקר!F220),0)</f>
        <v>0</v>
      </c>
      <c r="I152" s="152">
        <f>סקר!G220</f>
        <v>0</v>
      </c>
      <c r="J152" s="152">
        <f>סקר!H220</f>
        <v>0</v>
      </c>
      <c r="K152" s="152" t="e">
        <f>IF(D152="","",VLOOKUP(D152,[1]TreeType!$A$2:$E$508,3,3))</f>
        <v>#N/A</v>
      </c>
      <c r="L152" s="152">
        <f>IF(D152&gt;0,IF(סקר!M220=0,1,IF(סקר!M220=0,1,סקר!M220)),0)</f>
        <v>0</v>
      </c>
      <c r="M152" s="152">
        <f>סקר!J220</f>
        <v>0</v>
      </c>
      <c r="N152" s="152">
        <f>IF(D152&gt;0,IF(סקר!K220=0,1,IF(סקר!K220=0,1,סקר!K220)),0)</f>
        <v>0</v>
      </c>
      <c r="O152" s="152" t="e">
        <f t="shared" si="4"/>
        <v>#N/A</v>
      </c>
      <c r="P152" s="152">
        <f>IF(B152&gt;0,IF(סקר!O220 &lt;=1,1,סקר!O220),0)</f>
        <v>0</v>
      </c>
      <c r="Q152" s="152">
        <f>סקר!P220</f>
        <v>0</v>
      </c>
      <c r="R152" s="152">
        <f>סקר!R220</f>
        <v>0</v>
      </c>
      <c r="S152" s="152">
        <f>סקר!BC220</f>
        <v>0</v>
      </c>
      <c r="T152" s="156"/>
    </row>
    <row r="153" spans="1:20">
      <c r="A153" s="152" t="str">
        <f>IF(סקר!D221&lt;2,"עץ","פוליגון")</f>
        <v>עץ</v>
      </c>
      <c r="B153" s="152">
        <f>סקר!B221</f>
        <v>0</v>
      </c>
      <c r="C153" s="152">
        <f>IF(סקר!D221&lt;2,1,סקר!D221)</f>
        <v>1</v>
      </c>
      <c r="D153" s="152">
        <f>סקר!C221</f>
        <v>0</v>
      </c>
      <c r="E153" s="152" t="str">
        <f>IFERROR(VLOOKUP(F153,[1]TreeType!$A:$E,5,0),"")</f>
        <v/>
      </c>
      <c r="F153" s="153" t="str">
        <f>IFERROR(VLOOKUP(D153,[1]TreeType!$A:$B,2,0),"")</f>
        <v/>
      </c>
      <c r="G153" s="152">
        <f>IF(B153&gt;0,IF(סקר!E221=0,1,סקר!E221),0)</f>
        <v>0</v>
      </c>
      <c r="H153" s="152">
        <f>IF(B153&gt;0,IF(סקר!F221 = 0,1,סקר!F221),0)</f>
        <v>0</v>
      </c>
      <c r="I153" s="152">
        <f>סקר!G221</f>
        <v>0</v>
      </c>
      <c r="J153" s="152">
        <f>סקר!H221</f>
        <v>0</v>
      </c>
      <c r="K153" s="152" t="e">
        <f>IF(D153="","",VLOOKUP(D153,[1]TreeType!$A$2:$E$508,3,3))</f>
        <v>#N/A</v>
      </c>
      <c r="L153" s="152">
        <f>IF(D153&gt;0,IF(סקר!M221=0,1,IF(סקר!M221=0,1,סקר!M221)),0)</f>
        <v>0</v>
      </c>
      <c r="M153" s="152">
        <f>סקר!J221</f>
        <v>0</v>
      </c>
      <c r="N153" s="152">
        <f>IF(D153&gt;0,IF(סקר!K221=0,1,IF(סקר!K221=0,1,סקר!K221)),0)</f>
        <v>0</v>
      </c>
      <c r="O153" s="152" t="e">
        <f t="shared" si="4"/>
        <v>#N/A</v>
      </c>
      <c r="P153" s="152">
        <f>IF(B153&gt;0,IF(סקר!O221 &lt;=1,1,סקר!O221),0)</f>
        <v>0</v>
      </c>
      <c r="Q153" s="152">
        <f>סקר!P221</f>
        <v>0</v>
      </c>
      <c r="R153" s="152">
        <f>סקר!R221</f>
        <v>0</v>
      </c>
      <c r="S153" s="152">
        <f>סקר!BC221</f>
        <v>0</v>
      </c>
      <c r="T153" s="156"/>
    </row>
    <row r="154" spans="1:20">
      <c r="A154" s="152" t="str">
        <f>IF(סקר!D222&lt;2,"עץ","פוליגון")</f>
        <v>עץ</v>
      </c>
      <c r="B154" s="152">
        <f>סקר!B222</f>
        <v>0</v>
      </c>
      <c r="C154" s="152">
        <f>IF(סקר!D222&lt;2,1,סקר!D222)</f>
        <v>1</v>
      </c>
      <c r="D154" s="152">
        <f>סקר!C222</f>
        <v>0</v>
      </c>
      <c r="E154" s="152" t="str">
        <f>IFERROR(VLOOKUP(F154,[1]TreeType!$A:$E,5,0),"")</f>
        <v/>
      </c>
      <c r="F154" s="153" t="str">
        <f>IFERROR(VLOOKUP(D154,[1]TreeType!$A:$B,2,0),"")</f>
        <v/>
      </c>
      <c r="G154" s="152">
        <f>IF(B154&gt;0,IF(סקר!E222=0,1,סקר!E222),0)</f>
        <v>0</v>
      </c>
      <c r="H154" s="152">
        <f>IF(B154&gt;0,IF(סקר!F222 = 0,1,סקר!F222),0)</f>
        <v>0</v>
      </c>
      <c r="I154" s="152">
        <f>סקר!G222</f>
        <v>0</v>
      </c>
      <c r="J154" s="152">
        <f>סקר!H222</f>
        <v>0</v>
      </c>
      <c r="K154" s="152" t="e">
        <f>IF(D154="","",VLOOKUP(D154,[1]TreeType!$A$2:$E$508,3,3))</f>
        <v>#N/A</v>
      </c>
      <c r="L154" s="152">
        <f>IF(D154&gt;0,IF(סקר!M222=0,1,IF(סקר!M222=0,1,סקר!M222)),0)</f>
        <v>0</v>
      </c>
      <c r="M154" s="152">
        <f>סקר!J222</f>
        <v>0</v>
      </c>
      <c r="N154" s="152">
        <f>IF(D154&gt;0,IF(סקר!K222=0,1,IF(סקר!K222=0,1,סקר!K222)),0)</f>
        <v>0</v>
      </c>
      <c r="O154" s="152" t="e">
        <f t="shared" si="4"/>
        <v>#N/A</v>
      </c>
      <c r="P154" s="152">
        <f>IF(B154&gt;0,IF(סקר!O222 &lt;=1,1,סקר!O222),0)</f>
        <v>0</v>
      </c>
      <c r="Q154" s="152">
        <f>סקר!P222</f>
        <v>0</v>
      </c>
      <c r="R154" s="152">
        <f>סקר!R222</f>
        <v>0</v>
      </c>
      <c r="S154" s="152">
        <f>סקר!BC222</f>
        <v>0</v>
      </c>
      <c r="T154" s="156"/>
    </row>
    <row r="155" spans="1:20">
      <c r="A155" s="152" t="str">
        <f>IF(סקר!D237&lt;2,"עץ","פוליגון")</f>
        <v>עץ</v>
      </c>
      <c r="B155" s="152">
        <f>סקר!B237</f>
        <v>0</v>
      </c>
      <c r="C155" s="152">
        <f>IF(סקר!D237&lt;2,1,סקר!D237)</f>
        <v>1</v>
      </c>
      <c r="D155" s="152">
        <f>סקר!C237</f>
        <v>0</v>
      </c>
      <c r="E155" s="152" t="str">
        <f>IFERROR(VLOOKUP(F155,[1]TreeType!$A:$E,5,0),"")</f>
        <v/>
      </c>
      <c r="F155" s="153" t="str">
        <f>IFERROR(VLOOKUP(D155,[1]TreeType!$A:$B,2,0),"")</f>
        <v/>
      </c>
      <c r="G155" s="72">
        <f>IF(B155&gt;0,IF(סקר!E238=0,1,סקר!E238),0)</f>
        <v>0</v>
      </c>
      <c r="H155" s="72">
        <f>IF(B155&gt;0,IF(סקר!F237 = 0,1,סקר!F237),0)</f>
        <v>0</v>
      </c>
      <c r="I155" s="152">
        <f>סקר!G237</f>
        <v>0</v>
      </c>
      <c r="J155" s="152">
        <f>סקר!H237</f>
        <v>0</v>
      </c>
      <c r="K155" s="152" t="e">
        <f>IF(D155="","",VLOOKUP(D155,[1]TreeType!$A$2:$E$508,3,3))</f>
        <v>#N/A</v>
      </c>
      <c r="L155" s="152">
        <f>IF(D155&gt;0,IF(סקר!M237=0,1,IF(סקר!M237=0,1,סקר!M237)),0)</f>
        <v>0</v>
      </c>
      <c r="M155" s="152">
        <f>סקר!J237</f>
        <v>0</v>
      </c>
      <c r="N155" s="152">
        <f>IF(D155&gt;0,IF(סקר!K237=0,1,IF(סקר!K237=0,1,סקר!K237)),0)</f>
        <v>0</v>
      </c>
      <c r="O155" s="152" t="e">
        <f t="shared" si="4"/>
        <v>#N/A</v>
      </c>
      <c r="P155" s="152">
        <f>IF(B155&gt;0,IF(סקר!O237 &lt;=1,1,סקר!O237),0)</f>
        <v>0</v>
      </c>
      <c r="Q155" s="152">
        <f>סקר!P237</f>
        <v>0</v>
      </c>
      <c r="R155" s="152">
        <f>סקר!R237</f>
        <v>0</v>
      </c>
      <c r="S155" s="152">
        <f>סקר!BC237</f>
        <v>0</v>
      </c>
      <c r="T155" s="156"/>
    </row>
    <row r="156" spans="1:20">
      <c r="A156" s="152" t="str">
        <f>IF(סקר!D238&lt;2,"עץ","פוליגון")</f>
        <v>עץ</v>
      </c>
      <c r="B156" s="152">
        <f>סקר!B238</f>
        <v>0</v>
      </c>
      <c r="C156" s="152">
        <f>IF(סקר!D238&lt;2,1,סקר!D238)</f>
        <v>1</v>
      </c>
      <c r="D156" s="152">
        <f>סקר!C238</f>
        <v>0</v>
      </c>
      <c r="E156" s="152" t="str">
        <f>IFERROR(VLOOKUP(F156,[1]TreeType!$A:$E,5,0),"")</f>
        <v/>
      </c>
      <c r="F156" s="153" t="str">
        <f>IFERROR(VLOOKUP(D156,[1]TreeType!$A:$B,2,0),"")</f>
        <v/>
      </c>
      <c r="G156" s="72">
        <f>IF(B156&gt;0,IF(סקר!E238=0,1,סקר!E238),0)</f>
        <v>0</v>
      </c>
      <c r="H156" s="72">
        <f>IF(B156&gt;0,IF(סקר!F238 = 0,1,סקר!F238),0)</f>
        <v>0</v>
      </c>
      <c r="I156" s="152">
        <f>סקר!G238</f>
        <v>0</v>
      </c>
      <c r="J156" s="152">
        <f>סקר!H238</f>
        <v>0</v>
      </c>
      <c r="K156" s="152" t="e">
        <f>IF(D156="","",VLOOKUP(D156,[1]TreeType!$A$2:$E$508,3,3))</f>
        <v>#N/A</v>
      </c>
      <c r="L156" s="152">
        <f>IF(D156&gt;0,IF(סקר!M238=0,1,IF(סקר!M238=0,1,סקר!M238)),0)</f>
        <v>0</v>
      </c>
      <c r="M156" s="152">
        <f>סקר!J238</f>
        <v>0</v>
      </c>
      <c r="N156" s="152">
        <f>IF(D156&gt;0,IF(סקר!K238=0,1,IF(סקר!K238=0,1,סקר!K238)),0)</f>
        <v>0</v>
      </c>
      <c r="O156" s="152" t="e">
        <f t="shared" si="4"/>
        <v>#N/A</v>
      </c>
      <c r="P156" s="152">
        <f>IF(B156&gt;0,IF(סקר!O238 &lt;=1,1,סקר!O238),0)</f>
        <v>0</v>
      </c>
      <c r="Q156" s="152">
        <f>סקר!P238</f>
        <v>0</v>
      </c>
      <c r="R156" s="152">
        <f>סקר!R238</f>
        <v>0</v>
      </c>
      <c r="S156" s="152">
        <f>סקר!BC238</f>
        <v>0</v>
      </c>
      <c r="T156" s="156"/>
    </row>
    <row r="157" spans="1:20">
      <c r="A157" s="152" t="str">
        <f>IF(סקר!D239&lt;2,"עץ","פוליגון")</f>
        <v>עץ</v>
      </c>
      <c r="B157" s="152">
        <f>סקר!B239</f>
        <v>0</v>
      </c>
      <c r="C157" s="152">
        <f>IF(סקר!D239&lt;2,1,סקר!D239)</f>
        <v>1</v>
      </c>
      <c r="D157" s="152">
        <f>סקר!C239</f>
        <v>0</v>
      </c>
      <c r="E157" s="152" t="str">
        <f>IFERROR(VLOOKUP(F157,[1]TreeType!$A:$E,5,0),"")</f>
        <v/>
      </c>
      <c r="F157" s="153" t="str">
        <f>IFERROR(VLOOKUP(D157,[1]TreeType!$A:$B,2,0),"")</f>
        <v/>
      </c>
      <c r="G157" s="72">
        <f>IF(B157&gt;0,IF(סקר!E239=0,1,סקר!E239),0)</f>
        <v>0</v>
      </c>
      <c r="H157" s="72">
        <f>IF(B157&gt;0,IF(סקר!F239 = 0,1,סקר!F239),0)</f>
        <v>0</v>
      </c>
      <c r="I157" s="152">
        <f>סקר!G239</f>
        <v>0</v>
      </c>
      <c r="J157" s="152">
        <f>סקר!H239</f>
        <v>0</v>
      </c>
      <c r="K157" s="152" t="e">
        <f>IF(D157="","",VLOOKUP(D157,[1]TreeType!$A$2:$E$508,3,3))</f>
        <v>#N/A</v>
      </c>
      <c r="L157" s="152">
        <f>IF(D157&gt;0,IF(סקר!M239=0,1,IF(סקר!M239=0,1,סקר!M239)),0)</f>
        <v>0</v>
      </c>
      <c r="M157" s="152">
        <f>סקר!J239</f>
        <v>0</v>
      </c>
      <c r="N157" s="152">
        <f>IF(D157&gt;0,IF(סקר!K239=0,1,IF(סקר!K239=0,1,סקר!K239)),0)</f>
        <v>0</v>
      </c>
      <c r="O157" s="152" t="e">
        <f t="shared" si="4"/>
        <v>#N/A</v>
      </c>
      <c r="P157" s="152">
        <f>IF(B157&gt;0,IF(סקר!O239 &lt;=1,1,סקר!O239),0)</f>
        <v>0</v>
      </c>
      <c r="Q157" s="152">
        <f>סקר!P239</f>
        <v>0</v>
      </c>
      <c r="R157" s="152">
        <f>סקר!R239</f>
        <v>0</v>
      </c>
      <c r="S157" s="152">
        <f>סקר!BC239</f>
        <v>0</v>
      </c>
      <c r="T157" s="156"/>
    </row>
    <row r="158" spans="1:20">
      <c r="A158" s="152" t="str">
        <f>IF(סקר!D240&lt;2,"עץ","פוליגון")</f>
        <v>עץ</v>
      </c>
      <c r="B158" s="152">
        <f>סקר!B240</f>
        <v>0</v>
      </c>
      <c r="C158" s="152">
        <f>IF(סקר!D240&lt;2,1,סקר!D240)</f>
        <v>1</v>
      </c>
      <c r="D158" s="152">
        <f>סקר!C240</f>
        <v>0</v>
      </c>
      <c r="E158" s="152" t="str">
        <f>IFERROR(VLOOKUP(F158,[1]TreeType!$A:$E,5,0),"")</f>
        <v/>
      </c>
      <c r="F158" s="153" t="str">
        <f>IFERROR(VLOOKUP(D158,[1]TreeType!$A:$B,2,0),"")</f>
        <v/>
      </c>
      <c r="G158" s="72">
        <f>IF(B158&gt;0,IF(סקר!E240=0,1,סקר!E240),0)</f>
        <v>0</v>
      </c>
      <c r="H158" s="72">
        <f>IF(B158&gt;0,IF(סקר!F240 = 0,1,סקר!F240),0)</f>
        <v>0</v>
      </c>
      <c r="I158" s="152">
        <f>סקר!G240</f>
        <v>0</v>
      </c>
      <c r="J158" s="152">
        <f>סקר!H240</f>
        <v>0</v>
      </c>
      <c r="K158" s="152" t="e">
        <f>IF(D158="","",VLOOKUP(D158,[1]TreeType!$A$2:$E$508,3,3))</f>
        <v>#N/A</v>
      </c>
      <c r="L158" s="152">
        <f>IF(D158&gt;0,IF(סקר!M240=0,1,IF(סקר!M240=0,1,סקר!M240)),0)</f>
        <v>0</v>
      </c>
      <c r="M158" s="152">
        <f>סקר!J240</f>
        <v>0</v>
      </c>
      <c r="N158" s="152">
        <f>IF(D158&gt;0,IF(סקר!K240=0,1,IF(סקר!K240=0,1,סקר!K240)),0)</f>
        <v>0</v>
      </c>
      <c r="O158" s="152" t="e">
        <f t="shared" si="4"/>
        <v>#N/A</v>
      </c>
      <c r="P158" s="152">
        <f>IF(B158&gt;0,IF(סקר!O240 &lt;=1,1,סקר!O240),0)</f>
        <v>0</v>
      </c>
      <c r="Q158" s="152">
        <f>סקר!P240</f>
        <v>0</v>
      </c>
      <c r="R158" s="152">
        <f>סקר!R240</f>
        <v>0</v>
      </c>
      <c r="S158" s="152">
        <f>סקר!BC240</f>
        <v>0</v>
      </c>
      <c r="T158" s="156"/>
    </row>
    <row r="159" spans="1:20">
      <c r="A159" s="152" t="str">
        <f>IF(סקר!D241&lt;2,"עץ","פוליגון")</f>
        <v>עץ</v>
      </c>
      <c r="B159" s="152">
        <f>סקר!B241</f>
        <v>0</v>
      </c>
      <c r="C159" s="152">
        <f>IF(סקר!D241&lt;2,1,סקר!D241)</f>
        <v>1</v>
      </c>
      <c r="D159" s="152">
        <f>סקר!C241</f>
        <v>0</v>
      </c>
      <c r="E159" s="152" t="str">
        <f>IFERROR(VLOOKUP(F159,[1]TreeType!$A:$E,5,0),"")</f>
        <v/>
      </c>
      <c r="F159" s="153" t="str">
        <f>IFERROR(VLOOKUP(D159,[1]TreeType!$A:$B,2,0),"")</f>
        <v/>
      </c>
      <c r="G159" s="72">
        <f>IF(B159&gt;0,IF(סקר!E241=0,1,סקר!E241),0)</f>
        <v>0</v>
      </c>
      <c r="H159" s="72">
        <f>IF(B159&gt;0,IF(סקר!F241 = 0,1,סקר!F241),0)</f>
        <v>0</v>
      </c>
      <c r="I159" s="152">
        <f>סקר!G241</f>
        <v>0</v>
      </c>
      <c r="J159" s="152">
        <f>סקר!H241</f>
        <v>0</v>
      </c>
      <c r="K159" s="152" t="e">
        <f>IF(D159="","",VLOOKUP(D159,[1]TreeType!$A$2:$E$508,3,3))</f>
        <v>#N/A</v>
      </c>
      <c r="L159" s="152">
        <f>IF(D159&gt;0,IF(סקר!M241=0,1,IF(סקר!M241=0,1,סקר!M241)),0)</f>
        <v>0</v>
      </c>
      <c r="M159" s="152">
        <f>סקר!J241</f>
        <v>0</v>
      </c>
      <c r="N159" s="152">
        <f>IF(D159&gt;0,IF(סקר!K241=0,1,IF(סקר!K241=0,1,סקר!K241)),0)</f>
        <v>0</v>
      </c>
      <c r="O159" s="152" t="e">
        <f t="shared" si="4"/>
        <v>#N/A</v>
      </c>
      <c r="P159" s="152">
        <f>IF(B159&gt;0,IF(סקר!O241 &lt;=1,1,סקר!O241),0)</f>
        <v>0</v>
      </c>
      <c r="Q159" s="152">
        <f>סקר!P241</f>
        <v>0</v>
      </c>
      <c r="R159" s="152">
        <f>סקר!R241</f>
        <v>0</v>
      </c>
      <c r="S159" s="152">
        <f>סקר!BC241</f>
        <v>0</v>
      </c>
      <c r="T159" s="156"/>
    </row>
    <row r="160" spans="1:20">
      <c r="A160" s="152" t="str">
        <f>IF(סקר!D242&lt;2,"עץ","פוליגון")</f>
        <v>עץ</v>
      </c>
      <c r="B160" s="152">
        <f>סקר!B242</f>
        <v>0</v>
      </c>
      <c r="C160" s="152">
        <f>IF(סקר!D242&lt;2,1,סקר!D242)</f>
        <v>1</v>
      </c>
      <c r="D160" s="152">
        <f>סקר!C242</f>
        <v>0</v>
      </c>
      <c r="E160" s="152" t="str">
        <f>IFERROR(VLOOKUP(F160,[1]TreeType!$A:$E,5,0),"")</f>
        <v/>
      </c>
      <c r="F160" s="153" t="str">
        <f>IFERROR(VLOOKUP(D160,[1]TreeType!$A:$B,2,0),"")</f>
        <v/>
      </c>
      <c r="G160" s="72">
        <f>IF(B160&gt;0,IF(סקר!E242=0,1,סקר!E242),0)</f>
        <v>0</v>
      </c>
      <c r="H160" s="72">
        <f>IF(B160&gt;0,IF(סקר!F242 = 0,1,סקר!F242),0)</f>
        <v>0</v>
      </c>
      <c r="I160" s="152">
        <f>סקר!G242</f>
        <v>0</v>
      </c>
      <c r="J160" s="152">
        <f>סקר!H242</f>
        <v>0</v>
      </c>
      <c r="K160" s="152" t="e">
        <f>IF(D160="","",VLOOKUP(D160,[1]TreeType!$A$2:$E$508,3,3))</f>
        <v>#N/A</v>
      </c>
      <c r="L160" s="152">
        <f>IF(D160&gt;0,IF(סקר!M242=0,1,IF(סקר!M242=0,1,סקר!M242)),0)</f>
        <v>0</v>
      </c>
      <c r="M160" s="152">
        <f>סקר!J242</f>
        <v>0</v>
      </c>
      <c r="N160" s="152">
        <f>IF(D160&gt;0,IF(סקר!K242=0,1,IF(סקר!K242=0,1,סקר!K242)),0)</f>
        <v>0</v>
      </c>
      <c r="O160" s="152" t="e">
        <f t="shared" si="4"/>
        <v>#N/A</v>
      </c>
      <c r="P160" s="152">
        <f>IF(B160&gt;0,IF(סקר!O242 &lt;=1,1,סקר!O242),0)</f>
        <v>0</v>
      </c>
      <c r="Q160" s="152">
        <f>סקר!P242</f>
        <v>0</v>
      </c>
      <c r="R160" s="152">
        <f>סקר!R242</f>
        <v>0</v>
      </c>
      <c r="S160" s="152">
        <f>סקר!BC242</f>
        <v>0</v>
      </c>
      <c r="T160" s="156"/>
    </row>
    <row r="161" spans="1:20">
      <c r="A161" s="152" t="str">
        <f>IF(סקר!D243&lt;2,"עץ","פוליגון")</f>
        <v>עץ</v>
      </c>
      <c r="B161" s="152">
        <f>סקר!B243</f>
        <v>0</v>
      </c>
      <c r="C161" s="152">
        <f>IF(סקר!D243&lt;2,1,סקר!D243)</f>
        <v>1</v>
      </c>
      <c r="D161" s="152">
        <f>סקר!C243</f>
        <v>0</v>
      </c>
      <c r="E161" s="152" t="str">
        <f>IFERROR(VLOOKUP(F161,[1]TreeType!$A:$E,5,0),"")</f>
        <v/>
      </c>
      <c r="F161" s="153" t="str">
        <f>IFERROR(VLOOKUP(D161,[1]TreeType!$A:$B,2,0),"")</f>
        <v/>
      </c>
      <c r="G161" s="72">
        <f>IF(B161&gt;0,IF(סקר!E243=0,1,סקר!E243),0)</f>
        <v>0</v>
      </c>
      <c r="H161" s="72">
        <f>IF(B161&gt;0,IF(סקר!F243 = 0,1,סקר!F243),0)</f>
        <v>0</v>
      </c>
      <c r="I161" s="152">
        <f>סקר!G243</f>
        <v>0</v>
      </c>
      <c r="J161" s="152">
        <f>סקר!H243</f>
        <v>0</v>
      </c>
      <c r="K161" s="152" t="e">
        <f>IF(D161="","",VLOOKUP(D161,[1]TreeType!$A$2:$E$508,3,3))</f>
        <v>#N/A</v>
      </c>
      <c r="L161" s="152">
        <f>IF(D161&gt;0,IF(סקר!M243=0,1,IF(סקר!M243=0,1,סקר!M243)),0)</f>
        <v>0</v>
      </c>
      <c r="M161" s="152">
        <f>סקר!J243</f>
        <v>0</v>
      </c>
      <c r="N161" s="152">
        <f>IF(D161&gt;0,IF(סקר!K243=0,1,IF(סקר!K243=0,1,סקר!K243)),0)</f>
        <v>0</v>
      </c>
      <c r="O161" s="152" t="e">
        <f t="shared" si="4"/>
        <v>#N/A</v>
      </c>
      <c r="P161" s="152">
        <f>IF(B161&gt;0,IF(סקר!O243 &lt;=1,1,סקר!O243),0)</f>
        <v>0</v>
      </c>
      <c r="Q161" s="152">
        <f>סקר!P243</f>
        <v>0</v>
      </c>
      <c r="R161" s="152">
        <f>סקר!R243</f>
        <v>0</v>
      </c>
      <c r="S161" s="152">
        <f>סקר!BC243</f>
        <v>0</v>
      </c>
      <c r="T161" s="156"/>
    </row>
    <row r="162" spans="1:20">
      <c r="A162" s="152" t="str">
        <f>IF(סקר!D244&lt;2,"עץ","פוליגון")</f>
        <v>עץ</v>
      </c>
      <c r="B162" s="152">
        <f>סקר!B244</f>
        <v>0</v>
      </c>
      <c r="C162" s="152">
        <f>IF(סקר!D244&lt;2,1,סקר!D244)</f>
        <v>1</v>
      </c>
      <c r="D162" s="152">
        <f>סקר!C244</f>
        <v>0</v>
      </c>
      <c r="E162" s="152" t="str">
        <f>IFERROR(VLOOKUP(F162,[1]TreeType!$A:$E,5,0),"")</f>
        <v/>
      </c>
      <c r="F162" s="153" t="str">
        <f>IFERROR(VLOOKUP(D162,[1]TreeType!$A:$B,2,0),"")</f>
        <v/>
      </c>
      <c r="G162" s="72">
        <f>IF(B162&gt;0,IF(סקר!E244=0,1,סקר!E244),0)</f>
        <v>0</v>
      </c>
      <c r="H162" s="72">
        <f>IF(B162&gt;0,IF(סקר!F244 = 0,1,סקר!F244),0)</f>
        <v>0</v>
      </c>
      <c r="I162" s="152">
        <f>סקר!G244</f>
        <v>0</v>
      </c>
      <c r="J162" s="152">
        <f>סקר!H244</f>
        <v>0</v>
      </c>
      <c r="K162" s="152" t="e">
        <f>IF(D162="","",VLOOKUP(D162,[1]TreeType!$A$2:$E$508,3,3))</f>
        <v>#N/A</v>
      </c>
      <c r="L162" s="152">
        <f>IF(D162&gt;0,IF(סקר!M244=0,1,IF(סקר!M244=0,1,סקר!M244)),0)</f>
        <v>0</v>
      </c>
      <c r="M162" s="152">
        <f>סקר!J244</f>
        <v>0</v>
      </c>
      <c r="N162" s="152">
        <f>IF(D162&gt;0,IF(סקר!K244=0,1,IF(סקר!K244=0,1,סקר!K244)),0)</f>
        <v>0</v>
      </c>
      <c r="O162" s="152" t="e">
        <f t="shared" si="4"/>
        <v>#N/A</v>
      </c>
      <c r="P162" s="152">
        <f>IF(B162&gt;0,IF(סקר!O244 &lt;=1,1,סקר!O244),0)</f>
        <v>0</v>
      </c>
      <c r="Q162" s="152">
        <f>סקר!P244</f>
        <v>0</v>
      </c>
      <c r="R162" s="152">
        <f>סקר!R244</f>
        <v>0</v>
      </c>
      <c r="S162" s="152">
        <f>סקר!BC244</f>
        <v>0</v>
      </c>
      <c r="T162" s="156"/>
    </row>
    <row r="163" spans="1:20">
      <c r="A163" s="152" t="str">
        <f>IF(סקר!D245&lt;2,"עץ","פוליגון")</f>
        <v>עץ</v>
      </c>
      <c r="B163" s="152">
        <f>סקר!B245</f>
        <v>0</v>
      </c>
      <c r="C163" s="152">
        <f>IF(סקר!D245&lt;2,1,סקר!D245)</f>
        <v>1</v>
      </c>
      <c r="D163" s="152">
        <f>סקר!C245</f>
        <v>0</v>
      </c>
      <c r="E163" s="152" t="str">
        <f>IFERROR(VLOOKUP(F163,[1]TreeType!$A:$E,5,0),"")</f>
        <v/>
      </c>
      <c r="F163" s="153" t="str">
        <f>IFERROR(VLOOKUP(D163,[1]TreeType!$A:$B,2,0),"")</f>
        <v/>
      </c>
      <c r="G163" s="72">
        <f>IF(B163&gt;0,IF(סקר!E245=0,1,סקר!E245),0)</f>
        <v>0</v>
      </c>
      <c r="H163" s="72">
        <f>IF(B163&gt;0,IF(סקר!F245 = 0,1,סקר!F245),0)</f>
        <v>0</v>
      </c>
      <c r="I163" s="152">
        <f>סקר!G245</f>
        <v>0</v>
      </c>
      <c r="J163" s="152">
        <f>סקר!H245</f>
        <v>0</v>
      </c>
      <c r="K163" s="152" t="e">
        <f>IF(D163="","",VLOOKUP(D163,[1]TreeType!$A$2:$E$508,3,3))</f>
        <v>#N/A</v>
      </c>
      <c r="L163" s="152">
        <f>IF(D163&gt;0,IF(סקר!M245=0,1,IF(סקר!M245=0,1,סקר!M245)),0)</f>
        <v>0</v>
      </c>
      <c r="M163" s="152">
        <f>סקר!J245</f>
        <v>0</v>
      </c>
      <c r="N163" s="152">
        <f>IF(D163&gt;0,IF(סקר!K245=0,1,IF(סקר!K245=0,1,סקר!K245)),0)</f>
        <v>0</v>
      </c>
      <c r="O163" s="152" t="e">
        <f t="shared" si="4"/>
        <v>#N/A</v>
      </c>
      <c r="P163" s="152">
        <f>IF(B163&gt;0,IF(סקר!O245 &lt;=1,1,סקר!O245),0)</f>
        <v>0</v>
      </c>
      <c r="Q163" s="152">
        <f>סקר!P245</f>
        <v>0</v>
      </c>
      <c r="R163" s="152">
        <f>סקר!R245</f>
        <v>0</v>
      </c>
      <c r="S163" s="152">
        <f>סקר!BC245</f>
        <v>0</v>
      </c>
      <c r="T163" s="156"/>
    </row>
    <row r="164" spans="1:20">
      <c r="A164" s="152" t="str">
        <f>IF(סקר!D246&lt;2,"עץ","פוליגון")</f>
        <v>עץ</v>
      </c>
      <c r="B164" s="152">
        <f>סקר!B246</f>
        <v>0</v>
      </c>
      <c r="C164" s="152">
        <f>IF(סקר!D246&lt;2,1,סקר!D246)</f>
        <v>1</v>
      </c>
      <c r="D164" s="152">
        <f>סקר!C246</f>
        <v>0</v>
      </c>
      <c r="E164" s="152" t="str">
        <f>IFERROR(VLOOKUP(F164,[1]TreeType!$A:$E,5,0),"")</f>
        <v/>
      </c>
      <c r="F164" s="153" t="str">
        <f>IFERROR(VLOOKUP(D164,[1]TreeType!$A:$B,2,0),"")</f>
        <v/>
      </c>
      <c r="G164" s="72">
        <f>IF(B164&gt;0,IF(סקר!E246=0,1,סקר!E246),0)</f>
        <v>0</v>
      </c>
      <c r="H164" s="72">
        <f>IF(B164&gt;0,IF(סקר!F246 = 0,1,סקר!F246),0)</f>
        <v>0</v>
      </c>
      <c r="I164" s="152">
        <f>סקר!G246</f>
        <v>0</v>
      </c>
      <c r="J164" s="152">
        <f>סקר!H246</f>
        <v>0</v>
      </c>
      <c r="K164" s="152" t="e">
        <f>IF(D164="","",VLOOKUP(D164,[1]TreeType!$A$2:$E$508,3,3))</f>
        <v>#N/A</v>
      </c>
      <c r="L164" s="152">
        <f>IF(D164&gt;0,IF(סקר!M246=0,1,IF(סקר!M246=0,1,סקר!M246)),0)</f>
        <v>0</v>
      </c>
      <c r="M164" s="152">
        <f>סקר!J246</f>
        <v>0</v>
      </c>
      <c r="N164" s="152">
        <f>IF(D164&gt;0,IF(סקר!K246=0,1,IF(סקר!K246=0,1,סקר!K246)),0)</f>
        <v>0</v>
      </c>
      <c r="O164" s="152" t="e">
        <f t="shared" si="4"/>
        <v>#N/A</v>
      </c>
      <c r="P164" s="152">
        <f>IF(B164&gt;0,IF(סקר!O246 &lt;=1,1,סקר!O246),0)</f>
        <v>0</v>
      </c>
      <c r="Q164" s="152">
        <f>סקר!P246</f>
        <v>0</v>
      </c>
      <c r="R164" s="152">
        <f>סקר!R246</f>
        <v>0</v>
      </c>
      <c r="S164" s="152">
        <f>סקר!BC246</f>
        <v>0</v>
      </c>
      <c r="T164" s="156"/>
    </row>
    <row r="165" spans="1:20">
      <c r="A165" s="152" t="str">
        <f>IF(סקר!D247&lt;2,"עץ","פוליגון")</f>
        <v>עץ</v>
      </c>
      <c r="B165" s="152">
        <f>סקר!B247</f>
        <v>0</v>
      </c>
      <c r="C165" s="152">
        <f>IF(סקר!D247&lt;2,1,סקר!D247)</f>
        <v>1</v>
      </c>
      <c r="D165" s="152">
        <f>סקר!C247</f>
        <v>0</v>
      </c>
      <c r="E165" s="152" t="str">
        <f>IFERROR(VLOOKUP(F165,[1]TreeType!$A:$E,5,0),"")</f>
        <v/>
      </c>
      <c r="F165" s="153" t="str">
        <f>IFERROR(VLOOKUP(D165,[1]TreeType!$A:$B,2,0),"")</f>
        <v/>
      </c>
      <c r="G165" s="72">
        <f>IF(B165&gt;0,IF(סקר!E247=0,1,סקר!E247),0)</f>
        <v>0</v>
      </c>
      <c r="H165" s="72">
        <f>IF(B165&gt;0,IF(סקר!F247 = 0,1,סקר!F247),0)</f>
        <v>0</v>
      </c>
      <c r="I165" s="152">
        <f>סקר!G247</f>
        <v>0</v>
      </c>
      <c r="J165" s="152">
        <f>סקר!H247</f>
        <v>0</v>
      </c>
      <c r="K165" s="152" t="e">
        <f>IF(D165="","",VLOOKUP(D165,[1]TreeType!$A$2:$E$508,3,3))</f>
        <v>#N/A</v>
      </c>
      <c r="L165" s="152">
        <f>IF(D165&gt;0,IF(סקר!M247=0,1,IF(סקר!M247=0,1,סקר!M247)),0)</f>
        <v>0</v>
      </c>
      <c r="M165" s="152">
        <f>סקר!J247</f>
        <v>0</v>
      </c>
      <c r="N165" s="152">
        <f>IF(D165&gt;0,IF(סקר!K247=0,1,IF(סקר!K247=0,1,סקר!K247)),0)</f>
        <v>0</v>
      </c>
      <c r="O165" s="152" t="e">
        <f t="shared" si="4"/>
        <v>#N/A</v>
      </c>
      <c r="P165" s="152">
        <f>IF(B165&gt;0,IF(סקר!O247 &lt;=1,1,סקר!O247),0)</f>
        <v>0</v>
      </c>
      <c r="Q165" s="152">
        <f>סקר!P247</f>
        <v>0</v>
      </c>
      <c r="R165" s="152">
        <f>סקר!R247</f>
        <v>0</v>
      </c>
      <c r="S165" s="152">
        <f>סקר!BC247</f>
        <v>0</v>
      </c>
      <c r="T165" s="156"/>
    </row>
    <row r="166" spans="1:20">
      <c r="A166" s="152" t="str">
        <f>IF(סקר!D248&lt;2,"עץ","פוליגון")</f>
        <v>עץ</v>
      </c>
      <c r="B166" s="152">
        <f>סקר!B248</f>
        <v>0</v>
      </c>
      <c r="C166" s="152">
        <f>IF(סקר!D248&lt;2,1,סקר!D248)</f>
        <v>1</v>
      </c>
      <c r="D166" s="152">
        <f>סקר!C248</f>
        <v>0</v>
      </c>
      <c r="E166" s="152" t="str">
        <f>IFERROR(VLOOKUP(F166,[1]TreeType!$A:$E,5,0),"")</f>
        <v/>
      </c>
      <c r="F166" s="153" t="str">
        <f>IFERROR(VLOOKUP(D166,[1]TreeType!$A:$B,2,0),"")</f>
        <v/>
      </c>
      <c r="G166" s="72">
        <f>IF(B166&gt;0,IF(סקר!E248=0,1,סקר!E248),0)</f>
        <v>0</v>
      </c>
      <c r="H166" s="72">
        <f>IF(B166&gt;0,IF(סקר!F248 = 0,1,סקר!F248),0)</f>
        <v>0</v>
      </c>
      <c r="I166" s="152">
        <f>סקר!G248</f>
        <v>0</v>
      </c>
      <c r="J166" s="152">
        <f>סקר!H248</f>
        <v>0</v>
      </c>
      <c r="K166" s="152" t="e">
        <f>IF(D166="","",VLOOKUP(D166,[1]TreeType!$A$2:$E$508,3,3))</f>
        <v>#N/A</v>
      </c>
      <c r="L166" s="152">
        <f>IF(D166&gt;0,IF(סקר!M248=0,1,IF(סקר!M248=0,1,סקר!M248)),0)</f>
        <v>0</v>
      </c>
      <c r="M166" s="152">
        <f>סקר!J248</f>
        <v>0</v>
      </c>
      <c r="N166" s="152">
        <f>IF(D166&gt;0,IF(סקר!K248=0,1,IF(סקר!K248=0,1,סקר!K248)),0)</f>
        <v>0</v>
      </c>
      <c r="O166" s="152" t="e">
        <f t="shared" si="4"/>
        <v>#N/A</v>
      </c>
      <c r="P166" s="152">
        <f>IF(B166&gt;0,IF(סקר!O248 &lt;=1,1,סקר!O248),0)</f>
        <v>0</v>
      </c>
      <c r="Q166" s="152">
        <f>סקר!P248</f>
        <v>0</v>
      </c>
      <c r="R166" s="152">
        <f>סקר!R248</f>
        <v>0</v>
      </c>
      <c r="S166" s="152">
        <f>סקר!BC248</f>
        <v>0</v>
      </c>
      <c r="T166" s="156"/>
    </row>
    <row r="167" spans="1:20">
      <c r="A167" s="152" t="str">
        <f>IF(סקר!D249&lt;2,"עץ","פוליגון")</f>
        <v>עץ</v>
      </c>
      <c r="B167" s="152">
        <f>סקר!B249</f>
        <v>0</v>
      </c>
      <c r="C167" s="152">
        <f>IF(סקר!D249&lt;2,1,סקר!D249)</f>
        <v>1</v>
      </c>
      <c r="D167" s="152">
        <f>סקר!C249</f>
        <v>0</v>
      </c>
      <c r="E167" s="152" t="str">
        <f>IFERROR(VLOOKUP(F167,[1]TreeType!$A:$E,5,0),"")</f>
        <v/>
      </c>
      <c r="F167" s="153" t="str">
        <f>IFERROR(VLOOKUP(D167,[1]TreeType!$A:$B,2,0),"")</f>
        <v/>
      </c>
      <c r="G167" s="72">
        <f>IF(B167&gt;0,IF(סקר!E249=0,1,סקר!E249),0)</f>
        <v>0</v>
      </c>
      <c r="H167" s="72">
        <f>IF(B167&gt;0,IF(סקר!F249 = 0,1,סקר!F249),0)</f>
        <v>0</v>
      </c>
      <c r="I167" s="152">
        <f>סקר!G249</f>
        <v>0</v>
      </c>
      <c r="J167" s="152">
        <f>סקר!H249</f>
        <v>0</v>
      </c>
      <c r="K167" s="152" t="e">
        <f>IF(D167="","",VLOOKUP(D167,[1]TreeType!$A$2:$E$508,3,3))</f>
        <v>#N/A</v>
      </c>
      <c r="L167" s="152">
        <f>IF(D167&gt;0,IF(סקר!M249=0,1,IF(סקר!M249=0,1,סקר!M249)),0)</f>
        <v>0</v>
      </c>
      <c r="M167" s="152">
        <f>סקר!J249</f>
        <v>0</v>
      </c>
      <c r="N167" s="152">
        <f>IF(D167&gt;0,IF(סקר!K249=0,1,IF(סקר!K249=0,1,סקר!K249)),0)</f>
        <v>0</v>
      </c>
      <c r="O167" s="152" t="e">
        <f t="shared" si="4"/>
        <v>#N/A</v>
      </c>
      <c r="P167" s="152">
        <f>IF(B167&gt;0,IF(סקר!O249 &lt;=1,1,סקר!O249),0)</f>
        <v>0</v>
      </c>
      <c r="Q167" s="152">
        <f>סקר!P249</f>
        <v>0</v>
      </c>
      <c r="R167" s="152">
        <f>סקר!R249</f>
        <v>0</v>
      </c>
      <c r="S167" s="152">
        <f>סקר!BC249</f>
        <v>0</v>
      </c>
      <c r="T167" s="156"/>
    </row>
    <row r="168" spans="1:20">
      <c r="A168" s="152" t="str">
        <f>IF(סקר!D250&lt;2,"עץ","פוליגון")</f>
        <v>עץ</v>
      </c>
      <c r="B168" s="152">
        <f>סקר!B250</f>
        <v>0</v>
      </c>
      <c r="C168" s="152">
        <f>IF(סקר!D250&lt;2,1,סקר!D250)</f>
        <v>1</v>
      </c>
      <c r="D168" s="152">
        <f>סקר!C250</f>
        <v>0</v>
      </c>
      <c r="E168" s="152" t="str">
        <f>IFERROR(VLOOKUP(F168,[1]TreeType!$A:$E,5,0),"")</f>
        <v/>
      </c>
      <c r="F168" s="153" t="str">
        <f>IFERROR(VLOOKUP(D168,[1]TreeType!$A:$B,2,0),"")</f>
        <v/>
      </c>
      <c r="G168" s="72">
        <f>IF(B168&gt;0,IF(סקר!E250=0,1,סקר!E250),0)</f>
        <v>0</v>
      </c>
      <c r="H168" s="72">
        <f>IF(B168&gt;0,IF(סקר!F250 = 0,1,סקר!F250),0)</f>
        <v>0</v>
      </c>
      <c r="I168" s="152">
        <f>סקר!G250</f>
        <v>0</v>
      </c>
      <c r="J168" s="152">
        <f>סקר!H250</f>
        <v>0</v>
      </c>
      <c r="K168" s="152" t="e">
        <f>IF(D168="","",VLOOKUP(D168,[1]TreeType!$A$2:$E$508,3,3))</f>
        <v>#N/A</v>
      </c>
      <c r="L168" s="152">
        <f>IF(D168&gt;0,IF(סקר!M250=0,1,IF(סקר!M250=0,1,סקר!M250)),0)</f>
        <v>0</v>
      </c>
      <c r="M168" s="152">
        <f>סקר!J250</f>
        <v>0</v>
      </c>
      <c r="N168" s="152">
        <f>IF(D168&gt;0,IF(סקר!K250=0,1,IF(סקר!K250=0,1,סקר!K250)),0)</f>
        <v>0</v>
      </c>
      <c r="O168" s="152" t="e">
        <f t="shared" si="4"/>
        <v>#N/A</v>
      </c>
      <c r="P168" s="152">
        <f>IF(B168&gt;0,IF(סקר!O250 &lt;=1,1,סקר!O250),0)</f>
        <v>0</v>
      </c>
      <c r="Q168" s="152">
        <f>סקר!P250</f>
        <v>0</v>
      </c>
      <c r="R168" s="152">
        <f>סקר!R250</f>
        <v>0</v>
      </c>
      <c r="S168" s="152">
        <f>סקר!BC250</f>
        <v>0</v>
      </c>
      <c r="T168" s="156"/>
    </row>
    <row r="169" spans="1:20">
      <c r="A169" s="152" t="str">
        <f>IF(סקר!D251&lt;2,"עץ","פוליגון")</f>
        <v>עץ</v>
      </c>
      <c r="B169" s="152">
        <f>סקר!B251</f>
        <v>0</v>
      </c>
      <c r="C169" s="152">
        <f>IF(סקר!D251&lt;2,1,סקר!D251)</f>
        <v>1</v>
      </c>
      <c r="D169" s="152">
        <f>סקר!C251</f>
        <v>0</v>
      </c>
      <c r="E169" s="152" t="str">
        <f>IFERROR(VLOOKUP(F169,[1]TreeType!$A:$E,5,0),"")</f>
        <v/>
      </c>
      <c r="F169" s="153" t="str">
        <f>IFERROR(VLOOKUP(D169,[1]TreeType!$A:$B,2,0),"")</f>
        <v/>
      </c>
      <c r="G169" s="72">
        <f>IF(B169&gt;0,IF(סקר!E251=0,1,סקר!E251),0)</f>
        <v>0</v>
      </c>
      <c r="H169" s="72">
        <f>IF(B169&gt;0,IF(סקר!F251 = 0,1,סקר!F251),0)</f>
        <v>0</v>
      </c>
      <c r="I169" s="152">
        <f>סקר!G251</f>
        <v>0</v>
      </c>
      <c r="J169" s="152">
        <f>סקר!H251</f>
        <v>0</v>
      </c>
      <c r="K169" s="152" t="e">
        <f>IF(D169="","",VLOOKUP(D169,[1]TreeType!$A$2:$E$508,3,3))</f>
        <v>#N/A</v>
      </c>
      <c r="L169" s="152">
        <f>IF(D169&gt;0,IF(סקר!M251=0,1,IF(סקר!M251=0,1,סקר!M251)),0)</f>
        <v>0</v>
      </c>
      <c r="M169" s="152">
        <f>סקר!J251</f>
        <v>0</v>
      </c>
      <c r="N169" s="152">
        <f>IF(D169&gt;0,IF(סקר!K251=0,1,IF(סקר!K251=0,1,סקר!K251)),0)</f>
        <v>0</v>
      </c>
      <c r="O169" s="152" t="e">
        <f t="shared" si="4"/>
        <v>#N/A</v>
      </c>
      <c r="P169" s="152">
        <f>IF(B169&gt;0,IF(סקר!O251 &lt;=1,1,סקר!O251),0)</f>
        <v>0</v>
      </c>
      <c r="Q169" s="152">
        <f>סקר!P251</f>
        <v>0</v>
      </c>
      <c r="R169" s="152">
        <f>סקר!R251</f>
        <v>0</v>
      </c>
      <c r="S169" s="152">
        <f>סקר!BC251</f>
        <v>0</v>
      </c>
      <c r="T169" s="156"/>
    </row>
    <row r="170" spans="1:20">
      <c r="A170" s="152" t="str">
        <f>IF(סקר!D252&lt;2,"עץ","פוליגון")</f>
        <v>עץ</v>
      </c>
      <c r="B170" s="152">
        <f>סקר!B252</f>
        <v>0</v>
      </c>
      <c r="C170" s="152">
        <f>IF(סקר!D252&lt;2,1,סקר!D252)</f>
        <v>1</v>
      </c>
      <c r="D170" s="152">
        <f>סקר!C252</f>
        <v>0</v>
      </c>
      <c r="E170" s="152" t="str">
        <f>IFERROR(VLOOKUP(F170,[1]TreeType!$A:$E,5,0),"")</f>
        <v/>
      </c>
      <c r="F170" s="153" t="str">
        <f>IFERROR(VLOOKUP(D170,[1]TreeType!$A:$B,2,0),"")</f>
        <v/>
      </c>
      <c r="G170" s="72">
        <f>IF(B170&gt;0,IF(סקר!E252=0,1,סקר!E252),0)</f>
        <v>0</v>
      </c>
      <c r="H170" s="72">
        <f>IF(B170&gt;0,IF(סקר!F252 = 0,1,סקר!F252),0)</f>
        <v>0</v>
      </c>
      <c r="I170" s="152">
        <f>סקר!G252</f>
        <v>0</v>
      </c>
      <c r="J170" s="152">
        <f>סקר!H252</f>
        <v>0</v>
      </c>
      <c r="K170" s="152" t="e">
        <f>IF(D170="","",VLOOKUP(D170,[1]TreeType!$A$2:$E$508,3,3))</f>
        <v>#N/A</v>
      </c>
      <c r="L170" s="152">
        <f>IF(D170&gt;0,IF(סקר!M252=0,1,IF(סקר!M252=0,1,סקר!M252)),0)</f>
        <v>0</v>
      </c>
      <c r="M170" s="152">
        <f>סקר!J252</f>
        <v>0</v>
      </c>
      <c r="N170" s="152">
        <f>IF(D170&gt;0,IF(סקר!K252=0,1,IF(סקר!K252=0,1,סקר!K252)),0)</f>
        <v>0</v>
      </c>
      <c r="O170" s="152" t="e">
        <f t="shared" si="4"/>
        <v>#N/A</v>
      </c>
      <c r="P170" s="152">
        <f>IF(B170&gt;0,IF(סקר!O252 &lt;=1,1,סקר!O252),0)</f>
        <v>0</v>
      </c>
      <c r="Q170" s="152">
        <f>סקר!P252</f>
        <v>0</v>
      </c>
      <c r="R170" s="152">
        <f>סקר!R252</f>
        <v>0</v>
      </c>
      <c r="S170" s="152">
        <f>סקר!BC252</f>
        <v>0</v>
      </c>
      <c r="T170" s="156"/>
    </row>
    <row r="171" spans="1:20">
      <c r="A171" s="152" t="str">
        <f>IF(סקר!D253&lt;2,"עץ","פוליגון")</f>
        <v>עץ</v>
      </c>
      <c r="B171" s="152">
        <f>סקר!B253</f>
        <v>0</v>
      </c>
      <c r="C171" s="152">
        <f>IF(סקר!D253&lt;2,1,סקר!D253)</f>
        <v>1</v>
      </c>
      <c r="D171" s="152">
        <f>סקר!C253</f>
        <v>0</v>
      </c>
      <c r="E171" s="152" t="str">
        <f>IFERROR(VLOOKUP(F171,[1]TreeType!$A:$E,5,0),"")</f>
        <v/>
      </c>
      <c r="F171" s="153" t="str">
        <f>IFERROR(VLOOKUP(D171,[1]TreeType!$A:$B,2,0),"")</f>
        <v/>
      </c>
      <c r="G171" s="72">
        <f>IF(B171&gt;0,IF(סקר!E253=0,1,סקר!E253),0)</f>
        <v>0</v>
      </c>
      <c r="H171" s="72">
        <f>IF(B171&gt;0,IF(סקר!F253 = 0,1,סקר!F253),0)</f>
        <v>0</v>
      </c>
      <c r="I171" s="152">
        <f>סקר!G253</f>
        <v>0</v>
      </c>
      <c r="J171" s="152">
        <f>סקר!H253</f>
        <v>0</v>
      </c>
      <c r="K171" s="152" t="e">
        <f>IF(D171="","",VLOOKUP(D171,[1]TreeType!$A$2:$E$508,3,3))</f>
        <v>#N/A</v>
      </c>
      <c r="L171" s="152">
        <f>IF(D171&gt;0,IF(סקר!M253=0,1,IF(סקר!M253=0,1,סקר!M253)),0)</f>
        <v>0</v>
      </c>
      <c r="M171" s="152">
        <f>סקר!J253</f>
        <v>0</v>
      </c>
      <c r="N171" s="152">
        <f>IF(D171&gt;0,IF(סקר!K253=0,1,IF(סקר!K253=0,1,סקר!K253)),0)</f>
        <v>0</v>
      </c>
      <c r="O171" s="152" t="e">
        <f t="shared" si="4"/>
        <v>#N/A</v>
      </c>
      <c r="P171" s="152">
        <f>IF(B171&gt;0,IF(סקר!O253 &lt;=1,1,סקר!O253),0)</f>
        <v>0</v>
      </c>
      <c r="Q171" s="152">
        <f>סקר!P253</f>
        <v>0</v>
      </c>
      <c r="R171" s="152">
        <f>סקר!R253</f>
        <v>0</v>
      </c>
      <c r="S171" s="152">
        <f>סקר!BC253</f>
        <v>0</v>
      </c>
      <c r="T171" s="156"/>
    </row>
    <row r="172" spans="1:20">
      <c r="A172" s="152" t="str">
        <f>IF(סקר!D254&lt;2,"עץ","פוליגון")</f>
        <v>עץ</v>
      </c>
      <c r="B172" s="152">
        <f>סקר!B254</f>
        <v>0</v>
      </c>
      <c r="C172" s="152">
        <f>IF(סקר!D254&lt;2,1,סקר!D254)</f>
        <v>1</v>
      </c>
      <c r="D172" s="152">
        <f>סקר!C254</f>
        <v>0</v>
      </c>
      <c r="E172" s="152" t="str">
        <f>IFERROR(VLOOKUP(F172,[1]TreeType!$A:$E,5,0),"")</f>
        <v/>
      </c>
      <c r="F172" s="153" t="str">
        <f>IFERROR(VLOOKUP(D172,[1]TreeType!$A:$B,2,0),"")</f>
        <v/>
      </c>
      <c r="G172" s="72">
        <f>IF(B172&gt;0,IF(סקר!E254=0,1,סקר!E254),0)</f>
        <v>0</v>
      </c>
      <c r="H172" s="72">
        <f>IF(B172&gt;0,IF(סקר!F254 = 0,1,סקר!F254),0)</f>
        <v>0</v>
      </c>
      <c r="I172" s="152">
        <f>סקר!G254</f>
        <v>0</v>
      </c>
      <c r="J172" s="152">
        <f>סקר!H254</f>
        <v>0</v>
      </c>
      <c r="K172" s="152" t="e">
        <f>IF(D172="","",VLOOKUP(D172,[1]TreeType!$A$2:$E$508,3,3))</f>
        <v>#N/A</v>
      </c>
      <c r="L172" s="152">
        <f>IF(D172&gt;0,IF(סקר!M254=0,1,IF(סקר!M254=0,1,סקר!M254)),0)</f>
        <v>0</v>
      </c>
      <c r="M172" s="152">
        <f>סקר!J254</f>
        <v>0</v>
      </c>
      <c r="N172" s="152">
        <f>IF(D172&gt;0,IF(סקר!K254=0,1,IF(סקר!K254=0,1,סקר!K254)),0)</f>
        <v>0</v>
      </c>
      <c r="O172" s="152" t="e">
        <f t="shared" si="4"/>
        <v>#N/A</v>
      </c>
      <c r="P172" s="152">
        <f>IF(B172&gt;0,IF(סקר!O254 &lt;=1,1,סקר!O254),0)</f>
        <v>0</v>
      </c>
      <c r="Q172" s="152">
        <f>סקר!P254</f>
        <v>0</v>
      </c>
      <c r="R172" s="152">
        <f>סקר!R254</f>
        <v>0</v>
      </c>
      <c r="S172" s="152">
        <f>סקר!BC254</f>
        <v>0</v>
      </c>
      <c r="T172" s="156"/>
    </row>
    <row r="173" spans="1:20">
      <c r="A173" s="152" t="str">
        <f>IF(סקר!D255&lt;2,"עץ","פוליגון")</f>
        <v>עץ</v>
      </c>
      <c r="B173" s="152">
        <f>סקר!B255</f>
        <v>0</v>
      </c>
      <c r="C173" s="152">
        <f>IF(סקר!D255&lt;2,1,סקר!D255)</f>
        <v>1</v>
      </c>
      <c r="D173" s="152">
        <f>סקר!C255</f>
        <v>0</v>
      </c>
      <c r="E173" s="152" t="str">
        <f>IFERROR(VLOOKUP(F173,[1]TreeType!$A:$E,5,0),"")</f>
        <v/>
      </c>
      <c r="F173" s="153" t="str">
        <f>IFERROR(VLOOKUP(D173,[1]TreeType!$A:$B,2,0),"")</f>
        <v/>
      </c>
      <c r="G173" s="72">
        <f>IF(B173&gt;0,IF(סקר!E255=0,1,סקר!E255),0)</f>
        <v>0</v>
      </c>
      <c r="H173" s="72">
        <f>IF(B173&gt;0,IF(סקר!F255 = 0,1,סקר!F255),0)</f>
        <v>0</v>
      </c>
      <c r="I173" s="152">
        <f>סקר!G255</f>
        <v>0</v>
      </c>
      <c r="J173" s="152">
        <f>סקר!H255</f>
        <v>0</v>
      </c>
      <c r="K173" s="152" t="e">
        <f>IF(D173="","",VLOOKUP(D173,[1]TreeType!$A$2:$E$508,3,3))</f>
        <v>#N/A</v>
      </c>
      <c r="L173" s="152">
        <f>IF(D173&gt;0,IF(סקר!M255=0,1,IF(סקר!M255=0,1,סקר!M255)),0)</f>
        <v>0</v>
      </c>
      <c r="M173" s="152">
        <f>סקר!J255</f>
        <v>0</v>
      </c>
      <c r="N173" s="152">
        <f>IF(D173&gt;0,IF(סקר!K255=0,1,IF(סקר!K255=0,1,סקר!K255)),0)</f>
        <v>0</v>
      </c>
      <c r="O173" s="152" t="e">
        <f t="shared" si="4"/>
        <v>#N/A</v>
      </c>
      <c r="P173" s="152">
        <f>IF(B173&gt;0,IF(סקר!O255 &lt;=1,1,סקר!O255),0)</f>
        <v>0</v>
      </c>
      <c r="Q173" s="152">
        <f>סקר!P255</f>
        <v>0</v>
      </c>
      <c r="R173" s="152">
        <f>סקר!R255</f>
        <v>0</v>
      </c>
      <c r="S173" s="152">
        <f>סקר!BC255</f>
        <v>0</v>
      </c>
      <c r="T173" s="156"/>
    </row>
    <row r="174" spans="1:20">
      <c r="A174" s="152" t="str">
        <f>IF(סקר!D256&lt;2,"עץ","פוליגון")</f>
        <v>עץ</v>
      </c>
      <c r="B174" s="152">
        <f>סקר!B256</f>
        <v>0</v>
      </c>
      <c r="C174" s="152">
        <f>IF(סקר!D256&lt;2,1,סקר!D256)</f>
        <v>1</v>
      </c>
      <c r="D174" s="152">
        <f>סקר!C256</f>
        <v>0</v>
      </c>
      <c r="E174" s="152" t="str">
        <f>IFERROR(VLOOKUP(F174,[1]TreeType!$A:$E,5,0),"")</f>
        <v/>
      </c>
      <c r="F174" s="153" t="str">
        <f>IFERROR(VLOOKUP(D174,[1]TreeType!$A:$B,2,0),"")</f>
        <v/>
      </c>
      <c r="G174" s="72">
        <f>IF(B174&gt;0,IF(סקר!E256=0,1,סקר!E256),0)</f>
        <v>0</v>
      </c>
      <c r="H174" s="72">
        <f>IF(B174&gt;0,IF(סקר!F256 = 0,1,סקר!F256),0)</f>
        <v>0</v>
      </c>
      <c r="I174" s="152">
        <f>סקר!G256</f>
        <v>0</v>
      </c>
      <c r="J174" s="152">
        <f>סקר!H256</f>
        <v>0</v>
      </c>
      <c r="K174" s="152" t="e">
        <f>IF(D174="","",VLOOKUP(D174,[1]TreeType!$A$2:$E$508,3,3))</f>
        <v>#N/A</v>
      </c>
      <c r="L174" s="152">
        <f>IF(D174&gt;0,IF(סקר!M256=0,1,IF(סקר!M256=0,1,סקר!M256)),0)</f>
        <v>0</v>
      </c>
      <c r="M174" s="152">
        <f>סקר!J256</f>
        <v>0</v>
      </c>
      <c r="N174" s="152">
        <f>IF(D174&gt;0,IF(סקר!K256=0,1,IF(סקר!K256=0,1,סקר!K256)),0)</f>
        <v>0</v>
      </c>
      <c r="O174" s="152" t="e">
        <f t="shared" si="4"/>
        <v>#N/A</v>
      </c>
      <c r="P174" s="152">
        <f>IF(B174&gt;0,IF(סקר!O256 &lt;=1,1,סקר!O256),0)</f>
        <v>0</v>
      </c>
      <c r="Q174" s="152">
        <f>סקר!P256</f>
        <v>0</v>
      </c>
      <c r="R174" s="152">
        <f>סקר!R256</f>
        <v>0</v>
      </c>
      <c r="S174" s="152">
        <f>סקר!BC256</f>
        <v>0</v>
      </c>
      <c r="T174" s="156"/>
    </row>
    <row r="175" spans="1:20">
      <c r="A175" s="152" t="str">
        <f>IF(סקר!D257&lt;2,"עץ","פוליגון")</f>
        <v>עץ</v>
      </c>
      <c r="B175" s="152">
        <f>סקר!B257</f>
        <v>0</v>
      </c>
      <c r="C175" s="152">
        <f>IF(סקר!D257&lt;2,1,סקר!D257)</f>
        <v>1</v>
      </c>
      <c r="D175" s="152">
        <f>סקר!C257</f>
        <v>0</v>
      </c>
      <c r="E175" s="152" t="str">
        <f>IFERROR(VLOOKUP(F175,[1]TreeType!$A:$E,5,0),"")</f>
        <v/>
      </c>
      <c r="F175" s="153" t="str">
        <f>IFERROR(VLOOKUP(D175,[1]TreeType!$A:$B,2,0),"")</f>
        <v/>
      </c>
      <c r="G175" s="72">
        <f>IF(B175&gt;0,IF(סקר!E257=0,1,סקר!E257),0)</f>
        <v>0</v>
      </c>
      <c r="H175" s="72">
        <f>IF(B175&gt;0,IF(סקר!F257 = 0,1,סקר!F257),0)</f>
        <v>0</v>
      </c>
      <c r="I175" s="152">
        <f>סקר!G257</f>
        <v>0</v>
      </c>
      <c r="J175" s="152">
        <f>סקר!H257</f>
        <v>0</v>
      </c>
      <c r="K175" s="152" t="e">
        <f>IF(D175="","",VLOOKUP(D175,[1]TreeType!$A$2:$E$508,3,3))</f>
        <v>#N/A</v>
      </c>
      <c r="L175" s="152">
        <f>IF(D175&gt;0,IF(סקר!M257=0,1,IF(סקר!M257=0,1,סקר!M257)),0)</f>
        <v>0</v>
      </c>
      <c r="M175" s="152">
        <f>סקר!J257</f>
        <v>0</v>
      </c>
      <c r="N175" s="152">
        <f>IF(D175&gt;0,IF(סקר!K257=0,1,IF(סקר!K257=0,1,סקר!K257)),0)</f>
        <v>0</v>
      </c>
      <c r="O175" s="152" t="e">
        <f t="shared" si="4"/>
        <v>#N/A</v>
      </c>
      <c r="P175" s="152">
        <f>IF(B175&gt;0,IF(סקר!O257 &lt;=1,1,סקר!O257),0)</f>
        <v>0</v>
      </c>
      <c r="Q175" s="152">
        <f>סקר!P257</f>
        <v>0</v>
      </c>
      <c r="R175" s="152">
        <f>סקר!R257</f>
        <v>0</v>
      </c>
      <c r="S175" s="152">
        <f>סקר!BC257</f>
        <v>0</v>
      </c>
      <c r="T175" s="156"/>
    </row>
    <row r="176" spans="1:20">
      <c r="A176" s="152" t="str">
        <f>IF(סקר!D258&lt;2,"עץ","פוליגון")</f>
        <v>עץ</v>
      </c>
      <c r="B176" s="152">
        <f>סקר!B258</f>
        <v>0</v>
      </c>
      <c r="C176" s="152">
        <f>IF(סקר!D258&lt;2,1,סקר!D258)</f>
        <v>1</v>
      </c>
      <c r="D176" s="152">
        <f>סקר!C258</f>
        <v>0</v>
      </c>
      <c r="E176" s="152" t="str">
        <f>IFERROR(VLOOKUP(F176,[1]TreeType!$A:$E,5,0),"")</f>
        <v/>
      </c>
      <c r="F176" s="153" t="str">
        <f>IFERROR(VLOOKUP(D176,[1]TreeType!$A:$B,2,0),"")</f>
        <v/>
      </c>
      <c r="G176" s="72">
        <f>IF(B176&gt;0,IF(סקר!E258=0,1,סקר!E258),0)</f>
        <v>0</v>
      </c>
      <c r="H176" s="72">
        <f>IF(B176&gt;0,IF(סקר!F258 = 0,1,סקר!F258),0)</f>
        <v>0</v>
      </c>
      <c r="I176" s="152">
        <f>סקר!G258</f>
        <v>0</v>
      </c>
      <c r="J176" s="152">
        <f>סקר!H258</f>
        <v>0</v>
      </c>
      <c r="K176" s="152" t="e">
        <f>IF(D176="","",VLOOKUP(D176,[1]TreeType!$A$2:$E$508,3,3))</f>
        <v>#N/A</v>
      </c>
      <c r="L176" s="152">
        <f>IF(D176&gt;0,IF(סקר!M258=0,1,IF(סקר!M258=0,1,סקר!M258)),0)</f>
        <v>0</v>
      </c>
      <c r="M176" s="152">
        <f>סקר!J258</f>
        <v>0</v>
      </c>
      <c r="N176" s="152">
        <f>IF(D176&gt;0,IF(סקר!K258=0,1,IF(סקר!K258=0,1,סקר!K258)),0)</f>
        <v>0</v>
      </c>
      <c r="O176" s="152" t="e">
        <f t="shared" si="4"/>
        <v>#N/A</v>
      </c>
      <c r="P176" s="152">
        <f>IF(B176&gt;0,IF(סקר!O258 &lt;=1,1,סקר!O258),0)</f>
        <v>0</v>
      </c>
      <c r="Q176" s="152">
        <f>סקר!P258</f>
        <v>0</v>
      </c>
      <c r="R176" s="152">
        <f>סקר!R258</f>
        <v>0</v>
      </c>
      <c r="S176" s="152">
        <f>סקר!BC258</f>
        <v>0</v>
      </c>
      <c r="T176" s="156"/>
    </row>
    <row r="177" spans="1:20">
      <c r="A177" s="152" t="str">
        <f>IF(סקר!D259&lt;2,"עץ","פוליגון")</f>
        <v>עץ</v>
      </c>
      <c r="B177" s="152">
        <f>סקר!B259</f>
        <v>0</v>
      </c>
      <c r="C177" s="152">
        <f>IF(סקר!D259&lt;2,1,סקר!D259)</f>
        <v>1</v>
      </c>
      <c r="D177" s="152">
        <f>סקר!C259</f>
        <v>0</v>
      </c>
      <c r="E177" s="152" t="str">
        <f>IFERROR(VLOOKUP(F177,[1]TreeType!$A:$E,5,0),"")</f>
        <v/>
      </c>
      <c r="F177" s="153" t="str">
        <f>IFERROR(VLOOKUP(D177,[1]TreeType!$A:$B,2,0),"")</f>
        <v/>
      </c>
      <c r="G177" s="72">
        <f>IF(B177&gt;0,IF(סקר!E259=0,1,סקר!E259),0)</f>
        <v>0</v>
      </c>
      <c r="H177" s="72">
        <f>IF(B177&gt;0,IF(סקר!F259 = 0,1,סקר!F259),0)</f>
        <v>0</v>
      </c>
      <c r="I177" s="152">
        <f>סקר!G259</f>
        <v>0</v>
      </c>
      <c r="J177" s="152">
        <f>סקר!H259</f>
        <v>0</v>
      </c>
      <c r="K177" s="152" t="e">
        <f>IF(D177="","",VLOOKUP(D177,[1]TreeType!$A$2:$E$508,3,3))</f>
        <v>#N/A</v>
      </c>
      <c r="L177" s="152">
        <f>IF(D177&gt;0,IF(סקר!M259=0,1,IF(סקר!M259=0,1,סקר!M259)),0)</f>
        <v>0</v>
      </c>
      <c r="M177" s="152">
        <f>סקר!J259</f>
        <v>0</v>
      </c>
      <c r="N177" s="152">
        <f>IF(D177&gt;0,IF(סקר!K259=0,1,IF(סקר!K259=0,1,סקר!K259)),0)</f>
        <v>0</v>
      </c>
      <c r="O177" s="152" t="e">
        <f t="shared" si="4"/>
        <v>#N/A</v>
      </c>
      <c r="P177" s="152">
        <f>IF(B177&gt;0,IF(סקר!O259 &lt;=1,1,סקר!O259),0)</f>
        <v>0</v>
      </c>
      <c r="Q177" s="152">
        <f>סקר!P259</f>
        <v>0</v>
      </c>
      <c r="R177" s="152">
        <f>סקר!R259</f>
        <v>0</v>
      </c>
      <c r="S177" s="152">
        <f>סקר!BC259</f>
        <v>0</v>
      </c>
      <c r="T177" s="156"/>
    </row>
    <row r="178" spans="1:20">
      <c r="A178" s="152" t="str">
        <f>IF(סקר!D260&lt;2,"עץ","פוליגון")</f>
        <v>עץ</v>
      </c>
      <c r="B178" s="152">
        <f>סקר!B260</f>
        <v>0</v>
      </c>
      <c r="C178" s="152">
        <f>IF(סקר!D260&lt;2,1,סקר!D260)</f>
        <v>1</v>
      </c>
      <c r="D178" s="152">
        <f>סקר!C260</f>
        <v>0</v>
      </c>
      <c r="E178" s="152" t="str">
        <f>IFERROR(VLOOKUP(F178,[1]TreeType!$A:$E,5,0),"")</f>
        <v/>
      </c>
      <c r="F178" s="153" t="str">
        <f>IFERROR(VLOOKUP(D178,[1]TreeType!$A:$B,2,0),"")</f>
        <v/>
      </c>
      <c r="G178" s="72">
        <f>IF(B178&gt;0,IF(סקר!E260=0,1,סקר!E260),0)</f>
        <v>0</v>
      </c>
      <c r="H178" s="72">
        <f>IF(B178&gt;0,IF(סקר!F260 = 0,1,סקר!F260),0)</f>
        <v>0</v>
      </c>
      <c r="I178" s="152">
        <f>סקר!G260</f>
        <v>0</v>
      </c>
      <c r="J178" s="152">
        <f>סקר!H260</f>
        <v>0</v>
      </c>
      <c r="K178" s="152" t="e">
        <f>IF(D178="","",VLOOKUP(D178,[1]TreeType!$A$2:$E$508,3,3))</f>
        <v>#N/A</v>
      </c>
      <c r="L178" s="152">
        <f>IF(D178&gt;0,IF(סקר!M260=0,1,IF(סקר!M260=0,1,סקר!M260)),0)</f>
        <v>0</v>
      </c>
      <c r="M178" s="152">
        <f>סקר!J260</f>
        <v>0</v>
      </c>
      <c r="N178" s="152">
        <f>IF(D178&gt;0,IF(סקר!K260=0,1,IF(סקר!K260=0,1,סקר!K260)),0)</f>
        <v>0</v>
      </c>
      <c r="O178" s="152" t="e">
        <f t="shared" si="4"/>
        <v>#N/A</v>
      </c>
      <c r="P178" s="152">
        <f>IF(B178&gt;0,IF(סקר!O260 &lt;=1,1,סקר!O260),0)</f>
        <v>0</v>
      </c>
      <c r="Q178" s="152">
        <f>סקר!P260</f>
        <v>0</v>
      </c>
      <c r="R178" s="152">
        <f>סקר!R260</f>
        <v>0</v>
      </c>
      <c r="S178" s="152">
        <f>סקר!BC260</f>
        <v>0</v>
      </c>
      <c r="T178" s="156"/>
    </row>
    <row r="179" spans="1:20">
      <c r="A179" s="152" t="str">
        <f>IF(סקר!D261&lt;2,"עץ","פוליגון")</f>
        <v>עץ</v>
      </c>
      <c r="B179" s="152">
        <f>סקר!B261</f>
        <v>0</v>
      </c>
      <c r="C179" s="152">
        <f>IF(סקר!D261&lt;2,1,סקר!D261)</f>
        <v>1</v>
      </c>
      <c r="D179" s="152">
        <f>סקר!C261</f>
        <v>0</v>
      </c>
      <c r="E179" s="152" t="str">
        <f>IFERROR(VLOOKUP(F179,[1]TreeType!$A:$E,5,0),"")</f>
        <v/>
      </c>
      <c r="F179" s="153" t="str">
        <f>IFERROR(VLOOKUP(D179,[1]TreeType!$A:$B,2,0),"")</f>
        <v/>
      </c>
      <c r="G179" s="72">
        <f>IF(B179&gt;0,IF(סקר!E261=0,1,סקר!E261),0)</f>
        <v>0</v>
      </c>
      <c r="H179" s="72">
        <f>IF(B179&gt;0,IF(סקר!F261 = 0,1,סקר!F261),0)</f>
        <v>0</v>
      </c>
      <c r="I179" s="152">
        <f>סקר!G261</f>
        <v>0</v>
      </c>
      <c r="J179" s="152">
        <f>סקר!H261</f>
        <v>0</v>
      </c>
      <c r="K179" s="152" t="e">
        <f>IF(D179="","",VLOOKUP(D179,[1]TreeType!$A$2:$E$508,3,3))</f>
        <v>#N/A</v>
      </c>
      <c r="L179" s="152">
        <f>IF(D179&gt;0,IF(סקר!M261=0,1,IF(סקר!M261=0,1,סקר!M261)),0)</f>
        <v>0</v>
      </c>
      <c r="M179" s="152">
        <f>סקר!J261</f>
        <v>0</v>
      </c>
      <c r="N179" s="152">
        <f>IF(D179&gt;0,IF(סקר!K261=0,1,IF(סקר!K261=0,1,סקר!K261)),0)</f>
        <v>0</v>
      </c>
      <c r="O179" s="152" t="e">
        <f t="shared" si="4"/>
        <v>#N/A</v>
      </c>
      <c r="P179" s="152">
        <f>IF(B179&gt;0,IF(סקר!O261 &lt;=1,1,סקר!O261),0)</f>
        <v>0</v>
      </c>
      <c r="Q179" s="152">
        <f>סקר!P261</f>
        <v>0</v>
      </c>
      <c r="R179" s="152">
        <f>סקר!R261</f>
        <v>0</v>
      </c>
      <c r="S179" s="152">
        <f>סקר!BC261</f>
        <v>0</v>
      </c>
      <c r="T179" s="156"/>
    </row>
    <row r="180" spans="1:20">
      <c r="A180" s="152" t="str">
        <f>IF(סקר!D262&lt;2,"עץ","פוליגון")</f>
        <v>עץ</v>
      </c>
      <c r="B180" s="152">
        <f>סקר!B262</f>
        <v>0</v>
      </c>
      <c r="C180" s="152">
        <f>IF(סקר!D262&lt;2,1,סקר!D262)</f>
        <v>1</v>
      </c>
      <c r="D180" s="152">
        <f>סקר!C262</f>
        <v>0</v>
      </c>
      <c r="E180" s="152" t="str">
        <f>IFERROR(VLOOKUP(F180,[1]TreeType!$A:$E,5,0),"")</f>
        <v/>
      </c>
      <c r="F180" s="153" t="str">
        <f>IFERROR(VLOOKUP(D180,[1]TreeType!$A:$B,2,0),"")</f>
        <v/>
      </c>
      <c r="G180" s="72">
        <f>IF(B180&gt;0,IF(סקר!E262=0,1,סקר!E262),0)</f>
        <v>0</v>
      </c>
      <c r="H180" s="72">
        <f>IF(B180&gt;0,IF(סקר!F262 = 0,1,סקר!F262),0)</f>
        <v>0</v>
      </c>
      <c r="I180" s="152">
        <f>סקר!G262</f>
        <v>0</v>
      </c>
      <c r="J180" s="152">
        <f>סקר!H262</f>
        <v>0</v>
      </c>
      <c r="K180" s="152" t="e">
        <f>IF(D180="","",VLOOKUP(D180,[1]TreeType!$A$2:$E$508,3,3))</f>
        <v>#N/A</v>
      </c>
      <c r="L180" s="152">
        <f>IF(D180&gt;0,IF(סקר!M262=0,1,IF(סקר!M262=0,1,סקר!M262)),0)</f>
        <v>0</v>
      </c>
      <c r="M180" s="152">
        <f>סקר!J262</f>
        <v>0</v>
      </c>
      <c r="N180" s="152">
        <f>IF(D180&gt;0,IF(סקר!K262=0,1,IF(סקר!K262=0,1,סקר!K262)),0)</f>
        <v>0</v>
      </c>
      <c r="O180" s="152" t="e">
        <f t="shared" si="4"/>
        <v>#N/A</v>
      </c>
      <c r="P180" s="152">
        <f>IF(B180&gt;0,IF(סקר!O262 &lt;=1,1,סקר!O262),0)</f>
        <v>0</v>
      </c>
      <c r="Q180" s="152">
        <f>סקר!P262</f>
        <v>0</v>
      </c>
      <c r="R180" s="152">
        <f>סקר!R262</f>
        <v>0</v>
      </c>
      <c r="S180" s="152">
        <f>סקר!BC262</f>
        <v>0</v>
      </c>
      <c r="T180" s="156"/>
    </row>
    <row r="181" spans="1:20">
      <c r="A181" s="152" t="str">
        <f>IF(סקר!D263&lt;2,"עץ","פוליגון")</f>
        <v>עץ</v>
      </c>
      <c r="B181" s="152">
        <f>סקר!B263</f>
        <v>0</v>
      </c>
      <c r="C181" s="152">
        <f>IF(סקר!D263&lt;2,1,סקר!D263)</f>
        <v>1</v>
      </c>
      <c r="D181" s="152">
        <f>סקר!C263</f>
        <v>0</v>
      </c>
      <c r="E181" s="152" t="str">
        <f>IFERROR(VLOOKUP(F181,[1]TreeType!$A:$E,5,0),"")</f>
        <v/>
      </c>
      <c r="F181" s="153" t="str">
        <f>IFERROR(VLOOKUP(D181,[1]TreeType!$A:$B,2,0),"")</f>
        <v/>
      </c>
      <c r="G181" s="72">
        <f>IF(B181&gt;0,IF(סקר!E263=0,1,סקר!E263),0)</f>
        <v>0</v>
      </c>
      <c r="H181" s="72">
        <f>IF(B181&gt;0,IF(סקר!F263 = 0,1,סקר!F263),0)</f>
        <v>0</v>
      </c>
      <c r="I181" s="152">
        <f>סקר!G263</f>
        <v>0</v>
      </c>
      <c r="J181" s="152">
        <f>סקר!H263</f>
        <v>0</v>
      </c>
      <c r="K181" s="152" t="e">
        <f>IF(D181="","",VLOOKUP(D181,[1]TreeType!$A$2:$E$508,3,3))</f>
        <v>#N/A</v>
      </c>
      <c r="L181" s="152">
        <f>IF(D181&gt;0,IF(סקר!M263=0,1,IF(סקר!M263=0,1,סקר!M263)),0)</f>
        <v>0</v>
      </c>
      <c r="M181" s="152">
        <f>סקר!J263</f>
        <v>0</v>
      </c>
      <c r="N181" s="152">
        <f>IF(D181&gt;0,IF(סקר!K263=0,1,IF(סקר!K263=0,1,סקר!K263)),0)</f>
        <v>0</v>
      </c>
      <c r="O181" s="152" t="e">
        <f t="shared" si="4"/>
        <v>#N/A</v>
      </c>
      <c r="P181" s="152">
        <f>IF(B181&gt;0,IF(סקר!O263 &lt;=1,1,סקר!O263),0)</f>
        <v>0</v>
      </c>
      <c r="Q181" s="152">
        <f>סקר!P263</f>
        <v>0</v>
      </c>
      <c r="R181" s="152">
        <f>סקר!R263</f>
        <v>0</v>
      </c>
      <c r="S181" s="152">
        <f>סקר!BC263</f>
        <v>0</v>
      </c>
      <c r="T181" s="156"/>
    </row>
    <row r="182" spans="1:20">
      <c r="A182" s="152" t="str">
        <f>IF(סקר!D264&lt;2,"עץ","פוליגון")</f>
        <v>עץ</v>
      </c>
      <c r="B182" s="152">
        <f>סקר!B264</f>
        <v>0</v>
      </c>
      <c r="C182" s="152">
        <f>IF(סקר!D264&lt;2,1,סקר!D264)</f>
        <v>1</v>
      </c>
      <c r="D182" s="152">
        <f>סקר!C264</f>
        <v>0</v>
      </c>
      <c r="E182" s="152" t="str">
        <f>IFERROR(VLOOKUP(F182,[1]TreeType!$A:$E,5,0),"")</f>
        <v/>
      </c>
      <c r="F182" s="153" t="str">
        <f>IFERROR(VLOOKUP(D182,[1]TreeType!$A:$B,2,0),"")</f>
        <v/>
      </c>
      <c r="G182" s="72">
        <f>IF(B182&gt;0,IF(סקר!E264=0,1,סקר!E264),0)</f>
        <v>0</v>
      </c>
      <c r="H182" s="72">
        <f>IF(B182&gt;0,IF(סקר!F264 = 0,1,סקר!F264),0)</f>
        <v>0</v>
      </c>
      <c r="I182" s="152">
        <f>סקר!G264</f>
        <v>0</v>
      </c>
      <c r="J182" s="152">
        <f>סקר!H264</f>
        <v>0</v>
      </c>
      <c r="K182" s="152" t="e">
        <f>IF(D182="","",VLOOKUP(D182,[1]TreeType!$A$2:$E$508,3,3))</f>
        <v>#N/A</v>
      </c>
      <c r="L182" s="152">
        <f>IF(D182&gt;0,IF(סקר!M264=0,1,IF(סקר!M264=0,1,סקר!M264)),0)</f>
        <v>0</v>
      </c>
      <c r="M182" s="152">
        <f>סקר!J264</f>
        <v>0</v>
      </c>
      <c r="N182" s="152">
        <f>IF(D182&gt;0,IF(סקר!K264=0,1,IF(סקר!K264=0,1,סקר!K264)),0)</f>
        <v>0</v>
      </c>
      <c r="O182" s="152" t="e">
        <f t="shared" si="4"/>
        <v>#N/A</v>
      </c>
      <c r="P182" s="152">
        <f>IF(B182&gt;0,IF(סקר!O264 &lt;=1,1,סקר!O264),0)</f>
        <v>0</v>
      </c>
      <c r="Q182" s="152">
        <f>סקר!P264</f>
        <v>0</v>
      </c>
      <c r="R182" s="152">
        <f>סקר!R264</f>
        <v>0</v>
      </c>
      <c r="S182" s="152">
        <f>סקר!BC264</f>
        <v>0</v>
      </c>
      <c r="T182" s="156"/>
    </row>
    <row r="183" spans="1:20">
      <c r="A183" s="152" t="str">
        <f>IF(סקר!D265&lt;2,"עץ","פוליגון")</f>
        <v>עץ</v>
      </c>
      <c r="B183" s="152">
        <f>סקר!B265</f>
        <v>0</v>
      </c>
      <c r="C183" s="152">
        <f>IF(סקר!D265&lt;2,1,סקר!D265)</f>
        <v>1</v>
      </c>
      <c r="D183" s="152">
        <f>סקר!C265</f>
        <v>0</v>
      </c>
      <c r="E183" s="152" t="str">
        <f>IFERROR(VLOOKUP(F183,[1]TreeType!$A:$E,5,0),"")</f>
        <v/>
      </c>
      <c r="F183" s="153" t="str">
        <f>IFERROR(VLOOKUP(D183,[1]TreeType!$A:$B,2,0),"")</f>
        <v/>
      </c>
      <c r="G183" s="72">
        <f>IF(B183&gt;0,IF(סקר!E265=0,1,סקר!E265),0)</f>
        <v>0</v>
      </c>
      <c r="H183" s="72">
        <f>IF(B183&gt;0,IF(סקר!F265 = 0,1,סקר!F265),0)</f>
        <v>0</v>
      </c>
      <c r="I183" s="152">
        <f>סקר!G265</f>
        <v>0</v>
      </c>
      <c r="J183" s="152">
        <f>סקר!H265</f>
        <v>0</v>
      </c>
      <c r="K183" s="152" t="e">
        <f>IF(D183="","",VLOOKUP(D183,[1]TreeType!$A$2:$E$508,3,3))</f>
        <v>#N/A</v>
      </c>
      <c r="L183" s="152">
        <f>IF(D183&gt;0,IF(סקר!M265=0,1,IF(סקר!M265=0,1,סקר!M265)),0)</f>
        <v>0</v>
      </c>
      <c r="M183" s="152">
        <f>סקר!J265</f>
        <v>0</v>
      </c>
      <c r="N183" s="152">
        <f>IF(D183&gt;0,IF(סקר!K265=0,1,IF(סקר!K265=0,1,סקר!K265)),0)</f>
        <v>0</v>
      </c>
      <c r="O183" s="152" t="e">
        <f t="shared" si="4"/>
        <v>#N/A</v>
      </c>
      <c r="P183" s="152">
        <f>IF(B183&gt;0,IF(סקר!O265 &lt;=1,1,סקר!O265),0)</f>
        <v>0</v>
      </c>
      <c r="Q183" s="152">
        <f>סקר!P265</f>
        <v>0</v>
      </c>
      <c r="R183" s="152">
        <f>סקר!R265</f>
        <v>0</v>
      </c>
      <c r="S183" s="152">
        <f>סקר!BC265</f>
        <v>0</v>
      </c>
      <c r="T183" s="156"/>
    </row>
    <row r="184" spans="1:20">
      <c r="A184" s="152" t="str">
        <f>IF(סקר!D266&lt;2,"עץ","פוליגון")</f>
        <v>עץ</v>
      </c>
      <c r="B184" s="152">
        <f>סקר!B266</f>
        <v>0</v>
      </c>
      <c r="C184" s="152">
        <f>IF(סקר!D266&lt;2,1,סקר!D266)</f>
        <v>1</v>
      </c>
      <c r="D184" s="152">
        <f>סקר!C266</f>
        <v>0</v>
      </c>
      <c r="E184" s="152" t="str">
        <f>IFERROR(VLOOKUP(F184,[1]TreeType!$A:$E,5,0),"")</f>
        <v/>
      </c>
      <c r="F184" s="153" t="str">
        <f>IFERROR(VLOOKUP(D184,[1]TreeType!$A:$B,2,0),"")</f>
        <v/>
      </c>
      <c r="G184" s="72">
        <f>IF(B184&gt;0,IF(סקר!E266=0,1,סקר!E266),0)</f>
        <v>0</v>
      </c>
      <c r="H184" s="72">
        <f>IF(B184&gt;0,IF(סקר!F266 = 0,1,סקר!F266),0)</f>
        <v>0</v>
      </c>
      <c r="I184" s="152">
        <f>סקר!G266</f>
        <v>0</v>
      </c>
      <c r="J184" s="152">
        <f>סקר!H266</f>
        <v>0</v>
      </c>
      <c r="K184" s="152" t="e">
        <f>IF(D184="","",VLOOKUP(D184,[1]TreeType!$A$2:$E$508,3,3))</f>
        <v>#N/A</v>
      </c>
      <c r="L184" s="152">
        <f>IF(D184&gt;0,IF(סקר!M266=0,1,IF(סקר!M266=0,1,סקר!M266)),0)</f>
        <v>0</v>
      </c>
      <c r="M184" s="152">
        <f>סקר!J266</f>
        <v>0</v>
      </c>
      <c r="N184" s="152">
        <f>IF(D184&gt;0,IF(סקר!K266=0,1,IF(סקר!K266=0,1,סקר!K266)),0)</f>
        <v>0</v>
      </c>
      <c r="O184" s="152" t="e">
        <f t="shared" ref="O184:O219" si="5">IF(SUM(K184:N184)=0,"",SUM(K184:N184))</f>
        <v>#N/A</v>
      </c>
      <c r="P184" s="152">
        <f>IF(B184&gt;0,IF(סקר!O266 &lt;=1,1,סקר!O266),0)</f>
        <v>0</v>
      </c>
      <c r="Q184" s="152">
        <f>סקר!P266</f>
        <v>0</v>
      </c>
      <c r="R184" s="152">
        <f>סקר!R266</f>
        <v>0</v>
      </c>
      <c r="S184" s="152">
        <f>סקר!BC266</f>
        <v>0</v>
      </c>
      <c r="T184" s="156"/>
    </row>
    <row r="185" spans="1:20">
      <c r="A185" s="152" t="str">
        <f>IF(סקר!D267&lt;2,"עץ","פוליגון")</f>
        <v>עץ</v>
      </c>
      <c r="B185" s="152">
        <f>סקר!B267</f>
        <v>0</v>
      </c>
      <c r="C185" s="152">
        <f>IF(סקר!D267&lt;2,1,סקר!D267)</f>
        <v>1</v>
      </c>
      <c r="D185" s="152">
        <f>סקר!C267</f>
        <v>0</v>
      </c>
      <c r="E185" s="152" t="str">
        <f>IFERROR(VLOOKUP(F185,[1]TreeType!$A:$E,5,0),"")</f>
        <v/>
      </c>
      <c r="F185" s="153" t="str">
        <f>IFERROR(VLOOKUP(D185,[1]TreeType!$A:$B,2,0),"")</f>
        <v/>
      </c>
      <c r="G185" s="72">
        <f>IF(B185&gt;0,IF(סקר!E267=0,1,סקר!E267),0)</f>
        <v>0</v>
      </c>
      <c r="H185" s="72">
        <f>IF(B185&gt;0,IF(סקר!F267 = 0,1,סקר!F267),0)</f>
        <v>0</v>
      </c>
      <c r="I185" s="152">
        <f>סקר!G267</f>
        <v>0</v>
      </c>
      <c r="J185" s="152">
        <f>סקר!H267</f>
        <v>0</v>
      </c>
      <c r="K185" s="152" t="e">
        <f>IF(D185="","",VLOOKUP(D185,[1]TreeType!$A$2:$E$508,3,3))</f>
        <v>#N/A</v>
      </c>
      <c r="L185" s="152">
        <f>IF(D185&gt;0,IF(סקר!M267=0,1,IF(סקר!M267=0,1,סקר!M267)),0)</f>
        <v>0</v>
      </c>
      <c r="M185" s="152">
        <f>סקר!J267</f>
        <v>0</v>
      </c>
      <c r="N185" s="152">
        <f>IF(D185&gt;0,IF(סקר!K267=0,1,IF(סקר!K267=0,1,סקר!K267)),0)</f>
        <v>0</v>
      </c>
      <c r="O185" s="152" t="e">
        <f t="shared" si="5"/>
        <v>#N/A</v>
      </c>
      <c r="P185" s="152">
        <f>IF(B185&gt;0,IF(סקר!O267 &lt;=1,1,סקר!O267),0)</f>
        <v>0</v>
      </c>
      <c r="Q185" s="152">
        <f>סקר!P267</f>
        <v>0</v>
      </c>
      <c r="R185" s="152">
        <f>סקר!R267</f>
        <v>0</v>
      </c>
      <c r="S185" s="152">
        <f>סקר!BC267</f>
        <v>0</v>
      </c>
      <c r="T185" s="156"/>
    </row>
    <row r="186" spans="1:20">
      <c r="A186" s="152" t="str">
        <f>IF(סקר!D268&lt;2,"עץ","פוליגון")</f>
        <v>עץ</v>
      </c>
      <c r="B186" s="152">
        <f>סקר!B268</f>
        <v>0</v>
      </c>
      <c r="C186" s="152">
        <f>IF(סקר!D268&lt;2,1,סקר!D268)</f>
        <v>1</v>
      </c>
      <c r="D186" s="152">
        <f>סקר!C268</f>
        <v>0</v>
      </c>
      <c r="E186" s="152" t="str">
        <f>IFERROR(VLOOKUP(F186,[1]TreeType!$A:$E,5,0),"")</f>
        <v/>
      </c>
      <c r="F186" s="153" t="str">
        <f>IFERROR(VLOOKUP(D186,[1]TreeType!$A:$B,2,0),"")</f>
        <v/>
      </c>
      <c r="G186" s="72">
        <f>IF(B186&gt;0,IF(סקר!E268=0,1,סקר!E268),0)</f>
        <v>0</v>
      </c>
      <c r="H186" s="72">
        <f>IF(B186&gt;0,IF(סקר!F268 = 0,1,סקר!F268),0)</f>
        <v>0</v>
      </c>
      <c r="I186" s="152">
        <f>סקר!G268</f>
        <v>0</v>
      </c>
      <c r="J186" s="152">
        <f>סקר!H268</f>
        <v>0</v>
      </c>
      <c r="K186" s="152" t="e">
        <f>IF(D186="","",VLOOKUP(D186,[1]TreeType!$A$2:$E$508,3,3))</f>
        <v>#N/A</v>
      </c>
      <c r="L186" s="152">
        <f>IF(D186&gt;0,IF(סקר!M268=0,1,IF(סקר!M268=0,1,סקר!M268)),0)</f>
        <v>0</v>
      </c>
      <c r="M186" s="152">
        <f>סקר!J268</f>
        <v>0</v>
      </c>
      <c r="N186" s="152">
        <f>IF(D186&gt;0,IF(סקר!K268=0,1,IF(סקר!K268=0,1,סקר!K268)),0)</f>
        <v>0</v>
      </c>
      <c r="O186" s="152" t="e">
        <f t="shared" si="5"/>
        <v>#N/A</v>
      </c>
      <c r="P186" s="152">
        <f>IF(B186&gt;0,IF(סקר!O268 &lt;=1,1,סקר!O268),0)</f>
        <v>0</v>
      </c>
      <c r="Q186" s="152">
        <f>סקר!P268</f>
        <v>0</v>
      </c>
      <c r="R186" s="152">
        <f>סקר!R268</f>
        <v>0</v>
      </c>
      <c r="S186" s="152">
        <f>סקר!BC268</f>
        <v>0</v>
      </c>
      <c r="T186" s="156"/>
    </row>
    <row r="187" spans="1:20">
      <c r="A187" s="152" t="str">
        <f>IF(סקר!D283&lt;2,"עץ","פוליגון")</f>
        <v>עץ</v>
      </c>
      <c r="B187" s="152">
        <f>סקר!B283</f>
        <v>0</v>
      </c>
      <c r="C187" s="152">
        <f>IF(סקר!D283&lt;2,1,סקר!D283)</f>
        <v>1</v>
      </c>
      <c r="D187" s="152">
        <f>סקר!C283</f>
        <v>0</v>
      </c>
      <c r="E187" s="152" t="str">
        <f>IFERROR(VLOOKUP(F187,[1]TreeType!$A:$E,5,0),"")</f>
        <v/>
      </c>
      <c r="F187" s="153" t="str">
        <f>IFERROR(VLOOKUP(D187,[1]TreeType!$A:$B,2,0),"")</f>
        <v/>
      </c>
      <c r="G187" s="72">
        <f>IF(B187&gt;0,IF(סקר!E283=0,1,סקר!E283),0)</f>
        <v>0</v>
      </c>
      <c r="H187" s="72">
        <f>IF(B187&gt;0,IF(סקר!F283 = 0,1,סקר!F283),0)</f>
        <v>0</v>
      </c>
      <c r="I187" s="152">
        <f>סקר!G283</f>
        <v>0</v>
      </c>
      <c r="J187" s="152">
        <f>סקר!H283</f>
        <v>0</v>
      </c>
      <c r="K187" s="152" t="e">
        <f>IF(D187="","",VLOOKUP(D187,[1]TreeType!$A$2:$E$508,3,3))</f>
        <v>#N/A</v>
      </c>
      <c r="L187" s="152">
        <f>IF(D187&gt;0,IF(סקר!M283=0,1,IF(סקר!M283=0,1,סקר!M283)),0)</f>
        <v>0</v>
      </c>
      <c r="M187" s="152">
        <f>סקר!J283</f>
        <v>0</v>
      </c>
      <c r="N187" s="152">
        <f>IF(D187&gt;0,IF(סקר!K283=0,1,IF(סקר!K283=0,1,סקר!K283)),0)</f>
        <v>0</v>
      </c>
      <c r="O187" s="152" t="e">
        <f t="shared" si="5"/>
        <v>#N/A</v>
      </c>
      <c r="P187" s="152">
        <f>IF(B187&gt;0,IF(סקר!O283 &lt;=1,1,סקר!O283),0)</f>
        <v>0</v>
      </c>
      <c r="Q187" s="152">
        <f>סקר!P283</f>
        <v>0</v>
      </c>
      <c r="R187" s="152">
        <f>סקר!R283</f>
        <v>0</v>
      </c>
      <c r="S187" s="152">
        <f>סקר!BC283</f>
        <v>0</v>
      </c>
      <c r="T187" s="156"/>
    </row>
    <row r="188" spans="1:20">
      <c r="A188" s="152" t="str">
        <f>IF(סקר!D284&lt;2,"עץ","פוליגון")</f>
        <v>עץ</v>
      </c>
      <c r="B188" s="152">
        <f>סקר!B284</f>
        <v>0</v>
      </c>
      <c r="C188" s="152">
        <f>IF(סקר!D284&lt;2,1,סקר!D284)</f>
        <v>1</v>
      </c>
      <c r="D188" s="152">
        <f>סקר!C284</f>
        <v>0</v>
      </c>
      <c r="E188" s="152" t="str">
        <f>IFERROR(VLOOKUP(F188,[1]TreeType!$A:$E,5,0),"")</f>
        <v/>
      </c>
      <c r="F188" s="153" t="str">
        <f>IFERROR(VLOOKUP(D188,[1]TreeType!$A:$B,2,0),"")</f>
        <v/>
      </c>
      <c r="G188" s="72">
        <f>IF(B188&gt;0,IF(סקר!E284=0,1,סקר!E284),0)</f>
        <v>0</v>
      </c>
      <c r="H188" s="72">
        <f>IF(B188&gt;0,IF(סקר!F284 = 0,1,סקר!F284),0)</f>
        <v>0</v>
      </c>
      <c r="I188" s="152">
        <f>סקר!G284</f>
        <v>0</v>
      </c>
      <c r="J188" s="152">
        <f>סקר!H284</f>
        <v>0</v>
      </c>
      <c r="K188" s="152" t="e">
        <f>IF(D188="","",VLOOKUP(D188,[1]TreeType!$A$2:$E$508,3,3))</f>
        <v>#N/A</v>
      </c>
      <c r="L188" s="152">
        <f>IF(D188&gt;0,IF(סקר!M284=0,1,IF(סקר!M284=0,1,סקר!M284)),0)</f>
        <v>0</v>
      </c>
      <c r="M188" s="152">
        <f>סקר!J284</f>
        <v>0</v>
      </c>
      <c r="N188" s="152">
        <f>IF(D188&gt;0,IF(סקר!K284=0,1,IF(סקר!K284=0,1,סקר!K284)),0)</f>
        <v>0</v>
      </c>
      <c r="O188" s="152" t="e">
        <f t="shared" si="5"/>
        <v>#N/A</v>
      </c>
      <c r="P188" s="152">
        <f>IF(B188&gt;0,IF(סקר!O284 &lt;=1,1,סקר!O284),0)</f>
        <v>0</v>
      </c>
      <c r="Q188" s="152">
        <f>סקר!P284</f>
        <v>0</v>
      </c>
      <c r="R188" s="152">
        <f>סקר!R284</f>
        <v>0</v>
      </c>
      <c r="S188" s="152">
        <f>סקר!BC284</f>
        <v>0</v>
      </c>
      <c r="T188" s="156"/>
    </row>
    <row r="189" spans="1:20">
      <c r="A189" s="152" t="str">
        <f>IF(סקר!D285&lt;2,"עץ","פוליגון")</f>
        <v>עץ</v>
      </c>
      <c r="B189" s="152">
        <f>סקר!B285</f>
        <v>0</v>
      </c>
      <c r="C189" s="152">
        <f>IF(סקר!D285&lt;2,1,סקר!D285)</f>
        <v>1</v>
      </c>
      <c r="D189" s="152">
        <f>סקר!C285</f>
        <v>0</v>
      </c>
      <c r="E189" s="152" t="str">
        <f>IFERROR(VLOOKUP(F189,[1]TreeType!$A:$E,5,0),"")</f>
        <v/>
      </c>
      <c r="F189" s="153" t="str">
        <f>IFERROR(VLOOKUP(D189,[1]TreeType!$A:$B,2,0),"")</f>
        <v/>
      </c>
      <c r="G189" s="72">
        <f>IF(B189&gt;0,IF(סקר!E285=0,1,סקר!E285),0)</f>
        <v>0</v>
      </c>
      <c r="H189" s="72">
        <f>IF(B189&gt;0,IF(סקר!F285 = 0,1,סקר!F285),0)</f>
        <v>0</v>
      </c>
      <c r="I189" s="152">
        <f>סקר!G285</f>
        <v>0</v>
      </c>
      <c r="J189" s="152">
        <f>סקר!H285</f>
        <v>0</v>
      </c>
      <c r="K189" s="152" t="e">
        <f>IF(D189="","",VLOOKUP(D189,[1]TreeType!$A$2:$E$508,3,3))</f>
        <v>#N/A</v>
      </c>
      <c r="L189" s="152">
        <f>IF(D189&gt;0,IF(סקר!M285=0,1,IF(סקר!M285=0,1,סקר!M285)),0)</f>
        <v>0</v>
      </c>
      <c r="M189" s="152">
        <f>סקר!J285</f>
        <v>0</v>
      </c>
      <c r="N189" s="152">
        <f>IF(D189&gt;0,IF(סקר!K285=0,1,IF(סקר!K285=0,1,סקר!K285)),0)</f>
        <v>0</v>
      </c>
      <c r="O189" s="152" t="e">
        <f t="shared" si="5"/>
        <v>#N/A</v>
      </c>
      <c r="P189" s="152">
        <f>IF(B189&gt;0,IF(סקר!O285 &lt;=1,1,סקר!O285),0)</f>
        <v>0</v>
      </c>
      <c r="Q189" s="152">
        <f>סקר!P285</f>
        <v>0</v>
      </c>
      <c r="R189" s="152">
        <f>סקר!R285</f>
        <v>0</v>
      </c>
      <c r="S189" s="152">
        <f>סקר!BC285</f>
        <v>0</v>
      </c>
      <c r="T189" s="156"/>
    </row>
    <row r="190" spans="1:20">
      <c r="A190" s="152" t="str">
        <f>IF(סקר!D286&lt;2,"עץ","פוליגון")</f>
        <v>עץ</v>
      </c>
      <c r="B190" s="152">
        <f>סקר!B286</f>
        <v>0</v>
      </c>
      <c r="C190" s="152">
        <f>IF(סקר!D286&lt;2,1,סקר!D286)</f>
        <v>1</v>
      </c>
      <c r="D190" s="152">
        <f>סקר!C286</f>
        <v>0</v>
      </c>
      <c r="E190" s="152" t="str">
        <f>IFERROR(VLOOKUP(F190,[1]TreeType!$A:$E,5,0),"")</f>
        <v/>
      </c>
      <c r="F190" s="153" t="str">
        <f>IFERROR(VLOOKUP(D190,[1]TreeType!$A:$B,2,0),"")</f>
        <v/>
      </c>
      <c r="G190" s="72">
        <f>IF(B190&gt;0,IF(סקר!E286=0,1,סקר!E286),0)</f>
        <v>0</v>
      </c>
      <c r="H190" s="72">
        <f>IF(B190&gt;0,IF(סקר!F286 = 0,1,סקר!F286),0)</f>
        <v>0</v>
      </c>
      <c r="I190" s="152">
        <f>סקר!G286</f>
        <v>0</v>
      </c>
      <c r="J190" s="152">
        <f>סקר!H286</f>
        <v>0</v>
      </c>
      <c r="K190" s="152" t="e">
        <f>IF(D190="","",VLOOKUP(D190,[1]TreeType!$A$2:$E$508,3,3))</f>
        <v>#N/A</v>
      </c>
      <c r="L190" s="152">
        <f>IF(D190&gt;0,IF(סקר!M286=0,1,IF(סקר!M286=0,1,סקר!M286)),0)</f>
        <v>0</v>
      </c>
      <c r="M190" s="152">
        <f>סקר!J286</f>
        <v>0</v>
      </c>
      <c r="N190" s="152">
        <f>IF(D190&gt;0,IF(סקר!K286=0,1,IF(סקר!K286=0,1,סקר!K286)),0)</f>
        <v>0</v>
      </c>
      <c r="O190" s="152" t="e">
        <f t="shared" si="5"/>
        <v>#N/A</v>
      </c>
      <c r="P190" s="152">
        <f>IF(B190&gt;0,IF(סקר!O286 &lt;=1,1,סקר!O286),0)</f>
        <v>0</v>
      </c>
      <c r="Q190" s="152">
        <f>סקר!P286</f>
        <v>0</v>
      </c>
      <c r="R190" s="152">
        <f>סקר!R286</f>
        <v>0</v>
      </c>
      <c r="S190" s="152">
        <f>סקר!BC286</f>
        <v>0</v>
      </c>
      <c r="T190" s="156"/>
    </row>
    <row r="191" spans="1:20">
      <c r="A191" s="152" t="str">
        <f>IF(סקר!D287&lt;2,"עץ","פוליגון")</f>
        <v>עץ</v>
      </c>
      <c r="B191" s="152">
        <f>סקר!B287</f>
        <v>0</v>
      </c>
      <c r="C191" s="152">
        <f>IF(סקר!D287&lt;2,1,סקר!D287)</f>
        <v>1</v>
      </c>
      <c r="D191" s="152">
        <f>סקר!C287</f>
        <v>0</v>
      </c>
      <c r="E191" s="152" t="str">
        <f>IFERROR(VLOOKUP(F191,[1]TreeType!$A:$E,5,0),"")</f>
        <v/>
      </c>
      <c r="F191" s="153" t="str">
        <f>IFERROR(VLOOKUP(D191,[1]TreeType!$A:$B,2,0),"")</f>
        <v/>
      </c>
      <c r="G191" s="72">
        <f>IF(B191&gt;0,IF(סקר!E287=0,1,סקר!E287),0)</f>
        <v>0</v>
      </c>
      <c r="H191" s="72">
        <f>IF(B191&gt;0,IF(סקר!F287 = 0,1,סקר!F287),0)</f>
        <v>0</v>
      </c>
      <c r="I191" s="152">
        <f>סקר!G287</f>
        <v>0</v>
      </c>
      <c r="J191" s="152">
        <f>סקר!H287</f>
        <v>0</v>
      </c>
      <c r="K191" s="152" t="e">
        <f>IF(D191="","",VLOOKUP(D191,[1]TreeType!$A$2:$E$508,3,3))</f>
        <v>#N/A</v>
      </c>
      <c r="L191" s="152">
        <f>IF(D191&gt;0,IF(סקר!M287=0,1,IF(סקר!M287=0,1,סקר!M287)),0)</f>
        <v>0</v>
      </c>
      <c r="M191" s="152">
        <f>סקר!J287</f>
        <v>0</v>
      </c>
      <c r="N191" s="152">
        <f>IF(D191&gt;0,IF(סקר!K287=0,1,IF(סקר!K287=0,1,סקר!K287)),0)</f>
        <v>0</v>
      </c>
      <c r="O191" s="152" t="e">
        <f t="shared" si="5"/>
        <v>#N/A</v>
      </c>
      <c r="P191" s="152">
        <f>IF(B191&gt;0,IF(סקר!O287 &lt;=1,1,סקר!O287),0)</f>
        <v>0</v>
      </c>
      <c r="Q191" s="152">
        <f>סקר!P287</f>
        <v>0</v>
      </c>
      <c r="R191" s="152">
        <f>סקר!R287</f>
        <v>0</v>
      </c>
      <c r="S191" s="152">
        <f>סקר!BC287</f>
        <v>0</v>
      </c>
      <c r="T191" s="156"/>
    </row>
    <row r="192" spans="1:20">
      <c r="A192" s="152" t="str">
        <f>IF(סקר!D288&lt;2,"עץ","פוליגון")</f>
        <v>עץ</v>
      </c>
      <c r="B192" s="152">
        <f>סקר!B288</f>
        <v>0</v>
      </c>
      <c r="C192" s="152">
        <f>IF(סקר!D288&lt;2,1,סקר!D288)</f>
        <v>1</v>
      </c>
      <c r="D192" s="152">
        <f>סקר!C288</f>
        <v>0</v>
      </c>
      <c r="E192" s="152" t="str">
        <f>IFERROR(VLOOKUP(F192,[1]TreeType!$A:$E,5,0),"")</f>
        <v/>
      </c>
      <c r="F192" s="153" t="str">
        <f>IFERROR(VLOOKUP(D192,[1]TreeType!$A:$B,2,0),"")</f>
        <v/>
      </c>
      <c r="G192" s="72">
        <f>IF(B192&gt;0,IF(סקר!E288=0,1,סקר!E288),0)</f>
        <v>0</v>
      </c>
      <c r="H192" s="72">
        <f>IF(B192&gt;0,IF(סקר!F288 = 0,1,סקר!F288),0)</f>
        <v>0</v>
      </c>
      <c r="I192" s="152">
        <f>סקר!G288</f>
        <v>0</v>
      </c>
      <c r="J192" s="152">
        <f>סקר!H288</f>
        <v>0</v>
      </c>
      <c r="K192" s="152" t="e">
        <f>IF(D192="","",VLOOKUP(D192,[1]TreeType!$A$2:$E$508,3,3))</f>
        <v>#N/A</v>
      </c>
      <c r="L192" s="152">
        <f>IF(D192&gt;0,IF(סקר!M288=0,1,IF(סקר!M288=0,1,סקר!M288)),0)</f>
        <v>0</v>
      </c>
      <c r="M192" s="152">
        <f>סקר!J288</f>
        <v>0</v>
      </c>
      <c r="N192" s="152">
        <f>IF(D192&gt;0,IF(סקר!K288=0,1,IF(סקר!K288=0,1,סקר!K288)),0)</f>
        <v>0</v>
      </c>
      <c r="O192" s="152" t="e">
        <f t="shared" si="5"/>
        <v>#N/A</v>
      </c>
      <c r="P192" s="152">
        <f>IF(B192&gt;0,IF(סקר!O288 &lt;=1,1,סקר!O288),0)</f>
        <v>0</v>
      </c>
      <c r="Q192" s="152">
        <f>סקר!P288</f>
        <v>0</v>
      </c>
      <c r="R192" s="152">
        <f>סקר!R288</f>
        <v>0</v>
      </c>
      <c r="S192" s="152">
        <f>סקר!BC288</f>
        <v>0</v>
      </c>
      <c r="T192" s="156"/>
    </row>
    <row r="193" spans="1:20">
      <c r="A193" s="152" t="str">
        <f>IF(סקר!D289&lt;2,"עץ","פוליגון")</f>
        <v>עץ</v>
      </c>
      <c r="B193" s="152">
        <f>סקר!B289</f>
        <v>0</v>
      </c>
      <c r="C193" s="152">
        <f>IF(סקר!D289&lt;2,1,סקר!D289)</f>
        <v>1</v>
      </c>
      <c r="D193" s="152">
        <f>סקר!C289</f>
        <v>0</v>
      </c>
      <c r="E193" s="152" t="str">
        <f>IFERROR(VLOOKUP(F193,[1]TreeType!$A:$E,5,0),"")</f>
        <v/>
      </c>
      <c r="F193" s="153" t="str">
        <f>IFERROR(VLOOKUP(D193,[1]TreeType!$A:$B,2,0),"")</f>
        <v/>
      </c>
      <c r="G193" s="72">
        <f>IF(B193&gt;0,IF(סקר!E289=0,1,סקר!E289),0)</f>
        <v>0</v>
      </c>
      <c r="H193" s="72">
        <f>IF(B193&gt;0,IF(סקר!F289 = 0,1,סקר!F289),0)</f>
        <v>0</v>
      </c>
      <c r="I193" s="152">
        <f>סקר!G289</f>
        <v>0</v>
      </c>
      <c r="J193" s="152">
        <f>סקר!H289</f>
        <v>0</v>
      </c>
      <c r="K193" s="152" t="e">
        <f>IF(D193="","",VLOOKUP(D193,[1]TreeType!$A$2:$E$508,3,3))</f>
        <v>#N/A</v>
      </c>
      <c r="L193" s="152">
        <f>IF(D193&gt;0,IF(סקר!M289=0,1,IF(סקר!M289=0,1,סקר!M289)),0)</f>
        <v>0</v>
      </c>
      <c r="M193" s="152">
        <f>סקר!J289</f>
        <v>0</v>
      </c>
      <c r="N193" s="152">
        <f>IF(D193&gt;0,IF(סקר!K289=0,1,IF(סקר!K289=0,1,סקר!K289)),0)</f>
        <v>0</v>
      </c>
      <c r="O193" s="152" t="e">
        <f t="shared" si="5"/>
        <v>#N/A</v>
      </c>
      <c r="P193" s="152">
        <f>IF(B193&gt;0,IF(סקר!O289 &lt;=1,1,סקר!O289),0)</f>
        <v>0</v>
      </c>
      <c r="Q193" s="152">
        <f>סקר!P289</f>
        <v>0</v>
      </c>
      <c r="R193" s="152">
        <f>סקר!R289</f>
        <v>0</v>
      </c>
      <c r="S193" s="152">
        <f>סקר!BC289</f>
        <v>0</v>
      </c>
      <c r="T193" s="156"/>
    </row>
    <row r="194" spans="1:20">
      <c r="A194" s="152" t="str">
        <f>IF(סקר!D290&lt;2,"עץ","פוליגון")</f>
        <v>עץ</v>
      </c>
      <c r="B194" s="152">
        <f>סקר!B290</f>
        <v>0</v>
      </c>
      <c r="C194" s="152">
        <f>IF(סקר!D290&lt;2,1,סקר!D290)</f>
        <v>1</v>
      </c>
      <c r="D194" s="152">
        <f>סקר!C290</f>
        <v>0</v>
      </c>
      <c r="E194" s="152" t="str">
        <f>IFERROR(VLOOKUP(F194,[1]TreeType!$A:$E,5,0),"")</f>
        <v/>
      </c>
      <c r="F194" s="153" t="str">
        <f>IFERROR(VLOOKUP(D194,[1]TreeType!$A:$B,2,0),"")</f>
        <v/>
      </c>
      <c r="G194" s="72">
        <f>IF(B194&gt;0,IF(סקר!E290=0,1,סקר!E290),0)</f>
        <v>0</v>
      </c>
      <c r="H194" s="72">
        <f>IF(B194&gt;0,IF(סקר!F290 = 0,1,סקר!F290),0)</f>
        <v>0</v>
      </c>
      <c r="I194" s="152">
        <f>סקר!G290</f>
        <v>0</v>
      </c>
      <c r="J194" s="152">
        <f>סקר!H290</f>
        <v>0</v>
      </c>
      <c r="K194" s="152" t="e">
        <f>IF(D194="","",VLOOKUP(D194,[1]TreeType!$A$2:$E$508,3,3))</f>
        <v>#N/A</v>
      </c>
      <c r="L194" s="152">
        <f>IF(D194&gt;0,IF(סקר!M290=0,1,IF(סקר!M290=0,1,סקר!M290)),0)</f>
        <v>0</v>
      </c>
      <c r="M194" s="152">
        <f>סקר!J290</f>
        <v>0</v>
      </c>
      <c r="N194" s="152">
        <f>IF(D194&gt;0,IF(סקר!K290=0,1,IF(סקר!K290=0,1,סקר!K290)),0)</f>
        <v>0</v>
      </c>
      <c r="O194" s="152" t="e">
        <f t="shared" si="5"/>
        <v>#N/A</v>
      </c>
      <c r="P194" s="152">
        <f>IF(B194&gt;0,IF(סקר!O290 &lt;=1,1,סקר!O290),0)</f>
        <v>0</v>
      </c>
      <c r="Q194" s="152">
        <f>סקר!P290</f>
        <v>0</v>
      </c>
      <c r="R194" s="152">
        <f>סקר!R290</f>
        <v>0</v>
      </c>
      <c r="S194" s="152">
        <f>סקר!BC290</f>
        <v>0</v>
      </c>
      <c r="T194" s="156"/>
    </row>
    <row r="195" spans="1:20">
      <c r="A195" s="152" t="str">
        <f>IF(סקר!D291&lt;2,"עץ","פוליגון")</f>
        <v>עץ</v>
      </c>
      <c r="B195" s="152">
        <f>סקר!B291</f>
        <v>0</v>
      </c>
      <c r="C195" s="152">
        <f>IF(סקר!D291&lt;2,1,סקר!D291)</f>
        <v>1</v>
      </c>
      <c r="D195" s="152">
        <f>סקר!C291</f>
        <v>0</v>
      </c>
      <c r="E195" s="152" t="str">
        <f>IFERROR(VLOOKUP(F195,[1]TreeType!$A:$E,5,0),"")</f>
        <v/>
      </c>
      <c r="F195" s="153" t="str">
        <f>IFERROR(VLOOKUP(D195,[1]TreeType!$A:$B,2,0),"")</f>
        <v/>
      </c>
      <c r="G195" s="72">
        <f>IF(B195&gt;0,IF(סקר!E291=0,1,סקר!E291),0)</f>
        <v>0</v>
      </c>
      <c r="H195" s="72">
        <f>IF(B195&gt;0,IF(סקר!F291 = 0,1,סקר!F291),0)</f>
        <v>0</v>
      </c>
      <c r="I195" s="152">
        <f>סקר!G291</f>
        <v>0</v>
      </c>
      <c r="J195" s="152">
        <f>סקר!H291</f>
        <v>0</v>
      </c>
      <c r="K195" s="152" t="e">
        <f>IF(D195="","",VLOOKUP(D195,[1]TreeType!$A$2:$E$508,3,3))</f>
        <v>#N/A</v>
      </c>
      <c r="L195" s="152">
        <f>IF(D195&gt;0,IF(סקר!M291=0,1,IF(סקר!M291=0,1,סקר!M291)),0)</f>
        <v>0</v>
      </c>
      <c r="M195" s="152">
        <f>סקר!J291</f>
        <v>0</v>
      </c>
      <c r="N195" s="152">
        <f>IF(D195&gt;0,IF(סקר!K291=0,1,IF(סקר!K291=0,1,סקר!K291)),0)</f>
        <v>0</v>
      </c>
      <c r="O195" s="152" t="e">
        <f t="shared" si="5"/>
        <v>#N/A</v>
      </c>
      <c r="P195" s="152">
        <f>IF(B195&gt;0,IF(סקר!O291 &lt;=1,1,סקר!O291),0)</f>
        <v>0</v>
      </c>
      <c r="Q195" s="152">
        <f>סקר!P291</f>
        <v>0</v>
      </c>
      <c r="R195" s="152">
        <f>סקר!R291</f>
        <v>0</v>
      </c>
      <c r="S195" s="152">
        <f>סקר!BC291</f>
        <v>0</v>
      </c>
      <c r="T195" s="156"/>
    </row>
    <row r="196" spans="1:20">
      <c r="A196" s="152" t="str">
        <f>IF(סקר!D292&lt;2,"עץ","פוליגון")</f>
        <v>עץ</v>
      </c>
      <c r="B196" s="152">
        <f>סקר!B292</f>
        <v>0</v>
      </c>
      <c r="C196" s="152">
        <f>IF(סקר!D292&lt;2,1,סקר!D292)</f>
        <v>1</v>
      </c>
      <c r="D196" s="152">
        <f>סקר!C292</f>
        <v>0</v>
      </c>
      <c r="E196" s="152" t="str">
        <f>IFERROR(VLOOKUP(F196,[1]TreeType!$A:$E,5,0),"")</f>
        <v/>
      </c>
      <c r="F196" s="153" t="str">
        <f>IFERROR(VLOOKUP(D196,[1]TreeType!$A:$B,2,0),"")</f>
        <v/>
      </c>
      <c r="G196" s="72">
        <f>IF(B196&gt;0,IF(סקר!E292=0,1,סקר!E292),0)</f>
        <v>0</v>
      </c>
      <c r="H196" s="72">
        <f>IF(B196&gt;0,IF(סקר!F292 = 0,1,סקר!F292),0)</f>
        <v>0</v>
      </c>
      <c r="I196" s="152">
        <f>סקר!G292</f>
        <v>0</v>
      </c>
      <c r="J196" s="152">
        <f>סקר!H292</f>
        <v>0</v>
      </c>
      <c r="K196" s="152" t="e">
        <f>IF(D196="","",VLOOKUP(D196,[1]TreeType!$A$2:$E$508,3,3))</f>
        <v>#N/A</v>
      </c>
      <c r="L196" s="152">
        <f>IF(D196&gt;0,IF(סקר!M292=0,1,IF(סקר!M292=0,1,סקר!M292)),0)</f>
        <v>0</v>
      </c>
      <c r="M196" s="152">
        <f>סקר!J292</f>
        <v>0</v>
      </c>
      <c r="N196" s="152">
        <f>IF(D196&gt;0,IF(סקר!K292=0,1,IF(סקר!K292=0,1,סקר!K292)),0)</f>
        <v>0</v>
      </c>
      <c r="O196" s="152" t="e">
        <f t="shared" si="5"/>
        <v>#N/A</v>
      </c>
      <c r="P196" s="152">
        <f>IF(B196&gt;0,IF(סקר!O292 &lt;=1,1,סקר!O292),0)</f>
        <v>0</v>
      </c>
      <c r="Q196" s="152">
        <f>סקר!P292</f>
        <v>0</v>
      </c>
      <c r="R196" s="152">
        <f>סקר!R292</f>
        <v>0</v>
      </c>
      <c r="S196" s="152">
        <f>סקר!BC292</f>
        <v>0</v>
      </c>
      <c r="T196" s="156"/>
    </row>
    <row r="197" spans="1:20">
      <c r="A197" s="152" t="str">
        <f>IF(סקר!D293&lt;2,"עץ","פוליגון")</f>
        <v>עץ</v>
      </c>
      <c r="B197" s="152">
        <f>סקר!B293</f>
        <v>0</v>
      </c>
      <c r="C197" s="152">
        <f>IF(סקר!D293&lt;2,1,סקר!D293)</f>
        <v>1</v>
      </c>
      <c r="D197" s="152">
        <f>סקר!C293</f>
        <v>0</v>
      </c>
      <c r="E197" s="152" t="str">
        <f>IFERROR(VLOOKUP(F197,[1]TreeType!$A:$E,5,0),"")</f>
        <v/>
      </c>
      <c r="F197" s="153" t="str">
        <f>IFERROR(VLOOKUP(D197,[1]TreeType!$A:$B,2,0),"")</f>
        <v/>
      </c>
      <c r="G197" s="72">
        <f>IF(B197&gt;0,IF(סקר!E293=0,1,סקר!E293),0)</f>
        <v>0</v>
      </c>
      <c r="H197" s="72">
        <f>IF(B197&gt;0,IF(סקר!F293 = 0,1,סקר!F293),0)</f>
        <v>0</v>
      </c>
      <c r="I197" s="152">
        <f>סקר!G293</f>
        <v>0</v>
      </c>
      <c r="J197" s="152">
        <f>סקר!H293</f>
        <v>0</v>
      </c>
      <c r="K197" s="152" t="e">
        <f>IF(D197="","",VLOOKUP(D197,[1]TreeType!$A$2:$E$508,3,3))</f>
        <v>#N/A</v>
      </c>
      <c r="L197" s="152">
        <f>IF(D197&gt;0,IF(סקר!M293=0,1,IF(סקר!M293=0,1,סקר!M293)),0)</f>
        <v>0</v>
      </c>
      <c r="M197" s="152">
        <f>סקר!J293</f>
        <v>0</v>
      </c>
      <c r="N197" s="152">
        <f>IF(D197&gt;0,IF(סקר!K293=0,1,IF(סקר!K293=0,1,סקר!K293)),0)</f>
        <v>0</v>
      </c>
      <c r="O197" s="152" t="e">
        <f t="shared" si="5"/>
        <v>#N/A</v>
      </c>
      <c r="P197" s="152">
        <f>IF(B197&gt;0,IF(סקר!O293 &lt;=1,1,סקר!O293),0)</f>
        <v>0</v>
      </c>
      <c r="Q197" s="152">
        <f>סקר!P293</f>
        <v>0</v>
      </c>
      <c r="R197" s="152">
        <f>סקר!R293</f>
        <v>0</v>
      </c>
      <c r="S197" s="152">
        <f>סקר!BC293</f>
        <v>0</v>
      </c>
      <c r="T197" s="156"/>
    </row>
    <row r="198" spans="1:20">
      <c r="A198" s="152" t="str">
        <f>IF(סקר!D294&lt;2,"עץ","פוליגון")</f>
        <v>עץ</v>
      </c>
      <c r="B198" s="152">
        <f>סקר!B294</f>
        <v>0</v>
      </c>
      <c r="C198" s="152">
        <f>IF(סקר!D294&lt;2,1,סקר!D294)</f>
        <v>1</v>
      </c>
      <c r="D198" s="152">
        <f>סקר!C294</f>
        <v>0</v>
      </c>
      <c r="E198" s="152" t="str">
        <f>IFERROR(VLOOKUP(F198,[1]TreeType!$A:$E,5,0),"")</f>
        <v/>
      </c>
      <c r="F198" s="153" t="str">
        <f>IFERROR(VLOOKUP(D198,[1]TreeType!$A:$B,2,0),"")</f>
        <v/>
      </c>
      <c r="G198" s="72">
        <f>IF(B198&gt;0,IF(סקר!E294=0,1,סקר!E294),0)</f>
        <v>0</v>
      </c>
      <c r="H198" s="72">
        <f>IF(B198&gt;0,IF(סקר!F294 = 0,1,סקר!F294),0)</f>
        <v>0</v>
      </c>
      <c r="I198" s="152">
        <f>סקר!G294</f>
        <v>0</v>
      </c>
      <c r="J198" s="152">
        <f>סקר!H294</f>
        <v>0</v>
      </c>
      <c r="K198" s="152" t="e">
        <f>IF(D198="","",VLOOKUP(D198,[1]TreeType!$A$2:$E$508,3,3))</f>
        <v>#N/A</v>
      </c>
      <c r="L198" s="152">
        <f>IF(D198&gt;0,IF(סקר!M294=0,1,IF(סקר!M294=0,1,סקר!M294)),0)</f>
        <v>0</v>
      </c>
      <c r="M198" s="152">
        <f>סקר!J294</f>
        <v>0</v>
      </c>
      <c r="N198" s="152">
        <f>IF(D198&gt;0,IF(סקר!K294=0,1,IF(סקר!K294=0,1,סקר!K294)),0)</f>
        <v>0</v>
      </c>
      <c r="O198" s="152" t="e">
        <f t="shared" si="5"/>
        <v>#N/A</v>
      </c>
      <c r="P198" s="152">
        <f>IF(B198&gt;0,IF(סקר!O294 &lt;=1,1,סקר!O294),0)</f>
        <v>0</v>
      </c>
      <c r="Q198" s="152">
        <f>סקר!P294</f>
        <v>0</v>
      </c>
      <c r="R198" s="152">
        <f>סקר!R294</f>
        <v>0</v>
      </c>
      <c r="S198" s="152">
        <f>סקר!BC294</f>
        <v>0</v>
      </c>
      <c r="T198" s="156"/>
    </row>
    <row r="199" spans="1:20">
      <c r="A199" s="152" t="str">
        <f>IF(סקר!D295&lt;2,"עץ","פוליגון")</f>
        <v>עץ</v>
      </c>
      <c r="B199" s="152">
        <f>סקר!B295</f>
        <v>0</v>
      </c>
      <c r="C199" s="152">
        <f>IF(סקר!D295&lt;2,1,סקר!D295)</f>
        <v>1</v>
      </c>
      <c r="D199" s="152">
        <f>סקר!C295</f>
        <v>0</v>
      </c>
      <c r="E199" s="152" t="str">
        <f>IFERROR(VLOOKUP(F199,[1]TreeType!$A:$E,5,0),"")</f>
        <v/>
      </c>
      <c r="F199" s="153" t="str">
        <f>IFERROR(VLOOKUP(D199,[1]TreeType!$A:$B,2,0),"")</f>
        <v/>
      </c>
      <c r="G199" s="72">
        <f>IF(B199&gt;0,IF(סקר!E295=0,1,סקר!E295),0)</f>
        <v>0</v>
      </c>
      <c r="H199" s="72">
        <f>IF(B199&gt;0,IF(סקר!F295 = 0,1,סקר!F295),0)</f>
        <v>0</v>
      </c>
      <c r="I199" s="152">
        <f>סקר!G295</f>
        <v>0</v>
      </c>
      <c r="J199" s="152">
        <f>סקר!H295</f>
        <v>0</v>
      </c>
      <c r="K199" s="152" t="e">
        <f>IF(D199="","",VLOOKUP(D199,[1]TreeType!$A$2:$E$508,3,3))</f>
        <v>#N/A</v>
      </c>
      <c r="L199" s="152">
        <f>IF(D199&gt;0,IF(סקר!M295=0,1,IF(סקר!M295=0,1,סקר!M295)),0)</f>
        <v>0</v>
      </c>
      <c r="M199" s="152">
        <f>סקר!J295</f>
        <v>0</v>
      </c>
      <c r="N199" s="152">
        <f>IF(D199&gt;0,IF(סקר!K295=0,1,IF(סקר!K295=0,1,סקר!K295)),0)</f>
        <v>0</v>
      </c>
      <c r="O199" s="152" t="e">
        <f t="shared" si="5"/>
        <v>#N/A</v>
      </c>
      <c r="P199" s="152">
        <f>IF(B199&gt;0,IF(סקר!O295 &lt;=1,1,סקר!O295),0)</f>
        <v>0</v>
      </c>
      <c r="Q199" s="152">
        <f>סקר!P295</f>
        <v>0</v>
      </c>
      <c r="R199" s="152">
        <f>סקר!R295</f>
        <v>0</v>
      </c>
      <c r="S199" s="152">
        <f>סקר!BC295</f>
        <v>0</v>
      </c>
      <c r="T199" s="156"/>
    </row>
    <row r="200" spans="1:20">
      <c r="A200" s="152" t="str">
        <f>IF(סקר!D296&lt;2,"עץ","פוליגון")</f>
        <v>עץ</v>
      </c>
      <c r="B200" s="152">
        <f>סקר!B296</f>
        <v>0</v>
      </c>
      <c r="C200" s="152">
        <f>IF(סקר!D296&lt;2,1,סקר!D296)</f>
        <v>1</v>
      </c>
      <c r="D200" s="152">
        <f>סקר!C296</f>
        <v>0</v>
      </c>
      <c r="E200" s="152" t="str">
        <f>IFERROR(VLOOKUP(F200,[1]TreeType!$A:$E,5,0),"")</f>
        <v/>
      </c>
      <c r="F200" s="153" t="str">
        <f>IFERROR(VLOOKUP(D200,[1]TreeType!$A:$B,2,0),"")</f>
        <v/>
      </c>
      <c r="G200" s="72">
        <f>IF(B200&gt;0,IF(סקר!E296=0,1,סקר!E296),0)</f>
        <v>0</v>
      </c>
      <c r="H200" s="72">
        <f>IF(B200&gt;0,IF(סקר!F296 = 0,1,סקר!F296),0)</f>
        <v>0</v>
      </c>
      <c r="I200" s="152">
        <f>סקר!G296</f>
        <v>0</v>
      </c>
      <c r="J200" s="152">
        <f>סקר!H296</f>
        <v>0</v>
      </c>
      <c r="K200" s="152" t="e">
        <f>IF(D200="","",VLOOKUP(D200,[1]TreeType!$A$2:$E$508,3,3))</f>
        <v>#N/A</v>
      </c>
      <c r="L200" s="152">
        <f>IF(D200&gt;0,IF(סקר!M296=0,1,IF(סקר!M296=0,1,סקר!M296)),0)</f>
        <v>0</v>
      </c>
      <c r="M200" s="152">
        <f>סקר!J296</f>
        <v>0</v>
      </c>
      <c r="N200" s="152">
        <f>IF(D200&gt;0,IF(סקר!K296=0,1,IF(סקר!K296=0,1,סקר!K296)),0)</f>
        <v>0</v>
      </c>
      <c r="O200" s="152" t="e">
        <f t="shared" si="5"/>
        <v>#N/A</v>
      </c>
      <c r="P200" s="152">
        <f>IF(B200&gt;0,IF(סקר!O296 &lt;=1,1,סקר!O296),0)</f>
        <v>0</v>
      </c>
      <c r="Q200" s="152">
        <f>סקר!P296</f>
        <v>0</v>
      </c>
      <c r="R200" s="152">
        <f>סקר!R296</f>
        <v>0</v>
      </c>
      <c r="S200" s="152">
        <f>סקר!BC296</f>
        <v>0</v>
      </c>
      <c r="T200" s="156"/>
    </row>
    <row r="201" spans="1:20">
      <c r="A201" s="152" t="str">
        <f>IF(סקר!D297&lt;2,"עץ","פוליגון")</f>
        <v>עץ</v>
      </c>
      <c r="B201" s="152">
        <f>סקר!B297</f>
        <v>0</v>
      </c>
      <c r="C201" s="152">
        <f>IF(סקר!D297&lt;2,1,סקר!D297)</f>
        <v>1</v>
      </c>
      <c r="D201" s="152">
        <f>סקר!C297</f>
        <v>0</v>
      </c>
      <c r="E201" s="152" t="str">
        <f>IFERROR(VLOOKUP(F201,[1]TreeType!$A:$E,5,0),"")</f>
        <v/>
      </c>
      <c r="F201" s="153" t="str">
        <f>IFERROR(VLOOKUP(D201,[1]TreeType!$A:$B,2,0),"")</f>
        <v/>
      </c>
      <c r="G201" s="72">
        <f>IF(B201&gt;0,IF(סקר!E297=0,1,סקר!E297),0)</f>
        <v>0</v>
      </c>
      <c r="H201" s="72">
        <f>IF(B201&gt;0,IF(סקר!F297 = 0,1,סקר!F297),0)</f>
        <v>0</v>
      </c>
      <c r="I201" s="152">
        <f>סקר!G297</f>
        <v>0</v>
      </c>
      <c r="J201" s="152">
        <f>סקר!H297</f>
        <v>0</v>
      </c>
      <c r="K201" s="152" t="e">
        <f>IF(D201="","",VLOOKUP(D201,[1]TreeType!$A$2:$E$508,3,3))</f>
        <v>#N/A</v>
      </c>
      <c r="L201" s="152">
        <f>IF(D201&gt;0,IF(סקר!M297=0,1,IF(סקר!M297=0,1,סקר!M297)),0)</f>
        <v>0</v>
      </c>
      <c r="M201" s="152">
        <f>סקר!J297</f>
        <v>0</v>
      </c>
      <c r="N201" s="152">
        <f>IF(D201&gt;0,IF(סקר!K297=0,1,IF(סקר!K297=0,1,סקר!K297)),0)</f>
        <v>0</v>
      </c>
      <c r="O201" s="152" t="e">
        <f t="shared" si="5"/>
        <v>#N/A</v>
      </c>
      <c r="P201" s="152">
        <f>IF(B201&gt;0,IF(סקר!O297 &lt;=1,1,סקר!O297),0)</f>
        <v>0</v>
      </c>
      <c r="Q201" s="152">
        <f>סקר!P297</f>
        <v>0</v>
      </c>
      <c r="R201" s="152">
        <f>סקר!R297</f>
        <v>0</v>
      </c>
      <c r="S201" s="152">
        <f>סקר!BC297</f>
        <v>0</v>
      </c>
      <c r="T201" s="156"/>
    </row>
    <row r="202" spans="1:20">
      <c r="A202" s="152" t="str">
        <f>IF(סקר!D298&lt;2,"עץ","פוליגון")</f>
        <v>עץ</v>
      </c>
      <c r="B202" s="152">
        <f>סקר!B298</f>
        <v>0</v>
      </c>
      <c r="C202" s="152">
        <f>IF(סקר!D298&lt;2,1,סקר!D298)</f>
        <v>1</v>
      </c>
      <c r="D202" s="152">
        <f>סקר!C298</f>
        <v>0</v>
      </c>
      <c r="E202" s="152" t="str">
        <f>IFERROR(VLOOKUP(F202,[1]TreeType!$A:$E,5,0),"")</f>
        <v/>
      </c>
      <c r="F202" s="153" t="str">
        <f>IFERROR(VLOOKUP(D202,[1]TreeType!$A:$B,2,0),"")</f>
        <v/>
      </c>
      <c r="G202" s="72">
        <f>IF(B202&gt;0,IF(סקר!E298=0,1,סקר!E298),0)</f>
        <v>0</v>
      </c>
      <c r="H202" s="72">
        <f>IF(B202&gt;0,IF(סקר!F298 = 0,1,סקר!F298),0)</f>
        <v>0</v>
      </c>
      <c r="I202" s="152">
        <f>סקר!G298</f>
        <v>0</v>
      </c>
      <c r="J202" s="152">
        <f>סקר!H298</f>
        <v>0</v>
      </c>
      <c r="K202" s="152" t="e">
        <f>IF(D202="","",VLOOKUP(D202,[1]TreeType!$A$2:$E$508,3,3))</f>
        <v>#N/A</v>
      </c>
      <c r="L202" s="152">
        <f>IF(D202&gt;0,IF(סקר!M298=0,1,IF(סקר!M298=0,1,סקר!M298)),0)</f>
        <v>0</v>
      </c>
      <c r="M202" s="152">
        <f>סקר!J298</f>
        <v>0</v>
      </c>
      <c r="N202" s="152">
        <f>IF(D202&gt;0,IF(סקר!K298=0,1,IF(סקר!K298=0,1,סקר!K298)),0)</f>
        <v>0</v>
      </c>
      <c r="O202" s="152" t="e">
        <f t="shared" si="5"/>
        <v>#N/A</v>
      </c>
      <c r="P202" s="152">
        <f>IF(B202&gt;0,IF(סקר!O298 &lt;=1,1,סקר!O298),0)</f>
        <v>0</v>
      </c>
      <c r="Q202" s="152">
        <f>סקר!P298</f>
        <v>0</v>
      </c>
      <c r="R202" s="152">
        <f>סקר!R298</f>
        <v>0</v>
      </c>
      <c r="S202" s="152">
        <f>סקר!BC298</f>
        <v>0</v>
      </c>
      <c r="T202" s="156"/>
    </row>
    <row r="203" spans="1:20">
      <c r="A203" s="152" t="str">
        <f>IF(סקר!D299&lt;2,"עץ","פוליגון")</f>
        <v>עץ</v>
      </c>
      <c r="B203" s="152">
        <f>סקר!B299</f>
        <v>0</v>
      </c>
      <c r="C203" s="152">
        <f>IF(סקר!D299&lt;2,1,סקר!D299)</f>
        <v>1</v>
      </c>
      <c r="D203" s="152">
        <f>סקר!C299</f>
        <v>0</v>
      </c>
      <c r="E203" s="152" t="str">
        <f>IFERROR(VLOOKUP(F203,[1]TreeType!$A:$E,5,0),"")</f>
        <v/>
      </c>
      <c r="F203" s="153" t="str">
        <f>IFERROR(VLOOKUP(D203,[1]TreeType!$A:$B,2,0),"")</f>
        <v/>
      </c>
      <c r="G203" s="72">
        <f>IF(B203&gt;0,IF(סקר!E299=0,1,סקר!E299),0)</f>
        <v>0</v>
      </c>
      <c r="H203" s="72">
        <f>IF(B203&gt;0,IF(סקר!F299 = 0,1,סקר!F299),0)</f>
        <v>0</v>
      </c>
      <c r="I203" s="152">
        <f>סקר!G299</f>
        <v>0</v>
      </c>
      <c r="J203" s="152">
        <f>סקר!H299</f>
        <v>0</v>
      </c>
      <c r="K203" s="152" t="e">
        <f>IF(D203="","",VLOOKUP(D203,[1]TreeType!$A$2:$E$508,3,3))</f>
        <v>#N/A</v>
      </c>
      <c r="L203" s="152">
        <f>IF(D203&gt;0,IF(סקר!M299=0,1,IF(סקר!M299=0,1,סקר!M299)),0)</f>
        <v>0</v>
      </c>
      <c r="M203" s="152">
        <f>סקר!J299</f>
        <v>0</v>
      </c>
      <c r="N203" s="152">
        <f>IF(D203&gt;0,IF(סקר!K299=0,1,IF(סקר!K299=0,1,סקר!K299)),0)</f>
        <v>0</v>
      </c>
      <c r="O203" s="152" t="e">
        <f t="shared" si="5"/>
        <v>#N/A</v>
      </c>
      <c r="P203" s="152">
        <f>IF(B203&gt;0,IF(סקר!O299 &lt;=1,1,סקר!O299),0)</f>
        <v>0</v>
      </c>
      <c r="Q203" s="152">
        <f>סקר!P299</f>
        <v>0</v>
      </c>
      <c r="R203" s="152">
        <f>סקר!R299</f>
        <v>0</v>
      </c>
      <c r="S203" s="152">
        <f>סקר!BC299</f>
        <v>0</v>
      </c>
      <c r="T203" s="156"/>
    </row>
    <row r="204" spans="1:20">
      <c r="A204" s="152" t="str">
        <f>IF(סקר!D300&lt;2,"עץ","פוליגון")</f>
        <v>עץ</v>
      </c>
      <c r="B204" s="152">
        <f>סקר!B300</f>
        <v>0</v>
      </c>
      <c r="C204" s="152">
        <f>IF(סקר!D300&lt;2,1,סקר!D300)</f>
        <v>1</v>
      </c>
      <c r="D204" s="152">
        <f>סקר!C300</f>
        <v>0</v>
      </c>
      <c r="E204" s="152" t="str">
        <f>IFERROR(VLOOKUP(F204,[1]TreeType!$A:$E,5,0),"")</f>
        <v/>
      </c>
      <c r="F204" s="153" t="str">
        <f>IFERROR(VLOOKUP(D204,[1]TreeType!$A:$B,2,0),"")</f>
        <v/>
      </c>
      <c r="G204" s="72">
        <f>IF(B204&gt;0,IF(סקר!E300=0,1,סקר!E300),0)</f>
        <v>0</v>
      </c>
      <c r="H204" s="72">
        <f>IF(B204&gt;0,IF(סקר!F300 = 0,1,סקר!F300),0)</f>
        <v>0</v>
      </c>
      <c r="I204" s="152">
        <f>סקר!G300</f>
        <v>0</v>
      </c>
      <c r="J204" s="152">
        <f>סקר!H300</f>
        <v>0</v>
      </c>
      <c r="K204" s="152" t="e">
        <f>IF(D204="","",VLOOKUP(D204,[1]TreeType!$A$2:$E$508,3,3))</f>
        <v>#N/A</v>
      </c>
      <c r="L204" s="152">
        <f>IF(D204&gt;0,IF(סקר!M300=0,1,IF(סקר!M300=0,1,סקר!M300)),0)</f>
        <v>0</v>
      </c>
      <c r="M204" s="152">
        <f>סקר!J300</f>
        <v>0</v>
      </c>
      <c r="N204" s="152">
        <f>IF(D204&gt;0,IF(סקר!K300=0,1,IF(סקר!K300=0,1,סקר!K300)),0)</f>
        <v>0</v>
      </c>
      <c r="O204" s="152" t="e">
        <f t="shared" si="5"/>
        <v>#N/A</v>
      </c>
      <c r="P204" s="152">
        <f>IF(B204&gt;0,IF(סקר!O300 &lt;=1,1,סקר!O300),0)</f>
        <v>0</v>
      </c>
      <c r="Q204" s="152">
        <f>סקר!P300</f>
        <v>0</v>
      </c>
      <c r="R204" s="152">
        <f>סקר!R300</f>
        <v>0</v>
      </c>
      <c r="S204" s="152">
        <f>סקר!BC300</f>
        <v>0</v>
      </c>
      <c r="T204" s="156"/>
    </row>
    <row r="205" spans="1:20">
      <c r="A205" s="152" t="str">
        <f>IF(סקר!D301&lt;2,"עץ","פוליגון")</f>
        <v>עץ</v>
      </c>
      <c r="B205" s="152">
        <f>סקר!B301</f>
        <v>0</v>
      </c>
      <c r="C205" s="152">
        <f>IF(סקר!D301&lt;2,1,סקר!D301)</f>
        <v>1</v>
      </c>
      <c r="D205" s="152">
        <f>סקר!C301</f>
        <v>0</v>
      </c>
      <c r="E205" s="152" t="str">
        <f>IFERROR(VLOOKUP(F205,[1]TreeType!$A:$E,5,0),"")</f>
        <v/>
      </c>
      <c r="F205" s="153" t="str">
        <f>IFERROR(VLOOKUP(D205,[1]TreeType!$A:$B,2,0),"")</f>
        <v/>
      </c>
      <c r="G205" s="72">
        <f>IF(B205&gt;0,IF(סקר!E301=0,1,סקר!E301),0)</f>
        <v>0</v>
      </c>
      <c r="H205" s="72">
        <f>IF(B205&gt;0,IF(סקר!F301 = 0,1,סקר!F301),0)</f>
        <v>0</v>
      </c>
      <c r="I205" s="152">
        <f>סקר!G301</f>
        <v>0</v>
      </c>
      <c r="J205" s="152">
        <f>סקר!H301</f>
        <v>0</v>
      </c>
      <c r="K205" s="152" t="e">
        <f>IF(D205="","",VLOOKUP(D205,[1]TreeType!$A$2:$E$508,3,3))</f>
        <v>#N/A</v>
      </c>
      <c r="L205" s="152">
        <f>IF(D205&gt;0,IF(סקר!M301=0,1,IF(סקר!M301=0,1,סקר!M301)),0)</f>
        <v>0</v>
      </c>
      <c r="M205" s="152">
        <f>סקר!J301</f>
        <v>0</v>
      </c>
      <c r="N205" s="152">
        <f>IF(D205&gt;0,IF(סקר!K301=0,1,IF(סקר!K301=0,1,סקר!K301)),0)</f>
        <v>0</v>
      </c>
      <c r="O205" s="152" t="e">
        <f t="shared" si="5"/>
        <v>#N/A</v>
      </c>
      <c r="P205" s="152">
        <f>IF(B205&gt;0,IF(סקר!O301 &lt;=1,1,סקר!O301),0)</f>
        <v>0</v>
      </c>
      <c r="Q205" s="152">
        <f>סקר!P301</f>
        <v>0</v>
      </c>
      <c r="R205" s="152">
        <f>סקר!R301</f>
        <v>0</v>
      </c>
      <c r="S205" s="152">
        <f>סקר!BC301</f>
        <v>0</v>
      </c>
      <c r="T205" s="156"/>
    </row>
    <row r="206" spans="1:20">
      <c r="A206" s="152" t="str">
        <f>IF(סקר!D302&lt;2,"עץ","פוליגון")</f>
        <v>עץ</v>
      </c>
      <c r="B206" s="152">
        <f>סקר!B302</f>
        <v>0</v>
      </c>
      <c r="C206" s="152">
        <f>IF(סקר!D302&lt;2,1,סקר!D302)</f>
        <v>1</v>
      </c>
      <c r="D206" s="152">
        <f>סקר!C302</f>
        <v>0</v>
      </c>
      <c r="E206" s="152" t="str">
        <f>IFERROR(VLOOKUP(F206,[1]TreeType!$A:$E,5,0),"")</f>
        <v/>
      </c>
      <c r="F206" s="153" t="str">
        <f>IFERROR(VLOOKUP(D206,[1]TreeType!$A:$B,2,0),"")</f>
        <v/>
      </c>
      <c r="G206" s="72">
        <f>IF(B206&gt;0,IF(סקר!E302=0,1,סקר!E302),0)</f>
        <v>0</v>
      </c>
      <c r="H206" s="72">
        <f>IF(B206&gt;0,IF(סקר!F302 = 0,1,סקר!F302),0)</f>
        <v>0</v>
      </c>
      <c r="I206" s="152">
        <f>סקר!G302</f>
        <v>0</v>
      </c>
      <c r="J206" s="152">
        <f>סקר!H302</f>
        <v>0</v>
      </c>
      <c r="K206" s="152" t="e">
        <f>IF(D206="","",VLOOKUP(D206,[1]TreeType!$A$2:$E$508,3,3))</f>
        <v>#N/A</v>
      </c>
      <c r="L206" s="152">
        <f>IF(D206&gt;0,IF(סקר!M302=0,1,IF(סקר!M302=0,1,סקר!M302)),0)</f>
        <v>0</v>
      </c>
      <c r="M206" s="152">
        <f>סקר!J302</f>
        <v>0</v>
      </c>
      <c r="N206" s="152">
        <f>IF(D206&gt;0,IF(סקר!K302=0,1,IF(סקר!K302=0,1,סקר!K302)),0)</f>
        <v>0</v>
      </c>
      <c r="O206" s="152" t="e">
        <f t="shared" si="5"/>
        <v>#N/A</v>
      </c>
      <c r="P206" s="152">
        <f>IF(B206&gt;0,IF(סקר!O302 &lt;=1,1,סקר!O302),0)</f>
        <v>0</v>
      </c>
      <c r="Q206" s="152">
        <f>סקר!P302</f>
        <v>0</v>
      </c>
      <c r="R206" s="152">
        <f>סקר!R302</f>
        <v>0</v>
      </c>
      <c r="S206" s="152">
        <f>סקר!BC302</f>
        <v>0</v>
      </c>
      <c r="T206" s="156"/>
    </row>
    <row r="207" spans="1:20">
      <c r="A207" s="152" t="str">
        <f>IF(סקר!D303&lt;2,"עץ","פוליגון")</f>
        <v>עץ</v>
      </c>
      <c r="B207" s="152">
        <f>סקר!B303</f>
        <v>0</v>
      </c>
      <c r="C207" s="152">
        <f>IF(סקר!D303&lt;2,1,סקר!D303)</f>
        <v>1</v>
      </c>
      <c r="D207" s="152">
        <f>סקר!C303</f>
        <v>0</v>
      </c>
      <c r="E207" s="152" t="str">
        <f>IFERROR(VLOOKUP(F207,[1]TreeType!$A:$E,5,0),"")</f>
        <v/>
      </c>
      <c r="F207" s="153" t="str">
        <f>IFERROR(VLOOKUP(D207,[1]TreeType!$A:$B,2,0),"")</f>
        <v/>
      </c>
      <c r="G207" s="72">
        <f>IF(B207&gt;0,IF(סקר!E303=0,1,סקר!E303),0)</f>
        <v>0</v>
      </c>
      <c r="H207" s="72">
        <f>IF(B207&gt;0,IF(סקר!F303 = 0,1,סקר!F303),0)</f>
        <v>0</v>
      </c>
      <c r="I207" s="152">
        <f>סקר!G303</f>
        <v>0</v>
      </c>
      <c r="J207" s="152">
        <f>סקר!H303</f>
        <v>0</v>
      </c>
      <c r="K207" s="152" t="e">
        <f>IF(D207="","",VLOOKUP(D207,[1]TreeType!$A$2:$E$508,3,3))</f>
        <v>#N/A</v>
      </c>
      <c r="L207" s="152">
        <f>IF(D207&gt;0,IF(סקר!M303=0,1,IF(סקר!M303=0,1,סקר!M303)),0)</f>
        <v>0</v>
      </c>
      <c r="M207" s="152">
        <f>סקר!J303</f>
        <v>0</v>
      </c>
      <c r="N207" s="152">
        <f>IF(D207&gt;0,IF(סקר!K303=0,1,IF(סקר!K303=0,1,סקר!K303)),0)</f>
        <v>0</v>
      </c>
      <c r="O207" s="152" t="e">
        <f t="shared" si="5"/>
        <v>#N/A</v>
      </c>
      <c r="P207" s="152">
        <f>IF(B207&gt;0,IF(סקר!O303 &lt;=1,1,סקר!O303),0)</f>
        <v>0</v>
      </c>
      <c r="Q207" s="152">
        <f>סקר!P303</f>
        <v>0</v>
      </c>
      <c r="R207" s="152">
        <f>סקר!R303</f>
        <v>0</v>
      </c>
      <c r="S207" s="152">
        <f>סקר!BC303</f>
        <v>0</v>
      </c>
      <c r="T207" s="156"/>
    </row>
    <row r="208" spans="1:20">
      <c r="A208" s="152" t="str">
        <f>IF(סקר!D304&lt;2,"עץ","פוליגון")</f>
        <v>עץ</v>
      </c>
      <c r="B208" s="152">
        <f>סקר!B304</f>
        <v>0</v>
      </c>
      <c r="C208" s="152">
        <f>IF(סקר!D304&lt;2,1,סקר!D304)</f>
        <v>1</v>
      </c>
      <c r="D208" s="152">
        <f>סקר!C304</f>
        <v>0</v>
      </c>
      <c r="E208" s="152" t="str">
        <f>IFERROR(VLOOKUP(F208,[1]TreeType!$A:$E,5,0),"")</f>
        <v/>
      </c>
      <c r="F208" s="153" t="str">
        <f>IFERROR(VLOOKUP(D208,[1]TreeType!$A:$B,2,0),"")</f>
        <v/>
      </c>
      <c r="G208" s="72">
        <f>IF(B208&gt;0,IF(סקר!E304=0,1,סקר!E304),0)</f>
        <v>0</v>
      </c>
      <c r="H208" s="72">
        <f>IF(B208&gt;0,IF(סקר!F304 = 0,1,סקר!F304),0)</f>
        <v>0</v>
      </c>
      <c r="I208" s="152">
        <f>סקר!G304</f>
        <v>0</v>
      </c>
      <c r="J208" s="152">
        <f>סקר!H304</f>
        <v>0</v>
      </c>
      <c r="K208" s="152" t="e">
        <f>IF(D208="","",VLOOKUP(D208,[1]TreeType!$A$2:$E$508,3,3))</f>
        <v>#N/A</v>
      </c>
      <c r="L208" s="152">
        <f>IF(D208&gt;0,IF(סקר!M304=0,1,IF(סקר!M304=0,1,סקר!M304)),0)</f>
        <v>0</v>
      </c>
      <c r="M208" s="152">
        <f>סקר!J304</f>
        <v>0</v>
      </c>
      <c r="N208" s="152">
        <f>IF(D208&gt;0,IF(סקר!K304=0,1,IF(סקר!K304=0,1,סקר!K304)),0)</f>
        <v>0</v>
      </c>
      <c r="O208" s="152" t="e">
        <f t="shared" si="5"/>
        <v>#N/A</v>
      </c>
      <c r="P208" s="152">
        <f>IF(B208&gt;0,IF(סקר!O304 &lt;=1,1,סקר!O304),0)</f>
        <v>0</v>
      </c>
      <c r="Q208" s="152">
        <f>סקר!P304</f>
        <v>0</v>
      </c>
      <c r="R208" s="152">
        <f>סקר!R304</f>
        <v>0</v>
      </c>
      <c r="S208" s="152">
        <f>סקר!BC304</f>
        <v>0</v>
      </c>
      <c r="T208" s="156"/>
    </row>
    <row r="209" spans="1:20">
      <c r="A209" s="152" t="str">
        <f>IF(סקר!D305&lt;2,"עץ","פוליגון")</f>
        <v>עץ</v>
      </c>
      <c r="B209" s="152">
        <f>סקר!B305</f>
        <v>0</v>
      </c>
      <c r="C209" s="152">
        <f>IF(סקר!D305&lt;2,1,סקר!D305)</f>
        <v>1</v>
      </c>
      <c r="D209" s="152">
        <f>סקר!C305</f>
        <v>0</v>
      </c>
      <c r="E209" s="152" t="str">
        <f>IFERROR(VLOOKUP(F209,[1]TreeType!$A:$E,5,0),"")</f>
        <v/>
      </c>
      <c r="F209" s="153" t="str">
        <f>IFERROR(VLOOKUP(D209,[1]TreeType!$A:$B,2,0),"")</f>
        <v/>
      </c>
      <c r="G209" s="72">
        <f>IF(B209&gt;0,IF(סקר!E305=0,1,סקר!E305),0)</f>
        <v>0</v>
      </c>
      <c r="H209" s="72">
        <f>IF(B209&gt;0,IF(סקר!F305 = 0,1,סקר!F305),0)</f>
        <v>0</v>
      </c>
      <c r="I209" s="152">
        <f>סקר!G305</f>
        <v>0</v>
      </c>
      <c r="J209" s="152">
        <f>סקר!H305</f>
        <v>0</v>
      </c>
      <c r="K209" s="152" t="e">
        <f>IF(D209="","",VLOOKUP(D209,[1]TreeType!$A$2:$E$508,3,3))</f>
        <v>#N/A</v>
      </c>
      <c r="L209" s="152">
        <f>IF(D209&gt;0,IF(סקר!M305=0,1,IF(סקר!M305=0,1,סקר!M305)),0)</f>
        <v>0</v>
      </c>
      <c r="M209" s="152">
        <f>סקר!J305</f>
        <v>0</v>
      </c>
      <c r="N209" s="152">
        <f>IF(D209&gt;0,IF(סקר!K305=0,1,IF(סקר!K305=0,1,סקר!K305)),0)</f>
        <v>0</v>
      </c>
      <c r="O209" s="152" t="e">
        <f t="shared" si="5"/>
        <v>#N/A</v>
      </c>
      <c r="P209" s="152">
        <f>IF(B209&gt;0,IF(סקר!O305 &lt;=1,1,סקר!O305),0)</f>
        <v>0</v>
      </c>
      <c r="Q209" s="152">
        <f>סקר!P305</f>
        <v>0</v>
      </c>
      <c r="R209" s="152">
        <f>סקר!R305</f>
        <v>0</v>
      </c>
      <c r="S209" s="152">
        <f>סקר!BC305</f>
        <v>0</v>
      </c>
      <c r="T209" s="156"/>
    </row>
    <row r="210" spans="1:20">
      <c r="A210" s="152" t="str">
        <f>IF(סקר!D306&lt;2,"עץ","פוליגון")</f>
        <v>עץ</v>
      </c>
      <c r="B210" s="152">
        <f>סקר!B306</f>
        <v>0</v>
      </c>
      <c r="C210" s="152">
        <f>IF(סקר!D306&lt;2,1,סקר!D306)</f>
        <v>1</v>
      </c>
      <c r="D210" s="152">
        <f>סקר!C306</f>
        <v>0</v>
      </c>
      <c r="E210" s="152" t="str">
        <f>IFERROR(VLOOKUP(F210,[1]TreeType!$A:$E,5,0),"")</f>
        <v/>
      </c>
      <c r="F210" s="153" t="str">
        <f>IFERROR(VLOOKUP(D210,[1]TreeType!$A:$B,2,0),"")</f>
        <v/>
      </c>
      <c r="G210" s="72">
        <f>IF(B210&gt;0,IF(סקר!E306=0,1,סקר!E306),0)</f>
        <v>0</v>
      </c>
      <c r="H210" s="72">
        <f>IF(B210&gt;0,IF(סקר!F306 = 0,1,סקר!F306),0)</f>
        <v>0</v>
      </c>
      <c r="I210" s="152">
        <f>סקר!G306</f>
        <v>0</v>
      </c>
      <c r="J210" s="152">
        <f>סקר!H306</f>
        <v>0</v>
      </c>
      <c r="K210" s="152" t="e">
        <f>IF(D210="","",VLOOKUP(D210,[1]TreeType!$A$2:$E$508,3,3))</f>
        <v>#N/A</v>
      </c>
      <c r="L210" s="152">
        <f>IF(D210&gt;0,IF(סקר!M306=0,1,IF(סקר!M306=0,1,סקר!M306)),0)</f>
        <v>0</v>
      </c>
      <c r="M210" s="152">
        <f>סקר!J306</f>
        <v>0</v>
      </c>
      <c r="N210" s="152">
        <f>IF(D210&gt;0,IF(סקר!K306=0,1,IF(סקר!K306=0,1,סקר!K306)),0)</f>
        <v>0</v>
      </c>
      <c r="O210" s="152" t="e">
        <f t="shared" si="5"/>
        <v>#N/A</v>
      </c>
      <c r="P210" s="152">
        <f>IF(B210&gt;0,IF(סקר!O306 &lt;=1,1,סקר!O306),0)</f>
        <v>0</v>
      </c>
      <c r="Q210" s="152">
        <f>סקר!P306</f>
        <v>0</v>
      </c>
      <c r="R210" s="152">
        <f>סקר!R306</f>
        <v>0</v>
      </c>
      <c r="S210" s="152">
        <f>סקר!BC306</f>
        <v>0</v>
      </c>
      <c r="T210" s="156"/>
    </row>
    <row r="211" spans="1:20">
      <c r="A211" s="152" t="str">
        <f>IF(סקר!D307&lt;2,"עץ","פוליגון")</f>
        <v>עץ</v>
      </c>
      <c r="B211" s="152">
        <f>סקר!B307</f>
        <v>0</v>
      </c>
      <c r="C211" s="152">
        <f>IF(סקר!D307&lt;2,1,סקר!D307)</f>
        <v>1</v>
      </c>
      <c r="D211" s="152">
        <f>סקר!C307</f>
        <v>0</v>
      </c>
      <c r="E211" s="152" t="str">
        <f>IFERROR(VLOOKUP(F211,[1]TreeType!$A:$E,5,0),"")</f>
        <v/>
      </c>
      <c r="F211" s="153" t="str">
        <f>IFERROR(VLOOKUP(D211,[1]TreeType!$A:$B,2,0),"")</f>
        <v/>
      </c>
      <c r="G211" s="72">
        <f>IF(B211&gt;0,IF(סקר!E307=0,1,סקר!E307),0)</f>
        <v>0</v>
      </c>
      <c r="H211" s="72">
        <f>IF(B211&gt;0,IF(סקר!F307 = 0,1,סקר!F307),0)</f>
        <v>0</v>
      </c>
      <c r="I211" s="152">
        <f>סקר!G307</f>
        <v>0</v>
      </c>
      <c r="J211" s="152">
        <f>סקר!H307</f>
        <v>0</v>
      </c>
      <c r="K211" s="152" t="e">
        <f>IF(D211="","",VLOOKUP(D211,[1]TreeType!$A$2:$E$508,3,3))</f>
        <v>#N/A</v>
      </c>
      <c r="L211" s="152">
        <f>IF(D211&gt;0,IF(סקר!M307=0,1,IF(סקר!M307=0,1,סקר!M307)),0)</f>
        <v>0</v>
      </c>
      <c r="M211" s="152">
        <f>סקר!J307</f>
        <v>0</v>
      </c>
      <c r="N211" s="152">
        <f>IF(D211&gt;0,IF(סקר!K307=0,1,IF(סקר!K307=0,1,סקר!K307)),0)</f>
        <v>0</v>
      </c>
      <c r="O211" s="152" t="e">
        <f t="shared" si="5"/>
        <v>#N/A</v>
      </c>
      <c r="P211" s="152">
        <f>IF(B211&gt;0,IF(סקר!O307 &lt;=1,1,סקר!O307),0)</f>
        <v>0</v>
      </c>
      <c r="Q211" s="152">
        <f>סקר!P307</f>
        <v>0</v>
      </c>
      <c r="R211" s="152">
        <f>סקר!R307</f>
        <v>0</v>
      </c>
      <c r="S211" s="152">
        <f>סקר!BC307</f>
        <v>0</v>
      </c>
      <c r="T211" s="156"/>
    </row>
    <row r="212" spans="1:20">
      <c r="A212" s="152" t="str">
        <f>IF(סקר!D308&lt;2,"עץ","פוליגון")</f>
        <v>עץ</v>
      </c>
      <c r="B212" s="152">
        <f>סקר!B308</f>
        <v>0</v>
      </c>
      <c r="C212" s="152">
        <f>IF(סקר!D308&lt;2,1,סקר!D308)</f>
        <v>1</v>
      </c>
      <c r="D212" s="152">
        <f>סקר!C308</f>
        <v>0</v>
      </c>
      <c r="E212" s="152" t="str">
        <f>IFERROR(VLOOKUP(F212,[1]TreeType!$A:$E,5,0),"")</f>
        <v/>
      </c>
      <c r="F212" s="153" t="str">
        <f>IFERROR(VLOOKUP(D212,[1]TreeType!$A:$B,2,0),"")</f>
        <v/>
      </c>
      <c r="G212" s="72">
        <f>IF(B212&gt;0,IF(סקר!E308=0,1,סקר!E308),0)</f>
        <v>0</v>
      </c>
      <c r="H212" s="72">
        <f>IF(B212&gt;0,IF(סקר!F308 = 0,1,סקר!F308),0)</f>
        <v>0</v>
      </c>
      <c r="I212" s="152">
        <f>סקר!G308</f>
        <v>0</v>
      </c>
      <c r="J212" s="152">
        <f>סקר!H308</f>
        <v>0</v>
      </c>
      <c r="K212" s="152" t="e">
        <f>IF(D212="","",VLOOKUP(D212,[1]TreeType!$A$2:$E$508,3,3))</f>
        <v>#N/A</v>
      </c>
      <c r="L212" s="152">
        <f>IF(D212&gt;0,IF(סקר!M308=0,1,IF(סקר!M308=0,1,סקר!M308)),0)</f>
        <v>0</v>
      </c>
      <c r="M212" s="152">
        <f>סקר!J308</f>
        <v>0</v>
      </c>
      <c r="N212" s="152">
        <f>IF(D212&gt;0,IF(סקר!K308=0,1,IF(סקר!K308=0,1,סקר!K308)),0)</f>
        <v>0</v>
      </c>
      <c r="O212" s="152" t="e">
        <f t="shared" si="5"/>
        <v>#N/A</v>
      </c>
      <c r="P212" s="152">
        <f>IF(B212&gt;0,IF(סקר!O308 &lt;=1,1,סקר!O308),0)</f>
        <v>0</v>
      </c>
      <c r="Q212" s="152">
        <f>סקר!P308</f>
        <v>0</v>
      </c>
      <c r="R212" s="152">
        <f>סקר!R308</f>
        <v>0</v>
      </c>
      <c r="S212" s="152">
        <f>סקר!BC308</f>
        <v>0</v>
      </c>
      <c r="T212" s="156"/>
    </row>
    <row r="213" spans="1:20">
      <c r="A213" s="152" t="str">
        <f>IF(סקר!D309&lt;2,"עץ","פוליגון")</f>
        <v>עץ</v>
      </c>
      <c r="B213" s="152">
        <f>סקר!B309</f>
        <v>0</v>
      </c>
      <c r="C213" s="152">
        <f>IF(סקר!D309&lt;2,1,סקר!D309)</f>
        <v>1</v>
      </c>
      <c r="D213" s="152">
        <f>סקר!C309</f>
        <v>0</v>
      </c>
      <c r="E213" s="152" t="str">
        <f>IFERROR(VLOOKUP(F213,[1]TreeType!$A:$E,5,0),"")</f>
        <v/>
      </c>
      <c r="F213" s="153" t="str">
        <f>IFERROR(VLOOKUP(D213,[1]TreeType!$A:$B,2,0),"")</f>
        <v/>
      </c>
      <c r="G213" s="72">
        <f>IF(B213&gt;0,IF(סקר!E309=0,1,סקר!E309),0)</f>
        <v>0</v>
      </c>
      <c r="H213" s="72">
        <f>IF(B213&gt;0,IF(סקר!F309 = 0,1,סקר!F309),0)</f>
        <v>0</v>
      </c>
      <c r="I213" s="152">
        <f>סקר!G309</f>
        <v>0</v>
      </c>
      <c r="J213" s="152">
        <f>סקר!H309</f>
        <v>0</v>
      </c>
      <c r="K213" s="152" t="e">
        <f>IF(D213="","",VLOOKUP(D213,[1]TreeType!$A$2:$E$508,3,3))</f>
        <v>#N/A</v>
      </c>
      <c r="L213" s="152">
        <f>IF(D213&gt;0,IF(סקר!M309=0,1,IF(סקר!M309=0,1,סקר!M309)),0)</f>
        <v>0</v>
      </c>
      <c r="M213" s="152">
        <f>סקר!J309</f>
        <v>0</v>
      </c>
      <c r="N213" s="152">
        <f>IF(D213&gt;0,IF(סקר!K309=0,1,IF(סקר!K309=0,1,סקר!K309)),0)</f>
        <v>0</v>
      </c>
      <c r="O213" s="152" t="e">
        <f t="shared" si="5"/>
        <v>#N/A</v>
      </c>
      <c r="P213" s="152">
        <f>IF(B213&gt;0,IF(סקר!O309 &lt;=1,1,סקר!O309),0)</f>
        <v>0</v>
      </c>
      <c r="Q213" s="152">
        <f>סקר!P309</f>
        <v>0</v>
      </c>
      <c r="R213" s="152">
        <f>סקר!R309</f>
        <v>0</v>
      </c>
      <c r="S213" s="152">
        <f>סקר!BC309</f>
        <v>0</v>
      </c>
      <c r="T213" s="156"/>
    </row>
    <row r="214" spans="1:20">
      <c r="A214" s="152" t="str">
        <f>IF(סקר!D310&lt;2,"עץ","פוליגון")</f>
        <v>עץ</v>
      </c>
      <c r="B214" s="152">
        <f>סקר!B310</f>
        <v>0</v>
      </c>
      <c r="C214" s="152">
        <f>IF(סקר!D310&lt;2,1,סקר!D310)</f>
        <v>1</v>
      </c>
      <c r="D214" s="152">
        <f>סקר!C310</f>
        <v>0</v>
      </c>
      <c r="E214" s="152" t="str">
        <f>IFERROR(VLOOKUP(F214,[1]TreeType!$A:$E,5,0),"")</f>
        <v/>
      </c>
      <c r="F214" s="153" t="str">
        <f>IFERROR(VLOOKUP(D214,[1]TreeType!$A:$B,2,0),"")</f>
        <v/>
      </c>
      <c r="G214" s="72">
        <f>IF(B214&gt;0,IF(סקר!E310=0,1,סקר!E310),0)</f>
        <v>0</v>
      </c>
      <c r="H214" s="72">
        <f>IF(B214&gt;0,IF(סקר!F310 = 0,1,סקר!F310),0)</f>
        <v>0</v>
      </c>
      <c r="I214" s="152">
        <f>סקר!G310</f>
        <v>0</v>
      </c>
      <c r="J214" s="152">
        <f>סקר!H310</f>
        <v>0</v>
      </c>
      <c r="K214" s="152" t="e">
        <f>IF(D214="","",VLOOKUP(D214,[1]TreeType!$A$2:$E$508,3,3))</f>
        <v>#N/A</v>
      </c>
      <c r="L214" s="152">
        <f>IF(D214&gt;0,IF(סקר!M310=0,1,IF(סקר!M310=0,1,סקר!M310)),0)</f>
        <v>0</v>
      </c>
      <c r="M214" s="152">
        <f>סקר!J310</f>
        <v>0</v>
      </c>
      <c r="N214" s="152">
        <f>IF(D214&gt;0,IF(סקר!K310=0,1,IF(סקר!K310=0,1,סקר!K310)),0)</f>
        <v>0</v>
      </c>
      <c r="O214" s="152" t="e">
        <f t="shared" si="5"/>
        <v>#N/A</v>
      </c>
      <c r="P214" s="152">
        <f>IF(B214&gt;0,IF(סקר!O310 &lt;=1,1,סקר!O310),0)</f>
        <v>0</v>
      </c>
      <c r="Q214" s="152">
        <f>סקר!P310</f>
        <v>0</v>
      </c>
      <c r="R214" s="152">
        <f>סקר!R310</f>
        <v>0</v>
      </c>
      <c r="S214" s="152">
        <f>סקר!BC310</f>
        <v>0</v>
      </c>
      <c r="T214" s="156"/>
    </row>
    <row r="215" spans="1:20">
      <c r="A215" s="152" t="str">
        <f>IF(סקר!D311&lt;2,"עץ","פוליגון")</f>
        <v>עץ</v>
      </c>
      <c r="B215" s="152">
        <f>סקר!B311</f>
        <v>0</v>
      </c>
      <c r="C215" s="152">
        <f>IF(סקר!D311&lt;2,1,סקר!D311)</f>
        <v>1</v>
      </c>
      <c r="D215" s="152">
        <f>סקר!C311</f>
        <v>0</v>
      </c>
      <c r="E215" s="152" t="str">
        <f>IFERROR(VLOOKUP(F215,[1]TreeType!$A:$E,5,0),"")</f>
        <v/>
      </c>
      <c r="F215" s="153" t="str">
        <f>IFERROR(VLOOKUP(D215,[1]TreeType!$A:$B,2,0),"")</f>
        <v/>
      </c>
      <c r="G215" s="72">
        <f>IF(B215&gt;0,IF(סקר!E311=0,1,סקר!E311),0)</f>
        <v>0</v>
      </c>
      <c r="H215" s="72">
        <f>IF(B215&gt;0,IF(סקר!F311 = 0,1,סקר!F311),0)</f>
        <v>0</v>
      </c>
      <c r="I215" s="152">
        <f>סקר!G311</f>
        <v>0</v>
      </c>
      <c r="J215" s="152">
        <f>סקר!H311</f>
        <v>0</v>
      </c>
      <c r="K215" s="152" t="e">
        <f>IF(D215="","",VLOOKUP(D215,[1]TreeType!$A$2:$E$508,3,3))</f>
        <v>#N/A</v>
      </c>
      <c r="L215" s="152">
        <f>IF(D215&gt;0,IF(סקר!M311=0,1,IF(סקר!M311=0,1,סקר!M311)),0)</f>
        <v>0</v>
      </c>
      <c r="M215" s="152">
        <f>סקר!J311</f>
        <v>0</v>
      </c>
      <c r="N215" s="152">
        <f>IF(D215&gt;0,IF(סקר!K311=0,1,IF(סקר!K311=0,1,סקר!K311)),0)</f>
        <v>0</v>
      </c>
      <c r="O215" s="152" t="e">
        <f t="shared" si="5"/>
        <v>#N/A</v>
      </c>
      <c r="P215" s="152">
        <f>IF(B215&gt;0,IF(סקר!O311 &lt;=1,1,סקר!O311),0)</f>
        <v>0</v>
      </c>
      <c r="Q215" s="152">
        <f>סקר!P311</f>
        <v>0</v>
      </c>
      <c r="R215" s="152">
        <f>סקר!R311</f>
        <v>0</v>
      </c>
      <c r="S215" s="152">
        <f>סקר!BC311</f>
        <v>0</v>
      </c>
      <c r="T215" s="156"/>
    </row>
    <row r="216" spans="1:20">
      <c r="A216" s="152" t="str">
        <f>IF(סקר!D312&lt;2,"עץ","פוליגון")</f>
        <v>עץ</v>
      </c>
      <c r="B216" s="152">
        <f>סקר!B312</f>
        <v>0</v>
      </c>
      <c r="C216" s="152">
        <f>IF(סקר!D312&lt;2,1,סקר!D312)</f>
        <v>1</v>
      </c>
      <c r="D216" s="152">
        <f>סקר!C312</f>
        <v>0</v>
      </c>
      <c r="E216" s="152" t="str">
        <f>IFERROR(VLOOKUP(F216,[1]TreeType!$A:$E,5,0),"")</f>
        <v/>
      </c>
      <c r="F216" s="153" t="str">
        <f>IFERROR(VLOOKUP(D216,[1]TreeType!$A:$B,2,0),"")</f>
        <v/>
      </c>
      <c r="G216" s="72">
        <f>IF(B216&gt;0,IF(סקר!E312=0,1,סקר!E312),0)</f>
        <v>0</v>
      </c>
      <c r="H216" s="72">
        <f>IF(B216&gt;0,IF(סקר!F312 = 0,1,סקר!F312),0)</f>
        <v>0</v>
      </c>
      <c r="I216" s="152">
        <f>סקר!G312</f>
        <v>0</v>
      </c>
      <c r="J216" s="152">
        <f>סקר!H312</f>
        <v>0</v>
      </c>
      <c r="K216" s="152" t="e">
        <f>IF(D216="","",VLOOKUP(D216,[1]TreeType!$A$2:$E$508,3,3))</f>
        <v>#N/A</v>
      </c>
      <c r="L216" s="152">
        <f>IF(D216&gt;0,IF(סקר!M312=0,1,IF(סקר!M312=0,1,סקר!M312)),0)</f>
        <v>0</v>
      </c>
      <c r="M216" s="152">
        <f>סקר!J312</f>
        <v>0</v>
      </c>
      <c r="N216" s="152">
        <f>IF(D216&gt;0,IF(סקר!K312=0,1,IF(סקר!K312=0,1,סקר!K312)),0)</f>
        <v>0</v>
      </c>
      <c r="O216" s="152" t="e">
        <f t="shared" si="5"/>
        <v>#N/A</v>
      </c>
      <c r="P216" s="152">
        <f>IF(B216&gt;0,IF(סקר!O312 &lt;=1,1,סקר!O312),0)</f>
        <v>0</v>
      </c>
      <c r="Q216" s="152">
        <f>סקר!P312</f>
        <v>0</v>
      </c>
      <c r="R216" s="152">
        <f>סקר!R312</f>
        <v>0</v>
      </c>
      <c r="S216" s="152">
        <f>סקר!BC312</f>
        <v>0</v>
      </c>
      <c r="T216" s="156"/>
    </row>
    <row r="217" spans="1:20">
      <c r="A217" s="152" t="str">
        <f>IF(סקר!D313&lt;2,"עץ","פוליגון")</f>
        <v>עץ</v>
      </c>
      <c r="B217" s="152">
        <f>סקר!B313</f>
        <v>0</v>
      </c>
      <c r="C217" s="152">
        <f>IF(סקר!D313&lt;2,1,סקר!D313)</f>
        <v>1</v>
      </c>
      <c r="D217" s="152">
        <f>סקר!C313</f>
        <v>0</v>
      </c>
      <c r="E217" s="152" t="str">
        <f>IFERROR(VLOOKUP(F217,[1]TreeType!$A:$E,5,0),"")</f>
        <v/>
      </c>
      <c r="F217" s="153" t="str">
        <f>IFERROR(VLOOKUP(D217,[1]TreeType!$A:$B,2,0),"")</f>
        <v/>
      </c>
      <c r="G217" s="72">
        <f>IF(B217&gt;0,IF(סקר!E313=0,1,סקר!E313),0)</f>
        <v>0</v>
      </c>
      <c r="H217" s="72">
        <f>IF(B217&gt;0,IF(סקר!F313 = 0,1,סקר!F313),0)</f>
        <v>0</v>
      </c>
      <c r="I217" s="152">
        <f>סקר!G313</f>
        <v>0</v>
      </c>
      <c r="J217" s="152">
        <f>סקר!H313</f>
        <v>0</v>
      </c>
      <c r="K217" s="152" t="e">
        <f>IF(D217="","",VLOOKUP(D217,[1]TreeType!$A$2:$E$508,3,3))</f>
        <v>#N/A</v>
      </c>
      <c r="L217" s="152">
        <f>IF(D217&gt;0,IF(סקר!M313=0,1,IF(סקר!M313=0,1,סקר!M313)),0)</f>
        <v>0</v>
      </c>
      <c r="M217" s="152">
        <f>סקר!J313</f>
        <v>0</v>
      </c>
      <c r="N217" s="152">
        <f>IF(D217&gt;0,IF(סקר!K313=0,1,IF(סקר!K313=0,1,סקר!K313)),0)</f>
        <v>0</v>
      </c>
      <c r="O217" s="152" t="e">
        <f t="shared" si="5"/>
        <v>#N/A</v>
      </c>
      <c r="P217" s="152">
        <f>IF(B217&gt;0,IF(סקר!O313 &lt;=1,1,סקר!O313),0)</f>
        <v>0</v>
      </c>
      <c r="Q217" s="152">
        <f>סקר!P313</f>
        <v>0</v>
      </c>
      <c r="R217" s="152">
        <f>סקר!R313</f>
        <v>0</v>
      </c>
      <c r="S217" s="152">
        <f>סקר!BC313</f>
        <v>0</v>
      </c>
      <c r="T217" s="156"/>
    </row>
    <row r="218" spans="1:20">
      <c r="A218" s="152" t="str">
        <f>IF(סקר!D314&lt;2,"עץ","פוליגון")</f>
        <v>עץ</v>
      </c>
      <c r="B218" s="152">
        <f>סקר!B314</f>
        <v>0</v>
      </c>
      <c r="C218" s="152">
        <f>IF(סקר!D314&lt;2,1,סקר!D314)</f>
        <v>1</v>
      </c>
      <c r="D218" s="152">
        <f>סקר!C314</f>
        <v>0</v>
      </c>
      <c r="E218" s="152" t="str">
        <f>IFERROR(VLOOKUP(F218,[1]TreeType!$A:$E,5,0),"")</f>
        <v/>
      </c>
      <c r="F218" s="153" t="str">
        <f>IFERROR(VLOOKUP(D218,[1]TreeType!$A:$B,2,0),"")</f>
        <v/>
      </c>
      <c r="G218" s="72">
        <f>IF(B218&gt;0,IF(סקר!E314=0,1,סקר!E314),0)</f>
        <v>0</v>
      </c>
      <c r="H218" s="72">
        <f>IF(B218&gt;0,IF(סקר!F314 = 0,1,סקר!F314),0)</f>
        <v>0</v>
      </c>
      <c r="I218" s="152">
        <f>סקר!G314</f>
        <v>0</v>
      </c>
      <c r="J218" s="152">
        <f>סקר!H314</f>
        <v>0</v>
      </c>
      <c r="K218" s="152" t="e">
        <f>IF(D218="","",VLOOKUP(D218,[1]TreeType!$A$2:$E$508,3,3))</f>
        <v>#N/A</v>
      </c>
      <c r="L218" s="152">
        <f>IF(D218&gt;0,IF(סקר!M314=0,1,IF(סקר!M314=0,1,סקר!M314)),0)</f>
        <v>0</v>
      </c>
      <c r="M218" s="152">
        <f>סקר!J314</f>
        <v>0</v>
      </c>
      <c r="N218" s="152">
        <f>IF(D218&gt;0,IF(סקר!K314=0,1,IF(סקר!K314=0,1,סקר!K314)),0)</f>
        <v>0</v>
      </c>
      <c r="O218" s="152" t="e">
        <f t="shared" si="5"/>
        <v>#N/A</v>
      </c>
      <c r="P218" s="152">
        <f>IF(B218&gt;0,IF(סקר!O314 &lt;=1,1,סקר!O314),0)</f>
        <v>0</v>
      </c>
      <c r="Q218" s="152">
        <f>סקר!P314</f>
        <v>0</v>
      </c>
      <c r="R218" s="152">
        <f>סקר!R314</f>
        <v>0</v>
      </c>
      <c r="S218" s="152">
        <f>סקר!BC314</f>
        <v>0</v>
      </c>
      <c r="T218" s="156"/>
    </row>
    <row r="219" spans="1:20">
      <c r="A219" s="152" t="str">
        <f>IF(סקר!D329&lt;2,"עץ","פוליגון")</f>
        <v>עץ</v>
      </c>
      <c r="B219" s="152">
        <f>סקר!B329</f>
        <v>0</v>
      </c>
      <c r="C219" s="152">
        <f>IF(סקר!D329&lt;2,1,סקר!D329)</f>
        <v>1</v>
      </c>
      <c r="D219" s="152">
        <f>סקר!C329</f>
        <v>0</v>
      </c>
      <c r="E219" s="152" t="str">
        <f>IFERROR(VLOOKUP(F219,[1]TreeType!$A:$E,5,0),"")</f>
        <v/>
      </c>
      <c r="F219" s="153" t="str">
        <f>IFERROR(VLOOKUP(D219,[1]TreeType!$A:$B,2,0),"")</f>
        <v/>
      </c>
      <c r="G219" s="72">
        <f>IF(B219&gt;0,IF(סקר!E329=0,1,סקר!E329),0)</f>
        <v>0</v>
      </c>
      <c r="H219" s="72">
        <f>IF(B219&gt;0,IF(סקר!F329 = 0,1,סקר!F329),0)</f>
        <v>0</v>
      </c>
      <c r="I219" s="152">
        <f>סקר!G329</f>
        <v>0</v>
      </c>
      <c r="J219" s="152">
        <f>סקר!H329</f>
        <v>0</v>
      </c>
      <c r="K219" s="152" t="e">
        <f>IF(D219="","",VLOOKUP(D219,[1]TreeType!$A$2:$E$508,3,3))</f>
        <v>#N/A</v>
      </c>
      <c r="L219" s="152">
        <f>IF(D219&gt;0,IF(סקר!M329=0,1,IF(סקר!M329=0,1,סקר!M329)),0)</f>
        <v>0</v>
      </c>
      <c r="M219" s="152">
        <f>סקר!J329</f>
        <v>0</v>
      </c>
      <c r="N219" s="152">
        <f>IF(D219&gt;0,IF(סקר!K329=0,1,IF(סקר!K329=0,1,סקר!K329)),0)</f>
        <v>0</v>
      </c>
      <c r="O219" s="152" t="e">
        <f t="shared" si="5"/>
        <v>#N/A</v>
      </c>
      <c r="P219" s="152">
        <f>IF(B219&gt;0,IF(סקר!O329 &lt;=1,1,סקר!O329),0)</f>
        <v>0</v>
      </c>
      <c r="Q219" s="152">
        <f>סקר!P329</f>
        <v>0</v>
      </c>
      <c r="R219" s="152">
        <f>סקר!R329</f>
        <v>0</v>
      </c>
      <c r="S219" s="152">
        <f>סקר!BC329</f>
        <v>0</v>
      </c>
      <c r="T219" s="156"/>
    </row>
    <row r="220" spans="1:20">
      <c r="A220" s="152" t="str">
        <f>IF(סקר!D330&lt;2,"עץ","פוליגון")</f>
        <v>עץ</v>
      </c>
      <c r="B220" s="152">
        <f>סקר!B330</f>
        <v>0</v>
      </c>
      <c r="C220" s="152">
        <f>IF(סקר!D330&lt;2,1,סקר!D330)</f>
        <v>1</v>
      </c>
      <c r="D220" s="152">
        <f>סקר!C330</f>
        <v>0</v>
      </c>
      <c r="E220" s="152" t="str">
        <f>IFERROR(VLOOKUP(F220,[1]TreeType!$A:$E,5,0),"")</f>
        <v/>
      </c>
      <c r="F220" s="153" t="str">
        <f>IFERROR(VLOOKUP(D220,[1]TreeType!$A:$B,2,0),"")</f>
        <v/>
      </c>
      <c r="G220" s="72">
        <f>IF(B220&gt;0,IF(סקר!E330=0,1,סקר!E330),0)</f>
        <v>0</v>
      </c>
      <c r="H220" s="72">
        <f>IF(B220&gt;0,IF(סקר!F330 = 0,1,סקר!F330),0)</f>
        <v>0</v>
      </c>
      <c r="I220" s="152">
        <f>סקר!G330</f>
        <v>0</v>
      </c>
      <c r="J220" s="152">
        <f>סקר!H330</f>
        <v>0</v>
      </c>
      <c r="K220" s="152" t="e">
        <f>IF(D220="","",VLOOKUP(D220,[1]TreeType!$A$2:$E$508,3,3))</f>
        <v>#N/A</v>
      </c>
      <c r="L220" s="152">
        <f>IF(D220&gt;0,IF(סקר!M330=0,1,IF(סקר!M330=0,1,סקר!M330)),0)</f>
        <v>0</v>
      </c>
      <c r="M220" s="152">
        <f>סקר!J330</f>
        <v>0</v>
      </c>
      <c r="N220" s="152">
        <f>IF(D220&gt;0,IF(סקר!K330=0,1,IF(סקר!K330=0,1,סקר!K330)),0)</f>
        <v>0</v>
      </c>
      <c r="O220" s="152" t="e">
        <f t="shared" ref="O220:O269" si="6">IF(SUM(K220:N220)=0,"",SUM(K220:N220))</f>
        <v>#N/A</v>
      </c>
      <c r="P220" s="152">
        <f>IF(B220&gt;0,IF(סקר!O330 &lt;=1,1,סקר!O330),0)</f>
        <v>0</v>
      </c>
      <c r="Q220" s="152">
        <f>סקר!P330</f>
        <v>0</v>
      </c>
      <c r="R220" s="152">
        <f>סקר!R330</f>
        <v>0</v>
      </c>
      <c r="S220" s="152">
        <f>סקר!BC330</f>
        <v>0</v>
      </c>
      <c r="T220" s="156"/>
    </row>
    <row r="221" spans="1:20">
      <c r="A221" s="152" t="str">
        <f>IF(סקר!D331&lt;2,"עץ","פוליגון")</f>
        <v>עץ</v>
      </c>
      <c r="B221" s="152">
        <f>סקר!B331</f>
        <v>0</v>
      </c>
      <c r="C221" s="152">
        <f>IF(סקר!D331&lt;2,1,סקר!D331)</f>
        <v>1</v>
      </c>
      <c r="D221" s="152">
        <f>סקר!C331</f>
        <v>0</v>
      </c>
      <c r="E221" s="152" t="str">
        <f>IFERROR(VLOOKUP(F221,[1]TreeType!$A:$E,5,0),"")</f>
        <v/>
      </c>
      <c r="F221" s="153" t="str">
        <f>IFERROR(VLOOKUP(D221,[1]TreeType!$A:$B,2,0),"")</f>
        <v/>
      </c>
      <c r="G221" s="72">
        <f>IF(B221&gt;0,IF(סקר!E331=0,1,סקר!E331),0)</f>
        <v>0</v>
      </c>
      <c r="H221" s="72">
        <f>IF(B221&gt;0,IF(סקר!F331 = 0,1,סקר!F331),0)</f>
        <v>0</v>
      </c>
      <c r="I221" s="152">
        <f>סקר!G331</f>
        <v>0</v>
      </c>
      <c r="J221" s="152">
        <f>סקר!H331</f>
        <v>0</v>
      </c>
      <c r="K221" s="152" t="e">
        <f>IF(D221="","",VLOOKUP(D221,[1]TreeType!$A$2:$E$508,3,3))</f>
        <v>#N/A</v>
      </c>
      <c r="L221" s="152">
        <f>IF(D221&gt;0,IF(סקר!M331=0,1,IF(סקר!M331=0,1,סקר!M331)),0)</f>
        <v>0</v>
      </c>
      <c r="M221" s="152">
        <f>סקר!J331</f>
        <v>0</v>
      </c>
      <c r="N221" s="152">
        <f>IF(D221&gt;0,IF(סקר!K331=0,1,IF(סקר!K331=0,1,סקר!K331)),0)</f>
        <v>0</v>
      </c>
      <c r="O221" s="152" t="e">
        <f t="shared" si="6"/>
        <v>#N/A</v>
      </c>
      <c r="P221" s="152">
        <f>IF(B221&gt;0,IF(סקר!O331 &lt;=1,1,סקר!O331),0)</f>
        <v>0</v>
      </c>
      <c r="Q221" s="152">
        <f>סקר!P331</f>
        <v>0</v>
      </c>
      <c r="R221" s="152">
        <f>סקר!R331</f>
        <v>0</v>
      </c>
      <c r="S221" s="152">
        <f>סקר!BC331</f>
        <v>0</v>
      </c>
      <c r="T221" s="156"/>
    </row>
    <row r="222" spans="1:20">
      <c r="A222" s="152" t="str">
        <f>IF(סקר!D332&lt;2,"עץ","פוליגון")</f>
        <v>עץ</v>
      </c>
      <c r="B222" s="152">
        <f>סקר!B332</f>
        <v>0</v>
      </c>
      <c r="C222" s="152">
        <f>IF(סקר!D332&lt;2,1,סקר!D332)</f>
        <v>1</v>
      </c>
      <c r="D222" s="152">
        <f>סקר!C332</f>
        <v>0</v>
      </c>
      <c r="E222" s="152" t="str">
        <f>IFERROR(VLOOKUP(F222,[1]TreeType!$A:$E,5,0),"")</f>
        <v/>
      </c>
      <c r="F222" s="153" t="str">
        <f>IFERROR(VLOOKUP(D222,[1]TreeType!$A:$B,2,0),"")</f>
        <v/>
      </c>
      <c r="G222" s="72">
        <f>IF(B222&gt;0,IF(סקר!E332=0,1,סקר!E332),0)</f>
        <v>0</v>
      </c>
      <c r="H222" s="72">
        <f>IF(B222&gt;0,IF(סקר!F332 = 0,1,סקר!F332),0)</f>
        <v>0</v>
      </c>
      <c r="I222" s="152">
        <f>סקר!G332</f>
        <v>0</v>
      </c>
      <c r="J222" s="152">
        <f>סקר!H332</f>
        <v>0</v>
      </c>
      <c r="K222" s="152" t="e">
        <f>IF(D222="","",VLOOKUP(D222,[1]TreeType!$A$2:$E$508,3,3))</f>
        <v>#N/A</v>
      </c>
      <c r="L222" s="152">
        <f>IF(D222&gt;0,IF(סקר!M332=0,1,IF(סקר!M332=0,1,סקר!M332)),0)</f>
        <v>0</v>
      </c>
      <c r="M222" s="152">
        <f>סקר!J332</f>
        <v>0</v>
      </c>
      <c r="N222" s="152">
        <f>IF(D222&gt;0,IF(סקר!K332=0,1,IF(סקר!K332=0,1,סקר!K332)),0)</f>
        <v>0</v>
      </c>
      <c r="O222" s="152" t="e">
        <f t="shared" si="6"/>
        <v>#N/A</v>
      </c>
      <c r="P222" s="152">
        <f>IF(B222&gt;0,IF(סקר!O332 &lt;=1,1,סקר!O332),0)</f>
        <v>0</v>
      </c>
      <c r="Q222" s="152">
        <f>סקר!P332</f>
        <v>0</v>
      </c>
      <c r="R222" s="152">
        <f>סקר!R332</f>
        <v>0</v>
      </c>
      <c r="S222" s="152">
        <f>סקר!BC332</f>
        <v>0</v>
      </c>
      <c r="T222" s="156"/>
    </row>
    <row r="223" spans="1:20">
      <c r="A223" s="152" t="str">
        <f>IF(סקר!D333&lt;2,"עץ","פוליגון")</f>
        <v>עץ</v>
      </c>
      <c r="B223" s="152">
        <f>סקר!B333</f>
        <v>0</v>
      </c>
      <c r="C223" s="152">
        <f>IF(סקר!D333&lt;2,1,סקר!D333)</f>
        <v>1</v>
      </c>
      <c r="D223" s="152">
        <f>סקר!C333</f>
        <v>0</v>
      </c>
      <c r="E223" s="152" t="str">
        <f>IFERROR(VLOOKUP(F223,[1]TreeType!$A:$E,5,0),"")</f>
        <v/>
      </c>
      <c r="F223" s="153" t="str">
        <f>IFERROR(VLOOKUP(D223,[1]TreeType!$A:$B,2,0),"")</f>
        <v/>
      </c>
      <c r="G223" s="72">
        <f>IF(B223&gt;0,IF(סקר!E333=0,1,סקר!E333),0)</f>
        <v>0</v>
      </c>
      <c r="H223" s="72">
        <f>IF(B223&gt;0,IF(סקר!F333 = 0,1,סקר!F333),0)</f>
        <v>0</v>
      </c>
      <c r="I223" s="152">
        <f>סקר!G333</f>
        <v>0</v>
      </c>
      <c r="J223" s="152">
        <f>סקר!H333</f>
        <v>0</v>
      </c>
      <c r="K223" s="152" t="e">
        <f>IF(D223="","",VLOOKUP(D223,[1]TreeType!$A$2:$E$508,3,3))</f>
        <v>#N/A</v>
      </c>
      <c r="L223" s="152">
        <f>IF(D223&gt;0,IF(סקר!M333=0,1,IF(סקר!M333=0,1,סקר!M333)),0)</f>
        <v>0</v>
      </c>
      <c r="M223" s="152">
        <f>סקר!J333</f>
        <v>0</v>
      </c>
      <c r="N223" s="152">
        <f>IF(D223&gt;0,IF(סקר!K333=0,1,IF(סקר!K333=0,1,סקר!K333)),0)</f>
        <v>0</v>
      </c>
      <c r="O223" s="152" t="e">
        <f t="shared" si="6"/>
        <v>#N/A</v>
      </c>
      <c r="P223" s="152">
        <f>IF(B223&gt;0,IF(סקר!O333 &lt;=1,1,סקר!O333),0)</f>
        <v>0</v>
      </c>
      <c r="Q223" s="152">
        <f>סקר!P333</f>
        <v>0</v>
      </c>
      <c r="R223" s="152">
        <f>סקר!R333</f>
        <v>0</v>
      </c>
      <c r="S223" s="152">
        <f>סקר!BC333</f>
        <v>0</v>
      </c>
      <c r="T223" s="156"/>
    </row>
    <row r="224" spans="1:20">
      <c r="A224" s="152" t="str">
        <f>IF(סקר!D334&lt;2,"עץ","פוליגון")</f>
        <v>עץ</v>
      </c>
      <c r="B224" s="152">
        <f>סקר!B334</f>
        <v>0</v>
      </c>
      <c r="C224" s="152">
        <f>IF(סקר!D334&lt;2,1,סקר!D334)</f>
        <v>1</v>
      </c>
      <c r="D224" s="152">
        <f>סקר!C334</f>
        <v>0</v>
      </c>
      <c r="E224" s="152" t="str">
        <f>IFERROR(VLOOKUP(F224,[1]TreeType!$A:$E,5,0),"")</f>
        <v/>
      </c>
      <c r="F224" s="153" t="str">
        <f>IFERROR(VLOOKUP(D224,[1]TreeType!$A:$B,2,0),"")</f>
        <v/>
      </c>
      <c r="G224" s="72">
        <f>IF(B224&gt;0,IF(סקר!E334=0,1,סקר!E334),0)</f>
        <v>0</v>
      </c>
      <c r="H224" s="72">
        <f>IF(B224&gt;0,IF(סקר!F334 = 0,1,סקר!F334),0)</f>
        <v>0</v>
      </c>
      <c r="I224" s="152">
        <f>סקר!G334</f>
        <v>0</v>
      </c>
      <c r="J224" s="152">
        <f>סקר!H334</f>
        <v>0</v>
      </c>
      <c r="K224" s="152" t="e">
        <f>IF(D224="","",VLOOKUP(D224,[1]TreeType!$A$2:$E$508,3,3))</f>
        <v>#N/A</v>
      </c>
      <c r="L224" s="152">
        <f>IF(D224&gt;0,IF(סקר!M334=0,1,IF(סקר!M334=0,1,סקר!M334)),0)</f>
        <v>0</v>
      </c>
      <c r="M224" s="152">
        <f>סקר!J334</f>
        <v>0</v>
      </c>
      <c r="N224" s="152">
        <f>IF(D224&gt;0,IF(סקר!K334=0,1,IF(סקר!K334=0,1,סקר!K334)),0)</f>
        <v>0</v>
      </c>
      <c r="O224" s="152" t="e">
        <f t="shared" si="6"/>
        <v>#N/A</v>
      </c>
      <c r="P224" s="152">
        <f>IF(B224&gt;0,IF(סקר!O334 &lt;=1,1,סקר!O334),0)</f>
        <v>0</v>
      </c>
      <c r="Q224" s="152">
        <f>סקר!P334</f>
        <v>0</v>
      </c>
      <c r="R224" s="152">
        <f>סקר!R334</f>
        <v>0</v>
      </c>
      <c r="S224" s="152">
        <f>סקר!BC334</f>
        <v>0</v>
      </c>
      <c r="T224" s="156"/>
    </row>
    <row r="225" spans="1:20">
      <c r="A225" s="152" t="str">
        <f>IF(סקר!D335&lt;2,"עץ","פוליגון")</f>
        <v>עץ</v>
      </c>
      <c r="B225" s="152">
        <f>סקר!B335</f>
        <v>0</v>
      </c>
      <c r="C225" s="152">
        <f>IF(סקר!D335&lt;2,1,סקר!D335)</f>
        <v>1</v>
      </c>
      <c r="D225" s="152">
        <f>סקר!C335</f>
        <v>0</v>
      </c>
      <c r="E225" s="152" t="str">
        <f>IFERROR(VLOOKUP(F225,[1]TreeType!$A:$E,5,0),"")</f>
        <v/>
      </c>
      <c r="F225" s="153" t="str">
        <f>IFERROR(VLOOKUP(D225,[1]TreeType!$A:$B,2,0),"")</f>
        <v/>
      </c>
      <c r="G225" s="72">
        <f>IF(B225&gt;0,IF(סקר!E335=0,1,סקר!E335),0)</f>
        <v>0</v>
      </c>
      <c r="H225" s="72">
        <f>IF(B225&gt;0,IF(סקר!F335 = 0,1,סקר!F335),0)</f>
        <v>0</v>
      </c>
      <c r="I225" s="152">
        <f>סקר!G335</f>
        <v>0</v>
      </c>
      <c r="J225" s="152">
        <f>סקר!H335</f>
        <v>0</v>
      </c>
      <c r="K225" s="152" t="e">
        <f>IF(D225="","",VLOOKUP(D225,[1]TreeType!$A$2:$E$508,3,3))</f>
        <v>#N/A</v>
      </c>
      <c r="L225" s="152">
        <f>IF(D225&gt;0,IF(סקר!M335=0,1,IF(סקר!M335=0,1,סקר!M335)),0)</f>
        <v>0</v>
      </c>
      <c r="M225" s="152">
        <f>סקר!J335</f>
        <v>0</v>
      </c>
      <c r="N225" s="152">
        <f>IF(D225&gt;0,IF(סקר!K335=0,1,IF(סקר!K335=0,1,סקר!K335)),0)</f>
        <v>0</v>
      </c>
      <c r="O225" s="152" t="e">
        <f t="shared" si="6"/>
        <v>#N/A</v>
      </c>
      <c r="P225" s="152">
        <f>IF(B225&gt;0,IF(סקר!O335 &lt;=1,1,סקר!O335),0)</f>
        <v>0</v>
      </c>
      <c r="Q225" s="152">
        <f>סקר!P335</f>
        <v>0</v>
      </c>
      <c r="R225" s="152">
        <f>סקר!R335</f>
        <v>0</v>
      </c>
      <c r="S225" s="152">
        <f>סקר!BC335</f>
        <v>0</v>
      </c>
      <c r="T225" s="156"/>
    </row>
    <row r="226" spans="1:20">
      <c r="A226" s="152" t="str">
        <f>IF(סקר!D336&lt;2,"עץ","פוליגון")</f>
        <v>עץ</v>
      </c>
      <c r="B226" s="152">
        <f>סקר!B336</f>
        <v>0</v>
      </c>
      <c r="C226" s="152">
        <f>IF(סקר!D336&lt;2,1,סקר!D336)</f>
        <v>1</v>
      </c>
      <c r="D226" s="152">
        <f>סקר!C336</f>
        <v>0</v>
      </c>
      <c r="E226" s="152" t="str">
        <f>IFERROR(VLOOKUP(F226,[1]TreeType!$A:$E,5,0),"")</f>
        <v/>
      </c>
      <c r="F226" s="153" t="str">
        <f>IFERROR(VLOOKUP(D226,[1]TreeType!$A:$B,2,0),"")</f>
        <v/>
      </c>
      <c r="G226" s="72">
        <f>IF(B226&gt;0,IF(סקר!E336=0,1,סקר!E336),0)</f>
        <v>0</v>
      </c>
      <c r="H226" s="72">
        <f>IF(B226&gt;0,IF(סקר!F336 = 0,1,סקר!F336),0)</f>
        <v>0</v>
      </c>
      <c r="I226" s="152">
        <f>סקר!G336</f>
        <v>0</v>
      </c>
      <c r="J226" s="152">
        <f>סקר!H336</f>
        <v>0</v>
      </c>
      <c r="K226" s="152" t="e">
        <f>IF(D226="","",VLOOKUP(D226,[1]TreeType!$A$2:$E$508,3,3))</f>
        <v>#N/A</v>
      </c>
      <c r="L226" s="152">
        <f>IF(D226&gt;0,IF(סקר!M336=0,1,IF(סקר!M336=0,1,סקר!M336)),0)</f>
        <v>0</v>
      </c>
      <c r="M226" s="152">
        <f>סקר!J336</f>
        <v>0</v>
      </c>
      <c r="N226" s="152">
        <f>IF(D226&gt;0,IF(סקר!K336=0,1,IF(סקר!K336=0,1,סקר!K336)),0)</f>
        <v>0</v>
      </c>
      <c r="O226" s="152" t="e">
        <f t="shared" si="6"/>
        <v>#N/A</v>
      </c>
      <c r="P226" s="152">
        <f>IF(B226&gt;0,IF(סקר!O336 &lt;=1,1,סקר!O336),0)</f>
        <v>0</v>
      </c>
      <c r="Q226" s="152">
        <f>סקר!P336</f>
        <v>0</v>
      </c>
      <c r="R226" s="152">
        <f>סקר!R336</f>
        <v>0</v>
      </c>
      <c r="S226" s="152">
        <f>סקר!BC336</f>
        <v>0</v>
      </c>
      <c r="T226" s="156"/>
    </row>
    <row r="227" spans="1:20">
      <c r="A227" s="152" t="str">
        <f>IF(סקר!D337&lt;2,"עץ","פוליגון")</f>
        <v>עץ</v>
      </c>
      <c r="B227" s="152">
        <f>סקר!B337</f>
        <v>0</v>
      </c>
      <c r="C227" s="152">
        <f>IF(סקר!D337&lt;2,1,סקר!D337)</f>
        <v>1</v>
      </c>
      <c r="D227" s="152">
        <f>סקר!C337</f>
        <v>0</v>
      </c>
      <c r="E227" s="152" t="str">
        <f>IFERROR(VLOOKUP(F227,[1]TreeType!$A:$E,5,0),"")</f>
        <v/>
      </c>
      <c r="F227" s="153" t="str">
        <f>IFERROR(VLOOKUP(D227,[1]TreeType!$A:$B,2,0),"")</f>
        <v/>
      </c>
      <c r="G227" s="72">
        <f>IF(B227&gt;0,IF(סקר!E337=0,1,סקר!E337),0)</f>
        <v>0</v>
      </c>
      <c r="H227" s="72">
        <f>IF(B227&gt;0,IF(סקר!F337 = 0,1,סקר!F337),0)</f>
        <v>0</v>
      </c>
      <c r="I227" s="152">
        <f>סקר!G337</f>
        <v>0</v>
      </c>
      <c r="J227" s="152">
        <f>סקר!H337</f>
        <v>0</v>
      </c>
      <c r="K227" s="152" t="e">
        <f>IF(D227="","",VLOOKUP(D227,[1]TreeType!$A$2:$E$508,3,3))</f>
        <v>#N/A</v>
      </c>
      <c r="L227" s="152">
        <f>IF(D227&gt;0,IF(סקר!M337=0,1,IF(סקר!M337=0,1,סקר!M337)),0)</f>
        <v>0</v>
      </c>
      <c r="M227" s="152">
        <f>סקר!J337</f>
        <v>0</v>
      </c>
      <c r="N227" s="152">
        <f>IF(D227&gt;0,IF(סקר!K337=0,1,IF(סקר!K337=0,1,סקר!K337)),0)</f>
        <v>0</v>
      </c>
      <c r="O227" s="152" t="e">
        <f t="shared" si="6"/>
        <v>#N/A</v>
      </c>
      <c r="P227" s="152">
        <f>IF(B227&gt;0,IF(סקר!O337 &lt;=1,1,סקר!O337),0)</f>
        <v>0</v>
      </c>
      <c r="Q227" s="152">
        <f>סקר!P337</f>
        <v>0</v>
      </c>
      <c r="R227" s="152">
        <f>סקר!R337</f>
        <v>0</v>
      </c>
      <c r="S227" s="152">
        <f>סקר!BC337</f>
        <v>0</v>
      </c>
      <c r="T227" s="156"/>
    </row>
    <row r="228" spans="1:20">
      <c r="A228" s="152" t="str">
        <f>IF(סקר!D338&lt;2,"עץ","פוליגון")</f>
        <v>עץ</v>
      </c>
      <c r="B228" s="152">
        <f>סקר!B338</f>
        <v>0</v>
      </c>
      <c r="C228" s="152">
        <f>IF(סקר!D338&lt;2,1,סקר!D338)</f>
        <v>1</v>
      </c>
      <c r="D228" s="152">
        <f>סקר!C338</f>
        <v>0</v>
      </c>
      <c r="E228" s="152" t="str">
        <f>IFERROR(VLOOKUP(F228,[1]TreeType!$A:$E,5,0),"")</f>
        <v/>
      </c>
      <c r="F228" s="153" t="str">
        <f>IFERROR(VLOOKUP(D228,[1]TreeType!$A:$B,2,0),"")</f>
        <v/>
      </c>
      <c r="G228" s="72">
        <f>IF(B228&gt;0,IF(סקר!E338=0,1,סקר!E338),0)</f>
        <v>0</v>
      </c>
      <c r="H228" s="72">
        <f>IF(B228&gt;0,IF(סקר!F338 = 0,1,סקר!F338),0)</f>
        <v>0</v>
      </c>
      <c r="I228" s="152">
        <f>סקר!G338</f>
        <v>0</v>
      </c>
      <c r="J228" s="152">
        <f>סקר!H338</f>
        <v>0</v>
      </c>
      <c r="K228" s="152" t="e">
        <f>IF(D228="","",VLOOKUP(D228,[1]TreeType!$A$2:$E$508,3,3))</f>
        <v>#N/A</v>
      </c>
      <c r="L228" s="152">
        <f>IF(D228&gt;0,IF(סקר!M338=0,1,IF(סקר!M338=0,1,סקר!M338)),0)</f>
        <v>0</v>
      </c>
      <c r="M228" s="152">
        <f>סקר!J338</f>
        <v>0</v>
      </c>
      <c r="N228" s="152">
        <f>IF(D228&gt;0,IF(סקר!K338=0,1,IF(סקר!K338=0,1,סקר!K338)),0)</f>
        <v>0</v>
      </c>
      <c r="O228" s="152" t="e">
        <f t="shared" si="6"/>
        <v>#N/A</v>
      </c>
      <c r="P228" s="152">
        <f>IF(B228&gt;0,IF(סקר!O338 &lt;=1,1,סקר!O338),0)</f>
        <v>0</v>
      </c>
      <c r="Q228" s="152">
        <f>סקר!P338</f>
        <v>0</v>
      </c>
      <c r="R228" s="152">
        <f>סקר!R338</f>
        <v>0</v>
      </c>
      <c r="S228" s="152">
        <f>סקר!BC338</f>
        <v>0</v>
      </c>
      <c r="T228" s="156"/>
    </row>
    <row r="229" spans="1:20">
      <c r="A229" s="152" t="str">
        <f>IF(סקר!D339&lt;2,"עץ","פוליגון")</f>
        <v>עץ</v>
      </c>
      <c r="B229" s="152">
        <f>סקר!B339</f>
        <v>0</v>
      </c>
      <c r="C229" s="152">
        <f>IF(סקר!D339&lt;2,1,סקר!D339)</f>
        <v>1</v>
      </c>
      <c r="D229" s="152">
        <f>סקר!C339</f>
        <v>0</v>
      </c>
      <c r="E229" s="152" t="str">
        <f>IFERROR(VLOOKUP(F229,[1]TreeType!$A:$E,5,0),"")</f>
        <v/>
      </c>
      <c r="F229" s="153" t="str">
        <f>IFERROR(VLOOKUP(D229,[1]TreeType!$A:$B,2,0),"")</f>
        <v/>
      </c>
      <c r="G229" s="72">
        <f>IF(B229&gt;0,IF(סקר!E339=0,1,סקר!E339),0)</f>
        <v>0</v>
      </c>
      <c r="H229" s="72">
        <f>IF(B229&gt;0,IF(סקר!F339 = 0,1,סקר!F339),0)</f>
        <v>0</v>
      </c>
      <c r="I229" s="152">
        <f>סקר!G339</f>
        <v>0</v>
      </c>
      <c r="J229" s="152">
        <f>סקר!H339</f>
        <v>0</v>
      </c>
      <c r="K229" s="152" t="e">
        <f>IF(D229="","",VLOOKUP(D229,[1]TreeType!$A$2:$E$508,3,3))</f>
        <v>#N/A</v>
      </c>
      <c r="L229" s="152">
        <f>IF(D229&gt;0,IF(סקר!M339=0,1,IF(סקר!M339=0,1,סקר!M339)),0)</f>
        <v>0</v>
      </c>
      <c r="M229" s="152">
        <f>סקר!J339</f>
        <v>0</v>
      </c>
      <c r="N229" s="152">
        <f>IF(D229&gt;0,IF(סקר!K339=0,1,IF(סקר!K339=0,1,סקר!K339)),0)</f>
        <v>0</v>
      </c>
      <c r="O229" s="152" t="e">
        <f t="shared" si="6"/>
        <v>#N/A</v>
      </c>
      <c r="P229" s="152">
        <f>IF(B229&gt;0,IF(סקר!O339 &lt;=1,1,סקר!O339),0)</f>
        <v>0</v>
      </c>
      <c r="Q229" s="152">
        <f>סקר!P339</f>
        <v>0</v>
      </c>
      <c r="R229" s="152">
        <f>סקר!R339</f>
        <v>0</v>
      </c>
      <c r="S229" s="152">
        <f>סקר!BC339</f>
        <v>0</v>
      </c>
      <c r="T229" s="156"/>
    </row>
    <row r="230" spans="1:20">
      <c r="A230" s="152" t="str">
        <f>IF(סקר!D340&lt;2,"עץ","פוליגון")</f>
        <v>עץ</v>
      </c>
      <c r="B230" s="152">
        <f>סקר!B340</f>
        <v>0</v>
      </c>
      <c r="C230" s="152">
        <f>IF(סקר!D340&lt;2,1,סקר!D340)</f>
        <v>1</v>
      </c>
      <c r="D230" s="152">
        <f>סקר!C340</f>
        <v>0</v>
      </c>
      <c r="E230" s="152" t="str">
        <f>IFERROR(VLOOKUP(F230,[1]TreeType!$A:$E,5,0),"")</f>
        <v/>
      </c>
      <c r="F230" s="153" t="str">
        <f>IFERROR(VLOOKUP(D230,[1]TreeType!$A:$B,2,0),"")</f>
        <v/>
      </c>
      <c r="G230" s="72">
        <f>IF(B230&gt;0,IF(סקר!E340=0,1,סקר!E340),0)</f>
        <v>0</v>
      </c>
      <c r="H230" s="72">
        <f>IF(B230&gt;0,IF(סקר!F340 = 0,1,סקר!F340),0)</f>
        <v>0</v>
      </c>
      <c r="I230" s="152">
        <f>סקר!G340</f>
        <v>0</v>
      </c>
      <c r="J230" s="152">
        <f>סקר!H340</f>
        <v>0</v>
      </c>
      <c r="K230" s="152" t="e">
        <f>IF(D230="","",VLOOKUP(D230,[1]TreeType!$A$2:$E$508,3,3))</f>
        <v>#N/A</v>
      </c>
      <c r="L230" s="152">
        <f>IF(D230&gt;0,IF(סקר!M340=0,1,IF(סקר!M340=0,1,סקר!M340)),0)</f>
        <v>0</v>
      </c>
      <c r="M230" s="152">
        <f>סקר!J340</f>
        <v>0</v>
      </c>
      <c r="N230" s="152">
        <f>IF(D230&gt;0,IF(סקר!K340=0,1,IF(סקר!K340=0,1,סקר!K340)),0)</f>
        <v>0</v>
      </c>
      <c r="O230" s="152" t="e">
        <f t="shared" si="6"/>
        <v>#N/A</v>
      </c>
      <c r="P230" s="152">
        <f>IF(B230&gt;0,IF(סקר!O340 &lt;=1,1,סקר!O340),0)</f>
        <v>0</v>
      </c>
      <c r="Q230" s="152">
        <f>סקר!P340</f>
        <v>0</v>
      </c>
      <c r="R230" s="152">
        <f>סקר!R340</f>
        <v>0</v>
      </c>
      <c r="S230" s="152">
        <f>סקר!BC340</f>
        <v>0</v>
      </c>
      <c r="T230" s="156"/>
    </row>
    <row r="231" spans="1:20">
      <c r="A231" s="152" t="str">
        <f>IF(סקר!D341&lt;2,"עץ","פוליגון")</f>
        <v>עץ</v>
      </c>
      <c r="B231" s="152">
        <f>סקר!B341</f>
        <v>0</v>
      </c>
      <c r="C231" s="152">
        <f>IF(סקר!D341&lt;2,1,סקר!D341)</f>
        <v>1</v>
      </c>
      <c r="D231" s="152">
        <f>סקר!C341</f>
        <v>0</v>
      </c>
      <c r="E231" s="152" t="str">
        <f>IFERROR(VLOOKUP(F231,[1]TreeType!$A:$E,5,0),"")</f>
        <v/>
      </c>
      <c r="F231" s="153" t="str">
        <f>IFERROR(VLOOKUP(D231,[1]TreeType!$A:$B,2,0),"")</f>
        <v/>
      </c>
      <c r="G231" s="72">
        <f>IF(B231&gt;0,IF(סקר!E341=0,1,סקר!E341),0)</f>
        <v>0</v>
      </c>
      <c r="H231" s="72">
        <f>IF(B231&gt;0,IF(סקר!F341 = 0,1,סקר!F341),0)</f>
        <v>0</v>
      </c>
      <c r="I231" s="152">
        <f>סקר!G341</f>
        <v>0</v>
      </c>
      <c r="J231" s="152">
        <f>סקר!H341</f>
        <v>0</v>
      </c>
      <c r="K231" s="152" t="e">
        <f>IF(D231="","",VLOOKUP(D231,[1]TreeType!$A$2:$E$508,3,3))</f>
        <v>#N/A</v>
      </c>
      <c r="L231" s="152">
        <f>IF(D231&gt;0,IF(סקר!M341=0,1,IF(סקר!M341=0,1,סקר!M341)),0)</f>
        <v>0</v>
      </c>
      <c r="M231" s="152">
        <f>סקר!J341</f>
        <v>0</v>
      </c>
      <c r="N231" s="152">
        <f>IF(D231&gt;0,IF(סקר!K341=0,1,IF(סקר!K341=0,1,סקר!K341)),0)</f>
        <v>0</v>
      </c>
      <c r="O231" s="152" t="e">
        <f t="shared" si="6"/>
        <v>#N/A</v>
      </c>
      <c r="P231" s="152">
        <f>IF(B231&gt;0,IF(סקר!O341 &lt;=1,1,סקר!O341),0)</f>
        <v>0</v>
      </c>
      <c r="Q231" s="152">
        <f>סקר!P341</f>
        <v>0</v>
      </c>
      <c r="R231" s="152">
        <f>סקר!R341</f>
        <v>0</v>
      </c>
      <c r="S231" s="152">
        <f>סקר!BC341</f>
        <v>0</v>
      </c>
      <c r="T231" s="156"/>
    </row>
    <row r="232" spans="1:20">
      <c r="A232" s="152" t="str">
        <f>IF(סקר!D342&lt;2,"עץ","פוליגון")</f>
        <v>עץ</v>
      </c>
      <c r="B232" s="152">
        <f>סקר!B342</f>
        <v>0</v>
      </c>
      <c r="C232" s="152">
        <f>IF(סקר!D342&lt;2,1,סקר!D342)</f>
        <v>1</v>
      </c>
      <c r="D232" s="152">
        <f>סקר!C342</f>
        <v>0</v>
      </c>
      <c r="E232" s="152" t="str">
        <f>IFERROR(VLOOKUP(F232,[1]TreeType!$A:$E,5,0),"")</f>
        <v/>
      </c>
      <c r="F232" s="153" t="str">
        <f>IFERROR(VLOOKUP(D232,[1]TreeType!$A:$B,2,0),"")</f>
        <v/>
      </c>
      <c r="G232" s="72">
        <f>IF(B232&gt;0,IF(סקר!E342=0,1,סקר!E342),0)</f>
        <v>0</v>
      </c>
      <c r="H232" s="72">
        <f>IF(B232&gt;0,IF(סקר!F342 = 0,1,סקר!F342),0)</f>
        <v>0</v>
      </c>
      <c r="I232" s="152">
        <f>סקר!G342</f>
        <v>0</v>
      </c>
      <c r="J232" s="152">
        <f>סקר!H342</f>
        <v>0</v>
      </c>
      <c r="K232" s="152" t="e">
        <f>IF(D232="","",VLOOKUP(D232,[1]TreeType!$A$2:$E$508,3,3))</f>
        <v>#N/A</v>
      </c>
      <c r="L232" s="152">
        <f>IF(D232&gt;0,IF(סקר!M342=0,1,IF(סקר!M342=0,1,סקר!M342)),0)</f>
        <v>0</v>
      </c>
      <c r="M232" s="152">
        <f>סקר!J342</f>
        <v>0</v>
      </c>
      <c r="N232" s="152">
        <f>IF(D232&gt;0,IF(סקר!K342=0,1,IF(סקר!K342=0,1,סקר!K342)),0)</f>
        <v>0</v>
      </c>
      <c r="O232" s="152" t="e">
        <f t="shared" si="6"/>
        <v>#N/A</v>
      </c>
      <c r="P232" s="152">
        <f>IF(B232&gt;0,IF(סקר!O342 &lt;=1,1,סקר!O342),0)</f>
        <v>0</v>
      </c>
      <c r="Q232" s="152">
        <f>סקר!P342</f>
        <v>0</v>
      </c>
      <c r="R232" s="152">
        <f>סקר!R342</f>
        <v>0</v>
      </c>
      <c r="S232" s="152">
        <f>סקר!BC342</f>
        <v>0</v>
      </c>
      <c r="T232" s="156"/>
    </row>
    <row r="233" spans="1:20">
      <c r="A233" s="152" t="str">
        <f>IF(סקר!D343&lt;2,"עץ","פוליגון")</f>
        <v>עץ</v>
      </c>
      <c r="B233" s="152">
        <f>סקר!B343</f>
        <v>0</v>
      </c>
      <c r="C233" s="152">
        <f>IF(סקר!D343&lt;2,1,סקר!D343)</f>
        <v>1</v>
      </c>
      <c r="D233" s="152">
        <f>סקר!C343</f>
        <v>0</v>
      </c>
      <c r="E233" s="152" t="str">
        <f>IFERROR(VLOOKUP(F233,[1]TreeType!$A:$E,5,0),"")</f>
        <v/>
      </c>
      <c r="F233" s="153" t="str">
        <f>IFERROR(VLOOKUP(D233,[1]TreeType!$A:$B,2,0),"")</f>
        <v/>
      </c>
      <c r="G233" s="72">
        <f>IF(B233&gt;0,IF(סקר!E343=0,1,סקר!E343),0)</f>
        <v>0</v>
      </c>
      <c r="H233" s="72">
        <f>IF(B233&gt;0,IF(סקר!F343 = 0,1,סקר!F343),0)</f>
        <v>0</v>
      </c>
      <c r="I233" s="152">
        <f>סקר!G343</f>
        <v>0</v>
      </c>
      <c r="J233" s="152">
        <f>סקר!H343</f>
        <v>0</v>
      </c>
      <c r="K233" s="152" t="e">
        <f>IF(D233="","",VLOOKUP(D233,[1]TreeType!$A$2:$E$508,3,3))</f>
        <v>#N/A</v>
      </c>
      <c r="L233" s="152">
        <f>IF(D233&gt;0,IF(סקר!M343=0,1,IF(סקר!M343=0,1,סקר!M343)),0)</f>
        <v>0</v>
      </c>
      <c r="M233" s="152">
        <f>סקר!J343</f>
        <v>0</v>
      </c>
      <c r="N233" s="152">
        <f>IF(D233&gt;0,IF(סקר!K343=0,1,IF(סקר!K343=0,1,סקר!K343)),0)</f>
        <v>0</v>
      </c>
      <c r="O233" s="152" t="e">
        <f t="shared" si="6"/>
        <v>#N/A</v>
      </c>
      <c r="P233" s="152">
        <f>IF(B233&gt;0,IF(סקר!O343 &lt;=1,1,סקר!O343),0)</f>
        <v>0</v>
      </c>
      <c r="Q233" s="152">
        <f>סקר!P343</f>
        <v>0</v>
      </c>
      <c r="R233" s="152">
        <f>סקר!R343</f>
        <v>0</v>
      </c>
      <c r="S233" s="152">
        <f>סקר!BC343</f>
        <v>0</v>
      </c>
      <c r="T233" s="156"/>
    </row>
    <row r="234" spans="1:20">
      <c r="A234" s="152" t="str">
        <f>IF(סקר!D344&lt;2,"עץ","פוליגון")</f>
        <v>עץ</v>
      </c>
      <c r="B234" s="152">
        <f>סקר!B344</f>
        <v>0</v>
      </c>
      <c r="C234" s="152">
        <f>IF(סקר!D344&lt;2,1,סקר!D344)</f>
        <v>1</v>
      </c>
      <c r="D234" s="152">
        <f>סקר!C344</f>
        <v>0</v>
      </c>
      <c r="E234" s="152" t="str">
        <f>IFERROR(VLOOKUP(F234,[1]TreeType!$A:$E,5,0),"")</f>
        <v/>
      </c>
      <c r="F234" s="153" t="str">
        <f>IFERROR(VLOOKUP(D234,[1]TreeType!$A:$B,2,0),"")</f>
        <v/>
      </c>
      <c r="G234" s="72">
        <f>IF(B234&gt;0,IF(סקר!E344=0,1,סקר!E344),0)</f>
        <v>0</v>
      </c>
      <c r="H234" s="72">
        <f>IF(B234&gt;0,IF(סקר!F344 = 0,1,סקר!F344),0)</f>
        <v>0</v>
      </c>
      <c r="I234" s="152">
        <f>סקר!G344</f>
        <v>0</v>
      </c>
      <c r="J234" s="152">
        <f>סקר!H344</f>
        <v>0</v>
      </c>
      <c r="K234" s="152" t="e">
        <f>IF(D234="","",VLOOKUP(D234,[1]TreeType!$A$2:$E$508,3,3))</f>
        <v>#N/A</v>
      </c>
      <c r="L234" s="152">
        <f>IF(D234&gt;0,IF(סקר!M344=0,1,IF(סקר!M344=0,1,סקר!M344)),0)</f>
        <v>0</v>
      </c>
      <c r="M234" s="152">
        <f>סקר!J344</f>
        <v>0</v>
      </c>
      <c r="N234" s="152">
        <f>IF(D234&gt;0,IF(סקר!K344=0,1,IF(סקר!K344=0,1,סקר!K344)),0)</f>
        <v>0</v>
      </c>
      <c r="O234" s="152" t="e">
        <f t="shared" si="6"/>
        <v>#N/A</v>
      </c>
      <c r="P234" s="152">
        <f>IF(B234&gt;0,IF(סקר!O344 &lt;=1,1,סקר!O344),0)</f>
        <v>0</v>
      </c>
      <c r="Q234" s="152">
        <f>סקר!P344</f>
        <v>0</v>
      </c>
      <c r="R234" s="152">
        <f>סקר!R344</f>
        <v>0</v>
      </c>
      <c r="S234" s="152">
        <f>סקר!BC344</f>
        <v>0</v>
      </c>
      <c r="T234" s="156"/>
    </row>
    <row r="235" spans="1:20">
      <c r="A235" s="152" t="str">
        <f>IF(סקר!D345&lt;2,"עץ","פוליגון")</f>
        <v>עץ</v>
      </c>
      <c r="B235" s="152">
        <f>סקר!B345</f>
        <v>0</v>
      </c>
      <c r="C235" s="152">
        <f>IF(סקר!D345&lt;2,1,סקר!D345)</f>
        <v>1</v>
      </c>
      <c r="D235" s="152">
        <f>סקר!C345</f>
        <v>0</v>
      </c>
      <c r="E235" s="152" t="str">
        <f>IFERROR(VLOOKUP(F235,[1]TreeType!$A:$E,5,0),"")</f>
        <v/>
      </c>
      <c r="F235" s="153" t="str">
        <f>IFERROR(VLOOKUP(D235,[1]TreeType!$A:$B,2,0),"")</f>
        <v/>
      </c>
      <c r="G235" s="72">
        <f>IF(B235&gt;0,IF(סקר!E345=0,1,סקר!E345),0)</f>
        <v>0</v>
      </c>
      <c r="H235" s="72">
        <f>IF(B235&gt;0,IF(סקר!F345 = 0,1,סקר!F345),0)</f>
        <v>0</v>
      </c>
      <c r="I235" s="152">
        <f>סקר!G345</f>
        <v>0</v>
      </c>
      <c r="J235" s="152">
        <f>סקר!H345</f>
        <v>0</v>
      </c>
      <c r="K235" s="152" t="e">
        <f>IF(D235="","",VLOOKUP(D235,[1]TreeType!$A$2:$E$508,3,3))</f>
        <v>#N/A</v>
      </c>
      <c r="L235" s="152">
        <f>IF(D235&gt;0,IF(סקר!M345=0,1,IF(סקר!M345=0,1,סקר!M345)),0)</f>
        <v>0</v>
      </c>
      <c r="M235" s="152">
        <f>סקר!J345</f>
        <v>0</v>
      </c>
      <c r="N235" s="152">
        <f>IF(D235&gt;0,IF(סקר!K345=0,1,IF(סקר!K345=0,1,סקר!K345)),0)</f>
        <v>0</v>
      </c>
      <c r="O235" s="152" t="e">
        <f t="shared" si="6"/>
        <v>#N/A</v>
      </c>
      <c r="P235" s="152">
        <f>IF(B235&gt;0,IF(סקר!O345 &lt;=1,1,סקר!O345),0)</f>
        <v>0</v>
      </c>
      <c r="Q235" s="152">
        <f>סקר!P345</f>
        <v>0</v>
      </c>
      <c r="R235" s="152">
        <f>סקר!R345</f>
        <v>0</v>
      </c>
      <c r="S235" s="152">
        <f>סקר!BC345</f>
        <v>0</v>
      </c>
      <c r="T235" s="156"/>
    </row>
    <row r="236" spans="1:20">
      <c r="A236" s="152" t="str">
        <f>IF(סקר!D346&lt;2,"עץ","פוליגון")</f>
        <v>עץ</v>
      </c>
      <c r="B236" s="152">
        <f>סקר!B346</f>
        <v>0</v>
      </c>
      <c r="C236" s="152">
        <f>IF(סקר!D346&lt;2,1,סקר!D346)</f>
        <v>1</v>
      </c>
      <c r="D236" s="152">
        <f>סקר!C346</f>
        <v>0</v>
      </c>
      <c r="E236" s="152" t="str">
        <f>IFERROR(VLOOKUP(F236,[1]TreeType!$A:$E,5,0),"")</f>
        <v/>
      </c>
      <c r="F236" s="153" t="str">
        <f>IFERROR(VLOOKUP(D236,[1]TreeType!$A:$B,2,0),"")</f>
        <v/>
      </c>
      <c r="G236" s="72">
        <f>IF(B236&gt;0,IF(סקר!E346=0,1,סקר!E346),0)</f>
        <v>0</v>
      </c>
      <c r="H236" s="72">
        <f>IF(B236&gt;0,IF(סקר!F346 = 0,1,סקר!F346),0)</f>
        <v>0</v>
      </c>
      <c r="I236" s="152">
        <f>סקר!G346</f>
        <v>0</v>
      </c>
      <c r="J236" s="152">
        <f>סקר!H346</f>
        <v>0</v>
      </c>
      <c r="K236" s="152" t="e">
        <f>IF(D236="","",VLOOKUP(D236,[1]TreeType!$A$2:$E$508,3,3))</f>
        <v>#N/A</v>
      </c>
      <c r="L236" s="152">
        <f>IF(D236&gt;0,IF(סקר!M346=0,1,IF(סקר!M346=0,1,סקר!M346)),0)</f>
        <v>0</v>
      </c>
      <c r="M236" s="152">
        <f>סקר!J346</f>
        <v>0</v>
      </c>
      <c r="N236" s="152">
        <f>IF(D236&gt;0,IF(סקר!K346=0,1,IF(סקר!K346=0,1,סקר!K346)),0)</f>
        <v>0</v>
      </c>
      <c r="O236" s="152" t="e">
        <f t="shared" si="6"/>
        <v>#N/A</v>
      </c>
      <c r="P236" s="152">
        <f>IF(B236&gt;0,IF(סקר!O346 &lt;=1,1,סקר!O346),0)</f>
        <v>0</v>
      </c>
      <c r="Q236" s="152">
        <f>סקר!P346</f>
        <v>0</v>
      </c>
      <c r="R236" s="152">
        <f>סקר!R346</f>
        <v>0</v>
      </c>
      <c r="S236" s="152">
        <f>סקר!BC346</f>
        <v>0</v>
      </c>
      <c r="T236" s="156"/>
    </row>
    <row r="237" spans="1:20">
      <c r="A237" s="152" t="str">
        <f>IF(סקר!D347&lt;2,"עץ","פוליגון")</f>
        <v>עץ</v>
      </c>
      <c r="B237" s="152">
        <f>סקר!B347</f>
        <v>0</v>
      </c>
      <c r="C237" s="152">
        <f>IF(סקר!D347&lt;2,1,סקר!D347)</f>
        <v>1</v>
      </c>
      <c r="D237" s="152">
        <f>סקר!C347</f>
        <v>0</v>
      </c>
      <c r="E237" s="152" t="str">
        <f>IFERROR(VLOOKUP(F237,[1]TreeType!$A:$E,5,0),"")</f>
        <v/>
      </c>
      <c r="F237" s="153" t="str">
        <f>IFERROR(VLOOKUP(D237,[1]TreeType!$A:$B,2,0),"")</f>
        <v/>
      </c>
      <c r="G237" s="72">
        <f>IF(B237&gt;0,IF(סקר!E347=0,1,סקר!E347),0)</f>
        <v>0</v>
      </c>
      <c r="H237" s="72">
        <f>IF(B237&gt;0,IF(סקר!F347 = 0,1,סקר!F347),0)</f>
        <v>0</v>
      </c>
      <c r="I237" s="152">
        <f>סקר!G347</f>
        <v>0</v>
      </c>
      <c r="J237" s="152">
        <f>סקר!H347</f>
        <v>0</v>
      </c>
      <c r="K237" s="152" t="e">
        <f>IF(D237="","",VLOOKUP(D237,[1]TreeType!$A$2:$E$508,3,3))</f>
        <v>#N/A</v>
      </c>
      <c r="L237" s="152">
        <f>IF(D237&gt;0,IF(סקר!M347=0,1,IF(סקר!M347=0,1,סקר!M347)),0)</f>
        <v>0</v>
      </c>
      <c r="M237" s="152">
        <f>סקר!J347</f>
        <v>0</v>
      </c>
      <c r="N237" s="152">
        <f>IF(D237&gt;0,IF(סקר!K347=0,1,IF(סקר!K347=0,1,סקר!K347)),0)</f>
        <v>0</v>
      </c>
      <c r="O237" s="152" t="e">
        <f t="shared" si="6"/>
        <v>#N/A</v>
      </c>
      <c r="P237" s="152">
        <f>IF(B237&gt;0,IF(סקר!O347 &lt;=1,1,סקר!O347),0)</f>
        <v>0</v>
      </c>
      <c r="Q237" s="152">
        <f>סקר!P347</f>
        <v>0</v>
      </c>
      <c r="R237" s="152">
        <f>סקר!R347</f>
        <v>0</v>
      </c>
      <c r="S237" s="152">
        <f>סקר!BC347</f>
        <v>0</v>
      </c>
      <c r="T237" s="156"/>
    </row>
    <row r="238" spans="1:20">
      <c r="A238" s="152" t="str">
        <f>IF(סקר!D348&lt;2,"עץ","פוליגון")</f>
        <v>עץ</v>
      </c>
      <c r="B238" s="152">
        <f>סקר!B348</f>
        <v>0</v>
      </c>
      <c r="C238" s="152">
        <f>IF(סקר!D348&lt;2,1,סקר!D348)</f>
        <v>1</v>
      </c>
      <c r="D238" s="152">
        <f>סקר!C348</f>
        <v>0</v>
      </c>
      <c r="E238" s="152" t="str">
        <f>IFERROR(VLOOKUP(F238,[1]TreeType!$A:$E,5,0),"")</f>
        <v/>
      </c>
      <c r="F238" s="153" t="str">
        <f>IFERROR(VLOOKUP(D238,[1]TreeType!$A:$B,2,0),"")</f>
        <v/>
      </c>
      <c r="G238" s="72">
        <f>IF(B238&gt;0,IF(סקר!E348=0,1,סקר!E348),0)</f>
        <v>0</v>
      </c>
      <c r="H238" s="72">
        <f>IF(B238&gt;0,IF(סקר!F348 = 0,1,סקר!F348),0)</f>
        <v>0</v>
      </c>
      <c r="I238" s="152">
        <f>סקר!G348</f>
        <v>0</v>
      </c>
      <c r="J238" s="152">
        <f>סקר!H348</f>
        <v>0</v>
      </c>
      <c r="K238" s="152" t="e">
        <f>IF(D238="","",VLOOKUP(D238,[1]TreeType!$A$2:$E$508,3,3))</f>
        <v>#N/A</v>
      </c>
      <c r="L238" s="152">
        <f>IF(D238&gt;0,IF(סקר!M348=0,1,IF(סקר!M348=0,1,סקר!M348)),0)</f>
        <v>0</v>
      </c>
      <c r="M238" s="152">
        <f>סקר!J348</f>
        <v>0</v>
      </c>
      <c r="N238" s="152">
        <f>IF(D238&gt;0,IF(סקר!K348=0,1,IF(סקר!K348=0,1,סקר!K348)),0)</f>
        <v>0</v>
      </c>
      <c r="O238" s="152" t="e">
        <f t="shared" si="6"/>
        <v>#N/A</v>
      </c>
      <c r="P238" s="152">
        <f>IF(B238&gt;0,IF(סקר!O348 &lt;=1,1,סקר!O348),0)</f>
        <v>0</v>
      </c>
      <c r="Q238" s="152">
        <f>סקר!P348</f>
        <v>0</v>
      </c>
      <c r="R238" s="152">
        <f>סקר!R348</f>
        <v>0</v>
      </c>
      <c r="S238" s="152">
        <f>סקר!BC348</f>
        <v>0</v>
      </c>
      <c r="T238" s="156"/>
    </row>
    <row r="239" spans="1:20">
      <c r="A239" s="152" t="str">
        <f>IF(סקר!D349&lt;2,"עץ","פוליגון")</f>
        <v>עץ</v>
      </c>
      <c r="B239" s="152">
        <f>סקר!B349</f>
        <v>0</v>
      </c>
      <c r="C239" s="152">
        <f>IF(סקר!D349&lt;2,1,סקר!D349)</f>
        <v>1</v>
      </c>
      <c r="D239" s="152">
        <f>סקר!C349</f>
        <v>0</v>
      </c>
      <c r="E239" s="152" t="str">
        <f>IFERROR(VLOOKUP(F239,[1]TreeType!$A:$E,5,0),"")</f>
        <v/>
      </c>
      <c r="F239" s="153" t="str">
        <f>IFERROR(VLOOKUP(D239,[1]TreeType!$A:$B,2,0),"")</f>
        <v/>
      </c>
      <c r="G239" s="72">
        <f>IF(B239&gt;0,IF(סקר!E349=0,1,סקר!E349),0)</f>
        <v>0</v>
      </c>
      <c r="H239" s="72">
        <f>IF(B239&gt;0,IF(סקר!F349 = 0,1,סקר!F349),0)</f>
        <v>0</v>
      </c>
      <c r="I239" s="152">
        <f>סקר!G349</f>
        <v>0</v>
      </c>
      <c r="J239" s="152">
        <f>סקר!H349</f>
        <v>0</v>
      </c>
      <c r="K239" s="152" t="e">
        <f>IF(D239="","",VLOOKUP(D239,[1]TreeType!$A$2:$E$508,3,3))</f>
        <v>#N/A</v>
      </c>
      <c r="L239" s="152">
        <f>IF(D239&gt;0,IF(סקר!M349=0,1,IF(סקר!M349=0,1,סקר!M349)),0)</f>
        <v>0</v>
      </c>
      <c r="M239" s="152">
        <f>סקר!J349</f>
        <v>0</v>
      </c>
      <c r="N239" s="152">
        <f>IF(D239&gt;0,IF(סקר!K349=0,1,IF(סקר!K349=0,1,סקר!K349)),0)</f>
        <v>0</v>
      </c>
      <c r="O239" s="152" t="e">
        <f t="shared" si="6"/>
        <v>#N/A</v>
      </c>
      <c r="P239" s="152">
        <f>IF(B239&gt;0,IF(סקר!O349 &lt;=1,1,סקר!O349),0)</f>
        <v>0</v>
      </c>
      <c r="Q239" s="152">
        <f>סקר!P349</f>
        <v>0</v>
      </c>
      <c r="R239" s="152">
        <f>סקר!R349</f>
        <v>0</v>
      </c>
      <c r="S239" s="152">
        <f>סקר!BC349</f>
        <v>0</v>
      </c>
      <c r="T239" s="156"/>
    </row>
    <row r="240" spans="1:20">
      <c r="A240" s="152" t="str">
        <f>IF(סקר!D350&lt;2,"עץ","פוליגון")</f>
        <v>עץ</v>
      </c>
      <c r="B240" s="152">
        <f>סקר!B350</f>
        <v>0</v>
      </c>
      <c r="C240" s="152">
        <f>IF(סקר!D350&lt;2,1,סקר!D350)</f>
        <v>1</v>
      </c>
      <c r="D240" s="152">
        <f>סקר!C350</f>
        <v>0</v>
      </c>
      <c r="E240" s="152" t="str">
        <f>IFERROR(VLOOKUP(F240,[1]TreeType!$A:$E,5,0),"")</f>
        <v/>
      </c>
      <c r="F240" s="153" t="str">
        <f>IFERROR(VLOOKUP(D240,[1]TreeType!$A:$B,2,0),"")</f>
        <v/>
      </c>
      <c r="G240" s="72">
        <f>IF(B240&gt;0,IF(סקר!E350=0,1,סקר!E350),0)</f>
        <v>0</v>
      </c>
      <c r="H240" s="72">
        <f>IF(B240&gt;0,IF(סקר!F350 = 0,1,סקר!F350),0)</f>
        <v>0</v>
      </c>
      <c r="I240" s="152">
        <f>סקר!G350</f>
        <v>0</v>
      </c>
      <c r="J240" s="152">
        <f>סקר!H350</f>
        <v>0</v>
      </c>
      <c r="K240" s="152" t="e">
        <f>IF(D240="","",VLOOKUP(D240,[1]TreeType!$A$2:$E$508,3,3))</f>
        <v>#N/A</v>
      </c>
      <c r="L240" s="152">
        <f>IF(D240&gt;0,IF(סקר!M350=0,1,IF(סקר!M350=0,1,סקר!M350)),0)</f>
        <v>0</v>
      </c>
      <c r="M240" s="152">
        <f>סקר!J350</f>
        <v>0</v>
      </c>
      <c r="N240" s="152">
        <f>IF(D240&gt;0,IF(סקר!K350=0,1,IF(סקר!K350=0,1,סקר!K350)),0)</f>
        <v>0</v>
      </c>
      <c r="O240" s="152" t="e">
        <f t="shared" si="6"/>
        <v>#N/A</v>
      </c>
      <c r="P240" s="152">
        <f>IF(B240&gt;0,IF(סקר!O350 &lt;=1,1,סקר!O350),0)</f>
        <v>0</v>
      </c>
      <c r="Q240" s="152">
        <f>סקר!P350</f>
        <v>0</v>
      </c>
      <c r="R240" s="152">
        <f>סקר!R350</f>
        <v>0</v>
      </c>
      <c r="S240" s="152">
        <f>סקר!BC350</f>
        <v>0</v>
      </c>
      <c r="T240" s="156"/>
    </row>
    <row r="241" spans="1:20">
      <c r="A241" s="152" t="str">
        <f>IF(סקר!D351&lt;2,"עץ","פוליגון")</f>
        <v>עץ</v>
      </c>
      <c r="B241" s="152">
        <f>סקר!B351</f>
        <v>0</v>
      </c>
      <c r="C241" s="152">
        <f>IF(סקר!D351&lt;2,1,סקר!D351)</f>
        <v>1</v>
      </c>
      <c r="D241" s="152">
        <f>סקר!C351</f>
        <v>0</v>
      </c>
      <c r="E241" s="152" t="str">
        <f>IFERROR(VLOOKUP(F241,[1]TreeType!$A:$E,5,0),"")</f>
        <v/>
      </c>
      <c r="F241" s="153" t="str">
        <f>IFERROR(VLOOKUP(D241,[1]TreeType!$A:$B,2,0),"")</f>
        <v/>
      </c>
      <c r="G241" s="72">
        <f>IF(B241&gt;0,IF(סקר!E351=0,1,סקר!E351),0)</f>
        <v>0</v>
      </c>
      <c r="H241" s="72">
        <f>IF(B241&gt;0,IF(סקר!F351 = 0,1,סקר!F351),0)</f>
        <v>0</v>
      </c>
      <c r="I241" s="152">
        <f>סקר!G351</f>
        <v>0</v>
      </c>
      <c r="J241" s="152">
        <f>סקר!H351</f>
        <v>0</v>
      </c>
      <c r="K241" s="152" t="e">
        <f>IF(D241="","",VLOOKUP(D241,[1]TreeType!$A$2:$E$508,3,3))</f>
        <v>#N/A</v>
      </c>
      <c r="L241" s="152">
        <f>IF(D241&gt;0,IF(סקר!M351=0,1,IF(סקר!M351=0,1,סקר!M351)),0)</f>
        <v>0</v>
      </c>
      <c r="M241" s="152">
        <f>סקר!J351</f>
        <v>0</v>
      </c>
      <c r="N241" s="152">
        <f>IF(D241&gt;0,IF(סקר!K351=0,1,IF(סקר!K351=0,1,סקר!K351)),0)</f>
        <v>0</v>
      </c>
      <c r="O241" s="152" t="e">
        <f t="shared" si="6"/>
        <v>#N/A</v>
      </c>
      <c r="P241" s="152">
        <f>IF(B241&gt;0,IF(סקר!O351 &lt;=1,1,סקר!O351),0)</f>
        <v>0</v>
      </c>
      <c r="Q241" s="152">
        <f>סקר!P351</f>
        <v>0</v>
      </c>
      <c r="R241" s="152">
        <f>סקר!R351</f>
        <v>0</v>
      </c>
      <c r="S241" s="152">
        <f>סקר!BC351</f>
        <v>0</v>
      </c>
      <c r="T241" s="156"/>
    </row>
    <row r="242" spans="1:20">
      <c r="A242" s="152" t="str">
        <f>IF(סקר!D352&lt;2,"עץ","פוליגון")</f>
        <v>עץ</v>
      </c>
      <c r="B242" s="152">
        <f>סקר!B352</f>
        <v>0</v>
      </c>
      <c r="C242" s="152">
        <f>IF(סקר!D352&lt;2,1,סקר!D352)</f>
        <v>1</v>
      </c>
      <c r="D242" s="152">
        <f>סקר!C352</f>
        <v>0</v>
      </c>
      <c r="E242" s="152" t="str">
        <f>IFERROR(VLOOKUP(F242,[1]TreeType!$A:$E,5,0),"")</f>
        <v/>
      </c>
      <c r="F242" s="153" t="str">
        <f>IFERROR(VLOOKUP(D242,[1]TreeType!$A:$B,2,0),"")</f>
        <v/>
      </c>
      <c r="G242" s="72">
        <f>IF(B242&gt;0,IF(סקר!E352=0,1,סקר!E352),0)</f>
        <v>0</v>
      </c>
      <c r="H242" s="72">
        <f>IF(B242&gt;0,IF(סקר!F352 = 0,1,סקר!F352),0)</f>
        <v>0</v>
      </c>
      <c r="I242" s="152">
        <f>סקר!G352</f>
        <v>0</v>
      </c>
      <c r="J242" s="152">
        <f>סקר!H352</f>
        <v>0</v>
      </c>
      <c r="K242" s="152" t="e">
        <f>IF(D242="","",VLOOKUP(D242,[1]TreeType!$A$2:$E$508,3,3))</f>
        <v>#N/A</v>
      </c>
      <c r="L242" s="152">
        <f>IF(D242&gt;0,IF(סקר!M352=0,1,IF(סקר!M352=0,1,סקר!M352)),0)</f>
        <v>0</v>
      </c>
      <c r="M242" s="152">
        <f>סקר!J352</f>
        <v>0</v>
      </c>
      <c r="N242" s="152">
        <f>IF(D242&gt;0,IF(סקר!K352=0,1,IF(סקר!K352=0,1,סקר!K352)),0)</f>
        <v>0</v>
      </c>
      <c r="O242" s="152" t="e">
        <f t="shared" si="6"/>
        <v>#N/A</v>
      </c>
      <c r="P242" s="152">
        <f>IF(B242&gt;0,IF(סקר!O352 &lt;=1,1,סקר!O352),0)</f>
        <v>0</v>
      </c>
      <c r="Q242" s="152">
        <f>סקר!P352</f>
        <v>0</v>
      </c>
      <c r="R242" s="152">
        <f>סקר!R352</f>
        <v>0</v>
      </c>
      <c r="S242" s="152">
        <f>סקר!BC352</f>
        <v>0</v>
      </c>
      <c r="T242" s="156"/>
    </row>
    <row r="243" spans="1:20">
      <c r="A243" s="152" t="str">
        <f>IF(סקר!D353&lt;2,"עץ","פוליגון")</f>
        <v>עץ</v>
      </c>
      <c r="B243" s="152">
        <f>סקר!B353</f>
        <v>0</v>
      </c>
      <c r="C243" s="152">
        <f>IF(סקר!D353&lt;2,1,סקר!D353)</f>
        <v>1</v>
      </c>
      <c r="D243" s="152">
        <f>סקר!C353</f>
        <v>0</v>
      </c>
      <c r="E243" s="152" t="str">
        <f>IFERROR(VLOOKUP(F243,[1]TreeType!$A:$E,5,0),"")</f>
        <v/>
      </c>
      <c r="F243" s="153" t="str">
        <f>IFERROR(VLOOKUP(D243,[1]TreeType!$A:$B,2,0),"")</f>
        <v/>
      </c>
      <c r="G243" s="72">
        <f>IF(B243&gt;0,IF(סקר!E353=0,1,סקר!E353),0)</f>
        <v>0</v>
      </c>
      <c r="H243" s="72">
        <f>IF(B243&gt;0,IF(סקר!F353 = 0,1,סקר!F353),0)</f>
        <v>0</v>
      </c>
      <c r="I243" s="152">
        <f>סקר!G353</f>
        <v>0</v>
      </c>
      <c r="J243" s="152">
        <f>סקר!H353</f>
        <v>0</v>
      </c>
      <c r="K243" s="152" t="e">
        <f>IF(D243="","",VLOOKUP(D243,[1]TreeType!$A$2:$E$508,3,3))</f>
        <v>#N/A</v>
      </c>
      <c r="L243" s="152">
        <f>IF(D243&gt;0,IF(סקר!M353=0,1,IF(סקר!M353=0,1,סקר!M353)),0)</f>
        <v>0</v>
      </c>
      <c r="M243" s="152">
        <f>סקר!J353</f>
        <v>0</v>
      </c>
      <c r="N243" s="152">
        <f>IF(D243&gt;0,IF(סקר!K353=0,1,IF(סקר!K353=0,1,סקר!K353)),0)</f>
        <v>0</v>
      </c>
      <c r="O243" s="152" t="e">
        <f t="shared" si="6"/>
        <v>#N/A</v>
      </c>
      <c r="P243" s="152">
        <f>IF(B243&gt;0,IF(סקר!O353 &lt;=1,1,סקר!O353),0)</f>
        <v>0</v>
      </c>
      <c r="Q243" s="152">
        <f>סקר!P353</f>
        <v>0</v>
      </c>
      <c r="R243" s="152">
        <f>סקר!R353</f>
        <v>0</v>
      </c>
      <c r="S243" s="152">
        <f>סקר!BC353</f>
        <v>0</v>
      </c>
      <c r="T243" s="156"/>
    </row>
    <row r="244" spans="1:20">
      <c r="A244" s="152" t="str">
        <f>IF(סקר!D354&lt;2,"עץ","פוליגון")</f>
        <v>עץ</v>
      </c>
      <c r="B244" s="152">
        <f>סקר!B354</f>
        <v>0</v>
      </c>
      <c r="C244" s="152">
        <f>IF(סקר!D354&lt;2,1,סקר!D354)</f>
        <v>1</v>
      </c>
      <c r="D244" s="152">
        <f>סקר!C354</f>
        <v>0</v>
      </c>
      <c r="E244" s="152" t="str">
        <f>IFERROR(VLOOKUP(F244,[1]TreeType!$A:$E,5,0),"")</f>
        <v/>
      </c>
      <c r="F244" s="153" t="str">
        <f>IFERROR(VLOOKUP(D244,[1]TreeType!$A:$B,2,0),"")</f>
        <v/>
      </c>
      <c r="G244" s="72">
        <f>IF(B244&gt;0,IF(סקר!E354=0,1,סקר!E354),0)</f>
        <v>0</v>
      </c>
      <c r="H244" s="72">
        <f>IF(B244&gt;0,IF(סקר!F354 = 0,1,סקר!F354),0)</f>
        <v>0</v>
      </c>
      <c r="I244" s="152">
        <f>סקר!G354</f>
        <v>0</v>
      </c>
      <c r="J244" s="152">
        <f>סקר!H354</f>
        <v>0</v>
      </c>
      <c r="K244" s="152" t="e">
        <f>IF(D244="","",VLOOKUP(D244,[1]TreeType!$A$2:$E$508,3,3))</f>
        <v>#N/A</v>
      </c>
      <c r="L244" s="152">
        <f>IF(D244&gt;0,IF(סקר!M354=0,1,IF(סקר!M354=0,1,סקר!M354)),0)</f>
        <v>0</v>
      </c>
      <c r="M244" s="152">
        <f>סקר!J354</f>
        <v>0</v>
      </c>
      <c r="N244" s="152">
        <f>IF(D244&gt;0,IF(סקר!K354=0,1,IF(סקר!K354=0,1,סקר!K354)),0)</f>
        <v>0</v>
      </c>
      <c r="O244" s="152" t="e">
        <f t="shared" si="6"/>
        <v>#N/A</v>
      </c>
      <c r="P244" s="152">
        <f>IF(B244&gt;0,IF(סקר!O354 &lt;=1,1,סקר!O354),0)</f>
        <v>0</v>
      </c>
      <c r="Q244" s="152">
        <f>סקר!P354</f>
        <v>0</v>
      </c>
      <c r="R244" s="152">
        <f>סקר!R354</f>
        <v>0</v>
      </c>
      <c r="S244" s="152">
        <f>סקר!BC354</f>
        <v>0</v>
      </c>
      <c r="T244" s="156"/>
    </row>
    <row r="245" spans="1:20">
      <c r="A245" s="152" t="str">
        <f>IF(סקר!D355&lt;2,"עץ","פוליגון")</f>
        <v>עץ</v>
      </c>
      <c r="B245" s="152">
        <f>סקר!B355</f>
        <v>0</v>
      </c>
      <c r="C245" s="152">
        <f>IF(סקר!D355&lt;2,1,סקר!D355)</f>
        <v>1</v>
      </c>
      <c r="D245" s="152">
        <f>סקר!C355</f>
        <v>0</v>
      </c>
      <c r="E245" s="152" t="str">
        <f>IFERROR(VLOOKUP(F245,[1]TreeType!$A:$E,5,0),"")</f>
        <v/>
      </c>
      <c r="F245" s="153" t="str">
        <f>IFERROR(VLOOKUP(D245,[1]TreeType!$A:$B,2,0),"")</f>
        <v/>
      </c>
      <c r="G245" s="72">
        <f>IF(B245&gt;0,IF(סקר!E355=0,1,סקר!E355),0)</f>
        <v>0</v>
      </c>
      <c r="H245" s="72">
        <f>IF(B245&gt;0,IF(סקר!F355 = 0,1,סקר!F355),0)</f>
        <v>0</v>
      </c>
      <c r="I245" s="152">
        <f>סקר!G355</f>
        <v>0</v>
      </c>
      <c r="J245" s="152">
        <f>סקר!H355</f>
        <v>0</v>
      </c>
      <c r="K245" s="152" t="e">
        <f>IF(D245="","",VLOOKUP(D245,[1]TreeType!$A$2:$E$508,3,3))</f>
        <v>#N/A</v>
      </c>
      <c r="L245" s="152">
        <f>IF(D245&gt;0,IF(סקר!M355=0,1,IF(סקר!M355=0,1,סקר!M355)),0)</f>
        <v>0</v>
      </c>
      <c r="M245" s="152">
        <f>סקר!J355</f>
        <v>0</v>
      </c>
      <c r="N245" s="152">
        <f>IF(D245&gt;0,IF(סקר!K355=0,1,IF(סקר!K355=0,1,סקר!K355)),0)</f>
        <v>0</v>
      </c>
      <c r="O245" s="152" t="e">
        <f t="shared" si="6"/>
        <v>#N/A</v>
      </c>
      <c r="P245" s="152">
        <f>IF(B245&gt;0,IF(סקר!O355 &lt;=1,1,סקר!O355),0)</f>
        <v>0</v>
      </c>
      <c r="Q245" s="152">
        <f>סקר!P355</f>
        <v>0</v>
      </c>
      <c r="R245" s="152">
        <f>סקר!R355</f>
        <v>0</v>
      </c>
      <c r="S245" s="152">
        <f>סקר!BC355</f>
        <v>0</v>
      </c>
      <c r="T245" s="156"/>
    </row>
    <row r="246" spans="1:20">
      <c r="A246" s="152" t="str">
        <f>IF(סקר!D356&lt;2,"עץ","פוליגון")</f>
        <v>עץ</v>
      </c>
      <c r="B246" s="152">
        <f>סקר!B356</f>
        <v>0</v>
      </c>
      <c r="C246" s="152">
        <f>IF(סקר!D356&lt;2,1,סקר!D356)</f>
        <v>1</v>
      </c>
      <c r="D246" s="152">
        <f>סקר!C356</f>
        <v>0</v>
      </c>
      <c r="E246" s="152" t="str">
        <f>IFERROR(VLOOKUP(F246,[1]TreeType!$A:$E,5,0),"")</f>
        <v/>
      </c>
      <c r="F246" s="153" t="str">
        <f>IFERROR(VLOOKUP(D246,[1]TreeType!$A:$B,2,0),"")</f>
        <v/>
      </c>
      <c r="G246" s="72">
        <f>IF(B246&gt;0,IF(סקר!E356=0,1,סקר!E356),0)</f>
        <v>0</v>
      </c>
      <c r="H246" s="72">
        <f>IF(B246&gt;0,IF(סקר!F356 = 0,1,סקר!F356),0)</f>
        <v>0</v>
      </c>
      <c r="I246" s="152">
        <f>סקר!G356</f>
        <v>0</v>
      </c>
      <c r="J246" s="152">
        <f>סקר!H356</f>
        <v>0</v>
      </c>
      <c r="K246" s="152" t="e">
        <f>IF(D246="","",VLOOKUP(D246,[1]TreeType!$A$2:$E$508,3,3))</f>
        <v>#N/A</v>
      </c>
      <c r="L246" s="152">
        <f>IF(D246&gt;0,IF(סקר!M356=0,1,IF(סקר!M356=0,1,סקר!M356)),0)</f>
        <v>0</v>
      </c>
      <c r="M246" s="152">
        <f>סקר!J356</f>
        <v>0</v>
      </c>
      <c r="N246" s="152">
        <f>IF(D246&gt;0,IF(סקר!K356=0,1,IF(סקר!K356=0,1,סקר!K356)),0)</f>
        <v>0</v>
      </c>
      <c r="O246" s="152" t="e">
        <f t="shared" si="6"/>
        <v>#N/A</v>
      </c>
      <c r="P246" s="152">
        <f>IF(B246&gt;0,IF(סקר!O356 &lt;=1,1,סקר!O356),0)</f>
        <v>0</v>
      </c>
      <c r="Q246" s="152">
        <f>סקר!P356</f>
        <v>0</v>
      </c>
      <c r="R246" s="152">
        <f>סקר!R356</f>
        <v>0</v>
      </c>
      <c r="S246" s="152">
        <f>סקר!BC356</f>
        <v>0</v>
      </c>
      <c r="T246" s="156"/>
    </row>
    <row r="247" spans="1:20">
      <c r="A247" s="152" t="str">
        <f>IF(סקר!D357&lt;2,"עץ","פוליגון")</f>
        <v>עץ</v>
      </c>
      <c r="B247" s="152">
        <f>סקר!B357</f>
        <v>0</v>
      </c>
      <c r="C247" s="152">
        <f>IF(סקר!D357&lt;2,1,סקר!D357)</f>
        <v>1</v>
      </c>
      <c r="D247" s="152">
        <f>סקר!C357</f>
        <v>0</v>
      </c>
      <c r="E247" s="152" t="str">
        <f>IFERROR(VLOOKUP(F247,[1]TreeType!$A:$E,5,0),"")</f>
        <v/>
      </c>
      <c r="F247" s="153" t="str">
        <f>IFERROR(VLOOKUP(D247,[1]TreeType!$A:$B,2,0),"")</f>
        <v/>
      </c>
      <c r="G247" s="72">
        <f>IF(B247&gt;0,IF(סקר!E357=0,1,סקר!E357),0)</f>
        <v>0</v>
      </c>
      <c r="H247" s="72">
        <f>IF(B247&gt;0,IF(סקר!F357 = 0,1,סקר!F357),0)</f>
        <v>0</v>
      </c>
      <c r="I247" s="152">
        <f>סקר!G357</f>
        <v>0</v>
      </c>
      <c r="J247" s="152">
        <f>סקר!H357</f>
        <v>0</v>
      </c>
      <c r="K247" s="152" t="e">
        <f>IF(D247="","",VLOOKUP(D247,[1]TreeType!$A$2:$E$508,3,3))</f>
        <v>#N/A</v>
      </c>
      <c r="L247" s="152">
        <f>IF(D247&gt;0,IF(סקר!M357=0,1,IF(סקר!M357=0,1,סקר!M357)),0)</f>
        <v>0</v>
      </c>
      <c r="M247" s="152">
        <f>סקר!J357</f>
        <v>0</v>
      </c>
      <c r="N247" s="152">
        <f>IF(D247&gt;0,IF(סקר!K357=0,1,IF(סקר!K357=0,1,סקר!K357)),0)</f>
        <v>0</v>
      </c>
      <c r="O247" s="152" t="e">
        <f t="shared" si="6"/>
        <v>#N/A</v>
      </c>
      <c r="P247" s="152">
        <f>IF(B247&gt;0,IF(סקר!O357 &lt;=1,1,סקר!O357),0)</f>
        <v>0</v>
      </c>
      <c r="Q247" s="152">
        <f>סקר!P357</f>
        <v>0</v>
      </c>
      <c r="R247" s="152">
        <f>סקר!R357</f>
        <v>0</v>
      </c>
      <c r="S247" s="152">
        <f>סקר!BC357</f>
        <v>0</v>
      </c>
      <c r="T247" s="156"/>
    </row>
    <row r="248" spans="1:20">
      <c r="A248" s="152" t="str">
        <f>IF(סקר!D358&lt;2,"עץ","פוליגון")</f>
        <v>עץ</v>
      </c>
      <c r="B248" s="152">
        <f>סקר!B358</f>
        <v>0</v>
      </c>
      <c r="C248" s="152">
        <f>IF(סקר!D358&lt;2,1,סקר!D358)</f>
        <v>1</v>
      </c>
      <c r="D248" s="152">
        <f>סקר!C358</f>
        <v>0</v>
      </c>
      <c r="E248" s="152" t="str">
        <f>IFERROR(VLOOKUP(F248,[1]TreeType!$A:$E,5,0),"")</f>
        <v/>
      </c>
      <c r="F248" s="153" t="str">
        <f>IFERROR(VLOOKUP(D248,[1]TreeType!$A:$B,2,0),"")</f>
        <v/>
      </c>
      <c r="G248" s="72">
        <f>IF(B248&gt;0,IF(סקר!E358=0,1,סקר!E358),0)</f>
        <v>0</v>
      </c>
      <c r="H248" s="72">
        <f>IF(B248&gt;0,IF(סקר!F358 = 0,1,סקר!F358),0)</f>
        <v>0</v>
      </c>
      <c r="I248" s="152">
        <f>סקר!G358</f>
        <v>0</v>
      </c>
      <c r="J248" s="152">
        <f>סקר!H358</f>
        <v>0</v>
      </c>
      <c r="K248" s="152" t="e">
        <f>IF(D248="","",VLOOKUP(D248,[1]TreeType!$A$2:$E$508,3,3))</f>
        <v>#N/A</v>
      </c>
      <c r="L248" s="152">
        <f>IF(D248&gt;0,IF(סקר!M358=0,1,IF(סקר!M358=0,1,סקר!M358)),0)</f>
        <v>0</v>
      </c>
      <c r="M248" s="152">
        <f>סקר!J358</f>
        <v>0</v>
      </c>
      <c r="N248" s="152">
        <f>IF(D248&gt;0,IF(סקר!K358=0,1,IF(סקר!K358=0,1,סקר!K358)),0)</f>
        <v>0</v>
      </c>
      <c r="O248" s="152" t="e">
        <f t="shared" si="6"/>
        <v>#N/A</v>
      </c>
      <c r="P248" s="152">
        <f>IF(B248&gt;0,IF(סקר!O358 &lt;=1,1,סקר!O358),0)</f>
        <v>0</v>
      </c>
      <c r="Q248" s="152">
        <f>סקר!P358</f>
        <v>0</v>
      </c>
      <c r="R248" s="152">
        <f>סקר!R358</f>
        <v>0</v>
      </c>
      <c r="S248" s="152">
        <f>סקר!BC358</f>
        <v>0</v>
      </c>
      <c r="T248" s="156"/>
    </row>
    <row r="249" spans="1:20">
      <c r="A249" s="152" t="str">
        <f>IF(סקר!D359&lt;2,"עץ","פוליגון")</f>
        <v>עץ</v>
      </c>
      <c r="B249" s="152">
        <f>סקר!B359</f>
        <v>0</v>
      </c>
      <c r="C249" s="152">
        <f>IF(סקר!D359&lt;2,1,סקר!D359)</f>
        <v>1</v>
      </c>
      <c r="D249" s="152">
        <f>סקר!C359</f>
        <v>0</v>
      </c>
      <c r="E249" s="152" t="str">
        <f>IFERROR(VLOOKUP(F249,[1]TreeType!$A:$E,5,0),"")</f>
        <v/>
      </c>
      <c r="F249" s="153" t="str">
        <f>IFERROR(VLOOKUP(D249,[1]TreeType!$A:$B,2,0),"")</f>
        <v/>
      </c>
      <c r="G249" s="72">
        <f>IF(B249&gt;0,IF(סקר!E359=0,1,סקר!E359),0)</f>
        <v>0</v>
      </c>
      <c r="H249" s="72">
        <f>IF(B249&gt;0,IF(סקר!F359 = 0,1,סקר!F359),0)</f>
        <v>0</v>
      </c>
      <c r="I249" s="152">
        <f>סקר!G359</f>
        <v>0</v>
      </c>
      <c r="J249" s="152">
        <f>סקר!H359</f>
        <v>0</v>
      </c>
      <c r="K249" s="152" t="e">
        <f>IF(D249="","",VLOOKUP(D249,[1]TreeType!$A$2:$E$508,3,3))</f>
        <v>#N/A</v>
      </c>
      <c r="L249" s="152">
        <f>IF(D249&gt;0,IF(סקר!M359=0,1,IF(סקר!M359=0,1,סקר!M359)),0)</f>
        <v>0</v>
      </c>
      <c r="M249" s="152">
        <f>סקר!J359</f>
        <v>0</v>
      </c>
      <c r="N249" s="152">
        <f>IF(D249&gt;0,IF(סקר!K359=0,1,IF(סקר!K359=0,1,סקר!K359)),0)</f>
        <v>0</v>
      </c>
      <c r="O249" s="152" t="e">
        <f t="shared" si="6"/>
        <v>#N/A</v>
      </c>
      <c r="P249" s="152">
        <f>IF(B249&gt;0,IF(סקר!O359 &lt;=1,1,סקר!O359),0)</f>
        <v>0</v>
      </c>
      <c r="Q249" s="152">
        <f>סקר!P359</f>
        <v>0</v>
      </c>
      <c r="R249" s="152">
        <f>סקר!R359</f>
        <v>0</v>
      </c>
      <c r="S249" s="152">
        <f>סקר!BC359</f>
        <v>0</v>
      </c>
      <c r="T249" s="156"/>
    </row>
    <row r="250" spans="1:20">
      <c r="A250" s="152" t="str">
        <f>IF(סקר!D360&lt;2,"עץ","פוליגון")</f>
        <v>עץ</v>
      </c>
      <c r="B250" s="152">
        <f>סקר!B360</f>
        <v>0</v>
      </c>
      <c r="C250" s="152">
        <f>IF(סקר!D360&lt;2,1,סקר!D360)</f>
        <v>1</v>
      </c>
      <c r="D250" s="152">
        <f>סקר!C360</f>
        <v>0</v>
      </c>
      <c r="E250" s="152" t="str">
        <f>IFERROR(VLOOKUP(F250,[1]TreeType!$A:$E,5,0),"")</f>
        <v/>
      </c>
      <c r="F250" s="153" t="str">
        <f>IFERROR(VLOOKUP(D250,[1]TreeType!$A:$B,2,0),"")</f>
        <v/>
      </c>
      <c r="G250" s="72">
        <f>IF(B250&gt;0,IF(סקר!E360=0,1,סקר!E360),0)</f>
        <v>0</v>
      </c>
      <c r="H250" s="72">
        <f>IF(B250&gt;0,IF(סקר!F360 = 0,1,סקר!F360),0)</f>
        <v>0</v>
      </c>
      <c r="I250" s="152">
        <f>סקר!G360</f>
        <v>0</v>
      </c>
      <c r="J250" s="152">
        <f>סקר!H360</f>
        <v>0</v>
      </c>
      <c r="K250" s="152" t="e">
        <f>IF(D250="","",VLOOKUP(D250,[1]TreeType!$A$2:$E$508,3,3))</f>
        <v>#N/A</v>
      </c>
      <c r="L250" s="152">
        <f>IF(D250&gt;0,IF(סקר!M360=0,1,IF(סקר!M360=0,1,סקר!M360)),0)</f>
        <v>0</v>
      </c>
      <c r="M250" s="152">
        <f>סקר!J360</f>
        <v>0</v>
      </c>
      <c r="N250" s="152">
        <f>IF(D250&gt;0,IF(סקר!K360=0,1,IF(סקר!K360=0,1,סקר!K360)),0)</f>
        <v>0</v>
      </c>
      <c r="O250" s="152" t="e">
        <f t="shared" si="6"/>
        <v>#N/A</v>
      </c>
      <c r="P250" s="152">
        <f>IF(B250&gt;0,IF(סקר!O360 &lt;=1,1,סקר!O360),0)</f>
        <v>0</v>
      </c>
      <c r="Q250" s="152">
        <f>סקר!P360</f>
        <v>0</v>
      </c>
      <c r="R250" s="152">
        <f>סקר!R360</f>
        <v>0</v>
      </c>
      <c r="S250" s="152">
        <f>סקר!BC360</f>
        <v>0</v>
      </c>
      <c r="T250" s="156"/>
    </row>
    <row r="251" spans="1:20">
      <c r="A251" s="152" t="str">
        <f>IF(סקר!D375&lt;2,"עץ","פוליגון")</f>
        <v>עץ</v>
      </c>
      <c r="B251" s="152">
        <f>סקר!B375</f>
        <v>0</v>
      </c>
      <c r="C251" s="152">
        <f>IF(סקר!D375&lt;2,1,סקר!D375)</f>
        <v>1</v>
      </c>
      <c r="D251" s="152">
        <f>סקר!C375</f>
        <v>0</v>
      </c>
      <c r="E251" s="152" t="str">
        <f>IFERROR(VLOOKUP(F251,[1]TreeType!$A:$E,5,0),"")</f>
        <v/>
      </c>
      <c r="F251" s="153" t="str">
        <f>IFERROR(VLOOKUP(D251,[1]TreeType!$A:$B,2,0),"")</f>
        <v/>
      </c>
      <c r="G251" s="72">
        <f>IF(B251&gt;0,IF(סקר!E375=0,1,סקר!E375),0)</f>
        <v>0</v>
      </c>
      <c r="H251" s="72">
        <f>IF(B251&gt;0,IF(סקר!F375 = 0,1,סקר!F375),0)</f>
        <v>0</v>
      </c>
      <c r="I251" s="152">
        <f>סקר!G375</f>
        <v>0</v>
      </c>
      <c r="J251" s="152">
        <f>סקר!H375</f>
        <v>0</v>
      </c>
      <c r="K251" s="152" t="e">
        <f>IF(D251="","",VLOOKUP(D251,[1]TreeType!$A$2:$E$508,3,3))</f>
        <v>#N/A</v>
      </c>
      <c r="L251" s="152">
        <f>IF(D251&gt;0,IF(סקר!M375=0,1,IF(סקר!M375=0,1,סקר!M375)),0)</f>
        <v>0</v>
      </c>
      <c r="M251" s="152">
        <f>סקר!J375</f>
        <v>0</v>
      </c>
      <c r="N251" s="152">
        <f>IF(D251&gt;0,IF(סקר!K375=0,1,IF(סקר!K375=0,1,סקר!K375)),0)</f>
        <v>0</v>
      </c>
      <c r="O251" s="152" t="e">
        <f t="shared" si="6"/>
        <v>#N/A</v>
      </c>
      <c r="P251" s="152">
        <f>IF(B251&gt;0,IF(סקר!O375 &lt;=1,1,סקר!O375),0)</f>
        <v>0</v>
      </c>
      <c r="Q251" s="152">
        <f>סקר!P375</f>
        <v>0</v>
      </c>
      <c r="R251" s="152">
        <f>סקר!R375</f>
        <v>0</v>
      </c>
      <c r="S251" s="152">
        <f>סקר!BC375</f>
        <v>0</v>
      </c>
      <c r="T251" s="156"/>
    </row>
    <row r="252" spans="1:20">
      <c r="A252" s="152" t="str">
        <f>IF(סקר!D376&lt;2,"עץ","פוליגון")</f>
        <v>עץ</v>
      </c>
      <c r="B252" s="152">
        <f>סקר!B376</f>
        <v>0</v>
      </c>
      <c r="C252" s="152">
        <f>IF(סקר!D376&lt;2,1,סקר!D376)</f>
        <v>1</v>
      </c>
      <c r="D252" s="152">
        <f>סקר!C376</f>
        <v>0</v>
      </c>
      <c r="E252" s="152" t="str">
        <f>IFERROR(VLOOKUP(F252,[1]TreeType!$A:$E,5,0),"")</f>
        <v/>
      </c>
      <c r="F252" s="153" t="str">
        <f>IFERROR(VLOOKUP(D252,[1]TreeType!$A:$B,2,0),"")</f>
        <v/>
      </c>
      <c r="G252" s="72">
        <f>IF(B252&gt;0,IF(סקר!E376=0,1,סקר!E376),0)</f>
        <v>0</v>
      </c>
      <c r="H252" s="72">
        <f>IF(B252&gt;0,IF(סקר!F376 = 0,1,סקר!F376),0)</f>
        <v>0</v>
      </c>
      <c r="I252" s="152">
        <f>סקר!G376</f>
        <v>0</v>
      </c>
      <c r="J252" s="152">
        <f>סקר!H376</f>
        <v>0</v>
      </c>
      <c r="K252" s="152" t="e">
        <f>IF(D252="","",VLOOKUP(D252,[1]TreeType!$A$2:$E$508,3,3))</f>
        <v>#N/A</v>
      </c>
      <c r="L252" s="152">
        <f>IF(D252&gt;0,IF(סקר!M376=0,1,IF(סקר!M376=0,1,סקר!M376)),0)</f>
        <v>0</v>
      </c>
      <c r="M252" s="152">
        <f>סקר!J376</f>
        <v>0</v>
      </c>
      <c r="N252" s="152">
        <f>IF(D252&gt;0,IF(סקר!K376=0,1,IF(סקר!K376=0,1,סקר!K376)),0)</f>
        <v>0</v>
      </c>
      <c r="O252" s="152" t="e">
        <f t="shared" si="6"/>
        <v>#N/A</v>
      </c>
      <c r="P252" s="152">
        <f>IF(B252&gt;0,IF(סקר!O376 &lt;=1,1,סקר!O376),0)</f>
        <v>0</v>
      </c>
      <c r="Q252" s="152">
        <f>סקר!P376</f>
        <v>0</v>
      </c>
      <c r="R252" s="152">
        <f>סקר!R376</f>
        <v>0</v>
      </c>
      <c r="S252" s="152">
        <f>סקר!BC376</f>
        <v>0</v>
      </c>
      <c r="T252" s="156"/>
    </row>
    <row r="253" spans="1:20">
      <c r="A253" s="152" t="str">
        <f>IF(סקר!D377&lt;2,"עץ","פוליגון")</f>
        <v>עץ</v>
      </c>
      <c r="B253" s="152">
        <f>סקר!B377</f>
        <v>0</v>
      </c>
      <c r="C253" s="152">
        <f>IF(סקר!D377&lt;2,1,סקר!D377)</f>
        <v>1</v>
      </c>
      <c r="D253" s="152">
        <f>סקר!C377</f>
        <v>0</v>
      </c>
      <c r="E253" s="152" t="str">
        <f>IFERROR(VLOOKUP(F253,[1]TreeType!$A:$E,5,0),"")</f>
        <v/>
      </c>
      <c r="F253" s="153" t="str">
        <f>IFERROR(VLOOKUP(D253,[1]TreeType!$A:$B,2,0),"")</f>
        <v/>
      </c>
      <c r="G253" s="72">
        <f>IF(B253&gt;0,IF(סקר!E377=0,1,סקר!E377),0)</f>
        <v>0</v>
      </c>
      <c r="H253" s="72">
        <f>IF(B253&gt;0,IF(סקר!F377 = 0,1,סקר!F377),0)</f>
        <v>0</v>
      </c>
      <c r="I253" s="152">
        <f>סקר!G377</f>
        <v>0</v>
      </c>
      <c r="J253" s="152">
        <f>סקר!H377</f>
        <v>0</v>
      </c>
      <c r="K253" s="152" t="e">
        <f>IF(D253="","",VLOOKUP(D253,[1]TreeType!$A$2:$E$508,3,3))</f>
        <v>#N/A</v>
      </c>
      <c r="L253" s="152">
        <f>IF(D253&gt;0,IF(סקר!M377=0,1,IF(סקר!M377=0,1,סקר!M377)),0)</f>
        <v>0</v>
      </c>
      <c r="M253" s="152">
        <f>סקר!J377</f>
        <v>0</v>
      </c>
      <c r="N253" s="152">
        <f>IF(D253&gt;0,IF(סקר!K377=0,1,IF(סקר!K377=0,1,סקר!K377)),0)</f>
        <v>0</v>
      </c>
      <c r="O253" s="152" t="e">
        <f t="shared" si="6"/>
        <v>#N/A</v>
      </c>
      <c r="P253" s="152">
        <f>IF(B253&gt;0,IF(סקר!O377 &lt;=1,1,סקר!O377),0)</f>
        <v>0</v>
      </c>
      <c r="Q253" s="152">
        <f>סקר!P377</f>
        <v>0</v>
      </c>
      <c r="R253" s="152">
        <f>סקר!R377</f>
        <v>0</v>
      </c>
      <c r="S253" s="152">
        <f>סקר!BC377</f>
        <v>0</v>
      </c>
      <c r="T253" s="156"/>
    </row>
    <row r="254" spans="1:20">
      <c r="A254" s="152" t="str">
        <f>IF(סקר!D378&lt;2,"עץ","פוליגון")</f>
        <v>עץ</v>
      </c>
      <c r="B254" s="152">
        <f>סקר!B378</f>
        <v>0</v>
      </c>
      <c r="C254" s="152">
        <f>IF(סקר!D378&lt;2,1,סקר!D378)</f>
        <v>1</v>
      </c>
      <c r="D254" s="152">
        <f>סקר!C378</f>
        <v>0</v>
      </c>
      <c r="E254" s="152" t="str">
        <f>IFERROR(VLOOKUP(F254,[1]TreeType!$A:$E,5,0),"")</f>
        <v/>
      </c>
      <c r="F254" s="153" t="str">
        <f>IFERROR(VLOOKUP(D254,[1]TreeType!$A:$B,2,0),"")</f>
        <v/>
      </c>
      <c r="G254" s="72">
        <f>IF(B254&gt;0,IF(סקר!E378=0,1,סקר!E378),0)</f>
        <v>0</v>
      </c>
      <c r="H254" s="72">
        <f>IF(B254&gt;0,IF(סקר!F378 = 0,1,סקר!F378),0)</f>
        <v>0</v>
      </c>
      <c r="I254" s="152">
        <f>סקר!G378</f>
        <v>0</v>
      </c>
      <c r="J254" s="152">
        <f>סקר!H378</f>
        <v>0</v>
      </c>
      <c r="K254" s="152" t="e">
        <f>IF(D254="","",VLOOKUP(D254,[1]TreeType!$A$2:$E$508,3,3))</f>
        <v>#N/A</v>
      </c>
      <c r="L254" s="152">
        <f>IF(D254&gt;0,IF(סקר!M378=0,1,IF(סקר!M378=0,1,סקר!M378)),0)</f>
        <v>0</v>
      </c>
      <c r="M254" s="152">
        <f>סקר!J378</f>
        <v>0</v>
      </c>
      <c r="N254" s="152">
        <f>IF(D254&gt;0,IF(סקר!K378=0,1,IF(סקר!K378=0,1,סקר!K378)),0)</f>
        <v>0</v>
      </c>
      <c r="O254" s="152" t="e">
        <f t="shared" si="6"/>
        <v>#N/A</v>
      </c>
      <c r="P254" s="152">
        <f>IF(B254&gt;0,IF(סקר!O378 &lt;=1,1,סקר!O378),0)</f>
        <v>0</v>
      </c>
      <c r="Q254" s="152">
        <f>סקר!P378</f>
        <v>0</v>
      </c>
      <c r="R254" s="152">
        <f>סקר!R378</f>
        <v>0</v>
      </c>
      <c r="S254" s="152">
        <f>סקר!BC378</f>
        <v>0</v>
      </c>
      <c r="T254" s="156"/>
    </row>
    <row r="255" spans="1:20">
      <c r="A255" s="152" t="str">
        <f>IF(סקר!D379&lt;2,"עץ","פוליגון")</f>
        <v>עץ</v>
      </c>
      <c r="B255" s="152">
        <f>סקר!B379</f>
        <v>0</v>
      </c>
      <c r="C255" s="152">
        <f>IF(סקר!D379&lt;2,1,סקר!D379)</f>
        <v>1</v>
      </c>
      <c r="D255" s="152">
        <f>סקר!C379</f>
        <v>0</v>
      </c>
      <c r="E255" s="152" t="str">
        <f>IFERROR(VLOOKUP(F255,[1]TreeType!$A:$E,5,0),"")</f>
        <v/>
      </c>
      <c r="F255" s="153" t="str">
        <f>IFERROR(VLOOKUP(D255,[1]TreeType!$A:$B,2,0),"")</f>
        <v/>
      </c>
      <c r="G255" s="72">
        <f>IF(B255&gt;0,IF(סקר!E379=0,1,סקר!E379),0)</f>
        <v>0</v>
      </c>
      <c r="H255" s="72">
        <f>IF(B255&gt;0,IF(סקר!F379 = 0,1,סקר!F379),0)</f>
        <v>0</v>
      </c>
      <c r="I255" s="152">
        <f>סקר!G379</f>
        <v>0</v>
      </c>
      <c r="J255" s="152">
        <f>סקר!H379</f>
        <v>0</v>
      </c>
      <c r="K255" s="152" t="e">
        <f>IF(D255="","",VLOOKUP(D255,[1]TreeType!$A$2:$E$508,3,3))</f>
        <v>#N/A</v>
      </c>
      <c r="L255" s="152">
        <f>IF(D255&gt;0,IF(סקר!M379=0,1,IF(סקר!M379=0,1,סקר!M379)),0)</f>
        <v>0</v>
      </c>
      <c r="M255" s="152">
        <f>סקר!J379</f>
        <v>0</v>
      </c>
      <c r="N255" s="152">
        <f>IF(D255&gt;0,IF(סקר!K379=0,1,IF(סקר!K379=0,1,סקר!K379)),0)</f>
        <v>0</v>
      </c>
      <c r="O255" s="152" t="e">
        <f t="shared" si="6"/>
        <v>#N/A</v>
      </c>
      <c r="P255" s="152">
        <f>IF(B255&gt;0,IF(סקר!O379 &lt;=1,1,סקר!O379),0)</f>
        <v>0</v>
      </c>
      <c r="Q255" s="152">
        <f>סקר!P379</f>
        <v>0</v>
      </c>
      <c r="R255" s="152">
        <f>סקר!R379</f>
        <v>0</v>
      </c>
      <c r="S255" s="152">
        <f>סקר!BC379</f>
        <v>0</v>
      </c>
      <c r="T255" s="156"/>
    </row>
    <row r="256" spans="1:20">
      <c r="A256" s="152" t="str">
        <f>IF(סקר!D380&lt;2,"עץ","פוליגון")</f>
        <v>עץ</v>
      </c>
      <c r="B256" s="152">
        <f>סקר!B380</f>
        <v>0</v>
      </c>
      <c r="C256" s="152">
        <f>IF(סקר!D380&lt;2,1,סקר!D380)</f>
        <v>1</v>
      </c>
      <c r="D256" s="152">
        <f>סקר!C380</f>
        <v>0</v>
      </c>
      <c r="E256" s="152" t="str">
        <f>IFERROR(VLOOKUP(F256,[1]TreeType!$A:$E,5,0),"")</f>
        <v/>
      </c>
      <c r="F256" s="153" t="str">
        <f>IFERROR(VLOOKUP(D256,[1]TreeType!$A:$B,2,0),"")</f>
        <v/>
      </c>
      <c r="G256" s="72">
        <f>IF(B256&gt;0,IF(סקר!E380=0,1,סקר!E380),0)</f>
        <v>0</v>
      </c>
      <c r="H256" s="72">
        <f>IF(B256&gt;0,IF(סקר!F380 = 0,1,סקר!F380),0)</f>
        <v>0</v>
      </c>
      <c r="I256" s="152">
        <f>סקר!G380</f>
        <v>0</v>
      </c>
      <c r="J256" s="152">
        <f>סקר!H380</f>
        <v>0</v>
      </c>
      <c r="K256" s="152" t="e">
        <f>IF(D256="","",VLOOKUP(D256,[1]TreeType!$A$2:$E$508,3,3))</f>
        <v>#N/A</v>
      </c>
      <c r="L256" s="152">
        <f>IF(D256&gt;0,IF(סקר!M380=0,1,IF(סקר!M380=0,1,סקר!M380)),0)</f>
        <v>0</v>
      </c>
      <c r="M256" s="152">
        <f>סקר!J380</f>
        <v>0</v>
      </c>
      <c r="N256" s="152">
        <f>IF(D256&gt;0,IF(סקר!K380=0,1,IF(סקר!K380=0,1,סקר!K380)),0)</f>
        <v>0</v>
      </c>
      <c r="O256" s="152" t="e">
        <f t="shared" si="6"/>
        <v>#N/A</v>
      </c>
      <c r="P256" s="152">
        <f>IF(B256&gt;0,IF(סקר!O380 &lt;=1,1,סקר!O380),0)</f>
        <v>0</v>
      </c>
      <c r="Q256" s="152">
        <f>סקר!P380</f>
        <v>0</v>
      </c>
      <c r="R256" s="152">
        <f>סקר!R380</f>
        <v>0</v>
      </c>
      <c r="S256" s="152">
        <f>סקר!BC380</f>
        <v>0</v>
      </c>
      <c r="T256" s="156"/>
    </row>
    <row r="257" spans="1:20">
      <c r="A257" s="152" t="str">
        <f>IF(סקר!D381&lt;2,"עץ","פוליגון")</f>
        <v>עץ</v>
      </c>
      <c r="B257" s="152">
        <f>סקר!B381</f>
        <v>0</v>
      </c>
      <c r="C257" s="152">
        <f>IF(סקר!D381&lt;2,1,סקר!D381)</f>
        <v>1</v>
      </c>
      <c r="D257" s="152">
        <f>סקר!C381</f>
        <v>0</v>
      </c>
      <c r="E257" s="152" t="str">
        <f>IFERROR(VLOOKUP(F257,[1]TreeType!$A:$E,5,0),"")</f>
        <v/>
      </c>
      <c r="F257" s="153" t="str">
        <f>IFERROR(VLOOKUP(D257,[1]TreeType!$A:$B,2,0),"")</f>
        <v/>
      </c>
      <c r="G257" s="72">
        <f>IF(B257&gt;0,IF(סקר!E381=0,1,סקר!E381),0)</f>
        <v>0</v>
      </c>
      <c r="H257" s="72">
        <f>IF(B257&gt;0,IF(סקר!F381 = 0,1,סקר!F381),0)</f>
        <v>0</v>
      </c>
      <c r="I257" s="152">
        <f>סקר!G381</f>
        <v>0</v>
      </c>
      <c r="J257" s="152">
        <f>סקר!H381</f>
        <v>0</v>
      </c>
      <c r="K257" s="152" t="e">
        <f>IF(D257="","",VLOOKUP(D257,[1]TreeType!$A$2:$E$508,3,3))</f>
        <v>#N/A</v>
      </c>
      <c r="L257" s="152">
        <f>IF(D257&gt;0,IF(סקר!M381=0,1,IF(סקר!M381=0,1,סקר!M381)),0)</f>
        <v>0</v>
      </c>
      <c r="M257" s="152">
        <f>סקר!J381</f>
        <v>0</v>
      </c>
      <c r="N257" s="152">
        <f>IF(D257&gt;0,IF(סקר!K381=0,1,IF(סקר!K381=0,1,סקר!K381)),0)</f>
        <v>0</v>
      </c>
      <c r="O257" s="152" t="e">
        <f t="shared" si="6"/>
        <v>#N/A</v>
      </c>
      <c r="P257" s="152">
        <f>IF(B257&gt;0,IF(סקר!O381 &lt;=1,1,סקר!O381),0)</f>
        <v>0</v>
      </c>
      <c r="Q257" s="152">
        <f>סקר!P381</f>
        <v>0</v>
      </c>
      <c r="R257" s="152">
        <f>סקר!R381</f>
        <v>0</v>
      </c>
      <c r="S257" s="152">
        <f>סקר!BC381</f>
        <v>0</v>
      </c>
      <c r="T257" s="156"/>
    </row>
    <row r="258" spans="1:20">
      <c r="A258" s="152" t="str">
        <f>IF(סקר!D382&lt;2,"עץ","פוליגון")</f>
        <v>עץ</v>
      </c>
      <c r="B258" s="152">
        <f>סקר!B382</f>
        <v>0</v>
      </c>
      <c r="C258" s="152">
        <f>IF(סקר!D382&lt;2,1,סקר!D382)</f>
        <v>1</v>
      </c>
      <c r="D258" s="152">
        <f>סקר!C382</f>
        <v>0</v>
      </c>
      <c r="E258" s="152" t="str">
        <f>IFERROR(VLOOKUP(F258,[1]TreeType!$A:$E,5,0),"")</f>
        <v/>
      </c>
      <c r="F258" s="153" t="str">
        <f>IFERROR(VLOOKUP(D258,[1]TreeType!$A:$B,2,0),"")</f>
        <v/>
      </c>
      <c r="G258" s="72">
        <f>IF(B258&gt;0,IF(סקר!E382=0,1,סקר!E382),0)</f>
        <v>0</v>
      </c>
      <c r="H258" s="72">
        <f>IF(B258&gt;0,IF(סקר!F382 = 0,1,סקר!F382),0)</f>
        <v>0</v>
      </c>
      <c r="I258" s="152">
        <f>סקר!G382</f>
        <v>0</v>
      </c>
      <c r="J258" s="152">
        <f>סקר!H382</f>
        <v>0</v>
      </c>
      <c r="K258" s="152" t="e">
        <f>IF(D258="","",VLOOKUP(D258,[1]TreeType!$A$2:$E$508,3,3))</f>
        <v>#N/A</v>
      </c>
      <c r="L258" s="152">
        <f>IF(D258&gt;0,IF(סקר!M382=0,1,IF(סקר!M382=0,1,סקר!M382)),0)</f>
        <v>0</v>
      </c>
      <c r="M258" s="152">
        <f>סקר!J382</f>
        <v>0</v>
      </c>
      <c r="N258" s="152">
        <f>IF(D258&gt;0,IF(סקר!K382=0,1,IF(סקר!K382=0,1,סקר!K382)),0)</f>
        <v>0</v>
      </c>
      <c r="O258" s="152" t="e">
        <f t="shared" si="6"/>
        <v>#N/A</v>
      </c>
      <c r="P258" s="152">
        <f>IF(B258&gt;0,IF(סקר!O382 &lt;=1,1,סקר!O382),0)</f>
        <v>0</v>
      </c>
      <c r="Q258" s="152">
        <f>סקר!P382</f>
        <v>0</v>
      </c>
      <c r="R258" s="152">
        <f>סקר!R382</f>
        <v>0</v>
      </c>
      <c r="S258" s="152">
        <f>סקר!BC382</f>
        <v>0</v>
      </c>
      <c r="T258" s="156"/>
    </row>
    <row r="259" spans="1:20">
      <c r="A259" s="152" t="str">
        <f>IF(סקר!D383&lt;2,"עץ","פוליגון")</f>
        <v>עץ</v>
      </c>
      <c r="B259" s="152">
        <f>סקר!B383</f>
        <v>0</v>
      </c>
      <c r="C259" s="152">
        <f>IF(סקר!D383&lt;2,1,סקר!D383)</f>
        <v>1</v>
      </c>
      <c r="D259" s="152">
        <f>סקר!C383</f>
        <v>0</v>
      </c>
      <c r="E259" s="152" t="str">
        <f>IFERROR(VLOOKUP(F259,[1]TreeType!$A:$E,5,0),"")</f>
        <v/>
      </c>
      <c r="F259" s="153" t="str">
        <f>IFERROR(VLOOKUP(D259,[1]TreeType!$A:$B,2,0),"")</f>
        <v/>
      </c>
      <c r="G259" s="72">
        <f>IF(B259&gt;0,IF(סקר!E383=0,1,סקר!E383),0)</f>
        <v>0</v>
      </c>
      <c r="H259" s="72">
        <f>IF(B259&gt;0,IF(סקר!F383 = 0,1,סקר!F383),0)</f>
        <v>0</v>
      </c>
      <c r="I259" s="152">
        <f>סקר!G383</f>
        <v>0</v>
      </c>
      <c r="J259" s="152">
        <f>סקר!H383</f>
        <v>0</v>
      </c>
      <c r="K259" s="152" t="e">
        <f>IF(D259="","",VLOOKUP(D259,[1]TreeType!$A$2:$E$508,3,3))</f>
        <v>#N/A</v>
      </c>
      <c r="L259" s="152">
        <f>IF(D259&gt;0,IF(סקר!M383=0,1,IF(סקר!M383=0,1,סקר!M383)),0)</f>
        <v>0</v>
      </c>
      <c r="M259" s="152">
        <f>סקר!J383</f>
        <v>0</v>
      </c>
      <c r="N259" s="152">
        <f>IF(D259&gt;0,IF(סקר!K383=0,1,IF(סקר!K383=0,1,סקר!K383)),0)</f>
        <v>0</v>
      </c>
      <c r="O259" s="152" t="e">
        <f t="shared" si="6"/>
        <v>#N/A</v>
      </c>
      <c r="P259" s="152">
        <f>IF(B259&gt;0,IF(סקר!O383 &lt;=1,1,סקר!O383),0)</f>
        <v>0</v>
      </c>
      <c r="Q259" s="152">
        <f>סקר!P383</f>
        <v>0</v>
      </c>
      <c r="R259" s="152">
        <f>סקר!R383</f>
        <v>0</v>
      </c>
      <c r="S259" s="152">
        <f>סקר!BC383</f>
        <v>0</v>
      </c>
      <c r="T259" s="156"/>
    </row>
    <row r="260" spans="1:20">
      <c r="A260" s="152" t="str">
        <f>IF(סקר!D384&lt;2,"עץ","פוליגון")</f>
        <v>עץ</v>
      </c>
      <c r="B260" s="152">
        <f>סקר!B384</f>
        <v>0</v>
      </c>
      <c r="C260" s="152">
        <f>IF(סקר!D384&lt;2,1,סקר!D384)</f>
        <v>1</v>
      </c>
      <c r="D260" s="152">
        <f>סקר!C384</f>
        <v>0</v>
      </c>
      <c r="E260" s="152" t="str">
        <f>IFERROR(VLOOKUP(F260,[1]TreeType!$A:$E,5,0),"")</f>
        <v/>
      </c>
      <c r="F260" s="153" t="str">
        <f>IFERROR(VLOOKUP(D260,[1]TreeType!$A:$B,2,0),"")</f>
        <v/>
      </c>
      <c r="G260" s="72">
        <f>IF(B260&gt;0,IF(סקר!E384=0,1,סקר!E384),0)</f>
        <v>0</v>
      </c>
      <c r="H260" s="72">
        <f>IF(B260&gt;0,IF(סקר!F384 = 0,1,סקר!F384),0)</f>
        <v>0</v>
      </c>
      <c r="I260" s="152">
        <f>סקר!G384</f>
        <v>0</v>
      </c>
      <c r="J260" s="152">
        <f>סקר!H384</f>
        <v>0</v>
      </c>
      <c r="K260" s="152" t="e">
        <f>IF(D260="","",VLOOKUP(D260,[1]TreeType!$A$2:$E$508,3,3))</f>
        <v>#N/A</v>
      </c>
      <c r="L260" s="152">
        <f>IF(D260&gt;0,IF(סקר!M384=0,1,IF(סקר!M384=0,1,סקר!M384)),0)</f>
        <v>0</v>
      </c>
      <c r="M260" s="152">
        <f>סקר!J384</f>
        <v>0</v>
      </c>
      <c r="N260" s="152">
        <f>IF(D260&gt;0,IF(סקר!K384=0,1,IF(סקר!K384=0,1,סקר!K384)),0)</f>
        <v>0</v>
      </c>
      <c r="O260" s="152" t="e">
        <f t="shared" si="6"/>
        <v>#N/A</v>
      </c>
      <c r="P260" s="152">
        <f>IF(B260&gt;0,IF(סקר!O384 &lt;=1,1,סקר!O384),0)</f>
        <v>0</v>
      </c>
      <c r="Q260" s="152">
        <f>סקר!P384</f>
        <v>0</v>
      </c>
      <c r="R260" s="152">
        <f>סקר!R384</f>
        <v>0</v>
      </c>
      <c r="S260" s="152">
        <f>סקר!BC384</f>
        <v>0</v>
      </c>
      <c r="T260" s="156"/>
    </row>
    <row r="261" spans="1:20">
      <c r="A261" s="152" t="str">
        <f>IF(סקר!D385&lt;2,"עץ","פוליגון")</f>
        <v>עץ</v>
      </c>
      <c r="B261" s="152">
        <f>סקר!B385</f>
        <v>0</v>
      </c>
      <c r="C261" s="152">
        <f>IF(סקר!D385&lt;2,1,סקר!D385)</f>
        <v>1</v>
      </c>
      <c r="D261" s="152">
        <f>סקר!C385</f>
        <v>0</v>
      </c>
      <c r="E261" s="152" t="str">
        <f>IFERROR(VLOOKUP(F261,[1]TreeType!$A:$E,5,0),"")</f>
        <v/>
      </c>
      <c r="F261" s="153" t="str">
        <f>IFERROR(VLOOKUP(D261,[1]TreeType!$A:$B,2,0),"")</f>
        <v/>
      </c>
      <c r="G261" s="72">
        <f>IF(B261&gt;0,IF(סקר!E385=0,1,סקר!E385),0)</f>
        <v>0</v>
      </c>
      <c r="H261" s="72">
        <f>IF(B261&gt;0,IF(סקר!F385 = 0,1,סקר!F385),0)</f>
        <v>0</v>
      </c>
      <c r="I261" s="152">
        <f>סקר!G385</f>
        <v>0</v>
      </c>
      <c r="J261" s="152">
        <f>סקר!H385</f>
        <v>0</v>
      </c>
      <c r="K261" s="152" t="e">
        <f>IF(D261="","",VLOOKUP(D261,[1]TreeType!$A$2:$E$508,3,3))</f>
        <v>#N/A</v>
      </c>
      <c r="L261" s="152">
        <f>IF(D261&gt;0,IF(סקר!M385=0,1,IF(סקר!M385=0,1,סקר!M385)),0)</f>
        <v>0</v>
      </c>
      <c r="M261" s="152">
        <f>סקר!J385</f>
        <v>0</v>
      </c>
      <c r="N261" s="152">
        <f>IF(D261&gt;0,IF(סקר!K385=0,1,IF(סקר!K385=0,1,סקר!K385)),0)</f>
        <v>0</v>
      </c>
      <c r="O261" s="152" t="e">
        <f t="shared" si="6"/>
        <v>#N/A</v>
      </c>
      <c r="P261" s="152">
        <f>IF(B261&gt;0,IF(סקר!O385 &lt;=1,1,סקר!O385),0)</f>
        <v>0</v>
      </c>
      <c r="Q261" s="152">
        <f>סקר!P385</f>
        <v>0</v>
      </c>
      <c r="R261" s="152">
        <f>סקר!R385</f>
        <v>0</v>
      </c>
      <c r="S261" s="152">
        <f>סקר!BC385</f>
        <v>0</v>
      </c>
      <c r="T261" s="156"/>
    </row>
    <row r="262" spans="1:20">
      <c r="A262" s="152" t="str">
        <f>IF(סקר!D386&lt;2,"עץ","פוליגון")</f>
        <v>עץ</v>
      </c>
      <c r="B262" s="152">
        <f>סקר!B386</f>
        <v>0</v>
      </c>
      <c r="C262" s="152">
        <f>IF(סקר!D386&lt;2,1,סקר!D386)</f>
        <v>1</v>
      </c>
      <c r="D262" s="152">
        <f>סקר!C386</f>
        <v>0</v>
      </c>
      <c r="E262" s="152" t="str">
        <f>IFERROR(VLOOKUP(F262,[1]TreeType!$A:$E,5,0),"")</f>
        <v/>
      </c>
      <c r="F262" s="153" t="str">
        <f>IFERROR(VLOOKUP(D262,[1]TreeType!$A:$B,2,0),"")</f>
        <v/>
      </c>
      <c r="G262" s="72">
        <f>IF(B262&gt;0,IF(סקר!E386=0,1,סקר!E386),0)</f>
        <v>0</v>
      </c>
      <c r="H262" s="72">
        <f>IF(B262&gt;0,IF(סקר!F386 = 0,1,סקר!F386),0)</f>
        <v>0</v>
      </c>
      <c r="I262" s="152">
        <f>סקר!G386</f>
        <v>0</v>
      </c>
      <c r="J262" s="152">
        <f>סקר!H386</f>
        <v>0</v>
      </c>
      <c r="K262" s="152" t="e">
        <f>IF(D262="","",VLOOKUP(D262,[1]TreeType!$A$2:$E$508,3,3))</f>
        <v>#N/A</v>
      </c>
      <c r="L262" s="152">
        <f>IF(D262&gt;0,IF(סקר!M386=0,1,IF(סקר!M386=0,1,סקר!M386)),0)</f>
        <v>0</v>
      </c>
      <c r="M262" s="152">
        <f>סקר!J386</f>
        <v>0</v>
      </c>
      <c r="N262" s="152">
        <f>IF(D262&gt;0,IF(סקר!K386=0,1,IF(סקר!K386=0,1,סקר!K386)),0)</f>
        <v>0</v>
      </c>
      <c r="O262" s="152" t="e">
        <f t="shared" si="6"/>
        <v>#N/A</v>
      </c>
      <c r="P262" s="152">
        <f>IF(B262&gt;0,IF(סקר!O386 &lt;=1,1,סקר!O386),0)</f>
        <v>0</v>
      </c>
      <c r="Q262" s="152">
        <f>סקר!P386</f>
        <v>0</v>
      </c>
      <c r="R262" s="152">
        <f>סקר!R386</f>
        <v>0</v>
      </c>
      <c r="S262" s="152">
        <f>סקר!BC386</f>
        <v>0</v>
      </c>
      <c r="T262" s="156"/>
    </row>
    <row r="263" spans="1:20">
      <c r="A263" s="152" t="str">
        <f>IF(סקר!D387&lt;2,"עץ","פוליגון")</f>
        <v>עץ</v>
      </c>
      <c r="B263" s="152">
        <f>סקר!B387</f>
        <v>0</v>
      </c>
      <c r="C263" s="152">
        <f>IF(סקר!D387&lt;2,1,סקר!D387)</f>
        <v>1</v>
      </c>
      <c r="D263" s="152">
        <f>סקר!C387</f>
        <v>0</v>
      </c>
      <c r="E263" s="152" t="str">
        <f>IFERROR(VLOOKUP(F263,[1]TreeType!$A:$E,5,0),"")</f>
        <v/>
      </c>
      <c r="F263" s="153" t="str">
        <f>IFERROR(VLOOKUP(D263,[1]TreeType!$A:$B,2,0),"")</f>
        <v/>
      </c>
      <c r="G263" s="72">
        <f>IF(B263&gt;0,IF(סקר!E387=0,1,סקר!E387),0)</f>
        <v>0</v>
      </c>
      <c r="H263" s="72">
        <f>IF(B263&gt;0,IF(סקר!F387 = 0,1,סקר!F387),0)</f>
        <v>0</v>
      </c>
      <c r="I263" s="152">
        <f>סקר!G387</f>
        <v>0</v>
      </c>
      <c r="J263" s="152">
        <f>סקר!H387</f>
        <v>0</v>
      </c>
      <c r="K263" s="152" t="e">
        <f>IF(D263="","",VLOOKUP(D263,[1]TreeType!$A$2:$E$508,3,3))</f>
        <v>#N/A</v>
      </c>
      <c r="L263" s="152">
        <f>IF(D263&gt;0,IF(סקר!M387=0,1,IF(סקר!M387=0,1,סקר!M387)),0)</f>
        <v>0</v>
      </c>
      <c r="M263" s="152">
        <f>סקר!J387</f>
        <v>0</v>
      </c>
      <c r="N263" s="152">
        <f>IF(D263&gt;0,IF(סקר!K387=0,1,IF(סקר!K387=0,1,סקר!K387)),0)</f>
        <v>0</v>
      </c>
      <c r="O263" s="152" t="e">
        <f t="shared" si="6"/>
        <v>#N/A</v>
      </c>
      <c r="P263" s="152">
        <f>IF(B263&gt;0,IF(סקר!O387 &lt;=1,1,סקר!O387),0)</f>
        <v>0</v>
      </c>
      <c r="Q263" s="152">
        <f>סקר!P387</f>
        <v>0</v>
      </c>
      <c r="R263" s="152">
        <f>סקר!R387</f>
        <v>0</v>
      </c>
      <c r="S263" s="152">
        <f>סקר!BC387</f>
        <v>0</v>
      </c>
      <c r="T263" s="156"/>
    </row>
    <row r="264" spans="1:20">
      <c r="A264" s="152" t="str">
        <f>IF(סקר!D388&lt;2,"עץ","פוליגון")</f>
        <v>עץ</v>
      </c>
      <c r="B264" s="152">
        <f>סקר!B388</f>
        <v>0</v>
      </c>
      <c r="C264" s="152">
        <f>IF(סקר!D388&lt;2,1,סקר!D388)</f>
        <v>1</v>
      </c>
      <c r="D264" s="152">
        <f>סקר!C388</f>
        <v>0</v>
      </c>
      <c r="E264" s="152" t="str">
        <f>IFERROR(VLOOKUP(F264,[1]TreeType!$A:$E,5,0),"")</f>
        <v/>
      </c>
      <c r="F264" s="153" t="str">
        <f>IFERROR(VLOOKUP(D264,[1]TreeType!$A:$B,2,0),"")</f>
        <v/>
      </c>
      <c r="G264" s="72">
        <f>IF(B264&gt;0,IF(סקר!E388=0,1,סקר!E388),0)</f>
        <v>0</v>
      </c>
      <c r="H264" s="72">
        <f>IF(B264&gt;0,IF(סקר!F388 = 0,1,סקר!F388),0)</f>
        <v>0</v>
      </c>
      <c r="I264" s="152">
        <f>סקר!G388</f>
        <v>0</v>
      </c>
      <c r="J264" s="152">
        <f>סקר!H388</f>
        <v>0</v>
      </c>
      <c r="K264" s="152" t="e">
        <f>IF(D264="","",VLOOKUP(D264,[1]TreeType!$A$2:$E$508,3,3))</f>
        <v>#N/A</v>
      </c>
      <c r="L264" s="152">
        <f>IF(D264&gt;0,IF(סקר!M388=0,1,IF(סקר!M388=0,1,סקר!M388)),0)</f>
        <v>0</v>
      </c>
      <c r="M264" s="152">
        <f>סקר!J388</f>
        <v>0</v>
      </c>
      <c r="N264" s="152">
        <f>IF(D264&gt;0,IF(סקר!K388=0,1,IF(סקר!K388=0,1,סקר!K388)),0)</f>
        <v>0</v>
      </c>
      <c r="O264" s="152" t="e">
        <f t="shared" si="6"/>
        <v>#N/A</v>
      </c>
      <c r="P264" s="152">
        <f>IF(B264&gt;0,IF(סקר!O388 &lt;=1,1,סקר!O388),0)</f>
        <v>0</v>
      </c>
      <c r="Q264" s="152">
        <f>סקר!P388</f>
        <v>0</v>
      </c>
      <c r="R264" s="152">
        <f>סקר!R388</f>
        <v>0</v>
      </c>
      <c r="S264" s="152">
        <f>סקר!BC388</f>
        <v>0</v>
      </c>
      <c r="T264" s="156"/>
    </row>
    <row r="265" spans="1:20">
      <c r="A265" s="152" t="str">
        <f>IF(סקר!D389&lt;2,"עץ","פוליגון")</f>
        <v>עץ</v>
      </c>
      <c r="B265" s="152">
        <f>סקר!B389</f>
        <v>0</v>
      </c>
      <c r="C265" s="152">
        <f>IF(סקר!D389&lt;2,1,סקר!D389)</f>
        <v>1</v>
      </c>
      <c r="D265" s="152">
        <f>סקר!C389</f>
        <v>0</v>
      </c>
      <c r="E265" s="152" t="str">
        <f>IFERROR(VLOOKUP(F265,[1]TreeType!$A:$E,5,0),"")</f>
        <v/>
      </c>
      <c r="F265" s="153" t="str">
        <f>IFERROR(VLOOKUP(D265,[1]TreeType!$A:$B,2,0),"")</f>
        <v/>
      </c>
      <c r="G265" s="72">
        <f>IF(B265&gt;0,IF(סקר!E389=0,1,סקר!E389),0)</f>
        <v>0</v>
      </c>
      <c r="H265" s="72">
        <f>IF(B265&gt;0,IF(סקר!F389 = 0,1,סקר!F389),0)</f>
        <v>0</v>
      </c>
      <c r="I265" s="152">
        <f>סקר!G389</f>
        <v>0</v>
      </c>
      <c r="J265" s="152">
        <f>סקר!H389</f>
        <v>0</v>
      </c>
      <c r="K265" s="152" t="e">
        <f>IF(D265="","",VLOOKUP(D265,[1]TreeType!$A$2:$E$508,3,3))</f>
        <v>#N/A</v>
      </c>
      <c r="L265" s="152">
        <f>IF(D265&gt;0,IF(סקר!M389=0,1,IF(סקר!M389=0,1,סקר!M389)),0)</f>
        <v>0</v>
      </c>
      <c r="M265" s="152">
        <f>סקר!J389</f>
        <v>0</v>
      </c>
      <c r="N265" s="152">
        <f>IF(D265&gt;0,IF(סקר!K389=0,1,IF(סקר!K389=0,1,סקר!K389)),0)</f>
        <v>0</v>
      </c>
      <c r="O265" s="152" t="e">
        <f t="shared" si="6"/>
        <v>#N/A</v>
      </c>
      <c r="P265" s="152">
        <f>IF(B265&gt;0,IF(סקר!O389 &lt;=1,1,סקר!O389),0)</f>
        <v>0</v>
      </c>
      <c r="Q265" s="152">
        <f>סקר!P389</f>
        <v>0</v>
      </c>
      <c r="R265" s="152">
        <f>סקר!R389</f>
        <v>0</v>
      </c>
      <c r="S265" s="152">
        <f>סקר!BC389</f>
        <v>0</v>
      </c>
      <c r="T265" s="156"/>
    </row>
    <row r="266" spans="1:20">
      <c r="A266" s="152" t="str">
        <f>IF(סקר!D390&lt;2,"עץ","פוליגון")</f>
        <v>עץ</v>
      </c>
      <c r="B266" s="152">
        <f>סקר!B390</f>
        <v>0</v>
      </c>
      <c r="C266" s="152">
        <f>IF(סקר!D390&lt;2,1,סקר!D390)</f>
        <v>1</v>
      </c>
      <c r="D266" s="152">
        <f>סקר!C390</f>
        <v>0</v>
      </c>
      <c r="E266" s="152" t="str">
        <f>IFERROR(VLOOKUP(F266,[1]TreeType!$A:$E,5,0),"")</f>
        <v/>
      </c>
      <c r="F266" s="153" t="str">
        <f>IFERROR(VLOOKUP(D266,[1]TreeType!$A:$B,2,0),"")</f>
        <v/>
      </c>
      <c r="G266" s="72">
        <f>IF(B266&gt;0,IF(סקר!E390=0,1,סקר!E390),0)</f>
        <v>0</v>
      </c>
      <c r="H266" s="72">
        <f>IF(B266&gt;0,IF(סקר!F390 = 0,1,סקר!F390),0)</f>
        <v>0</v>
      </c>
      <c r="I266" s="152">
        <f>סקר!G390</f>
        <v>0</v>
      </c>
      <c r="J266" s="152">
        <f>סקר!H390</f>
        <v>0</v>
      </c>
      <c r="K266" s="152" t="e">
        <f>IF(D266="","",VLOOKUP(D266,[1]TreeType!$A$2:$E$508,3,3))</f>
        <v>#N/A</v>
      </c>
      <c r="L266" s="152">
        <f>IF(D266&gt;0,IF(סקר!M390=0,1,IF(סקר!M390=0,1,סקר!M390)),0)</f>
        <v>0</v>
      </c>
      <c r="M266" s="152">
        <f>סקר!J390</f>
        <v>0</v>
      </c>
      <c r="N266" s="152">
        <f>IF(D266&gt;0,IF(סקר!K390=0,1,IF(סקר!K390=0,1,סקר!K390)),0)</f>
        <v>0</v>
      </c>
      <c r="O266" s="152" t="e">
        <f t="shared" si="6"/>
        <v>#N/A</v>
      </c>
      <c r="P266" s="152">
        <f>IF(B266&gt;0,IF(סקר!O390 &lt;=1,1,סקר!O390),0)</f>
        <v>0</v>
      </c>
      <c r="Q266" s="152">
        <f>סקר!P390</f>
        <v>0</v>
      </c>
      <c r="R266" s="152">
        <f>סקר!R390</f>
        <v>0</v>
      </c>
      <c r="S266" s="152">
        <f>סקר!BC390</f>
        <v>0</v>
      </c>
      <c r="T266" s="156"/>
    </row>
    <row r="267" spans="1:20">
      <c r="A267" s="152" t="str">
        <f>IF(סקר!D391&lt;2,"עץ","פוליגון")</f>
        <v>עץ</v>
      </c>
      <c r="B267" s="152">
        <f>סקר!B391</f>
        <v>0</v>
      </c>
      <c r="C267" s="152">
        <f>IF(סקר!D391&lt;2,1,סקר!D391)</f>
        <v>1</v>
      </c>
      <c r="D267" s="152">
        <f>סקר!C391</f>
        <v>0</v>
      </c>
      <c r="E267" s="152" t="str">
        <f>IFERROR(VLOOKUP(F267,[1]TreeType!$A:$E,5,0),"")</f>
        <v/>
      </c>
      <c r="F267" s="153" t="str">
        <f>IFERROR(VLOOKUP(D267,[1]TreeType!$A:$B,2,0),"")</f>
        <v/>
      </c>
      <c r="G267" s="72">
        <f>IF(B267&gt;0,IF(סקר!E391=0,1,סקר!E391),0)</f>
        <v>0</v>
      </c>
      <c r="H267" s="72">
        <f>IF(B267&gt;0,IF(סקר!F391 = 0,1,סקר!F391),0)</f>
        <v>0</v>
      </c>
      <c r="I267" s="152">
        <f>סקר!G391</f>
        <v>0</v>
      </c>
      <c r="J267" s="152">
        <f>סקר!H391</f>
        <v>0</v>
      </c>
      <c r="K267" s="152" t="e">
        <f>IF(D267="","",VLOOKUP(D267,[1]TreeType!$A$2:$E$508,3,3))</f>
        <v>#N/A</v>
      </c>
      <c r="L267" s="152">
        <f>IF(D267&gt;0,IF(סקר!M391=0,1,IF(סקר!M391=0,1,סקר!M391)),0)</f>
        <v>0</v>
      </c>
      <c r="M267" s="152">
        <f>סקר!J391</f>
        <v>0</v>
      </c>
      <c r="N267" s="152">
        <f>IF(D267&gt;0,IF(סקר!K391=0,1,IF(סקר!K391=0,1,סקר!K391)),0)</f>
        <v>0</v>
      </c>
      <c r="O267" s="152" t="e">
        <f t="shared" si="6"/>
        <v>#N/A</v>
      </c>
      <c r="P267" s="152">
        <f>IF(B267&gt;0,IF(סקר!O391 &lt;=1,1,סקר!O391),0)</f>
        <v>0</v>
      </c>
      <c r="Q267" s="152">
        <f>סקר!P391</f>
        <v>0</v>
      </c>
      <c r="R267" s="152">
        <f>סקר!R391</f>
        <v>0</v>
      </c>
      <c r="S267" s="152">
        <f>סקר!BC391</f>
        <v>0</v>
      </c>
      <c r="T267" s="156"/>
    </row>
    <row r="268" spans="1:20">
      <c r="A268" s="152" t="str">
        <f>IF(סקר!D392&lt;2,"עץ","פוליגון")</f>
        <v>עץ</v>
      </c>
      <c r="B268" s="152">
        <f>סקר!B392</f>
        <v>0</v>
      </c>
      <c r="C268" s="152">
        <f>IF(סקר!D392&lt;2,1,סקר!D392)</f>
        <v>1</v>
      </c>
      <c r="D268" s="152">
        <f>סקר!C392</f>
        <v>0</v>
      </c>
      <c r="E268" s="152" t="str">
        <f>IFERROR(VLOOKUP(F268,[1]TreeType!$A:$E,5,0),"")</f>
        <v/>
      </c>
      <c r="F268" s="153" t="str">
        <f>IFERROR(VLOOKUP(D268,[1]TreeType!$A:$B,2,0),"")</f>
        <v/>
      </c>
      <c r="G268" s="72">
        <f>IF(B268&gt;0,IF(סקר!E392=0,1,סקר!E392),0)</f>
        <v>0</v>
      </c>
      <c r="H268" s="72">
        <f>IF(B268&gt;0,IF(סקר!F392 = 0,1,סקר!F392),0)</f>
        <v>0</v>
      </c>
      <c r="I268" s="152">
        <f>סקר!G392</f>
        <v>0</v>
      </c>
      <c r="J268" s="152">
        <f>סקר!H392</f>
        <v>0</v>
      </c>
      <c r="K268" s="152" t="e">
        <f>IF(D268="","",VLOOKUP(D268,[1]TreeType!$A$2:$E$508,3,3))</f>
        <v>#N/A</v>
      </c>
      <c r="L268" s="152">
        <f>IF(D268&gt;0,IF(סקר!M392=0,1,IF(סקר!M392=0,1,סקר!M392)),0)</f>
        <v>0</v>
      </c>
      <c r="M268" s="152">
        <f>סקר!J392</f>
        <v>0</v>
      </c>
      <c r="N268" s="152">
        <f>IF(D268&gt;0,IF(סקר!K392=0,1,IF(סקר!K392=0,1,סקר!K392)),0)</f>
        <v>0</v>
      </c>
      <c r="O268" s="152" t="e">
        <f t="shared" si="6"/>
        <v>#N/A</v>
      </c>
      <c r="P268" s="152">
        <f>IF(B268&gt;0,IF(סקר!O392 &lt;=1,1,סקר!O392),0)</f>
        <v>0</v>
      </c>
      <c r="Q268" s="152">
        <f>סקר!P392</f>
        <v>0</v>
      </c>
      <c r="R268" s="152">
        <f>סקר!R392</f>
        <v>0</v>
      </c>
      <c r="S268" s="152">
        <f>סקר!BC392</f>
        <v>0</v>
      </c>
      <c r="T268" s="156"/>
    </row>
    <row r="269" spans="1:20">
      <c r="A269" s="152" t="str">
        <f>IF(סקר!D393&lt;2,"עץ","פוליגון")</f>
        <v>עץ</v>
      </c>
      <c r="B269" s="152">
        <f>סקר!B393</f>
        <v>0</v>
      </c>
      <c r="C269" s="152">
        <f>IF(סקר!D393&lt;2,1,סקר!D393)</f>
        <v>1</v>
      </c>
      <c r="D269" s="152">
        <f>סקר!C393</f>
        <v>0</v>
      </c>
      <c r="E269" s="152" t="str">
        <f>IFERROR(VLOOKUP(F269,[1]TreeType!$A:$E,5,0),"")</f>
        <v/>
      </c>
      <c r="F269" s="153" t="str">
        <f>IFERROR(VLOOKUP(D269,[1]TreeType!$A:$B,2,0),"")</f>
        <v/>
      </c>
      <c r="G269" s="72">
        <f>IF(B269&gt;0,IF(סקר!E393=0,1,סקר!E393),0)</f>
        <v>0</v>
      </c>
      <c r="H269" s="72">
        <f>IF(B269&gt;0,IF(סקר!F393 = 0,1,סקר!F393),0)</f>
        <v>0</v>
      </c>
      <c r="I269" s="152">
        <f>סקר!G393</f>
        <v>0</v>
      </c>
      <c r="J269" s="152">
        <f>סקר!H393</f>
        <v>0</v>
      </c>
      <c r="K269" s="152" t="e">
        <f>IF(D269="","",VLOOKUP(D269,[1]TreeType!$A$2:$E$508,3,3))</f>
        <v>#N/A</v>
      </c>
      <c r="L269" s="152">
        <f>IF(D269&gt;0,IF(סקר!M393=0,1,IF(סקר!M393=0,1,סקר!M393)),0)</f>
        <v>0</v>
      </c>
      <c r="M269" s="152">
        <f>סקר!J393</f>
        <v>0</v>
      </c>
      <c r="N269" s="152">
        <f>IF(D269&gt;0,IF(סקר!K393=0,1,IF(סקר!K393=0,1,סקר!K393)),0)</f>
        <v>0</v>
      </c>
      <c r="O269" s="152" t="e">
        <f t="shared" si="6"/>
        <v>#N/A</v>
      </c>
      <c r="P269" s="152">
        <f>IF(B269&gt;0,IF(סקר!O393 &lt;=1,1,סקר!O393),0)</f>
        <v>0</v>
      </c>
      <c r="Q269" s="152">
        <f>סקר!P393</f>
        <v>0</v>
      </c>
      <c r="R269" s="152">
        <f>סקר!R393</f>
        <v>0</v>
      </c>
      <c r="S269" s="152">
        <f>סקר!BC393</f>
        <v>0</v>
      </c>
      <c r="T269" s="156"/>
    </row>
    <row r="270" spans="1:20">
      <c r="A270" s="152" t="str">
        <f>IF(סקר!D394&lt;2,"עץ","פוליגון")</f>
        <v>עץ</v>
      </c>
      <c r="B270" s="152">
        <f>סקר!B394</f>
        <v>0</v>
      </c>
      <c r="C270" s="152">
        <f>IF(סקר!D394&lt;2,1,סקר!D394)</f>
        <v>1</v>
      </c>
      <c r="D270" s="152">
        <f>סקר!C394</f>
        <v>0</v>
      </c>
      <c r="E270" s="152" t="str">
        <f>IFERROR(VLOOKUP(F270,[1]TreeType!$A:$E,5,0),"")</f>
        <v/>
      </c>
      <c r="F270" s="153" t="str">
        <f>IFERROR(VLOOKUP(D270,[1]TreeType!$A:$B,2,0),"")</f>
        <v/>
      </c>
      <c r="G270" s="72">
        <f>IF(B270&gt;0,IF(סקר!E394=0,1,סקר!E394),0)</f>
        <v>0</v>
      </c>
      <c r="H270" s="72">
        <f>IF(B270&gt;0,IF(סקר!F394 = 0,1,סקר!F394),0)</f>
        <v>0</v>
      </c>
      <c r="I270" s="152">
        <f>סקר!G394</f>
        <v>0</v>
      </c>
      <c r="J270" s="152">
        <f>סקר!H394</f>
        <v>0</v>
      </c>
      <c r="K270" s="152" t="e">
        <f>IF(D270="","",VLOOKUP(D270,[1]TreeType!$A$2:$E$508,3,3))</f>
        <v>#N/A</v>
      </c>
      <c r="L270" s="152">
        <f>IF(D270&gt;0,IF(סקר!M394=0,1,IF(סקר!M394=0,1,סקר!M394)),0)</f>
        <v>0</v>
      </c>
      <c r="M270" s="152">
        <f>סקר!J394</f>
        <v>0</v>
      </c>
      <c r="N270" s="152">
        <f>IF(D270&gt;0,IF(סקר!K394=0,1,IF(סקר!K394=0,1,סקר!K394)),0)</f>
        <v>0</v>
      </c>
      <c r="O270" s="152" t="e">
        <f t="shared" ref="O270:O314" si="7">IF(SUM(K270:N270)=0,"",SUM(K270:N270))</f>
        <v>#N/A</v>
      </c>
      <c r="P270" s="152">
        <f>IF(B270&gt;0,IF(סקר!O394 &lt;=1,1,סקר!O394),0)</f>
        <v>0</v>
      </c>
      <c r="Q270" s="152">
        <f>סקר!P394</f>
        <v>0</v>
      </c>
      <c r="R270" s="152">
        <f>סקר!R394</f>
        <v>0</v>
      </c>
      <c r="S270" s="152">
        <f>סקר!BC394</f>
        <v>0</v>
      </c>
      <c r="T270" s="156"/>
    </row>
    <row r="271" spans="1:20">
      <c r="A271" s="152" t="str">
        <f>IF(סקר!D395&lt;2,"עץ","פוליגון")</f>
        <v>עץ</v>
      </c>
      <c r="B271" s="152">
        <f>סקר!B395</f>
        <v>0</v>
      </c>
      <c r="C271" s="152">
        <f>IF(סקר!D395&lt;2,1,סקר!D395)</f>
        <v>1</v>
      </c>
      <c r="D271" s="152">
        <f>סקר!C395</f>
        <v>0</v>
      </c>
      <c r="E271" s="152" t="str">
        <f>IFERROR(VLOOKUP(F271,[1]TreeType!$A:$E,5,0),"")</f>
        <v/>
      </c>
      <c r="F271" s="153" t="str">
        <f>IFERROR(VLOOKUP(D271,[1]TreeType!$A:$B,2,0),"")</f>
        <v/>
      </c>
      <c r="G271" s="72">
        <f>IF(B271&gt;0,IF(סקר!E395=0,1,סקר!E395),0)</f>
        <v>0</v>
      </c>
      <c r="H271" s="72">
        <f>IF(B271&gt;0,IF(סקר!F395 = 0,1,סקר!F395),0)</f>
        <v>0</v>
      </c>
      <c r="I271" s="152">
        <f>סקר!G395</f>
        <v>0</v>
      </c>
      <c r="J271" s="152">
        <f>סקר!H395</f>
        <v>0</v>
      </c>
      <c r="K271" s="152" t="e">
        <f>IF(D271="","",VLOOKUP(D271,[1]TreeType!$A$2:$E$508,3,3))</f>
        <v>#N/A</v>
      </c>
      <c r="L271" s="152">
        <f>IF(D271&gt;0,IF(סקר!M395=0,1,IF(סקר!M395=0,1,סקר!M395)),0)</f>
        <v>0</v>
      </c>
      <c r="M271" s="152">
        <f>סקר!J395</f>
        <v>0</v>
      </c>
      <c r="N271" s="152">
        <f>IF(D271&gt;0,IF(סקר!K395=0,1,IF(סקר!K395=0,1,סקר!K395)),0)</f>
        <v>0</v>
      </c>
      <c r="O271" s="152" t="e">
        <f t="shared" si="7"/>
        <v>#N/A</v>
      </c>
      <c r="P271" s="152">
        <f>IF(B271&gt;0,IF(סקר!O395 &lt;=1,1,סקר!O395),0)</f>
        <v>0</v>
      </c>
      <c r="Q271" s="152">
        <f>סקר!P395</f>
        <v>0</v>
      </c>
      <c r="R271" s="152">
        <f>סקר!R395</f>
        <v>0</v>
      </c>
      <c r="S271" s="152">
        <f>סקר!BC395</f>
        <v>0</v>
      </c>
      <c r="T271" s="156"/>
    </row>
    <row r="272" spans="1:20">
      <c r="A272" s="152" t="str">
        <f>IF(סקר!D396&lt;2,"עץ","פוליגון")</f>
        <v>עץ</v>
      </c>
      <c r="B272" s="152">
        <f>סקר!B396</f>
        <v>0</v>
      </c>
      <c r="C272" s="152">
        <f>IF(סקר!D396&lt;2,1,סקר!D396)</f>
        <v>1</v>
      </c>
      <c r="D272" s="152">
        <f>סקר!C396</f>
        <v>0</v>
      </c>
      <c r="E272" s="152" t="str">
        <f>IFERROR(VLOOKUP(F272,[1]TreeType!$A:$E,5,0),"")</f>
        <v/>
      </c>
      <c r="F272" s="153" t="str">
        <f>IFERROR(VLOOKUP(D272,[1]TreeType!$A:$B,2,0),"")</f>
        <v/>
      </c>
      <c r="G272" s="72">
        <f>IF(B272&gt;0,IF(סקר!E396=0,1,סקר!E396),0)</f>
        <v>0</v>
      </c>
      <c r="H272" s="72">
        <f>IF(B272&gt;0,IF(סקר!F396 = 0,1,סקר!F396),0)</f>
        <v>0</v>
      </c>
      <c r="I272" s="152">
        <f>סקר!G396</f>
        <v>0</v>
      </c>
      <c r="J272" s="152">
        <f>סקר!H396</f>
        <v>0</v>
      </c>
      <c r="K272" s="152" t="e">
        <f>IF(D272="","",VLOOKUP(D272,[1]TreeType!$A$2:$E$508,3,3))</f>
        <v>#N/A</v>
      </c>
      <c r="L272" s="152">
        <f>IF(D272&gt;0,IF(סקר!M396=0,1,IF(סקר!M396=0,1,סקר!M396)),0)</f>
        <v>0</v>
      </c>
      <c r="M272" s="152">
        <f>סקר!J396</f>
        <v>0</v>
      </c>
      <c r="N272" s="152">
        <f>IF(D272&gt;0,IF(סקר!K396=0,1,IF(סקר!K396=0,1,סקר!K396)),0)</f>
        <v>0</v>
      </c>
      <c r="O272" s="152" t="e">
        <f t="shared" si="7"/>
        <v>#N/A</v>
      </c>
      <c r="P272" s="152">
        <f>IF(B272&gt;0,IF(סקר!O396 &lt;=1,1,סקר!O396),0)</f>
        <v>0</v>
      </c>
      <c r="Q272" s="152">
        <f>סקר!P396</f>
        <v>0</v>
      </c>
      <c r="R272" s="152">
        <f>סקר!R396</f>
        <v>0</v>
      </c>
      <c r="S272" s="152">
        <f>סקר!BC396</f>
        <v>0</v>
      </c>
      <c r="T272" s="156"/>
    </row>
    <row r="273" spans="1:20">
      <c r="A273" s="152" t="str">
        <f>IF(סקר!D397&lt;2,"עץ","פוליגון")</f>
        <v>עץ</v>
      </c>
      <c r="B273" s="152">
        <f>סקר!B397</f>
        <v>0</v>
      </c>
      <c r="C273" s="152">
        <f>IF(סקר!D397&lt;2,1,סקר!D397)</f>
        <v>1</v>
      </c>
      <c r="D273" s="152">
        <f>סקר!C397</f>
        <v>0</v>
      </c>
      <c r="E273" s="152" t="str">
        <f>IFERROR(VLOOKUP(F273,[1]TreeType!$A:$E,5,0),"")</f>
        <v/>
      </c>
      <c r="F273" s="153" t="str">
        <f>IFERROR(VLOOKUP(D273,[1]TreeType!$A:$B,2,0),"")</f>
        <v/>
      </c>
      <c r="G273" s="72">
        <f>IF(B273&gt;0,IF(סקר!E397=0,1,סקר!E397),0)</f>
        <v>0</v>
      </c>
      <c r="H273" s="72">
        <f>IF(B273&gt;0,IF(סקר!F397 = 0,1,סקר!F397),0)</f>
        <v>0</v>
      </c>
      <c r="I273" s="152">
        <f>סקר!G397</f>
        <v>0</v>
      </c>
      <c r="J273" s="152">
        <f>סקר!H397</f>
        <v>0</v>
      </c>
      <c r="K273" s="152" t="e">
        <f>IF(D273="","",VLOOKUP(D273,[1]TreeType!$A$2:$E$508,3,3))</f>
        <v>#N/A</v>
      </c>
      <c r="L273" s="152">
        <f>IF(D273&gt;0,IF(סקר!M397=0,1,IF(סקר!M397=0,1,סקר!M397)),0)</f>
        <v>0</v>
      </c>
      <c r="M273" s="152">
        <f>סקר!J397</f>
        <v>0</v>
      </c>
      <c r="N273" s="152">
        <f>IF(D273&gt;0,IF(סקר!K397=0,1,IF(סקר!K397=0,1,סקר!K397)),0)</f>
        <v>0</v>
      </c>
      <c r="O273" s="152" t="e">
        <f t="shared" si="7"/>
        <v>#N/A</v>
      </c>
      <c r="P273" s="152">
        <f>IF(B273&gt;0,IF(סקר!O397 &lt;=1,1,סקר!O397),0)</f>
        <v>0</v>
      </c>
      <c r="Q273" s="152">
        <f>סקר!P397</f>
        <v>0</v>
      </c>
      <c r="R273" s="152">
        <f>סקר!R397</f>
        <v>0</v>
      </c>
      <c r="S273" s="152">
        <f>סקר!BC397</f>
        <v>0</v>
      </c>
      <c r="T273" s="156"/>
    </row>
    <row r="274" spans="1:20">
      <c r="A274" s="152" t="str">
        <f>IF(סקר!D398&lt;2,"עץ","פוליגון")</f>
        <v>עץ</v>
      </c>
      <c r="B274" s="152">
        <f>סקר!B398</f>
        <v>0</v>
      </c>
      <c r="C274" s="152">
        <f>IF(סקר!D398&lt;2,1,סקר!D398)</f>
        <v>1</v>
      </c>
      <c r="D274" s="152">
        <f>סקר!C398</f>
        <v>0</v>
      </c>
      <c r="E274" s="152" t="str">
        <f>IFERROR(VLOOKUP(F274,[1]TreeType!$A:$E,5,0),"")</f>
        <v/>
      </c>
      <c r="F274" s="153" t="str">
        <f>IFERROR(VLOOKUP(D274,[1]TreeType!$A:$B,2,0),"")</f>
        <v/>
      </c>
      <c r="G274" s="72">
        <f>IF(B274&gt;0,IF(סקר!E398=0,1,סקר!E398),0)</f>
        <v>0</v>
      </c>
      <c r="H274" s="72">
        <f>IF(B274&gt;0,IF(סקר!F398 = 0,1,סקר!F398),0)</f>
        <v>0</v>
      </c>
      <c r="I274" s="152">
        <f>סקר!G398</f>
        <v>0</v>
      </c>
      <c r="J274" s="152">
        <f>סקר!H398</f>
        <v>0</v>
      </c>
      <c r="K274" s="152" t="e">
        <f>IF(D274="","",VLOOKUP(D274,[1]TreeType!$A$2:$E$508,3,3))</f>
        <v>#N/A</v>
      </c>
      <c r="L274" s="152">
        <f>IF(D274&gt;0,IF(סקר!M398=0,1,IF(סקר!M398=0,1,סקר!M398)),0)</f>
        <v>0</v>
      </c>
      <c r="M274" s="152">
        <f>סקר!J398</f>
        <v>0</v>
      </c>
      <c r="N274" s="152">
        <f>IF(D274&gt;0,IF(סקר!K398=0,1,IF(סקר!K398=0,1,סקר!K398)),0)</f>
        <v>0</v>
      </c>
      <c r="O274" s="152" t="e">
        <f t="shared" si="7"/>
        <v>#N/A</v>
      </c>
      <c r="P274" s="152">
        <f>IF(B274&gt;0,IF(סקר!O398 &lt;=1,1,סקר!O398),0)</f>
        <v>0</v>
      </c>
      <c r="Q274" s="152">
        <f>סקר!P398</f>
        <v>0</v>
      </c>
      <c r="R274" s="152">
        <f>סקר!R398</f>
        <v>0</v>
      </c>
      <c r="S274" s="152">
        <f>סקר!BC398</f>
        <v>0</v>
      </c>
      <c r="T274" s="156"/>
    </row>
    <row r="275" spans="1:20">
      <c r="A275" s="152" t="str">
        <f>IF(סקר!D399&lt;2,"עץ","פוליגון")</f>
        <v>עץ</v>
      </c>
      <c r="B275" s="152">
        <f>סקר!B399</f>
        <v>0</v>
      </c>
      <c r="C275" s="152">
        <f>IF(סקר!D399&lt;2,1,סקר!D399)</f>
        <v>1</v>
      </c>
      <c r="D275" s="152">
        <f>סקר!C399</f>
        <v>0</v>
      </c>
      <c r="E275" s="152" t="str">
        <f>IFERROR(VLOOKUP(F275,[1]TreeType!$A:$E,5,0),"")</f>
        <v/>
      </c>
      <c r="F275" s="153" t="str">
        <f>IFERROR(VLOOKUP(D275,[1]TreeType!$A:$B,2,0),"")</f>
        <v/>
      </c>
      <c r="G275" s="72">
        <f>IF(B275&gt;0,IF(סקר!E399=0,1,סקר!E399),0)</f>
        <v>0</v>
      </c>
      <c r="H275" s="72">
        <f>IF(B275&gt;0,IF(סקר!F399 = 0,1,סקר!F399),0)</f>
        <v>0</v>
      </c>
      <c r="I275" s="152">
        <f>סקר!G399</f>
        <v>0</v>
      </c>
      <c r="J275" s="152">
        <f>סקר!H399</f>
        <v>0</v>
      </c>
      <c r="K275" s="152" t="e">
        <f>IF(D275="","",VLOOKUP(D275,[1]TreeType!$A$2:$E$508,3,3))</f>
        <v>#N/A</v>
      </c>
      <c r="L275" s="152">
        <f>IF(D275&gt;0,IF(סקר!M399=0,1,IF(סקר!M399=0,1,סקר!M399)),0)</f>
        <v>0</v>
      </c>
      <c r="M275" s="152">
        <f>סקר!J399</f>
        <v>0</v>
      </c>
      <c r="N275" s="152">
        <f>IF(D275&gt;0,IF(סקר!K399=0,1,IF(סקר!K399=0,1,סקר!K399)),0)</f>
        <v>0</v>
      </c>
      <c r="O275" s="152" t="e">
        <f t="shared" si="7"/>
        <v>#N/A</v>
      </c>
      <c r="P275" s="152">
        <f>IF(B275&gt;0,IF(סקר!O399 &lt;=1,1,סקר!O399),0)</f>
        <v>0</v>
      </c>
      <c r="Q275" s="152">
        <f>סקר!P399</f>
        <v>0</v>
      </c>
      <c r="R275" s="152">
        <f>סקר!R399</f>
        <v>0</v>
      </c>
      <c r="S275" s="152">
        <f>סקר!BC399</f>
        <v>0</v>
      </c>
      <c r="T275" s="156"/>
    </row>
    <row r="276" spans="1:20">
      <c r="A276" s="152" t="str">
        <f>IF(סקר!D400&lt;2,"עץ","פוליגון")</f>
        <v>עץ</v>
      </c>
      <c r="B276" s="152">
        <f>סקר!B400</f>
        <v>0</v>
      </c>
      <c r="C276" s="152">
        <f>IF(סקר!D400&lt;2,1,סקר!D400)</f>
        <v>1</v>
      </c>
      <c r="D276" s="152">
        <f>סקר!C400</f>
        <v>0</v>
      </c>
      <c r="E276" s="152" t="str">
        <f>IFERROR(VLOOKUP(F276,[1]TreeType!$A:$E,5,0),"")</f>
        <v/>
      </c>
      <c r="F276" s="153" t="str">
        <f>IFERROR(VLOOKUP(D276,[1]TreeType!$A:$B,2,0),"")</f>
        <v/>
      </c>
      <c r="G276" s="72">
        <f>IF(B276&gt;0,IF(סקר!E400=0,1,סקר!E400),0)</f>
        <v>0</v>
      </c>
      <c r="H276" s="72">
        <f>IF(B276&gt;0,IF(סקר!F400 = 0,1,סקר!F400),0)</f>
        <v>0</v>
      </c>
      <c r="I276" s="152">
        <f>סקר!G400</f>
        <v>0</v>
      </c>
      <c r="J276" s="152">
        <f>סקר!H400</f>
        <v>0</v>
      </c>
      <c r="K276" s="152" t="e">
        <f>IF(D276="","",VLOOKUP(D276,[1]TreeType!$A$2:$E$508,3,3))</f>
        <v>#N/A</v>
      </c>
      <c r="L276" s="152">
        <f>IF(D276&gt;0,IF(סקר!M400=0,1,IF(סקר!M400=0,1,סקר!M400)),0)</f>
        <v>0</v>
      </c>
      <c r="M276" s="152">
        <f>סקר!J400</f>
        <v>0</v>
      </c>
      <c r="N276" s="152">
        <f>IF(D276&gt;0,IF(סקר!K400=0,1,IF(סקר!K400=0,1,סקר!K400)),0)</f>
        <v>0</v>
      </c>
      <c r="O276" s="152" t="e">
        <f t="shared" si="7"/>
        <v>#N/A</v>
      </c>
      <c r="P276" s="152">
        <f>IF(B276&gt;0,IF(סקר!O400 &lt;=1,1,סקר!O400),0)</f>
        <v>0</v>
      </c>
      <c r="Q276" s="152">
        <f>סקר!P400</f>
        <v>0</v>
      </c>
      <c r="R276" s="152">
        <f>סקר!R400</f>
        <v>0</v>
      </c>
      <c r="S276" s="152">
        <f>סקר!BC400</f>
        <v>0</v>
      </c>
      <c r="T276" s="156"/>
    </row>
    <row r="277" spans="1:20">
      <c r="A277" s="152" t="str">
        <f>IF(סקר!D401&lt;2,"עץ","פוליגון")</f>
        <v>עץ</v>
      </c>
      <c r="B277" s="152">
        <f>סקר!B401</f>
        <v>0</v>
      </c>
      <c r="C277" s="152">
        <f>IF(סקר!D401&lt;2,1,סקר!D401)</f>
        <v>1</v>
      </c>
      <c r="D277" s="152">
        <f>סקר!C401</f>
        <v>0</v>
      </c>
      <c r="E277" s="152" t="str">
        <f>IFERROR(VLOOKUP(F277,[1]TreeType!$A:$E,5,0),"")</f>
        <v/>
      </c>
      <c r="F277" s="153" t="str">
        <f>IFERROR(VLOOKUP(D277,[1]TreeType!$A:$B,2,0),"")</f>
        <v/>
      </c>
      <c r="G277" s="72">
        <f>IF(B277&gt;0,IF(סקר!E401=0,1,סקר!E401),0)</f>
        <v>0</v>
      </c>
      <c r="H277" s="72">
        <f>IF(B277&gt;0,IF(סקר!F401 = 0,1,סקר!F401),0)</f>
        <v>0</v>
      </c>
      <c r="I277" s="152">
        <f>סקר!G401</f>
        <v>0</v>
      </c>
      <c r="J277" s="152">
        <f>סקר!H401</f>
        <v>0</v>
      </c>
      <c r="K277" s="152" t="e">
        <f>IF(D277="","",VLOOKUP(D277,[1]TreeType!$A$2:$E$508,3,3))</f>
        <v>#N/A</v>
      </c>
      <c r="L277" s="152">
        <f>IF(D277&gt;0,IF(סקר!M401=0,1,IF(סקר!M401=0,1,סקר!M401)),0)</f>
        <v>0</v>
      </c>
      <c r="M277" s="152">
        <f>סקר!J401</f>
        <v>0</v>
      </c>
      <c r="N277" s="152">
        <f>IF(D277&gt;0,IF(סקר!K401=0,1,IF(סקר!K401=0,1,סקר!K401)),0)</f>
        <v>0</v>
      </c>
      <c r="O277" s="152" t="e">
        <f t="shared" si="7"/>
        <v>#N/A</v>
      </c>
      <c r="P277" s="152">
        <f>IF(B277&gt;0,IF(סקר!O401 &lt;=1,1,סקר!O401),0)</f>
        <v>0</v>
      </c>
      <c r="Q277" s="152">
        <f>סקר!P401</f>
        <v>0</v>
      </c>
      <c r="R277" s="152">
        <f>סקר!R401</f>
        <v>0</v>
      </c>
      <c r="S277" s="152">
        <f>סקר!BC401</f>
        <v>0</v>
      </c>
      <c r="T277" s="156"/>
    </row>
    <row r="278" spans="1:20">
      <c r="A278" s="152" t="str">
        <f>IF(סקר!D402&lt;2,"עץ","פוליגון")</f>
        <v>עץ</v>
      </c>
      <c r="B278" s="152">
        <f>סקר!B402</f>
        <v>0</v>
      </c>
      <c r="C278" s="152">
        <f>IF(סקר!D402&lt;2,1,סקר!D402)</f>
        <v>1</v>
      </c>
      <c r="D278" s="152">
        <f>סקר!C402</f>
        <v>0</v>
      </c>
      <c r="E278" s="152" t="str">
        <f>IFERROR(VLOOKUP(F278,[1]TreeType!$A:$E,5,0),"")</f>
        <v/>
      </c>
      <c r="F278" s="153" t="str">
        <f>IFERROR(VLOOKUP(D278,[1]TreeType!$A:$B,2,0),"")</f>
        <v/>
      </c>
      <c r="G278" s="72">
        <f>IF(B278&gt;0,IF(סקר!E402=0,1,סקר!E402),0)</f>
        <v>0</v>
      </c>
      <c r="H278" s="72">
        <f>IF(B278&gt;0,IF(סקר!F402 = 0,1,סקר!F402),0)</f>
        <v>0</v>
      </c>
      <c r="I278" s="152">
        <f>סקר!G402</f>
        <v>0</v>
      </c>
      <c r="J278" s="152">
        <f>סקר!H402</f>
        <v>0</v>
      </c>
      <c r="K278" s="152" t="e">
        <f>IF(D278="","",VLOOKUP(D278,[1]TreeType!$A$2:$E$508,3,3))</f>
        <v>#N/A</v>
      </c>
      <c r="L278" s="152">
        <f>IF(D278&gt;0,IF(סקר!M402=0,1,IF(סקר!M402=0,1,סקר!M402)),0)</f>
        <v>0</v>
      </c>
      <c r="M278" s="152">
        <f>סקר!J402</f>
        <v>0</v>
      </c>
      <c r="N278" s="152">
        <f>IF(D278&gt;0,IF(סקר!K402=0,1,IF(סקר!K402=0,1,סקר!K402)),0)</f>
        <v>0</v>
      </c>
      <c r="O278" s="152" t="e">
        <f t="shared" si="7"/>
        <v>#N/A</v>
      </c>
      <c r="P278" s="152">
        <f>IF(B278&gt;0,IF(סקר!O402 &lt;=1,1,סקר!O402),0)</f>
        <v>0</v>
      </c>
      <c r="Q278" s="152">
        <f>סקר!P402</f>
        <v>0</v>
      </c>
      <c r="R278" s="152">
        <f>סקר!R402</f>
        <v>0</v>
      </c>
      <c r="S278" s="152">
        <f>סקר!BC402</f>
        <v>0</v>
      </c>
      <c r="T278" s="156"/>
    </row>
    <row r="279" spans="1:20">
      <c r="A279" s="152" t="str">
        <f>IF(סקר!D403&lt;2,"עץ","פוליגון")</f>
        <v>עץ</v>
      </c>
      <c r="B279" s="152">
        <f>סקר!B403</f>
        <v>0</v>
      </c>
      <c r="C279" s="152">
        <f>IF(סקר!D403&lt;2,1,סקר!D403)</f>
        <v>1</v>
      </c>
      <c r="D279" s="152">
        <f>סקר!C403</f>
        <v>0</v>
      </c>
      <c r="E279" s="152" t="str">
        <f>IFERROR(VLOOKUP(F279,[1]TreeType!$A:$E,5,0),"")</f>
        <v/>
      </c>
      <c r="F279" s="153" t="str">
        <f>IFERROR(VLOOKUP(D279,[1]TreeType!$A:$B,2,0),"")</f>
        <v/>
      </c>
      <c r="G279" s="72">
        <f>IF(B279&gt;0,IF(סקר!E403=0,1,סקר!E403),0)</f>
        <v>0</v>
      </c>
      <c r="H279" s="72">
        <f>IF(B279&gt;0,IF(סקר!F403 = 0,1,סקר!F403),0)</f>
        <v>0</v>
      </c>
      <c r="I279" s="152">
        <f>סקר!G403</f>
        <v>0</v>
      </c>
      <c r="J279" s="152">
        <f>סקר!H403</f>
        <v>0</v>
      </c>
      <c r="K279" s="152" t="e">
        <f>IF(D279="","",VLOOKUP(D279,[1]TreeType!$A$2:$E$508,3,3))</f>
        <v>#N/A</v>
      </c>
      <c r="L279" s="152">
        <f>IF(D279&gt;0,IF(סקר!M403=0,1,IF(סקר!M403=0,1,סקר!M403)),0)</f>
        <v>0</v>
      </c>
      <c r="M279" s="152">
        <f>סקר!J403</f>
        <v>0</v>
      </c>
      <c r="N279" s="152">
        <f>IF(D279&gt;0,IF(סקר!K403=0,1,IF(סקר!K403=0,1,סקר!K403)),0)</f>
        <v>0</v>
      </c>
      <c r="O279" s="152" t="e">
        <f t="shared" si="7"/>
        <v>#N/A</v>
      </c>
      <c r="P279" s="152">
        <f>IF(B279&gt;0,IF(סקר!O403 &lt;=1,1,סקר!O403),0)</f>
        <v>0</v>
      </c>
      <c r="Q279" s="152">
        <f>סקר!P403</f>
        <v>0</v>
      </c>
      <c r="R279" s="152">
        <f>סקר!R403</f>
        <v>0</v>
      </c>
      <c r="S279" s="152">
        <f>סקר!BC403</f>
        <v>0</v>
      </c>
      <c r="T279" s="156"/>
    </row>
    <row r="280" spans="1:20">
      <c r="A280" s="152" t="str">
        <f>IF(סקר!D404&lt;2,"עץ","פוליגון")</f>
        <v>עץ</v>
      </c>
      <c r="B280" s="152">
        <f>סקר!B404</f>
        <v>0</v>
      </c>
      <c r="C280" s="152">
        <f>IF(סקר!D404&lt;2,1,סקר!D404)</f>
        <v>1</v>
      </c>
      <c r="D280" s="152">
        <f>סקר!C404</f>
        <v>0</v>
      </c>
      <c r="E280" s="152" t="str">
        <f>IFERROR(VLOOKUP(F280,[1]TreeType!$A:$E,5,0),"")</f>
        <v/>
      </c>
      <c r="F280" s="153" t="str">
        <f>IFERROR(VLOOKUP(D280,[1]TreeType!$A:$B,2,0),"")</f>
        <v/>
      </c>
      <c r="G280" s="72">
        <f>IF(B280&gt;0,IF(סקר!E404=0,1,סקר!E404),0)</f>
        <v>0</v>
      </c>
      <c r="H280" s="72">
        <f>IF(B280&gt;0,IF(סקר!F404 = 0,1,סקר!F404),0)</f>
        <v>0</v>
      </c>
      <c r="I280" s="152">
        <f>סקר!G404</f>
        <v>0</v>
      </c>
      <c r="J280" s="152">
        <f>סקר!H404</f>
        <v>0</v>
      </c>
      <c r="K280" s="152" t="e">
        <f>IF(D280="","",VLOOKUP(D280,[1]TreeType!$A$2:$E$508,3,3))</f>
        <v>#N/A</v>
      </c>
      <c r="L280" s="152">
        <f>IF(D280&gt;0,IF(סקר!M404=0,1,IF(סקר!M404=0,1,סקר!M404)),0)</f>
        <v>0</v>
      </c>
      <c r="M280" s="152">
        <f>סקר!J404</f>
        <v>0</v>
      </c>
      <c r="N280" s="152">
        <f>IF(D280&gt;0,IF(סקר!K404=0,1,IF(סקר!K404=0,1,סקר!K404)),0)</f>
        <v>0</v>
      </c>
      <c r="O280" s="152" t="e">
        <f t="shared" si="7"/>
        <v>#N/A</v>
      </c>
      <c r="P280" s="152">
        <f>IF(B280&gt;0,IF(סקר!O404 &lt;=1,1,סקר!O404),0)</f>
        <v>0</v>
      </c>
      <c r="Q280" s="152">
        <f>סקר!P404</f>
        <v>0</v>
      </c>
      <c r="R280" s="152">
        <f>סקר!R404</f>
        <v>0</v>
      </c>
      <c r="S280" s="152">
        <f>סקר!BC404</f>
        <v>0</v>
      </c>
      <c r="T280" s="156"/>
    </row>
    <row r="281" spans="1:20">
      <c r="A281" s="152" t="str">
        <f>IF(סקר!D405&lt;2,"עץ","פוליגון")</f>
        <v>עץ</v>
      </c>
      <c r="B281" s="152">
        <f>סקר!B405</f>
        <v>0</v>
      </c>
      <c r="C281" s="152">
        <f>IF(סקר!D405&lt;2,1,סקר!D405)</f>
        <v>1</v>
      </c>
      <c r="D281" s="152">
        <f>סקר!C405</f>
        <v>0</v>
      </c>
      <c r="E281" s="152" t="str">
        <f>IFERROR(VLOOKUP(F281,[1]TreeType!$A:$E,5,0),"")</f>
        <v/>
      </c>
      <c r="F281" s="153" t="str">
        <f>IFERROR(VLOOKUP(D281,[1]TreeType!$A:$B,2,0),"")</f>
        <v/>
      </c>
      <c r="G281" s="72">
        <f>IF(B281&gt;0,IF(סקר!E405=0,1,סקר!E405),0)</f>
        <v>0</v>
      </c>
      <c r="H281" s="72">
        <f>IF(B281&gt;0,IF(סקר!F405 = 0,1,סקר!F405),0)</f>
        <v>0</v>
      </c>
      <c r="I281" s="152">
        <f>סקר!G405</f>
        <v>0</v>
      </c>
      <c r="J281" s="152">
        <f>סקר!H405</f>
        <v>0</v>
      </c>
      <c r="K281" s="152" t="e">
        <f>IF(D281="","",VLOOKUP(D281,[1]TreeType!$A$2:$E$508,3,3))</f>
        <v>#N/A</v>
      </c>
      <c r="L281" s="152">
        <f>IF(D281&gt;0,IF(סקר!M405=0,1,IF(סקר!M405=0,1,סקר!M405)),0)</f>
        <v>0</v>
      </c>
      <c r="M281" s="152">
        <f>סקר!J405</f>
        <v>0</v>
      </c>
      <c r="N281" s="152">
        <f>IF(D281&gt;0,IF(סקר!K405=0,1,IF(סקר!K405=0,1,סקר!K405)),0)</f>
        <v>0</v>
      </c>
      <c r="O281" s="152" t="e">
        <f t="shared" si="7"/>
        <v>#N/A</v>
      </c>
      <c r="P281" s="152">
        <f>IF(B281&gt;0,IF(סקר!O405 &lt;=1,1,סקר!O405),0)</f>
        <v>0</v>
      </c>
      <c r="Q281" s="152">
        <f>סקר!P405</f>
        <v>0</v>
      </c>
      <c r="R281" s="152">
        <f>סקר!R405</f>
        <v>0</v>
      </c>
      <c r="S281" s="152">
        <f>סקר!BC405</f>
        <v>0</v>
      </c>
      <c r="T281" s="156"/>
    </row>
    <row r="282" spans="1:20">
      <c r="A282" s="152" t="str">
        <f>IF(סקר!D406&lt;2,"עץ","פוליגון")</f>
        <v>עץ</v>
      </c>
      <c r="B282" s="152">
        <f>סקר!B406</f>
        <v>0</v>
      </c>
      <c r="C282" s="152">
        <f>IF(סקר!D406&lt;2,1,סקר!D406)</f>
        <v>1</v>
      </c>
      <c r="D282" s="152">
        <f>סקר!C406</f>
        <v>0</v>
      </c>
      <c r="E282" s="152" t="str">
        <f>IFERROR(VLOOKUP(F282,[1]TreeType!$A:$E,5,0),"")</f>
        <v/>
      </c>
      <c r="F282" s="153" t="str">
        <f>IFERROR(VLOOKUP(D282,[1]TreeType!$A:$B,2,0),"")</f>
        <v/>
      </c>
      <c r="G282" s="72">
        <f>IF(B282&gt;0,IF(סקר!E406=0,1,סקר!E406),0)</f>
        <v>0</v>
      </c>
      <c r="H282" s="72">
        <f>IF(B282&gt;0,IF(סקר!F406 = 0,1,סקר!F406),0)</f>
        <v>0</v>
      </c>
      <c r="I282" s="152">
        <f>סקר!G406</f>
        <v>0</v>
      </c>
      <c r="J282" s="152">
        <f>סקר!H406</f>
        <v>0</v>
      </c>
      <c r="K282" s="152" t="e">
        <f>IF(D282="","",VLOOKUP(D282,[1]TreeType!$A$2:$E$508,3,3))</f>
        <v>#N/A</v>
      </c>
      <c r="L282" s="152">
        <f>IF(D282&gt;0,IF(סקר!M406=0,1,IF(סקר!M406=0,1,סקר!M406)),0)</f>
        <v>0</v>
      </c>
      <c r="M282" s="152">
        <f>סקר!J406</f>
        <v>0</v>
      </c>
      <c r="N282" s="152">
        <f>IF(D282&gt;0,IF(סקר!K406=0,1,IF(סקר!K406=0,1,סקר!K406)),0)</f>
        <v>0</v>
      </c>
      <c r="O282" s="152" t="e">
        <f t="shared" si="7"/>
        <v>#N/A</v>
      </c>
      <c r="P282" s="152">
        <f>IF(B282&gt;0,IF(סקר!O406 &lt;=1,1,סקר!O406),0)</f>
        <v>0</v>
      </c>
      <c r="Q282" s="152">
        <f>סקר!P406</f>
        <v>0</v>
      </c>
      <c r="R282" s="152">
        <f>סקר!R406</f>
        <v>0</v>
      </c>
      <c r="S282" s="152">
        <f>סקר!BC406</f>
        <v>0</v>
      </c>
      <c r="T282" s="156"/>
    </row>
    <row r="283" spans="1:20">
      <c r="A283" s="152" t="str">
        <f>IF(סקר!D421&lt;2,"עץ","פוליגון")</f>
        <v>עץ</v>
      </c>
      <c r="B283" s="152">
        <f>סקר!B421</f>
        <v>0</v>
      </c>
      <c r="C283" s="152">
        <f>IF(סקר!D421&lt;2,1,סקר!D421)</f>
        <v>1</v>
      </c>
      <c r="D283" s="152">
        <f>סקר!C421</f>
        <v>0</v>
      </c>
      <c r="E283" s="152" t="str">
        <f>IFERROR(VLOOKUP(F283,[1]TreeType!$A:$E,5,0),"")</f>
        <v/>
      </c>
      <c r="F283" s="153" t="str">
        <f>IFERROR(VLOOKUP(D283,[1]TreeType!$A:$B,2,0),"")</f>
        <v/>
      </c>
      <c r="G283" s="72">
        <f>IF(B283&gt;0,IF(סקר!E421=0,1,סקר!E421),0)</f>
        <v>0</v>
      </c>
      <c r="H283" s="72">
        <f>IF(B283&gt;0,IF(סקר!F421 = 0,1,סקר!F421),0)</f>
        <v>0</v>
      </c>
      <c r="I283" s="152">
        <f>סקר!G421</f>
        <v>0</v>
      </c>
      <c r="J283" s="152">
        <f>סקר!H421</f>
        <v>0</v>
      </c>
      <c r="K283" s="152" t="e">
        <f>IF(D283="","",VLOOKUP(D283,[1]TreeType!$A$2:$E$508,3,3))</f>
        <v>#N/A</v>
      </c>
      <c r="L283" s="152">
        <f>IF(D283&gt;0,IF(סקר!M421=0,1,IF(סקר!M421=0,1,סקר!M421)),0)</f>
        <v>0</v>
      </c>
      <c r="M283" s="152">
        <f>סקר!J421</f>
        <v>0</v>
      </c>
      <c r="N283" s="152">
        <f>IF(D283&gt;0,IF(סקר!K421=0,1,IF(סקר!K421=0,1,סקר!K421)),0)</f>
        <v>0</v>
      </c>
      <c r="O283" s="152" t="e">
        <f t="shared" si="7"/>
        <v>#N/A</v>
      </c>
      <c r="P283" s="152">
        <f>IF(B283&gt;0,IF(סקר!O421 &lt;=1,1,סקר!O421),0)</f>
        <v>0</v>
      </c>
      <c r="Q283" s="152">
        <f>סקר!P421</f>
        <v>0</v>
      </c>
      <c r="R283" s="152">
        <f>סקר!R421</f>
        <v>0</v>
      </c>
      <c r="S283" s="152">
        <f>סקר!BC421</f>
        <v>0</v>
      </c>
      <c r="T283" s="156"/>
    </row>
    <row r="284" spans="1:20">
      <c r="A284" s="152" t="str">
        <f>IF(סקר!D422&lt;2,"עץ","פוליגון")</f>
        <v>עץ</v>
      </c>
      <c r="B284" s="152">
        <f>סקר!B422</f>
        <v>0</v>
      </c>
      <c r="C284" s="152">
        <f>IF(סקר!D422&lt;2,1,סקר!D422)</f>
        <v>1</v>
      </c>
      <c r="D284" s="152">
        <f>סקר!C422</f>
        <v>0</v>
      </c>
      <c r="E284" s="152" t="str">
        <f>IFERROR(VLOOKUP(F284,[1]TreeType!$A:$E,5,0),"")</f>
        <v/>
      </c>
      <c r="F284" s="153" t="str">
        <f>IFERROR(VLOOKUP(D284,[1]TreeType!$A:$B,2,0),"")</f>
        <v/>
      </c>
      <c r="G284" s="72">
        <f>IF(B284&gt;0,IF(סקר!E422=0,1,סקר!E422),0)</f>
        <v>0</v>
      </c>
      <c r="H284" s="72">
        <f>IF(B284&gt;0,IF(סקר!F422 = 0,1,סקר!F422),0)</f>
        <v>0</v>
      </c>
      <c r="I284" s="152">
        <f>סקר!G422</f>
        <v>0</v>
      </c>
      <c r="J284" s="152">
        <f>סקר!H422</f>
        <v>0</v>
      </c>
      <c r="K284" s="152" t="e">
        <f>IF(D284="","",VLOOKUP(D284,[1]TreeType!$A$2:$E$508,3,3))</f>
        <v>#N/A</v>
      </c>
      <c r="L284" s="152">
        <f>IF(D284&gt;0,IF(סקר!M422=0,1,IF(סקר!M422=0,1,סקר!M422)),0)</f>
        <v>0</v>
      </c>
      <c r="M284" s="152">
        <f>סקר!J422</f>
        <v>0</v>
      </c>
      <c r="N284" s="152">
        <f>IF(D284&gt;0,IF(סקר!K422=0,1,IF(סקר!K422=0,1,סקר!K422)),0)</f>
        <v>0</v>
      </c>
      <c r="O284" s="152" t="e">
        <f t="shared" si="7"/>
        <v>#N/A</v>
      </c>
      <c r="P284" s="152">
        <f>IF(B284&gt;0,IF(סקר!O422 &lt;=1,1,סקר!O422),0)</f>
        <v>0</v>
      </c>
      <c r="Q284" s="152">
        <f>סקר!P422</f>
        <v>0</v>
      </c>
      <c r="R284" s="152">
        <f>סקר!R422</f>
        <v>0</v>
      </c>
      <c r="S284" s="152">
        <f>סקר!BC422</f>
        <v>0</v>
      </c>
      <c r="T284" s="156"/>
    </row>
    <row r="285" spans="1:20">
      <c r="A285" s="152" t="str">
        <f>IF(סקר!D423&lt;2,"עץ","פוליגון")</f>
        <v>עץ</v>
      </c>
      <c r="B285" s="152">
        <f>סקר!B423</f>
        <v>0</v>
      </c>
      <c r="C285" s="152">
        <f>IF(סקר!D423&lt;2,1,סקר!D423)</f>
        <v>1</v>
      </c>
      <c r="D285" s="152">
        <f>סקר!C423</f>
        <v>0</v>
      </c>
      <c r="E285" s="152" t="str">
        <f>IFERROR(VLOOKUP(F285,[1]TreeType!$A:$E,5,0),"")</f>
        <v/>
      </c>
      <c r="F285" s="153" t="str">
        <f>IFERROR(VLOOKUP(D285,[1]TreeType!$A:$B,2,0),"")</f>
        <v/>
      </c>
      <c r="G285" s="72">
        <f>IF(B285&gt;0,IF(סקר!E423=0,1,סקר!E423),0)</f>
        <v>0</v>
      </c>
      <c r="H285" s="72">
        <f>IF(B285&gt;0,IF(סקר!F423 = 0,1,סקר!F423),0)</f>
        <v>0</v>
      </c>
      <c r="I285" s="152">
        <f>סקר!G423</f>
        <v>0</v>
      </c>
      <c r="J285" s="152">
        <f>סקר!H423</f>
        <v>0</v>
      </c>
      <c r="K285" s="152" t="e">
        <f>IF(D285="","",VLOOKUP(D285,[1]TreeType!$A$2:$E$508,3,3))</f>
        <v>#N/A</v>
      </c>
      <c r="L285" s="152">
        <f>IF(D285&gt;0,IF(סקר!M423=0,1,IF(סקר!M423=0,1,סקר!M423)),0)</f>
        <v>0</v>
      </c>
      <c r="M285" s="152">
        <f>סקר!J423</f>
        <v>0</v>
      </c>
      <c r="N285" s="152">
        <f>IF(D285&gt;0,IF(סקר!K423=0,1,IF(סקר!K423=0,1,סקר!K423)),0)</f>
        <v>0</v>
      </c>
      <c r="O285" s="152" t="e">
        <f t="shared" si="7"/>
        <v>#N/A</v>
      </c>
      <c r="P285" s="152">
        <f>IF(B285&gt;0,IF(סקר!O423 &lt;=1,1,סקר!O423),0)</f>
        <v>0</v>
      </c>
      <c r="Q285" s="152">
        <f>סקר!P423</f>
        <v>0</v>
      </c>
      <c r="R285" s="152">
        <f>סקר!R423</f>
        <v>0</v>
      </c>
      <c r="S285" s="152">
        <f>סקר!BC423</f>
        <v>0</v>
      </c>
      <c r="T285" s="156"/>
    </row>
    <row r="286" spans="1:20">
      <c r="A286" s="152" t="str">
        <f>IF(סקר!D424&lt;2,"עץ","פוליגון")</f>
        <v>עץ</v>
      </c>
      <c r="B286" s="152">
        <f>סקר!B424</f>
        <v>0</v>
      </c>
      <c r="C286" s="152">
        <f>IF(סקר!D424&lt;2,1,סקר!D424)</f>
        <v>1</v>
      </c>
      <c r="D286" s="152">
        <f>סקר!C424</f>
        <v>0</v>
      </c>
      <c r="E286" s="152" t="str">
        <f>IFERROR(VLOOKUP(F286,[1]TreeType!$A:$E,5,0),"")</f>
        <v/>
      </c>
      <c r="F286" s="153" t="str">
        <f>IFERROR(VLOOKUP(D286,[1]TreeType!$A:$B,2,0),"")</f>
        <v/>
      </c>
      <c r="G286" s="72">
        <f>IF(B286&gt;0,IF(סקר!E424=0,1,סקר!E424),0)</f>
        <v>0</v>
      </c>
      <c r="H286" s="72">
        <f>IF(B286&gt;0,IF(סקר!F424 = 0,1,סקר!F424),0)</f>
        <v>0</v>
      </c>
      <c r="I286" s="152">
        <f>סקר!G424</f>
        <v>0</v>
      </c>
      <c r="J286" s="152">
        <f>סקר!H424</f>
        <v>0</v>
      </c>
      <c r="K286" s="152" t="e">
        <f>IF(D286="","",VLOOKUP(D286,[1]TreeType!$A$2:$E$508,3,3))</f>
        <v>#N/A</v>
      </c>
      <c r="L286" s="152">
        <f>IF(D286&gt;0,IF(סקר!M424=0,1,IF(סקר!M424=0,1,סקר!M424)),0)</f>
        <v>0</v>
      </c>
      <c r="M286" s="152">
        <f>סקר!J424</f>
        <v>0</v>
      </c>
      <c r="N286" s="152">
        <f>IF(D286&gt;0,IF(סקר!K424=0,1,IF(סקר!K424=0,1,סקר!K424)),0)</f>
        <v>0</v>
      </c>
      <c r="O286" s="152" t="e">
        <f t="shared" si="7"/>
        <v>#N/A</v>
      </c>
      <c r="P286" s="152">
        <f>IF(B286&gt;0,IF(סקר!O424 &lt;=1,1,סקר!O424),0)</f>
        <v>0</v>
      </c>
      <c r="Q286" s="152">
        <f>סקר!P424</f>
        <v>0</v>
      </c>
      <c r="R286" s="152">
        <f>סקר!R424</f>
        <v>0</v>
      </c>
      <c r="S286" s="152">
        <f>סקר!BC424</f>
        <v>0</v>
      </c>
      <c r="T286" s="156"/>
    </row>
    <row r="287" spans="1:20">
      <c r="A287" s="152" t="str">
        <f>IF(סקר!D425&lt;2,"עץ","פוליגון")</f>
        <v>עץ</v>
      </c>
      <c r="B287" s="152">
        <f>סקר!B425</f>
        <v>0</v>
      </c>
      <c r="C287" s="152">
        <f>IF(סקר!D425&lt;2,1,סקר!D425)</f>
        <v>1</v>
      </c>
      <c r="D287" s="152">
        <f>סקר!C425</f>
        <v>0</v>
      </c>
      <c r="E287" s="152" t="str">
        <f>IFERROR(VLOOKUP(F287,[1]TreeType!$A:$E,5,0),"")</f>
        <v/>
      </c>
      <c r="F287" s="153" t="str">
        <f>IFERROR(VLOOKUP(D287,[1]TreeType!$A:$B,2,0),"")</f>
        <v/>
      </c>
      <c r="G287" s="72">
        <f>IF(B287&gt;0,IF(סקר!E425=0,1,סקר!E425),0)</f>
        <v>0</v>
      </c>
      <c r="H287" s="72">
        <f>IF(B287&gt;0,IF(סקר!F425 = 0,1,סקר!F425),0)</f>
        <v>0</v>
      </c>
      <c r="I287" s="152">
        <f>סקר!G425</f>
        <v>0</v>
      </c>
      <c r="J287" s="152">
        <f>סקר!H425</f>
        <v>0</v>
      </c>
      <c r="K287" s="152" t="e">
        <f>IF(D287="","",VLOOKUP(D287,[1]TreeType!$A$2:$E$508,3,3))</f>
        <v>#N/A</v>
      </c>
      <c r="L287" s="152">
        <f>IF(D287&gt;0,IF(סקר!M425=0,1,IF(סקר!M425=0,1,סקר!M425)),0)</f>
        <v>0</v>
      </c>
      <c r="M287" s="152">
        <f>סקר!J425</f>
        <v>0</v>
      </c>
      <c r="N287" s="152">
        <f>IF(D287&gt;0,IF(סקר!K425=0,1,IF(סקר!K425=0,1,סקר!K425)),0)</f>
        <v>0</v>
      </c>
      <c r="O287" s="152" t="e">
        <f t="shared" si="7"/>
        <v>#N/A</v>
      </c>
      <c r="P287" s="152">
        <f>IF(B287&gt;0,IF(סקר!O425 &lt;=1,1,סקר!O425),0)</f>
        <v>0</v>
      </c>
      <c r="Q287" s="152">
        <f>סקר!P425</f>
        <v>0</v>
      </c>
      <c r="R287" s="152">
        <f>סקר!R425</f>
        <v>0</v>
      </c>
      <c r="S287" s="152">
        <f>סקר!BC425</f>
        <v>0</v>
      </c>
      <c r="T287" s="156"/>
    </row>
    <row r="288" spans="1:20">
      <c r="A288" s="152" t="str">
        <f>IF(סקר!D426&lt;2,"עץ","פוליגון")</f>
        <v>עץ</v>
      </c>
      <c r="B288" s="152">
        <f>סקר!B426</f>
        <v>0</v>
      </c>
      <c r="C288" s="152">
        <f>IF(סקר!D426&lt;2,1,סקר!D426)</f>
        <v>1</v>
      </c>
      <c r="D288" s="152">
        <f>סקר!C426</f>
        <v>0</v>
      </c>
      <c r="E288" s="152" t="str">
        <f>IFERROR(VLOOKUP(F288,[1]TreeType!$A:$E,5,0),"")</f>
        <v/>
      </c>
      <c r="F288" s="153" t="str">
        <f>IFERROR(VLOOKUP(D288,[1]TreeType!$A:$B,2,0),"")</f>
        <v/>
      </c>
      <c r="G288" s="72">
        <f>IF(B288&gt;0,IF(סקר!E426=0,1,סקר!E426),0)</f>
        <v>0</v>
      </c>
      <c r="H288" s="72">
        <f>IF(B288&gt;0,IF(סקר!F426 = 0,1,סקר!F426),0)</f>
        <v>0</v>
      </c>
      <c r="I288" s="152">
        <f>סקר!G426</f>
        <v>0</v>
      </c>
      <c r="J288" s="152">
        <f>סקר!H426</f>
        <v>0</v>
      </c>
      <c r="K288" s="152" t="e">
        <f>IF(D288="","",VLOOKUP(D288,[1]TreeType!$A$2:$E$508,3,3))</f>
        <v>#N/A</v>
      </c>
      <c r="L288" s="152">
        <f>IF(D288&gt;0,IF(סקר!M426=0,1,IF(סקר!M426=0,1,סקר!M426)),0)</f>
        <v>0</v>
      </c>
      <c r="M288" s="152">
        <f>סקר!J426</f>
        <v>0</v>
      </c>
      <c r="N288" s="152">
        <f>IF(D288&gt;0,IF(סקר!K426=0,1,IF(סקר!K426=0,1,סקר!K426)),0)</f>
        <v>0</v>
      </c>
      <c r="O288" s="152" t="e">
        <f t="shared" si="7"/>
        <v>#N/A</v>
      </c>
      <c r="P288" s="152">
        <f>IF(B288&gt;0,IF(סקר!O426 &lt;=1,1,סקר!O426),0)</f>
        <v>0</v>
      </c>
      <c r="Q288" s="152">
        <f>סקר!P426</f>
        <v>0</v>
      </c>
      <c r="R288" s="152">
        <f>סקר!R426</f>
        <v>0</v>
      </c>
      <c r="S288" s="152">
        <f>סקר!BC426</f>
        <v>0</v>
      </c>
      <c r="T288" s="156"/>
    </row>
    <row r="289" spans="1:20">
      <c r="A289" s="152" t="str">
        <f>IF(סקר!D427&lt;2,"עץ","פוליגון")</f>
        <v>עץ</v>
      </c>
      <c r="B289" s="152">
        <f>סקר!B427</f>
        <v>0</v>
      </c>
      <c r="C289" s="152">
        <f>IF(סקר!D427&lt;2,1,סקר!D427)</f>
        <v>1</v>
      </c>
      <c r="D289" s="152">
        <f>סקר!C427</f>
        <v>0</v>
      </c>
      <c r="E289" s="152" t="str">
        <f>IFERROR(VLOOKUP(F289,[1]TreeType!$A:$E,5,0),"")</f>
        <v/>
      </c>
      <c r="F289" s="153" t="str">
        <f>IFERROR(VLOOKUP(D289,[1]TreeType!$A:$B,2,0),"")</f>
        <v/>
      </c>
      <c r="G289" s="72">
        <f>IF(B289&gt;0,IF(סקר!E427=0,1,סקר!E427),0)</f>
        <v>0</v>
      </c>
      <c r="H289" s="72">
        <f>IF(B289&gt;0,IF(סקר!F427 = 0,1,סקר!F427),0)</f>
        <v>0</v>
      </c>
      <c r="I289" s="152">
        <f>סקר!G427</f>
        <v>0</v>
      </c>
      <c r="J289" s="152">
        <f>סקר!H427</f>
        <v>0</v>
      </c>
      <c r="K289" s="152" t="e">
        <f>IF(D289="","",VLOOKUP(D289,[1]TreeType!$A$2:$E$508,3,3))</f>
        <v>#N/A</v>
      </c>
      <c r="L289" s="152">
        <f>IF(D289&gt;0,IF(סקר!M427=0,1,IF(סקר!M427=0,1,סקר!M427)),0)</f>
        <v>0</v>
      </c>
      <c r="M289" s="152">
        <f>סקר!J427</f>
        <v>0</v>
      </c>
      <c r="N289" s="152">
        <f>IF(D289&gt;0,IF(סקר!K427=0,1,IF(סקר!K427=0,1,סקר!K427)),0)</f>
        <v>0</v>
      </c>
      <c r="O289" s="152" t="e">
        <f t="shared" si="7"/>
        <v>#N/A</v>
      </c>
      <c r="P289" s="152">
        <f>IF(B289&gt;0,IF(סקר!O427 &lt;=1,1,סקר!O427),0)</f>
        <v>0</v>
      </c>
      <c r="Q289" s="152">
        <f>סקר!P427</f>
        <v>0</v>
      </c>
      <c r="R289" s="152">
        <f>סקר!R427</f>
        <v>0</v>
      </c>
      <c r="S289" s="152">
        <f>סקר!BC427</f>
        <v>0</v>
      </c>
      <c r="T289" s="156"/>
    </row>
    <row r="290" spans="1:20">
      <c r="A290" s="152" t="str">
        <f>IF(סקר!D428&lt;2,"עץ","פוליגון")</f>
        <v>עץ</v>
      </c>
      <c r="B290" s="152">
        <f>סקר!B428</f>
        <v>0</v>
      </c>
      <c r="C290" s="152">
        <f>IF(סקר!D428&lt;2,1,סקר!D428)</f>
        <v>1</v>
      </c>
      <c r="D290" s="152">
        <f>סקר!C428</f>
        <v>0</v>
      </c>
      <c r="E290" s="152" t="str">
        <f>IFERROR(VLOOKUP(F290,[1]TreeType!$A:$E,5,0),"")</f>
        <v/>
      </c>
      <c r="F290" s="153" t="str">
        <f>IFERROR(VLOOKUP(D290,[1]TreeType!$A:$B,2,0),"")</f>
        <v/>
      </c>
      <c r="G290" s="72">
        <f>IF(B290&gt;0,IF(סקר!E428=0,1,סקר!E428),0)</f>
        <v>0</v>
      </c>
      <c r="H290" s="72">
        <f>IF(B290&gt;0,IF(סקר!F428 = 0,1,סקר!F428),0)</f>
        <v>0</v>
      </c>
      <c r="I290" s="152">
        <f>סקר!G428</f>
        <v>0</v>
      </c>
      <c r="J290" s="152">
        <f>סקר!H428</f>
        <v>0</v>
      </c>
      <c r="K290" s="152" t="e">
        <f>IF(D290="","",VLOOKUP(D290,[1]TreeType!$A$2:$E$508,3,3))</f>
        <v>#N/A</v>
      </c>
      <c r="L290" s="152">
        <f>IF(D290&gt;0,IF(סקר!M428=0,1,IF(סקר!M428=0,1,סקר!M428)),0)</f>
        <v>0</v>
      </c>
      <c r="M290" s="152">
        <f>סקר!J428</f>
        <v>0</v>
      </c>
      <c r="N290" s="152">
        <f>IF(D290&gt;0,IF(סקר!K428=0,1,IF(סקר!K428=0,1,סקר!K428)),0)</f>
        <v>0</v>
      </c>
      <c r="O290" s="152" t="e">
        <f t="shared" si="7"/>
        <v>#N/A</v>
      </c>
      <c r="P290" s="152">
        <f>IF(B290&gt;0,IF(סקר!O428 &lt;=1,1,סקר!O428),0)</f>
        <v>0</v>
      </c>
      <c r="Q290" s="152">
        <f>סקר!P428</f>
        <v>0</v>
      </c>
      <c r="R290" s="152">
        <f>סקר!R428</f>
        <v>0</v>
      </c>
      <c r="S290" s="152">
        <f>סקר!BC428</f>
        <v>0</v>
      </c>
      <c r="T290" s="156"/>
    </row>
    <row r="291" spans="1:20">
      <c r="A291" s="152" t="str">
        <f>IF(סקר!D429&lt;2,"עץ","פוליגון")</f>
        <v>עץ</v>
      </c>
      <c r="B291" s="152">
        <f>סקר!B429</f>
        <v>0</v>
      </c>
      <c r="C291" s="152">
        <f>IF(סקר!D429&lt;2,1,סקר!D429)</f>
        <v>1</v>
      </c>
      <c r="D291" s="152">
        <f>סקר!C429</f>
        <v>0</v>
      </c>
      <c r="E291" s="152" t="str">
        <f>IFERROR(VLOOKUP(F291,[1]TreeType!$A:$E,5,0),"")</f>
        <v/>
      </c>
      <c r="F291" s="153" t="str">
        <f>IFERROR(VLOOKUP(D291,[1]TreeType!$A:$B,2,0),"")</f>
        <v/>
      </c>
      <c r="G291" s="72">
        <f>IF(B291&gt;0,IF(סקר!E429=0,1,סקר!E429),0)</f>
        <v>0</v>
      </c>
      <c r="H291" s="72">
        <f>IF(B291&gt;0,IF(סקר!F429 = 0,1,סקר!F429),0)</f>
        <v>0</v>
      </c>
      <c r="I291" s="152">
        <f>סקר!G429</f>
        <v>0</v>
      </c>
      <c r="J291" s="152">
        <f>סקר!H429</f>
        <v>0</v>
      </c>
      <c r="K291" s="152" t="e">
        <f>IF(D291="","",VLOOKUP(D291,[1]TreeType!$A$2:$E$508,3,3))</f>
        <v>#N/A</v>
      </c>
      <c r="L291" s="152">
        <f>IF(D291&gt;0,IF(סקר!M429=0,1,IF(סקר!M429=0,1,סקר!M429)),0)</f>
        <v>0</v>
      </c>
      <c r="M291" s="152">
        <f>סקר!J429</f>
        <v>0</v>
      </c>
      <c r="N291" s="152">
        <f>IF(D291&gt;0,IF(סקר!K429=0,1,IF(סקר!K429=0,1,סקר!K429)),0)</f>
        <v>0</v>
      </c>
      <c r="O291" s="152" t="e">
        <f t="shared" si="7"/>
        <v>#N/A</v>
      </c>
      <c r="P291" s="152">
        <f>IF(B291&gt;0,IF(סקר!O429 &lt;=1,1,סקר!O429),0)</f>
        <v>0</v>
      </c>
      <c r="Q291" s="152">
        <f>סקר!P429</f>
        <v>0</v>
      </c>
      <c r="R291" s="152">
        <f>סקר!R429</f>
        <v>0</v>
      </c>
      <c r="S291" s="152">
        <f>סקר!BC429</f>
        <v>0</v>
      </c>
      <c r="T291" s="156"/>
    </row>
    <row r="292" spans="1:20">
      <c r="A292" s="152" t="str">
        <f>IF(סקר!D430&lt;2,"עץ","פוליגון")</f>
        <v>עץ</v>
      </c>
      <c r="B292" s="152">
        <f>סקר!B430</f>
        <v>0</v>
      </c>
      <c r="C292" s="152">
        <f>IF(סקר!D430&lt;2,1,סקר!D430)</f>
        <v>1</v>
      </c>
      <c r="D292" s="152">
        <f>סקר!C430</f>
        <v>0</v>
      </c>
      <c r="E292" s="152" t="str">
        <f>IFERROR(VLOOKUP(F292,[1]TreeType!$A:$E,5,0),"")</f>
        <v/>
      </c>
      <c r="F292" s="153" t="str">
        <f>IFERROR(VLOOKUP(D292,[1]TreeType!$A:$B,2,0),"")</f>
        <v/>
      </c>
      <c r="G292" s="72">
        <f>IF(B292&gt;0,IF(סקר!E430=0,1,סקר!E430),0)</f>
        <v>0</v>
      </c>
      <c r="H292" s="72">
        <f>IF(B292&gt;0,IF(סקר!F430 = 0,1,סקר!F430),0)</f>
        <v>0</v>
      </c>
      <c r="I292" s="152">
        <f>סקר!G430</f>
        <v>0</v>
      </c>
      <c r="J292" s="152">
        <f>סקר!H430</f>
        <v>0</v>
      </c>
      <c r="K292" s="152" t="e">
        <f>IF(D292="","",VLOOKUP(D292,[1]TreeType!$A$2:$E$508,3,3))</f>
        <v>#N/A</v>
      </c>
      <c r="L292" s="152">
        <f>IF(D292&gt;0,IF(סקר!M430=0,1,IF(סקר!M430=0,1,סקר!M430)),0)</f>
        <v>0</v>
      </c>
      <c r="M292" s="152">
        <f>סקר!J430</f>
        <v>0</v>
      </c>
      <c r="N292" s="152">
        <f>IF(D292&gt;0,IF(סקר!K430=0,1,IF(סקר!K430=0,1,סקר!K430)),0)</f>
        <v>0</v>
      </c>
      <c r="O292" s="152" t="e">
        <f t="shared" si="7"/>
        <v>#N/A</v>
      </c>
      <c r="P292" s="152">
        <f>IF(B292&gt;0,IF(סקר!O430 &lt;=1,1,סקר!O430),0)</f>
        <v>0</v>
      </c>
      <c r="Q292" s="152">
        <f>סקר!P430</f>
        <v>0</v>
      </c>
      <c r="R292" s="152">
        <f>סקר!R430</f>
        <v>0</v>
      </c>
      <c r="S292" s="152">
        <f>סקר!BC430</f>
        <v>0</v>
      </c>
      <c r="T292" s="156"/>
    </row>
    <row r="293" spans="1:20">
      <c r="A293" s="152" t="str">
        <f>IF(סקר!D431&lt;2,"עץ","פוליגון")</f>
        <v>עץ</v>
      </c>
      <c r="B293" s="152">
        <f>סקר!B431</f>
        <v>0</v>
      </c>
      <c r="C293" s="152">
        <f>IF(סקר!D431&lt;2,1,סקר!D431)</f>
        <v>1</v>
      </c>
      <c r="D293" s="152">
        <f>סקר!C431</f>
        <v>0</v>
      </c>
      <c r="E293" s="152" t="str">
        <f>IFERROR(VLOOKUP(F293,[1]TreeType!$A:$E,5,0),"")</f>
        <v/>
      </c>
      <c r="F293" s="153" t="str">
        <f>IFERROR(VLOOKUP(D293,[1]TreeType!$A:$B,2,0),"")</f>
        <v/>
      </c>
      <c r="G293" s="72">
        <f>IF(B293&gt;0,IF(סקר!E431=0,1,סקר!E431),0)</f>
        <v>0</v>
      </c>
      <c r="H293" s="72">
        <f>IF(B293&gt;0,IF(סקר!F431 = 0,1,סקר!F431),0)</f>
        <v>0</v>
      </c>
      <c r="I293" s="152">
        <f>סקר!G431</f>
        <v>0</v>
      </c>
      <c r="J293" s="152">
        <f>סקר!H431</f>
        <v>0</v>
      </c>
      <c r="K293" s="152" t="e">
        <f>IF(D293="","",VLOOKUP(D293,[1]TreeType!$A$2:$E$508,3,3))</f>
        <v>#N/A</v>
      </c>
      <c r="L293" s="152">
        <f>IF(D293&gt;0,IF(סקר!M431=0,1,IF(סקר!M431=0,1,סקר!M431)),0)</f>
        <v>0</v>
      </c>
      <c r="M293" s="152">
        <f>סקר!J431</f>
        <v>0</v>
      </c>
      <c r="N293" s="152">
        <f>IF(D293&gt;0,IF(סקר!K431=0,1,IF(סקר!K431=0,1,סקר!K431)),0)</f>
        <v>0</v>
      </c>
      <c r="O293" s="152" t="e">
        <f t="shared" si="7"/>
        <v>#N/A</v>
      </c>
      <c r="P293" s="152">
        <f>IF(B293&gt;0,IF(סקר!O431 &lt;=1,1,סקר!O431),0)</f>
        <v>0</v>
      </c>
      <c r="Q293" s="152">
        <f>סקר!P431</f>
        <v>0</v>
      </c>
      <c r="R293" s="152">
        <f>סקר!R431</f>
        <v>0</v>
      </c>
      <c r="S293" s="152">
        <f>סקר!BC431</f>
        <v>0</v>
      </c>
      <c r="T293" s="156"/>
    </row>
    <row r="294" spans="1:20">
      <c r="A294" s="152" t="str">
        <f>IF(סקר!D432&lt;2,"עץ","פוליגון")</f>
        <v>עץ</v>
      </c>
      <c r="B294" s="152">
        <f>סקר!B432</f>
        <v>0</v>
      </c>
      <c r="C294" s="152">
        <f>IF(סקר!D432&lt;2,1,סקר!D432)</f>
        <v>1</v>
      </c>
      <c r="D294" s="152">
        <f>סקר!C432</f>
        <v>0</v>
      </c>
      <c r="E294" s="152" t="str">
        <f>IFERROR(VLOOKUP(F294,[1]TreeType!$A:$E,5,0),"")</f>
        <v/>
      </c>
      <c r="F294" s="153" t="str">
        <f>IFERROR(VLOOKUP(D294,[1]TreeType!$A:$B,2,0),"")</f>
        <v/>
      </c>
      <c r="G294" s="72">
        <f>IF(B294&gt;0,IF(סקר!E432=0,1,סקר!E432),0)</f>
        <v>0</v>
      </c>
      <c r="H294" s="72">
        <f>IF(B294&gt;0,IF(סקר!F432 = 0,1,סקר!F432),0)</f>
        <v>0</v>
      </c>
      <c r="I294" s="152">
        <f>סקר!G432</f>
        <v>0</v>
      </c>
      <c r="J294" s="152">
        <f>סקר!H432</f>
        <v>0</v>
      </c>
      <c r="K294" s="152" t="e">
        <f>IF(D294="","",VLOOKUP(D294,[1]TreeType!$A$2:$E$508,3,3))</f>
        <v>#N/A</v>
      </c>
      <c r="L294" s="152">
        <f>IF(D294&gt;0,IF(סקר!M432=0,1,IF(סקר!M432=0,1,סקר!M432)),0)</f>
        <v>0</v>
      </c>
      <c r="M294" s="152">
        <f>סקר!J432</f>
        <v>0</v>
      </c>
      <c r="N294" s="152">
        <f>IF(D294&gt;0,IF(סקר!K432=0,1,IF(סקר!K432=0,1,סקר!K432)),0)</f>
        <v>0</v>
      </c>
      <c r="O294" s="152" t="e">
        <f t="shared" si="7"/>
        <v>#N/A</v>
      </c>
      <c r="P294" s="152">
        <f>IF(B294&gt;0,IF(סקר!O432 &lt;=1,1,סקר!O432),0)</f>
        <v>0</v>
      </c>
      <c r="Q294" s="152">
        <f>סקר!P432</f>
        <v>0</v>
      </c>
      <c r="R294" s="152">
        <f>סקר!R432</f>
        <v>0</v>
      </c>
      <c r="S294" s="152">
        <f>סקר!BC432</f>
        <v>0</v>
      </c>
      <c r="T294" s="156"/>
    </row>
    <row r="295" spans="1:20">
      <c r="A295" s="152" t="str">
        <f>IF(סקר!D433&lt;2,"עץ","פוליגון")</f>
        <v>עץ</v>
      </c>
      <c r="B295" s="152">
        <f>סקר!B433</f>
        <v>0</v>
      </c>
      <c r="C295" s="152">
        <f>IF(סקר!D433&lt;2,1,סקר!D433)</f>
        <v>1</v>
      </c>
      <c r="D295" s="152">
        <f>סקר!C433</f>
        <v>0</v>
      </c>
      <c r="E295" s="152" t="str">
        <f>IFERROR(VLOOKUP(F295,[1]TreeType!$A:$E,5,0),"")</f>
        <v/>
      </c>
      <c r="F295" s="153" t="str">
        <f>IFERROR(VLOOKUP(D295,[1]TreeType!$A:$B,2,0),"")</f>
        <v/>
      </c>
      <c r="G295" s="72">
        <f>IF(B295&gt;0,IF(סקר!E433=0,1,סקר!E433),0)</f>
        <v>0</v>
      </c>
      <c r="H295" s="72">
        <f>IF(B295&gt;0,IF(סקר!F433 = 0,1,סקר!F433),0)</f>
        <v>0</v>
      </c>
      <c r="I295" s="152">
        <f>סקר!G433</f>
        <v>0</v>
      </c>
      <c r="J295" s="152">
        <f>סקר!H433</f>
        <v>0</v>
      </c>
      <c r="K295" s="152" t="e">
        <f>IF(D295="","",VLOOKUP(D295,[1]TreeType!$A$2:$E$508,3,3))</f>
        <v>#N/A</v>
      </c>
      <c r="L295" s="152">
        <f>IF(D295&gt;0,IF(סקר!M433=0,1,IF(סקר!M433=0,1,סקר!M433)),0)</f>
        <v>0</v>
      </c>
      <c r="M295" s="152">
        <f>סקר!J433</f>
        <v>0</v>
      </c>
      <c r="N295" s="152">
        <f>IF(D295&gt;0,IF(סקר!K433=0,1,IF(סקר!K433=0,1,סקר!K433)),0)</f>
        <v>0</v>
      </c>
      <c r="O295" s="152" t="e">
        <f t="shared" si="7"/>
        <v>#N/A</v>
      </c>
      <c r="P295" s="152">
        <f>IF(B295&gt;0,IF(סקר!O433 &lt;=1,1,סקר!O433),0)</f>
        <v>0</v>
      </c>
      <c r="Q295" s="152">
        <f>סקר!P433</f>
        <v>0</v>
      </c>
      <c r="R295" s="152">
        <f>סקר!R433</f>
        <v>0</v>
      </c>
      <c r="S295" s="152">
        <f>סקר!BC433</f>
        <v>0</v>
      </c>
      <c r="T295" s="156"/>
    </row>
    <row r="296" spans="1:20">
      <c r="A296" s="152" t="str">
        <f>IF(סקר!D434&lt;2,"עץ","פוליגון")</f>
        <v>עץ</v>
      </c>
      <c r="B296" s="152">
        <f>סקר!B434</f>
        <v>0</v>
      </c>
      <c r="C296" s="152">
        <f>IF(סקר!D434&lt;2,1,סקר!D434)</f>
        <v>1</v>
      </c>
      <c r="D296" s="152">
        <f>סקר!C434</f>
        <v>0</v>
      </c>
      <c r="E296" s="152" t="str">
        <f>IFERROR(VLOOKUP(F296,[1]TreeType!$A:$E,5,0),"")</f>
        <v/>
      </c>
      <c r="F296" s="153" t="str">
        <f>IFERROR(VLOOKUP(D296,[1]TreeType!$A:$B,2,0),"")</f>
        <v/>
      </c>
      <c r="G296" s="72">
        <f>IF(B296&gt;0,IF(סקר!E434=0,1,סקר!E434),0)</f>
        <v>0</v>
      </c>
      <c r="H296" s="72">
        <f>IF(B296&gt;0,IF(סקר!F434 = 0,1,סקר!F434),0)</f>
        <v>0</v>
      </c>
      <c r="I296" s="152">
        <f>סקר!G434</f>
        <v>0</v>
      </c>
      <c r="J296" s="152">
        <f>סקר!H434</f>
        <v>0</v>
      </c>
      <c r="K296" s="152" t="e">
        <f>IF(D296="","",VLOOKUP(D296,[1]TreeType!$A$2:$E$508,3,3))</f>
        <v>#N/A</v>
      </c>
      <c r="L296" s="152">
        <f>IF(D296&gt;0,IF(סקר!M434=0,1,IF(סקר!M434=0,1,סקר!M434)),0)</f>
        <v>0</v>
      </c>
      <c r="M296" s="152">
        <f>סקר!J434</f>
        <v>0</v>
      </c>
      <c r="N296" s="152">
        <f>IF(D296&gt;0,IF(סקר!K434=0,1,IF(סקר!K434=0,1,סקר!K434)),0)</f>
        <v>0</v>
      </c>
      <c r="O296" s="152" t="e">
        <f t="shared" si="7"/>
        <v>#N/A</v>
      </c>
      <c r="P296" s="152">
        <f>IF(B296&gt;0,IF(סקר!O434 &lt;=1,1,סקר!O434),0)</f>
        <v>0</v>
      </c>
      <c r="Q296" s="152">
        <f>סקר!P434</f>
        <v>0</v>
      </c>
      <c r="R296" s="152">
        <f>סקר!R434</f>
        <v>0</v>
      </c>
      <c r="S296" s="152">
        <f>סקר!BC434</f>
        <v>0</v>
      </c>
      <c r="T296" s="156"/>
    </row>
    <row r="297" spans="1:20">
      <c r="A297" s="152" t="str">
        <f>IF(סקר!D435&lt;2,"עץ","פוליגון")</f>
        <v>עץ</v>
      </c>
      <c r="B297" s="152">
        <f>סקר!B435</f>
        <v>0</v>
      </c>
      <c r="C297" s="152">
        <f>IF(סקר!D435&lt;2,1,סקר!D435)</f>
        <v>1</v>
      </c>
      <c r="D297" s="152">
        <f>סקר!C435</f>
        <v>0</v>
      </c>
      <c r="E297" s="152" t="str">
        <f>IFERROR(VLOOKUP(F297,[1]TreeType!$A:$E,5,0),"")</f>
        <v/>
      </c>
      <c r="F297" s="153" t="str">
        <f>IFERROR(VLOOKUP(D297,[1]TreeType!$A:$B,2,0),"")</f>
        <v/>
      </c>
      <c r="G297" s="72">
        <f>IF(B297&gt;0,IF(סקר!E435=0,1,סקר!E435),0)</f>
        <v>0</v>
      </c>
      <c r="H297" s="72">
        <f>IF(B297&gt;0,IF(סקר!F435 = 0,1,סקר!F435),0)</f>
        <v>0</v>
      </c>
      <c r="I297" s="152">
        <f>סקר!G435</f>
        <v>0</v>
      </c>
      <c r="J297" s="152">
        <f>סקר!H435</f>
        <v>0</v>
      </c>
      <c r="K297" s="152" t="e">
        <f>IF(D297="","",VLOOKUP(D297,[1]TreeType!$A$2:$E$508,3,3))</f>
        <v>#N/A</v>
      </c>
      <c r="L297" s="152">
        <f>IF(D297&gt;0,IF(סקר!M435=0,1,IF(סקר!M435=0,1,סקר!M435)),0)</f>
        <v>0</v>
      </c>
      <c r="M297" s="152">
        <f>סקר!J435</f>
        <v>0</v>
      </c>
      <c r="N297" s="152">
        <f>IF(D297&gt;0,IF(סקר!K435=0,1,IF(סקר!K435=0,1,סקר!K435)),0)</f>
        <v>0</v>
      </c>
      <c r="O297" s="152" t="e">
        <f t="shared" si="7"/>
        <v>#N/A</v>
      </c>
      <c r="P297" s="152">
        <f>IF(B297&gt;0,IF(סקר!O435 &lt;=1,1,סקר!O435),0)</f>
        <v>0</v>
      </c>
      <c r="Q297" s="152">
        <f>סקר!P435</f>
        <v>0</v>
      </c>
      <c r="R297" s="152">
        <f>סקר!R435</f>
        <v>0</v>
      </c>
      <c r="S297" s="152">
        <f>סקר!BC435</f>
        <v>0</v>
      </c>
      <c r="T297" s="156"/>
    </row>
    <row r="298" spans="1:20">
      <c r="A298" s="152" t="str">
        <f>IF(סקר!D436&lt;2,"עץ","פוליגון")</f>
        <v>עץ</v>
      </c>
      <c r="B298" s="152">
        <f>סקר!B436</f>
        <v>0</v>
      </c>
      <c r="C298" s="152">
        <f>IF(סקר!D436&lt;2,1,סקר!D436)</f>
        <v>1</v>
      </c>
      <c r="D298" s="152">
        <f>סקר!C436</f>
        <v>0</v>
      </c>
      <c r="E298" s="152" t="str">
        <f>IFERROR(VLOOKUP(F298,[1]TreeType!$A:$E,5,0),"")</f>
        <v/>
      </c>
      <c r="F298" s="153" t="str">
        <f>IFERROR(VLOOKUP(D298,[1]TreeType!$A:$B,2,0),"")</f>
        <v/>
      </c>
      <c r="G298" s="72">
        <f>IF(B298&gt;0,IF(סקר!E436=0,1,סקר!E436),0)</f>
        <v>0</v>
      </c>
      <c r="H298" s="72">
        <f>IF(B298&gt;0,IF(סקר!F436 = 0,1,סקר!F436),0)</f>
        <v>0</v>
      </c>
      <c r="I298" s="152">
        <f>סקר!G436</f>
        <v>0</v>
      </c>
      <c r="J298" s="152">
        <f>סקר!H436</f>
        <v>0</v>
      </c>
      <c r="K298" s="152" t="e">
        <f>IF(D298="","",VLOOKUP(D298,[1]TreeType!$A$2:$E$508,3,3))</f>
        <v>#N/A</v>
      </c>
      <c r="L298" s="152">
        <f>IF(D298&gt;0,IF(סקר!M436=0,1,IF(סקר!M436=0,1,סקר!M436)),0)</f>
        <v>0</v>
      </c>
      <c r="M298" s="152">
        <f>סקר!J436</f>
        <v>0</v>
      </c>
      <c r="N298" s="152">
        <f>IF(D298&gt;0,IF(סקר!K436=0,1,IF(סקר!K436=0,1,סקר!K436)),0)</f>
        <v>0</v>
      </c>
      <c r="O298" s="152" t="e">
        <f t="shared" si="7"/>
        <v>#N/A</v>
      </c>
      <c r="P298" s="152">
        <f>IF(B298&gt;0,IF(סקר!O436 &lt;=1,1,סקר!O436),0)</f>
        <v>0</v>
      </c>
      <c r="Q298" s="152">
        <f>סקר!P436</f>
        <v>0</v>
      </c>
      <c r="R298" s="152">
        <f>סקר!R436</f>
        <v>0</v>
      </c>
      <c r="S298" s="152">
        <f>סקר!BC436</f>
        <v>0</v>
      </c>
      <c r="T298" s="156"/>
    </row>
    <row r="299" spans="1:20">
      <c r="A299" s="152" t="str">
        <f>IF(סקר!D437&lt;2,"עץ","פוליגון")</f>
        <v>עץ</v>
      </c>
      <c r="B299" s="152">
        <f>סקר!B437</f>
        <v>0</v>
      </c>
      <c r="C299" s="152">
        <f>IF(סקר!D437&lt;2,1,סקר!D437)</f>
        <v>1</v>
      </c>
      <c r="D299" s="152">
        <f>סקר!C437</f>
        <v>0</v>
      </c>
      <c r="E299" s="152" t="str">
        <f>IFERROR(VLOOKUP(F299,[1]TreeType!$A:$E,5,0),"")</f>
        <v/>
      </c>
      <c r="F299" s="153" t="str">
        <f>IFERROR(VLOOKUP(D299,[1]TreeType!$A:$B,2,0),"")</f>
        <v/>
      </c>
      <c r="G299" s="72">
        <f>IF(B299&gt;0,IF(סקר!E437=0,1,סקר!E437),0)</f>
        <v>0</v>
      </c>
      <c r="H299" s="72">
        <f>IF(B299&gt;0,IF(סקר!F437 = 0,1,סקר!F437),0)</f>
        <v>0</v>
      </c>
      <c r="I299" s="152">
        <f>סקר!G437</f>
        <v>0</v>
      </c>
      <c r="J299" s="152">
        <f>סקר!H437</f>
        <v>0</v>
      </c>
      <c r="K299" s="152" t="e">
        <f>IF(D299="","",VLOOKUP(D299,[1]TreeType!$A$2:$E$508,3,3))</f>
        <v>#N/A</v>
      </c>
      <c r="L299" s="152">
        <f>IF(D299&gt;0,IF(סקר!M437=0,1,IF(סקר!M437=0,1,סקר!M437)),0)</f>
        <v>0</v>
      </c>
      <c r="M299" s="152">
        <f>סקר!J437</f>
        <v>0</v>
      </c>
      <c r="N299" s="152">
        <f>IF(D299&gt;0,IF(סקר!K437=0,1,IF(סקר!K437=0,1,סקר!K437)),0)</f>
        <v>0</v>
      </c>
      <c r="O299" s="152" t="e">
        <f t="shared" si="7"/>
        <v>#N/A</v>
      </c>
      <c r="P299" s="152">
        <f>IF(B299&gt;0,IF(סקר!O437 &lt;=1,1,סקר!O437),0)</f>
        <v>0</v>
      </c>
      <c r="Q299" s="152">
        <f>סקר!P437</f>
        <v>0</v>
      </c>
      <c r="R299" s="152">
        <f>סקר!R437</f>
        <v>0</v>
      </c>
      <c r="S299" s="152">
        <f>סקר!BC437</f>
        <v>0</v>
      </c>
      <c r="T299" s="156"/>
    </row>
    <row r="300" spans="1:20">
      <c r="A300" s="152" t="str">
        <f>IF(סקר!D438&lt;2,"עץ","פוליגון")</f>
        <v>עץ</v>
      </c>
      <c r="B300" s="152">
        <f>סקר!B438</f>
        <v>0</v>
      </c>
      <c r="C300" s="152">
        <f>IF(סקר!D438&lt;2,1,סקר!D438)</f>
        <v>1</v>
      </c>
      <c r="D300" s="152">
        <f>סקר!C438</f>
        <v>0</v>
      </c>
      <c r="E300" s="152" t="str">
        <f>IFERROR(VLOOKUP(F300,[1]TreeType!$A:$E,5,0),"")</f>
        <v/>
      </c>
      <c r="F300" s="153" t="str">
        <f>IFERROR(VLOOKUP(D300,[1]TreeType!$A:$B,2,0),"")</f>
        <v/>
      </c>
      <c r="G300" s="72">
        <f>IF(B300&gt;0,IF(סקר!E438=0,1,סקר!E438),0)</f>
        <v>0</v>
      </c>
      <c r="H300" s="72">
        <f>IF(B300&gt;0,IF(סקר!F438 = 0,1,סקר!F438),0)</f>
        <v>0</v>
      </c>
      <c r="I300" s="152">
        <f>סקר!G438</f>
        <v>0</v>
      </c>
      <c r="J300" s="152">
        <f>סקר!H438</f>
        <v>0</v>
      </c>
      <c r="K300" s="152" t="e">
        <f>IF(D300="","",VLOOKUP(D300,[1]TreeType!$A$2:$E$508,3,3))</f>
        <v>#N/A</v>
      </c>
      <c r="L300" s="152">
        <f>IF(D300&gt;0,IF(סקר!M438=0,1,IF(סקר!M438=0,1,סקר!M438)),0)</f>
        <v>0</v>
      </c>
      <c r="M300" s="152">
        <f>סקר!J438</f>
        <v>0</v>
      </c>
      <c r="N300" s="152">
        <f>IF(D300&gt;0,IF(סקר!K438=0,1,IF(סקר!K438=0,1,סקר!K438)),0)</f>
        <v>0</v>
      </c>
      <c r="O300" s="152" t="e">
        <f t="shared" si="7"/>
        <v>#N/A</v>
      </c>
      <c r="P300" s="152">
        <f>IF(B300&gt;0,IF(סקר!O438 &lt;=1,1,סקר!O438),0)</f>
        <v>0</v>
      </c>
      <c r="Q300" s="152">
        <f>סקר!P438</f>
        <v>0</v>
      </c>
      <c r="R300" s="152">
        <f>סקר!R438</f>
        <v>0</v>
      </c>
      <c r="S300" s="152">
        <f>סקר!BC438</f>
        <v>0</v>
      </c>
      <c r="T300" s="156"/>
    </row>
    <row r="301" spans="1:20">
      <c r="A301" s="152" t="str">
        <f>IF(סקר!D439&lt;2,"עץ","פוליגון")</f>
        <v>עץ</v>
      </c>
      <c r="B301" s="152">
        <f>סקר!B439</f>
        <v>0</v>
      </c>
      <c r="C301" s="152">
        <f>IF(סקר!D439&lt;2,1,סקר!D439)</f>
        <v>1</v>
      </c>
      <c r="D301" s="152">
        <f>סקר!C439</f>
        <v>0</v>
      </c>
      <c r="E301" s="152" t="str">
        <f>IFERROR(VLOOKUP(F301,[1]TreeType!$A:$E,5,0),"")</f>
        <v/>
      </c>
      <c r="F301" s="153" t="str">
        <f>IFERROR(VLOOKUP(D301,[1]TreeType!$A:$B,2,0),"")</f>
        <v/>
      </c>
      <c r="G301" s="72">
        <f>IF(B301&gt;0,IF(סקר!E439=0,1,סקר!E439),0)</f>
        <v>0</v>
      </c>
      <c r="H301" s="72">
        <f>IF(B301&gt;0,IF(סקר!F439 = 0,1,סקר!F439),0)</f>
        <v>0</v>
      </c>
      <c r="I301" s="152">
        <f>סקר!G439</f>
        <v>0</v>
      </c>
      <c r="J301" s="152">
        <f>סקר!H439</f>
        <v>0</v>
      </c>
      <c r="K301" s="152" t="e">
        <f>IF(D301="","",VLOOKUP(D301,[1]TreeType!$A$2:$E$508,3,3))</f>
        <v>#N/A</v>
      </c>
      <c r="L301" s="152">
        <f>IF(D301&gt;0,IF(סקר!M439=0,1,IF(סקר!M439=0,1,סקר!M439)),0)</f>
        <v>0</v>
      </c>
      <c r="M301" s="152">
        <f>סקר!J439</f>
        <v>0</v>
      </c>
      <c r="N301" s="152">
        <f>IF(D301&gt;0,IF(סקר!K439=0,1,IF(סקר!K439=0,1,סקר!K439)),0)</f>
        <v>0</v>
      </c>
      <c r="O301" s="152" t="e">
        <f t="shared" si="7"/>
        <v>#N/A</v>
      </c>
      <c r="P301" s="152">
        <f>IF(B301&gt;0,IF(סקר!O439 &lt;=1,1,סקר!O439),0)</f>
        <v>0</v>
      </c>
      <c r="Q301" s="152">
        <f>סקר!P439</f>
        <v>0</v>
      </c>
      <c r="R301" s="152">
        <f>סקר!R439</f>
        <v>0</v>
      </c>
      <c r="S301" s="152">
        <f>סקר!BC439</f>
        <v>0</v>
      </c>
      <c r="T301" s="156"/>
    </row>
    <row r="302" spans="1:20">
      <c r="A302" s="152" t="str">
        <f>IF(סקר!D440&lt;2,"עץ","פוליגון")</f>
        <v>עץ</v>
      </c>
      <c r="B302" s="152">
        <f>סקר!B440</f>
        <v>0</v>
      </c>
      <c r="C302" s="152">
        <f>IF(סקר!D440&lt;2,1,סקר!D440)</f>
        <v>1</v>
      </c>
      <c r="D302" s="152">
        <f>סקר!C440</f>
        <v>0</v>
      </c>
      <c r="E302" s="152" t="str">
        <f>IFERROR(VLOOKUP(F302,[1]TreeType!$A:$E,5,0),"")</f>
        <v/>
      </c>
      <c r="F302" s="153" t="str">
        <f>IFERROR(VLOOKUP(D302,[1]TreeType!$A:$B,2,0),"")</f>
        <v/>
      </c>
      <c r="G302" s="72">
        <f>IF(B302&gt;0,IF(סקר!E440=0,1,סקר!E440),0)</f>
        <v>0</v>
      </c>
      <c r="H302" s="72">
        <f>IF(B302&gt;0,IF(סקר!F440 = 0,1,סקר!F440),0)</f>
        <v>0</v>
      </c>
      <c r="I302" s="152">
        <f>סקר!G440</f>
        <v>0</v>
      </c>
      <c r="J302" s="152">
        <f>סקר!H440</f>
        <v>0</v>
      </c>
      <c r="K302" s="152" t="e">
        <f>IF(D302="","",VLOOKUP(D302,[1]TreeType!$A$2:$E$508,3,3))</f>
        <v>#N/A</v>
      </c>
      <c r="L302" s="152">
        <f>IF(D302&gt;0,IF(סקר!M440=0,1,IF(סקר!M440=0,1,סקר!M440)),0)</f>
        <v>0</v>
      </c>
      <c r="M302" s="152">
        <f>סקר!J440</f>
        <v>0</v>
      </c>
      <c r="N302" s="152">
        <f>IF(D302&gt;0,IF(סקר!K440=0,1,IF(סקר!K440=0,1,סקר!K440)),0)</f>
        <v>0</v>
      </c>
      <c r="O302" s="152" t="e">
        <f t="shared" si="7"/>
        <v>#N/A</v>
      </c>
      <c r="P302" s="152">
        <f>IF(B302&gt;0,IF(סקר!O440 &lt;=1,1,סקר!O440),0)</f>
        <v>0</v>
      </c>
      <c r="Q302" s="152">
        <f>סקר!P440</f>
        <v>0</v>
      </c>
      <c r="R302" s="152">
        <f>סקר!R440</f>
        <v>0</v>
      </c>
      <c r="S302" s="152">
        <f>סקר!BC440</f>
        <v>0</v>
      </c>
      <c r="T302" s="156"/>
    </row>
    <row r="303" spans="1:20">
      <c r="A303" s="152" t="str">
        <f>IF(סקר!D441&lt;2,"עץ","פוליגון")</f>
        <v>עץ</v>
      </c>
      <c r="B303" s="152">
        <f>סקר!B441</f>
        <v>0</v>
      </c>
      <c r="C303" s="152">
        <f>IF(סקר!D441&lt;2,1,סקר!D441)</f>
        <v>1</v>
      </c>
      <c r="D303" s="152">
        <f>סקר!C441</f>
        <v>0</v>
      </c>
      <c r="E303" s="152" t="str">
        <f>IFERROR(VLOOKUP(F303,[1]TreeType!$A:$E,5,0),"")</f>
        <v/>
      </c>
      <c r="F303" s="153" t="str">
        <f>IFERROR(VLOOKUP(D303,[1]TreeType!$A:$B,2,0),"")</f>
        <v/>
      </c>
      <c r="G303" s="72">
        <f>IF(B303&gt;0,IF(סקר!E441=0,1,סקר!E441),0)</f>
        <v>0</v>
      </c>
      <c r="H303" s="72">
        <f>IF(B303&gt;0,IF(סקר!F441 = 0,1,סקר!F441),0)</f>
        <v>0</v>
      </c>
      <c r="I303" s="152">
        <f>סקר!G441</f>
        <v>0</v>
      </c>
      <c r="J303" s="152">
        <f>סקר!H441</f>
        <v>0</v>
      </c>
      <c r="K303" s="152" t="e">
        <f>IF(D303="","",VLOOKUP(D303,[1]TreeType!$A$2:$E$508,3,3))</f>
        <v>#N/A</v>
      </c>
      <c r="L303" s="152">
        <f>IF(D303&gt;0,IF(סקר!M441=0,1,IF(סקר!M441=0,1,סקר!M441)),0)</f>
        <v>0</v>
      </c>
      <c r="M303" s="152">
        <f>סקר!J441</f>
        <v>0</v>
      </c>
      <c r="N303" s="152">
        <f>IF(D303&gt;0,IF(סקר!K441=0,1,IF(סקר!K441=0,1,סקר!K441)),0)</f>
        <v>0</v>
      </c>
      <c r="O303" s="152" t="e">
        <f t="shared" si="7"/>
        <v>#N/A</v>
      </c>
      <c r="P303" s="152">
        <f>IF(B303&gt;0,IF(סקר!O441 &lt;=1,1,סקר!O441),0)</f>
        <v>0</v>
      </c>
      <c r="Q303" s="152">
        <f>סקר!P441</f>
        <v>0</v>
      </c>
      <c r="R303" s="152">
        <f>סקר!R441</f>
        <v>0</v>
      </c>
      <c r="S303" s="152">
        <f>סקר!BC441</f>
        <v>0</v>
      </c>
      <c r="T303" s="156"/>
    </row>
    <row r="304" spans="1:20">
      <c r="A304" s="152" t="str">
        <f>IF(סקר!D442&lt;2,"עץ","פוליגון")</f>
        <v>עץ</v>
      </c>
      <c r="B304" s="152">
        <f>סקר!B442</f>
        <v>0</v>
      </c>
      <c r="C304" s="152">
        <f>IF(סקר!D442&lt;2,1,סקר!D442)</f>
        <v>1</v>
      </c>
      <c r="D304" s="152">
        <f>סקר!C442</f>
        <v>0</v>
      </c>
      <c r="E304" s="152" t="str">
        <f>IFERROR(VLOOKUP(F304,[1]TreeType!$A:$E,5,0),"")</f>
        <v/>
      </c>
      <c r="F304" s="153" t="str">
        <f>IFERROR(VLOOKUP(D304,[1]TreeType!$A:$B,2,0),"")</f>
        <v/>
      </c>
      <c r="G304" s="72">
        <f>IF(B304&gt;0,IF(סקר!E442=0,1,סקר!E442),0)</f>
        <v>0</v>
      </c>
      <c r="H304" s="72">
        <f>IF(B304&gt;0,IF(סקר!F442 = 0,1,סקר!F442),0)</f>
        <v>0</v>
      </c>
      <c r="I304" s="152">
        <f>סקר!G442</f>
        <v>0</v>
      </c>
      <c r="J304" s="152">
        <f>סקר!H442</f>
        <v>0</v>
      </c>
      <c r="K304" s="152" t="e">
        <f>IF(D304="","",VLOOKUP(D304,[1]TreeType!$A$2:$E$508,3,3))</f>
        <v>#N/A</v>
      </c>
      <c r="L304" s="152">
        <f>IF(D304&gt;0,IF(סקר!M442=0,1,IF(סקר!M442=0,1,סקר!M442)),0)</f>
        <v>0</v>
      </c>
      <c r="M304" s="152">
        <f>סקר!J442</f>
        <v>0</v>
      </c>
      <c r="N304" s="152">
        <f>IF(D304&gt;0,IF(סקר!K442=0,1,IF(סקר!K442=0,1,סקר!K442)),0)</f>
        <v>0</v>
      </c>
      <c r="O304" s="152" t="e">
        <f t="shared" si="7"/>
        <v>#N/A</v>
      </c>
      <c r="P304" s="152">
        <f>IF(B304&gt;0,IF(סקר!O442 &lt;=1,1,סקר!O442),0)</f>
        <v>0</v>
      </c>
      <c r="Q304" s="152">
        <f>סקר!P442</f>
        <v>0</v>
      </c>
      <c r="R304" s="152">
        <f>סקר!R442</f>
        <v>0</v>
      </c>
      <c r="S304" s="152">
        <f>סקר!BC442</f>
        <v>0</v>
      </c>
      <c r="T304" s="156"/>
    </row>
    <row r="305" spans="1:20">
      <c r="A305" s="152" t="str">
        <f>IF(סקר!D443&lt;2,"עץ","פוליגון")</f>
        <v>עץ</v>
      </c>
      <c r="B305" s="152">
        <f>סקר!B443</f>
        <v>0</v>
      </c>
      <c r="C305" s="152">
        <f>IF(סקר!D443&lt;2,1,סקר!D443)</f>
        <v>1</v>
      </c>
      <c r="D305" s="152">
        <f>סקר!C443</f>
        <v>0</v>
      </c>
      <c r="E305" s="152" t="str">
        <f>IFERROR(VLOOKUP(F305,[1]TreeType!$A:$E,5,0),"")</f>
        <v/>
      </c>
      <c r="F305" s="153" t="str">
        <f>IFERROR(VLOOKUP(D305,[1]TreeType!$A:$B,2,0),"")</f>
        <v/>
      </c>
      <c r="G305" s="72">
        <f>IF(B305&gt;0,IF(סקר!E443=0,1,סקר!E443),0)</f>
        <v>0</v>
      </c>
      <c r="H305" s="72">
        <f>IF(B305&gt;0,IF(סקר!F443 = 0,1,סקר!F443),0)</f>
        <v>0</v>
      </c>
      <c r="I305" s="152">
        <f>סקר!G443</f>
        <v>0</v>
      </c>
      <c r="J305" s="152">
        <f>סקר!H443</f>
        <v>0</v>
      </c>
      <c r="K305" s="152" t="e">
        <f>IF(D305="","",VLOOKUP(D305,[1]TreeType!$A$2:$E$508,3,3))</f>
        <v>#N/A</v>
      </c>
      <c r="L305" s="152">
        <f>IF(D305&gt;0,IF(סקר!M443=0,1,IF(סקר!M443=0,1,סקר!M443)),0)</f>
        <v>0</v>
      </c>
      <c r="M305" s="152">
        <f>סקר!J443</f>
        <v>0</v>
      </c>
      <c r="N305" s="152">
        <f>IF(D305&gt;0,IF(סקר!K443=0,1,IF(סקר!K443=0,1,סקר!K443)),0)</f>
        <v>0</v>
      </c>
      <c r="O305" s="152" t="e">
        <f t="shared" si="7"/>
        <v>#N/A</v>
      </c>
      <c r="P305" s="152">
        <f>IF(B305&gt;0,IF(סקר!O443 &lt;=1,1,סקר!O443),0)</f>
        <v>0</v>
      </c>
      <c r="Q305" s="152">
        <f>סקר!P443</f>
        <v>0</v>
      </c>
      <c r="R305" s="152">
        <f>סקר!R443</f>
        <v>0</v>
      </c>
      <c r="S305" s="152">
        <f>סקר!BC443</f>
        <v>0</v>
      </c>
      <c r="T305" s="156"/>
    </row>
    <row r="306" spans="1:20">
      <c r="A306" s="152" t="str">
        <f>IF(סקר!D444&lt;2,"עץ","פוליגון")</f>
        <v>עץ</v>
      </c>
      <c r="B306" s="152">
        <f>סקר!B444</f>
        <v>0</v>
      </c>
      <c r="C306" s="152">
        <f>IF(סקר!D444&lt;2,1,סקר!D444)</f>
        <v>1</v>
      </c>
      <c r="D306" s="152">
        <f>סקר!C444</f>
        <v>0</v>
      </c>
      <c r="E306" s="152" t="str">
        <f>IFERROR(VLOOKUP(F306,[1]TreeType!$A:$E,5,0),"")</f>
        <v/>
      </c>
      <c r="F306" s="153" t="str">
        <f>IFERROR(VLOOKUP(D306,[1]TreeType!$A:$B,2,0),"")</f>
        <v/>
      </c>
      <c r="G306" s="72">
        <f>IF(B306&gt;0,IF(סקר!E444=0,1,סקר!E444),0)</f>
        <v>0</v>
      </c>
      <c r="H306" s="72">
        <f>IF(B306&gt;0,IF(סקר!F444 = 0,1,סקר!F444),0)</f>
        <v>0</v>
      </c>
      <c r="I306" s="152">
        <f>סקר!G444</f>
        <v>0</v>
      </c>
      <c r="J306" s="152">
        <f>סקר!H444</f>
        <v>0</v>
      </c>
      <c r="K306" s="152" t="e">
        <f>IF(D306="","",VLOOKUP(D306,[1]TreeType!$A$2:$E$508,3,3))</f>
        <v>#N/A</v>
      </c>
      <c r="L306" s="152">
        <f>IF(D306&gt;0,IF(סקר!M444=0,1,IF(סקר!M444=0,1,סקר!M444)),0)</f>
        <v>0</v>
      </c>
      <c r="M306" s="152">
        <f>סקר!J444</f>
        <v>0</v>
      </c>
      <c r="N306" s="152">
        <f>IF(D306&gt;0,IF(סקר!K444=0,1,IF(סקר!K444=0,1,סקר!K444)),0)</f>
        <v>0</v>
      </c>
      <c r="O306" s="152" t="e">
        <f t="shared" si="7"/>
        <v>#N/A</v>
      </c>
      <c r="P306" s="152">
        <f>IF(B306&gt;0,IF(סקר!O444 &lt;=1,1,סקר!O444),0)</f>
        <v>0</v>
      </c>
      <c r="Q306" s="152">
        <f>סקר!P444</f>
        <v>0</v>
      </c>
      <c r="R306" s="152">
        <f>סקר!R444</f>
        <v>0</v>
      </c>
      <c r="S306" s="152">
        <f>סקר!BC444</f>
        <v>0</v>
      </c>
      <c r="T306" s="156"/>
    </row>
    <row r="307" spans="1:20">
      <c r="A307" s="152" t="str">
        <f>IF(סקר!D445&lt;2,"עץ","פוליגון")</f>
        <v>עץ</v>
      </c>
      <c r="B307" s="152">
        <f>סקר!B445</f>
        <v>0</v>
      </c>
      <c r="C307" s="152">
        <f>IF(סקר!D445&lt;2,1,סקר!D445)</f>
        <v>1</v>
      </c>
      <c r="D307" s="152">
        <f>סקר!C445</f>
        <v>0</v>
      </c>
      <c r="E307" s="152" t="str">
        <f>IFERROR(VLOOKUP(F307,[1]TreeType!$A:$E,5,0),"")</f>
        <v/>
      </c>
      <c r="F307" s="153" t="str">
        <f>IFERROR(VLOOKUP(D307,[1]TreeType!$A:$B,2,0),"")</f>
        <v/>
      </c>
      <c r="G307" s="72">
        <f>IF(B307&gt;0,IF(סקר!E445=0,1,סקר!E445),0)</f>
        <v>0</v>
      </c>
      <c r="H307" s="72">
        <f>IF(B307&gt;0,IF(סקר!F445 = 0,1,סקר!F445),0)</f>
        <v>0</v>
      </c>
      <c r="I307" s="152">
        <f>סקר!G445</f>
        <v>0</v>
      </c>
      <c r="J307" s="152">
        <f>סקר!H445</f>
        <v>0</v>
      </c>
      <c r="K307" s="152" t="e">
        <f>IF(D307="","",VLOOKUP(D307,[1]TreeType!$A$2:$E$508,3,3))</f>
        <v>#N/A</v>
      </c>
      <c r="L307" s="152">
        <f>IF(D307&gt;0,IF(סקר!M445=0,1,IF(סקר!M445=0,1,סקר!M445)),0)</f>
        <v>0</v>
      </c>
      <c r="M307" s="152">
        <f>סקר!J445</f>
        <v>0</v>
      </c>
      <c r="N307" s="152">
        <f>IF(D307&gt;0,IF(סקר!K445=0,1,IF(סקר!K445=0,1,סקר!K445)),0)</f>
        <v>0</v>
      </c>
      <c r="O307" s="152" t="e">
        <f t="shared" si="7"/>
        <v>#N/A</v>
      </c>
      <c r="P307" s="152">
        <f>IF(B307&gt;0,IF(סקר!O445 &lt;=1,1,סקר!O445),0)</f>
        <v>0</v>
      </c>
      <c r="Q307" s="152">
        <f>סקר!P445</f>
        <v>0</v>
      </c>
      <c r="R307" s="152">
        <f>סקר!R445</f>
        <v>0</v>
      </c>
      <c r="S307" s="152">
        <f>סקר!BC445</f>
        <v>0</v>
      </c>
      <c r="T307" s="156"/>
    </row>
    <row r="308" spans="1:20">
      <c r="A308" s="152" t="str">
        <f>IF(סקר!D446&lt;2,"עץ","פוליגון")</f>
        <v>עץ</v>
      </c>
      <c r="B308" s="152">
        <f>סקר!B446</f>
        <v>0</v>
      </c>
      <c r="C308" s="152">
        <f>IF(סקר!D446&lt;2,1,סקר!D446)</f>
        <v>1</v>
      </c>
      <c r="D308" s="152">
        <f>סקר!C446</f>
        <v>0</v>
      </c>
      <c r="E308" s="152" t="str">
        <f>IFERROR(VLOOKUP(F308,[1]TreeType!$A:$E,5,0),"")</f>
        <v/>
      </c>
      <c r="F308" s="153" t="str">
        <f>IFERROR(VLOOKUP(D308,[1]TreeType!$A:$B,2,0),"")</f>
        <v/>
      </c>
      <c r="G308" s="72">
        <f>IF(B308&gt;0,IF(סקר!E446=0,1,סקר!E446),0)</f>
        <v>0</v>
      </c>
      <c r="H308" s="72">
        <f>IF(B308&gt;0,IF(סקר!F446 = 0,1,סקר!F446),0)</f>
        <v>0</v>
      </c>
      <c r="I308" s="152">
        <f>סקר!G446</f>
        <v>0</v>
      </c>
      <c r="J308" s="152">
        <f>סקר!H446</f>
        <v>0</v>
      </c>
      <c r="K308" s="152" t="e">
        <f>IF(D308="","",VLOOKUP(D308,[1]TreeType!$A$2:$E$508,3,3))</f>
        <v>#N/A</v>
      </c>
      <c r="L308" s="152">
        <f>IF(D308&gt;0,IF(סקר!M446=0,1,IF(סקר!M446=0,1,סקר!M446)),0)</f>
        <v>0</v>
      </c>
      <c r="M308" s="152">
        <f>סקר!J446</f>
        <v>0</v>
      </c>
      <c r="N308" s="152">
        <f>IF(D308&gt;0,IF(סקר!K446=0,1,IF(סקר!K446=0,1,סקר!K446)),0)</f>
        <v>0</v>
      </c>
      <c r="O308" s="152" t="e">
        <f t="shared" si="7"/>
        <v>#N/A</v>
      </c>
      <c r="P308" s="152">
        <f>IF(B308&gt;0,IF(סקר!O446 &lt;=1,1,סקר!O446),0)</f>
        <v>0</v>
      </c>
      <c r="Q308" s="152">
        <f>סקר!P446</f>
        <v>0</v>
      </c>
      <c r="R308" s="152">
        <f>סקר!R446</f>
        <v>0</v>
      </c>
      <c r="S308" s="152">
        <f>סקר!BC446</f>
        <v>0</v>
      </c>
      <c r="T308" s="156"/>
    </row>
    <row r="309" spans="1:20">
      <c r="A309" s="152" t="str">
        <f>IF(סקר!D447&lt;2,"עץ","פוליגון")</f>
        <v>עץ</v>
      </c>
      <c r="B309" s="152">
        <f>סקר!B447</f>
        <v>0</v>
      </c>
      <c r="C309" s="152">
        <f>IF(סקר!D447&lt;2,1,סקר!D447)</f>
        <v>1</v>
      </c>
      <c r="D309" s="152">
        <f>סקר!C447</f>
        <v>0</v>
      </c>
      <c r="E309" s="152" t="str">
        <f>IFERROR(VLOOKUP(F309,[1]TreeType!$A:$E,5,0),"")</f>
        <v/>
      </c>
      <c r="F309" s="153" t="str">
        <f>IFERROR(VLOOKUP(D309,[1]TreeType!$A:$B,2,0),"")</f>
        <v/>
      </c>
      <c r="G309" s="72">
        <f>IF(B309&gt;0,IF(סקר!E447=0,1,סקר!E447),0)</f>
        <v>0</v>
      </c>
      <c r="H309" s="72">
        <f>IF(B309&gt;0,IF(סקר!F447 = 0,1,סקר!F447),0)</f>
        <v>0</v>
      </c>
      <c r="I309" s="152">
        <f>סקר!G447</f>
        <v>0</v>
      </c>
      <c r="J309" s="152">
        <f>סקר!H447</f>
        <v>0</v>
      </c>
      <c r="K309" s="152" t="e">
        <f>IF(D309="","",VLOOKUP(D309,[1]TreeType!$A$2:$E$508,3,3))</f>
        <v>#N/A</v>
      </c>
      <c r="L309" s="152">
        <f>IF(D309&gt;0,IF(סקר!M447=0,1,IF(סקר!M447=0,1,סקר!M447)),0)</f>
        <v>0</v>
      </c>
      <c r="M309" s="152">
        <f>סקר!J447</f>
        <v>0</v>
      </c>
      <c r="N309" s="152">
        <f>IF(D309&gt;0,IF(סקר!K447=0,1,IF(סקר!K447=0,1,סקר!K447)),0)</f>
        <v>0</v>
      </c>
      <c r="O309" s="152" t="e">
        <f t="shared" si="7"/>
        <v>#N/A</v>
      </c>
      <c r="P309" s="152">
        <f>IF(B309&gt;0,IF(סקר!O447 &lt;=1,1,סקר!O447),0)</f>
        <v>0</v>
      </c>
      <c r="Q309" s="152">
        <f>סקר!P447</f>
        <v>0</v>
      </c>
      <c r="R309" s="152">
        <f>סקר!R447</f>
        <v>0</v>
      </c>
      <c r="S309" s="152">
        <f>סקר!BC447</f>
        <v>0</v>
      </c>
      <c r="T309" s="156"/>
    </row>
    <row r="310" spans="1:20">
      <c r="A310" s="152" t="str">
        <f>IF(סקר!D448&lt;2,"עץ","פוליגון")</f>
        <v>עץ</v>
      </c>
      <c r="B310" s="152">
        <f>סקר!B448</f>
        <v>0</v>
      </c>
      <c r="C310" s="152">
        <f>IF(סקר!D448&lt;2,1,סקר!D448)</f>
        <v>1</v>
      </c>
      <c r="D310" s="152">
        <f>סקר!C448</f>
        <v>0</v>
      </c>
      <c r="E310" s="152" t="str">
        <f>IFERROR(VLOOKUP(F310,[1]TreeType!$A:$E,5,0),"")</f>
        <v/>
      </c>
      <c r="F310" s="153" t="str">
        <f>IFERROR(VLOOKUP(D310,[1]TreeType!$A:$B,2,0),"")</f>
        <v/>
      </c>
      <c r="G310" s="72">
        <f>IF(B310&gt;0,IF(סקר!E448=0,1,סקר!E448),0)</f>
        <v>0</v>
      </c>
      <c r="H310" s="72">
        <f>IF(B310&gt;0,IF(סקר!F448 = 0,1,סקר!F448),0)</f>
        <v>0</v>
      </c>
      <c r="I310" s="152">
        <f>סקר!G448</f>
        <v>0</v>
      </c>
      <c r="J310" s="152">
        <f>סקר!H448</f>
        <v>0</v>
      </c>
      <c r="K310" s="152" t="e">
        <f>IF(D310="","",VLOOKUP(D310,[1]TreeType!$A$2:$E$508,3,3))</f>
        <v>#N/A</v>
      </c>
      <c r="L310" s="152">
        <f>IF(D310&gt;0,IF(סקר!M448=0,1,IF(סקר!M448=0,1,סקר!M448)),0)</f>
        <v>0</v>
      </c>
      <c r="M310" s="152">
        <f>סקר!J448</f>
        <v>0</v>
      </c>
      <c r="N310" s="152">
        <f>IF(D310&gt;0,IF(סקר!K448=0,1,IF(סקר!K448=0,1,סקר!K448)),0)</f>
        <v>0</v>
      </c>
      <c r="O310" s="152" t="e">
        <f t="shared" si="7"/>
        <v>#N/A</v>
      </c>
      <c r="P310" s="152">
        <f>IF(B310&gt;0,IF(סקר!O448 &lt;=1,1,סקר!O448),0)</f>
        <v>0</v>
      </c>
      <c r="Q310" s="152">
        <f>סקר!P448</f>
        <v>0</v>
      </c>
      <c r="R310" s="152">
        <f>סקר!R448</f>
        <v>0</v>
      </c>
      <c r="S310" s="152">
        <f>סקר!BC448</f>
        <v>0</v>
      </c>
      <c r="T310" s="156"/>
    </row>
    <row r="311" spans="1:20">
      <c r="A311" s="152" t="str">
        <f>IF(סקר!D449&lt;2,"עץ","פוליגון")</f>
        <v>עץ</v>
      </c>
      <c r="B311" s="152">
        <f>סקר!B449</f>
        <v>0</v>
      </c>
      <c r="C311" s="152">
        <f>IF(סקר!D449&lt;2,1,סקר!D449)</f>
        <v>1</v>
      </c>
      <c r="D311" s="152">
        <f>סקר!C449</f>
        <v>0</v>
      </c>
      <c r="E311" s="152" t="str">
        <f>IFERROR(VLOOKUP(F311,[1]TreeType!$A:$E,5,0),"")</f>
        <v/>
      </c>
      <c r="F311" s="153" t="str">
        <f>IFERROR(VLOOKUP(D311,[1]TreeType!$A:$B,2,0),"")</f>
        <v/>
      </c>
      <c r="G311" s="72">
        <f>IF(B311&gt;0,IF(סקר!E449=0,1,סקר!E449),0)</f>
        <v>0</v>
      </c>
      <c r="H311" s="72">
        <f>IF(B311&gt;0,IF(סקר!F449 = 0,1,סקר!F449),0)</f>
        <v>0</v>
      </c>
      <c r="I311" s="152">
        <f>סקר!G449</f>
        <v>0</v>
      </c>
      <c r="J311" s="152">
        <f>סקר!H449</f>
        <v>0</v>
      </c>
      <c r="K311" s="152" t="e">
        <f>IF(D311="","",VLOOKUP(D311,[1]TreeType!$A$2:$E$508,3,3))</f>
        <v>#N/A</v>
      </c>
      <c r="L311" s="152">
        <f>IF(D311&gt;0,IF(סקר!M449=0,1,IF(סקר!M449=0,1,סקר!M449)),0)</f>
        <v>0</v>
      </c>
      <c r="M311" s="152">
        <f>סקר!J449</f>
        <v>0</v>
      </c>
      <c r="N311" s="152">
        <f>IF(D311&gt;0,IF(סקר!K449=0,1,IF(סקר!K449=0,1,סקר!K449)),0)</f>
        <v>0</v>
      </c>
      <c r="O311" s="152" t="e">
        <f t="shared" si="7"/>
        <v>#N/A</v>
      </c>
      <c r="P311" s="152">
        <f>IF(B311&gt;0,IF(סקר!O449 &lt;=1,1,סקר!O449),0)</f>
        <v>0</v>
      </c>
      <c r="Q311" s="152">
        <f>סקר!P449</f>
        <v>0</v>
      </c>
      <c r="R311" s="152">
        <f>סקר!R449</f>
        <v>0</v>
      </c>
      <c r="S311" s="152">
        <f>סקר!BC449</f>
        <v>0</v>
      </c>
      <c r="T311" s="156"/>
    </row>
    <row r="312" spans="1:20">
      <c r="A312" s="152" t="str">
        <f>IF(סקר!D450&lt;2,"עץ","פוליגון")</f>
        <v>עץ</v>
      </c>
      <c r="B312" s="152">
        <f>סקר!B450</f>
        <v>0</v>
      </c>
      <c r="C312" s="152">
        <f>IF(סקר!D450&lt;2,1,סקר!D450)</f>
        <v>1</v>
      </c>
      <c r="D312" s="152">
        <f>סקר!C450</f>
        <v>0</v>
      </c>
      <c r="E312" s="152" t="str">
        <f>IFERROR(VLOOKUP(F312,[1]TreeType!$A:$E,5,0),"")</f>
        <v/>
      </c>
      <c r="F312" s="153" t="str">
        <f>IFERROR(VLOOKUP(D312,[1]TreeType!$A:$B,2,0),"")</f>
        <v/>
      </c>
      <c r="G312" s="72">
        <f>IF(B312&gt;0,IF(סקר!E450=0,1,סקר!E450),0)</f>
        <v>0</v>
      </c>
      <c r="H312" s="72">
        <f>IF(B312&gt;0,IF(סקר!F450 = 0,1,סקר!F450),0)</f>
        <v>0</v>
      </c>
      <c r="I312" s="152">
        <f>סקר!G450</f>
        <v>0</v>
      </c>
      <c r="J312" s="152">
        <f>סקר!H450</f>
        <v>0</v>
      </c>
      <c r="K312" s="152" t="e">
        <f>IF(D312="","",VLOOKUP(D312,[1]TreeType!$A$2:$E$508,3,3))</f>
        <v>#N/A</v>
      </c>
      <c r="L312" s="152">
        <f>IF(D312&gt;0,IF(סקר!M450=0,1,IF(סקר!M450=0,1,סקר!M450)),0)</f>
        <v>0</v>
      </c>
      <c r="M312" s="152">
        <f>סקר!J450</f>
        <v>0</v>
      </c>
      <c r="N312" s="152">
        <f>IF(D312&gt;0,IF(סקר!K450=0,1,IF(סקר!K450=0,1,סקר!K450)),0)</f>
        <v>0</v>
      </c>
      <c r="O312" s="152" t="e">
        <f t="shared" si="7"/>
        <v>#N/A</v>
      </c>
      <c r="P312" s="152">
        <f>IF(B312&gt;0,IF(סקר!O450 &lt;=1,1,סקר!O450),0)</f>
        <v>0</v>
      </c>
      <c r="Q312" s="152">
        <f>סקר!P450</f>
        <v>0</v>
      </c>
      <c r="R312" s="152">
        <f>סקר!R450</f>
        <v>0</v>
      </c>
      <c r="S312" s="152">
        <f>סקר!BC450</f>
        <v>0</v>
      </c>
      <c r="T312" s="156"/>
    </row>
    <row r="313" spans="1:20">
      <c r="A313" s="152" t="str">
        <f>IF(סקר!D451&lt;2,"עץ","פוליגון")</f>
        <v>עץ</v>
      </c>
      <c r="B313" s="152">
        <f>סקר!B451</f>
        <v>0</v>
      </c>
      <c r="C313" s="152">
        <f>IF(סקר!D451&lt;2,1,סקר!D451)</f>
        <v>1</v>
      </c>
      <c r="D313" s="152">
        <f>סקר!C451</f>
        <v>0</v>
      </c>
      <c r="E313" s="152" t="str">
        <f>IFERROR(VLOOKUP(F313,[1]TreeType!$A:$E,5,0),"")</f>
        <v/>
      </c>
      <c r="F313" s="153" t="str">
        <f>IFERROR(VLOOKUP(D313,[1]TreeType!$A:$B,2,0),"")</f>
        <v/>
      </c>
      <c r="G313" s="72">
        <f>IF(B313&gt;0,IF(סקר!E451=0,1,סקר!E451),0)</f>
        <v>0</v>
      </c>
      <c r="H313" s="72">
        <f>IF(B313&gt;0,IF(סקר!F451 = 0,1,סקר!F451),0)</f>
        <v>0</v>
      </c>
      <c r="I313" s="152">
        <f>סקר!G451</f>
        <v>0</v>
      </c>
      <c r="J313" s="152">
        <f>סקר!H451</f>
        <v>0</v>
      </c>
      <c r="K313" s="152" t="e">
        <f>IF(D313="","",VLOOKUP(D313,[1]TreeType!$A$2:$E$508,3,3))</f>
        <v>#N/A</v>
      </c>
      <c r="L313" s="152">
        <f>IF(D313&gt;0,IF(סקר!M451=0,1,IF(סקר!M451=0,1,סקר!M451)),0)</f>
        <v>0</v>
      </c>
      <c r="M313" s="152">
        <f>סקר!J451</f>
        <v>0</v>
      </c>
      <c r="N313" s="152">
        <f>IF(D313&gt;0,IF(סקר!K451=0,1,IF(סקר!K451=0,1,סקר!K451)),0)</f>
        <v>0</v>
      </c>
      <c r="O313" s="152" t="e">
        <f t="shared" si="7"/>
        <v>#N/A</v>
      </c>
      <c r="P313" s="152">
        <f>IF(B313&gt;0,IF(סקר!O451 &lt;=1,1,סקר!O451),0)</f>
        <v>0</v>
      </c>
      <c r="Q313" s="152">
        <f>סקר!P451</f>
        <v>0</v>
      </c>
      <c r="R313" s="152">
        <f>סקר!R451</f>
        <v>0</v>
      </c>
      <c r="S313" s="152">
        <f>סקר!BC451</f>
        <v>0</v>
      </c>
      <c r="T313" s="156"/>
    </row>
    <row r="314" spans="1:20">
      <c r="A314" s="152" t="str">
        <f>IF(סקר!D452&lt;2,"עץ","פוליגון")</f>
        <v>עץ</v>
      </c>
      <c r="B314" s="152">
        <f>סקר!B452</f>
        <v>0</v>
      </c>
      <c r="C314" s="152">
        <f>IF(סקר!D452&lt;2,1,סקר!D452)</f>
        <v>1</v>
      </c>
      <c r="D314" s="152">
        <f>סקר!C452</f>
        <v>0</v>
      </c>
      <c r="E314" s="152" t="str">
        <f>IFERROR(VLOOKUP(F314,[1]TreeType!$A:$E,5,0),"")</f>
        <v/>
      </c>
      <c r="F314" s="153" t="str">
        <f>IFERROR(VLOOKUP(D314,[1]TreeType!$A:$B,2,0),"")</f>
        <v/>
      </c>
      <c r="G314" s="72">
        <f>IF(B314&gt;0,IF(סקר!E452=0,1,סקר!E452),0)</f>
        <v>0</v>
      </c>
      <c r="H314" s="72">
        <f>IF(B314&gt;0,IF(סקר!F452 = 0,1,סקר!F452),0)</f>
        <v>0</v>
      </c>
      <c r="I314" s="152">
        <f>סקר!G452</f>
        <v>0</v>
      </c>
      <c r="J314" s="152">
        <f>סקר!H452</f>
        <v>0</v>
      </c>
      <c r="K314" s="152" t="e">
        <f>IF(D314="","",VLOOKUP(D314,[1]TreeType!$A$2:$E$508,3,3))</f>
        <v>#N/A</v>
      </c>
      <c r="L314" s="152">
        <f>IF(D314&gt;0,IF(סקר!M452=0,1,IF(סקר!M452=0,1,סקר!M452)),0)</f>
        <v>0</v>
      </c>
      <c r="M314" s="152">
        <f>סקר!J452</f>
        <v>0</v>
      </c>
      <c r="N314" s="152">
        <f>IF(D314&gt;0,IF(סקר!K452=0,1,IF(סקר!K452=0,1,סקר!K452)),0)</f>
        <v>0</v>
      </c>
      <c r="O314" s="152" t="e">
        <f t="shared" si="7"/>
        <v>#N/A</v>
      </c>
      <c r="P314" s="152">
        <f>IF(B314&gt;0,IF(סקר!O452 &lt;=1,1,סקר!O452),0)</f>
        <v>0</v>
      </c>
      <c r="Q314" s="152">
        <f>סקר!P452</f>
        <v>0</v>
      </c>
      <c r="R314" s="152">
        <f>סקר!R452</f>
        <v>0</v>
      </c>
      <c r="S314" s="152">
        <f>סקר!BC452</f>
        <v>0</v>
      </c>
      <c r="T314" s="156"/>
    </row>
    <row r="315" spans="1:20">
      <c r="A315" s="152" t="str">
        <f>IF(סקר!D467&lt;2,"עץ","פוליגון")</f>
        <v>עץ</v>
      </c>
      <c r="B315" s="152">
        <f>סקר!B467</f>
        <v>0</v>
      </c>
      <c r="C315" s="152">
        <f>IF(סקר!D467&lt;2,1,סקר!D467)</f>
        <v>1</v>
      </c>
      <c r="D315" s="152">
        <f>סקר!C467</f>
        <v>0</v>
      </c>
      <c r="E315" s="152" t="str">
        <f>IFERROR(VLOOKUP(F315,[1]TreeType!$A:$E,5,0),"")</f>
        <v/>
      </c>
      <c r="F315" s="153" t="str">
        <f>IFERROR(VLOOKUP(D315,[1]TreeType!$A:$B,2,0),"")</f>
        <v/>
      </c>
      <c r="G315" s="72">
        <f>IF(B315&gt;0,IF(סקר!E467=0,1,סקר!E467),0)</f>
        <v>0</v>
      </c>
      <c r="H315" s="72">
        <f>IF(B315&gt;0,IF(סקר!F467 = 0,1,סקר!F467),0)</f>
        <v>0</v>
      </c>
      <c r="I315" s="152">
        <f>סקר!G467</f>
        <v>0</v>
      </c>
      <c r="J315" s="152">
        <f>סקר!H467</f>
        <v>0</v>
      </c>
      <c r="K315" s="152" t="e">
        <f>IF(D315="","",VLOOKUP(D315,[1]TreeType!$A$2:$E$508,3,3))</f>
        <v>#N/A</v>
      </c>
      <c r="L315" s="152">
        <f>IF(D315&gt;0,IF(סקר!M467=0,1,IF(סקר!M467=0,1,סקר!M467)),0)</f>
        <v>0</v>
      </c>
      <c r="M315" s="152">
        <f>סקר!J467</f>
        <v>0</v>
      </c>
      <c r="N315" s="152">
        <f>IF(D315&gt;0,IF(סקר!K467=0,1,IF(סקר!K467=0,1,סקר!K467)),0)</f>
        <v>0</v>
      </c>
      <c r="O315" s="152" t="e">
        <f t="shared" ref="O315:O355" si="8">IF(SUM(K315:N315)=0,"",SUM(K315:N315))</f>
        <v>#N/A</v>
      </c>
      <c r="P315" s="152">
        <f>IF(B315&gt;0,IF(סקר!O467 &lt;=1,1,סקר!O467),0)</f>
        <v>0</v>
      </c>
      <c r="Q315" s="152">
        <f>סקר!P467</f>
        <v>0</v>
      </c>
      <c r="R315" s="152">
        <f>סקר!R467</f>
        <v>0</v>
      </c>
      <c r="S315" s="152">
        <f>סקר!BC467</f>
        <v>0</v>
      </c>
      <c r="T315" s="156"/>
    </row>
    <row r="316" spans="1:20">
      <c r="A316" s="152" t="str">
        <f>IF(סקר!D468&lt;2,"עץ","פוליגון")</f>
        <v>עץ</v>
      </c>
      <c r="B316" s="152">
        <f>סקר!B468</f>
        <v>0</v>
      </c>
      <c r="C316" s="152">
        <f>IF(סקר!D468&lt;2,1,סקר!D468)</f>
        <v>1</v>
      </c>
      <c r="D316" s="152">
        <f>סקר!C468</f>
        <v>0</v>
      </c>
      <c r="E316" s="152" t="str">
        <f>IFERROR(VLOOKUP(F316,[1]TreeType!$A:$E,5,0),"")</f>
        <v/>
      </c>
      <c r="F316" s="153" t="str">
        <f>IFERROR(VLOOKUP(D316,[1]TreeType!$A:$B,2,0),"")</f>
        <v/>
      </c>
      <c r="G316" s="72">
        <f>IF(B316&gt;0,IF(סקר!E468=0,1,סקר!E468),0)</f>
        <v>0</v>
      </c>
      <c r="H316" s="72">
        <f>IF(B316&gt;0,IF(סקר!F468 = 0,1,סקר!F468),0)</f>
        <v>0</v>
      </c>
      <c r="I316" s="152">
        <f>סקר!G468</f>
        <v>0</v>
      </c>
      <c r="J316" s="152">
        <f>סקר!H468</f>
        <v>0</v>
      </c>
      <c r="K316" s="152" t="e">
        <f>IF(D316="","",VLOOKUP(D316,[1]TreeType!$A$2:$E$508,3,3))</f>
        <v>#N/A</v>
      </c>
      <c r="L316" s="152">
        <f>IF(D316&gt;0,IF(סקר!M468=0,1,IF(סקר!M468=0,1,סקר!M468)),0)</f>
        <v>0</v>
      </c>
      <c r="M316" s="152">
        <f>סקר!J468</f>
        <v>0</v>
      </c>
      <c r="N316" s="152">
        <f>IF(D316&gt;0,IF(סקר!K468=0,1,IF(סקר!K468=0,1,סקר!K468)),0)</f>
        <v>0</v>
      </c>
      <c r="O316" s="152" t="e">
        <f t="shared" si="8"/>
        <v>#N/A</v>
      </c>
      <c r="P316" s="152">
        <f>IF(B316&gt;0,IF(סקר!O468 &lt;=1,1,סקר!O468),0)</f>
        <v>0</v>
      </c>
      <c r="Q316" s="152">
        <f>סקר!P468</f>
        <v>0</v>
      </c>
      <c r="R316" s="152">
        <f>סקר!R468</f>
        <v>0</v>
      </c>
      <c r="S316" s="152">
        <f>סקר!BC468</f>
        <v>0</v>
      </c>
      <c r="T316" s="156"/>
    </row>
    <row r="317" spans="1:20">
      <c r="A317" s="152" t="str">
        <f>IF(סקר!D469&lt;2,"עץ","פוליגון")</f>
        <v>עץ</v>
      </c>
      <c r="B317" s="152">
        <f>סקר!B469</f>
        <v>0</v>
      </c>
      <c r="C317" s="152">
        <f>IF(סקר!D469&lt;2,1,סקר!D469)</f>
        <v>1</v>
      </c>
      <c r="D317" s="152">
        <f>סקר!C469</f>
        <v>0</v>
      </c>
      <c r="E317" s="152" t="str">
        <f>IFERROR(VLOOKUP(F317,[1]TreeType!$A:$E,5,0),"")</f>
        <v/>
      </c>
      <c r="F317" s="153" t="str">
        <f>IFERROR(VLOOKUP(D317,[1]TreeType!$A:$B,2,0),"")</f>
        <v/>
      </c>
      <c r="G317" s="72">
        <f>IF(B317&gt;0,IF(סקר!E469=0,1,סקר!E469),0)</f>
        <v>0</v>
      </c>
      <c r="H317" s="72">
        <f>IF(B317&gt;0,IF(סקר!F469 = 0,1,סקר!F469),0)</f>
        <v>0</v>
      </c>
      <c r="I317" s="152">
        <f>סקר!G469</f>
        <v>0</v>
      </c>
      <c r="J317" s="152">
        <f>סקר!H469</f>
        <v>0</v>
      </c>
      <c r="K317" s="152" t="e">
        <f>IF(D317="","",VLOOKUP(D317,[1]TreeType!$A$2:$E$508,3,3))</f>
        <v>#N/A</v>
      </c>
      <c r="L317" s="152">
        <f>IF(D317&gt;0,IF(סקר!M469=0,1,IF(סקר!M469=0,1,סקר!M469)),0)</f>
        <v>0</v>
      </c>
      <c r="M317" s="152">
        <f>סקר!J469</f>
        <v>0</v>
      </c>
      <c r="N317" s="152">
        <f>IF(D317&gt;0,IF(סקר!K469=0,1,IF(סקר!K469=0,1,סקר!K469)),0)</f>
        <v>0</v>
      </c>
      <c r="O317" s="152" t="e">
        <f t="shared" si="8"/>
        <v>#N/A</v>
      </c>
      <c r="P317" s="152">
        <f>IF(B317&gt;0,IF(סקר!O469 &lt;=1,1,סקר!O469),0)</f>
        <v>0</v>
      </c>
      <c r="Q317" s="152">
        <f>סקר!P469</f>
        <v>0</v>
      </c>
      <c r="R317" s="152">
        <f>סקר!R469</f>
        <v>0</v>
      </c>
      <c r="S317" s="152">
        <f>סקר!BC469</f>
        <v>0</v>
      </c>
      <c r="T317" s="156"/>
    </row>
    <row r="318" spans="1:20">
      <c r="A318" s="152" t="str">
        <f>IF(סקר!D470&lt;2,"עץ","פוליגון")</f>
        <v>עץ</v>
      </c>
      <c r="B318" s="152">
        <f>סקר!B470</f>
        <v>0</v>
      </c>
      <c r="C318" s="152">
        <f>IF(סקר!D470&lt;2,1,סקר!D470)</f>
        <v>1</v>
      </c>
      <c r="D318" s="152">
        <f>סקר!C470</f>
        <v>0</v>
      </c>
      <c r="E318" s="152" t="str">
        <f>IFERROR(VLOOKUP(F318,[1]TreeType!$A:$E,5,0),"")</f>
        <v/>
      </c>
      <c r="F318" s="153" t="str">
        <f>IFERROR(VLOOKUP(D318,[1]TreeType!$A:$B,2,0),"")</f>
        <v/>
      </c>
      <c r="G318" s="72">
        <f>IF(B318&gt;0,IF(סקר!E470=0,1,סקר!E470),0)</f>
        <v>0</v>
      </c>
      <c r="H318" s="72">
        <f>IF(B318&gt;0,IF(סקר!F470 = 0,1,סקר!F470),0)</f>
        <v>0</v>
      </c>
      <c r="I318" s="152">
        <f>סקר!G470</f>
        <v>0</v>
      </c>
      <c r="J318" s="152">
        <f>סקר!H470</f>
        <v>0</v>
      </c>
      <c r="K318" s="152" t="e">
        <f>IF(D318="","",VLOOKUP(D318,[1]TreeType!$A$2:$E$508,3,3))</f>
        <v>#N/A</v>
      </c>
      <c r="L318" s="152">
        <f>IF(D318&gt;0,IF(סקר!M470=0,1,IF(סקר!M470=0,1,סקר!M470)),0)</f>
        <v>0</v>
      </c>
      <c r="M318" s="152">
        <f>סקר!J470</f>
        <v>0</v>
      </c>
      <c r="N318" s="152">
        <f>IF(D318&gt;0,IF(סקר!K470=0,1,IF(סקר!K470=0,1,סקר!K470)),0)</f>
        <v>0</v>
      </c>
      <c r="O318" s="152" t="e">
        <f t="shared" si="8"/>
        <v>#N/A</v>
      </c>
      <c r="P318" s="152">
        <f>IF(B318&gt;0,IF(סקר!O470 &lt;=1,1,סקר!O470),0)</f>
        <v>0</v>
      </c>
      <c r="Q318" s="152">
        <f>סקר!P470</f>
        <v>0</v>
      </c>
      <c r="R318" s="152">
        <f>סקר!R470</f>
        <v>0</v>
      </c>
      <c r="S318" s="152">
        <f>סקר!BC470</f>
        <v>0</v>
      </c>
      <c r="T318" s="156"/>
    </row>
    <row r="319" spans="1:20">
      <c r="A319" s="152" t="str">
        <f>IF(סקר!D471&lt;2,"עץ","פוליגון")</f>
        <v>עץ</v>
      </c>
      <c r="B319" s="152">
        <f>סקר!B471</f>
        <v>0</v>
      </c>
      <c r="C319" s="152">
        <f>IF(סקר!D471&lt;2,1,סקר!D471)</f>
        <v>1</v>
      </c>
      <c r="D319" s="152">
        <f>סקר!C471</f>
        <v>0</v>
      </c>
      <c r="E319" s="152" t="str">
        <f>IFERROR(VLOOKUP(F319,[1]TreeType!$A:$E,5,0),"")</f>
        <v/>
      </c>
      <c r="F319" s="153" t="str">
        <f>IFERROR(VLOOKUP(D319,[1]TreeType!$A:$B,2,0),"")</f>
        <v/>
      </c>
      <c r="G319" s="72">
        <f>IF(B319&gt;0,IF(סקר!E471=0,1,סקר!E471),0)</f>
        <v>0</v>
      </c>
      <c r="H319" s="72">
        <f>IF(B319&gt;0,IF(סקר!F471 = 0,1,סקר!F471),0)</f>
        <v>0</v>
      </c>
      <c r="I319" s="152">
        <f>סקר!G471</f>
        <v>0</v>
      </c>
      <c r="J319" s="152">
        <f>סקר!H471</f>
        <v>0</v>
      </c>
      <c r="K319" s="152" t="e">
        <f>IF(D319="","",VLOOKUP(D319,[1]TreeType!$A$2:$E$508,3,3))</f>
        <v>#N/A</v>
      </c>
      <c r="L319" s="152">
        <f>IF(D319&gt;0,IF(סקר!M471=0,1,IF(סקר!M471=0,1,סקר!M471)),0)</f>
        <v>0</v>
      </c>
      <c r="M319" s="152">
        <f>סקר!J471</f>
        <v>0</v>
      </c>
      <c r="N319" s="152">
        <f>IF(D319&gt;0,IF(סקר!K471=0,1,IF(סקר!K471=0,1,סקר!K471)),0)</f>
        <v>0</v>
      </c>
      <c r="O319" s="152" t="e">
        <f t="shared" si="8"/>
        <v>#N/A</v>
      </c>
      <c r="P319" s="152">
        <f>IF(B319&gt;0,IF(סקר!O471 &lt;=1,1,סקר!O471),0)</f>
        <v>0</v>
      </c>
      <c r="Q319" s="152">
        <f>סקר!P471</f>
        <v>0</v>
      </c>
      <c r="R319" s="152">
        <f>סקר!R471</f>
        <v>0</v>
      </c>
      <c r="S319" s="152">
        <f>סקר!BC471</f>
        <v>0</v>
      </c>
      <c r="T319" s="156"/>
    </row>
    <row r="320" spans="1:20">
      <c r="A320" s="152" t="str">
        <f>IF(סקר!D472&lt;2,"עץ","פוליגון")</f>
        <v>עץ</v>
      </c>
      <c r="B320" s="152">
        <f>סקר!B472</f>
        <v>0</v>
      </c>
      <c r="C320" s="152">
        <f>IF(סקר!D472&lt;2,1,סקר!D472)</f>
        <v>1</v>
      </c>
      <c r="D320" s="152">
        <f>סקר!C472</f>
        <v>0</v>
      </c>
      <c r="E320" s="152" t="str">
        <f>IFERROR(VLOOKUP(F320,[1]TreeType!$A:$E,5,0),"")</f>
        <v/>
      </c>
      <c r="F320" s="153" t="str">
        <f>IFERROR(VLOOKUP(D320,[1]TreeType!$A:$B,2,0),"")</f>
        <v/>
      </c>
      <c r="G320" s="72">
        <f>IF(B320&gt;0,IF(סקר!E472=0,1,סקר!E472),0)</f>
        <v>0</v>
      </c>
      <c r="H320" s="72">
        <f>IF(B320&gt;0,IF(סקר!F472 = 0,1,סקר!F472),0)</f>
        <v>0</v>
      </c>
      <c r="I320" s="152">
        <f>סקר!G472</f>
        <v>0</v>
      </c>
      <c r="J320" s="152">
        <f>סקר!H472</f>
        <v>0</v>
      </c>
      <c r="K320" s="152" t="e">
        <f>IF(D320="","",VLOOKUP(D320,[1]TreeType!$A$2:$E$508,3,3))</f>
        <v>#N/A</v>
      </c>
      <c r="L320" s="152">
        <f>IF(D320&gt;0,IF(סקר!M472=0,1,IF(סקר!M472=0,1,סקר!M472)),0)</f>
        <v>0</v>
      </c>
      <c r="M320" s="152">
        <f>סקר!J472</f>
        <v>0</v>
      </c>
      <c r="N320" s="152">
        <f>IF(D320&gt;0,IF(סקר!K472=0,1,IF(סקר!K472=0,1,סקר!K472)),0)</f>
        <v>0</v>
      </c>
      <c r="O320" s="152" t="e">
        <f t="shared" si="8"/>
        <v>#N/A</v>
      </c>
      <c r="P320" s="152">
        <f>IF(B320&gt;0,IF(סקר!O472 &lt;=1,1,סקר!O472),0)</f>
        <v>0</v>
      </c>
      <c r="Q320" s="152">
        <f>סקר!P472</f>
        <v>0</v>
      </c>
      <c r="R320" s="152">
        <f>סקר!R472</f>
        <v>0</v>
      </c>
      <c r="S320" s="152">
        <f>סקר!BC472</f>
        <v>0</v>
      </c>
      <c r="T320" s="156"/>
    </row>
    <row r="321" spans="1:20">
      <c r="A321" s="152" t="str">
        <f>IF(סקר!D473&lt;2,"עץ","פוליגון")</f>
        <v>עץ</v>
      </c>
      <c r="B321" s="152">
        <f>סקר!B473</f>
        <v>0</v>
      </c>
      <c r="C321" s="152">
        <f>IF(סקר!D473&lt;2,1,סקר!D473)</f>
        <v>1</v>
      </c>
      <c r="D321" s="152">
        <f>סקר!C473</f>
        <v>0</v>
      </c>
      <c r="E321" s="152" t="str">
        <f>IFERROR(VLOOKUP(F321,[1]TreeType!$A:$E,5,0),"")</f>
        <v/>
      </c>
      <c r="F321" s="153" t="str">
        <f>IFERROR(VLOOKUP(D321,[1]TreeType!$A:$B,2,0),"")</f>
        <v/>
      </c>
      <c r="G321" s="72">
        <f>IF(B321&gt;0,IF(סקר!E473=0,1,סקר!E473),0)</f>
        <v>0</v>
      </c>
      <c r="H321" s="72">
        <f>IF(B321&gt;0,IF(סקר!F473 = 0,1,סקר!F473),0)</f>
        <v>0</v>
      </c>
      <c r="I321" s="152">
        <f>סקר!G473</f>
        <v>0</v>
      </c>
      <c r="J321" s="152">
        <f>סקר!H473</f>
        <v>0</v>
      </c>
      <c r="K321" s="152" t="e">
        <f>IF(D321="","",VLOOKUP(D321,[1]TreeType!$A$2:$E$508,3,3))</f>
        <v>#N/A</v>
      </c>
      <c r="L321" s="152">
        <f>IF(D321&gt;0,IF(סקר!M473=0,1,IF(סקר!M473=0,1,סקר!M473)),0)</f>
        <v>0</v>
      </c>
      <c r="M321" s="152">
        <f>סקר!J473</f>
        <v>0</v>
      </c>
      <c r="N321" s="152">
        <f>IF(D321&gt;0,IF(סקר!K473=0,1,IF(סקר!K473=0,1,סקר!K473)),0)</f>
        <v>0</v>
      </c>
      <c r="O321" s="152" t="e">
        <f t="shared" si="8"/>
        <v>#N/A</v>
      </c>
      <c r="P321" s="152">
        <f>IF(B321&gt;0,IF(סקר!O473 &lt;=1,1,סקר!O473),0)</f>
        <v>0</v>
      </c>
      <c r="Q321" s="152">
        <f>סקר!P473</f>
        <v>0</v>
      </c>
      <c r="R321" s="152">
        <f>סקר!R473</f>
        <v>0</v>
      </c>
      <c r="S321" s="152">
        <f>סקר!BC473</f>
        <v>0</v>
      </c>
      <c r="T321" s="156"/>
    </row>
    <row r="322" spans="1:20">
      <c r="A322" s="152" t="str">
        <f>IF(סקר!D474&lt;2,"עץ","פוליגון")</f>
        <v>עץ</v>
      </c>
      <c r="B322" s="152">
        <f>סקר!B474</f>
        <v>0</v>
      </c>
      <c r="C322" s="152">
        <f>IF(סקר!D474&lt;2,1,סקר!D474)</f>
        <v>1</v>
      </c>
      <c r="D322" s="152">
        <f>סקר!C474</f>
        <v>0</v>
      </c>
      <c r="E322" s="152" t="str">
        <f>IFERROR(VLOOKUP(F322,[1]TreeType!$A:$E,5,0),"")</f>
        <v/>
      </c>
      <c r="F322" s="153" t="str">
        <f>IFERROR(VLOOKUP(D322,[1]TreeType!$A:$B,2,0),"")</f>
        <v/>
      </c>
      <c r="G322" s="72">
        <f>IF(B322&gt;0,IF(סקר!E474=0,1,סקר!E474),0)</f>
        <v>0</v>
      </c>
      <c r="H322" s="72">
        <f>IF(B322&gt;0,IF(סקר!F474 = 0,1,סקר!F474),0)</f>
        <v>0</v>
      </c>
      <c r="I322" s="152">
        <f>סקר!G474</f>
        <v>0</v>
      </c>
      <c r="J322" s="152">
        <f>סקר!H474</f>
        <v>0</v>
      </c>
      <c r="K322" s="152" t="e">
        <f>IF(D322="","",VLOOKUP(D322,[1]TreeType!$A$2:$E$508,3,3))</f>
        <v>#N/A</v>
      </c>
      <c r="L322" s="152">
        <f>IF(D322&gt;0,IF(סקר!M474=0,1,IF(סקר!M474=0,1,סקר!M474)),0)</f>
        <v>0</v>
      </c>
      <c r="M322" s="152">
        <f>סקר!J474</f>
        <v>0</v>
      </c>
      <c r="N322" s="152">
        <f>IF(D322&gt;0,IF(סקר!K474=0,1,IF(סקר!K474=0,1,סקר!K474)),0)</f>
        <v>0</v>
      </c>
      <c r="O322" s="152" t="e">
        <f t="shared" si="8"/>
        <v>#N/A</v>
      </c>
      <c r="P322" s="152">
        <f>IF(B322&gt;0,IF(סקר!O474 &lt;=1,1,סקר!O474),0)</f>
        <v>0</v>
      </c>
      <c r="Q322" s="152">
        <f>סקר!P474</f>
        <v>0</v>
      </c>
      <c r="R322" s="152">
        <f>סקר!R474</f>
        <v>0</v>
      </c>
      <c r="S322" s="152">
        <f>סקר!BC474</f>
        <v>0</v>
      </c>
      <c r="T322" s="156"/>
    </row>
    <row r="323" spans="1:20">
      <c r="A323" s="152" t="str">
        <f>IF(סקר!D475&lt;2,"עץ","פוליגון")</f>
        <v>עץ</v>
      </c>
      <c r="B323" s="152">
        <f>סקר!B475</f>
        <v>0</v>
      </c>
      <c r="C323" s="152">
        <f>IF(סקר!D475&lt;2,1,סקר!D475)</f>
        <v>1</v>
      </c>
      <c r="D323" s="152">
        <f>סקר!C475</f>
        <v>0</v>
      </c>
      <c r="E323" s="152" t="str">
        <f>IFERROR(VLOOKUP(F323,[1]TreeType!$A:$E,5,0),"")</f>
        <v/>
      </c>
      <c r="F323" s="153" t="str">
        <f>IFERROR(VLOOKUP(D323,[1]TreeType!$A:$B,2,0),"")</f>
        <v/>
      </c>
      <c r="G323" s="72">
        <f>IF(B323&gt;0,IF(סקר!E475=0,1,סקר!E475),0)</f>
        <v>0</v>
      </c>
      <c r="H323" s="72">
        <f>IF(B323&gt;0,IF(סקר!F475 = 0,1,סקר!F475),0)</f>
        <v>0</v>
      </c>
      <c r="I323" s="152">
        <f>סקר!G475</f>
        <v>0</v>
      </c>
      <c r="J323" s="152">
        <f>סקר!H475</f>
        <v>0</v>
      </c>
      <c r="K323" s="152" t="e">
        <f>IF(D323="","",VLOOKUP(D323,[1]TreeType!$A$2:$E$508,3,3))</f>
        <v>#N/A</v>
      </c>
      <c r="L323" s="152">
        <f>IF(D323&gt;0,IF(סקר!M475=0,1,IF(סקר!M475=0,1,סקר!M475)),0)</f>
        <v>0</v>
      </c>
      <c r="M323" s="152">
        <f>סקר!J475</f>
        <v>0</v>
      </c>
      <c r="N323" s="152">
        <f>IF(D323&gt;0,IF(סקר!K475=0,1,IF(סקר!K475=0,1,סקר!K475)),0)</f>
        <v>0</v>
      </c>
      <c r="O323" s="152" t="e">
        <f t="shared" si="8"/>
        <v>#N/A</v>
      </c>
      <c r="P323" s="152">
        <f>IF(B323&gt;0,IF(סקר!O475 &lt;=1,1,סקר!O475),0)</f>
        <v>0</v>
      </c>
      <c r="Q323" s="152">
        <f>סקר!P475</f>
        <v>0</v>
      </c>
      <c r="R323" s="152">
        <f>סקר!R475</f>
        <v>0</v>
      </c>
      <c r="S323" s="152">
        <f>סקר!BC475</f>
        <v>0</v>
      </c>
      <c r="T323" s="156"/>
    </row>
    <row r="324" spans="1:20">
      <c r="A324" s="152" t="str">
        <f>IF(סקר!D476&lt;2,"עץ","פוליגון")</f>
        <v>עץ</v>
      </c>
      <c r="B324" s="152">
        <f>סקר!B476</f>
        <v>0</v>
      </c>
      <c r="C324" s="152">
        <f>IF(סקר!D476&lt;2,1,סקר!D476)</f>
        <v>1</v>
      </c>
      <c r="D324" s="152">
        <f>סקר!C476</f>
        <v>0</v>
      </c>
      <c r="E324" s="152" t="str">
        <f>IFERROR(VLOOKUP(F324,[1]TreeType!$A:$E,5,0),"")</f>
        <v/>
      </c>
      <c r="F324" s="153" t="str">
        <f>IFERROR(VLOOKUP(D324,[1]TreeType!$A:$B,2,0),"")</f>
        <v/>
      </c>
      <c r="G324" s="72">
        <f>IF(B324&gt;0,IF(סקר!E476=0,1,סקר!E476),0)</f>
        <v>0</v>
      </c>
      <c r="H324" s="72">
        <f>IF(B324&gt;0,IF(סקר!F476 = 0,1,סקר!F476),0)</f>
        <v>0</v>
      </c>
      <c r="I324" s="152">
        <f>סקר!G476</f>
        <v>0</v>
      </c>
      <c r="J324" s="152">
        <f>סקר!H476</f>
        <v>0</v>
      </c>
      <c r="K324" s="152" t="e">
        <f>IF(D324="","",VLOOKUP(D324,[1]TreeType!$A$2:$E$508,3,3))</f>
        <v>#N/A</v>
      </c>
      <c r="L324" s="152">
        <f>IF(D324&gt;0,IF(סקר!M476=0,1,IF(סקר!M476=0,1,סקר!M476)),0)</f>
        <v>0</v>
      </c>
      <c r="M324" s="152">
        <f>סקר!J476</f>
        <v>0</v>
      </c>
      <c r="N324" s="152">
        <f>IF(D324&gt;0,IF(סקר!K476=0,1,IF(סקר!K476=0,1,סקר!K476)),0)</f>
        <v>0</v>
      </c>
      <c r="O324" s="152" t="e">
        <f t="shared" si="8"/>
        <v>#N/A</v>
      </c>
      <c r="P324" s="152">
        <f>IF(B324&gt;0,IF(סקר!O476 &lt;=1,1,סקר!O476),0)</f>
        <v>0</v>
      </c>
      <c r="Q324" s="152">
        <f>סקר!P476</f>
        <v>0</v>
      </c>
      <c r="R324" s="152">
        <f>סקר!R476</f>
        <v>0</v>
      </c>
      <c r="S324" s="152">
        <f>סקר!BC476</f>
        <v>0</v>
      </c>
      <c r="T324" s="156"/>
    </row>
    <row r="325" spans="1:20">
      <c r="A325" s="152" t="str">
        <f>IF(סקר!D477&lt;2,"עץ","פוליגון")</f>
        <v>עץ</v>
      </c>
      <c r="B325" s="152">
        <f>סקר!B477</f>
        <v>0</v>
      </c>
      <c r="C325" s="152">
        <f>IF(סקר!D477&lt;2,1,סקר!D477)</f>
        <v>1</v>
      </c>
      <c r="D325" s="152">
        <f>סקר!C477</f>
        <v>0</v>
      </c>
      <c r="E325" s="152" t="str">
        <f>IFERROR(VLOOKUP(F325,[1]TreeType!$A:$E,5,0),"")</f>
        <v/>
      </c>
      <c r="F325" s="153" t="str">
        <f>IFERROR(VLOOKUP(D325,[1]TreeType!$A:$B,2,0),"")</f>
        <v/>
      </c>
      <c r="G325" s="72">
        <f>IF(B325&gt;0,IF(סקר!E477=0,1,סקר!E477),0)</f>
        <v>0</v>
      </c>
      <c r="H325" s="72">
        <f>IF(B325&gt;0,IF(סקר!F477 = 0,1,סקר!F477),0)</f>
        <v>0</v>
      </c>
      <c r="I325" s="152">
        <f>סקר!G477</f>
        <v>0</v>
      </c>
      <c r="J325" s="152">
        <f>סקר!H477</f>
        <v>0</v>
      </c>
      <c r="K325" s="152" t="e">
        <f>IF(D325="","",VLOOKUP(D325,[1]TreeType!$A$2:$E$508,3,3))</f>
        <v>#N/A</v>
      </c>
      <c r="L325" s="152">
        <f>IF(D325&gt;0,IF(סקר!M477=0,1,IF(סקר!M477=0,1,סקר!M477)),0)</f>
        <v>0</v>
      </c>
      <c r="M325" s="152">
        <f>סקר!J477</f>
        <v>0</v>
      </c>
      <c r="N325" s="152">
        <f>IF(D325&gt;0,IF(סקר!K477=0,1,IF(סקר!K477=0,1,סקר!K477)),0)</f>
        <v>0</v>
      </c>
      <c r="O325" s="152" t="e">
        <f t="shared" si="8"/>
        <v>#N/A</v>
      </c>
      <c r="P325" s="152">
        <f>IF(B325&gt;0,IF(סקר!O477 &lt;=1,1,סקר!O477),0)</f>
        <v>0</v>
      </c>
      <c r="Q325" s="152">
        <f>סקר!P477</f>
        <v>0</v>
      </c>
      <c r="R325" s="152">
        <f>סקר!R477</f>
        <v>0</v>
      </c>
      <c r="S325" s="152">
        <f>סקר!BC477</f>
        <v>0</v>
      </c>
      <c r="T325" s="156"/>
    </row>
    <row r="326" spans="1:20">
      <c r="A326" s="152" t="str">
        <f>IF(סקר!D478&lt;2,"עץ","פוליגון")</f>
        <v>עץ</v>
      </c>
      <c r="B326" s="152">
        <f>סקר!B478</f>
        <v>0</v>
      </c>
      <c r="C326" s="152">
        <f>IF(סקר!D478&lt;2,1,סקר!D478)</f>
        <v>1</v>
      </c>
      <c r="D326" s="152">
        <f>סקר!C478</f>
        <v>0</v>
      </c>
      <c r="E326" s="152" t="str">
        <f>IFERROR(VLOOKUP(F326,[1]TreeType!$A:$E,5,0),"")</f>
        <v/>
      </c>
      <c r="F326" s="153" t="str">
        <f>IFERROR(VLOOKUP(D326,[1]TreeType!$A:$B,2,0),"")</f>
        <v/>
      </c>
      <c r="G326" s="72">
        <f>IF(B326&gt;0,IF(סקר!E478=0,1,סקר!E478),0)</f>
        <v>0</v>
      </c>
      <c r="H326" s="72">
        <f>IF(B326&gt;0,IF(סקר!F478 = 0,1,סקר!F478),0)</f>
        <v>0</v>
      </c>
      <c r="I326" s="152">
        <f>סקר!G478</f>
        <v>0</v>
      </c>
      <c r="J326" s="152">
        <f>סקר!H478</f>
        <v>0</v>
      </c>
      <c r="K326" s="152" t="e">
        <f>IF(D326="","",VLOOKUP(D326,[1]TreeType!$A$2:$E$508,3,3))</f>
        <v>#N/A</v>
      </c>
      <c r="L326" s="152">
        <f>IF(D326&gt;0,IF(סקר!M478=0,1,IF(סקר!M478=0,1,סקר!M478)),0)</f>
        <v>0</v>
      </c>
      <c r="M326" s="152">
        <f>סקר!J478</f>
        <v>0</v>
      </c>
      <c r="N326" s="152">
        <f>IF(D326&gt;0,IF(סקר!K478=0,1,IF(סקר!K478=0,1,סקר!K478)),0)</f>
        <v>0</v>
      </c>
      <c r="O326" s="152" t="e">
        <f t="shared" si="8"/>
        <v>#N/A</v>
      </c>
      <c r="P326" s="152">
        <f>IF(B326&gt;0,IF(סקר!O478 &lt;=1,1,סקר!O478),0)</f>
        <v>0</v>
      </c>
      <c r="Q326" s="152">
        <f>סקר!P478</f>
        <v>0</v>
      </c>
      <c r="R326" s="152">
        <f>סקר!R478</f>
        <v>0</v>
      </c>
      <c r="S326" s="152">
        <f>סקר!BC478</f>
        <v>0</v>
      </c>
      <c r="T326" s="156"/>
    </row>
    <row r="327" spans="1:20">
      <c r="A327" s="152" t="str">
        <f>IF(סקר!D479&lt;2,"עץ","פוליגון")</f>
        <v>עץ</v>
      </c>
      <c r="B327" s="152">
        <f>סקר!B479</f>
        <v>0</v>
      </c>
      <c r="C327" s="152">
        <f>IF(סקר!D479&lt;2,1,סקר!D479)</f>
        <v>1</v>
      </c>
      <c r="D327" s="152">
        <f>סקר!C479</f>
        <v>0</v>
      </c>
      <c r="E327" s="152" t="str">
        <f>IFERROR(VLOOKUP(F327,[1]TreeType!$A:$E,5,0),"")</f>
        <v/>
      </c>
      <c r="F327" s="153" t="str">
        <f>IFERROR(VLOOKUP(D327,[1]TreeType!$A:$B,2,0),"")</f>
        <v/>
      </c>
      <c r="G327" s="72">
        <f>IF(B327&gt;0,IF(סקר!E479=0,1,סקר!E479),0)</f>
        <v>0</v>
      </c>
      <c r="H327" s="72">
        <f>IF(B327&gt;0,IF(סקר!F479 = 0,1,סקר!F479),0)</f>
        <v>0</v>
      </c>
      <c r="I327" s="152">
        <f>סקר!G479</f>
        <v>0</v>
      </c>
      <c r="J327" s="152">
        <f>סקר!H479</f>
        <v>0</v>
      </c>
      <c r="K327" s="152" t="e">
        <f>IF(D327="","",VLOOKUP(D327,[1]TreeType!$A$2:$E$508,3,3))</f>
        <v>#N/A</v>
      </c>
      <c r="L327" s="152">
        <f>IF(D327&gt;0,IF(סקר!M479=0,1,IF(סקר!M479=0,1,סקר!M479)),0)</f>
        <v>0</v>
      </c>
      <c r="M327" s="152">
        <f>סקר!J479</f>
        <v>0</v>
      </c>
      <c r="N327" s="152">
        <f>IF(D327&gt;0,IF(סקר!K479=0,1,IF(סקר!K479=0,1,סקר!K479)),0)</f>
        <v>0</v>
      </c>
      <c r="O327" s="152" t="e">
        <f t="shared" si="8"/>
        <v>#N/A</v>
      </c>
      <c r="P327" s="152">
        <f>IF(B327&gt;0,IF(סקר!O479 &lt;=1,1,סקר!O479),0)</f>
        <v>0</v>
      </c>
      <c r="Q327" s="152">
        <f>סקר!P479</f>
        <v>0</v>
      </c>
      <c r="R327" s="152">
        <f>סקר!R479</f>
        <v>0</v>
      </c>
      <c r="S327" s="152">
        <f>סקר!BC479</f>
        <v>0</v>
      </c>
      <c r="T327" s="156"/>
    </row>
    <row r="328" spans="1:20">
      <c r="A328" s="152" t="str">
        <f>IF(סקר!D480&lt;2,"עץ","פוליגון")</f>
        <v>עץ</v>
      </c>
      <c r="B328" s="152">
        <f>סקר!B480</f>
        <v>0</v>
      </c>
      <c r="C328" s="152">
        <f>IF(סקר!D480&lt;2,1,סקר!D480)</f>
        <v>1</v>
      </c>
      <c r="D328" s="152">
        <f>סקר!C480</f>
        <v>0</v>
      </c>
      <c r="E328" s="152" t="str">
        <f>IFERROR(VLOOKUP(F328,[1]TreeType!$A:$E,5,0),"")</f>
        <v/>
      </c>
      <c r="F328" s="153" t="str">
        <f>IFERROR(VLOOKUP(D328,[1]TreeType!$A:$B,2,0),"")</f>
        <v/>
      </c>
      <c r="G328" s="72">
        <f>IF(B328&gt;0,IF(סקר!E480=0,1,סקר!E480),0)</f>
        <v>0</v>
      </c>
      <c r="H328" s="72">
        <f>IF(B328&gt;0,IF(סקר!F480 = 0,1,סקר!F480),0)</f>
        <v>0</v>
      </c>
      <c r="I328" s="152">
        <f>סקר!G480</f>
        <v>0</v>
      </c>
      <c r="J328" s="152">
        <f>סקר!H480</f>
        <v>0</v>
      </c>
      <c r="K328" s="152" t="e">
        <f>IF(D328="","",VLOOKUP(D328,[1]TreeType!$A$2:$E$508,3,3))</f>
        <v>#N/A</v>
      </c>
      <c r="L328" s="152">
        <f>IF(D328&gt;0,IF(סקר!M480=0,1,IF(סקר!M480=0,1,סקר!M480)),0)</f>
        <v>0</v>
      </c>
      <c r="M328" s="152">
        <f>סקר!J480</f>
        <v>0</v>
      </c>
      <c r="N328" s="152">
        <f>IF(D328&gt;0,IF(סקר!K480=0,1,IF(סקר!K480=0,1,סקר!K480)),0)</f>
        <v>0</v>
      </c>
      <c r="O328" s="152" t="e">
        <f t="shared" si="8"/>
        <v>#N/A</v>
      </c>
      <c r="P328" s="152">
        <f>IF(B328&gt;0,IF(סקר!O480 &lt;=1,1,סקר!O480),0)</f>
        <v>0</v>
      </c>
      <c r="Q328" s="152">
        <f>סקר!P480</f>
        <v>0</v>
      </c>
      <c r="R328" s="152">
        <f>סקר!R480</f>
        <v>0</v>
      </c>
      <c r="S328" s="152">
        <f>סקר!BC480</f>
        <v>0</v>
      </c>
      <c r="T328" s="156"/>
    </row>
    <row r="329" spans="1:20">
      <c r="A329" s="152" t="str">
        <f>IF(סקר!D481&lt;2,"עץ","פוליגון")</f>
        <v>עץ</v>
      </c>
      <c r="B329" s="152">
        <f>סקר!B481</f>
        <v>0</v>
      </c>
      <c r="C329" s="152">
        <f>IF(סקר!D481&lt;2,1,סקר!D481)</f>
        <v>1</v>
      </c>
      <c r="D329" s="152">
        <f>סקר!C481</f>
        <v>0</v>
      </c>
      <c r="E329" s="152" t="str">
        <f>IFERROR(VLOOKUP(F329,[1]TreeType!$A:$E,5,0),"")</f>
        <v/>
      </c>
      <c r="F329" s="153" t="str">
        <f>IFERROR(VLOOKUP(D329,[1]TreeType!$A:$B,2,0),"")</f>
        <v/>
      </c>
      <c r="G329" s="72">
        <f>IF(B329&gt;0,IF(סקר!E481=0,1,סקר!E481),0)</f>
        <v>0</v>
      </c>
      <c r="H329" s="72">
        <f>IF(B329&gt;0,IF(סקר!F481 = 0,1,סקר!F481),0)</f>
        <v>0</v>
      </c>
      <c r="I329" s="152">
        <f>סקר!G481</f>
        <v>0</v>
      </c>
      <c r="J329" s="152">
        <f>סקר!H481</f>
        <v>0</v>
      </c>
      <c r="K329" s="152" t="e">
        <f>IF(D329="","",VLOOKUP(D329,[1]TreeType!$A$2:$E$508,3,3))</f>
        <v>#N/A</v>
      </c>
      <c r="L329" s="152">
        <f>IF(D329&gt;0,IF(סקר!M481=0,1,IF(סקר!M481=0,1,סקר!M481)),0)</f>
        <v>0</v>
      </c>
      <c r="M329" s="152">
        <f>סקר!J481</f>
        <v>0</v>
      </c>
      <c r="N329" s="152">
        <f>IF(D329&gt;0,IF(סקר!K481=0,1,IF(סקר!K481=0,1,סקר!K481)),0)</f>
        <v>0</v>
      </c>
      <c r="O329" s="152" t="e">
        <f t="shared" si="8"/>
        <v>#N/A</v>
      </c>
      <c r="P329" s="152">
        <f>IF(B329&gt;0,IF(סקר!O481 &lt;=1,1,סקר!O481),0)</f>
        <v>0</v>
      </c>
      <c r="Q329" s="152">
        <f>סקר!P481</f>
        <v>0</v>
      </c>
      <c r="R329" s="152">
        <f>סקר!R481</f>
        <v>0</v>
      </c>
      <c r="S329" s="152">
        <f>סקר!BC481</f>
        <v>0</v>
      </c>
      <c r="T329" s="156"/>
    </row>
    <row r="330" spans="1:20">
      <c r="A330" s="152" t="str">
        <f>IF(סקר!D482&lt;2,"עץ","פוליגון")</f>
        <v>עץ</v>
      </c>
      <c r="B330" s="152">
        <f>סקר!B482</f>
        <v>0</v>
      </c>
      <c r="C330" s="152">
        <f>IF(סקר!D482&lt;2,1,סקר!D482)</f>
        <v>1</v>
      </c>
      <c r="D330" s="152">
        <f>סקר!C482</f>
        <v>0</v>
      </c>
      <c r="E330" s="152" t="str">
        <f>IFERROR(VLOOKUP(F330,[1]TreeType!$A:$E,5,0),"")</f>
        <v/>
      </c>
      <c r="F330" s="153" t="str">
        <f>IFERROR(VLOOKUP(D330,[1]TreeType!$A:$B,2,0),"")</f>
        <v/>
      </c>
      <c r="G330" s="72">
        <f>IF(B330&gt;0,IF(סקר!E482=0,1,סקר!E482),0)</f>
        <v>0</v>
      </c>
      <c r="H330" s="72">
        <f>IF(B330&gt;0,IF(סקר!F482 = 0,1,סקר!F482),0)</f>
        <v>0</v>
      </c>
      <c r="I330" s="152">
        <f>סקר!G482</f>
        <v>0</v>
      </c>
      <c r="J330" s="152">
        <f>סקר!H482</f>
        <v>0</v>
      </c>
      <c r="K330" s="152" t="e">
        <f>IF(D330="","",VLOOKUP(D330,[1]TreeType!$A$2:$E$508,3,3))</f>
        <v>#N/A</v>
      </c>
      <c r="L330" s="152">
        <f>IF(D330&gt;0,IF(סקר!M482=0,1,IF(סקר!M482=0,1,סקר!M482)),0)</f>
        <v>0</v>
      </c>
      <c r="M330" s="152">
        <f>סקר!J482</f>
        <v>0</v>
      </c>
      <c r="N330" s="152">
        <f>IF(D330&gt;0,IF(סקר!K482=0,1,IF(סקר!K482=0,1,סקר!K482)),0)</f>
        <v>0</v>
      </c>
      <c r="O330" s="152" t="e">
        <f t="shared" si="8"/>
        <v>#N/A</v>
      </c>
      <c r="P330" s="152">
        <f>IF(B330&gt;0,IF(סקר!O482 &lt;=1,1,סקר!O482),0)</f>
        <v>0</v>
      </c>
      <c r="Q330" s="152">
        <f>סקר!P482</f>
        <v>0</v>
      </c>
      <c r="R330" s="152">
        <f>סקר!R482</f>
        <v>0</v>
      </c>
      <c r="S330" s="152">
        <f>סקר!BC482</f>
        <v>0</v>
      </c>
      <c r="T330" s="156"/>
    </row>
    <row r="331" spans="1:20">
      <c r="A331" s="152" t="str">
        <f>IF(סקר!D483&lt;2,"עץ","פוליגון")</f>
        <v>עץ</v>
      </c>
      <c r="B331" s="152">
        <f>סקר!B483</f>
        <v>0</v>
      </c>
      <c r="C331" s="152">
        <f>IF(סקר!D483&lt;2,1,סקר!D483)</f>
        <v>1</v>
      </c>
      <c r="D331" s="152">
        <f>סקר!C483</f>
        <v>0</v>
      </c>
      <c r="E331" s="152" t="str">
        <f>IFERROR(VLOOKUP(F331,[1]TreeType!$A:$E,5,0),"")</f>
        <v/>
      </c>
      <c r="F331" s="153" t="str">
        <f>IFERROR(VLOOKUP(D331,[1]TreeType!$A:$B,2,0),"")</f>
        <v/>
      </c>
      <c r="G331" s="72">
        <f>IF(B331&gt;0,IF(סקר!E483=0,1,סקר!E483),0)</f>
        <v>0</v>
      </c>
      <c r="H331" s="72">
        <f>IF(B331&gt;0,IF(סקר!F483 = 0,1,סקר!F483),0)</f>
        <v>0</v>
      </c>
      <c r="I331" s="152">
        <f>סקר!G483</f>
        <v>0</v>
      </c>
      <c r="J331" s="152">
        <f>סקר!H483</f>
        <v>0</v>
      </c>
      <c r="K331" s="152" t="e">
        <f>IF(D331="","",VLOOKUP(D331,[1]TreeType!$A$2:$E$508,3,3))</f>
        <v>#N/A</v>
      </c>
      <c r="L331" s="152">
        <f>IF(D331&gt;0,IF(סקר!M483=0,1,IF(סקר!M483=0,1,סקר!M483)),0)</f>
        <v>0</v>
      </c>
      <c r="M331" s="152">
        <f>סקר!J483</f>
        <v>0</v>
      </c>
      <c r="N331" s="152">
        <f>IF(D331&gt;0,IF(סקר!K483=0,1,IF(סקר!K483=0,1,סקר!K483)),0)</f>
        <v>0</v>
      </c>
      <c r="O331" s="152" t="e">
        <f t="shared" si="8"/>
        <v>#N/A</v>
      </c>
      <c r="P331" s="152">
        <f>IF(B331&gt;0,IF(סקר!O483 &lt;=1,1,סקר!O483),0)</f>
        <v>0</v>
      </c>
      <c r="Q331" s="152">
        <f>סקר!P483</f>
        <v>0</v>
      </c>
      <c r="R331" s="152">
        <f>סקר!R483</f>
        <v>0</v>
      </c>
      <c r="S331" s="152">
        <f>סקר!BC483</f>
        <v>0</v>
      </c>
      <c r="T331" s="156"/>
    </row>
    <row r="332" spans="1:20">
      <c r="A332" s="152" t="str">
        <f>IF(סקר!D484&lt;2,"עץ","פוליגון")</f>
        <v>עץ</v>
      </c>
      <c r="B332" s="152">
        <f>סקר!B484</f>
        <v>0</v>
      </c>
      <c r="C332" s="152">
        <f>IF(סקר!D484&lt;2,1,סקר!D484)</f>
        <v>1</v>
      </c>
      <c r="D332" s="152">
        <f>סקר!C484</f>
        <v>0</v>
      </c>
      <c r="E332" s="152" t="str">
        <f>IFERROR(VLOOKUP(F332,[1]TreeType!$A:$E,5,0),"")</f>
        <v/>
      </c>
      <c r="F332" s="153" t="str">
        <f>IFERROR(VLOOKUP(D332,[1]TreeType!$A:$B,2,0),"")</f>
        <v/>
      </c>
      <c r="G332" s="72">
        <f>IF(B332&gt;0,IF(סקר!E484=0,1,סקר!E484),0)</f>
        <v>0</v>
      </c>
      <c r="H332" s="72">
        <f>IF(B332&gt;0,IF(סקר!F484 = 0,1,סקר!F484),0)</f>
        <v>0</v>
      </c>
      <c r="I332" s="152">
        <f>סקר!G484</f>
        <v>0</v>
      </c>
      <c r="J332" s="152">
        <f>סקר!H484</f>
        <v>0</v>
      </c>
      <c r="K332" s="152" t="e">
        <f>IF(D332="","",VLOOKUP(D332,[1]TreeType!$A$2:$E$508,3,3))</f>
        <v>#N/A</v>
      </c>
      <c r="L332" s="152">
        <f>IF(D332&gt;0,IF(סקר!M484=0,1,IF(סקר!M484=0,1,סקר!M484)),0)</f>
        <v>0</v>
      </c>
      <c r="M332" s="152">
        <f>סקר!J484</f>
        <v>0</v>
      </c>
      <c r="N332" s="152">
        <f>IF(D332&gt;0,IF(סקר!K484=0,1,IF(סקר!K484=0,1,סקר!K484)),0)</f>
        <v>0</v>
      </c>
      <c r="O332" s="152" t="e">
        <f t="shared" si="8"/>
        <v>#N/A</v>
      </c>
      <c r="P332" s="152">
        <f>IF(B332&gt;0,IF(סקר!O484 &lt;=1,1,סקר!O484),0)</f>
        <v>0</v>
      </c>
      <c r="Q332" s="152">
        <f>סקר!P484</f>
        <v>0</v>
      </c>
      <c r="R332" s="152">
        <f>סקר!R484</f>
        <v>0</v>
      </c>
      <c r="S332" s="152">
        <f>סקר!BC484</f>
        <v>0</v>
      </c>
      <c r="T332" s="156"/>
    </row>
    <row r="333" spans="1:20">
      <c r="A333" s="152" t="str">
        <f>IF(סקר!D485&lt;2,"עץ","פוליגון")</f>
        <v>עץ</v>
      </c>
      <c r="B333" s="152">
        <f>סקר!B485</f>
        <v>0</v>
      </c>
      <c r="C333" s="152">
        <f>IF(סקר!D485&lt;2,1,סקר!D485)</f>
        <v>1</v>
      </c>
      <c r="D333" s="152">
        <f>סקר!C485</f>
        <v>0</v>
      </c>
      <c r="E333" s="152" t="str">
        <f>IFERROR(VLOOKUP(F333,[1]TreeType!$A:$E,5,0),"")</f>
        <v/>
      </c>
      <c r="F333" s="153" t="str">
        <f>IFERROR(VLOOKUP(D333,[1]TreeType!$A:$B,2,0),"")</f>
        <v/>
      </c>
      <c r="G333" s="72">
        <f>IF(B333&gt;0,IF(סקר!E485=0,1,סקר!E485),0)</f>
        <v>0</v>
      </c>
      <c r="H333" s="72">
        <f>IF(B333&gt;0,IF(סקר!F485 = 0,1,סקר!F485),0)</f>
        <v>0</v>
      </c>
      <c r="I333" s="152">
        <f>סקר!G485</f>
        <v>0</v>
      </c>
      <c r="J333" s="152">
        <f>סקר!H485</f>
        <v>0</v>
      </c>
      <c r="K333" s="152" t="e">
        <f>IF(D333="","",VLOOKUP(D333,[1]TreeType!$A$2:$E$508,3,3))</f>
        <v>#N/A</v>
      </c>
      <c r="L333" s="152">
        <f>IF(D333&gt;0,IF(סקר!M485=0,1,IF(סקר!M485=0,1,סקר!M485)),0)</f>
        <v>0</v>
      </c>
      <c r="M333" s="152">
        <f>סקר!J485</f>
        <v>0</v>
      </c>
      <c r="N333" s="152">
        <f>IF(D333&gt;0,IF(סקר!K485=0,1,IF(סקר!K485=0,1,סקר!K485)),0)</f>
        <v>0</v>
      </c>
      <c r="O333" s="152" t="e">
        <f t="shared" si="8"/>
        <v>#N/A</v>
      </c>
      <c r="P333" s="152">
        <f>IF(B333&gt;0,IF(סקר!O485 &lt;=1,1,סקר!O485),0)</f>
        <v>0</v>
      </c>
      <c r="Q333" s="152">
        <f>סקר!P485</f>
        <v>0</v>
      </c>
      <c r="R333" s="152">
        <f>סקר!R485</f>
        <v>0</v>
      </c>
      <c r="S333" s="152">
        <f>סקר!BC485</f>
        <v>0</v>
      </c>
      <c r="T333" s="156"/>
    </row>
    <row r="334" spans="1:20">
      <c r="A334" s="152" t="str">
        <f>IF(סקר!D486&lt;2,"עץ","פוליגון")</f>
        <v>עץ</v>
      </c>
      <c r="B334" s="152">
        <f>סקר!B486</f>
        <v>0</v>
      </c>
      <c r="C334" s="152">
        <f>IF(סקר!D486&lt;2,1,סקר!D486)</f>
        <v>1</v>
      </c>
      <c r="D334" s="152">
        <f>סקר!C486</f>
        <v>0</v>
      </c>
      <c r="E334" s="152" t="str">
        <f>IFERROR(VLOOKUP(F334,[1]TreeType!$A:$E,5,0),"")</f>
        <v/>
      </c>
      <c r="F334" s="153" t="str">
        <f>IFERROR(VLOOKUP(D334,[1]TreeType!$A:$B,2,0),"")</f>
        <v/>
      </c>
      <c r="G334" s="72">
        <f>IF(B334&gt;0,IF(סקר!E486=0,1,סקר!E486),0)</f>
        <v>0</v>
      </c>
      <c r="H334" s="72">
        <f>IF(B334&gt;0,IF(סקר!F486 = 0,1,סקר!F486),0)</f>
        <v>0</v>
      </c>
      <c r="I334" s="152">
        <f>סקר!G486</f>
        <v>0</v>
      </c>
      <c r="J334" s="152">
        <f>סקר!H486</f>
        <v>0</v>
      </c>
      <c r="K334" s="152" t="e">
        <f>IF(D334="","",VLOOKUP(D334,[1]TreeType!$A$2:$E$508,3,3))</f>
        <v>#N/A</v>
      </c>
      <c r="L334" s="152">
        <f>IF(D334&gt;0,IF(סקר!M486=0,1,IF(סקר!M486=0,1,סקר!M486)),0)</f>
        <v>0</v>
      </c>
      <c r="M334" s="152">
        <f>סקר!J486</f>
        <v>0</v>
      </c>
      <c r="N334" s="152">
        <f>IF(D334&gt;0,IF(סקר!K486=0,1,IF(סקר!K486=0,1,סקר!K486)),0)</f>
        <v>0</v>
      </c>
      <c r="O334" s="152" t="e">
        <f t="shared" si="8"/>
        <v>#N/A</v>
      </c>
      <c r="P334" s="152">
        <f>IF(B334&gt;0,IF(סקר!O486 &lt;=1,1,סקר!O486),0)</f>
        <v>0</v>
      </c>
      <c r="Q334" s="152">
        <f>סקר!P486</f>
        <v>0</v>
      </c>
      <c r="R334" s="152">
        <f>סקר!R486</f>
        <v>0</v>
      </c>
      <c r="S334" s="152">
        <f>סקר!BC486</f>
        <v>0</v>
      </c>
      <c r="T334" s="156"/>
    </row>
    <row r="335" spans="1:20">
      <c r="A335" s="152" t="str">
        <f>IF(סקר!D487&lt;2,"עץ","פוליגון")</f>
        <v>עץ</v>
      </c>
      <c r="B335" s="152">
        <f>סקר!B487</f>
        <v>0</v>
      </c>
      <c r="C335" s="152">
        <f>IF(סקר!D487&lt;2,1,סקר!D487)</f>
        <v>1</v>
      </c>
      <c r="D335" s="152">
        <f>סקר!C487</f>
        <v>0</v>
      </c>
      <c r="E335" s="152" t="str">
        <f>IFERROR(VLOOKUP(F335,[1]TreeType!$A:$E,5,0),"")</f>
        <v/>
      </c>
      <c r="F335" s="153" t="str">
        <f>IFERROR(VLOOKUP(D335,[1]TreeType!$A:$B,2,0),"")</f>
        <v/>
      </c>
      <c r="G335" s="72">
        <f>IF(B335&gt;0,IF(סקר!E487=0,1,סקר!E487),0)</f>
        <v>0</v>
      </c>
      <c r="H335" s="72">
        <f>IF(B335&gt;0,IF(סקר!F487 = 0,1,סקר!F487),0)</f>
        <v>0</v>
      </c>
      <c r="I335" s="152">
        <f>סקר!G487</f>
        <v>0</v>
      </c>
      <c r="J335" s="152">
        <f>סקר!H487</f>
        <v>0</v>
      </c>
      <c r="K335" s="152" t="e">
        <f>IF(D335="","",VLOOKUP(D335,[1]TreeType!$A$2:$E$508,3,3))</f>
        <v>#N/A</v>
      </c>
      <c r="L335" s="152">
        <f>IF(D335&gt;0,IF(סקר!M487=0,1,IF(סקר!M487=0,1,סקר!M487)),0)</f>
        <v>0</v>
      </c>
      <c r="M335" s="152">
        <f>סקר!J487</f>
        <v>0</v>
      </c>
      <c r="N335" s="152">
        <f>IF(D335&gt;0,IF(סקר!K487=0,1,IF(סקר!K487=0,1,סקר!K487)),0)</f>
        <v>0</v>
      </c>
      <c r="O335" s="152" t="e">
        <f t="shared" si="8"/>
        <v>#N/A</v>
      </c>
      <c r="P335" s="152">
        <f>IF(B335&gt;0,IF(סקר!O487 &lt;=1,1,סקר!O487),0)</f>
        <v>0</v>
      </c>
      <c r="Q335" s="152">
        <f>סקר!P487</f>
        <v>0</v>
      </c>
      <c r="R335" s="152">
        <f>סקר!R487</f>
        <v>0</v>
      </c>
      <c r="S335" s="152">
        <f>סקר!BC487</f>
        <v>0</v>
      </c>
      <c r="T335" s="156"/>
    </row>
    <row r="336" spans="1:20">
      <c r="A336" s="152" t="str">
        <f>IF(סקר!D488&lt;2,"עץ","פוליגון")</f>
        <v>עץ</v>
      </c>
      <c r="B336" s="152">
        <f>סקר!B488</f>
        <v>0</v>
      </c>
      <c r="C336" s="152">
        <f>IF(סקר!D488&lt;2,1,סקר!D488)</f>
        <v>1</v>
      </c>
      <c r="D336" s="152">
        <f>סקר!C488</f>
        <v>0</v>
      </c>
      <c r="E336" s="152" t="str">
        <f>IFERROR(VLOOKUP(F336,[1]TreeType!$A:$E,5,0),"")</f>
        <v/>
      </c>
      <c r="F336" s="153" t="str">
        <f>IFERROR(VLOOKUP(D336,[1]TreeType!$A:$B,2,0),"")</f>
        <v/>
      </c>
      <c r="G336" s="72">
        <f>IF(B336&gt;0,IF(סקר!E488=0,1,סקר!E488),0)</f>
        <v>0</v>
      </c>
      <c r="H336" s="72">
        <f>IF(B336&gt;0,IF(סקר!F488 = 0,1,סקר!F488),0)</f>
        <v>0</v>
      </c>
      <c r="I336" s="152">
        <f>סקר!G488</f>
        <v>0</v>
      </c>
      <c r="J336" s="152">
        <f>סקר!H488</f>
        <v>0</v>
      </c>
      <c r="K336" s="152" t="e">
        <f>IF(D336="","",VLOOKUP(D336,[1]TreeType!$A$2:$E$508,3,3))</f>
        <v>#N/A</v>
      </c>
      <c r="L336" s="152">
        <f>IF(D336&gt;0,IF(סקר!M488=0,1,IF(סקר!M488=0,1,סקר!M488)),0)</f>
        <v>0</v>
      </c>
      <c r="M336" s="152">
        <f>סקר!J488</f>
        <v>0</v>
      </c>
      <c r="N336" s="152">
        <f>IF(D336&gt;0,IF(סקר!K488=0,1,IF(סקר!K488=0,1,סקר!K488)),0)</f>
        <v>0</v>
      </c>
      <c r="O336" s="152" t="e">
        <f t="shared" si="8"/>
        <v>#N/A</v>
      </c>
      <c r="P336" s="152">
        <f>IF(B336&gt;0,IF(סקר!O488 &lt;=1,1,סקר!O488),0)</f>
        <v>0</v>
      </c>
      <c r="Q336" s="152">
        <f>סקר!P488</f>
        <v>0</v>
      </c>
      <c r="R336" s="152">
        <f>סקר!R488</f>
        <v>0</v>
      </c>
      <c r="S336" s="152">
        <f>סקר!BC488</f>
        <v>0</v>
      </c>
      <c r="T336" s="156"/>
    </row>
    <row r="337" spans="1:20">
      <c r="A337" s="152" t="str">
        <f>IF(סקר!D489&lt;2,"עץ","פוליגון")</f>
        <v>עץ</v>
      </c>
      <c r="B337" s="152">
        <f>סקר!B489</f>
        <v>0</v>
      </c>
      <c r="C337" s="152">
        <f>IF(סקר!D489&lt;2,1,סקר!D489)</f>
        <v>1</v>
      </c>
      <c r="D337" s="152">
        <f>סקר!C489</f>
        <v>0</v>
      </c>
      <c r="E337" s="152" t="str">
        <f>IFERROR(VLOOKUP(F337,[1]TreeType!$A:$E,5,0),"")</f>
        <v/>
      </c>
      <c r="F337" s="153" t="str">
        <f>IFERROR(VLOOKUP(D337,[1]TreeType!$A:$B,2,0),"")</f>
        <v/>
      </c>
      <c r="G337" s="72">
        <f>IF(B337&gt;0,IF(סקר!E489=0,1,סקר!E489),0)</f>
        <v>0</v>
      </c>
      <c r="H337" s="72">
        <f>IF(B337&gt;0,IF(סקר!F489 = 0,1,סקר!F489),0)</f>
        <v>0</v>
      </c>
      <c r="I337" s="152">
        <f>סקר!G489</f>
        <v>0</v>
      </c>
      <c r="J337" s="152">
        <f>סקר!H489</f>
        <v>0</v>
      </c>
      <c r="K337" s="152" t="e">
        <f>IF(D337="","",VLOOKUP(D337,[1]TreeType!$A$2:$E$508,3,3))</f>
        <v>#N/A</v>
      </c>
      <c r="L337" s="152">
        <f>IF(D337&gt;0,IF(סקר!M489=0,1,IF(סקר!M489=0,1,סקר!M489)),0)</f>
        <v>0</v>
      </c>
      <c r="M337" s="152">
        <f>סקר!J489</f>
        <v>0</v>
      </c>
      <c r="N337" s="152">
        <f>IF(D337&gt;0,IF(סקר!K489=0,1,IF(סקר!K489=0,1,סקר!K489)),0)</f>
        <v>0</v>
      </c>
      <c r="O337" s="152" t="e">
        <f t="shared" si="8"/>
        <v>#N/A</v>
      </c>
      <c r="P337" s="152">
        <f>IF(B337&gt;0,IF(סקר!O489 &lt;=1,1,סקר!O489),0)</f>
        <v>0</v>
      </c>
      <c r="Q337" s="152">
        <f>סקר!P489</f>
        <v>0</v>
      </c>
      <c r="R337" s="152">
        <f>סקר!R489</f>
        <v>0</v>
      </c>
      <c r="S337" s="152">
        <f>סקר!BC489</f>
        <v>0</v>
      </c>
      <c r="T337" s="156"/>
    </row>
    <row r="338" spans="1:20">
      <c r="A338" s="152" t="str">
        <f>IF(סקר!D490&lt;2,"עץ","פוליגון")</f>
        <v>עץ</v>
      </c>
      <c r="B338" s="152">
        <f>סקר!B490</f>
        <v>0</v>
      </c>
      <c r="C338" s="152">
        <f>IF(סקר!D490&lt;2,1,סקר!D490)</f>
        <v>1</v>
      </c>
      <c r="D338" s="152">
        <f>סקר!C490</f>
        <v>0</v>
      </c>
      <c r="E338" s="152" t="str">
        <f>IFERROR(VLOOKUP(F338,[1]TreeType!$A:$E,5,0),"")</f>
        <v/>
      </c>
      <c r="F338" s="153" t="str">
        <f>IFERROR(VLOOKUP(D338,[1]TreeType!$A:$B,2,0),"")</f>
        <v/>
      </c>
      <c r="G338" s="72">
        <f>IF(B338&gt;0,IF(סקר!E490=0,1,סקר!E490),0)</f>
        <v>0</v>
      </c>
      <c r="H338" s="72">
        <f>IF(B338&gt;0,IF(סקר!F490 = 0,1,סקר!F490),0)</f>
        <v>0</v>
      </c>
      <c r="I338" s="152">
        <f>סקר!G490</f>
        <v>0</v>
      </c>
      <c r="J338" s="152">
        <f>סקר!H490</f>
        <v>0</v>
      </c>
      <c r="K338" s="152" t="e">
        <f>IF(D338="","",VLOOKUP(D338,[1]TreeType!$A$2:$E$508,3,3))</f>
        <v>#N/A</v>
      </c>
      <c r="L338" s="152">
        <f>IF(D338&gt;0,IF(סקר!M490=0,1,IF(סקר!M490=0,1,סקר!M490)),0)</f>
        <v>0</v>
      </c>
      <c r="M338" s="152">
        <f>סקר!J490</f>
        <v>0</v>
      </c>
      <c r="N338" s="152">
        <f>IF(D338&gt;0,IF(סקר!K490=0,1,IF(סקר!K490=0,1,סקר!K490)),0)</f>
        <v>0</v>
      </c>
      <c r="O338" s="152" t="e">
        <f t="shared" si="8"/>
        <v>#N/A</v>
      </c>
      <c r="P338" s="152">
        <f>IF(B338&gt;0,IF(סקר!O490 &lt;=1,1,סקר!O490),0)</f>
        <v>0</v>
      </c>
      <c r="Q338" s="152">
        <f>סקר!P490</f>
        <v>0</v>
      </c>
      <c r="R338" s="152">
        <f>סקר!R490</f>
        <v>0</v>
      </c>
      <c r="S338" s="152">
        <f>סקר!BC490</f>
        <v>0</v>
      </c>
      <c r="T338" s="156"/>
    </row>
    <row r="339" spans="1:20">
      <c r="A339" s="152" t="str">
        <f>IF(סקר!D491&lt;2,"עץ","פוליגון")</f>
        <v>עץ</v>
      </c>
      <c r="B339" s="152">
        <f>סקר!B491</f>
        <v>0</v>
      </c>
      <c r="C339" s="152">
        <f>IF(סקר!D491&lt;2,1,סקר!D491)</f>
        <v>1</v>
      </c>
      <c r="D339" s="152">
        <f>סקר!C491</f>
        <v>0</v>
      </c>
      <c r="E339" s="152" t="str">
        <f>IFERROR(VLOOKUP(F339,[1]TreeType!$A:$E,5,0),"")</f>
        <v/>
      </c>
      <c r="F339" s="153" t="str">
        <f>IFERROR(VLOOKUP(D339,[1]TreeType!$A:$B,2,0),"")</f>
        <v/>
      </c>
      <c r="G339" s="72">
        <f>IF(B339&gt;0,IF(סקר!E491=0,1,סקר!E491),0)</f>
        <v>0</v>
      </c>
      <c r="H339" s="72">
        <f>IF(B339&gt;0,IF(סקר!F491 = 0,1,סקר!F491),0)</f>
        <v>0</v>
      </c>
      <c r="I339" s="152">
        <f>סקר!G491</f>
        <v>0</v>
      </c>
      <c r="J339" s="152">
        <f>סקר!H491</f>
        <v>0</v>
      </c>
      <c r="K339" s="152" t="e">
        <f>IF(D339="","",VLOOKUP(D339,[1]TreeType!$A$2:$E$508,3,3))</f>
        <v>#N/A</v>
      </c>
      <c r="L339" s="152">
        <f>IF(D339&gt;0,IF(סקר!M491=0,1,IF(סקר!M491=0,1,סקר!M491)),0)</f>
        <v>0</v>
      </c>
      <c r="M339" s="152">
        <f>סקר!J491</f>
        <v>0</v>
      </c>
      <c r="N339" s="152">
        <f>IF(D339&gt;0,IF(סקר!K491=0,1,IF(סקר!K491=0,1,סקר!K491)),0)</f>
        <v>0</v>
      </c>
      <c r="O339" s="152" t="e">
        <f t="shared" si="8"/>
        <v>#N/A</v>
      </c>
      <c r="P339" s="152">
        <f>IF(B339&gt;0,IF(סקר!O491 &lt;=1,1,סקר!O491),0)</f>
        <v>0</v>
      </c>
      <c r="Q339" s="152">
        <f>סקר!P491</f>
        <v>0</v>
      </c>
      <c r="R339" s="152">
        <f>סקר!R491</f>
        <v>0</v>
      </c>
      <c r="S339" s="152">
        <f>סקר!BC491</f>
        <v>0</v>
      </c>
      <c r="T339" s="156"/>
    </row>
    <row r="340" spans="1:20">
      <c r="A340" s="152" t="str">
        <f>IF(סקר!D492&lt;2,"עץ","פוליגון")</f>
        <v>עץ</v>
      </c>
      <c r="B340" s="152">
        <f>סקר!B492</f>
        <v>0</v>
      </c>
      <c r="C340" s="152">
        <f>IF(סקר!D492&lt;2,1,סקר!D492)</f>
        <v>1</v>
      </c>
      <c r="D340" s="152">
        <f>סקר!C492</f>
        <v>0</v>
      </c>
      <c r="E340" s="152" t="str">
        <f>IFERROR(VLOOKUP(F340,[1]TreeType!$A:$E,5,0),"")</f>
        <v/>
      </c>
      <c r="F340" s="153" t="str">
        <f>IFERROR(VLOOKUP(D340,[1]TreeType!$A:$B,2,0),"")</f>
        <v/>
      </c>
      <c r="G340" s="72">
        <f>IF(B340&gt;0,IF(סקר!E492=0,1,סקר!E492),0)</f>
        <v>0</v>
      </c>
      <c r="H340" s="72">
        <f>IF(B340&gt;0,IF(סקר!F492 = 0,1,סקר!F492),0)</f>
        <v>0</v>
      </c>
      <c r="I340" s="152">
        <f>סקר!G492</f>
        <v>0</v>
      </c>
      <c r="J340" s="152">
        <f>סקר!H492</f>
        <v>0</v>
      </c>
      <c r="K340" s="152" t="e">
        <f>IF(D340="","",VLOOKUP(D340,[1]TreeType!$A$2:$E$508,3,3))</f>
        <v>#N/A</v>
      </c>
      <c r="L340" s="152">
        <f>IF(D340&gt;0,IF(סקר!M492=0,1,IF(סקר!M492=0,1,סקר!M492)),0)</f>
        <v>0</v>
      </c>
      <c r="M340" s="152">
        <f>סקר!J492</f>
        <v>0</v>
      </c>
      <c r="N340" s="152">
        <f>IF(D340&gt;0,IF(סקר!K492=0,1,IF(סקר!K492=0,1,סקר!K492)),0)</f>
        <v>0</v>
      </c>
      <c r="O340" s="152" t="e">
        <f t="shared" si="8"/>
        <v>#N/A</v>
      </c>
      <c r="P340" s="152">
        <f>IF(B340&gt;0,IF(סקר!O492 &lt;=1,1,סקר!O492),0)</f>
        <v>0</v>
      </c>
      <c r="Q340" s="152">
        <f>סקר!P492</f>
        <v>0</v>
      </c>
      <c r="R340" s="152">
        <f>סקר!R492</f>
        <v>0</v>
      </c>
      <c r="S340" s="152">
        <f>סקר!BC492</f>
        <v>0</v>
      </c>
      <c r="T340" s="156"/>
    </row>
    <row r="341" spans="1:20">
      <c r="A341" s="152" t="str">
        <f>IF(סקר!D493&lt;2,"עץ","פוליגון")</f>
        <v>עץ</v>
      </c>
      <c r="B341" s="152">
        <f>סקר!B493</f>
        <v>0</v>
      </c>
      <c r="C341" s="152">
        <f>IF(סקר!D493&lt;2,1,סקר!D493)</f>
        <v>1</v>
      </c>
      <c r="D341" s="152">
        <f>סקר!C493</f>
        <v>0</v>
      </c>
      <c r="E341" s="152" t="str">
        <f>IFERROR(VLOOKUP(F341,[1]TreeType!$A:$E,5,0),"")</f>
        <v/>
      </c>
      <c r="F341" s="153" t="str">
        <f>IFERROR(VLOOKUP(D341,[1]TreeType!$A:$B,2,0),"")</f>
        <v/>
      </c>
      <c r="G341" s="72">
        <f>IF(B341&gt;0,IF(סקר!E493=0,1,סקר!E493),0)</f>
        <v>0</v>
      </c>
      <c r="H341" s="72">
        <f>IF(B341&gt;0,IF(סקר!F493 = 0,1,סקר!F493),0)</f>
        <v>0</v>
      </c>
      <c r="I341" s="152">
        <f>סקר!G493</f>
        <v>0</v>
      </c>
      <c r="J341" s="152">
        <f>סקר!H493</f>
        <v>0</v>
      </c>
      <c r="K341" s="152" t="e">
        <f>IF(D341="","",VLOOKUP(D341,[1]TreeType!$A$2:$E$508,3,3))</f>
        <v>#N/A</v>
      </c>
      <c r="L341" s="152">
        <f>IF(D341&gt;0,IF(סקר!M493=0,1,IF(סקר!M493=0,1,סקר!M493)),0)</f>
        <v>0</v>
      </c>
      <c r="M341" s="152">
        <f>סקר!J493</f>
        <v>0</v>
      </c>
      <c r="N341" s="152">
        <f>IF(D341&gt;0,IF(סקר!K493=0,1,IF(סקר!K493=0,1,סקר!K493)),0)</f>
        <v>0</v>
      </c>
      <c r="O341" s="152" t="e">
        <f t="shared" si="8"/>
        <v>#N/A</v>
      </c>
      <c r="P341" s="152">
        <f>IF(B341&gt;0,IF(סקר!O493 &lt;=1,1,סקר!O493),0)</f>
        <v>0</v>
      </c>
      <c r="Q341" s="152">
        <f>סקר!P493</f>
        <v>0</v>
      </c>
      <c r="R341" s="152">
        <f>סקר!R493</f>
        <v>0</v>
      </c>
      <c r="S341" s="152">
        <f>סקר!BC493</f>
        <v>0</v>
      </c>
      <c r="T341" s="156"/>
    </row>
    <row r="342" spans="1:20">
      <c r="A342" s="152" t="str">
        <f>IF(סקר!D494&lt;2,"עץ","פוליגון")</f>
        <v>עץ</v>
      </c>
      <c r="B342" s="152">
        <f>סקר!B494</f>
        <v>0</v>
      </c>
      <c r="C342" s="152">
        <f>IF(סקר!D494&lt;2,1,סקר!D494)</f>
        <v>1</v>
      </c>
      <c r="D342" s="152">
        <f>סקר!C494</f>
        <v>0</v>
      </c>
      <c r="E342" s="152" t="str">
        <f>IFERROR(VLOOKUP(F342,[1]TreeType!$A:$E,5,0),"")</f>
        <v/>
      </c>
      <c r="F342" s="153" t="str">
        <f>IFERROR(VLOOKUP(D342,[1]TreeType!$A:$B,2,0),"")</f>
        <v/>
      </c>
      <c r="G342" s="72">
        <f>IF(B342&gt;0,IF(סקר!E494=0,1,סקר!E494),0)</f>
        <v>0</v>
      </c>
      <c r="H342" s="72">
        <f>IF(B342&gt;0,IF(סקר!F494 = 0,1,סקר!F494),0)</f>
        <v>0</v>
      </c>
      <c r="I342" s="152">
        <f>סקר!G494</f>
        <v>0</v>
      </c>
      <c r="J342" s="152">
        <f>סקר!H494</f>
        <v>0</v>
      </c>
      <c r="K342" s="152" t="e">
        <f>IF(D342="","",VLOOKUP(D342,[1]TreeType!$A$2:$E$508,3,3))</f>
        <v>#N/A</v>
      </c>
      <c r="L342" s="152">
        <f>IF(D342&gt;0,IF(סקר!M494=0,1,IF(סקר!M494=0,1,סקר!M494)),0)</f>
        <v>0</v>
      </c>
      <c r="M342" s="152">
        <f>סקר!J494</f>
        <v>0</v>
      </c>
      <c r="N342" s="152">
        <f>IF(D342&gt;0,IF(סקר!K494=0,1,IF(סקר!K494=0,1,סקר!K494)),0)</f>
        <v>0</v>
      </c>
      <c r="O342" s="152" t="e">
        <f t="shared" si="8"/>
        <v>#N/A</v>
      </c>
      <c r="P342" s="152">
        <f>IF(B342&gt;0,IF(סקר!O494 &lt;=1,1,סקר!O494),0)</f>
        <v>0</v>
      </c>
      <c r="Q342" s="152">
        <f>סקר!P494</f>
        <v>0</v>
      </c>
      <c r="R342" s="152">
        <f>סקר!R494</f>
        <v>0</v>
      </c>
      <c r="S342" s="152">
        <f>סקר!BC494</f>
        <v>0</v>
      </c>
      <c r="T342" s="156"/>
    </row>
    <row r="343" spans="1:20">
      <c r="A343" s="152" t="str">
        <f>IF(סקר!D495&lt;2,"עץ","פוליגון")</f>
        <v>עץ</v>
      </c>
      <c r="B343" s="152">
        <f>סקר!B495</f>
        <v>0</v>
      </c>
      <c r="C343" s="152">
        <f>IF(סקר!D495&lt;2,1,סקר!D495)</f>
        <v>1</v>
      </c>
      <c r="D343" s="152">
        <f>סקר!C495</f>
        <v>0</v>
      </c>
      <c r="E343" s="152" t="str">
        <f>IFERROR(VLOOKUP(F343,[1]TreeType!$A:$E,5,0),"")</f>
        <v/>
      </c>
      <c r="F343" s="153" t="str">
        <f>IFERROR(VLOOKUP(D343,[1]TreeType!$A:$B,2,0),"")</f>
        <v/>
      </c>
      <c r="G343" s="72">
        <f>IF(B343&gt;0,IF(סקר!E495=0,1,סקר!E495),0)</f>
        <v>0</v>
      </c>
      <c r="H343" s="72">
        <f>IF(B343&gt;0,IF(סקר!F495 = 0,1,סקר!F495),0)</f>
        <v>0</v>
      </c>
      <c r="I343" s="152">
        <f>סקר!G495</f>
        <v>0</v>
      </c>
      <c r="J343" s="152">
        <f>סקר!H495</f>
        <v>0</v>
      </c>
      <c r="K343" s="152" t="e">
        <f>IF(D343="","",VLOOKUP(D343,[1]TreeType!$A$2:$E$508,3,3))</f>
        <v>#N/A</v>
      </c>
      <c r="L343" s="152">
        <f>IF(D343&gt;0,IF(סקר!M495=0,1,IF(סקר!M495=0,1,סקר!M495)),0)</f>
        <v>0</v>
      </c>
      <c r="M343" s="152">
        <f>סקר!J495</f>
        <v>0</v>
      </c>
      <c r="N343" s="152">
        <f>IF(D343&gt;0,IF(סקר!K495=0,1,IF(סקר!K495=0,1,סקר!K495)),0)</f>
        <v>0</v>
      </c>
      <c r="O343" s="152" t="e">
        <f t="shared" si="8"/>
        <v>#N/A</v>
      </c>
      <c r="P343" s="152">
        <f>IF(B343&gt;0,IF(סקר!O495 &lt;=1,1,סקר!O495),0)</f>
        <v>0</v>
      </c>
      <c r="Q343" s="152">
        <f>סקר!P495</f>
        <v>0</v>
      </c>
      <c r="R343" s="152">
        <f>סקר!R495</f>
        <v>0</v>
      </c>
      <c r="S343" s="152">
        <f>סקר!BC495</f>
        <v>0</v>
      </c>
      <c r="T343" s="156"/>
    </row>
    <row r="344" spans="1:20">
      <c r="A344" s="152" t="str">
        <f>IF(סקר!D496&lt;2,"עץ","פוליגון")</f>
        <v>עץ</v>
      </c>
      <c r="B344" s="152">
        <f>סקר!B496</f>
        <v>0</v>
      </c>
      <c r="C344" s="152">
        <f>IF(סקר!D496&lt;2,1,סקר!D496)</f>
        <v>1</v>
      </c>
      <c r="D344" s="152">
        <f>סקר!C496</f>
        <v>0</v>
      </c>
      <c r="E344" s="152" t="str">
        <f>IFERROR(VLOOKUP(F344,[1]TreeType!$A:$E,5,0),"")</f>
        <v/>
      </c>
      <c r="F344" s="153" t="str">
        <f>IFERROR(VLOOKUP(D344,[1]TreeType!$A:$B,2,0),"")</f>
        <v/>
      </c>
      <c r="G344" s="72">
        <f>IF(B344&gt;0,IF(סקר!E496=0,1,סקר!E496),0)</f>
        <v>0</v>
      </c>
      <c r="H344" s="72">
        <f>IF(B344&gt;0,IF(סקר!F496 = 0,1,סקר!F496),0)</f>
        <v>0</v>
      </c>
      <c r="I344" s="152">
        <f>סקר!G496</f>
        <v>0</v>
      </c>
      <c r="J344" s="152">
        <f>סקר!H496</f>
        <v>0</v>
      </c>
      <c r="K344" s="152" t="e">
        <f>IF(D344="","",VLOOKUP(D344,[1]TreeType!$A$2:$E$508,3,3))</f>
        <v>#N/A</v>
      </c>
      <c r="L344" s="152">
        <f>IF(D344&gt;0,IF(סקר!M496=0,1,IF(סקר!M496=0,1,סקר!M496)),0)</f>
        <v>0</v>
      </c>
      <c r="M344" s="152">
        <f>סקר!J496</f>
        <v>0</v>
      </c>
      <c r="N344" s="152">
        <f>IF(D344&gt;0,IF(סקר!K496=0,1,IF(סקר!K496=0,1,סקר!K496)),0)</f>
        <v>0</v>
      </c>
      <c r="O344" s="152" t="e">
        <f t="shared" si="8"/>
        <v>#N/A</v>
      </c>
      <c r="P344" s="152">
        <f>IF(B344&gt;0,IF(סקר!O496 &lt;=1,1,סקר!O496),0)</f>
        <v>0</v>
      </c>
      <c r="Q344" s="152">
        <f>סקר!P496</f>
        <v>0</v>
      </c>
      <c r="R344" s="152">
        <f>סקר!R496</f>
        <v>0</v>
      </c>
      <c r="S344" s="152">
        <f>סקר!BC496</f>
        <v>0</v>
      </c>
      <c r="T344" s="156"/>
    </row>
    <row r="345" spans="1:20">
      <c r="A345" s="152" t="str">
        <f>IF(סקר!D497&lt;2,"עץ","פוליגון")</f>
        <v>עץ</v>
      </c>
      <c r="B345" s="152">
        <f>סקר!B497</f>
        <v>0</v>
      </c>
      <c r="C345" s="152">
        <f>IF(סקר!D497&lt;2,1,סקר!D497)</f>
        <v>1</v>
      </c>
      <c r="D345" s="152">
        <f>סקר!C497</f>
        <v>0</v>
      </c>
      <c r="E345" s="152" t="str">
        <f>IFERROR(VLOOKUP(F345,[1]TreeType!$A:$E,5,0),"")</f>
        <v/>
      </c>
      <c r="F345" s="153" t="str">
        <f>IFERROR(VLOOKUP(D345,[1]TreeType!$A:$B,2,0),"")</f>
        <v/>
      </c>
      <c r="G345" s="72">
        <f>IF(B345&gt;0,IF(סקר!E497=0,1,סקר!E497),0)</f>
        <v>0</v>
      </c>
      <c r="H345" s="72">
        <f>IF(B345&gt;0,IF(סקר!F497 = 0,1,סקר!F497),0)</f>
        <v>0</v>
      </c>
      <c r="I345" s="152">
        <f>סקר!G497</f>
        <v>0</v>
      </c>
      <c r="J345" s="152">
        <f>סקר!H497</f>
        <v>0</v>
      </c>
      <c r="K345" s="152" t="e">
        <f>IF(D345="","",VLOOKUP(D345,[1]TreeType!$A$2:$E$508,3,3))</f>
        <v>#N/A</v>
      </c>
      <c r="L345" s="152">
        <f>IF(D345&gt;0,IF(סקר!M497=0,1,IF(סקר!M497=0,1,סקר!M497)),0)</f>
        <v>0</v>
      </c>
      <c r="M345" s="152">
        <f>סקר!J497</f>
        <v>0</v>
      </c>
      <c r="N345" s="152">
        <f>IF(D345&gt;0,IF(סקר!K497=0,1,IF(סקר!K497=0,1,סקר!K497)),0)</f>
        <v>0</v>
      </c>
      <c r="O345" s="152" t="e">
        <f t="shared" si="8"/>
        <v>#N/A</v>
      </c>
      <c r="P345" s="152">
        <f>IF(B345&gt;0,IF(סקר!O497 &lt;=1,1,סקר!O497),0)</f>
        <v>0</v>
      </c>
      <c r="Q345" s="152">
        <f>סקר!P497</f>
        <v>0</v>
      </c>
      <c r="R345" s="152">
        <f>סקר!R497</f>
        <v>0</v>
      </c>
      <c r="S345" s="152">
        <f>סקר!BC497</f>
        <v>0</v>
      </c>
      <c r="T345" s="156"/>
    </row>
    <row r="346" spans="1:20">
      <c r="A346" s="152" t="str">
        <f>IF(סקר!D498&lt;2,"עץ","פוליגון")</f>
        <v>עץ</v>
      </c>
      <c r="B346" s="152">
        <f>סקר!B498</f>
        <v>0</v>
      </c>
      <c r="C346" s="152">
        <f>IF(סקר!D498&lt;2,1,סקר!D498)</f>
        <v>1</v>
      </c>
      <c r="D346" s="152">
        <f>סקר!C498</f>
        <v>0</v>
      </c>
      <c r="E346" s="152" t="str">
        <f>IFERROR(VLOOKUP(F346,[1]TreeType!$A:$E,5,0),"")</f>
        <v/>
      </c>
      <c r="F346" s="153" t="str">
        <f>IFERROR(VLOOKUP(D346,[1]TreeType!$A:$B,2,0),"")</f>
        <v/>
      </c>
      <c r="G346" s="72">
        <f>IF(B346&gt;0,IF(סקר!E498=0,1,סקר!E498),0)</f>
        <v>0</v>
      </c>
      <c r="H346" s="72">
        <f>IF(B346&gt;0,IF(סקר!F498 = 0,1,סקר!F498),0)</f>
        <v>0</v>
      </c>
      <c r="I346" s="152">
        <f>סקר!G498</f>
        <v>0</v>
      </c>
      <c r="J346" s="152">
        <f>סקר!H498</f>
        <v>0</v>
      </c>
      <c r="K346" s="152" t="e">
        <f>IF(D346="","",VLOOKUP(D346,[1]TreeType!$A$2:$E$508,3,3))</f>
        <v>#N/A</v>
      </c>
      <c r="L346" s="152">
        <f>IF(D346&gt;0,IF(סקר!M498=0,1,IF(סקר!M498=0,1,סקר!M498)),0)</f>
        <v>0</v>
      </c>
      <c r="M346" s="152">
        <f>סקר!J498</f>
        <v>0</v>
      </c>
      <c r="N346" s="152">
        <f>IF(D346&gt;0,IF(סקר!K498=0,1,IF(סקר!K498=0,1,סקר!K498)),0)</f>
        <v>0</v>
      </c>
      <c r="O346" s="152" t="e">
        <f t="shared" si="8"/>
        <v>#N/A</v>
      </c>
      <c r="P346" s="152">
        <f>IF(B346&gt;0,IF(סקר!O498 &lt;=1,1,סקר!O498),0)</f>
        <v>0</v>
      </c>
      <c r="Q346" s="152">
        <f>סקר!P498</f>
        <v>0</v>
      </c>
      <c r="R346" s="152">
        <f>סקר!R498</f>
        <v>0</v>
      </c>
      <c r="S346" s="152">
        <f>סקר!BC498</f>
        <v>0</v>
      </c>
      <c r="T346" s="156"/>
    </row>
    <row r="347" spans="1:20">
      <c r="A347" s="152" t="str">
        <f>IF(סקר!D513&lt;2,"עץ","פוליגון")</f>
        <v>עץ</v>
      </c>
      <c r="B347" s="152">
        <f>סקר!B513</f>
        <v>0</v>
      </c>
      <c r="C347" s="152">
        <f>IF(סקר!D513&lt;2,1,סקר!D513)</f>
        <v>1</v>
      </c>
      <c r="D347" s="152">
        <f>סקר!C513</f>
        <v>0</v>
      </c>
      <c r="E347" s="152" t="str">
        <f>IFERROR(VLOOKUP(F347,[1]TreeType!$A:$E,5,0),"")</f>
        <v/>
      </c>
      <c r="F347" s="153" t="str">
        <f>IFERROR(VLOOKUP(D347,[1]TreeType!$A:$B,2,0),"")</f>
        <v/>
      </c>
      <c r="G347" s="72">
        <f>IF(B347&gt;0,IF(סקר!E513=0,1,סקר!E513),0)</f>
        <v>0</v>
      </c>
      <c r="H347" s="72">
        <f>IF(B347&gt;0,IF(סקר!F513 = 0,1,סקר!F513),0)</f>
        <v>0</v>
      </c>
      <c r="I347" s="152">
        <f>סקר!G513</f>
        <v>0</v>
      </c>
      <c r="J347" s="152">
        <f>סקר!H513</f>
        <v>0</v>
      </c>
      <c r="K347" s="152" t="e">
        <f>IF(D347="","",VLOOKUP(D347,[1]TreeType!$A$2:$E$508,3,3))</f>
        <v>#N/A</v>
      </c>
      <c r="L347" s="152">
        <f>IF(D347&gt;0,IF(סקר!M513=0,1,IF(סקר!M513=0,1,סקר!M513)),0)</f>
        <v>0</v>
      </c>
      <c r="M347" s="152">
        <f>סקר!J513</f>
        <v>0</v>
      </c>
      <c r="N347" s="152">
        <f>IF(D347&gt;0,IF(סקר!K513=0,1,IF(סקר!K513=0,1,סקר!K513)),0)</f>
        <v>0</v>
      </c>
      <c r="O347" s="152" t="e">
        <f t="shared" si="8"/>
        <v>#N/A</v>
      </c>
      <c r="P347" s="152">
        <f>IF(B347&gt;0,IF(סקר!O513 &lt;=1,1,סקר!O513),0)</f>
        <v>0</v>
      </c>
      <c r="Q347" s="152">
        <f>סקר!P513</f>
        <v>0</v>
      </c>
      <c r="R347" s="152">
        <f>סקר!R513</f>
        <v>0</v>
      </c>
      <c r="S347" s="152">
        <f>סקר!BC513</f>
        <v>0</v>
      </c>
      <c r="T347" s="156"/>
    </row>
    <row r="348" spans="1:20">
      <c r="A348" s="152" t="str">
        <f>IF(סקר!D514&lt;2,"עץ","פוליגון")</f>
        <v>עץ</v>
      </c>
      <c r="B348" s="152">
        <f>סקר!B514</f>
        <v>0</v>
      </c>
      <c r="C348" s="152">
        <f>IF(סקר!D514&lt;2,1,סקר!D514)</f>
        <v>1</v>
      </c>
      <c r="D348" s="152">
        <f>סקר!C514</f>
        <v>0</v>
      </c>
      <c r="E348" s="152" t="str">
        <f>IFERROR(VLOOKUP(F348,[1]TreeType!$A:$E,5,0),"")</f>
        <v/>
      </c>
      <c r="F348" s="153" t="str">
        <f>IFERROR(VLOOKUP(D348,[1]TreeType!$A:$B,2,0),"")</f>
        <v/>
      </c>
      <c r="G348" s="72">
        <f>IF(B348&gt;0,IF(סקר!E514=0,1,סקר!E514),0)</f>
        <v>0</v>
      </c>
      <c r="H348" s="72">
        <f>IF(B348&gt;0,IF(סקר!F514 = 0,1,סקר!F514),0)</f>
        <v>0</v>
      </c>
      <c r="I348" s="152">
        <f>סקר!G514</f>
        <v>0</v>
      </c>
      <c r="J348" s="152">
        <f>סקר!H514</f>
        <v>0</v>
      </c>
      <c r="K348" s="152" t="e">
        <f>IF(D348="","",VLOOKUP(D348,[1]TreeType!$A$2:$E$508,3,3))</f>
        <v>#N/A</v>
      </c>
      <c r="L348" s="152">
        <f>IF(D348&gt;0,IF(סקר!M514=0,1,IF(סקר!M514=0,1,סקר!M514)),0)</f>
        <v>0</v>
      </c>
      <c r="M348" s="152">
        <f>סקר!J514</f>
        <v>0</v>
      </c>
      <c r="N348" s="152">
        <f>IF(D348&gt;0,IF(סקר!K514=0,1,IF(סקר!K514=0,1,סקר!K514)),0)</f>
        <v>0</v>
      </c>
      <c r="O348" s="152" t="e">
        <f t="shared" si="8"/>
        <v>#N/A</v>
      </c>
      <c r="P348" s="152">
        <f>IF(B348&gt;0,IF(סקר!O514 &lt;=1,1,סקר!O514),0)</f>
        <v>0</v>
      </c>
      <c r="Q348" s="152">
        <f>סקר!P514</f>
        <v>0</v>
      </c>
      <c r="R348" s="152">
        <f>סקר!R514</f>
        <v>0</v>
      </c>
      <c r="S348" s="152">
        <f>סקר!BC514</f>
        <v>0</v>
      </c>
      <c r="T348" s="156"/>
    </row>
    <row r="349" spans="1:20">
      <c r="A349" s="152" t="str">
        <f>IF(סקר!D515&lt;2,"עץ","פוליגון")</f>
        <v>עץ</v>
      </c>
      <c r="B349" s="152">
        <f>סקר!B515</f>
        <v>0</v>
      </c>
      <c r="C349" s="152">
        <f>IF(סקר!D515&lt;2,1,סקר!D515)</f>
        <v>1</v>
      </c>
      <c r="D349" s="152">
        <f>סקר!C515</f>
        <v>0</v>
      </c>
      <c r="E349" s="152" t="str">
        <f>IFERROR(VLOOKUP(F349,[1]TreeType!$A:$E,5,0),"")</f>
        <v/>
      </c>
      <c r="F349" s="153" t="str">
        <f>IFERROR(VLOOKUP(D349,[1]TreeType!$A:$B,2,0),"")</f>
        <v/>
      </c>
      <c r="G349" s="72">
        <f>IF(B349&gt;0,IF(סקר!E515=0,1,סקר!E515),0)</f>
        <v>0</v>
      </c>
      <c r="H349" s="72">
        <f>IF(B349&gt;0,IF(סקר!F515 = 0,1,סקר!F515),0)</f>
        <v>0</v>
      </c>
      <c r="I349" s="152">
        <f>סקר!G515</f>
        <v>0</v>
      </c>
      <c r="J349" s="152">
        <f>סקר!H515</f>
        <v>0</v>
      </c>
      <c r="K349" s="152" t="e">
        <f>IF(D349="","",VLOOKUP(D349,[1]TreeType!$A$2:$E$508,3,3))</f>
        <v>#N/A</v>
      </c>
      <c r="L349" s="152">
        <f>IF(D349&gt;0,IF(סקר!M515=0,1,IF(סקר!M515=0,1,סקר!M515)),0)</f>
        <v>0</v>
      </c>
      <c r="M349" s="152">
        <f>סקר!J515</f>
        <v>0</v>
      </c>
      <c r="N349" s="152">
        <f>IF(D349&gt;0,IF(סקר!K515=0,1,IF(סקר!K515=0,1,סקר!K515)),0)</f>
        <v>0</v>
      </c>
      <c r="O349" s="152" t="e">
        <f t="shared" si="8"/>
        <v>#N/A</v>
      </c>
      <c r="P349" s="152">
        <f>IF(B349&gt;0,IF(סקר!O515 &lt;=1,1,סקר!O515),0)</f>
        <v>0</v>
      </c>
      <c r="Q349" s="152">
        <f>סקר!P515</f>
        <v>0</v>
      </c>
      <c r="R349" s="152">
        <f>סקר!R515</f>
        <v>0</v>
      </c>
      <c r="S349" s="152">
        <f>סקר!BC515</f>
        <v>0</v>
      </c>
      <c r="T349" s="156"/>
    </row>
    <row r="350" spans="1:20">
      <c r="A350" s="152" t="str">
        <f>IF(סקר!D516&lt;2,"עץ","פוליגון")</f>
        <v>עץ</v>
      </c>
      <c r="B350" s="152">
        <f>סקר!B516</f>
        <v>0</v>
      </c>
      <c r="C350" s="152">
        <f>IF(סקר!D516&lt;2,1,סקר!D516)</f>
        <v>1</v>
      </c>
      <c r="D350" s="152">
        <f>סקר!C516</f>
        <v>0</v>
      </c>
      <c r="E350" s="152" t="str">
        <f>IFERROR(VLOOKUP(F350,[1]TreeType!$A:$E,5,0),"")</f>
        <v/>
      </c>
      <c r="F350" s="153" t="str">
        <f>IFERROR(VLOOKUP(D350,[1]TreeType!$A:$B,2,0),"")</f>
        <v/>
      </c>
      <c r="G350" s="72">
        <f>IF(B350&gt;0,IF(סקר!E516=0,1,סקר!E516),0)</f>
        <v>0</v>
      </c>
      <c r="H350" s="72">
        <f>IF(B350&gt;0,IF(סקר!F516 = 0,1,סקר!F516),0)</f>
        <v>0</v>
      </c>
      <c r="I350" s="152">
        <f>סקר!G516</f>
        <v>0</v>
      </c>
      <c r="J350" s="152">
        <f>סקר!H516</f>
        <v>0</v>
      </c>
      <c r="K350" s="152" t="e">
        <f>IF(D350="","",VLOOKUP(D350,[1]TreeType!$A$2:$E$508,3,3))</f>
        <v>#N/A</v>
      </c>
      <c r="L350" s="152">
        <f>IF(D350&gt;0,IF(סקר!M516=0,1,IF(סקר!M516=0,1,סקר!M516)),0)</f>
        <v>0</v>
      </c>
      <c r="M350" s="152">
        <f>סקר!J516</f>
        <v>0</v>
      </c>
      <c r="N350" s="152">
        <f>IF(D350&gt;0,IF(סקר!K516=0,1,IF(סקר!K516=0,1,סקר!K516)),0)</f>
        <v>0</v>
      </c>
      <c r="O350" s="152" t="e">
        <f t="shared" si="8"/>
        <v>#N/A</v>
      </c>
      <c r="P350" s="152">
        <f>IF(B350&gt;0,IF(סקר!O516 &lt;=1,1,סקר!O516),0)</f>
        <v>0</v>
      </c>
      <c r="Q350" s="152">
        <f>סקר!P516</f>
        <v>0</v>
      </c>
      <c r="R350" s="152">
        <f>סקר!R516</f>
        <v>0</v>
      </c>
      <c r="S350" s="152">
        <f>סקר!BC516</f>
        <v>0</v>
      </c>
      <c r="T350" s="156"/>
    </row>
    <row r="351" spans="1:20">
      <c r="A351" s="152" t="str">
        <f>IF(סקר!D517&lt;2,"עץ","פוליגון")</f>
        <v>עץ</v>
      </c>
      <c r="B351" s="152">
        <f>סקר!B517</f>
        <v>0</v>
      </c>
      <c r="C351" s="152">
        <f>IF(סקר!D517&lt;2,1,סקר!D517)</f>
        <v>1</v>
      </c>
      <c r="D351" s="152">
        <f>סקר!C517</f>
        <v>0</v>
      </c>
      <c r="E351" s="152" t="str">
        <f>IFERROR(VLOOKUP(F351,[1]TreeType!$A:$E,5,0),"")</f>
        <v/>
      </c>
      <c r="F351" s="153" t="str">
        <f>IFERROR(VLOOKUP(D351,[1]TreeType!$A:$B,2,0),"")</f>
        <v/>
      </c>
      <c r="G351" s="72">
        <f>IF(B351&gt;0,IF(סקר!E517=0,1,סקר!E517),0)</f>
        <v>0</v>
      </c>
      <c r="H351" s="72">
        <f>IF(B351&gt;0,IF(סקר!F517 = 0,1,סקר!F517),0)</f>
        <v>0</v>
      </c>
      <c r="I351" s="152">
        <f>סקר!G517</f>
        <v>0</v>
      </c>
      <c r="J351" s="152">
        <f>סקר!H517</f>
        <v>0</v>
      </c>
      <c r="K351" s="152" t="e">
        <f>IF(D351="","",VLOOKUP(D351,[1]TreeType!$A$2:$E$508,3,3))</f>
        <v>#N/A</v>
      </c>
      <c r="L351" s="152">
        <f>IF(D351&gt;0,IF(סקר!M517=0,1,IF(סקר!M517=0,1,סקר!M517)),0)</f>
        <v>0</v>
      </c>
      <c r="M351" s="152">
        <f>סקר!J517</f>
        <v>0</v>
      </c>
      <c r="N351" s="152">
        <f>IF(D351&gt;0,IF(סקר!K517=0,1,IF(סקר!K517=0,1,סקר!K517)),0)</f>
        <v>0</v>
      </c>
      <c r="O351" s="152" t="e">
        <f t="shared" si="8"/>
        <v>#N/A</v>
      </c>
      <c r="P351" s="152">
        <f>IF(B351&gt;0,IF(סקר!O517 &lt;=1,1,סקר!O517),0)</f>
        <v>0</v>
      </c>
      <c r="Q351" s="152">
        <f>סקר!P517</f>
        <v>0</v>
      </c>
      <c r="R351" s="152">
        <f>סקר!R517</f>
        <v>0</v>
      </c>
      <c r="S351" s="152">
        <f>סקר!BC517</f>
        <v>0</v>
      </c>
      <c r="T351" s="156"/>
    </row>
    <row r="352" spans="1:20">
      <c r="A352" s="152" t="str">
        <f>IF(סקר!D518&lt;2,"עץ","פוליגון")</f>
        <v>עץ</v>
      </c>
      <c r="B352" s="152">
        <f>סקר!B518</f>
        <v>0</v>
      </c>
      <c r="C352" s="152">
        <f>IF(סקר!D518&lt;2,1,סקר!D518)</f>
        <v>1</v>
      </c>
      <c r="D352" s="152">
        <f>סקר!C518</f>
        <v>0</v>
      </c>
      <c r="E352" s="152" t="str">
        <f>IFERROR(VLOOKUP(F352,[1]TreeType!$A:$E,5,0),"")</f>
        <v/>
      </c>
      <c r="F352" s="153" t="str">
        <f>IFERROR(VLOOKUP(D352,[1]TreeType!$A:$B,2,0),"")</f>
        <v/>
      </c>
      <c r="G352" s="72">
        <f>IF(B352&gt;0,IF(סקר!E518=0,1,סקר!E518),0)</f>
        <v>0</v>
      </c>
      <c r="H352" s="72">
        <f>IF(B352&gt;0,IF(סקר!F518 = 0,1,סקר!F518),0)</f>
        <v>0</v>
      </c>
      <c r="I352" s="152">
        <f>סקר!G518</f>
        <v>0</v>
      </c>
      <c r="J352" s="152">
        <f>סקר!H518</f>
        <v>0</v>
      </c>
      <c r="K352" s="152" t="e">
        <f>IF(D352="","",VLOOKUP(D352,[1]TreeType!$A$2:$E$508,3,3))</f>
        <v>#N/A</v>
      </c>
      <c r="L352" s="152">
        <f>IF(D352&gt;0,IF(סקר!M518=0,1,IF(סקר!M518=0,1,סקר!M518)),0)</f>
        <v>0</v>
      </c>
      <c r="M352" s="152">
        <f>סקר!J518</f>
        <v>0</v>
      </c>
      <c r="N352" s="152">
        <f>IF(D352&gt;0,IF(סקר!K518=0,1,IF(סקר!K518=0,1,סקר!K518)),0)</f>
        <v>0</v>
      </c>
      <c r="O352" s="152" t="e">
        <f t="shared" si="8"/>
        <v>#N/A</v>
      </c>
      <c r="P352" s="152">
        <f>IF(B352&gt;0,IF(סקר!O518 &lt;=1,1,סקר!O518),0)</f>
        <v>0</v>
      </c>
      <c r="Q352" s="152">
        <f>סקר!P518</f>
        <v>0</v>
      </c>
      <c r="R352" s="152">
        <f>סקר!R518</f>
        <v>0</v>
      </c>
      <c r="S352" s="152">
        <f>סקר!BC518</f>
        <v>0</v>
      </c>
      <c r="T352" s="156"/>
    </row>
    <row r="353" spans="1:20">
      <c r="A353" s="152" t="str">
        <f>IF(סקר!D519&lt;2,"עץ","פוליגון")</f>
        <v>עץ</v>
      </c>
      <c r="B353" s="152">
        <f>סקר!B519</f>
        <v>0</v>
      </c>
      <c r="C353" s="152">
        <f>IF(סקר!D519&lt;2,1,סקר!D519)</f>
        <v>1</v>
      </c>
      <c r="D353" s="152">
        <f>סקר!C519</f>
        <v>0</v>
      </c>
      <c r="E353" s="152" t="str">
        <f>IFERROR(VLOOKUP(F353,[1]TreeType!$A:$E,5,0),"")</f>
        <v/>
      </c>
      <c r="F353" s="153" t="str">
        <f>IFERROR(VLOOKUP(D353,[1]TreeType!$A:$B,2,0),"")</f>
        <v/>
      </c>
      <c r="G353" s="72">
        <f>IF(B353&gt;0,IF(סקר!E519=0,1,סקר!E519),0)</f>
        <v>0</v>
      </c>
      <c r="H353" s="72">
        <f>IF(B353&gt;0,IF(סקר!F519 = 0,1,סקר!F519),0)</f>
        <v>0</v>
      </c>
      <c r="I353" s="152">
        <f>סקר!G519</f>
        <v>0</v>
      </c>
      <c r="J353" s="152">
        <f>סקר!H519</f>
        <v>0</v>
      </c>
      <c r="K353" s="152" t="e">
        <f>IF(D353="","",VLOOKUP(D353,[1]TreeType!$A$2:$E$508,3,3))</f>
        <v>#N/A</v>
      </c>
      <c r="L353" s="152">
        <f>IF(D353&gt;0,IF(סקר!M519=0,1,IF(סקר!M519=0,1,סקר!M519)),0)</f>
        <v>0</v>
      </c>
      <c r="M353" s="152">
        <f>סקר!J519</f>
        <v>0</v>
      </c>
      <c r="N353" s="152">
        <f>IF(D353&gt;0,IF(סקר!K519=0,1,IF(סקר!K519=0,1,סקר!K519)),0)</f>
        <v>0</v>
      </c>
      <c r="O353" s="152" t="e">
        <f t="shared" si="8"/>
        <v>#N/A</v>
      </c>
      <c r="P353" s="152">
        <f>IF(B353&gt;0,IF(סקר!O519 &lt;=1,1,סקר!O519),0)</f>
        <v>0</v>
      </c>
      <c r="Q353" s="152">
        <f>סקר!P519</f>
        <v>0</v>
      </c>
      <c r="R353" s="152">
        <f>סקר!R519</f>
        <v>0</v>
      </c>
      <c r="S353" s="152">
        <f>סקר!BC519</f>
        <v>0</v>
      </c>
      <c r="T353" s="156"/>
    </row>
    <row r="354" spans="1:20">
      <c r="A354" s="152" t="str">
        <f>IF(סקר!D520&lt;2,"עץ","פוליגון")</f>
        <v>עץ</v>
      </c>
      <c r="B354" s="152">
        <f>סקר!B520</f>
        <v>0</v>
      </c>
      <c r="C354" s="152">
        <f>IF(סקר!D520&lt;2,1,סקר!D520)</f>
        <v>1</v>
      </c>
      <c r="D354" s="152">
        <f>סקר!C520</f>
        <v>0</v>
      </c>
      <c r="E354" s="152" t="str">
        <f>IFERROR(VLOOKUP(F354,[1]TreeType!$A:$E,5,0),"")</f>
        <v/>
      </c>
      <c r="F354" s="153" t="str">
        <f>IFERROR(VLOOKUP(D354,[1]TreeType!$A:$B,2,0),"")</f>
        <v/>
      </c>
      <c r="G354" s="72">
        <f>IF(B354&gt;0,IF(סקר!E520=0,1,סקר!E520),0)</f>
        <v>0</v>
      </c>
      <c r="H354" s="72">
        <f>IF(B354&gt;0,IF(סקר!F520 = 0,1,סקר!F520),0)</f>
        <v>0</v>
      </c>
      <c r="I354" s="152">
        <f>סקר!G520</f>
        <v>0</v>
      </c>
      <c r="J354" s="152">
        <f>סקר!H520</f>
        <v>0</v>
      </c>
      <c r="K354" s="152" t="e">
        <f>IF(D354="","",VLOOKUP(D354,[1]TreeType!$A$2:$E$508,3,3))</f>
        <v>#N/A</v>
      </c>
      <c r="L354" s="152">
        <f>IF(D354&gt;0,IF(סקר!M520=0,1,IF(סקר!M520=0,1,סקר!M520)),0)</f>
        <v>0</v>
      </c>
      <c r="M354" s="152">
        <f>סקר!J520</f>
        <v>0</v>
      </c>
      <c r="N354" s="152">
        <f>IF(D354&gt;0,IF(סקר!K520=0,1,IF(סקר!K520=0,1,סקר!K520)),0)</f>
        <v>0</v>
      </c>
      <c r="O354" s="152" t="e">
        <f t="shared" si="8"/>
        <v>#N/A</v>
      </c>
      <c r="P354" s="152">
        <f>IF(B354&gt;0,IF(סקר!O520 &lt;=1,1,סקר!O520),0)</f>
        <v>0</v>
      </c>
      <c r="Q354" s="152">
        <f>סקר!P520</f>
        <v>0</v>
      </c>
      <c r="R354" s="152">
        <f>סקר!R520</f>
        <v>0</v>
      </c>
      <c r="S354" s="152">
        <f>סקר!BC520</f>
        <v>0</v>
      </c>
      <c r="T354" s="156"/>
    </row>
    <row r="355" spans="1:20">
      <c r="A355" s="152" t="str">
        <f>IF(סקר!D521&lt;2,"עץ","פוליגון")</f>
        <v>עץ</v>
      </c>
      <c r="B355" s="152">
        <f>סקר!B521</f>
        <v>0</v>
      </c>
      <c r="C355" s="152">
        <f>IF(סקר!D521&lt;2,1,סקר!D521)</f>
        <v>1</v>
      </c>
      <c r="D355" s="152">
        <f>סקר!C521</f>
        <v>0</v>
      </c>
      <c r="E355" s="152" t="str">
        <f>IFERROR(VLOOKUP(F355,[1]TreeType!$A:$E,5,0),"")</f>
        <v/>
      </c>
      <c r="F355" s="153" t="str">
        <f>IFERROR(VLOOKUP(D355,[1]TreeType!$A:$B,2,0),"")</f>
        <v/>
      </c>
      <c r="G355" s="72">
        <f>IF(B355&gt;0,IF(סקר!E521=0,1,סקר!E521),0)</f>
        <v>0</v>
      </c>
      <c r="H355" s="72">
        <f>IF(B355&gt;0,IF(סקר!F521 = 0,1,סקר!F521),0)</f>
        <v>0</v>
      </c>
      <c r="I355" s="152">
        <f>סקר!G521</f>
        <v>0</v>
      </c>
      <c r="J355" s="152">
        <f>סקר!H521</f>
        <v>0</v>
      </c>
      <c r="K355" s="152" t="e">
        <f>IF(D355="","",VLOOKUP(D355,[1]TreeType!$A$2:$E$508,3,3))</f>
        <v>#N/A</v>
      </c>
      <c r="L355" s="152">
        <f>IF(D355&gt;0,IF(סקר!M521=0,1,IF(סקר!M521=0,1,סקר!M521)),0)</f>
        <v>0</v>
      </c>
      <c r="M355" s="152">
        <f>סקר!J521</f>
        <v>0</v>
      </c>
      <c r="N355" s="152">
        <f>IF(D355&gt;0,IF(סקר!K521=0,1,IF(סקר!K521=0,1,סקר!K521)),0)</f>
        <v>0</v>
      </c>
      <c r="O355" s="152" t="e">
        <f t="shared" si="8"/>
        <v>#N/A</v>
      </c>
      <c r="P355" s="152">
        <f>IF(B355&gt;0,IF(סקר!O521 &lt;=1,1,סקר!O521),0)</f>
        <v>0</v>
      </c>
      <c r="Q355" s="152">
        <f>סקר!P521</f>
        <v>0</v>
      </c>
      <c r="R355" s="152">
        <f>סקר!R521</f>
        <v>0</v>
      </c>
      <c r="S355" s="152">
        <f>סקר!BC521</f>
        <v>0</v>
      </c>
      <c r="T355" s="156"/>
    </row>
    <row r="356" spans="1:20">
      <c r="A356" s="152" t="str">
        <f>IF(סקר!D522&lt;2,"עץ","פוליגון")</f>
        <v>עץ</v>
      </c>
      <c r="B356" s="152">
        <f>סקר!B522</f>
        <v>0</v>
      </c>
      <c r="C356" s="152">
        <f>IF(סקר!D522&lt;2,1,סקר!D522)</f>
        <v>1</v>
      </c>
      <c r="D356" s="152">
        <f>סקר!C522</f>
        <v>0</v>
      </c>
      <c r="E356" s="152" t="str">
        <f>IFERROR(VLOOKUP(F356,[1]TreeType!$A:$E,5,0),"")</f>
        <v/>
      </c>
      <c r="F356" s="153" t="str">
        <f>IFERROR(VLOOKUP(D356,[1]TreeType!$A:$B,2,0),"")</f>
        <v/>
      </c>
      <c r="G356" s="72">
        <f>IF(B356&gt;0,IF(סקר!E522=0,1,סקר!E522),0)</f>
        <v>0</v>
      </c>
      <c r="H356" s="72">
        <f>IF(B356&gt;0,IF(סקר!F522 = 0,1,סקר!F522),0)</f>
        <v>0</v>
      </c>
      <c r="I356" s="152">
        <f>סקר!G522</f>
        <v>0</v>
      </c>
      <c r="J356" s="152">
        <f>סקר!H522</f>
        <v>0</v>
      </c>
      <c r="K356" s="152" t="e">
        <f>IF(D356="","",VLOOKUP(D356,[1]TreeType!$A$2:$E$508,3,3))</f>
        <v>#N/A</v>
      </c>
      <c r="L356" s="152">
        <f>IF(D356&gt;0,IF(סקר!M522=0,1,IF(סקר!M522=0,1,סקר!M522)),0)</f>
        <v>0</v>
      </c>
      <c r="M356" s="152">
        <f>סקר!J522</f>
        <v>0</v>
      </c>
      <c r="N356" s="152">
        <f>IF(D356&gt;0,IF(סקר!K522=0,1,IF(סקר!K522=0,1,סקר!K522)),0)</f>
        <v>0</v>
      </c>
      <c r="O356" s="152" t="e">
        <f t="shared" ref="O356:O405" si="9">IF(SUM(K356:N356)=0,"",SUM(K356:N356))</f>
        <v>#N/A</v>
      </c>
      <c r="P356" s="152">
        <f>IF(B356&gt;0,IF(סקר!O522 &lt;=1,1,סקר!O522),0)</f>
        <v>0</v>
      </c>
      <c r="Q356" s="152">
        <f>סקר!P522</f>
        <v>0</v>
      </c>
      <c r="R356" s="152">
        <f>סקר!R522</f>
        <v>0</v>
      </c>
      <c r="S356" s="152">
        <f>סקר!BC522</f>
        <v>0</v>
      </c>
      <c r="T356" s="156"/>
    </row>
    <row r="357" spans="1:20">
      <c r="A357" s="152" t="str">
        <f>IF(סקר!D523&lt;2,"עץ","פוליגון")</f>
        <v>עץ</v>
      </c>
      <c r="B357" s="152">
        <f>סקר!B523</f>
        <v>0</v>
      </c>
      <c r="C357" s="152">
        <f>IF(סקר!D523&lt;2,1,סקר!D523)</f>
        <v>1</v>
      </c>
      <c r="D357" s="152">
        <f>סקר!C523</f>
        <v>0</v>
      </c>
      <c r="E357" s="152" t="str">
        <f>IFERROR(VLOOKUP(F357,[1]TreeType!$A:$E,5,0),"")</f>
        <v/>
      </c>
      <c r="F357" s="153" t="str">
        <f>IFERROR(VLOOKUP(D357,[1]TreeType!$A:$B,2,0),"")</f>
        <v/>
      </c>
      <c r="G357" s="72">
        <f>IF(B357&gt;0,IF(סקר!E523=0,1,סקר!E523),0)</f>
        <v>0</v>
      </c>
      <c r="H357" s="72">
        <f>IF(B357&gt;0,IF(סקר!F523 = 0,1,סקר!F523),0)</f>
        <v>0</v>
      </c>
      <c r="I357" s="152">
        <f>סקר!G523</f>
        <v>0</v>
      </c>
      <c r="J357" s="152">
        <f>סקר!H523</f>
        <v>0</v>
      </c>
      <c r="K357" s="152" t="e">
        <f>IF(D357="","",VLOOKUP(D357,[1]TreeType!$A$2:$E$508,3,3))</f>
        <v>#N/A</v>
      </c>
      <c r="L357" s="152">
        <f>IF(D357&gt;0,IF(סקר!M523=0,1,IF(סקר!M523=0,1,סקר!M523)),0)</f>
        <v>0</v>
      </c>
      <c r="M357" s="152">
        <f>סקר!J523</f>
        <v>0</v>
      </c>
      <c r="N357" s="152">
        <f>IF(D357&gt;0,IF(סקר!K523=0,1,IF(סקר!K523=0,1,סקר!K523)),0)</f>
        <v>0</v>
      </c>
      <c r="O357" s="152" t="e">
        <f t="shared" si="9"/>
        <v>#N/A</v>
      </c>
      <c r="P357" s="152">
        <f>IF(B357&gt;0,IF(סקר!O523 &lt;=1,1,סקר!O523),0)</f>
        <v>0</v>
      </c>
      <c r="Q357" s="152">
        <f>סקר!P523</f>
        <v>0</v>
      </c>
      <c r="R357" s="152">
        <f>סקר!R523</f>
        <v>0</v>
      </c>
      <c r="S357" s="152">
        <f>סקר!BC523</f>
        <v>0</v>
      </c>
      <c r="T357" s="156"/>
    </row>
    <row r="358" spans="1:20">
      <c r="A358" s="152" t="str">
        <f>IF(סקר!D524&lt;2,"עץ","פוליגון")</f>
        <v>עץ</v>
      </c>
      <c r="B358" s="152">
        <f>סקר!B524</f>
        <v>0</v>
      </c>
      <c r="C358" s="152">
        <f>IF(סקר!D524&lt;2,1,סקר!D524)</f>
        <v>1</v>
      </c>
      <c r="D358" s="152">
        <f>סקר!C524</f>
        <v>0</v>
      </c>
      <c r="E358" s="152" t="str">
        <f>IFERROR(VLOOKUP(F358,[1]TreeType!$A:$E,5,0),"")</f>
        <v/>
      </c>
      <c r="F358" s="153" t="str">
        <f>IFERROR(VLOOKUP(D358,[1]TreeType!$A:$B,2,0),"")</f>
        <v/>
      </c>
      <c r="G358" s="72">
        <f>IF(B358&gt;0,IF(סקר!E524=0,1,סקר!E524),0)</f>
        <v>0</v>
      </c>
      <c r="H358" s="72">
        <f>IF(B358&gt;0,IF(סקר!F524 = 0,1,סקר!F524),0)</f>
        <v>0</v>
      </c>
      <c r="I358" s="152">
        <f>סקר!G524</f>
        <v>0</v>
      </c>
      <c r="J358" s="152">
        <f>סקר!H524</f>
        <v>0</v>
      </c>
      <c r="K358" s="152" t="e">
        <f>IF(D358="","",VLOOKUP(D358,[1]TreeType!$A$2:$E$508,3,3))</f>
        <v>#N/A</v>
      </c>
      <c r="L358" s="152">
        <f>IF(D358&gt;0,IF(סקר!M524=0,1,IF(סקר!M524=0,1,סקר!M524)),0)</f>
        <v>0</v>
      </c>
      <c r="M358" s="152">
        <f>סקר!J524</f>
        <v>0</v>
      </c>
      <c r="N358" s="152">
        <f>IF(D358&gt;0,IF(סקר!K524=0,1,IF(סקר!K524=0,1,סקר!K524)),0)</f>
        <v>0</v>
      </c>
      <c r="O358" s="152" t="e">
        <f t="shared" si="9"/>
        <v>#N/A</v>
      </c>
      <c r="P358" s="152">
        <f>IF(B358&gt;0,IF(סקר!O524 &lt;=1,1,סקר!O524),0)</f>
        <v>0</v>
      </c>
      <c r="Q358" s="152">
        <f>סקר!P524</f>
        <v>0</v>
      </c>
      <c r="R358" s="152">
        <f>סקר!R524</f>
        <v>0</v>
      </c>
      <c r="S358" s="152">
        <f>סקר!BC524</f>
        <v>0</v>
      </c>
      <c r="T358" s="156"/>
    </row>
    <row r="359" spans="1:20">
      <c r="A359" s="152" t="str">
        <f>IF(סקר!D525&lt;2,"עץ","פוליגון")</f>
        <v>עץ</v>
      </c>
      <c r="B359" s="152">
        <f>סקר!B525</f>
        <v>0</v>
      </c>
      <c r="C359" s="152">
        <f>IF(סקר!D525&lt;2,1,סקר!D525)</f>
        <v>1</v>
      </c>
      <c r="D359" s="152">
        <f>סקר!C525</f>
        <v>0</v>
      </c>
      <c r="E359" s="152" t="str">
        <f>IFERROR(VLOOKUP(F359,[1]TreeType!$A:$E,5,0),"")</f>
        <v/>
      </c>
      <c r="F359" s="153" t="str">
        <f>IFERROR(VLOOKUP(D359,[1]TreeType!$A:$B,2,0),"")</f>
        <v/>
      </c>
      <c r="G359" s="72">
        <f>IF(B359&gt;0,IF(סקר!E525=0,1,סקר!E525),0)</f>
        <v>0</v>
      </c>
      <c r="H359" s="72">
        <f>IF(B359&gt;0,IF(סקר!F525 = 0,1,סקר!F525),0)</f>
        <v>0</v>
      </c>
      <c r="I359" s="152">
        <f>סקר!G525</f>
        <v>0</v>
      </c>
      <c r="J359" s="152">
        <f>סקר!H525</f>
        <v>0</v>
      </c>
      <c r="K359" s="152" t="e">
        <f>IF(D359="","",VLOOKUP(D359,[1]TreeType!$A$2:$E$508,3,3))</f>
        <v>#N/A</v>
      </c>
      <c r="L359" s="152">
        <f>IF(D359&gt;0,IF(סקר!M525=0,1,IF(סקר!M525=0,1,סקר!M525)),0)</f>
        <v>0</v>
      </c>
      <c r="M359" s="152">
        <f>סקר!J525</f>
        <v>0</v>
      </c>
      <c r="N359" s="152">
        <f>IF(D359&gt;0,IF(סקר!K525=0,1,IF(סקר!K525=0,1,סקר!K525)),0)</f>
        <v>0</v>
      </c>
      <c r="O359" s="152" t="e">
        <f t="shared" si="9"/>
        <v>#N/A</v>
      </c>
      <c r="P359" s="152">
        <f>IF(B359&gt;0,IF(סקר!O525 &lt;=1,1,סקר!O525),0)</f>
        <v>0</v>
      </c>
      <c r="Q359" s="152">
        <f>סקר!P525</f>
        <v>0</v>
      </c>
      <c r="R359" s="152">
        <f>סקר!R525</f>
        <v>0</v>
      </c>
      <c r="S359" s="152">
        <f>סקר!BC525</f>
        <v>0</v>
      </c>
      <c r="T359" s="156"/>
    </row>
    <row r="360" spans="1:20">
      <c r="A360" s="152" t="str">
        <f>IF(סקר!D526&lt;2,"עץ","פוליגון")</f>
        <v>עץ</v>
      </c>
      <c r="B360" s="152">
        <f>סקר!B526</f>
        <v>0</v>
      </c>
      <c r="C360" s="152">
        <f>IF(סקר!D526&lt;2,1,סקר!D526)</f>
        <v>1</v>
      </c>
      <c r="D360" s="152">
        <f>סקר!C526</f>
        <v>0</v>
      </c>
      <c r="E360" s="152" t="str">
        <f>IFERROR(VLOOKUP(F360,[1]TreeType!$A:$E,5,0),"")</f>
        <v/>
      </c>
      <c r="F360" s="153" t="str">
        <f>IFERROR(VLOOKUP(D360,[1]TreeType!$A:$B,2,0),"")</f>
        <v/>
      </c>
      <c r="G360" s="72">
        <f>IF(B360&gt;0,IF(סקר!E526=0,1,סקר!E526),0)</f>
        <v>0</v>
      </c>
      <c r="H360" s="72">
        <f>IF(B360&gt;0,IF(סקר!F526 = 0,1,סקר!F526),0)</f>
        <v>0</v>
      </c>
      <c r="I360" s="152">
        <f>סקר!G526</f>
        <v>0</v>
      </c>
      <c r="J360" s="152">
        <f>סקר!H526</f>
        <v>0</v>
      </c>
      <c r="K360" s="152" t="e">
        <f>IF(D360="","",VLOOKUP(D360,[1]TreeType!$A$2:$E$508,3,3))</f>
        <v>#N/A</v>
      </c>
      <c r="L360" s="152">
        <f>IF(D360&gt;0,IF(סקר!M526=0,1,IF(סקר!M526=0,1,סקר!M526)),0)</f>
        <v>0</v>
      </c>
      <c r="M360" s="152">
        <f>סקר!J526</f>
        <v>0</v>
      </c>
      <c r="N360" s="152">
        <f>IF(D360&gt;0,IF(סקר!K526=0,1,IF(סקר!K526=0,1,סקר!K526)),0)</f>
        <v>0</v>
      </c>
      <c r="O360" s="152" t="e">
        <f t="shared" si="9"/>
        <v>#N/A</v>
      </c>
      <c r="P360" s="152">
        <f>IF(B360&gt;0,IF(סקר!O526 &lt;=1,1,סקר!O526),0)</f>
        <v>0</v>
      </c>
      <c r="Q360" s="152">
        <f>סקר!P526</f>
        <v>0</v>
      </c>
      <c r="R360" s="152">
        <f>סקר!R526</f>
        <v>0</v>
      </c>
      <c r="S360" s="152">
        <f>סקר!BC526</f>
        <v>0</v>
      </c>
      <c r="T360" s="156"/>
    </row>
    <row r="361" spans="1:20">
      <c r="A361" s="152" t="str">
        <f>IF(סקר!D527&lt;2,"עץ","פוליגון")</f>
        <v>עץ</v>
      </c>
      <c r="B361" s="152">
        <f>סקר!B527</f>
        <v>0</v>
      </c>
      <c r="C361" s="152">
        <f>IF(סקר!D527&lt;2,1,סקר!D527)</f>
        <v>1</v>
      </c>
      <c r="D361" s="152">
        <f>סקר!C527</f>
        <v>0</v>
      </c>
      <c r="E361" s="152" t="str">
        <f>IFERROR(VLOOKUP(F361,[1]TreeType!$A:$E,5,0),"")</f>
        <v/>
      </c>
      <c r="F361" s="153" t="str">
        <f>IFERROR(VLOOKUP(D361,[1]TreeType!$A:$B,2,0),"")</f>
        <v/>
      </c>
      <c r="G361" s="72">
        <f>IF(B361&gt;0,IF(סקר!E527=0,1,סקר!E527),0)</f>
        <v>0</v>
      </c>
      <c r="H361" s="72">
        <f>IF(B361&gt;0,IF(סקר!F527 = 0,1,סקר!F527),0)</f>
        <v>0</v>
      </c>
      <c r="I361" s="152">
        <f>סקר!G527</f>
        <v>0</v>
      </c>
      <c r="J361" s="152">
        <f>סקר!H527</f>
        <v>0</v>
      </c>
      <c r="K361" s="152" t="e">
        <f>IF(D361="","",VLOOKUP(D361,[1]TreeType!$A$2:$E$508,3,3))</f>
        <v>#N/A</v>
      </c>
      <c r="L361" s="152">
        <f>IF(D361&gt;0,IF(סקר!M527=0,1,IF(סקר!M527=0,1,סקר!M527)),0)</f>
        <v>0</v>
      </c>
      <c r="M361" s="152">
        <f>סקר!J527</f>
        <v>0</v>
      </c>
      <c r="N361" s="152">
        <f>IF(D361&gt;0,IF(סקר!K527=0,1,IF(סקר!K527=0,1,סקר!K527)),0)</f>
        <v>0</v>
      </c>
      <c r="O361" s="152" t="e">
        <f t="shared" si="9"/>
        <v>#N/A</v>
      </c>
      <c r="P361" s="152">
        <f>IF(B361&gt;0,IF(סקר!O527 &lt;=1,1,סקר!O527),0)</f>
        <v>0</v>
      </c>
      <c r="Q361" s="152">
        <f>סקר!P527</f>
        <v>0</v>
      </c>
      <c r="R361" s="152">
        <f>סקר!R527</f>
        <v>0</v>
      </c>
      <c r="S361" s="152">
        <f>סקר!BC527</f>
        <v>0</v>
      </c>
      <c r="T361" s="156"/>
    </row>
    <row r="362" spans="1:20">
      <c r="A362" s="152" t="str">
        <f>IF(סקר!D528&lt;2,"עץ","פוליגון")</f>
        <v>עץ</v>
      </c>
      <c r="B362" s="152">
        <f>סקר!B528</f>
        <v>0</v>
      </c>
      <c r="C362" s="152">
        <f>IF(סקר!D528&lt;2,1,סקר!D528)</f>
        <v>1</v>
      </c>
      <c r="D362" s="152">
        <f>סקר!C528</f>
        <v>0</v>
      </c>
      <c r="E362" s="152" t="str">
        <f>IFERROR(VLOOKUP(F362,[1]TreeType!$A:$E,5,0),"")</f>
        <v/>
      </c>
      <c r="F362" s="153" t="str">
        <f>IFERROR(VLOOKUP(D362,[1]TreeType!$A:$B,2,0),"")</f>
        <v/>
      </c>
      <c r="G362" s="72">
        <f>IF(B362&gt;0,IF(סקר!E528=0,1,סקר!E528),0)</f>
        <v>0</v>
      </c>
      <c r="H362" s="72">
        <f>IF(B362&gt;0,IF(סקר!F528 = 0,1,סקר!F528),0)</f>
        <v>0</v>
      </c>
      <c r="I362" s="152">
        <f>סקר!G528</f>
        <v>0</v>
      </c>
      <c r="J362" s="152">
        <f>סקר!H528</f>
        <v>0</v>
      </c>
      <c r="K362" s="152" t="e">
        <f>IF(D362="","",VLOOKUP(D362,[1]TreeType!$A$2:$E$508,3,3))</f>
        <v>#N/A</v>
      </c>
      <c r="L362" s="152">
        <f>IF(D362&gt;0,IF(סקר!M528=0,1,IF(סקר!M528=0,1,סקר!M528)),0)</f>
        <v>0</v>
      </c>
      <c r="M362" s="152">
        <f>סקר!J528</f>
        <v>0</v>
      </c>
      <c r="N362" s="152">
        <f>IF(D362&gt;0,IF(סקר!K528=0,1,IF(סקר!K528=0,1,סקר!K528)),0)</f>
        <v>0</v>
      </c>
      <c r="O362" s="152" t="e">
        <f t="shared" si="9"/>
        <v>#N/A</v>
      </c>
      <c r="P362" s="152">
        <f>IF(B362&gt;0,IF(סקר!O528 &lt;=1,1,סקר!O528),0)</f>
        <v>0</v>
      </c>
      <c r="Q362" s="152">
        <f>סקר!P528</f>
        <v>0</v>
      </c>
      <c r="R362" s="152">
        <f>סקר!R528</f>
        <v>0</v>
      </c>
      <c r="S362" s="152">
        <f>סקר!BC528</f>
        <v>0</v>
      </c>
      <c r="T362" s="156"/>
    </row>
    <row r="363" spans="1:20">
      <c r="A363" s="152" t="str">
        <f>IF(סקר!D529&lt;2,"עץ","פוליגון")</f>
        <v>עץ</v>
      </c>
      <c r="B363" s="152">
        <f>סקר!B529</f>
        <v>0</v>
      </c>
      <c r="C363" s="152">
        <f>IF(סקר!D529&lt;2,1,סקר!D529)</f>
        <v>1</v>
      </c>
      <c r="D363" s="152">
        <f>סקר!C529</f>
        <v>0</v>
      </c>
      <c r="E363" s="152" t="str">
        <f>IFERROR(VLOOKUP(F363,[1]TreeType!$A:$E,5,0),"")</f>
        <v/>
      </c>
      <c r="F363" s="153" t="str">
        <f>IFERROR(VLOOKUP(D363,[1]TreeType!$A:$B,2,0),"")</f>
        <v/>
      </c>
      <c r="G363" s="72">
        <f>IF(B363&gt;0,IF(סקר!E529=0,1,סקר!E529),0)</f>
        <v>0</v>
      </c>
      <c r="H363" s="72">
        <f>IF(B363&gt;0,IF(סקר!F529 = 0,1,סקר!F529),0)</f>
        <v>0</v>
      </c>
      <c r="I363" s="152">
        <f>סקר!G529</f>
        <v>0</v>
      </c>
      <c r="J363" s="152">
        <f>סקר!H529</f>
        <v>0</v>
      </c>
      <c r="K363" s="152" t="e">
        <f>IF(D363="","",VLOOKUP(D363,[1]TreeType!$A$2:$E$508,3,3))</f>
        <v>#N/A</v>
      </c>
      <c r="L363" s="152">
        <f>IF(D363&gt;0,IF(סקר!M529=0,1,IF(סקר!M529=0,1,סקר!M529)),0)</f>
        <v>0</v>
      </c>
      <c r="M363" s="152">
        <f>סקר!J529</f>
        <v>0</v>
      </c>
      <c r="N363" s="152">
        <f>IF(D363&gt;0,IF(סקר!K529=0,1,IF(סקר!K529=0,1,סקר!K529)),0)</f>
        <v>0</v>
      </c>
      <c r="O363" s="152" t="e">
        <f t="shared" si="9"/>
        <v>#N/A</v>
      </c>
      <c r="P363" s="152">
        <f>IF(B363&gt;0,IF(סקר!O529 &lt;=1,1,סקר!O529),0)</f>
        <v>0</v>
      </c>
      <c r="Q363" s="152">
        <f>סקר!P529</f>
        <v>0</v>
      </c>
      <c r="R363" s="152">
        <f>סקר!R529</f>
        <v>0</v>
      </c>
      <c r="S363" s="152">
        <f>סקר!BC529</f>
        <v>0</v>
      </c>
      <c r="T363" s="156"/>
    </row>
    <row r="364" spans="1:20">
      <c r="A364" s="152" t="str">
        <f>IF(סקר!D530&lt;2,"עץ","פוליגון")</f>
        <v>עץ</v>
      </c>
      <c r="B364" s="152">
        <f>סקר!B530</f>
        <v>0</v>
      </c>
      <c r="C364" s="152">
        <f>IF(סקר!D530&lt;2,1,סקר!D530)</f>
        <v>1</v>
      </c>
      <c r="D364" s="152">
        <f>סקר!C530</f>
        <v>0</v>
      </c>
      <c r="E364" s="152" t="str">
        <f>IFERROR(VLOOKUP(F364,[1]TreeType!$A:$E,5,0),"")</f>
        <v/>
      </c>
      <c r="F364" s="153" t="str">
        <f>IFERROR(VLOOKUP(D364,[1]TreeType!$A:$B,2,0),"")</f>
        <v/>
      </c>
      <c r="G364" s="72">
        <f>IF(B364&gt;0,IF(סקר!E530=0,1,סקר!E530),0)</f>
        <v>0</v>
      </c>
      <c r="H364" s="72">
        <f>IF(B364&gt;0,IF(סקר!F530 = 0,1,סקר!F530),0)</f>
        <v>0</v>
      </c>
      <c r="I364" s="152">
        <f>סקר!G530</f>
        <v>0</v>
      </c>
      <c r="J364" s="152">
        <f>סקר!H530</f>
        <v>0</v>
      </c>
      <c r="K364" s="152" t="e">
        <f>IF(D364="","",VLOOKUP(D364,[1]TreeType!$A$2:$E$508,3,3))</f>
        <v>#N/A</v>
      </c>
      <c r="L364" s="152">
        <f>IF(D364&gt;0,IF(סקר!M530=0,1,IF(סקר!M530=0,1,סקר!M530)),0)</f>
        <v>0</v>
      </c>
      <c r="M364" s="152">
        <f>סקר!J530</f>
        <v>0</v>
      </c>
      <c r="N364" s="152">
        <f>IF(D364&gt;0,IF(סקר!K530=0,1,IF(סקר!K530=0,1,סקר!K530)),0)</f>
        <v>0</v>
      </c>
      <c r="O364" s="152" t="e">
        <f t="shared" si="9"/>
        <v>#N/A</v>
      </c>
      <c r="P364" s="152">
        <f>IF(B364&gt;0,IF(סקר!O530 &lt;=1,1,סקר!O530),0)</f>
        <v>0</v>
      </c>
      <c r="Q364" s="152">
        <f>סקר!P530</f>
        <v>0</v>
      </c>
      <c r="R364" s="152">
        <f>סקר!R530</f>
        <v>0</v>
      </c>
      <c r="S364" s="152">
        <f>סקר!BC530</f>
        <v>0</v>
      </c>
      <c r="T364" s="156"/>
    </row>
    <row r="365" spans="1:20">
      <c r="A365" s="152" t="str">
        <f>IF(סקר!D531&lt;2,"עץ","פוליגון")</f>
        <v>עץ</v>
      </c>
      <c r="B365" s="152">
        <f>סקר!B531</f>
        <v>0</v>
      </c>
      <c r="C365" s="152">
        <f>IF(סקר!D531&lt;2,1,סקר!D531)</f>
        <v>1</v>
      </c>
      <c r="D365" s="152">
        <f>סקר!C531</f>
        <v>0</v>
      </c>
      <c r="E365" s="152" t="str">
        <f>IFERROR(VLOOKUP(F365,[1]TreeType!$A:$E,5,0),"")</f>
        <v/>
      </c>
      <c r="F365" s="153" t="str">
        <f>IFERROR(VLOOKUP(D365,[1]TreeType!$A:$B,2,0),"")</f>
        <v/>
      </c>
      <c r="G365" s="72">
        <f>IF(B365&gt;0,IF(סקר!E531=0,1,סקר!E531),0)</f>
        <v>0</v>
      </c>
      <c r="H365" s="72">
        <f>IF(B365&gt;0,IF(סקר!F531 = 0,1,סקר!F531),0)</f>
        <v>0</v>
      </c>
      <c r="I365" s="152">
        <f>סקר!G531</f>
        <v>0</v>
      </c>
      <c r="J365" s="152">
        <f>סקר!H531</f>
        <v>0</v>
      </c>
      <c r="K365" s="152" t="e">
        <f>IF(D365="","",VLOOKUP(D365,[1]TreeType!$A$2:$E$508,3,3))</f>
        <v>#N/A</v>
      </c>
      <c r="L365" s="152">
        <f>IF(D365&gt;0,IF(סקר!M531=0,1,IF(סקר!M531=0,1,סקר!M531)),0)</f>
        <v>0</v>
      </c>
      <c r="M365" s="152">
        <f>סקר!J531</f>
        <v>0</v>
      </c>
      <c r="N365" s="152">
        <f>IF(D365&gt;0,IF(סקר!K531=0,1,IF(סקר!K531=0,1,סקר!K531)),0)</f>
        <v>0</v>
      </c>
      <c r="O365" s="152" t="e">
        <f t="shared" si="9"/>
        <v>#N/A</v>
      </c>
      <c r="P365" s="152">
        <f>IF(B365&gt;0,IF(סקר!O531 &lt;=1,1,סקר!O531),0)</f>
        <v>0</v>
      </c>
      <c r="Q365" s="152">
        <f>סקר!P531</f>
        <v>0</v>
      </c>
      <c r="R365" s="152">
        <f>סקר!R531</f>
        <v>0</v>
      </c>
      <c r="S365" s="152">
        <f>סקר!BC531</f>
        <v>0</v>
      </c>
      <c r="T365" s="156"/>
    </row>
    <row r="366" spans="1:20">
      <c r="A366" s="152" t="str">
        <f>IF(סקר!D532&lt;2,"עץ","פוליגון")</f>
        <v>עץ</v>
      </c>
      <c r="B366" s="152">
        <f>סקר!B532</f>
        <v>0</v>
      </c>
      <c r="C366" s="152">
        <f>IF(סקר!D532&lt;2,1,סקר!D532)</f>
        <v>1</v>
      </c>
      <c r="D366" s="152">
        <f>סקר!C532</f>
        <v>0</v>
      </c>
      <c r="E366" s="152" t="str">
        <f>IFERROR(VLOOKUP(F366,[1]TreeType!$A:$E,5,0),"")</f>
        <v/>
      </c>
      <c r="F366" s="153" t="str">
        <f>IFERROR(VLOOKUP(D366,[1]TreeType!$A:$B,2,0),"")</f>
        <v/>
      </c>
      <c r="G366" s="72">
        <f>IF(B366&gt;0,IF(סקר!E532=0,1,סקר!E532),0)</f>
        <v>0</v>
      </c>
      <c r="H366" s="72">
        <f>IF(B366&gt;0,IF(סקר!F532 = 0,1,סקר!F532),0)</f>
        <v>0</v>
      </c>
      <c r="I366" s="152">
        <f>סקר!G532</f>
        <v>0</v>
      </c>
      <c r="J366" s="152">
        <f>סקר!H532</f>
        <v>0</v>
      </c>
      <c r="K366" s="152" t="e">
        <f>IF(D366="","",VLOOKUP(D366,[1]TreeType!$A$2:$E$508,3,3))</f>
        <v>#N/A</v>
      </c>
      <c r="L366" s="152">
        <f>IF(D366&gt;0,IF(סקר!M532=0,1,IF(סקר!M532=0,1,סקר!M532)),0)</f>
        <v>0</v>
      </c>
      <c r="M366" s="152">
        <f>סקר!J532</f>
        <v>0</v>
      </c>
      <c r="N366" s="152">
        <f>IF(D366&gt;0,IF(סקר!K532=0,1,IF(סקר!K532=0,1,סקר!K532)),0)</f>
        <v>0</v>
      </c>
      <c r="O366" s="152" t="e">
        <f t="shared" si="9"/>
        <v>#N/A</v>
      </c>
      <c r="P366" s="152">
        <f>IF(B366&gt;0,IF(סקר!O532 &lt;=1,1,סקר!O532),0)</f>
        <v>0</v>
      </c>
      <c r="Q366" s="152">
        <f>סקר!P532</f>
        <v>0</v>
      </c>
      <c r="R366" s="152">
        <f>סקר!R532</f>
        <v>0</v>
      </c>
      <c r="S366" s="152">
        <f>סקר!BC532</f>
        <v>0</v>
      </c>
      <c r="T366" s="156"/>
    </row>
    <row r="367" spans="1:20">
      <c r="A367" s="152" t="str">
        <f>IF(סקר!D533&lt;2,"עץ","פוליגון")</f>
        <v>עץ</v>
      </c>
      <c r="B367" s="152">
        <f>סקר!B533</f>
        <v>0</v>
      </c>
      <c r="C367" s="152">
        <f>IF(סקר!D533&lt;2,1,סקר!D533)</f>
        <v>1</v>
      </c>
      <c r="D367" s="152">
        <f>סקר!C533</f>
        <v>0</v>
      </c>
      <c r="E367" s="152" t="str">
        <f>IFERROR(VLOOKUP(F367,[1]TreeType!$A:$E,5,0),"")</f>
        <v/>
      </c>
      <c r="F367" s="153" t="str">
        <f>IFERROR(VLOOKUP(D367,[1]TreeType!$A:$B,2,0),"")</f>
        <v/>
      </c>
      <c r="G367" s="72">
        <f>IF(B367&gt;0,IF(סקר!E533=0,1,סקר!E533),0)</f>
        <v>0</v>
      </c>
      <c r="H367" s="72">
        <f>IF(B367&gt;0,IF(סקר!F533 = 0,1,סקר!F533),0)</f>
        <v>0</v>
      </c>
      <c r="I367" s="152">
        <f>סקר!G533</f>
        <v>0</v>
      </c>
      <c r="J367" s="152">
        <f>סקר!H533</f>
        <v>0</v>
      </c>
      <c r="K367" s="152" t="e">
        <f>IF(D367="","",VLOOKUP(D367,[1]TreeType!$A$2:$E$508,3,3))</f>
        <v>#N/A</v>
      </c>
      <c r="L367" s="152">
        <f>IF(D367&gt;0,IF(סקר!M533=0,1,IF(סקר!M533=0,1,סקר!M533)),0)</f>
        <v>0</v>
      </c>
      <c r="M367" s="152">
        <f>סקר!J533</f>
        <v>0</v>
      </c>
      <c r="N367" s="152">
        <f>IF(D367&gt;0,IF(סקר!K533=0,1,IF(סקר!K533=0,1,סקר!K533)),0)</f>
        <v>0</v>
      </c>
      <c r="O367" s="152" t="e">
        <f t="shared" si="9"/>
        <v>#N/A</v>
      </c>
      <c r="P367" s="152">
        <f>IF(B367&gt;0,IF(סקר!O533 &lt;=1,1,סקר!O533),0)</f>
        <v>0</v>
      </c>
      <c r="Q367" s="152">
        <f>סקר!P533</f>
        <v>0</v>
      </c>
      <c r="R367" s="152">
        <f>סקר!R533</f>
        <v>0</v>
      </c>
      <c r="S367" s="152">
        <f>סקר!BC533</f>
        <v>0</v>
      </c>
      <c r="T367" s="156"/>
    </row>
    <row r="368" spans="1:20">
      <c r="A368" s="152" t="str">
        <f>IF(סקר!D534&lt;2,"עץ","פוליגון")</f>
        <v>עץ</v>
      </c>
      <c r="B368" s="152">
        <f>סקר!B534</f>
        <v>0</v>
      </c>
      <c r="C368" s="152">
        <f>IF(סקר!D534&lt;2,1,סקר!D534)</f>
        <v>1</v>
      </c>
      <c r="D368" s="152">
        <f>סקר!C534</f>
        <v>0</v>
      </c>
      <c r="E368" s="152" t="str">
        <f>IFERROR(VLOOKUP(F368,[1]TreeType!$A:$E,5,0),"")</f>
        <v/>
      </c>
      <c r="F368" s="153" t="str">
        <f>IFERROR(VLOOKUP(D368,[1]TreeType!$A:$B,2,0),"")</f>
        <v/>
      </c>
      <c r="G368" s="72">
        <f>IF(B368&gt;0,IF(סקר!E534=0,1,סקר!E534),0)</f>
        <v>0</v>
      </c>
      <c r="H368" s="72">
        <f>IF(B368&gt;0,IF(סקר!F534 = 0,1,סקר!F534),0)</f>
        <v>0</v>
      </c>
      <c r="I368" s="152">
        <f>סקר!G534</f>
        <v>0</v>
      </c>
      <c r="J368" s="152">
        <f>סקר!H534</f>
        <v>0</v>
      </c>
      <c r="K368" s="152" t="e">
        <f>IF(D368="","",VLOOKUP(D368,[1]TreeType!$A$2:$E$508,3,3))</f>
        <v>#N/A</v>
      </c>
      <c r="L368" s="152">
        <f>IF(D368&gt;0,IF(סקר!M534=0,1,IF(סקר!M534=0,1,סקר!M534)),0)</f>
        <v>0</v>
      </c>
      <c r="M368" s="152">
        <f>סקר!J534</f>
        <v>0</v>
      </c>
      <c r="N368" s="152">
        <f>IF(D368&gt;0,IF(סקר!K534=0,1,IF(סקר!K534=0,1,סקר!K534)),0)</f>
        <v>0</v>
      </c>
      <c r="O368" s="152" t="e">
        <f t="shared" si="9"/>
        <v>#N/A</v>
      </c>
      <c r="P368" s="152">
        <f>IF(B368&gt;0,IF(סקר!O534 &lt;=1,1,סקר!O534),0)</f>
        <v>0</v>
      </c>
      <c r="Q368" s="152">
        <f>סקר!P534</f>
        <v>0</v>
      </c>
      <c r="R368" s="152">
        <f>סקר!R534</f>
        <v>0</v>
      </c>
      <c r="S368" s="152">
        <f>סקר!BC534</f>
        <v>0</v>
      </c>
      <c r="T368" s="156"/>
    </row>
    <row r="369" spans="1:20">
      <c r="A369" s="152" t="str">
        <f>IF(סקר!D535&lt;2,"עץ","פוליגון")</f>
        <v>עץ</v>
      </c>
      <c r="B369" s="152">
        <f>סקר!B535</f>
        <v>0</v>
      </c>
      <c r="C369" s="152">
        <f>IF(סקר!D535&lt;2,1,סקר!D535)</f>
        <v>1</v>
      </c>
      <c r="D369" s="152">
        <f>סקר!C535</f>
        <v>0</v>
      </c>
      <c r="E369" s="152" t="str">
        <f>IFERROR(VLOOKUP(F369,[1]TreeType!$A:$E,5,0),"")</f>
        <v/>
      </c>
      <c r="F369" s="153" t="str">
        <f>IFERROR(VLOOKUP(D369,[1]TreeType!$A:$B,2,0),"")</f>
        <v/>
      </c>
      <c r="G369" s="72">
        <f>IF(B369&gt;0,IF(סקר!E535=0,1,סקר!E535),0)</f>
        <v>0</v>
      </c>
      <c r="H369" s="72">
        <f>IF(B369&gt;0,IF(סקר!F535 = 0,1,סקר!F535),0)</f>
        <v>0</v>
      </c>
      <c r="I369" s="152">
        <f>סקר!G535</f>
        <v>0</v>
      </c>
      <c r="J369" s="152">
        <f>סקר!H535</f>
        <v>0</v>
      </c>
      <c r="K369" s="152" t="e">
        <f>IF(D369="","",VLOOKUP(D369,[1]TreeType!$A$2:$E$508,3,3))</f>
        <v>#N/A</v>
      </c>
      <c r="L369" s="152">
        <f>IF(D369&gt;0,IF(סקר!M535=0,1,IF(סקר!M535=0,1,סקר!M535)),0)</f>
        <v>0</v>
      </c>
      <c r="M369" s="152">
        <f>סקר!J535</f>
        <v>0</v>
      </c>
      <c r="N369" s="152">
        <f>IF(D369&gt;0,IF(סקר!K535=0,1,IF(סקר!K535=0,1,סקר!K535)),0)</f>
        <v>0</v>
      </c>
      <c r="O369" s="152" t="e">
        <f t="shared" si="9"/>
        <v>#N/A</v>
      </c>
      <c r="P369" s="152">
        <f>IF(B369&gt;0,IF(סקר!O535 &lt;=1,1,סקר!O535),0)</f>
        <v>0</v>
      </c>
      <c r="Q369" s="152">
        <f>סקר!P535</f>
        <v>0</v>
      </c>
      <c r="R369" s="152">
        <f>סקר!R535</f>
        <v>0</v>
      </c>
      <c r="S369" s="152">
        <f>סקר!BC535</f>
        <v>0</v>
      </c>
      <c r="T369" s="156"/>
    </row>
    <row r="370" spans="1:20">
      <c r="A370" s="152" t="str">
        <f>IF(סקר!D536&lt;2,"עץ","פוליגון")</f>
        <v>עץ</v>
      </c>
      <c r="B370" s="152">
        <f>סקר!B536</f>
        <v>0</v>
      </c>
      <c r="C370" s="152">
        <f>IF(סקר!D536&lt;2,1,סקר!D536)</f>
        <v>1</v>
      </c>
      <c r="D370" s="152">
        <f>סקר!C536</f>
        <v>0</v>
      </c>
      <c r="E370" s="152" t="str">
        <f>IFERROR(VLOOKUP(F370,[1]TreeType!$A:$E,5,0),"")</f>
        <v/>
      </c>
      <c r="F370" s="153" t="str">
        <f>IFERROR(VLOOKUP(D370,[1]TreeType!$A:$B,2,0),"")</f>
        <v/>
      </c>
      <c r="G370" s="72">
        <f>IF(B370&gt;0,IF(סקר!E536=0,1,סקר!E536),0)</f>
        <v>0</v>
      </c>
      <c r="H370" s="72">
        <f>IF(B370&gt;0,IF(סקר!F536 = 0,1,סקר!F536),0)</f>
        <v>0</v>
      </c>
      <c r="I370" s="152">
        <f>סקר!G536</f>
        <v>0</v>
      </c>
      <c r="J370" s="152">
        <f>סקר!H536</f>
        <v>0</v>
      </c>
      <c r="K370" s="152" t="e">
        <f>IF(D370="","",VLOOKUP(D370,[1]TreeType!$A$2:$E$508,3,3))</f>
        <v>#N/A</v>
      </c>
      <c r="L370" s="152">
        <f>IF(D370&gt;0,IF(סקר!M536=0,1,IF(סקר!M536=0,1,סקר!M536)),0)</f>
        <v>0</v>
      </c>
      <c r="M370" s="152">
        <f>סקר!J536</f>
        <v>0</v>
      </c>
      <c r="N370" s="152">
        <f>IF(D370&gt;0,IF(סקר!K536=0,1,IF(סקר!K536=0,1,סקר!K536)),0)</f>
        <v>0</v>
      </c>
      <c r="O370" s="152" t="e">
        <f t="shared" si="9"/>
        <v>#N/A</v>
      </c>
      <c r="P370" s="152">
        <f>IF(B370&gt;0,IF(סקר!O536 &lt;=1,1,סקר!O536),0)</f>
        <v>0</v>
      </c>
      <c r="Q370" s="152">
        <f>סקר!P536</f>
        <v>0</v>
      </c>
      <c r="R370" s="152">
        <f>סקר!R536</f>
        <v>0</v>
      </c>
      <c r="S370" s="152">
        <f>סקר!BC536</f>
        <v>0</v>
      </c>
      <c r="T370" s="156"/>
    </row>
    <row r="371" spans="1:20">
      <c r="A371" s="152" t="str">
        <f>IF(סקר!D537&lt;2,"עץ","פוליגון")</f>
        <v>עץ</v>
      </c>
      <c r="B371" s="152">
        <f>סקר!B537</f>
        <v>0</v>
      </c>
      <c r="C371" s="152">
        <f>IF(סקר!D537&lt;2,1,סקר!D537)</f>
        <v>1</v>
      </c>
      <c r="D371" s="152">
        <f>סקר!C537</f>
        <v>0</v>
      </c>
      <c r="E371" s="152" t="str">
        <f>IFERROR(VLOOKUP(F371,[1]TreeType!$A:$E,5,0),"")</f>
        <v/>
      </c>
      <c r="F371" s="153" t="str">
        <f>IFERROR(VLOOKUP(D371,[1]TreeType!$A:$B,2,0),"")</f>
        <v/>
      </c>
      <c r="G371" s="72">
        <f>IF(B371&gt;0,IF(סקר!E537=0,1,סקר!E537),0)</f>
        <v>0</v>
      </c>
      <c r="H371" s="72">
        <f>IF(B371&gt;0,IF(סקר!F537 = 0,1,סקר!F537),0)</f>
        <v>0</v>
      </c>
      <c r="I371" s="152">
        <f>סקר!G537</f>
        <v>0</v>
      </c>
      <c r="J371" s="152">
        <f>סקר!H537</f>
        <v>0</v>
      </c>
      <c r="K371" s="152" t="e">
        <f>IF(D371="","",VLOOKUP(D371,[1]TreeType!$A$2:$E$508,3,3))</f>
        <v>#N/A</v>
      </c>
      <c r="L371" s="152">
        <f>IF(D371&gt;0,IF(סקר!M537=0,1,IF(סקר!M537=0,1,סקר!M537)),0)</f>
        <v>0</v>
      </c>
      <c r="M371" s="152">
        <f>סקר!J537</f>
        <v>0</v>
      </c>
      <c r="N371" s="152">
        <f>IF(D371&gt;0,IF(סקר!K537=0,1,IF(סקר!K537=0,1,סקר!K537)),0)</f>
        <v>0</v>
      </c>
      <c r="O371" s="152" t="e">
        <f t="shared" si="9"/>
        <v>#N/A</v>
      </c>
      <c r="P371" s="152">
        <f>IF(B371&gt;0,IF(סקר!O537 &lt;=1,1,סקר!O537),0)</f>
        <v>0</v>
      </c>
      <c r="Q371" s="152">
        <f>סקר!P537</f>
        <v>0</v>
      </c>
      <c r="R371" s="152">
        <f>סקר!R537</f>
        <v>0</v>
      </c>
      <c r="S371" s="152">
        <f>סקר!BC537</f>
        <v>0</v>
      </c>
      <c r="T371" s="156"/>
    </row>
    <row r="372" spans="1:20">
      <c r="A372" s="152" t="str">
        <f>IF(סקר!D538&lt;2,"עץ","פוליגון")</f>
        <v>עץ</v>
      </c>
      <c r="B372" s="152">
        <f>סקר!B538</f>
        <v>0</v>
      </c>
      <c r="C372" s="152">
        <f>IF(סקר!D538&lt;2,1,סקר!D538)</f>
        <v>1</v>
      </c>
      <c r="D372" s="152">
        <f>סקר!C538</f>
        <v>0</v>
      </c>
      <c r="E372" s="152" t="str">
        <f>IFERROR(VLOOKUP(F372,[1]TreeType!$A:$E,5,0),"")</f>
        <v/>
      </c>
      <c r="F372" s="153" t="str">
        <f>IFERROR(VLOOKUP(D372,[1]TreeType!$A:$B,2,0),"")</f>
        <v/>
      </c>
      <c r="G372" s="72">
        <f>IF(B372&gt;0,IF(סקר!E538=0,1,סקר!E538),0)</f>
        <v>0</v>
      </c>
      <c r="H372" s="72">
        <f>IF(B372&gt;0,IF(סקר!F538 = 0,1,סקר!F538),0)</f>
        <v>0</v>
      </c>
      <c r="I372" s="152">
        <f>סקר!G538</f>
        <v>0</v>
      </c>
      <c r="J372" s="152">
        <f>סקר!H538</f>
        <v>0</v>
      </c>
      <c r="K372" s="152" t="e">
        <f>IF(D372="","",VLOOKUP(D372,[1]TreeType!$A$2:$E$508,3,3))</f>
        <v>#N/A</v>
      </c>
      <c r="L372" s="152">
        <f>IF(D372&gt;0,IF(סקר!M538=0,1,IF(סקר!M538=0,1,סקר!M538)),0)</f>
        <v>0</v>
      </c>
      <c r="M372" s="152">
        <f>סקר!J538</f>
        <v>0</v>
      </c>
      <c r="N372" s="152">
        <f>IF(D372&gt;0,IF(סקר!K538=0,1,IF(סקר!K538=0,1,סקר!K538)),0)</f>
        <v>0</v>
      </c>
      <c r="O372" s="152" t="e">
        <f t="shared" si="9"/>
        <v>#N/A</v>
      </c>
      <c r="P372" s="152">
        <f>IF(B372&gt;0,IF(סקר!O538 &lt;=1,1,סקר!O538),0)</f>
        <v>0</v>
      </c>
      <c r="Q372" s="152">
        <f>סקר!P538</f>
        <v>0</v>
      </c>
      <c r="R372" s="152">
        <f>סקר!R538</f>
        <v>0</v>
      </c>
      <c r="S372" s="152">
        <f>סקר!BC538</f>
        <v>0</v>
      </c>
      <c r="T372" s="156"/>
    </row>
    <row r="373" spans="1:20">
      <c r="A373" s="152" t="str">
        <f>IF(סקר!D539&lt;2,"עץ","פוליגון")</f>
        <v>עץ</v>
      </c>
      <c r="B373" s="152">
        <f>סקר!B539</f>
        <v>0</v>
      </c>
      <c r="C373" s="152">
        <f>IF(סקר!D539&lt;2,1,סקר!D539)</f>
        <v>1</v>
      </c>
      <c r="D373" s="152">
        <f>סקר!C539</f>
        <v>0</v>
      </c>
      <c r="E373" s="152" t="str">
        <f>IFERROR(VLOOKUP(F373,[1]TreeType!$A:$E,5,0),"")</f>
        <v/>
      </c>
      <c r="F373" s="153" t="str">
        <f>IFERROR(VLOOKUP(D373,[1]TreeType!$A:$B,2,0),"")</f>
        <v/>
      </c>
      <c r="G373" s="72">
        <f>IF(B373&gt;0,IF(סקר!E539=0,1,סקר!E539),0)</f>
        <v>0</v>
      </c>
      <c r="H373" s="72">
        <f>IF(B373&gt;0,IF(סקר!F539 = 0,1,סקר!F539),0)</f>
        <v>0</v>
      </c>
      <c r="I373" s="152">
        <f>סקר!G539</f>
        <v>0</v>
      </c>
      <c r="J373" s="152">
        <f>סקר!H539</f>
        <v>0</v>
      </c>
      <c r="K373" s="152" t="e">
        <f>IF(D373="","",VLOOKUP(D373,[1]TreeType!$A$2:$E$508,3,3))</f>
        <v>#N/A</v>
      </c>
      <c r="L373" s="152">
        <f>IF(D373&gt;0,IF(סקר!M539=0,1,IF(סקר!M539=0,1,סקר!M539)),0)</f>
        <v>0</v>
      </c>
      <c r="M373" s="152">
        <f>סקר!J539</f>
        <v>0</v>
      </c>
      <c r="N373" s="152">
        <f>IF(D373&gt;0,IF(סקר!K539=0,1,IF(סקר!K539=0,1,סקר!K539)),0)</f>
        <v>0</v>
      </c>
      <c r="O373" s="152" t="e">
        <f t="shared" si="9"/>
        <v>#N/A</v>
      </c>
      <c r="P373" s="152">
        <f>IF(B373&gt;0,IF(סקר!O539 &lt;=1,1,סקר!O539),0)</f>
        <v>0</v>
      </c>
      <c r="Q373" s="152">
        <f>סקר!P539</f>
        <v>0</v>
      </c>
      <c r="R373" s="152">
        <f>סקר!R539</f>
        <v>0</v>
      </c>
      <c r="S373" s="152">
        <f>סקר!BC539</f>
        <v>0</v>
      </c>
      <c r="T373" s="156"/>
    </row>
    <row r="374" spans="1:20">
      <c r="A374" s="152" t="str">
        <f>IF(סקר!D540&lt;2,"עץ","פוליגון")</f>
        <v>עץ</v>
      </c>
      <c r="B374" s="152">
        <f>סקר!B540</f>
        <v>0</v>
      </c>
      <c r="C374" s="152">
        <f>IF(סקר!D540&lt;2,1,סקר!D540)</f>
        <v>1</v>
      </c>
      <c r="D374" s="152">
        <f>סקר!C540</f>
        <v>0</v>
      </c>
      <c r="E374" s="152" t="str">
        <f>IFERROR(VLOOKUP(F374,[1]TreeType!$A:$E,5,0),"")</f>
        <v/>
      </c>
      <c r="F374" s="153" t="str">
        <f>IFERROR(VLOOKUP(D374,[1]TreeType!$A:$B,2,0),"")</f>
        <v/>
      </c>
      <c r="G374" s="72">
        <f>IF(B374&gt;0,IF(סקר!E540=0,1,סקר!E540),0)</f>
        <v>0</v>
      </c>
      <c r="H374" s="72">
        <f>IF(B374&gt;0,IF(סקר!F540 = 0,1,סקר!F540),0)</f>
        <v>0</v>
      </c>
      <c r="I374" s="152">
        <f>סקר!G540</f>
        <v>0</v>
      </c>
      <c r="J374" s="152">
        <f>סקר!H540</f>
        <v>0</v>
      </c>
      <c r="K374" s="152" t="e">
        <f>IF(D374="","",VLOOKUP(D374,[1]TreeType!$A$2:$E$508,3,3))</f>
        <v>#N/A</v>
      </c>
      <c r="L374" s="152">
        <f>IF(D374&gt;0,IF(סקר!M540=0,1,IF(סקר!M540=0,1,סקר!M540)),0)</f>
        <v>0</v>
      </c>
      <c r="M374" s="152">
        <f>סקר!J540</f>
        <v>0</v>
      </c>
      <c r="N374" s="152">
        <f>IF(D374&gt;0,IF(סקר!K540=0,1,IF(סקר!K540=0,1,סקר!K540)),0)</f>
        <v>0</v>
      </c>
      <c r="O374" s="152" t="e">
        <f t="shared" si="9"/>
        <v>#N/A</v>
      </c>
      <c r="P374" s="152">
        <f>IF(B374&gt;0,IF(סקר!O540 &lt;=1,1,סקר!O540),0)</f>
        <v>0</v>
      </c>
      <c r="Q374" s="152">
        <f>סקר!P540</f>
        <v>0</v>
      </c>
      <c r="R374" s="152">
        <f>סקר!R540</f>
        <v>0</v>
      </c>
      <c r="S374" s="152">
        <f>סקר!BC540</f>
        <v>0</v>
      </c>
      <c r="T374" s="156"/>
    </row>
    <row r="375" spans="1:20">
      <c r="A375" s="152" t="str">
        <f>IF(סקר!D541&lt;2,"עץ","פוליגון")</f>
        <v>עץ</v>
      </c>
      <c r="B375" s="152">
        <f>סקר!B541</f>
        <v>0</v>
      </c>
      <c r="C375" s="152">
        <f>IF(סקר!D541&lt;2,1,סקר!D541)</f>
        <v>1</v>
      </c>
      <c r="D375" s="152">
        <f>סקר!C541</f>
        <v>0</v>
      </c>
      <c r="E375" s="152" t="str">
        <f>IFERROR(VLOOKUP(F375,[1]TreeType!$A:$E,5,0),"")</f>
        <v/>
      </c>
      <c r="F375" s="153" t="str">
        <f>IFERROR(VLOOKUP(D375,[1]TreeType!$A:$B,2,0),"")</f>
        <v/>
      </c>
      <c r="G375" s="72">
        <f>IF(B375&gt;0,IF(סקר!E541=0,1,סקר!E541),0)</f>
        <v>0</v>
      </c>
      <c r="H375" s="72">
        <f>IF(B375&gt;0,IF(סקר!F541 = 0,1,סקר!F541),0)</f>
        <v>0</v>
      </c>
      <c r="I375" s="152">
        <f>סקר!G541</f>
        <v>0</v>
      </c>
      <c r="J375" s="152">
        <f>סקר!H541</f>
        <v>0</v>
      </c>
      <c r="K375" s="152" t="e">
        <f>IF(D375="","",VLOOKUP(D375,[1]TreeType!$A$2:$E$508,3,3))</f>
        <v>#N/A</v>
      </c>
      <c r="L375" s="152">
        <f>IF(D375&gt;0,IF(סקר!M541=0,1,IF(סקר!M541=0,1,סקר!M541)),0)</f>
        <v>0</v>
      </c>
      <c r="M375" s="152">
        <f>סקר!J541</f>
        <v>0</v>
      </c>
      <c r="N375" s="152">
        <f>IF(D375&gt;0,IF(סקר!K541=0,1,IF(סקר!K541=0,1,סקר!K541)),0)</f>
        <v>0</v>
      </c>
      <c r="O375" s="152" t="e">
        <f t="shared" si="9"/>
        <v>#N/A</v>
      </c>
      <c r="P375" s="152">
        <f>IF(B375&gt;0,IF(סקר!O541 &lt;=1,1,סקר!O541),0)</f>
        <v>0</v>
      </c>
      <c r="Q375" s="152">
        <f>סקר!P541</f>
        <v>0</v>
      </c>
      <c r="R375" s="152">
        <f>סקר!R541</f>
        <v>0</v>
      </c>
      <c r="S375" s="152">
        <f>סקר!BC541</f>
        <v>0</v>
      </c>
      <c r="T375" s="156"/>
    </row>
    <row r="376" spans="1:20">
      <c r="A376" s="152" t="str">
        <f>IF(סקר!D542&lt;2,"עץ","פוליגון")</f>
        <v>עץ</v>
      </c>
      <c r="B376" s="152">
        <f>סקר!B542</f>
        <v>0</v>
      </c>
      <c r="C376" s="152">
        <f>IF(סקר!D542&lt;2,1,סקר!D542)</f>
        <v>1</v>
      </c>
      <c r="D376" s="152">
        <f>סקר!C542</f>
        <v>0</v>
      </c>
      <c r="E376" s="152" t="str">
        <f>IFERROR(VLOOKUP(F376,[1]TreeType!$A:$E,5,0),"")</f>
        <v/>
      </c>
      <c r="F376" s="153" t="str">
        <f>IFERROR(VLOOKUP(D376,[1]TreeType!$A:$B,2,0),"")</f>
        <v/>
      </c>
      <c r="G376" s="72">
        <f>IF(B376&gt;0,IF(סקר!E542=0,1,סקר!E542),0)</f>
        <v>0</v>
      </c>
      <c r="H376" s="72">
        <f>IF(B376&gt;0,IF(סקר!F542 = 0,1,סקר!F542),0)</f>
        <v>0</v>
      </c>
      <c r="I376" s="152">
        <f>סקר!G542</f>
        <v>0</v>
      </c>
      <c r="J376" s="152">
        <f>סקר!H542</f>
        <v>0</v>
      </c>
      <c r="K376" s="152" t="e">
        <f>IF(D376="","",VLOOKUP(D376,[1]TreeType!$A$2:$E$508,3,3))</f>
        <v>#N/A</v>
      </c>
      <c r="L376" s="152">
        <f>IF(D376&gt;0,IF(סקר!M542=0,1,IF(סקר!M542=0,1,סקר!M542)),0)</f>
        <v>0</v>
      </c>
      <c r="M376" s="152">
        <f>סקר!J542</f>
        <v>0</v>
      </c>
      <c r="N376" s="152">
        <f>IF(D376&gt;0,IF(סקר!K542=0,1,IF(סקר!K542=0,1,סקר!K542)),0)</f>
        <v>0</v>
      </c>
      <c r="O376" s="152" t="e">
        <f t="shared" si="9"/>
        <v>#N/A</v>
      </c>
      <c r="P376" s="152">
        <f>IF(B376&gt;0,IF(סקר!O542 &lt;=1,1,סקר!O542),0)</f>
        <v>0</v>
      </c>
      <c r="Q376" s="152">
        <f>סקר!P542</f>
        <v>0</v>
      </c>
      <c r="R376" s="152">
        <f>סקר!R542</f>
        <v>0</v>
      </c>
      <c r="S376" s="152">
        <f>סקר!BC542</f>
        <v>0</v>
      </c>
      <c r="T376" s="156"/>
    </row>
    <row r="377" spans="1:20">
      <c r="A377" s="152" t="str">
        <f>IF(סקר!D543&lt;2,"עץ","פוליגון")</f>
        <v>עץ</v>
      </c>
      <c r="B377" s="152">
        <f>סקר!B543</f>
        <v>0</v>
      </c>
      <c r="C377" s="152">
        <f>IF(סקר!D543&lt;2,1,סקר!D543)</f>
        <v>1</v>
      </c>
      <c r="D377" s="152">
        <f>סקר!C543</f>
        <v>0</v>
      </c>
      <c r="E377" s="152" t="str">
        <f>IFERROR(VLOOKUP(F377,[1]TreeType!$A:$E,5,0),"")</f>
        <v/>
      </c>
      <c r="F377" s="153" t="str">
        <f>IFERROR(VLOOKUP(D377,[1]TreeType!$A:$B,2,0),"")</f>
        <v/>
      </c>
      <c r="G377" s="72">
        <f>IF(B377&gt;0,IF(סקר!E543=0,1,סקר!E543),0)</f>
        <v>0</v>
      </c>
      <c r="H377" s="72">
        <f>IF(B377&gt;0,IF(סקר!F543 = 0,1,סקר!F543),0)</f>
        <v>0</v>
      </c>
      <c r="I377" s="152">
        <f>סקר!G543</f>
        <v>0</v>
      </c>
      <c r="J377" s="152">
        <f>סקר!H543</f>
        <v>0</v>
      </c>
      <c r="K377" s="152" t="e">
        <f>IF(D377="","",VLOOKUP(D377,[1]TreeType!$A$2:$E$508,3,3))</f>
        <v>#N/A</v>
      </c>
      <c r="L377" s="152">
        <f>IF(D377&gt;0,IF(סקר!M543=0,1,IF(סקר!M543=0,1,סקר!M543)),0)</f>
        <v>0</v>
      </c>
      <c r="M377" s="152">
        <f>סקר!J543</f>
        <v>0</v>
      </c>
      <c r="N377" s="152">
        <f>IF(D377&gt;0,IF(סקר!K543=0,1,IF(סקר!K543=0,1,סקר!K543)),0)</f>
        <v>0</v>
      </c>
      <c r="O377" s="152" t="e">
        <f t="shared" si="9"/>
        <v>#N/A</v>
      </c>
      <c r="P377" s="152">
        <f>IF(B377&gt;0,IF(סקר!O543 &lt;=1,1,סקר!O543),0)</f>
        <v>0</v>
      </c>
      <c r="Q377" s="152">
        <f>סקר!P543</f>
        <v>0</v>
      </c>
      <c r="R377" s="152">
        <f>סקר!R543</f>
        <v>0</v>
      </c>
      <c r="S377" s="152">
        <f>סקר!BC543</f>
        <v>0</v>
      </c>
      <c r="T377" s="156"/>
    </row>
    <row r="378" spans="1:20">
      <c r="A378" s="152" t="str">
        <f>IF(סקר!D544&lt;2,"עץ","פוליגון")</f>
        <v>עץ</v>
      </c>
      <c r="B378" s="152">
        <f>סקר!B544</f>
        <v>0</v>
      </c>
      <c r="C378" s="152">
        <f>IF(סקר!D544&lt;2,1,סקר!D544)</f>
        <v>1</v>
      </c>
      <c r="D378" s="152">
        <f>סקר!C544</f>
        <v>0</v>
      </c>
      <c r="E378" s="152" t="str">
        <f>IFERROR(VLOOKUP(F378,[1]TreeType!$A:$E,5,0),"")</f>
        <v/>
      </c>
      <c r="F378" s="153" t="str">
        <f>IFERROR(VLOOKUP(D378,[1]TreeType!$A:$B,2,0),"")</f>
        <v/>
      </c>
      <c r="G378" s="72">
        <f>IF(B378&gt;0,IF(סקר!E544=0,1,סקר!E544),0)</f>
        <v>0</v>
      </c>
      <c r="H378" s="72">
        <f>IF(B378&gt;0,IF(סקר!F544 = 0,1,סקר!F544),0)</f>
        <v>0</v>
      </c>
      <c r="I378" s="152">
        <f>סקר!G544</f>
        <v>0</v>
      </c>
      <c r="J378" s="152">
        <f>סקר!H544</f>
        <v>0</v>
      </c>
      <c r="K378" s="152" t="e">
        <f>IF(D378="","",VLOOKUP(D378,[1]TreeType!$A$2:$E$508,3,3))</f>
        <v>#N/A</v>
      </c>
      <c r="L378" s="152">
        <f>IF(D378&gt;0,IF(סקר!M544=0,1,IF(סקר!M544=0,1,סקר!M544)),0)</f>
        <v>0</v>
      </c>
      <c r="M378" s="152">
        <f>סקר!J544</f>
        <v>0</v>
      </c>
      <c r="N378" s="152">
        <f>IF(D378&gt;0,IF(סקר!K544=0,1,IF(סקר!K544=0,1,סקר!K544)),0)</f>
        <v>0</v>
      </c>
      <c r="O378" s="152" t="e">
        <f t="shared" si="9"/>
        <v>#N/A</v>
      </c>
      <c r="P378" s="152">
        <f>IF(B378&gt;0,IF(סקר!O544 &lt;=1,1,סקר!O544),0)</f>
        <v>0</v>
      </c>
      <c r="Q378" s="152">
        <f>סקר!P544</f>
        <v>0</v>
      </c>
      <c r="R378" s="152">
        <f>סקר!R544</f>
        <v>0</v>
      </c>
      <c r="S378" s="152">
        <f>סקר!BC544</f>
        <v>0</v>
      </c>
      <c r="T378" s="156"/>
    </row>
    <row r="379" spans="1:20">
      <c r="A379" s="152" t="str">
        <f>IF(סקר!D559&lt;2,"עץ","פוליגון")</f>
        <v>עץ</v>
      </c>
      <c r="B379" s="152">
        <f>סקר!B559</f>
        <v>0</v>
      </c>
      <c r="C379" s="152">
        <f>IF(סקר!D559&lt;2,1,סקר!D559)</f>
        <v>1</v>
      </c>
      <c r="D379" s="152">
        <f>סקר!C559</f>
        <v>0</v>
      </c>
      <c r="E379" s="152" t="str">
        <f>IFERROR(VLOOKUP(F379,[1]TreeType!$A:$E,5,0),"")</f>
        <v/>
      </c>
      <c r="F379" s="153" t="str">
        <f>IFERROR(VLOOKUP(D379,[1]TreeType!$A:$B,2,0),"")</f>
        <v/>
      </c>
      <c r="G379" s="72">
        <f>IF(B379&gt;0,IF(סקר!E559=0,1,סקר!E559),0)</f>
        <v>0</v>
      </c>
      <c r="H379" s="72">
        <f>IF(B379&gt;0,IF(סקר!F559 = 0,1,סקר!F559),0)</f>
        <v>0</v>
      </c>
      <c r="I379" s="152">
        <f>סקר!G559</f>
        <v>0</v>
      </c>
      <c r="J379" s="152">
        <f>סקר!H559</f>
        <v>0</v>
      </c>
      <c r="K379" s="152" t="e">
        <f>IF(D379="","",VLOOKUP(D379,[1]TreeType!$A$2:$E$508,3,3))</f>
        <v>#N/A</v>
      </c>
      <c r="L379" s="152">
        <f>IF(D379&gt;0,IF(סקר!M559=0,1,IF(סקר!M559=0,1,סקר!M559)),0)</f>
        <v>0</v>
      </c>
      <c r="M379" s="152">
        <f>סקר!J559</f>
        <v>0</v>
      </c>
      <c r="N379" s="152">
        <f>IF(D379&gt;0,IF(סקר!K559=0,1,IF(סקר!K559=0,1,סקר!K559)),0)</f>
        <v>0</v>
      </c>
      <c r="O379" s="152" t="e">
        <f t="shared" si="9"/>
        <v>#N/A</v>
      </c>
      <c r="P379" s="152">
        <f>IF(B379&gt;0,IF(סקר!O559 &lt;=1,1,סקר!O559),0)</f>
        <v>0</v>
      </c>
      <c r="Q379" s="152">
        <f>סקר!P559</f>
        <v>0</v>
      </c>
      <c r="R379" s="152">
        <f>סקר!R559</f>
        <v>0</v>
      </c>
      <c r="S379" s="152">
        <f>סקר!BC559</f>
        <v>0</v>
      </c>
      <c r="T379" s="156"/>
    </row>
    <row r="380" spans="1:20">
      <c r="A380" s="152" t="str">
        <f>IF(סקר!D560&lt;2,"עץ","פוליגון")</f>
        <v>עץ</v>
      </c>
      <c r="B380" s="152">
        <f>סקר!B560</f>
        <v>0</v>
      </c>
      <c r="C380" s="152">
        <f>IF(סקר!D560&lt;2,1,סקר!D560)</f>
        <v>1</v>
      </c>
      <c r="D380" s="152">
        <f>סקר!C560</f>
        <v>0</v>
      </c>
      <c r="E380" s="152" t="str">
        <f>IFERROR(VLOOKUP(F380,[1]TreeType!$A:$E,5,0),"")</f>
        <v/>
      </c>
      <c r="F380" s="153" t="str">
        <f>IFERROR(VLOOKUP(D380,[1]TreeType!$A:$B,2,0),"")</f>
        <v/>
      </c>
      <c r="G380" s="72">
        <f>IF(B380&gt;0,IF(סקר!E560=0,1,סקר!E560),0)</f>
        <v>0</v>
      </c>
      <c r="H380" s="72">
        <f>IF(B380&gt;0,IF(סקר!F560 = 0,1,סקר!F560),0)</f>
        <v>0</v>
      </c>
      <c r="I380" s="152">
        <f>סקר!G560</f>
        <v>0</v>
      </c>
      <c r="J380" s="152">
        <f>סקר!H560</f>
        <v>0</v>
      </c>
      <c r="K380" s="152" t="e">
        <f>IF(D380="","",VLOOKUP(D380,[1]TreeType!$A$2:$E$508,3,3))</f>
        <v>#N/A</v>
      </c>
      <c r="L380" s="152">
        <f>IF(D380&gt;0,IF(סקר!M560=0,1,IF(סקר!M560=0,1,סקר!M560)),0)</f>
        <v>0</v>
      </c>
      <c r="M380" s="152">
        <f>סקר!J560</f>
        <v>0</v>
      </c>
      <c r="N380" s="152">
        <f>IF(D380&gt;0,IF(סקר!K560=0,1,IF(סקר!K560=0,1,סקר!K560)),0)</f>
        <v>0</v>
      </c>
      <c r="O380" s="152" t="e">
        <f t="shared" si="9"/>
        <v>#N/A</v>
      </c>
      <c r="P380" s="152">
        <f>IF(B380&gt;0,IF(סקר!O560 &lt;=1,1,סקר!O560),0)</f>
        <v>0</v>
      </c>
      <c r="Q380" s="152">
        <f>סקר!P560</f>
        <v>0</v>
      </c>
      <c r="R380" s="152">
        <f>סקר!R560</f>
        <v>0</v>
      </c>
      <c r="S380" s="152">
        <f>סקר!BC560</f>
        <v>0</v>
      </c>
      <c r="T380" s="156"/>
    </row>
    <row r="381" spans="1:20">
      <c r="A381" s="152" t="str">
        <f>IF(סקר!D561&lt;2,"עץ","פוליגון")</f>
        <v>עץ</v>
      </c>
      <c r="B381" s="152">
        <f>סקר!B561</f>
        <v>0</v>
      </c>
      <c r="C381" s="152">
        <f>IF(סקר!D561&lt;2,1,סקר!D561)</f>
        <v>1</v>
      </c>
      <c r="D381" s="152">
        <f>סקר!C561</f>
        <v>0</v>
      </c>
      <c r="E381" s="152" t="str">
        <f>IFERROR(VLOOKUP(F381,[1]TreeType!$A:$E,5,0),"")</f>
        <v/>
      </c>
      <c r="F381" s="153" t="str">
        <f>IFERROR(VLOOKUP(D381,[1]TreeType!$A:$B,2,0),"")</f>
        <v/>
      </c>
      <c r="G381" s="72">
        <f>IF(B381&gt;0,IF(סקר!E561=0,1,סקר!E561),0)</f>
        <v>0</v>
      </c>
      <c r="H381" s="72">
        <f>IF(B381&gt;0,IF(סקר!F561 = 0,1,סקר!F561),0)</f>
        <v>0</v>
      </c>
      <c r="I381" s="152">
        <f>סקר!G561</f>
        <v>0</v>
      </c>
      <c r="J381" s="152">
        <f>סקר!H561</f>
        <v>0</v>
      </c>
      <c r="K381" s="152" t="e">
        <f>IF(D381="","",VLOOKUP(D381,[1]TreeType!$A$2:$E$508,3,3))</f>
        <v>#N/A</v>
      </c>
      <c r="L381" s="152">
        <f>IF(D381&gt;0,IF(סקר!M561=0,1,IF(סקר!M561=0,1,סקר!M561)),0)</f>
        <v>0</v>
      </c>
      <c r="M381" s="152">
        <f>סקר!J561</f>
        <v>0</v>
      </c>
      <c r="N381" s="152">
        <f>IF(D381&gt;0,IF(סקר!K561=0,1,IF(סקר!K561=0,1,סקר!K561)),0)</f>
        <v>0</v>
      </c>
      <c r="O381" s="152" t="e">
        <f t="shared" si="9"/>
        <v>#N/A</v>
      </c>
      <c r="P381" s="152">
        <f>IF(B381&gt;0,IF(סקר!O561 &lt;=1,1,סקר!O561),0)</f>
        <v>0</v>
      </c>
      <c r="Q381" s="152">
        <f>סקר!P561</f>
        <v>0</v>
      </c>
      <c r="R381" s="152">
        <f>סקר!R561</f>
        <v>0</v>
      </c>
      <c r="S381" s="152">
        <f>סקר!BC561</f>
        <v>0</v>
      </c>
      <c r="T381" s="156"/>
    </row>
    <row r="382" spans="1:20">
      <c r="A382" s="152" t="str">
        <f>IF(סקר!D562&lt;2,"עץ","פוליגון")</f>
        <v>עץ</v>
      </c>
      <c r="B382" s="152">
        <f>סקר!B562</f>
        <v>0</v>
      </c>
      <c r="C382" s="152">
        <f>IF(סקר!D562&lt;2,1,סקר!D562)</f>
        <v>1</v>
      </c>
      <c r="D382" s="152">
        <f>סקר!C562</f>
        <v>0</v>
      </c>
      <c r="E382" s="152" t="str">
        <f>IFERROR(VLOOKUP(F382,[1]TreeType!$A:$E,5,0),"")</f>
        <v/>
      </c>
      <c r="F382" s="153" t="str">
        <f>IFERROR(VLOOKUP(D382,[1]TreeType!$A:$B,2,0),"")</f>
        <v/>
      </c>
      <c r="G382" s="72">
        <f>IF(B382&gt;0,IF(סקר!E562=0,1,סקר!E562),0)</f>
        <v>0</v>
      </c>
      <c r="H382" s="72">
        <f>IF(B382&gt;0,IF(סקר!F562 = 0,1,סקר!F562),0)</f>
        <v>0</v>
      </c>
      <c r="I382" s="152">
        <f>סקר!G562</f>
        <v>0</v>
      </c>
      <c r="J382" s="152">
        <f>סקר!H562</f>
        <v>0</v>
      </c>
      <c r="K382" s="152" t="e">
        <f>IF(D382="","",VLOOKUP(D382,[1]TreeType!$A$2:$E$508,3,3))</f>
        <v>#N/A</v>
      </c>
      <c r="L382" s="152">
        <f>IF(D382&gt;0,IF(סקר!M562=0,1,IF(סקר!M562=0,1,סקר!M562)),0)</f>
        <v>0</v>
      </c>
      <c r="M382" s="152">
        <f>סקר!J562</f>
        <v>0</v>
      </c>
      <c r="N382" s="152">
        <f>IF(D382&gt;0,IF(סקר!K562=0,1,IF(סקר!K562=0,1,סקר!K562)),0)</f>
        <v>0</v>
      </c>
      <c r="O382" s="152" t="e">
        <f t="shared" si="9"/>
        <v>#N/A</v>
      </c>
      <c r="P382" s="152">
        <f>IF(B382&gt;0,IF(סקר!O562 &lt;=1,1,סקר!O562),0)</f>
        <v>0</v>
      </c>
      <c r="Q382" s="152">
        <f>סקר!P562</f>
        <v>0</v>
      </c>
      <c r="R382" s="152">
        <f>סקר!R562</f>
        <v>0</v>
      </c>
      <c r="S382" s="152">
        <f>סקר!BC562</f>
        <v>0</v>
      </c>
      <c r="T382" s="156"/>
    </row>
    <row r="383" spans="1:20">
      <c r="A383" s="152" t="str">
        <f>IF(סקר!D563&lt;2,"עץ","פוליגון")</f>
        <v>עץ</v>
      </c>
      <c r="B383" s="152">
        <f>סקר!B563</f>
        <v>0</v>
      </c>
      <c r="C383" s="152">
        <f>IF(סקר!D563&lt;2,1,סקר!D563)</f>
        <v>1</v>
      </c>
      <c r="D383" s="152">
        <f>סקר!C563</f>
        <v>0</v>
      </c>
      <c r="E383" s="152" t="str">
        <f>IFERROR(VLOOKUP(F383,[1]TreeType!$A:$E,5,0),"")</f>
        <v/>
      </c>
      <c r="F383" s="153" t="str">
        <f>IFERROR(VLOOKUP(D383,[1]TreeType!$A:$B,2,0),"")</f>
        <v/>
      </c>
      <c r="G383" s="72">
        <f>IF(B383&gt;0,IF(סקר!E563=0,1,סקר!E563),0)</f>
        <v>0</v>
      </c>
      <c r="H383" s="72">
        <f>IF(B383&gt;0,IF(סקר!F563 = 0,1,סקר!F563),0)</f>
        <v>0</v>
      </c>
      <c r="I383" s="152">
        <f>סקר!G563</f>
        <v>0</v>
      </c>
      <c r="J383" s="152">
        <f>סקר!H563</f>
        <v>0</v>
      </c>
      <c r="K383" s="152" t="e">
        <f>IF(D383="","",VLOOKUP(D383,[1]TreeType!$A$2:$E$508,3,3))</f>
        <v>#N/A</v>
      </c>
      <c r="L383" s="152">
        <f>IF(D383&gt;0,IF(סקר!M563=0,1,IF(סקר!M563=0,1,סקר!M563)),0)</f>
        <v>0</v>
      </c>
      <c r="M383" s="152">
        <f>סקר!J563</f>
        <v>0</v>
      </c>
      <c r="N383" s="152">
        <f>IF(D383&gt;0,IF(סקר!K563=0,1,IF(סקר!K563=0,1,סקר!K563)),0)</f>
        <v>0</v>
      </c>
      <c r="O383" s="152" t="e">
        <f t="shared" si="9"/>
        <v>#N/A</v>
      </c>
      <c r="P383" s="152">
        <f>IF(B383&gt;0,IF(סקר!O563 &lt;=1,1,סקר!O563),0)</f>
        <v>0</v>
      </c>
      <c r="Q383" s="152">
        <f>סקר!P563</f>
        <v>0</v>
      </c>
      <c r="R383" s="152">
        <f>סקר!R563</f>
        <v>0</v>
      </c>
      <c r="S383" s="152">
        <f>סקר!BC563</f>
        <v>0</v>
      </c>
      <c r="T383" s="156"/>
    </row>
    <row r="384" spans="1:20">
      <c r="A384" s="152" t="str">
        <f>IF(סקר!D564&lt;2,"עץ","פוליגון")</f>
        <v>עץ</v>
      </c>
      <c r="B384" s="152">
        <f>סקר!B564</f>
        <v>0</v>
      </c>
      <c r="C384" s="152">
        <f>IF(סקר!D564&lt;2,1,סקר!D564)</f>
        <v>1</v>
      </c>
      <c r="D384" s="152">
        <f>סקר!C564</f>
        <v>0</v>
      </c>
      <c r="E384" s="152" t="str">
        <f>IFERROR(VLOOKUP(F384,[1]TreeType!$A:$E,5,0),"")</f>
        <v/>
      </c>
      <c r="F384" s="153" t="str">
        <f>IFERROR(VLOOKUP(D384,[1]TreeType!$A:$B,2,0),"")</f>
        <v/>
      </c>
      <c r="G384" s="72">
        <f>IF(B384&gt;0,IF(סקר!E564=0,1,סקר!E564),0)</f>
        <v>0</v>
      </c>
      <c r="H384" s="72">
        <f>IF(B384&gt;0,IF(סקר!F564 = 0,1,סקר!F564),0)</f>
        <v>0</v>
      </c>
      <c r="I384" s="152">
        <f>סקר!G564</f>
        <v>0</v>
      </c>
      <c r="J384" s="152">
        <f>סקר!H564</f>
        <v>0</v>
      </c>
      <c r="K384" s="152" t="e">
        <f>IF(D384="","",VLOOKUP(D384,[1]TreeType!$A$2:$E$508,3,3))</f>
        <v>#N/A</v>
      </c>
      <c r="L384" s="152">
        <f>IF(D384&gt;0,IF(סקר!M564=0,1,IF(סקר!M564=0,1,סקר!M564)),0)</f>
        <v>0</v>
      </c>
      <c r="M384" s="152">
        <f>סקר!J564</f>
        <v>0</v>
      </c>
      <c r="N384" s="152">
        <f>IF(D384&gt;0,IF(סקר!K564=0,1,IF(סקר!K564=0,1,סקר!K564)),0)</f>
        <v>0</v>
      </c>
      <c r="O384" s="152" t="e">
        <f t="shared" si="9"/>
        <v>#N/A</v>
      </c>
      <c r="P384" s="152">
        <f>IF(B384&gt;0,IF(סקר!O564 &lt;=1,1,סקר!O564),0)</f>
        <v>0</v>
      </c>
      <c r="Q384" s="152">
        <f>סקר!P564</f>
        <v>0</v>
      </c>
      <c r="R384" s="152">
        <f>סקר!R564</f>
        <v>0</v>
      </c>
      <c r="S384" s="152">
        <f>סקר!BC564</f>
        <v>0</v>
      </c>
      <c r="T384" s="156"/>
    </row>
    <row r="385" spans="1:20">
      <c r="A385" s="152" t="str">
        <f>IF(סקר!D565&lt;2,"עץ","פוליגון")</f>
        <v>עץ</v>
      </c>
      <c r="B385" s="152">
        <f>סקר!B565</f>
        <v>0</v>
      </c>
      <c r="C385" s="152">
        <f>IF(סקר!D565&lt;2,1,סקר!D565)</f>
        <v>1</v>
      </c>
      <c r="D385" s="152">
        <f>סקר!C565</f>
        <v>0</v>
      </c>
      <c r="E385" s="152" t="str">
        <f>IFERROR(VLOOKUP(F385,[1]TreeType!$A:$E,5,0),"")</f>
        <v/>
      </c>
      <c r="F385" s="153" t="str">
        <f>IFERROR(VLOOKUP(D385,[1]TreeType!$A:$B,2,0),"")</f>
        <v/>
      </c>
      <c r="G385" s="72">
        <f>IF(B385&gt;0,IF(סקר!E565=0,1,סקר!E565),0)</f>
        <v>0</v>
      </c>
      <c r="H385" s="72">
        <f>IF(B385&gt;0,IF(סקר!F565 = 0,1,סקר!F565),0)</f>
        <v>0</v>
      </c>
      <c r="I385" s="152">
        <f>סקר!G565</f>
        <v>0</v>
      </c>
      <c r="J385" s="152">
        <f>סקר!H565</f>
        <v>0</v>
      </c>
      <c r="K385" s="152" t="e">
        <f>IF(D385="","",VLOOKUP(D385,[1]TreeType!$A$2:$E$508,3,3))</f>
        <v>#N/A</v>
      </c>
      <c r="L385" s="152">
        <f>IF(D385&gt;0,IF(סקר!M565=0,1,IF(סקר!M565=0,1,סקר!M565)),0)</f>
        <v>0</v>
      </c>
      <c r="M385" s="152">
        <f>סקר!J565</f>
        <v>0</v>
      </c>
      <c r="N385" s="152">
        <f>IF(D385&gt;0,IF(סקר!K565=0,1,IF(סקר!K565=0,1,סקר!K565)),0)</f>
        <v>0</v>
      </c>
      <c r="O385" s="152" t="e">
        <f t="shared" si="9"/>
        <v>#N/A</v>
      </c>
      <c r="P385" s="152">
        <f>IF(B385&gt;0,IF(סקר!O565 &lt;=1,1,סקר!O565),0)</f>
        <v>0</v>
      </c>
      <c r="Q385" s="152">
        <f>סקר!P565</f>
        <v>0</v>
      </c>
      <c r="R385" s="152">
        <f>סקר!R565</f>
        <v>0</v>
      </c>
      <c r="S385" s="152">
        <f>סקר!BC565</f>
        <v>0</v>
      </c>
      <c r="T385" s="156"/>
    </row>
    <row r="386" spans="1:20">
      <c r="A386" s="152" t="str">
        <f>IF(סקר!D566&lt;2,"עץ","פוליגון")</f>
        <v>עץ</v>
      </c>
      <c r="B386" s="152">
        <f>סקר!B566</f>
        <v>0</v>
      </c>
      <c r="C386" s="152">
        <f>IF(סקר!D566&lt;2,1,סקר!D566)</f>
        <v>1</v>
      </c>
      <c r="D386" s="152">
        <f>סקר!C566</f>
        <v>0</v>
      </c>
      <c r="E386" s="152" t="str">
        <f>IFERROR(VLOOKUP(F386,[1]TreeType!$A:$E,5,0),"")</f>
        <v/>
      </c>
      <c r="F386" s="153" t="str">
        <f>IFERROR(VLOOKUP(D386,[1]TreeType!$A:$B,2,0),"")</f>
        <v/>
      </c>
      <c r="G386" s="72">
        <f>IF(B386&gt;0,IF(סקר!E566=0,1,סקר!E566),0)</f>
        <v>0</v>
      </c>
      <c r="H386" s="72">
        <f>IF(B386&gt;0,IF(סקר!F566 = 0,1,סקר!F566),0)</f>
        <v>0</v>
      </c>
      <c r="I386" s="152">
        <f>סקר!G566</f>
        <v>0</v>
      </c>
      <c r="J386" s="152">
        <f>סקר!H566</f>
        <v>0</v>
      </c>
      <c r="K386" s="152" t="e">
        <f>IF(D386="","",VLOOKUP(D386,[1]TreeType!$A$2:$E$508,3,3))</f>
        <v>#N/A</v>
      </c>
      <c r="L386" s="152">
        <f>IF(D386&gt;0,IF(סקר!M566=0,1,IF(סקר!M566=0,1,סקר!M566)),0)</f>
        <v>0</v>
      </c>
      <c r="M386" s="152">
        <f>סקר!J566</f>
        <v>0</v>
      </c>
      <c r="N386" s="152">
        <f>IF(D386&gt;0,IF(סקר!K566=0,1,IF(סקר!K566=0,1,סקר!K566)),0)</f>
        <v>0</v>
      </c>
      <c r="O386" s="152" t="e">
        <f t="shared" si="9"/>
        <v>#N/A</v>
      </c>
      <c r="P386" s="152">
        <f>IF(B386&gt;0,IF(סקר!O566 &lt;=1,1,סקר!O566),0)</f>
        <v>0</v>
      </c>
      <c r="Q386" s="152">
        <f>סקר!P566</f>
        <v>0</v>
      </c>
      <c r="R386" s="152">
        <f>סקר!R566</f>
        <v>0</v>
      </c>
      <c r="S386" s="152">
        <f>סקר!BC566</f>
        <v>0</v>
      </c>
      <c r="T386" s="156"/>
    </row>
    <row r="387" spans="1:20">
      <c r="A387" s="152" t="str">
        <f>IF(סקר!D567&lt;2,"עץ","פוליגון")</f>
        <v>עץ</v>
      </c>
      <c r="B387" s="152">
        <f>סקר!B567</f>
        <v>0</v>
      </c>
      <c r="C387" s="152">
        <f>IF(סקר!D567&lt;2,1,סקר!D567)</f>
        <v>1</v>
      </c>
      <c r="D387" s="152">
        <f>סקר!C567</f>
        <v>0</v>
      </c>
      <c r="E387" s="152" t="str">
        <f>IFERROR(VLOOKUP(F387,[1]TreeType!$A:$E,5,0),"")</f>
        <v/>
      </c>
      <c r="F387" s="153" t="str">
        <f>IFERROR(VLOOKUP(D387,[1]TreeType!$A:$B,2,0),"")</f>
        <v/>
      </c>
      <c r="G387" s="72">
        <f>IF(B387&gt;0,IF(סקר!E567=0,1,סקר!E567),0)</f>
        <v>0</v>
      </c>
      <c r="H387" s="72">
        <f>IF(B387&gt;0,IF(סקר!F567 = 0,1,סקר!F567),0)</f>
        <v>0</v>
      </c>
      <c r="I387" s="152">
        <f>סקר!G567</f>
        <v>0</v>
      </c>
      <c r="J387" s="152">
        <f>סקר!H567</f>
        <v>0</v>
      </c>
      <c r="K387" s="152" t="e">
        <f>IF(D387="","",VLOOKUP(D387,[1]TreeType!$A$2:$E$508,3,3))</f>
        <v>#N/A</v>
      </c>
      <c r="L387" s="152">
        <f>IF(D387&gt;0,IF(סקר!M567=0,1,IF(סקר!M567=0,1,סקר!M567)),0)</f>
        <v>0</v>
      </c>
      <c r="M387" s="152">
        <f>סקר!J567</f>
        <v>0</v>
      </c>
      <c r="N387" s="152">
        <f>IF(D387&gt;0,IF(סקר!K567=0,1,IF(סקר!K567=0,1,סקר!K567)),0)</f>
        <v>0</v>
      </c>
      <c r="O387" s="152" t="e">
        <f t="shared" si="9"/>
        <v>#N/A</v>
      </c>
      <c r="P387" s="152">
        <f>IF(B387&gt;0,IF(סקר!O567 &lt;=1,1,סקר!O567),0)</f>
        <v>0</v>
      </c>
      <c r="Q387" s="152">
        <f>סקר!P567</f>
        <v>0</v>
      </c>
      <c r="R387" s="152">
        <f>סקר!R567</f>
        <v>0</v>
      </c>
      <c r="S387" s="152">
        <f>סקר!BC567</f>
        <v>0</v>
      </c>
      <c r="T387" s="156"/>
    </row>
    <row r="388" spans="1:20">
      <c r="A388" s="152" t="str">
        <f>IF(סקר!D568&lt;2,"עץ","פוליגון")</f>
        <v>עץ</v>
      </c>
      <c r="B388" s="152">
        <f>סקר!B568</f>
        <v>0</v>
      </c>
      <c r="C388" s="152">
        <f>IF(סקר!D568&lt;2,1,סקר!D568)</f>
        <v>1</v>
      </c>
      <c r="D388" s="152">
        <f>סקר!C568</f>
        <v>0</v>
      </c>
      <c r="E388" s="152" t="str">
        <f>IFERROR(VLOOKUP(F388,[1]TreeType!$A:$E,5,0),"")</f>
        <v/>
      </c>
      <c r="F388" s="153" t="str">
        <f>IFERROR(VLOOKUP(D388,[1]TreeType!$A:$B,2,0),"")</f>
        <v/>
      </c>
      <c r="G388" s="72">
        <f>IF(B388&gt;0,IF(סקר!E568=0,1,סקר!E568),0)</f>
        <v>0</v>
      </c>
      <c r="H388" s="72">
        <f>IF(B388&gt;0,IF(סקר!F568 = 0,1,סקר!F568),0)</f>
        <v>0</v>
      </c>
      <c r="I388" s="152">
        <f>סקר!G568</f>
        <v>0</v>
      </c>
      <c r="J388" s="152">
        <f>סקר!H568</f>
        <v>0</v>
      </c>
      <c r="K388" s="152" t="e">
        <f>IF(D388="","",VLOOKUP(D388,[1]TreeType!$A$2:$E$508,3,3))</f>
        <v>#N/A</v>
      </c>
      <c r="L388" s="152">
        <f>IF(D388&gt;0,IF(סקר!M568=0,1,IF(סקר!M568=0,1,סקר!M568)),0)</f>
        <v>0</v>
      </c>
      <c r="M388" s="152">
        <f>סקר!J568</f>
        <v>0</v>
      </c>
      <c r="N388" s="152">
        <f>IF(D388&gt;0,IF(סקר!K568=0,1,IF(סקר!K568=0,1,סקר!K568)),0)</f>
        <v>0</v>
      </c>
      <c r="O388" s="152" t="e">
        <f t="shared" si="9"/>
        <v>#N/A</v>
      </c>
      <c r="P388" s="152">
        <f>IF(B388&gt;0,IF(סקר!O568 &lt;=1,1,סקר!O568),0)</f>
        <v>0</v>
      </c>
      <c r="Q388" s="152">
        <f>סקר!P568</f>
        <v>0</v>
      </c>
      <c r="R388" s="152">
        <f>סקר!R568</f>
        <v>0</v>
      </c>
      <c r="S388" s="152">
        <f>סקר!BC568</f>
        <v>0</v>
      </c>
      <c r="T388" s="156"/>
    </row>
    <row r="389" spans="1:20">
      <c r="A389" s="152" t="str">
        <f>IF(סקר!D569&lt;2,"עץ","פוליגון")</f>
        <v>עץ</v>
      </c>
      <c r="B389" s="152">
        <f>סקר!B569</f>
        <v>0</v>
      </c>
      <c r="C389" s="152">
        <f>IF(סקר!D569&lt;2,1,סקר!D569)</f>
        <v>1</v>
      </c>
      <c r="D389" s="152">
        <f>סקר!C569</f>
        <v>0</v>
      </c>
      <c r="E389" s="152" t="str">
        <f>IFERROR(VLOOKUP(F389,[1]TreeType!$A:$E,5,0),"")</f>
        <v/>
      </c>
      <c r="F389" s="153" t="str">
        <f>IFERROR(VLOOKUP(D389,[1]TreeType!$A:$B,2,0),"")</f>
        <v/>
      </c>
      <c r="G389" s="72">
        <f>IF(B389&gt;0,IF(סקר!E569=0,1,סקר!E569),0)</f>
        <v>0</v>
      </c>
      <c r="H389" s="72">
        <f>IF(B389&gt;0,IF(סקר!F569 = 0,1,סקר!F569),0)</f>
        <v>0</v>
      </c>
      <c r="I389" s="152">
        <f>סקר!G569</f>
        <v>0</v>
      </c>
      <c r="J389" s="152">
        <f>סקר!H569</f>
        <v>0</v>
      </c>
      <c r="K389" s="152" t="e">
        <f>IF(D389="","",VLOOKUP(D389,[1]TreeType!$A$2:$E$508,3,3))</f>
        <v>#N/A</v>
      </c>
      <c r="L389" s="152">
        <f>IF(D389&gt;0,IF(סקר!M569=0,1,IF(סקר!M569=0,1,סקר!M569)),0)</f>
        <v>0</v>
      </c>
      <c r="M389" s="152">
        <f>סקר!J569</f>
        <v>0</v>
      </c>
      <c r="N389" s="152">
        <f>IF(D389&gt;0,IF(סקר!K569=0,1,IF(סקר!K569=0,1,סקר!K569)),0)</f>
        <v>0</v>
      </c>
      <c r="O389" s="152" t="e">
        <f t="shared" si="9"/>
        <v>#N/A</v>
      </c>
      <c r="P389" s="152">
        <f>IF(B389&gt;0,IF(סקר!O569 &lt;=1,1,סקר!O569),0)</f>
        <v>0</v>
      </c>
      <c r="Q389" s="152">
        <f>סקר!P569</f>
        <v>0</v>
      </c>
      <c r="R389" s="152">
        <f>סקר!R569</f>
        <v>0</v>
      </c>
      <c r="S389" s="152">
        <f>סקר!BC569</f>
        <v>0</v>
      </c>
      <c r="T389" s="156"/>
    </row>
    <row r="390" spans="1:20">
      <c r="A390" s="152" t="str">
        <f>IF(סקר!D570&lt;2,"עץ","פוליגון")</f>
        <v>עץ</v>
      </c>
      <c r="B390" s="152">
        <f>סקר!B570</f>
        <v>0</v>
      </c>
      <c r="C390" s="152">
        <f>IF(סקר!D570&lt;2,1,סקר!D570)</f>
        <v>1</v>
      </c>
      <c r="D390" s="152">
        <f>סקר!C570</f>
        <v>0</v>
      </c>
      <c r="E390" s="152" t="str">
        <f>IFERROR(VLOOKUP(F390,[1]TreeType!$A:$E,5,0),"")</f>
        <v/>
      </c>
      <c r="F390" s="153" t="str">
        <f>IFERROR(VLOOKUP(D390,[1]TreeType!$A:$B,2,0),"")</f>
        <v/>
      </c>
      <c r="G390" s="72">
        <f>IF(B390&gt;0,IF(סקר!E570=0,1,סקר!E570),0)</f>
        <v>0</v>
      </c>
      <c r="H390" s="72">
        <f>IF(B390&gt;0,IF(סקר!F570 = 0,1,סקר!F570),0)</f>
        <v>0</v>
      </c>
      <c r="I390" s="152">
        <f>סקר!G570</f>
        <v>0</v>
      </c>
      <c r="J390" s="152">
        <f>סקר!H570</f>
        <v>0</v>
      </c>
      <c r="K390" s="152" t="e">
        <f>IF(D390="","",VLOOKUP(D390,[1]TreeType!$A$2:$E$508,3,3))</f>
        <v>#N/A</v>
      </c>
      <c r="L390" s="152">
        <f>IF(D390&gt;0,IF(סקר!M570=0,1,IF(סקר!M570=0,1,סקר!M570)),0)</f>
        <v>0</v>
      </c>
      <c r="M390" s="152">
        <f>סקר!J570</f>
        <v>0</v>
      </c>
      <c r="N390" s="152">
        <f>IF(D390&gt;0,IF(סקר!K570=0,1,IF(סקר!K570=0,1,סקר!K570)),0)</f>
        <v>0</v>
      </c>
      <c r="O390" s="152" t="e">
        <f t="shared" si="9"/>
        <v>#N/A</v>
      </c>
      <c r="P390" s="152">
        <f>IF(B390&gt;0,IF(סקר!O570 &lt;=1,1,סקר!O570),0)</f>
        <v>0</v>
      </c>
      <c r="Q390" s="152">
        <f>סקר!P570</f>
        <v>0</v>
      </c>
      <c r="R390" s="152">
        <f>סקר!R570</f>
        <v>0</v>
      </c>
      <c r="S390" s="152">
        <f>סקר!BC570</f>
        <v>0</v>
      </c>
      <c r="T390" s="156"/>
    </row>
    <row r="391" spans="1:20">
      <c r="A391" s="152" t="str">
        <f>IF(סקר!D571&lt;2,"עץ","פוליגון")</f>
        <v>עץ</v>
      </c>
      <c r="B391" s="152">
        <f>סקר!B571</f>
        <v>0</v>
      </c>
      <c r="C391" s="152">
        <f>IF(סקר!D571&lt;2,1,סקר!D571)</f>
        <v>1</v>
      </c>
      <c r="D391" s="152">
        <f>סקר!C571</f>
        <v>0</v>
      </c>
      <c r="E391" s="152" t="str">
        <f>IFERROR(VLOOKUP(F391,[1]TreeType!$A:$E,5,0),"")</f>
        <v/>
      </c>
      <c r="F391" s="153" t="str">
        <f>IFERROR(VLOOKUP(D391,[1]TreeType!$A:$B,2,0),"")</f>
        <v/>
      </c>
      <c r="G391" s="72">
        <f>IF(B391&gt;0,IF(סקר!E571=0,1,סקר!E571),0)</f>
        <v>0</v>
      </c>
      <c r="H391" s="72">
        <f>IF(B391&gt;0,IF(סקר!F571 = 0,1,סקר!F571),0)</f>
        <v>0</v>
      </c>
      <c r="I391" s="152">
        <f>סקר!G571</f>
        <v>0</v>
      </c>
      <c r="J391" s="152">
        <f>סקר!H571</f>
        <v>0</v>
      </c>
      <c r="K391" s="152" t="e">
        <f>IF(D391="","",VLOOKUP(D391,[1]TreeType!$A$2:$E$508,3,3))</f>
        <v>#N/A</v>
      </c>
      <c r="L391" s="152">
        <f>IF(D391&gt;0,IF(סקר!M571=0,1,IF(סקר!M571=0,1,סקר!M571)),0)</f>
        <v>0</v>
      </c>
      <c r="M391" s="152">
        <f>סקר!J571</f>
        <v>0</v>
      </c>
      <c r="N391" s="152">
        <f>IF(D391&gt;0,IF(סקר!K571=0,1,IF(סקר!K571=0,1,סקר!K571)),0)</f>
        <v>0</v>
      </c>
      <c r="O391" s="152" t="e">
        <f t="shared" si="9"/>
        <v>#N/A</v>
      </c>
      <c r="P391" s="152">
        <f>IF(B391&gt;0,IF(סקר!O571 &lt;=1,1,סקר!O571),0)</f>
        <v>0</v>
      </c>
      <c r="Q391" s="152">
        <f>סקר!P571</f>
        <v>0</v>
      </c>
      <c r="R391" s="152">
        <f>סקר!R571</f>
        <v>0</v>
      </c>
      <c r="S391" s="152">
        <f>סקר!BC571</f>
        <v>0</v>
      </c>
      <c r="T391" s="156"/>
    </row>
    <row r="392" spans="1:20">
      <c r="A392" s="152" t="str">
        <f>IF(סקר!D572&lt;2,"עץ","פוליגון")</f>
        <v>עץ</v>
      </c>
      <c r="B392" s="152">
        <f>סקר!B572</f>
        <v>0</v>
      </c>
      <c r="C392" s="152">
        <f>IF(סקר!D572&lt;2,1,סקר!D572)</f>
        <v>1</v>
      </c>
      <c r="D392" s="152">
        <f>סקר!C572</f>
        <v>0</v>
      </c>
      <c r="E392" s="152" t="str">
        <f>IFERROR(VLOOKUP(F392,[1]TreeType!$A:$E,5,0),"")</f>
        <v/>
      </c>
      <c r="F392" s="153" t="str">
        <f>IFERROR(VLOOKUP(D392,[1]TreeType!$A:$B,2,0),"")</f>
        <v/>
      </c>
      <c r="G392" s="72">
        <f>IF(B392&gt;0,IF(סקר!E572=0,1,סקר!E572),0)</f>
        <v>0</v>
      </c>
      <c r="H392" s="72">
        <f>IF(B392&gt;0,IF(סקר!F572 = 0,1,סקר!F572),0)</f>
        <v>0</v>
      </c>
      <c r="I392" s="152">
        <f>סקר!G572</f>
        <v>0</v>
      </c>
      <c r="J392" s="152">
        <f>סקר!H572</f>
        <v>0</v>
      </c>
      <c r="K392" s="152" t="e">
        <f>IF(D392="","",VLOOKUP(D392,[1]TreeType!$A$2:$E$508,3,3))</f>
        <v>#N/A</v>
      </c>
      <c r="L392" s="152">
        <f>IF(D392&gt;0,IF(סקר!M572=0,1,IF(סקר!M572=0,1,סקר!M572)),0)</f>
        <v>0</v>
      </c>
      <c r="M392" s="152">
        <f>סקר!J572</f>
        <v>0</v>
      </c>
      <c r="N392" s="152">
        <f>IF(D392&gt;0,IF(סקר!K572=0,1,IF(סקר!K572=0,1,סקר!K572)),0)</f>
        <v>0</v>
      </c>
      <c r="O392" s="152" t="e">
        <f t="shared" si="9"/>
        <v>#N/A</v>
      </c>
      <c r="P392" s="152">
        <f>IF(B392&gt;0,IF(סקר!O572 &lt;=1,1,סקר!O572),0)</f>
        <v>0</v>
      </c>
      <c r="Q392" s="152">
        <f>סקר!P572</f>
        <v>0</v>
      </c>
      <c r="R392" s="152">
        <f>סקר!R572</f>
        <v>0</v>
      </c>
      <c r="S392" s="152">
        <f>סקר!BC572</f>
        <v>0</v>
      </c>
      <c r="T392" s="156"/>
    </row>
    <row r="393" spans="1:20">
      <c r="A393" s="152" t="str">
        <f>IF(סקר!D573&lt;2,"עץ","פוליגון")</f>
        <v>עץ</v>
      </c>
      <c r="B393" s="152">
        <f>סקר!B573</f>
        <v>0</v>
      </c>
      <c r="C393" s="152">
        <f>IF(סקר!D573&lt;2,1,סקר!D573)</f>
        <v>1</v>
      </c>
      <c r="D393" s="152">
        <f>סקר!C573</f>
        <v>0</v>
      </c>
      <c r="E393" s="152" t="str">
        <f>IFERROR(VLOOKUP(F393,[1]TreeType!$A:$E,5,0),"")</f>
        <v/>
      </c>
      <c r="F393" s="153" t="str">
        <f>IFERROR(VLOOKUP(D393,[1]TreeType!$A:$B,2,0),"")</f>
        <v/>
      </c>
      <c r="G393" s="72">
        <f>IF(B393&gt;0,IF(סקר!E573=0,1,סקר!E573),0)</f>
        <v>0</v>
      </c>
      <c r="H393" s="72">
        <f>IF(B393&gt;0,IF(סקר!F573 = 0,1,סקר!F573),0)</f>
        <v>0</v>
      </c>
      <c r="I393" s="152">
        <f>סקר!G573</f>
        <v>0</v>
      </c>
      <c r="J393" s="152">
        <f>סקר!H573</f>
        <v>0</v>
      </c>
      <c r="K393" s="152" t="e">
        <f>IF(D393="","",VLOOKUP(D393,[1]TreeType!$A$2:$E$508,3,3))</f>
        <v>#N/A</v>
      </c>
      <c r="L393" s="152">
        <f>IF(D393&gt;0,IF(סקר!M573=0,1,IF(סקר!M573=0,1,סקר!M573)),0)</f>
        <v>0</v>
      </c>
      <c r="M393" s="152">
        <f>סקר!J573</f>
        <v>0</v>
      </c>
      <c r="N393" s="152">
        <f>IF(D393&gt;0,IF(סקר!K573=0,1,IF(סקר!K573=0,1,סקר!K573)),0)</f>
        <v>0</v>
      </c>
      <c r="O393" s="152" t="e">
        <f t="shared" si="9"/>
        <v>#N/A</v>
      </c>
      <c r="P393" s="152">
        <f>IF(B393&gt;0,IF(סקר!O573 &lt;=1,1,סקר!O573),0)</f>
        <v>0</v>
      </c>
      <c r="Q393" s="152">
        <f>סקר!P573</f>
        <v>0</v>
      </c>
      <c r="R393" s="152">
        <f>סקר!R573</f>
        <v>0</v>
      </c>
      <c r="S393" s="152">
        <f>סקר!BC573</f>
        <v>0</v>
      </c>
      <c r="T393" s="156"/>
    </row>
    <row r="394" spans="1:20">
      <c r="A394" s="152" t="str">
        <f>IF(סקר!D574&lt;2,"עץ","פוליגון")</f>
        <v>עץ</v>
      </c>
      <c r="B394" s="152">
        <f>סקר!B574</f>
        <v>0</v>
      </c>
      <c r="C394" s="152">
        <f>IF(סקר!D574&lt;2,1,סקר!D574)</f>
        <v>1</v>
      </c>
      <c r="D394" s="152">
        <f>סקר!C574</f>
        <v>0</v>
      </c>
      <c r="E394" s="152" t="str">
        <f>IFERROR(VLOOKUP(F394,[1]TreeType!$A:$E,5,0),"")</f>
        <v/>
      </c>
      <c r="F394" s="153" t="str">
        <f>IFERROR(VLOOKUP(D394,[1]TreeType!$A:$B,2,0),"")</f>
        <v/>
      </c>
      <c r="G394" s="72">
        <f>IF(B394&gt;0,IF(סקר!E574=0,1,סקר!E574),0)</f>
        <v>0</v>
      </c>
      <c r="H394" s="72">
        <f>IF(B394&gt;0,IF(סקר!F574 = 0,1,סקר!F574),0)</f>
        <v>0</v>
      </c>
      <c r="I394" s="152">
        <f>סקר!G574</f>
        <v>0</v>
      </c>
      <c r="J394" s="152">
        <f>סקר!H574</f>
        <v>0</v>
      </c>
      <c r="K394" s="152" t="e">
        <f>IF(D394="","",VLOOKUP(D394,[1]TreeType!$A$2:$E$508,3,3))</f>
        <v>#N/A</v>
      </c>
      <c r="L394" s="152">
        <f>IF(D394&gt;0,IF(סקר!M574=0,1,IF(סקר!M574=0,1,סקר!M574)),0)</f>
        <v>0</v>
      </c>
      <c r="M394" s="152">
        <f>סקר!J574</f>
        <v>0</v>
      </c>
      <c r="N394" s="152">
        <f>IF(D394&gt;0,IF(סקר!K574=0,1,IF(סקר!K574=0,1,סקר!K574)),0)</f>
        <v>0</v>
      </c>
      <c r="O394" s="152" t="e">
        <f t="shared" si="9"/>
        <v>#N/A</v>
      </c>
      <c r="P394" s="152">
        <f>IF(B394&gt;0,IF(סקר!O574 &lt;=1,1,סקר!O574),0)</f>
        <v>0</v>
      </c>
      <c r="Q394" s="152">
        <f>סקר!P574</f>
        <v>0</v>
      </c>
      <c r="R394" s="152">
        <f>סקר!R574</f>
        <v>0</v>
      </c>
      <c r="S394" s="152">
        <f>סקר!BC574</f>
        <v>0</v>
      </c>
      <c r="T394" s="156"/>
    </row>
    <row r="395" spans="1:20">
      <c r="A395" s="152" t="str">
        <f>IF(סקר!D575&lt;2,"עץ","פוליגון")</f>
        <v>עץ</v>
      </c>
      <c r="B395" s="152">
        <f>סקר!B575</f>
        <v>0</v>
      </c>
      <c r="C395" s="152">
        <f>IF(סקר!D575&lt;2,1,סקר!D575)</f>
        <v>1</v>
      </c>
      <c r="D395" s="152">
        <f>סקר!C575</f>
        <v>0</v>
      </c>
      <c r="E395" s="152" t="str">
        <f>IFERROR(VLOOKUP(F395,[1]TreeType!$A:$E,5,0),"")</f>
        <v/>
      </c>
      <c r="F395" s="153" t="str">
        <f>IFERROR(VLOOKUP(D395,[1]TreeType!$A:$B,2,0),"")</f>
        <v/>
      </c>
      <c r="G395" s="72">
        <f>IF(B395&gt;0,IF(סקר!E575=0,1,סקר!E575),0)</f>
        <v>0</v>
      </c>
      <c r="H395" s="72">
        <f>IF(B395&gt;0,IF(סקר!F575 = 0,1,סקר!F575),0)</f>
        <v>0</v>
      </c>
      <c r="I395" s="152">
        <f>סקר!G575</f>
        <v>0</v>
      </c>
      <c r="J395" s="152">
        <f>סקר!H575</f>
        <v>0</v>
      </c>
      <c r="K395" s="152" t="e">
        <f>IF(D395="","",VLOOKUP(D395,[1]TreeType!$A$2:$E$508,3,3))</f>
        <v>#N/A</v>
      </c>
      <c r="L395" s="152">
        <f>IF(D395&gt;0,IF(סקר!M575=0,1,IF(סקר!M575=0,1,סקר!M575)),0)</f>
        <v>0</v>
      </c>
      <c r="M395" s="152">
        <f>סקר!J575</f>
        <v>0</v>
      </c>
      <c r="N395" s="152">
        <f>IF(D395&gt;0,IF(סקר!K575=0,1,IF(סקר!K575=0,1,סקר!K575)),0)</f>
        <v>0</v>
      </c>
      <c r="O395" s="152" t="e">
        <f t="shared" si="9"/>
        <v>#N/A</v>
      </c>
      <c r="P395" s="152">
        <f>IF(B395&gt;0,IF(סקר!O575 &lt;=1,1,סקר!O575),0)</f>
        <v>0</v>
      </c>
      <c r="Q395" s="152">
        <f>סקר!P575</f>
        <v>0</v>
      </c>
      <c r="R395" s="152">
        <f>סקר!R575</f>
        <v>0</v>
      </c>
      <c r="S395" s="152">
        <f>סקר!BC575</f>
        <v>0</v>
      </c>
      <c r="T395" s="156"/>
    </row>
    <row r="396" spans="1:20">
      <c r="A396" s="152" t="str">
        <f>IF(סקר!D576&lt;2,"עץ","פוליגון")</f>
        <v>עץ</v>
      </c>
      <c r="B396" s="152">
        <f>סקר!B576</f>
        <v>0</v>
      </c>
      <c r="C396" s="152">
        <f>IF(סקר!D576&lt;2,1,סקר!D576)</f>
        <v>1</v>
      </c>
      <c r="D396" s="152">
        <f>סקר!C576</f>
        <v>0</v>
      </c>
      <c r="E396" s="152" t="str">
        <f>IFERROR(VLOOKUP(F396,[1]TreeType!$A:$E,5,0),"")</f>
        <v/>
      </c>
      <c r="F396" s="153" t="str">
        <f>IFERROR(VLOOKUP(D396,[1]TreeType!$A:$B,2,0),"")</f>
        <v/>
      </c>
      <c r="G396" s="72">
        <f>IF(B396&gt;0,IF(סקר!E576=0,1,סקר!E576),0)</f>
        <v>0</v>
      </c>
      <c r="H396" s="72">
        <f>IF(B396&gt;0,IF(סקר!F576 = 0,1,סקר!F576),0)</f>
        <v>0</v>
      </c>
      <c r="I396" s="152">
        <f>סקר!G576</f>
        <v>0</v>
      </c>
      <c r="J396" s="152">
        <f>סקר!H576</f>
        <v>0</v>
      </c>
      <c r="K396" s="152" t="e">
        <f>IF(D396="","",VLOOKUP(D396,[1]TreeType!$A$2:$E$508,3,3))</f>
        <v>#N/A</v>
      </c>
      <c r="L396" s="152">
        <f>IF(D396&gt;0,IF(סקר!M576=0,1,IF(סקר!M576=0,1,סקר!M576)),0)</f>
        <v>0</v>
      </c>
      <c r="M396" s="152">
        <f>סקר!J576</f>
        <v>0</v>
      </c>
      <c r="N396" s="152">
        <f>IF(D396&gt;0,IF(סקר!K576=0,1,IF(סקר!K576=0,1,סקר!K576)),0)</f>
        <v>0</v>
      </c>
      <c r="O396" s="152" t="e">
        <f t="shared" si="9"/>
        <v>#N/A</v>
      </c>
      <c r="P396" s="152">
        <f>IF(B396&gt;0,IF(סקר!O576 &lt;=1,1,סקר!O576),0)</f>
        <v>0</v>
      </c>
      <c r="Q396" s="152">
        <f>סקר!P576</f>
        <v>0</v>
      </c>
      <c r="R396" s="152">
        <f>סקר!R576</f>
        <v>0</v>
      </c>
      <c r="S396" s="152">
        <f>סקר!BC576</f>
        <v>0</v>
      </c>
      <c r="T396" s="156"/>
    </row>
    <row r="397" spans="1:20">
      <c r="A397" s="152" t="str">
        <f>IF(סקר!D577&lt;2,"עץ","פוליגון")</f>
        <v>עץ</v>
      </c>
      <c r="B397" s="152">
        <f>סקר!B577</f>
        <v>0</v>
      </c>
      <c r="C397" s="152">
        <f>IF(סקר!D577&lt;2,1,סקר!D577)</f>
        <v>1</v>
      </c>
      <c r="D397" s="152">
        <f>סקר!C577</f>
        <v>0</v>
      </c>
      <c r="E397" s="152" t="str">
        <f>IFERROR(VLOOKUP(F397,[1]TreeType!$A:$E,5,0),"")</f>
        <v/>
      </c>
      <c r="F397" s="153" t="str">
        <f>IFERROR(VLOOKUP(D397,[1]TreeType!$A:$B,2,0),"")</f>
        <v/>
      </c>
      <c r="G397" s="72">
        <f>IF(B397&gt;0,IF(סקר!E577=0,1,סקר!E577),0)</f>
        <v>0</v>
      </c>
      <c r="H397" s="72">
        <f>IF(B397&gt;0,IF(סקר!F577 = 0,1,סקר!F577),0)</f>
        <v>0</v>
      </c>
      <c r="I397" s="152">
        <f>סקר!G577</f>
        <v>0</v>
      </c>
      <c r="J397" s="152">
        <f>סקר!H577</f>
        <v>0</v>
      </c>
      <c r="K397" s="152" t="e">
        <f>IF(D397="","",VLOOKUP(D397,[1]TreeType!$A$2:$E$508,3,3))</f>
        <v>#N/A</v>
      </c>
      <c r="L397" s="152">
        <f>IF(D397&gt;0,IF(סקר!M577=0,1,IF(סקר!M577=0,1,סקר!M577)),0)</f>
        <v>0</v>
      </c>
      <c r="M397" s="152">
        <f>סקר!J577</f>
        <v>0</v>
      </c>
      <c r="N397" s="152">
        <f>IF(D397&gt;0,IF(סקר!K577=0,1,IF(סקר!K577=0,1,סקר!K577)),0)</f>
        <v>0</v>
      </c>
      <c r="O397" s="152" t="e">
        <f t="shared" si="9"/>
        <v>#N/A</v>
      </c>
      <c r="P397" s="152">
        <f>IF(B397&gt;0,IF(סקר!O577 &lt;=1,1,סקר!O577),0)</f>
        <v>0</v>
      </c>
      <c r="Q397" s="152">
        <f>סקר!P577</f>
        <v>0</v>
      </c>
      <c r="R397" s="152">
        <f>סקר!R577</f>
        <v>0</v>
      </c>
      <c r="S397" s="152">
        <f>סקר!BC577</f>
        <v>0</v>
      </c>
      <c r="T397" s="156"/>
    </row>
    <row r="398" spans="1:20">
      <c r="A398" s="152" t="str">
        <f>IF(סקר!D578&lt;2,"עץ","פוליגון")</f>
        <v>עץ</v>
      </c>
      <c r="B398" s="152">
        <f>סקר!B578</f>
        <v>0</v>
      </c>
      <c r="C398" s="152">
        <f>IF(סקר!D578&lt;2,1,סקר!D578)</f>
        <v>1</v>
      </c>
      <c r="D398" s="152">
        <f>סקר!C578</f>
        <v>0</v>
      </c>
      <c r="E398" s="152" t="str">
        <f>IFERROR(VLOOKUP(F398,[1]TreeType!$A:$E,5,0),"")</f>
        <v/>
      </c>
      <c r="F398" s="153" t="str">
        <f>IFERROR(VLOOKUP(D398,[1]TreeType!$A:$B,2,0),"")</f>
        <v/>
      </c>
      <c r="G398" s="72">
        <f>IF(B398&gt;0,IF(סקר!E578=0,1,סקר!E578),0)</f>
        <v>0</v>
      </c>
      <c r="H398" s="72">
        <f>IF(B398&gt;0,IF(סקר!F578 = 0,1,סקר!F578),0)</f>
        <v>0</v>
      </c>
      <c r="I398" s="152">
        <f>סקר!G578</f>
        <v>0</v>
      </c>
      <c r="J398" s="152">
        <f>סקר!H578</f>
        <v>0</v>
      </c>
      <c r="K398" s="152" t="e">
        <f>IF(D398="","",VLOOKUP(D398,[1]TreeType!$A$2:$E$508,3,3))</f>
        <v>#N/A</v>
      </c>
      <c r="L398" s="152">
        <f>IF(D398&gt;0,IF(סקר!M578=0,1,IF(סקר!M578=0,1,סקר!M578)),0)</f>
        <v>0</v>
      </c>
      <c r="M398" s="152">
        <f>סקר!J578</f>
        <v>0</v>
      </c>
      <c r="N398" s="152">
        <f>IF(D398&gt;0,IF(סקר!K578=0,1,IF(סקר!K578=0,1,סקר!K578)),0)</f>
        <v>0</v>
      </c>
      <c r="O398" s="152" t="e">
        <f t="shared" si="9"/>
        <v>#N/A</v>
      </c>
      <c r="P398" s="152">
        <f>IF(B398&gt;0,IF(סקר!O578 &lt;=1,1,סקר!O578),0)</f>
        <v>0</v>
      </c>
      <c r="Q398" s="152">
        <f>סקר!P578</f>
        <v>0</v>
      </c>
      <c r="R398" s="152">
        <f>סקר!R578</f>
        <v>0</v>
      </c>
      <c r="S398" s="152">
        <f>סקר!BC578</f>
        <v>0</v>
      </c>
      <c r="T398" s="156"/>
    </row>
    <row r="399" spans="1:20">
      <c r="A399" s="152" t="str">
        <f>IF(סקר!D579&lt;2,"עץ","פוליגון")</f>
        <v>עץ</v>
      </c>
      <c r="B399" s="152">
        <f>סקר!B579</f>
        <v>0</v>
      </c>
      <c r="C399" s="152">
        <f>IF(סקר!D579&lt;2,1,סקר!D579)</f>
        <v>1</v>
      </c>
      <c r="D399" s="152">
        <f>סקר!C579</f>
        <v>0</v>
      </c>
      <c r="E399" s="152" t="str">
        <f>IFERROR(VLOOKUP(F399,[1]TreeType!$A:$E,5,0),"")</f>
        <v/>
      </c>
      <c r="F399" s="153" t="str">
        <f>IFERROR(VLOOKUP(D399,[1]TreeType!$A:$B,2,0),"")</f>
        <v/>
      </c>
      <c r="G399" s="72">
        <f>IF(B399&gt;0,IF(סקר!E579=0,1,סקר!E579),0)</f>
        <v>0</v>
      </c>
      <c r="H399" s="72">
        <f>IF(B399&gt;0,IF(סקר!F579 = 0,1,סקר!F579),0)</f>
        <v>0</v>
      </c>
      <c r="I399" s="152">
        <f>סקר!G579</f>
        <v>0</v>
      </c>
      <c r="J399" s="152">
        <f>סקר!H579</f>
        <v>0</v>
      </c>
      <c r="K399" s="152" t="e">
        <f>IF(D399="","",VLOOKUP(D399,[1]TreeType!$A$2:$E$508,3,3))</f>
        <v>#N/A</v>
      </c>
      <c r="L399" s="152">
        <f>IF(D399&gt;0,IF(סקר!M579=0,1,IF(סקר!M579=0,1,סקר!M579)),0)</f>
        <v>0</v>
      </c>
      <c r="M399" s="152">
        <f>סקר!J579</f>
        <v>0</v>
      </c>
      <c r="N399" s="152">
        <f>IF(D399&gt;0,IF(סקר!K579=0,1,IF(סקר!K579=0,1,סקר!K579)),0)</f>
        <v>0</v>
      </c>
      <c r="O399" s="152" t="e">
        <f t="shared" si="9"/>
        <v>#N/A</v>
      </c>
      <c r="P399" s="152">
        <f>IF(B399&gt;0,IF(סקר!O579 &lt;=1,1,סקר!O579),0)</f>
        <v>0</v>
      </c>
      <c r="Q399" s="152">
        <f>סקר!P579</f>
        <v>0</v>
      </c>
      <c r="R399" s="152">
        <f>סקר!R579</f>
        <v>0</v>
      </c>
      <c r="S399" s="152">
        <f>סקר!BC579</f>
        <v>0</v>
      </c>
      <c r="T399" s="156"/>
    </row>
    <row r="400" spans="1:20">
      <c r="A400" s="152" t="str">
        <f>IF(סקר!D580&lt;2,"עץ","פוליגון")</f>
        <v>עץ</v>
      </c>
      <c r="B400" s="152">
        <f>סקר!B580</f>
        <v>0</v>
      </c>
      <c r="C400" s="152">
        <f>IF(סקר!D580&lt;2,1,סקר!D580)</f>
        <v>1</v>
      </c>
      <c r="D400" s="152">
        <f>סקר!C580</f>
        <v>0</v>
      </c>
      <c r="E400" s="152" t="str">
        <f>IFERROR(VLOOKUP(F400,[1]TreeType!$A:$E,5,0),"")</f>
        <v/>
      </c>
      <c r="F400" s="153" t="str">
        <f>IFERROR(VLOOKUP(D400,[1]TreeType!$A:$B,2,0),"")</f>
        <v/>
      </c>
      <c r="G400" s="72">
        <f>IF(B400&gt;0,IF(סקר!E580=0,1,סקר!E580),0)</f>
        <v>0</v>
      </c>
      <c r="H400" s="72">
        <f>IF(B400&gt;0,IF(סקר!F580 = 0,1,סקר!F580),0)</f>
        <v>0</v>
      </c>
      <c r="I400" s="152">
        <f>סקר!G580</f>
        <v>0</v>
      </c>
      <c r="J400" s="152">
        <f>סקר!H580</f>
        <v>0</v>
      </c>
      <c r="K400" s="152" t="e">
        <f>IF(D400="","",VLOOKUP(D400,[1]TreeType!$A$2:$E$508,3,3))</f>
        <v>#N/A</v>
      </c>
      <c r="L400" s="152">
        <f>IF(D400&gt;0,IF(סקר!M580=0,1,IF(סקר!M580=0,1,סקר!M580)),0)</f>
        <v>0</v>
      </c>
      <c r="M400" s="152">
        <f>סקר!J580</f>
        <v>0</v>
      </c>
      <c r="N400" s="152">
        <f>IF(D400&gt;0,IF(סקר!K580=0,1,IF(סקר!K580=0,1,סקר!K580)),0)</f>
        <v>0</v>
      </c>
      <c r="O400" s="152" t="e">
        <f t="shared" si="9"/>
        <v>#N/A</v>
      </c>
      <c r="P400" s="152">
        <f>IF(B400&gt;0,IF(סקר!O580 &lt;=1,1,סקר!O580),0)</f>
        <v>0</v>
      </c>
      <c r="Q400" s="152">
        <f>סקר!P580</f>
        <v>0</v>
      </c>
      <c r="R400" s="152">
        <f>סקר!R580</f>
        <v>0</v>
      </c>
      <c r="S400" s="152">
        <f>סקר!BC580</f>
        <v>0</v>
      </c>
      <c r="T400" s="156"/>
    </row>
    <row r="401" spans="1:20">
      <c r="A401" s="152" t="str">
        <f>IF(סקר!D581&lt;2,"עץ","פוליגון")</f>
        <v>עץ</v>
      </c>
      <c r="B401" s="152">
        <f>סקר!B581</f>
        <v>0</v>
      </c>
      <c r="C401" s="152">
        <f>IF(סקר!D581&lt;2,1,סקר!D581)</f>
        <v>1</v>
      </c>
      <c r="D401" s="152">
        <f>סקר!C581</f>
        <v>0</v>
      </c>
      <c r="E401" s="152" t="str">
        <f>IFERROR(VLOOKUP(F401,[1]TreeType!$A:$E,5,0),"")</f>
        <v/>
      </c>
      <c r="F401" s="153" t="str">
        <f>IFERROR(VLOOKUP(D401,[1]TreeType!$A:$B,2,0),"")</f>
        <v/>
      </c>
      <c r="G401" s="72">
        <f>IF(B401&gt;0,IF(סקר!E581=0,1,סקר!E581),0)</f>
        <v>0</v>
      </c>
      <c r="H401" s="72">
        <f>IF(B401&gt;0,IF(סקר!F581 = 0,1,סקר!F581),0)</f>
        <v>0</v>
      </c>
      <c r="I401" s="152">
        <f>סקר!G581</f>
        <v>0</v>
      </c>
      <c r="J401" s="152">
        <f>סקר!H581</f>
        <v>0</v>
      </c>
      <c r="K401" s="152" t="e">
        <f>IF(D401="","",VLOOKUP(D401,[1]TreeType!$A$2:$E$508,3,3))</f>
        <v>#N/A</v>
      </c>
      <c r="L401" s="152">
        <f>IF(D401&gt;0,IF(סקר!M581=0,1,IF(סקר!M581=0,1,סקר!M581)),0)</f>
        <v>0</v>
      </c>
      <c r="M401" s="152">
        <f>סקר!J581</f>
        <v>0</v>
      </c>
      <c r="N401" s="152">
        <f>IF(D401&gt;0,IF(סקר!K581=0,1,IF(סקר!K581=0,1,סקר!K581)),0)</f>
        <v>0</v>
      </c>
      <c r="O401" s="152" t="e">
        <f t="shared" si="9"/>
        <v>#N/A</v>
      </c>
      <c r="P401" s="152">
        <f>IF(B401&gt;0,IF(סקר!O581 &lt;=1,1,סקר!O581),0)</f>
        <v>0</v>
      </c>
      <c r="Q401" s="152">
        <f>סקר!P581</f>
        <v>0</v>
      </c>
      <c r="R401" s="152">
        <f>סקר!R581</f>
        <v>0</v>
      </c>
      <c r="S401" s="152">
        <f>סקר!BC581</f>
        <v>0</v>
      </c>
      <c r="T401" s="156"/>
    </row>
    <row r="402" spans="1:20">
      <c r="A402" s="152" t="str">
        <f>IF(סקר!D582&lt;2,"עץ","פוליגון")</f>
        <v>עץ</v>
      </c>
      <c r="B402" s="152">
        <f>סקר!B582</f>
        <v>0</v>
      </c>
      <c r="C402" s="152">
        <f>IF(סקר!D582&lt;2,1,סקר!D582)</f>
        <v>1</v>
      </c>
      <c r="D402" s="152">
        <f>סקר!C582</f>
        <v>0</v>
      </c>
      <c r="E402" s="152" t="str">
        <f>IFERROR(VLOOKUP(F402,[1]TreeType!$A:$E,5,0),"")</f>
        <v/>
      </c>
      <c r="F402" s="153" t="str">
        <f>IFERROR(VLOOKUP(D402,[1]TreeType!$A:$B,2,0),"")</f>
        <v/>
      </c>
      <c r="G402" s="72">
        <f>IF(B402&gt;0,IF(סקר!E582=0,1,סקר!E582),0)</f>
        <v>0</v>
      </c>
      <c r="H402" s="72">
        <f>IF(B402&gt;0,IF(סקר!F582 = 0,1,סקר!F582),0)</f>
        <v>0</v>
      </c>
      <c r="I402" s="152">
        <f>סקר!G582</f>
        <v>0</v>
      </c>
      <c r="J402" s="152">
        <f>סקר!H582</f>
        <v>0</v>
      </c>
      <c r="K402" s="152" t="e">
        <f>IF(D402="","",VLOOKUP(D402,[1]TreeType!$A$2:$E$508,3,3))</f>
        <v>#N/A</v>
      </c>
      <c r="L402" s="152">
        <f>IF(D402&gt;0,IF(סקר!M582=0,1,IF(סקר!M582=0,1,סקר!M582)),0)</f>
        <v>0</v>
      </c>
      <c r="M402" s="152">
        <f>סקר!J582</f>
        <v>0</v>
      </c>
      <c r="N402" s="152">
        <f>IF(D402&gt;0,IF(סקר!K582=0,1,IF(סקר!K582=0,1,סקר!K582)),0)</f>
        <v>0</v>
      </c>
      <c r="O402" s="152" t="e">
        <f t="shared" si="9"/>
        <v>#N/A</v>
      </c>
      <c r="P402" s="152">
        <f>IF(B402&gt;0,IF(סקר!O582 &lt;=1,1,סקר!O582),0)</f>
        <v>0</v>
      </c>
      <c r="Q402" s="152">
        <f>סקר!P582</f>
        <v>0</v>
      </c>
      <c r="R402" s="152">
        <f>סקר!R582</f>
        <v>0</v>
      </c>
      <c r="S402" s="152">
        <f>סקר!BC582</f>
        <v>0</v>
      </c>
      <c r="T402" s="156"/>
    </row>
    <row r="403" spans="1:20">
      <c r="A403" s="152" t="str">
        <f>IF(סקר!D583&lt;2,"עץ","פוליגון")</f>
        <v>עץ</v>
      </c>
      <c r="B403" s="152">
        <f>סקר!B583</f>
        <v>0</v>
      </c>
      <c r="C403" s="152">
        <f>IF(סקר!D583&lt;2,1,סקר!D583)</f>
        <v>1</v>
      </c>
      <c r="D403" s="152">
        <f>סקר!C583</f>
        <v>0</v>
      </c>
      <c r="E403" s="152" t="str">
        <f>IFERROR(VLOOKUP(F403,[1]TreeType!$A:$E,5,0),"")</f>
        <v/>
      </c>
      <c r="F403" s="153" t="str">
        <f>IFERROR(VLOOKUP(D403,[1]TreeType!$A:$B,2,0),"")</f>
        <v/>
      </c>
      <c r="G403" s="72">
        <f>IF(B403&gt;0,IF(סקר!E583=0,1,סקר!E583),0)</f>
        <v>0</v>
      </c>
      <c r="H403" s="72">
        <f>IF(B403&gt;0,IF(סקר!F583 = 0,1,סקר!F583),0)</f>
        <v>0</v>
      </c>
      <c r="I403" s="152">
        <f>סקר!G583</f>
        <v>0</v>
      </c>
      <c r="J403" s="152">
        <f>סקר!H583</f>
        <v>0</v>
      </c>
      <c r="K403" s="152" t="e">
        <f>IF(D403="","",VLOOKUP(D403,[1]TreeType!$A$2:$E$508,3,3))</f>
        <v>#N/A</v>
      </c>
      <c r="L403" s="152">
        <f>IF(D403&gt;0,IF(סקר!M583=0,1,IF(סקר!M583=0,1,סקר!M583)),0)</f>
        <v>0</v>
      </c>
      <c r="M403" s="152">
        <f>סקר!J583</f>
        <v>0</v>
      </c>
      <c r="N403" s="152">
        <f>IF(D403&gt;0,IF(סקר!K583=0,1,IF(סקר!K583=0,1,סקר!K583)),0)</f>
        <v>0</v>
      </c>
      <c r="O403" s="152" t="e">
        <f t="shared" si="9"/>
        <v>#N/A</v>
      </c>
      <c r="P403" s="152">
        <f>IF(B403&gt;0,IF(סקר!O583 &lt;=1,1,סקר!O583),0)</f>
        <v>0</v>
      </c>
      <c r="Q403" s="152">
        <f>סקר!P583</f>
        <v>0</v>
      </c>
      <c r="R403" s="152">
        <f>סקר!R583</f>
        <v>0</v>
      </c>
      <c r="S403" s="152">
        <f>סקר!BC583</f>
        <v>0</v>
      </c>
      <c r="T403" s="156"/>
    </row>
    <row r="404" spans="1:20">
      <c r="A404" s="152" t="str">
        <f>IF(סקר!D584&lt;2,"עץ","פוליגון")</f>
        <v>עץ</v>
      </c>
      <c r="B404" s="152">
        <f>סקר!B584</f>
        <v>0</v>
      </c>
      <c r="C404" s="152">
        <f>IF(סקר!D584&lt;2,1,סקר!D584)</f>
        <v>1</v>
      </c>
      <c r="D404" s="152">
        <f>סקר!C584</f>
        <v>0</v>
      </c>
      <c r="E404" s="152" t="str">
        <f>IFERROR(VLOOKUP(F404,[1]TreeType!$A:$E,5,0),"")</f>
        <v/>
      </c>
      <c r="F404" s="153" t="str">
        <f>IFERROR(VLOOKUP(D404,[1]TreeType!$A:$B,2,0),"")</f>
        <v/>
      </c>
      <c r="G404" s="72">
        <f>IF(B404&gt;0,IF(סקר!E584=0,1,סקר!E584),0)</f>
        <v>0</v>
      </c>
      <c r="H404" s="72">
        <f>IF(B404&gt;0,IF(סקר!F584 = 0,1,סקר!F584),0)</f>
        <v>0</v>
      </c>
      <c r="I404" s="152">
        <f>סקר!G584</f>
        <v>0</v>
      </c>
      <c r="J404" s="152">
        <f>סקר!H584</f>
        <v>0</v>
      </c>
      <c r="K404" s="152" t="e">
        <f>IF(D404="","",VLOOKUP(D404,[1]TreeType!$A$2:$E$508,3,3))</f>
        <v>#N/A</v>
      </c>
      <c r="L404" s="152">
        <f>IF(D404&gt;0,IF(סקר!M584=0,1,IF(סקר!M584=0,1,סקר!M584)),0)</f>
        <v>0</v>
      </c>
      <c r="M404" s="152">
        <f>סקר!J584</f>
        <v>0</v>
      </c>
      <c r="N404" s="152">
        <f>IF(D404&gt;0,IF(סקר!K584=0,1,IF(סקר!K584=0,1,סקר!K584)),0)</f>
        <v>0</v>
      </c>
      <c r="O404" s="152" t="e">
        <f t="shared" si="9"/>
        <v>#N/A</v>
      </c>
      <c r="P404" s="152">
        <f>IF(B404&gt;0,IF(סקר!O584 &lt;=1,1,סקר!O584),0)</f>
        <v>0</v>
      </c>
      <c r="Q404" s="152">
        <f>סקר!P584</f>
        <v>0</v>
      </c>
      <c r="R404" s="152">
        <f>סקר!R584</f>
        <v>0</v>
      </c>
      <c r="S404" s="152">
        <f>סקר!BC584</f>
        <v>0</v>
      </c>
      <c r="T404" s="156"/>
    </row>
    <row r="405" spans="1:20">
      <c r="A405" s="152" t="str">
        <f>IF(סקר!D585&lt;2,"עץ","פוליגון")</f>
        <v>עץ</v>
      </c>
      <c r="B405" s="152">
        <f>סקר!B585</f>
        <v>0</v>
      </c>
      <c r="C405" s="152">
        <f>IF(סקר!D585&lt;2,1,סקר!D585)</f>
        <v>1</v>
      </c>
      <c r="D405" s="152">
        <f>סקר!C585</f>
        <v>0</v>
      </c>
      <c r="E405" s="152" t="str">
        <f>IFERROR(VLOOKUP(F405,[1]TreeType!$A:$E,5,0),"")</f>
        <v/>
      </c>
      <c r="F405" s="153" t="str">
        <f>IFERROR(VLOOKUP(D405,[1]TreeType!$A:$B,2,0),"")</f>
        <v/>
      </c>
      <c r="G405" s="72">
        <f>IF(B405&gt;0,IF(סקר!E585=0,1,סקר!E585),0)</f>
        <v>0</v>
      </c>
      <c r="H405" s="72">
        <f>IF(B405&gt;0,IF(סקר!F585 = 0,1,סקר!F585),0)</f>
        <v>0</v>
      </c>
      <c r="I405" s="152">
        <f>סקר!G585</f>
        <v>0</v>
      </c>
      <c r="J405" s="152">
        <f>סקר!H585</f>
        <v>0</v>
      </c>
      <c r="K405" s="152" t="e">
        <f>IF(D405="","",VLOOKUP(D405,[1]TreeType!$A$2:$E$508,3,3))</f>
        <v>#N/A</v>
      </c>
      <c r="L405" s="152">
        <f>IF(D405&gt;0,IF(סקר!M585=0,1,IF(סקר!M585=0,1,סקר!M585)),0)</f>
        <v>0</v>
      </c>
      <c r="M405" s="152">
        <f>סקר!J585</f>
        <v>0</v>
      </c>
      <c r="N405" s="152">
        <f>IF(D405&gt;0,IF(סקר!K585=0,1,IF(סקר!K585=0,1,סקר!K585)),0)</f>
        <v>0</v>
      </c>
      <c r="O405" s="152" t="e">
        <f t="shared" si="9"/>
        <v>#N/A</v>
      </c>
      <c r="P405" s="152">
        <f>IF(B405&gt;0,IF(סקר!O585 &lt;=1,1,סקר!O585),0)</f>
        <v>0</v>
      </c>
      <c r="Q405" s="152">
        <f>סקר!P585</f>
        <v>0</v>
      </c>
      <c r="R405" s="152">
        <f>סקר!R585</f>
        <v>0</v>
      </c>
      <c r="S405" s="152">
        <f>סקר!BC585</f>
        <v>0</v>
      </c>
      <c r="T405" s="156"/>
    </row>
    <row r="406" spans="1:20">
      <c r="A406" s="152" t="str">
        <f>IF(סקר!D586&lt;2,"עץ","פוליגון")</f>
        <v>עץ</v>
      </c>
      <c r="B406" s="152">
        <f>סקר!B586</f>
        <v>0</v>
      </c>
      <c r="C406" s="152">
        <f>IF(סקר!D586&lt;2,1,סקר!D586)</f>
        <v>1</v>
      </c>
      <c r="D406" s="152">
        <f>סקר!C586</f>
        <v>0</v>
      </c>
      <c r="E406" s="152" t="str">
        <f>IFERROR(VLOOKUP(F406,[1]TreeType!$A:$E,5,0),"")</f>
        <v/>
      </c>
      <c r="F406" s="153" t="str">
        <f>IFERROR(VLOOKUP(D406,[1]TreeType!$A:$B,2,0),"")</f>
        <v/>
      </c>
      <c r="G406" s="72">
        <f>IF(B406&gt;0,IF(סקר!E586=0,1,סקר!E586),0)</f>
        <v>0</v>
      </c>
      <c r="H406" s="72">
        <f>IF(B406&gt;0,IF(סקר!F586 = 0,1,סקר!F586),0)</f>
        <v>0</v>
      </c>
      <c r="I406" s="152">
        <f>סקר!G586</f>
        <v>0</v>
      </c>
      <c r="J406" s="152">
        <f>סקר!H586</f>
        <v>0</v>
      </c>
      <c r="K406" s="152" t="e">
        <f>IF(D406="","",VLOOKUP(D406,[1]TreeType!$A$2:$E$508,3,3))</f>
        <v>#N/A</v>
      </c>
      <c r="L406" s="152">
        <f>IF(D406&gt;0,IF(סקר!M586=0,1,IF(סקר!M586=0,1,סקר!M586)),0)</f>
        <v>0</v>
      </c>
      <c r="M406" s="152">
        <f>סקר!J586</f>
        <v>0</v>
      </c>
      <c r="N406" s="152">
        <f>IF(D406&gt;0,IF(סקר!K586=0,1,IF(סקר!K586=0,1,סקר!K586)),0)</f>
        <v>0</v>
      </c>
      <c r="O406" s="152" t="e">
        <f t="shared" ref="O406:O442" si="10">IF(SUM(K406:N406)=0,"",SUM(K406:N406))</f>
        <v>#N/A</v>
      </c>
      <c r="P406" s="152">
        <f>IF(B406&gt;0,IF(סקר!O586 &lt;=1,1,סקר!O586),0)</f>
        <v>0</v>
      </c>
      <c r="Q406" s="152">
        <f>סקר!P586</f>
        <v>0</v>
      </c>
      <c r="R406" s="152">
        <f>סקר!R586</f>
        <v>0</v>
      </c>
      <c r="S406" s="152">
        <f>סקר!BC586</f>
        <v>0</v>
      </c>
      <c r="T406" s="156"/>
    </row>
    <row r="407" spans="1:20">
      <c r="A407" s="152" t="str">
        <f>IF(סקר!D587&lt;2,"עץ","פוליגון")</f>
        <v>עץ</v>
      </c>
      <c r="B407" s="152">
        <f>סקר!B587</f>
        <v>0</v>
      </c>
      <c r="C407" s="152">
        <f>IF(סקר!D587&lt;2,1,סקר!D587)</f>
        <v>1</v>
      </c>
      <c r="D407" s="152">
        <f>סקר!C587</f>
        <v>0</v>
      </c>
      <c r="E407" s="152" t="str">
        <f>IFERROR(VLOOKUP(F407,[1]TreeType!$A:$E,5,0),"")</f>
        <v/>
      </c>
      <c r="F407" s="153" t="str">
        <f>IFERROR(VLOOKUP(D407,[1]TreeType!$A:$B,2,0),"")</f>
        <v/>
      </c>
      <c r="G407" s="72">
        <f>IF(B407&gt;0,IF(סקר!E587=0,1,סקר!E587),0)</f>
        <v>0</v>
      </c>
      <c r="H407" s="72">
        <f>IF(B407&gt;0,IF(סקר!F587 = 0,1,סקר!F587),0)</f>
        <v>0</v>
      </c>
      <c r="I407" s="152">
        <f>סקר!G587</f>
        <v>0</v>
      </c>
      <c r="J407" s="152">
        <f>סקר!H587</f>
        <v>0</v>
      </c>
      <c r="K407" s="152" t="e">
        <f>IF(D407="","",VLOOKUP(D407,[1]TreeType!$A$2:$E$508,3,3))</f>
        <v>#N/A</v>
      </c>
      <c r="L407" s="152">
        <f>IF(D407&gt;0,IF(סקר!M587=0,1,IF(סקר!M587=0,1,סקר!M587)),0)</f>
        <v>0</v>
      </c>
      <c r="M407" s="152">
        <f>סקר!J587</f>
        <v>0</v>
      </c>
      <c r="N407" s="152">
        <f>IF(D407&gt;0,IF(סקר!K587=0,1,IF(סקר!K587=0,1,סקר!K587)),0)</f>
        <v>0</v>
      </c>
      <c r="O407" s="152" t="e">
        <f t="shared" si="10"/>
        <v>#N/A</v>
      </c>
      <c r="P407" s="152">
        <f>IF(B407&gt;0,IF(סקר!O587 &lt;=1,1,סקר!O587),0)</f>
        <v>0</v>
      </c>
      <c r="Q407" s="152">
        <f>סקר!P587</f>
        <v>0</v>
      </c>
      <c r="R407" s="152">
        <f>סקר!R587</f>
        <v>0</v>
      </c>
      <c r="S407" s="152">
        <f>סקר!BC587</f>
        <v>0</v>
      </c>
      <c r="T407" s="156"/>
    </row>
    <row r="408" spans="1:20">
      <c r="A408" s="152" t="str">
        <f>IF(סקר!D588&lt;2,"עץ","פוליגון")</f>
        <v>עץ</v>
      </c>
      <c r="B408" s="152">
        <f>סקר!B588</f>
        <v>0</v>
      </c>
      <c r="C408" s="152">
        <f>IF(סקר!D588&lt;2,1,סקר!D588)</f>
        <v>1</v>
      </c>
      <c r="D408" s="152">
        <f>סקר!C588</f>
        <v>0</v>
      </c>
      <c r="E408" s="152" t="str">
        <f>IFERROR(VLOOKUP(F408,[1]TreeType!$A:$E,5,0),"")</f>
        <v/>
      </c>
      <c r="F408" s="153" t="str">
        <f>IFERROR(VLOOKUP(D408,[1]TreeType!$A:$B,2,0),"")</f>
        <v/>
      </c>
      <c r="G408" s="72">
        <f>IF(B408&gt;0,IF(סקר!E588=0,1,סקר!E588),0)</f>
        <v>0</v>
      </c>
      <c r="H408" s="72">
        <f>IF(B408&gt;0,IF(סקר!F588 = 0,1,סקר!F588),0)</f>
        <v>0</v>
      </c>
      <c r="I408" s="152">
        <f>סקר!G588</f>
        <v>0</v>
      </c>
      <c r="J408" s="152">
        <f>סקר!H588</f>
        <v>0</v>
      </c>
      <c r="K408" s="152" t="e">
        <f>IF(D408="","",VLOOKUP(D408,[1]TreeType!$A$2:$E$508,3,3))</f>
        <v>#N/A</v>
      </c>
      <c r="L408" s="152">
        <f>IF(D408&gt;0,IF(סקר!M588=0,1,IF(סקר!M588=0,1,סקר!M588)),0)</f>
        <v>0</v>
      </c>
      <c r="M408" s="152">
        <f>סקר!J588</f>
        <v>0</v>
      </c>
      <c r="N408" s="152">
        <f>IF(D408&gt;0,IF(סקר!K588=0,1,IF(סקר!K588=0,1,סקר!K588)),0)</f>
        <v>0</v>
      </c>
      <c r="O408" s="152" t="e">
        <f t="shared" si="10"/>
        <v>#N/A</v>
      </c>
      <c r="P408" s="152">
        <f>IF(B408&gt;0,IF(סקר!O588 &lt;=1,1,סקר!O588),0)</f>
        <v>0</v>
      </c>
      <c r="Q408" s="152">
        <f>סקר!P588</f>
        <v>0</v>
      </c>
      <c r="R408" s="152">
        <f>סקר!R588</f>
        <v>0</v>
      </c>
      <c r="S408" s="152">
        <f>סקר!BC588</f>
        <v>0</v>
      </c>
      <c r="T408" s="156"/>
    </row>
    <row r="409" spans="1:20">
      <c r="A409" s="152" t="str">
        <f>IF(סקר!D589&lt;2,"עץ","פוליגון")</f>
        <v>עץ</v>
      </c>
      <c r="B409" s="152">
        <f>סקר!B589</f>
        <v>0</v>
      </c>
      <c r="C409" s="152">
        <f>IF(סקר!D589&lt;2,1,סקר!D589)</f>
        <v>1</v>
      </c>
      <c r="D409" s="152">
        <f>סקר!C589</f>
        <v>0</v>
      </c>
      <c r="E409" s="152" t="str">
        <f>IFERROR(VLOOKUP(F409,[1]TreeType!$A:$E,5,0),"")</f>
        <v/>
      </c>
      <c r="F409" s="153" t="str">
        <f>IFERROR(VLOOKUP(D409,[1]TreeType!$A:$B,2,0),"")</f>
        <v/>
      </c>
      <c r="G409" s="72">
        <f>IF(B409&gt;0,IF(סקר!E589=0,1,סקר!E589),0)</f>
        <v>0</v>
      </c>
      <c r="H409" s="72">
        <f>IF(B409&gt;0,IF(סקר!F589 = 0,1,סקר!F589),0)</f>
        <v>0</v>
      </c>
      <c r="I409" s="152">
        <f>סקר!G589</f>
        <v>0</v>
      </c>
      <c r="J409" s="152">
        <f>סקר!H589</f>
        <v>0</v>
      </c>
      <c r="K409" s="152" t="e">
        <f>IF(D409="","",VLOOKUP(D409,[1]TreeType!$A$2:$E$508,3,3))</f>
        <v>#N/A</v>
      </c>
      <c r="L409" s="152">
        <f>IF(D409&gt;0,IF(סקר!M589=0,1,IF(סקר!M589=0,1,סקר!M589)),0)</f>
        <v>0</v>
      </c>
      <c r="M409" s="152">
        <f>סקר!J589</f>
        <v>0</v>
      </c>
      <c r="N409" s="152">
        <f>IF(D409&gt;0,IF(סקר!K589=0,1,IF(סקר!K589=0,1,סקר!K589)),0)</f>
        <v>0</v>
      </c>
      <c r="O409" s="152" t="e">
        <f t="shared" si="10"/>
        <v>#N/A</v>
      </c>
      <c r="P409" s="152">
        <f>IF(B409&gt;0,IF(סקר!O589 &lt;=1,1,סקר!O589),0)</f>
        <v>0</v>
      </c>
      <c r="Q409" s="152">
        <f>סקר!P589</f>
        <v>0</v>
      </c>
      <c r="R409" s="152">
        <f>סקר!R589</f>
        <v>0</v>
      </c>
      <c r="S409" s="152">
        <f>סקר!BC589</f>
        <v>0</v>
      </c>
      <c r="T409" s="156"/>
    </row>
    <row r="410" spans="1:20">
      <c r="A410" s="152" t="str">
        <f>IF(סקר!D590&lt;2,"עץ","פוליגון")</f>
        <v>עץ</v>
      </c>
      <c r="B410" s="152">
        <f>סקר!B590</f>
        <v>0</v>
      </c>
      <c r="C410" s="152">
        <f>IF(סקר!D590&lt;2,1,סקר!D590)</f>
        <v>1</v>
      </c>
      <c r="D410" s="152">
        <f>סקר!C590</f>
        <v>0</v>
      </c>
      <c r="E410" s="152" t="str">
        <f>IFERROR(VLOOKUP(F410,[1]TreeType!$A:$E,5,0),"")</f>
        <v/>
      </c>
      <c r="F410" s="153" t="str">
        <f>IFERROR(VLOOKUP(D410,[1]TreeType!$A:$B,2,0),"")</f>
        <v/>
      </c>
      <c r="G410" s="72">
        <f>IF(B410&gt;0,IF(סקר!E590=0,1,סקר!E590),0)</f>
        <v>0</v>
      </c>
      <c r="H410" s="72">
        <f>IF(B410&gt;0,IF(סקר!F590 = 0,1,סקר!F590),0)</f>
        <v>0</v>
      </c>
      <c r="I410" s="152">
        <f>סקר!G590</f>
        <v>0</v>
      </c>
      <c r="J410" s="152">
        <f>סקר!H590</f>
        <v>0</v>
      </c>
      <c r="K410" s="152" t="e">
        <f>IF(D410="","",VLOOKUP(D410,[1]TreeType!$A$2:$E$508,3,3))</f>
        <v>#N/A</v>
      </c>
      <c r="L410" s="152">
        <f>IF(D410&gt;0,IF(סקר!M590=0,1,IF(סקר!M590=0,1,סקר!M590)),0)</f>
        <v>0</v>
      </c>
      <c r="M410" s="152">
        <f>סקר!J590</f>
        <v>0</v>
      </c>
      <c r="N410" s="152">
        <f>IF(D410&gt;0,IF(סקר!K590=0,1,IF(סקר!K590=0,1,סקר!K590)),0)</f>
        <v>0</v>
      </c>
      <c r="O410" s="152" t="e">
        <f t="shared" si="10"/>
        <v>#N/A</v>
      </c>
      <c r="P410" s="152">
        <f>IF(B410&gt;0,IF(סקר!O590 &lt;=1,1,סקר!O590),0)</f>
        <v>0</v>
      </c>
      <c r="Q410" s="152">
        <f>סקר!P590</f>
        <v>0</v>
      </c>
      <c r="R410" s="152">
        <f>סקר!R590</f>
        <v>0</v>
      </c>
      <c r="S410" s="152">
        <f>סקר!BC590</f>
        <v>0</v>
      </c>
      <c r="T410" s="156"/>
    </row>
    <row r="411" spans="1:20">
      <c r="A411" s="152" t="str">
        <f>IF(סקר!D605&lt;2,"עץ","פוליגון")</f>
        <v>עץ</v>
      </c>
      <c r="B411" s="152">
        <f>סקר!B605</f>
        <v>0</v>
      </c>
      <c r="C411" s="152">
        <f>IF(סקר!D605&lt;2,1,סקר!D605)</f>
        <v>1</v>
      </c>
      <c r="D411" s="152">
        <f>סקר!C605</f>
        <v>0</v>
      </c>
      <c r="E411" s="152" t="str">
        <f>IFERROR(VLOOKUP(F411,[1]TreeType!$A:$E,5,0),"")</f>
        <v/>
      </c>
      <c r="F411" s="153" t="str">
        <f>IFERROR(VLOOKUP(D411,[1]TreeType!$A:$B,2,0),"")</f>
        <v/>
      </c>
      <c r="G411" s="72">
        <f>IF(B411&gt;0,IF(סקר!E605=0,1,סקר!E605),0)</f>
        <v>0</v>
      </c>
      <c r="H411" s="72">
        <f>IF(B411&gt;0,IF(סקר!F605 = 0,1,סקר!F605),0)</f>
        <v>0</v>
      </c>
      <c r="I411" s="152">
        <f>סקר!G605</f>
        <v>0</v>
      </c>
      <c r="J411" s="152">
        <f>סקר!H605</f>
        <v>0</v>
      </c>
      <c r="K411" s="152" t="e">
        <f>IF(D411="","",VLOOKUP(D411,[1]TreeType!$A$2:$E$508,3,3))</f>
        <v>#N/A</v>
      </c>
      <c r="L411" s="152">
        <f>IF(D411&gt;0,IF(סקר!M605=0,1,IF(סקר!M605=0,1,סקר!M605)),0)</f>
        <v>0</v>
      </c>
      <c r="M411" s="152">
        <f>סקר!J605</f>
        <v>0</v>
      </c>
      <c r="N411" s="152">
        <f>IF(D411&gt;0,IF(סקר!K605=0,1,IF(סקר!K605=0,1,סקר!K605)),0)</f>
        <v>0</v>
      </c>
      <c r="O411" s="152" t="e">
        <f t="shared" si="10"/>
        <v>#N/A</v>
      </c>
      <c r="P411" s="152">
        <f>IF(B411&gt;0,IF(סקר!O605 &lt;=1,1,סקר!O605),0)</f>
        <v>0</v>
      </c>
      <c r="Q411" s="152">
        <f>סקר!P605</f>
        <v>0</v>
      </c>
      <c r="R411" s="152">
        <f>סקר!R605</f>
        <v>0</v>
      </c>
      <c r="S411" s="152">
        <f>סקר!BC605</f>
        <v>0</v>
      </c>
      <c r="T411" s="156"/>
    </row>
    <row r="412" spans="1:20">
      <c r="A412" s="152" t="str">
        <f>IF(סקר!D606&lt;2,"עץ","פוליגון")</f>
        <v>עץ</v>
      </c>
      <c r="B412" s="152">
        <f>סקר!B606</f>
        <v>0</v>
      </c>
      <c r="C412" s="152">
        <f>IF(סקר!D606&lt;2,1,סקר!D606)</f>
        <v>1</v>
      </c>
      <c r="D412" s="152">
        <f>סקר!C606</f>
        <v>0</v>
      </c>
      <c r="E412" s="152" t="str">
        <f>IFERROR(VLOOKUP(F412,[1]TreeType!$A:$E,5,0),"")</f>
        <v/>
      </c>
      <c r="F412" s="153" t="str">
        <f>IFERROR(VLOOKUP(D412,[1]TreeType!$A:$B,2,0),"")</f>
        <v/>
      </c>
      <c r="G412" s="72">
        <f>IF(B412&gt;0,IF(סקר!E606=0,1,סקר!E606),0)</f>
        <v>0</v>
      </c>
      <c r="H412" s="72">
        <f>IF(B412&gt;0,IF(סקר!F606 = 0,1,סקר!F606),0)</f>
        <v>0</v>
      </c>
      <c r="I412" s="152">
        <f>סקר!G606</f>
        <v>0</v>
      </c>
      <c r="J412" s="152">
        <f>סקר!H606</f>
        <v>0</v>
      </c>
      <c r="K412" s="152" t="e">
        <f>IF(D412="","",VLOOKUP(D412,[1]TreeType!$A$2:$E$508,3,3))</f>
        <v>#N/A</v>
      </c>
      <c r="L412" s="152">
        <f>IF(D412&gt;0,IF(סקר!M606=0,1,IF(סקר!M606=0,1,סקר!M606)),0)</f>
        <v>0</v>
      </c>
      <c r="M412" s="152">
        <f>סקר!J606</f>
        <v>0</v>
      </c>
      <c r="N412" s="152">
        <f>IF(D412&gt;0,IF(סקר!K606=0,1,IF(סקר!K606=0,1,סקר!K606)),0)</f>
        <v>0</v>
      </c>
      <c r="O412" s="152" t="e">
        <f t="shared" si="10"/>
        <v>#N/A</v>
      </c>
      <c r="P412" s="152">
        <f>IF(B412&gt;0,IF(סקר!O606 &lt;=1,1,סקר!O606),0)</f>
        <v>0</v>
      </c>
      <c r="Q412" s="152">
        <f>סקר!P606</f>
        <v>0</v>
      </c>
      <c r="R412" s="152">
        <f>סקר!R606</f>
        <v>0</v>
      </c>
      <c r="S412" s="152">
        <f>סקר!BC606</f>
        <v>0</v>
      </c>
      <c r="T412" s="156"/>
    </row>
    <row r="413" spans="1:20">
      <c r="A413" s="152" t="str">
        <f>IF(סקר!D607&lt;2,"עץ","פוליגון")</f>
        <v>עץ</v>
      </c>
      <c r="B413" s="152">
        <f>סקר!B607</f>
        <v>0</v>
      </c>
      <c r="C413" s="152">
        <f>IF(סקר!D607&lt;2,1,סקר!D607)</f>
        <v>1</v>
      </c>
      <c r="D413" s="152">
        <f>סקר!C607</f>
        <v>0</v>
      </c>
      <c r="E413" s="152" t="str">
        <f>IFERROR(VLOOKUP(F413,[1]TreeType!$A:$E,5,0),"")</f>
        <v/>
      </c>
      <c r="F413" s="153" t="str">
        <f>IFERROR(VLOOKUP(D413,[1]TreeType!$A:$B,2,0),"")</f>
        <v/>
      </c>
      <c r="G413" s="72">
        <f>IF(B413&gt;0,IF(סקר!E607=0,1,סקר!E607),0)</f>
        <v>0</v>
      </c>
      <c r="H413" s="72">
        <f>IF(B413&gt;0,IF(סקר!F607 = 0,1,סקר!F607),0)</f>
        <v>0</v>
      </c>
      <c r="I413" s="152">
        <f>סקר!G607</f>
        <v>0</v>
      </c>
      <c r="J413" s="152">
        <f>סקר!H607</f>
        <v>0</v>
      </c>
      <c r="K413" s="152" t="e">
        <f>IF(D413="","",VLOOKUP(D413,[1]TreeType!$A$2:$E$508,3,3))</f>
        <v>#N/A</v>
      </c>
      <c r="L413" s="152">
        <f>IF(D413&gt;0,IF(סקר!M607=0,1,IF(סקר!M607=0,1,סקר!M607)),0)</f>
        <v>0</v>
      </c>
      <c r="M413" s="152">
        <f>סקר!J607</f>
        <v>0</v>
      </c>
      <c r="N413" s="152">
        <f>IF(D413&gt;0,IF(סקר!K607=0,1,IF(סקר!K607=0,1,סקר!K607)),0)</f>
        <v>0</v>
      </c>
      <c r="O413" s="152" t="e">
        <f t="shared" si="10"/>
        <v>#N/A</v>
      </c>
      <c r="P413" s="152">
        <f>IF(B413&gt;0,IF(סקר!O607 &lt;=1,1,סקר!O607),0)</f>
        <v>0</v>
      </c>
      <c r="Q413" s="152">
        <f>סקר!P607</f>
        <v>0</v>
      </c>
      <c r="R413" s="152">
        <f>סקר!R607</f>
        <v>0</v>
      </c>
      <c r="S413" s="152">
        <f>סקר!BC607</f>
        <v>0</v>
      </c>
      <c r="T413" s="156"/>
    </row>
    <row r="414" spans="1:20">
      <c r="A414" s="152" t="str">
        <f>IF(סקר!D608&lt;2,"עץ","פוליגון")</f>
        <v>עץ</v>
      </c>
      <c r="B414" s="152">
        <f>סקר!B608</f>
        <v>0</v>
      </c>
      <c r="C414" s="152">
        <f>IF(סקר!D608&lt;2,1,סקר!D608)</f>
        <v>1</v>
      </c>
      <c r="D414" s="152">
        <f>סקר!C608</f>
        <v>0</v>
      </c>
      <c r="E414" s="152" t="str">
        <f>IFERROR(VLOOKUP(F414,[1]TreeType!$A:$E,5,0),"")</f>
        <v/>
      </c>
      <c r="F414" s="153" t="str">
        <f>IFERROR(VLOOKUP(D414,[1]TreeType!$A:$B,2,0),"")</f>
        <v/>
      </c>
      <c r="G414" s="72">
        <f>IF(B414&gt;0,IF(סקר!E608=0,1,סקר!E608),0)</f>
        <v>0</v>
      </c>
      <c r="H414" s="72">
        <f>IF(B414&gt;0,IF(סקר!F608 = 0,1,סקר!F608),0)</f>
        <v>0</v>
      </c>
      <c r="I414" s="152">
        <f>סקר!G608</f>
        <v>0</v>
      </c>
      <c r="J414" s="152">
        <f>סקר!H608</f>
        <v>0</v>
      </c>
      <c r="K414" s="152" t="e">
        <f>IF(D414="","",VLOOKUP(D414,[1]TreeType!$A$2:$E$508,3,3))</f>
        <v>#N/A</v>
      </c>
      <c r="L414" s="152">
        <f>IF(D414&gt;0,IF(סקר!M608=0,1,IF(סקר!M608=0,1,סקר!M608)),0)</f>
        <v>0</v>
      </c>
      <c r="M414" s="152">
        <f>סקר!J608</f>
        <v>0</v>
      </c>
      <c r="N414" s="152">
        <f>IF(D414&gt;0,IF(סקר!K608=0,1,IF(סקר!K608=0,1,סקר!K608)),0)</f>
        <v>0</v>
      </c>
      <c r="O414" s="152" t="e">
        <f t="shared" si="10"/>
        <v>#N/A</v>
      </c>
      <c r="P414" s="152">
        <f>IF(B414&gt;0,IF(סקר!O608 &lt;=1,1,סקר!O608),0)</f>
        <v>0</v>
      </c>
      <c r="Q414" s="152">
        <f>סקר!P608</f>
        <v>0</v>
      </c>
      <c r="R414" s="152">
        <f>סקר!R608</f>
        <v>0</v>
      </c>
      <c r="S414" s="152">
        <f>סקר!BC608</f>
        <v>0</v>
      </c>
      <c r="T414" s="156"/>
    </row>
    <row r="415" spans="1:20">
      <c r="A415" s="152" t="str">
        <f>IF(סקר!D609&lt;2,"עץ","פוליגון")</f>
        <v>עץ</v>
      </c>
      <c r="B415" s="152">
        <f>סקר!B609</f>
        <v>0</v>
      </c>
      <c r="C415" s="152">
        <f>IF(סקר!D609&lt;2,1,סקר!D609)</f>
        <v>1</v>
      </c>
      <c r="D415" s="152">
        <f>סקר!C609</f>
        <v>0</v>
      </c>
      <c r="E415" s="152" t="str">
        <f>IFERROR(VLOOKUP(F415,[1]TreeType!$A:$E,5,0),"")</f>
        <v/>
      </c>
      <c r="F415" s="153" t="str">
        <f>IFERROR(VLOOKUP(D415,[1]TreeType!$A:$B,2,0),"")</f>
        <v/>
      </c>
      <c r="G415" s="72">
        <f>IF(B415&gt;0,IF(סקר!E609=0,1,סקר!E609),0)</f>
        <v>0</v>
      </c>
      <c r="H415" s="72">
        <f>IF(B415&gt;0,IF(סקר!F609 = 0,1,סקר!F609),0)</f>
        <v>0</v>
      </c>
      <c r="I415" s="152">
        <f>סקר!G609</f>
        <v>0</v>
      </c>
      <c r="J415" s="152">
        <f>סקר!H609</f>
        <v>0</v>
      </c>
      <c r="K415" s="152" t="e">
        <f>IF(D415="","",VLOOKUP(D415,[1]TreeType!$A$2:$E$508,3,3))</f>
        <v>#N/A</v>
      </c>
      <c r="L415" s="152">
        <f>IF(D415&gt;0,IF(סקר!M609=0,1,IF(סקר!M609=0,1,סקר!M609)),0)</f>
        <v>0</v>
      </c>
      <c r="M415" s="152">
        <f>סקר!J609</f>
        <v>0</v>
      </c>
      <c r="N415" s="152">
        <f>IF(D415&gt;0,IF(סקר!K609=0,1,IF(סקר!K609=0,1,סקר!K609)),0)</f>
        <v>0</v>
      </c>
      <c r="O415" s="152" t="e">
        <f t="shared" si="10"/>
        <v>#N/A</v>
      </c>
      <c r="P415" s="152">
        <f>IF(B415&gt;0,IF(סקר!O609 &lt;=1,1,סקר!O609),0)</f>
        <v>0</v>
      </c>
      <c r="Q415" s="152">
        <f>סקר!P609</f>
        <v>0</v>
      </c>
      <c r="R415" s="152">
        <f>סקר!R609</f>
        <v>0</v>
      </c>
      <c r="S415" s="152">
        <f>סקר!BC609</f>
        <v>0</v>
      </c>
      <c r="T415" s="156"/>
    </row>
    <row r="416" spans="1:20">
      <c r="A416" s="152" t="str">
        <f>IF(סקר!D610&lt;2,"עץ","פוליגון")</f>
        <v>עץ</v>
      </c>
      <c r="B416" s="152">
        <f>סקר!B610</f>
        <v>0</v>
      </c>
      <c r="C416" s="152">
        <f>IF(סקר!D610&lt;2,1,סקר!D610)</f>
        <v>1</v>
      </c>
      <c r="D416" s="152">
        <f>סקר!C610</f>
        <v>0</v>
      </c>
      <c r="E416" s="152" t="str">
        <f>IFERROR(VLOOKUP(F416,[1]TreeType!$A:$E,5,0),"")</f>
        <v/>
      </c>
      <c r="F416" s="153" t="str">
        <f>IFERROR(VLOOKUP(D416,[1]TreeType!$A:$B,2,0),"")</f>
        <v/>
      </c>
      <c r="G416" s="72">
        <f>IF(B416&gt;0,IF(סקר!E610=0,1,סקר!E610),0)</f>
        <v>0</v>
      </c>
      <c r="H416" s="72">
        <f>IF(B416&gt;0,IF(סקר!F610 = 0,1,סקר!F610),0)</f>
        <v>0</v>
      </c>
      <c r="I416" s="152">
        <f>סקר!G610</f>
        <v>0</v>
      </c>
      <c r="J416" s="152">
        <f>סקר!H610</f>
        <v>0</v>
      </c>
      <c r="K416" s="152" t="e">
        <f>IF(D416="","",VLOOKUP(D416,[1]TreeType!$A$2:$E$508,3,3))</f>
        <v>#N/A</v>
      </c>
      <c r="L416" s="152">
        <f>IF(D416&gt;0,IF(סקר!M610=0,1,IF(סקר!M610=0,1,סקר!M610)),0)</f>
        <v>0</v>
      </c>
      <c r="M416" s="152">
        <f>סקר!J610</f>
        <v>0</v>
      </c>
      <c r="N416" s="152">
        <f>IF(D416&gt;0,IF(סקר!K610=0,1,IF(סקר!K610=0,1,סקר!K610)),0)</f>
        <v>0</v>
      </c>
      <c r="O416" s="152" t="e">
        <f t="shared" si="10"/>
        <v>#N/A</v>
      </c>
      <c r="P416" s="152">
        <f>IF(B416&gt;0,IF(סקר!O610 &lt;=1,1,סקר!O610),0)</f>
        <v>0</v>
      </c>
      <c r="Q416" s="152">
        <f>סקר!P610</f>
        <v>0</v>
      </c>
      <c r="R416" s="152">
        <f>סקר!R610</f>
        <v>0</v>
      </c>
      <c r="S416" s="152">
        <f>סקר!BC610</f>
        <v>0</v>
      </c>
      <c r="T416" s="156"/>
    </row>
    <row r="417" spans="1:20">
      <c r="A417" s="152" t="str">
        <f>IF(סקר!D611&lt;2,"עץ","פוליגון")</f>
        <v>עץ</v>
      </c>
      <c r="B417" s="152">
        <f>סקר!B611</f>
        <v>0</v>
      </c>
      <c r="C417" s="152">
        <f>IF(סקר!D611&lt;2,1,סקר!D611)</f>
        <v>1</v>
      </c>
      <c r="D417" s="152">
        <f>סקר!C611</f>
        <v>0</v>
      </c>
      <c r="E417" s="152" t="str">
        <f>IFERROR(VLOOKUP(F417,[1]TreeType!$A:$E,5,0),"")</f>
        <v/>
      </c>
      <c r="F417" s="153" t="str">
        <f>IFERROR(VLOOKUP(D417,[1]TreeType!$A:$B,2,0),"")</f>
        <v/>
      </c>
      <c r="G417" s="72">
        <f>IF(B417&gt;0,IF(סקר!E611=0,1,סקר!E611),0)</f>
        <v>0</v>
      </c>
      <c r="H417" s="72">
        <f>IF(B417&gt;0,IF(סקר!F611 = 0,1,סקר!F611),0)</f>
        <v>0</v>
      </c>
      <c r="I417" s="152">
        <f>סקר!G611</f>
        <v>0</v>
      </c>
      <c r="J417" s="152">
        <f>סקר!H611</f>
        <v>0</v>
      </c>
      <c r="K417" s="152" t="e">
        <f>IF(D417="","",VLOOKUP(D417,[1]TreeType!$A$2:$E$508,3,3))</f>
        <v>#N/A</v>
      </c>
      <c r="L417" s="152">
        <f>IF(D417&gt;0,IF(סקר!M611=0,1,IF(סקר!M611=0,1,סקר!M611)),0)</f>
        <v>0</v>
      </c>
      <c r="M417" s="152">
        <f>סקר!J611</f>
        <v>0</v>
      </c>
      <c r="N417" s="152">
        <f>IF(D417&gt;0,IF(סקר!K611=0,1,IF(סקר!K611=0,1,סקר!K611)),0)</f>
        <v>0</v>
      </c>
      <c r="O417" s="152" t="e">
        <f t="shared" si="10"/>
        <v>#N/A</v>
      </c>
      <c r="P417" s="152">
        <f>IF(B417&gt;0,IF(סקר!O611 &lt;=1,1,סקר!O611),0)</f>
        <v>0</v>
      </c>
      <c r="Q417" s="152">
        <f>סקר!P611</f>
        <v>0</v>
      </c>
      <c r="R417" s="152">
        <f>סקר!R611</f>
        <v>0</v>
      </c>
      <c r="S417" s="152">
        <f>סקר!BC611</f>
        <v>0</v>
      </c>
      <c r="T417" s="156"/>
    </row>
    <row r="418" spans="1:20">
      <c r="A418" s="152" t="str">
        <f>IF(סקר!D612&lt;2,"עץ","פוליגון")</f>
        <v>עץ</v>
      </c>
      <c r="B418" s="152">
        <f>סקר!B612</f>
        <v>0</v>
      </c>
      <c r="C418" s="152">
        <f>IF(סקר!D612&lt;2,1,סקר!D612)</f>
        <v>1</v>
      </c>
      <c r="D418" s="152">
        <f>סקר!C612</f>
        <v>0</v>
      </c>
      <c r="E418" s="152" t="str">
        <f>IFERROR(VLOOKUP(F418,[1]TreeType!$A:$E,5,0),"")</f>
        <v/>
      </c>
      <c r="F418" s="153" t="str">
        <f>IFERROR(VLOOKUP(D418,[1]TreeType!$A:$B,2,0),"")</f>
        <v/>
      </c>
      <c r="G418" s="72">
        <f>IF(B418&gt;0,IF(סקר!E612=0,1,סקר!E612),0)</f>
        <v>0</v>
      </c>
      <c r="H418" s="72">
        <f>IF(B418&gt;0,IF(סקר!F612 = 0,1,סקר!F612),0)</f>
        <v>0</v>
      </c>
      <c r="I418" s="152">
        <f>סקר!G612</f>
        <v>0</v>
      </c>
      <c r="J418" s="152">
        <f>סקר!H612</f>
        <v>0</v>
      </c>
      <c r="K418" s="152" t="e">
        <f>IF(D418="","",VLOOKUP(D418,[1]TreeType!$A$2:$E$508,3,3))</f>
        <v>#N/A</v>
      </c>
      <c r="L418" s="152">
        <f>IF(D418&gt;0,IF(סקר!M612=0,1,IF(סקר!M612=0,1,סקר!M612)),0)</f>
        <v>0</v>
      </c>
      <c r="M418" s="152">
        <f>סקר!J612</f>
        <v>0</v>
      </c>
      <c r="N418" s="152">
        <f>IF(D418&gt;0,IF(סקר!K612=0,1,IF(סקר!K612=0,1,סקר!K612)),0)</f>
        <v>0</v>
      </c>
      <c r="O418" s="152" t="e">
        <f t="shared" si="10"/>
        <v>#N/A</v>
      </c>
      <c r="P418" s="152">
        <f>IF(B418&gt;0,IF(סקר!O612 &lt;=1,1,סקר!O612),0)</f>
        <v>0</v>
      </c>
      <c r="Q418" s="152">
        <f>סקר!P612</f>
        <v>0</v>
      </c>
      <c r="R418" s="152">
        <f>סקר!R612</f>
        <v>0</v>
      </c>
      <c r="S418" s="152">
        <f>סקר!BC612</f>
        <v>0</v>
      </c>
      <c r="T418" s="156"/>
    </row>
    <row r="419" spans="1:20">
      <c r="A419" s="152" t="str">
        <f>IF(סקר!D613&lt;2,"עץ","פוליגון")</f>
        <v>עץ</v>
      </c>
      <c r="B419" s="152">
        <f>סקר!B613</f>
        <v>0</v>
      </c>
      <c r="C419" s="152">
        <f>IF(סקר!D613&lt;2,1,סקר!D613)</f>
        <v>1</v>
      </c>
      <c r="D419" s="152">
        <f>סקר!C613</f>
        <v>0</v>
      </c>
      <c r="E419" s="152" t="str">
        <f>IFERROR(VLOOKUP(F419,[1]TreeType!$A:$E,5,0),"")</f>
        <v/>
      </c>
      <c r="F419" s="153" t="str">
        <f>IFERROR(VLOOKUP(D419,[1]TreeType!$A:$B,2,0),"")</f>
        <v/>
      </c>
      <c r="G419" s="72">
        <f>IF(B419&gt;0,IF(סקר!E613=0,1,סקר!E613),0)</f>
        <v>0</v>
      </c>
      <c r="H419" s="72">
        <f>IF(B419&gt;0,IF(סקר!F613 = 0,1,סקר!F613),0)</f>
        <v>0</v>
      </c>
      <c r="I419" s="152">
        <f>סקר!G613</f>
        <v>0</v>
      </c>
      <c r="J419" s="152">
        <f>סקר!H613</f>
        <v>0</v>
      </c>
      <c r="K419" s="152" t="e">
        <f>IF(D419="","",VLOOKUP(D419,[1]TreeType!$A$2:$E$508,3,3))</f>
        <v>#N/A</v>
      </c>
      <c r="L419" s="152">
        <f>IF(D419&gt;0,IF(סקר!M613=0,1,IF(סקר!M613=0,1,סקר!M613)),0)</f>
        <v>0</v>
      </c>
      <c r="M419" s="152">
        <f>סקר!J613</f>
        <v>0</v>
      </c>
      <c r="N419" s="152">
        <f>IF(D419&gt;0,IF(סקר!K613=0,1,IF(סקר!K613=0,1,סקר!K613)),0)</f>
        <v>0</v>
      </c>
      <c r="O419" s="152" t="e">
        <f t="shared" si="10"/>
        <v>#N/A</v>
      </c>
      <c r="P419" s="152">
        <f>IF(B419&gt;0,IF(סקר!O613 &lt;=1,1,סקר!O613),0)</f>
        <v>0</v>
      </c>
      <c r="Q419" s="152">
        <f>סקר!P613</f>
        <v>0</v>
      </c>
      <c r="R419" s="152">
        <f>סקר!R613</f>
        <v>0</v>
      </c>
      <c r="S419" s="152">
        <f>סקר!BC613</f>
        <v>0</v>
      </c>
      <c r="T419" s="156"/>
    </row>
    <row r="420" spans="1:20">
      <c r="A420" s="152" t="str">
        <f>IF(סקר!D614&lt;2,"עץ","פוליגון")</f>
        <v>עץ</v>
      </c>
      <c r="B420" s="152">
        <f>סקר!B614</f>
        <v>0</v>
      </c>
      <c r="C420" s="152">
        <f>IF(סקר!D614&lt;2,1,סקר!D614)</f>
        <v>1</v>
      </c>
      <c r="D420" s="152">
        <f>סקר!C614</f>
        <v>0</v>
      </c>
      <c r="E420" s="152" t="str">
        <f>IFERROR(VLOOKUP(F420,[1]TreeType!$A:$E,5,0),"")</f>
        <v/>
      </c>
      <c r="F420" s="153" t="str">
        <f>IFERROR(VLOOKUP(D420,[1]TreeType!$A:$B,2,0),"")</f>
        <v/>
      </c>
      <c r="G420" s="72">
        <f>IF(B420&gt;0,IF(סקר!E614=0,1,סקר!E614),0)</f>
        <v>0</v>
      </c>
      <c r="H420" s="72">
        <f>IF(B420&gt;0,IF(סקר!F614 = 0,1,סקר!F614),0)</f>
        <v>0</v>
      </c>
      <c r="I420" s="152">
        <f>סקר!G614</f>
        <v>0</v>
      </c>
      <c r="J420" s="152">
        <f>סקר!H614</f>
        <v>0</v>
      </c>
      <c r="K420" s="152" t="e">
        <f>IF(D420="","",VLOOKUP(D420,[1]TreeType!$A$2:$E$508,3,3))</f>
        <v>#N/A</v>
      </c>
      <c r="L420" s="152">
        <f>IF(D420&gt;0,IF(סקר!M614=0,1,IF(סקר!M614=0,1,סקר!M614)),0)</f>
        <v>0</v>
      </c>
      <c r="M420" s="152">
        <f>סקר!J614</f>
        <v>0</v>
      </c>
      <c r="N420" s="152">
        <f>IF(D420&gt;0,IF(סקר!K614=0,1,IF(סקר!K614=0,1,סקר!K614)),0)</f>
        <v>0</v>
      </c>
      <c r="O420" s="152" t="e">
        <f t="shared" si="10"/>
        <v>#N/A</v>
      </c>
      <c r="P420" s="152">
        <f>IF(B420&gt;0,IF(סקר!O614 &lt;=1,1,סקר!O614),0)</f>
        <v>0</v>
      </c>
      <c r="Q420" s="152">
        <f>סקר!P614</f>
        <v>0</v>
      </c>
      <c r="R420" s="152">
        <f>סקר!R614</f>
        <v>0</v>
      </c>
      <c r="S420" s="152">
        <f>סקר!BC614</f>
        <v>0</v>
      </c>
      <c r="T420" s="156"/>
    </row>
    <row r="421" spans="1:20">
      <c r="A421" s="152" t="str">
        <f>IF(סקר!D615&lt;2,"עץ","פוליגון")</f>
        <v>עץ</v>
      </c>
      <c r="B421" s="152">
        <f>סקר!B615</f>
        <v>0</v>
      </c>
      <c r="C421" s="152">
        <f>IF(סקר!D615&lt;2,1,סקר!D615)</f>
        <v>1</v>
      </c>
      <c r="D421" s="152">
        <f>סקר!C615</f>
        <v>0</v>
      </c>
      <c r="E421" s="152" t="str">
        <f>IFERROR(VLOOKUP(F421,[1]TreeType!$A:$E,5,0),"")</f>
        <v/>
      </c>
      <c r="F421" s="153" t="str">
        <f>IFERROR(VLOOKUP(D421,[1]TreeType!$A:$B,2,0),"")</f>
        <v/>
      </c>
      <c r="G421" s="72">
        <f>IF(B421&gt;0,IF(סקר!E615=0,1,סקר!E615),0)</f>
        <v>0</v>
      </c>
      <c r="H421" s="72">
        <f>IF(B421&gt;0,IF(סקר!F615 = 0,1,סקר!F615),0)</f>
        <v>0</v>
      </c>
      <c r="I421" s="152">
        <f>סקר!G615</f>
        <v>0</v>
      </c>
      <c r="J421" s="152">
        <f>סקר!H615</f>
        <v>0</v>
      </c>
      <c r="K421" s="152" t="e">
        <f>IF(D421="","",VLOOKUP(D421,[1]TreeType!$A$2:$E$508,3,3))</f>
        <v>#N/A</v>
      </c>
      <c r="L421" s="152">
        <f>IF(D421&gt;0,IF(סקר!M615=0,1,IF(סקר!M615=0,1,סקר!M615)),0)</f>
        <v>0</v>
      </c>
      <c r="M421" s="152">
        <f>סקר!J615</f>
        <v>0</v>
      </c>
      <c r="N421" s="152">
        <f>IF(D421&gt;0,IF(סקר!K615=0,1,IF(סקר!K615=0,1,סקר!K615)),0)</f>
        <v>0</v>
      </c>
      <c r="O421" s="152" t="e">
        <f t="shared" si="10"/>
        <v>#N/A</v>
      </c>
      <c r="P421" s="152">
        <f>IF(B421&gt;0,IF(סקר!O615 &lt;=1,1,סקר!O615),0)</f>
        <v>0</v>
      </c>
      <c r="Q421" s="152">
        <f>סקר!P615</f>
        <v>0</v>
      </c>
      <c r="R421" s="152">
        <f>סקר!R615</f>
        <v>0</v>
      </c>
      <c r="S421" s="152">
        <f>סקר!BC615</f>
        <v>0</v>
      </c>
      <c r="T421" s="156"/>
    </row>
    <row r="422" spans="1:20">
      <c r="A422" s="152" t="str">
        <f>IF(סקר!D616&lt;2,"עץ","פוליגון")</f>
        <v>עץ</v>
      </c>
      <c r="B422" s="152">
        <f>סקר!B616</f>
        <v>0</v>
      </c>
      <c r="C422" s="152">
        <f>IF(סקר!D616&lt;2,1,סקר!D616)</f>
        <v>1</v>
      </c>
      <c r="D422" s="152">
        <f>סקר!C616</f>
        <v>0</v>
      </c>
      <c r="E422" s="152" t="str">
        <f>IFERROR(VLOOKUP(F422,[1]TreeType!$A:$E,5,0),"")</f>
        <v/>
      </c>
      <c r="F422" s="153" t="str">
        <f>IFERROR(VLOOKUP(D422,[1]TreeType!$A:$B,2,0),"")</f>
        <v/>
      </c>
      <c r="G422" s="72">
        <f>IF(B422&gt;0,IF(סקר!E616=0,1,סקר!E616),0)</f>
        <v>0</v>
      </c>
      <c r="H422" s="72">
        <f>IF(B422&gt;0,IF(סקר!F616 = 0,1,סקר!F616),0)</f>
        <v>0</v>
      </c>
      <c r="I422" s="152">
        <f>סקר!G616</f>
        <v>0</v>
      </c>
      <c r="J422" s="152">
        <f>סקר!H616</f>
        <v>0</v>
      </c>
      <c r="K422" s="152" t="e">
        <f>IF(D422="","",VLOOKUP(D422,[1]TreeType!$A$2:$E$508,3,3))</f>
        <v>#N/A</v>
      </c>
      <c r="L422" s="152">
        <f>IF(D422&gt;0,IF(סקר!M616=0,1,IF(סקר!M616=0,1,סקר!M616)),0)</f>
        <v>0</v>
      </c>
      <c r="M422" s="152">
        <f>סקר!J616</f>
        <v>0</v>
      </c>
      <c r="N422" s="152">
        <f>IF(D422&gt;0,IF(סקר!K616=0,1,IF(סקר!K616=0,1,סקר!K616)),0)</f>
        <v>0</v>
      </c>
      <c r="O422" s="152" t="e">
        <f t="shared" si="10"/>
        <v>#N/A</v>
      </c>
      <c r="P422" s="152">
        <f>IF(B422&gt;0,IF(סקר!O616 &lt;=1,1,סקר!O616),0)</f>
        <v>0</v>
      </c>
      <c r="Q422" s="152">
        <f>סקר!P616</f>
        <v>0</v>
      </c>
      <c r="R422" s="152">
        <f>סקר!R616</f>
        <v>0</v>
      </c>
      <c r="S422" s="152">
        <f>סקר!BC616</f>
        <v>0</v>
      </c>
      <c r="T422" s="156"/>
    </row>
    <row r="423" spans="1:20">
      <c r="A423" s="152" t="str">
        <f>IF(סקר!D617&lt;2,"עץ","פוליגון")</f>
        <v>עץ</v>
      </c>
      <c r="B423" s="152">
        <f>סקר!B617</f>
        <v>0</v>
      </c>
      <c r="C423" s="152">
        <f>IF(סקר!D617&lt;2,1,סקר!D617)</f>
        <v>1</v>
      </c>
      <c r="D423" s="152">
        <f>סקר!C617</f>
        <v>0</v>
      </c>
      <c r="E423" s="152" t="str">
        <f>IFERROR(VLOOKUP(F423,[1]TreeType!$A:$E,5,0),"")</f>
        <v/>
      </c>
      <c r="F423" s="153" t="str">
        <f>IFERROR(VLOOKUP(D423,[1]TreeType!$A:$B,2,0),"")</f>
        <v/>
      </c>
      <c r="G423" s="72">
        <f>IF(B423&gt;0,IF(סקר!E617=0,1,סקר!E617),0)</f>
        <v>0</v>
      </c>
      <c r="H423" s="72">
        <f>IF(B423&gt;0,IF(סקר!F617 = 0,1,סקר!F617),0)</f>
        <v>0</v>
      </c>
      <c r="I423" s="152">
        <f>סקר!G617</f>
        <v>0</v>
      </c>
      <c r="J423" s="152">
        <f>סקר!H617</f>
        <v>0</v>
      </c>
      <c r="K423" s="152" t="e">
        <f>IF(D423="","",VLOOKUP(D423,[1]TreeType!$A$2:$E$508,3,3))</f>
        <v>#N/A</v>
      </c>
      <c r="L423" s="152">
        <f>IF(D423&gt;0,IF(סקר!M617=0,1,IF(סקר!M617=0,1,סקר!M617)),0)</f>
        <v>0</v>
      </c>
      <c r="M423" s="152">
        <f>סקר!J617</f>
        <v>0</v>
      </c>
      <c r="N423" s="152">
        <f>IF(D423&gt;0,IF(סקר!K617=0,1,IF(סקר!K617=0,1,סקר!K617)),0)</f>
        <v>0</v>
      </c>
      <c r="O423" s="152" t="e">
        <f t="shared" si="10"/>
        <v>#N/A</v>
      </c>
      <c r="P423" s="152">
        <f>IF(B423&gt;0,IF(סקר!O617 &lt;=1,1,סקר!O617),0)</f>
        <v>0</v>
      </c>
      <c r="Q423" s="152">
        <f>סקר!P617</f>
        <v>0</v>
      </c>
      <c r="R423" s="152">
        <f>סקר!R617</f>
        <v>0</v>
      </c>
      <c r="S423" s="152">
        <f>סקר!BC617</f>
        <v>0</v>
      </c>
      <c r="T423" s="156"/>
    </row>
    <row r="424" spans="1:20">
      <c r="A424" s="152" t="str">
        <f>IF(סקר!D618&lt;2,"עץ","פוליגון")</f>
        <v>עץ</v>
      </c>
      <c r="B424" s="152">
        <f>סקר!B618</f>
        <v>0</v>
      </c>
      <c r="C424" s="152">
        <f>IF(סקר!D618&lt;2,1,סקר!D618)</f>
        <v>1</v>
      </c>
      <c r="D424" s="152">
        <f>סקר!C618</f>
        <v>0</v>
      </c>
      <c r="E424" s="152" t="str">
        <f>IFERROR(VLOOKUP(F424,[1]TreeType!$A:$E,5,0),"")</f>
        <v/>
      </c>
      <c r="F424" s="153" t="str">
        <f>IFERROR(VLOOKUP(D424,[1]TreeType!$A:$B,2,0),"")</f>
        <v/>
      </c>
      <c r="G424" s="72">
        <f>IF(B424&gt;0,IF(סקר!E618=0,1,סקר!E618),0)</f>
        <v>0</v>
      </c>
      <c r="H424" s="72">
        <f>IF(B424&gt;0,IF(סקר!F618 = 0,1,סקר!F618),0)</f>
        <v>0</v>
      </c>
      <c r="I424" s="152">
        <f>סקר!G618</f>
        <v>0</v>
      </c>
      <c r="J424" s="152">
        <f>סקר!H618</f>
        <v>0</v>
      </c>
      <c r="K424" s="152" t="e">
        <f>IF(D424="","",VLOOKUP(D424,[1]TreeType!$A$2:$E$508,3,3))</f>
        <v>#N/A</v>
      </c>
      <c r="L424" s="152">
        <f>IF(D424&gt;0,IF(סקר!M618=0,1,IF(סקר!M618=0,1,סקר!M618)),0)</f>
        <v>0</v>
      </c>
      <c r="M424" s="152">
        <f>סקר!J618</f>
        <v>0</v>
      </c>
      <c r="N424" s="152">
        <f>IF(D424&gt;0,IF(סקר!K618=0,1,IF(סקר!K618=0,1,סקר!K618)),0)</f>
        <v>0</v>
      </c>
      <c r="O424" s="152" t="e">
        <f t="shared" si="10"/>
        <v>#N/A</v>
      </c>
      <c r="P424" s="152">
        <f>IF(B424&gt;0,IF(סקר!O618 &lt;=1,1,סקר!O618),0)</f>
        <v>0</v>
      </c>
      <c r="Q424" s="152">
        <f>סקר!P618</f>
        <v>0</v>
      </c>
      <c r="R424" s="152">
        <f>סקר!R618</f>
        <v>0</v>
      </c>
      <c r="S424" s="152">
        <f>סקר!BC618</f>
        <v>0</v>
      </c>
      <c r="T424" s="156"/>
    </row>
    <row r="425" spans="1:20">
      <c r="A425" s="152" t="str">
        <f>IF(סקר!D619&lt;2,"עץ","פוליגון")</f>
        <v>עץ</v>
      </c>
      <c r="B425" s="152">
        <f>סקר!B619</f>
        <v>0</v>
      </c>
      <c r="C425" s="152">
        <f>IF(סקר!D619&lt;2,1,סקר!D619)</f>
        <v>1</v>
      </c>
      <c r="D425" s="152">
        <f>סקר!C619</f>
        <v>0</v>
      </c>
      <c r="E425" s="152" t="str">
        <f>IFERROR(VLOOKUP(F425,[1]TreeType!$A:$E,5,0),"")</f>
        <v/>
      </c>
      <c r="F425" s="153" t="str">
        <f>IFERROR(VLOOKUP(D425,[1]TreeType!$A:$B,2,0),"")</f>
        <v/>
      </c>
      <c r="G425" s="72">
        <f>IF(B425&gt;0,IF(סקר!E619=0,1,סקר!E619),0)</f>
        <v>0</v>
      </c>
      <c r="H425" s="72">
        <f>IF(B425&gt;0,IF(סקר!F619 = 0,1,סקר!F619),0)</f>
        <v>0</v>
      </c>
      <c r="I425" s="152">
        <f>סקר!G619</f>
        <v>0</v>
      </c>
      <c r="J425" s="152">
        <f>סקר!H619</f>
        <v>0</v>
      </c>
      <c r="K425" s="152" t="e">
        <f>IF(D425="","",VLOOKUP(D425,[1]TreeType!$A$2:$E$508,3,3))</f>
        <v>#N/A</v>
      </c>
      <c r="L425" s="152">
        <f>IF(D425&gt;0,IF(סקר!M619=0,1,IF(סקר!M619=0,1,סקר!M619)),0)</f>
        <v>0</v>
      </c>
      <c r="M425" s="152">
        <f>סקר!J619</f>
        <v>0</v>
      </c>
      <c r="N425" s="152">
        <f>IF(D425&gt;0,IF(סקר!K619=0,1,IF(סקר!K619=0,1,סקר!K619)),0)</f>
        <v>0</v>
      </c>
      <c r="O425" s="152" t="e">
        <f t="shared" si="10"/>
        <v>#N/A</v>
      </c>
      <c r="P425" s="152">
        <f>IF(B425&gt;0,IF(סקר!O619 &lt;=1,1,סקר!O619),0)</f>
        <v>0</v>
      </c>
      <c r="Q425" s="152">
        <f>סקר!P619</f>
        <v>0</v>
      </c>
      <c r="R425" s="152">
        <f>סקר!R619</f>
        <v>0</v>
      </c>
      <c r="S425" s="152">
        <f>סקר!BC619</f>
        <v>0</v>
      </c>
      <c r="T425" s="156"/>
    </row>
    <row r="426" spans="1:20">
      <c r="A426" s="152" t="str">
        <f>IF(סקר!D620&lt;2,"עץ","פוליגון")</f>
        <v>עץ</v>
      </c>
      <c r="B426" s="152">
        <f>סקר!B620</f>
        <v>0</v>
      </c>
      <c r="C426" s="152">
        <f>IF(סקר!D620&lt;2,1,סקר!D620)</f>
        <v>1</v>
      </c>
      <c r="D426" s="152">
        <f>סקר!C620</f>
        <v>0</v>
      </c>
      <c r="E426" s="152" t="str">
        <f>IFERROR(VLOOKUP(F426,[1]TreeType!$A:$E,5,0),"")</f>
        <v/>
      </c>
      <c r="F426" s="153" t="str">
        <f>IFERROR(VLOOKUP(D426,[1]TreeType!$A:$B,2,0),"")</f>
        <v/>
      </c>
      <c r="G426" s="72">
        <f>IF(B426&gt;0,IF(סקר!E620=0,1,סקר!E620),0)</f>
        <v>0</v>
      </c>
      <c r="H426" s="72">
        <f>IF(B426&gt;0,IF(סקר!F620 = 0,1,סקר!F620),0)</f>
        <v>0</v>
      </c>
      <c r="I426" s="152">
        <f>סקר!G620</f>
        <v>0</v>
      </c>
      <c r="J426" s="152">
        <f>סקר!H620</f>
        <v>0</v>
      </c>
      <c r="K426" s="152" t="e">
        <f>IF(D426="","",VLOOKUP(D426,[1]TreeType!$A$2:$E$508,3,3))</f>
        <v>#N/A</v>
      </c>
      <c r="L426" s="152">
        <f>IF(D426&gt;0,IF(סקר!M620=0,1,IF(סקר!M620=0,1,סקר!M620)),0)</f>
        <v>0</v>
      </c>
      <c r="M426" s="152">
        <f>סקר!J620</f>
        <v>0</v>
      </c>
      <c r="N426" s="152">
        <f>IF(D426&gt;0,IF(סקר!K620=0,1,IF(סקר!K620=0,1,סקר!K620)),0)</f>
        <v>0</v>
      </c>
      <c r="O426" s="152" t="e">
        <f t="shared" si="10"/>
        <v>#N/A</v>
      </c>
      <c r="P426" s="152">
        <f>IF(B426&gt;0,IF(סקר!O620 &lt;=1,1,סקר!O620),0)</f>
        <v>0</v>
      </c>
      <c r="Q426" s="152">
        <f>סקר!P620</f>
        <v>0</v>
      </c>
      <c r="R426" s="152">
        <f>סקר!R620</f>
        <v>0</v>
      </c>
      <c r="S426" s="152">
        <f>סקר!BC620</f>
        <v>0</v>
      </c>
      <c r="T426" s="156"/>
    </row>
    <row r="427" spans="1:20">
      <c r="A427" s="152" t="str">
        <f>IF(סקר!D621&lt;2,"עץ","פוליגון")</f>
        <v>עץ</v>
      </c>
      <c r="B427" s="152">
        <f>סקר!B621</f>
        <v>0</v>
      </c>
      <c r="C427" s="152">
        <f>IF(סקר!D621&lt;2,1,סקר!D621)</f>
        <v>1</v>
      </c>
      <c r="D427" s="152">
        <f>סקר!C621</f>
        <v>0</v>
      </c>
      <c r="E427" s="152" t="str">
        <f>IFERROR(VLOOKUP(F427,[1]TreeType!$A:$E,5,0),"")</f>
        <v/>
      </c>
      <c r="F427" s="153" t="str">
        <f>IFERROR(VLOOKUP(D427,[1]TreeType!$A:$B,2,0),"")</f>
        <v/>
      </c>
      <c r="G427" s="72">
        <f>IF(B427&gt;0,IF(סקר!E621=0,1,סקר!E621),0)</f>
        <v>0</v>
      </c>
      <c r="H427" s="72">
        <f>IF(B427&gt;0,IF(סקר!F621 = 0,1,סקר!F621),0)</f>
        <v>0</v>
      </c>
      <c r="I427" s="152">
        <f>סקר!G621</f>
        <v>0</v>
      </c>
      <c r="J427" s="152">
        <f>סקר!H621</f>
        <v>0</v>
      </c>
      <c r="K427" s="152" t="e">
        <f>IF(D427="","",VLOOKUP(D427,[1]TreeType!$A$2:$E$508,3,3))</f>
        <v>#N/A</v>
      </c>
      <c r="L427" s="152">
        <f>IF(D427&gt;0,IF(סקר!M621=0,1,IF(סקר!M621=0,1,סקר!M621)),0)</f>
        <v>0</v>
      </c>
      <c r="M427" s="152">
        <f>סקר!J621</f>
        <v>0</v>
      </c>
      <c r="N427" s="152">
        <f>IF(D427&gt;0,IF(סקר!K621=0,1,IF(סקר!K621=0,1,סקר!K621)),0)</f>
        <v>0</v>
      </c>
      <c r="O427" s="152" t="e">
        <f t="shared" si="10"/>
        <v>#N/A</v>
      </c>
      <c r="P427" s="152">
        <f>IF(B427&gt;0,IF(סקר!O621 &lt;=1,1,סקר!O621),0)</f>
        <v>0</v>
      </c>
      <c r="Q427" s="152">
        <f>סקר!P621</f>
        <v>0</v>
      </c>
      <c r="R427" s="152">
        <f>סקר!R621</f>
        <v>0</v>
      </c>
      <c r="S427" s="152">
        <f>סקר!BC621</f>
        <v>0</v>
      </c>
      <c r="T427" s="156"/>
    </row>
    <row r="428" spans="1:20">
      <c r="A428" s="152" t="str">
        <f>IF(סקר!D622&lt;2,"עץ","פוליגון")</f>
        <v>עץ</v>
      </c>
      <c r="B428" s="152">
        <f>סקר!B622</f>
        <v>0</v>
      </c>
      <c r="C428" s="152">
        <f>IF(סקר!D622&lt;2,1,סקר!D622)</f>
        <v>1</v>
      </c>
      <c r="D428" s="152">
        <f>סקר!C622</f>
        <v>0</v>
      </c>
      <c r="E428" s="152" t="str">
        <f>IFERROR(VLOOKUP(F428,[1]TreeType!$A:$E,5,0),"")</f>
        <v/>
      </c>
      <c r="F428" s="153" t="str">
        <f>IFERROR(VLOOKUP(D428,[1]TreeType!$A:$B,2,0),"")</f>
        <v/>
      </c>
      <c r="G428" s="72">
        <f>IF(B428&gt;0,IF(סקר!E622=0,1,סקר!E622),0)</f>
        <v>0</v>
      </c>
      <c r="H428" s="72">
        <f>IF(B428&gt;0,IF(סקר!F622 = 0,1,סקר!F622),0)</f>
        <v>0</v>
      </c>
      <c r="I428" s="152">
        <f>סקר!G622</f>
        <v>0</v>
      </c>
      <c r="J428" s="152">
        <f>סקר!H622</f>
        <v>0</v>
      </c>
      <c r="K428" s="152" t="e">
        <f>IF(D428="","",VLOOKUP(D428,[1]TreeType!$A$2:$E$508,3,3))</f>
        <v>#N/A</v>
      </c>
      <c r="L428" s="152">
        <f>IF(D428&gt;0,IF(סקר!M622=0,1,IF(סקר!M622=0,1,סקר!M622)),0)</f>
        <v>0</v>
      </c>
      <c r="M428" s="152">
        <f>סקר!J622</f>
        <v>0</v>
      </c>
      <c r="N428" s="152">
        <f>IF(D428&gt;0,IF(סקר!K622=0,1,IF(סקר!K622=0,1,סקר!K622)),0)</f>
        <v>0</v>
      </c>
      <c r="O428" s="152" t="e">
        <f t="shared" si="10"/>
        <v>#N/A</v>
      </c>
      <c r="P428" s="152">
        <f>IF(B428&gt;0,IF(סקר!O622 &lt;=1,1,סקר!O622),0)</f>
        <v>0</v>
      </c>
      <c r="Q428" s="152">
        <f>סקר!P622</f>
        <v>0</v>
      </c>
      <c r="R428" s="152">
        <f>סקר!R622</f>
        <v>0</v>
      </c>
      <c r="S428" s="152">
        <f>סקר!BC622</f>
        <v>0</v>
      </c>
      <c r="T428" s="156"/>
    </row>
    <row r="429" spans="1:20">
      <c r="A429" s="152" t="str">
        <f>IF(סקר!D623&lt;2,"עץ","פוליגון")</f>
        <v>עץ</v>
      </c>
      <c r="B429" s="152">
        <f>סקר!B623</f>
        <v>0</v>
      </c>
      <c r="C429" s="152">
        <f>IF(סקר!D623&lt;2,1,סקר!D623)</f>
        <v>1</v>
      </c>
      <c r="D429" s="152">
        <f>סקר!C623</f>
        <v>0</v>
      </c>
      <c r="E429" s="152" t="str">
        <f>IFERROR(VLOOKUP(F429,[1]TreeType!$A:$E,5,0),"")</f>
        <v/>
      </c>
      <c r="F429" s="153" t="str">
        <f>IFERROR(VLOOKUP(D429,[1]TreeType!$A:$B,2,0),"")</f>
        <v/>
      </c>
      <c r="G429" s="72">
        <f>IF(B429&gt;0,IF(סקר!E623=0,1,סקר!E623),0)</f>
        <v>0</v>
      </c>
      <c r="H429" s="72">
        <f>IF(B429&gt;0,IF(סקר!F623 = 0,1,סקר!F623),0)</f>
        <v>0</v>
      </c>
      <c r="I429" s="152">
        <f>סקר!G623</f>
        <v>0</v>
      </c>
      <c r="J429" s="152">
        <f>סקר!H623</f>
        <v>0</v>
      </c>
      <c r="K429" s="152" t="e">
        <f>IF(D429="","",VLOOKUP(D429,[1]TreeType!$A$2:$E$508,3,3))</f>
        <v>#N/A</v>
      </c>
      <c r="L429" s="152">
        <f>IF(D429&gt;0,IF(סקר!M623=0,1,IF(סקר!M623=0,1,סקר!M623)),0)</f>
        <v>0</v>
      </c>
      <c r="M429" s="152">
        <f>סקר!J623</f>
        <v>0</v>
      </c>
      <c r="N429" s="152">
        <f>IF(D429&gt;0,IF(סקר!K623=0,1,IF(סקר!K623=0,1,סקר!K623)),0)</f>
        <v>0</v>
      </c>
      <c r="O429" s="152" t="e">
        <f t="shared" si="10"/>
        <v>#N/A</v>
      </c>
      <c r="P429" s="152">
        <f>IF(B429&gt;0,IF(סקר!O623 &lt;=1,1,סקר!O623),0)</f>
        <v>0</v>
      </c>
      <c r="Q429" s="152">
        <f>סקר!P623</f>
        <v>0</v>
      </c>
      <c r="R429" s="152">
        <f>סקר!R623</f>
        <v>0</v>
      </c>
      <c r="S429" s="152">
        <f>סקר!BC623</f>
        <v>0</v>
      </c>
      <c r="T429" s="156"/>
    </row>
    <row r="430" spans="1:20">
      <c r="A430" s="152" t="str">
        <f>IF(סקר!D624&lt;2,"עץ","פוליגון")</f>
        <v>עץ</v>
      </c>
      <c r="B430" s="152">
        <f>סקר!B624</f>
        <v>0</v>
      </c>
      <c r="C430" s="152">
        <f>IF(סקר!D624&lt;2,1,סקר!D624)</f>
        <v>1</v>
      </c>
      <c r="D430" s="152">
        <f>סקר!C624</f>
        <v>0</v>
      </c>
      <c r="E430" s="152" t="str">
        <f>IFERROR(VLOOKUP(F430,[1]TreeType!$A:$E,5,0),"")</f>
        <v/>
      </c>
      <c r="F430" s="153" t="str">
        <f>IFERROR(VLOOKUP(D430,[1]TreeType!$A:$B,2,0),"")</f>
        <v/>
      </c>
      <c r="G430" s="72">
        <f>IF(B430&gt;0,IF(סקר!E624=0,1,סקר!E624),0)</f>
        <v>0</v>
      </c>
      <c r="H430" s="72">
        <f>IF(B430&gt;0,IF(סקר!F624 = 0,1,סקר!F624),0)</f>
        <v>0</v>
      </c>
      <c r="I430" s="152">
        <f>סקר!G624</f>
        <v>0</v>
      </c>
      <c r="J430" s="152">
        <f>סקר!H624</f>
        <v>0</v>
      </c>
      <c r="K430" s="152" t="e">
        <f>IF(D430="","",VLOOKUP(D430,[1]TreeType!$A$2:$E$508,3,3))</f>
        <v>#N/A</v>
      </c>
      <c r="L430" s="152">
        <f>IF(D430&gt;0,IF(סקר!M624=0,1,IF(סקר!M624=0,1,סקר!M624)),0)</f>
        <v>0</v>
      </c>
      <c r="M430" s="152">
        <f>סקר!J624</f>
        <v>0</v>
      </c>
      <c r="N430" s="152">
        <f>IF(D430&gt;0,IF(סקר!K624=0,1,IF(סקר!K624=0,1,סקר!K624)),0)</f>
        <v>0</v>
      </c>
      <c r="O430" s="152" t="e">
        <f t="shared" si="10"/>
        <v>#N/A</v>
      </c>
      <c r="P430" s="152">
        <f>IF(B430&gt;0,IF(סקר!O624 &lt;=1,1,סקר!O624),0)</f>
        <v>0</v>
      </c>
      <c r="Q430" s="152">
        <f>סקר!P624</f>
        <v>0</v>
      </c>
      <c r="R430" s="152">
        <f>סקר!R624</f>
        <v>0</v>
      </c>
      <c r="S430" s="152">
        <f>סקר!BC624</f>
        <v>0</v>
      </c>
      <c r="T430" s="156"/>
    </row>
    <row r="431" spans="1:20">
      <c r="A431" s="152" t="str">
        <f>IF(סקר!D625&lt;2,"עץ","פוליגון")</f>
        <v>עץ</v>
      </c>
      <c r="B431" s="152">
        <f>סקר!B625</f>
        <v>0</v>
      </c>
      <c r="C431" s="152">
        <f>IF(סקר!D625&lt;2,1,סקר!D625)</f>
        <v>1</v>
      </c>
      <c r="D431" s="152">
        <f>סקר!C625</f>
        <v>0</v>
      </c>
      <c r="E431" s="152" t="str">
        <f>IFERROR(VLOOKUP(F431,[1]TreeType!$A:$E,5,0),"")</f>
        <v/>
      </c>
      <c r="F431" s="153" t="str">
        <f>IFERROR(VLOOKUP(D431,[1]TreeType!$A:$B,2,0),"")</f>
        <v/>
      </c>
      <c r="G431" s="72">
        <f>IF(B431&gt;0,IF(סקר!E625=0,1,סקר!E625),0)</f>
        <v>0</v>
      </c>
      <c r="H431" s="72">
        <f>IF(B431&gt;0,IF(סקר!F625 = 0,1,סקר!F625),0)</f>
        <v>0</v>
      </c>
      <c r="I431" s="152">
        <f>סקר!G625</f>
        <v>0</v>
      </c>
      <c r="J431" s="152">
        <f>סקר!H625</f>
        <v>0</v>
      </c>
      <c r="K431" s="152" t="e">
        <f>IF(D431="","",VLOOKUP(D431,[1]TreeType!$A$2:$E$508,3,3))</f>
        <v>#N/A</v>
      </c>
      <c r="L431" s="152">
        <f>IF(D431&gt;0,IF(סקר!M625=0,1,IF(סקר!M625=0,1,סקר!M625)),0)</f>
        <v>0</v>
      </c>
      <c r="M431" s="152">
        <f>סקר!J625</f>
        <v>0</v>
      </c>
      <c r="N431" s="152">
        <f>IF(D431&gt;0,IF(סקר!K625=0,1,IF(סקר!K625=0,1,סקר!K625)),0)</f>
        <v>0</v>
      </c>
      <c r="O431" s="152" t="e">
        <f t="shared" si="10"/>
        <v>#N/A</v>
      </c>
      <c r="P431" s="152">
        <f>IF(B431&gt;0,IF(סקר!O625 &lt;=1,1,סקר!O625),0)</f>
        <v>0</v>
      </c>
      <c r="Q431" s="152">
        <f>סקר!P625</f>
        <v>0</v>
      </c>
      <c r="R431" s="152">
        <f>סקר!R625</f>
        <v>0</v>
      </c>
      <c r="S431" s="152">
        <f>סקר!BC625</f>
        <v>0</v>
      </c>
      <c r="T431" s="156"/>
    </row>
    <row r="432" spans="1:20">
      <c r="A432" s="152" t="str">
        <f>IF(סקר!D626&lt;2,"עץ","פוליגון")</f>
        <v>עץ</v>
      </c>
      <c r="B432" s="152">
        <f>סקר!B626</f>
        <v>0</v>
      </c>
      <c r="C432" s="152">
        <f>IF(סקר!D626&lt;2,1,סקר!D626)</f>
        <v>1</v>
      </c>
      <c r="D432" s="152">
        <f>סקר!C626</f>
        <v>0</v>
      </c>
      <c r="E432" s="152" t="str">
        <f>IFERROR(VLOOKUP(F432,[1]TreeType!$A:$E,5,0),"")</f>
        <v/>
      </c>
      <c r="F432" s="153" t="str">
        <f>IFERROR(VLOOKUP(D432,[1]TreeType!$A:$B,2,0),"")</f>
        <v/>
      </c>
      <c r="G432" s="72">
        <f>IF(B432&gt;0,IF(סקר!E626=0,1,סקר!E626),0)</f>
        <v>0</v>
      </c>
      <c r="H432" s="72">
        <f>IF(B432&gt;0,IF(סקר!F626 = 0,1,סקר!F626),0)</f>
        <v>0</v>
      </c>
      <c r="I432" s="152">
        <f>סקר!G626</f>
        <v>0</v>
      </c>
      <c r="J432" s="152">
        <f>סקר!H626</f>
        <v>0</v>
      </c>
      <c r="K432" s="152" t="e">
        <f>IF(D432="","",VLOOKUP(D432,[1]TreeType!$A$2:$E$508,3,3))</f>
        <v>#N/A</v>
      </c>
      <c r="L432" s="152">
        <f>IF(D432&gt;0,IF(סקר!M626=0,1,IF(סקר!M626=0,1,סקר!M626)),0)</f>
        <v>0</v>
      </c>
      <c r="M432" s="152">
        <f>סקר!J626</f>
        <v>0</v>
      </c>
      <c r="N432" s="152">
        <f>IF(D432&gt;0,IF(סקר!K626=0,1,IF(סקר!K626=0,1,סקר!K626)),0)</f>
        <v>0</v>
      </c>
      <c r="O432" s="152" t="e">
        <f t="shared" si="10"/>
        <v>#N/A</v>
      </c>
      <c r="P432" s="152">
        <f>IF(B432&gt;0,IF(סקר!O626 &lt;=1,1,סקר!O626),0)</f>
        <v>0</v>
      </c>
      <c r="Q432" s="152">
        <f>סקר!P626</f>
        <v>0</v>
      </c>
      <c r="R432" s="152">
        <f>סקר!R626</f>
        <v>0</v>
      </c>
      <c r="S432" s="152">
        <f>סקר!BC626</f>
        <v>0</v>
      </c>
      <c r="T432" s="156"/>
    </row>
    <row r="433" spans="1:20">
      <c r="A433" s="152" t="str">
        <f>IF(סקר!D627&lt;2,"עץ","פוליגון")</f>
        <v>עץ</v>
      </c>
      <c r="B433" s="152">
        <f>סקר!B627</f>
        <v>0</v>
      </c>
      <c r="C433" s="152">
        <f>IF(סקר!D627&lt;2,1,סקר!D627)</f>
        <v>1</v>
      </c>
      <c r="D433" s="152">
        <f>סקר!C627</f>
        <v>0</v>
      </c>
      <c r="E433" s="152" t="str">
        <f>IFERROR(VLOOKUP(F433,[1]TreeType!$A:$E,5,0),"")</f>
        <v/>
      </c>
      <c r="F433" s="153" t="str">
        <f>IFERROR(VLOOKUP(D433,[1]TreeType!$A:$B,2,0),"")</f>
        <v/>
      </c>
      <c r="G433" s="72">
        <f>IF(B433&gt;0,IF(סקר!E627=0,1,סקר!E627),0)</f>
        <v>0</v>
      </c>
      <c r="H433" s="72">
        <f>IF(B433&gt;0,IF(סקר!F627 = 0,1,סקר!F627),0)</f>
        <v>0</v>
      </c>
      <c r="I433" s="152">
        <f>סקר!G627</f>
        <v>0</v>
      </c>
      <c r="J433" s="152">
        <f>סקר!H627</f>
        <v>0</v>
      </c>
      <c r="K433" s="152" t="e">
        <f>IF(D433="","",VLOOKUP(D433,[1]TreeType!$A$2:$E$508,3,3))</f>
        <v>#N/A</v>
      </c>
      <c r="L433" s="152">
        <f>IF(D433&gt;0,IF(סקר!M627=0,1,IF(סקר!M627=0,1,סקר!M627)),0)</f>
        <v>0</v>
      </c>
      <c r="M433" s="152">
        <f>סקר!J627</f>
        <v>0</v>
      </c>
      <c r="N433" s="152">
        <f>IF(D433&gt;0,IF(סקר!K627=0,1,IF(סקר!K627=0,1,סקר!K627)),0)</f>
        <v>0</v>
      </c>
      <c r="O433" s="152" t="e">
        <f t="shared" si="10"/>
        <v>#N/A</v>
      </c>
      <c r="P433" s="152">
        <f>IF(B433&gt;0,IF(סקר!O627 &lt;=1,1,סקר!O627),0)</f>
        <v>0</v>
      </c>
      <c r="Q433" s="152">
        <f>סקר!P627</f>
        <v>0</v>
      </c>
      <c r="R433" s="152">
        <f>סקר!R627</f>
        <v>0</v>
      </c>
      <c r="S433" s="152">
        <f>סקר!BC627</f>
        <v>0</v>
      </c>
      <c r="T433" s="156"/>
    </row>
    <row r="434" spans="1:20">
      <c r="A434" s="152" t="str">
        <f>IF(סקר!D628&lt;2,"עץ","פוליגון")</f>
        <v>עץ</v>
      </c>
      <c r="B434" s="152">
        <f>סקר!B628</f>
        <v>0</v>
      </c>
      <c r="C434" s="152">
        <f>IF(סקר!D628&lt;2,1,סקר!D628)</f>
        <v>1</v>
      </c>
      <c r="D434" s="152">
        <f>סקר!C628</f>
        <v>0</v>
      </c>
      <c r="E434" s="152" t="str">
        <f>IFERROR(VLOOKUP(F434,[1]TreeType!$A:$E,5,0),"")</f>
        <v/>
      </c>
      <c r="F434" s="153" t="str">
        <f>IFERROR(VLOOKUP(D434,[1]TreeType!$A:$B,2,0),"")</f>
        <v/>
      </c>
      <c r="G434" s="72">
        <f>IF(B434&gt;0,IF(סקר!E628=0,1,סקר!E628),0)</f>
        <v>0</v>
      </c>
      <c r="H434" s="72">
        <f>IF(B434&gt;0,IF(סקר!F628 = 0,1,סקר!F628),0)</f>
        <v>0</v>
      </c>
      <c r="I434" s="152">
        <f>סקר!G628</f>
        <v>0</v>
      </c>
      <c r="J434" s="152">
        <f>סקר!H628</f>
        <v>0</v>
      </c>
      <c r="K434" s="152" t="e">
        <f>IF(D434="","",VLOOKUP(D434,[1]TreeType!$A$2:$E$508,3,3))</f>
        <v>#N/A</v>
      </c>
      <c r="L434" s="152">
        <f>IF(D434&gt;0,IF(סקר!M628=0,1,IF(סקר!M628=0,1,סקר!M628)),0)</f>
        <v>0</v>
      </c>
      <c r="M434" s="152">
        <f>סקר!J628</f>
        <v>0</v>
      </c>
      <c r="N434" s="152">
        <f>IF(D434&gt;0,IF(סקר!K628=0,1,IF(סקר!K628=0,1,סקר!K628)),0)</f>
        <v>0</v>
      </c>
      <c r="O434" s="152" t="e">
        <f t="shared" si="10"/>
        <v>#N/A</v>
      </c>
      <c r="P434" s="152">
        <f>IF(B434&gt;0,IF(סקר!O628 &lt;=1,1,סקר!O628),0)</f>
        <v>0</v>
      </c>
      <c r="Q434" s="152">
        <f>סקר!P628</f>
        <v>0</v>
      </c>
      <c r="R434" s="152">
        <f>סקר!R628</f>
        <v>0</v>
      </c>
      <c r="S434" s="152">
        <f>סקר!BC628</f>
        <v>0</v>
      </c>
      <c r="T434" s="156"/>
    </row>
    <row r="435" spans="1:20">
      <c r="A435" s="152" t="str">
        <f>IF(סקר!D629&lt;2,"עץ","פוליגון")</f>
        <v>עץ</v>
      </c>
      <c r="B435" s="152">
        <f>סקר!B629</f>
        <v>0</v>
      </c>
      <c r="C435" s="152">
        <f>IF(סקר!D629&lt;2,1,סקר!D629)</f>
        <v>1</v>
      </c>
      <c r="D435" s="152">
        <f>סקר!C629</f>
        <v>0</v>
      </c>
      <c r="E435" s="152" t="str">
        <f>IFERROR(VLOOKUP(F435,[1]TreeType!$A:$E,5,0),"")</f>
        <v/>
      </c>
      <c r="F435" s="153" t="str">
        <f>IFERROR(VLOOKUP(D435,[1]TreeType!$A:$B,2,0),"")</f>
        <v/>
      </c>
      <c r="G435" s="72">
        <f>IF(B435&gt;0,IF(סקר!E629=0,1,סקר!E629),0)</f>
        <v>0</v>
      </c>
      <c r="H435" s="72">
        <f>IF(B435&gt;0,IF(סקר!F629 = 0,1,סקר!F629),0)</f>
        <v>0</v>
      </c>
      <c r="I435" s="152">
        <f>סקר!G629</f>
        <v>0</v>
      </c>
      <c r="J435" s="152">
        <f>סקר!H629</f>
        <v>0</v>
      </c>
      <c r="K435" s="152" t="e">
        <f>IF(D435="","",VLOOKUP(D435,[1]TreeType!$A$2:$E$508,3,3))</f>
        <v>#N/A</v>
      </c>
      <c r="L435" s="152">
        <f>IF(D435&gt;0,IF(סקר!M629=0,1,IF(סקר!M629=0,1,סקר!M629)),0)</f>
        <v>0</v>
      </c>
      <c r="M435" s="152">
        <f>סקר!J629</f>
        <v>0</v>
      </c>
      <c r="N435" s="152">
        <f>IF(D435&gt;0,IF(סקר!K629=0,1,IF(סקר!K629=0,1,סקר!K629)),0)</f>
        <v>0</v>
      </c>
      <c r="O435" s="152" t="e">
        <f t="shared" si="10"/>
        <v>#N/A</v>
      </c>
      <c r="P435" s="152">
        <f>IF(B435&gt;0,IF(סקר!O629 &lt;=1,1,סקר!O629),0)</f>
        <v>0</v>
      </c>
      <c r="Q435" s="152">
        <f>סקר!P629</f>
        <v>0</v>
      </c>
      <c r="R435" s="152">
        <f>סקר!R629</f>
        <v>0</v>
      </c>
      <c r="S435" s="152">
        <f>סקר!BC629</f>
        <v>0</v>
      </c>
      <c r="T435" s="156"/>
    </row>
    <row r="436" spans="1:20">
      <c r="A436" s="152" t="str">
        <f>IF(סקר!D630&lt;2,"עץ","פוליגון")</f>
        <v>עץ</v>
      </c>
      <c r="B436" s="152">
        <f>סקר!B630</f>
        <v>0</v>
      </c>
      <c r="C436" s="152">
        <f>IF(סקר!D630&lt;2,1,סקר!D630)</f>
        <v>1</v>
      </c>
      <c r="D436" s="152">
        <f>סקר!C630</f>
        <v>0</v>
      </c>
      <c r="E436" s="152" t="str">
        <f>IFERROR(VLOOKUP(F436,[1]TreeType!$A:$E,5,0),"")</f>
        <v/>
      </c>
      <c r="F436" s="153" t="str">
        <f>IFERROR(VLOOKUP(D436,[1]TreeType!$A:$B,2,0),"")</f>
        <v/>
      </c>
      <c r="G436" s="72">
        <f>IF(B436&gt;0,IF(סקר!E630=0,1,סקר!E630),0)</f>
        <v>0</v>
      </c>
      <c r="H436" s="72">
        <f>IF(B436&gt;0,IF(סקר!F630 = 0,1,סקר!F630),0)</f>
        <v>0</v>
      </c>
      <c r="I436" s="152">
        <f>סקר!G630</f>
        <v>0</v>
      </c>
      <c r="J436" s="152">
        <f>סקר!H630</f>
        <v>0</v>
      </c>
      <c r="K436" s="152" t="e">
        <f>IF(D436="","",VLOOKUP(D436,[1]TreeType!$A$2:$E$508,3,3))</f>
        <v>#N/A</v>
      </c>
      <c r="L436" s="152">
        <f>IF(D436&gt;0,IF(סקר!M630=0,1,IF(סקר!M630=0,1,סקר!M630)),0)</f>
        <v>0</v>
      </c>
      <c r="M436" s="152">
        <f>סקר!J630</f>
        <v>0</v>
      </c>
      <c r="N436" s="152">
        <f>IF(D436&gt;0,IF(סקר!K630=0,1,IF(סקר!K630=0,1,סקר!K630)),0)</f>
        <v>0</v>
      </c>
      <c r="O436" s="152" t="e">
        <f t="shared" si="10"/>
        <v>#N/A</v>
      </c>
      <c r="P436" s="152">
        <f>IF(B436&gt;0,IF(סקר!O630 &lt;=1,1,סקר!O630),0)</f>
        <v>0</v>
      </c>
      <c r="Q436" s="152">
        <f>סקר!P630</f>
        <v>0</v>
      </c>
      <c r="R436" s="152">
        <f>סקר!R630</f>
        <v>0</v>
      </c>
      <c r="S436" s="152">
        <f>סקר!BC630</f>
        <v>0</v>
      </c>
      <c r="T436" s="156"/>
    </row>
    <row r="437" spans="1:20">
      <c r="A437" s="152" t="str">
        <f>IF(סקר!D631&lt;2,"עץ","פוליגון")</f>
        <v>עץ</v>
      </c>
      <c r="B437" s="152">
        <f>סקר!B631</f>
        <v>0</v>
      </c>
      <c r="C437" s="152">
        <f>IF(סקר!D631&lt;2,1,סקר!D631)</f>
        <v>1</v>
      </c>
      <c r="D437" s="152">
        <f>סקר!C631</f>
        <v>0</v>
      </c>
      <c r="E437" s="152" t="str">
        <f>IFERROR(VLOOKUP(F437,[1]TreeType!$A:$E,5,0),"")</f>
        <v/>
      </c>
      <c r="F437" s="153" t="str">
        <f>IFERROR(VLOOKUP(D437,[1]TreeType!$A:$B,2,0),"")</f>
        <v/>
      </c>
      <c r="G437" s="72">
        <f>IF(B437&gt;0,IF(סקר!E631=0,1,סקר!E631),0)</f>
        <v>0</v>
      </c>
      <c r="H437" s="72">
        <f>IF(B437&gt;0,IF(סקר!F631 = 0,1,סקר!F631),0)</f>
        <v>0</v>
      </c>
      <c r="I437" s="152">
        <f>סקר!G631</f>
        <v>0</v>
      </c>
      <c r="J437" s="152">
        <f>סקר!H631</f>
        <v>0</v>
      </c>
      <c r="K437" s="152" t="e">
        <f>IF(D437="","",VLOOKUP(D437,[1]TreeType!$A$2:$E$508,3,3))</f>
        <v>#N/A</v>
      </c>
      <c r="L437" s="152">
        <f>IF(D437&gt;0,IF(סקר!M631=0,1,IF(סקר!M631=0,1,סקר!M631)),0)</f>
        <v>0</v>
      </c>
      <c r="M437" s="152">
        <f>סקר!J631</f>
        <v>0</v>
      </c>
      <c r="N437" s="152">
        <f>IF(D437&gt;0,IF(סקר!K631=0,1,IF(סקר!K631=0,1,סקר!K631)),0)</f>
        <v>0</v>
      </c>
      <c r="O437" s="152" t="e">
        <f t="shared" si="10"/>
        <v>#N/A</v>
      </c>
      <c r="P437" s="152">
        <f>IF(B437&gt;0,IF(סקר!O631 &lt;=1,1,סקר!O631),0)</f>
        <v>0</v>
      </c>
      <c r="Q437" s="152">
        <f>סקר!P631</f>
        <v>0</v>
      </c>
      <c r="R437" s="152">
        <f>סקר!R631</f>
        <v>0</v>
      </c>
      <c r="S437" s="152">
        <f>סקר!BC631</f>
        <v>0</v>
      </c>
      <c r="T437" s="156"/>
    </row>
    <row r="438" spans="1:20">
      <c r="A438" s="152" t="str">
        <f>IF(סקר!D632&lt;2,"עץ","פוליגון")</f>
        <v>עץ</v>
      </c>
      <c r="B438" s="152">
        <f>סקר!B632</f>
        <v>0</v>
      </c>
      <c r="C438" s="152">
        <f>IF(סקר!D632&lt;2,1,סקר!D632)</f>
        <v>1</v>
      </c>
      <c r="D438" s="152">
        <f>סקר!C632</f>
        <v>0</v>
      </c>
      <c r="E438" s="152" t="str">
        <f>IFERROR(VLOOKUP(F438,[1]TreeType!$A:$E,5,0),"")</f>
        <v/>
      </c>
      <c r="F438" s="153" t="str">
        <f>IFERROR(VLOOKUP(D438,[1]TreeType!$A:$B,2,0),"")</f>
        <v/>
      </c>
      <c r="G438" s="72">
        <f>IF(B438&gt;0,IF(סקר!E632=0,1,סקר!E632),0)</f>
        <v>0</v>
      </c>
      <c r="H438" s="72">
        <f>IF(B438&gt;0,IF(סקר!F632 = 0,1,סקר!F632),0)</f>
        <v>0</v>
      </c>
      <c r="I438" s="152">
        <f>סקר!G632</f>
        <v>0</v>
      </c>
      <c r="J438" s="152">
        <f>סקר!H632</f>
        <v>0</v>
      </c>
      <c r="K438" s="152" t="e">
        <f>IF(D438="","",VLOOKUP(D438,[1]TreeType!$A$2:$E$508,3,3))</f>
        <v>#N/A</v>
      </c>
      <c r="L438" s="152">
        <f>IF(D438&gt;0,IF(סקר!M632=0,1,IF(סקר!M632=0,1,סקר!M632)),0)</f>
        <v>0</v>
      </c>
      <c r="M438" s="152">
        <f>סקר!J632</f>
        <v>0</v>
      </c>
      <c r="N438" s="152">
        <f>IF(D438&gt;0,IF(סקר!K632=0,1,IF(סקר!K632=0,1,סקר!K632)),0)</f>
        <v>0</v>
      </c>
      <c r="O438" s="152" t="e">
        <f t="shared" si="10"/>
        <v>#N/A</v>
      </c>
      <c r="P438" s="152">
        <f>IF(B438&gt;0,IF(סקר!O632 &lt;=1,1,סקר!O632),0)</f>
        <v>0</v>
      </c>
      <c r="Q438" s="152">
        <f>סקר!P632</f>
        <v>0</v>
      </c>
      <c r="R438" s="152">
        <f>סקר!R632</f>
        <v>0</v>
      </c>
      <c r="S438" s="152">
        <f>סקר!BC632</f>
        <v>0</v>
      </c>
      <c r="T438" s="156"/>
    </row>
    <row r="439" spans="1:20">
      <c r="A439" s="152" t="str">
        <f>IF(סקר!D633&lt;2,"עץ","פוליגון")</f>
        <v>עץ</v>
      </c>
      <c r="B439" s="152">
        <f>סקר!B633</f>
        <v>0</v>
      </c>
      <c r="C439" s="152">
        <f>IF(סקר!D633&lt;2,1,סקר!D633)</f>
        <v>1</v>
      </c>
      <c r="D439" s="152">
        <f>סקר!C633</f>
        <v>0</v>
      </c>
      <c r="E439" s="152" t="str">
        <f>IFERROR(VLOOKUP(F439,[1]TreeType!$A:$E,5,0),"")</f>
        <v/>
      </c>
      <c r="F439" s="153" t="str">
        <f>IFERROR(VLOOKUP(D439,[1]TreeType!$A:$B,2,0),"")</f>
        <v/>
      </c>
      <c r="G439" s="72">
        <f>IF(B439&gt;0,IF(סקר!E633=0,1,סקר!E633),0)</f>
        <v>0</v>
      </c>
      <c r="H439" s="72">
        <f>IF(B439&gt;0,IF(סקר!F633 = 0,1,סקר!F633),0)</f>
        <v>0</v>
      </c>
      <c r="I439" s="152">
        <f>סקר!G633</f>
        <v>0</v>
      </c>
      <c r="J439" s="152">
        <f>סקר!H633</f>
        <v>0</v>
      </c>
      <c r="K439" s="152" t="e">
        <f>IF(D439="","",VLOOKUP(D439,[1]TreeType!$A$2:$E$508,3,3))</f>
        <v>#N/A</v>
      </c>
      <c r="L439" s="152">
        <f>IF(D439&gt;0,IF(סקר!M633=0,1,IF(סקר!M633=0,1,סקר!M633)),0)</f>
        <v>0</v>
      </c>
      <c r="M439" s="152">
        <f>סקר!J633</f>
        <v>0</v>
      </c>
      <c r="N439" s="152">
        <f>IF(D439&gt;0,IF(סקר!K633=0,1,IF(סקר!K633=0,1,סקר!K633)),0)</f>
        <v>0</v>
      </c>
      <c r="O439" s="152" t="e">
        <f t="shared" si="10"/>
        <v>#N/A</v>
      </c>
      <c r="P439" s="152">
        <f>IF(B439&gt;0,IF(סקר!O633 &lt;=1,1,סקר!O633),0)</f>
        <v>0</v>
      </c>
      <c r="Q439" s="152">
        <f>סקר!P633</f>
        <v>0</v>
      </c>
      <c r="R439" s="152">
        <f>סקר!R633</f>
        <v>0</v>
      </c>
      <c r="S439" s="152">
        <f>סקר!BC633</f>
        <v>0</v>
      </c>
      <c r="T439" s="156"/>
    </row>
    <row r="440" spans="1:20">
      <c r="A440" s="152" t="str">
        <f>IF(סקר!D634&lt;2,"עץ","פוליגון")</f>
        <v>עץ</v>
      </c>
      <c r="B440" s="152">
        <f>סקר!B634</f>
        <v>0</v>
      </c>
      <c r="C440" s="152">
        <f>IF(סקר!D634&lt;2,1,סקר!D634)</f>
        <v>1</v>
      </c>
      <c r="D440" s="152">
        <f>סקר!C634</f>
        <v>0</v>
      </c>
      <c r="E440" s="152" t="str">
        <f>IFERROR(VLOOKUP(F440,[1]TreeType!$A:$E,5,0),"")</f>
        <v/>
      </c>
      <c r="F440" s="153" t="str">
        <f>IFERROR(VLOOKUP(D440,[1]TreeType!$A:$B,2,0),"")</f>
        <v/>
      </c>
      <c r="G440" s="72">
        <f>IF(B440&gt;0,IF(סקר!E634=0,1,סקר!E634),0)</f>
        <v>0</v>
      </c>
      <c r="H440" s="72">
        <f>IF(B440&gt;0,IF(סקר!F634 = 0,1,סקר!F634),0)</f>
        <v>0</v>
      </c>
      <c r="I440" s="152">
        <f>סקר!G634</f>
        <v>0</v>
      </c>
      <c r="J440" s="152">
        <f>סקר!H634</f>
        <v>0</v>
      </c>
      <c r="K440" s="152" t="e">
        <f>IF(D440="","",VLOOKUP(D440,[1]TreeType!$A$2:$E$508,3,3))</f>
        <v>#N/A</v>
      </c>
      <c r="L440" s="152">
        <f>IF(D440&gt;0,IF(סקר!M634=0,1,IF(סקר!M634=0,1,סקר!M634)),0)</f>
        <v>0</v>
      </c>
      <c r="M440" s="152">
        <f>סקר!J634</f>
        <v>0</v>
      </c>
      <c r="N440" s="152">
        <f>IF(D440&gt;0,IF(סקר!K634=0,1,IF(סקר!K634=0,1,סקר!K634)),0)</f>
        <v>0</v>
      </c>
      <c r="O440" s="152" t="e">
        <f t="shared" si="10"/>
        <v>#N/A</v>
      </c>
      <c r="P440" s="152">
        <f>IF(B440&gt;0,IF(סקר!O634 &lt;=1,1,סקר!O634),0)</f>
        <v>0</v>
      </c>
      <c r="Q440" s="152">
        <f>סקר!P634</f>
        <v>0</v>
      </c>
      <c r="R440" s="152">
        <f>סקר!R634</f>
        <v>0</v>
      </c>
      <c r="S440" s="152">
        <f>סקר!BC634</f>
        <v>0</v>
      </c>
      <c r="T440" s="156"/>
    </row>
    <row r="441" spans="1:20">
      <c r="A441" s="152" t="str">
        <f>IF(סקר!D635&lt;2,"עץ","פוליגון")</f>
        <v>עץ</v>
      </c>
      <c r="B441" s="152">
        <f>סקר!B635</f>
        <v>0</v>
      </c>
      <c r="C441" s="152">
        <f>IF(סקר!D635&lt;2,1,סקר!D635)</f>
        <v>1</v>
      </c>
      <c r="D441" s="152">
        <f>סקר!C635</f>
        <v>0</v>
      </c>
      <c r="E441" s="152" t="str">
        <f>IFERROR(VLOOKUP(F441,[1]TreeType!$A:$E,5,0),"")</f>
        <v/>
      </c>
      <c r="F441" s="153" t="str">
        <f>IFERROR(VLOOKUP(D441,[1]TreeType!$A:$B,2,0),"")</f>
        <v/>
      </c>
      <c r="G441" s="72">
        <f>IF(B441&gt;0,IF(סקר!E635=0,1,סקר!E635),0)</f>
        <v>0</v>
      </c>
      <c r="H441" s="72">
        <f>IF(B441&gt;0,IF(סקר!F635 = 0,1,סקר!F635),0)</f>
        <v>0</v>
      </c>
      <c r="I441" s="152">
        <f>סקר!G635</f>
        <v>0</v>
      </c>
      <c r="J441" s="152">
        <f>סקר!H635</f>
        <v>0</v>
      </c>
      <c r="K441" s="152" t="e">
        <f>IF(D441="","",VLOOKUP(D441,[1]TreeType!$A$2:$E$508,3,3))</f>
        <v>#N/A</v>
      </c>
      <c r="L441" s="152">
        <f>IF(D441&gt;0,IF(סקר!M635=0,1,IF(סקר!M635=0,1,סקר!M635)),0)</f>
        <v>0</v>
      </c>
      <c r="M441" s="152">
        <f>סקר!J635</f>
        <v>0</v>
      </c>
      <c r="N441" s="152">
        <f>IF(D441&gt;0,IF(סקר!K635=0,1,IF(סקר!K635=0,1,סקר!K635)),0)</f>
        <v>0</v>
      </c>
      <c r="O441" s="152" t="e">
        <f t="shared" si="10"/>
        <v>#N/A</v>
      </c>
      <c r="P441" s="152">
        <f>IF(B441&gt;0,IF(סקר!O635 &lt;=1,1,סקר!O635),0)</f>
        <v>0</v>
      </c>
      <c r="Q441" s="152">
        <f>סקר!P635</f>
        <v>0</v>
      </c>
      <c r="R441" s="152">
        <f>סקר!R635</f>
        <v>0</v>
      </c>
      <c r="S441" s="152">
        <f>סקר!BC635</f>
        <v>0</v>
      </c>
      <c r="T441" s="156"/>
    </row>
    <row r="442" spans="1:20">
      <c r="A442" s="152" t="str">
        <f>IF(סקר!D636&lt;2,"עץ","פוליגון")</f>
        <v>עץ</v>
      </c>
      <c r="B442" s="152">
        <f>סקר!B636</f>
        <v>0</v>
      </c>
      <c r="C442" s="152">
        <f>IF(סקר!D636&lt;2,1,סקר!D636)</f>
        <v>1</v>
      </c>
      <c r="D442" s="152">
        <f>סקר!C636</f>
        <v>0</v>
      </c>
      <c r="E442" s="152" t="str">
        <f>IFERROR(VLOOKUP(F442,[1]TreeType!$A:$E,5,0),"")</f>
        <v/>
      </c>
      <c r="F442" s="153" t="str">
        <f>IFERROR(VLOOKUP(D442,[1]TreeType!$A:$B,2,0),"")</f>
        <v/>
      </c>
      <c r="G442" s="72">
        <f>IF(B442&gt;0,IF(סקר!E636=0,1,סקר!E636),0)</f>
        <v>0</v>
      </c>
      <c r="H442" s="72">
        <f>IF(B442&gt;0,IF(סקר!F636 = 0,1,סקר!F636),0)</f>
        <v>0</v>
      </c>
      <c r="I442" s="152">
        <f>סקר!G636</f>
        <v>0</v>
      </c>
      <c r="J442" s="152">
        <f>סקר!H636</f>
        <v>0</v>
      </c>
      <c r="K442" s="152" t="e">
        <f>IF(D442="","",VLOOKUP(D442,[1]TreeType!$A$2:$E$508,3,3))</f>
        <v>#N/A</v>
      </c>
      <c r="L442" s="152">
        <f>IF(D442&gt;0,IF(סקר!M636=0,1,IF(סקר!M636=0,1,סקר!M636)),0)</f>
        <v>0</v>
      </c>
      <c r="M442" s="152">
        <f>סקר!J636</f>
        <v>0</v>
      </c>
      <c r="N442" s="152">
        <f>IF(D442&gt;0,IF(סקר!K636=0,1,IF(סקר!K636=0,1,סקר!K636)),0)</f>
        <v>0</v>
      </c>
      <c r="O442" s="152" t="e">
        <f t="shared" si="10"/>
        <v>#N/A</v>
      </c>
      <c r="P442" s="152">
        <f>IF(B442&gt;0,IF(סקר!O636 &lt;=1,1,סקר!O636),0)</f>
        <v>0</v>
      </c>
      <c r="Q442" s="152">
        <f>סקר!P636</f>
        <v>0</v>
      </c>
      <c r="R442" s="152">
        <f>סקר!R636</f>
        <v>0</v>
      </c>
      <c r="S442" s="152">
        <f>סקר!BC636</f>
        <v>0</v>
      </c>
      <c r="T442" s="156"/>
    </row>
    <row r="443" spans="1:20">
      <c r="A443" s="152" t="str">
        <f>IF(סקר!D651&lt;2,"עץ","פוליגון")</f>
        <v>עץ</v>
      </c>
      <c r="B443" s="152">
        <f>סקר!B651</f>
        <v>0</v>
      </c>
      <c r="C443" s="152">
        <f>IF(סקר!D651&lt;2,1,סקר!D651)</f>
        <v>1</v>
      </c>
      <c r="D443" s="152">
        <f>סקר!C651</f>
        <v>0</v>
      </c>
      <c r="E443" s="152" t="str">
        <f>IFERROR(VLOOKUP(F443,[1]TreeType!$A:$E,5,0),"")</f>
        <v/>
      </c>
      <c r="F443" s="153" t="str">
        <f>IFERROR(VLOOKUP(D443,[1]TreeType!$A:$B,2,0),"")</f>
        <v/>
      </c>
      <c r="G443" s="72">
        <f>IF(B443&gt;0,IF(סקר!E651=0,1,סקר!E651),0)</f>
        <v>0</v>
      </c>
      <c r="H443" s="72">
        <f>IF(B443&gt;0,IF(סקר!F651 = 0,1,סקר!F651),0)</f>
        <v>0</v>
      </c>
      <c r="I443" s="152">
        <f>סקר!G651</f>
        <v>0</v>
      </c>
      <c r="J443" s="152">
        <f>סקר!H651</f>
        <v>0</v>
      </c>
      <c r="K443" s="152" t="e">
        <f>IF(D443="","",VLOOKUP(D443,[1]TreeType!$A$2:$E$508,3,3))</f>
        <v>#N/A</v>
      </c>
      <c r="L443" s="152">
        <f>IF(D443&gt;0,IF(סקר!M651=0,1,IF(סקר!M651=0,1,סקר!M651)),0)</f>
        <v>0</v>
      </c>
      <c r="M443" s="152">
        <f>סקר!J651</f>
        <v>0</v>
      </c>
      <c r="N443" s="152">
        <f>IF(D443&gt;0,IF(סקר!K651=0,1,IF(סקר!K651=0,1,סקר!K651)),0)</f>
        <v>0</v>
      </c>
      <c r="O443" s="152" t="e">
        <f t="shared" ref="O443:O491" si="11">IF(SUM(K443:N443)=0,"",SUM(K443:N443))</f>
        <v>#N/A</v>
      </c>
      <c r="P443" s="152">
        <f>IF(B443&gt;0,IF(סקר!O651 &lt;=1,1,סקר!O651),0)</f>
        <v>0</v>
      </c>
      <c r="Q443" s="152">
        <f>סקר!P651</f>
        <v>0</v>
      </c>
      <c r="R443" s="152">
        <f>סקר!R651</f>
        <v>0</v>
      </c>
      <c r="S443" s="152">
        <f>סקר!BC651</f>
        <v>0</v>
      </c>
      <c r="T443" s="156"/>
    </row>
    <row r="444" spans="1:20">
      <c r="A444" s="152" t="str">
        <f>IF(סקר!D652&lt;2,"עץ","פוליגון")</f>
        <v>עץ</v>
      </c>
      <c r="B444" s="152">
        <f>סקר!B652</f>
        <v>0</v>
      </c>
      <c r="C444" s="152">
        <f>IF(סקר!D652&lt;2,1,סקר!D652)</f>
        <v>1</v>
      </c>
      <c r="D444" s="152">
        <f>סקר!C652</f>
        <v>0</v>
      </c>
      <c r="E444" s="152" t="str">
        <f>IFERROR(VLOOKUP(F444,[1]TreeType!$A:$E,5,0),"")</f>
        <v/>
      </c>
      <c r="F444" s="153" t="str">
        <f>IFERROR(VLOOKUP(D444,[1]TreeType!$A:$B,2,0),"")</f>
        <v/>
      </c>
      <c r="G444" s="72">
        <f>IF(B444&gt;0,IF(סקר!E652=0,1,סקר!E652),0)</f>
        <v>0</v>
      </c>
      <c r="H444" s="72">
        <f>IF(B444&gt;0,IF(סקר!F652 = 0,1,סקר!F652),0)</f>
        <v>0</v>
      </c>
      <c r="I444" s="152">
        <f>סקר!G652</f>
        <v>0</v>
      </c>
      <c r="J444" s="152">
        <f>סקר!H652</f>
        <v>0</v>
      </c>
      <c r="K444" s="152" t="e">
        <f>IF(D444="","",VLOOKUP(D444,[1]TreeType!$A$2:$E$508,3,3))</f>
        <v>#N/A</v>
      </c>
      <c r="L444" s="152">
        <f>IF(D444&gt;0,IF(סקר!M652=0,1,IF(סקר!M652=0,1,סקר!M652)),0)</f>
        <v>0</v>
      </c>
      <c r="M444" s="152">
        <f>סקר!J652</f>
        <v>0</v>
      </c>
      <c r="N444" s="152">
        <f>IF(D444&gt;0,IF(סקר!K652=0,1,IF(סקר!K652=0,1,סקר!K652)),0)</f>
        <v>0</v>
      </c>
      <c r="O444" s="152" t="e">
        <f t="shared" si="11"/>
        <v>#N/A</v>
      </c>
      <c r="P444" s="152">
        <f>IF(B444&gt;0,IF(סקר!O652 &lt;=1,1,סקר!O652),0)</f>
        <v>0</v>
      </c>
      <c r="Q444" s="152">
        <f>סקר!P652</f>
        <v>0</v>
      </c>
      <c r="R444" s="152">
        <f>סקר!R652</f>
        <v>0</v>
      </c>
      <c r="S444" s="152">
        <f>סקר!BC652</f>
        <v>0</v>
      </c>
      <c r="T444" s="156"/>
    </row>
    <row r="445" spans="1:20">
      <c r="A445" s="152" t="str">
        <f>IF(סקר!D653&lt;2,"עץ","פוליגון")</f>
        <v>עץ</v>
      </c>
      <c r="B445" s="152">
        <f>סקר!B653</f>
        <v>0</v>
      </c>
      <c r="C445" s="152">
        <f>IF(סקר!D653&lt;2,1,סקר!D653)</f>
        <v>1</v>
      </c>
      <c r="D445" s="152">
        <f>סקר!C653</f>
        <v>0</v>
      </c>
      <c r="E445" s="152" t="str">
        <f>IFERROR(VLOOKUP(F445,[1]TreeType!$A:$E,5,0),"")</f>
        <v/>
      </c>
      <c r="F445" s="153" t="str">
        <f>IFERROR(VLOOKUP(D445,[1]TreeType!$A:$B,2,0),"")</f>
        <v/>
      </c>
      <c r="G445" s="72">
        <f>IF(B445&gt;0,IF(סקר!E653=0,1,סקר!E653),0)</f>
        <v>0</v>
      </c>
      <c r="H445" s="72">
        <f>IF(B445&gt;0,IF(סקר!F653 = 0,1,סקר!F653),0)</f>
        <v>0</v>
      </c>
      <c r="I445" s="152">
        <f>סקר!G653</f>
        <v>0</v>
      </c>
      <c r="J445" s="152">
        <f>סקר!H653</f>
        <v>0</v>
      </c>
      <c r="K445" s="152" t="e">
        <f>IF(D445="","",VLOOKUP(D445,[1]TreeType!$A$2:$E$508,3,3))</f>
        <v>#N/A</v>
      </c>
      <c r="L445" s="152">
        <f>IF(D445&gt;0,IF(סקר!M653=0,1,IF(סקר!M653=0,1,סקר!M653)),0)</f>
        <v>0</v>
      </c>
      <c r="M445" s="152">
        <f>סקר!J653</f>
        <v>0</v>
      </c>
      <c r="N445" s="152">
        <f>IF(D445&gt;0,IF(סקר!K653=0,1,IF(סקר!K653=0,1,סקר!K653)),0)</f>
        <v>0</v>
      </c>
      <c r="O445" s="152" t="e">
        <f t="shared" si="11"/>
        <v>#N/A</v>
      </c>
      <c r="P445" s="152">
        <f>IF(B445&gt;0,IF(סקר!O653 &lt;=1,1,סקר!O653),0)</f>
        <v>0</v>
      </c>
      <c r="Q445" s="152">
        <f>סקר!P653</f>
        <v>0</v>
      </c>
      <c r="R445" s="152">
        <f>סקר!R653</f>
        <v>0</v>
      </c>
      <c r="S445" s="152">
        <f>סקר!BC653</f>
        <v>0</v>
      </c>
      <c r="T445" s="156"/>
    </row>
    <row r="446" spans="1:20">
      <c r="A446" s="152" t="str">
        <f>IF(סקר!D654&lt;2,"עץ","פוליגון")</f>
        <v>עץ</v>
      </c>
      <c r="B446" s="152">
        <f>סקר!B654</f>
        <v>0</v>
      </c>
      <c r="C446" s="152">
        <f>IF(סקר!D654&lt;2,1,סקר!D654)</f>
        <v>1</v>
      </c>
      <c r="D446" s="152">
        <f>סקר!C654</f>
        <v>0</v>
      </c>
      <c r="E446" s="152" t="str">
        <f>IFERROR(VLOOKUP(F446,[1]TreeType!$A:$E,5,0),"")</f>
        <v/>
      </c>
      <c r="F446" s="153" t="str">
        <f>IFERROR(VLOOKUP(D446,[1]TreeType!$A:$B,2,0),"")</f>
        <v/>
      </c>
      <c r="G446" s="72">
        <f>IF(B446&gt;0,IF(סקר!E654=0,1,סקר!E654),0)</f>
        <v>0</v>
      </c>
      <c r="H446" s="72">
        <f>IF(B446&gt;0,IF(סקר!F654 = 0,1,סקר!F654),0)</f>
        <v>0</v>
      </c>
      <c r="I446" s="152">
        <f>סקר!G654</f>
        <v>0</v>
      </c>
      <c r="J446" s="152">
        <f>סקר!H654</f>
        <v>0</v>
      </c>
      <c r="K446" s="152" t="e">
        <f>IF(D446="","",VLOOKUP(D446,[1]TreeType!$A$2:$E$508,3,3))</f>
        <v>#N/A</v>
      </c>
      <c r="L446" s="152">
        <f>IF(D446&gt;0,IF(סקר!M654=0,1,IF(סקר!M654=0,1,סקר!M654)),0)</f>
        <v>0</v>
      </c>
      <c r="M446" s="152">
        <f>סקר!J654</f>
        <v>0</v>
      </c>
      <c r="N446" s="152">
        <f>IF(D446&gt;0,IF(סקר!K654=0,1,IF(סקר!K654=0,1,סקר!K654)),0)</f>
        <v>0</v>
      </c>
      <c r="O446" s="152" t="e">
        <f t="shared" si="11"/>
        <v>#N/A</v>
      </c>
      <c r="P446" s="152">
        <f>IF(B446&gt;0,IF(סקר!O654 &lt;=1,1,סקר!O654),0)</f>
        <v>0</v>
      </c>
      <c r="Q446" s="152">
        <f>סקר!P654</f>
        <v>0</v>
      </c>
      <c r="R446" s="152">
        <f>סקר!R654</f>
        <v>0</v>
      </c>
      <c r="S446" s="152">
        <f>סקר!BC654</f>
        <v>0</v>
      </c>
      <c r="T446" s="156"/>
    </row>
    <row r="447" spans="1:20">
      <c r="A447" s="152" t="str">
        <f>IF(סקר!D655&lt;2,"עץ","פוליגון")</f>
        <v>עץ</v>
      </c>
      <c r="B447" s="152">
        <f>סקר!B655</f>
        <v>0</v>
      </c>
      <c r="C447" s="152">
        <f>IF(סקר!D655&lt;2,1,סקר!D655)</f>
        <v>1</v>
      </c>
      <c r="D447" s="152">
        <f>סקר!C655</f>
        <v>0</v>
      </c>
      <c r="E447" s="152" t="str">
        <f>IFERROR(VLOOKUP(F447,[1]TreeType!$A:$E,5,0),"")</f>
        <v/>
      </c>
      <c r="F447" s="153" t="str">
        <f>IFERROR(VLOOKUP(D447,[1]TreeType!$A:$B,2,0),"")</f>
        <v/>
      </c>
      <c r="G447" s="72">
        <f>IF(B447&gt;0,IF(סקר!E655=0,1,סקר!E655),0)</f>
        <v>0</v>
      </c>
      <c r="H447" s="72">
        <f>IF(B447&gt;0,IF(סקר!F655 = 0,1,סקר!F655),0)</f>
        <v>0</v>
      </c>
      <c r="I447" s="152">
        <f>סקר!G655</f>
        <v>0</v>
      </c>
      <c r="J447" s="152">
        <f>סקר!H655</f>
        <v>0</v>
      </c>
      <c r="K447" s="152" t="e">
        <f>IF(D447="","",VLOOKUP(D447,[1]TreeType!$A$2:$E$508,3,3))</f>
        <v>#N/A</v>
      </c>
      <c r="L447" s="152">
        <f>IF(D447&gt;0,IF(סקר!M655=0,1,IF(סקר!M655=0,1,סקר!M655)),0)</f>
        <v>0</v>
      </c>
      <c r="M447" s="152">
        <f>סקר!J655</f>
        <v>0</v>
      </c>
      <c r="N447" s="152">
        <f>IF(D447&gt;0,IF(סקר!K655=0,1,IF(סקר!K655=0,1,סקר!K655)),0)</f>
        <v>0</v>
      </c>
      <c r="O447" s="152" t="e">
        <f t="shared" si="11"/>
        <v>#N/A</v>
      </c>
      <c r="P447" s="152">
        <f>IF(B447&gt;0,IF(סקר!O655 &lt;=1,1,סקר!O655),0)</f>
        <v>0</v>
      </c>
      <c r="Q447" s="152">
        <f>סקר!P655</f>
        <v>0</v>
      </c>
      <c r="R447" s="152">
        <f>סקר!R655</f>
        <v>0</v>
      </c>
      <c r="S447" s="152">
        <f>סקר!BC655</f>
        <v>0</v>
      </c>
      <c r="T447" s="156"/>
    </row>
    <row r="448" spans="1:20">
      <c r="A448" s="152" t="str">
        <f>IF(סקר!D656&lt;2,"עץ","פוליגון")</f>
        <v>עץ</v>
      </c>
      <c r="B448" s="152">
        <f>סקר!B656</f>
        <v>0</v>
      </c>
      <c r="C448" s="152">
        <f>IF(סקר!D656&lt;2,1,סקר!D656)</f>
        <v>1</v>
      </c>
      <c r="D448" s="152">
        <f>סקר!C656</f>
        <v>0</v>
      </c>
      <c r="E448" s="152" t="str">
        <f>IFERROR(VLOOKUP(F448,[1]TreeType!$A:$E,5,0),"")</f>
        <v/>
      </c>
      <c r="F448" s="153" t="str">
        <f>IFERROR(VLOOKUP(D448,[1]TreeType!$A:$B,2,0),"")</f>
        <v/>
      </c>
      <c r="G448" s="72">
        <f>IF(B448&gt;0,IF(סקר!E656=0,1,סקר!E656),0)</f>
        <v>0</v>
      </c>
      <c r="H448" s="72">
        <f>IF(B448&gt;0,IF(סקר!F656 = 0,1,סקר!F656),0)</f>
        <v>0</v>
      </c>
      <c r="I448" s="152">
        <f>סקר!G656</f>
        <v>0</v>
      </c>
      <c r="J448" s="152">
        <f>סקר!H656</f>
        <v>0</v>
      </c>
      <c r="K448" s="152" t="e">
        <f>IF(D448="","",VLOOKUP(D448,[1]TreeType!$A$2:$E$508,3,3))</f>
        <v>#N/A</v>
      </c>
      <c r="L448" s="152">
        <f>IF(D448&gt;0,IF(סקר!M656=0,1,IF(סקר!M656=0,1,סקר!M656)),0)</f>
        <v>0</v>
      </c>
      <c r="M448" s="152">
        <f>סקר!J656</f>
        <v>0</v>
      </c>
      <c r="N448" s="152">
        <f>IF(D448&gt;0,IF(סקר!K656=0,1,IF(סקר!K656=0,1,סקר!K656)),0)</f>
        <v>0</v>
      </c>
      <c r="O448" s="152" t="e">
        <f t="shared" si="11"/>
        <v>#N/A</v>
      </c>
      <c r="P448" s="152">
        <f>IF(B448&gt;0,IF(סקר!O656 &lt;=1,1,סקר!O656),0)</f>
        <v>0</v>
      </c>
      <c r="Q448" s="152">
        <f>סקר!P656</f>
        <v>0</v>
      </c>
      <c r="R448" s="152">
        <f>סקר!R656</f>
        <v>0</v>
      </c>
      <c r="S448" s="152">
        <f>סקר!BC656</f>
        <v>0</v>
      </c>
      <c r="T448" s="156"/>
    </row>
    <row r="449" spans="1:20">
      <c r="A449" s="152" t="str">
        <f>IF(סקר!D657&lt;2,"עץ","פוליגון")</f>
        <v>עץ</v>
      </c>
      <c r="B449" s="152">
        <f>סקר!B657</f>
        <v>0</v>
      </c>
      <c r="C449" s="152">
        <f>IF(סקר!D657&lt;2,1,סקר!D657)</f>
        <v>1</v>
      </c>
      <c r="D449" s="152">
        <f>סקר!C657</f>
        <v>0</v>
      </c>
      <c r="E449" s="152" t="str">
        <f>IFERROR(VLOOKUP(F449,[1]TreeType!$A:$E,5,0),"")</f>
        <v/>
      </c>
      <c r="F449" s="153" t="str">
        <f>IFERROR(VLOOKUP(D449,[1]TreeType!$A:$B,2,0),"")</f>
        <v/>
      </c>
      <c r="G449" s="72">
        <f>IF(B449&gt;0,IF(סקר!E657=0,1,סקר!E657),0)</f>
        <v>0</v>
      </c>
      <c r="H449" s="72">
        <f>IF(B449&gt;0,IF(סקר!F657 = 0,1,סקר!F657),0)</f>
        <v>0</v>
      </c>
      <c r="I449" s="152">
        <f>סקר!G657</f>
        <v>0</v>
      </c>
      <c r="J449" s="152">
        <f>סקר!H657</f>
        <v>0</v>
      </c>
      <c r="K449" s="152" t="e">
        <f>IF(D449="","",VLOOKUP(D449,[1]TreeType!$A$2:$E$508,3,3))</f>
        <v>#N/A</v>
      </c>
      <c r="L449" s="152">
        <f>IF(D449&gt;0,IF(סקר!M657=0,1,IF(סקר!M657=0,1,סקר!M657)),0)</f>
        <v>0</v>
      </c>
      <c r="M449" s="152">
        <f>סקר!J657</f>
        <v>0</v>
      </c>
      <c r="N449" s="152">
        <f>IF(D449&gt;0,IF(סקר!K657=0,1,IF(סקר!K657=0,1,סקר!K657)),0)</f>
        <v>0</v>
      </c>
      <c r="O449" s="152" t="e">
        <f t="shared" si="11"/>
        <v>#N/A</v>
      </c>
      <c r="P449" s="152">
        <f>IF(B449&gt;0,IF(סקר!O657 &lt;=1,1,סקר!O657),0)</f>
        <v>0</v>
      </c>
      <c r="Q449" s="152">
        <f>סקר!P657</f>
        <v>0</v>
      </c>
      <c r="R449" s="152">
        <f>סקר!R657</f>
        <v>0</v>
      </c>
      <c r="S449" s="152">
        <f>סקר!BC657</f>
        <v>0</v>
      </c>
      <c r="T449" s="156"/>
    </row>
    <row r="450" spans="1:20">
      <c r="A450" s="152" t="str">
        <f>IF(סקר!D658&lt;2,"עץ","פוליגון")</f>
        <v>עץ</v>
      </c>
      <c r="B450" s="152">
        <f>סקר!B658</f>
        <v>0</v>
      </c>
      <c r="C450" s="152">
        <f>IF(סקר!D658&lt;2,1,סקר!D658)</f>
        <v>1</v>
      </c>
      <c r="D450" s="152">
        <f>סקר!C658</f>
        <v>0</v>
      </c>
      <c r="E450" s="152" t="str">
        <f>IFERROR(VLOOKUP(F450,[1]TreeType!$A:$E,5,0),"")</f>
        <v/>
      </c>
      <c r="F450" s="153" t="str">
        <f>IFERROR(VLOOKUP(D450,[1]TreeType!$A:$B,2,0),"")</f>
        <v/>
      </c>
      <c r="G450" s="72">
        <f>IF(B450&gt;0,IF(סקר!E658=0,1,סקר!E658),0)</f>
        <v>0</v>
      </c>
      <c r="H450" s="72">
        <f>IF(B450&gt;0,IF(סקר!F658 = 0,1,סקר!F658),0)</f>
        <v>0</v>
      </c>
      <c r="I450" s="152">
        <f>סקר!G658</f>
        <v>0</v>
      </c>
      <c r="J450" s="152">
        <f>סקר!H658</f>
        <v>0</v>
      </c>
      <c r="K450" s="152" t="e">
        <f>IF(D450="","",VLOOKUP(D450,[1]TreeType!$A$2:$E$508,3,3))</f>
        <v>#N/A</v>
      </c>
      <c r="L450" s="152">
        <f>IF(D450&gt;0,IF(סקר!M658=0,1,IF(סקר!M658=0,1,סקר!M658)),0)</f>
        <v>0</v>
      </c>
      <c r="M450" s="152">
        <f>סקר!J658</f>
        <v>0</v>
      </c>
      <c r="N450" s="152">
        <f>IF(D450&gt;0,IF(סקר!K658=0,1,IF(סקר!K658=0,1,סקר!K658)),0)</f>
        <v>0</v>
      </c>
      <c r="O450" s="152" t="e">
        <f t="shared" si="11"/>
        <v>#N/A</v>
      </c>
      <c r="P450" s="152">
        <f>IF(B450&gt;0,IF(סקר!O658 &lt;=1,1,סקר!O658),0)</f>
        <v>0</v>
      </c>
      <c r="Q450" s="152">
        <f>סקר!P658</f>
        <v>0</v>
      </c>
      <c r="R450" s="152">
        <f>סקר!R658</f>
        <v>0</v>
      </c>
      <c r="S450" s="152">
        <f>סקר!BC658</f>
        <v>0</v>
      </c>
      <c r="T450" s="156"/>
    </row>
    <row r="451" spans="1:20">
      <c r="A451" s="152" t="str">
        <f>IF(סקר!D659&lt;2,"עץ","פוליגון")</f>
        <v>עץ</v>
      </c>
      <c r="B451" s="152">
        <f>סקר!B659</f>
        <v>0</v>
      </c>
      <c r="C451" s="152">
        <f>IF(סקר!D659&lt;2,1,סקר!D659)</f>
        <v>1</v>
      </c>
      <c r="D451" s="152">
        <f>סקר!C659</f>
        <v>0</v>
      </c>
      <c r="E451" s="152" t="str">
        <f>IFERROR(VLOOKUP(F451,[1]TreeType!$A:$E,5,0),"")</f>
        <v/>
      </c>
      <c r="F451" s="153" t="str">
        <f>IFERROR(VLOOKUP(D451,[1]TreeType!$A:$B,2,0),"")</f>
        <v/>
      </c>
      <c r="G451" s="72">
        <f>IF(B451&gt;0,IF(סקר!E659=0,1,סקר!E659),0)</f>
        <v>0</v>
      </c>
      <c r="H451" s="72">
        <f>IF(B451&gt;0,IF(סקר!F659 = 0,1,סקר!F659),0)</f>
        <v>0</v>
      </c>
      <c r="I451" s="152">
        <f>סקר!G659</f>
        <v>0</v>
      </c>
      <c r="J451" s="152">
        <f>סקר!H659</f>
        <v>0</v>
      </c>
      <c r="K451" s="152" t="e">
        <f>IF(D451="","",VLOOKUP(D451,[1]TreeType!$A$2:$E$508,3,3))</f>
        <v>#N/A</v>
      </c>
      <c r="L451" s="152">
        <f>IF(D451&gt;0,IF(סקר!M659=0,1,IF(סקר!M659=0,1,סקר!M659)),0)</f>
        <v>0</v>
      </c>
      <c r="M451" s="152">
        <f>סקר!J659</f>
        <v>0</v>
      </c>
      <c r="N451" s="152">
        <f>IF(D451&gt;0,IF(סקר!K659=0,1,IF(סקר!K659=0,1,סקר!K659)),0)</f>
        <v>0</v>
      </c>
      <c r="O451" s="152" t="e">
        <f t="shared" si="11"/>
        <v>#N/A</v>
      </c>
      <c r="P451" s="152">
        <f>IF(B451&gt;0,IF(סקר!O659 &lt;=1,1,סקר!O659),0)</f>
        <v>0</v>
      </c>
      <c r="Q451" s="152">
        <f>סקר!P659</f>
        <v>0</v>
      </c>
      <c r="R451" s="152">
        <f>סקר!R659</f>
        <v>0</v>
      </c>
      <c r="S451" s="152">
        <f>סקר!BC659</f>
        <v>0</v>
      </c>
      <c r="T451" s="156"/>
    </row>
    <row r="452" spans="1:20">
      <c r="A452" s="152" t="str">
        <f>IF(סקר!D660&lt;2,"עץ","פוליגון")</f>
        <v>עץ</v>
      </c>
      <c r="B452" s="152">
        <f>סקר!B660</f>
        <v>0</v>
      </c>
      <c r="C452" s="152">
        <f>IF(סקר!D660&lt;2,1,סקר!D660)</f>
        <v>1</v>
      </c>
      <c r="D452" s="152">
        <f>סקר!C660</f>
        <v>0</v>
      </c>
      <c r="E452" s="152" t="str">
        <f>IFERROR(VLOOKUP(F452,[1]TreeType!$A:$E,5,0),"")</f>
        <v/>
      </c>
      <c r="F452" s="153" t="str">
        <f>IFERROR(VLOOKUP(D452,[1]TreeType!$A:$B,2,0),"")</f>
        <v/>
      </c>
      <c r="G452" s="72">
        <f>IF(B452&gt;0,IF(סקר!E660=0,1,סקר!E660),0)</f>
        <v>0</v>
      </c>
      <c r="H452" s="72">
        <f>IF(B452&gt;0,IF(סקר!F660 = 0,1,סקר!F660),0)</f>
        <v>0</v>
      </c>
      <c r="I452" s="152">
        <f>סקר!G660</f>
        <v>0</v>
      </c>
      <c r="J452" s="152">
        <f>סקר!H660</f>
        <v>0</v>
      </c>
      <c r="K452" s="152" t="e">
        <f>IF(D452="","",VLOOKUP(D452,[1]TreeType!$A$2:$E$508,3,3))</f>
        <v>#N/A</v>
      </c>
      <c r="L452" s="152">
        <f>IF(D452&gt;0,IF(סקר!M660=0,1,IF(סקר!M660=0,1,סקר!M660)),0)</f>
        <v>0</v>
      </c>
      <c r="M452" s="152">
        <f>סקר!J660</f>
        <v>0</v>
      </c>
      <c r="N452" s="152">
        <f>IF(D452&gt;0,IF(סקר!K660=0,1,IF(סקר!K660=0,1,סקר!K660)),0)</f>
        <v>0</v>
      </c>
      <c r="O452" s="152" t="e">
        <f t="shared" si="11"/>
        <v>#N/A</v>
      </c>
      <c r="P452" s="152">
        <f>IF(B452&gt;0,IF(סקר!O660 &lt;=1,1,סקר!O660),0)</f>
        <v>0</v>
      </c>
      <c r="Q452" s="152">
        <f>סקר!P660</f>
        <v>0</v>
      </c>
      <c r="R452" s="152">
        <f>סקר!R660</f>
        <v>0</v>
      </c>
      <c r="S452" s="152">
        <f>סקר!BC660</f>
        <v>0</v>
      </c>
      <c r="T452" s="156"/>
    </row>
    <row r="453" spans="1:20">
      <c r="A453" s="152" t="str">
        <f>IF(סקר!D661&lt;2,"עץ","פוליגון")</f>
        <v>עץ</v>
      </c>
      <c r="B453" s="152">
        <f>סקר!B661</f>
        <v>0</v>
      </c>
      <c r="C453" s="152">
        <f>IF(סקר!D661&lt;2,1,סקר!D661)</f>
        <v>1</v>
      </c>
      <c r="D453" s="152">
        <f>סקר!C661</f>
        <v>0</v>
      </c>
      <c r="E453" s="152" t="str">
        <f>IFERROR(VLOOKUP(F453,[1]TreeType!$A:$E,5,0),"")</f>
        <v/>
      </c>
      <c r="F453" s="153" t="str">
        <f>IFERROR(VLOOKUP(D453,[1]TreeType!$A:$B,2,0),"")</f>
        <v/>
      </c>
      <c r="G453" s="72">
        <f>IF(B453&gt;0,IF(סקר!E661=0,1,סקר!E661),0)</f>
        <v>0</v>
      </c>
      <c r="H453" s="72">
        <f>IF(B453&gt;0,IF(סקר!F661 = 0,1,סקר!F661),0)</f>
        <v>0</v>
      </c>
      <c r="I453" s="152">
        <f>סקר!G661</f>
        <v>0</v>
      </c>
      <c r="J453" s="152">
        <f>סקר!H661</f>
        <v>0</v>
      </c>
      <c r="K453" s="152" t="e">
        <f>IF(D453="","",VLOOKUP(D453,[1]TreeType!$A$2:$E$508,3,3))</f>
        <v>#N/A</v>
      </c>
      <c r="L453" s="152">
        <f>IF(D453&gt;0,IF(סקר!M661=0,1,IF(סקר!M661=0,1,סקר!M661)),0)</f>
        <v>0</v>
      </c>
      <c r="M453" s="152">
        <f>סקר!J661</f>
        <v>0</v>
      </c>
      <c r="N453" s="152">
        <f>IF(D453&gt;0,IF(סקר!K661=0,1,IF(סקר!K661=0,1,סקר!K661)),0)</f>
        <v>0</v>
      </c>
      <c r="O453" s="152" t="e">
        <f t="shared" si="11"/>
        <v>#N/A</v>
      </c>
      <c r="P453" s="152">
        <f>IF(B453&gt;0,IF(סקר!O661 &lt;=1,1,סקר!O661),0)</f>
        <v>0</v>
      </c>
      <c r="Q453" s="152">
        <f>סקר!P661</f>
        <v>0</v>
      </c>
      <c r="R453" s="152">
        <f>סקר!R661</f>
        <v>0</v>
      </c>
      <c r="S453" s="152">
        <f>סקר!BC661</f>
        <v>0</v>
      </c>
      <c r="T453" s="156"/>
    </row>
    <row r="454" spans="1:20">
      <c r="A454" s="152" t="str">
        <f>IF(סקר!D662&lt;2,"עץ","פוליגון")</f>
        <v>עץ</v>
      </c>
      <c r="B454" s="152">
        <f>סקר!B662</f>
        <v>0</v>
      </c>
      <c r="C454" s="152">
        <f>IF(סקר!D662&lt;2,1,סקר!D662)</f>
        <v>1</v>
      </c>
      <c r="D454" s="152">
        <f>סקר!C662</f>
        <v>0</v>
      </c>
      <c r="E454" s="152" t="str">
        <f>IFERROR(VLOOKUP(F454,[1]TreeType!$A:$E,5,0),"")</f>
        <v/>
      </c>
      <c r="F454" s="153" t="str">
        <f>IFERROR(VLOOKUP(D454,[1]TreeType!$A:$B,2,0),"")</f>
        <v/>
      </c>
      <c r="G454" s="72">
        <f>IF(B454&gt;0,IF(סקר!E662=0,1,סקר!E662),0)</f>
        <v>0</v>
      </c>
      <c r="H454" s="72">
        <f>IF(B454&gt;0,IF(סקר!F662 = 0,1,סקר!F662),0)</f>
        <v>0</v>
      </c>
      <c r="I454" s="152">
        <f>סקר!G662</f>
        <v>0</v>
      </c>
      <c r="J454" s="152">
        <f>סקר!H662</f>
        <v>0</v>
      </c>
      <c r="K454" s="152" t="e">
        <f>IF(D454="","",VLOOKUP(D454,[1]TreeType!$A$2:$E$508,3,3))</f>
        <v>#N/A</v>
      </c>
      <c r="L454" s="152">
        <f>IF(D454&gt;0,IF(סקר!M662=0,1,IF(סקר!M662=0,1,סקר!M662)),0)</f>
        <v>0</v>
      </c>
      <c r="M454" s="152">
        <f>סקר!J662</f>
        <v>0</v>
      </c>
      <c r="N454" s="152">
        <f>IF(D454&gt;0,IF(סקר!K662=0,1,IF(סקר!K662=0,1,סקר!K662)),0)</f>
        <v>0</v>
      </c>
      <c r="O454" s="152" t="e">
        <f t="shared" si="11"/>
        <v>#N/A</v>
      </c>
      <c r="P454" s="152">
        <f>IF(B454&gt;0,IF(סקר!O662 &lt;=1,1,סקר!O662),0)</f>
        <v>0</v>
      </c>
      <c r="Q454" s="152">
        <f>סקר!P662</f>
        <v>0</v>
      </c>
      <c r="R454" s="152">
        <f>סקר!R662</f>
        <v>0</v>
      </c>
      <c r="S454" s="152">
        <f>סקר!BC662</f>
        <v>0</v>
      </c>
      <c r="T454" s="156"/>
    </row>
    <row r="455" spans="1:20">
      <c r="A455" s="152" t="str">
        <f>IF(סקר!D663&lt;2,"עץ","פוליגון")</f>
        <v>עץ</v>
      </c>
      <c r="B455" s="152">
        <f>סקר!B663</f>
        <v>0</v>
      </c>
      <c r="C455" s="152">
        <f>IF(סקר!D663&lt;2,1,סקר!D663)</f>
        <v>1</v>
      </c>
      <c r="D455" s="152">
        <f>סקר!C663</f>
        <v>0</v>
      </c>
      <c r="E455" s="152" t="str">
        <f>IFERROR(VLOOKUP(F455,[1]TreeType!$A:$E,5,0),"")</f>
        <v/>
      </c>
      <c r="F455" s="153" t="str">
        <f>IFERROR(VLOOKUP(D455,[1]TreeType!$A:$B,2,0),"")</f>
        <v/>
      </c>
      <c r="G455" s="72">
        <f>IF(B455&gt;0,IF(סקר!E663=0,1,סקר!E663),0)</f>
        <v>0</v>
      </c>
      <c r="H455" s="72">
        <f>IF(B455&gt;0,IF(סקר!F663 = 0,1,סקר!F663),0)</f>
        <v>0</v>
      </c>
      <c r="I455" s="152">
        <f>סקר!G663</f>
        <v>0</v>
      </c>
      <c r="J455" s="152">
        <f>סקר!H663</f>
        <v>0</v>
      </c>
      <c r="K455" s="152" t="e">
        <f>IF(D455="","",VLOOKUP(D455,[1]TreeType!$A$2:$E$508,3,3))</f>
        <v>#N/A</v>
      </c>
      <c r="L455" s="152">
        <f>IF(D455&gt;0,IF(סקר!M663=0,1,IF(סקר!M663=0,1,סקר!M663)),0)</f>
        <v>0</v>
      </c>
      <c r="M455" s="152">
        <f>סקר!J663</f>
        <v>0</v>
      </c>
      <c r="N455" s="152">
        <f>IF(D455&gt;0,IF(סקר!K663=0,1,IF(סקר!K663=0,1,סקר!K663)),0)</f>
        <v>0</v>
      </c>
      <c r="O455" s="152" t="e">
        <f t="shared" si="11"/>
        <v>#N/A</v>
      </c>
      <c r="P455" s="152">
        <f>IF(B455&gt;0,IF(סקר!O663 &lt;=1,1,סקר!O663),0)</f>
        <v>0</v>
      </c>
      <c r="Q455" s="152">
        <f>סקר!P663</f>
        <v>0</v>
      </c>
      <c r="R455" s="152">
        <f>סקר!R663</f>
        <v>0</v>
      </c>
      <c r="S455" s="152">
        <f>סקר!BC663</f>
        <v>0</v>
      </c>
      <c r="T455" s="156"/>
    </row>
    <row r="456" spans="1:20">
      <c r="A456" s="152" t="str">
        <f>IF(סקר!D664&lt;2,"עץ","פוליגון")</f>
        <v>עץ</v>
      </c>
      <c r="B456" s="152">
        <f>סקר!B664</f>
        <v>0</v>
      </c>
      <c r="C456" s="152">
        <f>IF(סקר!D664&lt;2,1,סקר!D664)</f>
        <v>1</v>
      </c>
      <c r="D456" s="152">
        <f>סקר!C664</f>
        <v>0</v>
      </c>
      <c r="E456" s="152" t="str">
        <f>IFERROR(VLOOKUP(F456,[1]TreeType!$A:$E,5,0),"")</f>
        <v/>
      </c>
      <c r="F456" s="153" t="str">
        <f>IFERROR(VLOOKUP(D456,[1]TreeType!$A:$B,2,0),"")</f>
        <v/>
      </c>
      <c r="G456" s="72">
        <f>IF(B456&gt;0,IF(סקר!E664=0,1,סקר!E664),0)</f>
        <v>0</v>
      </c>
      <c r="H456" s="72">
        <f>IF(B456&gt;0,IF(סקר!F664 = 0,1,סקר!F664),0)</f>
        <v>0</v>
      </c>
      <c r="I456" s="152">
        <f>סקר!G664</f>
        <v>0</v>
      </c>
      <c r="J456" s="152">
        <f>סקר!H664</f>
        <v>0</v>
      </c>
      <c r="K456" s="152" t="e">
        <f>IF(D456="","",VLOOKUP(D456,[1]TreeType!$A$2:$E$508,3,3))</f>
        <v>#N/A</v>
      </c>
      <c r="L456" s="152">
        <f>IF(D456&gt;0,IF(סקר!M664=0,1,IF(סקר!M664=0,1,סקר!M664)),0)</f>
        <v>0</v>
      </c>
      <c r="M456" s="152">
        <f>סקר!J664</f>
        <v>0</v>
      </c>
      <c r="N456" s="152">
        <f>IF(D456&gt;0,IF(סקר!K664=0,1,IF(סקר!K664=0,1,סקר!K664)),0)</f>
        <v>0</v>
      </c>
      <c r="O456" s="152" t="e">
        <f t="shared" si="11"/>
        <v>#N/A</v>
      </c>
      <c r="P456" s="152">
        <f>IF(B456&gt;0,IF(סקר!O664 &lt;=1,1,סקר!O664),0)</f>
        <v>0</v>
      </c>
      <c r="Q456" s="152">
        <f>סקר!P664</f>
        <v>0</v>
      </c>
      <c r="R456" s="152">
        <f>סקר!R664</f>
        <v>0</v>
      </c>
      <c r="S456" s="152">
        <f>סקר!BC664</f>
        <v>0</v>
      </c>
      <c r="T456" s="156"/>
    </row>
    <row r="457" spans="1:20">
      <c r="A457" s="152" t="str">
        <f>IF(סקר!D665&lt;2,"עץ","פוליגון")</f>
        <v>עץ</v>
      </c>
      <c r="B457" s="152">
        <f>סקר!B665</f>
        <v>0</v>
      </c>
      <c r="C457" s="152">
        <f>IF(סקר!D665&lt;2,1,סקר!D665)</f>
        <v>1</v>
      </c>
      <c r="D457" s="152">
        <f>סקר!C665</f>
        <v>0</v>
      </c>
      <c r="E457" s="152" t="str">
        <f>IFERROR(VLOOKUP(F457,[1]TreeType!$A:$E,5,0),"")</f>
        <v/>
      </c>
      <c r="F457" s="153" t="str">
        <f>IFERROR(VLOOKUP(D457,[1]TreeType!$A:$B,2,0),"")</f>
        <v/>
      </c>
      <c r="G457" s="72">
        <f>IF(B457&gt;0,IF(סקר!E665=0,1,סקר!E665),0)</f>
        <v>0</v>
      </c>
      <c r="H457" s="72">
        <f>IF(B457&gt;0,IF(סקר!F665 = 0,1,סקר!F665),0)</f>
        <v>0</v>
      </c>
      <c r="I457" s="152">
        <f>סקר!G665</f>
        <v>0</v>
      </c>
      <c r="J457" s="152">
        <f>סקר!H665</f>
        <v>0</v>
      </c>
      <c r="K457" s="152" t="e">
        <f>IF(D457="","",VLOOKUP(D457,[1]TreeType!$A$2:$E$508,3,3))</f>
        <v>#N/A</v>
      </c>
      <c r="L457" s="152">
        <f>IF(D457&gt;0,IF(סקר!M665=0,1,IF(סקר!M665=0,1,סקר!M665)),0)</f>
        <v>0</v>
      </c>
      <c r="M457" s="152">
        <f>סקר!J665</f>
        <v>0</v>
      </c>
      <c r="N457" s="152">
        <f>IF(D457&gt;0,IF(סקר!K665=0,1,IF(סקר!K665=0,1,סקר!K665)),0)</f>
        <v>0</v>
      </c>
      <c r="O457" s="152" t="e">
        <f t="shared" si="11"/>
        <v>#N/A</v>
      </c>
      <c r="P457" s="152">
        <f>IF(B457&gt;0,IF(סקר!O665 &lt;=1,1,סקר!O665),0)</f>
        <v>0</v>
      </c>
      <c r="Q457" s="152">
        <f>סקר!P665</f>
        <v>0</v>
      </c>
      <c r="R457" s="152">
        <f>סקר!R665</f>
        <v>0</v>
      </c>
      <c r="S457" s="152">
        <f>סקר!BC665</f>
        <v>0</v>
      </c>
      <c r="T457" s="156"/>
    </row>
    <row r="458" spans="1:20">
      <c r="A458" s="152" t="str">
        <f>IF(סקר!D666&lt;2,"עץ","פוליגון")</f>
        <v>עץ</v>
      </c>
      <c r="B458" s="152">
        <f>סקר!B666</f>
        <v>0</v>
      </c>
      <c r="C458" s="152">
        <f>IF(סקר!D666&lt;2,1,סקר!D666)</f>
        <v>1</v>
      </c>
      <c r="D458" s="152">
        <f>סקר!C666</f>
        <v>0</v>
      </c>
      <c r="E458" s="152" t="str">
        <f>IFERROR(VLOOKUP(F458,[1]TreeType!$A:$E,5,0),"")</f>
        <v/>
      </c>
      <c r="F458" s="153" t="str">
        <f>IFERROR(VLOOKUP(D458,[1]TreeType!$A:$B,2,0),"")</f>
        <v/>
      </c>
      <c r="G458" s="72">
        <f>IF(B458&gt;0,IF(סקר!E666=0,1,סקר!E666),0)</f>
        <v>0</v>
      </c>
      <c r="H458" s="72">
        <f>IF(B458&gt;0,IF(סקר!F666 = 0,1,סקר!F666),0)</f>
        <v>0</v>
      </c>
      <c r="I458" s="152">
        <f>סקר!G666</f>
        <v>0</v>
      </c>
      <c r="J458" s="152">
        <f>סקר!H666</f>
        <v>0</v>
      </c>
      <c r="K458" s="152" t="e">
        <f>IF(D458="","",VLOOKUP(D458,[1]TreeType!$A$2:$E$508,3,3))</f>
        <v>#N/A</v>
      </c>
      <c r="L458" s="152">
        <f>IF(D458&gt;0,IF(סקר!M666=0,1,IF(סקר!M666=0,1,סקר!M666)),0)</f>
        <v>0</v>
      </c>
      <c r="M458" s="152">
        <f>סקר!J666</f>
        <v>0</v>
      </c>
      <c r="N458" s="152">
        <f>IF(D458&gt;0,IF(סקר!K666=0,1,IF(סקר!K666=0,1,סקר!K666)),0)</f>
        <v>0</v>
      </c>
      <c r="O458" s="152" t="e">
        <f t="shared" si="11"/>
        <v>#N/A</v>
      </c>
      <c r="P458" s="152">
        <f>IF(B458&gt;0,IF(סקר!O666 &lt;=1,1,סקר!O666),0)</f>
        <v>0</v>
      </c>
      <c r="Q458" s="152">
        <f>סקר!P666</f>
        <v>0</v>
      </c>
      <c r="R458" s="152">
        <f>סקר!R666</f>
        <v>0</v>
      </c>
      <c r="S458" s="152">
        <f>סקר!BC666</f>
        <v>0</v>
      </c>
      <c r="T458" s="156"/>
    </row>
    <row r="459" spans="1:20">
      <c r="A459" s="152" t="str">
        <f>IF(סקר!D667&lt;2,"עץ","פוליגון")</f>
        <v>עץ</v>
      </c>
      <c r="B459" s="152">
        <f>סקר!B667</f>
        <v>0</v>
      </c>
      <c r="C459" s="152">
        <f>IF(סקר!D667&lt;2,1,סקר!D667)</f>
        <v>1</v>
      </c>
      <c r="D459" s="152">
        <f>סקר!C667</f>
        <v>0</v>
      </c>
      <c r="E459" s="152" t="str">
        <f>IFERROR(VLOOKUP(F459,[1]TreeType!$A:$E,5,0),"")</f>
        <v/>
      </c>
      <c r="F459" s="153" t="str">
        <f>IFERROR(VLOOKUP(D459,[1]TreeType!$A:$B,2,0),"")</f>
        <v/>
      </c>
      <c r="G459" s="72">
        <f>IF(B459&gt;0,IF(סקר!E667=0,1,סקר!E667),0)</f>
        <v>0</v>
      </c>
      <c r="H459" s="72">
        <f>IF(B459&gt;0,IF(סקר!F667 = 0,1,סקר!F667),0)</f>
        <v>0</v>
      </c>
      <c r="I459" s="152">
        <f>סקר!G667</f>
        <v>0</v>
      </c>
      <c r="J459" s="152">
        <f>סקר!H667</f>
        <v>0</v>
      </c>
      <c r="K459" s="152" t="e">
        <f>IF(D459="","",VLOOKUP(D459,[1]TreeType!$A$2:$E$508,3,3))</f>
        <v>#N/A</v>
      </c>
      <c r="L459" s="152">
        <f>IF(D459&gt;0,IF(סקר!M667=0,1,IF(סקר!M667=0,1,סקר!M667)),0)</f>
        <v>0</v>
      </c>
      <c r="M459" s="152">
        <f>סקר!J667</f>
        <v>0</v>
      </c>
      <c r="N459" s="152">
        <f>IF(D459&gt;0,IF(סקר!K667=0,1,IF(סקר!K667=0,1,סקר!K667)),0)</f>
        <v>0</v>
      </c>
      <c r="O459" s="152" t="e">
        <f t="shared" si="11"/>
        <v>#N/A</v>
      </c>
      <c r="P459" s="152">
        <f>IF(B459&gt;0,IF(סקר!O667 &lt;=1,1,סקר!O667),0)</f>
        <v>0</v>
      </c>
      <c r="Q459" s="152">
        <f>סקר!P667</f>
        <v>0</v>
      </c>
      <c r="R459" s="152">
        <f>סקר!R667</f>
        <v>0</v>
      </c>
      <c r="S459" s="152">
        <f>סקר!BC667</f>
        <v>0</v>
      </c>
      <c r="T459" s="156"/>
    </row>
    <row r="460" spans="1:20">
      <c r="A460" s="152" t="str">
        <f>IF(סקר!D668&lt;2,"עץ","פוליגון")</f>
        <v>עץ</v>
      </c>
      <c r="B460" s="152">
        <f>סקר!B668</f>
        <v>0</v>
      </c>
      <c r="C460" s="152">
        <f>IF(סקר!D668&lt;2,1,סקר!D668)</f>
        <v>1</v>
      </c>
      <c r="D460" s="152">
        <f>סקר!C668</f>
        <v>0</v>
      </c>
      <c r="E460" s="152" t="str">
        <f>IFERROR(VLOOKUP(F460,[1]TreeType!$A:$E,5,0),"")</f>
        <v/>
      </c>
      <c r="F460" s="153" t="str">
        <f>IFERROR(VLOOKUP(D460,[1]TreeType!$A:$B,2,0),"")</f>
        <v/>
      </c>
      <c r="G460" s="72">
        <f>IF(B460&gt;0,IF(סקר!E668=0,1,סקר!E668),0)</f>
        <v>0</v>
      </c>
      <c r="H460" s="72">
        <f>IF(B460&gt;0,IF(סקר!F668 = 0,1,סקר!F668),0)</f>
        <v>0</v>
      </c>
      <c r="I460" s="152">
        <f>סקר!G668</f>
        <v>0</v>
      </c>
      <c r="J460" s="152">
        <f>סקר!H668</f>
        <v>0</v>
      </c>
      <c r="K460" s="152" t="e">
        <f>IF(D460="","",VLOOKUP(D460,[1]TreeType!$A$2:$E$508,3,3))</f>
        <v>#N/A</v>
      </c>
      <c r="L460" s="152">
        <f>IF(D460&gt;0,IF(סקר!M668=0,1,IF(סקר!M668=0,1,סקר!M668)),0)</f>
        <v>0</v>
      </c>
      <c r="M460" s="152">
        <f>סקר!J668</f>
        <v>0</v>
      </c>
      <c r="N460" s="152">
        <f>IF(D460&gt;0,IF(סקר!K668=0,1,IF(סקר!K668=0,1,סקר!K668)),0)</f>
        <v>0</v>
      </c>
      <c r="O460" s="152" t="e">
        <f t="shared" si="11"/>
        <v>#N/A</v>
      </c>
      <c r="P460" s="152">
        <f>IF(B460&gt;0,IF(סקר!O668 &lt;=1,1,סקר!O668),0)</f>
        <v>0</v>
      </c>
      <c r="Q460" s="152">
        <f>סקר!P668</f>
        <v>0</v>
      </c>
      <c r="R460" s="152">
        <f>סקר!R668</f>
        <v>0</v>
      </c>
      <c r="S460" s="152">
        <f>סקר!BC668</f>
        <v>0</v>
      </c>
      <c r="T460" s="156"/>
    </row>
    <row r="461" spans="1:20">
      <c r="A461" s="152" t="str">
        <f>IF(סקר!D669&lt;2,"עץ","פוליגון")</f>
        <v>עץ</v>
      </c>
      <c r="B461" s="152">
        <f>סקר!B669</f>
        <v>0</v>
      </c>
      <c r="C461" s="152">
        <f>IF(סקר!D669&lt;2,1,סקר!D669)</f>
        <v>1</v>
      </c>
      <c r="D461" s="152">
        <f>סקר!C669</f>
        <v>0</v>
      </c>
      <c r="E461" s="152" t="str">
        <f>IFERROR(VLOOKUP(F461,[1]TreeType!$A:$E,5,0),"")</f>
        <v/>
      </c>
      <c r="F461" s="153" t="str">
        <f>IFERROR(VLOOKUP(D461,[1]TreeType!$A:$B,2,0),"")</f>
        <v/>
      </c>
      <c r="G461" s="72">
        <f>IF(B461&gt;0,IF(סקר!E669=0,1,סקר!E669),0)</f>
        <v>0</v>
      </c>
      <c r="H461" s="72">
        <f>IF(B461&gt;0,IF(סקר!F669 = 0,1,סקר!F669),0)</f>
        <v>0</v>
      </c>
      <c r="I461" s="152">
        <f>סקר!G669</f>
        <v>0</v>
      </c>
      <c r="J461" s="152">
        <f>סקר!H669</f>
        <v>0</v>
      </c>
      <c r="K461" s="152" t="e">
        <f>IF(D461="","",VLOOKUP(D461,[1]TreeType!$A$2:$E$508,3,3))</f>
        <v>#N/A</v>
      </c>
      <c r="L461" s="152">
        <f>IF(D461&gt;0,IF(סקר!M669=0,1,IF(סקר!M669=0,1,סקר!M669)),0)</f>
        <v>0</v>
      </c>
      <c r="M461" s="152">
        <f>סקר!J669</f>
        <v>0</v>
      </c>
      <c r="N461" s="152">
        <f>IF(D461&gt;0,IF(סקר!K669=0,1,IF(סקר!K669=0,1,סקר!K669)),0)</f>
        <v>0</v>
      </c>
      <c r="O461" s="152" t="e">
        <f t="shared" si="11"/>
        <v>#N/A</v>
      </c>
      <c r="P461" s="152">
        <f>IF(B461&gt;0,IF(סקר!O669 &lt;=1,1,סקר!O669),0)</f>
        <v>0</v>
      </c>
      <c r="Q461" s="152">
        <f>סקר!P669</f>
        <v>0</v>
      </c>
      <c r="R461" s="152">
        <f>סקר!R669</f>
        <v>0</v>
      </c>
      <c r="S461" s="152">
        <f>סקר!BC669</f>
        <v>0</v>
      </c>
      <c r="T461" s="156"/>
    </row>
    <row r="462" spans="1:20">
      <c r="A462" s="152" t="str">
        <f>IF(סקר!D670&lt;2,"עץ","פוליגון")</f>
        <v>עץ</v>
      </c>
      <c r="B462" s="152">
        <f>סקר!B670</f>
        <v>0</v>
      </c>
      <c r="C462" s="152">
        <f>IF(סקר!D670&lt;2,1,סקר!D670)</f>
        <v>1</v>
      </c>
      <c r="D462" s="152">
        <f>סקר!C670</f>
        <v>0</v>
      </c>
      <c r="E462" s="152" t="str">
        <f>IFERROR(VLOOKUP(F462,[1]TreeType!$A:$E,5,0),"")</f>
        <v/>
      </c>
      <c r="F462" s="153" t="str">
        <f>IFERROR(VLOOKUP(D462,[1]TreeType!$A:$B,2,0),"")</f>
        <v/>
      </c>
      <c r="G462" s="72">
        <f>IF(B462&gt;0,IF(סקר!E670=0,1,סקר!E670),0)</f>
        <v>0</v>
      </c>
      <c r="H462" s="72">
        <f>IF(B462&gt;0,IF(סקר!F670 = 0,1,סקר!F670),0)</f>
        <v>0</v>
      </c>
      <c r="I462" s="152">
        <f>סקר!G670</f>
        <v>0</v>
      </c>
      <c r="J462" s="152">
        <f>סקר!H670</f>
        <v>0</v>
      </c>
      <c r="K462" s="152" t="e">
        <f>IF(D462="","",VLOOKUP(D462,[1]TreeType!$A$2:$E$508,3,3))</f>
        <v>#N/A</v>
      </c>
      <c r="L462" s="152">
        <f>IF(D462&gt;0,IF(סקר!M670=0,1,IF(סקר!M670=0,1,סקר!M670)),0)</f>
        <v>0</v>
      </c>
      <c r="M462" s="152">
        <f>סקר!J670</f>
        <v>0</v>
      </c>
      <c r="N462" s="152">
        <f>IF(D462&gt;0,IF(סקר!K670=0,1,IF(סקר!K670=0,1,סקר!K670)),0)</f>
        <v>0</v>
      </c>
      <c r="O462" s="152" t="e">
        <f t="shared" si="11"/>
        <v>#N/A</v>
      </c>
      <c r="P462" s="152">
        <f>IF(B462&gt;0,IF(סקר!O670 &lt;=1,1,סקר!O670),0)</f>
        <v>0</v>
      </c>
      <c r="Q462" s="152">
        <f>סקר!P670</f>
        <v>0</v>
      </c>
      <c r="R462" s="152">
        <f>סקר!R670</f>
        <v>0</v>
      </c>
      <c r="S462" s="152">
        <f>סקר!BC670</f>
        <v>0</v>
      </c>
      <c r="T462" s="156"/>
    </row>
    <row r="463" spans="1:20">
      <c r="A463" s="152" t="str">
        <f>IF(סקר!D671&lt;2,"עץ","פוליגון")</f>
        <v>עץ</v>
      </c>
      <c r="B463" s="152">
        <f>סקר!B671</f>
        <v>0</v>
      </c>
      <c r="C463" s="152">
        <f>IF(סקר!D671&lt;2,1,סקר!D671)</f>
        <v>1</v>
      </c>
      <c r="D463" s="152">
        <f>סקר!C671</f>
        <v>0</v>
      </c>
      <c r="E463" s="152" t="str">
        <f>IFERROR(VLOOKUP(F463,[1]TreeType!$A:$E,5,0),"")</f>
        <v/>
      </c>
      <c r="F463" s="153" t="str">
        <f>IFERROR(VLOOKUP(D463,[1]TreeType!$A:$B,2,0),"")</f>
        <v/>
      </c>
      <c r="G463" s="72">
        <f>IF(B463&gt;0,IF(סקר!E671=0,1,סקר!E671),0)</f>
        <v>0</v>
      </c>
      <c r="H463" s="72">
        <f>IF(B463&gt;0,IF(סקר!F671 = 0,1,סקר!F671),0)</f>
        <v>0</v>
      </c>
      <c r="I463" s="152">
        <f>סקר!G671</f>
        <v>0</v>
      </c>
      <c r="J463" s="152">
        <f>סקר!H671</f>
        <v>0</v>
      </c>
      <c r="K463" s="152" t="e">
        <f>IF(D463="","",VLOOKUP(D463,[1]TreeType!$A$2:$E$508,3,3))</f>
        <v>#N/A</v>
      </c>
      <c r="L463" s="152">
        <f>IF(D463&gt;0,IF(סקר!M671=0,1,IF(סקר!M671=0,1,סקר!M671)),0)</f>
        <v>0</v>
      </c>
      <c r="M463" s="152">
        <f>סקר!J671</f>
        <v>0</v>
      </c>
      <c r="N463" s="152">
        <f>IF(D463&gt;0,IF(סקר!K671=0,1,IF(סקר!K671=0,1,סקר!K671)),0)</f>
        <v>0</v>
      </c>
      <c r="O463" s="152" t="e">
        <f t="shared" si="11"/>
        <v>#N/A</v>
      </c>
      <c r="P463" s="152">
        <f>IF(B463&gt;0,IF(סקר!O671 &lt;=1,1,סקר!O671),0)</f>
        <v>0</v>
      </c>
      <c r="Q463" s="152">
        <f>סקר!P671</f>
        <v>0</v>
      </c>
      <c r="R463" s="152">
        <f>סקר!R671</f>
        <v>0</v>
      </c>
      <c r="S463" s="152">
        <f>סקר!BC671</f>
        <v>0</v>
      </c>
      <c r="T463" s="156"/>
    </row>
    <row r="464" spans="1:20">
      <c r="A464" s="152" t="str">
        <f>IF(סקר!D672&lt;2,"עץ","פוליגון")</f>
        <v>עץ</v>
      </c>
      <c r="B464" s="152">
        <f>סקר!B672</f>
        <v>0</v>
      </c>
      <c r="C464" s="152">
        <f>IF(סקר!D672&lt;2,1,סקר!D672)</f>
        <v>1</v>
      </c>
      <c r="D464" s="152">
        <f>סקר!C672</f>
        <v>0</v>
      </c>
      <c r="E464" s="152" t="str">
        <f>IFERROR(VLOOKUP(F464,[1]TreeType!$A:$E,5,0),"")</f>
        <v/>
      </c>
      <c r="F464" s="153" t="str">
        <f>IFERROR(VLOOKUP(D464,[1]TreeType!$A:$B,2,0),"")</f>
        <v/>
      </c>
      <c r="G464" s="72">
        <f>IF(B464&gt;0,IF(סקר!E672=0,1,סקר!E672),0)</f>
        <v>0</v>
      </c>
      <c r="H464" s="72">
        <f>IF(B464&gt;0,IF(סקר!F672 = 0,1,סקר!F672),0)</f>
        <v>0</v>
      </c>
      <c r="I464" s="152">
        <f>סקר!G672</f>
        <v>0</v>
      </c>
      <c r="J464" s="152">
        <f>סקר!H672</f>
        <v>0</v>
      </c>
      <c r="K464" s="152" t="e">
        <f>IF(D464="","",VLOOKUP(D464,[1]TreeType!$A$2:$E$508,3,3))</f>
        <v>#N/A</v>
      </c>
      <c r="L464" s="152">
        <f>IF(D464&gt;0,IF(סקר!M672=0,1,IF(סקר!M672=0,1,סקר!M672)),0)</f>
        <v>0</v>
      </c>
      <c r="M464" s="152">
        <f>סקר!J672</f>
        <v>0</v>
      </c>
      <c r="N464" s="152">
        <f>IF(D464&gt;0,IF(סקר!K672=0,1,IF(סקר!K672=0,1,סקר!K672)),0)</f>
        <v>0</v>
      </c>
      <c r="O464" s="152" t="e">
        <f t="shared" si="11"/>
        <v>#N/A</v>
      </c>
      <c r="P464" s="152">
        <f>IF(B464&gt;0,IF(סקר!O672 &lt;=1,1,סקר!O672),0)</f>
        <v>0</v>
      </c>
      <c r="Q464" s="152">
        <f>סקר!P672</f>
        <v>0</v>
      </c>
      <c r="R464" s="152">
        <f>סקר!R672</f>
        <v>0</v>
      </c>
      <c r="S464" s="152">
        <f>סקר!BC672</f>
        <v>0</v>
      </c>
      <c r="T464" s="156"/>
    </row>
    <row r="465" spans="1:20">
      <c r="A465" s="152" t="str">
        <f>IF(סקר!D673&lt;2,"עץ","פוליגון")</f>
        <v>עץ</v>
      </c>
      <c r="B465" s="152">
        <f>סקר!B673</f>
        <v>0</v>
      </c>
      <c r="C465" s="152">
        <f>IF(סקר!D673&lt;2,1,סקר!D673)</f>
        <v>1</v>
      </c>
      <c r="D465" s="152">
        <f>סקר!C673</f>
        <v>0</v>
      </c>
      <c r="E465" s="152" t="str">
        <f>IFERROR(VLOOKUP(F465,[1]TreeType!$A:$E,5,0),"")</f>
        <v/>
      </c>
      <c r="F465" s="153" t="str">
        <f>IFERROR(VLOOKUP(D465,[1]TreeType!$A:$B,2,0),"")</f>
        <v/>
      </c>
      <c r="G465" s="72">
        <f>IF(B465&gt;0,IF(סקר!E673=0,1,סקר!E673),0)</f>
        <v>0</v>
      </c>
      <c r="H465" s="72">
        <f>IF(B465&gt;0,IF(סקר!F673 = 0,1,סקר!F673),0)</f>
        <v>0</v>
      </c>
      <c r="I465" s="152">
        <f>סקר!G673</f>
        <v>0</v>
      </c>
      <c r="J465" s="152">
        <f>סקר!H673</f>
        <v>0</v>
      </c>
      <c r="K465" s="152" t="e">
        <f>IF(D465="","",VLOOKUP(D465,[1]TreeType!$A$2:$E$508,3,3))</f>
        <v>#N/A</v>
      </c>
      <c r="L465" s="152">
        <f>IF(D465&gt;0,IF(סקר!M673=0,1,IF(סקר!M673=0,1,סקר!M673)),0)</f>
        <v>0</v>
      </c>
      <c r="M465" s="152">
        <f>סקר!J673</f>
        <v>0</v>
      </c>
      <c r="N465" s="152">
        <f>IF(D465&gt;0,IF(סקר!K673=0,1,IF(סקר!K673=0,1,סקר!K673)),0)</f>
        <v>0</v>
      </c>
      <c r="O465" s="152" t="e">
        <f t="shared" si="11"/>
        <v>#N/A</v>
      </c>
      <c r="P465" s="152">
        <f>IF(B465&gt;0,IF(סקר!O673 &lt;=1,1,סקר!O673),0)</f>
        <v>0</v>
      </c>
      <c r="Q465" s="152">
        <f>סקר!P673</f>
        <v>0</v>
      </c>
      <c r="R465" s="152">
        <f>סקר!R673</f>
        <v>0</v>
      </c>
      <c r="S465" s="152">
        <f>סקר!BC673</f>
        <v>0</v>
      </c>
      <c r="T465" s="156"/>
    </row>
    <row r="466" spans="1:20">
      <c r="A466" s="152" t="str">
        <f>IF(סקר!D674&lt;2,"עץ","פוליגון")</f>
        <v>עץ</v>
      </c>
      <c r="B466" s="152">
        <f>סקר!B674</f>
        <v>0</v>
      </c>
      <c r="C466" s="152">
        <f>IF(סקר!D674&lt;2,1,סקר!D674)</f>
        <v>1</v>
      </c>
      <c r="D466" s="152">
        <f>סקר!C674</f>
        <v>0</v>
      </c>
      <c r="E466" s="152" t="str">
        <f>IFERROR(VLOOKUP(F466,[1]TreeType!$A:$E,5,0),"")</f>
        <v/>
      </c>
      <c r="F466" s="153" t="str">
        <f>IFERROR(VLOOKUP(D466,[1]TreeType!$A:$B,2,0),"")</f>
        <v/>
      </c>
      <c r="G466" s="72">
        <f>IF(B466&gt;0,IF(סקר!E674=0,1,סקר!E674),0)</f>
        <v>0</v>
      </c>
      <c r="H466" s="72">
        <f>IF(B466&gt;0,IF(סקר!F674 = 0,1,סקר!F674),0)</f>
        <v>0</v>
      </c>
      <c r="I466" s="152">
        <f>סקר!G674</f>
        <v>0</v>
      </c>
      <c r="J466" s="152">
        <f>סקר!H674</f>
        <v>0</v>
      </c>
      <c r="K466" s="152" t="e">
        <f>IF(D466="","",VLOOKUP(D466,[1]TreeType!$A$2:$E$508,3,3))</f>
        <v>#N/A</v>
      </c>
      <c r="L466" s="152">
        <f>IF(D466&gt;0,IF(סקר!M674=0,1,IF(סקר!M674=0,1,סקר!M674)),0)</f>
        <v>0</v>
      </c>
      <c r="M466" s="152">
        <f>סקר!J674</f>
        <v>0</v>
      </c>
      <c r="N466" s="152">
        <f>IF(D466&gt;0,IF(סקר!K674=0,1,IF(סקר!K674=0,1,סקר!K674)),0)</f>
        <v>0</v>
      </c>
      <c r="O466" s="152" t="e">
        <f t="shared" si="11"/>
        <v>#N/A</v>
      </c>
      <c r="P466" s="152">
        <f>IF(B466&gt;0,IF(סקר!O674 &lt;=1,1,סקר!O674),0)</f>
        <v>0</v>
      </c>
      <c r="Q466" s="152">
        <f>סקר!P674</f>
        <v>0</v>
      </c>
      <c r="R466" s="152">
        <f>סקר!R674</f>
        <v>0</v>
      </c>
      <c r="S466" s="152">
        <f>סקר!BC674</f>
        <v>0</v>
      </c>
      <c r="T466" s="156"/>
    </row>
    <row r="467" spans="1:20">
      <c r="A467" s="152" t="str">
        <f>IF(סקר!D675&lt;2,"עץ","פוליגון")</f>
        <v>עץ</v>
      </c>
      <c r="B467" s="152">
        <f>סקר!B675</f>
        <v>0</v>
      </c>
      <c r="C467" s="152">
        <f>IF(סקר!D675&lt;2,1,סקר!D675)</f>
        <v>1</v>
      </c>
      <c r="D467" s="152">
        <f>סקר!C675</f>
        <v>0</v>
      </c>
      <c r="E467" s="152" t="str">
        <f>IFERROR(VLOOKUP(F467,[1]TreeType!$A:$E,5,0),"")</f>
        <v/>
      </c>
      <c r="F467" s="153" t="str">
        <f>IFERROR(VLOOKUP(D467,[1]TreeType!$A:$B,2,0),"")</f>
        <v/>
      </c>
      <c r="G467" s="72">
        <f>IF(B467&gt;0,IF(סקר!E675=0,1,סקר!E675),0)</f>
        <v>0</v>
      </c>
      <c r="H467" s="72">
        <f>IF(B467&gt;0,IF(סקר!F675 = 0,1,סקר!F675),0)</f>
        <v>0</v>
      </c>
      <c r="I467" s="152">
        <f>סקר!G675</f>
        <v>0</v>
      </c>
      <c r="J467" s="152">
        <f>סקר!H675</f>
        <v>0</v>
      </c>
      <c r="K467" s="152" t="e">
        <f>IF(D467="","",VLOOKUP(D467,[1]TreeType!$A$2:$E$508,3,3))</f>
        <v>#N/A</v>
      </c>
      <c r="L467" s="152">
        <f>IF(D467&gt;0,IF(סקר!M675=0,1,IF(סקר!M675=0,1,סקר!M675)),0)</f>
        <v>0</v>
      </c>
      <c r="M467" s="152">
        <f>סקר!J675</f>
        <v>0</v>
      </c>
      <c r="N467" s="152">
        <f>IF(D467&gt;0,IF(סקר!K675=0,1,IF(סקר!K675=0,1,סקר!K675)),0)</f>
        <v>0</v>
      </c>
      <c r="O467" s="152" t="e">
        <f t="shared" si="11"/>
        <v>#N/A</v>
      </c>
      <c r="P467" s="152">
        <f>IF(B467&gt;0,IF(סקר!O675 &lt;=1,1,סקר!O675),0)</f>
        <v>0</v>
      </c>
      <c r="Q467" s="152">
        <f>סקר!P675</f>
        <v>0</v>
      </c>
      <c r="R467" s="152">
        <f>סקר!R675</f>
        <v>0</v>
      </c>
      <c r="S467" s="152">
        <f>סקר!BC675</f>
        <v>0</v>
      </c>
      <c r="T467" s="156"/>
    </row>
    <row r="468" spans="1:20">
      <c r="A468" s="152" t="str">
        <f>IF(סקר!D676&lt;2,"עץ","פוליגון")</f>
        <v>עץ</v>
      </c>
      <c r="B468" s="152">
        <f>סקר!B676</f>
        <v>0</v>
      </c>
      <c r="C468" s="152">
        <f>IF(סקר!D676&lt;2,1,סקר!D676)</f>
        <v>1</v>
      </c>
      <c r="D468" s="152">
        <f>סקר!C676</f>
        <v>0</v>
      </c>
      <c r="E468" s="152" t="str">
        <f>IFERROR(VLOOKUP(F468,[1]TreeType!$A:$E,5,0),"")</f>
        <v/>
      </c>
      <c r="F468" s="153" t="str">
        <f>IFERROR(VLOOKUP(D468,[1]TreeType!$A:$B,2,0),"")</f>
        <v/>
      </c>
      <c r="G468" s="72">
        <f>IF(B468&gt;0,IF(סקר!E676=0,1,סקר!E676),0)</f>
        <v>0</v>
      </c>
      <c r="H468" s="72">
        <f>IF(B468&gt;0,IF(סקר!F676 = 0,1,סקר!F676),0)</f>
        <v>0</v>
      </c>
      <c r="I468" s="152">
        <f>סקר!G676</f>
        <v>0</v>
      </c>
      <c r="J468" s="152">
        <f>סקר!H676</f>
        <v>0</v>
      </c>
      <c r="K468" s="152" t="e">
        <f>IF(D468="","",VLOOKUP(D468,[1]TreeType!$A$2:$E$508,3,3))</f>
        <v>#N/A</v>
      </c>
      <c r="L468" s="152">
        <f>IF(D468&gt;0,IF(סקר!M676=0,1,IF(סקר!M676=0,1,סקר!M676)),0)</f>
        <v>0</v>
      </c>
      <c r="M468" s="152">
        <f>סקר!J676</f>
        <v>0</v>
      </c>
      <c r="N468" s="152">
        <f>IF(D468&gt;0,IF(סקר!K676=0,1,IF(סקר!K676=0,1,סקר!K676)),0)</f>
        <v>0</v>
      </c>
      <c r="O468" s="152" t="e">
        <f t="shared" si="11"/>
        <v>#N/A</v>
      </c>
      <c r="P468" s="152">
        <f>IF(B468&gt;0,IF(סקר!O676 &lt;=1,1,סקר!O676),0)</f>
        <v>0</v>
      </c>
      <c r="Q468" s="152">
        <f>סקר!P676</f>
        <v>0</v>
      </c>
      <c r="R468" s="152">
        <f>סקר!R676</f>
        <v>0</v>
      </c>
      <c r="S468" s="152">
        <f>סקר!BC676</f>
        <v>0</v>
      </c>
      <c r="T468" s="156"/>
    </row>
    <row r="469" spans="1:20">
      <c r="A469" s="152" t="str">
        <f>IF(סקר!D677&lt;2,"עץ","פוליגון")</f>
        <v>עץ</v>
      </c>
      <c r="B469" s="152">
        <f>סקר!B677</f>
        <v>0</v>
      </c>
      <c r="C469" s="152">
        <f>IF(סקר!D677&lt;2,1,סקר!D677)</f>
        <v>1</v>
      </c>
      <c r="D469" s="152">
        <f>סקר!C677</f>
        <v>0</v>
      </c>
      <c r="E469" s="152" t="str">
        <f>IFERROR(VLOOKUP(F469,[1]TreeType!$A:$E,5,0),"")</f>
        <v/>
      </c>
      <c r="F469" s="153" t="str">
        <f>IFERROR(VLOOKUP(D469,[1]TreeType!$A:$B,2,0),"")</f>
        <v/>
      </c>
      <c r="G469" s="72">
        <f>IF(B469&gt;0,IF(סקר!E677=0,1,סקר!E677),0)</f>
        <v>0</v>
      </c>
      <c r="H469" s="72">
        <f>IF(B469&gt;0,IF(סקר!F677 = 0,1,סקר!F677),0)</f>
        <v>0</v>
      </c>
      <c r="I469" s="152">
        <f>סקר!G677</f>
        <v>0</v>
      </c>
      <c r="J469" s="152">
        <f>סקר!H677</f>
        <v>0</v>
      </c>
      <c r="K469" s="152" t="e">
        <f>IF(D469="","",VLOOKUP(D469,[1]TreeType!$A$2:$E$508,3,3))</f>
        <v>#N/A</v>
      </c>
      <c r="L469" s="152">
        <f>IF(D469&gt;0,IF(סקר!M677=0,1,IF(סקר!M677=0,1,סקר!M677)),0)</f>
        <v>0</v>
      </c>
      <c r="M469" s="152">
        <f>סקר!J677</f>
        <v>0</v>
      </c>
      <c r="N469" s="152">
        <f>IF(D469&gt;0,IF(סקר!K677=0,1,IF(סקר!K677=0,1,סקר!K677)),0)</f>
        <v>0</v>
      </c>
      <c r="O469" s="152" t="e">
        <f t="shared" si="11"/>
        <v>#N/A</v>
      </c>
      <c r="P469" s="152">
        <f>IF(B469&gt;0,IF(סקר!O677 &lt;=1,1,סקר!O677),0)</f>
        <v>0</v>
      </c>
      <c r="Q469" s="152">
        <f>סקר!P677</f>
        <v>0</v>
      </c>
      <c r="R469" s="152">
        <f>סקר!R677</f>
        <v>0</v>
      </c>
      <c r="S469" s="152">
        <f>סקר!BC677</f>
        <v>0</v>
      </c>
      <c r="T469" s="156"/>
    </row>
    <row r="470" spans="1:20">
      <c r="A470" s="152" t="str">
        <f>IF(סקר!D678&lt;2,"עץ","פוליגון")</f>
        <v>עץ</v>
      </c>
      <c r="B470" s="152">
        <f>סקר!B678</f>
        <v>0</v>
      </c>
      <c r="C470" s="152">
        <f>IF(סקר!D678&lt;2,1,סקר!D678)</f>
        <v>1</v>
      </c>
      <c r="D470" s="152">
        <f>סקר!C678</f>
        <v>0</v>
      </c>
      <c r="E470" s="152" t="str">
        <f>IFERROR(VLOOKUP(F470,[1]TreeType!$A:$E,5,0),"")</f>
        <v/>
      </c>
      <c r="F470" s="153" t="str">
        <f>IFERROR(VLOOKUP(D470,[1]TreeType!$A:$B,2,0),"")</f>
        <v/>
      </c>
      <c r="G470" s="72">
        <f>IF(B470&gt;0,IF(סקר!E678=0,1,סקר!E678),0)</f>
        <v>0</v>
      </c>
      <c r="H470" s="72">
        <f>IF(B470&gt;0,IF(סקר!F678 = 0,1,סקר!F678),0)</f>
        <v>0</v>
      </c>
      <c r="I470" s="152">
        <f>סקר!G678</f>
        <v>0</v>
      </c>
      <c r="J470" s="152">
        <f>סקר!H678</f>
        <v>0</v>
      </c>
      <c r="K470" s="152" t="e">
        <f>IF(D470="","",VLOOKUP(D470,[1]TreeType!$A$2:$E$508,3,3))</f>
        <v>#N/A</v>
      </c>
      <c r="L470" s="152">
        <f>IF(D470&gt;0,IF(סקר!M678=0,1,IF(סקר!M678=0,1,סקר!M678)),0)</f>
        <v>0</v>
      </c>
      <c r="M470" s="152">
        <f>סקר!J678</f>
        <v>0</v>
      </c>
      <c r="N470" s="152">
        <f>IF(D470&gt;0,IF(סקר!K678=0,1,IF(סקר!K678=0,1,סקר!K678)),0)</f>
        <v>0</v>
      </c>
      <c r="O470" s="152" t="e">
        <f t="shared" si="11"/>
        <v>#N/A</v>
      </c>
      <c r="P470" s="152">
        <f>IF(B470&gt;0,IF(סקר!O678 &lt;=1,1,סקר!O678),0)</f>
        <v>0</v>
      </c>
      <c r="Q470" s="152">
        <f>סקר!P678</f>
        <v>0</v>
      </c>
      <c r="R470" s="152">
        <f>סקר!R678</f>
        <v>0</v>
      </c>
      <c r="S470" s="152">
        <f>סקר!BC678</f>
        <v>0</v>
      </c>
      <c r="T470" s="156"/>
    </row>
    <row r="471" spans="1:20">
      <c r="A471" s="152" t="str">
        <f>IF(סקר!D679&lt;2,"עץ","פוליגון")</f>
        <v>עץ</v>
      </c>
      <c r="B471" s="152">
        <f>סקר!B679</f>
        <v>0</v>
      </c>
      <c r="C471" s="152">
        <f>IF(סקר!D679&lt;2,1,סקר!D679)</f>
        <v>1</v>
      </c>
      <c r="D471" s="152">
        <f>סקר!C679</f>
        <v>0</v>
      </c>
      <c r="E471" s="152" t="str">
        <f>IFERROR(VLOOKUP(F471,[1]TreeType!$A:$E,5,0),"")</f>
        <v/>
      </c>
      <c r="F471" s="153" t="str">
        <f>IFERROR(VLOOKUP(D471,[1]TreeType!$A:$B,2,0),"")</f>
        <v/>
      </c>
      <c r="G471" s="72">
        <f>IF(B471&gt;0,IF(סקר!E679=0,1,סקר!E679),0)</f>
        <v>0</v>
      </c>
      <c r="H471" s="72">
        <f>IF(B471&gt;0,IF(סקר!F679 = 0,1,סקר!F679),0)</f>
        <v>0</v>
      </c>
      <c r="I471" s="152">
        <f>סקר!G679</f>
        <v>0</v>
      </c>
      <c r="J471" s="152">
        <f>סקר!H679</f>
        <v>0</v>
      </c>
      <c r="K471" s="152" t="e">
        <f>IF(D471="","",VLOOKUP(D471,[1]TreeType!$A$2:$E$508,3,3))</f>
        <v>#N/A</v>
      </c>
      <c r="L471" s="152">
        <f>IF(D471&gt;0,IF(סקר!M679=0,1,IF(סקר!M679=0,1,סקר!M679)),0)</f>
        <v>0</v>
      </c>
      <c r="M471" s="152">
        <f>סקר!J679</f>
        <v>0</v>
      </c>
      <c r="N471" s="152">
        <f>IF(D471&gt;0,IF(סקר!K679=0,1,IF(סקר!K679=0,1,סקר!K679)),0)</f>
        <v>0</v>
      </c>
      <c r="O471" s="152" t="e">
        <f t="shared" si="11"/>
        <v>#N/A</v>
      </c>
      <c r="P471" s="152">
        <f>IF(B471&gt;0,IF(סקר!O679 &lt;=1,1,סקר!O679),0)</f>
        <v>0</v>
      </c>
      <c r="Q471" s="152">
        <f>סקר!P679</f>
        <v>0</v>
      </c>
      <c r="R471" s="152">
        <f>סקר!R679</f>
        <v>0</v>
      </c>
      <c r="S471" s="152">
        <f>סקר!BC679</f>
        <v>0</v>
      </c>
      <c r="T471" s="156"/>
    </row>
    <row r="472" spans="1:20">
      <c r="A472" s="152" t="str">
        <f>IF(סקר!D680&lt;2,"עץ","פוליגון")</f>
        <v>עץ</v>
      </c>
      <c r="B472" s="152">
        <f>סקר!B680</f>
        <v>0</v>
      </c>
      <c r="C472" s="152">
        <f>IF(סקר!D680&lt;2,1,סקר!D680)</f>
        <v>1</v>
      </c>
      <c r="D472" s="152">
        <f>סקר!C680</f>
        <v>0</v>
      </c>
      <c r="E472" s="152" t="str">
        <f>IFERROR(VLOOKUP(F472,[1]TreeType!$A:$E,5,0),"")</f>
        <v/>
      </c>
      <c r="F472" s="153" t="str">
        <f>IFERROR(VLOOKUP(D472,[1]TreeType!$A:$B,2,0),"")</f>
        <v/>
      </c>
      <c r="G472" s="72">
        <f>IF(B472&gt;0,IF(סקר!E680=0,1,סקר!E680),0)</f>
        <v>0</v>
      </c>
      <c r="H472" s="72">
        <f>IF(B472&gt;0,IF(סקר!F680 = 0,1,סקר!F680),0)</f>
        <v>0</v>
      </c>
      <c r="I472" s="152">
        <f>סקר!G680</f>
        <v>0</v>
      </c>
      <c r="J472" s="152">
        <f>סקר!H680</f>
        <v>0</v>
      </c>
      <c r="K472" s="152" t="e">
        <f>IF(D472="","",VLOOKUP(D472,[1]TreeType!$A$2:$E$508,3,3))</f>
        <v>#N/A</v>
      </c>
      <c r="L472" s="152">
        <f>IF(D472&gt;0,IF(סקר!M680=0,1,IF(סקר!M680=0,1,סקר!M680)),0)</f>
        <v>0</v>
      </c>
      <c r="M472" s="152">
        <f>סקר!J680</f>
        <v>0</v>
      </c>
      <c r="N472" s="152">
        <f>IF(D472&gt;0,IF(סקר!K680=0,1,IF(סקר!K680=0,1,סקר!K680)),0)</f>
        <v>0</v>
      </c>
      <c r="O472" s="152" t="e">
        <f t="shared" si="11"/>
        <v>#N/A</v>
      </c>
      <c r="P472" s="152">
        <f>IF(B472&gt;0,IF(סקר!O680 &lt;=1,1,סקר!O680),0)</f>
        <v>0</v>
      </c>
      <c r="Q472" s="152">
        <f>סקר!P680</f>
        <v>0</v>
      </c>
      <c r="R472" s="152">
        <f>סקר!R680</f>
        <v>0</v>
      </c>
      <c r="S472" s="152">
        <f>סקר!BC680</f>
        <v>0</v>
      </c>
      <c r="T472" s="156"/>
    </row>
    <row r="473" spans="1:20">
      <c r="A473" s="152" t="str">
        <f>IF(סקר!D681&lt;2,"עץ","פוליגון")</f>
        <v>עץ</v>
      </c>
      <c r="B473" s="152">
        <f>סקר!B681</f>
        <v>0</v>
      </c>
      <c r="C473" s="152">
        <f>IF(סקר!D681&lt;2,1,סקר!D681)</f>
        <v>1</v>
      </c>
      <c r="D473" s="152">
        <f>סקר!C681</f>
        <v>0</v>
      </c>
      <c r="E473" s="152" t="str">
        <f>IFERROR(VLOOKUP(F473,[1]TreeType!$A:$E,5,0),"")</f>
        <v/>
      </c>
      <c r="F473" s="153" t="str">
        <f>IFERROR(VLOOKUP(D473,[1]TreeType!$A:$B,2,0),"")</f>
        <v/>
      </c>
      <c r="G473" s="72">
        <f>IF(B473&gt;0,IF(סקר!E681=0,1,סקר!E681),0)</f>
        <v>0</v>
      </c>
      <c r="H473" s="72">
        <f>IF(B473&gt;0,IF(סקר!F681 = 0,1,סקר!F681),0)</f>
        <v>0</v>
      </c>
      <c r="I473" s="152">
        <f>סקר!G681</f>
        <v>0</v>
      </c>
      <c r="J473" s="152">
        <f>סקר!H681</f>
        <v>0</v>
      </c>
      <c r="K473" s="152" t="e">
        <f>IF(D473="","",VLOOKUP(D473,[1]TreeType!$A$2:$E$508,3,3))</f>
        <v>#N/A</v>
      </c>
      <c r="L473" s="152">
        <f>IF(D473&gt;0,IF(סקר!M681=0,1,IF(סקר!M681=0,1,סקר!M681)),0)</f>
        <v>0</v>
      </c>
      <c r="M473" s="152">
        <f>סקר!J681</f>
        <v>0</v>
      </c>
      <c r="N473" s="152">
        <f>IF(D473&gt;0,IF(סקר!K681=0,1,IF(סקר!K681=0,1,סקר!K681)),0)</f>
        <v>0</v>
      </c>
      <c r="O473" s="152" t="e">
        <f t="shared" si="11"/>
        <v>#N/A</v>
      </c>
      <c r="P473" s="152">
        <f>IF(B473&gt;0,IF(סקר!O681 &lt;=1,1,סקר!O681),0)</f>
        <v>0</v>
      </c>
      <c r="Q473" s="152">
        <f>סקר!P681</f>
        <v>0</v>
      </c>
      <c r="R473" s="152">
        <f>סקר!R681</f>
        <v>0</v>
      </c>
      <c r="S473" s="152">
        <f>סקר!BC681</f>
        <v>0</v>
      </c>
      <c r="T473" s="156"/>
    </row>
    <row r="474" spans="1:20">
      <c r="A474" s="152" t="str">
        <f>IF(סקר!D682&lt;2,"עץ","פוליגון")</f>
        <v>עץ</v>
      </c>
      <c r="B474" s="152">
        <f>סקר!B682</f>
        <v>0</v>
      </c>
      <c r="C474" s="152">
        <f>IF(סקר!D682&lt;2,1,סקר!D682)</f>
        <v>1</v>
      </c>
      <c r="D474" s="152">
        <f>סקר!C682</f>
        <v>0</v>
      </c>
      <c r="E474" s="152" t="str">
        <f>IFERROR(VLOOKUP(F474,[1]TreeType!$A:$E,5,0),"")</f>
        <v/>
      </c>
      <c r="F474" s="153" t="str">
        <f>IFERROR(VLOOKUP(D474,[1]TreeType!$A:$B,2,0),"")</f>
        <v/>
      </c>
      <c r="G474" s="72">
        <f>IF(B474&gt;0,IF(סקר!E682=0,1,סקר!E682),0)</f>
        <v>0</v>
      </c>
      <c r="H474" s="72">
        <f>IF(B474&gt;0,IF(סקר!F682 = 0,1,סקר!F682),0)</f>
        <v>0</v>
      </c>
      <c r="I474" s="152">
        <f>סקר!G682</f>
        <v>0</v>
      </c>
      <c r="J474" s="152">
        <f>סקר!H682</f>
        <v>0</v>
      </c>
      <c r="K474" s="152" t="e">
        <f>IF(D474="","",VLOOKUP(D474,[1]TreeType!$A$2:$E$508,3,3))</f>
        <v>#N/A</v>
      </c>
      <c r="L474" s="152">
        <f>IF(D474&gt;0,IF(סקר!M682=0,1,IF(סקר!M682=0,1,סקר!M682)),0)</f>
        <v>0</v>
      </c>
      <c r="M474" s="152">
        <f>סקר!J682</f>
        <v>0</v>
      </c>
      <c r="N474" s="152">
        <f>IF(D474&gt;0,IF(סקר!K682=0,1,IF(סקר!K682=0,1,סקר!K682)),0)</f>
        <v>0</v>
      </c>
      <c r="O474" s="152" t="e">
        <f t="shared" si="11"/>
        <v>#N/A</v>
      </c>
      <c r="P474" s="152">
        <f>IF(B474&gt;0,IF(סקר!O682 &lt;=1,1,סקר!O682),0)</f>
        <v>0</v>
      </c>
      <c r="Q474" s="152">
        <f>סקר!P682</f>
        <v>0</v>
      </c>
      <c r="R474" s="152">
        <f>סקר!R682</f>
        <v>0</v>
      </c>
      <c r="S474" s="152">
        <f>סקר!BC682</f>
        <v>0</v>
      </c>
      <c r="T474" s="156"/>
    </row>
    <row r="475" spans="1:20">
      <c r="A475" s="152" t="str">
        <f>IF(סקר!D697&lt;2,"עץ","פוליגון")</f>
        <v>עץ</v>
      </c>
      <c r="B475" s="152">
        <f>סקר!B697</f>
        <v>0</v>
      </c>
      <c r="C475" s="152">
        <f>IF(סקר!D697&lt;2,1,סקר!D697)</f>
        <v>1</v>
      </c>
      <c r="D475" s="152">
        <f>סקר!C697</f>
        <v>0</v>
      </c>
      <c r="E475" s="152" t="str">
        <f>IFERROR(VLOOKUP(F475,[1]TreeType!$A:$E,5,0),"")</f>
        <v/>
      </c>
      <c r="F475" s="153" t="str">
        <f>IFERROR(VLOOKUP(D475,[1]TreeType!$A:$B,2,0),"")</f>
        <v/>
      </c>
      <c r="G475" s="72">
        <f>IF(B475&gt;0,IF(סקר!E697=0,1,סקר!E697),0)</f>
        <v>0</v>
      </c>
      <c r="H475" s="72">
        <f>IF(B475&gt;0,IF(סקר!F697 = 0,1,סקר!F697),0)</f>
        <v>0</v>
      </c>
      <c r="I475" s="152">
        <f>סקר!G697</f>
        <v>0</v>
      </c>
      <c r="J475" s="152">
        <f>סקר!H697</f>
        <v>0</v>
      </c>
      <c r="K475" s="152" t="e">
        <f>IF(D475="","",VLOOKUP(D475,[1]TreeType!$A$2:$E$508,3,3))</f>
        <v>#N/A</v>
      </c>
      <c r="L475" s="152">
        <f>IF(D475&gt;0,IF(סקר!M697=0,1,IF(סקר!M697=0,1,סקר!M697)),0)</f>
        <v>0</v>
      </c>
      <c r="M475" s="152">
        <f>סקר!J697</f>
        <v>0</v>
      </c>
      <c r="N475" s="152">
        <f>IF(D475&gt;0,IF(סקר!K697=0,1,IF(סקר!K697=0,1,סקר!K697)),0)</f>
        <v>0</v>
      </c>
      <c r="O475" s="152" t="e">
        <f t="shared" si="11"/>
        <v>#N/A</v>
      </c>
      <c r="P475" s="152">
        <f>IF(B475&gt;0,IF(סקר!O697 &lt;=1,1,סקר!O697),0)</f>
        <v>0</v>
      </c>
      <c r="Q475" s="152">
        <f>סקר!P697</f>
        <v>0</v>
      </c>
      <c r="R475" s="152">
        <f>סקר!R697</f>
        <v>0</v>
      </c>
      <c r="S475" s="152">
        <f>סקר!BC697</f>
        <v>0</v>
      </c>
      <c r="T475" s="156"/>
    </row>
    <row r="476" spans="1:20">
      <c r="A476" s="152" t="str">
        <f>IF(סקר!D698&lt;2,"עץ","פוליגון")</f>
        <v>עץ</v>
      </c>
      <c r="B476" s="152">
        <f>סקר!B698</f>
        <v>0</v>
      </c>
      <c r="C476" s="152">
        <f>IF(סקר!D698&lt;2,1,סקר!D698)</f>
        <v>1</v>
      </c>
      <c r="D476" s="152">
        <f>סקר!C698</f>
        <v>0</v>
      </c>
      <c r="E476" s="152" t="str">
        <f>IFERROR(VLOOKUP(F476,[1]TreeType!$A:$E,5,0),"")</f>
        <v/>
      </c>
      <c r="F476" s="153" t="str">
        <f>IFERROR(VLOOKUP(D476,[1]TreeType!$A:$B,2,0),"")</f>
        <v/>
      </c>
      <c r="G476" s="72">
        <f>IF(B476&gt;0,IF(סקר!E698=0,1,סקר!E698),0)</f>
        <v>0</v>
      </c>
      <c r="H476" s="72">
        <f>IF(B476&gt;0,IF(סקר!F698 = 0,1,סקר!F698),0)</f>
        <v>0</v>
      </c>
      <c r="I476" s="152">
        <f>סקר!G698</f>
        <v>0</v>
      </c>
      <c r="J476" s="152">
        <f>סקר!H698</f>
        <v>0</v>
      </c>
      <c r="K476" s="152" t="e">
        <f>IF(D476="","",VLOOKUP(D476,[1]TreeType!$A$2:$E$508,3,3))</f>
        <v>#N/A</v>
      </c>
      <c r="L476" s="152">
        <f>IF(D476&gt;0,IF(סקר!M698=0,1,IF(סקר!M698=0,1,סקר!M698)),0)</f>
        <v>0</v>
      </c>
      <c r="M476" s="152">
        <f>סקר!J698</f>
        <v>0</v>
      </c>
      <c r="N476" s="152">
        <f>IF(D476&gt;0,IF(סקר!K698=0,1,IF(סקר!K698=0,1,סקר!K698)),0)</f>
        <v>0</v>
      </c>
      <c r="O476" s="152" t="e">
        <f t="shared" si="11"/>
        <v>#N/A</v>
      </c>
      <c r="P476" s="152">
        <f>IF(B476&gt;0,IF(סקר!O698 &lt;=1,1,סקר!O698),0)</f>
        <v>0</v>
      </c>
      <c r="Q476" s="152">
        <f>סקר!P698</f>
        <v>0</v>
      </c>
      <c r="R476" s="152">
        <f>סקר!R698</f>
        <v>0</v>
      </c>
      <c r="S476" s="152">
        <f>סקר!BC698</f>
        <v>0</v>
      </c>
      <c r="T476" s="156"/>
    </row>
    <row r="477" spans="1:20">
      <c r="A477" s="152" t="str">
        <f>IF(סקר!D699&lt;2,"עץ","פוליגון")</f>
        <v>עץ</v>
      </c>
      <c r="B477" s="152">
        <f>סקר!B699</f>
        <v>0</v>
      </c>
      <c r="C477" s="152">
        <f>IF(סקר!D699&lt;2,1,סקר!D699)</f>
        <v>1</v>
      </c>
      <c r="D477" s="152">
        <f>סקר!C699</f>
        <v>0</v>
      </c>
      <c r="E477" s="152" t="str">
        <f>IFERROR(VLOOKUP(F477,[1]TreeType!$A:$E,5,0),"")</f>
        <v/>
      </c>
      <c r="F477" s="153" t="str">
        <f>IFERROR(VLOOKUP(D477,[1]TreeType!$A:$B,2,0),"")</f>
        <v/>
      </c>
      <c r="G477" s="72">
        <f>IF(B477&gt;0,IF(סקר!E699=0,1,סקר!E699),0)</f>
        <v>0</v>
      </c>
      <c r="H477" s="72">
        <f>IF(B477&gt;0,IF(סקר!F699 = 0,1,סקר!F699),0)</f>
        <v>0</v>
      </c>
      <c r="I477" s="152">
        <f>סקר!G699</f>
        <v>0</v>
      </c>
      <c r="J477" s="152">
        <f>סקר!H699</f>
        <v>0</v>
      </c>
      <c r="K477" s="152" t="e">
        <f>IF(D477="","",VLOOKUP(D477,[1]TreeType!$A$2:$E$508,3,3))</f>
        <v>#N/A</v>
      </c>
      <c r="L477" s="152">
        <f>IF(D477&gt;0,IF(סקר!M699=0,1,IF(סקר!M699=0,1,סקר!M699)),0)</f>
        <v>0</v>
      </c>
      <c r="M477" s="152">
        <f>סקר!J699</f>
        <v>0</v>
      </c>
      <c r="N477" s="152">
        <f>IF(D477&gt;0,IF(סקר!K699=0,1,IF(סקר!K699=0,1,סקר!K699)),0)</f>
        <v>0</v>
      </c>
      <c r="O477" s="152" t="e">
        <f t="shared" si="11"/>
        <v>#N/A</v>
      </c>
      <c r="P477" s="152">
        <f>IF(B477&gt;0,IF(סקר!O699 &lt;=1,1,סקר!O699),0)</f>
        <v>0</v>
      </c>
      <c r="Q477" s="152">
        <f>סקר!P699</f>
        <v>0</v>
      </c>
      <c r="R477" s="152">
        <f>סקר!R699</f>
        <v>0</v>
      </c>
      <c r="S477" s="152">
        <f>סקר!BC699</f>
        <v>0</v>
      </c>
      <c r="T477" s="156"/>
    </row>
    <row r="478" spans="1:20">
      <c r="A478" s="152" t="str">
        <f>IF(סקר!D700&lt;2,"עץ","פוליגון")</f>
        <v>עץ</v>
      </c>
      <c r="B478" s="152">
        <f>סקר!B700</f>
        <v>0</v>
      </c>
      <c r="C478" s="152">
        <f>IF(סקר!D700&lt;2,1,סקר!D700)</f>
        <v>1</v>
      </c>
      <c r="D478" s="152">
        <f>סקר!C700</f>
        <v>0</v>
      </c>
      <c r="E478" s="152" t="str">
        <f>IFERROR(VLOOKUP(F478,[1]TreeType!$A:$E,5,0),"")</f>
        <v/>
      </c>
      <c r="F478" s="153" t="str">
        <f>IFERROR(VLOOKUP(D478,[1]TreeType!$A:$B,2,0),"")</f>
        <v/>
      </c>
      <c r="G478" s="72">
        <f>IF(B478&gt;0,IF(סקר!E700=0,1,סקר!E700),0)</f>
        <v>0</v>
      </c>
      <c r="H478" s="72">
        <f>IF(B478&gt;0,IF(סקר!F700 = 0,1,סקר!F700),0)</f>
        <v>0</v>
      </c>
      <c r="I478" s="152">
        <f>סקר!G700</f>
        <v>0</v>
      </c>
      <c r="J478" s="152">
        <f>סקר!H700</f>
        <v>0</v>
      </c>
      <c r="K478" s="152" t="e">
        <f>IF(D478="","",VLOOKUP(D478,[1]TreeType!$A$2:$E$508,3,3))</f>
        <v>#N/A</v>
      </c>
      <c r="L478" s="152">
        <f>IF(D478&gt;0,IF(סקר!M700=0,1,IF(סקר!M700=0,1,סקר!M700)),0)</f>
        <v>0</v>
      </c>
      <c r="M478" s="152">
        <f>סקר!J700</f>
        <v>0</v>
      </c>
      <c r="N478" s="152">
        <f>IF(D478&gt;0,IF(סקר!K700=0,1,IF(סקר!K700=0,1,סקר!K700)),0)</f>
        <v>0</v>
      </c>
      <c r="O478" s="152" t="e">
        <f t="shared" si="11"/>
        <v>#N/A</v>
      </c>
      <c r="P478" s="152">
        <f>IF(B478&gt;0,IF(סקר!O700 &lt;=1,1,סקר!O700),0)</f>
        <v>0</v>
      </c>
      <c r="Q478" s="152">
        <f>סקר!P700</f>
        <v>0</v>
      </c>
      <c r="R478" s="152">
        <f>סקר!R700</f>
        <v>0</v>
      </c>
      <c r="S478" s="152">
        <f>סקר!BC700</f>
        <v>0</v>
      </c>
      <c r="T478" s="156"/>
    </row>
    <row r="479" spans="1:20">
      <c r="A479" s="152" t="str">
        <f>IF(סקר!D701&lt;2,"עץ","פוליגון")</f>
        <v>עץ</v>
      </c>
      <c r="B479" s="152">
        <f>סקר!B701</f>
        <v>0</v>
      </c>
      <c r="C479" s="152">
        <f>IF(סקר!D701&lt;2,1,סקר!D701)</f>
        <v>1</v>
      </c>
      <c r="D479" s="152">
        <f>סקר!C701</f>
        <v>0</v>
      </c>
      <c r="E479" s="152" t="str">
        <f>IFERROR(VLOOKUP(F479,[1]TreeType!$A:$E,5,0),"")</f>
        <v/>
      </c>
      <c r="F479" s="153" t="str">
        <f>IFERROR(VLOOKUP(D479,[1]TreeType!$A:$B,2,0),"")</f>
        <v/>
      </c>
      <c r="G479" s="72">
        <f>IF(B479&gt;0,IF(סקר!E701=0,1,סקר!E701),0)</f>
        <v>0</v>
      </c>
      <c r="H479" s="72">
        <f>IF(B479&gt;0,IF(סקר!F701 = 0,1,סקר!F701),0)</f>
        <v>0</v>
      </c>
      <c r="I479" s="152">
        <f>סקר!G701</f>
        <v>0</v>
      </c>
      <c r="J479" s="152">
        <f>סקר!H701</f>
        <v>0</v>
      </c>
      <c r="K479" s="152" t="e">
        <f>IF(D479="","",VLOOKUP(D479,[1]TreeType!$A$2:$E$508,3,3))</f>
        <v>#N/A</v>
      </c>
      <c r="L479" s="152">
        <f>IF(D479&gt;0,IF(סקר!M701=0,1,IF(סקר!M701=0,1,סקר!M701)),0)</f>
        <v>0</v>
      </c>
      <c r="M479" s="152">
        <f>סקר!J701</f>
        <v>0</v>
      </c>
      <c r="N479" s="152">
        <f>IF(D479&gt;0,IF(סקר!K701=0,1,IF(סקר!K701=0,1,סקר!K701)),0)</f>
        <v>0</v>
      </c>
      <c r="O479" s="152" t="e">
        <f t="shared" si="11"/>
        <v>#N/A</v>
      </c>
      <c r="P479" s="152">
        <f>IF(B479&gt;0,IF(סקר!O701 &lt;=1,1,סקר!O701),0)</f>
        <v>0</v>
      </c>
      <c r="Q479" s="152">
        <f>סקר!P701</f>
        <v>0</v>
      </c>
      <c r="R479" s="152">
        <f>סקר!R701</f>
        <v>0</v>
      </c>
      <c r="S479" s="152">
        <f>סקר!BC701</f>
        <v>0</v>
      </c>
      <c r="T479" s="156"/>
    </row>
    <row r="480" spans="1:20">
      <c r="A480" s="152" t="str">
        <f>IF(סקר!D702&lt;2,"עץ","פוליגון")</f>
        <v>עץ</v>
      </c>
      <c r="B480" s="152">
        <f>סקר!B702</f>
        <v>0</v>
      </c>
      <c r="C480" s="152">
        <f>IF(סקר!D702&lt;2,1,סקר!D702)</f>
        <v>1</v>
      </c>
      <c r="D480" s="152">
        <f>סקר!C702</f>
        <v>0</v>
      </c>
      <c r="E480" s="152" t="str">
        <f>IFERROR(VLOOKUP(F480,[1]TreeType!$A:$E,5,0),"")</f>
        <v/>
      </c>
      <c r="F480" s="153" t="str">
        <f>IFERROR(VLOOKUP(D480,[1]TreeType!$A:$B,2,0),"")</f>
        <v/>
      </c>
      <c r="G480" s="72">
        <f>IF(B480&gt;0,IF(סקר!E702=0,1,סקר!E702),0)</f>
        <v>0</v>
      </c>
      <c r="H480" s="72">
        <f>IF(B480&gt;0,IF(סקר!F702 = 0,1,סקר!F702),0)</f>
        <v>0</v>
      </c>
      <c r="I480" s="152">
        <f>סקר!G702</f>
        <v>0</v>
      </c>
      <c r="J480" s="152">
        <f>סקר!H702</f>
        <v>0</v>
      </c>
      <c r="K480" s="152" t="e">
        <f>IF(D480="","",VLOOKUP(D480,[1]TreeType!$A$2:$E$508,3,3))</f>
        <v>#N/A</v>
      </c>
      <c r="L480" s="152">
        <f>IF(D480&gt;0,IF(סקר!M702=0,1,IF(סקר!M702=0,1,סקר!M702)),0)</f>
        <v>0</v>
      </c>
      <c r="M480" s="152">
        <f>סקר!J702</f>
        <v>0</v>
      </c>
      <c r="N480" s="152">
        <f>IF(D480&gt;0,IF(סקר!K702=0,1,IF(סקר!K702=0,1,סקר!K702)),0)</f>
        <v>0</v>
      </c>
      <c r="O480" s="152" t="e">
        <f t="shared" si="11"/>
        <v>#N/A</v>
      </c>
      <c r="P480" s="152">
        <f>IF(B480&gt;0,IF(סקר!O702 &lt;=1,1,סקר!O702),0)</f>
        <v>0</v>
      </c>
      <c r="Q480" s="152">
        <f>סקר!P702</f>
        <v>0</v>
      </c>
      <c r="R480" s="152">
        <f>סקר!R702</f>
        <v>0</v>
      </c>
      <c r="S480" s="152">
        <f>סקר!BC702</f>
        <v>0</v>
      </c>
      <c r="T480" s="156"/>
    </row>
    <row r="481" spans="1:20">
      <c r="A481" s="152" t="str">
        <f>IF(סקר!D703&lt;2,"עץ","פוליגון")</f>
        <v>עץ</v>
      </c>
      <c r="B481" s="152">
        <f>סקר!B703</f>
        <v>0</v>
      </c>
      <c r="C481" s="152">
        <f>IF(סקר!D703&lt;2,1,סקר!D703)</f>
        <v>1</v>
      </c>
      <c r="D481" s="152">
        <f>סקר!C703</f>
        <v>0</v>
      </c>
      <c r="E481" s="152" t="str">
        <f>IFERROR(VLOOKUP(F481,[1]TreeType!$A:$E,5,0),"")</f>
        <v/>
      </c>
      <c r="F481" s="153" t="str">
        <f>IFERROR(VLOOKUP(D481,[1]TreeType!$A:$B,2,0),"")</f>
        <v/>
      </c>
      <c r="G481" s="72">
        <f>IF(B481&gt;0,IF(סקר!E703=0,1,סקר!E703),0)</f>
        <v>0</v>
      </c>
      <c r="H481" s="72">
        <f>IF(B481&gt;0,IF(סקר!F703 = 0,1,סקר!F703),0)</f>
        <v>0</v>
      </c>
      <c r="I481" s="152">
        <f>סקר!G703</f>
        <v>0</v>
      </c>
      <c r="J481" s="152">
        <f>סקר!H703</f>
        <v>0</v>
      </c>
      <c r="K481" s="152" t="e">
        <f>IF(D481="","",VLOOKUP(D481,[1]TreeType!$A$2:$E$508,3,3))</f>
        <v>#N/A</v>
      </c>
      <c r="L481" s="152">
        <f>IF(D481&gt;0,IF(סקר!M703=0,1,IF(סקר!M703=0,1,סקר!M703)),0)</f>
        <v>0</v>
      </c>
      <c r="M481" s="152">
        <f>סקר!J703</f>
        <v>0</v>
      </c>
      <c r="N481" s="152">
        <f>IF(D481&gt;0,IF(סקר!K703=0,1,IF(סקר!K703=0,1,סקר!K703)),0)</f>
        <v>0</v>
      </c>
      <c r="O481" s="152" t="e">
        <f t="shared" si="11"/>
        <v>#N/A</v>
      </c>
      <c r="P481" s="152">
        <f>IF(B481&gt;0,IF(סקר!O703 &lt;=1,1,סקר!O703),0)</f>
        <v>0</v>
      </c>
      <c r="Q481" s="152">
        <f>סקר!P703</f>
        <v>0</v>
      </c>
      <c r="R481" s="152">
        <f>סקר!R703</f>
        <v>0</v>
      </c>
      <c r="S481" s="152">
        <f>סקר!BC703</f>
        <v>0</v>
      </c>
      <c r="T481" s="156"/>
    </row>
    <row r="482" spans="1:20">
      <c r="A482" s="152" t="str">
        <f>IF(סקר!D704&lt;2,"עץ","פוליגון")</f>
        <v>עץ</v>
      </c>
      <c r="B482" s="152">
        <f>סקר!B704</f>
        <v>0</v>
      </c>
      <c r="C482" s="152">
        <f>IF(סקר!D704&lt;2,1,סקר!D704)</f>
        <v>1</v>
      </c>
      <c r="D482" s="152">
        <f>סקר!C704</f>
        <v>0</v>
      </c>
      <c r="E482" s="152" t="str">
        <f>IFERROR(VLOOKUP(F482,[1]TreeType!$A:$E,5,0),"")</f>
        <v/>
      </c>
      <c r="F482" s="153" t="str">
        <f>IFERROR(VLOOKUP(D482,[1]TreeType!$A:$B,2,0),"")</f>
        <v/>
      </c>
      <c r="G482" s="72">
        <f>IF(B482&gt;0,IF(סקר!E704=0,1,סקר!E704),0)</f>
        <v>0</v>
      </c>
      <c r="H482" s="72">
        <f>IF(B482&gt;0,IF(סקר!F704 = 0,1,סקר!F704),0)</f>
        <v>0</v>
      </c>
      <c r="I482" s="152">
        <f>סקר!G704</f>
        <v>0</v>
      </c>
      <c r="J482" s="152">
        <f>סקר!H704</f>
        <v>0</v>
      </c>
      <c r="K482" s="152" t="e">
        <f>IF(D482="","",VLOOKUP(D482,[1]TreeType!$A$2:$E$508,3,3))</f>
        <v>#N/A</v>
      </c>
      <c r="L482" s="152">
        <f>IF(D482&gt;0,IF(סקר!M704=0,1,IF(סקר!M704=0,1,סקר!M704)),0)</f>
        <v>0</v>
      </c>
      <c r="M482" s="152">
        <f>סקר!J704</f>
        <v>0</v>
      </c>
      <c r="N482" s="152">
        <f>IF(D482&gt;0,IF(סקר!K704=0,1,IF(סקר!K704=0,1,סקר!K704)),0)</f>
        <v>0</v>
      </c>
      <c r="O482" s="152" t="e">
        <f t="shared" si="11"/>
        <v>#N/A</v>
      </c>
      <c r="P482" s="152">
        <f>IF(B482&gt;0,IF(סקר!O704 &lt;=1,1,סקר!O704),0)</f>
        <v>0</v>
      </c>
      <c r="Q482" s="152">
        <f>סקר!P704</f>
        <v>0</v>
      </c>
      <c r="R482" s="152">
        <f>סקר!R704</f>
        <v>0</v>
      </c>
      <c r="S482" s="152">
        <f>סקר!BC704</f>
        <v>0</v>
      </c>
      <c r="T482" s="156"/>
    </row>
    <row r="483" spans="1:20">
      <c r="A483" s="152" t="str">
        <f>IF(סקר!D705&lt;2,"עץ","פוליגון")</f>
        <v>עץ</v>
      </c>
      <c r="B483" s="152">
        <f>סקר!B705</f>
        <v>0</v>
      </c>
      <c r="C483" s="152">
        <f>IF(סקר!D705&lt;2,1,סקר!D705)</f>
        <v>1</v>
      </c>
      <c r="D483" s="152">
        <f>סקר!C705</f>
        <v>0</v>
      </c>
      <c r="E483" s="152" t="str">
        <f>IFERROR(VLOOKUP(F483,[1]TreeType!$A:$E,5,0),"")</f>
        <v/>
      </c>
      <c r="F483" s="153" t="str">
        <f>IFERROR(VLOOKUP(D483,[1]TreeType!$A:$B,2,0),"")</f>
        <v/>
      </c>
      <c r="G483" s="72">
        <f>IF(B483&gt;0,IF(סקר!E705=0,1,סקר!E705),0)</f>
        <v>0</v>
      </c>
      <c r="H483" s="72">
        <f>IF(B483&gt;0,IF(סקר!F705 = 0,1,סקר!F705),0)</f>
        <v>0</v>
      </c>
      <c r="I483" s="152">
        <f>סקר!G705</f>
        <v>0</v>
      </c>
      <c r="J483" s="152">
        <f>סקר!H705</f>
        <v>0</v>
      </c>
      <c r="K483" s="152" t="e">
        <f>IF(D483="","",VLOOKUP(D483,[1]TreeType!$A$2:$E$508,3,3))</f>
        <v>#N/A</v>
      </c>
      <c r="L483" s="152">
        <f>IF(D483&gt;0,IF(סקר!M705=0,1,IF(סקר!M705=0,1,סקר!M705)),0)</f>
        <v>0</v>
      </c>
      <c r="M483" s="152">
        <f>סקר!J705</f>
        <v>0</v>
      </c>
      <c r="N483" s="152">
        <f>IF(D483&gt;0,IF(סקר!K705=0,1,IF(סקר!K705=0,1,סקר!K705)),0)</f>
        <v>0</v>
      </c>
      <c r="O483" s="152" t="e">
        <f t="shared" si="11"/>
        <v>#N/A</v>
      </c>
      <c r="P483" s="152">
        <f>IF(B483&gt;0,IF(סקר!O705 &lt;=1,1,סקר!O705),0)</f>
        <v>0</v>
      </c>
      <c r="Q483" s="152">
        <f>סקר!P705</f>
        <v>0</v>
      </c>
      <c r="R483" s="152">
        <f>סקר!R705</f>
        <v>0</v>
      </c>
      <c r="S483" s="152">
        <f>סקר!BC705</f>
        <v>0</v>
      </c>
      <c r="T483" s="156"/>
    </row>
    <row r="484" spans="1:20">
      <c r="A484" s="152" t="str">
        <f>IF(סקר!D706&lt;2,"עץ","פוליגון")</f>
        <v>עץ</v>
      </c>
      <c r="B484" s="152">
        <f>סקר!B706</f>
        <v>0</v>
      </c>
      <c r="C484" s="152">
        <f>IF(סקר!D706&lt;2,1,סקר!D706)</f>
        <v>1</v>
      </c>
      <c r="D484" s="152">
        <f>סקר!C706</f>
        <v>0</v>
      </c>
      <c r="E484" s="152" t="str">
        <f>IFERROR(VLOOKUP(F484,[1]TreeType!$A:$E,5,0),"")</f>
        <v/>
      </c>
      <c r="F484" s="153" t="str">
        <f>IFERROR(VLOOKUP(D484,[1]TreeType!$A:$B,2,0),"")</f>
        <v/>
      </c>
      <c r="G484" s="72">
        <f>IF(B484&gt;0,IF(סקר!E706=0,1,סקר!E706),0)</f>
        <v>0</v>
      </c>
      <c r="H484" s="72">
        <f>IF(B484&gt;0,IF(סקר!F706 = 0,1,סקר!F706),0)</f>
        <v>0</v>
      </c>
      <c r="I484" s="152">
        <f>סקר!G706</f>
        <v>0</v>
      </c>
      <c r="J484" s="152">
        <f>סקר!H706</f>
        <v>0</v>
      </c>
      <c r="K484" s="152" t="e">
        <f>IF(D484="","",VLOOKUP(D484,[1]TreeType!$A$2:$E$508,3,3))</f>
        <v>#N/A</v>
      </c>
      <c r="L484" s="152">
        <f>IF(D484&gt;0,IF(סקר!M706=0,1,IF(סקר!M706=0,1,סקר!M706)),0)</f>
        <v>0</v>
      </c>
      <c r="M484" s="152">
        <f>סקר!J706</f>
        <v>0</v>
      </c>
      <c r="N484" s="152">
        <f>IF(D484&gt;0,IF(סקר!K706=0,1,IF(סקר!K706=0,1,סקר!K706)),0)</f>
        <v>0</v>
      </c>
      <c r="O484" s="152" t="e">
        <f t="shared" si="11"/>
        <v>#N/A</v>
      </c>
      <c r="P484" s="152">
        <f>IF(B484&gt;0,IF(סקר!O706 &lt;=1,1,סקר!O706),0)</f>
        <v>0</v>
      </c>
      <c r="Q484" s="152">
        <f>סקר!P706</f>
        <v>0</v>
      </c>
      <c r="R484" s="152">
        <f>סקר!R706</f>
        <v>0</v>
      </c>
      <c r="S484" s="152">
        <f>סקר!BC706</f>
        <v>0</v>
      </c>
      <c r="T484" s="156"/>
    </row>
    <row r="485" spans="1:20">
      <c r="A485" s="152" t="str">
        <f>IF(סקר!D707&lt;2,"עץ","פוליגון")</f>
        <v>עץ</v>
      </c>
      <c r="B485" s="152">
        <f>סקר!B707</f>
        <v>0</v>
      </c>
      <c r="C485" s="152">
        <f>IF(סקר!D707&lt;2,1,סקר!D707)</f>
        <v>1</v>
      </c>
      <c r="D485" s="152">
        <f>סקר!C707</f>
        <v>0</v>
      </c>
      <c r="E485" s="152" t="str">
        <f>IFERROR(VLOOKUP(F485,[1]TreeType!$A:$E,5,0),"")</f>
        <v/>
      </c>
      <c r="F485" s="153" t="str">
        <f>IFERROR(VLOOKUP(D485,[1]TreeType!$A:$B,2,0),"")</f>
        <v/>
      </c>
      <c r="G485" s="72">
        <f>IF(B485&gt;0,IF(סקר!E707=0,1,סקר!E707),0)</f>
        <v>0</v>
      </c>
      <c r="H485" s="72">
        <f>IF(B485&gt;0,IF(סקר!F707 = 0,1,סקר!F707),0)</f>
        <v>0</v>
      </c>
      <c r="I485" s="152">
        <f>סקר!G707</f>
        <v>0</v>
      </c>
      <c r="J485" s="152">
        <f>סקר!H707</f>
        <v>0</v>
      </c>
      <c r="K485" s="152" t="e">
        <f>IF(D485="","",VLOOKUP(D485,[1]TreeType!$A$2:$E$508,3,3))</f>
        <v>#N/A</v>
      </c>
      <c r="L485" s="152">
        <f>IF(D485&gt;0,IF(סקר!M707=0,1,IF(סקר!M707=0,1,סקר!M707)),0)</f>
        <v>0</v>
      </c>
      <c r="M485" s="152">
        <f>סקר!J707</f>
        <v>0</v>
      </c>
      <c r="N485" s="152">
        <f>IF(D485&gt;0,IF(סקר!K707=0,1,IF(סקר!K707=0,1,סקר!K707)),0)</f>
        <v>0</v>
      </c>
      <c r="O485" s="152" t="e">
        <f t="shared" si="11"/>
        <v>#N/A</v>
      </c>
      <c r="P485" s="152">
        <f>IF(B485&gt;0,IF(סקר!O707 &lt;=1,1,סקר!O707),0)</f>
        <v>0</v>
      </c>
      <c r="Q485" s="152">
        <f>סקר!P707</f>
        <v>0</v>
      </c>
      <c r="R485" s="152">
        <f>סקר!R707</f>
        <v>0</v>
      </c>
      <c r="S485" s="152">
        <f>סקר!BC707</f>
        <v>0</v>
      </c>
      <c r="T485" s="156"/>
    </row>
    <row r="486" spans="1:20">
      <c r="A486" s="152" t="str">
        <f>IF(סקר!D708&lt;2,"עץ","פוליגון")</f>
        <v>עץ</v>
      </c>
      <c r="B486" s="152">
        <f>סקר!B708</f>
        <v>0</v>
      </c>
      <c r="C486" s="152">
        <f>IF(סקר!D708&lt;2,1,סקר!D708)</f>
        <v>1</v>
      </c>
      <c r="D486" s="152">
        <f>סקר!C708</f>
        <v>0</v>
      </c>
      <c r="E486" s="152" t="str">
        <f>IFERROR(VLOOKUP(F486,[1]TreeType!$A:$E,5,0),"")</f>
        <v/>
      </c>
      <c r="F486" s="153" t="str">
        <f>IFERROR(VLOOKUP(D486,[1]TreeType!$A:$B,2,0),"")</f>
        <v/>
      </c>
      <c r="G486" s="72">
        <f>IF(B486&gt;0,IF(סקר!E708=0,1,סקר!E708),0)</f>
        <v>0</v>
      </c>
      <c r="H486" s="72">
        <f>IF(B486&gt;0,IF(סקר!F708 = 0,1,סקר!F708),0)</f>
        <v>0</v>
      </c>
      <c r="I486" s="152">
        <f>סקר!G708</f>
        <v>0</v>
      </c>
      <c r="J486" s="152">
        <f>סקר!H708</f>
        <v>0</v>
      </c>
      <c r="K486" s="152" t="e">
        <f>IF(D486="","",VLOOKUP(D486,[1]TreeType!$A$2:$E$508,3,3))</f>
        <v>#N/A</v>
      </c>
      <c r="L486" s="152">
        <f>IF(D486&gt;0,IF(סקר!M708=0,1,IF(סקר!M708=0,1,סקר!M708)),0)</f>
        <v>0</v>
      </c>
      <c r="M486" s="152">
        <f>סקר!J708</f>
        <v>0</v>
      </c>
      <c r="N486" s="152">
        <f>IF(D486&gt;0,IF(סקר!K708=0,1,IF(סקר!K708=0,1,סקר!K708)),0)</f>
        <v>0</v>
      </c>
      <c r="O486" s="152" t="e">
        <f t="shared" si="11"/>
        <v>#N/A</v>
      </c>
      <c r="P486" s="152">
        <f>IF(B486&gt;0,IF(סקר!O708 &lt;=1,1,סקר!O708),0)</f>
        <v>0</v>
      </c>
      <c r="Q486" s="152">
        <f>סקר!P708</f>
        <v>0</v>
      </c>
      <c r="R486" s="152">
        <f>סקר!R708</f>
        <v>0</v>
      </c>
      <c r="S486" s="152">
        <f>סקר!BC708</f>
        <v>0</v>
      </c>
      <c r="T486" s="156"/>
    </row>
    <row r="487" spans="1:20">
      <c r="A487" s="152" t="str">
        <f>IF(סקר!D709&lt;2,"עץ","פוליגון")</f>
        <v>עץ</v>
      </c>
      <c r="B487" s="152">
        <f>סקר!B709</f>
        <v>0</v>
      </c>
      <c r="C487" s="152">
        <f>IF(סקר!D709&lt;2,1,סקר!D709)</f>
        <v>1</v>
      </c>
      <c r="D487" s="152">
        <f>סקר!C709</f>
        <v>0</v>
      </c>
      <c r="E487" s="152" t="str">
        <f>IFERROR(VLOOKUP(F487,[1]TreeType!$A:$E,5,0),"")</f>
        <v/>
      </c>
      <c r="F487" s="153" t="str">
        <f>IFERROR(VLOOKUP(D487,[1]TreeType!$A:$B,2,0),"")</f>
        <v/>
      </c>
      <c r="G487" s="72">
        <f>IF(B487&gt;0,IF(סקר!E709=0,1,סקר!E709),0)</f>
        <v>0</v>
      </c>
      <c r="H487" s="72">
        <f>IF(B487&gt;0,IF(סקר!F709 = 0,1,סקר!F709),0)</f>
        <v>0</v>
      </c>
      <c r="I487" s="152">
        <f>סקר!G709</f>
        <v>0</v>
      </c>
      <c r="J487" s="152">
        <f>סקר!H709</f>
        <v>0</v>
      </c>
      <c r="K487" s="152" t="e">
        <f>IF(D487="","",VLOOKUP(D487,[1]TreeType!$A$2:$E$508,3,3))</f>
        <v>#N/A</v>
      </c>
      <c r="L487" s="152">
        <f>IF(D487&gt;0,IF(סקר!M709=0,1,IF(סקר!M709=0,1,סקר!M709)),0)</f>
        <v>0</v>
      </c>
      <c r="M487" s="152">
        <f>סקר!J709</f>
        <v>0</v>
      </c>
      <c r="N487" s="152">
        <f>IF(D487&gt;0,IF(סקר!K709=0,1,IF(סקר!K709=0,1,סקר!K709)),0)</f>
        <v>0</v>
      </c>
      <c r="O487" s="152" t="e">
        <f t="shared" si="11"/>
        <v>#N/A</v>
      </c>
      <c r="P487" s="152">
        <f>IF(B487&gt;0,IF(סקר!O709 &lt;=1,1,סקר!O709),0)</f>
        <v>0</v>
      </c>
      <c r="Q487" s="152">
        <f>סקר!P709</f>
        <v>0</v>
      </c>
      <c r="R487" s="152">
        <f>סקר!R709</f>
        <v>0</v>
      </c>
      <c r="S487" s="152">
        <f>סקר!BC709</f>
        <v>0</v>
      </c>
      <c r="T487" s="156"/>
    </row>
    <row r="488" spans="1:20">
      <c r="A488" s="152" t="str">
        <f>IF(סקר!D710&lt;2,"עץ","פוליגון")</f>
        <v>עץ</v>
      </c>
      <c r="B488" s="152">
        <f>סקר!B710</f>
        <v>0</v>
      </c>
      <c r="C488" s="152">
        <f>IF(סקר!D710&lt;2,1,סקר!D710)</f>
        <v>1</v>
      </c>
      <c r="D488" s="152">
        <f>סקר!C710</f>
        <v>0</v>
      </c>
      <c r="E488" s="152" t="str">
        <f>IFERROR(VLOOKUP(F488,[1]TreeType!$A:$E,5,0),"")</f>
        <v/>
      </c>
      <c r="F488" s="153" t="str">
        <f>IFERROR(VLOOKUP(D488,[1]TreeType!$A:$B,2,0),"")</f>
        <v/>
      </c>
      <c r="G488" s="72">
        <f>IF(B488&gt;0,IF(סקר!E710=0,1,סקר!E710),0)</f>
        <v>0</v>
      </c>
      <c r="H488" s="72">
        <f>IF(B488&gt;0,IF(סקר!F710 = 0,1,סקר!F710),0)</f>
        <v>0</v>
      </c>
      <c r="I488" s="152">
        <f>סקר!G710</f>
        <v>0</v>
      </c>
      <c r="J488" s="152">
        <f>סקר!H710</f>
        <v>0</v>
      </c>
      <c r="K488" s="152" t="e">
        <f>IF(D488="","",VLOOKUP(D488,[1]TreeType!$A$2:$E$508,3,3))</f>
        <v>#N/A</v>
      </c>
      <c r="L488" s="152">
        <f>IF(D488&gt;0,IF(סקר!M710=0,1,IF(סקר!M710=0,1,סקר!M710)),0)</f>
        <v>0</v>
      </c>
      <c r="M488" s="152">
        <f>סקר!J710</f>
        <v>0</v>
      </c>
      <c r="N488" s="152">
        <f>IF(D488&gt;0,IF(סקר!K710=0,1,IF(סקר!K710=0,1,סקר!K710)),0)</f>
        <v>0</v>
      </c>
      <c r="O488" s="152" t="e">
        <f t="shared" si="11"/>
        <v>#N/A</v>
      </c>
      <c r="P488" s="152">
        <f>IF(B488&gt;0,IF(סקר!O710 &lt;=1,1,סקר!O710),0)</f>
        <v>0</v>
      </c>
      <c r="Q488" s="152">
        <f>סקר!P710</f>
        <v>0</v>
      </c>
      <c r="R488" s="152">
        <f>סקר!R710</f>
        <v>0</v>
      </c>
      <c r="S488" s="152">
        <f>סקר!BC710</f>
        <v>0</v>
      </c>
      <c r="T488" s="156"/>
    </row>
    <row r="489" spans="1:20">
      <c r="A489" s="152" t="str">
        <f>IF(סקר!D711&lt;2,"עץ","פוליגון")</f>
        <v>עץ</v>
      </c>
      <c r="B489" s="152">
        <f>סקר!B711</f>
        <v>0</v>
      </c>
      <c r="C489" s="152">
        <f>IF(סקר!D711&lt;2,1,סקר!D711)</f>
        <v>1</v>
      </c>
      <c r="D489" s="152">
        <f>סקר!C711</f>
        <v>0</v>
      </c>
      <c r="E489" s="152" t="str">
        <f>IFERROR(VLOOKUP(F489,[1]TreeType!$A:$E,5,0),"")</f>
        <v/>
      </c>
      <c r="F489" s="153" t="str">
        <f>IFERROR(VLOOKUP(D489,[1]TreeType!$A:$B,2,0),"")</f>
        <v/>
      </c>
      <c r="G489" s="72">
        <f>IF(B489&gt;0,IF(סקר!E711=0,1,סקר!E711),0)</f>
        <v>0</v>
      </c>
      <c r="H489" s="72">
        <f>IF(B489&gt;0,IF(סקר!F711 = 0,1,סקר!F711),0)</f>
        <v>0</v>
      </c>
      <c r="I489" s="152">
        <f>סקר!G711</f>
        <v>0</v>
      </c>
      <c r="J489" s="152">
        <f>סקר!H711</f>
        <v>0</v>
      </c>
      <c r="K489" s="152" t="e">
        <f>IF(D489="","",VLOOKUP(D489,[1]TreeType!$A$2:$E$508,3,3))</f>
        <v>#N/A</v>
      </c>
      <c r="L489" s="152">
        <f>IF(D489&gt;0,IF(סקר!M711=0,1,IF(סקר!M711=0,1,סקר!M711)),0)</f>
        <v>0</v>
      </c>
      <c r="M489" s="152">
        <f>סקר!J711</f>
        <v>0</v>
      </c>
      <c r="N489" s="152">
        <f>IF(D489&gt;0,IF(סקר!K711=0,1,IF(סקר!K711=0,1,סקר!K711)),0)</f>
        <v>0</v>
      </c>
      <c r="O489" s="152" t="e">
        <f t="shared" si="11"/>
        <v>#N/A</v>
      </c>
      <c r="P489" s="152">
        <f>IF(B489&gt;0,IF(סקר!O711 &lt;=1,1,סקר!O711),0)</f>
        <v>0</v>
      </c>
      <c r="Q489" s="152">
        <f>סקר!P711</f>
        <v>0</v>
      </c>
      <c r="R489" s="152">
        <f>סקר!R711</f>
        <v>0</v>
      </c>
      <c r="S489" s="152">
        <f>סקר!BC711</f>
        <v>0</v>
      </c>
      <c r="T489" s="156"/>
    </row>
    <row r="490" spans="1:20">
      <c r="A490" s="152" t="str">
        <f>IF(סקר!D712&lt;2,"עץ","פוליגון")</f>
        <v>עץ</v>
      </c>
      <c r="B490" s="152">
        <f>סקר!B712</f>
        <v>0</v>
      </c>
      <c r="C490" s="152">
        <f>IF(סקר!D712&lt;2,1,סקר!D712)</f>
        <v>1</v>
      </c>
      <c r="D490" s="152">
        <f>סקר!C712</f>
        <v>0</v>
      </c>
      <c r="E490" s="152" t="str">
        <f>IFERROR(VLOOKUP(F490,[1]TreeType!$A:$E,5,0),"")</f>
        <v/>
      </c>
      <c r="F490" s="153" t="str">
        <f>IFERROR(VLOOKUP(D490,[1]TreeType!$A:$B,2,0),"")</f>
        <v/>
      </c>
      <c r="G490" s="72">
        <f>IF(B490&gt;0,IF(סקר!E712=0,1,סקר!E712),0)</f>
        <v>0</v>
      </c>
      <c r="H490" s="72">
        <f>IF(B490&gt;0,IF(סקר!F712 = 0,1,סקר!F712),0)</f>
        <v>0</v>
      </c>
      <c r="I490" s="152">
        <f>סקר!G712</f>
        <v>0</v>
      </c>
      <c r="J490" s="152">
        <f>סקר!H712</f>
        <v>0</v>
      </c>
      <c r="K490" s="152" t="e">
        <f>IF(D490="","",VLOOKUP(D490,[1]TreeType!$A$2:$E$508,3,3))</f>
        <v>#N/A</v>
      </c>
      <c r="L490" s="152">
        <f>IF(D490&gt;0,IF(סקר!M712=0,1,IF(סקר!M712=0,1,סקר!M712)),0)</f>
        <v>0</v>
      </c>
      <c r="M490" s="152">
        <f>סקר!J712</f>
        <v>0</v>
      </c>
      <c r="N490" s="152">
        <f>IF(D490&gt;0,IF(סקר!K712=0,1,IF(סקר!K712=0,1,סקר!K712)),0)</f>
        <v>0</v>
      </c>
      <c r="O490" s="152" t="e">
        <f t="shared" si="11"/>
        <v>#N/A</v>
      </c>
      <c r="P490" s="152">
        <f>IF(B490&gt;0,IF(סקר!O712 &lt;=1,1,סקר!O712),0)</f>
        <v>0</v>
      </c>
      <c r="Q490" s="152">
        <f>סקר!P712</f>
        <v>0</v>
      </c>
      <c r="R490" s="152">
        <f>סקר!R712</f>
        <v>0</v>
      </c>
      <c r="S490" s="152">
        <f>סקר!BC712</f>
        <v>0</v>
      </c>
      <c r="T490" s="156"/>
    </row>
    <row r="491" spans="1:20">
      <c r="A491" s="152" t="str">
        <f>IF(סקר!D713&lt;2,"עץ","פוליגון")</f>
        <v>עץ</v>
      </c>
      <c r="B491" s="152">
        <f>סקר!B713</f>
        <v>0</v>
      </c>
      <c r="C491" s="152">
        <f>IF(סקר!D713&lt;2,1,סקר!D713)</f>
        <v>1</v>
      </c>
      <c r="D491" s="152">
        <f>סקר!C713</f>
        <v>0</v>
      </c>
      <c r="E491" s="152" t="str">
        <f>IFERROR(VLOOKUP(F491,[1]TreeType!$A:$E,5,0),"")</f>
        <v/>
      </c>
      <c r="F491" s="153" t="str">
        <f>IFERROR(VLOOKUP(D491,[1]TreeType!$A:$B,2,0),"")</f>
        <v/>
      </c>
      <c r="G491" s="72">
        <f>IF(B491&gt;0,IF(סקר!E713=0,1,סקר!E713),0)</f>
        <v>0</v>
      </c>
      <c r="H491" s="72">
        <f>IF(B491&gt;0,IF(סקר!F713 = 0,1,סקר!F713),0)</f>
        <v>0</v>
      </c>
      <c r="I491" s="152">
        <f>סקר!G713</f>
        <v>0</v>
      </c>
      <c r="J491" s="152">
        <f>סקר!H713</f>
        <v>0</v>
      </c>
      <c r="K491" s="152" t="e">
        <f>IF(D491="","",VLOOKUP(D491,[1]TreeType!$A$2:$E$508,3,3))</f>
        <v>#N/A</v>
      </c>
      <c r="L491" s="152">
        <f>IF(D491&gt;0,IF(סקר!M713=0,1,IF(סקר!M713=0,1,סקר!M713)),0)</f>
        <v>0</v>
      </c>
      <c r="M491" s="152">
        <f>סקר!J713</f>
        <v>0</v>
      </c>
      <c r="N491" s="152">
        <f>IF(D491&gt;0,IF(סקר!K713=0,1,IF(סקר!K713=0,1,סקר!K713)),0)</f>
        <v>0</v>
      </c>
      <c r="O491" s="152" t="e">
        <f t="shared" si="11"/>
        <v>#N/A</v>
      </c>
      <c r="P491" s="152">
        <f>IF(B491&gt;0,IF(סקר!O713 &lt;=1,1,סקר!O713),0)</f>
        <v>0</v>
      </c>
      <c r="Q491" s="152">
        <f>סקר!P713</f>
        <v>0</v>
      </c>
      <c r="R491" s="152">
        <f>סקר!R713</f>
        <v>0</v>
      </c>
      <c r="S491" s="152">
        <f>סקר!BC713</f>
        <v>0</v>
      </c>
      <c r="T491" s="156"/>
    </row>
    <row r="492" spans="1:20">
      <c r="A492" s="152" t="str">
        <f>IF(סקר!D714&lt;2,"עץ","פוליגון")</f>
        <v>עץ</v>
      </c>
      <c r="B492" s="152">
        <f>סקר!B714</f>
        <v>0</v>
      </c>
      <c r="C492" s="152">
        <f>IF(סקר!D714&lt;2,1,סקר!D714)</f>
        <v>1</v>
      </c>
      <c r="D492" s="152">
        <f>סקר!C714</f>
        <v>0</v>
      </c>
      <c r="E492" s="152" t="str">
        <f>IFERROR(VLOOKUP(F492,[1]TreeType!$A:$E,5,0),"")</f>
        <v/>
      </c>
      <c r="F492" s="153" t="str">
        <f>IFERROR(VLOOKUP(D492,[1]TreeType!$A:$B,2,0),"")</f>
        <v/>
      </c>
      <c r="G492" s="72">
        <f>IF(B492&gt;0,IF(סקר!E714=0,1,סקר!E714),0)</f>
        <v>0</v>
      </c>
      <c r="H492" s="72">
        <f>IF(B492&gt;0,IF(סקר!F714 = 0,1,סקר!F714),0)</f>
        <v>0</v>
      </c>
      <c r="I492" s="152">
        <f>סקר!G714</f>
        <v>0</v>
      </c>
      <c r="J492" s="152">
        <f>סקר!H714</f>
        <v>0</v>
      </c>
      <c r="K492" s="152" t="e">
        <f>IF(D492="","",VLOOKUP(D492,[1]TreeType!$A$2:$E$508,3,3))</f>
        <v>#N/A</v>
      </c>
      <c r="L492" s="152">
        <f>IF(D492&gt;0,IF(סקר!M714=0,1,IF(סקר!M714=0,1,סקר!M714)),0)</f>
        <v>0</v>
      </c>
      <c r="M492" s="152">
        <f>סקר!J714</f>
        <v>0</v>
      </c>
      <c r="N492" s="152">
        <f>IF(D492&gt;0,IF(סקר!K714=0,1,IF(סקר!K714=0,1,סקר!K714)),0)</f>
        <v>0</v>
      </c>
      <c r="O492" s="152" t="e">
        <f t="shared" ref="O492:O538" si="12">IF(SUM(K492:N492)=0,"",SUM(K492:N492))</f>
        <v>#N/A</v>
      </c>
      <c r="P492" s="152">
        <f>IF(B492&gt;0,IF(סקר!O714 &lt;=1,1,סקר!O714),0)</f>
        <v>0</v>
      </c>
      <c r="Q492" s="152">
        <f>סקר!P714</f>
        <v>0</v>
      </c>
      <c r="R492" s="152">
        <f>סקר!R714</f>
        <v>0</v>
      </c>
      <c r="S492" s="152">
        <f>סקר!BC714</f>
        <v>0</v>
      </c>
      <c r="T492" s="156"/>
    </row>
    <row r="493" spans="1:20">
      <c r="A493" s="152" t="str">
        <f>IF(סקר!D715&lt;2,"עץ","פוליגון")</f>
        <v>עץ</v>
      </c>
      <c r="B493" s="152">
        <f>סקר!B715</f>
        <v>0</v>
      </c>
      <c r="C493" s="152">
        <f>IF(סקר!D715&lt;2,1,סקר!D715)</f>
        <v>1</v>
      </c>
      <c r="D493" s="152">
        <f>סקר!C715</f>
        <v>0</v>
      </c>
      <c r="E493" s="152" t="str">
        <f>IFERROR(VLOOKUP(F493,[1]TreeType!$A:$E,5,0),"")</f>
        <v/>
      </c>
      <c r="F493" s="153" t="str">
        <f>IFERROR(VLOOKUP(D493,[1]TreeType!$A:$B,2,0),"")</f>
        <v/>
      </c>
      <c r="G493" s="72">
        <f>IF(B493&gt;0,IF(סקר!E715=0,1,סקר!E715),0)</f>
        <v>0</v>
      </c>
      <c r="H493" s="72">
        <f>IF(B493&gt;0,IF(סקר!F715 = 0,1,סקר!F715),0)</f>
        <v>0</v>
      </c>
      <c r="I493" s="152">
        <f>סקר!G715</f>
        <v>0</v>
      </c>
      <c r="J493" s="152">
        <f>סקר!H715</f>
        <v>0</v>
      </c>
      <c r="K493" s="152" t="e">
        <f>IF(D493="","",VLOOKUP(D493,[1]TreeType!$A$2:$E$508,3,3))</f>
        <v>#N/A</v>
      </c>
      <c r="L493" s="152">
        <f>IF(D493&gt;0,IF(סקר!M715=0,1,IF(סקר!M715=0,1,סקר!M715)),0)</f>
        <v>0</v>
      </c>
      <c r="M493" s="152">
        <f>סקר!J715</f>
        <v>0</v>
      </c>
      <c r="N493" s="152">
        <f>IF(D493&gt;0,IF(סקר!K715=0,1,IF(סקר!K715=0,1,סקר!K715)),0)</f>
        <v>0</v>
      </c>
      <c r="O493" s="152" t="e">
        <f t="shared" si="12"/>
        <v>#N/A</v>
      </c>
      <c r="P493" s="152">
        <f>IF(B493&gt;0,IF(סקר!O715 &lt;=1,1,סקר!O715),0)</f>
        <v>0</v>
      </c>
      <c r="Q493" s="152">
        <f>סקר!P715</f>
        <v>0</v>
      </c>
      <c r="R493" s="152">
        <f>סקר!R715</f>
        <v>0</v>
      </c>
      <c r="S493" s="152">
        <f>סקר!BC715</f>
        <v>0</v>
      </c>
      <c r="T493" s="156"/>
    </row>
    <row r="494" spans="1:20">
      <c r="A494" s="152" t="str">
        <f>IF(סקר!D716&lt;2,"עץ","פוליגון")</f>
        <v>עץ</v>
      </c>
      <c r="B494" s="152">
        <f>סקר!B716</f>
        <v>0</v>
      </c>
      <c r="C494" s="152">
        <f>IF(סקר!D716&lt;2,1,סקר!D716)</f>
        <v>1</v>
      </c>
      <c r="D494" s="152">
        <f>סקר!C716</f>
        <v>0</v>
      </c>
      <c r="E494" s="152" t="str">
        <f>IFERROR(VLOOKUP(F494,[1]TreeType!$A:$E,5,0),"")</f>
        <v/>
      </c>
      <c r="F494" s="153" t="str">
        <f>IFERROR(VLOOKUP(D494,[1]TreeType!$A:$B,2,0),"")</f>
        <v/>
      </c>
      <c r="G494" s="72">
        <f>IF(B494&gt;0,IF(סקר!E716=0,1,סקר!E716),0)</f>
        <v>0</v>
      </c>
      <c r="H494" s="72">
        <f>IF(B494&gt;0,IF(סקר!F716 = 0,1,סקר!F716),0)</f>
        <v>0</v>
      </c>
      <c r="I494" s="152">
        <f>סקר!G716</f>
        <v>0</v>
      </c>
      <c r="J494" s="152">
        <f>סקר!H716</f>
        <v>0</v>
      </c>
      <c r="K494" s="152" t="e">
        <f>IF(D494="","",VLOOKUP(D494,[1]TreeType!$A$2:$E$508,3,3))</f>
        <v>#N/A</v>
      </c>
      <c r="L494" s="152">
        <f>IF(D494&gt;0,IF(סקר!M716=0,1,IF(סקר!M716=0,1,סקר!M716)),0)</f>
        <v>0</v>
      </c>
      <c r="M494" s="152">
        <f>סקר!J716</f>
        <v>0</v>
      </c>
      <c r="N494" s="152">
        <f>IF(D494&gt;0,IF(סקר!K716=0,1,IF(סקר!K716=0,1,סקר!K716)),0)</f>
        <v>0</v>
      </c>
      <c r="O494" s="152" t="e">
        <f t="shared" si="12"/>
        <v>#N/A</v>
      </c>
      <c r="P494" s="152">
        <f>IF(B494&gt;0,IF(סקר!O716 &lt;=1,1,סקר!O716),0)</f>
        <v>0</v>
      </c>
      <c r="Q494" s="152">
        <f>סקר!P716</f>
        <v>0</v>
      </c>
      <c r="R494" s="152">
        <f>סקר!R716</f>
        <v>0</v>
      </c>
      <c r="S494" s="152">
        <f>סקר!BC716</f>
        <v>0</v>
      </c>
      <c r="T494" s="156"/>
    </row>
    <row r="495" spans="1:20">
      <c r="A495" s="152" t="str">
        <f>IF(סקר!D717&lt;2,"עץ","פוליגון")</f>
        <v>עץ</v>
      </c>
      <c r="B495" s="152">
        <f>סקר!B717</f>
        <v>0</v>
      </c>
      <c r="C495" s="152">
        <f>IF(סקר!D717&lt;2,1,סקר!D717)</f>
        <v>1</v>
      </c>
      <c r="D495" s="152">
        <f>סקר!C717</f>
        <v>0</v>
      </c>
      <c r="E495" s="152" t="str">
        <f>IFERROR(VLOOKUP(F495,[1]TreeType!$A:$E,5,0),"")</f>
        <v/>
      </c>
      <c r="F495" s="153" t="str">
        <f>IFERROR(VLOOKUP(D495,[1]TreeType!$A:$B,2,0),"")</f>
        <v/>
      </c>
      <c r="G495" s="72">
        <f>IF(B495&gt;0,IF(סקר!E717=0,1,סקר!E717),0)</f>
        <v>0</v>
      </c>
      <c r="H495" s="72">
        <f>IF(B495&gt;0,IF(סקר!F717 = 0,1,סקר!F717),0)</f>
        <v>0</v>
      </c>
      <c r="I495" s="152">
        <f>סקר!G717</f>
        <v>0</v>
      </c>
      <c r="J495" s="152">
        <f>סקר!H717</f>
        <v>0</v>
      </c>
      <c r="K495" s="152" t="e">
        <f>IF(D495="","",VLOOKUP(D495,[1]TreeType!$A$2:$E$508,3,3))</f>
        <v>#N/A</v>
      </c>
      <c r="L495" s="152">
        <f>IF(D495&gt;0,IF(סקר!M717=0,1,IF(סקר!M717=0,1,סקר!M717)),0)</f>
        <v>0</v>
      </c>
      <c r="M495" s="152">
        <f>סקר!J717</f>
        <v>0</v>
      </c>
      <c r="N495" s="152">
        <f>IF(D495&gt;0,IF(סקר!K717=0,1,IF(סקר!K717=0,1,סקר!K717)),0)</f>
        <v>0</v>
      </c>
      <c r="O495" s="152" t="e">
        <f t="shared" si="12"/>
        <v>#N/A</v>
      </c>
      <c r="P495" s="152">
        <f>IF(B495&gt;0,IF(סקר!O717 &lt;=1,1,סקר!O717),0)</f>
        <v>0</v>
      </c>
      <c r="Q495" s="152">
        <f>סקר!P717</f>
        <v>0</v>
      </c>
      <c r="R495" s="152">
        <f>סקר!R717</f>
        <v>0</v>
      </c>
      <c r="S495" s="152">
        <f>סקר!BC717</f>
        <v>0</v>
      </c>
      <c r="T495" s="156"/>
    </row>
    <row r="496" spans="1:20">
      <c r="A496" s="152" t="str">
        <f>IF(סקר!D718&lt;2,"עץ","פוליגון")</f>
        <v>עץ</v>
      </c>
      <c r="B496" s="152">
        <f>סקר!B718</f>
        <v>0</v>
      </c>
      <c r="C496" s="152">
        <f>IF(סקר!D718&lt;2,1,סקר!D718)</f>
        <v>1</v>
      </c>
      <c r="D496" s="152">
        <f>סקר!C718</f>
        <v>0</v>
      </c>
      <c r="E496" s="152" t="str">
        <f>IFERROR(VLOOKUP(F496,[1]TreeType!$A:$E,5,0),"")</f>
        <v/>
      </c>
      <c r="F496" s="153" t="str">
        <f>IFERROR(VLOOKUP(D496,[1]TreeType!$A:$B,2,0),"")</f>
        <v/>
      </c>
      <c r="G496" s="72">
        <f>IF(B496&gt;0,IF(סקר!E718=0,1,סקר!E718),0)</f>
        <v>0</v>
      </c>
      <c r="H496" s="72">
        <f>IF(B496&gt;0,IF(סקר!F718 = 0,1,סקר!F718),0)</f>
        <v>0</v>
      </c>
      <c r="I496" s="152">
        <f>סקר!G718</f>
        <v>0</v>
      </c>
      <c r="J496" s="152">
        <f>סקר!H718</f>
        <v>0</v>
      </c>
      <c r="K496" s="152" t="e">
        <f>IF(D496="","",VLOOKUP(D496,[1]TreeType!$A$2:$E$508,3,3))</f>
        <v>#N/A</v>
      </c>
      <c r="L496" s="152">
        <f>IF(D496&gt;0,IF(סקר!M718=0,1,IF(סקר!M718=0,1,סקר!M718)),0)</f>
        <v>0</v>
      </c>
      <c r="M496" s="152">
        <f>סקר!J718</f>
        <v>0</v>
      </c>
      <c r="N496" s="152">
        <f>IF(D496&gt;0,IF(סקר!K718=0,1,IF(סקר!K718=0,1,סקר!K718)),0)</f>
        <v>0</v>
      </c>
      <c r="O496" s="152" t="e">
        <f t="shared" si="12"/>
        <v>#N/A</v>
      </c>
      <c r="P496" s="152">
        <f>IF(B496&gt;0,IF(סקר!O718 &lt;=1,1,סקר!O718),0)</f>
        <v>0</v>
      </c>
      <c r="Q496" s="152">
        <f>סקר!P718</f>
        <v>0</v>
      </c>
      <c r="R496" s="152">
        <f>סקר!R718</f>
        <v>0</v>
      </c>
      <c r="S496" s="152">
        <f>סקר!BC718</f>
        <v>0</v>
      </c>
      <c r="T496" s="156"/>
    </row>
    <row r="497" spans="1:20">
      <c r="A497" s="152" t="str">
        <f>IF(סקר!D719&lt;2,"עץ","פוליגון")</f>
        <v>עץ</v>
      </c>
      <c r="B497" s="152">
        <f>סקר!B719</f>
        <v>0</v>
      </c>
      <c r="C497" s="152">
        <f>IF(סקר!D719&lt;2,1,סקר!D719)</f>
        <v>1</v>
      </c>
      <c r="D497" s="152">
        <f>סקר!C719</f>
        <v>0</v>
      </c>
      <c r="E497" s="152" t="str">
        <f>IFERROR(VLOOKUP(F497,[1]TreeType!$A:$E,5,0),"")</f>
        <v/>
      </c>
      <c r="F497" s="153" t="str">
        <f>IFERROR(VLOOKUP(D497,[1]TreeType!$A:$B,2,0),"")</f>
        <v/>
      </c>
      <c r="G497" s="72">
        <f>IF(B497&gt;0,IF(סקר!E719=0,1,סקר!E719),0)</f>
        <v>0</v>
      </c>
      <c r="H497" s="72">
        <f>IF(B497&gt;0,IF(סקר!F719 = 0,1,סקר!F719),0)</f>
        <v>0</v>
      </c>
      <c r="I497" s="152">
        <f>סקר!G719</f>
        <v>0</v>
      </c>
      <c r="J497" s="152">
        <f>סקר!H719</f>
        <v>0</v>
      </c>
      <c r="K497" s="152" t="e">
        <f>IF(D497="","",VLOOKUP(D497,[1]TreeType!$A$2:$E$508,3,3))</f>
        <v>#N/A</v>
      </c>
      <c r="L497" s="152">
        <f>IF(D497&gt;0,IF(סקר!M719=0,1,IF(סקר!M719=0,1,סקר!M719)),0)</f>
        <v>0</v>
      </c>
      <c r="M497" s="152">
        <f>סקר!J719</f>
        <v>0</v>
      </c>
      <c r="N497" s="152">
        <f>IF(D497&gt;0,IF(סקר!K719=0,1,IF(סקר!K719=0,1,סקר!K719)),0)</f>
        <v>0</v>
      </c>
      <c r="O497" s="152" t="e">
        <f t="shared" si="12"/>
        <v>#N/A</v>
      </c>
      <c r="P497" s="152">
        <f>IF(B497&gt;0,IF(סקר!O719 &lt;=1,1,סקר!O719),0)</f>
        <v>0</v>
      </c>
      <c r="Q497" s="152">
        <f>סקר!P719</f>
        <v>0</v>
      </c>
      <c r="R497" s="152">
        <f>סקר!R719</f>
        <v>0</v>
      </c>
      <c r="S497" s="152">
        <f>סקר!BC719</f>
        <v>0</v>
      </c>
      <c r="T497" s="156"/>
    </row>
    <row r="498" spans="1:20">
      <c r="A498" s="152" t="str">
        <f>IF(סקר!D720&lt;2,"עץ","פוליגון")</f>
        <v>עץ</v>
      </c>
      <c r="B498" s="152">
        <f>סקר!B720</f>
        <v>0</v>
      </c>
      <c r="C498" s="152">
        <f>IF(סקר!D720&lt;2,1,סקר!D720)</f>
        <v>1</v>
      </c>
      <c r="D498" s="152">
        <f>סקר!C720</f>
        <v>0</v>
      </c>
      <c r="E498" s="152" t="str">
        <f>IFERROR(VLOOKUP(F498,[1]TreeType!$A:$E,5,0),"")</f>
        <v/>
      </c>
      <c r="F498" s="153" t="str">
        <f>IFERROR(VLOOKUP(D498,[1]TreeType!$A:$B,2,0),"")</f>
        <v/>
      </c>
      <c r="G498" s="72">
        <f>IF(B498&gt;0,IF(סקר!E720=0,1,סקר!E720),0)</f>
        <v>0</v>
      </c>
      <c r="H498" s="72">
        <f>IF(B498&gt;0,IF(סקר!F720 = 0,1,סקר!F720),0)</f>
        <v>0</v>
      </c>
      <c r="I498" s="152">
        <f>סקר!G720</f>
        <v>0</v>
      </c>
      <c r="J498" s="152">
        <f>סקר!H720</f>
        <v>0</v>
      </c>
      <c r="K498" s="152" t="e">
        <f>IF(D498="","",VLOOKUP(D498,[1]TreeType!$A$2:$E$508,3,3))</f>
        <v>#N/A</v>
      </c>
      <c r="L498" s="152">
        <f>IF(D498&gt;0,IF(סקר!M720=0,1,IF(סקר!M720=0,1,סקר!M720)),0)</f>
        <v>0</v>
      </c>
      <c r="M498" s="152">
        <f>סקר!J720</f>
        <v>0</v>
      </c>
      <c r="N498" s="152">
        <f>IF(D498&gt;0,IF(סקר!K720=0,1,IF(סקר!K720=0,1,סקר!K720)),0)</f>
        <v>0</v>
      </c>
      <c r="O498" s="152" t="e">
        <f t="shared" si="12"/>
        <v>#N/A</v>
      </c>
      <c r="P498" s="152">
        <f>IF(B498&gt;0,IF(סקר!O720 &lt;=1,1,סקר!O720),0)</f>
        <v>0</v>
      </c>
      <c r="Q498" s="152">
        <f>סקר!P720</f>
        <v>0</v>
      </c>
      <c r="R498" s="152">
        <f>סקר!R720</f>
        <v>0</v>
      </c>
      <c r="S498" s="152">
        <f>סקר!BC720</f>
        <v>0</v>
      </c>
      <c r="T498" s="156"/>
    </row>
    <row r="499" spans="1:20">
      <c r="A499" s="152" t="str">
        <f>IF(סקר!D721&lt;2,"עץ","פוליגון")</f>
        <v>עץ</v>
      </c>
      <c r="B499" s="152">
        <f>סקר!B721</f>
        <v>0</v>
      </c>
      <c r="C499" s="152">
        <f>IF(סקר!D721&lt;2,1,סקר!D721)</f>
        <v>1</v>
      </c>
      <c r="D499" s="152">
        <f>סקר!C721</f>
        <v>0</v>
      </c>
      <c r="E499" s="152" t="str">
        <f>IFERROR(VLOOKUP(F499,[1]TreeType!$A:$E,5,0),"")</f>
        <v/>
      </c>
      <c r="F499" s="153" t="str">
        <f>IFERROR(VLOOKUP(D499,[1]TreeType!$A:$B,2,0),"")</f>
        <v/>
      </c>
      <c r="G499" s="72">
        <f>IF(B499&gt;0,IF(סקר!E721=0,1,סקר!E721),0)</f>
        <v>0</v>
      </c>
      <c r="H499" s="72">
        <f>IF(B499&gt;0,IF(סקר!F721 = 0,1,סקר!F721),0)</f>
        <v>0</v>
      </c>
      <c r="I499" s="152">
        <f>סקר!G721</f>
        <v>0</v>
      </c>
      <c r="J499" s="152">
        <f>סקר!H721</f>
        <v>0</v>
      </c>
      <c r="K499" s="152" t="e">
        <f>IF(D499="","",VLOOKUP(D499,[1]TreeType!$A$2:$E$508,3,3))</f>
        <v>#N/A</v>
      </c>
      <c r="L499" s="152">
        <f>IF(D499&gt;0,IF(סקר!M721=0,1,IF(סקר!M721=0,1,סקר!M721)),0)</f>
        <v>0</v>
      </c>
      <c r="M499" s="152">
        <f>סקר!J721</f>
        <v>0</v>
      </c>
      <c r="N499" s="152">
        <f>IF(D499&gt;0,IF(סקר!K721=0,1,IF(סקר!K721=0,1,סקר!K721)),0)</f>
        <v>0</v>
      </c>
      <c r="O499" s="152" t="e">
        <f t="shared" si="12"/>
        <v>#N/A</v>
      </c>
      <c r="P499" s="152">
        <f>IF(B499&gt;0,IF(סקר!O721 &lt;=1,1,סקר!O721),0)</f>
        <v>0</v>
      </c>
      <c r="Q499" s="152">
        <f>סקר!P721</f>
        <v>0</v>
      </c>
      <c r="R499" s="152">
        <f>סקר!R721</f>
        <v>0</v>
      </c>
      <c r="S499" s="152">
        <f>סקר!BC721</f>
        <v>0</v>
      </c>
      <c r="T499" s="156"/>
    </row>
    <row r="500" spans="1:20">
      <c r="A500" s="152" t="str">
        <f>IF(סקר!D722&lt;2,"עץ","פוליגון")</f>
        <v>עץ</v>
      </c>
      <c r="B500" s="152">
        <f>סקר!B722</f>
        <v>0</v>
      </c>
      <c r="C500" s="152">
        <f>IF(סקר!D722&lt;2,1,סקר!D722)</f>
        <v>1</v>
      </c>
      <c r="D500" s="152">
        <f>סקר!C722</f>
        <v>0</v>
      </c>
      <c r="E500" s="152" t="str">
        <f>IFERROR(VLOOKUP(F500,[1]TreeType!$A:$E,5,0),"")</f>
        <v/>
      </c>
      <c r="F500" s="153" t="str">
        <f>IFERROR(VLOOKUP(D500,[1]TreeType!$A:$B,2,0),"")</f>
        <v/>
      </c>
      <c r="G500" s="72">
        <f>IF(B500&gt;0,IF(סקר!E722=0,1,סקר!E722),0)</f>
        <v>0</v>
      </c>
      <c r="H500" s="72">
        <f>IF(B500&gt;0,IF(סקר!F722 = 0,1,סקר!F722),0)</f>
        <v>0</v>
      </c>
      <c r="I500" s="152">
        <f>סקר!G722</f>
        <v>0</v>
      </c>
      <c r="J500" s="152">
        <f>סקר!H722</f>
        <v>0</v>
      </c>
      <c r="K500" s="152" t="e">
        <f>IF(D500="","",VLOOKUP(D500,[1]TreeType!$A$2:$E$508,3,3))</f>
        <v>#N/A</v>
      </c>
      <c r="L500" s="152">
        <f>IF(D500&gt;0,IF(סקר!M722=0,1,IF(סקר!M722=0,1,סקר!M722)),0)</f>
        <v>0</v>
      </c>
      <c r="M500" s="152">
        <f>סקר!J722</f>
        <v>0</v>
      </c>
      <c r="N500" s="152">
        <f>IF(D500&gt;0,IF(סקר!K722=0,1,IF(סקר!K722=0,1,סקר!K722)),0)</f>
        <v>0</v>
      </c>
      <c r="O500" s="152" t="e">
        <f t="shared" si="12"/>
        <v>#N/A</v>
      </c>
      <c r="P500" s="152">
        <f>IF(B500&gt;0,IF(סקר!O722 &lt;=1,1,סקר!O722),0)</f>
        <v>0</v>
      </c>
      <c r="Q500" s="152">
        <f>סקר!P722</f>
        <v>0</v>
      </c>
      <c r="R500" s="152">
        <f>סקר!R722</f>
        <v>0</v>
      </c>
      <c r="S500" s="152">
        <f>סקר!BC722</f>
        <v>0</v>
      </c>
      <c r="T500" s="156"/>
    </row>
    <row r="501" spans="1:20">
      <c r="A501" s="152" t="str">
        <f>IF(סקר!D723&lt;2,"עץ","פוליגון")</f>
        <v>עץ</v>
      </c>
      <c r="B501" s="152">
        <f>סקר!B723</f>
        <v>0</v>
      </c>
      <c r="C501" s="152">
        <f>IF(סקר!D723&lt;2,1,סקר!D723)</f>
        <v>1</v>
      </c>
      <c r="D501" s="152">
        <f>סקר!C723</f>
        <v>0</v>
      </c>
      <c r="E501" s="152" t="str">
        <f>IFERROR(VLOOKUP(F501,[1]TreeType!$A:$E,5,0),"")</f>
        <v/>
      </c>
      <c r="F501" s="153" t="str">
        <f>IFERROR(VLOOKUP(D501,[1]TreeType!$A:$B,2,0),"")</f>
        <v/>
      </c>
      <c r="G501" s="72">
        <f>IF(B501&gt;0,IF(סקר!E723=0,1,סקר!E723),0)</f>
        <v>0</v>
      </c>
      <c r="H501" s="72">
        <f>IF(B501&gt;0,IF(סקר!F723 = 0,1,סקר!F723),0)</f>
        <v>0</v>
      </c>
      <c r="I501" s="152">
        <f>סקר!G723</f>
        <v>0</v>
      </c>
      <c r="J501" s="152">
        <f>סקר!H723</f>
        <v>0</v>
      </c>
      <c r="K501" s="152" t="e">
        <f>IF(D501="","",VLOOKUP(D501,[1]TreeType!$A$2:$E$508,3,3))</f>
        <v>#N/A</v>
      </c>
      <c r="L501" s="152">
        <f>IF(D501&gt;0,IF(סקר!M723=0,1,IF(סקר!M723=0,1,סקר!M723)),0)</f>
        <v>0</v>
      </c>
      <c r="M501" s="152">
        <f>סקר!J723</f>
        <v>0</v>
      </c>
      <c r="N501" s="152">
        <f>IF(D501&gt;0,IF(סקר!K723=0,1,IF(סקר!K723=0,1,סקר!K723)),0)</f>
        <v>0</v>
      </c>
      <c r="O501" s="152" t="e">
        <f t="shared" si="12"/>
        <v>#N/A</v>
      </c>
      <c r="P501" s="152">
        <f>IF(B501&gt;0,IF(סקר!O723 &lt;=1,1,סקר!O723),0)</f>
        <v>0</v>
      </c>
      <c r="Q501" s="152">
        <f>סקר!P723</f>
        <v>0</v>
      </c>
      <c r="R501" s="152">
        <f>סקר!R723</f>
        <v>0</v>
      </c>
      <c r="S501" s="152">
        <f>סקר!BC723</f>
        <v>0</v>
      </c>
      <c r="T501" s="156"/>
    </row>
    <row r="502" spans="1:20">
      <c r="A502" s="152" t="str">
        <f>IF(סקר!D724&lt;2,"עץ","פוליגון")</f>
        <v>עץ</v>
      </c>
      <c r="B502" s="152">
        <f>סקר!B724</f>
        <v>0</v>
      </c>
      <c r="C502" s="152">
        <f>IF(סקר!D724&lt;2,1,סקר!D724)</f>
        <v>1</v>
      </c>
      <c r="D502" s="152">
        <f>סקר!C724</f>
        <v>0</v>
      </c>
      <c r="E502" s="152" t="str">
        <f>IFERROR(VLOOKUP(F502,[1]TreeType!$A:$E,5,0),"")</f>
        <v/>
      </c>
      <c r="F502" s="153" t="str">
        <f>IFERROR(VLOOKUP(D502,[1]TreeType!$A:$B,2,0),"")</f>
        <v/>
      </c>
      <c r="G502" s="72">
        <f>IF(B502&gt;0,IF(סקר!E724=0,1,סקר!E724),0)</f>
        <v>0</v>
      </c>
      <c r="H502" s="72">
        <f>IF(B502&gt;0,IF(סקר!F724 = 0,1,סקר!F724),0)</f>
        <v>0</v>
      </c>
      <c r="I502" s="152">
        <f>סקר!G724</f>
        <v>0</v>
      </c>
      <c r="J502" s="152">
        <f>סקר!H724</f>
        <v>0</v>
      </c>
      <c r="K502" s="152" t="e">
        <f>IF(D502="","",VLOOKUP(D502,[1]TreeType!$A$2:$E$508,3,3))</f>
        <v>#N/A</v>
      </c>
      <c r="L502" s="152">
        <f>IF(D502&gt;0,IF(סקר!M724=0,1,IF(סקר!M724=0,1,סקר!M724)),0)</f>
        <v>0</v>
      </c>
      <c r="M502" s="152">
        <f>סקר!J724</f>
        <v>0</v>
      </c>
      <c r="N502" s="152">
        <f>IF(D502&gt;0,IF(סקר!K724=0,1,IF(סקר!K724=0,1,סקר!K724)),0)</f>
        <v>0</v>
      </c>
      <c r="O502" s="152" t="e">
        <f t="shared" si="12"/>
        <v>#N/A</v>
      </c>
      <c r="P502" s="152">
        <f>IF(B502&gt;0,IF(סקר!O724 &lt;=1,1,סקר!O724),0)</f>
        <v>0</v>
      </c>
      <c r="Q502" s="152">
        <f>סקר!P724</f>
        <v>0</v>
      </c>
      <c r="R502" s="152">
        <f>סקר!R724</f>
        <v>0</v>
      </c>
      <c r="S502" s="152">
        <f>סקר!BC724</f>
        <v>0</v>
      </c>
      <c r="T502" s="156"/>
    </row>
    <row r="503" spans="1:20">
      <c r="A503" s="152" t="str">
        <f>IF(סקר!D725&lt;2,"עץ","פוליגון")</f>
        <v>עץ</v>
      </c>
      <c r="B503" s="152">
        <f>סקר!B725</f>
        <v>0</v>
      </c>
      <c r="C503" s="152">
        <f>IF(סקר!D725&lt;2,1,סקר!D725)</f>
        <v>1</v>
      </c>
      <c r="D503" s="152">
        <f>סקר!C725</f>
        <v>0</v>
      </c>
      <c r="E503" s="152" t="str">
        <f>IFERROR(VLOOKUP(F503,[1]TreeType!$A:$E,5,0),"")</f>
        <v/>
      </c>
      <c r="F503" s="153" t="str">
        <f>IFERROR(VLOOKUP(D503,[1]TreeType!$A:$B,2,0),"")</f>
        <v/>
      </c>
      <c r="G503" s="72">
        <f>IF(B503&gt;0,IF(סקר!E725=0,1,סקר!E725),0)</f>
        <v>0</v>
      </c>
      <c r="H503" s="72">
        <f>IF(B503&gt;0,IF(סקר!F725 = 0,1,סקר!F725),0)</f>
        <v>0</v>
      </c>
      <c r="I503" s="152">
        <f>סקר!G725</f>
        <v>0</v>
      </c>
      <c r="J503" s="152">
        <f>סקר!H725</f>
        <v>0</v>
      </c>
      <c r="K503" s="152" t="e">
        <f>IF(D503="","",VLOOKUP(D503,[1]TreeType!$A$2:$E$508,3,3))</f>
        <v>#N/A</v>
      </c>
      <c r="L503" s="152">
        <f>IF(D503&gt;0,IF(סקר!M725=0,1,IF(סקר!M725=0,1,סקר!M725)),0)</f>
        <v>0</v>
      </c>
      <c r="M503" s="152">
        <f>סקר!J725</f>
        <v>0</v>
      </c>
      <c r="N503" s="152">
        <f>IF(D503&gt;0,IF(סקר!K725=0,1,IF(סקר!K725=0,1,סקר!K725)),0)</f>
        <v>0</v>
      </c>
      <c r="O503" s="152" t="e">
        <f t="shared" si="12"/>
        <v>#N/A</v>
      </c>
      <c r="P503" s="152">
        <f>IF(B503&gt;0,IF(סקר!O725 &lt;=1,1,סקר!O725),0)</f>
        <v>0</v>
      </c>
      <c r="Q503" s="152">
        <f>סקר!P725</f>
        <v>0</v>
      </c>
      <c r="R503" s="152">
        <f>סקר!R725</f>
        <v>0</v>
      </c>
      <c r="S503" s="152">
        <f>סקר!BC725</f>
        <v>0</v>
      </c>
      <c r="T503" s="156"/>
    </row>
    <row r="504" spans="1:20">
      <c r="A504" s="152" t="str">
        <f>IF(סקר!D726&lt;2,"עץ","פוליגון")</f>
        <v>עץ</v>
      </c>
      <c r="B504" s="152">
        <f>סקר!B726</f>
        <v>0</v>
      </c>
      <c r="C504" s="152">
        <f>IF(סקר!D726&lt;2,1,סקר!D726)</f>
        <v>1</v>
      </c>
      <c r="D504" s="152">
        <f>סקר!C726</f>
        <v>0</v>
      </c>
      <c r="E504" s="152" t="str">
        <f>IFERROR(VLOOKUP(F504,[1]TreeType!$A:$E,5,0),"")</f>
        <v/>
      </c>
      <c r="F504" s="153" t="str">
        <f>IFERROR(VLOOKUP(D504,[1]TreeType!$A:$B,2,0),"")</f>
        <v/>
      </c>
      <c r="G504" s="72">
        <f>IF(B504&gt;0,IF(סקר!E726=0,1,סקר!E726),0)</f>
        <v>0</v>
      </c>
      <c r="H504" s="72">
        <f>IF(B504&gt;0,IF(סקר!F726 = 0,1,סקר!F726),0)</f>
        <v>0</v>
      </c>
      <c r="I504" s="152">
        <f>סקר!G726</f>
        <v>0</v>
      </c>
      <c r="J504" s="152">
        <f>סקר!H726</f>
        <v>0</v>
      </c>
      <c r="K504" s="152" t="e">
        <f>IF(D504="","",VLOOKUP(D504,[1]TreeType!$A$2:$E$508,3,3))</f>
        <v>#N/A</v>
      </c>
      <c r="L504" s="152">
        <f>IF(D504&gt;0,IF(סקר!M726=0,1,IF(סקר!M726=0,1,סקר!M726)),0)</f>
        <v>0</v>
      </c>
      <c r="M504" s="152">
        <f>סקר!J726</f>
        <v>0</v>
      </c>
      <c r="N504" s="152">
        <f>IF(D504&gt;0,IF(סקר!K726=0,1,IF(סקר!K726=0,1,סקר!K726)),0)</f>
        <v>0</v>
      </c>
      <c r="O504" s="152" t="e">
        <f t="shared" si="12"/>
        <v>#N/A</v>
      </c>
      <c r="P504" s="152">
        <f>IF(B504&gt;0,IF(סקר!O726 &lt;=1,1,סקר!O726),0)</f>
        <v>0</v>
      </c>
      <c r="Q504" s="152">
        <f>סקר!P726</f>
        <v>0</v>
      </c>
      <c r="R504" s="152">
        <f>סקר!R726</f>
        <v>0</v>
      </c>
      <c r="S504" s="152">
        <f>סקר!BC726</f>
        <v>0</v>
      </c>
      <c r="T504" s="156"/>
    </row>
    <row r="505" spans="1:20">
      <c r="A505" s="152" t="str">
        <f>IF(סקר!D727&lt;2,"עץ","פוליגון")</f>
        <v>עץ</v>
      </c>
      <c r="B505" s="152">
        <f>סקר!B727</f>
        <v>0</v>
      </c>
      <c r="C505" s="152">
        <f>IF(סקר!D727&lt;2,1,סקר!D727)</f>
        <v>1</v>
      </c>
      <c r="D505" s="152">
        <f>סקר!C727</f>
        <v>0</v>
      </c>
      <c r="E505" s="152" t="str">
        <f>IFERROR(VLOOKUP(F505,[1]TreeType!$A:$E,5,0),"")</f>
        <v/>
      </c>
      <c r="F505" s="153" t="str">
        <f>IFERROR(VLOOKUP(D505,[1]TreeType!$A:$B,2,0),"")</f>
        <v/>
      </c>
      <c r="G505" s="72">
        <f>IF(B505&gt;0,IF(סקר!E727=0,1,סקר!E727),0)</f>
        <v>0</v>
      </c>
      <c r="H505" s="72">
        <f>IF(B505&gt;0,IF(סקר!F727 = 0,1,סקר!F727),0)</f>
        <v>0</v>
      </c>
      <c r="I505" s="152">
        <f>סקר!G727</f>
        <v>0</v>
      </c>
      <c r="J505" s="152">
        <f>סקר!H727</f>
        <v>0</v>
      </c>
      <c r="K505" s="152" t="e">
        <f>IF(D505="","",VLOOKUP(D505,[1]TreeType!$A$2:$E$508,3,3))</f>
        <v>#N/A</v>
      </c>
      <c r="L505" s="152">
        <f>IF(D505&gt;0,IF(סקר!M727=0,1,IF(סקר!M727=0,1,סקר!M727)),0)</f>
        <v>0</v>
      </c>
      <c r="M505" s="152">
        <f>סקר!J727</f>
        <v>0</v>
      </c>
      <c r="N505" s="152">
        <f>IF(D505&gt;0,IF(סקר!K727=0,1,IF(סקר!K727=0,1,סקר!K727)),0)</f>
        <v>0</v>
      </c>
      <c r="O505" s="152" t="e">
        <f t="shared" si="12"/>
        <v>#N/A</v>
      </c>
      <c r="P505" s="152">
        <f>IF(B505&gt;0,IF(סקר!O727 &lt;=1,1,סקר!O727),0)</f>
        <v>0</v>
      </c>
      <c r="Q505" s="152">
        <f>סקר!P727</f>
        <v>0</v>
      </c>
      <c r="R505" s="152">
        <f>סקר!R727</f>
        <v>0</v>
      </c>
      <c r="S505" s="152">
        <f>סקר!BC727</f>
        <v>0</v>
      </c>
      <c r="T505" s="156"/>
    </row>
    <row r="506" spans="1:20">
      <c r="A506" s="152" t="str">
        <f>IF(סקר!D728&lt;2,"עץ","פוליגון")</f>
        <v>עץ</v>
      </c>
      <c r="B506" s="152">
        <f>סקר!B728</f>
        <v>0</v>
      </c>
      <c r="C506" s="152">
        <f>IF(סקר!D728&lt;2,1,סקר!D728)</f>
        <v>1</v>
      </c>
      <c r="D506" s="152">
        <f>סקר!C728</f>
        <v>0</v>
      </c>
      <c r="E506" s="152" t="str">
        <f>IFERROR(VLOOKUP(F506,[1]TreeType!$A:$E,5,0),"")</f>
        <v/>
      </c>
      <c r="F506" s="153" t="str">
        <f>IFERROR(VLOOKUP(D506,[1]TreeType!$A:$B,2,0),"")</f>
        <v/>
      </c>
      <c r="G506" s="72">
        <f>IF(B506&gt;0,IF(סקר!E728=0,1,סקר!E728),0)</f>
        <v>0</v>
      </c>
      <c r="H506" s="72">
        <f>IF(B506&gt;0,IF(סקר!F728 = 0,1,סקר!F728),0)</f>
        <v>0</v>
      </c>
      <c r="I506" s="152">
        <f>סקר!G728</f>
        <v>0</v>
      </c>
      <c r="J506" s="152">
        <f>סקר!H728</f>
        <v>0</v>
      </c>
      <c r="K506" s="152" t="e">
        <f>IF(D506="","",VLOOKUP(D506,[1]TreeType!$A$2:$E$508,3,3))</f>
        <v>#N/A</v>
      </c>
      <c r="L506" s="152">
        <f>IF(D506&gt;0,IF(סקר!M728=0,1,IF(סקר!M728=0,1,סקר!M728)),0)</f>
        <v>0</v>
      </c>
      <c r="M506" s="152">
        <f>סקר!J728</f>
        <v>0</v>
      </c>
      <c r="N506" s="152">
        <f>IF(D506&gt;0,IF(סקר!K728=0,1,IF(סקר!K728=0,1,סקר!K728)),0)</f>
        <v>0</v>
      </c>
      <c r="O506" s="152" t="e">
        <f t="shared" si="12"/>
        <v>#N/A</v>
      </c>
      <c r="P506" s="152">
        <f>IF(B506&gt;0,IF(סקר!O728 &lt;=1,1,סקר!O728),0)</f>
        <v>0</v>
      </c>
      <c r="Q506" s="152">
        <f>סקר!P728</f>
        <v>0</v>
      </c>
      <c r="R506" s="152">
        <f>סקר!R728</f>
        <v>0</v>
      </c>
      <c r="S506" s="152">
        <f>סקר!BC728</f>
        <v>0</v>
      </c>
      <c r="T506" s="156"/>
    </row>
    <row r="507" spans="1:20">
      <c r="A507" s="152" t="str">
        <f>IF(סקר!D743&lt;2,"עץ","פוליגון")</f>
        <v>עץ</v>
      </c>
      <c r="B507" s="152">
        <f>סקר!B743</f>
        <v>0</v>
      </c>
      <c r="C507" s="152">
        <f>IF(סקר!D743&lt;2,1,סקר!D743)</f>
        <v>1</v>
      </c>
      <c r="D507" s="152">
        <f>סקר!C743</f>
        <v>0</v>
      </c>
      <c r="E507" s="152" t="str">
        <f>IFERROR(VLOOKUP(F507,[1]TreeType!$A:$E,5,0),"")</f>
        <v/>
      </c>
      <c r="F507" s="153" t="str">
        <f>IFERROR(VLOOKUP(D507,[1]TreeType!$A:$B,2,0),"")</f>
        <v/>
      </c>
      <c r="G507" s="72">
        <f>IF(B507&gt;0,IF(סקר!E743=0,1,סקר!E743),0)</f>
        <v>0</v>
      </c>
      <c r="H507" s="72">
        <f>IF(B507&gt;0,IF(סקר!F743 = 0,1,סקר!F743),0)</f>
        <v>0</v>
      </c>
      <c r="I507" s="152">
        <f>סקר!G743</f>
        <v>0</v>
      </c>
      <c r="J507" s="152">
        <f>סקר!H743</f>
        <v>0</v>
      </c>
      <c r="K507" s="152" t="e">
        <f>IF(D507="","",VLOOKUP(D507,[1]TreeType!$A$2:$E$508,3,3))</f>
        <v>#N/A</v>
      </c>
      <c r="L507" s="152">
        <f>IF(D507&gt;0,IF(סקר!M743=0,1,IF(סקר!M743=0,1,סקר!M743)),0)</f>
        <v>0</v>
      </c>
      <c r="M507" s="152">
        <f>סקר!J743</f>
        <v>0</v>
      </c>
      <c r="N507" s="152">
        <f>IF(D507&gt;0,IF(סקר!K743=0,1,IF(סקר!K743=0,1,סקר!K743)),0)</f>
        <v>0</v>
      </c>
      <c r="O507" s="152" t="e">
        <f t="shared" si="12"/>
        <v>#N/A</v>
      </c>
      <c r="P507" s="152">
        <f>IF(B507&gt;0,IF(סקר!O743 &lt;=1,1,סקר!O743),0)</f>
        <v>0</v>
      </c>
      <c r="Q507" s="152">
        <f>סקר!P743</f>
        <v>0</v>
      </c>
      <c r="R507" s="152">
        <f>סקר!R743</f>
        <v>0</v>
      </c>
      <c r="S507" s="152">
        <f>סקר!BC743</f>
        <v>0</v>
      </c>
      <c r="T507" s="156"/>
    </row>
    <row r="508" spans="1:20">
      <c r="A508" s="152" t="str">
        <f>IF(סקר!D744&lt;2,"עץ","פוליגון")</f>
        <v>עץ</v>
      </c>
      <c r="B508" s="152">
        <f>סקר!B744</f>
        <v>0</v>
      </c>
      <c r="C508" s="152">
        <f>IF(סקר!D744&lt;2,1,סקר!D744)</f>
        <v>1</v>
      </c>
      <c r="D508" s="152">
        <f>סקר!C744</f>
        <v>0</v>
      </c>
      <c r="E508" s="152" t="str">
        <f>IFERROR(VLOOKUP(F508,[1]TreeType!$A:$E,5,0),"")</f>
        <v/>
      </c>
      <c r="F508" s="153" t="str">
        <f>IFERROR(VLOOKUP(D508,[1]TreeType!$A:$B,2,0),"")</f>
        <v/>
      </c>
      <c r="G508" s="72">
        <f>IF(B508&gt;0,IF(סקר!E744=0,1,סקר!E744),0)</f>
        <v>0</v>
      </c>
      <c r="H508" s="72">
        <f>IF(B508&gt;0,IF(סקר!F744 = 0,1,סקר!F744),0)</f>
        <v>0</v>
      </c>
      <c r="I508" s="152">
        <f>סקר!G744</f>
        <v>0</v>
      </c>
      <c r="J508" s="152">
        <f>סקר!H744</f>
        <v>0</v>
      </c>
      <c r="K508" s="152" t="e">
        <f>IF(D508="","",VLOOKUP(D508,[1]TreeType!$A$2:$E$508,3,3))</f>
        <v>#N/A</v>
      </c>
      <c r="L508" s="152">
        <f>IF(D508&gt;0,IF(סקר!M744=0,1,IF(סקר!M744=0,1,סקר!M744)),0)</f>
        <v>0</v>
      </c>
      <c r="M508" s="152">
        <f>סקר!J744</f>
        <v>0</v>
      </c>
      <c r="N508" s="152">
        <f>IF(D508&gt;0,IF(סקר!K744=0,1,IF(סקר!K744=0,1,סקר!K744)),0)</f>
        <v>0</v>
      </c>
      <c r="O508" s="152" t="e">
        <f t="shared" si="12"/>
        <v>#N/A</v>
      </c>
      <c r="P508" s="152">
        <f>IF(B508&gt;0,IF(סקר!O744 &lt;=1,1,סקר!O744),0)</f>
        <v>0</v>
      </c>
      <c r="Q508" s="152">
        <f>סקר!P744</f>
        <v>0</v>
      </c>
      <c r="R508" s="152">
        <f>סקר!R744</f>
        <v>0</v>
      </c>
      <c r="S508" s="152">
        <f>סקר!BC744</f>
        <v>0</v>
      </c>
      <c r="T508" s="156"/>
    </row>
    <row r="509" spans="1:20">
      <c r="A509" s="152" t="str">
        <f>IF(סקר!D745&lt;2,"עץ","פוליגון")</f>
        <v>עץ</v>
      </c>
      <c r="B509" s="152">
        <f>סקר!B745</f>
        <v>0</v>
      </c>
      <c r="C509" s="152">
        <f>IF(סקר!D745&lt;2,1,סקר!D745)</f>
        <v>1</v>
      </c>
      <c r="D509" s="152">
        <f>סקר!C745</f>
        <v>0</v>
      </c>
      <c r="E509" s="152" t="str">
        <f>IFERROR(VLOOKUP(F509,[1]TreeType!$A:$E,5,0),"")</f>
        <v/>
      </c>
      <c r="F509" s="153" t="str">
        <f>IFERROR(VLOOKUP(D509,[1]TreeType!$A:$B,2,0),"")</f>
        <v/>
      </c>
      <c r="G509" s="72">
        <f>IF(B509&gt;0,IF(סקר!E745=0,1,סקר!E745),0)</f>
        <v>0</v>
      </c>
      <c r="H509" s="72">
        <f>IF(B509&gt;0,IF(סקר!F745 = 0,1,סקר!F745),0)</f>
        <v>0</v>
      </c>
      <c r="I509" s="152">
        <f>סקר!G745</f>
        <v>0</v>
      </c>
      <c r="J509" s="152">
        <f>סקר!H745</f>
        <v>0</v>
      </c>
      <c r="K509" s="152" t="e">
        <f>IF(D509="","",VLOOKUP(D509,[1]TreeType!$A$2:$E$508,3,3))</f>
        <v>#N/A</v>
      </c>
      <c r="L509" s="152">
        <f>IF(D509&gt;0,IF(סקר!M745=0,1,IF(סקר!M745=0,1,סקר!M745)),0)</f>
        <v>0</v>
      </c>
      <c r="M509" s="152">
        <f>סקר!J745</f>
        <v>0</v>
      </c>
      <c r="N509" s="152">
        <f>IF(D509&gt;0,IF(סקר!K745=0,1,IF(סקר!K745=0,1,סקר!K745)),0)</f>
        <v>0</v>
      </c>
      <c r="O509" s="152" t="e">
        <f t="shared" si="12"/>
        <v>#N/A</v>
      </c>
      <c r="P509" s="152">
        <f>IF(B509&gt;0,IF(סקר!O745 &lt;=1,1,סקר!O745),0)</f>
        <v>0</v>
      </c>
      <c r="Q509" s="152">
        <f>סקר!P745</f>
        <v>0</v>
      </c>
      <c r="R509" s="152">
        <f>סקר!R745</f>
        <v>0</v>
      </c>
      <c r="S509" s="152">
        <f>סקר!BC745</f>
        <v>0</v>
      </c>
      <c r="T509" s="156"/>
    </row>
    <row r="510" spans="1:20">
      <c r="A510" s="152" t="str">
        <f>IF(סקר!D746&lt;2,"עץ","פוליגון")</f>
        <v>עץ</v>
      </c>
      <c r="B510" s="152">
        <f>סקר!B746</f>
        <v>0</v>
      </c>
      <c r="C510" s="152">
        <f>IF(סקר!D746&lt;2,1,סקר!D746)</f>
        <v>1</v>
      </c>
      <c r="D510" s="152">
        <f>סקר!C746</f>
        <v>0</v>
      </c>
      <c r="E510" s="152" t="str">
        <f>IFERROR(VLOOKUP(F510,[1]TreeType!$A:$E,5,0),"")</f>
        <v/>
      </c>
      <c r="F510" s="153" t="str">
        <f>IFERROR(VLOOKUP(D510,[1]TreeType!$A:$B,2,0),"")</f>
        <v/>
      </c>
      <c r="G510" s="72">
        <f>IF(B510&gt;0,IF(סקר!E746=0,1,סקר!E746),0)</f>
        <v>0</v>
      </c>
      <c r="H510" s="72">
        <f>IF(B510&gt;0,IF(סקר!F746 = 0,1,סקר!F746),0)</f>
        <v>0</v>
      </c>
      <c r="I510" s="152">
        <f>סקר!G746</f>
        <v>0</v>
      </c>
      <c r="J510" s="152">
        <f>סקר!H746</f>
        <v>0</v>
      </c>
      <c r="K510" s="152" t="e">
        <f>IF(D510="","",VLOOKUP(D510,[1]TreeType!$A$2:$E$508,3,3))</f>
        <v>#N/A</v>
      </c>
      <c r="L510" s="152">
        <f>IF(D510&gt;0,IF(סקר!M746=0,1,IF(סקר!M746=0,1,סקר!M746)),0)</f>
        <v>0</v>
      </c>
      <c r="M510" s="152">
        <f>סקר!J746</f>
        <v>0</v>
      </c>
      <c r="N510" s="152">
        <f>IF(D510&gt;0,IF(סקר!K746=0,1,IF(סקר!K746=0,1,סקר!K746)),0)</f>
        <v>0</v>
      </c>
      <c r="O510" s="152" t="e">
        <f t="shared" si="12"/>
        <v>#N/A</v>
      </c>
      <c r="P510" s="152">
        <f>IF(B510&gt;0,IF(סקר!O746 &lt;=1,1,סקר!O746),0)</f>
        <v>0</v>
      </c>
      <c r="Q510" s="152">
        <f>סקר!P746</f>
        <v>0</v>
      </c>
      <c r="R510" s="152">
        <f>סקר!R746</f>
        <v>0</v>
      </c>
      <c r="S510" s="152">
        <f>סקר!BC746</f>
        <v>0</v>
      </c>
      <c r="T510" s="156"/>
    </row>
    <row r="511" spans="1:20">
      <c r="A511" s="152" t="str">
        <f>IF(סקר!D747&lt;2,"עץ","פוליגון")</f>
        <v>עץ</v>
      </c>
      <c r="B511" s="152">
        <f>סקר!B747</f>
        <v>0</v>
      </c>
      <c r="C511" s="152">
        <f>IF(סקר!D747&lt;2,1,סקר!D747)</f>
        <v>1</v>
      </c>
      <c r="D511" s="152">
        <f>סקר!C747</f>
        <v>0</v>
      </c>
      <c r="E511" s="152" t="str">
        <f>IFERROR(VLOOKUP(F511,[1]TreeType!$A:$E,5,0),"")</f>
        <v/>
      </c>
      <c r="F511" s="153" t="str">
        <f>IFERROR(VLOOKUP(D511,[1]TreeType!$A:$B,2,0),"")</f>
        <v/>
      </c>
      <c r="G511" s="72">
        <f>IF(B511&gt;0,IF(סקר!E747=0,1,סקר!E747),0)</f>
        <v>0</v>
      </c>
      <c r="H511" s="72">
        <f>IF(B511&gt;0,IF(סקר!F747 = 0,1,סקר!F747),0)</f>
        <v>0</v>
      </c>
      <c r="I511" s="152">
        <f>סקר!G747</f>
        <v>0</v>
      </c>
      <c r="J511" s="152">
        <f>סקר!H747</f>
        <v>0</v>
      </c>
      <c r="K511" s="152" t="e">
        <f>IF(D511="","",VLOOKUP(D511,[1]TreeType!$A$2:$E$508,3,3))</f>
        <v>#N/A</v>
      </c>
      <c r="L511" s="152">
        <f>IF(D511&gt;0,IF(סקר!M747=0,1,IF(סקר!M747=0,1,סקר!M747)),0)</f>
        <v>0</v>
      </c>
      <c r="M511" s="152">
        <f>סקר!J747</f>
        <v>0</v>
      </c>
      <c r="N511" s="152">
        <f>IF(D511&gt;0,IF(סקר!K747=0,1,IF(סקר!K747=0,1,סקר!K747)),0)</f>
        <v>0</v>
      </c>
      <c r="O511" s="152" t="e">
        <f t="shared" si="12"/>
        <v>#N/A</v>
      </c>
      <c r="P511" s="152">
        <f>IF(B511&gt;0,IF(סקר!O747 &lt;=1,1,סקר!O747),0)</f>
        <v>0</v>
      </c>
      <c r="Q511" s="152">
        <f>סקר!P747</f>
        <v>0</v>
      </c>
      <c r="R511" s="152">
        <f>סקר!R747</f>
        <v>0</v>
      </c>
      <c r="S511" s="152">
        <f>סקר!BC747</f>
        <v>0</v>
      </c>
      <c r="T511" s="156"/>
    </row>
    <row r="512" spans="1:20">
      <c r="A512" s="152" t="str">
        <f>IF(סקר!D748&lt;2,"עץ","פוליגון")</f>
        <v>עץ</v>
      </c>
      <c r="B512" s="152">
        <f>סקר!B748</f>
        <v>0</v>
      </c>
      <c r="C512" s="152">
        <f>IF(סקר!D748&lt;2,1,סקר!D748)</f>
        <v>1</v>
      </c>
      <c r="D512" s="152">
        <f>סקר!C748</f>
        <v>0</v>
      </c>
      <c r="E512" s="152" t="str">
        <f>IFERROR(VLOOKUP(F512,[1]TreeType!$A:$E,5,0),"")</f>
        <v/>
      </c>
      <c r="F512" s="153" t="str">
        <f>IFERROR(VLOOKUP(D512,[1]TreeType!$A:$B,2,0),"")</f>
        <v/>
      </c>
      <c r="G512" s="72">
        <f>IF(B512&gt;0,IF(סקר!E748=0,1,סקר!E748),0)</f>
        <v>0</v>
      </c>
      <c r="H512" s="72">
        <f>IF(B512&gt;0,IF(סקר!F748 = 0,1,סקר!F748),0)</f>
        <v>0</v>
      </c>
      <c r="I512" s="152">
        <f>סקר!G748</f>
        <v>0</v>
      </c>
      <c r="J512" s="152">
        <f>סקר!H748</f>
        <v>0</v>
      </c>
      <c r="K512" s="152" t="e">
        <f>IF(D512="","",VLOOKUP(D512,[1]TreeType!$A$2:$E$508,3,3))</f>
        <v>#N/A</v>
      </c>
      <c r="L512" s="152">
        <f>IF(D512&gt;0,IF(סקר!M748=0,1,IF(סקר!M748=0,1,סקר!M748)),0)</f>
        <v>0</v>
      </c>
      <c r="M512" s="152">
        <f>סקר!J748</f>
        <v>0</v>
      </c>
      <c r="N512" s="152">
        <f>IF(D512&gt;0,IF(סקר!K748=0,1,IF(סקר!K748=0,1,סקר!K748)),0)</f>
        <v>0</v>
      </c>
      <c r="O512" s="152" t="e">
        <f t="shared" si="12"/>
        <v>#N/A</v>
      </c>
      <c r="P512" s="152">
        <f>IF(B512&gt;0,IF(סקר!O748 &lt;=1,1,סקר!O748),0)</f>
        <v>0</v>
      </c>
      <c r="Q512" s="152">
        <f>סקר!P748</f>
        <v>0</v>
      </c>
      <c r="R512" s="152">
        <f>סקר!R748</f>
        <v>0</v>
      </c>
      <c r="S512" s="152">
        <f>סקר!BC748</f>
        <v>0</v>
      </c>
      <c r="T512" s="156"/>
    </row>
    <row r="513" spans="1:20">
      <c r="A513" s="152" t="str">
        <f>IF(סקר!D749&lt;2,"עץ","פוליגון")</f>
        <v>עץ</v>
      </c>
      <c r="B513" s="152">
        <f>סקר!B749</f>
        <v>0</v>
      </c>
      <c r="C513" s="152">
        <f>IF(סקר!D749&lt;2,1,סקר!D749)</f>
        <v>1</v>
      </c>
      <c r="D513" s="152">
        <f>סקר!C749</f>
        <v>0</v>
      </c>
      <c r="E513" s="152" t="str">
        <f>IFERROR(VLOOKUP(F513,[1]TreeType!$A:$E,5,0),"")</f>
        <v/>
      </c>
      <c r="F513" s="153" t="str">
        <f>IFERROR(VLOOKUP(D513,[1]TreeType!$A:$B,2,0),"")</f>
        <v/>
      </c>
      <c r="G513" s="72">
        <f>IF(B513&gt;0,IF(סקר!E749=0,1,סקר!E749),0)</f>
        <v>0</v>
      </c>
      <c r="H513" s="72">
        <f>IF(B513&gt;0,IF(סקר!F749 = 0,1,סקר!F749),0)</f>
        <v>0</v>
      </c>
      <c r="I513" s="152">
        <f>סקר!G749</f>
        <v>0</v>
      </c>
      <c r="J513" s="152">
        <f>סקר!H749</f>
        <v>0</v>
      </c>
      <c r="K513" s="152" t="e">
        <f>IF(D513="","",VLOOKUP(D513,[1]TreeType!$A$2:$E$508,3,3))</f>
        <v>#N/A</v>
      </c>
      <c r="L513" s="152">
        <f>IF(D513&gt;0,IF(סקר!M749=0,1,IF(סקר!M749=0,1,סקר!M749)),0)</f>
        <v>0</v>
      </c>
      <c r="M513" s="152">
        <f>סקר!J749</f>
        <v>0</v>
      </c>
      <c r="N513" s="152">
        <f>IF(D513&gt;0,IF(סקר!K749=0,1,IF(סקר!K749=0,1,סקר!K749)),0)</f>
        <v>0</v>
      </c>
      <c r="O513" s="152" t="e">
        <f t="shared" si="12"/>
        <v>#N/A</v>
      </c>
      <c r="P513" s="152">
        <f>IF(B513&gt;0,IF(סקר!O749 &lt;=1,1,סקר!O749),0)</f>
        <v>0</v>
      </c>
      <c r="Q513" s="152">
        <f>סקר!P749</f>
        <v>0</v>
      </c>
      <c r="R513" s="152">
        <f>סקר!R749</f>
        <v>0</v>
      </c>
      <c r="S513" s="152">
        <f>סקר!BC749</f>
        <v>0</v>
      </c>
      <c r="T513" s="156"/>
    </row>
    <row r="514" spans="1:20">
      <c r="A514" s="152" t="str">
        <f>IF(סקר!D750&lt;2,"עץ","פוליגון")</f>
        <v>עץ</v>
      </c>
      <c r="B514" s="152">
        <f>סקר!B750</f>
        <v>0</v>
      </c>
      <c r="C514" s="152">
        <f>IF(סקר!D750&lt;2,1,סקר!D750)</f>
        <v>1</v>
      </c>
      <c r="D514" s="152">
        <f>סקר!C750</f>
        <v>0</v>
      </c>
      <c r="E514" s="152" t="str">
        <f>IFERROR(VLOOKUP(F514,[1]TreeType!$A:$E,5,0),"")</f>
        <v/>
      </c>
      <c r="F514" s="153" t="str">
        <f>IFERROR(VLOOKUP(D514,[1]TreeType!$A:$B,2,0),"")</f>
        <v/>
      </c>
      <c r="G514" s="72">
        <f>IF(B514&gt;0,IF(סקר!E750=0,1,סקר!E750),0)</f>
        <v>0</v>
      </c>
      <c r="H514" s="72">
        <f>IF(B514&gt;0,IF(סקר!F750 = 0,1,סקר!F750),0)</f>
        <v>0</v>
      </c>
      <c r="I514" s="152">
        <f>סקר!G750</f>
        <v>0</v>
      </c>
      <c r="J514" s="152">
        <f>סקר!H750</f>
        <v>0</v>
      </c>
      <c r="K514" s="152" t="e">
        <f>IF(D514="","",VLOOKUP(D514,[1]TreeType!$A$2:$E$508,3,3))</f>
        <v>#N/A</v>
      </c>
      <c r="L514" s="152">
        <f>IF(D514&gt;0,IF(סקר!M750=0,1,IF(סקר!M750=0,1,סקר!M750)),0)</f>
        <v>0</v>
      </c>
      <c r="M514" s="152">
        <f>סקר!J750</f>
        <v>0</v>
      </c>
      <c r="N514" s="152">
        <f>IF(D514&gt;0,IF(סקר!K750=0,1,IF(סקר!K750=0,1,סקר!K750)),0)</f>
        <v>0</v>
      </c>
      <c r="O514" s="152" t="e">
        <f t="shared" si="12"/>
        <v>#N/A</v>
      </c>
      <c r="P514" s="152">
        <f>IF(B514&gt;0,IF(סקר!O750 &lt;=1,1,סקר!O750),0)</f>
        <v>0</v>
      </c>
      <c r="Q514" s="152">
        <f>סקר!P750</f>
        <v>0</v>
      </c>
      <c r="R514" s="152">
        <f>סקר!R750</f>
        <v>0</v>
      </c>
      <c r="S514" s="152">
        <f>סקר!BC750</f>
        <v>0</v>
      </c>
      <c r="T514" s="156"/>
    </row>
    <row r="515" spans="1:20">
      <c r="A515" s="152" t="str">
        <f>IF(סקר!D751&lt;2,"עץ","פוליגון")</f>
        <v>עץ</v>
      </c>
      <c r="B515" s="152">
        <f>סקר!B751</f>
        <v>0</v>
      </c>
      <c r="C515" s="152">
        <f>IF(סקר!D751&lt;2,1,סקר!D751)</f>
        <v>1</v>
      </c>
      <c r="D515" s="152">
        <f>סקר!C751</f>
        <v>0</v>
      </c>
      <c r="E515" s="152" t="str">
        <f>IFERROR(VLOOKUP(F515,[1]TreeType!$A:$E,5,0),"")</f>
        <v/>
      </c>
      <c r="F515" s="153" t="str">
        <f>IFERROR(VLOOKUP(D515,[1]TreeType!$A:$B,2,0),"")</f>
        <v/>
      </c>
      <c r="G515" s="72">
        <f>IF(B515&gt;0,IF(סקר!E751=0,1,סקר!E751),0)</f>
        <v>0</v>
      </c>
      <c r="H515" s="72">
        <f>IF(B515&gt;0,IF(סקר!F751 = 0,1,סקר!F751),0)</f>
        <v>0</v>
      </c>
      <c r="I515" s="152">
        <f>סקר!G751</f>
        <v>0</v>
      </c>
      <c r="J515" s="152">
        <f>סקר!H751</f>
        <v>0</v>
      </c>
      <c r="K515" s="152" t="e">
        <f>IF(D515="","",VLOOKUP(D515,[1]TreeType!$A$2:$E$508,3,3))</f>
        <v>#N/A</v>
      </c>
      <c r="L515" s="152">
        <f>IF(D515&gt;0,IF(סקר!M751=0,1,IF(סקר!M751=0,1,סקר!M751)),0)</f>
        <v>0</v>
      </c>
      <c r="M515" s="152">
        <f>סקר!J751</f>
        <v>0</v>
      </c>
      <c r="N515" s="152">
        <f>IF(D515&gt;0,IF(סקר!K751=0,1,IF(סקר!K751=0,1,סקר!K751)),0)</f>
        <v>0</v>
      </c>
      <c r="O515" s="152" t="e">
        <f t="shared" si="12"/>
        <v>#N/A</v>
      </c>
      <c r="P515" s="152">
        <f>IF(B515&gt;0,IF(סקר!O751 &lt;=1,1,סקר!O751),0)</f>
        <v>0</v>
      </c>
      <c r="Q515" s="152">
        <f>סקר!P751</f>
        <v>0</v>
      </c>
      <c r="R515" s="152">
        <f>סקר!R751</f>
        <v>0</v>
      </c>
      <c r="S515" s="152">
        <f>סקר!BC751</f>
        <v>0</v>
      </c>
      <c r="T515" s="156"/>
    </row>
    <row r="516" spans="1:20">
      <c r="A516" s="152" t="str">
        <f>IF(סקר!D752&lt;2,"עץ","פוליגון")</f>
        <v>עץ</v>
      </c>
      <c r="B516" s="152">
        <f>סקר!B752</f>
        <v>0</v>
      </c>
      <c r="C516" s="152">
        <f>IF(סקר!D752&lt;2,1,סקר!D752)</f>
        <v>1</v>
      </c>
      <c r="D516" s="152">
        <f>סקר!C752</f>
        <v>0</v>
      </c>
      <c r="E516" s="152" t="str">
        <f>IFERROR(VLOOKUP(F516,[1]TreeType!$A:$E,5,0),"")</f>
        <v/>
      </c>
      <c r="F516" s="153" t="str">
        <f>IFERROR(VLOOKUP(D516,[1]TreeType!$A:$B,2,0),"")</f>
        <v/>
      </c>
      <c r="G516" s="72">
        <f>IF(B516&gt;0,IF(סקר!E752=0,1,סקר!E752),0)</f>
        <v>0</v>
      </c>
      <c r="H516" s="72">
        <f>IF(B516&gt;0,IF(סקר!F752 = 0,1,סקר!F752),0)</f>
        <v>0</v>
      </c>
      <c r="I516" s="152">
        <f>סקר!G752</f>
        <v>0</v>
      </c>
      <c r="J516" s="152">
        <f>סקר!H752</f>
        <v>0</v>
      </c>
      <c r="K516" s="152" t="e">
        <f>IF(D516="","",VLOOKUP(D516,[1]TreeType!$A$2:$E$508,3,3))</f>
        <v>#N/A</v>
      </c>
      <c r="L516" s="152">
        <f>IF(D516&gt;0,IF(סקר!M752=0,1,IF(סקר!M752=0,1,סקר!M752)),0)</f>
        <v>0</v>
      </c>
      <c r="M516" s="152">
        <f>סקר!J752</f>
        <v>0</v>
      </c>
      <c r="N516" s="152">
        <f>IF(D516&gt;0,IF(סקר!K752=0,1,IF(סקר!K752=0,1,סקר!K752)),0)</f>
        <v>0</v>
      </c>
      <c r="O516" s="152" t="e">
        <f t="shared" si="12"/>
        <v>#N/A</v>
      </c>
      <c r="P516" s="152">
        <f>IF(B516&gt;0,IF(סקר!O752 &lt;=1,1,סקר!O752),0)</f>
        <v>0</v>
      </c>
      <c r="Q516" s="152">
        <f>סקר!P752</f>
        <v>0</v>
      </c>
      <c r="R516" s="152">
        <f>סקר!R752</f>
        <v>0</v>
      </c>
      <c r="S516" s="152">
        <f>סקר!BC752</f>
        <v>0</v>
      </c>
      <c r="T516" s="156"/>
    </row>
    <row r="517" spans="1:20">
      <c r="A517" s="152" t="str">
        <f>IF(סקר!D753&lt;2,"עץ","פוליגון")</f>
        <v>עץ</v>
      </c>
      <c r="B517" s="152">
        <f>סקר!B753</f>
        <v>0</v>
      </c>
      <c r="C517" s="152">
        <f>IF(סקר!D753&lt;2,1,סקר!D753)</f>
        <v>1</v>
      </c>
      <c r="D517" s="152">
        <f>סקר!C753</f>
        <v>0</v>
      </c>
      <c r="E517" s="152" t="str">
        <f>IFERROR(VLOOKUP(F517,[1]TreeType!$A:$E,5,0),"")</f>
        <v/>
      </c>
      <c r="F517" s="153" t="str">
        <f>IFERROR(VLOOKUP(D517,[1]TreeType!$A:$B,2,0),"")</f>
        <v/>
      </c>
      <c r="G517" s="72">
        <f>IF(B517&gt;0,IF(סקר!E753=0,1,סקר!E753),0)</f>
        <v>0</v>
      </c>
      <c r="H517" s="72">
        <f>IF(B517&gt;0,IF(סקר!F753 = 0,1,סקר!F753),0)</f>
        <v>0</v>
      </c>
      <c r="I517" s="152">
        <f>סקר!G753</f>
        <v>0</v>
      </c>
      <c r="J517" s="152">
        <f>סקר!H753</f>
        <v>0</v>
      </c>
      <c r="K517" s="152" t="e">
        <f>IF(D517="","",VLOOKUP(D517,[1]TreeType!$A$2:$E$508,3,3))</f>
        <v>#N/A</v>
      </c>
      <c r="L517" s="152">
        <f>IF(D517&gt;0,IF(סקר!M753=0,1,IF(סקר!M753=0,1,סקר!M753)),0)</f>
        <v>0</v>
      </c>
      <c r="M517" s="152">
        <f>סקר!J753</f>
        <v>0</v>
      </c>
      <c r="N517" s="152">
        <f>IF(D517&gt;0,IF(סקר!K753=0,1,IF(סקר!K753=0,1,סקר!K753)),0)</f>
        <v>0</v>
      </c>
      <c r="O517" s="152" t="e">
        <f t="shared" si="12"/>
        <v>#N/A</v>
      </c>
      <c r="P517" s="152">
        <f>IF(B517&gt;0,IF(סקר!O753 &lt;=1,1,סקר!O753),0)</f>
        <v>0</v>
      </c>
      <c r="Q517" s="152">
        <f>סקר!P753</f>
        <v>0</v>
      </c>
      <c r="R517" s="152">
        <f>סקר!R753</f>
        <v>0</v>
      </c>
      <c r="S517" s="152">
        <f>סקר!BC753</f>
        <v>0</v>
      </c>
      <c r="T517" s="156"/>
    </row>
    <row r="518" spans="1:20">
      <c r="A518" s="152" t="str">
        <f>IF(סקר!D754&lt;2,"עץ","פוליגון")</f>
        <v>עץ</v>
      </c>
      <c r="B518" s="152">
        <f>סקר!B754</f>
        <v>0</v>
      </c>
      <c r="C518" s="152">
        <f>IF(סקר!D754&lt;2,1,סקר!D754)</f>
        <v>1</v>
      </c>
      <c r="D518" s="152">
        <f>סקר!C754</f>
        <v>0</v>
      </c>
      <c r="E518" s="152" t="str">
        <f>IFERROR(VLOOKUP(F518,[1]TreeType!$A:$E,5,0),"")</f>
        <v/>
      </c>
      <c r="F518" s="153" t="str">
        <f>IFERROR(VLOOKUP(D518,[1]TreeType!$A:$B,2,0),"")</f>
        <v/>
      </c>
      <c r="G518" s="72">
        <f>IF(B518&gt;0,IF(סקר!E754=0,1,סקר!E754),0)</f>
        <v>0</v>
      </c>
      <c r="H518" s="72">
        <f>IF(B518&gt;0,IF(סקר!F754 = 0,1,סקר!F754),0)</f>
        <v>0</v>
      </c>
      <c r="I518" s="152">
        <f>סקר!G754</f>
        <v>0</v>
      </c>
      <c r="J518" s="152">
        <f>סקר!H754</f>
        <v>0</v>
      </c>
      <c r="K518" s="152" t="e">
        <f>IF(D518="","",VLOOKUP(D518,[1]TreeType!$A$2:$E$508,3,3))</f>
        <v>#N/A</v>
      </c>
      <c r="L518" s="152">
        <f>IF(D518&gt;0,IF(סקר!M754=0,1,IF(סקר!M754=0,1,סקר!M754)),0)</f>
        <v>0</v>
      </c>
      <c r="M518" s="152">
        <f>סקר!J754</f>
        <v>0</v>
      </c>
      <c r="N518" s="152">
        <f>IF(D518&gt;0,IF(סקר!K754=0,1,IF(סקר!K754=0,1,סקר!K754)),0)</f>
        <v>0</v>
      </c>
      <c r="O518" s="152" t="e">
        <f t="shared" si="12"/>
        <v>#N/A</v>
      </c>
      <c r="P518" s="152">
        <f>IF(B518&gt;0,IF(סקר!O754 &lt;=1,1,סקר!O754),0)</f>
        <v>0</v>
      </c>
      <c r="Q518" s="152">
        <f>סקר!P754</f>
        <v>0</v>
      </c>
      <c r="R518" s="152">
        <f>סקר!R754</f>
        <v>0</v>
      </c>
      <c r="S518" s="152">
        <f>סקר!BC754</f>
        <v>0</v>
      </c>
      <c r="T518" s="156"/>
    </row>
    <row r="519" spans="1:20">
      <c r="A519" s="152" t="str">
        <f>IF(סקר!D755&lt;2,"עץ","פוליגון")</f>
        <v>עץ</v>
      </c>
      <c r="B519" s="152">
        <f>סקר!B755</f>
        <v>0</v>
      </c>
      <c r="C519" s="152">
        <f>IF(סקר!D755&lt;2,1,סקר!D755)</f>
        <v>1</v>
      </c>
      <c r="D519" s="152">
        <f>סקר!C755</f>
        <v>0</v>
      </c>
      <c r="E519" s="152" t="str">
        <f>IFERROR(VLOOKUP(F519,[1]TreeType!$A:$E,5,0),"")</f>
        <v/>
      </c>
      <c r="F519" s="153" t="str">
        <f>IFERROR(VLOOKUP(D519,[1]TreeType!$A:$B,2,0),"")</f>
        <v/>
      </c>
      <c r="G519" s="72">
        <f>IF(B519&gt;0,IF(סקר!E755=0,1,סקר!E755),0)</f>
        <v>0</v>
      </c>
      <c r="H519" s="72">
        <f>IF(B519&gt;0,IF(סקר!F755 = 0,1,סקר!F755),0)</f>
        <v>0</v>
      </c>
      <c r="I519" s="152">
        <f>סקר!G755</f>
        <v>0</v>
      </c>
      <c r="J519" s="152">
        <f>סקר!H755</f>
        <v>0</v>
      </c>
      <c r="K519" s="152" t="e">
        <f>IF(D519="","",VLOOKUP(D519,[1]TreeType!$A$2:$E$508,3,3))</f>
        <v>#N/A</v>
      </c>
      <c r="L519" s="152">
        <f>IF(D519&gt;0,IF(סקר!M755=0,1,IF(סקר!M755=0,1,סקר!M755)),0)</f>
        <v>0</v>
      </c>
      <c r="M519" s="152">
        <f>סקר!J755</f>
        <v>0</v>
      </c>
      <c r="N519" s="152">
        <f>IF(D519&gt;0,IF(סקר!K755=0,1,IF(סקר!K755=0,1,סקר!K755)),0)</f>
        <v>0</v>
      </c>
      <c r="O519" s="152" t="e">
        <f t="shared" si="12"/>
        <v>#N/A</v>
      </c>
      <c r="P519" s="152">
        <f>IF(B519&gt;0,IF(סקר!O755 &lt;=1,1,סקר!O755),0)</f>
        <v>0</v>
      </c>
      <c r="Q519" s="152">
        <f>סקר!P755</f>
        <v>0</v>
      </c>
      <c r="R519" s="152">
        <f>סקר!R755</f>
        <v>0</v>
      </c>
      <c r="S519" s="152">
        <f>סקר!BC755</f>
        <v>0</v>
      </c>
      <c r="T519" s="156"/>
    </row>
    <row r="520" spans="1:20">
      <c r="A520" s="152" t="str">
        <f>IF(סקר!D756&lt;2,"עץ","פוליגון")</f>
        <v>עץ</v>
      </c>
      <c r="B520" s="152">
        <f>סקר!B756</f>
        <v>0</v>
      </c>
      <c r="C520" s="152">
        <f>IF(סקר!D756&lt;2,1,סקר!D756)</f>
        <v>1</v>
      </c>
      <c r="D520" s="152">
        <f>סקר!C756</f>
        <v>0</v>
      </c>
      <c r="E520" s="152" t="str">
        <f>IFERROR(VLOOKUP(F520,[1]TreeType!$A:$E,5,0),"")</f>
        <v/>
      </c>
      <c r="F520" s="153" t="str">
        <f>IFERROR(VLOOKUP(D520,[1]TreeType!$A:$B,2,0),"")</f>
        <v/>
      </c>
      <c r="G520" s="72">
        <f>IF(B520&gt;0,IF(סקר!E756=0,1,סקר!E756),0)</f>
        <v>0</v>
      </c>
      <c r="H520" s="72">
        <f>IF(B520&gt;0,IF(סקר!F756 = 0,1,סקר!F756),0)</f>
        <v>0</v>
      </c>
      <c r="I520" s="152">
        <f>סקר!G756</f>
        <v>0</v>
      </c>
      <c r="J520" s="152">
        <f>סקר!H756</f>
        <v>0</v>
      </c>
      <c r="K520" s="152" t="e">
        <f>IF(D520="","",VLOOKUP(D520,[1]TreeType!$A$2:$E$508,3,3))</f>
        <v>#N/A</v>
      </c>
      <c r="L520" s="152">
        <f>IF(D520&gt;0,IF(סקר!M756=0,1,IF(סקר!M756=0,1,סקר!M756)),0)</f>
        <v>0</v>
      </c>
      <c r="M520" s="152">
        <f>סקר!J756</f>
        <v>0</v>
      </c>
      <c r="N520" s="152">
        <f>IF(D520&gt;0,IF(סקר!K756=0,1,IF(סקר!K756=0,1,סקר!K756)),0)</f>
        <v>0</v>
      </c>
      <c r="O520" s="152" t="e">
        <f t="shared" si="12"/>
        <v>#N/A</v>
      </c>
      <c r="P520" s="152">
        <f>IF(B520&gt;0,IF(סקר!O756 &lt;=1,1,סקר!O756),0)</f>
        <v>0</v>
      </c>
      <c r="Q520" s="152">
        <f>סקר!P756</f>
        <v>0</v>
      </c>
      <c r="R520" s="152">
        <f>סקר!R756</f>
        <v>0</v>
      </c>
      <c r="S520" s="152">
        <f>סקר!BC756</f>
        <v>0</v>
      </c>
      <c r="T520" s="156"/>
    </row>
    <row r="521" spans="1:20">
      <c r="A521" s="152" t="str">
        <f>IF(סקר!D757&lt;2,"עץ","פוליגון")</f>
        <v>עץ</v>
      </c>
      <c r="B521" s="152">
        <f>סקר!B757</f>
        <v>0</v>
      </c>
      <c r="C521" s="152">
        <f>IF(סקר!D757&lt;2,1,סקר!D757)</f>
        <v>1</v>
      </c>
      <c r="D521" s="152">
        <f>סקר!C757</f>
        <v>0</v>
      </c>
      <c r="E521" s="152" t="str">
        <f>IFERROR(VLOOKUP(F521,[1]TreeType!$A:$E,5,0),"")</f>
        <v/>
      </c>
      <c r="F521" s="153" t="str">
        <f>IFERROR(VLOOKUP(D521,[1]TreeType!$A:$B,2,0),"")</f>
        <v/>
      </c>
      <c r="G521" s="72">
        <f>IF(B521&gt;0,IF(סקר!E757=0,1,סקר!E757),0)</f>
        <v>0</v>
      </c>
      <c r="H521" s="72">
        <f>IF(B521&gt;0,IF(סקר!F757 = 0,1,סקר!F757),0)</f>
        <v>0</v>
      </c>
      <c r="I521" s="152">
        <f>סקר!G757</f>
        <v>0</v>
      </c>
      <c r="J521" s="152">
        <f>סקר!H757</f>
        <v>0</v>
      </c>
      <c r="K521" s="152" t="e">
        <f>IF(D521="","",VLOOKUP(D521,[1]TreeType!$A$2:$E$508,3,3))</f>
        <v>#N/A</v>
      </c>
      <c r="L521" s="152">
        <f>IF(D521&gt;0,IF(סקר!M757=0,1,IF(סקר!M757=0,1,סקר!M757)),0)</f>
        <v>0</v>
      </c>
      <c r="M521" s="152">
        <f>סקר!J757</f>
        <v>0</v>
      </c>
      <c r="N521" s="152">
        <f>IF(D521&gt;0,IF(סקר!K757=0,1,IF(סקר!K757=0,1,סקר!K757)),0)</f>
        <v>0</v>
      </c>
      <c r="O521" s="152" t="e">
        <f t="shared" si="12"/>
        <v>#N/A</v>
      </c>
      <c r="P521" s="152">
        <f>IF(B521&gt;0,IF(סקר!O757 &lt;=1,1,סקר!O757),0)</f>
        <v>0</v>
      </c>
      <c r="Q521" s="152">
        <f>סקר!P757</f>
        <v>0</v>
      </c>
      <c r="R521" s="152">
        <f>סקר!R757</f>
        <v>0</v>
      </c>
      <c r="S521" s="152">
        <f>סקר!BC757</f>
        <v>0</v>
      </c>
      <c r="T521" s="156"/>
    </row>
    <row r="522" spans="1:20">
      <c r="A522" s="152" t="str">
        <f>IF(סקר!D758&lt;2,"עץ","פוליגון")</f>
        <v>עץ</v>
      </c>
      <c r="B522" s="152">
        <f>סקר!B758</f>
        <v>0</v>
      </c>
      <c r="C522" s="152">
        <f>IF(סקר!D758&lt;2,1,סקר!D758)</f>
        <v>1</v>
      </c>
      <c r="D522" s="152">
        <f>סקר!C758</f>
        <v>0</v>
      </c>
      <c r="E522" s="152" t="str">
        <f>IFERROR(VLOOKUP(F522,[1]TreeType!$A:$E,5,0),"")</f>
        <v/>
      </c>
      <c r="F522" s="153" t="str">
        <f>IFERROR(VLOOKUP(D522,[1]TreeType!$A:$B,2,0),"")</f>
        <v/>
      </c>
      <c r="G522" s="72">
        <f>IF(B522&gt;0,IF(סקר!E758=0,1,סקר!E758),0)</f>
        <v>0</v>
      </c>
      <c r="H522" s="72">
        <f>IF(B522&gt;0,IF(סקר!F758 = 0,1,סקר!F758),0)</f>
        <v>0</v>
      </c>
      <c r="I522" s="152">
        <f>סקר!G758</f>
        <v>0</v>
      </c>
      <c r="J522" s="152">
        <f>סקר!H758</f>
        <v>0</v>
      </c>
      <c r="K522" s="152" t="e">
        <f>IF(D522="","",VLOOKUP(D522,[1]TreeType!$A$2:$E$508,3,3))</f>
        <v>#N/A</v>
      </c>
      <c r="L522" s="152">
        <f>IF(D522&gt;0,IF(סקר!M758=0,1,IF(סקר!M758=0,1,סקר!M758)),0)</f>
        <v>0</v>
      </c>
      <c r="M522" s="152">
        <f>סקר!J758</f>
        <v>0</v>
      </c>
      <c r="N522" s="152">
        <f>IF(D522&gt;0,IF(סקר!K758=0,1,IF(סקר!K758=0,1,סקר!K758)),0)</f>
        <v>0</v>
      </c>
      <c r="O522" s="152" t="e">
        <f t="shared" si="12"/>
        <v>#N/A</v>
      </c>
      <c r="P522" s="152">
        <f>IF(B522&gt;0,IF(סקר!O758 &lt;=1,1,סקר!O758),0)</f>
        <v>0</v>
      </c>
      <c r="Q522" s="152">
        <f>סקר!P758</f>
        <v>0</v>
      </c>
      <c r="R522" s="152">
        <f>סקר!R758</f>
        <v>0</v>
      </c>
      <c r="S522" s="152">
        <f>סקר!BC758</f>
        <v>0</v>
      </c>
      <c r="T522" s="156"/>
    </row>
    <row r="523" spans="1:20">
      <c r="A523" s="152" t="str">
        <f>IF(סקר!D759&lt;2,"עץ","פוליגון")</f>
        <v>עץ</v>
      </c>
      <c r="B523" s="152">
        <f>סקר!B759</f>
        <v>0</v>
      </c>
      <c r="C523" s="152">
        <f>IF(סקר!D759&lt;2,1,סקר!D759)</f>
        <v>1</v>
      </c>
      <c r="D523" s="152">
        <f>סקר!C759</f>
        <v>0</v>
      </c>
      <c r="E523" s="152" t="str">
        <f>IFERROR(VLOOKUP(F523,[1]TreeType!$A:$E,5,0),"")</f>
        <v/>
      </c>
      <c r="F523" s="153" t="str">
        <f>IFERROR(VLOOKUP(D523,[1]TreeType!$A:$B,2,0),"")</f>
        <v/>
      </c>
      <c r="G523" s="72">
        <f>IF(B523&gt;0,IF(סקר!E759=0,1,סקר!E759),0)</f>
        <v>0</v>
      </c>
      <c r="H523" s="72">
        <f>IF(B523&gt;0,IF(סקר!F759 = 0,1,סקר!F759),0)</f>
        <v>0</v>
      </c>
      <c r="I523" s="152">
        <f>סקר!G759</f>
        <v>0</v>
      </c>
      <c r="J523" s="152">
        <f>סקר!H759</f>
        <v>0</v>
      </c>
      <c r="K523" s="152" t="e">
        <f>IF(D523="","",VLOOKUP(D523,[1]TreeType!$A$2:$E$508,3,3))</f>
        <v>#N/A</v>
      </c>
      <c r="L523" s="152">
        <f>IF(D523&gt;0,IF(סקר!M759=0,1,IF(סקר!M759=0,1,סקר!M759)),0)</f>
        <v>0</v>
      </c>
      <c r="M523" s="152">
        <f>סקר!J759</f>
        <v>0</v>
      </c>
      <c r="N523" s="152">
        <f>IF(D523&gt;0,IF(סקר!K759=0,1,IF(סקר!K759=0,1,סקר!K759)),0)</f>
        <v>0</v>
      </c>
      <c r="O523" s="152" t="e">
        <f t="shared" si="12"/>
        <v>#N/A</v>
      </c>
      <c r="P523" s="152">
        <f>IF(B523&gt;0,IF(סקר!O759 &lt;=1,1,סקר!O759),0)</f>
        <v>0</v>
      </c>
      <c r="Q523" s="152">
        <f>סקר!P759</f>
        <v>0</v>
      </c>
      <c r="R523" s="152">
        <f>סקר!R759</f>
        <v>0</v>
      </c>
      <c r="S523" s="152">
        <f>סקר!BC759</f>
        <v>0</v>
      </c>
      <c r="T523" s="156"/>
    </row>
    <row r="524" spans="1:20">
      <c r="A524" s="152" t="str">
        <f>IF(סקר!D760&lt;2,"עץ","פוליגון")</f>
        <v>עץ</v>
      </c>
      <c r="B524" s="152">
        <f>סקר!B760</f>
        <v>0</v>
      </c>
      <c r="C524" s="152">
        <f>IF(סקר!D760&lt;2,1,סקר!D760)</f>
        <v>1</v>
      </c>
      <c r="D524" s="152">
        <f>סקר!C760</f>
        <v>0</v>
      </c>
      <c r="E524" s="152" t="str">
        <f>IFERROR(VLOOKUP(F524,[1]TreeType!$A:$E,5,0),"")</f>
        <v/>
      </c>
      <c r="F524" s="153" t="str">
        <f>IFERROR(VLOOKUP(D524,[1]TreeType!$A:$B,2,0),"")</f>
        <v/>
      </c>
      <c r="G524" s="72">
        <f>IF(B524&gt;0,IF(סקר!E760=0,1,סקר!E760),0)</f>
        <v>0</v>
      </c>
      <c r="H524" s="72">
        <f>IF(B524&gt;0,IF(סקר!F760 = 0,1,סקר!F760),0)</f>
        <v>0</v>
      </c>
      <c r="I524" s="152">
        <f>סקר!G760</f>
        <v>0</v>
      </c>
      <c r="J524" s="152">
        <f>סקר!H760</f>
        <v>0</v>
      </c>
      <c r="K524" s="152" t="e">
        <f>IF(D524="","",VLOOKUP(D524,[1]TreeType!$A$2:$E$508,3,3))</f>
        <v>#N/A</v>
      </c>
      <c r="L524" s="152">
        <f>IF(D524&gt;0,IF(סקר!M760=0,1,IF(סקר!M760=0,1,סקר!M760)),0)</f>
        <v>0</v>
      </c>
      <c r="M524" s="152">
        <f>סקר!J760</f>
        <v>0</v>
      </c>
      <c r="N524" s="152">
        <f>IF(D524&gt;0,IF(סקר!K760=0,1,IF(סקר!K760=0,1,סקר!K760)),0)</f>
        <v>0</v>
      </c>
      <c r="O524" s="152" t="e">
        <f t="shared" si="12"/>
        <v>#N/A</v>
      </c>
      <c r="P524" s="152">
        <f>IF(B524&gt;0,IF(סקר!O760 &lt;=1,1,סקר!O760),0)</f>
        <v>0</v>
      </c>
      <c r="Q524" s="152">
        <f>סקר!P760</f>
        <v>0</v>
      </c>
      <c r="R524" s="152">
        <f>סקר!R760</f>
        <v>0</v>
      </c>
      <c r="S524" s="152">
        <f>סקר!BC760</f>
        <v>0</v>
      </c>
      <c r="T524" s="156"/>
    </row>
    <row r="525" spans="1:20">
      <c r="A525" s="152" t="str">
        <f>IF(סקר!D761&lt;2,"עץ","פוליגון")</f>
        <v>עץ</v>
      </c>
      <c r="B525" s="152">
        <f>סקר!B761</f>
        <v>0</v>
      </c>
      <c r="C525" s="152">
        <f>IF(סקר!D761&lt;2,1,סקר!D761)</f>
        <v>1</v>
      </c>
      <c r="D525" s="152">
        <f>סקר!C761</f>
        <v>0</v>
      </c>
      <c r="E525" s="152" t="str">
        <f>IFERROR(VLOOKUP(F525,[1]TreeType!$A:$E,5,0),"")</f>
        <v/>
      </c>
      <c r="F525" s="153" t="str">
        <f>IFERROR(VLOOKUP(D525,[1]TreeType!$A:$B,2,0),"")</f>
        <v/>
      </c>
      <c r="G525" s="72">
        <f>IF(B525&gt;0,IF(סקר!E761=0,1,סקר!E761),0)</f>
        <v>0</v>
      </c>
      <c r="H525" s="72">
        <f>IF(B525&gt;0,IF(סקר!F761 = 0,1,סקר!F761),0)</f>
        <v>0</v>
      </c>
      <c r="I525" s="152">
        <f>סקר!G761</f>
        <v>0</v>
      </c>
      <c r="J525" s="152">
        <f>סקר!H761</f>
        <v>0</v>
      </c>
      <c r="K525" s="152" t="e">
        <f>IF(D525="","",VLOOKUP(D525,[1]TreeType!$A$2:$E$508,3,3))</f>
        <v>#N/A</v>
      </c>
      <c r="L525" s="152">
        <f>IF(D525&gt;0,IF(סקר!M761=0,1,IF(סקר!M761=0,1,סקר!M761)),0)</f>
        <v>0</v>
      </c>
      <c r="M525" s="152">
        <f>סקר!J761</f>
        <v>0</v>
      </c>
      <c r="N525" s="152">
        <f>IF(D525&gt;0,IF(סקר!K761=0,1,IF(סקר!K761=0,1,סקר!K761)),0)</f>
        <v>0</v>
      </c>
      <c r="O525" s="152" t="e">
        <f t="shared" si="12"/>
        <v>#N/A</v>
      </c>
      <c r="P525" s="152">
        <f>IF(B525&gt;0,IF(סקר!O761 &lt;=1,1,סקר!O761),0)</f>
        <v>0</v>
      </c>
      <c r="Q525" s="152">
        <f>סקר!P761</f>
        <v>0</v>
      </c>
      <c r="R525" s="152">
        <f>סקר!R761</f>
        <v>0</v>
      </c>
      <c r="S525" s="152">
        <f>סקר!BC761</f>
        <v>0</v>
      </c>
      <c r="T525" s="156"/>
    </row>
    <row r="526" spans="1:20">
      <c r="A526" s="152" t="str">
        <f>IF(סקר!D762&lt;2,"עץ","פוליגון")</f>
        <v>עץ</v>
      </c>
      <c r="B526" s="152">
        <f>סקר!B762</f>
        <v>0</v>
      </c>
      <c r="C526" s="152">
        <f>IF(סקר!D762&lt;2,1,סקר!D762)</f>
        <v>1</v>
      </c>
      <c r="D526" s="152">
        <f>סקר!C762</f>
        <v>0</v>
      </c>
      <c r="E526" s="152" t="str">
        <f>IFERROR(VLOOKUP(F526,[1]TreeType!$A:$E,5,0),"")</f>
        <v/>
      </c>
      <c r="F526" s="153" t="str">
        <f>IFERROR(VLOOKUP(D526,[1]TreeType!$A:$B,2,0),"")</f>
        <v/>
      </c>
      <c r="G526" s="72">
        <f>IF(B526&gt;0,IF(סקר!E762=0,1,סקר!E762),0)</f>
        <v>0</v>
      </c>
      <c r="H526" s="72">
        <f>IF(B526&gt;0,IF(סקר!F762 = 0,1,סקר!F762),0)</f>
        <v>0</v>
      </c>
      <c r="I526" s="152">
        <f>סקר!G762</f>
        <v>0</v>
      </c>
      <c r="J526" s="152">
        <f>סקר!H762</f>
        <v>0</v>
      </c>
      <c r="K526" s="152" t="e">
        <f>IF(D526="","",VLOOKUP(D526,[1]TreeType!$A$2:$E$508,3,3))</f>
        <v>#N/A</v>
      </c>
      <c r="L526" s="152">
        <f>IF(D526&gt;0,IF(סקר!M762=0,1,IF(סקר!M762=0,1,סקר!M762)),0)</f>
        <v>0</v>
      </c>
      <c r="M526" s="152">
        <f>סקר!J762</f>
        <v>0</v>
      </c>
      <c r="N526" s="152">
        <f>IF(D526&gt;0,IF(סקר!K762=0,1,IF(סקר!K762=0,1,סקר!K762)),0)</f>
        <v>0</v>
      </c>
      <c r="O526" s="152" t="e">
        <f t="shared" si="12"/>
        <v>#N/A</v>
      </c>
      <c r="P526" s="152">
        <f>IF(B526&gt;0,IF(סקר!O762 &lt;=1,1,סקר!O762),0)</f>
        <v>0</v>
      </c>
      <c r="Q526" s="152">
        <f>סקר!P762</f>
        <v>0</v>
      </c>
      <c r="R526" s="152">
        <f>סקר!R762</f>
        <v>0</v>
      </c>
      <c r="S526" s="152">
        <f>סקר!BC762</f>
        <v>0</v>
      </c>
      <c r="T526" s="156"/>
    </row>
    <row r="527" spans="1:20">
      <c r="A527" s="152" t="str">
        <f>IF(סקר!D763&lt;2,"עץ","פוליגון")</f>
        <v>עץ</v>
      </c>
      <c r="B527" s="152">
        <f>סקר!B763</f>
        <v>0</v>
      </c>
      <c r="C527" s="152">
        <f>IF(סקר!D763&lt;2,1,סקר!D763)</f>
        <v>1</v>
      </c>
      <c r="D527" s="152">
        <f>סקר!C763</f>
        <v>0</v>
      </c>
      <c r="E527" s="152" t="str">
        <f>IFERROR(VLOOKUP(F527,[1]TreeType!$A:$E,5,0),"")</f>
        <v/>
      </c>
      <c r="F527" s="153" t="str">
        <f>IFERROR(VLOOKUP(D527,[1]TreeType!$A:$B,2,0),"")</f>
        <v/>
      </c>
      <c r="G527" s="72">
        <f>IF(B527&gt;0,IF(סקר!E763=0,1,סקר!E763),0)</f>
        <v>0</v>
      </c>
      <c r="H527" s="72">
        <f>IF(B527&gt;0,IF(סקר!F763 = 0,1,סקר!F763),0)</f>
        <v>0</v>
      </c>
      <c r="I527" s="152">
        <f>סקר!G763</f>
        <v>0</v>
      </c>
      <c r="J527" s="152">
        <f>סקר!H763</f>
        <v>0</v>
      </c>
      <c r="K527" s="152" t="e">
        <f>IF(D527="","",VLOOKUP(D527,[1]TreeType!$A$2:$E$508,3,3))</f>
        <v>#N/A</v>
      </c>
      <c r="L527" s="152">
        <f>IF(D527&gt;0,IF(סקר!M763=0,1,IF(סקר!M763=0,1,סקר!M763)),0)</f>
        <v>0</v>
      </c>
      <c r="M527" s="152">
        <f>סקר!J763</f>
        <v>0</v>
      </c>
      <c r="N527" s="152">
        <f>IF(D527&gt;0,IF(סקר!K763=0,1,IF(סקר!K763=0,1,סקר!K763)),0)</f>
        <v>0</v>
      </c>
      <c r="O527" s="152" t="e">
        <f t="shared" si="12"/>
        <v>#N/A</v>
      </c>
      <c r="P527" s="152">
        <f>IF(B527&gt;0,IF(סקר!O763 &lt;=1,1,סקר!O763),0)</f>
        <v>0</v>
      </c>
      <c r="Q527" s="152">
        <f>סקר!P763</f>
        <v>0</v>
      </c>
      <c r="R527" s="152">
        <f>סקר!R763</f>
        <v>0</v>
      </c>
      <c r="S527" s="152">
        <f>סקר!BC763</f>
        <v>0</v>
      </c>
      <c r="T527" s="156"/>
    </row>
    <row r="528" spans="1:20">
      <c r="A528" s="152" t="str">
        <f>IF(סקר!D764&lt;2,"עץ","פוליגון")</f>
        <v>עץ</v>
      </c>
      <c r="B528" s="152">
        <f>סקר!B764</f>
        <v>0</v>
      </c>
      <c r="C528" s="152">
        <f>IF(סקר!D764&lt;2,1,סקר!D764)</f>
        <v>1</v>
      </c>
      <c r="D528" s="152">
        <f>סקר!C764</f>
        <v>0</v>
      </c>
      <c r="E528" s="152" t="str">
        <f>IFERROR(VLOOKUP(F528,[1]TreeType!$A:$E,5,0),"")</f>
        <v/>
      </c>
      <c r="F528" s="153" t="str">
        <f>IFERROR(VLOOKUP(D528,[1]TreeType!$A:$B,2,0),"")</f>
        <v/>
      </c>
      <c r="G528" s="72">
        <f>IF(B528&gt;0,IF(סקר!E764=0,1,סקר!E764),0)</f>
        <v>0</v>
      </c>
      <c r="H528" s="72">
        <f>IF(B528&gt;0,IF(סקר!F764 = 0,1,סקר!F764),0)</f>
        <v>0</v>
      </c>
      <c r="I528" s="152">
        <f>סקר!G764</f>
        <v>0</v>
      </c>
      <c r="J528" s="152">
        <f>סקר!H764</f>
        <v>0</v>
      </c>
      <c r="K528" s="152" t="e">
        <f>IF(D528="","",VLOOKUP(D528,[1]TreeType!$A$2:$E$508,3,3))</f>
        <v>#N/A</v>
      </c>
      <c r="L528" s="152">
        <f>IF(D528&gt;0,IF(סקר!M764=0,1,IF(סקר!M764=0,1,סקר!M764)),0)</f>
        <v>0</v>
      </c>
      <c r="M528" s="152">
        <f>סקר!J764</f>
        <v>0</v>
      </c>
      <c r="N528" s="152">
        <f>IF(D528&gt;0,IF(סקר!K764=0,1,IF(סקר!K764=0,1,סקר!K764)),0)</f>
        <v>0</v>
      </c>
      <c r="O528" s="152" t="e">
        <f t="shared" si="12"/>
        <v>#N/A</v>
      </c>
      <c r="P528" s="152">
        <f>IF(B528&gt;0,IF(סקר!O764 &lt;=1,1,סקר!O764),0)</f>
        <v>0</v>
      </c>
      <c r="Q528" s="152">
        <f>סקר!P764</f>
        <v>0</v>
      </c>
      <c r="R528" s="152">
        <f>סקר!R764</f>
        <v>0</v>
      </c>
      <c r="S528" s="152">
        <f>סקר!BC764</f>
        <v>0</v>
      </c>
      <c r="T528" s="156"/>
    </row>
    <row r="529" spans="1:20">
      <c r="A529" s="152" t="str">
        <f>IF(סקר!D765&lt;2,"עץ","פוליגון")</f>
        <v>עץ</v>
      </c>
      <c r="B529" s="152">
        <f>סקר!B765</f>
        <v>0</v>
      </c>
      <c r="C529" s="152">
        <f>IF(סקר!D765&lt;2,1,סקר!D765)</f>
        <v>1</v>
      </c>
      <c r="D529" s="152">
        <f>סקר!C765</f>
        <v>0</v>
      </c>
      <c r="E529" s="152" t="str">
        <f>IFERROR(VLOOKUP(F529,[1]TreeType!$A:$E,5,0),"")</f>
        <v/>
      </c>
      <c r="F529" s="153" t="str">
        <f>IFERROR(VLOOKUP(D529,[1]TreeType!$A:$B,2,0),"")</f>
        <v/>
      </c>
      <c r="G529" s="72">
        <f>IF(B529&gt;0,IF(סקר!E765=0,1,סקר!E765),0)</f>
        <v>0</v>
      </c>
      <c r="H529" s="72">
        <f>IF(B529&gt;0,IF(סקר!F765 = 0,1,סקר!F765),0)</f>
        <v>0</v>
      </c>
      <c r="I529" s="152">
        <f>סקר!G765</f>
        <v>0</v>
      </c>
      <c r="J529" s="152">
        <f>סקר!H765</f>
        <v>0</v>
      </c>
      <c r="K529" s="152" t="e">
        <f>IF(D529="","",VLOOKUP(D529,[1]TreeType!$A$2:$E$508,3,3))</f>
        <v>#N/A</v>
      </c>
      <c r="L529" s="152">
        <f>IF(D529&gt;0,IF(סקר!M765=0,1,IF(סקר!M765=0,1,סקר!M765)),0)</f>
        <v>0</v>
      </c>
      <c r="M529" s="152">
        <f>סקר!J765</f>
        <v>0</v>
      </c>
      <c r="N529" s="152">
        <f>IF(D529&gt;0,IF(סקר!K765=0,1,IF(סקר!K765=0,1,סקר!K765)),0)</f>
        <v>0</v>
      </c>
      <c r="O529" s="152" t="e">
        <f t="shared" si="12"/>
        <v>#N/A</v>
      </c>
      <c r="P529" s="152">
        <f>IF(B529&gt;0,IF(סקר!O765 &lt;=1,1,סקר!O765),0)</f>
        <v>0</v>
      </c>
      <c r="Q529" s="152">
        <f>סקר!P765</f>
        <v>0</v>
      </c>
      <c r="R529" s="152">
        <f>סקר!R765</f>
        <v>0</v>
      </c>
      <c r="S529" s="152">
        <f>סקר!BC765</f>
        <v>0</v>
      </c>
      <c r="T529" s="156"/>
    </row>
    <row r="530" spans="1:20">
      <c r="A530" s="152" t="str">
        <f>IF(סקר!D766&lt;2,"עץ","פוליגון")</f>
        <v>עץ</v>
      </c>
      <c r="B530" s="152">
        <f>סקר!B766</f>
        <v>0</v>
      </c>
      <c r="C530" s="152">
        <f>IF(סקר!D766&lt;2,1,סקר!D766)</f>
        <v>1</v>
      </c>
      <c r="D530" s="152">
        <f>סקר!C766</f>
        <v>0</v>
      </c>
      <c r="E530" s="152" t="str">
        <f>IFERROR(VLOOKUP(F530,[1]TreeType!$A:$E,5,0),"")</f>
        <v/>
      </c>
      <c r="F530" s="153" t="str">
        <f>IFERROR(VLOOKUP(D530,[1]TreeType!$A:$B,2,0),"")</f>
        <v/>
      </c>
      <c r="G530" s="72">
        <f>IF(B530&gt;0,IF(סקר!E766=0,1,סקר!E766),0)</f>
        <v>0</v>
      </c>
      <c r="H530" s="72">
        <f>IF(B530&gt;0,IF(סקר!F766 = 0,1,סקר!F766),0)</f>
        <v>0</v>
      </c>
      <c r="I530" s="152">
        <f>סקר!G766</f>
        <v>0</v>
      </c>
      <c r="J530" s="152">
        <f>סקר!H766</f>
        <v>0</v>
      </c>
      <c r="K530" s="152" t="e">
        <f>IF(D530="","",VLOOKUP(D530,[1]TreeType!$A$2:$E$508,3,3))</f>
        <v>#N/A</v>
      </c>
      <c r="L530" s="152">
        <f>IF(D530&gt;0,IF(סקר!M766=0,1,IF(סקר!M766=0,1,סקר!M766)),0)</f>
        <v>0</v>
      </c>
      <c r="M530" s="152">
        <f>סקר!J766</f>
        <v>0</v>
      </c>
      <c r="N530" s="152">
        <f>IF(D530&gt;0,IF(סקר!K766=0,1,IF(סקר!K766=0,1,סקר!K766)),0)</f>
        <v>0</v>
      </c>
      <c r="O530" s="152" t="e">
        <f t="shared" si="12"/>
        <v>#N/A</v>
      </c>
      <c r="P530" s="152">
        <f>IF(B530&gt;0,IF(סקר!O766 &lt;=1,1,סקר!O766),0)</f>
        <v>0</v>
      </c>
      <c r="Q530" s="152">
        <f>סקר!P766</f>
        <v>0</v>
      </c>
      <c r="R530" s="152">
        <f>סקר!R766</f>
        <v>0</v>
      </c>
      <c r="S530" s="152">
        <f>סקר!BC766</f>
        <v>0</v>
      </c>
      <c r="T530" s="156"/>
    </row>
    <row r="531" spans="1:20">
      <c r="A531" s="152" t="str">
        <f>IF(סקר!D767&lt;2,"עץ","פוליגון")</f>
        <v>עץ</v>
      </c>
      <c r="B531" s="152">
        <f>סקר!B767</f>
        <v>0</v>
      </c>
      <c r="C531" s="152">
        <f>IF(סקר!D767&lt;2,1,סקר!D767)</f>
        <v>1</v>
      </c>
      <c r="D531" s="152">
        <f>סקר!C767</f>
        <v>0</v>
      </c>
      <c r="E531" s="152" t="str">
        <f>IFERROR(VLOOKUP(F531,[1]TreeType!$A:$E,5,0),"")</f>
        <v/>
      </c>
      <c r="F531" s="153" t="str">
        <f>IFERROR(VLOOKUP(D531,[1]TreeType!$A:$B,2,0),"")</f>
        <v/>
      </c>
      <c r="G531" s="72">
        <f>IF(B531&gt;0,IF(סקר!E767=0,1,סקר!E767),0)</f>
        <v>0</v>
      </c>
      <c r="H531" s="72">
        <f>IF(B531&gt;0,IF(סקר!F767 = 0,1,סקר!F767),0)</f>
        <v>0</v>
      </c>
      <c r="I531" s="152">
        <f>סקר!G767</f>
        <v>0</v>
      </c>
      <c r="J531" s="152">
        <f>סקר!H767</f>
        <v>0</v>
      </c>
      <c r="K531" s="152" t="e">
        <f>IF(D531="","",VLOOKUP(D531,[1]TreeType!$A$2:$E$508,3,3))</f>
        <v>#N/A</v>
      </c>
      <c r="L531" s="152">
        <f>IF(D531&gt;0,IF(סקר!M767=0,1,IF(סקר!M767=0,1,סקר!M767)),0)</f>
        <v>0</v>
      </c>
      <c r="M531" s="152">
        <f>סקר!J767</f>
        <v>0</v>
      </c>
      <c r="N531" s="152">
        <f>IF(D531&gt;0,IF(סקר!K767=0,1,IF(סקר!K767=0,1,סקר!K767)),0)</f>
        <v>0</v>
      </c>
      <c r="O531" s="152" t="e">
        <f t="shared" si="12"/>
        <v>#N/A</v>
      </c>
      <c r="P531" s="152">
        <f>IF(B531&gt;0,IF(סקר!O767 &lt;=1,1,סקר!O767),0)</f>
        <v>0</v>
      </c>
      <c r="Q531" s="152">
        <f>סקר!P767</f>
        <v>0</v>
      </c>
      <c r="R531" s="152">
        <f>סקר!R767</f>
        <v>0</v>
      </c>
      <c r="S531" s="152">
        <f>סקר!BC767</f>
        <v>0</v>
      </c>
      <c r="T531" s="156"/>
    </row>
    <row r="532" spans="1:20">
      <c r="A532" s="152" t="str">
        <f>IF(סקר!D768&lt;2,"עץ","פוליגון")</f>
        <v>עץ</v>
      </c>
      <c r="B532" s="152">
        <f>סקר!B768</f>
        <v>0</v>
      </c>
      <c r="C532" s="152">
        <f>IF(סקר!D768&lt;2,1,סקר!D768)</f>
        <v>1</v>
      </c>
      <c r="D532" s="152">
        <f>סקר!C768</f>
        <v>0</v>
      </c>
      <c r="E532" s="152" t="str">
        <f>IFERROR(VLOOKUP(F532,[1]TreeType!$A:$E,5,0),"")</f>
        <v/>
      </c>
      <c r="F532" s="153" t="str">
        <f>IFERROR(VLOOKUP(D532,[1]TreeType!$A:$B,2,0),"")</f>
        <v/>
      </c>
      <c r="G532" s="72">
        <f>IF(B532&gt;0,IF(סקר!E768=0,1,סקר!E768),0)</f>
        <v>0</v>
      </c>
      <c r="H532" s="72">
        <f>IF(B532&gt;0,IF(סקר!F768 = 0,1,סקר!F768),0)</f>
        <v>0</v>
      </c>
      <c r="I532" s="152">
        <f>סקר!G768</f>
        <v>0</v>
      </c>
      <c r="J532" s="152">
        <f>סקר!H768</f>
        <v>0</v>
      </c>
      <c r="K532" s="152" t="e">
        <f>IF(D532="","",VLOOKUP(D532,[1]TreeType!$A$2:$E$508,3,3))</f>
        <v>#N/A</v>
      </c>
      <c r="L532" s="152">
        <f>IF(D532&gt;0,IF(סקר!M768=0,1,IF(סקר!M768=0,1,סקר!M768)),0)</f>
        <v>0</v>
      </c>
      <c r="M532" s="152">
        <f>סקר!J768</f>
        <v>0</v>
      </c>
      <c r="N532" s="152">
        <f>IF(D532&gt;0,IF(סקר!K768=0,1,IF(סקר!K768=0,1,סקר!K768)),0)</f>
        <v>0</v>
      </c>
      <c r="O532" s="152" t="e">
        <f t="shared" si="12"/>
        <v>#N/A</v>
      </c>
      <c r="P532" s="152">
        <f>IF(B532&gt;0,IF(סקר!O768 &lt;=1,1,סקר!O768),0)</f>
        <v>0</v>
      </c>
      <c r="Q532" s="152">
        <f>סקר!P768</f>
        <v>0</v>
      </c>
      <c r="R532" s="152">
        <f>סקר!R768</f>
        <v>0</v>
      </c>
      <c r="S532" s="152">
        <f>סקר!BC768</f>
        <v>0</v>
      </c>
      <c r="T532" s="156"/>
    </row>
    <row r="533" spans="1:20">
      <c r="A533" s="152" t="str">
        <f>IF(סקר!D769&lt;2,"עץ","פוליגון")</f>
        <v>עץ</v>
      </c>
      <c r="B533" s="152">
        <f>סקר!B769</f>
        <v>0</v>
      </c>
      <c r="C533" s="152">
        <f>IF(סקר!D769&lt;2,1,סקר!D769)</f>
        <v>1</v>
      </c>
      <c r="D533" s="152">
        <f>סקר!C769</f>
        <v>0</v>
      </c>
      <c r="E533" s="152" t="str">
        <f>IFERROR(VLOOKUP(F533,[1]TreeType!$A:$E,5,0),"")</f>
        <v/>
      </c>
      <c r="F533" s="153" t="str">
        <f>IFERROR(VLOOKUP(D533,[1]TreeType!$A:$B,2,0),"")</f>
        <v/>
      </c>
      <c r="G533" s="72">
        <f>IF(B533&gt;0,IF(סקר!E769=0,1,סקר!E769),0)</f>
        <v>0</v>
      </c>
      <c r="H533" s="72">
        <f>IF(B533&gt;0,IF(סקר!F769 = 0,1,סקר!F769),0)</f>
        <v>0</v>
      </c>
      <c r="I533" s="152">
        <f>סקר!G769</f>
        <v>0</v>
      </c>
      <c r="J533" s="152">
        <f>סקר!H769</f>
        <v>0</v>
      </c>
      <c r="K533" s="152" t="e">
        <f>IF(D533="","",VLOOKUP(D533,[1]TreeType!$A$2:$E$508,3,3))</f>
        <v>#N/A</v>
      </c>
      <c r="L533" s="152">
        <f>IF(D533&gt;0,IF(סקר!M769=0,1,IF(סקר!M769=0,1,סקר!M769)),0)</f>
        <v>0</v>
      </c>
      <c r="M533" s="152">
        <f>סקר!J769</f>
        <v>0</v>
      </c>
      <c r="N533" s="152">
        <f>IF(D533&gt;0,IF(סקר!K769=0,1,IF(סקר!K769=0,1,סקר!K769)),0)</f>
        <v>0</v>
      </c>
      <c r="O533" s="152" t="e">
        <f t="shared" si="12"/>
        <v>#N/A</v>
      </c>
      <c r="P533" s="152">
        <f>IF(B533&gt;0,IF(סקר!O769 &lt;=1,1,סקר!O769),0)</f>
        <v>0</v>
      </c>
      <c r="Q533" s="152">
        <f>סקר!P769</f>
        <v>0</v>
      </c>
      <c r="R533" s="152">
        <f>סקר!R769</f>
        <v>0</v>
      </c>
      <c r="S533" s="152">
        <f>סקר!BC769</f>
        <v>0</v>
      </c>
      <c r="T533" s="156"/>
    </row>
    <row r="534" spans="1:20">
      <c r="A534" s="152" t="str">
        <f>IF(סקר!D770&lt;2,"עץ","פוליגון")</f>
        <v>עץ</v>
      </c>
      <c r="B534" s="152">
        <f>סקר!B770</f>
        <v>0</v>
      </c>
      <c r="C534" s="152">
        <f>IF(סקר!D770&lt;2,1,סקר!D770)</f>
        <v>1</v>
      </c>
      <c r="D534" s="152">
        <f>סקר!C770</f>
        <v>0</v>
      </c>
      <c r="E534" s="152" t="str">
        <f>IFERROR(VLOOKUP(F534,[1]TreeType!$A:$E,5,0),"")</f>
        <v/>
      </c>
      <c r="F534" s="153" t="str">
        <f>IFERROR(VLOOKUP(D534,[1]TreeType!$A:$B,2,0),"")</f>
        <v/>
      </c>
      <c r="G534" s="72">
        <f>IF(B534&gt;0,IF(סקר!E770=0,1,סקר!E770),0)</f>
        <v>0</v>
      </c>
      <c r="H534" s="72">
        <f>IF(B534&gt;0,IF(סקר!F770 = 0,1,סקר!F770),0)</f>
        <v>0</v>
      </c>
      <c r="I534" s="152">
        <f>סקר!G770</f>
        <v>0</v>
      </c>
      <c r="J534" s="152">
        <f>סקר!H770</f>
        <v>0</v>
      </c>
      <c r="K534" s="152" t="e">
        <f>IF(D534="","",VLOOKUP(D534,[1]TreeType!$A$2:$E$508,3,3))</f>
        <v>#N/A</v>
      </c>
      <c r="L534" s="152">
        <f>IF(D534&gt;0,IF(סקר!M770=0,1,IF(סקר!M770=0,1,סקר!M770)),0)</f>
        <v>0</v>
      </c>
      <c r="M534" s="152">
        <f>סקר!J770</f>
        <v>0</v>
      </c>
      <c r="N534" s="152">
        <f>IF(D534&gt;0,IF(סקר!K770=0,1,IF(סקר!K770=0,1,סקר!K770)),0)</f>
        <v>0</v>
      </c>
      <c r="O534" s="152" t="e">
        <f t="shared" si="12"/>
        <v>#N/A</v>
      </c>
      <c r="P534" s="152">
        <f>IF(B534&gt;0,IF(סקר!O770 &lt;=1,1,סקר!O770),0)</f>
        <v>0</v>
      </c>
      <c r="Q534" s="152">
        <f>סקר!P770</f>
        <v>0</v>
      </c>
      <c r="R534" s="152">
        <f>סקר!R770</f>
        <v>0</v>
      </c>
      <c r="S534" s="152">
        <f>סקר!BC770</f>
        <v>0</v>
      </c>
      <c r="T534" s="156"/>
    </row>
    <row r="535" spans="1:20">
      <c r="A535" s="152" t="str">
        <f>IF(סקר!D771&lt;2,"עץ","פוליגון")</f>
        <v>עץ</v>
      </c>
      <c r="B535" s="152">
        <f>סקר!B771</f>
        <v>0</v>
      </c>
      <c r="C535" s="152">
        <f>IF(סקר!D771&lt;2,1,סקר!D771)</f>
        <v>1</v>
      </c>
      <c r="D535" s="152">
        <f>סקר!C771</f>
        <v>0</v>
      </c>
      <c r="E535" s="152" t="str">
        <f>IFERROR(VLOOKUP(F535,[1]TreeType!$A:$E,5,0),"")</f>
        <v/>
      </c>
      <c r="F535" s="153" t="str">
        <f>IFERROR(VLOOKUP(D535,[1]TreeType!$A:$B,2,0),"")</f>
        <v/>
      </c>
      <c r="G535" s="72">
        <f>IF(B535&gt;0,IF(סקר!E771=0,1,סקר!E771),0)</f>
        <v>0</v>
      </c>
      <c r="H535" s="72">
        <f>IF(B535&gt;0,IF(סקר!F771 = 0,1,סקר!F771),0)</f>
        <v>0</v>
      </c>
      <c r="I535" s="152">
        <f>סקר!G771</f>
        <v>0</v>
      </c>
      <c r="J535" s="152">
        <f>סקר!H771</f>
        <v>0</v>
      </c>
      <c r="K535" s="152" t="e">
        <f>IF(D535="","",VLOOKUP(D535,[1]TreeType!$A$2:$E$508,3,3))</f>
        <v>#N/A</v>
      </c>
      <c r="L535" s="152">
        <f>IF(D535&gt;0,IF(סקר!M771=0,1,IF(סקר!M771=0,1,סקר!M771)),0)</f>
        <v>0</v>
      </c>
      <c r="M535" s="152">
        <f>סקר!J771</f>
        <v>0</v>
      </c>
      <c r="N535" s="152">
        <f>IF(D535&gt;0,IF(סקר!K771=0,1,IF(סקר!K771=0,1,סקר!K771)),0)</f>
        <v>0</v>
      </c>
      <c r="O535" s="152" t="e">
        <f t="shared" si="12"/>
        <v>#N/A</v>
      </c>
      <c r="P535" s="152">
        <f>IF(B535&gt;0,IF(סקר!O771 &lt;=1,1,סקר!O771),0)</f>
        <v>0</v>
      </c>
      <c r="Q535" s="152">
        <f>סקר!P771</f>
        <v>0</v>
      </c>
      <c r="R535" s="152">
        <f>סקר!R771</f>
        <v>0</v>
      </c>
      <c r="S535" s="152">
        <f>סקר!BC771</f>
        <v>0</v>
      </c>
      <c r="T535" s="156"/>
    </row>
    <row r="536" spans="1:20">
      <c r="A536" s="152" t="str">
        <f>IF(סקר!D772&lt;2,"עץ","פוליגון")</f>
        <v>עץ</v>
      </c>
      <c r="B536" s="152">
        <f>סקר!B772</f>
        <v>0</v>
      </c>
      <c r="C536" s="152">
        <f>IF(סקר!D772&lt;2,1,סקר!D772)</f>
        <v>1</v>
      </c>
      <c r="D536" s="152">
        <f>סקר!C772</f>
        <v>0</v>
      </c>
      <c r="E536" s="152" t="str">
        <f>IFERROR(VLOOKUP(F536,[1]TreeType!$A:$E,5,0),"")</f>
        <v/>
      </c>
      <c r="F536" s="153" t="str">
        <f>IFERROR(VLOOKUP(D536,[1]TreeType!$A:$B,2,0),"")</f>
        <v/>
      </c>
      <c r="G536" s="72">
        <f>IF(B536&gt;0,IF(סקר!E772=0,1,סקר!E772),0)</f>
        <v>0</v>
      </c>
      <c r="H536" s="72">
        <f>IF(B536&gt;0,IF(סקר!F772 = 0,1,סקר!F772),0)</f>
        <v>0</v>
      </c>
      <c r="I536" s="152">
        <f>סקר!G772</f>
        <v>0</v>
      </c>
      <c r="J536" s="152">
        <f>סקר!H772</f>
        <v>0</v>
      </c>
      <c r="K536" s="152" t="e">
        <f>IF(D536="","",VLOOKUP(D536,[1]TreeType!$A$2:$E$508,3,3))</f>
        <v>#N/A</v>
      </c>
      <c r="L536" s="152">
        <f>IF(D536&gt;0,IF(סקר!M772=0,1,IF(סקר!M772=0,1,סקר!M772)),0)</f>
        <v>0</v>
      </c>
      <c r="M536" s="152">
        <f>סקר!J772</f>
        <v>0</v>
      </c>
      <c r="N536" s="152">
        <f>IF(D536&gt;0,IF(סקר!K772=0,1,IF(סקר!K772=0,1,סקר!K772)),0)</f>
        <v>0</v>
      </c>
      <c r="O536" s="152" t="e">
        <f t="shared" si="12"/>
        <v>#N/A</v>
      </c>
      <c r="P536" s="152">
        <f>IF(B536&gt;0,IF(סקר!O772 &lt;=1,1,סקר!O772),0)</f>
        <v>0</v>
      </c>
      <c r="Q536" s="152">
        <f>סקר!P772</f>
        <v>0</v>
      </c>
      <c r="R536" s="152">
        <f>סקר!R772</f>
        <v>0</v>
      </c>
      <c r="S536" s="152">
        <f>סקר!BC772</f>
        <v>0</v>
      </c>
      <c r="T536" s="156"/>
    </row>
    <row r="537" spans="1:20">
      <c r="A537" s="152" t="str">
        <f>IF(סקר!D773&lt;2,"עץ","פוליגון")</f>
        <v>עץ</v>
      </c>
      <c r="B537" s="152">
        <f>סקר!B773</f>
        <v>0</v>
      </c>
      <c r="C537" s="152">
        <f>IF(סקר!D773&lt;2,1,סקר!D773)</f>
        <v>1</v>
      </c>
      <c r="D537" s="152">
        <f>סקר!C773</f>
        <v>0</v>
      </c>
      <c r="E537" s="152" t="str">
        <f>IFERROR(VLOOKUP(F537,[1]TreeType!$A:$E,5,0),"")</f>
        <v/>
      </c>
      <c r="F537" s="153" t="str">
        <f>IFERROR(VLOOKUP(D537,[1]TreeType!$A:$B,2,0),"")</f>
        <v/>
      </c>
      <c r="G537" s="72">
        <f>IF(B537&gt;0,IF(סקר!E773=0,1,סקר!E773),0)</f>
        <v>0</v>
      </c>
      <c r="H537" s="72">
        <f>IF(B537&gt;0,IF(סקר!F773 = 0,1,סקר!F773),0)</f>
        <v>0</v>
      </c>
      <c r="I537" s="152">
        <f>סקר!G773</f>
        <v>0</v>
      </c>
      <c r="J537" s="152">
        <f>סקר!H773</f>
        <v>0</v>
      </c>
      <c r="K537" s="152" t="e">
        <f>IF(D537="","",VLOOKUP(D537,[1]TreeType!$A$2:$E$508,3,3))</f>
        <v>#N/A</v>
      </c>
      <c r="L537" s="152">
        <f>IF(D537&gt;0,IF(סקר!M773=0,1,IF(סקר!M773=0,1,סקר!M773)),0)</f>
        <v>0</v>
      </c>
      <c r="M537" s="152">
        <f>סקר!J773</f>
        <v>0</v>
      </c>
      <c r="N537" s="152">
        <f>IF(D537&gt;0,IF(סקר!K773=0,1,IF(סקר!K773=0,1,סקר!K773)),0)</f>
        <v>0</v>
      </c>
      <c r="O537" s="152" t="e">
        <f t="shared" si="12"/>
        <v>#N/A</v>
      </c>
      <c r="P537" s="152">
        <f>IF(B537&gt;0,IF(סקר!O773 &lt;=1,1,סקר!O773),0)</f>
        <v>0</v>
      </c>
      <c r="Q537" s="152">
        <f>סקר!P773</f>
        <v>0</v>
      </c>
      <c r="R537" s="152">
        <f>סקר!R773</f>
        <v>0</v>
      </c>
      <c r="S537" s="152">
        <f>סקר!BC773</f>
        <v>0</v>
      </c>
      <c r="T537" s="156"/>
    </row>
    <row r="538" spans="1:20">
      <c r="A538" s="152" t="str">
        <f>IF(סקר!D774&lt;2,"עץ","פוליגון")</f>
        <v>עץ</v>
      </c>
      <c r="B538" s="152">
        <f>סקר!B774</f>
        <v>0</v>
      </c>
      <c r="C538" s="152">
        <f>IF(סקר!D774&lt;2,1,סקר!D774)</f>
        <v>1</v>
      </c>
      <c r="D538" s="152">
        <f>סקר!C774</f>
        <v>0</v>
      </c>
      <c r="E538" s="152" t="str">
        <f>IFERROR(VLOOKUP(F538,[1]TreeType!$A:$E,5,0),"")</f>
        <v/>
      </c>
      <c r="F538" s="153" t="str">
        <f>IFERROR(VLOOKUP(D538,[1]TreeType!$A:$B,2,0),"")</f>
        <v/>
      </c>
      <c r="G538" s="72">
        <f>IF(B538&gt;0,IF(סקר!E774=0,1,סקר!E774),0)</f>
        <v>0</v>
      </c>
      <c r="H538" s="72">
        <f>IF(B538&gt;0,IF(סקר!F774 = 0,1,סקר!F774),0)</f>
        <v>0</v>
      </c>
      <c r="I538" s="152">
        <f>סקר!G774</f>
        <v>0</v>
      </c>
      <c r="J538" s="152">
        <f>סקר!H774</f>
        <v>0</v>
      </c>
      <c r="K538" s="152" t="e">
        <f>IF(D538="","",VLOOKUP(D538,[1]TreeType!$A$2:$E$508,3,3))</f>
        <v>#N/A</v>
      </c>
      <c r="L538" s="152">
        <f>IF(D538&gt;0,IF(סקר!M774=0,1,IF(סקר!M774=0,1,סקר!M774)),0)</f>
        <v>0</v>
      </c>
      <c r="M538" s="152">
        <f>סקר!J774</f>
        <v>0</v>
      </c>
      <c r="N538" s="152">
        <f>IF(D538&gt;0,IF(סקר!K774=0,1,IF(סקר!K774=0,1,סקר!K774)),0)</f>
        <v>0</v>
      </c>
      <c r="O538" s="152" t="e">
        <f t="shared" si="12"/>
        <v>#N/A</v>
      </c>
      <c r="P538" s="152">
        <f>IF(B538&gt;0,IF(סקר!O774 &lt;=1,1,סקר!O774),0)</f>
        <v>0</v>
      </c>
      <c r="Q538" s="152">
        <f>סקר!P774</f>
        <v>0</v>
      </c>
      <c r="R538" s="152">
        <f>סקר!R774</f>
        <v>0</v>
      </c>
      <c r="S538" s="152">
        <f>סקר!BC774</f>
        <v>0</v>
      </c>
      <c r="T538" s="156"/>
    </row>
    <row r="539" spans="1:20">
      <c r="A539" s="152" t="str">
        <f>IF(סקר!D789&lt;2,"עץ","פוליגון")</f>
        <v>עץ</v>
      </c>
      <c r="B539" s="152">
        <f>סקר!B789</f>
        <v>0</v>
      </c>
      <c r="C539" s="152">
        <f>IF(סקר!D789&lt;2,1,סקר!D789)</f>
        <v>1</v>
      </c>
      <c r="D539" s="152">
        <f>סקר!C789</f>
        <v>0</v>
      </c>
      <c r="E539" s="152" t="str">
        <f>IFERROR(VLOOKUP(F539,[1]TreeType!$A:$E,5,0),"")</f>
        <v/>
      </c>
      <c r="F539" s="153" t="str">
        <f>IFERROR(VLOOKUP(D539,[1]TreeType!$A:$B,2,0),"")</f>
        <v/>
      </c>
      <c r="G539" s="72">
        <f>IF(B539&gt;0,IF(סקר!E789=0,1,סקר!E789),0)</f>
        <v>0</v>
      </c>
      <c r="H539" s="72">
        <f>IF(B539&gt;0,IF(סקר!F789 = 0,1,סקר!F789),0)</f>
        <v>0</v>
      </c>
      <c r="I539" s="152">
        <f>סקר!G789</f>
        <v>0</v>
      </c>
      <c r="J539" s="152">
        <f>סקר!H789</f>
        <v>0</v>
      </c>
      <c r="K539" s="152" t="e">
        <f>IF(D539="","",VLOOKUP(D539,[1]TreeType!$A$2:$E$508,3,3))</f>
        <v>#N/A</v>
      </c>
      <c r="L539" s="152">
        <f>IF(D539&gt;0,IF(סקר!M789=0,1,IF(סקר!M789=0,1,סקר!M789)),0)</f>
        <v>0</v>
      </c>
      <c r="M539" s="152">
        <f>סקר!J789</f>
        <v>0</v>
      </c>
      <c r="N539" s="152">
        <f>IF(D539&gt;0,IF(סקר!K789=0,1,IF(סקר!K789=0,1,סקר!K789)),0)</f>
        <v>0</v>
      </c>
      <c r="O539" s="152" t="e">
        <f t="shared" ref="O539:O577" si="13">IF(SUM(K539:N539)=0,"",SUM(K539:N539))</f>
        <v>#N/A</v>
      </c>
      <c r="P539" s="152">
        <f>IF(B539&gt;0,IF(סקר!O789 &lt;=1,1,סקר!O789),0)</f>
        <v>0</v>
      </c>
      <c r="Q539" s="152">
        <f>סקר!P789</f>
        <v>0</v>
      </c>
      <c r="R539" s="152">
        <f>סקר!R789</f>
        <v>0</v>
      </c>
      <c r="S539" s="152">
        <f>סקר!BC789</f>
        <v>0</v>
      </c>
      <c r="T539" s="156"/>
    </row>
    <row r="540" spans="1:20">
      <c r="A540" s="152" t="str">
        <f>IF(סקר!D790&lt;2,"עץ","פוליגון")</f>
        <v>עץ</v>
      </c>
      <c r="B540" s="152">
        <f>סקר!B790</f>
        <v>0</v>
      </c>
      <c r="C540" s="152">
        <f>IF(סקר!D790&lt;2,1,סקר!D790)</f>
        <v>1</v>
      </c>
      <c r="D540" s="152">
        <f>סקר!C790</f>
        <v>0</v>
      </c>
      <c r="E540" s="152" t="str">
        <f>IFERROR(VLOOKUP(F540,[1]TreeType!$A:$E,5,0),"")</f>
        <v/>
      </c>
      <c r="F540" s="153" t="str">
        <f>IFERROR(VLOOKUP(D540,[1]TreeType!$A:$B,2,0),"")</f>
        <v/>
      </c>
      <c r="G540" s="72">
        <f>IF(B540&gt;0,IF(סקר!E790=0,1,סקר!E790),0)</f>
        <v>0</v>
      </c>
      <c r="H540" s="72">
        <f>IF(B540&gt;0,IF(סקר!F790 = 0,1,סקר!F790),0)</f>
        <v>0</v>
      </c>
      <c r="I540" s="152">
        <f>סקר!G790</f>
        <v>0</v>
      </c>
      <c r="J540" s="152">
        <f>סקר!H790</f>
        <v>0</v>
      </c>
      <c r="K540" s="152" t="e">
        <f>IF(D540="","",VLOOKUP(D540,[1]TreeType!$A$2:$E$508,3,3))</f>
        <v>#N/A</v>
      </c>
      <c r="L540" s="152">
        <f>IF(D540&gt;0,IF(סקר!M790=0,1,IF(סקר!M790=0,1,סקר!M790)),0)</f>
        <v>0</v>
      </c>
      <c r="M540" s="152">
        <f>סקר!J790</f>
        <v>0</v>
      </c>
      <c r="N540" s="152">
        <f>IF(D540&gt;0,IF(סקר!K790=0,1,IF(סקר!K790=0,1,סקר!K790)),0)</f>
        <v>0</v>
      </c>
      <c r="O540" s="152" t="e">
        <f t="shared" si="13"/>
        <v>#N/A</v>
      </c>
      <c r="P540" s="152">
        <f>IF(B540&gt;0,IF(סקר!O790 &lt;=1,1,סקר!O790),0)</f>
        <v>0</v>
      </c>
      <c r="Q540" s="152">
        <f>סקר!P790</f>
        <v>0</v>
      </c>
      <c r="R540" s="152">
        <f>סקר!R790</f>
        <v>0</v>
      </c>
      <c r="S540" s="152">
        <f>סקר!BC790</f>
        <v>0</v>
      </c>
      <c r="T540" s="156"/>
    </row>
    <row r="541" spans="1:20">
      <c r="A541" s="152" t="str">
        <f>IF(סקר!D791&lt;2,"עץ","פוליגון")</f>
        <v>עץ</v>
      </c>
      <c r="B541" s="152">
        <f>סקר!B791</f>
        <v>0</v>
      </c>
      <c r="C541" s="152">
        <f>IF(סקר!D791&lt;2,1,סקר!D791)</f>
        <v>1</v>
      </c>
      <c r="D541" s="152">
        <f>סקר!C791</f>
        <v>0</v>
      </c>
      <c r="E541" s="152" t="str">
        <f>IFERROR(VLOOKUP(F541,[1]TreeType!$A:$E,5,0),"")</f>
        <v/>
      </c>
      <c r="F541" s="153" t="str">
        <f>IFERROR(VLOOKUP(D541,[1]TreeType!$A:$B,2,0),"")</f>
        <v/>
      </c>
      <c r="G541" s="72">
        <f>IF(B541&gt;0,IF(סקר!E791=0,1,סקר!E791),0)</f>
        <v>0</v>
      </c>
      <c r="H541" s="72">
        <f>IF(B541&gt;0,IF(סקר!F791 = 0,1,סקר!F791),0)</f>
        <v>0</v>
      </c>
      <c r="I541" s="152">
        <f>סקר!G791</f>
        <v>0</v>
      </c>
      <c r="J541" s="152">
        <f>סקר!H791</f>
        <v>0</v>
      </c>
      <c r="K541" s="152" t="e">
        <f>IF(D541="","",VLOOKUP(D541,[1]TreeType!$A$2:$E$508,3,3))</f>
        <v>#N/A</v>
      </c>
      <c r="L541" s="152">
        <f>IF(D541&gt;0,IF(סקר!M791=0,1,IF(סקר!M791=0,1,סקר!M791)),0)</f>
        <v>0</v>
      </c>
      <c r="M541" s="152">
        <f>סקר!J791</f>
        <v>0</v>
      </c>
      <c r="N541" s="152">
        <f>IF(D541&gt;0,IF(סקר!K791=0,1,IF(סקר!K791=0,1,סקר!K791)),0)</f>
        <v>0</v>
      </c>
      <c r="O541" s="152" t="e">
        <f t="shared" si="13"/>
        <v>#N/A</v>
      </c>
      <c r="P541" s="152">
        <f>IF(B541&gt;0,IF(סקר!O791 &lt;=1,1,סקר!O791),0)</f>
        <v>0</v>
      </c>
      <c r="Q541" s="152">
        <f>סקר!P791</f>
        <v>0</v>
      </c>
      <c r="R541" s="152">
        <f>סקר!R791</f>
        <v>0</v>
      </c>
      <c r="S541" s="152">
        <f>סקר!BC791</f>
        <v>0</v>
      </c>
      <c r="T541" s="156"/>
    </row>
    <row r="542" spans="1:20">
      <c r="A542" s="152" t="str">
        <f>IF(סקר!D792&lt;2,"עץ","פוליגון")</f>
        <v>עץ</v>
      </c>
      <c r="B542" s="152">
        <f>סקר!B792</f>
        <v>0</v>
      </c>
      <c r="C542" s="152">
        <f>IF(סקר!D792&lt;2,1,סקר!D792)</f>
        <v>1</v>
      </c>
      <c r="D542" s="152">
        <f>סקר!C792</f>
        <v>0</v>
      </c>
      <c r="E542" s="152" t="str">
        <f>IFERROR(VLOOKUP(F542,[1]TreeType!$A:$E,5,0),"")</f>
        <v/>
      </c>
      <c r="F542" s="153" t="str">
        <f>IFERROR(VLOOKUP(D542,[1]TreeType!$A:$B,2,0),"")</f>
        <v/>
      </c>
      <c r="G542" s="72">
        <f>IF(B542&gt;0,IF(סקר!E792=0,1,סקר!E792),0)</f>
        <v>0</v>
      </c>
      <c r="H542" s="72">
        <f>IF(B542&gt;0,IF(סקר!F792 = 0,1,סקר!F792),0)</f>
        <v>0</v>
      </c>
      <c r="I542" s="152">
        <f>סקר!G792</f>
        <v>0</v>
      </c>
      <c r="J542" s="152">
        <f>סקר!H792</f>
        <v>0</v>
      </c>
      <c r="K542" s="152" t="e">
        <f>IF(D542="","",VLOOKUP(D542,[1]TreeType!$A$2:$E$508,3,3))</f>
        <v>#N/A</v>
      </c>
      <c r="L542" s="152">
        <f>IF(D542&gt;0,IF(סקר!M792=0,1,IF(סקר!M792=0,1,סקר!M792)),0)</f>
        <v>0</v>
      </c>
      <c r="M542" s="152">
        <f>סקר!J792</f>
        <v>0</v>
      </c>
      <c r="N542" s="152">
        <f>IF(D542&gt;0,IF(סקר!K792=0,1,IF(סקר!K792=0,1,סקר!K792)),0)</f>
        <v>0</v>
      </c>
      <c r="O542" s="152" t="e">
        <f t="shared" si="13"/>
        <v>#N/A</v>
      </c>
      <c r="P542" s="152">
        <f>IF(B542&gt;0,IF(סקר!O792 &lt;=1,1,סקר!O792),0)</f>
        <v>0</v>
      </c>
      <c r="Q542" s="152">
        <f>סקר!P792</f>
        <v>0</v>
      </c>
      <c r="R542" s="152">
        <f>סקר!R792</f>
        <v>0</v>
      </c>
      <c r="S542" s="152">
        <f>סקר!BC792</f>
        <v>0</v>
      </c>
      <c r="T542" s="156"/>
    </row>
    <row r="543" spans="1:20">
      <c r="A543" s="152" t="str">
        <f>IF(סקר!D793&lt;2,"עץ","פוליגון")</f>
        <v>עץ</v>
      </c>
      <c r="B543" s="152">
        <f>סקר!B793</f>
        <v>0</v>
      </c>
      <c r="C543" s="152">
        <f>IF(סקר!D793&lt;2,1,סקר!D793)</f>
        <v>1</v>
      </c>
      <c r="D543" s="152">
        <f>סקר!C793</f>
        <v>0</v>
      </c>
      <c r="E543" s="152" t="str">
        <f>IFERROR(VLOOKUP(F543,[1]TreeType!$A:$E,5,0),"")</f>
        <v/>
      </c>
      <c r="F543" s="153" t="str">
        <f>IFERROR(VLOOKUP(D543,[1]TreeType!$A:$B,2,0),"")</f>
        <v/>
      </c>
      <c r="G543" s="72">
        <f>IF(B543&gt;0,IF(סקר!E793=0,1,סקר!E793),0)</f>
        <v>0</v>
      </c>
      <c r="H543" s="72">
        <f>IF(B543&gt;0,IF(סקר!F793 = 0,1,סקר!F793),0)</f>
        <v>0</v>
      </c>
      <c r="I543" s="152">
        <f>סקר!G793</f>
        <v>0</v>
      </c>
      <c r="J543" s="152">
        <f>סקר!H793</f>
        <v>0</v>
      </c>
      <c r="K543" s="152" t="e">
        <f>IF(D543="","",VLOOKUP(D543,[1]TreeType!$A$2:$E$508,3,3))</f>
        <v>#N/A</v>
      </c>
      <c r="L543" s="152">
        <f>IF(D543&gt;0,IF(סקר!M793=0,1,IF(סקר!M793=0,1,סקר!M793)),0)</f>
        <v>0</v>
      </c>
      <c r="M543" s="152">
        <f>סקר!J793</f>
        <v>0</v>
      </c>
      <c r="N543" s="152">
        <f>IF(D543&gt;0,IF(סקר!K793=0,1,IF(סקר!K793=0,1,סקר!K793)),0)</f>
        <v>0</v>
      </c>
      <c r="O543" s="152" t="e">
        <f t="shared" si="13"/>
        <v>#N/A</v>
      </c>
      <c r="P543" s="152">
        <f>IF(B543&gt;0,IF(סקר!O793 &lt;=1,1,סקר!O793),0)</f>
        <v>0</v>
      </c>
      <c r="Q543" s="152">
        <f>סקר!P793</f>
        <v>0</v>
      </c>
      <c r="R543" s="152">
        <f>סקר!R793</f>
        <v>0</v>
      </c>
      <c r="S543" s="152">
        <f>סקר!BC793</f>
        <v>0</v>
      </c>
      <c r="T543" s="156"/>
    </row>
    <row r="544" spans="1:20">
      <c r="A544" s="152" t="str">
        <f>IF(סקר!D794&lt;2,"עץ","פוליגון")</f>
        <v>עץ</v>
      </c>
      <c r="B544" s="152">
        <f>סקר!B794</f>
        <v>0</v>
      </c>
      <c r="C544" s="152">
        <f>IF(סקר!D794&lt;2,1,סקר!D794)</f>
        <v>1</v>
      </c>
      <c r="D544" s="152">
        <f>סקר!C794</f>
        <v>0</v>
      </c>
      <c r="E544" s="152" t="str">
        <f>IFERROR(VLOOKUP(F544,[1]TreeType!$A:$E,5,0),"")</f>
        <v/>
      </c>
      <c r="F544" s="153" t="str">
        <f>IFERROR(VLOOKUP(D544,[1]TreeType!$A:$B,2,0),"")</f>
        <v/>
      </c>
      <c r="G544" s="72">
        <f>IF(B544&gt;0,IF(סקר!E794=0,1,סקר!E794),0)</f>
        <v>0</v>
      </c>
      <c r="H544" s="72">
        <f>IF(B544&gt;0,IF(סקר!F794 = 0,1,סקר!F794),0)</f>
        <v>0</v>
      </c>
      <c r="I544" s="152">
        <f>סקר!G794</f>
        <v>0</v>
      </c>
      <c r="J544" s="152">
        <f>סקר!H794</f>
        <v>0</v>
      </c>
      <c r="K544" s="152" t="e">
        <f>IF(D544="","",VLOOKUP(D544,[1]TreeType!$A$2:$E$508,3,3))</f>
        <v>#N/A</v>
      </c>
      <c r="L544" s="152">
        <f>IF(D544&gt;0,IF(סקר!M794=0,1,IF(סקר!M794=0,1,סקר!M794)),0)</f>
        <v>0</v>
      </c>
      <c r="M544" s="152">
        <f>סקר!J794</f>
        <v>0</v>
      </c>
      <c r="N544" s="152">
        <f>IF(D544&gt;0,IF(סקר!K794=0,1,IF(סקר!K794=0,1,סקר!K794)),0)</f>
        <v>0</v>
      </c>
      <c r="O544" s="152" t="e">
        <f t="shared" si="13"/>
        <v>#N/A</v>
      </c>
      <c r="P544" s="152">
        <f>IF(B544&gt;0,IF(סקר!O794 &lt;=1,1,סקר!O794),0)</f>
        <v>0</v>
      </c>
      <c r="Q544" s="152">
        <f>סקר!P794</f>
        <v>0</v>
      </c>
      <c r="R544" s="152">
        <f>סקר!R794</f>
        <v>0</v>
      </c>
      <c r="S544" s="152">
        <f>סקר!BC794</f>
        <v>0</v>
      </c>
      <c r="T544" s="156"/>
    </row>
    <row r="545" spans="1:20">
      <c r="A545" s="152" t="str">
        <f>IF(סקר!D795&lt;2,"עץ","פוליגון")</f>
        <v>עץ</v>
      </c>
      <c r="B545" s="152">
        <f>סקר!B795</f>
        <v>0</v>
      </c>
      <c r="C545" s="152">
        <f>IF(סקר!D795&lt;2,1,סקר!D795)</f>
        <v>1</v>
      </c>
      <c r="D545" s="152">
        <f>סקר!C795</f>
        <v>0</v>
      </c>
      <c r="E545" s="152" t="str">
        <f>IFERROR(VLOOKUP(F545,[1]TreeType!$A:$E,5,0),"")</f>
        <v/>
      </c>
      <c r="F545" s="153" t="str">
        <f>IFERROR(VLOOKUP(D545,[1]TreeType!$A:$B,2,0),"")</f>
        <v/>
      </c>
      <c r="G545" s="72">
        <f>IF(B545&gt;0,IF(סקר!E795=0,1,סקר!E795),0)</f>
        <v>0</v>
      </c>
      <c r="H545" s="72">
        <f>IF(B545&gt;0,IF(סקר!F795 = 0,1,סקר!F795),0)</f>
        <v>0</v>
      </c>
      <c r="I545" s="152">
        <f>סקר!G795</f>
        <v>0</v>
      </c>
      <c r="J545" s="152">
        <f>סקר!H795</f>
        <v>0</v>
      </c>
      <c r="K545" s="152" t="e">
        <f>IF(D545="","",VLOOKUP(D545,[1]TreeType!$A$2:$E$508,3,3))</f>
        <v>#N/A</v>
      </c>
      <c r="L545" s="152">
        <f>IF(D545&gt;0,IF(סקר!M795=0,1,IF(סקר!M795=0,1,סקר!M795)),0)</f>
        <v>0</v>
      </c>
      <c r="M545" s="152">
        <f>סקר!J795</f>
        <v>0</v>
      </c>
      <c r="N545" s="152">
        <f>IF(D545&gt;0,IF(סקר!K795=0,1,IF(סקר!K795=0,1,סקר!K795)),0)</f>
        <v>0</v>
      </c>
      <c r="O545" s="152" t="e">
        <f t="shared" si="13"/>
        <v>#N/A</v>
      </c>
      <c r="P545" s="152">
        <f>IF(B545&gt;0,IF(סקר!O795 &lt;=1,1,סקר!O795),0)</f>
        <v>0</v>
      </c>
      <c r="Q545" s="152">
        <f>סקר!P795</f>
        <v>0</v>
      </c>
      <c r="R545" s="152">
        <f>סקר!R795</f>
        <v>0</v>
      </c>
      <c r="S545" s="152">
        <f>סקר!BC795</f>
        <v>0</v>
      </c>
      <c r="T545" s="156"/>
    </row>
    <row r="546" spans="1:20">
      <c r="A546" s="152" t="str">
        <f>IF(סקר!D796&lt;2,"עץ","פוליגון")</f>
        <v>עץ</v>
      </c>
      <c r="B546" s="152">
        <f>סקר!B796</f>
        <v>0</v>
      </c>
      <c r="C546" s="152">
        <f>IF(סקר!D796&lt;2,1,סקר!D796)</f>
        <v>1</v>
      </c>
      <c r="D546" s="152">
        <f>סקר!C796</f>
        <v>0</v>
      </c>
      <c r="E546" s="152" t="str">
        <f>IFERROR(VLOOKUP(F546,[1]TreeType!$A:$E,5,0),"")</f>
        <v/>
      </c>
      <c r="F546" s="153" t="str">
        <f>IFERROR(VLOOKUP(D546,[1]TreeType!$A:$B,2,0),"")</f>
        <v/>
      </c>
      <c r="G546" s="72">
        <f>IF(B546&gt;0,IF(סקר!E796=0,1,סקר!E796),0)</f>
        <v>0</v>
      </c>
      <c r="H546" s="72">
        <f>IF(B546&gt;0,IF(סקר!F796 = 0,1,סקר!F796),0)</f>
        <v>0</v>
      </c>
      <c r="I546" s="152">
        <f>סקר!G796</f>
        <v>0</v>
      </c>
      <c r="J546" s="152">
        <f>סקר!H796</f>
        <v>0</v>
      </c>
      <c r="K546" s="152" t="e">
        <f>IF(D546="","",VLOOKUP(D546,[1]TreeType!$A$2:$E$508,3,3))</f>
        <v>#N/A</v>
      </c>
      <c r="L546" s="152">
        <f>IF(D546&gt;0,IF(סקר!M796=0,1,IF(סקר!M796=0,1,סקר!M796)),0)</f>
        <v>0</v>
      </c>
      <c r="M546" s="152">
        <f>סקר!J796</f>
        <v>0</v>
      </c>
      <c r="N546" s="152">
        <f>IF(D546&gt;0,IF(סקר!K796=0,1,IF(סקר!K796=0,1,סקר!K796)),0)</f>
        <v>0</v>
      </c>
      <c r="O546" s="152" t="e">
        <f t="shared" si="13"/>
        <v>#N/A</v>
      </c>
      <c r="P546" s="152">
        <f>IF(B546&gt;0,IF(סקר!O796 &lt;=1,1,סקר!O796),0)</f>
        <v>0</v>
      </c>
      <c r="Q546" s="152">
        <f>סקר!P796</f>
        <v>0</v>
      </c>
      <c r="R546" s="152">
        <f>סקר!R796</f>
        <v>0</v>
      </c>
      <c r="S546" s="152">
        <f>סקר!BC796</f>
        <v>0</v>
      </c>
      <c r="T546" s="156"/>
    </row>
    <row r="547" spans="1:20">
      <c r="A547" s="152" t="str">
        <f>IF(סקר!D797&lt;2,"עץ","פוליגון")</f>
        <v>עץ</v>
      </c>
      <c r="B547" s="152">
        <f>סקר!B797</f>
        <v>0</v>
      </c>
      <c r="C547" s="152">
        <f>IF(סקר!D797&lt;2,1,סקר!D797)</f>
        <v>1</v>
      </c>
      <c r="D547" s="152">
        <f>סקר!C797</f>
        <v>0</v>
      </c>
      <c r="E547" s="152" t="str">
        <f>IFERROR(VLOOKUP(F547,[1]TreeType!$A:$E,5,0),"")</f>
        <v/>
      </c>
      <c r="F547" s="153" t="str">
        <f>IFERROR(VLOOKUP(D547,[1]TreeType!$A:$B,2,0),"")</f>
        <v/>
      </c>
      <c r="G547" s="72">
        <f>IF(B547&gt;0,IF(סקר!E797=0,1,סקר!E797),0)</f>
        <v>0</v>
      </c>
      <c r="H547" s="72">
        <f>IF(B547&gt;0,IF(סקר!F797 = 0,1,סקר!F797),0)</f>
        <v>0</v>
      </c>
      <c r="I547" s="152">
        <f>סקר!G797</f>
        <v>0</v>
      </c>
      <c r="J547" s="152">
        <f>סקר!H797</f>
        <v>0</v>
      </c>
      <c r="K547" s="152" t="e">
        <f>IF(D547="","",VLOOKUP(D547,[1]TreeType!$A$2:$E$508,3,3))</f>
        <v>#N/A</v>
      </c>
      <c r="L547" s="152">
        <f>IF(D547&gt;0,IF(סקר!M797=0,1,IF(סקר!M797=0,1,סקר!M797)),0)</f>
        <v>0</v>
      </c>
      <c r="M547" s="152">
        <f>סקר!J797</f>
        <v>0</v>
      </c>
      <c r="N547" s="152">
        <f>IF(D547&gt;0,IF(סקר!K797=0,1,IF(סקר!K797=0,1,סקר!K797)),0)</f>
        <v>0</v>
      </c>
      <c r="O547" s="152" t="e">
        <f t="shared" si="13"/>
        <v>#N/A</v>
      </c>
      <c r="P547" s="152">
        <f>IF(B547&gt;0,IF(סקר!O797 &lt;=1,1,סקר!O797),0)</f>
        <v>0</v>
      </c>
      <c r="Q547" s="152">
        <f>סקר!P797</f>
        <v>0</v>
      </c>
      <c r="R547" s="152">
        <f>סקר!R797</f>
        <v>0</v>
      </c>
      <c r="S547" s="152">
        <f>סקר!BC797</f>
        <v>0</v>
      </c>
      <c r="T547" s="156"/>
    </row>
    <row r="548" spans="1:20">
      <c r="A548" s="152" t="str">
        <f>IF(סקר!D798&lt;2,"עץ","פוליגון")</f>
        <v>עץ</v>
      </c>
      <c r="B548" s="152">
        <f>סקר!B798</f>
        <v>0</v>
      </c>
      <c r="C548" s="152">
        <f>IF(סקר!D798&lt;2,1,סקר!D798)</f>
        <v>1</v>
      </c>
      <c r="D548" s="152">
        <f>סקר!C798</f>
        <v>0</v>
      </c>
      <c r="E548" s="152" t="str">
        <f>IFERROR(VLOOKUP(F548,[1]TreeType!$A:$E,5,0),"")</f>
        <v/>
      </c>
      <c r="F548" s="153" t="str">
        <f>IFERROR(VLOOKUP(D548,[1]TreeType!$A:$B,2,0),"")</f>
        <v/>
      </c>
      <c r="G548" s="72">
        <f>IF(B548&gt;0,IF(סקר!E798=0,1,סקר!E798),0)</f>
        <v>0</v>
      </c>
      <c r="H548" s="72">
        <f>IF(B548&gt;0,IF(סקר!F798 = 0,1,סקר!F798),0)</f>
        <v>0</v>
      </c>
      <c r="I548" s="152">
        <f>סקר!G798</f>
        <v>0</v>
      </c>
      <c r="J548" s="152">
        <f>סקר!H798</f>
        <v>0</v>
      </c>
      <c r="K548" s="152" t="e">
        <f>IF(D548="","",VLOOKUP(D548,[1]TreeType!$A$2:$E$508,3,3))</f>
        <v>#N/A</v>
      </c>
      <c r="L548" s="152">
        <f>IF(D548&gt;0,IF(סקר!M798=0,1,IF(סקר!M798=0,1,סקר!M798)),0)</f>
        <v>0</v>
      </c>
      <c r="M548" s="152">
        <f>סקר!J798</f>
        <v>0</v>
      </c>
      <c r="N548" s="152">
        <f>IF(D548&gt;0,IF(סקר!K798=0,1,IF(סקר!K798=0,1,סקר!K798)),0)</f>
        <v>0</v>
      </c>
      <c r="O548" s="152" t="e">
        <f t="shared" si="13"/>
        <v>#N/A</v>
      </c>
      <c r="P548" s="152">
        <f>IF(B548&gt;0,IF(סקר!O798 &lt;=1,1,סקר!O798),0)</f>
        <v>0</v>
      </c>
      <c r="Q548" s="152">
        <f>סקר!P798</f>
        <v>0</v>
      </c>
      <c r="R548" s="152">
        <f>סקר!R798</f>
        <v>0</v>
      </c>
      <c r="S548" s="152">
        <f>סקר!BC798</f>
        <v>0</v>
      </c>
      <c r="T548" s="156"/>
    </row>
    <row r="549" spans="1:20">
      <c r="A549" s="152" t="str">
        <f>IF(סקר!D799&lt;2,"עץ","פוליגון")</f>
        <v>עץ</v>
      </c>
      <c r="B549" s="152">
        <f>סקר!B799</f>
        <v>0</v>
      </c>
      <c r="C549" s="152">
        <f>IF(סקר!D799&lt;2,1,סקר!D799)</f>
        <v>1</v>
      </c>
      <c r="D549" s="152">
        <f>סקר!C799</f>
        <v>0</v>
      </c>
      <c r="E549" s="152" t="str">
        <f>IFERROR(VLOOKUP(F549,[1]TreeType!$A:$E,5,0),"")</f>
        <v/>
      </c>
      <c r="F549" s="153" t="str">
        <f>IFERROR(VLOOKUP(D549,[1]TreeType!$A:$B,2,0),"")</f>
        <v/>
      </c>
      <c r="G549" s="72">
        <f>IF(B549&gt;0,IF(סקר!E799=0,1,סקר!E799),0)</f>
        <v>0</v>
      </c>
      <c r="H549" s="72">
        <f>IF(B549&gt;0,IF(סקר!F799 = 0,1,סקר!F799),0)</f>
        <v>0</v>
      </c>
      <c r="I549" s="152">
        <f>סקר!G799</f>
        <v>0</v>
      </c>
      <c r="J549" s="152">
        <f>סקר!H799</f>
        <v>0</v>
      </c>
      <c r="K549" s="152" t="e">
        <f>IF(D549="","",VLOOKUP(D549,[1]TreeType!$A$2:$E$508,3,3))</f>
        <v>#N/A</v>
      </c>
      <c r="L549" s="152">
        <f>IF(D549&gt;0,IF(סקר!M799=0,1,IF(סקר!M799=0,1,סקר!M799)),0)</f>
        <v>0</v>
      </c>
      <c r="M549" s="152">
        <f>סקר!J799</f>
        <v>0</v>
      </c>
      <c r="N549" s="152">
        <f>IF(D549&gt;0,IF(סקר!K799=0,1,IF(סקר!K799=0,1,סקר!K799)),0)</f>
        <v>0</v>
      </c>
      <c r="O549" s="152" t="e">
        <f t="shared" si="13"/>
        <v>#N/A</v>
      </c>
      <c r="P549" s="152">
        <f>IF(B549&gt;0,IF(סקר!O799 &lt;=1,1,סקר!O799),0)</f>
        <v>0</v>
      </c>
      <c r="Q549" s="152">
        <f>סקר!P799</f>
        <v>0</v>
      </c>
      <c r="R549" s="152">
        <f>סקר!R799</f>
        <v>0</v>
      </c>
      <c r="S549" s="152">
        <f>סקר!BC799</f>
        <v>0</v>
      </c>
      <c r="T549" s="156"/>
    </row>
    <row r="550" spans="1:20">
      <c r="A550" s="152" t="str">
        <f>IF(סקר!D800&lt;2,"עץ","פוליגון")</f>
        <v>עץ</v>
      </c>
      <c r="B550" s="152">
        <f>סקר!B800</f>
        <v>0</v>
      </c>
      <c r="C550" s="152">
        <f>IF(סקר!D800&lt;2,1,סקר!D800)</f>
        <v>1</v>
      </c>
      <c r="D550" s="152">
        <f>סקר!C800</f>
        <v>0</v>
      </c>
      <c r="E550" s="152" t="str">
        <f>IFERROR(VLOOKUP(F550,[1]TreeType!$A:$E,5,0),"")</f>
        <v/>
      </c>
      <c r="F550" s="153" t="str">
        <f>IFERROR(VLOOKUP(D550,[1]TreeType!$A:$B,2,0),"")</f>
        <v/>
      </c>
      <c r="G550" s="72">
        <f>IF(B550&gt;0,IF(סקר!E800=0,1,סקר!E800),0)</f>
        <v>0</v>
      </c>
      <c r="H550" s="72">
        <f>IF(B550&gt;0,IF(סקר!F800 = 0,1,סקר!F800),0)</f>
        <v>0</v>
      </c>
      <c r="I550" s="152">
        <f>סקר!G800</f>
        <v>0</v>
      </c>
      <c r="J550" s="152">
        <f>סקר!H800</f>
        <v>0</v>
      </c>
      <c r="K550" s="152" t="e">
        <f>IF(D550="","",VLOOKUP(D550,[1]TreeType!$A$2:$E$508,3,3))</f>
        <v>#N/A</v>
      </c>
      <c r="L550" s="152">
        <f>IF(D550&gt;0,IF(סקר!M800=0,1,IF(סקר!M800=0,1,סקר!M800)),0)</f>
        <v>0</v>
      </c>
      <c r="M550" s="152">
        <f>סקר!J800</f>
        <v>0</v>
      </c>
      <c r="N550" s="152">
        <f>IF(D550&gt;0,IF(סקר!K800=0,1,IF(סקר!K800=0,1,סקר!K800)),0)</f>
        <v>0</v>
      </c>
      <c r="O550" s="152" t="e">
        <f t="shared" si="13"/>
        <v>#N/A</v>
      </c>
      <c r="P550" s="152">
        <f>IF(B550&gt;0,IF(סקר!O800 &lt;=1,1,סקר!O800),0)</f>
        <v>0</v>
      </c>
      <c r="Q550" s="152">
        <f>סקר!P800</f>
        <v>0</v>
      </c>
      <c r="R550" s="152">
        <f>סקר!R800</f>
        <v>0</v>
      </c>
      <c r="S550" s="152">
        <f>סקר!BC800</f>
        <v>0</v>
      </c>
      <c r="T550" s="156"/>
    </row>
    <row r="551" spans="1:20">
      <c r="A551" s="152" t="str">
        <f>IF(סקר!D801&lt;2,"עץ","פוליגון")</f>
        <v>עץ</v>
      </c>
      <c r="B551" s="152">
        <f>סקר!B801</f>
        <v>0</v>
      </c>
      <c r="C551" s="152">
        <f>IF(סקר!D801&lt;2,1,סקר!D801)</f>
        <v>1</v>
      </c>
      <c r="D551" s="152">
        <f>סקר!C801</f>
        <v>0</v>
      </c>
      <c r="E551" s="152" t="str">
        <f>IFERROR(VLOOKUP(F551,[1]TreeType!$A:$E,5,0),"")</f>
        <v/>
      </c>
      <c r="F551" s="153" t="str">
        <f>IFERROR(VLOOKUP(D551,[1]TreeType!$A:$B,2,0),"")</f>
        <v/>
      </c>
      <c r="G551" s="72">
        <f>IF(B551&gt;0,IF(סקר!E801=0,1,סקר!E801),0)</f>
        <v>0</v>
      </c>
      <c r="H551" s="72">
        <f>IF(B551&gt;0,IF(סקר!F801 = 0,1,סקר!F801),0)</f>
        <v>0</v>
      </c>
      <c r="I551" s="152">
        <f>סקר!G801</f>
        <v>0</v>
      </c>
      <c r="J551" s="152">
        <f>סקר!H801</f>
        <v>0</v>
      </c>
      <c r="K551" s="152" t="e">
        <f>IF(D551="","",VLOOKUP(D551,[1]TreeType!$A$2:$E$508,3,3))</f>
        <v>#N/A</v>
      </c>
      <c r="L551" s="152">
        <f>IF(D551&gt;0,IF(סקר!M801=0,1,IF(סקר!M801=0,1,סקר!M801)),0)</f>
        <v>0</v>
      </c>
      <c r="M551" s="152">
        <f>סקר!J801</f>
        <v>0</v>
      </c>
      <c r="N551" s="152">
        <f>IF(D551&gt;0,IF(סקר!K801=0,1,IF(סקר!K801=0,1,סקר!K801)),0)</f>
        <v>0</v>
      </c>
      <c r="O551" s="152" t="e">
        <f t="shared" si="13"/>
        <v>#N/A</v>
      </c>
      <c r="P551" s="152">
        <f>IF(B551&gt;0,IF(סקר!O801 &lt;=1,1,סקר!O801),0)</f>
        <v>0</v>
      </c>
      <c r="Q551" s="152">
        <f>סקר!P801</f>
        <v>0</v>
      </c>
      <c r="R551" s="152">
        <f>סקר!R801</f>
        <v>0</v>
      </c>
      <c r="S551" s="152">
        <f>סקר!BC801</f>
        <v>0</v>
      </c>
      <c r="T551" s="156"/>
    </row>
    <row r="552" spans="1:20">
      <c r="A552" s="152" t="str">
        <f>IF(סקר!D802&lt;2,"עץ","פוליגון")</f>
        <v>עץ</v>
      </c>
      <c r="B552" s="152">
        <f>סקר!B802</f>
        <v>0</v>
      </c>
      <c r="C552" s="152">
        <f>IF(סקר!D802&lt;2,1,סקר!D802)</f>
        <v>1</v>
      </c>
      <c r="D552" s="152">
        <f>סקר!C802</f>
        <v>0</v>
      </c>
      <c r="E552" s="152" t="str">
        <f>IFERROR(VLOOKUP(F552,[1]TreeType!$A:$E,5,0),"")</f>
        <v/>
      </c>
      <c r="F552" s="153" t="str">
        <f>IFERROR(VLOOKUP(D552,[1]TreeType!$A:$B,2,0),"")</f>
        <v/>
      </c>
      <c r="G552" s="72">
        <f>IF(B552&gt;0,IF(סקר!E802=0,1,סקר!E802),0)</f>
        <v>0</v>
      </c>
      <c r="H552" s="72">
        <f>IF(B552&gt;0,IF(סקר!F802 = 0,1,סקר!F802),0)</f>
        <v>0</v>
      </c>
      <c r="I552" s="152">
        <f>סקר!G802</f>
        <v>0</v>
      </c>
      <c r="J552" s="152">
        <f>סקר!H802</f>
        <v>0</v>
      </c>
      <c r="K552" s="152" t="e">
        <f>IF(D552="","",VLOOKUP(D552,[1]TreeType!$A$2:$E$508,3,3))</f>
        <v>#N/A</v>
      </c>
      <c r="L552" s="152">
        <f>IF(D552&gt;0,IF(סקר!M802=0,1,IF(סקר!M802=0,1,סקר!M802)),0)</f>
        <v>0</v>
      </c>
      <c r="M552" s="152">
        <f>סקר!J802</f>
        <v>0</v>
      </c>
      <c r="N552" s="152">
        <f>IF(D552&gt;0,IF(סקר!K802=0,1,IF(סקר!K802=0,1,סקר!K802)),0)</f>
        <v>0</v>
      </c>
      <c r="O552" s="152" t="e">
        <f t="shared" si="13"/>
        <v>#N/A</v>
      </c>
      <c r="P552" s="152">
        <f>IF(B552&gt;0,IF(סקר!O802 &lt;=1,1,סקר!O802),0)</f>
        <v>0</v>
      </c>
      <c r="Q552" s="152">
        <f>סקר!P802</f>
        <v>0</v>
      </c>
      <c r="R552" s="152">
        <f>סקר!R802</f>
        <v>0</v>
      </c>
      <c r="S552" s="152">
        <f>סקר!BC802</f>
        <v>0</v>
      </c>
      <c r="T552" s="156"/>
    </row>
    <row r="553" spans="1:20">
      <c r="A553" s="152" t="str">
        <f>IF(סקר!D803&lt;2,"עץ","פוליגון")</f>
        <v>עץ</v>
      </c>
      <c r="B553" s="152">
        <f>סקר!B803</f>
        <v>0</v>
      </c>
      <c r="C553" s="152">
        <f>IF(סקר!D803&lt;2,1,סקר!D803)</f>
        <v>1</v>
      </c>
      <c r="D553" s="152">
        <f>סקר!C803</f>
        <v>0</v>
      </c>
      <c r="E553" s="152" t="str">
        <f>IFERROR(VLOOKUP(F553,[1]TreeType!$A:$E,5,0),"")</f>
        <v/>
      </c>
      <c r="F553" s="153" t="str">
        <f>IFERROR(VLOOKUP(D553,[1]TreeType!$A:$B,2,0),"")</f>
        <v/>
      </c>
      <c r="G553" s="72">
        <f>IF(B553&gt;0,IF(סקר!E803=0,1,סקר!E803),0)</f>
        <v>0</v>
      </c>
      <c r="H553" s="72">
        <f>IF(B553&gt;0,IF(סקר!F803 = 0,1,סקר!F803),0)</f>
        <v>0</v>
      </c>
      <c r="I553" s="152">
        <f>סקר!G803</f>
        <v>0</v>
      </c>
      <c r="J553" s="152">
        <f>סקר!H803</f>
        <v>0</v>
      </c>
      <c r="K553" s="152" t="e">
        <f>IF(D553="","",VLOOKUP(D553,[1]TreeType!$A$2:$E$508,3,3))</f>
        <v>#N/A</v>
      </c>
      <c r="L553" s="152">
        <f>IF(D553&gt;0,IF(סקר!M803=0,1,IF(סקר!M803=0,1,סקר!M803)),0)</f>
        <v>0</v>
      </c>
      <c r="M553" s="152">
        <f>סקר!J803</f>
        <v>0</v>
      </c>
      <c r="N553" s="152">
        <f>IF(D553&gt;0,IF(סקר!K803=0,1,IF(סקר!K803=0,1,סקר!K803)),0)</f>
        <v>0</v>
      </c>
      <c r="O553" s="152" t="e">
        <f t="shared" si="13"/>
        <v>#N/A</v>
      </c>
      <c r="P553" s="152">
        <f>IF(B553&gt;0,IF(סקר!O803 &lt;=1,1,סקר!O803),0)</f>
        <v>0</v>
      </c>
      <c r="Q553" s="152">
        <f>סקר!P803</f>
        <v>0</v>
      </c>
      <c r="R553" s="152">
        <f>סקר!R803</f>
        <v>0</v>
      </c>
      <c r="S553" s="152">
        <f>סקר!BC803</f>
        <v>0</v>
      </c>
      <c r="T553" s="156"/>
    </row>
    <row r="554" spans="1:20">
      <c r="A554" s="152" t="str">
        <f>IF(סקר!D804&lt;2,"עץ","פוליגון")</f>
        <v>עץ</v>
      </c>
      <c r="B554" s="152">
        <f>סקר!B804</f>
        <v>0</v>
      </c>
      <c r="C554" s="152">
        <f>IF(סקר!D804&lt;2,1,סקר!D804)</f>
        <v>1</v>
      </c>
      <c r="D554" s="152">
        <f>סקר!C804</f>
        <v>0</v>
      </c>
      <c r="E554" s="152" t="str">
        <f>IFERROR(VLOOKUP(F554,[1]TreeType!$A:$E,5,0),"")</f>
        <v/>
      </c>
      <c r="F554" s="153" t="str">
        <f>IFERROR(VLOOKUP(D554,[1]TreeType!$A:$B,2,0),"")</f>
        <v/>
      </c>
      <c r="G554" s="72">
        <f>IF(B554&gt;0,IF(סקר!E804=0,1,סקר!E804),0)</f>
        <v>0</v>
      </c>
      <c r="H554" s="72">
        <f>IF(B554&gt;0,IF(סקר!F804 = 0,1,סקר!F804),0)</f>
        <v>0</v>
      </c>
      <c r="I554" s="152">
        <f>סקר!G804</f>
        <v>0</v>
      </c>
      <c r="J554" s="152">
        <f>סקר!H804</f>
        <v>0</v>
      </c>
      <c r="K554" s="152" t="e">
        <f>IF(D554="","",VLOOKUP(D554,[1]TreeType!$A$2:$E$508,3,3))</f>
        <v>#N/A</v>
      </c>
      <c r="L554" s="152">
        <f>IF(D554&gt;0,IF(סקר!M804=0,1,IF(סקר!M804=0,1,סקר!M804)),0)</f>
        <v>0</v>
      </c>
      <c r="M554" s="152">
        <f>סקר!J804</f>
        <v>0</v>
      </c>
      <c r="N554" s="152">
        <f>IF(D554&gt;0,IF(סקר!K804=0,1,IF(סקר!K804=0,1,סקר!K804)),0)</f>
        <v>0</v>
      </c>
      <c r="O554" s="152" t="e">
        <f t="shared" si="13"/>
        <v>#N/A</v>
      </c>
      <c r="P554" s="152">
        <f>IF(B554&gt;0,IF(סקר!O804 &lt;=1,1,סקר!O804),0)</f>
        <v>0</v>
      </c>
      <c r="Q554" s="152">
        <f>סקר!P804</f>
        <v>0</v>
      </c>
      <c r="R554" s="152">
        <f>סקר!R804</f>
        <v>0</v>
      </c>
      <c r="S554" s="152">
        <f>סקר!BC804</f>
        <v>0</v>
      </c>
      <c r="T554" s="156"/>
    </row>
    <row r="555" spans="1:20">
      <c r="A555" s="152" t="str">
        <f>IF(סקר!D805&lt;2,"עץ","פוליגון")</f>
        <v>עץ</v>
      </c>
      <c r="B555" s="152">
        <f>סקר!B805</f>
        <v>0</v>
      </c>
      <c r="C555" s="152">
        <f>IF(סקר!D805&lt;2,1,סקר!D805)</f>
        <v>1</v>
      </c>
      <c r="D555" s="152">
        <f>סקר!C805</f>
        <v>0</v>
      </c>
      <c r="E555" s="152" t="str">
        <f>IFERROR(VLOOKUP(F555,[1]TreeType!$A:$E,5,0),"")</f>
        <v/>
      </c>
      <c r="F555" s="153" t="str">
        <f>IFERROR(VLOOKUP(D555,[1]TreeType!$A:$B,2,0),"")</f>
        <v/>
      </c>
      <c r="G555" s="72">
        <f>IF(B555&gt;0,IF(סקר!E805=0,1,סקר!E805),0)</f>
        <v>0</v>
      </c>
      <c r="H555" s="72">
        <f>IF(B555&gt;0,IF(סקר!F805 = 0,1,סקר!F805),0)</f>
        <v>0</v>
      </c>
      <c r="I555" s="152">
        <f>סקר!G805</f>
        <v>0</v>
      </c>
      <c r="J555" s="152">
        <f>סקר!H805</f>
        <v>0</v>
      </c>
      <c r="K555" s="152" t="e">
        <f>IF(D555="","",VLOOKUP(D555,[1]TreeType!$A$2:$E$508,3,3))</f>
        <v>#N/A</v>
      </c>
      <c r="L555" s="152">
        <f>IF(D555&gt;0,IF(סקר!M805=0,1,IF(סקר!M805=0,1,סקר!M805)),0)</f>
        <v>0</v>
      </c>
      <c r="M555" s="152">
        <f>סקר!J805</f>
        <v>0</v>
      </c>
      <c r="N555" s="152">
        <f>IF(D555&gt;0,IF(סקר!K805=0,1,IF(סקר!K805=0,1,סקר!K805)),0)</f>
        <v>0</v>
      </c>
      <c r="O555" s="152" t="e">
        <f t="shared" si="13"/>
        <v>#N/A</v>
      </c>
      <c r="P555" s="152">
        <f>IF(B555&gt;0,IF(סקר!O805 &lt;=1,1,סקר!O805),0)</f>
        <v>0</v>
      </c>
      <c r="Q555" s="152">
        <f>סקר!P805</f>
        <v>0</v>
      </c>
      <c r="R555" s="152">
        <f>סקר!R805</f>
        <v>0</v>
      </c>
      <c r="S555" s="152">
        <f>סקר!BC805</f>
        <v>0</v>
      </c>
      <c r="T555" s="156"/>
    </row>
    <row r="556" spans="1:20">
      <c r="A556" s="152" t="str">
        <f>IF(סקר!D806&lt;2,"עץ","פוליגון")</f>
        <v>עץ</v>
      </c>
      <c r="B556" s="152">
        <f>סקר!B806</f>
        <v>0</v>
      </c>
      <c r="C556" s="152">
        <f>IF(סקר!D806&lt;2,1,סקר!D806)</f>
        <v>1</v>
      </c>
      <c r="D556" s="152">
        <f>סקר!C806</f>
        <v>0</v>
      </c>
      <c r="E556" s="152" t="str">
        <f>IFERROR(VLOOKUP(F556,[1]TreeType!$A:$E,5,0),"")</f>
        <v/>
      </c>
      <c r="F556" s="153" t="str">
        <f>IFERROR(VLOOKUP(D556,[1]TreeType!$A:$B,2,0),"")</f>
        <v/>
      </c>
      <c r="G556" s="72">
        <f>IF(B556&gt;0,IF(סקר!E806=0,1,סקר!E806),0)</f>
        <v>0</v>
      </c>
      <c r="H556" s="72">
        <f>IF(B556&gt;0,IF(סקר!F806 = 0,1,סקר!F806),0)</f>
        <v>0</v>
      </c>
      <c r="I556" s="152">
        <f>סקר!G806</f>
        <v>0</v>
      </c>
      <c r="J556" s="152">
        <f>סקר!H806</f>
        <v>0</v>
      </c>
      <c r="K556" s="152" t="e">
        <f>IF(D556="","",VLOOKUP(D556,[1]TreeType!$A$2:$E$508,3,3))</f>
        <v>#N/A</v>
      </c>
      <c r="L556" s="152">
        <f>IF(D556&gt;0,IF(סקר!M806=0,1,IF(סקר!M806=0,1,סקר!M806)),0)</f>
        <v>0</v>
      </c>
      <c r="M556" s="152">
        <f>סקר!J806</f>
        <v>0</v>
      </c>
      <c r="N556" s="152">
        <f>IF(D556&gt;0,IF(סקר!K806=0,1,IF(סקר!K806=0,1,סקר!K806)),0)</f>
        <v>0</v>
      </c>
      <c r="O556" s="152" t="e">
        <f t="shared" si="13"/>
        <v>#N/A</v>
      </c>
      <c r="P556" s="152">
        <f>IF(B556&gt;0,IF(סקר!O806 &lt;=1,1,סקר!O806),0)</f>
        <v>0</v>
      </c>
      <c r="Q556" s="152">
        <f>סקר!P806</f>
        <v>0</v>
      </c>
      <c r="R556" s="152">
        <f>סקר!R806</f>
        <v>0</v>
      </c>
      <c r="S556" s="152">
        <f>סקר!BC806</f>
        <v>0</v>
      </c>
      <c r="T556" s="156"/>
    </row>
    <row r="557" spans="1:20">
      <c r="A557" s="152" t="str">
        <f>IF(סקר!D807&lt;2,"עץ","פוליגון")</f>
        <v>עץ</v>
      </c>
      <c r="B557" s="152">
        <f>סקר!B807</f>
        <v>0</v>
      </c>
      <c r="C557" s="152">
        <f>IF(סקר!D807&lt;2,1,סקר!D807)</f>
        <v>1</v>
      </c>
      <c r="D557" s="152">
        <f>סקר!C807</f>
        <v>0</v>
      </c>
      <c r="E557" s="152" t="str">
        <f>IFERROR(VLOOKUP(F557,[1]TreeType!$A:$E,5,0),"")</f>
        <v/>
      </c>
      <c r="F557" s="153" t="str">
        <f>IFERROR(VLOOKUP(D557,[1]TreeType!$A:$B,2,0),"")</f>
        <v/>
      </c>
      <c r="G557" s="72">
        <f>IF(B557&gt;0,IF(סקר!E807=0,1,סקר!E807),0)</f>
        <v>0</v>
      </c>
      <c r="H557" s="72">
        <f>IF(B557&gt;0,IF(סקר!F807 = 0,1,סקר!F807),0)</f>
        <v>0</v>
      </c>
      <c r="I557" s="152">
        <f>סקר!G807</f>
        <v>0</v>
      </c>
      <c r="J557" s="152">
        <f>סקר!H807</f>
        <v>0</v>
      </c>
      <c r="K557" s="152" t="e">
        <f>IF(D557="","",VLOOKUP(D557,[1]TreeType!$A$2:$E$508,3,3))</f>
        <v>#N/A</v>
      </c>
      <c r="L557" s="152">
        <f>IF(D557&gt;0,IF(סקר!M807=0,1,IF(סקר!M807=0,1,סקר!M807)),0)</f>
        <v>0</v>
      </c>
      <c r="M557" s="152">
        <f>סקר!J807</f>
        <v>0</v>
      </c>
      <c r="N557" s="152">
        <f>IF(D557&gt;0,IF(סקר!K807=0,1,IF(סקר!K807=0,1,סקר!K807)),0)</f>
        <v>0</v>
      </c>
      <c r="O557" s="152" t="e">
        <f t="shared" si="13"/>
        <v>#N/A</v>
      </c>
      <c r="P557" s="152">
        <f>IF(B557&gt;0,IF(סקר!O807 &lt;=1,1,סקר!O807),0)</f>
        <v>0</v>
      </c>
      <c r="Q557" s="152">
        <f>סקר!P807</f>
        <v>0</v>
      </c>
      <c r="R557" s="152">
        <f>סקר!R807</f>
        <v>0</v>
      </c>
      <c r="S557" s="152">
        <f>סקר!BC807</f>
        <v>0</v>
      </c>
      <c r="T557" s="156"/>
    </row>
    <row r="558" spans="1:20">
      <c r="A558" s="152" t="str">
        <f>IF(סקר!D808&lt;2,"עץ","פוליגון")</f>
        <v>עץ</v>
      </c>
      <c r="B558" s="152">
        <f>סקר!B808</f>
        <v>0</v>
      </c>
      <c r="C558" s="152">
        <f>IF(סקר!D808&lt;2,1,סקר!D808)</f>
        <v>1</v>
      </c>
      <c r="D558" s="152">
        <f>סקר!C808</f>
        <v>0</v>
      </c>
      <c r="E558" s="152" t="str">
        <f>IFERROR(VLOOKUP(F558,[1]TreeType!$A:$E,5,0),"")</f>
        <v/>
      </c>
      <c r="F558" s="153" t="str">
        <f>IFERROR(VLOOKUP(D558,[1]TreeType!$A:$B,2,0),"")</f>
        <v/>
      </c>
      <c r="G558" s="72">
        <f>IF(B558&gt;0,IF(סקר!E808=0,1,סקר!E808),0)</f>
        <v>0</v>
      </c>
      <c r="H558" s="72">
        <f>IF(B558&gt;0,IF(סקר!F808 = 0,1,סקר!F808),0)</f>
        <v>0</v>
      </c>
      <c r="I558" s="152">
        <f>סקר!G808</f>
        <v>0</v>
      </c>
      <c r="J558" s="152">
        <f>סקר!H808</f>
        <v>0</v>
      </c>
      <c r="K558" s="152" t="e">
        <f>IF(D558="","",VLOOKUP(D558,[1]TreeType!$A$2:$E$508,3,3))</f>
        <v>#N/A</v>
      </c>
      <c r="L558" s="152">
        <f>IF(D558&gt;0,IF(סקר!M808=0,1,IF(סקר!M808=0,1,סקר!M808)),0)</f>
        <v>0</v>
      </c>
      <c r="M558" s="152">
        <f>סקר!J808</f>
        <v>0</v>
      </c>
      <c r="N558" s="152">
        <f>IF(D558&gt;0,IF(סקר!K808=0,1,IF(סקר!K808=0,1,סקר!K808)),0)</f>
        <v>0</v>
      </c>
      <c r="O558" s="152" t="e">
        <f t="shared" si="13"/>
        <v>#N/A</v>
      </c>
      <c r="P558" s="152">
        <f>IF(B558&gt;0,IF(סקר!O808 &lt;=1,1,סקר!O808),0)</f>
        <v>0</v>
      </c>
      <c r="Q558" s="152">
        <f>סקר!P808</f>
        <v>0</v>
      </c>
      <c r="R558" s="152">
        <f>סקר!R808</f>
        <v>0</v>
      </c>
      <c r="S558" s="152">
        <f>סקר!BC808</f>
        <v>0</v>
      </c>
      <c r="T558" s="156"/>
    </row>
    <row r="559" spans="1:20">
      <c r="A559" s="152" t="str">
        <f>IF(סקר!D809&lt;2,"עץ","פוליגון")</f>
        <v>עץ</v>
      </c>
      <c r="B559" s="152">
        <f>סקר!B809</f>
        <v>0</v>
      </c>
      <c r="C559" s="152">
        <f>IF(סקר!D809&lt;2,1,סקר!D809)</f>
        <v>1</v>
      </c>
      <c r="D559" s="152">
        <f>סקר!C809</f>
        <v>0</v>
      </c>
      <c r="E559" s="152" t="str">
        <f>IFERROR(VLOOKUP(F559,[1]TreeType!$A:$E,5,0),"")</f>
        <v/>
      </c>
      <c r="F559" s="153" t="str">
        <f>IFERROR(VLOOKUP(D559,[1]TreeType!$A:$B,2,0),"")</f>
        <v/>
      </c>
      <c r="G559" s="72">
        <f>IF(B559&gt;0,IF(סקר!E809=0,1,סקר!E809),0)</f>
        <v>0</v>
      </c>
      <c r="H559" s="72">
        <f>IF(B559&gt;0,IF(סקר!F809 = 0,1,סקר!F809),0)</f>
        <v>0</v>
      </c>
      <c r="I559" s="152">
        <f>סקר!G809</f>
        <v>0</v>
      </c>
      <c r="J559" s="152">
        <f>סקר!H809</f>
        <v>0</v>
      </c>
      <c r="K559" s="152" t="e">
        <f>IF(D559="","",VLOOKUP(D559,[1]TreeType!$A$2:$E$508,3,3))</f>
        <v>#N/A</v>
      </c>
      <c r="L559" s="152">
        <f>IF(D559&gt;0,IF(סקר!M809=0,1,IF(סקר!M809=0,1,סקר!M809)),0)</f>
        <v>0</v>
      </c>
      <c r="M559" s="152">
        <f>סקר!J809</f>
        <v>0</v>
      </c>
      <c r="N559" s="152">
        <f>IF(D559&gt;0,IF(סקר!K809=0,1,IF(סקר!K809=0,1,סקר!K809)),0)</f>
        <v>0</v>
      </c>
      <c r="O559" s="152" t="e">
        <f t="shared" si="13"/>
        <v>#N/A</v>
      </c>
      <c r="P559" s="152">
        <f>IF(B559&gt;0,IF(סקר!O809 &lt;=1,1,סקר!O809),0)</f>
        <v>0</v>
      </c>
      <c r="Q559" s="152">
        <f>סקר!P809</f>
        <v>0</v>
      </c>
      <c r="R559" s="152">
        <f>סקר!R809</f>
        <v>0</v>
      </c>
      <c r="S559" s="152">
        <f>סקר!BC809</f>
        <v>0</v>
      </c>
      <c r="T559" s="156"/>
    </row>
    <row r="560" spans="1:20">
      <c r="A560" s="152" t="str">
        <f>IF(סקר!D810&lt;2,"עץ","פוליגון")</f>
        <v>עץ</v>
      </c>
      <c r="B560" s="152">
        <f>סקר!B810</f>
        <v>0</v>
      </c>
      <c r="C560" s="152">
        <f>IF(סקר!D810&lt;2,1,סקר!D810)</f>
        <v>1</v>
      </c>
      <c r="D560" s="152">
        <f>סקר!C810</f>
        <v>0</v>
      </c>
      <c r="E560" s="152" t="str">
        <f>IFERROR(VLOOKUP(F560,[1]TreeType!$A:$E,5,0),"")</f>
        <v/>
      </c>
      <c r="F560" s="153" t="str">
        <f>IFERROR(VLOOKUP(D560,[1]TreeType!$A:$B,2,0),"")</f>
        <v/>
      </c>
      <c r="G560" s="72">
        <f>IF(B560&gt;0,IF(סקר!E810=0,1,סקר!E810),0)</f>
        <v>0</v>
      </c>
      <c r="H560" s="72">
        <f>IF(B560&gt;0,IF(סקר!F810 = 0,1,סקר!F810),0)</f>
        <v>0</v>
      </c>
      <c r="I560" s="152">
        <f>סקר!G810</f>
        <v>0</v>
      </c>
      <c r="J560" s="152">
        <f>סקר!H810</f>
        <v>0</v>
      </c>
      <c r="K560" s="152" t="e">
        <f>IF(D560="","",VLOOKUP(D560,[1]TreeType!$A$2:$E$508,3,3))</f>
        <v>#N/A</v>
      </c>
      <c r="L560" s="152">
        <f>IF(D560&gt;0,IF(סקר!M810=0,1,IF(סקר!M810=0,1,סקר!M810)),0)</f>
        <v>0</v>
      </c>
      <c r="M560" s="152">
        <f>סקר!J810</f>
        <v>0</v>
      </c>
      <c r="N560" s="152">
        <f>IF(D560&gt;0,IF(סקר!K810=0,1,IF(סקר!K810=0,1,סקר!K810)),0)</f>
        <v>0</v>
      </c>
      <c r="O560" s="152" t="e">
        <f t="shared" si="13"/>
        <v>#N/A</v>
      </c>
      <c r="P560" s="152">
        <f>IF(B560&gt;0,IF(סקר!O810 &lt;=1,1,סקר!O810),0)</f>
        <v>0</v>
      </c>
      <c r="Q560" s="152">
        <f>סקר!P810</f>
        <v>0</v>
      </c>
      <c r="R560" s="152">
        <f>סקר!R810</f>
        <v>0</v>
      </c>
      <c r="S560" s="152">
        <f>סקר!BC810</f>
        <v>0</v>
      </c>
      <c r="T560" s="156"/>
    </row>
    <row r="561" spans="1:20">
      <c r="A561" s="152" t="str">
        <f>IF(סקר!D811&lt;2,"עץ","פוליגון")</f>
        <v>עץ</v>
      </c>
      <c r="B561" s="152">
        <f>סקר!B811</f>
        <v>0</v>
      </c>
      <c r="C561" s="152">
        <f>IF(סקר!D811&lt;2,1,סקר!D811)</f>
        <v>1</v>
      </c>
      <c r="D561" s="152">
        <f>סקר!C811</f>
        <v>0</v>
      </c>
      <c r="E561" s="152" t="str">
        <f>IFERROR(VLOOKUP(F561,[1]TreeType!$A:$E,5,0),"")</f>
        <v/>
      </c>
      <c r="F561" s="153" t="str">
        <f>IFERROR(VLOOKUP(D561,[1]TreeType!$A:$B,2,0),"")</f>
        <v/>
      </c>
      <c r="G561" s="72">
        <f>IF(B561&gt;0,IF(סקר!E811=0,1,סקר!E811),0)</f>
        <v>0</v>
      </c>
      <c r="H561" s="72">
        <f>IF(B561&gt;0,IF(סקר!F811 = 0,1,סקר!F811),0)</f>
        <v>0</v>
      </c>
      <c r="I561" s="152">
        <f>סקר!G811</f>
        <v>0</v>
      </c>
      <c r="J561" s="152">
        <f>סקר!H811</f>
        <v>0</v>
      </c>
      <c r="K561" s="152" t="e">
        <f>IF(D561="","",VLOOKUP(D561,[1]TreeType!$A$2:$E$508,3,3))</f>
        <v>#N/A</v>
      </c>
      <c r="L561" s="152">
        <f>IF(D561&gt;0,IF(סקר!M811=0,1,IF(סקר!M811=0,1,סקר!M811)),0)</f>
        <v>0</v>
      </c>
      <c r="M561" s="152">
        <f>סקר!J811</f>
        <v>0</v>
      </c>
      <c r="N561" s="152">
        <f>IF(D561&gt;0,IF(סקר!K811=0,1,IF(סקר!K811=0,1,סקר!K811)),0)</f>
        <v>0</v>
      </c>
      <c r="O561" s="152" t="e">
        <f t="shared" si="13"/>
        <v>#N/A</v>
      </c>
      <c r="P561" s="152">
        <f>IF(B561&gt;0,IF(סקר!O811 &lt;=1,1,סקר!O811),0)</f>
        <v>0</v>
      </c>
      <c r="Q561" s="152">
        <f>סקר!P811</f>
        <v>0</v>
      </c>
      <c r="R561" s="152">
        <f>סקר!R811</f>
        <v>0</v>
      </c>
      <c r="S561" s="152">
        <f>סקר!BC811</f>
        <v>0</v>
      </c>
      <c r="T561" s="156"/>
    </row>
    <row r="562" spans="1:20">
      <c r="A562" s="152" t="str">
        <f>IF(סקר!D812&lt;2,"עץ","פוליגון")</f>
        <v>עץ</v>
      </c>
      <c r="B562" s="152">
        <f>סקר!B812</f>
        <v>0</v>
      </c>
      <c r="C562" s="152">
        <f>IF(סקר!D812&lt;2,1,סקר!D812)</f>
        <v>1</v>
      </c>
      <c r="D562" s="152">
        <f>סקר!C812</f>
        <v>0</v>
      </c>
      <c r="E562" s="152" t="str">
        <f>IFERROR(VLOOKUP(F562,[1]TreeType!$A:$E,5,0),"")</f>
        <v/>
      </c>
      <c r="F562" s="153" t="str">
        <f>IFERROR(VLOOKUP(D562,[1]TreeType!$A:$B,2,0),"")</f>
        <v/>
      </c>
      <c r="G562" s="72">
        <f>IF(B562&gt;0,IF(סקר!E812=0,1,סקר!E812),0)</f>
        <v>0</v>
      </c>
      <c r="H562" s="72">
        <f>IF(B562&gt;0,IF(סקר!F812 = 0,1,סקר!F812),0)</f>
        <v>0</v>
      </c>
      <c r="I562" s="152">
        <f>סקר!G812</f>
        <v>0</v>
      </c>
      <c r="J562" s="152">
        <f>סקר!H812</f>
        <v>0</v>
      </c>
      <c r="K562" s="152" t="e">
        <f>IF(D562="","",VLOOKUP(D562,[1]TreeType!$A$2:$E$508,3,3))</f>
        <v>#N/A</v>
      </c>
      <c r="L562" s="152">
        <f>IF(D562&gt;0,IF(סקר!M812=0,1,IF(סקר!M812=0,1,סקר!M812)),0)</f>
        <v>0</v>
      </c>
      <c r="M562" s="152">
        <f>סקר!J812</f>
        <v>0</v>
      </c>
      <c r="N562" s="152">
        <f>IF(D562&gt;0,IF(סקר!K812=0,1,IF(סקר!K812=0,1,סקר!K812)),0)</f>
        <v>0</v>
      </c>
      <c r="O562" s="152" t="e">
        <f t="shared" si="13"/>
        <v>#N/A</v>
      </c>
      <c r="P562" s="152">
        <f>IF(B562&gt;0,IF(סקר!O812 &lt;=1,1,סקר!O812),0)</f>
        <v>0</v>
      </c>
      <c r="Q562" s="152">
        <f>סקר!P812</f>
        <v>0</v>
      </c>
      <c r="R562" s="152">
        <f>סקר!R812</f>
        <v>0</v>
      </c>
      <c r="S562" s="152">
        <f>סקר!BC812</f>
        <v>0</v>
      </c>
      <c r="T562" s="156"/>
    </row>
    <row r="563" spans="1:20">
      <c r="A563" s="152" t="str">
        <f>IF(סקר!D813&lt;2,"עץ","פוליגון")</f>
        <v>עץ</v>
      </c>
      <c r="B563" s="152">
        <f>סקר!B813</f>
        <v>0</v>
      </c>
      <c r="C563" s="152">
        <f>IF(סקר!D813&lt;2,1,סקר!D813)</f>
        <v>1</v>
      </c>
      <c r="D563" s="152">
        <f>סקר!C813</f>
        <v>0</v>
      </c>
      <c r="E563" s="152" t="str">
        <f>IFERROR(VLOOKUP(F563,[1]TreeType!$A:$E,5,0),"")</f>
        <v/>
      </c>
      <c r="F563" s="153" t="str">
        <f>IFERROR(VLOOKUP(D563,[1]TreeType!$A:$B,2,0),"")</f>
        <v/>
      </c>
      <c r="G563" s="72">
        <f>IF(B563&gt;0,IF(סקר!E813=0,1,סקר!E813),0)</f>
        <v>0</v>
      </c>
      <c r="H563" s="72">
        <f>IF(B563&gt;0,IF(סקר!F813 = 0,1,סקר!F813),0)</f>
        <v>0</v>
      </c>
      <c r="I563" s="152">
        <f>סקר!G813</f>
        <v>0</v>
      </c>
      <c r="J563" s="152">
        <f>סקר!H813</f>
        <v>0</v>
      </c>
      <c r="K563" s="152" t="e">
        <f>IF(D563="","",VLOOKUP(D563,[1]TreeType!$A$2:$E$508,3,3))</f>
        <v>#N/A</v>
      </c>
      <c r="L563" s="152">
        <f>IF(D563&gt;0,IF(סקר!M813=0,1,IF(סקר!M813=0,1,סקר!M813)),0)</f>
        <v>0</v>
      </c>
      <c r="M563" s="152">
        <f>סקר!J813</f>
        <v>0</v>
      </c>
      <c r="N563" s="152">
        <f>IF(D563&gt;0,IF(סקר!K813=0,1,IF(סקר!K813=0,1,סקר!K813)),0)</f>
        <v>0</v>
      </c>
      <c r="O563" s="152" t="e">
        <f t="shared" si="13"/>
        <v>#N/A</v>
      </c>
      <c r="P563" s="152">
        <f>IF(B563&gt;0,IF(סקר!O813 &lt;=1,1,סקר!O813),0)</f>
        <v>0</v>
      </c>
      <c r="Q563" s="152">
        <f>סקר!P813</f>
        <v>0</v>
      </c>
      <c r="R563" s="152">
        <f>סקר!R813</f>
        <v>0</v>
      </c>
      <c r="S563" s="152">
        <f>סקר!BC813</f>
        <v>0</v>
      </c>
      <c r="T563" s="156"/>
    </row>
    <row r="564" spans="1:20">
      <c r="A564" s="152" t="str">
        <f>IF(סקר!D814&lt;2,"עץ","פוליגון")</f>
        <v>עץ</v>
      </c>
      <c r="B564" s="152">
        <f>סקר!B814</f>
        <v>0</v>
      </c>
      <c r="C564" s="152">
        <f>IF(סקר!D814&lt;2,1,סקר!D814)</f>
        <v>1</v>
      </c>
      <c r="D564" s="152">
        <f>סקר!C814</f>
        <v>0</v>
      </c>
      <c r="E564" s="152" t="str">
        <f>IFERROR(VLOOKUP(F564,[1]TreeType!$A:$E,5,0),"")</f>
        <v/>
      </c>
      <c r="F564" s="153" t="str">
        <f>IFERROR(VLOOKUP(D564,[1]TreeType!$A:$B,2,0),"")</f>
        <v/>
      </c>
      <c r="G564" s="72">
        <f>IF(B564&gt;0,IF(סקר!E814=0,1,סקר!E814),0)</f>
        <v>0</v>
      </c>
      <c r="H564" s="72">
        <f>IF(B564&gt;0,IF(סקר!F814 = 0,1,סקר!F814),0)</f>
        <v>0</v>
      </c>
      <c r="I564" s="152">
        <f>סקר!G814</f>
        <v>0</v>
      </c>
      <c r="J564" s="152">
        <f>סקר!H814</f>
        <v>0</v>
      </c>
      <c r="K564" s="152" t="e">
        <f>IF(D564="","",VLOOKUP(D564,[1]TreeType!$A$2:$E$508,3,3))</f>
        <v>#N/A</v>
      </c>
      <c r="L564" s="152">
        <f>IF(D564&gt;0,IF(סקר!M814=0,1,IF(סקר!M814=0,1,סקר!M814)),0)</f>
        <v>0</v>
      </c>
      <c r="M564" s="152">
        <f>סקר!J814</f>
        <v>0</v>
      </c>
      <c r="N564" s="152">
        <f>IF(D564&gt;0,IF(סקר!K814=0,1,IF(סקר!K814=0,1,סקר!K814)),0)</f>
        <v>0</v>
      </c>
      <c r="O564" s="152" t="e">
        <f t="shared" si="13"/>
        <v>#N/A</v>
      </c>
      <c r="P564" s="152">
        <f>IF(B564&gt;0,IF(סקר!O814 &lt;=1,1,סקר!O814),0)</f>
        <v>0</v>
      </c>
      <c r="Q564" s="152">
        <f>סקר!P814</f>
        <v>0</v>
      </c>
      <c r="R564" s="152">
        <f>סקר!R814</f>
        <v>0</v>
      </c>
      <c r="S564" s="152">
        <f>סקר!BC814</f>
        <v>0</v>
      </c>
      <c r="T564" s="156"/>
    </row>
    <row r="565" spans="1:20">
      <c r="A565" s="152" t="str">
        <f>IF(סקר!D815&lt;2,"עץ","פוליגון")</f>
        <v>עץ</v>
      </c>
      <c r="B565" s="152">
        <f>סקר!B815</f>
        <v>0</v>
      </c>
      <c r="C565" s="152">
        <f>IF(סקר!D815&lt;2,1,סקר!D815)</f>
        <v>1</v>
      </c>
      <c r="D565" s="152">
        <f>סקר!C815</f>
        <v>0</v>
      </c>
      <c r="E565" s="152" t="str">
        <f>IFERROR(VLOOKUP(F565,[1]TreeType!$A:$E,5,0),"")</f>
        <v/>
      </c>
      <c r="F565" s="153" t="str">
        <f>IFERROR(VLOOKUP(D565,[1]TreeType!$A:$B,2,0),"")</f>
        <v/>
      </c>
      <c r="G565" s="72">
        <f>IF(B565&gt;0,IF(סקר!E815=0,1,סקר!E815),0)</f>
        <v>0</v>
      </c>
      <c r="H565" s="72">
        <f>IF(B565&gt;0,IF(סקר!F815 = 0,1,סקר!F815),0)</f>
        <v>0</v>
      </c>
      <c r="I565" s="152">
        <f>סקר!G815</f>
        <v>0</v>
      </c>
      <c r="J565" s="152">
        <f>סקר!H815</f>
        <v>0</v>
      </c>
      <c r="K565" s="152" t="e">
        <f>IF(D565="","",VLOOKUP(D565,[1]TreeType!$A$2:$E$508,3,3))</f>
        <v>#N/A</v>
      </c>
      <c r="L565" s="152">
        <f>IF(D565&gt;0,IF(סקר!M815=0,1,IF(סקר!M815=0,1,סקר!M815)),0)</f>
        <v>0</v>
      </c>
      <c r="M565" s="152">
        <f>סקר!J815</f>
        <v>0</v>
      </c>
      <c r="N565" s="152">
        <f>IF(D565&gt;0,IF(סקר!K815=0,1,IF(סקר!K815=0,1,סקר!K815)),0)</f>
        <v>0</v>
      </c>
      <c r="O565" s="152" t="e">
        <f t="shared" si="13"/>
        <v>#N/A</v>
      </c>
      <c r="P565" s="152">
        <f>IF(B565&gt;0,IF(סקר!O815 &lt;=1,1,סקר!O815),0)</f>
        <v>0</v>
      </c>
      <c r="Q565" s="152">
        <f>סקר!P815</f>
        <v>0</v>
      </c>
      <c r="R565" s="152">
        <f>סקר!R815</f>
        <v>0</v>
      </c>
      <c r="S565" s="152">
        <f>סקר!BC815</f>
        <v>0</v>
      </c>
      <c r="T565" s="156"/>
    </row>
    <row r="566" spans="1:20">
      <c r="A566" s="152" t="str">
        <f>IF(סקר!D816&lt;2,"עץ","פוליגון")</f>
        <v>עץ</v>
      </c>
      <c r="B566" s="152">
        <f>סקר!B816</f>
        <v>0</v>
      </c>
      <c r="C566" s="152">
        <f>IF(סקר!D816&lt;2,1,סקר!D816)</f>
        <v>1</v>
      </c>
      <c r="D566" s="152">
        <f>סקר!C816</f>
        <v>0</v>
      </c>
      <c r="E566" s="152" t="str">
        <f>IFERROR(VLOOKUP(F566,[1]TreeType!$A:$E,5,0),"")</f>
        <v/>
      </c>
      <c r="F566" s="153" t="str">
        <f>IFERROR(VLOOKUP(D566,[1]TreeType!$A:$B,2,0),"")</f>
        <v/>
      </c>
      <c r="G566" s="72">
        <f>IF(B566&gt;0,IF(סקר!E816=0,1,סקר!E816),0)</f>
        <v>0</v>
      </c>
      <c r="H566" s="72">
        <f>IF(B566&gt;0,IF(סקר!F816 = 0,1,סקר!F816),0)</f>
        <v>0</v>
      </c>
      <c r="I566" s="152">
        <f>סקר!G816</f>
        <v>0</v>
      </c>
      <c r="J566" s="152">
        <f>סקר!H816</f>
        <v>0</v>
      </c>
      <c r="K566" s="152" t="e">
        <f>IF(D566="","",VLOOKUP(D566,[1]TreeType!$A$2:$E$508,3,3))</f>
        <v>#N/A</v>
      </c>
      <c r="L566" s="152">
        <f>IF(D566&gt;0,IF(סקר!M816=0,1,IF(סקר!M816=0,1,סקר!M816)),0)</f>
        <v>0</v>
      </c>
      <c r="M566" s="152">
        <f>סקר!J816</f>
        <v>0</v>
      </c>
      <c r="N566" s="152">
        <f>IF(D566&gt;0,IF(סקר!K816=0,1,IF(סקר!K816=0,1,סקר!K816)),0)</f>
        <v>0</v>
      </c>
      <c r="O566" s="152" t="e">
        <f t="shared" si="13"/>
        <v>#N/A</v>
      </c>
      <c r="P566" s="152">
        <f>IF(B566&gt;0,IF(סקר!O816 &lt;=1,1,סקר!O816),0)</f>
        <v>0</v>
      </c>
      <c r="Q566" s="152">
        <f>סקר!P816</f>
        <v>0</v>
      </c>
      <c r="R566" s="152">
        <f>סקר!R816</f>
        <v>0</v>
      </c>
      <c r="S566" s="152">
        <f>סקר!BC816</f>
        <v>0</v>
      </c>
      <c r="T566" s="156"/>
    </row>
    <row r="567" spans="1:20">
      <c r="A567" s="152" t="str">
        <f>IF(סקר!D817&lt;2,"עץ","פוליגון")</f>
        <v>עץ</v>
      </c>
      <c r="B567" s="152">
        <f>סקר!B817</f>
        <v>0</v>
      </c>
      <c r="C567" s="152">
        <f>IF(סקר!D817&lt;2,1,סקר!D817)</f>
        <v>1</v>
      </c>
      <c r="D567" s="152">
        <f>סקר!C817</f>
        <v>0</v>
      </c>
      <c r="E567" s="152" t="str">
        <f>IFERROR(VLOOKUP(F567,[1]TreeType!$A:$E,5,0),"")</f>
        <v/>
      </c>
      <c r="F567" s="153" t="str">
        <f>IFERROR(VLOOKUP(D567,[1]TreeType!$A:$B,2,0),"")</f>
        <v/>
      </c>
      <c r="G567" s="72">
        <f>IF(B567&gt;0,IF(סקר!E817=0,1,סקר!E817),0)</f>
        <v>0</v>
      </c>
      <c r="H567" s="72">
        <f>IF(B567&gt;0,IF(סקר!F817 = 0,1,סקר!F817),0)</f>
        <v>0</v>
      </c>
      <c r="I567" s="152">
        <f>סקר!G817</f>
        <v>0</v>
      </c>
      <c r="J567" s="152">
        <f>סקר!H817</f>
        <v>0</v>
      </c>
      <c r="K567" s="152" t="e">
        <f>IF(D567="","",VLOOKUP(D567,[1]TreeType!$A$2:$E$508,3,3))</f>
        <v>#N/A</v>
      </c>
      <c r="L567" s="152">
        <f>IF(D567&gt;0,IF(סקר!M817=0,1,IF(סקר!M817=0,1,סקר!M817)),0)</f>
        <v>0</v>
      </c>
      <c r="M567" s="152">
        <f>סקר!J817</f>
        <v>0</v>
      </c>
      <c r="N567" s="152">
        <f>IF(D567&gt;0,IF(סקר!K817=0,1,IF(סקר!K817=0,1,סקר!K817)),0)</f>
        <v>0</v>
      </c>
      <c r="O567" s="152" t="e">
        <f t="shared" si="13"/>
        <v>#N/A</v>
      </c>
      <c r="P567" s="152">
        <f>IF(B567&gt;0,IF(סקר!O817 &lt;=1,1,סקר!O817),0)</f>
        <v>0</v>
      </c>
      <c r="Q567" s="152">
        <f>סקר!P817</f>
        <v>0</v>
      </c>
      <c r="R567" s="152">
        <f>סקר!R817</f>
        <v>0</v>
      </c>
      <c r="S567" s="152">
        <f>סקר!BC817</f>
        <v>0</v>
      </c>
      <c r="T567" s="156"/>
    </row>
    <row r="568" spans="1:20">
      <c r="A568" s="152" t="str">
        <f>IF(סקר!D818&lt;2,"עץ","פוליגון")</f>
        <v>עץ</v>
      </c>
      <c r="B568" s="152">
        <f>סקר!B818</f>
        <v>0</v>
      </c>
      <c r="C568" s="152">
        <f>IF(סקר!D818&lt;2,1,סקר!D818)</f>
        <v>1</v>
      </c>
      <c r="D568" s="152">
        <f>סקר!C818</f>
        <v>0</v>
      </c>
      <c r="E568" s="152" t="str">
        <f>IFERROR(VLOOKUP(F568,[1]TreeType!$A:$E,5,0),"")</f>
        <v/>
      </c>
      <c r="F568" s="153" t="str">
        <f>IFERROR(VLOOKUP(D568,[1]TreeType!$A:$B,2,0),"")</f>
        <v/>
      </c>
      <c r="G568" s="72">
        <f>IF(B568&gt;0,IF(סקר!E818=0,1,סקר!E818),0)</f>
        <v>0</v>
      </c>
      <c r="H568" s="72">
        <f>IF(B568&gt;0,IF(סקר!F818 = 0,1,סקר!F818),0)</f>
        <v>0</v>
      </c>
      <c r="I568" s="152">
        <f>סקר!G818</f>
        <v>0</v>
      </c>
      <c r="J568" s="152">
        <f>סקר!H818</f>
        <v>0</v>
      </c>
      <c r="K568" s="152" t="e">
        <f>IF(D568="","",VLOOKUP(D568,[1]TreeType!$A$2:$E$508,3,3))</f>
        <v>#N/A</v>
      </c>
      <c r="L568" s="152">
        <f>IF(D568&gt;0,IF(סקר!M818=0,1,IF(סקר!M818=0,1,סקר!M818)),0)</f>
        <v>0</v>
      </c>
      <c r="M568" s="152">
        <f>סקר!J818</f>
        <v>0</v>
      </c>
      <c r="N568" s="152">
        <f>IF(D568&gt;0,IF(סקר!K818=0,1,IF(סקר!K818=0,1,סקר!K818)),0)</f>
        <v>0</v>
      </c>
      <c r="O568" s="152" t="e">
        <f t="shared" si="13"/>
        <v>#N/A</v>
      </c>
      <c r="P568" s="152">
        <f>IF(B568&gt;0,IF(סקר!O818 &lt;=1,1,סקר!O818),0)</f>
        <v>0</v>
      </c>
      <c r="Q568" s="152">
        <f>סקר!P818</f>
        <v>0</v>
      </c>
      <c r="R568" s="152">
        <f>סקר!R818</f>
        <v>0</v>
      </c>
      <c r="S568" s="152">
        <f>סקר!BC818</f>
        <v>0</v>
      </c>
      <c r="T568" s="156"/>
    </row>
    <row r="569" spans="1:20">
      <c r="A569" s="152" t="str">
        <f>IF(סקר!D819&lt;2,"עץ","פוליגון")</f>
        <v>עץ</v>
      </c>
      <c r="B569" s="152">
        <f>סקר!B819</f>
        <v>0</v>
      </c>
      <c r="C569" s="152">
        <f>IF(סקר!D819&lt;2,1,סקר!D819)</f>
        <v>1</v>
      </c>
      <c r="D569" s="152">
        <f>סקר!C819</f>
        <v>0</v>
      </c>
      <c r="E569" s="152" t="str">
        <f>IFERROR(VLOOKUP(F569,[1]TreeType!$A:$E,5,0),"")</f>
        <v/>
      </c>
      <c r="F569" s="153" t="str">
        <f>IFERROR(VLOOKUP(D569,[1]TreeType!$A:$B,2,0),"")</f>
        <v/>
      </c>
      <c r="G569" s="72">
        <f>IF(B569&gt;0,IF(סקר!E819=0,1,סקר!E819),0)</f>
        <v>0</v>
      </c>
      <c r="H569" s="72">
        <f>IF(B569&gt;0,IF(סקר!F819 = 0,1,סקר!F819),0)</f>
        <v>0</v>
      </c>
      <c r="I569" s="152">
        <f>סקר!G819</f>
        <v>0</v>
      </c>
      <c r="J569" s="152">
        <f>סקר!H819</f>
        <v>0</v>
      </c>
      <c r="K569" s="152" t="e">
        <f>IF(D569="","",VLOOKUP(D569,[1]TreeType!$A$2:$E$508,3,3))</f>
        <v>#N/A</v>
      </c>
      <c r="L569" s="152">
        <f>IF(D569&gt;0,IF(סקר!M819=0,1,IF(סקר!M819=0,1,סקר!M819)),0)</f>
        <v>0</v>
      </c>
      <c r="M569" s="152">
        <f>סקר!J819</f>
        <v>0</v>
      </c>
      <c r="N569" s="152">
        <f>IF(D569&gt;0,IF(סקר!K819=0,1,IF(סקר!K819=0,1,סקר!K819)),0)</f>
        <v>0</v>
      </c>
      <c r="O569" s="152" t="e">
        <f t="shared" si="13"/>
        <v>#N/A</v>
      </c>
      <c r="P569" s="152">
        <f>IF(B569&gt;0,IF(סקר!O819 &lt;=1,1,סקר!O819),0)</f>
        <v>0</v>
      </c>
      <c r="Q569" s="152">
        <f>סקר!P819</f>
        <v>0</v>
      </c>
      <c r="R569" s="152">
        <f>סקר!R819</f>
        <v>0</v>
      </c>
      <c r="S569" s="152">
        <f>סקר!BC819</f>
        <v>0</v>
      </c>
      <c r="T569" s="156"/>
    </row>
    <row r="570" spans="1:20">
      <c r="A570" s="152" t="str">
        <f>IF(סקר!D820&lt;2,"עץ","פוליגון")</f>
        <v>עץ</v>
      </c>
      <c r="B570" s="152">
        <f>סקר!B820</f>
        <v>0</v>
      </c>
      <c r="C570" s="152">
        <f>IF(סקר!D820&lt;2,1,סקר!D820)</f>
        <v>1</v>
      </c>
      <c r="D570" s="152">
        <f>סקר!C820</f>
        <v>0</v>
      </c>
      <c r="E570" s="152" t="str">
        <f>IFERROR(VLOOKUP(F570,[1]TreeType!$A:$E,5,0),"")</f>
        <v/>
      </c>
      <c r="F570" s="153" t="str">
        <f>IFERROR(VLOOKUP(D570,[1]TreeType!$A:$B,2,0),"")</f>
        <v/>
      </c>
      <c r="G570" s="72">
        <f>IF(B570&gt;0,IF(סקר!E820=0,1,סקר!E820),0)</f>
        <v>0</v>
      </c>
      <c r="H570" s="72">
        <f>IF(B570&gt;0,IF(סקר!F820 = 0,1,סקר!F820),0)</f>
        <v>0</v>
      </c>
      <c r="I570" s="152">
        <f>סקר!G820</f>
        <v>0</v>
      </c>
      <c r="J570" s="152">
        <f>סקר!H820</f>
        <v>0</v>
      </c>
      <c r="K570" s="152" t="e">
        <f>IF(D570="","",VLOOKUP(D570,[1]TreeType!$A$2:$E$508,3,3))</f>
        <v>#N/A</v>
      </c>
      <c r="L570" s="152">
        <f>IF(D570&gt;0,IF(סקר!M820=0,1,IF(סקר!M820=0,1,סקר!M820)),0)</f>
        <v>0</v>
      </c>
      <c r="M570" s="152">
        <f>סקר!J820</f>
        <v>0</v>
      </c>
      <c r="N570" s="152">
        <f>IF(D570&gt;0,IF(סקר!K820=0,1,IF(סקר!K820=0,1,סקר!K820)),0)</f>
        <v>0</v>
      </c>
      <c r="O570" s="152" t="e">
        <f t="shared" si="13"/>
        <v>#N/A</v>
      </c>
      <c r="P570" s="152">
        <f>IF(B570&gt;0,IF(סקר!O820 &lt;=1,1,סקר!O820),0)</f>
        <v>0</v>
      </c>
      <c r="Q570" s="152">
        <f>סקר!P820</f>
        <v>0</v>
      </c>
      <c r="R570" s="152">
        <f>סקר!R820</f>
        <v>0</v>
      </c>
      <c r="S570" s="152">
        <f>סקר!BC820</f>
        <v>0</v>
      </c>
      <c r="T570" s="156"/>
    </row>
    <row r="571" spans="1:20">
      <c r="A571" s="152" t="str">
        <f>IF(סקר!D835&lt;2,"עץ","פוליגון")</f>
        <v>עץ</v>
      </c>
      <c r="B571" s="152">
        <f>סקר!B835</f>
        <v>0</v>
      </c>
      <c r="C571" s="152">
        <f>IF(סקר!D835&lt;2,1,סקר!D835)</f>
        <v>1</v>
      </c>
      <c r="D571" s="152">
        <f>סקר!C835</f>
        <v>0</v>
      </c>
      <c r="E571" s="152" t="str">
        <f>IFERROR(VLOOKUP(F571,[1]TreeType!$A:$E,5,0),"")</f>
        <v/>
      </c>
      <c r="F571" s="153" t="str">
        <f>IFERROR(VLOOKUP(D571,[1]TreeType!$A:$B,2,0),"")</f>
        <v/>
      </c>
      <c r="G571" s="72">
        <f>IF(B571&gt;0,IF(סקר!E835=0,1,סקר!E835),0)</f>
        <v>0</v>
      </c>
      <c r="H571" s="72">
        <f>IF(B571&gt;0,IF(סקר!F835 = 0,1,סקר!F835),0)</f>
        <v>0</v>
      </c>
      <c r="I571" s="152">
        <f>סקר!G835</f>
        <v>0</v>
      </c>
      <c r="J571" s="152">
        <f>סקר!H835</f>
        <v>0</v>
      </c>
      <c r="K571" s="152" t="e">
        <f>IF(D571="","",VLOOKUP(D571,[1]TreeType!$A$2:$E$508,3,3))</f>
        <v>#N/A</v>
      </c>
      <c r="L571" s="152">
        <f>IF(D571&gt;0,IF(סקר!M835=0,1,IF(סקר!M835=0,1,סקר!M835)),0)</f>
        <v>0</v>
      </c>
      <c r="M571" s="152">
        <f>סקר!J835</f>
        <v>0</v>
      </c>
      <c r="N571" s="152">
        <f>IF(D571&gt;0,IF(סקר!K835=0,1,IF(סקר!K835=0,1,סקר!K835)),0)</f>
        <v>0</v>
      </c>
      <c r="O571" s="152" t="e">
        <f t="shared" si="13"/>
        <v>#N/A</v>
      </c>
      <c r="P571" s="152">
        <f>IF(B571&gt;0,IF(סקר!O835 &lt;=1,1,סקר!O835),0)</f>
        <v>0</v>
      </c>
      <c r="Q571" s="152">
        <f>סקר!P835</f>
        <v>0</v>
      </c>
      <c r="R571" s="152">
        <f>סקר!R835</f>
        <v>0</v>
      </c>
      <c r="S571" s="152">
        <f>סקר!BC835</f>
        <v>0</v>
      </c>
      <c r="T571" s="156"/>
    </row>
    <row r="572" spans="1:20">
      <c r="A572" s="152" t="str">
        <f>IF(סקר!D836&lt;2,"עץ","פוליגון")</f>
        <v>עץ</v>
      </c>
      <c r="B572" s="152">
        <f>סקר!B836</f>
        <v>0</v>
      </c>
      <c r="C572" s="152">
        <f>IF(סקר!D836&lt;2,1,סקר!D836)</f>
        <v>1</v>
      </c>
      <c r="D572" s="152">
        <f>סקר!C836</f>
        <v>0</v>
      </c>
      <c r="E572" s="152" t="str">
        <f>IFERROR(VLOOKUP(F572,[1]TreeType!$A:$E,5,0),"")</f>
        <v/>
      </c>
      <c r="F572" s="153" t="str">
        <f>IFERROR(VLOOKUP(D572,[1]TreeType!$A:$B,2,0),"")</f>
        <v/>
      </c>
      <c r="G572" s="72">
        <f>IF(B572&gt;0,IF(סקר!E836=0,1,סקר!E836),0)</f>
        <v>0</v>
      </c>
      <c r="H572" s="72">
        <f>IF(B572&gt;0,IF(סקר!F836 = 0,1,סקר!F836),0)</f>
        <v>0</v>
      </c>
      <c r="I572" s="152">
        <f>סקר!G836</f>
        <v>0</v>
      </c>
      <c r="J572" s="152">
        <f>סקר!H836</f>
        <v>0</v>
      </c>
      <c r="K572" s="152" t="e">
        <f>IF(D572="","",VLOOKUP(D572,[1]TreeType!$A$2:$E$508,3,3))</f>
        <v>#N/A</v>
      </c>
      <c r="L572" s="152">
        <f>IF(D572&gt;0,IF(סקר!M836=0,1,IF(סקר!M836=0,1,סקר!M836)),0)</f>
        <v>0</v>
      </c>
      <c r="M572" s="152">
        <f>סקר!J836</f>
        <v>0</v>
      </c>
      <c r="N572" s="152">
        <f>IF(D572&gt;0,IF(סקר!K836=0,1,IF(סקר!K836=0,1,סקר!K836)),0)</f>
        <v>0</v>
      </c>
      <c r="O572" s="152" t="e">
        <f t="shared" si="13"/>
        <v>#N/A</v>
      </c>
      <c r="P572" s="152">
        <f>IF(B572&gt;0,IF(סקר!O836 &lt;=1,1,סקר!O836),0)</f>
        <v>0</v>
      </c>
      <c r="Q572" s="152">
        <f>סקר!P836</f>
        <v>0</v>
      </c>
      <c r="R572" s="152">
        <f>סקר!R836</f>
        <v>0</v>
      </c>
      <c r="S572" s="152">
        <f>סקר!BC836</f>
        <v>0</v>
      </c>
      <c r="T572" s="156"/>
    </row>
    <row r="573" spans="1:20">
      <c r="A573" s="152" t="str">
        <f>IF(סקר!D837&lt;2,"עץ","פוליגון")</f>
        <v>עץ</v>
      </c>
      <c r="B573" s="152">
        <f>סקר!B837</f>
        <v>0</v>
      </c>
      <c r="C573" s="152">
        <f>IF(סקר!D837&lt;2,1,סקר!D837)</f>
        <v>1</v>
      </c>
      <c r="D573" s="152">
        <f>סקר!C837</f>
        <v>0</v>
      </c>
      <c r="E573" s="152" t="str">
        <f>IFERROR(VLOOKUP(F573,[1]TreeType!$A:$E,5,0),"")</f>
        <v/>
      </c>
      <c r="F573" s="153" t="str">
        <f>IFERROR(VLOOKUP(D573,[1]TreeType!$A:$B,2,0),"")</f>
        <v/>
      </c>
      <c r="G573" s="72">
        <f>IF(B573&gt;0,IF(סקר!E837=0,1,סקר!E837),0)</f>
        <v>0</v>
      </c>
      <c r="H573" s="72">
        <f>IF(B573&gt;0,IF(סקר!F837 = 0,1,סקר!F837),0)</f>
        <v>0</v>
      </c>
      <c r="I573" s="152">
        <f>סקר!G837</f>
        <v>0</v>
      </c>
      <c r="J573" s="152">
        <f>סקר!H837</f>
        <v>0</v>
      </c>
      <c r="K573" s="152" t="e">
        <f>IF(D573="","",VLOOKUP(D573,[1]TreeType!$A$2:$E$508,3,3))</f>
        <v>#N/A</v>
      </c>
      <c r="L573" s="152">
        <f>IF(D573&gt;0,IF(סקר!M837=0,1,IF(סקר!M837=0,1,סקר!M837)),0)</f>
        <v>0</v>
      </c>
      <c r="M573" s="152">
        <f>סקר!J837</f>
        <v>0</v>
      </c>
      <c r="N573" s="152">
        <f>IF(D573&gt;0,IF(סקר!K837=0,1,IF(סקר!K837=0,1,סקר!K837)),0)</f>
        <v>0</v>
      </c>
      <c r="O573" s="152" t="e">
        <f t="shared" si="13"/>
        <v>#N/A</v>
      </c>
      <c r="P573" s="152">
        <f>IF(B573&gt;0,IF(סקר!O837 &lt;=1,1,סקר!O837),0)</f>
        <v>0</v>
      </c>
      <c r="Q573" s="152">
        <f>סקר!P837</f>
        <v>0</v>
      </c>
      <c r="R573" s="152">
        <f>סקר!R837</f>
        <v>0</v>
      </c>
      <c r="S573" s="152">
        <f>סקר!BC837</f>
        <v>0</v>
      </c>
      <c r="T573" s="156"/>
    </row>
    <row r="574" spans="1:20">
      <c r="A574" s="152" t="str">
        <f>IF(סקר!D838&lt;2,"עץ","פוליגון")</f>
        <v>עץ</v>
      </c>
      <c r="B574" s="152">
        <f>סקר!B838</f>
        <v>0</v>
      </c>
      <c r="C574" s="152">
        <f>IF(סקר!D838&lt;2,1,סקר!D838)</f>
        <v>1</v>
      </c>
      <c r="D574" s="152">
        <f>סקר!C838</f>
        <v>0</v>
      </c>
      <c r="E574" s="152" t="str">
        <f>IFERROR(VLOOKUP(F574,[1]TreeType!$A:$E,5,0),"")</f>
        <v/>
      </c>
      <c r="F574" s="153" t="str">
        <f>IFERROR(VLOOKUP(D574,[1]TreeType!$A:$B,2,0),"")</f>
        <v/>
      </c>
      <c r="G574" s="72">
        <f>IF(B574&gt;0,IF(סקר!E838=0,1,סקר!E838),0)</f>
        <v>0</v>
      </c>
      <c r="H574" s="72">
        <f>IF(B574&gt;0,IF(סקר!F838 = 0,1,סקר!F838),0)</f>
        <v>0</v>
      </c>
      <c r="I574" s="152">
        <f>סקר!G838</f>
        <v>0</v>
      </c>
      <c r="J574" s="152">
        <f>סקר!H838</f>
        <v>0</v>
      </c>
      <c r="K574" s="152" t="e">
        <f>IF(D574="","",VLOOKUP(D574,[1]TreeType!$A$2:$E$508,3,3))</f>
        <v>#N/A</v>
      </c>
      <c r="L574" s="152">
        <f>IF(D574&gt;0,IF(סקר!M838=0,1,IF(סקר!M838=0,1,סקר!M838)),0)</f>
        <v>0</v>
      </c>
      <c r="M574" s="152">
        <f>סקר!J838</f>
        <v>0</v>
      </c>
      <c r="N574" s="152">
        <f>IF(D574&gt;0,IF(סקר!K838=0,1,IF(סקר!K838=0,1,סקר!K838)),0)</f>
        <v>0</v>
      </c>
      <c r="O574" s="152" t="e">
        <f t="shared" si="13"/>
        <v>#N/A</v>
      </c>
      <c r="P574" s="152">
        <f>IF(B574&gt;0,IF(סקר!O838 &lt;=1,1,סקר!O838),0)</f>
        <v>0</v>
      </c>
      <c r="Q574" s="152">
        <f>סקר!P838</f>
        <v>0</v>
      </c>
      <c r="R574" s="152">
        <f>סקר!R838</f>
        <v>0</v>
      </c>
      <c r="S574" s="152">
        <f>סקר!BC838</f>
        <v>0</v>
      </c>
      <c r="T574" s="156"/>
    </row>
    <row r="575" spans="1:20">
      <c r="A575" s="152" t="str">
        <f>IF(סקר!D839&lt;2,"עץ","פוליגון")</f>
        <v>עץ</v>
      </c>
      <c r="B575" s="152">
        <f>סקר!B839</f>
        <v>0</v>
      </c>
      <c r="C575" s="152">
        <f>IF(סקר!D839&lt;2,1,סקר!D839)</f>
        <v>1</v>
      </c>
      <c r="D575" s="152">
        <f>סקר!C839</f>
        <v>0</v>
      </c>
      <c r="E575" s="152" t="str">
        <f>IFERROR(VLOOKUP(F575,[1]TreeType!$A:$E,5,0),"")</f>
        <v/>
      </c>
      <c r="F575" s="153" t="str">
        <f>IFERROR(VLOOKUP(D575,[1]TreeType!$A:$B,2,0),"")</f>
        <v/>
      </c>
      <c r="G575" s="72">
        <f>IF(B575&gt;0,IF(סקר!E839=0,1,סקר!E839),0)</f>
        <v>0</v>
      </c>
      <c r="H575" s="72">
        <f>IF(B575&gt;0,IF(סקר!F839 = 0,1,סקר!F839),0)</f>
        <v>0</v>
      </c>
      <c r="I575" s="152">
        <f>סקר!G839</f>
        <v>0</v>
      </c>
      <c r="J575" s="152">
        <f>סקר!H839</f>
        <v>0</v>
      </c>
      <c r="K575" s="152" t="e">
        <f>IF(D575="","",VLOOKUP(D575,[1]TreeType!$A$2:$E$508,3,3))</f>
        <v>#N/A</v>
      </c>
      <c r="L575" s="152">
        <f>IF(D575&gt;0,IF(סקר!M839=0,1,IF(סקר!M839=0,1,סקר!M839)),0)</f>
        <v>0</v>
      </c>
      <c r="M575" s="152">
        <f>סקר!J839</f>
        <v>0</v>
      </c>
      <c r="N575" s="152">
        <f>IF(D575&gt;0,IF(סקר!K839=0,1,IF(סקר!K839=0,1,סקר!K839)),0)</f>
        <v>0</v>
      </c>
      <c r="O575" s="152" t="e">
        <f t="shared" si="13"/>
        <v>#N/A</v>
      </c>
      <c r="P575" s="152">
        <f>IF(B575&gt;0,IF(סקר!O839 &lt;=1,1,סקר!O839),0)</f>
        <v>0</v>
      </c>
      <c r="Q575" s="152">
        <f>סקר!P839</f>
        <v>0</v>
      </c>
      <c r="R575" s="152">
        <f>סקר!R839</f>
        <v>0</v>
      </c>
      <c r="S575" s="152">
        <f>סקר!BC839</f>
        <v>0</v>
      </c>
      <c r="T575" s="156"/>
    </row>
    <row r="576" spans="1:20">
      <c r="A576" s="152" t="str">
        <f>IF(סקר!D840&lt;2,"עץ","פוליגון")</f>
        <v>עץ</v>
      </c>
      <c r="B576" s="152">
        <f>סקר!B840</f>
        <v>0</v>
      </c>
      <c r="C576" s="152">
        <f>IF(סקר!D840&lt;2,1,סקר!D840)</f>
        <v>1</v>
      </c>
      <c r="D576" s="152">
        <f>סקר!C840</f>
        <v>0</v>
      </c>
      <c r="E576" s="152" t="str">
        <f>IFERROR(VLOOKUP(F576,[1]TreeType!$A:$E,5,0),"")</f>
        <v/>
      </c>
      <c r="F576" s="153" t="str">
        <f>IFERROR(VLOOKUP(D576,[1]TreeType!$A:$B,2,0),"")</f>
        <v/>
      </c>
      <c r="G576" s="72">
        <f>IF(B576&gt;0,IF(סקר!E840=0,1,סקר!E840),0)</f>
        <v>0</v>
      </c>
      <c r="H576" s="72">
        <f>IF(B576&gt;0,IF(סקר!F840 = 0,1,סקר!F840),0)</f>
        <v>0</v>
      </c>
      <c r="I576" s="152">
        <f>סקר!G840</f>
        <v>0</v>
      </c>
      <c r="J576" s="152">
        <f>סקר!H840</f>
        <v>0</v>
      </c>
      <c r="K576" s="152" t="e">
        <f>IF(D576="","",VLOOKUP(D576,[1]TreeType!$A$2:$E$508,3,3))</f>
        <v>#N/A</v>
      </c>
      <c r="L576" s="152">
        <f>IF(D576&gt;0,IF(סקר!M840=0,1,IF(סקר!M840=0,1,סקר!M840)),0)</f>
        <v>0</v>
      </c>
      <c r="M576" s="152">
        <f>סקר!J840</f>
        <v>0</v>
      </c>
      <c r="N576" s="152">
        <f>IF(D576&gt;0,IF(סקר!K840=0,1,IF(סקר!K840=0,1,סקר!K840)),0)</f>
        <v>0</v>
      </c>
      <c r="O576" s="152" t="e">
        <f t="shared" si="13"/>
        <v>#N/A</v>
      </c>
      <c r="P576" s="152">
        <f>IF(B576&gt;0,IF(סקר!O840 &lt;=1,1,סקר!O840),0)</f>
        <v>0</v>
      </c>
      <c r="Q576" s="152">
        <f>סקר!P840</f>
        <v>0</v>
      </c>
      <c r="R576" s="152">
        <f>סקר!R840</f>
        <v>0</v>
      </c>
      <c r="S576" s="152">
        <f>סקר!BC840</f>
        <v>0</v>
      </c>
      <c r="T576" s="156"/>
    </row>
    <row r="577" spans="1:20">
      <c r="A577" s="152" t="str">
        <f>IF(סקר!D841&lt;2,"עץ","פוליגון")</f>
        <v>עץ</v>
      </c>
      <c r="B577" s="152">
        <f>סקר!B841</f>
        <v>0</v>
      </c>
      <c r="C577" s="152">
        <f>IF(סקר!D841&lt;2,1,סקר!D841)</f>
        <v>1</v>
      </c>
      <c r="D577" s="152">
        <f>סקר!C841</f>
        <v>0</v>
      </c>
      <c r="E577" s="152" t="str">
        <f>IFERROR(VLOOKUP(F577,[1]TreeType!$A:$E,5,0),"")</f>
        <v/>
      </c>
      <c r="F577" s="153" t="str">
        <f>IFERROR(VLOOKUP(D577,[1]TreeType!$A:$B,2,0),"")</f>
        <v/>
      </c>
      <c r="G577" s="72">
        <f>IF(B577&gt;0,IF(סקר!E841=0,1,סקר!E841),0)</f>
        <v>0</v>
      </c>
      <c r="H577" s="72">
        <f>IF(B577&gt;0,IF(סקר!F841 = 0,1,סקר!F841),0)</f>
        <v>0</v>
      </c>
      <c r="I577" s="152">
        <f>סקר!G841</f>
        <v>0</v>
      </c>
      <c r="J577" s="152">
        <f>סקר!H841</f>
        <v>0</v>
      </c>
      <c r="K577" s="152" t="e">
        <f>IF(D577="","",VLOOKUP(D577,[1]TreeType!$A$2:$E$508,3,3))</f>
        <v>#N/A</v>
      </c>
      <c r="L577" s="152">
        <f>IF(D577&gt;0,IF(סקר!M841=0,1,IF(סקר!M841=0,1,סקר!M841)),0)</f>
        <v>0</v>
      </c>
      <c r="M577" s="152">
        <f>סקר!J841</f>
        <v>0</v>
      </c>
      <c r="N577" s="152">
        <f>IF(D577&gt;0,IF(סקר!K841=0,1,IF(סקר!K841=0,1,סקר!K841)),0)</f>
        <v>0</v>
      </c>
      <c r="O577" s="152" t="e">
        <f t="shared" si="13"/>
        <v>#N/A</v>
      </c>
      <c r="P577" s="152">
        <f>IF(B577&gt;0,IF(סקר!O841 &lt;=1,1,סקר!O841),0)</f>
        <v>0</v>
      </c>
      <c r="Q577" s="152">
        <f>סקר!P841</f>
        <v>0</v>
      </c>
      <c r="R577" s="152">
        <f>סקר!R841</f>
        <v>0</v>
      </c>
      <c r="S577" s="152">
        <f>סקר!BC841</f>
        <v>0</v>
      </c>
      <c r="T577" s="156"/>
    </row>
    <row r="578" spans="1:20">
      <c r="A578" s="152" t="str">
        <f>IF(סקר!D842&lt;2,"עץ","פוליגון")</f>
        <v>עץ</v>
      </c>
      <c r="B578" s="152">
        <f>סקר!B842</f>
        <v>0</v>
      </c>
      <c r="C578" s="152">
        <f>IF(סקר!D842&lt;2,1,סקר!D842)</f>
        <v>1</v>
      </c>
      <c r="D578" s="152">
        <f>סקר!C842</f>
        <v>0</v>
      </c>
      <c r="E578" s="152" t="str">
        <f>IFERROR(VLOOKUP(F578,[1]TreeType!$A:$E,5,0),"")</f>
        <v/>
      </c>
      <c r="F578" s="153" t="str">
        <f>IFERROR(VLOOKUP(D578,[1]TreeType!$A:$B,2,0),"")</f>
        <v/>
      </c>
      <c r="G578" s="72">
        <f>IF(B578&gt;0,IF(סקר!E842=0,1,סקר!E842),0)</f>
        <v>0</v>
      </c>
      <c r="H578" s="72">
        <f>IF(B578&gt;0,IF(סקר!F842 = 0,1,סקר!F842),0)</f>
        <v>0</v>
      </c>
      <c r="I578" s="152">
        <f>סקר!G842</f>
        <v>0</v>
      </c>
      <c r="J578" s="152">
        <f>סקר!H842</f>
        <v>0</v>
      </c>
      <c r="K578" s="152" t="e">
        <f>IF(D578="","",VLOOKUP(D578,[1]TreeType!$A$2:$E$508,3,3))</f>
        <v>#N/A</v>
      </c>
      <c r="L578" s="152">
        <f>IF(D578&gt;0,IF(סקר!M842=0,1,IF(סקר!M842=0,1,סקר!M842)),0)</f>
        <v>0</v>
      </c>
      <c r="M578" s="152">
        <f>סקר!J842</f>
        <v>0</v>
      </c>
      <c r="N578" s="152">
        <f>IF(D578&gt;0,IF(סקר!K842=0,1,IF(סקר!K842=0,1,סקר!K842)),0)</f>
        <v>0</v>
      </c>
      <c r="O578" s="152" t="e">
        <f t="shared" ref="O578:O602" si="14">IF(SUM(K578:N578)=0,"",SUM(K578:N578))</f>
        <v>#N/A</v>
      </c>
      <c r="P578" s="152">
        <f>IF(B578&gt;0,IF(סקר!O842 &lt;=1,1,סקר!O842),0)</f>
        <v>0</v>
      </c>
      <c r="Q578" s="152">
        <f>סקר!P842</f>
        <v>0</v>
      </c>
      <c r="R578" s="152">
        <f>סקר!R842</f>
        <v>0</v>
      </c>
      <c r="S578" s="152">
        <f>סקר!BC842</f>
        <v>0</v>
      </c>
      <c r="T578" s="156"/>
    </row>
    <row r="579" spans="1:20">
      <c r="A579" s="152" t="str">
        <f>IF(סקר!D843&lt;2,"עץ","פוליגון")</f>
        <v>עץ</v>
      </c>
      <c r="B579" s="152">
        <f>סקר!B843</f>
        <v>0</v>
      </c>
      <c r="C579" s="152">
        <f>IF(סקר!D843&lt;2,1,סקר!D843)</f>
        <v>1</v>
      </c>
      <c r="D579" s="152">
        <f>סקר!C843</f>
        <v>0</v>
      </c>
      <c r="E579" s="152" t="str">
        <f>IFERROR(VLOOKUP(F579,[1]TreeType!$A:$E,5,0),"")</f>
        <v/>
      </c>
      <c r="F579" s="153" t="str">
        <f>IFERROR(VLOOKUP(D579,[1]TreeType!$A:$B,2,0),"")</f>
        <v/>
      </c>
      <c r="G579" s="72">
        <f>IF(B579&gt;0,IF(סקר!E843=0,1,סקר!E843),0)</f>
        <v>0</v>
      </c>
      <c r="H579" s="72">
        <f>IF(B579&gt;0,IF(סקר!F843 = 0,1,סקר!F843),0)</f>
        <v>0</v>
      </c>
      <c r="I579" s="152">
        <f>סקר!G843</f>
        <v>0</v>
      </c>
      <c r="J579" s="152">
        <f>סקר!H843</f>
        <v>0</v>
      </c>
      <c r="K579" s="152" t="e">
        <f>IF(D579="","",VLOOKUP(D579,[1]TreeType!$A$2:$E$508,3,3))</f>
        <v>#N/A</v>
      </c>
      <c r="L579" s="152">
        <f>IF(D579&gt;0,IF(סקר!M843=0,1,IF(סקר!M843=0,1,סקר!M843)),0)</f>
        <v>0</v>
      </c>
      <c r="M579" s="152">
        <f>סקר!J843</f>
        <v>0</v>
      </c>
      <c r="N579" s="152">
        <f>IF(D579&gt;0,IF(סקר!K843=0,1,IF(סקר!K843=0,1,סקר!K843)),0)</f>
        <v>0</v>
      </c>
      <c r="O579" s="152" t="e">
        <f t="shared" si="14"/>
        <v>#N/A</v>
      </c>
      <c r="P579" s="152">
        <f>IF(B579&gt;0,IF(סקר!O843 &lt;=1,1,סקר!O843),0)</f>
        <v>0</v>
      </c>
      <c r="Q579" s="152">
        <f>סקר!P843</f>
        <v>0</v>
      </c>
      <c r="R579" s="152">
        <f>סקר!R843</f>
        <v>0</v>
      </c>
      <c r="S579" s="152">
        <f>סקר!BC843</f>
        <v>0</v>
      </c>
      <c r="T579" s="156"/>
    </row>
    <row r="580" spans="1:20">
      <c r="A580" s="152" t="str">
        <f>IF(סקר!D844&lt;2,"עץ","פוליגון")</f>
        <v>עץ</v>
      </c>
      <c r="B580" s="152">
        <f>סקר!B844</f>
        <v>0</v>
      </c>
      <c r="C580" s="152">
        <f>IF(סקר!D844&lt;2,1,סקר!D844)</f>
        <v>1</v>
      </c>
      <c r="D580" s="152">
        <f>סקר!C844</f>
        <v>0</v>
      </c>
      <c r="E580" s="152" t="str">
        <f>IFERROR(VLOOKUP(F580,[1]TreeType!$A:$E,5,0),"")</f>
        <v/>
      </c>
      <c r="F580" s="153" t="str">
        <f>IFERROR(VLOOKUP(D580,[1]TreeType!$A:$B,2,0),"")</f>
        <v/>
      </c>
      <c r="G580" s="72">
        <f>IF(B580&gt;0,IF(סקר!E844=0,1,סקר!E844),0)</f>
        <v>0</v>
      </c>
      <c r="H580" s="72">
        <f>IF(B580&gt;0,IF(סקר!F844 = 0,1,סקר!F844),0)</f>
        <v>0</v>
      </c>
      <c r="I580" s="152">
        <f>סקר!G844</f>
        <v>0</v>
      </c>
      <c r="J580" s="152">
        <f>סקר!H844</f>
        <v>0</v>
      </c>
      <c r="K580" s="152" t="e">
        <f>IF(D580="","",VLOOKUP(D580,[1]TreeType!$A$2:$E$508,3,3))</f>
        <v>#N/A</v>
      </c>
      <c r="L580" s="152">
        <f>IF(D580&gt;0,IF(סקר!M844=0,1,IF(סקר!M844=0,1,סקר!M844)),0)</f>
        <v>0</v>
      </c>
      <c r="M580" s="152">
        <f>סקר!J844</f>
        <v>0</v>
      </c>
      <c r="N580" s="152">
        <f>IF(D580&gt;0,IF(סקר!K844=0,1,IF(סקר!K844=0,1,סקר!K844)),0)</f>
        <v>0</v>
      </c>
      <c r="O580" s="152" t="e">
        <f t="shared" si="14"/>
        <v>#N/A</v>
      </c>
      <c r="P580" s="152">
        <f>IF(B580&gt;0,IF(סקר!O844 &lt;=1,1,סקר!O844),0)</f>
        <v>0</v>
      </c>
      <c r="Q580" s="152">
        <f>סקר!P844</f>
        <v>0</v>
      </c>
      <c r="R580" s="152">
        <f>סקר!R844</f>
        <v>0</v>
      </c>
      <c r="S580" s="152">
        <f>סקר!BC844</f>
        <v>0</v>
      </c>
      <c r="T580" s="156"/>
    </row>
    <row r="581" spans="1:20">
      <c r="A581" s="152" t="str">
        <f>IF(סקר!D845&lt;2,"עץ","פוליגון")</f>
        <v>עץ</v>
      </c>
      <c r="B581" s="152">
        <f>סקר!B845</f>
        <v>0</v>
      </c>
      <c r="C581" s="152">
        <f>IF(סקר!D845&lt;2,1,סקר!D845)</f>
        <v>1</v>
      </c>
      <c r="D581" s="152">
        <f>סקר!C845</f>
        <v>0</v>
      </c>
      <c r="E581" s="152" t="str">
        <f>IFERROR(VLOOKUP(F581,[1]TreeType!$A:$E,5,0),"")</f>
        <v/>
      </c>
      <c r="F581" s="153" t="str">
        <f>IFERROR(VLOOKUP(D581,[1]TreeType!$A:$B,2,0),"")</f>
        <v/>
      </c>
      <c r="G581" s="72">
        <f>IF(B581&gt;0,IF(סקר!E845=0,1,סקר!E845),0)</f>
        <v>0</v>
      </c>
      <c r="H581" s="72">
        <f>IF(B581&gt;0,IF(סקר!F845 = 0,1,סקר!F845),0)</f>
        <v>0</v>
      </c>
      <c r="I581" s="152">
        <f>סקר!G845</f>
        <v>0</v>
      </c>
      <c r="J581" s="152">
        <f>סקר!H845</f>
        <v>0</v>
      </c>
      <c r="K581" s="152" t="e">
        <f>IF(D581="","",VLOOKUP(D581,[1]TreeType!$A$2:$E$508,3,3))</f>
        <v>#N/A</v>
      </c>
      <c r="L581" s="152">
        <f>IF(D581&gt;0,IF(סקר!M845=0,1,IF(סקר!M845=0,1,סקר!M845)),0)</f>
        <v>0</v>
      </c>
      <c r="M581" s="152">
        <f>סקר!J845</f>
        <v>0</v>
      </c>
      <c r="N581" s="152">
        <f>IF(D581&gt;0,IF(סקר!K845=0,1,IF(סקר!K845=0,1,סקר!K845)),0)</f>
        <v>0</v>
      </c>
      <c r="O581" s="152" t="e">
        <f t="shared" si="14"/>
        <v>#N/A</v>
      </c>
      <c r="P581" s="152">
        <f>IF(B581&gt;0,IF(סקר!O845 &lt;=1,1,סקר!O845),0)</f>
        <v>0</v>
      </c>
      <c r="Q581" s="152">
        <f>סקר!P845</f>
        <v>0</v>
      </c>
      <c r="R581" s="152">
        <f>סקר!R845</f>
        <v>0</v>
      </c>
      <c r="S581" s="152">
        <f>סקר!BC845</f>
        <v>0</v>
      </c>
      <c r="T581" s="156"/>
    </row>
    <row r="582" spans="1:20">
      <c r="A582" s="152" t="str">
        <f>IF(סקר!D846&lt;2,"עץ","פוליגון")</f>
        <v>עץ</v>
      </c>
      <c r="B582" s="152">
        <f>סקר!B846</f>
        <v>0</v>
      </c>
      <c r="C582" s="152">
        <f>IF(סקר!D846&lt;2,1,סקר!D846)</f>
        <v>1</v>
      </c>
      <c r="D582" s="152">
        <f>סקר!C846</f>
        <v>0</v>
      </c>
      <c r="E582" s="152" t="str">
        <f>IFERROR(VLOOKUP(F582,[1]TreeType!$A:$E,5,0),"")</f>
        <v/>
      </c>
      <c r="F582" s="153" t="str">
        <f>IFERROR(VLOOKUP(D582,[1]TreeType!$A:$B,2,0),"")</f>
        <v/>
      </c>
      <c r="G582" s="72">
        <f>IF(B582&gt;0,IF(סקר!E846=0,1,סקר!E846),0)</f>
        <v>0</v>
      </c>
      <c r="H582" s="72">
        <f>IF(B582&gt;0,IF(סקר!F846 = 0,1,סקר!F846),0)</f>
        <v>0</v>
      </c>
      <c r="I582" s="152">
        <f>סקר!G846</f>
        <v>0</v>
      </c>
      <c r="J582" s="152">
        <f>סקר!H846</f>
        <v>0</v>
      </c>
      <c r="K582" s="152" t="e">
        <f>IF(D582="","",VLOOKUP(D582,[1]TreeType!$A$2:$E$508,3,3))</f>
        <v>#N/A</v>
      </c>
      <c r="L582" s="152">
        <f>IF(D582&gt;0,IF(סקר!M846=0,1,IF(סקר!M846=0,1,סקר!M846)),0)</f>
        <v>0</v>
      </c>
      <c r="M582" s="152">
        <f>סקר!J846</f>
        <v>0</v>
      </c>
      <c r="N582" s="152">
        <f>IF(D582&gt;0,IF(סקר!K846=0,1,IF(סקר!K846=0,1,סקר!K846)),0)</f>
        <v>0</v>
      </c>
      <c r="O582" s="152" t="e">
        <f t="shared" si="14"/>
        <v>#N/A</v>
      </c>
      <c r="P582" s="152">
        <f>IF(B582&gt;0,IF(סקר!O846 &lt;=1,1,סקר!O846),0)</f>
        <v>0</v>
      </c>
      <c r="Q582" s="152">
        <f>סקר!P846</f>
        <v>0</v>
      </c>
      <c r="R582" s="152">
        <f>סקר!R846</f>
        <v>0</v>
      </c>
      <c r="S582" s="152">
        <f>סקר!BC846</f>
        <v>0</v>
      </c>
      <c r="T582" s="156"/>
    </row>
    <row r="583" spans="1:20">
      <c r="A583" s="152" t="str">
        <f>IF(סקר!D847&lt;2,"עץ","פוליגון")</f>
        <v>עץ</v>
      </c>
      <c r="B583" s="152">
        <f>סקר!B847</f>
        <v>0</v>
      </c>
      <c r="C583" s="152">
        <f>IF(סקר!D847&lt;2,1,סקר!D847)</f>
        <v>1</v>
      </c>
      <c r="D583" s="152">
        <f>סקר!C847</f>
        <v>0</v>
      </c>
      <c r="E583" s="152" t="str">
        <f>IFERROR(VLOOKUP(F583,[1]TreeType!$A:$E,5,0),"")</f>
        <v/>
      </c>
      <c r="F583" s="153" t="str">
        <f>IFERROR(VLOOKUP(D583,[1]TreeType!$A:$B,2,0),"")</f>
        <v/>
      </c>
      <c r="G583" s="72">
        <f>IF(B583&gt;0,IF(סקר!E847=0,1,סקר!E847),0)</f>
        <v>0</v>
      </c>
      <c r="H583" s="72">
        <f>IF(B583&gt;0,IF(סקר!F847 = 0,1,סקר!F847),0)</f>
        <v>0</v>
      </c>
      <c r="I583" s="152">
        <f>סקר!G847</f>
        <v>0</v>
      </c>
      <c r="J583" s="152">
        <f>סקר!H847</f>
        <v>0</v>
      </c>
      <c r="K583" s="152" t="e">
        <f>IF(D583="","",VLOOKUP(D583,[1]TreeType!$A$2:$E$508,3,3))</f>
        <v>#N/A</v>
      </c>
      <c r="L583" s="152">
        <f>IF(D583&gt;0,IF(סקר!M847=0,1,IF(סקר!M847=0,1,סקר!M847)),0)</f>
        <v>0</v>
      </c>
      <c r="M583" s="152">
        <f>סקר!J847</f>
        <v>0</v>
      </c>
      <c r="N583" s="152">
        <f>IF(D583&gt;0,IF(סקר!K847=0,1,IF(סקר!K847=0,1,סקר!K847)),0)</f>
        <v>0</v>
      </c>
      <c r="O583" s="152" t="e">
        <f t="shared" si="14"/>
        <v>#N/A</v>
      </c>
      <c r="P583" s="152">
        <f>IF(B583&gt;0,IF(סקר!O847 &lt;=1,1,סקר!O847),0)</f>
        <v>0</v>
      </c>
      <c r="Q583" s="152">
        <f>סקר!P847</f>
        <v>0</v>
      </c>
      <c r="R583" s="152">
        <f>סקר!R847</f>
        <v>0</v>
      </c>
      <c r="S583" s="152">
        <f>סקר!BC847</f>
        <v>0</v>
      </c>
      <c r="T583" s="156"/>
    </row>
    <row r="584" spans="1:20">
      <c r="A584" s="152" t="str">
        <f>IF(סקר!D848&lt;2,"עץ","פוליגון")</f>
        <v>עץ</v>
      </c>
      <c r="B584" s="152">
        <f>סקר!B848</f>
        <v>0</v>
      </c>
      <c r="C584" s="152">
        <f>IF(סקר!D848&lt;2,1,סקר!D848)</f>
        <v>1</v>
      </c>
      <c r="D584" s="152">
        <f>סקר!C848</f>
        <v>0</v>
      </c>
      <c r="E584" s="152" t="str">
        <f>IFERROR(VLOOKUP(F584,[1]TreeType!$A:$E,5,0),"")</f>
        <v/>
      </c>
      <c r="F584" s="153" t="str">
        <f>IFERROR(VLOOKUP(D584,[1]TreeType!$A:$B,2,0),"")</f>
        <v/>
      </c>
      <c r="G584" s="72">
        <f>IF(B584&gt;0,IF(סקר!E848=0,1,סקר!E848),0)</f>
        <v>0</v>
      </c>
      <c r="H584" s="72">
        <f>IF(B584&gt;0,IF(סקר!F848 = 0,1,סקר!F848),0)</f>
        <v>0</v>
      </c>
      <c r="I584" s="152">
        <f>סקר!G848</f>
        <v>0</v>
      </c>
      <c r="J584" s="152">
        <f>סקר!H848</f>
        <v>0</v>
      </c>
      <c r="K584" s="152" t="e">
        <f>IF(D584="","",VLOOKUP(D584,[1]TreeType!$A$2:$E$508,3,3))</f>
        <v>#N/A</v>
      </c>
      <c r="L584" s="152">
        <f>IF(D584&gt;0,IF(סקר!M848=0,1,IF(סקר!M848=0,1,סקר!M848)),0)</f>
        <v>0</v>
      </c>
      <c r="M584" s="152">
        <f>סקר!J848</f>
        <v>0</v>
      </c>
      <c r="N584" s="152">
        <f>IF(D584&gt;0,IF(סקר!K848=0,1,IF(סקר!K848=0,1,סקר!K848)),0)</f>
        <v>0</v>
      </c>
      <c r="O584" s="152" t="e">
        <f t="shared" si="14"/>
        <v>#N/A</v>
      </c>
      <c r="P584" s="152">
        <f>IF(B584&gt;0,IF(סקר!O848 &lt;=1,1,סקר!O848),0)</f>
        <v>0</v>
      </c>
      <c r="Q584" s="152">
        <f>סקר!P848</f>
        <v>0</v>
      </c>
      <c r="R584" s="152">
        <f>סקר!R848</f>
        <v>0</v>
      </c>
      <c r="S584" s="152">
        <f>סקר!BC848</f>
        <v>0</v>
      </c>
      <c r="T584" s="156"/>
    </row>
    <row r="585" spans="1:20">
      <c r="A585" s="152" t="str">
        <f>IF(סקר!D849&lt;2,"עץ","פוליגון")</f>
        <v>עץ</v>
      </c>
      <c r="B585" s="152">
        <f>סקר!B849</f>
        <v>0</v>
      </c>
      <c r="C585" s="152">
        <f>IF(סקר!D849&lt;2,1,סקר!D849)</f>
        <v>1</v>
      </c>
      <c r="D585" s="152">
        <f>סקר!C849</f>
        <v>0</v>
      </c>
      <c r="E585" s="152" t="str">
        <f>IFERROR(VLOOKUP(F585,[1]TreeType!$A:$E,5,0),"")</f>
        <v/>
      </c>
      <c r="F585" s="153" t="str">
        <f>IFERROR(VLOOKUP(D585,[1]TreeType!$A:$B,2,0),"")</f>
        <v/>
      </c>
      <c r="G585" s="72">
        <f>IF(B585&gt;0,IF(סקר!E849=0,1,סקר!E849),0)</f>
        <v>0</v>
      </c>
      <c r="H585" s="72">
        <f>IF(B585&gt;0,IF(סקר!F849 = 0,1,סקר!F849),0)</f>
        <v>0</v>
      </c>
      <c r="I585" s="152">
        <f>סקר!G849</f>
        <v>0</v>
      </c>
      <c r="J585" s="152">
        <f>סקר!H849</f>
        <v>0</v>
      </c>
      <c r="K585" s="152" t="e">
        <f>IF(D585="","",VLOOKUP(D585,[1]TreeType!$A$2:$E$508,3,3))</f>
        <v>#N/A</v>
      </c>
      <c r="L585" s="152">
        <f>IF(D585&gt;0,IF(סקר!M849=0,1,IF(סקר!M849=0,1,סקר!M849)),0)</f>
        <v>0</v>
      </c>
      <c r="M585" s="152">
        <f>סקר!J849</f>
        <v>0</v>
      </c>
      <c r="N585" s="152">
        <f>IF(D585&gt;0,IF(סקר!K849=0,1,IF(סקר!K849=0,1,סקר!K849)),0)</f>
        <v>0</v>
      </c>
      <c r="O585" s="152" t="e">
        <f t="shared" si="14"/>
        <v>#N/A</v>
      </c>
      <c r="P585" s="152">
        <f>IF(B585&gt;0,IF(סקר!O849 &lt;=1,1,סקר!O849),0)</f>
        <v>0</v>
      </c>
      <c r="Q585" s="152">
        <f>סקר!P849</f>
        <v>0</v>
      </c>
      <c r="R585" s="152">
        <f>סקר!R849</f>
        <v>0</v>
      </c>
      <c r="S585" s="152">
        <f>סקר!BC849</f>
        <v>0</v>
      </c>
      <c r="T585" s="156"/>
    </row>
    <row r="586" spans="1:20">
      <c r="A586" s="152" t="str">
        <f>IF(סקר!D850&lt;2,"עץ","פוליגון")</f>
        <v>עץ</v>
      </c>
      <c r="B586" s="152">
        <f>סקר!B850</f>
        <v>0</v>
      </c>
      <c r="C586" s="152">
        <f>IF(סקר!D850&lt;2,1,סקר!D850)</f>
        <v>1</v>
      </c>
      <c r="D586" s="152">
        <f>סקר!C850</f>
        <v>0</v>
      </c>
      <c r="E586" s="152" t="str">
        <f>IFERROR(VLOOKUP(F586,[1]TreeType!$A:$E,5,0),"")</f>
        <v/>
      </c>
      <c r="F586" s="153" t="str">
        <f>IFERROR(VLOOKUP(D586,[1]TreeType!$A:$B,2,0),"")</f>
        <v/>
      </c>
      <c r="G586" s="72">
        <f>IF(B586&gt;0,IF(סקר!E850=0,1,סקר!E850),0)</f>
        <v>0</v>
      </c>
      <c r="H586" s="72">
        <f>IF(B586&gt;0,IF(סקר!F850 = 0,1,סקר!F850),0)</f>
        <v>0</v>
      </c>
      <c r="I586" s="152">
        <f>סקר!G850</f>
        <v>0</v>
      </c>
      <c r="J586" s="152">
        <f>סקר!H850</f>
        <v>0</v>
      </c>
      <c r="K586" s="152" t="e">
        <f>IF(D586="","",VLOOKUP(D586,[1]TreeType!$A$2:$E$508,3,3))</f>
        <v>#N/A</v>
      </c>
      <c r="L586" s="152">
        <f>IF(D586&gt;0,IF(סקר!M850=0,1,IF(סקר!M850=0,1,סקר!M850)),0)</f>
        <v>0</v>
      </c>
      <c r="M586" s="152">
        <f>סקר!J850</f>
        <v>0</v>
      </c>
      <c r="N586" s="152">
        <f>IF(D586&gt;0,IF(סקר!K850=0,1,IF(סקר!K850=0,1,סקר!K850)),0)</f>
        <v>0</v>
      </c>
      <c r="O586" s="152" t="e">
        <f t="shared" si="14"/>
        <v>#N/A</v>
      </c>
      <c r="P586" s="152">
        <f>IF(B586&gt;0,IF(סקר!O850 &lt;=1,1,סקר!O850),0)</f>
        <v>0</v>
      </c>
      <c r="Q586" s="152">
        <f>סקר!P850</f>
        <v>0</v>
      </c>
      <c r="R586" s="152">
        <f>סקר!R850</f>
        <v>0</v>
      </c>
      <c r="S586" s="152">
        <f>סקר!BC850</f>
        <v>0</v>
      </c>
      <c r="T586" s="156"/>
    </row>
    <row r="587" spans="1:20">
      <c r="A587" s="152" t="str">
        <f>IF(סקר!D851&lt;2,"עץ","פוליגון")</f>
        <v>עץ</v>
      </c>
      <c r="B587" s="152">
        <f>סקר!B851</f>
        <v>0</v>
      </c>
      <c r="C587" s="152">
        <f>IF(סקר!D851&lt;2,1,סקר!D851)</f>
        <v>1</v>
      </c>
      <c r="D587" s="152">
        <f>סקר!C851</f>
        <v>0</v>
      </c>
      <c r="E587" s="152" t="str">
        <f>IFERROR(VLOOKUP(F587,[1]TreeType!$A:$E,5,0),"")</f>
        <v/>
      </c>
      <c r="F587" s="153" t="str">
        <f>IFERROR(VLOOKUP(D587,[1]TreeType!$A:$B,2,0),"")</f>
        <v/>
      </c>
      <c r="G587" s="72">
        <f>IF(B587&gt;0,IF(סקר!E851=0,1,סקר!E851),0)</f>
        <v>0</v>
      </c>
      <c r="H587" s="72">
        <f>IF(B587&gt;0,IF(סקר!F851 = 0,1,סקר!F851),0)</f>
        <v>0</v>
      </c>
      <c r="I587" s="152">
        <f>סקר!G851</f>
        <v>0</v>
      </c>
      <c r="J587" s="152">
        <f>סקר!H851</f>
        <v>0</v>
      </c>
      <c r="K587" s="152" t="e">
        <f>IF(D587="","",VLOOKUP(D587,[1]TreeType!$A$2:$E$508,3,3))</f>
        <v>#N/A</v>
      </c>
      <c r="L587" s="152">
        <f>IF(D587&gt;0,IF(סקר!M851=0,1,IF(סקר!M851=0,1,סקר!M851)),0)</f>
        <v>0</v>
      </c>
      <c r="M587" s="152">
        <f>סקר!J851</f>
        <v>0</v>
      </c>
      <c r="N587" s="152">
        <f>IF(D587&gt;0,IF(סקר!K851=0,1,IF(סקר!K851=0,1,סקר!K851)),0)</f>
        <v>0</v>
      </c>
      <c r="O587" s="152" t="e">
        <f t="shared" si="14"/>
        <v>#N/A</v>
      </c>
      <c r="P587" s="152">
        <f>IF(B587&gt;0,IF(סקר!O851 &lt;=1,1,סקר!O851),0)</f>
        <v>0</v>
      </c>
      <c r="Q587" s="152">
        <f>סקר!P851</f>
        <v>0</v>
      </c>
      <c r="R587" s="152">
        <f>סקר!R851</f>
        <v>0</v>
      </c>
      <c r="S587" s="152">
        <f>סקר!BC851</f>
        <v>0</v>
      </c>
      <c r="T587" s="156"/>
    </row>
    <row r="588" spans="1:20">
      <c r="A588" s="152" t="str">
        <f>IF(סקר!D852&lt;2,"עץ","פוליגון")</f>
        <v>עץ</v>
      </c>
      <c r="B588" s="152">
        <f>סקר!B852</f>
        <v>0</v>
      </c>
      <c r="C588" s="152">
        <f>IF(סקר!D852&lt;2,1,סקר!D852)</f>
        <v>1</v>
      </c>
      <c r="D588" s="152">
        <f>סקר!C852</f>
        <v>0</v>
      </c>
      <c r="E588" s="152" t="str">
        <f>IFERROR(VLOOKUP(F588,[1]TreeType!$A:$E,5,0),"")</f>
        <v/>
      </c>
      <c r="F588" s="153" t="str">
        <f>IFERROR(VLOOKUP(D588,[1]TreeType!$A:$B,2,0),"")</f>
        <v/>
      </c>
      <c r="G588" s="72">
        <f>IF(B588&gt;0,IF(סקר!E852=0,1,סקר!E852),0)</f>
        <v>0</v>
      </c>
      <c r="H588" s="72">
        <f>IF(B588&gt;0,IF(סקר!F852 = 0,1,סקר!F852),0)</f>
        <v>0</v>
      </c>
      <c r="I588" s="152">
        <f>סקר!G852</f>
        <v>0</v>
      </c>
      <c r="J588" s="152">
        <f>סקר!H852</f>
        <v>0</v>
      </c>
      <c r="K588" s="152" t="e">
        <f>IF(D588="","",VLOOKUP(D588,[1]TreeType!$A$2:$E$508,3,3))</f>
        <v>#N/A</v>
      </c>
      <c r="L588" s="152">
        <f>IF(D588&gt;0,IF(סקר!M852=0,1,IF(סקר!M852=0,1,סקר!M852)),0)</f>
        <v>0</v>
      </c>
      <c r="M588" s="152">
        <f>סקר!J852</f>
        <v>0</v>
      </c>
      <c r="N588" s="152">
        <f>IF(D588&gt;0,IF(סקר!K852=0,1,IF(סקר!K852=0,1,סקר!K852)),0)</f>
        <v>0</v>
      </c>
      <c r="O588" s="152" t="e">
        <f t="shared" si="14"/>
        <v>#N/A</v>
      </c>
      <c r="P588" s="152">
        <f>IF(B588&gt;0,IF(סקר!O852 &lt;=1,1,סקר!O852),0)</f>
        <v>0</v>
      </c>
      <c r="Q588" s="152">
        <f>סקר!P852</f>
        <v>0</v>
      </c>
      <c r="R588" s="152">
        <f>סקר!R852</f>
        <v>0</v>
      </c>
      <c r="S588" s="152">
        <f>סקר!BC852</f>
        <v>0</v>
      </c>
      <c r="T588" s="156"/>
    </row>
    <row r="589" spans="1:20">
      <c r="A589" s="152" t="str">
        <f>IF(סקר!D853&lt;2,"עץ","פוליגון")</f>
        <v>עץ</v>
      </c>
      <c r="B589" s="152">
        <f>סקר!B853</f>
        <v>0</v>
      </c>
      <c r="C589" s="152">
        <f>IF(סקר!D853&lt;2,1,סקר!D853)</f>
        <v>1</v>
      </c>
      <c r="D589" s="152">
        <f>סקר!C853</f>
        <v>0</v>
      </c>
      <c r="E589" s="152" t="str">
        <f>IFERROR(VLOOKUP(F589,[1]TreeType!$A:$E,5,0),"")</f>
        <v/>
      </c>
      <c r="F589" s="153" t="str">
        <f>IFERROR(VLOOKUP(D589,[1]TreeType!$A:$B,2,0),"")</f>
        <v/>
      </c>
      <c r="G589" s="72">
        <f>IF(B589&gt;0,IF(סקר!E853=0,1,סקר!E853),0)</f>
        <v>0</v>
      </c>
      <c r="H589" s="72">
        <f>IF(B589&gt;0,IF(סקר!F853 = 0,1,סקר!F853),0)</f>
        <v>0</v>
      </c>
      <c r="I589" s="152">
        <f>סקר!G853</f>
        <v>0</v>
      </c>
      <c r="J589" s="152">
        <f>סקר!H853</f>
        <v>0</v>
      </c>
      <c r="K589" s="152" t="e">
        <f>IF(D589="","",VLOOKUP(D589,[1]TreeType!$A$2:$E$508,3,3))</f>
        <v>#N/A</v>
      </c>
      <c r="L589" s="152">
        <f>IF(D589&gt;0,IF(סקר!M853=0,1,IF(סקר!M853=0,1,סקר!M853)),0)</f>
        <v>0</v>
      </c>
      <c r="M589" s="152">
        <f>סקר!J853</f>
        <v>0</v>
      </c>
      <c r="N589" s="152">
        <f>IF(D589&gt;0,IF(סקר!K853=0,1,IF(סקר!K853=0,1,סקר!K853)),0)</f>
        <v>0</v>
      </c>
      <c r="O589" s="152" t="e">
        <f t="shared" si="14"/>
        <v>#N/A</v>
      </c>
      <c r="P589" s="152">
        <f>IF(B589&gt;0,IF(סקר!O853 &lt;=1,1,סקר!O853),0)</f>
        <v>0</v>
      </c>
      <c r="Q589" s="152">
        <f>סקר!P853</f>
        <v>0</v>
      </c>
      <c r="R589" s="152">
        <f>סקר!R853</f>
        <v>0</v>
      </c>
      <c r="S589" s="152">
        <f>סקר!BC853</f>
        <v>0</v>
      </c>
      <c r="T589" s="156"/>
    </row>
    <row r="590" spans="1:20">
      <c r="A590" s="152" t="str">
        <f>IF(סקר!D854&lt;2,"עץ","פוליגון")</f>
        <v>עץ</v>
      </c>
      <c r="B590" s="152">
        <f>סקר!B854</f>
        <v>0</v>
      </c>
      <c r="C590" s="152">
        <f>IF(סקר!D854&lt;2,1,סקר!D854)</f>
        <v>1</v>
      </c>
      <c r="D590" s="152">
        <f>סקר!C854</f>
        <v>0</v>
      </c>
      <c r="E590" s="152" t="str">
        <f>IFERROR(VLOOKUP(F590,[1]TreeType!$A:$E,5,0),"")</f>
        <v/>
      </c>
      <c r="F590" s="153" t="str">
        <f>IFERROR(VLOOKUP(D590,[1]TreeType!$A:$B,2,0),"")</f>
        <v/>
      </c>
      <c r="G590" s="72">
        <f>IF(B590&gt;0,IF(סקר!E854=0,1,סקר!E854),0)</f>
        <v>0</v>
      </c>
      <c r="H590" s="72">
        <f>IF(B590&gt;0,IF(סקר!F854 = 0,1,סקר!F854),0)</f>
        <v>0</v>
      </c>
      <c r="I590" s="152">
        <f>סקר!G854</f>
        <v>0</v>
      </c>
      <c r="J590" s="152">
        <f>סקר!H854</f>
        <v>0</v>
      </c>
      <c r="K590" s="152" t="e">
        <f>IF(D590="","",VLOOKUP(D590,[1]TreeType!$A$2:$E$508,3,3))</f>
        <v>#N/A</v>
      </c>
      <c r="L590" s="152">
        <f>IF(D590&gt;0,IF(סקר!M854=0,1,IF(סקר!M854=0,1,סקר!M854)),0)</f>
        <v>0</v>
      </c>
      <c r="M590" s="152">
        <f>סקר!J854</f>
        <v>0</v>
      </c>
      <c r="N590" s="152">
        <f>IF(D590&gt;0,IF(סקר!K854=0,1,IF(סקר!K854=0,1,סקר!K854)),0)</f>
        <v>0</v>
      </c>
      <c r="O590" s="152" t="e">
        <f t="shared" si="14"/>
        <v>#N/A</v>
      </c>
      <c r="P590" s="152">
        <f>IF(B590&gt;0,IF(סקר!O854 &lt;=1,1,סקר!O854),0)</f>
        <v>0</v>
      </c>
      <c r="Q590" s="152">
        <f>סקר!P854</f>
        <v>0</v>
      </c>
      <c r="R590" s="152">
        <f>סקר!R854</f>
        <v>0</v>
      </c>
      <c r="S590" s="152">
        <f>סקר!BC854</f>
        <v>0</v>
      </c>
      <c r="T590" s="156"/>
    </row>
    <row r="591" spans="1:20">
      <c r="A591" s="152" t="str">
        <f>IF(סקר!D855&lt;2,"עץ","פוליגון")</f>
        <v>עץ</v>
      </c>
      <c r="B591" s="152">
        <f>סקר!B855</f>
        <v>0</v>
      </c>
      <c r="C591" s="152">
        <f>IF(סקר!D855&lt;2,1,סקר!D855)</f>
        <v>1</v>
      </c>
      <c r="D591" s="152">
        <f>סקר!C855</f>
        <v>0</v>
      </c>
      <c r="E591" s="152" t="str">
        <f>IFERROR(VLOOKUP(F591,[1]TreeType!$A:$E,5,0),"")</f>
        <v/>
      </c>
      <c r="F591" s="153" t="str">
        <f>IFERROR(VLOOKUP(D591,[1]TreeType!$A:$B,2,0),"")</f>
        <v/>
      </c>
      <c r="G591" s="72">
        <f>IF(B591&gt;0,IF(סקר!E855=0,1,סקר!E855),0)</f>
        <v>0</v>
      </c>
      <c r="H591" s="72">
        <f>IF(B591&gt;0,IF(סקר!F855 = 0,1,סקר!F855),0)</f>
        <v>0</v>
      </c>
      <c r="I591" s="152">
        <f>סקר!G855</f>
        <v>0</v>
      </c>
      <c r="J591" s="152">
        <f>סקר!H855</f>
        <v>0</v>
      </c>
      <c r="K591" s="152" t="e">
        <f>IF(D591="","",VLOOKUP(D591,[1]TreeType!$A$2:$E$508,3,3))</f>
        <v>#N/A</v>
      </c>
      <c r="L591" s="152">
        <f>IF(D591&gt;0,IF(סקר!M855=0,1,IF(סקר!M855=0,1,סקר!M855)),0)</f>
        <v>0</v>
      </c>
      <c r="M591" s="152">
        <f>סקר!J855</f>
        <v>0</v>
      </c>
      <c r="N591" s="152">
        <f>IF(D591&gt;0,IF(סקר!K855=0,1,IF(סקר!K855=0,1,סקר!K855)),0)</f>
        <v>0</v>
      </c>
      <c r="O591" s="152" t="e">
        <f t="shared" si="14"/>
        <v>#N/A</v>
      </c>
      <c r="P591" s="152">
        <f>IF(B591&gt;0,IF(סקר!O855 &lt;=1,1,סקר!O855),0)</f>
        <v>0</v>
      </c>
      <c r="Q591" s="152">
        <f>סקר!P855</f>
        <v>0</v>
      </c>
      <c r="R591" s="152">
        <f>סקר!R855</f>
        <v>0</v>
      </c>
      <c r="S591" s="152">
        <f>סקר!BC855</f>
        <v>0</v>
      </c>
      <c r="T591" s="156"/>
    </row>
    <row r="592" spans="1:20">
      <c r="A592" s="152" t="str">
        <f>IF(סקר!D856&lt;2,"עץ","פוליגון")</f>
        <v>עץ</v>
      </c>
      <c r="B592" s="152">
        <f>סקר!B856</f>
        <v>0</v>
      </c>
      <c r="C592" s="152">
        <f>IF(סקר!D856&lt;2,1,סקר!D856)</f>
        <v>1</v>
      </c>
      <c r="D592" s="152">
        <f>סקר!C856</f>
        <v>0</v>
      </c>
      <c r="E592" s="152" t="str">
        <f>IFERROR(VLOOKUP(F592,[1]TreeType!$A:$E,5,0),"")</f>
        <v/>
      </c>
      <c r="F592" s="153" t="str">
        <f>IFERROR(VLOOKUP(D592,[1]TreeType!$A:$B,2,0),"")</f>
        <v/>
      </c>
      <c r="G592" s="72">
        <f>IF(B592&gt;0,IF(סקר!E856=0,1,סקר!E856),0)</f>
        <v>0</v>
      </c>
      <c r="H592" s="72">
        <f>IF(B592&gt;0,IF(סקר!F856 = 0,1,סקר!F856),0)</f>
        <v>0</v>
      </c>
      <c r="I592" s="152">
        <f>סקר!G856</f>
        <v>0</v>
      </c>
      <c r="J592" s="152">
        <f>סקר!H856</f>
        <v>0</v>
      </c>
      <c r="K592" s="152" t="e">
        <f>IF(D592="","",VLOOKUP(D592,[1]TreeType!$A$2:$E$508,3,3))</f>
        <v>#N/A</v>
      </c>
      <c r="L592" s="152">
        <f>IF(D592&gt;0,IF(סקר!M856=0,1,IF(סקר!M856=0,1,סקר!M856)),0)</f>
        <v>0</v>
      </c>
      <c r="M592" s="152">
        <f>סקר!J856</f>
        <v>0</v>
      </c>
      <c r="N592" s="152">
        <f>IF(D592&gt;0,IF(סקר!K856=0,1,IF(סקר!K856=0,1,סקר!K856)),0)</f>
        <v>0</v>
      </c>
      <c r="O592" s="152" t="e">
        <f t="shared" si="14"/>
        <v>#N/A</v>
      </c>
      <c r="P592" s="152">
        <f>IF(B592&gt;0,IF(סקר!O856 &lt;=1,1,סקר!O856),0)</f>
        <v>0</v>
      </c>
      <c r="Q592" s="152">
        <f>סקר!P856</f>
        <v>0</v>
      </c>
      <c r="R592" s="152">
        <f>סקר!R856</f>
        <v>0</v>
      </c>
      <c r="S592" s="152">
        <f>סקר!BC856</f>
        <v>0</v>
      </c>
      <c r="T592" s="156"/>
    </row>
    <row r="593" spans="1:20">
      <c r="A593" s="152" t="str">
        <f>IF(סקר!D857&lt;2,"עץ","פוליגון")</f>
        <v>עץ</v>
      </c>
      <c r="B593" s="152">
        <f>סקר!B857</f>
        <v>0</v>
      </c>
      <c r="C593" s="152">
        <f>IF(סקר!D857&lt;2,1,סקר!D857)</f>
        <v>1</v>
      </c>
      <c r="D593" s="152">
        <f>סקר!C857</f>
        <v>0</v>
      </c>
      <c r="E593" s="152" t="str">
        <f>IFERROR(VLOOKUP(F593,[1]TreeType!$A:$E,5,0),"")</f>
        <v/>
      </c>
      <c r="F593" s="153" t="str">
        <f>IFERROR(VLOOKUP(D593,[1]TreeType!$A:$B,2,0),"")</f>
        <v/>
      </c>
      <c r="G593" s="72">
        <f>IF(B593&gt;0,IF(סקר!E857=0,1,סקר!E857),0)</f>
        <v>0</v>
      </c>
      <c r="H593" s="72">
        <f>IF(B593&gt;0,IF(סקר!F857 = 0,1,סקר!F857),0)</f>
        <v>0</v>
      </c>
      <c r="I593" s="152">
        <f>סקר!G857</f>
        <v>0</v>
      </c>
      <c r="J593" s="152">
        <f>סקר!H857</f>
        <v>0</v>
      </c>
      <c r="K593" s="152" t="e">
        <f>IF(D593="","",VLOOKUP(D593,[1]TreeType!$A$2:$E$508,3,3))</f>
        <v>#N/A</v>
      </c>
      <c r="L593" s="152">
        <f>IF(D593&gt;0,IF(סקר!M857=0,1,IF(סקר!M857=0,1,סקר!M857)),0)</f>
        <v>0</v>
      </c>
      <c r="M593" s="152">
        <f>סקר!J857</f>
        <v>0</v>
      </c>
      <c r="N593" s="152">
        <f>IF(D593&gt;0,IF(סקר!K857=0,1,IF(סקר!K857=0,1,סקר!K857)),0)</f>
        <v>0</v>
      </c>
      <c r="O593" s="152" t="e">
        <f t="shared" si="14"/>
        <v>#N/A</v>
      </c>
      <c r="P593" s="152">
        <f>IF(B593&gt;0,IF(סקר!O857 &lt;=1,1,סקר!O857),0)</f>
        <v>0</v>
      </c>
      <c r="Q593" s="152">
        <f>סקר!P857</f>
        <v>0</v>
      </c>
      <c r="R593" s="152">
        <f>סקר!R857</f>
        <v>0</v>
      </c>
      <c r="S593" s="152">
        <f>סקר!BC857</f>
        <v>0</v>
      </c>
      <c r="T593" s="156"/>
    </row>
    <row r="594" spans="1:20">
      <c r="A594" s="152" t="str">
        <f>IF(סקר!D858&lt;2,"עץ","פוליגון")</f>
        <v>עץ</v>
      </c>
      <c r="B594" s="152">
        <f>סקר!B858</f>
        <v>0</v>
      </c>
      <c r="C594" s="152">
        <f>IF(סקר!D858&lt;2,1,סקר!D858)</f>
        <v>1</v>
      </c>
      <c r="D594" s="152">
        <f>סקר!C858</f>
        <v>0</v>
      </c>
      <c r="E594" s="152" t="str">
        <f>IFERROR(VLOOKUP(F594,[1]TreeType!$A:$E,5,0),"")</f>
        <v/>
      </c>
      <c r="F594" s="153" t="str">
        <f>IFERROR(VLOOKUP(D594,[1]TreeType!$A:$B,2,0),"")</f>
        <v/>
      </c>
      <c r="G594" s="72">
        <f>IF(B594&gt;0,IF(סקר!E858=0,1,סקר!E858),0)</f>
        <v>0</v>
      </c>
      <c r="H594" s="72">
        <f>IF(B594&gt;0,IF(סקר!F858 = 0,1,סקר!F858),0)</f>
        <v>0</v>
      </c>
      <c r="I594" s="152">
        <f>סקר!G858</f>
        <v>0</v>
      </c>
      <c r="J594" s="152">
        <f>סקר!H858</f>
        <v>0</v>
      </c>
      <c r="K594" s="152" t="e">
        <f>IF(D594="","",VLOOKUP(D594,[1]TreeType!$A$2:$E$508,3,3))</f>
        <v>#N/A</v>
      </c>
      <c r="L594" s="152">
        <f>IF(D594&gt;0,IF(סקר!M858=0,1,IF(סקר!M858=0,1,סקר!M858)),0)</f>
        <v>0</v>
      </c>
      <c r="M594" s="152">
        <f>סקר!J858</f>
        <v>0</v>
      </c>
      <c r="N594" s="152">
        <f>IF(D594&gt;0,IF(סקר!K858=0,1,IF(סקר!K858=0,1,סקר!K858)),0)</f>
        <v>0</v>
      </c>
      <c r="O594" s="152" t="e">
        <f t="shared" si="14"/>
        <v>#N/A</v>
      </c>
      <c r="P594" s="152">
        <f>IF(B594&gt;0,IF(סקר!O858 &lt;=1,1,סקר!O858),0)</f>
        <v>0</v>
      </c>
      <c r="Q594" s="152">
        <f>סקר!P858</f>
        <v>0</v>
      </c>
      <c r="R594" s="152">
        <f>סקר!R858</f>
        <v>0</v>
      </c>
      <c r="S594" s="152">
        <f>סקר!BC858</f>
        <v>0</v>
      </c>
      <c r="T594" s="156"/>
    </row>
    <row r="595" spans="1:20">
      <c r="A595" s="152" t="str">
        <f>IF(סקר!D859&lt;2,"עץ","פוליגון")</f>
        <v>עץ</v>
      </c>
      <c r="B595" s="152">
        <f>סקר!B859</f>
        <v>0</v>
      </c>
      <c r="C595" s="152">
        <f>IF(סקר!D859&lt;2,1,סקר!D859)</f>
        <v>1</v>
      </c>
      <c r="D595" s="152">
        <f>סקר!C859</f>
        <v>0</v>
      </c>
      <c r="E595" s="152" t="str">
        <f>IFERROR(VLOOKUP(F595,[1]TreeType!$A:$E,5,0),"")</f>
        <v/>
      </c>
      <c r="F595" s="153" t="str">
        <f>IFERROR(VLOOKUP(D595,[1]TreeType!$A:$B,2,0),"")</f>
        <v/>
      </c>
      <c r="G595" s="72">
        <f>IF(B595&gt;0,IF(סקר!E859=0,1,סקר!E859),0)</f>
        <v>0</v>
      </c>
      <c r="H595" s="72">
        <f>IF(B595&gt;0,IF(סקר!F859 = 0,1,סקר!F859),0)</f>
        <v>0</v>
      </c>
      <c r="I595" s="152">
        <f>סקר!G859</f>
        <v>0</v>
      </c>
      <c r="J595" s="152">
        <f>סקר!H859</f>
        <v>0</v>
      </c>
      <c r="K595" s="152" t="e">
        <f>IF(D595="","",VLOOKUP(D595,[1]TreeType!$A$2:$E$508,3,3))</f>
        <v>#N/A</v>
      </c>
      <c r="L595" s="152">
        <f>IF(D595&gt;0,IF(סקר!M859=0,1,IF(סקר!M859=0,1,סקר!M859)),0)</f>
        <v>0</v>
      </c>
      <c r="M595" s="152">
        <f>סקר!J859</f>
        <v>0</v>
      </c>
      <c r="N595" s="152">
        <f>IF(D595&gt;0,IF(סקר!K859=0,1,IF(סקר!K859=0,1,סקר!K859)),0)</f>
        <v>0</v>
      </c>
      <c r="O595" s="152" t="e">
        <f t="shared" si="14"/>
        <v>#N/A</v>
      </c>
      <c r="P595" s="152">
        <f>IF(B595&gt;0,IF(סקר!O859 &lt;=1,1,סקר!O859),0)</f>
        <v>0</v>
      </c>
      <c r="Q595" s="152">
        <f>סקר!P859</f>
        <v>0</v>
      </c>
      <c r="R595" s="152">
        <f>סקר!R859</f>
        <v>0</v>
      </c>
      <c r="S595" s="152">
        <f>סקר!BC859</f>
        <v>0</v>
      </c>
      <c r="T595" s="156"/>
    </row>
    <row r="596" spans="1:20">
      <c r="A596" s="152" t="str">
        <f>IF(סקר!D860&lt;2,"עץ","פוליגון")</f>
        <v>עץ</v>
      </c>
      <c r="B596" s="152">
        <f>סקר!B860</f>
        <v>0</v>
      </c>
      <c r="C596" s="152">
        <f>IF(סקר!D860&lt;2,1,סקר!D860)</f>
        <v>1</v>
      </c>
      <c r="D596" s="152">
        <f>סקר!C860</f>
        <v>0</v>
      </c>
      <c r="E596" s="152" t="str">
        <f>IFERROR(VLOOKUP(F596,[1]TreeType!$A:$E,5,0),"")</f>
        <v/>
      </c>
      <c r="F596" s="153" t="str">
        <f>IFERROR(VLOOKUP(D596,[1]TreeType!$A:$B,2,0),"")</f>
        <v/>
      </c>
      <c r="G596" s="72">
        <f>IF(B596&gt;0,IF(סקר!E860=0,1,סקר!E860),0)</f>
        <v>0</v>
      </c>
      <c r="H596" s="72">
        <f>IF(B596&gt;0,IF(סקר!F860 = 0,1,סקר!F860),0)</f>
        <v>0</v>
      </c>
      <c r="I596" s="152">
        <f>סקר!G860</f>
        <v>0</v>
      </c>
      <c r="J596" s="152">
        <f>סקר!H860</f>
        <v>0</v>
      </c>
      <c r="K596" s="152" t="e">
        <f>IF(D596="","",VLOOKUP(D596,[1]TreeType!$A$2:$E$508,3,3))</f>
        <v>#N/A</v>
      </c>
      <c r="L596" s="152">
        <f>IF(D596&gt;0,IF(סקר!M860=0,1,IF(סקר!M860=0,1,סקר!M860)),0)</f>
        <v>0</v>
      </c>
      <c r="M596" s="152">
        <f>סקר!J860</f>
        <v>0</v>
      </c>
      <c r="N596" s="152">
        <f>IF(D596&gt;0,IF(סקר!K860=0,1,IF(סקר!K860=0,1,סקר!K860)),0)</f>
        <v>0</v>
      </c>
      <c r="O596" s="152" t="e">
        <f t="shared" si="14"/>
        <v>#N/A</v>
      </c>
      <c r="P596" s="152">
        <f>IF(B596&gt;0,IF(סקר!O860 &lt;=1,1,סקר!O860),0)</f>
        <v>0</v>
      </c>
      <c r="Q596" s="152">
        <f>סקר!P860</f>
        <v>0</v>
      </c>
      <c r="R596" s="152">
        <f>סקר!R860</f>
        <v>0</v>
      </c>
      <c r="S596" s="152">
        <f>סקר!BC860</f>
        <v>0</v>
      </c>
      <c r="T596" s="156"/>
    </row>
    <row r="597" spans="1:20">
      <c r="A597" s="152" t="str">
        <f>IF(סקר!D861&lt;2,"עץ","פוליגון")</f>
        <v>עץ</v>
      </c>
      <c r="B597" s="152">
        <f>סקר!B861</f>
        <v>0</v>
      </c>
      <c r="C597" s="152">
        <f>IF(סקר!D861&lt;2,1,סקר!D861)</f>
        <v>1</v>
      </c>
      <c r="D597" s="152">
        <f>סקר!C861</f>
        <v>0</v>
      </c>
      <c r="E597" s="152" t="str">
        <f>IFERROR(VLOOKUP(F597,[1]TreeType!$A:$E,5,0),"")</f>
        <v/>
      </c>
      <c r="F597" s="153" t="str">
        <f>IFERROR(VLOOKUP(D597,[1]TreeType!$A:$B,2,0),"")</f>
        <v/>
      </c>
      <c r="G597" s="72">
        <f>IF(B597&gt;0,IF(סקר!E861=0,1,סקר!E861),0)</f>
        <v>0</v>
      </c>
      <c r="H597" s="72">
        <f>IF(B597&gt;0,IF(סקר!F861 = 0,1,סקר!F861),0)</f>
        <v>0</v>
      </c>
      <c r="I597" s="152">
        <f>סקר!G861</f>
        <v>0</v>
      </c>
      <c r="J597" s="152">
        <f>סקר!H861</f>
        <v>0</v>
      </c>
      <c r="K597" s="152" t="e">
        <f>IF(D597="","",VLOOKUP(D597,[1]TreeType!$A$2:$E$508,3,3))</f>
        <v>#N/A</v>
      </c>
      <c r="L597" s="152">
        <f>IF(D597&gt;0,IF(סקר!M861=0,1,IF(סקר!M861=0,1,סקר!M861)),0)</f>
        <v>0</v>
      </c>
      <c r="M597" s="152">
        <f>סקר!J861</f>
        <v>0</v>
      </c>
      <c r="N597" s="152">
        <f>IF(D597&gt;0,IF(סקר!K861=0,1,IF(סקר!K861=0,1,סקר!K861)),0)</f>
        <v>0</v>
      </c>
      <c r="O597" s="152" t="e">
        <f t="shared" si="14"/>
        <v>#N/A</v>
      </c>
      <c r="P597" s="152">
        <f>IF(B597&gt;0,IF(סקר!O861 &lt;=1,1,סקר!O861),0)</f>
        <v>0</v>
      </c>
      <c r="Q597" s="152">
        <f>סקר!P861</f>
        <v>0</v>
      </c>
      <c r="R597" s="152">
        <f>סקר!R861</f>
        <v>0</v>
      </c>
      <c r="S597" s="152">
        <f>סקר!BC861</f>
        <v>0</v>
      </c>
      <c r="T597" s="156"/>
    </row>
    <row r="598" spans="1:20">
      <c r="A598" s="152" t="str">
        <f>IF(סקר!D862&lt;2,"עץ","פוליגון")</f>
        <v>עץ</v>
      </c>
      <c r="B598" s="152">
        <f>סקר!B862</f>
        <v>0</v>
      </c>
      <c r="C598" s="152">
        <f>IF(סקר!D862&lt;2,1,סקר!D862)</f>
        <v>1</v>
      </c>
      <c r="D598" s="152">
        <f>סקר!C862</f>
        <v>0</v>
      </c>
      <c r="E598" s="152" t="str">
        <f>IFERROR(VLOOKUP(F598,[1]TreeType!$A:$E,5,0),"")</f>
        <v/>
      </c>
      <c r="F598" s="153" t="str">
        <f>IFERROR(VLOOKUP(D598,[1]TreeType!$A:$B,2,0),"")</f>
        <v/>
      </c>
      <c r="G598" s="72">
        <f>IF(B598&gt;0,IF(סקר!E862=0,1,סקר!E862),0)</f>
        <v>0</v>
      </c>
      <c r="H598" s="72">
        <f>IF(B598&gt;0,IF(סקר!F862 = 0,1,סקר!F862),0)</f>
        <v>0</v>
      </c>
      <c r="I598" s="152">
        <f>סקר!G862</f>
        <v>0</v>
      </c>
      <c r="J598" s="152">
        <f>סקר!H862</f>
        <v>0</v>
      </c>
      <c r="K598" s="152" t="e">
        <f>IF(D598="","",VLOOKUP(D598,[1]TreeType!$A$2:$E$508,3,3))</f>
        <v>#N/A</v>
      </c>
      <c r="L598" s="152">
        <f>IF(D598&gt;0,IF(סקר!M862=0,1,IF(סקר!M862=0,1,סקר!M862)),0)</f>
        <v>0</v>
      </c>
      <c r="M598" s="152">
        <f>סקר!J862</f>
        <v>0</v>
      </c>
      <c r="N598" s="152">
        <f>IF(D598&gt;0,IF(סקר!K862=0,1,IF(סקר!K862=0,1,סקר!K862)),0)</f>
        <v>0</v>
      </c>
      <c r="O598" s="152" t="e">
        <f t="shared" si="14"/>
        <v>#N/A</v>
      </c>
      <c r="P598" s="152">
        <f>IF(B598&gt;0,IF(סקר!O862 &lt;=1,1,סקר!O862),0)</f>
        <v>0</v>
      </c>
      <c r="Q598" s="152">
        <f>סקר!P862</f>
        <v>0</v>
      </c>
      <c r="R598" s="152">
        <f>סקר!R862</f>
        <v>0</v>
      </c>
      <c r="S598" s="152">
        <f>סקר!BC862</f>
        <v>0</v>
      </c>
      <c r="T598" s="156"/>
    </row>
    <row r="599" spans="1:20">
      <c r="A599" s="152" t="str">
        <f>IF(סקר!D863&lt;2,"עץ","פוליגון")</f>
        <v>עץ</v>
      </c>
      <c r="B599" s="152">
        <f>סקר!B863</f>
        <v>0</v>
      </c>
      <c r="C599" s="152">
        <f>IF(סקר!D863&lt;2,1,סקר!D863)</f>
        <v>1</v>
      </c>
      <c r="D599" s="152">
        <f>סקר!C863</f>
        <v>0</v>
      </c>
      <c r="E599" s="152" t="str">
        <f>IFERROR(VLOOKUP(F599,[1]TreeType!$A:$E,5,0),"")</f>
        <v/>
      </c>
      <c r="F599" s="153" t="str">
        <f>IFERROR(VLOOKUP(D599,[1]TreeType!$A:$B,2,0),"")</f>
        <v/>
      </c>
      <c r="G599" s="72">
        <f>IF(B599&gt;0,IF(סקר!E863=0,1,סקר!E863),0)</f>
        <v>0</v>
      </c>
      <c r="H599" s="72">
        <f>IF(B599&gt;0,IF(סקר!F863 = 0,1,סקר!F863),0)</f>
        <v>0</v>
      </c>
      <c r="I599" s="152">
        <f>סקר!G863</f>
        <v>0</v>
      </c>
      <c r="J599" s="152">
        <f>סקר!H863</f>
        <v>0</v>
      </c>
      <c r="K599" s="152" t="e">
        <f>IF(D599="","",VLOOKUP(D599,[1]TreeType!$A$2:$E$508,3,3))</f>
        <v>#N/A</v>
      </c>
      <c r="L599" s="152">
        <f>IF(D599&gt;0,IF(סקר!M863=0,1,IF(סקר!M863=0,1,סקר!M863)),0)</f>
        <v>0</v>
      </c>
      <c r="M599" s="152">
        <f>סקר!J863</f>
        <v>0</v>
      </c>
      <c r="N599" s="152">
        <f>IF(D599&gt;0,IF(סקר!K863=0,1,IF(סקר!K863=0,1,סקר!K863)),0)</f>
        <v>0</v>
      </c>
      <c r="O599" s="152" t="e">
        <f t="shared" si="14"/>
        <v>#N/A</v>
      </c>
      <c r="P599" s="152">
        <f>IF(B599&gt;0,IF(סקר!O863 &lt;=1,1,סקר!O863),0)</f>
        <v>0</v>
      </c>
      <c r="Q599" s="152">
        <f>סקר!P863</f>
        <v>0</v>
      </c>
      <c r="R599" s="152">
        <f>סקר!R863</f>
        <v>0</v>
      </c>
      <c r="S599" s="152">
        <f>סקר!BC863</f>
        <v>0</v>
      </c>
      <c r="T599" s="156"/>
    </row>
    <row r="600" spans="1:20">
      <c r="A600" s="152" t="str">
        <f>IF(סקר!D864&lt;2,"עץ","פוליגון")</f>
        <v>עץ</v>
      </c>
      <c r="B600" s="152">
        <f>סקר!B864</f>
        <v>0</v>
      </c>
      <c r="C600" s="152">
        <f>IF(סקר!D864&lt;2,1,סקר!D864)</f>
        <v>1</v>
      </c>
      <c r="D600" s="152">
        <f>סקר!C864</f>
        <v>0</v>
      </c>
      <c r="E600" s="152" t="str">
        <f>IFERROR(VLOOKUP(F600,[1]TreeType!$A:$E,5,0),"")</f>
        <v/>
      </c>
      <c r="F600" s="153" t="str">
        <f>IFERROR(VLOOKUP(D600,[1]TreeType!$A:$B,2,0),"")</f>
        <v/>
      </c>
      <c r="G600" s="72">
        <f>IF(B600&gt;0,IF(סקר!E864=0,1,סקר!E864),0)</f>
        <v>0</v>
      </c>
      <c r="H600" s="72">
        <f>IF(B600&gt;0,IF(סקר!F864 = 0,1,סקר!F864),0)</f>
        <v>0</v>
      </c>
      <c r="I600" s="152">
        <f>סקר!G864</f>
        <v>0</v>
      </c>
      <c r="J600" s="152">
        <f>סקר!H864</f>
        <v>0</v>
      </c>
      <c r="K600" s="152" t="e">
        <f>IF(D600="","",VLOOKUP(D600,[1]TreeType!$A$2:$E$508,3,3))</f>
        <v>#N/A</v>
      </c>
      <c r="L600" s="152">
        <f>IF(D600&gt;0,IF(סקר!M864=0,1,IF(סקר!M864=0,1,סקר!M864)),0)</f>
        <v>0</v>
      </c>
      <c r="M600" s="152">
        <f>סקר!J864</f>
        <v>0</v>
      </c>
      <c r="N600" s="152">
        <f>IF(D600&gt;0,IF(סקר!K864=0,1,IF(סקר!K864=0,1,סקר!K864)),0)</f>
        <v>0</v>
      </c>
      <c r="O600" s="152" t="e">
        <f t="shared" si="14"/>
        <v>#N/A</v>
      </c>
      <c r="P600" s="152">
        <f>IF(B600&gt;0,IF(סקר!O864 &lt;=1,1,סקר!O864),0)</f>
        <v>0</v>
      </c>
      <c r="Q600" s="152">
        <f>סקר!P864</f>
        <v>0</v>
      </c>
      <c r="R600" s="152">
        <f>סקר!R864</f>
        <v>0</v>
      </c>
      <c r="S600" s="152">
        <f>סקר!BC864</f>
        <v>0</v>
      </c>
      <c r="T600" s="156"/>
    </row>
    <row r="601" spans="1:20">
      <c r="A601" s="152" t="str">
        <f>IF(סקר!D865&lt;2,"עץ","פוליגון")</f>
        <v>עץ</v>
      </c>
      <c r="B601" s="152">
        <f>סקר!B865</f>
        <v>0</v>
      </c>
      <c r="C601" s="152">
        <f>IF(סקר!D865&lt;2,1,סקר!D865)</f>
        <v>1</v>
      </c>
      <c r="D601" s="152">
        <f>סקר!C865</f>
        <v>0</v>
      </c>
      <c r="E601" s="152" t="str">
        <f>IFERROR(VLOOKUP(F601,[1]TreeType!$A:$E,5,0),"")</f>
        <v/>
      </c>
      <c r="F601" s="153" t="str">
        <f>IFERROR(VLOOKUP(D601,[1]TreeType!$A:$B,2,0),"")</f>
        <v/>
      </c>
      <c r="G601" s="72">
        <f>IF(B601&gt;0,IF(סקר!E865=0,1,סקר!E865),0)</f>
        <v>0</v>
      </c>
      <c r="H601" s="72">
        <f>IF(B601&gt;0,IF(סקר!F865 = 0,1,סקר!F865),0)</f>
        <v>0</v>
      </c>
      <c r="I601" s="152">
        <f>סקר!G865</f>
        <v>0</v>
      </c>
      <c r="J601" s="152">
        <f>סקר!H865</f>
        <v>0</v>
      </c>
      <c r="K601" s="152" t="e">
        <f>IF(D601="","",VLOOKUP(D601,[1]TreeType!$A$2:$E$508,3,3))</f>
        <v>#N/A</v>
      </c>
      <c r="L601" s="152">
        <f>IF(D601&gt;0,IF(סקר!M865=0,1,IF(סקר!M865=0,1,סקר!M865)),0)</f>
        <v>0</v>
      </c>
      <c r="M601" s="152">
        <f>סקר!J865</f>
        <v>0</v>
      </c>
      <c r="N601" s="152">
        <f>IF(D601&gt;0,IF(סקר!K865=0,1,IF(סקר!K865=0,1,סקר!K865)),0)</f>
        <v>0</v>
      </c>
      <c r="O601" s="152" t="e">
        <f t="shared" si="14"/>
        <v>#N/A</v>
      </c>
      <c r="P601" s="152">
        <f>IF(B601&gt;0,IF(סקר!O865 &lt;=1,1,סקר!O865),0)</f>
        <v>0</v>
      </c>
      <c r="Q601" s="152">
        <f>סקר!P865</f>
        <v>0</v>
      </c>
      <c r="R601" s="152">
        <f>סקר!R865</f>
        <v>0</v>
      </c>
      <c r="S601" s="152">
        <f>סקר!BC865</f>
        <v>0</v>
      </c>
      <c r="T601" s="156"/>
    </row>
    <row r="602" spans="1:20">
      <c r="A602" s="152" t="str">
        <f>IF(סקר!D866&lt;2,"עץ","פוליגון")</f>
        <v>עץ</v>
      </c>
      <c r="B602" s="152">
        <f>סקר!B866</f>
        <v>0</v>
      </c>
      <c r="C602" s="152">
        <f>IF(סקר!D866&lt;2,1,סקר!D866)</f>
        <v>1</v>
      </c>
      <c r="D602" s="152">
        <f>סקר!C866</f>
        <v>0</v>
      </c>
      <c r="E602" s="152" t="str">
        <f>IFERROR(VLOOKUP(F602,[1]TreeType!$A:$E,5,0),"")</f>
        <v/>
      </c>
      <c r="F602" s="153" t="str">
        <f>IFERROR(VLOOKUP(D602,[1]TreeType!$A:$B,2,0),"")</f>
        <v/>
      </c>
      <c r="G602" s="72">
        <f>IF(B602&gt;0,IF(סקר!E866=0,1,סקר!E866),0)</f>
        <v>0</v>
      </c>
      <c r="H602" s="72">
        <f>IF(B602&gt;0,IF(סקר!F866 = 0,1,סקר!F866),0)</f>
        <v>0</v>
      </c>
      <c r="I602" s="152">
        <f>סקר!G866</f>
        <v>0</v>
      </c>
      <c r="J602" s="152">
        <f>סקר!H866</f>
        <v>0</v>
      </c>
      <c r="K602" s="152" t="e">
        <f>IF(D602="","",VLOOKUP(D602,[1]TreeType!$A$2:$E$508,3,3))</f>
        <v>#N/A</v>
      </c>
      <c r="L602" s="152">
        <f>IF(D602&gt;0,IF(סקר!M866=0,1,IF(סקר!M866=0,1,סקר!M866)),0)</f>
        <v>0</v>
      </c>
      <c r="M602" s="152">
        <f>סקר!J866</f>
        <v>0</v>
      </c>
      <c r="N602" s="152">
        <f>IF(D602&gt;0,IF(סקר!K866=0,1,IF(סקר!K866=0,1,סקר!K866)),0)</f>
        <v>0</v>
      </c>
      <c r="O602" s="152" t="e">
        <f t="shared" si="14"/>
        <v>#N/A</v>
      </c>
      <c r="P602" s="152">
        <f>IF(B602&gt;0,IF(סקר!O866 &lt;=1,1,סקר!O866),0)</f>
        <v>0</v>
      </c>
      <c r="Q602" s="152">
        <f>סקר!P866</f>
        <v>0</v>
      </c>
      <c r="R602" s="152">
        <f>סקר!R866</f>
        <v>0</v>
      </c>
      <c r="S602" s="152">
        <f>סקר!BC866</f>
        <v>0</v>
      </c>
      <c r="T602" s="156"/>
    </row>
    <row r="603" spans="1:20" ht="14.25">
      <c r="A603" s="150"/>
      <c r="B603" s="151"/>
      <c r="C603" s="152"/>
      <c r="D603" s="135"/>
      <c r="E603" s="73"/>
      <c r="F603" s="153"/>
      <c r="G603" s="152"/>
      <c r="H603" s="152"/>
      <c r="I603" s="159"/>
      <c r="J603" s="159"/>
      <c r="K603" s="152"/>
      <c r="L603" s="154"/>
      <c r="M603" s="152"/>
      <c r="N603" s="152"/>
      <c r="O603" s="152"/>
      <c r="P603" s="152"/>
      <c r="Q603" s="155"/>
      <c r="R603" s="157"/>
      <c r="S603" s="152"/>
      <c r="T603" s="156"/>
    </row>
    <row r="604" spans="1:20" ht="14.25">
      <c r="A604" s="150"/>
      <c r="B604" s="151"/>
      <c r="C604" s="152"/>
      <c r="D604" s="135"/>
      <c r="E604" s="73"/>
      <c r="F604" s="153"/>
      <c r="G604" s="152"/>
      <c r="H604" s="152"/>
      <c r="I604" s="159"/>
      <c r="J604" s="159"/>
      <c r="K604" s="152"/>
      <c r="L604" s="154"/>
      <c r="M604" s="152"/>
      <c r="N604" s="152"/>
      <c r="O604" s="152"/>
      <c r="P604" s="152"/>
      <c r="Q604" s="155"/>
      <c r="R604" s="157"/>
      <c r="S604" s="152"/>
      <c r="T604" s="156"/>
    </row>
    <row r="605" spans="1:20" ht="14.25">
      <c r="A605" s="150"/>
      <c r="B605" s="151"/>
      <c r="C605" s="152"/>
      <c r="D605" s="135"/>
      <c r="E605" s="73"/>
      <c r="F605" s="153"/>
      <c r="G605" s="152"/>
      <c r="H605" s="152"/>
      <c r="I605" s="159"/>
      <c r="J605" s="159"/>
      <c r="K605" s="152"/>
      <c r="L605" s="154"/>
      <c r="M605" s="152"/>
      <c r="N605" s="152"/>
      <c r="O605" s="152"/>
      <c r="P605" s="152"/>
      <c r="Q605" s="155"/>
      <c r="R605" s="157"/>
      <c r="S605" s="152"/>
      <c r="T605" s="156"/>
    </row>
    <row r="606" spans="1:20" ht="14.25">
      <c r="A606" s="150"/>
      <c r="B606" s="151"/>
      <c r="C606" s="152"/>
      <c r="D606" s="135"/>
      <c r="E606" s="73"/>
      <c r="F606" s="153"/>
      <c r="G606" s="152"/>
      <c r="H606" s="152"/>
      <c r="I606" s="159"/>
      <c r="J606" s="159"/>
      <c r="K606" s="152"/>
      <c r="L606" s="154"/>
      <c r="M606" s="152"/>
      <c r="N606" s="152"/>
      <c r="O606" s="152"/>
      <c r="P606" s="152"/>
      <c r="Q606" s="155"/>
      <c r="R606" s="157"/>
      <c r="S606" s="152"/>
      <c r="T606" s="156"/>
    </row>
    <row r="607" spans="1:20" ht="14.25">
      <c r="A607" s="150"/>
      <c r="B607" s="151"/>
      <c r="C607" s="152"/>
      <c r="D607" s="135"/>
      <c r="E607" s="73"/>
      <c r="F607" s="153"/>
      <c r="G607" s="152"/>
      <c r="H607" s="152"/>
      <c r="I607" s="159"/>
      <c r="J607" s="159"/>
      <c r="K607" s="152"/>
      <c r="L607" s="154"/>
      <c r="M607" s="152"/>
      <c r="N607" s="152"/>
      <c r="O607" s="152"/>
      <c r="P607" s="152"/>
      <c r="Q607" s="155"/>
      <c r="R607" s="157"/>
      <c r="S607" s="152"/>
      <c r="T607" s="156"/>
    </row>
    <row r="608" spans="1:20" ht="14.25">
      <c r="A608" s="150"/>
      <c r="B608" s="151"/>
      <c r="C608" s="152"/>
      <c r="D608" s="135"/>
      <c r="E608" s="73"/>
      <c r="F608" s="153"/>
      <c r="G608" s="152"/>
      <c r="H608" s="152"/>
      <c r="I608" s="159"/>
      <c r="J608" s="159"/>
      <c r="K608" s="152"/>
      <c r="L608" s="154"/>
      <c r="M608" s="152"/>
      <c r="N608" s="152"/>
      <c r="O608" s="152"/>
      <c r="P608" s="152"/>
      <c r="Q608" s="155"/>
      <c r="R608" s="157"/>
      <c r="S608" s="152"/>
      <c r="T608" s="156"/>
    </row>
    <row r="609" spans="1:20" ht="14.25">
      <c r="A609" s="150"/>
      <c r="B609" s="151"/>
      <c r="C609" s="152"/>
      <c r="D609" s="135"/>
      <c r="E609" s="73"/>
      <c r="F609" s="153"/>
      <c r="G609" s="152"/>
      <c r="H609" s="152"/>
      <c r="I609" s="159"/>
      <c r="J609" s="159"/>
      <c r="K609" s="152"/>
      <c r="L609" s="154"/>
      <c r="M609" s="152"/>
      <c r="N609" s="152"/>
      <c r="O609" s="152"/>
      <c r="P609" s="152"/>
      <c r="Q609" s="155"/>
      <c r="R609" s="157"/>
      <c r="S609" s="152"/>
      <c r="T609" s="156"/>
    </row>
    <row r="610" spans="1:20" ht="14.25">
      <c r="A610" s="150"/>
      <c r="B610" s="151"/>
      <c r="C610" s="152"/>
      <c r="D610" s="135"/>
      <c r="E610" s="73"/>
      <c r="F610" s="153"/>
      <c r="G610" s="152"/>
      <c r="H610" s="152"/>
      <c r="I610" s="159"/>
      <c r="J610" s="159"/>
      <c r="K610" s="152"/>
      <c r="L610" s="154"/>
      <c r="M610" s="152"/>
      <c r="N610" s="152"/>
      <c r="O610" s="152"/>
      <c r="P610" s="152"/>
      <c r="Q610" s="155"/>
      <c r="R610" s="157"/>
      <c r="S610" s="152"/>
      <c r="T610" s="156"/>
    </row>
    <row r="611" spans="1:20" ht="14.25">
      <c r="A611" s="150"/>
      <c r="B611" s="151"/>
      <c r="C611" s="152"/>
      <c r="D611" s="135"/>
      <c r="E611" s="73"/>
      <c r="F611" s="153"/>
      <c r="G611" s="152"/>
      <c r="H611" s="152"/>
      <c r="I611" s="159"/>
      <c r="J611" s="159"/>
      <c r="K611" s="152"/>
      <c r="L611" s="154"/>
      <c r="M611" s="152"/>
      <c r="N611" s="152"/>
      <c r="O611" s="152"/>
      <c r="P611" s="152"/>
      <c r="Q611" s="155"/>
      <c r="R611" s="157"/>
      <c r="S611" s="152"/>
      <c r="T611" s="156"/>
    </row>
    <row r="612" spans="1:20" ht="14.25">
      <c r="A612" s="150"/>
      <c r="B612" s="151"/>
      <c r="C612" s="152"/>
      <c r="D612" s="135"/>
      <c r="E612" s="73"/>
      <c r="F612" s="153"/>
      <c r="G612" s="152"/>
      <c r="H612" s="152"/>
      <c r="I612" s="159"/>
      <c r="J612" s="159"/>
      <c r="K612" s="152"/>
      <c r="L612" s="154"/>
      <c r="M612" s="152"/>
      <c r="N612" s="152"/>
      <c r="O612" s="152"/>
      <c r="P612" s="152"/>
      <c r="Q612" s="155"/>
      <c r="R612" s="157"/>
      <c r="S612" s="152"/>
      <c r="T612" s="156"/>
    </row>
    <row r="613" spans="1:20" ht="14.25">
      <c r="A613" s="150"/>
      <c r="B613" s="151"/>
      <c r="C613" s="152"/>
      <c r="D613" s="135"/>
      <c r="E613" s="73"/>
      <c r="F613" s="153"/>
      <c r="G613" s="152"/>
      <c r="H613" s="152"/>
      <c r="I613" s="159"/>
      <c r="J613" s="159"/>
      <c r="K613" s="152"/>
      <c r="L613" s="154"/>
      <c r="M613" s="152"/>
      <c r="N613" s="152"/>
      <c r="O613" s="152"/>
      <c r="P613" s="152"/>
      <c r="Q613" s="155"/>
      <c r="R613" s="157"/>
      <c r="S613" s="152"/>
      <c r="T613" s="156"/>
    </row>
    <row r="614" spans="1:20" ht="14.25">
      <c r="A614" s="150"/>
      <c r="B614" s="151"/>
      <c r="C614" s="152"/>
      <c r="D614" s="135"/>
      <c r="E614" s="73"/>
      <c r="F614" s="153"/>
      <c r="G614" s="152"/>
      <c r="H614" s="152"/>
      <c r="I614" s="159"/>
      <c r="J614" s="159"/>
      <c r="K614" s="152"/>
      <c r="L614" s="154"/>
      <c r="M614" s="152"/>
      <c r="N614" s="152"/>
      <c r="O614" s="152"/>
      <c r="P614" s="152"/>
      <c r="Q614" s="155"/>
      <c r="R614" s="157"/>
      <c r="S614" s="152"/>
      <c r="T614" s="156"/>
    </row>
    <row r="615" spans="1:20" ht="14.25">
      <c r="A615" s="150"/>
      <c r="B615" s="151"/>
      <c r="C615" s="152"/>
      <c r="D615" s="135"/>
      <c r="E615" s="73"/>
      <c r="F615" s="153"/>
      <c r="G615" s="152"/>
      <c r="H615" s="152"/>
      <c r="I615" s="159"/>
      <c r="J615" s="159"/>
      <c r="K615" s="152"/>
      <c r="L615" s="154"/>
      <c r="M615" s="152"/>
      <c r="N615" s="152"/>
      <c r="O615" s="152"/>
      <c r="P615" s="152"/>
      <c r="Q615" s="155"/>
      <c r="R615" s="157"/>
      <c r="S615" s="152"/>
      <c r="T615" s="156"/>
    </row>
    <row r="616" spans="1:20" ht="14.25">
      <c r="A616" s="150"/>
      <c r="B616" s="151"/>
      <c r="C616" s="152"/>
      <c r="D616" s="135"/>
      <c r="E616" s="73"/>
      <c r="F616" s="153"/>
      <c r="G616" s="152"/>
      <c r="H616" s="152"/>
      <c r="I616" s="159"/>
      <c r="J616" s="159"/>
      <c r="K616" s="152"/>
      <c r="L616" s="154"/>
      <c r="M616" s="152"/>
      <c r="N616" s="152"/>
      <c r="O616" s="152"/>
      <c r="P616" s="152"/>
      <c r="Q616" s="155"/>
      <c r="R616" s="157"/>
      <c r="S616" s="152"/>
      <c r="T616" s="156"/>
    </row>
    <row r="617" spans="1:20" ht="14.25">
      <c r="A617" s="150"/>
      <c r="B617" s="151"/>
      <c r="C617" s="152"/>
      <c r="D617" s="135"/>
      <c r="E617" s="73"/>
      <c r="F617" s="153"/>
      <c r="G617" s="152"/>
      <c r="H617" s="152"/>
      <c r="I617" s="159"/>
      <c r="J617" s="159"/>
      <c r="K617" s="152"/>
      <c r="L617" s="154"/>
      <c r="M617" s="152"/>
      <c r="N617" s="152"/>
      <c r="O617" s="152"/>
      <c r="P617" s="152"/>
      <c r="Q617" s="155"/>
      <c r="R617" s="157"/>
      <c r="S617" s="152"/>
      <c r="T617" s="156"/>
    </row>
    <row r="618" spans="1:20" ht="14.25">
      <c r="A618" s="150"/>
      <c r="B618" s="151"/>
      <c r="C618" s="152"/>
      <c r="D618" s="135"/>
      <c r="E618" s="73"/>
      <c r="F618" s="153"/>
      <c r="G618" s="152"/>
      <c r="H618" s="152"/>
      <c r="I618" s="159"/>
      <c r="J618" s="159"/>
      <c r="K618" s="152"/>
      <c r="L618" s="154"/>
      <c r="M618" s="152"/>
      <c r="N618" s="152"/>
      <c r="O618" s="152"/>
      <c r="P618" s="152"/>
      <c r="Q618" s="155"/>
      <c r="R618" s="157"/>
      <c r="S618" s="152"/>
      <c r="T618" s="156"/>
    </row>
    <row r="619" spans="1:20" ht="14.25">
      <c r="A619" s="150"/>
      <c r="B619" s="151"/>
      <c r="C619" s="152"/>
      <c r="D619" s="135"/>
      <c r="E619" s="73"/>
      <c r="F619" s="153"/>
      <c r="G619" s="152"/>
      <c r="H619" s="152"/>
      <c r="I619" s="159"/>
      <c r="J619" s="159"/>
      <c r="K619" s="152"/>
      <c r="L619" s="154"/>
      <c r="M619" s="152"/>
      <c r="N619" s="152"/>
      <c r="O619" s="152"/>
      <c r="P619" s="152"/>
      <c r="Q619" s="155"/>
      <c r="R619" s="157"/>
      <c r="S619" s="152"/>
      <c r="T619" s="156"/>
    </row>
    <row r="620" spans="1:20" ht="14.25">
      <c r="A620" s="150"/>
      <c r="B620" s="151"/>
      <c r="C620" s="152"/>
      <c r="D620" s="135"/>
      <c r="E620" s="73"/>
      <c r="F620" s="153"/>
      <c r="G620" s="152"/>
      <c r="H620" s="152"/>
      <c r="I620" s="159"/>
      <c r="J620" s="159"/>
      <c r="K620" s="152"/>
      <c r="L620" s="154"/>
      <c r="M620" s="152"/>
      <c r="N620" s="152"/>
      <c r="O620" s="152"/>
      <c r="P620" s="152"/>
      <c r="Q620" s="155"/>
      <c r="R620" s="157"/>
      <c r="S620" s="152"/>
      <c r="T620" s="156"/>
    </row>
    <row r="621" spans="1:20" ht="14.25">
      <c r="A621" s="150"/>
      <c r="B621" s="151"/>
      <c r="C621" s="152"/>
      <c r="D621" s="135"/>
      <c r="E621" s="73"/>
      <c r="F621" s="153"/>
      <c r="G621" s="152"/>
      <c r="H621" s="152"/>
      <c r="I621" s="159"/>
      <c r="J621" s="159"/>
      <c r="K621" s="152"/>
      <c r="L621" s="154"/>
      <c r="M621" s="152"/>
      <c r="N621" s="152"/>
      <c r="O621" s="152"/>
      <c r="P621" s="152"/>
      <c r="Q621" s="155"/>
      <c r="R621" s="157"/>
      <c r="S621" s="152"/>
      <c r="T621" s="156"/>
    </row>
    <row r="622" spans="1:20" ht="14.25">
      <c r="A622" s="150"/>
      <c r="B622" s="151"/>
      <c r="C622" s="152"/>
      <c r="D622" s="135"/>
      <c r="E622" s="73"/>
      <c r="F622" s="153"/>
      <c r="G622" s="152"/>
      <c r="H622" s="152"/>
      <c r="I622" s="159"/>
      <c r="J622" s="159"/>
      <c r="K622" s="152"/>
      <c r="L622" s="154"/>
      <c r="M622" s="152"/>
      <c r="N622" s="152"/>
      <c r="O622" s="152"/>
      <c r="P622" s="152"/>
      <c r="Q622" s="155"/>
      <c r="R622" s="157"/>
      <c r="S622" s="152"/>
      <c r="T622" s="156"/>
    </row>
    <row r="623" spans="1:20" ht="14.25">
      <c r="A623" s="150"/>
      <c r="B623" s="151"/>
      <c r="C623" s="152"/>
      <c r="D623" s="135"/>
      <c r="E623" s="73"/>
      <c r="F623" s="153"/>
      <c r="G623" s="152"/>
      <c r="H623" s="152"/>
      <c r="I623" s="159"/>
      <c r="J623" s="159"/>
      <c r="K623" s="152"/>
      <c r="L623" s="154"/>
      <c r="M623" s="152"/>
      <c r="N623" s="152"/>
      <c r="O623" s="152"/>
      <c r="P623" s="152"/>
      <c r="Q623" s="155"/>
      <c r="R623" s="157"/>
      <c r="S623" s="152"/>
      <c r="T623" s="156"/>
    </row>
    <row r="624" spans="1:20" ht="14.25">
      <c r="A624" s="150"/>
      <c r="B624" s="151"/>
      <c r="C624" s="152"/>
      <c r="D624" s="135"/>
      <c r="E624" s="73"/>
      <c r="F624" s="153"/>
      <c r="G624" s="152"/>
      <c r="H624" s="152"/>
      <c r="I624" s="159"/>
      <c r="J624" s="159"/>
      <c r="K624" s="152"/>
      <c r="L624" s="154"/>
      <c r="M624" s="152"/>
      <c r="N624" s="152"/>
      <c r="O624" s="152"/>
      <c r="P624" s="152"/>
      <c r="Q624" s="155"/>
      <c r="R624" s="157"/>
      <c r="S624" s="152"/>
      <c r="T624" s="156"/>
    </row>
    <row r="625" spans="1:20" ht="14.25">
      <c r="A625" s="150"/>
      <c r="B625" s="151"/>
      <c r="C625" s="152"/>
      <c r="D625" s="135"/>
      <c r="E625" s="73"/>
      <c r="F625" s="153"/>
      <c r="G625" s="152"/>
      <c r="H625" s="152"/>
      <c r="I625" s="159"/>
      <c r="J625" s="159"/>
      <c r="K625" s="152"/>
      <c r="L625" s="154"/>
      <c r="M625" s="152"/>
      <c r="N625" s="152"/>
      <c r="O625" s="152"/>
      <c r="P625" s="152"/>
      <c r="Q625" s="155"/>
      <c r="R625" s="157"/>
      <c r="S625" s="152"/>
      <c r="T625" s="156"/>
    </row>
    <row r="626" spans="1:20" ht="14.25">
      <c r="A626" s="150"/>
      <c r="B626" s="151"/>
      <c r="C626" s="152"/>
      <c r="D626" s="135"/>
      <c r="E626" s="73"/>
      <c r="F626" s="153"/>
      <c r="G626" s="152"/>
      <c r="H626" s="152"/>
      <c r="I626" s="159"/>
      <c r="J626" s="159"/>
      <c r="K626" s="152"/>
      <c r="L626" s="154"/>
      <c r="M626" s="152"/>
      <c r="N626" s="152"/>
      <c r="O626" s="152"/>
      <c r="P626" s="152"/>
      <c r="Q626" s="155"/>
      <c r="R626" s="157"/>
      <c r="S626" s="152"/>
      <c r="T626" s="156"/>
    </row>
    <row r="627" spans="1:20" ht="14.25">
      <c r="A627" s="150"/>
      <c r="B627" s="151"/>
      <c r="C627" s="152"/>
      <c r="D627" s="135"/>
      <c r="E627" s="73"/>
      <c r="F627" s="153"/>
      <c r="G627" s="152"/>
      <c r="H627" s="152"/>
      <c r="I627" s="159"/>
      <c r="J627" s="159"/>
      <c r="K627" s="152"/>
      <c r="L627" s="154"/>
      <c r="M627" s="152"/>
      <c r="N627" s="152"/>
      <c r="O627" s="152"/>
      <c r="P627" s="152"/>
      <c r="Q627" s="155"/>
      <c r="R627" s="157"/>
      <c r="S627" s="152"/>
      <c r="T627" s="156"/>
    </row>
    <row r="628" spans="1:20" ht="14.25">
      <c r="A628" s="150"/>
      <c r="B628" s="151"/>
      <c r="C628" s="152"/>
      <c r="D628" s="135"/>
      <c r="E628" s="73"/>
      <c r="F628" s="153"/>
      <c r="G628" s="152"/>
      <c r="H628" s="152"/>
      <c r="I628" s="159"/>
      <c r="J628" s="159"/>
      <c r="K628" s="152"/>
      <c r="L628" s="154"/>
      <c r="M628" s="152"/>
      <c r="N628" s="152"/>
      <c r="O628" s="152"/>
      <c r="P628" s="152"/>
      <c r="Q628" s="155"/>
      <c r="R628" s="157"/>
      <c r="S628" s="152"/>
      <c r="T628" s="156"/>
    </row>
    <row r="629" spans="1:20" ht="14.25">
      <c r="A629" s="150"/>
      <c r="B629" s="151"/>
      <c r="C629" s="152"/>
      <c r="D629" s="135"/>
      <c r="E629" s="73"/>
      <c r="F629" s="153"/>
      <c r="G629" s="152"/>
      <c r="H629" s="152"/>
      <c r="I629" s="159"/>
      <c r="J629" s="159"/>
      <c r="K629" s="152"/>
      <c r="L629" s="154"/>
      <c r="M629" s="152"/>
      <c r="N629" s="152"/>
      <c r="O629" s="152"/>
      <c r="P629" s="152"/>
      <c r="Q629" s="155"/>
      <c r="R629" s="157"/>
      <c r="S629" s="152"/>
      <c r="T629" s="156"/>
    </row>
    <row r="630" spans="1:20" ht="14.25">
      <c r="A630" s="150"/>
      <c r="B630" s="151"/>
      <c r="C630" s="152"/>
      <c r="D630" s="135"/>
      <c r="E630" s="73"/>
      <c r="F630" s="153"/>
      <c r="G630" s="152"/>
      <c r="H630" s="152"/>
      <c r="I630" s="159"/>
      <c r="J630" s="159"/>
      <c r="K630" s="152"/>
      <c r="L630" s="154"/>
      <c r="M630" s="152"/>
      <c r="N630" s="152"/>
      <c r="O630" s="152"/>
      <c r="P630" s="152"/>
      <c r="Q630" s="155"/>
      <c r="R630" s="157"/>
      <c r="S630" s="152"/>
      <c r="T630" s="156"/>
    </row>
    <row r="631" spans="1:20" ht="14.25">
      <c r="A631" s="150"/>
      <c r="B631" s="151"/>
      <c r="C631" s="152"/>
      <c r="D631" s="135"/>
      <c r="E631" s="73"/>
      <c r="F631" s="153"/>
      <c r="G631" s="152"/>
      <c r="H631" s="152"/>
      <c r="I631" s="159"/>
      <c r="J631" s="159"/>
      <c r="K631" s="152"/>
      <c r="L631" s="154"/>
      <c r="M631" s="152"/>
      <c r="N631" s="152"/>
      <c r="O631" s="152"/>
      <c r="P631" s="152"/>
      <c r="Q631" s="155"/>
      <c r="R631" s="157"/>
      <c r="S631" s="152"/>
      <c r="T631" s="156"/>
    </row>
    <row r="632" spans="1:20" ht="14.25">
      <c r="A632" s="150"/>
      <c r="B632" s="151"/>
      <c r="C632" s="152"/>
      <c r="D632" s="135"/>
      <c r="E632" s="73"/>
      <c r="F632" s="153"/>
      <c r="G632" s="152"/>
      <c r="H632" s="152"/>
      <c r="I632" s="159"/>
      <c r="J632" s="159"/>
      <c r="K632" s="152"/>
      <c r="L632" s="154"/>
      <c r="M632" s="152"/>
      <c r="N632" s="152"/>
      <c r="O632" s="152"/>
      <c r="P632" s="152"/>
      <c r="Q632" s="155"/>
      <c r="R632" s="157"/>
      <c r="S632" s="152"/>
      <c r="T632" s="156"/>
    </row>
    <row r="633" spans="1:20" ht="14.25">
      <c r="A633" s="150"/>
      <c r="B633" s="151"/>
      <c r="C633" s="152"/>
      <c r="D633" s="135"/>
      <c r="E633" s="73"/>
      <c r="F633" s="153"/>
      <c r="G633" s="152"/>
      <c r="H633" s="152"/>
      <c r="I633" s="159"/>
      <c r="J633" s="159"/>
      <c r="K633" s="152"/>
      <c r="L633" s="154"/>
      <c r="M633" s="152"/>
      <c r="N633" s="152"/>
      <c r="O633" s="152"/>
      <c r="P633" s="152"/>
      <c r="Q633" s="155"/>
      <c r="R633" s="157"/>
      <c r="S633" s="152"/>
      <c r="T633" s="156"/>
    </row>
    <row r="634" spans="1:20" ht="14.25">
      <c r="A634" s="150"/>
      <c r="B634" s="151"/>
      <c r="C634" s="152"/>
      <c r="D634" s="135"/>
      <c r="E634" s="73"/>
      <c r="F634" s="153"/>
      <c r="G634" s="152"/>
      <c r="H634" s="152"/>
      <c r="I634" s="159"/>
      <c r="J634" s="159"/>
      <c r="K634" s="152"/>
      <c r="L634" s="154"/>
      <c r="M634" s="152"/>
      <c r="N634" s="152"/>
      <c r="O634" s="152"/>
      <c r="P634" s="152"/>
      <c r="Q634" s="155"/>
      <c r="R634" s="157"/>
      <c r="S634" s="152"/>
      <c r="T634" s="156"/>
    </row>
    <row r="635" spans="1:20" ht="14.25">
      <c r="A635" s="150"/>
      <c r="B635" s="151"/>
      <c r="C635" s="152"/>
      <c r="D635" s="135"/>
      <c r="E635" s="73"/>
      <c r="F635" s="153"/>
      <c r="G635" s="152"/>
      <c r="H635" s="152"/>
      <c r="I635" s="159"/>
      <c r="J635" s="159"/>
      <c r="K635" s="152"/>
      <c r="L635" s="154"/>
      <c r="M635" s="152"/>
      <c r="N635" s="152"/>
      <c r="O635" s="152"/>
      <c r="P635" s="152"/>
      <c r="Q635" s="155"/>
      <c r="R635" s="157"/>
      <c r="S635" s="152"/>
      <c r="T635" s="156"/>
    </row>
    <row r="636" spans="1:20" ht="14.25">
      <c r="A636" s="150"/>
      <c r="B636" s="151"/>
      <c r="C636" s="152"/>
      <c r="D636" s="135"/>
      <c r="E636" s="73"/>
      <c r="F636" s="153"/>
      <c r="G636" s="152"/>
      <c r="H636" s="152"/>
      <c r="I636" s="159"/>
      <c r="J636" s="159"/>
      <c r="K636" s="152"/>
      <c r="L636" s="154"/>
      <c r="M636" s="152"/>
      <c r="N636" s="152"/>
      <c r="O636" s="152"/>
      <c r="P636" s="152"/>
      <c r="Q636" s="155"/>
      <c r="R636" s="157"/>
      <c r="S636" s="152"/>
      <c r="T636" s="156"/>
    </row>
    <row r="637" spans="1:20" ht="14.25">
      <c r="A637" s="150"/>
      <c r="B637" s="151"/>
      <c r="C637" s="152"/>
      <c r="D637" s="135"/>
      <c r="E637" s="73"/>
      <c r="F637" s="153"/>
      <c r="G637" s="152"/>
      <c r="H637" s="152"/>
      <c r="I637" s="159"/>
      <c r="J637" s="159"/>
      <c r="K637" s="152"/>
      <c r="L637" s="154"/>
      <c r="M637" s="152"/>
      <c r="N637" s="152"/>
      <c r="O637" s="152"/>
      <c r="P637" s="152"/>
      <c r="Q637" s="155"/>
      <c r="R637" s="157"/>
      <c r="S637" s="152"/>
      <c r="T637" s="156"/>
    </row>
    <row r="638" spans="1:20" ht="14.25">
      <c r="A638" s="150"/>
      <c r="B638" s="151"/>
      <c r="C638" s="152"/>
      <c r="D638" s="135"/>
      <c r="E638" s="73"/>
      <c r="F638" s="153"/>
      <c r="G638" s="152"/>
      <c r="H638" s="152"/>
      <c r="I638" s="159"/>
      <c r="J638" s="159"/>
      <c r="K638" s="152"/>
      <c r="L638" s="154"/>
      <c r="M638" s="152"/>
      <c r="N638" s="152"/>
      <c r="O638" s="152"/>
      <c r="P638" s="152"/>
      <c r="Q638" s="155"/>
      <c r="R638" s="157"/>
      <c r="S638" s="152"/>
      <c r="T638" s="156"/>
    </row>
    <row r="639" spans="1:20" ht="14.25">
      <c r="A639" s="150"/>
      <c r="B639" s="151"/>
      <c r="C639" s="152"/>
      <c r="D639" s="135"/>
      <c r="E639" s="73"/>
      <c r="F639" s="153"/>
      <c r="G639" s="152"/>
      <c r="H639" s="152"/>
      <c r="I639" s="159"/>
      <c r="J639" s="159"/>
      <c r="K639" s="152"/>
      <c r="L639" s="154"/>
      <c r="M639" s="152"/>
      <c r="N639" s="152"/>
      <c r="O639" s="152"/>
      <c r="P639" s="152"/>
      <c r="Q639" s="155"/>
      <c r="R639" s="157"/>
      <c r="S639" s="152"/>
      <c r="T639" s="156"/>
    </row>
    <row r="640" spans="1:20" ht="14.25">
      <c r="A640" s="150"/>
      <c r="B640" s="151"/>
      <c r="C640" s="152"/>
      <c r="D640" s="135"/>
      <c r="E640" s="73"/>
      <c r="F640" s="153"/>
      <c r="G640" s="152"/>
      <c r="H640" s="152"/>
      <c r="I640" s="159"/>
      <c r="J640" s="159"/>
      <c r="K640" s="152"/>
      <c r="L640" s="154"/>
      <c r="M640" s="152"/>
      <c r="N640" s="152"/>
      <c r="O640" s="152"/>
      <c r="P640" s="152"/>
      <c r="Q640" s="155"/>
      <c r="R640" s="157"/>
      <c r="S640" s="152"/>
      <c r="T640" s="156"/>
    </row>
    <row r="641" spans="1:20" ht="14.25">
      <c r="A641" s="150"/>
      <c r="B641" s="151"/>
      <c r="C641" s="152"/>
      <c r="D641" s="135"/>
      <c r="E641" s="73"/>
      <c r="F641" s="153"/>
      <c r="G641" s="152"/>
      <c r="H641" s="152"/>
      <c r="I641" s="159"/>
      <c r="J641" s="159"/>
      <c r="K641" s="152"/>
      <c r="L641" s="154"/>
      <c r="M641" s="152"/>
      <c r="N641" s="152"/>
      <c r="O641" s="152"/>
      <c r="P641" s="152"/>
      <c r="Q641" s="155"/>
      <c r="R641" s="157"/>
      <c r="S641" s="152"/>
      <c r="T641" s="156"/>
    </row>
    <row r="642" spans="1:20" ht="14.25">
      <c r="A642" s="150"/>
      <c r="B642" s="151"/>
      <c r="C642" s="152"/>
      <c r="D642" s="135"/>
      <c r="E642" s="73"/>
      <c r="F642" s="153"/>
      <c r="G642" s="152"/>
      <c r="H642" s="152"/>
      <c r="I642" s="159"/>
      <c r="J642" s="159"/>
      <c r="K642" s="152"/>
      <c r="L642" s="154"/>
      <c r="M642" s="152"/>
      <c r="N642" s="152"/>
      <c r="O642" s="152"/>
      <c r="P642" s="152"/>
      <c r="Q642" s="155"/>
      <c r="R642" s="157"/>
      <c r="S642" s="152"/>
      <c r="T642" s="156"/>
    </row>
    <row r="643" spans="1:20" ht="14.25">
      <c r="A643" s="150"/>
      <c r="B643" s="151"/>
      <c r="C643" s="152"/>
      <c r="D643" s="135"/>
      <c r="E643" s="73"/>
      <c r="F643" s="153"/>
      <c r="G643" s="152"/>
      <c r="H643" s="152"/>
      <c r="I643" s="159"/>
      <c r="J643" s="159"/>
      <c r="K643" s="152"/>
      <c r="L643" s="154"/>
      <c r="M643" s="152"/>
      <c r="N643" s="152"/>
      <c r="O643" s="152"/>
      <c r="P643" s="152"/>
      <c r="Q643" s="155"/>
      <c r="R643" s="157"/>
      <c r="S643" s="152"/>
      <c r="T643" s="156"/>
    </row>
    <row r="644" spans="1:20" ht="14.25">
      <c r="A644" s="150"/>
      <c r="B644" s="151"/>
      <c r="C644" s="152"/>
      <c r="D644" s="135"/>
      <c r="E644" s="73"/>
      <c r="F644" s="153"/>
      <c r="G644" s="152"/>
      <c r="H644" s="152"/>
      <c r="I644" s="159"/>
      <c r="J644" s="159"/>
      <c r="K644" s="152"/>
      <c r="L644" s="154"/>
      <c r="M644" s="152"/>
      <c r="N644" s="152"/>
      <c r="O644" s="152"/>
      <c r="P644" s="152"/>
      <c r="Q644" s="155"/>
      <c r="R644" s="157"/>
      <c r="S644" s="152"/>
      <c r="T644" s="156"/>
    </row>
    <row r="645" spans="1:20" ht="14.25">
      <c r="A645" s="150"/>
      <c r="B645" s="151"/>
      <c r="C645" s="152"/>
      <c r="D645" s="135"/>
      <c r="E645" s="73"/>
      <c r="F645" s="153"/>
      <c r="G645" s="152"/>
      <c r="H645" s="152"/>
      <c r="I645" s="159"/>
      <c r="J645" s="159"/>
      <c r="K645" s="152"/>
      <c r="L645" s="154"/>
      <c r="M645" s="152"/>
      <c r="N645" s="152"/>
      <c r="O645" s="152"/>
      <c r="P645" s="152"/>
      <c r="Q645" s="155"/>
      <c r="R645" s="157"/>
      <c r="S645" s="152"/>
      <c r="T645" s="156"/>
    </row>
    <row r="646" spans="1:20" ht="14.25">
      <c r="A646" s="150"/>
      <c r="B646" s="151"/>
      <c r="C646" s="152"/>
      <c r="D646" s="135"/>
      <c r="E646" s="73"/>
      <c r="F646" s="153"/>
      <c r="G646" s="152"/>
      <c r="H646" s="152"/>
      <c r="I646" s="159"/>
      <c r="J646" s="159"/>
      <c r="K646" s="152"/>
      <c r="L646" s="154"/>
      <c r="M646" s="152"/>
      <c r="N646" s="152"/>
      <c r="O646" s="152"/>
      <c r="P646" s="152"/>
      <c r="Q646" s="155"/>
      <c r="R646" s="157"/>
      <c r="S646" s="152"/>
      <c r="T646" s="156"/>
    </row>
    <row r="647" spans="1:20" ht="14.25">
      <c r="A647" s="150"/>
      <c r="B647" s="151"/>
      <c r="C647" s="152"/>
      <c r="D647" s="135"/>
      <c r="E647" s="73"/>
      <c r="F647" s="153"/>
      <c r="G647" s="152"/>
      <c r="H647" s="152"/>
      <c r="I647" s="159"/>
      <c r="J647" s="159"/>
      <c r="K647" s="152"/>
      <c r="L647" s="154"/>
      <c r="M647" s="152"/>
      <c r="N647" s="152"/>
      <c r="O647" s="152"/>
      <c r="P647" s="152"/>
      <c r="Q647" s="155"/>
      <c r="R647" s="157"/>
      <c r="S647" s="152"/>
      <c r="T647" s="156"/>
    </row>
    <row r="648" spans="1:20" ht="14.25">
      <c r="A648" s="150"/>
      <c r="B648" s="151"/>
      <c r="C648" s="152"/>
      <c r="D648" s="135"/>
      <c r="E648" s="73"/>
      <c r="F648" s="153"/>
      <c r="G648" s="152"/>
      <c r="H648" s="152"/>
      <c r="I648" s="159"/>
      <c r="J648" s="159"/>
      <c r="K648" s="152"/>
      <c r="L648" s="154"/>
      <c r="M648" s="152"/>
      <c r="N648" s="152"/>
      <c r="O648" s="152"/>
      <c r="P648" s="152"/>
      <c r="Q648" s="155"/>
      <c r="R648" s="157"/>
      <c r="S648" s="152"/>
      <c r="T648" s="156"/>
    </row>
    <row r="649" spans="1:20" ht="14.25">
      <c r="A649" s="150"/>
      <c r="B649" s="151"/>
      <c r="C649" s="152"/>
      <c r="D649" s="135"/>
      <c r="E649" s="73"/>
      <c r="F649" s="153"/>
      <c r="G649" s="152"/>
      <c r="H649" s="152"/>
      <c r="I649" s="159"/>
      <c r="J649" s="159"/>
      <c r="K649" s="152"/>
      <c r="L649" s="154"/>
      <c r="M649" s="152"/>
      <c r="N649" s="152"/>
      <c r="O649" s="152"/>
      <c r="P649" s="152"/>
      <c r="Q649" s="155"/>
      <c r="R649" s="157"/>
      <c r="S649" s="152"/>
      <c r="T649" s="156"/>
    </row>
    <row r="650" spans="1:20" ht="14.25">
      <c r="A650" s="150"/>
      <c r="B650" s="151"/>
      <c r="C650" s="152"/>
      <c r="D650" s="135"/>
      <c r="E650" s="73"/>
      <c r="F650" s="153"/>
      <c r="G650" s="152"/>
      <c r="H650" s="152"/>
      <c r="I650" s="159"/>
      <c r="J650" s="159"/>
      <c r="K650" s="152"/>
      <c r="L650" s="154"/>
      <c r="M650" s="152"/>
      <c r="N650" s="152"/>
      <c r="O650" s="152"/>
      <c r="P650" s="152"/>
      <c r="Q650" s="155"/>
      <c r="R650" s="157"/>
      <c r="S650" s="152"/>
      <c r="T650" s="156"/>
    </row>
    <row r="651" spans="1:20" ht="14.25">
      <c r="A651" s="150"/>
      <c r="B651" s="151"/>
      <c r="C651" s="152"/>
      <c r="D651" s="135"/>
      <c r="E651" s="73"/>
      <c r="F651" s="153"/>
      <c r="G651" s="152"/>
      <c r="H651" s="152"/>
      <c r="I651" s="159"/>
      <c r="J651" s="159"/>
      <c r="K651" s="152"/>
      <c r="L651" s="154"/>
      <c r="M651" s="152"/>
      <c r="N651" s="152"/>
      <c r="O651" s="152"/>
      <c r="P651" s="152"/>
      <c r="Q651" s="155"/>
      <c r="R651" s="157"/>
      <c r="S651" s="152"/>
      <c r="T651" s="156"/>
    </row>
    <row r="652" spans="1:20" ht="14.25">
      <c r="A652" s="150"/>
      <c r="B652" s="151"/>
      <c r="C652" s="152"/>
      <c r="D652" s="135"/>
      <c r="E652" s="73"/>
      <c r="F652" s="153"/>
      <c r="G652" s="152"/>
      <c r="H652" s="152"/>
      <c r="I652" s="159"/>
      <c r="J652" s="159"/>
      <c r="K652" s="152"/>
      <c r="L652" s="154"/>
      <c r="M652" s="152"/>
      <c r="N652" s="152"/>
      <c r="O652" s="152"/>
      <c r="P652" s="152"/>
      <c r="Q652" s="155"/>
      <c r="R652" s="157"/>
      <c r="S652" s="152"/>
      <c r="T652" s="156"/>
    </row>
    <row r="653" spans="1:20" ht="14.25">
      <c r="A653" s="150"/>
      <c r="B653" s="151"/>
      <c r="C653" s="152"/>
      <c r="D653" s="135"/>
      <c r="E653" s="73"/>
      <c r="F653" s="153"/>
      <c r="G653" s="152"/>
      <c r="H653" s="152"/>
      <c r="I653" s="159"/>
      <c r="J653" s="159"/>
      <c r="K653" s="152"/>
      <c r="L653" s="154"/>
      <c r="M653" s="152"/>
      <c r="N653" s="152"/>
      <c r="O653" s="152"/>
      <c r="P653" s="152"/>
      <c r="Q653" s="155"/>
      <c r="R653" s="157"/>
      <c r="S653" s="152"/>
      <c r="T653" s="156"/>
    </row>
    <row r="654" spans="1:20" ht="14.25">
      <c r="A654" s="150"/>
      <c r="B654" s="151"/>
      <c r="C654" s="152"/>
      <c r="D654" s="135"/>
      <c r="E654" s="73"/>
      <c r="F654" s="153"/>
      <c r="G654" s="152"/>
      <c r="H654" s="152"/>
      <c r="I654" s="159"/>
      <c r="J654" s="159"/>
      <c r="K654" s="152"/>
      <c r="L654" s="154"/>
      <c r="M654" s="152"/>
      <c r="N654" s="152"/>
      <c r="O654" s="152"/>
      <c r="P654" s="152"/>
      <c r="Q654" s="155"/>
      <c r="R654" s="157"/>
      <c r="S654" s="152"/>
      <c r="T654" s="156"/>
    </row>
    <row r="655" spans="1:20" ht="14.25">
      <c r="A655" s="150"/>
      <c r="B655" s="151"/>
      <c r="C655" s="152"/>
      <c r="D655" s="135"/>
      <c r="E655" s="73"/>
      <c r="F655" s="153"/>
      <c r="G655" s="152"/>
      <c r="H655" s="152"/>
      <c r="I655" s="159"/>
      <c r="J655" s="159"/>
      <c r="K655" s="152"/>
      <c r="L655" s="154"/>
      <c r="M655" s="152"/>
      <c r="N655" s="152"/>
      <c r="O655" s="152"/>
      <c r="P655" s="152"/>
      <c r="Q655" s="155"/>
      <c r="R655" s="157"/>
      <c r="S655" s="152"/>
      <c r="T655" s="156"/>
    </row>
    <row r="656" spans="1:20" ht="14.25">
      <c r="A656" s="150"/>
      <c r="B656" s="151"/>
      <c r="C656" s="152"/>
      <c r="D656" s="135"/>
      <c r="E656" s="73"/>
      <c r="F656" s="153"/>
      <c r="G656" s="152"/>
      <c r="H656" s="152"/>
      <c r="I656" s="159"/>
      <c r="J656" s="159"/>
      <c r="K656" s="152"/>
      <c r="L656" s="154"/>
      <c r="M656" s="152"/>
      <c r="N656" s="152"/>
      <c r="O656" s="152"/>
      <c r="P656" s="152"/>
      <c r="Q656" s="155"/>
      <c r="R656" s="157"/>
      <c r="S656" s="152"/>
      <c r="T656" s="156"/>
    </row>
    <row r="657" spans="1:20" ht="14.25">
      <c r="A657" s="150"/>
      <c r="B657" s="151"/>
      <c r="C657" s="152"/>
      <c r="D657" s="135"/>
      <c r="E657" s="73"/>
      <c r="F657" s="153"/>
      <c r="G657" s="152"/>
      <c r="H657" s="152"/>
      <c r="I657" s="159"/>
      <c r="J657" s="159"/>
      <c r="K657" s="152"/>
      <c r="L657" s="154"/>
      <c r="M657" s="152"/>
      <c r="N657" s="152"/>
      <c r="O657" s="152"/>
      <c r="P657" s="152"/>
      <c r="Q657" s="155"/>
      <c r="R657" s="157"/>
      <c r="S657" s="152"/>
      <c r="T657" s="156"/>
    </row>
    <row r="658" spans="1:20" ht="14.25">
      <c r="A658" s="150"/>
      <c r="B658" s="151"/>
      <c r="C658" s="152"/>
      <c r="D658" s="135"/>
      <c r="E658" s="73"/>
      <c r="F658" s="153"/>
      <c r="G658" s="152"/>
      <c r="H658" s="152"/>
      <c r="I658" s="159"/>
      <c r="J658" s="159"/>
      <c r="K658" s="152"/>
      <c r="L658" s="154"/>
      <c r="M658" s="152"/>
      <c r="N658" s="152"/>
      <c r="O658" s="152"/>
      <c r="P658" s="152"/>
      <c r="Q658" s="155"/>
      <c r="R658" s="157"/>
      <c r="S658" s="152"/>
      <c r="T658" s="156"/>
    </row>
    <row r="659" spans="1:20" ht="14.25">
      <c r="A659" s="150"/>
      <c r="B659" s="151"/>
      <c r="C659" s="152"/>
      <c r="D659" s="135"/>
      <c r="E659" s="73"/>
      <c r="F659" s="153"/>
      <c r="G659" s="152"/>
      <c r="H659" s="152"/>
      <c r="I659" s="159"/>
      <c r="J659" s="159"/>
      <c r="K659" s="152"/>
      <c r="L659" s="154"/>
      <c r="M659" s="152"/>
      <c r="N659" s="152"/>
      <c r="O659" s="152"/>
      <c r="P659" s="152"/>
      <c r="Q659" s="155"/>
      <c r="R659" s="157"/>
      <c r="S659" s="152"/>
      <c r="T659" s="156"/>
    </row>
    <row r="660" spans="1:20" ht="14.25">
      <c r="A660" s="150"/>
      <c r="B660" s="151"/>
      <c r="C660" s="152"/>
      <c r="D660" s="135"/>
      <c r="E660" s="73"/>
      <c r="F660" s="153"/>
      <c r="G660" s="152"/>
      <c r="H660" s="152"/>
      <c r="I660" s="159"/>
      <c r="J660" s="159"/>
      <c r="K660" s="152"/>
      <c r="L660" s="154"/>
      <c r="M660" s="152"/>
      <c r="N660" s="152"/>
      <c r="O660" s="152"/>
      <c r="P660" s="152"/>
      <c r="Q660" s="155"/>
      <c r="R660" s="157"/>
      <c r="S660" s="152"/>
      <c r="T660" s="156"/>
    </row>
    <row r="661" spans="1:20" ht="14.25">
      <c r="A661" s="150"/>
      <c r="B661" s="151"/>
      <c r="C661" s="152"/>
      <c r="D661" s="135"/>
      <c r="E661" s="73"/>
      <c r="F661" s="153"/>
      <c r="G661" s="152"/>
      <c r="H661" s="152"/>
      <c r="I661" s="159"/>
      <c r="J661" s="159"/>
      <c r="K661" s="152"/>
      <c r="L661" s="154"/>
      <c r="M661" s="152"/>
      <c r="N661" s="152"/>
      <c r="O661" s="152"/>
      <c r="P661" s="152"/>
      <c r="Q661" s="155"/>
      <c r="R661" s="157"/>
      <c r="S661" s="152"/>
      <c r="T661" s="156"/>
    </row>
    <row r="662" spans="1:20" ht="14.25">
      <c r="A662" s="150"/>
      <c r="B662" s="151"/>
      <c r="C662" s="152"/>
      <c r="D662" s="135"/>
      <c r="E662" s="73"/>
      <c r="F662" s="153"/>
      <c r="G662" s="152"/>
      <c r="H662" s="152"/>
      <c r="I662" s="159"/>
      <c r="J662" s="159"/>
      <c r="K662" s="152"/>
      <c r="L662" s="154"/>
      <c r="M662" s="152"/>
      <c r="N662" s="152"/>
      <c r="O662" s="152"/>
      <c r="P662" s="152"/>
      <c r="Q662" s="155"/>
      <c r="R662" s="157"/>
      <c r="S662" s="152"/>
      <c r="T662" s="156"/>
    </row>
    <row r="663" spans="1:20" ht="14.25">
      <c r="A663" s="150"/>
      <c r="B663" s="151"/>
      <c r="C663" s="152"/>
      <c r="D663" s="135"/>
      <c r="E663" s="73"/>
      <c r="F663" s="153"/>
      <c r="G663" s="152"/>
      <c r="H663" s="152"/>
      <c r="I663" s="159"/>
      <c r="J663" s="159"/>
      <c r="K663" s="152"/>
      <c r="L663" s="154"/>
      <c r="M663" s="152"/>
      <c r="N663" s="152"/>
      <c r="O663" s="152"/>
      <c r="P663" s="152"/>
      <c r="Q663" s="155"/>
      <c r="R663" s="157"/>
      <c r="S663" s="152"/>
      <c r="T663" s="156"/>
    </row>
    <row r="664" spans="1:20" ht="14.25">
      <c r="A664" s="150"/>
      <c r="B664" s="151"/>
      <c r="C664" s="152"/>
      <c r="D664" s="135"/>
      <c r="E664" s="73"/>
      <c r="F664" s="153"/>
      <c r="G664" s="152"/>
      <c r="H664" s="152"/>
      <c r="I664" s="159"/>
      <c r="J664" s="159"/>
      <c r="K664" s="152"/>
      <c r="L664" s="154"/>
      <c r="M664" s="152"/>
      <c r="N664" s="152"/>
      <c r="O664" s="152"/>
      <c r="P664" s="152"/>
      <c r="Q664" s="155"/>
      <c r="R664" s="157"/>
      <c r="S664" s="152"/>
      <c r="T664" s="156"/>
    </row>
    <row r="665" spans="1:20" ht="14.25">
      <c r="A665" s="150"/>
      <c r="B665" s="151"/>
      <c r="C665" s="152"/>
      <c r="D665" s="135"/>
      <c r="E665" s="73"/>
      <c r="F665" s="153"/>
      <c r="G665" s="152"/>
      <c r="H665" s="152"/>
      <c r="I665" s="159"/>
      <c r="J665" s="159"/>
      <c r="K665" s="152"/>
      <c r="L665" s="154"/>
      <c r="M665" s="152"/>
      <c r="N665" s="152"/>
      <c r="O665" s="152"/>
      <c r="P665" s="152"/>
      <c r="Q665" s="155"/>
      <c r="R665" s="157"/>
      <c r="S665" s="152"/>
      <c r="T665" s="156"/>
    </row>
    <row r="666" spans="1:20" ht="14.25">
      <c r="A666" s="150"/>
      <c r="B666" s="151"/>
      <c r="C666" s="152"/>
      <c r="D666" s="135"/>
      <c r="E666" s="73"/>
      <c r="F666" s="153"/>
      <c r="G666" s="152"/>
      <c r="H666" s="152"/>
      <c r="I666" s="159"/>
      <c r="J666" s="159"/>
      <c r="K666" s="152"/>
      <c r="L666" s="154"/>
      <c r="M666" s="152"/>
      <c r="N666" s="152"/>
      <c r="O666" s="152"/>
      <c r="P666" s="152"/>
      <c r="Q666" s="155"/>
      <c r="R666" s="157"/>
      <c r="S666" s="152"/>
      <c r="T666" s="156"/>
    </row>
    <row r="667" spans="1:20" ht="14.25">
      <c r="A667" s="150"/>
      <c r="B667" s="151"/>
      <c r="C667" s="152"/>
      <c r="D667" s="135"/>
      <c r="E667" s="73"/>
      <c r="F667" s="153"/>
      <c r="G667" s="152"/>
      <c r="H667" s="152"/>
      <c r="I667" s="159"/>
      <c r="J667" s="159"/>
      <c r="K667" s="152"/>
      <c r="L667" s="154"/>
      <c r="M667" s="152"/>
      <c r="N667" s="152"/>
      <c r="O667" s="152"/>
      <c r="P667" s="152"/>
      <c r="Q667" s="155"/>
      <c r="R667" s="157"/>
      <c r="S667" s="152"/>
      <c r="T667" s="156"/>
    </row>
    <row r="668" spans="1:20" ht="14.25">
      <c r="A668" s="150"/>
      <c r="B668" s="151"/>
      <c r="C668" s="152"/>
      <c r="D668" s="135"/>
      <c r="E668" s="73"/>
      <c r="F668" s="153"/>
      <c r="G668" s="152"/>
      <c r="H668" s="152"/>
      <c r="I668" s="159"/>
      <c r="J668" s="159"/>
      <c r="K668" s="152"/>
      <c r="L668" s="154"/>
      <c r="M668" s="152"/>
      <c r="N668" s="152"/>
      <c r="O668" s="152"/>
      <c r="P668" s="152"/>
      <c r="Q668" s="155"/>
      <c r="R668" s="157"/>
      <c r="S668" s="152"/>
      <c r="T668" s="156"/>
    </row>
    <row r="669" spans="1:20" ht="14.25">
      <c r="A669" s="150"/>
      <c r="B669" s="151"/>
      <c r="C669" s="152"/>
      <c r="D669" s="135"/>
      <c r="E669" s="73"/>
      <c r="F669" s="153"/>
      <c r="G669" s="152"/>
      <c r="H669" s="152"/>
      <c r="I669" s="159"/>
      <c r="J669" s="159"/>
      <c r="K669" s="152"/>
      <c r="L669" s="154"/>
      <c r="M669" s="152"/>
      <c r="N669" s="152"/>
      <c r="O669" s="152"/>
      <c r="P669" s="152"/>
      <c r="Q669" s="155"/>
      <c r="R669" s="157"/>
      <c r="S669" s="152"/>
      <c r="T669" s="156"/>
    </row>
    <row r="670" spans="1:20" ht="14.25">
      <c r="A670" s="150"/>
      <c r="B670" s="151"/>
      <c r="C670" s="152"/>
      <c r="D670" s="135"/>
      <c r="E670" s="73"/>
      <c r="F670" s="153"/>
      <c r="G670" s="152"/>
      <c r="H670" s="152"/>
      <c r="I670" s="159"/>
      <c r="J670" s="159"/>
      <c r="K670" s="152"/>
      <c r="L670" s="154"/>
      <c r="M670" s="152"/>
      <c r="N670" s="152"/>
      <c r="O670" s="152"/>
      <c r="P670" s="152"/>
      <c r="Q670" s="155"/>
      <c r="R670" s="157"/>
      <c r="S670" s="152"/>
      <c r="T670" s="156"/>
    </row>
    <row r="671" spans="1:20" ht="14.25">
      <c r="A671" s="150"/>
      <c r="B671" s="151"/>
      <c r="C671" s="152"/>
      <c r="D671" s="135"/>
      <c r="E671" s="73"/>
      <c r="F671" s="153"/>
      <c r="G671" s="152"/>
      <c r="H671" s="152"/>
      <c r="I671" s="159"/>
      <c r="J671" s="159"/>
      <c r="K671" s="152"/>
      <c r="L671" s="154"/>
      <c r="M671" s="152"/>
      <c r="N671" s="152"/>
      <c r="O671" s="152"/>
      <c r="P671" s="152"/>
      <c r="Q671" s="155"/>
      <c r="R671" s="157"/>
      <c r="S671" s="152"/>
      <c r="T671" s="156"/>
    </row>
    <row r="672" spans="1:20" ht="14.25">
      <c r="A672" s="150"/>
      <c r="B672" s="151"/>
      <c r="C672" s="152"/>
      <c r="D672" s="135"/>
      <c r="E672" s="73"/>
      <c r="F672" s="153"/>
      <c r="G672" s="152"/>
      <c r="H672" s="152"/>
      <c r="I672" s="159"/>
      <c r="J672" s="159"/>
      <c r="K672" s="152"/>
      <c r="L672" s="154"/>
      <c r="M672" s="152"/>
      <c r="N672" s="152"/>
      <c r="O672" s="152"/>
      <c r="P672" s="152"/>
      <c r="Q672" s="155"/>
      <c r="R672" s="157"/>
      <c r="S672" s="152"/>
      <c r="T672" s="156"/>
    </row>
    <row r="673" spans="1:20" ht="14.25">
      <c r="A673" s="150"/>
      <c r="B673" s="151"/>
      <c r="C673" s="152"/>
      <c r="D673" s="135"/>
      <c r="E673" s="73"/>
      <c r="F673" s="153"/>
      <c r="G673" s="152"/>
      <c r="H673" s="152"/>
      <c r="I673" s="159"/>
      <c r="J673" s="159"/>
      <c r="K673" s="152"/>
      <c r="L673" s="154"/>
      <c r="M673" s="152"/>
      <c r="N673" s="152"/>
      <c r="O673" s="152"/>
      <c r="P673" s="152"/>
      <c r="Q673" s="155"/>
      <c r="R673" s="157"/>
      <c r="S673" s="152"/>
      <c r="T673" s="156"/>
    </row>
    <row r="674" spans="1:20" ht="14.25">
      <c r="A674" s="150"/>
      <c r="B674" s="151"/>
      <c r="C674" s="152"/>
      <c r="D674" s="135"/>
      <c r="E674" s="73"/>
      <c r="F674" s="153"/>
      <c r="G674" s="152"/>
      <c r="H674" s="152"/>
      <c r="I674" s="159"/>
      <c r="J674" s="159"/>
      <c r="K674" s="152"/>
      <c r="L674" s="154"/>
      <c r="M674" s="152"/>
      <c r="N674" s="152"/>
      <c r="O674" s="152"/>
      <c r="P674" s="152"/>
      <c r="Q674" s="155"/>
      <c r="R674" s="157"/>
      <c r="S674" s="152"/>
      <c r="T674" s="156"/>
    </row>
    <row r="675" spans="1:20" ht="14.25">
      <c r="A675" s="150"/>
      <c r="B675" s="151"/>
      <c r="C675" s="152"/>
      <c r="D675" s="135"/>
      <c r="E675" s="73"/>
      <c r="F675" s="153"/>
      <c r="G675" s="152"/>
      <c r="H675" s="152"/>
      <c r="I675" s="159"/>
      <c r="J675" s="159"/>
      <c r="K675" s="152"/>
      <c r="L675" s="154"/>
      <c r="M675" s="152"/>
      <c r="N675" s="152"/>
      <c r="O675" s="152"/>
      <c r="P675" s="152"/>
      <c r="Q675" s="155"/>
      <c r="R675" s="157"/>
      <c r="S675" s="152"/>
      <c r="T675" s="156"/>
    </row>
    <row r="676" spans="1:20" ht="14.25">
      <c r="A676" s="150"/>
      <c r="B676" s="151"/>
      <c r="C676" s="152"/>
      <c r="D676" s="135"/>
      <c r="E676" s="73"/>
      <c r="F676" s="153"/>
      <c r="G676" s="152"/>
      <c r="H676" s="152"/>
      <c r="I676" s="159"/>
      <c r="J676" s="159"/>
      <c r="K676" s="152"/>
      <c r="L676" s="154"/>
      <c r="M676" s="152"/>
      <c r="N676" s="152"/>
      <c r="O676" s="152"/>
      <c r="P676" s="152"/>
      <c r="Q676" s="155"/>
      <c r="R676" s="157"/>
      <c r="S676" s="152"/>
      <c r="T676" s="156"/>
    </row>
    <row r="677" spans="1:20" ht="14.25">
      <c r="A677" s="150"/>
      <c r="B677" s="151"/>
      <c r="C677" s="152"/>
      <c r="D677" s="135"/>
      <c r="E677" s="73"/>
      <c r="F677" s="153"/>
      <c r="G677" s="152"/>
      <c r="H677" s="152"/>
      <c r="I677" s="159"/>
      <c r="J677" s="159"/>
      <c r="K677" s="152"/>
      <c r="L677" s="154"/>
      <c r="M677" s="152"/>
      <c r="N677" s="152"/>
      <c r="O677" s="152"/>
      <c r="P677" s="152"/>
      <c r="Q677" s="155"/>
      <c r="R677" s="157"/>
      <c r="S677" s="152"/>
      <c r="T677" s="156"/>
    </row>
    <row r="678" spans="1:20" ht="14.25">
      <c r="A678" s="150"/>
      <c r="B678" s="151"/>
      <c r="C678" s="152"/>
      <c r="D678" s="135"/>
      <c r="E678" s="73"/>
      <c r="F678" s="153"/>
      <c r="G678" s="152"/>
      <c r="H678" s="152"/>
      <c r="I678" s="159"/>
      <c r="J678" s="159"/>
      <c r="K678" s="152"/>
      <c r="L678" s="154"/>
      <c r="M678" s="152"/>
      <c r="N678" s="152"/>
      <c r="O678" s="152"/>
      <c r="P678" s="152"/>
      <c r="Q678" s="155"/>
      <c r="R678" s="157"/>
      <c r="S678" s="152"/>
      <c r="T678" s="156"/>
    </row>
    <row r="679" spans="1:20" ht="14.25">
      <c r="A679" s="150"/>
      <c r="B679" s="151"/>
      <c r="C679" s="152"/>
      <c r="D679" s="135"/>
      <c r="E679" s="73"/>
      <c r="F679" s="153"/>
      <c r="G679" s="152"/>
      <c r="H679" s="152"/>
      <c r="I679" s="159"/>
      <c r="J679" s="159"/>
      <c r="K679" s="152"/>
      <c r="L679" s="154"/>
      <c r="M679" s="152"/>
      <c r="N679" s="152"/>
      <c r="O679" s="152"/>
      <c r="P679" s="152"/>
      <c r="Q679" s="155"/>
      <c r="R679" s="157"/>
      <c r="S679" s="152"/>
      <c r="T679" s="156"/>
    </row>
    <row r="680" spans="1:20" ht="14.25">
      <c r="A680" s="150"/>
      <c r="B680" s="151"/>
      <c r="C680" s="152"/>
      <c r="D680" s="135"/>
      <c r="E680" s="73"/>
      <c r="F680" s="153"/>
      <c r="G680" s="152"/>
      <c r="H680" s="152"/>
      <c r="I680" s="159"/>
      <c r="J680" s="159"/>
      <c r="K680" s="152"/>
      <c r="L680" s="154"/>
      <c r="M680" s="152"/>
      <c r="N680" s="152"/>
      <c r="O680" s="152"/>
      <c r="P680" s="152"/>
      <c r="Q680" s="155"/>
      <c r="R680" s="157"/>
      <c r="S680" s="152"/>
      <c r="T680" s="156"/>
    </row>
    <row r="681" spans="1:20" ht="14.25">
      <c r="A681" s="150"/>
      <c r="B681" s="151"/>
      <c r="C681" s="152"/>
      <c r="D681" s="135"/>
      <c r="E681" s="73"/>
      <c r="F681" s="153"/>
      <c r="G681" s="152"/>
      <c r="H681" s="152"/>
      <c r="I681" s="159"/>
      <c r="J681" s="159"/>
      <c r="K681" s="152"/>
      <c r="L681" s="154"/>
      <c r="M681" s="152"/>
      <c r="N681" s="152"/>
      <c r="O681" s="152"/>
      <c r="P681" s="152"/>
      <c r="Q681" s="155"/>
      <c r="R681" s="157"/>
      <c r="S681" s="152"/>
      <c r="T681" s="156"/>
    </row>
    <row r="682" spans="1:20" ht="14.25">
      <c r="A682" s="150"/>
      <c r="B682" s="151"/>
      <c r="C682" s="152"/>
      <c r="D682" s="135"/>
      <c r="E682" s="73"/>
      <c r="F682" s="153"/>
      <c r="G682" s="152"/>
      <c r="H682" s="152"/>
      <c r="I682" s="159"/>
      <c r="J682" s="159"/>
      <c r="K682" s="152"/>
      <c r="L682" s="154"/>
      <c r="M682" s="152"/>
      <c r="N682" s="152"/>
      <c r="O682" s="152"/>
      <c r="P682" s="152"/>
      <c r="Q682" s="155"/>
      <c r="R682" s="157"/>
      <c r="S682" s="152"/>
      <c r="T682" s="156"/>
    </row>
    <row r="683" spans="1:20" ht="14.25">
      <c r="A683" s="150"/>
      <c r="B683" s="151"/>
      <c r="C683" s="152"/>
      <c r="D683" s="135"/>
      <c r="E683" s="73"/>
      <c r="F683" s="153"/>
      <c r="G683" s="152"/>
      <c r="H683" s="152"/>
      <c r="I683" s="159"/>
      <c r="J683" s="159"/>
      <c r="K683" s="152"/>
      <c r="L683" s="154"/>
      <c r="M683" s="152"/>
      <c r="N683" s="152"/>
      <c r="O683" s="152"/>
      <c r="P683" s="152"/>
      <c r="Q683" s="155"/>
      <c r="R683" s="157"/>
      <c r="S683" s="152"/>
      <c r="T683" s="156"/>
    </row>
    <row r="684" spans="1:20" ht="14.25">
      <c r="A684" s="150"/>
      <c r="B684" s="151"/>
      <c r="C684" s="152"/>
      <c r="D684" s="135"/>
      <c r="E684" s="73"/>
      <c r="F684" s="153"/>
      <c r="G684" s="152"/>
      <c r="H684" s="152"/>
      <c r="I684" s="159"/>
      <c r="J684" s="159"/>
      <c r="K684" s="152"/>
      <c r="L684" s="154"/>
      <c r="M684" s="152"/>
      <c r="N684" s="152"/>
      <c r="O684" s="152"/>
      <c r="P684" s="152"/>
      <c r="Q684" s="155"/>
      <c r="R684" s="157"/>
      <c r="S684" s="152"/>
      <c r="T684" s="156"/>
    </row>
    <row r="685" spans="1:20" ht="14.25">
      <c r="A685" s="150"/>
      <c r="B685" s="151"/>
      <c r="C685" s="152"/>
      <c r="D685" s="135"/>
      <c r="E685" s="73"/>
      <c r="F685" s="153"/>
      <c r="G685" s="152"/>
      <c r="H685" s="152"/>
      <c r="I685" s="159"/>
      <c r="J685" s="159"/>
      <c r="K685" s="152"/>
      <c r="L685" s="154"/>
      <c r="M685" s="152"/>
      <c r="N685" s="152"/>
      <c r="O685" s="152"/>
      <c r="P685" s="152"/>
      <c r="Q685" s="155"/>
      <c r="R685" s="157"/>
      <c r="S685" s="152"/>
      <c r="T685" s="156"/>
    </row>
    <row r="686" spans="1:20" ht="14.25">
      <c r="A686" s="150"/>
      <c r="B686" s="151"/>
      <c r="C686" s="152"/>
      <c r="D686" s="135"/>
      <c r="E686" s="73"/>
      <c r="F686" s="153"/>
      <c r="G686" s="152"/>
      <c r="H686" s="152"/>
      <c r="I686" s="159"/>
      <c r="J686" s="159"/>
      <c r="K686" s="152"/>
      <c r="L686" s="154"/>
      <c r="M686" s="152"/>
      <c r="N686" s="152"/>
      <c r="O686" s="152"/>
      <c r="P686" s="152"/>
      <c r="Q686" s="155"/>
      <c r="R686" s="157"/>
      <c r="S686" s="152"/>
      <c r="T686" s="156"/>
    </row>
    <row r="687" spans="1:20" ht="14.25">
      <c r="A687" s="150"/>
      <c r="B687" s="151"/>
      <c r="C687" s="152"/>
      <c r="D687" s="135"/>
      <c r="E687" s="73"/>
      <c r="F687" s="153"/>
      <c r="G687" s="152"/>
      <c r="H687" s="152"/>
      <c r="I687" s="159"/>
      <c r="J687" s="159"/>
      <c r="K687" s="152"/>
      <c r="L687" s="154"/>
      <c r="M687" s="152"/>
      <c r="N687" s="152"/>
      <c r="O687" s="152"/>
      <c r="P687" s="152"/>
      <c r="Q687" s="155"/>
      <c r="R687" s="157"/>
      <c r="S687" s="152"/>
      <c r="T687" s="156"/>
    </row>
    <row r="688" spans="1:20" ht="14.25">
      <c r="A688" s="150"/>
      <c r="B688" s="151"/>
      <c r="C688" s="152"/>
      <c r="D688" s="135"/>
      <c r="E688" s="73"/>
      <c r="F688" s="153"/>
      <c r="G688" s="152"/>
      <c r="H688" s="152"/>
      <c r="I688" s="159"/>
      <c r="J688" s="159"/>
      <c r="K688" s="152"/>
      <c r="L688" s="154"/>
      <c r="M688" s="152"/>
      <c r="N688" s="152"/>
      <c r="O688" s="152"/>
      <c r="P688" s="152"/>
      <c r="Q688" s="155"/>
      <c r="R688" s="157"/>
      <c r="S688" s="152"/>
      <c r="T688" s="156"/>
    </row>
    <row r="689" spans="1:20" ht="14.25">
      <c r="A689" s="150"/>
      <c r="B689" s="151"/>
      <c r="C689" s="152"/>
      <c r="D689" s="135"/>
      <c r="E689" s="73"/>
      <c r="F689" s="153"/>
      <c r="G689" s="152"/>
      <c r="H689" s="152"/>
      <c r="I689" s="159"/>
      <c r="J689" s="159"/>
      <c r="K689" s="152"/>
      <c r="L689" s="154"/>
      <c r="M689" s="152"/>
      <c r="N689" s="152"/>
      <c r="O689" s="152"/>
      <c r="P689" s="152"/>
      <c r="Q689" s="155"/>
      <c r="R689" s="157"/>
      <c r="S689" s="152"/>
      <c r="T689" s="156"/>
    </row>
    <row r="690" spans="1:20" ht="14.25">
      <c r="A690" s="150"/>
      <c r="B690" s="151"/>
      <c r="C690" s="152"/>
      <c r="D690" s="135"/>
      <c r="E690" s="73"/>
      <c r="F690" s="153"/>
      <c r="G690" s="152"/>
      <c r="H690" s="152"/>
      <c r="I690" s="159"/>
      <c r="J690" s="159"/>
      <c r="K690" s="152"/>
      <c r="L690" s="154"/>
      <c r="M690" s="152"/>
      <c r="N690" s="152"/>
      <c r="O690" s="152"/>
      <c r="P690" s="152"/>
      <c r="Q690" s="155"/>
      <c r="R690" s="157"/>
      <c r="S690" s="152"/>
      <c r="T690" s="156"/>
    </row>
    <row r="691" spans="1:20" ht="14.25">
      <c r="A691" s="150"/>
      <c r="B691" s="151"/>
      <c r="C691" s="152"/>
      <c r="D691" s="135"/>
      <c r="E691" s="73"/>
      <c r="F691" s="153"/>
      <c r="G691" s="152"/>
      <c r="H691" s="152"/>
      <c r="I691" s="159"/>
      <c r="J691" s="159"/>
      <c r="K691" s="152"/>
      <c r="L691" s="154"/>
      <c r="M691" s="152"/>
      <c r="N691" s="152"/>
      <c r="O691" s="152"/>
      <c r="P691" s="152"/>
      <c r="Q691" s="155"/>
      <c r="R691" s="157"/>
      <c r="S691" s="152"/>
      <c r="T691" s="156"/>
    </row>
    <row r="692" spans="1:20" ht="14.25">
      <c r="A692" s="150"/>
      <c r="B692" s="151"/>
      <c r="C692" s="152"/>
      <c r="D692" s="135"/>
      <c r="E692" s="73"/>
      <c r="F692" s="153"/>
      <c r="G692" s="152"/>
      <c r="H692" s="152"/>
      <c r="I692" s="159"/>
      <c r="J692" s="159"/>
      <c r="K692" s="152"/>
      <c r="L692" s="154"/>
      <c r="M692" s="152"/>
      <c r="N692" s="152"/>
      <c r="O692" s="152"/>
      <c r="P692" s="152"/>
      <c r="Q692" s="155"/>
      <c r="R692" s="157"/>
      <c r="S692" s="152"/>
      <c r="T692" s="156"/>
    </row>
    <row r="693" spans="1:20" ht="14.25">
      <c r="A693" s="150"/>
      <c r="B693" s="151"/>
      <c r="C693" s="152"/>
      <c r="D693" s="135"/>
      <c r="E693" s="73"/>
      <c r="F693" s="153"/>
      <c r="G693" s="152"/>
      <c r="H693" s="152"/>
      <c r="I693" s="159"/>
      <c r="J693" s="159"/>
      <c r="K693" s="152"/>
      <c r="L693" s="154"/>
      <c r="M693" s="152"/>
      <c r="N693" s="152"/>
      <c r="O693" s="152"/>
      <c r="P693" s="152"/>
      <c r="Q693" s="155"/>
      <c r="R693" s="157"/>
      <c r="S693" s="152"/>
      <c r="T693" s="156"/>
    </row>
    <row r="694" spans="1:20" ht="14.25">
      <c r="A694" s="150"/>
      <c r="B694" s="151"/>
      <c r="C694" s="152"/>
      <c r="D694" s="135"/>
      <c r="E694" s="73"/>
      <c r="F694" s="153"/>
      <c r="G694" s="152"/>
      <c r="H694" s="152"/>
      <c r="I694" s="159"/>
      <c r="J694" s="159"/>
      <c r="K694" s="152"/>
      <c r="L694" s="154"/>
      <c r="M694" s="152"/>
      <c r="N694" s="152"/>
      <c r="O694" s="152"/>
      <c r="P694" s="152"/>
      <c r="Q694" s="155"/>
      <c r="R694" s="157"/>
      <c r="S694" s="152"/>
      <c r="T694" s="156"/>
    </row>
    <row r="695" spans="1:20" ht="14.25">
      <c r="A695" s="150"/>
      <c r="B695" s="151"/>
      <c r="C695" s="152"/>
      <c r="D695" s="135"/>
      <c r="E695" s="73"/>
      <c r="F695" s="153"/>
      <c r="G695" s="152"/>
      <c r="H695" s="152"/>
      <c r="I695" s="159"/>
      <c r="J695" s="159"/>
      <c r="K695" s="152"/>
      <c r="L695" s="154"/>
      <c r="M695" s="152"/>
      <c r="N695" s="152"/>
      <c r="O695" s="152"/>
      <c r="P695" s="152"/>
      <c r="Q695" s="155"/>
      <c r="R695" s="157"/>
      <c r="S695" s="152"/>
      <c r="T695" s="156"/>
    </row>
    <row r="696" spans="1:20" ht="14.25">
      <c r="A696" s="150"/>
      <c r="B696" s="151"/>
      <c r="C696" s="152"/>
      <c r="D696" s="135"/>
      <c r="E696" s="73"/>
      <c r="F696" s="153"/>
      <c r="G696" s="152"/>
      <c r="H696" s="152"/>
      <c r="I696" s="159"/>
      <c r="J696" s="159"/>
      <c r="K696" s="152"/>
      <c r="L696" s="154"/>
      <c r="M696" s="152"/>
      <c r="N696" s="152"/>
      <c r="O696" s="152"/>
      <c r="P696" s="152"/>
      <c r="Q696" s="155"/>
      <c r="R696" s="157"/>
      <c r="S696" s="152"/>
      <c r="T696" s="156"/>
    </row>
    <row r="697" spans="1:20" ht="14.25">
      <c r="A697" s="150"/>
      <c r="B697" s="151"/>
      <c r="C697" s="152"/>
      <c r="D697" s="135"/>
      <c r="E697" s="73"/>
      <c r="F697" s="153"/>
      <c r="G697" s="152"/>
      <c r="H697" s="152"/>
      <c r="I697" s="159"/>
      <c r="J697" s="159"/>
      <c r="K697" s="152"/>
      <c r="L697" s="154"/>
      <c r="M697" s="152"/>
      <c r="N697" s="152"/>
      <c r="O697" s="152"/>
      <c r="P697" s="152"/>
      <c r="Q697" s="155"/>
      <c r="R697" s="157"/>
      <c r="S697" s="152"/>
      <c r="T697" s="156"/>
    </row>
    <row r="698" spans="1:20" ht="14.25">
      <c r="A698" s="150"/>
      <c r="B698" s="151"/>
      <c r="C698" s="152"/>
      <c r="D698" s="135"/>
      <c r="E698" s="73"/>
      <c r="F698" s="153"/>
      <c r="G698" s="152"/>
      <c r="H698" s="152"/>
      <c r="I698" s="159"/>
      <c r="J698" s="159"/>
      <c r="K698" s="152"/>
      <c r="L698" s="154"/>
      <c r="M698" s="152"/>
      <c r="N698" s="152"/>
      <c r="O698" s="152"/>
      <c r="P698" s="152"/>
      <c r="Q698" s="155"/>
      <c r="R698" s="157"/>
      <c r="S698" s="152"/>
      <c r="T698" s="156"/>
    </row>
    <row r="699" spans="1:20" ht="14.25">
      <c r="A699" s="150"/>
      <c r="B699" s="151"/>
      <c r="C699" s="152"/>
      <c r="D699" s="135"/>
      <c r="E699" s="73"/>
      <c r="F699" s="153"/>
      <c r="G699" s="152"/>
      <c r="H699" s="152"/>
      <c r="I699" s="159"/>
      <c r="J699" s="159"/>
      <c r="K699" s="152"/>
      <c r="L699" s="154"/>
      <c r="M699" s="152"/>
      <c r="N699" s="152"/>
      <c r="O699" s="152"/>
      <c r="P699" s="152"/>
      <c r="Q699" s="155"/>
      <c r="R699" s="157"/>
      <c r="S699" s="152"/>
      <c r="T699" s="156"/>
    </row>
    <row r="700" spans="1:20" ht="14.25">
      <c r="A700" s="150"/>
      <c r="B700" s="151"/>
      <c r="C700" s="152"/>
      <c r="D700" s="135"/>
      <c r="E700" s="73"/>
      <c r="F700" s="153"/>
      <c r="G700" s="152"/>
      <c r="H700" s="152"/>
      <c r="I700" s="159"/>
      <c r="J700" s="159"/>
      <c r="K700" s="152"/>
      <c r="L700" s="154"/>
      <c r="M700" s="152"/>
      <c r="N700" s="152"/>
      <c r="O700" s="152"/>
      <c r="P700" s="152"/>
      <c r="Q700" s="155"/>
      <c r="R700" s="157"/>
      <c r="S700" s="152"/>
      <c r="T700" s="156"/>
    </row>
    <row r="701" spans="1:20" ht="14.25">
      <c r="A701" s="150"/>
      <c r="B701" s="151"/>
      <c r="C701" s="152"/>
      <c r="D701" s="135"/>
      <c r="E701" s="73"/>
      <c r="F701" s="153"/>
      <c r="G701" s="152"/>
      <c r="H701" s="152"/>
      <c r="I701" s="159"/>
      <c r="J701" s="159"/>
      <c r="K701" s="152"/>
      <c r="L701" s="154"/>
      <c r="M701" s="152"/>
      <c r="N701" s="152"/>
      <c r="O701" s="152"/>
      <c r="P701" s="152"/>
      <c r="Q701" s="155"/>
      <c r="R701" s="157"/>
      <c r="S701" s="152"/>
      <c r="T701" s="156"/>
    </row>
    <row r="702" spans="1:20" ht="14.25">
      <c r="A702" s="150"/>
      <c r="B702" s="151"/>
      <c r="C702" s="152"/>
      <c r="D702" s="135"/>
      <c r="E702" s="73"/>
      <c r="F702" s="153"/>
      <c r="G702" s="152"/>
      <c r="H702" s="152"/>
      <c r="I702" s="159"/>
      <c r="J702" s="159"/>
      <c r="K702" s="152"/>
      <c r="L702" s="154"/>
      <c r="M702" s="152"/>
      <c r="N702" s="152"/>
      <c r="O702" s="152"/>
      <c r="P702" s="152"/>
      <c r="Q702" s="155"/>
      <c r="R702" s="157"/>
      <c r="S702" s="152"/>
      <c r="T702" s="156"/>
    </row>
    <row r="703" spans="1:20" ht="14.25">
      <c r="A703" s="150"/>
      <c r="B703" s="151"/>
      <c r="C703" s="152"/>
      <c r="D703" s="135"/>
      <c r="E703" s="73"/>
      <c r="F703" s="153"/>
      <c r="G703" s="152"/>
      <c r="H703" s="152"/>
      <c r="I703" s="159"/>
      <c r="J703" s="159"/>
      <c r="K703" s="152"/>
      <c r="L703" s="154"/>
      <c r="M703" s="152"/>
      <c r="N703" s="152"/>
      <c r="O703" s="152"/>
      <c r="P703" s="152"/>
      <c r="Q703" s="155"/>
      <c r="R703" s="157"/>
      <c r="S703" s="152"/>
      <c r="T703" s="156"/>
    </row>
    <row r="704" spans="1:20" ht="14.25">
      <c r="A704" s="150"/>
      <c r="B704" s="151"/>
      <c r="C704" s="152"/>
      <c r="D704" s="135"/>
      <c r="E704" s="73"/>
      <c r="F704" s="153"/>
      <c r="G704" s="152"/>
      <c r="H704" s="152"/>
      <c r="I704" s="159"/>
      <c r="J704" s="159"/>
      <c r="K704" s="152"/>
      <c r="L704" s="154"/>
      <c r="M704" s="152"/>
      <c r="N704" s="152"/>
      <c r="O704" s="152"/>
      <c r="P704" s="152"/>
      <c r="Q704" s="155"/>
      <c r="R704" s="157"/>
      <c r="S704" s="152"/>
      <c r="T704" s="156"/>
    </row>
    <row r="705" spans="1:20" ht="14.25">
      <c r="A705" s="150"/>
      <c r="B705" s="151"/>
      <c r="C705" s="152"/>
      <c r="D705" s="135"/>
      <c r="E705" s="73"/>
      <c r="F705" s="153"/>
      <c r="G705" s="152"/>
      <c r="H705" s="152"/>
      <c r="I705" s="159"/>
      <c r="J705" s="159"/>
      <c r="K705" s="152"/>
      <c r="L705" s="154"/>
      <c r="M705" s="152"/>
      <c r="N705" s="152"/>
      <c r="O705" s="152"/>
      <c r="P705" s="152"/>
      <c r="Q705" s="155"/>
      <c r="R705" s="157"/>
      <c r="S705" s="152"/>
      <c r="T705" s="156"/>
    </row>
    <row r="706" spans="1:20" ht="14.25">
      <c r="A706" s="150"/>
      <c r="B706" s="151"/>
      <c r="C706" s="152"/>
      <c r="D706" s="135"/>
      <c r="E706" s="73"/>
      <c r="F706" s="153"/>
      <c r="G706" s="152"/>
      <c r="H706" s="152"/>
      <c r="I706" s="159"/>
      <c r="J706" s="159"/>
      <c r="K706" s="152"/>
      <c r="L706" s="154"/>
      <c r="M706" s="152"/>
      <c r="N706" s="152"/>
      <c r="O706" s="152"/>
      <c r="P706" s="152"/>
      <c r="Q706" s="155"/>
      <c r="R706" s="157"/>
      <c r="S706" s="152"/>
      <c r="T706" s="156"/>
    </row>
    <row r="707" spans="1:20" ht="14.25">
      <c r="A707" s="150"/>
      <c r="B707" s="151"/>
      <c r="C707" s="152"/>
      <c r="D707" s="135"/>
      <c r="E707" s="73"/>
      <c r="F707" s="153"/>
      <c r="G707" s="152"/>
      <c r="H707" s="152"/>
      <c r="I707" s="159"/>
      <c r="J707" s="159"/>
      <c r="K707" s="152"/>
      <c r="L707" s="154"/>
      <c r="M707" s="152"/>
      <c r="N707" s="152"/>
      <c r="O707" s="152"/>
      <c r="P707" s="152"/>
      <c r="Q707" s="155"/>
      <c r="R707" s="157"/>
      <c r="S707" s="152"/>
      <c r="T707" s="156"/>
    </row>
    <row r="708" spans="1:20" ht="14.25">
      <c r="A708" s="150"/>
      <c r="B708" s="151"/>
      <c r="C708" s="152"/>
      <c r="D708" s="135"/>
      <c r="E708" s="73"/>
      <c r="F708" s="153"/>
      <c r="G708" s="152"/>
      <c r="H708" s="152"/>
      <c r="I708" s="159"/>
      <c r="J708" s="159"/>
      <c r="K708" s="152"/>
      <c r="L708" s="154"/>
      <c r="M708" s="152"/>
      <c r="N708" s="152"/>
      <c r="O708" s="152"/>
      <c r="P708" s="152"/>
      <c r="Q708" s="155"/>
      <c r="R708" s="157"/>
      <c r="S708" s="152"/>
      <c r="T708" s="156"/>
    </row>
    <row r="709" spans="1:20" ht="14.25">
      <c r="A709" s="150"/>
      <c r="B709" s="151"/>
      <c r="C709" s="152"/>
      <c r="D709" s="135"/>
      <c r="E709" s="73"/>
      <c r="F709" s="153"/>
      <c r="G709" s="152"/>
      <c r="H709" s="152"/>
      <c r="I709" s="159"/>
      <c r="J709" s="159"/>
      <c r="K709" s="152"/>
      <c r="L709" s="154"/>
      <c r="M709" s="152"/>
      <c r="N709" s="152"/>
      <c r="O709" s="152"/>
      <c r="P709" s="152"/>
      <c r="Q709" s="155"/>
      <c r="R709" s="157"/>
      <c r="S709" s="152"/>
      <c r="T709" s="156"/>
    </row>
    <row r="710" spans="1:20" ht="14.25">
      <c r="A710" s="150"/>
      <c r="B710" s="151"/>
      <c r="C710" s="152"/>
      <c r="D710" s="135"/>
      <c r="E710" s="73"/>
      <c r="F710" s="153"/>
      <c r="G710" s="152"/>
      <c r="H710" s="152"/>
      <c r="I710" s="159"/>
      <c r="J710" s="159"/>
      <c r="K710" s="152"/>
      <c r="L710" s="154"/>
      <c r="M710" s="152"/>
      <c r="N710" s="152"/>
      <c r="O710" s="152"/>
      <c r="P710" s="152"/>
      <c r="Q710" s="155"/>
      <c r="R710" s="157"/>
      <c r="S710" s="152"/>
      <c r="T710" s="156"/>
    </row>
    <row r="711" spans="1:20" ht="14.25">
      <c r="A711" s="150"/>
      <c r="B711" s="151"/>
      <c r="C711" s="152"/>
      <c r="D711" s="135"/>
      <c r="E711" s="73"/>
      <c r="F711" s="153"/>
      <c r="G711" s="152"/>
      <c r="H711" s="152"/>
      <c r="I711" s="159"/>
      <c r="J711" s="159"/>
      <c r="K711" s="152"/>
      <c r="L711" s="154"/>
      <c r="M711" s="152"/>
      <c r="N711" s="152"/>
      <c r="O711" s="152"/>
      <c r="P711" s="152"/>
      <c r="Q711" s="155"/>
      <c r="R711" s="157"/>
      <c r="S711" s="152"/>
      <c r="T711" s="156"/>
    </row>
    <row r="712" spans="1:20" ht="14.25">
      <c r="A712" s="150"/>
      <c r="B712" s="151"/>
      <c r="C712" s="152"/>
      <c r="D712" s="135"/>
      <c r="E712" s="73"/>
      <c r="F712" s="153"/>
      <c r="G712" s="152"/>
      <c r="H712" s="152"/>
      <c r="I712" s="159"/>
      <c r="J712" s="159"/>
      <c r="K712" s="152"/>
      <c r="L712" s="154"/>
      <c r="M712" s="152"/>
      <c r="N712" s="152"/>
      <c r="O712" s="152"/>
      <c r="P712" s="152"/>
      <c r="Q712" s="155"/>
      <c r="R712" s="157"/>
      <c r="S712" s="152"/>
      <c r="T712" s="156"/>
    </row>
    <row r="713" spans="1:20" ht="14.25">
      <c r="A713" s="150"/>
      <c r="B713" s="151"/>
      <c r="C713" s="152"/>
      <c r="D713" s="135"/>
      <c r="E713" s="73"/>
      <c r="F713" s="153"/>
      <c r="G713" s="152"/>
      <c r="H713" s="152"/>
      <c r="I713" s="159"/>
      <c r="J713" s="159"/>
      <c r="K713" s="152"/>
      <c r="L713" s="154"/>
      <c r="M713" s="152"/>
      <c r="N713" s="152"/>
      <c r="O713" s="152"/>
      <c r="P713" s="152"/>
      <c r="Q713" s="155"/>
      <c r="R713" s="157"/>
      <c r="S713" s="152"/>
      <c r="T713" s="156"/>
    </row>
    <row r="714" spans="1:20" ht="14.25">
      <c r="A714" s="150"/>
      <c r="B714" s="151"/>
      <c r="C714" s="152"/>
      <c r="D714" s="135"/>
      <c r="E714" s="73"/>
      <c r="F714" s="153"/>
      <c r="G714" s="152"/>
      <c r="H714" s="152"/>
      <c r="I714" s="159"/>
      <c r="J714" s="159"/>
      <c r="K714" s="152"/>
      <c r="L714" s="154"/>
      <c r="M714" s="152"/>
      <c r="N714" s="152"/>
      <c r="O714" s="152"/>
      <c r="P714" s="152"/>
      <c r="Q714" s="155"/>
      <c r="R714" s="157"/>
      <c r="S714" s="152"/>
      <c r="T714" s="156"/>
    </row>
    <row r="715" spans="1:20" ht="14.25">
      <c r="A715" s="150"/>
      <c r="B715" s="151"/>
      <c r="C715" s="152"/>
      <c r="D715" s="135"/>
      <c r="E715" s="73"/>
      <c r="F715" s="153"/>
      <c r="G715" s="152"/>
      <c r="H715" s="152"/>
      <c r="I715" s="159"/>
      <c r="J715" s="159"/>
      <c r="K715" s="152"/>
      <c r="L715" s="154"/>
      <c r="M715" s="152"/>
      <c r="N715" s="152"/>
      <c r="O715" s="152"/>
      <c r="P715" s="152"/>
      <c r="Q715" s="155"/>
      <c r="R715" s="157"/>
      <c r="S715" s="152"/>
      <c r="T715" s="156"/>
    </row>
    <row r="716" spans="1:20" ht="14.25">
      <c r="A716" s="150"/>
      <c r="B716" s="151"/>
      <c r="C716" s="152"/>
      <c r="D716" s="135"/>
      <c r="E716" s="73"/>
      <c r="F716" s="153"/>
      <c r="G716" s="152"/>
      <c r="H716" s="152"/>
      <c r="I716" s="159"/>
      <c r="J716" s="159"/>
      <c r="K716" s="152"/>
      <c r="L716" s="154"/>
      <c r="M716" s="152"/>
      <c r="N716" s="152"/>
      <c r="O716" s="152"/>
      <c r="P716" s="152"/>
      <c r="Q716" s="155"/>
      <c r="R716" s="157"/>
      <c r="S716" s="152"/>
      <c r="T716" s="156"/>
    </row>
    <row r="717" spans="1:20" ht="14.25">
      <c r="A717" s="150"/>
      <c r="B717" s="151"/>
      <c r="C717" s="152"/>
      <c r="D717" s="135"/>
      <c r="E717" s="73"/>
      <c r="F717" s="153"/>
      <c r="G717" s="152"/>
      <c r="H717" s="152"/>
      <c r="I717" s="159"/>
      <c r="J717" s="159"/>
      <c r="K717" s="152"/>
      <c r="L717" s="154"/>
      <c r="M717" s="152"/>
      <c r="N717" s="152"/>
      <c r="O717" s="152"/>
      <c r="P717" s="152"/>
      <c r="Q717" s="155"/>
      <c r="R717" s="157"/>
      <c r="S717" s="152"/>
      <c r="T717" s="156"/>
    </row>
    <row r="718" spans="1:20" ht="14.25">
      <c r="A718" s="150"/>
      <c r="B718" s="151"/>
      <c r="C718" s="152"/>
      <c r="D718" s="135"/>
      <c r="E718" s="73"/>
      <c r="F718" s="153"/>
      <c r="G718" s="152"/>
      <c r="H718" s="152"/>
      <c r="I718" s="159"/>
      <c r="J718" s="159"/>
      <c r="K718" s="152"/>
      <c r="L718" s="154"/>
      <c r="M718" s="152"/>
      <c r="N718" s="152"/>
      <c r="O718" s="152"/>
      <c r="P718" s="152"/>
      <c r="Q718" s="155"/>
      <c r="R718" s="157"/>
      <c r="S718" s="152"/>
      <c r="T718" s="156"/>
    </row>
    <row r="719" spans="1:20" ht="14.25">
      <c r="A719" s="150"/>
      <c r="B719" s="151"/>
      <c r="C719" s="152"/>
      <c r="D719" s="135"/>
      <c r="E719" s="73"/>
      <c r="F719" s="153"/>
      <c r="G719" s="152"/>
      <c r="H719" s="152"/>
      <c r="I719" s="159"/>
      <c r="J719" s="159"/>
      <c r="K719" s="152"/>
      <c r="L719" s="154"/>
      <c r="M719" s="152"/>
      <c r="N719" s="152"/>
      <c r="O719" s="152"/>
      <c r="P719" s="152"/>
      <c r="Q719" s="155"/>
      <c r="R719" s="157"/>
      <c r="S719" s="152"/>
      <c r="T719" s="156"/>
    </row>
    <row r="720" spans="1:20" ht="14.25">
      <c r="A720" s="150"/>
      <c r="B720" s="151"/>
      <c r="C720" s="152"/>
      <c r="D720" s="135"/>
      <c r="E720" s="73"/>
      <c r="F720" s="153"/>
      <c r="G720" s="152"/>
      <c r="H720" s="152"/>
      <c r="I720" s="159"/>
      <c r="J720" s="159"/>
      <c r="K720" s="152"/>
      <c r="L720" s="154"/>
      <c r="M720" s="152"/>
      <c r="N720" s="152"/>
      <c r="O720" s="152"/>
      <c r="P720" s="152"/>
      <c r="Q720" s="155"/>
      <c r="R720" s="157"/>
      <c r="S720" s="152"/>
      <c r="T720" s="156"/>
    </row>
    <row r="721" spans="1:20" ht="14.25">
      <c r="A721" s="150"/>
      <c r="B721" s="151"/>
      <c r="C721" s="152"/>
      <c r="D721" s="135"/>
      <c r="E721" s="73"/>
      <c r="F721" s="153"/>
      <c r="G721" s="152"/>
      <c r="H721" s="152"/>
      <c r="I721" s="159"/>
      <c r="J721" s="159"/>
      <c r="K721" s="152"/>
      <c r="L721" s="154"/>
      <c r="M721" s="152"/>
      <c r="N721" s="152"/>
      <c r="O721" s="152"/>
      <c r="P721" s="152"/>
      <c r="Q721" s="155"/>
      <c r="R721" s="157"/>
      <c r="S721" s="152"/>
      <c r="T721" s="156"/>
    </row>
    <row r="722" spans="1:20" ht="14.25">
      <c r="A722" s="150"/>
      <c r="B722" s="151"/>
      <c r="C722" s="152"/>
      <c r="D722" s="135"/>
      <c r="E722" s="73"/>
      <c r="F722" s="153"/>
      <c r="G722" s="152"/>
      <c r="H722" s="152"/>
      <c r="I722" s="159"/>
      <c r="J722" s="159"/>
      <c r="K722" s="152"/>
      <c r="L722" s="154"/>
      <c r="M722" s="152"/>
      <c r="N722" s="152"/>
      <c r="O722" s="152"/>
      <c r="P722" s="152"/>
      <c r="Q722" s="155"/>
      <c r="R722" s="157"/>
      <c r="S722" s="152"/>
      <c r="T722" s="156"/>
    </row>
    <row r="723" spans="1:20" ht="14.25">
      <c r="A723" s="150"/>
      <c r="B723" s="151"/>
      <c r="C723" s="152"/>
      <c r="D723" s="135"/>
      <c r="E723" s="73"/>
      <c r="F723" s="153"/>
      <c r="G723" s="152"/>
      <c r="H723" s="152"/>
      <c r="I723" s="159"/>
      <c r="J723" s="159"/>
      <c r="K723" s="152"/>
      <c r="L723" s="154"/>
      <c r="M723" s="152"/>
      <c r="N723" s="152"/>
      <c r="O723" s="152"/>
      <c r="P723" s="152"/>
      <c r="Q723" s="155"/>
      <c r="R723" s="157"/>
      <c r="S723" s="152"/>
      <c r="T723" s="156"/>
    </row>
    <row r="724" spans="1:20" ht="14.25">
      <c r="A724" s="150"/>
      <c r="B724" s="151"/>
      <c r="C724" s="152"/>
      <c r="D724" s="135"/>
      <c r="E724" s="73"/>
      <c r="F724" s="153"/>
      <c r="G724" s="152"/>
      <c r="H724" s="152"/>
      <c r="I724" s="159"/>
      <c r="J724" s="159"/>
      <c r="K724" s="152"/>
      <c r="L724" s="154"/>
      <c r="M724" s="152"/>
      <c r="N724" s="152"/>
      <c r="O724" s="152"/>
      <c r="P724" s="152"/>
      <c r="Q724" s="155"/>
      <c r="R724" s="157"/>
      <c r="S724" s="152"/>
      <c r="T724" s="156"/>
    </row>
    <row r="725" spans="1:20" ht="14.25">
      <c r="A725" s="150"/>
      <c r="B725" s="151"/>
      <c r="C725" s="152"/>
      <c r="D725" s="135"/>
      <c r="E725" s="73"/>
      <c r="F725" s="153"/>
      <c r="G725" s="152"/>
      <c r="H725" s="152"/>
      <c r="I725" s="159"/>
      <c r="J725" s="159"/>
      <c r="K725" s="152"/>
      <c r="L725" s="154"/>
      <c r="M725" s="152"/>
      <c r="N725" s="152"/>
      <c r="O725" s="152"/>
      <c r="P725" s="152"/>
      <c r="Q725" s="155"/>
      <c r="R725" s="157"/>
      <c r="S725" s="152"/>
      <c r="T725" s="156"/>
    </row>
    <row r="726" spans="1:20" ht="14.25">
      <c r="A726" s="150"/>
      <c r="B726" s="151"/>
      <c r="C726" s="152"/>
      <c r="D726" s="135"/>
      <c r="E726" s="73"/>
      <c r="F726" s="153"/>
      <c r="G726" s="152"/>
      <c r="H726" s="152"/>
      <c r="I726" s="159"/>
      <c r="J726" s="159"/>
      <c r="K726" s="152"/>
      <c r="L726" s="154"/>
      <c r="M726" s="152"/>
      <c r="N726" s="152"/>
      <c r="O726" s="152"/>
      <c r="P726" s="152"/>
      <c r="Q726" s="155"/>
      <c r="R726" s="157"/>
      <c r="S726" s="152"/>
      <c r="T726" s="156"/>
    </row>
    <row r="727" spans="1:20" ht="14.25">
      <c r="A727" s="150"/>
      <c r="B727" s="151"/>
      <c r="C727" s="152"/>
      <c r="D727" s="135"/>
      <c r="E727" s="73"/>
      <c r="F727" s="153"/>
      <c r="G727" s="152"/>
      <c r="H727" s="152"/>
      <c r="I727" s="159"/>
      <c r="J727" s="159"/>
      <c r="K727" s="152"/>
      <c r="L727" s="154"/>
      <c r="M727" s="152"/>
      <c r="N727" s="152"/>
      <c r="O727" s="152"/>
      <c r="P727" s="152"/>
      <c r="Q727" s="155"/>
      <c r="R727" s="157"/>
      <c r="S727" s="152"/>
      <c r="T727" s="156"/>
    </row>
    <row r="728" spans="1:20" ht="14.25">
      <c r="A728" s="150"/>
      <c r="B728" s="151"/>
      <c r="C728" s="152"/>
      <c r="D728" s="135"/>
      <c r="E728" s="73"/>
      <c r="F728" s="153"/>
      <c r="G728" s="152"/>
      <c r="H728" s="152"/>
      <c r="I728" s="159"/>
      <c r="J728" s="159"/>
      <c r="K728" s="152"/>
      <c r="L728" s="154"/>
      <c r="M728" s="152"/>
      <c r="N728" s="152"/>
      <c r="O728" s="152"/>
      <c r="P728" s="152"/>
      <c r="Q728" s="155"/>
      <c r="R728" s="157"/>
      <c r="S728" s="152"/>
      <c r="T728" s="156"/>
    </row>
    <row r="729" spans="1:20" ht="14.25">
      <c r="A729" s="150"/>
      <c r="B729" s="151"/>
      <c r="C729" s="152"/>
      <c r="D729" s="135"/>
      <c r="E729" s="73"/>
      <c r="F729" s="153"/>
      <c r="G729" s="152"/>
      <c r="H729" s="152"/>
      <c r="I729" s="159"/>
      <c r="J729" s="159"/>
      <c r="K729" s="152"/>
      <c r="L729" s="154"/>
      <c r="M729" s="152"/>
      <c r="N729" s="152"/>
      <c r="O729" s="152"/>
      <c r="P729" s="152"/>
      <c r="Q729" s="155"/>
      <c r="R729" s="157"/>
      <c r="S729" s="152"/>
      <c r="T729" s="156"/>
    </row>
    <row r="730" spans="1:20" ht="14.25">
      <c r="A730" s="150"/>
      <c r="B730" s="151"/>
      <c r="C730" s="152"/>
      <c r="D730" s="135"/>
      <c r="E730" s="73"/>
      <c r="F730" s="153"/>
      <c r="G730" s="152"/>
      <c r="H730" s="152"/>
      <c r="I730" s="159"/>
      <c r="J730" s="159"/>
      <c r="K730" s="152"/>
      <c r="L730" s="154"/>
      <c r="M730" s="152"/>
      <c r="N730" s="152"/>
      <c r="O730" s="152"/>
      <c r="P730" s="152"/>
      <c r="Q730" s="155"/>
      <c r="R730" s="157"/>
      <c r="S730" s="152"/>
      <c r="T730" s="156"/>
    </row>
    <row r="731" spans="1:20" ht="14.25">
      <c r="A731" s="150"/>
      <c r="B731" s="151"/>
      <c r="C731" s="152"/>
      <c r="D731" s="135"/>
      <c r="E731" s="73"/>
      <c r="F731" s="153"/>
      <c r="G731" s="152"/>
      <c r="H731" s="152"/>
      <c r="I731" s="159"/>
      <c r="J731" s="159"/>
      <c r="K731" s="152"/>
      <c r="L731" s="154"/>
      <c r="M731" s="152"/>
      <c r="N731" s="152"/>
      <c r="O731" s="152"/>
      <c r="P731" s="152"/>
      <c r="Q731" s="155"/>
      <c r="R731" s="157"/>
      <c r="S731" s="152"/>
      <c r="T731" s="156"/>
    </row>
    <row r="732" spans="1:20" ht="14.25">
      <c r="A732" s="150"/>
      <c r="B732" s="151"/>
      <c r="C732" s="152"/>
      <c r="D732" s="135"/>
      <c r="E732" s="73"/>
      <c r="F732" s="153"/>
      <c r="G732" s="152"/>
      <c r="H732" s="152"/>
      <c r="I732" s="159"/>
      <c r="J732" s="159"/>
      <c r="K732" s="152"/>
      <c r="L732" s="154"/>
      <c r="M732" s="152"/>
      <c r="N732" s="152"/>
      <c r="O732" s="152"/>
      <c r="P732" s="152"/>
      <c r="Q732" s="155"/>
      <c r="R732" s="157"/>
      <c r="S732" s="152"/>
      <c r="T732" s="156"/>
    </row>
    <row r="733" spans="1:20" ht="14.25">
      <c r="A733" s="150"/>
      <c r="B733" s="151"/>
      <c r="C733" s="152"/>
      <c r="D733" s="135"/>
      <c r="E733" s="73"/>
      <c r="F733" s="153"/>
      <c r="G733" s="152"/>
      <c r="H733" s="152"/>
      <c r="I733" s="159"/>
      <c r="J733" s="159"/>
      <c r="K733" s="152"/>
      <c r="L733" s="154"/>
      <c r="M733" s="152"/>
      <c r="N733" s="152"/>
      <c r="O733" s="152"/>
      <c r="P733" s="152"/>
      <c r="Q733" s="155"/>
      <c r="R733" s="157"/>
      <c r="S733" s="152"/>
      <c r="T733" s="156"/>
    </row>
    <row r="734" spans="1:20" ht="14.25">
      <c r="A734" s="150"/>
      <c r="B734" s="151"/>
      <c r="C734" s="152"/>
      <c r="D734" s="135"/>
      <c r="E734" s="73"/>
      <c r="F734" s="153"/>
      <c r="G734" s="152"/>
      <c r="H734" s="152"/>
      <c r="I734" s="159"/>
      <c r="J734" s="159"/>
      <c r="K734" s="152"/>
      <c r="L734" s="154"/>
      <c r="M734" s="152"/>
      <c r="N734" s="152"/>
      <c r="O734" s="152"/>
      <c r="P734" s="152"/>
      <c r="Q734" s="155"/>
      <c r="R734" s="157"/>
      <c r="S734" s="152"/>
      <c r="T734" s="156"/>
    </row>
    <row r="735" spans="1:20" ht="14.25">
      <c r="A735" s="150"/>
      <c r="B735" s="151"/>
      <c r="C735" s="152"/>
      <c r="D735" s="135"/>
      <c r="E735" s="73"/>
      <c r="F735" s="153"/>
      <c r="G735" s="152"/>
      <c r="H735" s="152"/>
      <c r="I735" s="159"/>
      <c r="J735" s="159"/>
      <c r="K735" s="152"/>
      <c r="L735" s="154"/>
      <c r="M735" s="152"/>
      <c r="N735" s="152"/>
      <c r="O735" s="152"/>
      <c r="P735" s="152"/>
      <c r="Q735" s="155"/>
      <c r="R735" s="157"/>
      <c r="S735" s="152"/>
      <c r="T735" s="156"/>
    </row>
    <row r="736" spans="1:20" ht="14.25">
      <c r="A736" s="150"/>
      <c r="B736" s="151"/>
      <c r="C736" s="152"/>
      <c r="D736" s="135"/>
      <c r="E736" s="73"/>
      <c r="F736" s="153"/>
      <c r="G736" s="152"/>
      <c r="H736" s="152"/>
      <c r="I736" s="159"/>
      <c r="J736" s="159"/>
      <c r="K736" s="152"/>
      <c r="L736" s="154"/>
      <c r="M736" s="152"/>
      <c r="N736" s="152"/>
      <c r="O736" s="152"/>
      <c r="P736" s="152"/>
      <c r="Q736" s="155"/>
      <c r="R736" s="157"/>
      <c r="S736" s="152"/>
      <c r="T736" s="156"/>
    </row>
    <row r="737" spans="1:20" ht="14.25">
      <c r="A737" s="150"/>
      <c r="B737" s="151"/>
      <c r="C737" s="152"/>
      <c r="D737" s="135"/>
      <c r="E737" s="73"/>
      <c r="F737" s="153"/>
      <c r="G737" s="152"/>
      <c r="H737" s="152"/>
      <c r="I737" s="159"/>
      <c r="J737" s="159"/>
      <c r="K737" s="152"/>
      <c r="L737" s="154"/>
      <c r="M737" s="152"/>
      <c r="N737" s="152"/>
      <c r="O737" s="152"/>
      <c r="P737" s="152"/>
      <c r="Q737" s="155"/>
      <c r="R737" s="157"/>
      <c r="S737" s="152"/>
      <c r="T737" s="156"/>
    </row>
    <row r="738" spans="1:20" ht="14.25">
      <c r="A738" s="150"/>
      <c r="B738" s="151"/>
      <c r="C738" s="152"/>
      <c r="D738" s="135"/>
      <c r="E738" s="73"/>
      <c r="F738" s="153"/>
      <c r="G738" s="152"/>
      <c r="H738" s="152"/>
      <c r="I738" s="159"/>
      <c r="J738" s="159"/>
      <c r="K738" s="152"/>
      <c r="L738" s="154"/>
      <c r="M738" s="152"/>
      <c r="N738" s="152"/>
      <c r="O738" s="152"/>
      <c r="P738" s="152"/>
      <c r="Q738" s="155"/>
      <c r="R738" s="157"/>
      <c r="S738" s="152"/>
      <c r="T738" s="156"/>
    </row>
    <row r="739" spans="1:20" ht="14.25">
      <c r="A739" s="150"/>
      <c r="B739" s="151"/>
      <c r="C739" s="152"/>
      <c r="D739" s="135"/>
      <c r="E739" s="73"/>
      <c r="F739" s="153"/>
      <c r="G739" s="152"/>
      <c r="H739" s="152"/>
      <c r="I739" s="159"/>
      <c r="J739" s="159"/>
      <c r="K739" s="152"/>
      <c r="L739" s="154"/>
      <c r="M739" s="152"/>
      <c r="N739" s="152"/>
      <c r="O739" s="152"/>
      <c r="P739" s="152"/>
      <c r="Q739" s="155"/>
      <c r="R739" s="157"/>
      <c r="S739" s="152"/>
      <c r="T739" s="156"/>
    </row>
    <row r="740" spans="1:20" ht="14.25">
      <c r="A740" s="150"/>
      <c r="B740" s="151"/>
      <c r="C740" s="152"/>
      <c r="D740" s="135"/>
      <c r="E740" s="73"/>
      <c r="F740" s="153"/>
      <c r="G740" s="152"/>
      <c r="H740" s="152"/>
      <c r="I740" s="159"/>
      <c r="J740" s="159"/>
      <c r="K740" s="152"/>
      <c r="L740" s="154"/>
      <c r="M740" s="152"/>
      <c r="N740" s="152"/>
      <c r="O740" s="152"/>
      <c r="P740" s="152"/>
      <c r="Q740" s="155"/>
      <c r="R740" s="157"/>
      <c r="S740" s="152"/>
      <c r="T740" s="156"/>
    </row>
    <row r="741" spans="1:20" ht="14.25">
      <c r="A741" s="150"/>
      <c r="B741" s="151"/>
      <c r="C741" s="152"/>
      <c r="D741" s="135"/>
      <c r="E741" s="73"/>
      <c r="F741" s="153"/>
      <c r="G741" s="152"/>
      <c r="H741" s="152"/>
      <c r="I741" s="159"/>
      <c r="J741" s="159"/>
      <c r="K741" s="152"/>
      <c r="L741" s="154"/>
      <c r="M741" s="152"/>
      <c r="N741" s="152"/>
      <c r="O741" s="152"/>
      <c r="P741" s="152"/>
      <c r="Q741" s="155"/>
      <c r="R741" s="157"/>
      <c r="S741" s="152"/>
      <c r="T741" s="156"/>
    </row>
    <row r="742" spans="1:20" ht="14.25">
      <c r="A742" s="150"/>
      <c r="B742" s="151"/>
      <c r="C742" s="152"/>
      <c r="D742" s="135"/>
      <c r="E742" s="73"/>
      <c r="F742" s="153"/>
      <c r="G742" s="152"/>
      <c r="H742" s="152"/>
      <c r="I742" s="159"/>
      <c r="J742" s="159"/>
      <c r="K742" s="152"/>
      <c r="L742" s="154"/>
      <c r="M742" s="152"/>
      <c r="N742" s="152"/>
      <c r="O742" s="152"/>
      <c r="P742" s="152"/>
      <c r="Q742" s="155"/>
      <c r="R742" s="157"/>
      <c r="S742" s="152"/>
      <c r="T742" s="156"/>
    </row>
    <row r="743" spans="1:20" ht="14.25">
      <c r="A743" s="150"/>
      <c r="B743" s="151"/>
      <c r="C743" s="152"/>
      <c r="D743" s="135"/>
      <c r="E743" s="73"/>
      <c r="F743" s="153"/>
      <c r="G743" s="152"/>
      <c r="H743" s="152"/>
      <c r="I743" s="159"/>
      <c r="J743" s="159"/>
      <c r="K743" s="152"/>
      <c r="L743" s="154"/>
      <c r="M743" s="152"/>
      <c r="N743" s="152"/>
      <c r="O743" s="152"/>
      <c r="P743" s="152"/>
      <c r="Q743" s="155"/>
      <c r="R743" s="157"/>
      <c r="S743" s="152"/>
      <c r="T743" s="156"/>
    </row>
    <row r="744" spans="1:20" ht="14.25">
      <c r="A744" s="150"/>
      <c r="B744" s="151"/>
      <c r="C744" s="152"/>
      <c r="D744" s="135"/>
      <c r="E744" s="73"/>
      <c r="F744" s="153"/>
      <c r="G744" s="152"/>
      <c r="H744" s="152"/>
      <c r="I744" s="159"/>
      <c r="J744" s="159"/>
      <c r="K744" s="152"/>
      <c r="L744" s="154"/>
      <c r="M744" s="152"/>
      <c r="N744" s="152"/>
      <c r="O744" s="152"/>
      <c r="P744" s="152"/>
      <c r="Q744" s="155"/>
      <c r="R744" s="157"/>
      <c r="S744" s="152"/>
      <c r="T744" s="156"/>
    </row>
    <row r="745" spans="1:20" ht="14.25">
      <c r="A745" s="150"/>
      <c r="B745" s="151"/>
      <c r="C745" s="152"/>
      <c r="D745" s="135"/>
      <c r="E745" s="73"/>
      <c r="F745" s="153"/>
      <c r="G745" s="152"/>
      <c r="H745" s="152"/>
      <c r="I745" s="159"/>
      <c r="J745" s="159"/>
      <c r="K745" s="152"/>
      <c r="L745" s="154"/>
      <c r="M745" s="152"/>
      <c r="N745" s="152"/>
      <c r="O745" s="152"/>
      <c r="P745" s="152"/>
      <c r="Q745" s="155"/>
      <c r="R745" s="157"/>
      <c r="S745" s="152"/>
      <c r="T745" s="156"/>
    </row>
    <row r="746" spans="1:20" ht="14.25">
      <c r="A746" s="150"/>
      <c r="B746" s="151"/>
      <c r="C746" s="152"/>
      <c r="D746" s="135"/>
      <c r="E746" s="73"/>
      <c r="F746" s="153"/>
      <c r="G746" s="152"/>
      <c r="H746" s="152"/>
      <c r="I746" s="159"/>
      <c r="J746" s="159"/>
      <c r="K746" s="152"/>
      <c r="L746" s="154"/>
      <c r="M746" s="152"/>
      <c r="N746" s="152"/>
      <c r="O746" s="152"/>
      <c r="P746" s="152"/>
      <c r="Q746" s="155"/>
      <c r="R746" s="157"/>
      <c r="S746" s="152"/>
      <c r="T746" s="156"/>
    </row>
    <row r="747" spans="1:20" ht="14.25">
      <c r="A747" s="150"/>
      <c r="B747" s="151"/>
      <c r="C747" s="152"/>
      <c r="D747" s="135"/>
      <c r="E747" s="73"/>
      <c r="F747" s="153"/>
      <c r="G747" s="152"/>
      <c r="H747" s="152"/>
      <c r="I747" s="159"/>
      <c r="J747" s="159"/>
      <c r="K747" s="152"/>
      <c r="L747" s="154"/>
      <c r="M747" s="152"/>
      <c r="N747" s="152"/>
      <c r="O747" s="152"/>
      <c r="P747" s="152"/>
      <c r="Q747" s="155"/>
      <c r="R747" s="157"/>
      <c r="S747" s="152"/>
      <c r="T747" s="156"/>
    </row>
    <row r="748" spans="1:20" ht="14.25">
      <c r="A748" s="150"/>
      <c r="B748" s="151"/>
      <c r="C748" s="152"/>
      <c r="D748" s="135"/>
      <c r="E748" s="73"/>
      <c r="F748" s="153"/>
      <c r="G748" s="152"/>
      <c r="H748" s="152"/>
      <c r="I748" s="159"/>
      <c r="J748" s="159"/>
      <c r="K748" s="152"/>
      <c r="L748" s="154"/>
      <c r="M748" s="152"/>
      <c r="N748" s="152"/>
      <c r="O748" s="152"/>
      <c r="P748" s="152"/>
      <c r="Q748" s="155"/>
      <c r="R748" s="157"/>
      <c r="S748" s="152"/>
      <c r="T748" s="156"/>
    </row>
    <row r="749" spans="1:20" ht="14.25">
      <c r="A749" s="150"/>
      <c r="B749" s="151"/>
      <c r="C749" s="152"/>
      <c r="D749" s="135"/>
      <c r="E749" s="73"/>
      <c r="F749" s="153"/>
      <c r="G749" s="152"/>
      <c r="H749" s="152"/>
      <c r="I749" s="159"/>
      <c r="J749" s="159"/>
      <c r="K749" s="152"/>
      <c r="L749" s="154"/>
      <c r="M749" s="152"/>
      <c r="N749" s="152"/>
      <c r="O749" s="152"/>
      <c r="P749" s="152"/>
      <c r="Q749" s="155"/>
      <c r="R749" s="157"/>
      <c r="S749" s="152"/>
      <c r="T749" s="156"/>
    </row>
    <row r="750" spans="1:20" ht="14.25">
      <c r="A750" s="150"/>
      <c r="B750" s="151"/>
      <c r="C750" s="152"/>
      <c r="D750" s="135"/>
      <c r="E750" s="73"/>
      <c r="F750" s="153"/>
      <c r="G750" s="152"/>
      <c r="H750" s="152"/>
      <c r="I750" s="159"/>
      <c r="J750" s="159"/>
      <c r="K750" s="152"/>
      <c r="L750" s="154"/>
      <c r="M750" s="152"/>
      <c r="N750" s="152"/>
      <c r="O750" s="152"/>
      <c r="P750" s="152"/>
      <c r="Q750" s="155"/>
      <c r="R750" s="157"/>
      <c r="S750" s="152"/>
      <c r="T750" s="156"/>
    </row>
    <row r="751" spans="1:20" ht="14.25">
      <c r="A751" s="150"/>
      <c r="B751" s="151"/>
      <c r="C751" s="152"/>
      <c r="D751" s="135"/>
      <c r="E751" s="73"/>
      <c r="F751" s="153"/>
      <c r="G751" s="152"/>
      <c r="H751" s="152"/>
      <c r="I751" s="159"/>
      <c r="J751" s="159"/>
      <c r="K751" s="152"/>
      <c r="L751" s="154"/>
      <c r="M751" s="152"/>
      <c r="N751" s="152"/>
      <c r="O751" s="152"/>
      <c r="P751" s="152"/>
      <c r="Q751" s="155"/>
      <c r="R751" s="157"/>
      <c r="S751" s="152"/>
      <c r="T751" s="156"/>
    </row>
    <row r="752" spans="1:20" ht="14.25">
      <c r="A752" s="150"/>
      <c r="B752" s="151"/>
      <c r="C752" s="152"/>
      <c r="D752" s="135"/>
      <c r="E752" s="73"/>
      <c r="F752" s="153"/>
      <c r="G752" s="152"/>
      <c r="H752" s="152"/>
      <c r="I752" s="159"/>
      <c r="J752" s="159"/>
      <c r="K752" s="152"/>
      <c r="L752" s="154"/>
      <c r="M752" s="152"/>
      <c r="N752" s="152"/>
      <c r="O752" s="152"/>
      <c r="P752" s="152"/>
      <c r="Q752" s="155"/>
      <c r="R752" s="157"/>
      <c r="S752" s="152"/>
      <c r="T752" s="156"/>
    </row>
    <row r="753" spans="1:20" ht="14.25">
      <c r="A753" s="150"/>
      <c r="B753" s="151"/>
      <c r="C753" s="152"/>
      <c r="D753" s="135"/>
      <c r="E753" s="73"/>
      <c r="F753" s="153"/>
      <c r="G753" s="152"/>
      <c r="H753" s="152"/>
      <c r="I753" s="159"/>
      <c r="J753" s="159"/>
      <c r="K753" s="152"/>
      <c r="L753" s="154"/>
      <c r="M753" s="152"/>
      <c r="N753" s="152"/>
      <c r="O753" s="152"/>
      <c r="P753" s="152"/>
      <c r="Q753" s="155"/>
      <c r="R753" s="157"/>
      <c r="S753" s="152"/>
      <c r="T753" s="156"/>
    </row>
    <row r="754" spans="1:20" ht="14.25">
      <c r="A754" s="150"/>
      <c r="B754" s="151"/>
      <c r="C754" s="152"/>
      <c r="D754" s="135"/>
      <c r="E754" s="73"/>
      <c r="F754" s="153"/>
      <c r="G754" s="152"/>
      <c r="H754" s="152"/>
      <c r="I754" s="159"/>
      <c r="J754" s="159"/>
      <c r="K754" s="152"/>
      <c r="L754" s="154"/>
      <c r="M754" s="152"/>
      <c r="N754" s="152"/>
      <c r="O754" s="152"/>
      <c r="P754" s="152"/>
      <c r="Q754" s="155"/>
      <c r="R754" s="157"/>
      <c r="S754" s="152"/>
      <c r="T754" s="156"/>
    </row>
    <row r="755" spans="1:20" ht="14.25">
      <c r="A755" s="150"/>
      <c r="B755" s="151"/>
      <c r="C755" s="152"/>
      <c r="D755" s="135"/>
      <c r="E755" s="73"/>
      <c r="F755" s="153"/>
      <c r="G755" s="152"/>
      <c r="H755" s="152"/>
      <c r="I755" s="159"/>
      <c r="J755" s="159"/>
      <c r="K755" s="152"/>
      <c r="L755" s="154"/>
      <c r="M755" s="152"/>
      <c r="N755" s="152"/>
      <c r="O755" s="152"/>
      <c r="P755" s="152"/>
      <c r="Q755" s="155"/>
      <c r="R755" s="157"/>
      <c r="S755" s="152"/>
      <c r="T755" s="156"/>
    </row>
    <row r="756" spans="1:20" ht="14.25">
      <c r="A756" s="150"/>
      <c r="B756" s="151"/>
      <c r="C756" s="152"/>
      <c r="D756" s="135"/>
      <c r="E756" s="73"/>
      <c r="F756" s="153"/>
      <c r="G756" s="152"/>
      <c r="H756" s="152"/>
      <c r="I756" s="159"/>
      <c r="J756" s="159"/>
      <c r="K756" s="152"/>
      <c r="L756" s="154"/>
      <c r="M756" s="152"/>
      <c r="N756" s="152"/>
      <c r="O756" s="152"/>
      <c r="P756" s="152"/>
      <c r="Q756" s="155"/>
      <c r="R756" s="157"/>
      <c r="S756" s="152"/>
      <c r="T756" s="156"/>
    </row>
    <row r="757" spans="1:20" ht="14.25">
      <c r="A757" s="150"/>
      <c r="B757" s="151"/>
      <c r="C757" s="152"/>
      <c r="D757" s="135"/>
      <c r="E757" s="73"/>
      <c r="F757" s="153"/>
      <c r="G757" s="152"/>
      <c r="H757" s="152"/>
      <c r="I757" s="159"/>
      <c r="J757" s="159"/>
      <c r="K757" s="152"/>
      <c r="L757" s="154"/>
      <c r="M757" s="152"/>
      <c r="N757" s="152"/>
      <c r="O757" s="152"/>
      <c r="P757" s="152"/>
      <c r="Q757" s="155"/>
      <c r="R757" s="157"/>
      <c r="S757" s="152"/>
      <c r="T757" s="156"/>
    </row>
    <row r="758" spans="1:20" ht="14.25">
      <c r="A758" s="150"/>
      <c r="B758" s="151"/>
      <c r="C758" s="152"/>
      <c r="D758" s="135"/>
      <c r="E758" s="73"/>
      <c r="F758" s="153"/>
      <c r="G758" s="152"/>
      <c r="H758" s="152"/>
      <c r="I758" s="159"/>
      <c r="J758" s="159"/>
      <c r="K758" s="152"/>
      <c r="L758" s="154"/>
      <c r="M758" s="152"/>
      <c r="N758" s="152"/>
      <c r="O758" s="152"/>
      <c r="P758" s="152"/>
      <c r="Q758" s="155"/>
      <c r="R758" s="157"/>
      <c r="S758" s="152"/>
      <c r="T758" s="156"/>
    </row>
    <row r="759" spans="1:20" ht="14.25">
      <c r="A759" s="150"/>
      <c r="B759" s="151"/>
      <c r="C759" s="152"/>
      <c r="D759" s="135"/>
      <c r="E759" s="73"/>
      <c r="F759" s="153"/>
      <c r="G759" s="152"/>
      <c r="H759" s="152"/>
      <c r="I759" s="159"/>
      <c r="J759" s="159"/>
      <c r="K759" s="152"/>
      <c r="L759" s="154"/>
      <c r="M759" s="152"/>
      <c r="N759" s="152"/>
      <c r="O759" s="152"/>
      <c r="P759" s="152"/>
      <c r="Q759" s="155"/>
      <c r="R759" s="157"/>
      <c r="S759" s="152"/>
      <c r="T759" s="156"/>
    </row>
    <row r="760" spans="1:20" ht="14.25">
      <c r="A760" s="150"/>
      <c r="B760" s="151"/>
      <c r="C760" s="152"/>
      <c r="D760" s="135"/>
      <c r="E760" s="73"/>
      <c r="F760" s="153"/>
      <c r="G760" s="152"/>
      <c r="H760" s="152"/>
      <c r="I760" s="159"/>
      <c r="J760" s="159"/>
      <c r="K760" s="152"/>
      <c r="L760" s="154"/>
      <c r="M760" s="152"/>
      <c r="N760" s="152"/>
      <c r="O760" s="152"/>
      <c r="P760" s="152"/>
      <c r="Q760" s="155"/>
      <c r="R760" s="157"/>
      <c r="S760" s="152"/>
      <c r="T760" s="156"/>
    </row>
    <row r="761" spans="1:20" ht="14.25">
      <c r="A761" s="150"/>
      <c r="B761" s="151"/>
      <c r="C761" s="152"/>
      <c r="D761" s="135"/>
      <c r="E761" s="73"/>
      <c r="F761" s="153"/>
      <c r="G761" s="152"/>
      <c r="H761" s="152"/>
      <c r="I761" s="159"/>
      <c r="J761" s="159"/>
      <c r="K761" s="152"/>
      <c r="L761" s="154"/>
      <c r="M761" s="152"/>
      <c r="N761" s="152"/>
      <c r="O761" s="152"/>
      <c r="P761" s="152"/>
      <c r="Q761" s="155"/>
      <c r="R761" s="157"/>
      <c r="S761" s="152"/>
      <c r="T761" s="156"/>
    </row>
    <row r="762" spans="1:20" ht="14.25">
      <c r="A762" s="150"/>
      <c r="B762" s="151"/>
      <c r="C762" s="152"/>
      <c r="D762" s="135"/>
      <c r="E762" s="73"/>
      <c r="F762" s="153"/>
      <c r="G762" s="152"/>
      <c r="H762" s="152"/>
      <c r="I762" s="159"/>
      <c r="J762" s="159"/>
      <c r="K762" s="152"/>
      <c r="L762" s="154"/>
      <c r="M762" s="152"/>
      <c r="N762" s="152"/>
      <c r="O762" s="152"/>
      <c r="P762" s="152"/>
      <c r="Q762" s="155"/>
      <c r="R762" s="157"/>
      <c r="S762" s="152"/>
      <c r="T762" s="156"/>
    </row>
    <row r="763" spans="1:20" ht="14.25">
      <c r="A763" s="150"/>
      <c r="B763" s="151"/>
      <c r="C763" s="152"/>
      <c r="D763" s="135"/>
      <c r="E763" s="73"/>
      <c r="F763" s="153"/>
      <c r="G763" s="152"/>
      <c r="H763" s="152"/>
      <c r="I763" s="159"/>
      <c r="J763" s="159"/>
      <c r="K763" s="152"/>
      <c r="L763" s="154"/>
      <c r="M763" s="152"/>
      <c r="N763" s="152"/>
      <c r="O763" s="152"/>
      <c r="P763" s="152"/>
      <c r="Q763" s="155"/>
      <c r="R763" s="157"/>
      <c r="S763" s="152"/>
      <c r="T763" s="156"/>
    </row>
    <row r="764" spans="1:20" ht="14.25">
      <c r="A764" s="150"/>
      <c r="B764" s="151"/>
      <c r="C764" s="152"/>
      <c r="D764" s="135"/>
      <c r="E764" s="73"/>
      <c r="F764" s="153"/>
      <c r="G764" s="152"/>
      <c r="H764" s="152"/>
      <c r="I764" s="159"/>
      <c r="J764" s="159"/>
      <c r="K764" s="152"/>
      <c r="L764" s="154"/>
      <c r="M764" s="152"/>
      <c r="N764" s="152"/>
      <c r="O764" s="152"/>
      <c r="P764" s="152"/>
      <c r="Q764" s="155"/>
      <c r="R764" s="157"/>
      <c r="S764" s="152"/>
      <c r="T764" s="156"/>
    </row>
    <row r="765" spans="1:20" ht="14.25">
      <c r="A765" s="150"/>
      <c r="B765" s="151"/>
      <c r="C765" s="152"/>
      <c r="D765" s="135"/>
      <c r="E765" s="73"/>
      <c r="F765" s="153"/>
      <c r="G765" s="152"/>
      <c r="H765" s="152"/>
      <c r="I765" s="159"/>
      <c r="J765" s="159"/>
      <c r="K765" s="152"/>
      <c r="L765" s="154"/>
      <c r="M765" s="152"/>
      <c r="N765" s="152"/>
      <c r="O765" s="152"/>
      <c r="P765" s="152"/>
      <c r="Q765" s="155"/>
      <c r="R765" s="157"/>
      <c r="S765" s="152"/>
      <c r="T765" s="156"/>
    </row>
    <row r="766" spans="1:20" ht="14.25">
      <c r="A766" s="150"/>
      <c r="B766" s="151"/>
      <c r="C766" s="152"/>
      <c r="D766" s="135"/>
      <c r="E766" s="73"/>
      <c r="F766" s="153"/>
      <c r="G766" s="152"/>
      <c r="H766" s="152"/>
      <c r="I766" s="159"/>
      <c r="J766" s="159"/>
      <c r="K766" s="152"/>
      <c r="L766" s="154"/>
      <c r="M766" s="152"/>
      <c r="N766" s="152"/>
      <c r="O766" s="152"/>
      <c r="P766" s="152"/>
      <c r="Q766" s="155"/>
      <c r="R766" s="157"/>
      <c r="S766" s="152"/>
      <c r="T766" s="156"/>
    </row>
    <row r="767" spans="1:20" ht="14.25">
      <c r="A767" s="150"/>
      <c r="B767" s="151"/>
      <c r="C767" s="152"/>
      <c r="D767" s="135"/>
      <c r="E767" s="73"/>
      <c r="F767" s="153"/>
      <c r="G767" s="152"/>
      <c r="H767" s="152"/>
      <c r="I767" s="159"/>
      <c r="J767" s="159"/>
      <c r="K767" s="152"/>
      <c r="L767" s="154"/>
      <c r="M767" s="152"/>
      <c r="N767" s="152"/>
      <c r="O767" s="152"/>
      <c r="P767" s="152"/>
      <c r="Q767" s="155"/>
      <c r="R767" s="157"/>
      <c r="S767" s="152"/>
      <c r="T767" s="156"/>
    </row>
    <row r="768" spans="1:20" ht="14.25">
      <c r="A768" s="150"/>
      <c r="B768" s="151"/>
      <c r="C768" s="152"/>
      <c r="D768" s="135"/>
      <c r="E768" s="73"/>
      <c r="F768" s="153"/>
      <c r="G768" s="152"/>
      <c r="H768" s="152"/>
      <c r="I768" s="159"/>
      <c r="J768" s="159"/>
      <c r="K768" s="152"/>
      <c r="L768" s="154"/>
      <c r="M768" s="152"/>
      <c r="N768" s="152"/>
      <c r="O768" s="152"/>
      <c r="P768" s="152"/>
      <c r="Q768" s="155"/>
      <c r="R768" s="157"/>
      <c r="S768" s="152"/>
      <c r="T768" s="156"/>
    </row>
    <row r="769" spans="1:20" ht="14.25">
      <c r="A769" s="150"/>
      <c r="B769" s="151"/>
      <c r="C769" s="152"/>
      <c r="D769" s="135"/>
      <c r="E769" s="73"/>
      <c r="F769" s="153"/>
      <c r="G769" s="152"/>
      <c r="H769" s="152"/>
      <c r="I769" s="159"/>
      <c r="J769" s="159"/>
      <c r="K769" s="152"/>
      <c r="L769" s="154"/>
      <c r="M769" s="152"/>
      <c r="N769" s="152"/>
      <c r="O769" s="152"/>
      <c r="P769" s="152"/>
      <c r="Q769" s="155"/>
      <c r="R769" s="157"/>
      <c r="S769" s="152"/>
      <c r="T769" s="156"/>
    </row>
    <row r="770" spans="1:20" ht="14.25">
      <c r="A770" s="150"/>
      <c r="B770" s="151"/>
      <c r="C770" s="152"/>
      <c r="D770" s="135"/>
      <c r="E770" s="73"/>
      <c r="F770" s="153"/>
      <c r="G770" s="152"/>
      <c r="H770" s="152"/>
      <c r="I770" s="159"/>
      <c r="J770" s="159"/>
      <c r="K770" s="152"/>
      <c r="L770" s="154"/>
      <c r="M770" s="152"/>
      <c r="N770" s="152"/>
      <c r="O770" s="152"/>
      <c r="P770" s="152"/>
      <c r="Q770" s="155"/>
      <c r="R770" s="157"/>
      <c r="S770" s="152"/>
      <c r="T770" s="156"/>
    </row>
    <row r="771" spans="1:20" ht="14.25">
      <c r="A771" s="150"/>
      <c r="B771" s="151"/>
      <c r="C771" s="152"/>
      <c r="D771" s="135"/>
      <c r="E771" s="73"/>
      <c r="F771" s="153"/>
      <c r="G771" s="152"/>
      <c r="H771" s="152"/>
      <c r="I771" s="159"/>
      <c r="J771" s="159"/>
      <c r="K771" s="152"/>
      <c r="L771" s="154"/>
      <c r="M771" s="152"/>
      <c r="N771" s="152"/>
      <c r="O771" s="152"/>
      <c r="P771" s="152"/>
      <c r="Q771" s="155"/>
      <c r="R771" s="157"/>
      <c r="S771" s="152"/>
      <c r="T771" s="156"/>
    </row>
    <row r="772" spans="1:20" ht="14.25">
      <c r="A772" s="150"/>
      <c r="B772" s="151"/>
      <c r="C772" s="152"/>
      <c r="D772" s="135"/>
      <c r="E772" s="73"/>
      <c r="F772" s="153"/>
      <c r="G772" s="152"/>
      <c r="H772" s="152"/>
      <c r="I772" s="159"/>
      <c r="J772" s="159"/>
      <c r="K772" s="152"/>
      <c r="L772" s="154"/>
      <c r="M772" s="152"/>
      <c r="N772" s="152"/>
      <c r="O772" s="152"/>
      <c r="P772" s="152"/>
      <c r="Q772" s="155"/>
      <c r="R772" s="157"/>
      <c r="S772" s="152"/>
      <c r="T772" s="156"/>
    </row>
    <row r="773" spans="1:20" ht="14.25">
      <c r="A773" s="150"/>
      <c r="B773" s="151"/>
      <c r="C773" s="152"/>
      <c r="D773" s="135"/>
      <c r="E773" s="73"/>
      <c r="F773" s="153"/>
      <c r="G773" s="152"/>
      <c r="H773" s="152"/>
      <c r="I773" s="159"/>
      <c r="J773" s="159"/>
      <c r="K773" s="152"/>
      <c r="L773" s="154"/>
      <c r="M773" s="152"/>
      <c r="N773" s="152"/>
      <c r="O773" s="152"/>
      <c r="P773" s="152"/>
      <c r="Q773" s="155"/>
      <c r="R773" s="157"/>
      <c r="S773" s="152"/>
      <c r="T773" s="156"/>
    </row>
    <row r="774" spans="1:20" ht="14.25">
      <c r="A774" s="150"/>
      <c r="B774" s="151"/>
      <c r="C774" s="152"/>
      <c r="D774" s="135"/>
      <c r="E774" s="73"/>
      <c r="F774" s="153"/>
      <c r="G774" s="152"/>
      <c r="H774" s="152"/>
      <c r="I774" s="159"/>
      <c r="J774" s="159"/>
      <c r="K774" s="152"/>
      <c r="L774" s="154"/>
      <c r="M774" s="152"/>
      <c r="N774" s="152"/>
      <c r="O774" s="152"/>
      <c r="P774" s="152"/>
      <c r="Q774" s="155"/>
      <c r="R774" s="157"/>
      <c r="S774" s="152"/>
      <c r="T774" s="156"/>
    </row>
    <row r="775" spans="1:20" ht="14.25">
      <c r="A775" s="150"/>
      <c r="B775" s="151"/>
      <c r="C775" s="152"/>
      <c r="D775" s="135"/>
      <c r="E775" s="73"/>
      <c r="F775" s="153"/>
      <c r="G775" s="152"/>
      <c r="H775" s="152"/>
      <c r="I775" s="159"/>
      <c r="J775" s="159"/>
      <c r="K775" s="152"/>
      <c r="L775" s="154"/>
      <c r="M775" s="152"/>
      <c r="N775" s="152"/>
      <c r="O775" s="152"/>
      <c r="P775" s="152"/>
      <c r="Q775" s="155"/>
      <c r="R775" s="157"/>
      <c r="S775" s="152"/>
      <c r="T775" s="156"/>
    </row>
    <row r="776" spans="1:20" ht="14.25">
      <c r="A776" s="150"/>
      <c r="B776" s="151"/>
      <c r="C776" s="152"/>
      <c r="D776" s="135"/>
      <c r="E776" s="73"/>
      <c r="F776" s="153"/>
      <c r="G776" s="152"/>
      <c r="H776" s="152"/>
      <c r="I776" s="159"/>
      <c r="J776" s="159"/>
      <c r="K776" s="152"/>
      <c r="L776" s="154"/>
      <c r="M776" s="152"/>
      <c r="N776" s="152"/>
      <c r="O776" s="152"/>
      <c r="P776" s="152"/>
      <c r="Q776" s="155"/>
      <c r="R776" s="157"/>
      <c r="S776" s="152"/>
      <c r="T776" s="156"/>
    </row>
    <row r="777" spans="1:20" ht="14.25">
      <c r="A777" s="150"/>
      <c r="B777" s="151"/>
      <c r="C777" s="152"/>
      <c r="D777" s="135"/>
      <c r="E777" s="73"/>
      <c r="F777" s="153"/>
      <c r="G777" s="152"/>
      <c r="H777" s="152"/>
      <c r="I777" s="159"/>
      <c r="J777" s="159"/>
      <c r="K777" s="152"/>
      <c r="L777" s="154"/>
      <c r="M777" s="152"/>
      <c r="N777" s="152"/>
      <c r="O777" s="152"/>
      <c r="P777" s="152"/>
      <c r="Q777" s="155"/>
      <c r="R777" s="157"/>
      <c r="S777" s="152"/>
      <c r="T777" s="156"/>
    </row>
    <row r="778" spans="1:20" ht="14.25">
      <c r="A778" s="150"/>
      <c r="B778" s="151"/>
      <c r="C778" s="152"/>
      <c r="D778" s="135"/>
      <c r="E778" s="73"/>
      <c r="F778" s="153"/>
      <c r="G778" s="152"/>
      <c r="H778" s="152"/>
      <c r="I778" s="159"/>
      <c r="J778" s="159"/>
      <c r="K778" s="152"/>
      <c r="L778" s="154"/>
      <c r="M778" s="152"/>
      <c r="N778" s="152"/>
      <c r="O778" s="152"/>
      <c r="P778" s="152"/>
      <c r="Q778" s="155"/>
      <c r="R778" s="157"/>
      <c r="S778" s="152"/>
      <c r="T778" s="156"/>
    </row>
    <row r="779" spans="1:20" ht="14.25">
      <c r="A779" s="150"/>
      <c r="B779" s="151"/>
      <c r="C779" s="152"/>
      <c r="D779" s="135"/>
      <c r="E779" s="73"/>
      <c r="F779" s="153"/>
      <c r="G779" s="152"/>
      <c r="H779" s="152"/>
      <c r="I779" s="159"/>
      <c r="J779" s="159"/>
      <c r="K779" s="152"/>
      <c r="L779" s="154"/>
      <c r="M779" s="152"/>
      <c r="N779" s="152"/>
      <c r="O779" s="152"/>
      <c r="P779" s="152"/>
      <c r="Q779" s="155"/>
      <c r="R779" s="157"/>
      <c r="S779" s="152"/>
      <c r="T779" s="156"/>
    </row>
    <row r="780" spans="1:20" ht="14.25">
      <c r="A780" s="150"/>
      <c r="B780" s="151"/>
      <c r="C780" s="152"/>
      <c r="D780" s="135"/>
      <c r="E780" s="73"/>
      <c r="F780" s="153"/>
      <c r="G780" s="152"/>
      <c r="H780" s="152"/>
      <c r="I780" s="159"/>
      <c r="J780" s="159"/>
      <c r="K780" s="152"/>
      <c r="L780" s="154"/>
      <c r="M780" s="152"/>
      <c r="N780" s="152"/>
      <c r="O780" s="152"/>
      <c r="P780" s="152"/>
      <c r="Q780" s="155"/>
      <c r="R780" s="157"/>
      <c r="S780" s="152"/>
      <c r="T780" s="156"/>
    </row>
    <row r="781" spans="1:20" ht="14.25">
      <c r="A781" s="150"/>
      <c r="B781" s="151"/>
      <c r="C781" s="152"/>
      <c r="D781" s="135"/>
      <c r="E781" s="73"/>
      <c r="F781" s="153"/>
      <c r="G781" s="152"/>
      <c r="H781" s="152"/>
      <c r="I781" s="159"/>
      <c r="J781" s="159"/>
      <c r="K781" s="152"/>
      <c r="L781" s="154"/>
      <c r="M781" s="152"/>
      <c r="N781" s="152"/>
      <c r="O781" s="152"/>
      <c r="P781" s="152"/>
      <c r="Q781" s="155"/>
      <c r="R781" s="157"/>
      <c r="S781" s="152"/>
      <c r="T781" s="156"/>
    </row>
    <row r="782" spans="1:20" ht="14.25">
      <c r="A782" s="150"/>
      <c r="B782" s="151"/>
      <c r="C782" s="152"/>
      <c r="D782" s="135"/>
      <c r="E782" s="73"/>
      <c r="F782" s="153"/>
      <c r="G782" s="152"/>
      <c r="H782" s="152"/>
      <c r="I782" s="159"/>
      <c r="J782" s="159"/>
      <c r="K782" s="152"/>
      <c r="L782" s="154"/>
      <c r="M782" s="152"/>
      <c r="N782" s="152"/>
      <c r="O782" s="152"/>
      <c r="P782" s="152"/>
      <c r="Q782" s="155"/>
      <c r="R782" s="157"/>
      <c r="S782" s="152"/>
      <c r="T782" s="156"/>
    </row>
    <row r="783" spans="1:20" ht="14.25">
      <c r="A783" s="150"/>
      <c r="B783" s="151"/>
      <c r="C783" s="152"/>
      <c r="D783" s="135"/>
      <c r="E783" s="73"/>
      <c r="F783" s="153"/>
      <c r="G783" s="152"/>
      <c r="H783" s="152"/>
      <c r="I783" s="159"/>
      <c r="J783" s="159"/>
      <c r="K783" s="152"/>
      <c r="L783" s="154"/>
      <c r="M783" s="152"/>
      <c r="N783" s="152"/>
      <c r="O783" s="152"/>
      <c r="P783" s="152"/>
      <c r="Q783" s="155"/>
      <c r="R783" s="157"/>
      <c r="S783" s="152"/>
      <c r="T783" s="156"/>
    </row>
    <row r="784" spans="1:20" ht="14.25">
      <c r="A784" s="150"/>
      <c r="B784" s="151"/>
      <c r="C784" s="152"/>
      <c r="D784" s="135"/>
      <c r="E784" s="73"/>
      <c r="F784" s="153"/>
      <c r="G784" s="152"/>
      <c r="H784" s="152"/>
      <c r="I784" s="159"/>
      <c r="J784" s="159"/>
      <c r="K784" s="152"/>
      <c r="L784" s="154"/>
      <c r="M784" s="152"/>
      <c r="N784" s="152"/>
      <c r="O784" s="152"/>
      <c r="P784" s="152"/>
      <c r="Q784" s="155"/>
      <c r="R784" s="157"/>
      <c r="S784" s="152"/>
      <c r="T784" s="156"/>
    </row>
    <row r="785" spans="1:20" ht="14.25">
      <c r="A785" s="150"/>
      <c r="B785" s="151"/>
      <c r="C785" s="152"/>
      <c r="D785" s="135"/>
      <c r="E785" s="73"/>
      <c r="F785" s="153"/>
      <c r="G785" s="152"/>
      <c r="H785" s="152"/>
      <c r="I785" s="159"/>
      <c r="J785" s="159"/>
      <c r="K785" s="152"/>
      <c r="L785" s="154"/>
      <c r="M785" s="152"/>
      <c r="N785" s="152"/>
      <c r="O785" s="152"/>
      <c r="P785" s="152"/>
      <c r="Q785" s="155"/>
      <c r="R785" s="157"/>
      <c r="S785" s="152"/>
      <c r="T785" s="156"/>
    </row>
    <row r="786" spans="1:20" ht="14.25">
      <c r="A786" s="150"/>
      <c r="B786" s="151"/>
      <c r="C786" s="152"/>
      <c r="D786" s="135"/>
      <c r="E786" s="73"/>
      <c r="F786" s="153"/>
      <c r="G786" s="152"/>
      <c r="H786" s="152"/>
      <c r="I786" s="159"/>
      <c r="J786" s="159"/>
      <c r="K786" s="152"/>
      <c r="L786" s="154"/>
      <c r="M786" s="152"/>
      <c r="N786" s="152"/>
      <c r="O786" s="152"/>
      <c r="P786" s="152"/>
      <c r="Q786" s="155"/>
      <c r="R786" s="157"/>
      <c r="S786" s="152"/>
      <c r="T786" s="156"/>
    </row>
    <row r="787" spans="1:20" ht="14.25">
      <c r="A787" s="150"/>
      <c r="B787" s="151"/>
      <c r="C787" s="152"/>
      <c r="D787" s="135"/>
      <c r="E787" s="73"/>
      <c r="F787" s="153"/>
      <c r="G787" s="152"/>
      <c r="H787" s="152"/>
      <c r="I787" s="159"/>
      <c r="J787" s="159"/>
      <c r="K787" s="152"/>
      <c r="L787" s="154"/>
      <c r="M787" s="152"/>
      <c r="N787" s="152"/>
      <c r="O787" s="152"/>
      <c r="P787" s="152"/>
      <c r="Q787" s="155"/>
      <c r="R787" s="157"/>
      <c r="S787" s="152"/>
      <c r="T787" s="156"/>
    </row>
    <row r="788" spans="1:20" ht="14.25">
      <c r="A788" s="150"/>
      <c r="B788" s="151"/>
      <c r="C788" s="152"/>
      <c r="D788" s="135"/>
      <c r="E788" s="73"/>
      <c r="F788" s="153"/>
      <c r="G788" s="152"/>
      <c r="H788" s="152"/>
      <c r="I788" s="159"/>
      <c r="J788" s="159"/>
      <c r="K788" s="152"/>
      <c r="L788" s="154"/>
      <c r="M788" s="152"/>
      <c r="N788" s="152"/>
      <c r="O788" s="152"/>
      <c r="P788" s="152"/>
      <c r="Q788" s="155"/>
      <c r="R788" s="157"/>
      <c r="S788" s="152"/>
      <c r="T788" s="156"/>
    </row>
    <row r="789" spans="1:20" ht="14.25">
      <c r="A789" s="150"/>
      <c r="B789" s="151"/>
      <c r="C789" s="152"/>
      <c r="D789" s="135"/>
      <c r="E789" s="73"/>
      <c r="F789" s="153"/>
      <c r="G789" s="152"/>
      <c r="H789" s="152"/>
      <c r="I789" s="159"/>
      <c r="J789" s="159"/>
      <c r="K789" s="152"/>
      <c r="L789" s="154"/>
      <c r="M789" s="152"/>
      <c r="N789" s="152"/>
      <c r="O789" s="152"/>
      <c r="P789" s="152"/>
      <c r="Q789" s="155"/>
      <c r="R789" s="157"/>
      <c r="S789" s="152"/>
      <c r="T789" s="156"/>
    </row>
    <row r="790" spans="1:20" ht="14.25">
      <c r="A790" s="150"/>
      <c r="B790" s="151"/>
      <c r="C790" s="152"/>
      <c r="D790" s="135"/>
      <c r="E790" s="73"/>
      <c r="F790" s="153"/>
      <c r="G790" s="152"/>
      <c r="H790" s="152"/>
      <c r="I790" s="159"/>
      <c r="J790" s="159"/>
      <c r="K790" s="152"/>
      <c r="L790" s="154"/>
      <c r="M790" s="152"/>
      <c r="N790" s="152"/>
      <c r="O790" s="152"/>
      <c r="P790" s="152"/>
      <c r="Q790" s="155"/>
      <c r="R790" s="157"/>
      <c r="S790" s="152"/>
      <c r="T790" s="156"/>
    </row>
    <row r="791" spans="1:20" ht="14.25">
      <c r="A791" s="150"/>
      <c r="B791" s="151"/>
      <c r="C791" s="152"/>
      <c r="D791" s="135"/>
      <c r="E791" s="73"/>
      <c r="F791" s="153"/>
      <c r="G791" s="152"/>
      <c r="H791" s="152"/>
      <c r="I791" s="159"/>
      <c r="J791" s="159"/>
      <c r="K791" s="152"/>
      <c r="L791" s="154"/>
      <c r="M791" s="152"/>
      <c r="N791" s="152"/>
      <c r="O791" s="152"/>
      <c r="P791" s="152"/>
      <c r="Q791" s="155"/>
      <c r="R791" s="157"/>
      <c r="S791" s="152"/>
      <c r="T791" s="156"/>
    </row>
    <row r="792" spans="1:20" ht="14.25">
      <c r="A792" s="150"/>
      <c r="B792" s="151"/>
      <c r="C792" s="152"/>
      <c r="D792" s="135"/>
      <c r="E792" s="73"/>
      <c r="F792" s="153"/>
      <c r="G792" s="152"/>
      <c r="H792" s="152"/>
      <c r="I792" s="159"/>
      <c r="J792" s="159"/>
      <c r="K792" s="152"/>
      <c r="L792" s="154"/>
      <c r="M792" s="152"/>
      <c r="N792" s="152"/>
      <c r="O792" s="152"/>
      <c r="P792" s="152"/>
      <c r="Q792" s="155"/>
      <c r="R792" s="157"/>
      <c r="S792" s="152"/>
      <c r="T792" s="156"/>
    </row>
    <row r="793" spans="1:20" ht="14.25">
      <c r="A793" s="150"/>
      <c r="B793" s="151"/>
      <c r="C793" s="152"/>
      <c r="D793" s="135"/>
      <c r="E793" s="73"/>
      <c r="F793" s="153"/>
      <c r="G793" s="152"/>
      <c r="H793" s="152"/>
      <c r="I793" s="159"/>
      <c r="J793" s="159"/>
      <c r="K793" s="152"/>
      <c r="L793" s="154"/>
      <c r="M793" s="152"/>
      <c r="N793" s="152"/>
      <c r="O793" s="152"/>
      <c r="P793" s="152"/>
      <c r="Q793" s="155"/>
      <c r="R793" s="157"/>
      <c r="S793" s="152"/>
      <c r="T793" s="156"/>
    </row>
    <row r="794" spans="1:20" ht="14.25">
      <c r="A794" s="150"/>
      <c r="B794" s="151"/>
      <c r="C794" s="152"/>
      <c r="D794" s="135"/>
      <c r="E794" s="73"/>
      <c r="F794" s="153"/>
      <c r="G794" s="152"/>
      <c r="H794" s="152"/>
      <c r="I794" s="159"/>
      <c r="J794" s="159"/>
      <c r="K794" s="152"/>
      <c r="L794" s="154"/>
      <c r="M794" s="152"/>
      <c r="N794" s="152"/>
      <c r="O794" s="152"/>
      <c r="P794" s="152"/>
      <c r="Q794" s="155"/>
      <c r="R794" s="157"/>
      <c r="S794" s="152"/>
      <c r="T794" s="156"/>
    </row>
    <row r="795" spans="1:20" ht="14.25">
      <c r="A795" s="150"/>
      <c r="B795" s="151"/>
      <c r="C795" s="152"/>
      <c r="D795" s="135"/>
      <c r="E795" s="73"/>
      <c r="F795" s="153"/>
      <c r="G795" s="152"/>
      <c r="H795" s="152"/>
      <c r="I795" s="159"/>
      <c r="J795" s="159"/>
      <c r="K795" s="152"/>
      <c r="L795" s="154"/>
      <c r="M795" s="152"/>
      <c r="N795" s="152"/>
      <c r="O795" s="152"/>
      <c r="P795" s="152"/>
      <c r="Q795" s="155"/>
      <c r="R795" s="157"/>
      <c r="S795" s="152"/>
      <c r="T795" s="156"/>
    </row>
    <row r="796" spans="1:20" ht="14.25">
      <c r="A796" s="150"/>
      <c r="B796" s="151"/>
      <c r="C796" s="152"/>
      <c r="D796" s="135"/>
      <c r="E796" s="73"/>
      <c r="F796" s="153"/>
      <c r="G796" s="152"/>
      <c r="H796" s="152"/>
      <c r="I796" s="159"/>
      <c r="J796" s="159"/>
      <c r="K796" s="152"/>
      <c r="L796" s="154"/>
      <c r="M796" s="152"/>
      <c r="N796" s="152"/>
      <c r="O796" s="152"/>
      <c r="P796" s="152"/>
      <c r="Q796" s="155"/>
      <c r="R796" s="157"/>
      <c r="S796" s="152"/>
      <c r="T796" s="156"/>
    </row>
    <row r="797" spans="1:20" ht="14.25">
      <c r="A797" s="150"/>
      <c r="B797" s="151"/>
      <c r="C797" s="152"/>
      <c r="D797" s="135"/>
      <c r="E797" s="73"/>
      <c r="F797" s="153"/>
      <c r="G797" s="152"/>
      <c r="H797" s="152"/>
      <c r="I797" s="159"/>
      <c r="J797" s="159"/>
      <c r="K797" s="152"/>
      <c r="L797" s="154"/>
      <c r="M797" s="152"/>
      <c r="N797" s="152"/>
      <c r="O797" s="152"/>
      <c r="P797" s="152"/>
      <c r="Q797" s="155"/>
      <c r="R797" s="157"/>
      <c r="S797" s="152"/>
      <c r="T797" s="156"/>
    </row>
    <row r="798" spans="1:20" ht="14.25">
      <c r="A798" s="150"/>
      <c r="B798" s="151"/>
      <c r="C798" s="152"/>
      <c r="D798" s="135"/>
      <c r="E798" s="73"/>
      <c r="F798" s="153"/>
      <c r="G798" s="152"/>
      <c r="H798" s="152"/>
      <c r="I798" s="159"/>
      <c r="J798" s="159"/>
      <c r="K798" s="152"/>
      <c r="L798" s="154"/>
      <c r="M798" s="152"/>
      <c r="N798" s="152"/>
      <c r="O798" s="152"/>
      <c r="P798" s="152"/>
      <c r="Q798" s="155"/>
      <c r="R798" s="157"/>
      <c r="S798" s="152"/>
      <c r="T798" s="156"/>
    </row>
    <row r="799" spans="1:20" ht="14.25">
      <c r="A799" s="150"/>
      <c r="B799" s="151"/>
      <c r="C799" s="152"/>
      <c r="D799" s="135"/>
      <c r="E799" s="73"/>
      <c r="F799" s="153"/>
      <c r="G799" s="152"/>
      <c r="H799" s="152"/>
      <c r="I799" s="159"/>
      <c r="J799" s="159"/>
      <c r="K799" s="152"/>
      <c r="L799" s="154"/>
      <c r="M799" s="152"/>
      <c r="N799" s="152"/>
      <c r="O799" s="152"/>
      <c r="P799" s="152"/>
      <c r="Q799" s="155"/>
      <c r="R799" s="157"/>
      <c r="S799" s="152"/>
      <c r="T799" s="156"/>
    </row>
    <row r="800" spans="1:20" ht="14.25">
      <c r="A800" s="150"/>
      <c r="B800" s="151"/>
      <c r="C800" s="152"/>
      <c r="D800" s="135"/>
      <c r="E800" s="73"/>
      <c r="F800" s="153"/>
      <c r="G800" s="152"/>
      <c r="H800" s="152"/>
      <c r="I800" s="159"/>
      <c r="J800" s="159"/>
      <c r="K800" s="152"/>
      <c r="L800" s="154"/>
      <c r="M800" s="152"/>
      <c r="N800" s="152"/>
      <c r="O800" s="152"/>
      <c r="P800" s="152"/>
      <c r="Q800" s="155"/>
      <c r="R800" s="157"/>
      <c r="S800" s="152"/>
      <c r="T800" s="156"/>
    </row>
    <row r="801" spans="1:20" ht="14.25">
      <c r="A801" s="150"/>
      <c r="B801" s="151"/>
      <c r="C801" s="152"/>
      <c r="D801" s="135"/>
      <c r="E801" s="73"/>
      <c r="F801" s="153"/>
      <c r="G801" s="152"/>
      <c r="H801" s="152"/>
      <c r="I801" s="159"/>
      <c r="J801" s="159"/>
      <c r="K801" s="152"/>
      <c r="L801" s="154"/>
      <c r="M801" s="152"/>
      <c r="N801" s="152"/>
      <c r="O801" s="152"/>
      <c r="P801" s="152"/>
      <c r="Q801" s="155"/>
      <c r="R801" s="157"/>
      <c r="S801" s="152"/>
      <c r="T801" s="156"/>
    </row>
    <row r="802" spans="1:20" ht="14.25">
      <c r="A802" s="150"/>
      <c r="B802" s="151"/>
      <c r="C802" s="152"/>
      <c r="D802" s="135"/>
      <c r="E802" s="73"/>
      <c r="F802" s="153"/>
      <c r="G802" s="152"/>
      <c r="H802" s="152"/>
      <c r="I802" s="159"/>
      <c r="J802" s="159"/>
      <c r="K802" s="152"/>
      <c r="L802" s="154"/>
      <c r="M802" s="152"/>
      <c r="N802" s="152"/>
      <c r="O802" s="152"/>
      <c r="P802" s="152"/>
      <c r="Q802" s="155"/>
      <c r="R802" s="157"/>
      <c r="S802" s="152"/>
      <c r="T802" s="156"/>
    </row>
    <row r="803" spans="1:20" ht="14.25">
      <c r="A803" s="150"/>
      <c r="B803" s="151"/>
      <c r="C803" s="152"/>
      <c r="D803" s="135"/>
      <c r="E803" s="73"/>
      <c r="F803" s="153"/>
      <c r="G803" s="152"/>
      <c r="H803" s="152"/>
      <c r="I803" s="159"/>
      <c r="J803" s="159"/>
      <c r="K803" s="152"/>
      <c r="L803" s="154"/>
      <c r="M803" s="152"/>
      <c r="N803" s="152"/>
      <c r="O803" s="152"/>
      <c r="P803" s="152"/>
      <c r="Q803" s="155"/>
      <c r="R803" s="157"/>
      <c r="S803" s="152"/>
      <c r="T803" s="156"/>
    </row>
    <row r="804" spans="1:20" ht="14.25">
      <c r="A804" s="150"/>
      <c r="B804" s="151"/>
      <c r="C804" s="152"/>
      <c r="D804" s="135"/>
      <c r="E804" s="73"/>
      <c r="F804" s="153"/>
      <c r="G804" s="152"/>
      <c r="H804" s="152"/>
      <c r="I804" s="159"/>
      <c r="J804" s="159"/>
      <c r="K804" s="152"/>
      <c r="L804" s="154"/>
      <c r="M804" s="152"/>
      <c r="N804" s="152"/>
      <c r="O804" s="152"/>
      <c r="P804" s="152"/>
      <c r="Q804" s="155"/>
      <c r="R804" s="157"/>
      <c r="S804" s="152"/>
      <c r="T804" s="156"/>
    </row>
    <row r="805" spans="1:20" ht="14.25">
      <c r="A805" s="150"/>
      <c r="B805" s="151"/>
      <c r="C805" s="152"/>
      <c r="D805" s="135"/>
      <c r="E805" s="73"/>
      <c r="F805" s="153"/>
      <c r="G805" s="152"/>
      <c r="H805" s="152"/>
      <c r="I805" s="159"/>
      <c r="J805" s="159"/>
      <c r="K805" s="152"/>
      <c r="L805" s="154"/>
      <c r="M805" s="152"/>
      <c r="N805" s="152"/>
      <c r="O805" s="152"/>
      <c r="P805" s="152"/>
      <c r="Q805" s="155"/>
      <c r="R805" s="157"/>
      <c r="S805" s="152"/>
      <c r="T805" s="156"/>
    </row>
    <row r="806" spans="1:20" ht="14.25">
      <c r="A806" s="150"/>
      <c r="B806" s="151"/>
      <c r="C806" s="152"/>
      <c r="D806" s="135"/>
      <c r="E806" s="73"/>
      <c r="F806" s="153"/>
      <c r="G806" s="152"/>
      <c r="H806" s="152"/>
      <c r="I806" s="159"/>
      <c r="J806" s="159"/>
      <c r="K806" s="152"/>
      <c r="L806" s="154"/>
      <c r="M806" s="152"/>
      <c r="N806" s="152"/>
      <c r="O806" s="152"/>
      <c r="P806" s="152"/>
      <c r="Q806" s="155"/>
      <c r="R806" s="157"/>
      <c r="S806" s="152"/>
      <c r="T806" s="156"/>
    </row>
    <row r="807" spans="1:20" ht="14.25">
      <c r="A807" s="150"/>
      <c r="B807" s="151"/>
      <c r="C807" s="152"/>
      <c r="D807" s="135"/>
      <c r="E807" s="73"/>
      <c r="F807" s="153"/>
      <c r="G807" s="152"/>
      <c r="H807" s="152"/>
      <c r="I807" s="159"/>
      <c r="J807" s="159"/>
      <c r="K807" s="152"/>
      <c r="L807" s="154"/>
      <c r="M807" s="152"/>
      <c r="N807" s="152"/>
      <c r="O807" s="152"/>
      <c r="P807" s="152"/>
      <c r="Q807" s="155"/>
      <c r="R807" s="157"/>
      <c r="S807" s="152"/>
      <c r="T807" s="156"/>
    </row>
    <row r="808" spans="1:20" ht="14.25">
      <c r="A808" s="150"/>
      <c r="B808" s="151"/>
      <c r="C808" s="152"/>
      <c r="D808" s="135"/>
      <c r="E808" s="73"/>
      <c r="F808" s="153"/>
      <c r="G808" s="152"/>
      <c r="H808" s="152"/>
      <c r="I808" s="159"/>
      <c r="J808" s="159"/>
      <c r="K808" s="152"/>
      <c r="L808" s="154"/>
      <c r="M808" s="152"/>
      <c r="N808" s="152"/>
      <c r="O808" s="152"/>
      <c r="P808" s="152"/>
      <c r="Q808" s="155"/>
      <c r="R808" s="157"/>
      <c r="S808" s="152"/>
      <c r="T808" s="156"/>
    </row>
    <row r="809" spans="1:20" ht="14.25">
      <c r="A809" s="150"/>
      <c r="B809" s="151"/>
      <c r="C809" s="152"/>
      <c r="D809" s="135"/>
      <c r="E809" s="73"/>
      <c r="F809" s="153"/>
      <c r="G809" s="152"/>
      <c r="H809" s="152"/>
      <c r="I809" s="159"/>
      <c r="J809" s="159"/>
      <c r="K809" s="152"/>
      <c r="L809" s="154"/>
      <c r="M809" s="152"/>
      <c r="N809" s="152"/>
      <c r="O809" s="152"/>
      <c r="P809" s="152"/>
      <c r="Q809" s="155"/>
      <c r="R809" s="157"/>
      <c r="S809" s="152"/>
      <c r="T809" s="156"/>
    </row>
    <row r="810" spans="1:20" ht="14.25">
      <c r="A810" s="150"/>
      <c r="B810" s="151"/>
      <c r="C810" s="152"/>
      <c r="D810" s="135"/>
      <c r="E810" s="73"/>
      <c r="F810" s="153"/>
      <c r="G810" s="152"/>
      <c r="H810" s="152"/>
      <c r="I810" s="159"/>
      <c r="J810" s="159"/>
      <c r="K810" s="152"/>
      <c r="L810" s="154"/>
      <c r="M810" s="152"/>
      <c r="N810" s="152"/>
      <c r="O810" s="152"/>
      <c r="P810" s="152"/>
      <c r="Q810" s="155"/>
      <c r="R810" s="157"/>
      <c r="S810" s="152"/>
      <c r="T810" s="156"/>
    </row>
    <row r="811" spans="1:20" ht="14.25">
      <c r="A811" s="150"/>
      <c r="B811" s="151"/>
      <c r="C811" s="152"/>
      <c r="D811" s="135"/>
      <c r="E811" s="73"/>
      <c r="F811" s="153"/>
      <c r="G811" s="152"/>
      <c r="H811" s="152"/>
      <c r="I811" s="159"/>
      <c r="J811" s="159"/>
      <c r="K811" s="152"/>
      <c r="L811" s="154"/>
      <c r="M811" s="152"/>
      <c r="N811" s="152"/>
      <c r="O811" s="152"/>
      <c r="P811" s="152"/>
      <c r="Q811" s="155"/>
      <c r="R811" s="157"/>
      <c r="S811" s="152"/>
      <c r="T811" s="156"/>
    </row>
    <row r="812" spans="1:20" ht="14.25">
      <c r="A812" s="150"/>
      <c r="B812" s="151"/>
      <c r="C812" s="152"/>
      <c r="D812" s="135"/>
      <c r="E812" s="73"/>
      <c r="F812" s="153"/>
      <c r="G812" s="152"/>
      <c r="H812" s="152"/>
      <c r="I812" s="159"/>
      <c r="J812" s="159"/>
      <c r="K812" s="152"/>
      <c r="L812" s="154"/>
      <c r="M812" s="152"/>
      <c r="N812" s="152"/>
      <c r="O812" s="152"/>
      <c r="P812" s="152"/>
      <c r="Q812" s="155"/>
      <c r="R812" s="157"/>
      <c r="S812" s="152"/>
      <c r="T812" s="156"/>
    </row>
    <row r="813" spans="1:20" ht="14.25">
      <c r="A813" s="150"/>
      <c r="B813" s="151"/>
      <c r="C813" s="152"/>
      <c r="D813" s="135"/>
      <c r="E813" s="73"/>
      <c r="F813" s="153"/>
      <c r="G813" s="152"/>
      <c r="H813" s="152"/>
      <c r="I813" s="159"/>
      <c r="J813" s="159"/>
      <c r="K813" s="152"/>
      <c r="L813" s="154"/>
      <c r="M813" s="152"/>
      <c r="N813" s="152"/>
      <c r="O813" s="152"/>
      <c r="P813" s="152"/>
      <c r="Q813" s="155"/>
      <c r="R813" s="157"/>
      <c r="S813" s="152"/>
      <c r="T813" s="156"/>
    </row>
    <row r="814" spans="1:20" ht="14.25">
      <c r="A814" s="150"/>
      <c r="B814" s="151"/>
      <c r="C814" s="152"/>
      <c r="D814" s="135"/>
      <c r="E814" s="73"/>
      <c r="F814" s="153"/>
      <c r="G814" s="152"/>
      <c r="H814" s="152"/>
      <c r="I814" s="159"/>
      <c r="J814" s="159"/>
      <c r="K814" s="152"/>
      <c r="L814" s="154"/>
      <c r="M814" s="152"/>
      <c r="N814" s="152"/>
      <c r="O814" s="152"/>
      <c r="P814" s="152"/>
      <c r="Q814" s="155"/>
      <c r="R814" s="157"/>
      <c r="S814" s="152"/>
      <c r="T814" s="156"/>
    </row>
    <row r="815" spans="1:20" ht="14.25">
      <c r="A815" s="150"/>
      <c r="B815" s="151"/>
      <c r="C815" s="152"/>
      <c r="D815" s="135"/>
      <c r="E815" s="73"/>
      <c r="F815" s="153"/>
      <c r="G815" s="152"/>
      <c r="H815" s="152"/>
      <c r="I815" s="159"/>
      <c r="J815" s="159"/>
      <c r="K815" s="152"/>
      <c r="L815" s="154"/>
      <c r="M815" s="152"/>
      <c r="N815" s="152"/>
      <c r="O815" s="152"/>
      <c r="P815" s="152"/>
      <c r="Q815" s="155"/>
      <c r="R815" s="157"/>
      <c r="S815" s="152"/>
      <c r="T815" s="156"/>
    </row>
    <row r="816" spans="1:20" ht="14.25">
      <c r="A816" s="150"/>
      <c r="B816" s="151"/>
      <c r="C816" s="152"/>
      <c r="D816" s="135"/>
      <c r="E816" s="73"/>
      <c r="F816" s="153"/>
      <c r="G816" s="152"/>
      <c r="H816" s="152"/>
      <c r="I816" s="159"/>
      <c r="J816" s="159"/>
      <c r="K816" s="152"/>
      <c r="L816" s="154"/>
      <c r="M816" s="152"/>
      <c r="N816" s="152"/>
      <c r="O816" s="152"/>
      <c r="P816" s="152"/>
      <c r="Q816" s="155"/>
      <c r="R816" s="157"/>
      <c r="S816" s="152"/>
      <c r="T816" s="156"/>
    </row>
    <row r="817" spans="1:20" ht="14.25">
      <c r="A817" s="150"/>
      <c r="B817" s="151"/>
      <c r="C817" s="152"/>
      <c r="D817" s="135"/>
      <c r="E817" s="73"/>
      <c r="F817" s="153"/>
      <c r="G817" s="152"/>
      <c r="H817" s="152"/>
      <c r="I817" s="159"/>
      <c r="J817" s="159"/>
      <c r="K817" s="152"/>
      <c r="L817" s="154"/>
      <c r="M817" s="152"/>
      <c r="N817" s="152"/>
      <c r="O817" s="152"/>
      <c r="P817" s="152"/>
      <c r="Q817" s="155"/>
      <c r="R817" s="157"/>
      <c r="S817" s="152"/>
      <c r="T817" s="156"/>
    </row>
    <row r="818" spans="1:20" ht="14.25">
      <c r="A818" s="150"/>
      <c r="B818" s="151"/>
      <c r="C818" s="152"/>
      <c r="D818" s="135"/>
      <c r="E818" s="73"/>
      <c r="F818" s="153"/>
      <c r="G818" s="152"/>
      <c r="H818" s="152"/>
      <c r="I818" s="159"/>
      <c r="J818" s="159"/>
      <c r="K818" s="152"/>
      <c r="L818" s="154"/>
      <c r="M818" s="152"/>
      <c r="N818" s="152"/>
      <c r="O818" s="152"/>
      <c r="P818" s="152"/>
      <c r="Q818" s="155"/>
      <c r="R818" s="157"/>
      <c r="S818" s="152"/>
      <c r="T818" s="156"/>
    </row>
    <row r="819" spans="1:20" ht="14.25">
      <c r="A819" s="150"/>
      <c r="B819" s="151"/>
      <c r="C819" s="152"/>
      <c r="D819" s="135"/>
      <c r="E819" s="73"/>
      <c r="F819" s="153"/>
      <c r="G819" s="152"/>
      <c r="H819" s="152"/>
      <c r="I819" s="159"/>
      <c r="J819" s="159"/>
      <c r="K819" s="152"/>
      <c r="L819" s="154"/>
      <c r="M819" s="152"/>
      <c r="N819" s="152"/>
      <c r="O819" s="152"/>
      <c r="P819" s="152"/>
      <c r="Q819" s="155"/>
      <c r="R819" s="157"/>
      <c r="S819" s="152"/>
      <c r="T819" s="156"/>
    </row>
    <row r="820" spans="1:20" ht="14.25">
      <c r="A820" s="150"/>
      <c r="B820" s="151"/>
      <c r="C820" s="152"/>
      <c r="D820" s="135"/>
      <c r="E820" s="73"/>
      <c r="F820" s="153"/>
      <c r="G820" s="152"/>
      <c r="H820" s="152"/>
      <c r="I820" s="159"/>
      <c r="J820" s="159"/>
      <c r="K820" s="152"/>
      <c r="L820" s="154"/>
      <c r="M820" s="152"/>
      <c r="N820" s="152"/>
      <c r="O820" s="152"/>
      <c r="P820" s="152"/>
      <c r="Q820" s="155"/>
      <c r="R820" s="157"/>
      <c r="S820" s="152"/>
      <c r="T820" s="156"/>
    </row>
    <row r="821" spans="1:20" ht="14.25">
      <c r="A821" s="150"/>
      <c r="B821" s="151"/>
      <c r="C821" s="152"/>
      <c r="D821" s="135"/>
      <c r="E821" s="73"/>
      <c r="F821" s="153"/>
      <c r="G821" s="152"/>
      <c r="H821" s="152"/>
      <c r="I821" s="159"/>
      <c r="J821" s="159"/>
      <c r="K821" s="152"/>
      <c r="L821" s="154"/>
      <c r="M821" s="152"/>
      <c r="N821" s="152"/>
      <c r="O821" s="152"/>
      <c r="P821" s="152"/>
      <c r="Q821" s="155"/>
      <c r="R821" s="157"/>
      <c r="S821" s="152"/>
      <c r="T821" s="156"/>
    </row>
    <row r="822" spans="1:20" ht="14.25">
      <c r="A822" s="150"/>
      <c r="B822" s="151"/>
      <c r="C822" s="152"/>
      <c r="D822" s="135"/>
      <c r="E822" s="73"/>
      <c r="F822" s="153"/>
      <c r="G822" s="152"/>
      <c r="H822" s="152"/>
      <c r="I822" s="159"/>
      <c r="J822" s="159"/>
      <c r="K822" s="152"/>
      <c r="L822" s="154"/>
      <c r="M822" s="152"/>
      <c r="N822" s="152"/>
      <c r="O822" s="152"/>
      <c r="P822" s="152"/>
      <c r="Q822" s="155"/>
      <c r="R822" s="157"/>
      <c r="S822" s="152"/>
      <c r="T822" s="156"/>
    </row>
    <row r="823" spans="1:20" ht="14.25">
      <c r="A823" s="150"/>
      <c r="B823" s="151"/>
      <c r="C823" s="152"/>
      <c r="D823" s="135"/>
      <c r="E823" s="73"/>
      <c r="F823" s="153"/>
      <c r="G823" s="152"/>
      <c r="H823" s="152"/>
      <c r="I823" s="159"/>
      <c r="J823" s="159"/>
      <c r="K823" s="152"/>
      <c r="L823" s="154"/>
      <c r="M823" s="152"/>
      <c r="N823" s="152"/>
      <c r="O823" s="152"/>
      <c r="P823" s="152"/>
      <c r="Q823" s="155"/>
      <c r="R823" s="157"/>
      <c r="S823" s="152"/>
      <c r="T823" s="156"/>
    </row>
    <row r="824" spans="1:20" ht="14.25">
      <c r="A824" s="150"/>
      <c r="B824" s="151"/>
      <c r="C824" s="152"/>
      <c r="D824" s="135"/>
      <c r="E824" s="73"/>
      <c r="F824" s="153"/>
      <c r="G824" s="152"/>
      <c r="H824" s="152"/>
      <c r="I824" s="159"/>
      <c r="J824" s="159"/>
      <c r="K824" s="152"/>
      <c r="L824" s="154"/>
      <c r="M824" s="152"/>
      <c r="N824" s="152"/>
      <c r="O824" s="152"/>
      <c r="P824" s="152"/>
      <c r="Q824" s="155"/>
      <c r="R824" s="157"/>
      <c r="S824" s="152"/>
      <c r="T824" s="156"/>
    </row>
    <row r="825" spans="1:20" ht="14.25">
      <c r="A825" s="150"/>
      <c r="B825" s="151"/>
      <c r="C825" s="152"/>
      <c r="D825" s="135"/>
      <c r="E825" s="73"/>
      <c r="F825" s="153"/>
      <c r="G825" s="152"/>
      <c r="H825" s="152"/>
      <c r="I825" s="159"/>
      <c r="J825" s="159"/>
      <c r="K825" s="152"/>
      <c r="L825" s="154"/>
      <c r="M825" s="152"/>
      <c r="N825" s="152"/>
      <c r="O825" s="152"/>
      <c r="P825" s="152"/>
      <c r="Q825" s="155"/>
      <c r="R825" s="157"/>
      <c r="S825" s="152"/>
      <c r="T825" s="156"/>
    </row>
    <row r="826" spans="1:20" ht="14.25">
      <c r="A826" s="150"/>
      <c r="B826" s="151"/>
      <c r="C826" s="152"/>
      <c r="D826" s="135"/>
      <c r="E826" s="73"/>
      <c r="F826" s="153"/>
      <c r="G826" s="152"/>
      <c r="H826" s="152"/>
      <c r="I826" s="159"/>
      <c r="J826" s="159"/>
      <c r="K826" s="152"/>
      <c r="L826" s="154"/>
      <c r="M826" s="152"/>
      <c r="N826" s="152"/>
      <c r="O826" s="152"/>
      <c r="P826" s="152"/>
      <c r="Q826" s="155"/>
      <c r="R826" s="157"/>
      <c r="S826" s="152"/>
      <c r="T826" s="156"/>
    </row>
    <row r="827" spans="1:20" ht="14.25">
      <c r="A827" s="150"/>
      <c r="B827" s="151"/>
      <c r="C827" s="152"/>
      <c r="D827" s="135"/>
      <c r="E827" s="73"/>
      <c r="F827" s="153"/>
      <c r="G827" s="152"/>
      <c r="H827" s="152"/>
      <c r="I827" s="159"/>
      <c r="J827" s="159"/>
      <c r="K827" s="152"/>
      <c r="L827" s="154"/>
      <c r="M827" s="152"/>
      <c r="N827" s="152"/>
      <c r="O827" s="152"/>
      <c r="P827" s="152"/>
      <c r="Q827" s="155"/>
      <c r="R827" s="157"/>
      <c r="S827" s="152"/>
      <c r="T827" s="156"/>
    </row>
    <row r="828" spans="1:20" ht="14.25">
      <c r="A828" s="150"/>
      <c r="B828" s="151"/>
      <c r="C828" s="152"/>
      <c r="D828" s="135"/>
      <c r="E828" s="73"/>
      <c r="F828" s="153"/>
      <c r="G828" s="152"/>
      <c r="H828" s="152"/>
      <c r="I828" s="159"/>
      <c r="J828" s="159"/>
      <c r="K828" s="152"/>
      <c r="L828" s="154"/>
      <c r="M828" s="152"/>
      <c r="N828" s="152"/>
      <c r="O828" s="152"/>
      <c r="P828" s="152"/>
      <c r="Q828" s="155"/>
      <c r="R828" s="157"/>
      <c r="S828" s="152"/>
      <c r="T828" s="156"/>
    </row>
    <row r="829" spans="1:20" ht="14.25">
      <c r="A829" s="150"/>
      <c r="B829" s="151"/>
      <c r="C829" s="152"/>
      <c r="D829" s="135"/>
      <c r="E829" s="73"/>
      <c r="F829" s="153"/>
      <c r="G829" s="152"/>
      <c r="H829" s="152"/>
      <c r="I829" s="159"/>
      <c r="J829" s="159"/>
      <c r="K829" s="152"/>
      <c r="L829" s="154"/>
      <c r="M829" s="152"/>
      <c r="N829" s="152"/>
      <c r="O829" s="152"/>
      <c r="P829" s="152"/>
      <c r="Q829" s="155"/>
      <c r="R829" s="157"/>
      <c r="S829" s="152"/>
      <c r="T829" s="156"/>
    </row>
    <row r="830" spans="1:20" ht="14.25">
      <c r="A830" s="150"/>
      <c r="B830" s="151"/>
      <c r="C830" s="152"/>
      <c r="D830" s="135"/>
      <c r="E830" s="73"/>
      <c r="F830" s="153"/>
      <c r="G830" s="152"/>
      <c r="H830" s="152"/>
      <c r="I830" s="159"/>
      <c r="J830" s="159"/>
      <c r="K830" s="152"/>
      <c r="L830" s="154"/>
      <c r="M830" s="152"/>
      <c r="N830" s="152"/>
      <c r="O830" s="152"/>
      <c r="P830" s="152"/>
      <c r="Q830" s="155"/>
      <c r="R830" s="157"/>
      <c r="S830" s="152"/>
      <c r="T830" s="156"/>
    </row>
    <row r="831" spans="1:20" ht="14.25">
      <c r="A831" s="150"/>
      <c r="B831" s="151"/>
      <c r="C831" s="152"/>
      <c r="D831" s="135"/>
      <c r="E831" s="73"/>
      <c r="F831" s="153"/>
      <c r="G831" s="152"/>
      <c r="H831" s="152"/>
      <c r="I831" s="159"/>
      <c r="J831" s="159"/>
      <c r="K831" s="152"/>
      <c r="L831" s="154"/>
      <c r="M831" s="152"/>
      <c r="N831" s="152"/>
      <c r="O831" s="152"/>
      <c r="P831" s="152"/>
      <c r="Q831" s="155"/>
      <c r="R831" s="157"/>
      <c r="S831" s="152"/>
      <c r="T831" s="156"/>
    </row>
    <row r="832" spans="1:20" ht="14.25">
      <c r="A832" s="150"/>
      <c r="B832" s="151"/>
      <c r="C832" s="152"/>
      <c r="D832" s="135"/>
      <c r="E832" s="73"/>
      <c r="F832" s="153"/>
      <c r="G832" s="152"/>
      <c r="H832" s="152"/>
      <c r="I832" s="159"/>
      <c r="J832" s="159"/>
      <c r="K832" s="152"/>
      <c r="L832" s="154"/>
      <c r="M832" s="152"/>
      <c r="N832" s="152"/>
      <c r="O832" s="152"/>
      <c r="P832" s="152"/>
      <c r="Q832" s="155"/>
      <c r="R832" s="157"/>
      <c r="S832" s="152"/>
      <c r="T832" s="156"/>
    </row>
    <row r="833" spans="1:20" ht="14.25">
      <c r="A833" s="150"/>
      <c r="B833" s="151"/>
      <c r="C833" s="152"/>
      <c r="D833" s="135"/>
      <c r="E833" s="73"/>
      <c r="F833" s="153"/>
      <c r="G833" s="152"/>
      <c r="H833" s="152"/>
      <c r="I833" s="159"/>
      <c r="J833" s="159"/>
      <c r="K833" s="152"/>
      <c r="L833" s="154"/>
      <c r="M833" s="152"/>
      <c r="N833" s="152"/>
      <c r="O833" s="152"/>
      <c r="P833" s="152"/>
      <c r="Q833" s="155"/>
      <c r="R833" s="157"/>
      <c r="S833" s="152"/>
      <c r="T833" s="156"/>
    </row>
    <row r="834" spans="1:20" ht="14.25">
      <c r="A834" s="150"/>
      <c r="B834" s="151"/>
      <c r="C834" s="152"/>
      <c r="D834" s="135"/>
      <c r="E834" s="73"/>
      <c r="F834" s="153"/>
      <c r="G834" s="152"/>
      <c r="H834" s="152"/>
      <c r="I834" s="159"/>
      <c r="J834" s="159"/>
      <c r="K834" s="152"/>
      <c r="L834" s="154"/>
      <c r="M834" s="152"/>
      <c r="N834" s="152"/>
      <c r="O834" s="152"/>
      <c r="P834" s="152"/>
      <c r="Q834" s="155"/>
      <c r="R834" s="157"/>
      <c r="S834" s="152"/>
      <c r="T834" s="156"/>
    </row>
    <row r="835" spans="1:20" ht="14.25">
      <c r="A835" s="150"/>
      <c r="B835" s="151"/>
      <c r="C835" s="152"/>
      <c r="D835" s="135"/>
      <c r="E835" s="73"/>
      <c r="F835" s="153"/>
      <c r="G835" s="152"/>
      <c r="H835" s="152"/>
      <c r="I835" s="159"/>
      <c r="J835" s="159"/>
      <c r="K835" s="152"/>
      <c r="L835" s="154"/>
      <c r="M835" s="152"/>
      <c r="N835" s="152"/>
      <c r="O835" s="152"/>
      <c r="P835" s="152"/>
      <c r="Q835" s="155"/>
      <c r="R835" s="157"/>
      <c r="S835" s="152"/>
      <c r="T835" s="156"/>
    </row>
    <row r="836" spans="1:20" ht="14.25">
      <c r="A836" s="150"/>
      <c r="B836" s="151"/>
      <c r="C836" s="152"/>
      <c r="D836" s="135"/>
      <c r="E836" s="73"/>
      <c r="F836" s="153"/>
      <c r="G836" s="152"/>
      <c r="H836" s="152"/>
      <c r="I836" s="159"/>
      <c r="J836" s="159"/>
      <c r="K836" s="152"/>
      <c r="L836" s="154"/>
      <c r="M836" s="152"/>
      <c r="N836" s="152"/>
      <c r="O836" s="152"/>
      <c r="P836" s="152"/>
      <c r="Q836" s="155"/>
      <c r="R836" s="157"/>
      <c r="S836" s="152"/>
      <c r="T836" s="156"/>
    </row>
    <row r="837" spans="1:20" ht="14.25">
      <c r="A837" s="150"/>
      <c r="B837" s="151"/>
      <c r="C837" s="152"/>
      <c r="D837" s="135"/>
      <c r="E837" s="73"/>
      <c r="F837" s="153"/>
      <c r="G837" s="152"/>
      <c r="H837" s="152"/>
      <c r="I837" s="159"/>
      <c r="J837" s="159"/>
      <c r="K837" s="152"/>
      <c r="L837" s="154"/>
      <c r="M837" s="152"/>
      <c r="N837" s="152"/>
      <c r="O837" s="152"/>
      <c r="P837" s="152"/>
      <c r="Q837" s="155"/>
      <c r="R837" s="157"/>
      <c r="S837" s="152"/>
      <c r="T837" s="156"/>
    </row>
    <row r="838" spans="1:20" ht="14.25">
      <c r="A838" s="150"/>
      <c r="B838" s="151"/>
      <c r="C838" s="152"/>
      <c r="D838" s="135"/>
      <c r="E838" s="73"/>
      <c r="F838" s="153"/>
      <c r="G838" s="152"/>
      <c r="H838" s="152"/>
      <c r="I838" s="159"/>
      <c r="J838" s="159"/>
      <c r="K838" s="152"/>
      <c r="L838" s="154"/>
      <c r="M838" s="152"/>
      <c r="N838" s="152"/>
      <c r="O838" s="152"/>
      <c r="P838" s="152"/>
      <c r="Q838" s="155"/>
      <c r="R838" s="157"/>
      <c r="S838" s="152"/>
      <c r="T838" s="156"/>
    </row>
    <row r="839" spans="1:20" ht="14.25">
      <c r="A839" s="150"/>
      <c r="B839" s="151"/>
      <c r="C839" s="152"/>
      <c r="D839" s="135"/>
      <c r="E839" s="73"/>
      <c r="F839" s="153"/>
      <c r="G839" s="152"/>
      <c r="H839" s="152"/>
      <c r="I839" s="159"/>
      <c r="J839" s="159"/>
      <c r="K839" s="152"/>
      <c r="L839" s="154"/>
      <c r="M839" s="152"/>
      <c r="N839" s="152"/>
      <c r="O839" s="152"/>
      <c r="P839" s="152"/>
      <c r="Q839" s="155"/>
      <c r="R839" s="157"/>
      <c r="S839" s="152"/>
      <c r="T839" s="156"/>
    </row>
    <row r="840" spans="1:20" ht="14.25">
      <c r="A840" s="150"/>
      <c r="B840" s="151"/>
      <c r="C840" s="152"/>
      <c r="D840" s="135"/>
      <c r="E840" s="73"/>
      <c r="F840" s="153"/>
      <c r="G840" s="152"/>
      <c r="H840" s="152"/>
      <c r="I840" s="159"/>
      <c r="J840" s="159"/>
      <c r="K840" s="152"/>
      <c r="L840" s="154"/>
      <c r="M840" s="152"/>
      <c r="N840" s="152"/>
      <c r="O840" s="152"/>
      <c r="P840" s="152"/>
      <c r="Q840" s="155"/>
      <c r="R840" s="157"/>
      <c r="S840" s="152"/>
      <c r="T840" s="156"/>
    </row>
    <row r="841" spans="1:20" ht="14.25">
      <c r="A841" s="150"/>
      <c r="B841" s="151"/>
      <c r="C841" s="152"/>
      <c r="D841" s="135"/>
      <c r="E841" s="73"/>
      <c r="F841" s="153"/>
      <c r="G841" s="152"/>
      <c r="H841" s="152"/>
      <c r="I841" s="159"/>
      <c r="J841" s="159"/>
      <c r="K841" s="152"/>
      <c r="L841" s="154"/>
      <c r="M841" s="152"/>
      <c r="N841" s="152"/>
      <c r="O841" s="152"/>
      <c r="P841" s="152"/>
      <c r="Q841" s="155"/>
      <c r="R841" s="157"/>
      <c r="S841" s="152"/>
      <c r="T841" s="156"/>
    </row>
    <row r="842" spans="1:20" ht="14.25">
      <c r="A842" s="150"/>
      <c r="B842" s="151"/>
      <c r="C842" s="152"/>
      <c r="D842" s="135"/>
      <c r="E842" s="73"/>
      <c r="F842" s="153"/>
      <c r="G842" s="152"/>
      <c r="H842" s="152"/>
      <c r="I842" s="159"/>
      <c r="J842" s="159"/>
      <c r="K842" s="152"/>
      <c r="L842" s="154"/>
      <c r="M842" s="152"/>
      <c r="N842" s="152"/>
      <c r="O842" s="152"/>
      <c r="P842" s="152"/>
      <c r="Q842" s="155"/>
      <c r="R842" s="157"/>
      <c r="S842" s="152"/>
      <c r="T842" s="156"/>
    </row>
    <row r="843" spans="1:20" ht="14.25">
      <c r="A843" s="150"/>
      <c r="B843" s="151"/>
      <c r="C843" s="152"/>
      <c r="D843" s="135"/>
      <c r="E843" s="73"/>
      <c r="F843" s="153"/>
      <c r="G843" s="152"/>
      <c r="H843" s="152"/>
      <c r="I843" s="159"/>
      <c r="J843" s="159"/>
      <c r="K843" s="152"/>
      <c r="L843" s="154"/>
      <c r="M843" s="152"/>
      <c r="N843" s="152"/>
      <c r="O843" s="152"/>
      <c r="P843" s="152"/>
      <c r="Q843" s="155"/>
      <c r="R843" s="157"/>
      <c r="S843" s="152"/>
      <c r="T843" s="156"/>
    </row>
    <row r="844" spans="1:20" ht="14.25">
      <c r="A844" s="150"/>
      <c r="B844" s="151"/>
      <c r="C844" s="152"/>
      <c r="D844" s="135"/>
      <c r="E844" s="73"/>
      <c r="F844" s="153"/>
      <c r="G844" s="152"/>
      <c r="H844" s="152"/>
      <c r="I844" s="159"/>
      <c r="J844" s="159"/>
      <c r="K844" s="152"/>
      <c r="L844" s="154"/>
      <c r="M844" s="152"/>
      <c r="N844" s="152"/>
      <c r="O844" s="152"/>
      <c r="P844" s="152"/>
      <c r="Q844" s="155"/>
      <c r="R844" s="157"/>
      <c r="S844" s="152"/>
      <c r="T844" s="156"/>
    </row>
    <row r="845" spans="1:20" ht="14.25">
      <c r="A845" s="150"/>
      <c r="B845" s="151"/>
      <c r="C845" s="152"/>
      <c r="D845" s="135"/>
      <c r="E845" s="73"/>
      <c r="F845" s="153"/>
      <c r="G845" s="152"/>
      <c r="H845" s="152"/>
      <c r="I845" s="159"/>
      <c r="J845" s="159"/>
      <c r="K845" s="152"/>
      <c r="L845" s="154"/>
      <c r="M845" s="152"/>
      <c r="N845" s="152"/>
      <c r="O845" s="152"/>
      <c r="P845" s="152"/>
      <c r="Q845" s="155"/>
      <c r="R845" s="157"/>
      <c r="S845" s="152"/>
      <c r="T845" s="156"/>
    </row>
    <row r="846" spans="1:20" ht="14.25">
      <c r="A846" s="150"/>
      <c r="B846" s="151"/>
      <c r="C846" s="152"/>
      <c r="D846" s="135"/>
      <c r="E846" s="73"/>
      <c r="F846" s="153"/>
      <c r="G846" s="152"/>
      <c r="H846" s="152"/>
      <c r="I846" s="159"/>
      <c r="J846" s="159"/>
      <c r="K846" s="152"/>
      <c r="L846" s="154"/>
      <c r="M846" s="152"/>
      <c r="N846" s="152"/>
      <c r="O846" s="152"/>
      <c r="P846" s="152"/>
      <c r="Q846" s="155"/>
      <c r="R846" s="157"/>
      <c r="S846" s="152"/>
      <c r="T846" s="156"/>
    </row>
    <row r="847" spans="1:20" ht="14.25">
      <c r="A847" s="150"/>
      <c r="B847" s="151"/>
      <c r="C847" s="152"/>
      <c r="D847" s="135"/>
      <c r="E847" s="73"/>
      <c r="F847" s="153"/>
      <c r="G847" s="152"/>
      <c r="H847" s="152"/>
      <c r="I847" s="159"/>
      <c r="J847" s="159"/>
      <c r="K847" s="152"/>
      <c r="L847" s="154"/>
      <c r="M847" s="152"/>
      <c r="N847" s="152"/>
      <c r="O847" s="152"/>
      <c r="P847" s="152"/>
      <c r="Q847" s="155"/>
      <c r="R847" s="157"/>
      <c r="S847" s="152"/>
      <c r="T847" s="156"/>
    </row>
    <row r="848" spans="1:20" ht="14.25">
      <c r="A848" s="150"/>
      <c r="B848" s="151"/>
      <c r="C848" s="152"/>
      <c r="D848" s="135"/>
      <c r="E848" s="73"/>
      <c r="F848" s="153"/>
      <c r="G848" s="152"/>
      <c r="H848" s="152"/>
      <c r="I848" s="159"/>
      <c r="J848" s="159"/>
      <c r="K848" s="152"/>
      <c r="L848" s="154"/>
      <c r="M848" s="152"/>
      <c r="N848" s="152"/>
      <c r="O848" s="152"/>
      <c r="P848" s="152"/>
      <c r="Q848" s="155"/>
      <c r="R848" s="157"/>
      <c r="S848" s="152"/>
      <c r="T848" s="156"/>
    </row>
    <row r="849" spans="1:20" ht="14.25">
      <c r="A849" s="150"/>
      <c r="B849" s="151"/>
      <c r="C849" s="152"/>
      <c r="D849" s="135"/>
      <c r="E849" s="73"/>
      <c r="F849" s="153"/>
      <c r="G849" s="152"/>
      <c r="H849" s="152"/>
      <c r="I849" s="159"/>
      <c r="J849" s="159"/>
      <c r="K849" s="152"/>
      <c r="L849" s="154"/>
      <c r="M849" s="152"/>
      <c r="N849" s="152"/>
      <c r="O849" s="152"/>
      <c r="P849" s="152"/>
      <c r="Q849" s="155"/>
      <c r="R849" s="157"/>
      <c r="S849" s="152"/>
      <c r="T849" s="156"/>
    </row>
    <row r="850" spans="1:20" ht="14.25">
      <c r="A850" s="150"/>
      <c r="B850" s="151"/>
      <c r="C850" s="152"/>
      <c r="D850" s="135"/>
      <c r="E850" s="73"/>
      <c r="F850" s="153"/>
      <c r="G850" s="152"/>
      <c r="H850" s="152"/>
      <c r="I850" s="159"/>
      <c r="J850" s="159"/>
      <c r="K850" s="152"/>
      <c r="L850" s="154"/>
      <c r="M850" s="152"/>
      <c r="N850" s="152"/>
      <c r="O850" s="152"/>
      <c r="P850" s="152"/>
      <c r="Q850" s="155"/>
      <c r="R850" s="157"/>
      <c r="S850" s="152"/>
      <c r="T850" s="156"/>
    </row>
    <row r="851" spans="1:20" ht="14.25">
      <c r="A851" s="150"/>
      <c r="B851" s="151"/>
      <c r="C851" s="152"/>
      <c r="D851" s="135"/>
      <c r="E851" s="73"/>
      <c r="F851" s="153"/>
      <c r="G851" s="152"/>
      <c r="H851" s="152"/>
      <c r="I851" s="159"/>
      <c r="J851" s="159"/>
      <c r="K851" s="152"/>
      <c r="L851" s="154"/>
      <c r="M851" s="152"/>
      <c r="N851" s="152"/>
      <c r="O851" s="152"/>
      <c r="P851" s="152"/>
      <c r="Q851" s="155"/>
      <c r="R851" s="157"/>
      <c r="S851" s="152"/>
      <c r="T851" s="156"/>
    </row>
    <row r="852" spans="1:20" ht="14.25">
      <c r="A852" s="150"/>
      <c r="B852" s="151"/>
      <c r="C852" s="152"/>
      <c r="D852" s="135"/>
      <c r="E852" s="73"/>
      <c r="F852" s="153"/>
      <c r="G852" s="152"/>
      <c r="H852" s="152"/>
      <c r="I852" s="159"/>
      <c r="J852" s="159"/>
      <c r="K852" s="152"/>
      <c r="L852" s="154"/>
      <c r="M852" s="152"/>
      <c r="N852" s="152"/>
      <c r="O852" s="152"/>
      <c r="P852" s="152"/>
      <c r="Q852" s="155"/>
      <c r="R852" s="157"/>
      <c r="S852" s="152"/>
      <c r="T852" s="156"/>
    </row>
    <row r="853" spans="1:20" ht="14.25">
      <c r="A853" s="150"/>
      <c r="B853" s="151"/>
      <c r="C853" s="152"/>
      <c r="D853" s="135"/>
      <c r="E853" s="73"/>
      <c r="F853" s="153"/>
      <c r="G853" s="152"/>
      <c r="H853" s="152"/>
      <c r="I853" s="159"/>
      <c r="J853" s="159"/>
      <c r="K853" s="152"/>
      <c r="L853" s="154"/>
      <c r="M853" s="152"/>
      <c r="N853" s="152"/>
      <c r="O853" s="152"/>
      <c r="P853" s="152"/>
      <c r="Q853" s="155"/>
      <c r="R853" s="157"/>
      <c r="S853" s="152"/>
      <c r="T853" s="156"/>
    </row>
    <row r="854" spans="1:20" ht="14.25">
      <c r="A854" s="150"/>
      <c r="B854" s="151"/>
      <c r="C854" s="152"/>
      <c r="D854" s="135"/>
      <c r="E854" s="73"/>
      <c r="F854" s="153"/>
      <c r="G854" s="152"/>
      <c r="H854" s="152"/>
      <c r="I854" s="159"/>
      <c r="J854" s="159"/>
      <c r="K854" s="152"/>
      <c r="L854" s="154"/>
      <c r="M854" s="152"/>
      <c r="N854" s="152"/>
      <c r="O854" s="152"/>
      <c r="P854" s="152"/>
      <c r="Q854" s="155"/>
      <c r="R854" s="157"/>
      <c r="S854" s="152"/>
      <c r="T854" s="156"/>
    </row>
    <row r="855" spans="1:20" ht="14.25">
      <c r="A855" s="150"/>
      <c r="B855" s="151"/>
      <c r="C855" s="152"/>
      <c r="D855" s="135"/>
      <c r="E855" s="73"/>
      <c r="F855" s="153"/>
      <c r="G855" s="152"/>
      <c r="H855" s="152"/>
      <c r="I855" s="159"/>
      <c r="J855" s="159"/>
      <c r="K855" s="152"/>
      <c r="L855" s="154"/>
      <c r="M855" s="152"/>
      <c r="N855" s="152"/>
      <c r="O855" s="152"/>
      <c r="P855" s="152"/>
      <c r="Q855" s="155"/>
      <c r="R855" s="157"/>
      <c r="S855" s="152"/>
      <c r="T855" s="156"/>
    </row>
    <row r="856" spans="1:20" ht="14.25">
      <c r="A856" s="150"/>
      <c r="B856" s="151"/>
      <c r="C856" s="152"/>
      <c r="D856" s="135"/>
      <c r="E856" s="73"/>
      <c r="F856" s="153"/>
      <c r="G856" s="152"/>
      <c r="H856" s="152"/>
      <c r="I856" s="159"/>
      <c r="J856" s="159"/>
      <c r="K856" s="152"/>
      <c r="L856" s="154"/>
      <c r="M856" s="152"/>
      <c r="N856" s="152"/>
      <c r="O856" s="152"/>
      <c r="P856" s="152"/>
      <c r="Q856" s="155"/>
      <c r="R856" s="157"/>
      <c r="S856" s="152"/>
      <c r="T856" s="156"/>
    </row>
    <row r="857" spans="1:20" ht="14.25">
      <c r="A857" s="150"/>
      <c r="B857" s="151"/>
      <c r="C857" s="152"/>
      <c r="D857" s="135"/>
      <c r="E857" s="73"/>
      <c r="F857" s="153"/>
      <c r="G857" s="152"/>
      <c r="H857" s="152"/>
      <c r="I857" s="159"/>
      <c r="J857" s="159"/>
      <c r="K857" s="152"/>
      <c r="L857" s="154"/>
      <c r="M857" s="152"/>
      <c r="N857" s="152"/>
      <c r="O857" s="152"/>
      <c r="P857" s="152"/>
      <c r="Q857" s="155"/>
      <c r="R857" s="157"/>
      <c r="S857" s="152"/>
      <c r="T857" s="156"/>
    </row>
    <row r="858" spans="1:20" ht="14.25">
      <c r="A858" s="150"/>
      <c r="B858" s="151"/>
      <c r="C858" s="152"/>
      <c r="D858" s="135"/>
      <c r="E858" s="73"/>
      <c r="F858" s="153"/>
      <c r="G858" s="152"/>
      <c r="H858" s="152"/>
      <c r="I858" s="159"/>
      <c r="J858" s="159"/>
      <c r="K858" s="152"/>
      <c r="L858" s="154"/>
      <c r="M858" s="152"/>
      <c r="N858" s="152"/>
      <c r="O858" s="152"/>
      <c r="P858" s="152"/>
      <c r="Q858" s="155"/>
      <c r="R858" s="157"/>
      <c r="S858" s="152"/>
      <c r="T858" s="156"/>
    </row>
    <row r="859" spans="1:20" ht="14.25">
      <c r="A859" s="150"/>
      <c r="B859" s="151"/>
      <c r="C859" s="152"/>
      <c r="D859" s="135"/>
      <c r="E859" s="73"/>
      <c r="F859" s="153"/>
      <c r="G859" s="152"/>
      <c r="H859" s="152"/>
      <c r="I859" s="159"/>
      <c r="J859" s="159"/>
      <c r="K859" s="152"/>
      <c r="L859" s="154"/>
      <c r="M859" s="152"/>
      <c r="N859" s="152"/>
      <c r="O859" s="152"/>
      <c r="P859" s="152"/>
      <c r="Q859" s="155"/>
      <c r="R859" s="157"/>
      <c r="S859" s="152"/>
      <c r="T859" s="156"/>
    </row>
    <row r="860" spans="1:20" ht="14.25">
      <c r="A860" s="150"/>
      <c r="B860" s="151"/>
      <c r="C860" s="152"/>
      <c r="D860" s="135"/>
      <c r="E860" s="73"/>
      <c r="F860" s="153"/>
      <c r="G860" s="152"/>
      <c r="H860" s="152"/>
      <c r="I860" s="159"/>
      <c r="J860" s="159"/>
      <c r="K860" s="152"/>
      <c r="L860" s="154"/>
      <c r="M860" s="152"/>
      <c r="N860" s="152"/>
      <c r="O860" s="152"/>
      <c r="P860" s="152"/>
      <c r="Q860" s="155"/>
      <c r="R860" s="157"/>
      <c r="S860" s="152"/>
      <c r="T860" s="156"/>
    </row>
    <row r="861" spans="1:20" ht="14.25">
      <c r="A861" s="150"/>
      <c r="B861" s="151"/>
      <c r="C861" s="152"/>
      <c r="D861" s="135"/>
      <c r="E861" s="73"/>
      <c r="F861" s="153"/>
      <c r="G861" s="152"/>
      <c r="H861" s="152"/>
      <c r="I861" s="159"/>
      <c r="J861" s="159"/>
      <c r="K861" s="152"/>
      <c r="L861" s="154"/>
      <c r="M861" s="152"/>
      <c r="N861" s="152"/>
      <c r="O861" s="152"/>
      <c r="P861" s="152"/>
      <c r="Q861" s="155"/>
      <c r="R861" s="157"/>
      <c r="S861" s="152"/>
      <c r="T861" s="156"/>
    </row>
    <row r="862" spans="1:20" ht="14.25">
      <c r="A862" s="150"/>
      <c r="B862" s="151"/>
      <c r="C862" s="152"/>
      <c r="D862" s="135"/>
      <c r="E862" s="73"/>
      <c r="F862" s="153"/>
      <c r="G862" s="152"/>
      <c r="H862" s="152"/>
      <c r="I862" s="159"/>
      <c r="J862" s="159"/>
      <c r="K862" s="152"/>
      <c r="L862" s="154"/>
      <c r="M862" s="152"/>
      <c r="N862" s="152"/>
      <c r="O862" s="152"/>
      <c r="P862" s="152"/>
      <c r="Q862" s="155"/>
      <c r="R862" s="157"/>
      <c r="S862" s="152"/>
      <c r="T862" s="156"/>
    </row>
    <row r="863" spans="1:20" ht="14.25">
      <c r="A863" s="150"/>
      <c r="B863" s="151"/>
      <c r="C863" s="152"/>
      <c r="D863" s="135"/>
      <c r="E863" s="73"/>
      <c r="F863" s="153"/>
      <c r="G863" s="152"/>
      <c r="H863" s="152"/>
      <c r="I863" s="159"/>
      <c r="J863" s="159"/>
      <c r="K863" s="152"/>
      <c r="L863" s="154"/>
      <c r="M863" s="152"/>
      <c r="N863" s="152"/>
      <c r="O863" s="152"/>
      <c r="P863" s="152"/>
      <c r="Q863" s="155"/>
      <c r="R863" s="157"/>
      <c r="S863" s="152"/>
      <c r="T863" s="156"/>
    </row>
    <row r="864" spans="1:20" ht="14.25">
      <c r="A864" s="150"/>
      <c r="B864" s="151"/>
      <c r="C864" s="152"/>
      <c r="D864" s="135"/>
      <c r="E864" s="73"/>
      <c r="F864" s="153"/>
      <c r="G864" s="152"/>
      <c r="H864" s="152"/>
      <c r="I864" s="159"/>
      <c r="J864" s="159"/>
      <c r="K864" s="152"/>
      <c r="L864" s="154"/>
      <c r="M864" s="152"/>
      <c r="N864" s="152"/>
      <c r="O864" s="152"/>
      <c r="P864" s="152"/>
      <c r="Q864" s="155"/>
      <c r="R864" s="157"/>
      <c r="S864" s="152"/>
      <c r="T864" s="156"/>
    </row>
    <row r="865" spans="1:20" ht="14.25">
      <c r="A865" s="150"/>
      <c r="B865" s="151"/>
      <c r="C865" s="152"/>
      <c r="D865" s="135"/>
      <c r="E865" s="73"/>
      <c r="F865" s="153"/>
      <c r="G865" s="152"/>
      <c r="H865" s="152"/>
      <c r="I865" s="159"/>
      <c r="J865" s="159"/>
      <c r="K865" s="152"/>
      <c r="L865" s="154"/>
      <c r="M865" s="152"/>
      <c r="N865" s="152"/>
      <c r="O865" s="152"/>
      <c r="P865" s="152"/>
      <c r="Q865" s="155"/>
      <c r="R865" s="157"/>
      <c r="S865" s="152"/>
      <c r="T865" s="156"/>
    </row>
    <row r="866" spans="1:20" ht="14.25">
      <c r="A866" s="150"/>
      <c r="B866" s="151"/>
      <c r="C866" s="152"/>
      <c r="D866" s="135"/>
      <c r="E866" s="73"/>
      <c r="F866" s="153"/>
      <c r="G866" s="152"/>
      <c r="H866" s="152"/>
      <c r="I866" s="159"/>
      <c r="J866" s="159"/>
      <c r="K866" s="152"/>
      <c r="L866" s="154"/>
      <c r="M866" s="152"/>
      <c r="N866" s="152"/>
      <c r="O866" s="152"/>
      <c r="P866" s="152"/>
      <c r="Q866" s="155"/>
      <c r="R866" s="157"/>
      <c r="S866" s="152"/>
      <c r="T866" s="156"/>
    </row>
    <row r="867" spans="1:20" ht="14.25">
      <c r="A867" s="150"/>
      <c r="B867" s="151"/>
      <c r="C867" s="152"/>
      <c r="D867" s="135"/>
      <c r="E867" s="73"/>
      <c r="F867" s="153"/>
      <c r="G867" s="152"/>
      <c r="H867" s="152"/>
      <c r="I867" s="159"/>
      <c r="J867" s="159"/>
      <c r="K867" s="152"/>
      <c r="L867" s="154"/>
      <c r="M867" s="152"/>
      <c r="N867" s="152"/>
      <c r="O867" s="152"/>
      <c r="P867" s="152"/>
      <c r="Q867" s="155"/>
      <c r="R867" s="157"/>
      <c r="S867" s="152"/>
      <c r="T867" s="156"/>
    </row>
    <row r="868" spans="1:20" ht="14.25">
      <c r="A868" s="150"/>
      <c r="B868" s="151"/>
      <c r="C868" s="152"/>
      <c r="D868" s="135"/>
      <c r="E868" s="73"/>
      <c r="F868" s="153"/>
      <c r="G868" s="152"/>
      <c r="H868" s="152"/>
      <c r="I868" s="159"/>
      <c r="J868" s="159"/>
      <c r="K868" s="152"/>
      <c r="L868" s="154"/>
      <c r="M868" s="152"/>
      <c r="N868" s="152"/>
      <c r="O868" s="152"/>
      <c r="P868" s="152"/>
      <c r="Q868" s="155"/>
      <c r="R868" s="157"/>
      <c r="S868" s="152"/>
      <c r="T868" s="156"/>
    </row>
    <row r="869" spans="1:20" ht="14.25">
      <c r="A869" s="150"/>
      <c r="B869" s="151"/>
      <c r="C869" s="152"/>
      <c r="D869" s="135"/>
      <c r="E869" s="73"/>
      <c r="F869" s="153"/>
      <c r="G869" s="152"/>
      <c r="H869" s="152"/>
      <c r="I869" s="159"/>
      <c r="J869" s="159"/>
      <c r="K869" s="152"/>
      <c r="L869" s="154"/>
      <c r="M869" s="152"/>
      <c r="N869" s="152"/>
      <c r="O869" s="152"/>
      <c r="P869" s="152"/>
      <c r="Q869" s="155"/>
      <c r="R869" s="157"/>
      <c r="S869" s="152"/>
      <c r="T869" s="156"/>
    </row>
    <row r="870" spans="1:20" ht="14.25">
      <c r="A870" s="150"/>
      <c r="B870" s="151"/>
      <c r="C870" s="152"/>
      <c r="D870" s="135"/>
      <c r="E870" s="73"/>
      <c r="F870" s="153"/>
      <c r="G870" s="152"/>
      <c r="H870" s="152"/>
      <c r="I870" s="159"/>
      <c r="J870" s="159"/>
      <c r="K870" s="152"/>
      <c r="L870" s="154"/>
      <c r="M870" s="152"/>
      <c r="N870" s="152"/>
      <c r="O870" s="152"/>
      <c r="P870" s="152"/>
      <c r="Q870" s="155"/>
      <c r="R870" s="157"/>
      <c r="S870" s="152"/>
      <c r="T870" s="156"/>
    </row>
    <row r="871" spans="1:20" ht="14.25">
      <c r="A871" s="150"/>
      <c r="B871" s="151"/>
      <c r="C871" s="152"/>
      <c r="D871" s="135"/>
      <c r="E871" s="73"/>
      <c r="F871" s="153"/>
      <c r="G871" s="152"/>
      <c r="H871" s="152"/>
      <c r="I871" s="159"/>
      <c r="J871" s="159"/>
      <c r="K871" s="152"/>
      <c r="L871" s="154"/>
      <c r="M871" s="152"/>
      <c r="N871" s="152"/>
      <c r="O871" s="152"/>
      <c r="P871" s="152"/>
      <c r="Q871" s="155"/>
      <c r="R871" s="157"/>
      <c r="S871" s="152"/>
      <c r="T871" s="156"/>
    </row>
    <row r="872" spans="1:20" ht="14.25">
      <c r="A872" s="150"/>
      <c r="B872" s="151"/>
      <c r="C872" s="152"/>
      <c r="D872" s="135"/>
      <c r="E872" s="73"/>
      <c r="F872" s="153"/>
      <c r="G872" s="152"/>
      <c r="H872" s="152"/>
      <c r="I872" s="159"/>
      <c r="J872" s="159"/>
      <c r="K872" s="152"/>
      <c r="L872" s="154"/>
      <c r="M872" s="152"/>
      <c r="N872" s="152"/>
      <c r="O872" s="152"/>
      <c r="P872" s="152"/>
      <c r="Q872" s="155"/>
      <c r="R872" s="157"/>
      <c r="S872" s="152"/>
      <c r="T872" s="156"/>
    </row>
    <row r="873" spans="1:20" ht="14.25">
      <c r="A873" s="150"/>
      <c r="B873" s="151"/>
      <c r="C873" s="152"/>
      <c r="D873" s="135"/>
      <c r="E873" s="73"/>
      <c r="F873" s="153"/>
      <c r="G873" s="152"/>
      <c r="H873" s="152"/>
      <c r="I873" s="159"/>
      <c r="J873" s="159"/>
      <c r="K873" s="152"/>
      <c r="L873" s="154"/>
      <c r="M873" s="152"/>
      <c r="N873" s="152"/>
      <c r="O873" s="152"/>
      <c r="P873" s="152"/>
      <c r="Q873" s="155"/>
      <c r="R873" s="157"/>
      <c r="S873" s="152"/>
      <c r="T873" s="156"/>
    </row>
    <row r="874" spans="1:20" ht="14.25">
      <c r="A874" s="150"/>
      <c r="B874" s="151"/>
      <c r="C874" s="152"/>
      <c r="D874" s="135"/>
      <c r="E874" s="73"/>
      <c r="F874" s="153"/>
      <c r="G874" s="152"/>
      <c r="H874" s="152"/>
      <c r="I874" s="159"/>
      <c r="J874" s="159"/>
      <c r="K874" s="152"/>
      <c r="L874" s="154"/>
      <c r="M874" s="152"/>
      <c r="N874" s="152"/>
      <c r="O874" s="152"/>
      <c r="P874" s="152"/>
      <c r="Q874" s="155"/>
      <c r="R874" s="157"/>
      <c r="S874" s="152"/>
      <c r="T874" s="156"/>
    </row>
    <row r="875" spans="1:20" ht="14.25">
      <c r="A875" s="150"/>
      <c r="B875" s="151"/>
      <c r="C875" s="152"/>
      <c r="D875" s="135"/>
      <c r="E875" s="73"/>
      <c r="F875" s="153"/>
      <c r="G875" s="152"/>
      <c r="H875" s="152"/>
      <c r="I875" s="159"/>
      <c r="J875" s="159"/>
      <c r="K875" s="152"/>
      <c r="L875" s="154"/>
      <c r="M875" s="152"/>
      <c r="N875" s="152"/>
      <c r="O875" s="152"/>
      <c r="P875" s="152"/>
      <c r="Q875" s="155"/>
      <c r="R875" s="157"/>
      <c r="S875" s="152"/>
      <c r="T875" s="156"/>
    </row>
    <row r="876" spans="1:20" ht="14.25">
      <c r="A876" s="150"/>
      <c r="B876" s="151"/>
      <c r="C876" s="152"/>
      <c r="D876" s="135"/>
      <c r="E876" s="73"/>
      <c r="F876" s="153"/>
      <c r="G876" s="152"/>
      <c r="H876" s="152"/>
      <c r="I876" s="159"/>
      <c r="J876" s="159"/>
      <c r="K876" s="152"/>
      <c r="L876" s="154"/>
      <c r="M876" s="152"/>
      <c r="N876" s="152"/>
      <c r="O876" s="152"/>
      <c r="P876" s="152"/>
      <c r="Q876" s="155"/>
      <c r="R876" s="157"/>
      <c r="S876" s="152"/>
      <c r="T876" s="156"/>
    </row>
    <row r="877" spans="1:20" ht="14.25">
      <c r="A877" s="150"/>
      <c r="B877" s="151"/>
      <c r="C877" s="152"/>
      <c r="D877" s="135"/>
      <c r="E877" s="73"/>
      <c r="F877" s="153"/>
      <c r="G877" s="152"/>
      <c r="H877" s="152"/>
      <c r="I877" s="159"/>
      <c r="J877" s="159"/>
      <c r="K877" s="152"/>
      <c r="L877" s="154"/>
      <c r="M877" s="152"/>
      <c r="N877" s="152"/>
      <c r="O877" s="152"/>
      <c r="P877" s="152"/>
      <c r="Q877" s="155"/>
      <c r="R877" s="157"/>
      <c r="S877" s="152"/>
      <c r="T877" s="156"/>
    </row>
    <row r="878" spans="1:20" ht="14.25">
      <c r="A878" s="150"/>
      <c r="B878" s="151"/>
      <c r="C878" s="152"/>
      <c r="D878" s="135"/>
      <c r="E878" s="73"/>
      <c r="F878" s="153"/>
      <c r="G878" s="152"/>
      <c r="H878" s="152"/>
      <c r="I878" s="159"/>
      <c r="J878" s="159"/>
      <c r="K878" s="152"/>
      <c r="L878" s="154"/>
      <c r="M878" s="152"/>
      <c r="N878" s="152"/>
      <c r="O878" s="152"/>
      <c r="P878" s="152"/>
      <c r="Q878" s="155"/>
      <c r="R878" s="157"/>
      <c r="S878" s="152"/>
      <c r="T878" s="156"/>
    </row>
    <row r="879" spans="1:20" ht="14.25">
      <c r="A879" s="150"/>
      <c r="B879" s="151"/>
      <c r="C879" s="152"/>
      <c r="D879" s="135"/>
      <c r="E879" s="73"/>
      <c r="F879" s="153"/>
      <c r="G879" s="152"/>
      <c r="H879" s="152"/>
      <c r="I879" s="159"/>
      <c r="J879" s="159"/>
      <c r="K879" s="152"/>
      <c r="L879" s="154"/>
      <c r="M879" s="152"/>
      <c r="N879" s="152"/>
      <c r="O879" s="152"/>
      <c r="P879" s="152"/>
      <c r="Q879" s="155"/>
      <c r="R879" s="157"/>
      <c r="S879" s="152"/>
      <c r="T879" s="156"/>
    </row>
    <row r="880" spans="1:20" ht="14.25">
      <c r="A880" s="150"/>
      <c r="B880" s="151"/>
      <c r="C880" s="152"/>
      <c r="D880" s="135"/>
      <c r="E880" s="73"/>
      <c r="F880" s="153"/>
      <c r="G880" s="152"/>
      <c r="H880" s="152"/>
      <c r="I880" s="159"/>
      <c r="J880" s="159"/>
      <c r="K880" s="152"/>
      <c r="L880" s="154"/>
      <c r="M880" s="152"/>
      <c r="N880" s="152"/>
      <c r="O880" s="152"/>
      <c r="P880" s="152"/>
      <c r="Q880" s="155"/>
      <c r="R880" s="157"/>
      <c r="S880" s="152"/>
      <c r="T880" s="156"/>
    </row>
    <row r="881" spans="1:20" ht="14.25">
      <c r="A881" s="150"/>
      <c r="B881" s="151"/>
      <c r="C881" s="152"/>
      <c r="D881" s="135"/>
      <c r="E881" s="73"/>
      <c r="F881" s="153"/>
      <c r="G881" s="152"/>
      <c r="H881" s="152"/>
      <c r="I881" s="159"/>
      <c r="J881" s="159"/>
      <c r="K881" s="152"/>
      <c r="L881" s="154"/>
      <c r="M881" s="152"/>
      <c r="N881" s="152"/>
      <c r="O881" s="152"/>
      <c r="P881" s="152"/>
      <c r="Q881" s="155"/>
      <c r="R881" s="157"/>
      <c r="S881" s="152"/>
      <c r="T881" s="156"/>
    </row>
    <row r="882" spans="1:20" ht="14.25">
      <c r="A882" s="150"/>
      <c r="B882" s="151"/>
      <c r="C882" s="152"/>
      <c r="D882" s="135"/>
      <c r="E882" s="73"/>
      <c r="F882" s="153"/>
      <c r="G882" s="152"/>
      <c r="H882" s="152"/>
      <c r="I882" s="159"/>
      <c r="J882" s="159"/>
      <c r="K882" s="152"/>
      <c r="L882" s="154"/>
      <c r="M882" s="152"/>
      <c r="N882" s="152"/>
      <c r="O882" s="152"/>
      <c r="P882" s="152"/>
      <c r="Q882" s="155"/>
      <c r="R882" s="157"/>
      <c r="S882" s="152"/>
      <c r="T882" s="156"/>
    </row>
    <row r="883" spans="1:20" ht="14.25">
      <c r="A883" s="150"/>
      <c r="B883" s="151"/>
      <c r="C883" s="152"/>
      <c r="D883" s="135"/>
      <c r="E883" s="73"/>
      <c r="F883" s="153"/>
      <c r="G883" s="152"/>
      <c r="H883" s="152"/>
      <c r="I883" s="159"/>
      <c r="J883" s="159"/>
      <c r="K883" s="152"/>
      <c r="L883" s="154"/>
      <c r="M883" s="152"/>
      <c r="N883" s="152"/>
      <c r="O883" s="152"/>
      <c r="P883" s="152"/>
      <c r="Q883" s="155"/>
      <c r="R883" s="157"/>
      <c r="S883" s="152"/>
      <c r="T883" s="156"/>
    </row>
    <row r="884" spans="1:20" ht="14.25">
      <c r="A884" s="150"/>
      <c r="B884" s="151"/>
      <c r="C884" s="152"/>
      <c r="D884" s="135"/>
      <c r="E884" s="73"/>
      <c r="F884" s="153"/>
      <c r="G884" s="152"/>
      <c r="H884" s="152"/>
      <c r="I884" s="159"/>
      <c r="J884" s="159"/>
      <c r="K884" s="152"/>
      <c r="L884" s="154"/>
      <c r="M884" s="152"/>
      <c r="N884" s="152"/>
      <c r="O884" s="152"/>
      <c r="P884" s="152"/>
      <c r="Q884" s="155"/>
      <c r="R884" s="157"/>
      <c r="S884" s="152"/>
      <c r="T884" s="156"/>
    </row>
    <row r="885" spans="1:20" ht="14.25">
      <c r="A885" s="150"/>
      <c r="B885" s="151"/>
      <c r="C885" s="152"/>
      <c r="D885" s="135"/>
      <c r="E885" s="73"/>
      <c r="F885" s="153"/>
      <c r="G885" s="152"/>
      <c r="H885" s="152"/>
      <c r="I885" s="159"/>
      <c r="J885" s="159"/>
      <c r="K885" s="152"/>
      <c r="L885" s="154"/>
      <c r="M885" s="152"/>
      <c r="N885" s="152"/>
      <c r="O885" s="152"/>
      <c r="P885" s="152"/>
      <c r="Q885" s="155"/>
      <c r="R885" s="157"/>
      <c r="S885" s="152"/>
      <c r="T885" s="156"/>
    </row>
    <row r="886" spans="1:20" ht="14.25">
      <c r="A886" s="150"/>
      <c r="B886" s="151"/>
      <c r="C886" s="152"/>
      <c r="D886" s="135"/>
      <c r="E886" s="73"/>
      <c r="F886" s="153"/>
      <c r="G886" s="152"/>
      <c r="H886" s="152"/>
      <c r="I886" s="159"/>
      <c r="J886" s="159"/>
      <c r="K886" s="152"/>
      <c r="L886" s="154"/>
      <c r="M886" s="152"/>
      <c r="N886" s="152"/>
      <c r="O886" s="152"/>
      <c r="P886" s="152"/>
      <c r="Q886" s="155"/>
      <c r="R886" s="157"/>
      <c r="S886" s="152"/>
      <c r="T886" s="156"/>
    </row>
    <row r="887" spans="1:20" ht="14.25">
      <c r="A887" s="150"/>
      <c r="B887" s="151"/>
      <c r="C887" s="152"/>
      <c r="D887" s="135"/>
      <c r="E887" s="73"/>
      <c r="F887" s="153"/>
      <c r="G887" s="152"/>
      <c r="H887" s="152"/>
      <c r="I887" s="159"/>
      <c r="J887" s="159"/>
      <c r="K887" s="152"/>
      <c r="L887" s="154"/>
      <c r="M887" s="152"/>
      <c r="N887" s="152"/>
      <c r="O887" s="152"/>
      <c r="P887" s="152"/>
      <c r="Q887" s="155"/>
      <c r="R887" s="157"/>
      <c r="S887" s="152"/>
      <c r="T887" s="156"/>
    </row>
    <row r="888" spans="1:20" ht="14.25">
      <c r="A888" s="150"/>
      <c r="B888" s="151"/>
      <c r="C888" s="152"/>
      <c r="D888" s="135"/>
      <c r="E888" s="73"/>
      <c r="F888" s="153"/>
      <c r="G888" s="152"/>
      <c r="H888" s="152"/>
      <c r="I888" s="159"/>
      <c r="J888" s="159"/>
      <c r="K888" s="152"/>
      <c r="L888" s="154"/>
      <c r="M888" s="152"/>
      <c r="N888" s="152"/>
      <c r="O888" s="152"/>
      <c r="P888" s="152"/>
      <c r="Q888" s="155"/>
      <c r="R888" s="157"/>
      <c r="S888" s="152"/>
      <c r="T888" s="156"/>
    </row>
    <row r="889" spans="1:20" ht="14.25">
      <c r="A889" s="150"/>
      <c r="B889" s="151"/>
      <c r="C889" s="152"/>
      <c r="D889" s="135"/>
      <c r="E889" s="73"/>
      <c r="F889" s="153"/>
      <c r="G889" s="152"/>
      <c r="H889" s="152"/>
      <c r="I889" s="159"/>
      <c r="J889" s="159"/>
      <c r="K889" s="152"/>
      <c r="L889" s="154"/>
      <c r="M889" s="152"/>
      <c r="N889" s="152"/>
      <c r="O889" s="152"/>
      <c r="P889" s="152"/>
      <c r="Q889" s="155"/>
      <c r="R889" s="157"/>
      <c r="S889" s="152"/>
      <c r="T889" s="156"/>
    </row>
    <row r="890" spans="1:20" ht="14.25">
      <c r="A890" s="150"/>
      <c r="B890" s="151"/>
      <c r="C890" s="152"/>
      <c r="D890" s="135"/>
      <c r="E890" s="73"/>
      <c r="F890" s="153"/>
      <c r="G890" s="152"/>
      <c r="H890" s="152"/>
      <c r="I890" s="159"/>
      <c r="J890" s="159"/>
      <c r="K890" s="152"/>
      <c r="L890" s="154"/>
      <c r="M890" s="152"/>
      <c r="N890" s="152"/>
      <c r="O890" s="152"/>
      <c r="P890" s="152"/>
      <c r="Q890" s="155"/>
      <c r="R890" s="157"/>
      <c r="S890" s="152"/>
      <c r="T890" s="156"/>
    </row>
    <row r="891" spans="1:20" ht="14.25">
      <c r="A891" s="150"/>
      <c r="B891" s="151"/>
      <c r="C891" s="152"/>
      <c r="D891" s="135"/>
      <c r="E891" s="73"/>
      <c r="F891" s="153"/>
      <c r="G891" s="152"/>
      <c r="H891" s="152"/>
      <c r="I891" s="159"/>
      <c r="J891" s="159"/>
      <c r="K891" s="152"/>
      <c r="L891" s="154"/>
      <c r="M891" s="152"/>
      <c r="N891" s="152"/>
      <c r="O891" s="152"/>
      <c r="P891" s="152"/>
      <c r="Q891" s="155"/>
      <c r="R891" s="157"/>
      <c r="S891" s="152"/>
      <c r="T891" s="156"/>
    </row>
    <row r="892" spans="1:20" ht="14.25">
      <c r="A892" s="150"/>
      <c r="B892" s="151"/>
      <c r="C892" s="152"/>
      <c r="D892" s="135"/>
      <c r="E892" s="73"/>
      <c r="F892" s="153"/>
      <c r="G892" s="152"/>
      <c r="H892" s="152"/>
      <c r="I892" s="159"/>
      <c r="J892" s="159"/>
      <c r="K892" s="152"/>
      <c r="L892" s="154"/>
      <c r="M892" s="152"/>
      <c r="N892" s="152"/>
      <c r="O892" s="152"/>
      <c r="P892" s="152"/>
      <c r="Q892" s="155"/>
      <c r="R892" s="157"/>
      <c r="S892" s="152"/>
      <c r="T892" s="156"/>
    </row>
    <row r="893" spans="1:20" ht="14.25">
      <c r="A893" s="150"/>
      <c r="B893" s="151"/>
      <c r="C893" s="152"/>
      <c r="D893" s="135"/>
      <c r="E893" s="73"/>
      <c r="F893" s="153"/>
      <c r="G893" s="152"/>
      <c r="H893" s="152"/>
      <c r="I893" s="159"/>
      <c r="J893" s="159"/>
      <c r="K893" s="152"/>
      <c r="L893" s="154"/>
      <c r="M893" s="152"/>
      <c r="N893" s="152"/>
      <c r="O893" s="152"/>
      <c r="P893" s="152"/>
      <c r="Q893" s="155"/>
      <c r="R893" s="157"/>
      <c r="S893" s="152"/>
      <c r="T893" s="156"/>
    </row>
    <row r="894" spans="1:20" ht="14.25">
      <c r="A894" s="150"/>
      <c r="B894" s="151"/>
      <c r="C894" s="152"/>
      <c r="D894" s="135"/>
      <c r="E894" s="73"/>
      <c r="F894" s="153"/>
      <c r="G894" s="152"/>
      <c r="H894" s="152"/>
      <c r="I894" s="159"/>
      <c r="J894" s="159"/>
      <c r="K894" s="152"/>
      <c r="L894" s="154"/>
      <c r="M894" s="152"/>
      <c r="N894" s="152"/>
      <c r="O894" s="152"/>
      <c r="P894" s="152"/>
      <c r="Q894" s="155"/>
      <c r="R894" s="157"/>
      <c r="S894" s="152"/>
      <c r="T894" s="156"/>
    </row>
    <row r="895" spans="1:20" ht="14.25">
      <c r="A895" s="150"/>
      <c r="B895" s="151"/>
      <c r="C895" s="152"/>
      <c r="D895" s="135"/>
      <c r="E895" s="73"/>
      <c r="F895" s="153"/>
      <c r="G895" s="152"/>
      <c r="H895" s="152"/>
      <c r="I895" s="159"/>
      <c r="J895" s="159"/>
      <c r="K895" s="152"/>
      <c r="L895" s="154"/>
      <c r="M895" s="152"/>
      <c r="N895" s="152"/>
      <c r="O895" s="152"/>
      <c r="P895" s="152"/>
      <c r="Q895" s="155"/>
      <c r="R895" s="157"/>
      <c r="S895" s="152"/>
      <c r="T895" s="156"/>
    </row>
    <row r="896" spans="1:20" ht="14.25">
      <c r="A896" s="150"/>
      <c r="B896" s="151"/>
      <c r="C896" s="152"/>
      <c r="D896" s="135"/>
      <c r="E896" s="73"/>
      <c r="F896" s="153"/>
      <c r="G896" s="152"/>
      <c r="H896" s="152"/>
      <c r="I896" s="159"/>
      <c r="J896" s="159"/>
      <c r="K896" s="152"/>
      <c r="L896" s="154"/>
      <c r="M896" s="152"/>
      <c r="N896" s="152"/>
      <c r="O896" s="152"/>
      <c r="P896" s="152"/>
      <c r="Q896" s="155"/>
      <c r="R896" s="157"/>
      <c r="S896" s="152"/>
      <c r="T896" s="156"/>
    </row>
    <row r="897" spans="1:20" ht="14.25">
      <c r="A897" s="150"/>
      <c r="B897" s="151"/>
      <c r="C897" s="152"/>
      <c r="D897" s="135"/>
      <c r="E897" s="73"/>
      <c r="F897" s="153"/>
      <c r="G897" s="152"/>
      <c r="H897" s="152"/>
      <c r="I897" s="159"/>
      <c r="J897" s="159"/>
      <c r="K897" s="152"/>
      <c r="L897" s="154"/>
      <c r="M897" s="152"/>
      <c r="N897" s="152"/>
      <c r="O897" s="152"/>
      <c r="P897" s="152"/>
      <c r="Q897" s="155"/>
      <c r="R897" s="157"/>
      <c r="S897" s="152"/>
      <c r="T897" s="156"/>
    </row>
    <row r="898" spans="1:20" ht="14.25">
      <c r="A898" s="150"/>
      <c r="B898" s="151"/>
      <c r="C898" s="152"/>
      <c r="D898" s="135"/>
      <c r="E898" s="73"/>
      <c r="F898" s="153"/>
      <c r="G898" s="152"/>
      <c r="H898" s="152"/>
      <c r="I898" s="159"/>
      <c r="J898" s="159"/>
      <c r="K898" s="152"/>
      <c r="L898" s="154"/>
      <c r="M898" s="152"/>
      <c r="N898" s="152"/>
      <c r="O898" s="152"/>
      <c r="P898" s="152"/>
      <c r="Q898" s="155"/>
      <c r="R898" s="157"/>
      <c r="S898" s="152"/>
      <c r="T898" s="156"/>
    </row>
    <row r="899" spans="1:20" ht="14.25">
      <c r="A899" s="150"/>
      <c r="B899" s="151"/>
      <c r="C899" s="152"/>
      <c r="D899" s="135"/>
      <c r="E899" s="73"/>
      <c r="F899" s="153"/>
      <c r="G899" s="152"/>
      <c r="H899" s="152"/>
      <c r="I899" s="159"/>
      <c r="J899" s="159"/>
      <c r="K899" s="152"/>
      <c r="L899" s="154"/>
      <c r="M899" s="152"/>
      <c r="N899" s="152"/>
      <c r="O899" s="152"/>
      <c r="P899" s="152"/>
      <c r="Q899" s="155"/>
      <c r="R899" s="157"/>
      <c r="S899" s="152"/>
      <c r="T899" s="156"/>
    </row>
    <row r="900" spans="1:20" ht="14.25">
      <c r="A900" s="150"/>
      <c r="B900" s="151"/>
      <c r="C900" s="152"/>
      <c r="D900" s="135"/>
      <c r="E900" s="73"/>
      <c r="F900" s="153"/>
      <c r="G900" s="152"/>
      <c r="H900" s="152"/>
      <c r="I900" s="159"/>
      <c r="J900" s="159"/>
      <c r="K900" s="152"/>
      <c r="L900" s="154"/>
      <c r="M900" s="152"/>
      <c r="N900" s="152"/>
      <c r="O900" s="152"/>
      <c r="P900" s="152"/>
      <c r="Q900" s="155"/>
      <c r="R900" s="157"/>
      <c r="S900" s="152"/>
      <c r="T900" s="156"/>
    </row>
    <row r="901" spans="1:20" ht="14.25">
      <c r="A901" s="150"/>
      <c r="B901" s="151"/>
      <c r="C901" s="152"/>
      <c r="D901" s="135"/>
      <c r="E901" s="73"/>
      <c r="F901" s="153"/>
      <c r="G901" s="152"/>
      <c r="H901" s="152"/>
      <c r="I901" s="159"/>
      <c r="J901" s="159"/>
      <c r="K901" s="152"/>
      <c r="L901" s="154"/>
      <c r="M901" s="152"/>
      <c r="N901" s="152"/>
      <c r="O901" s="152"/>
      <c r="P901" s="152"/>
      <c r="Q901" s="155"/>
      <c r="R901" s="157"/>
      <c r="S901" s="152"/>
      <c r="T901" s="156"/>
    </row>
    <row r="902" spans="1:20" ht="14.25">
      <c r="A902" s="150"/>
      <c r="B902" s="151"/>
      <c r="C902" s="152"/>
      <c r="D902" s="135"/>
      <c r="E902" s="73"/>
      <c r="F902" s="153"/>
      <c r="G902" s="152"/>
      <c r="H902" s="152"/>
      <c r="I902" s="159"/>
      <c r="J902" s="159"/>
      <c r="K902" s="152"/>
      <c r="L902" s="154"/>
      <c r="M902" s="152"/>
      <c r="N902" s="152"/>
      <c r="O902" s="152"/>
      <c r="P902" s="152"/>
      <c r="Q902" s="155"/>
      <c r="R902" s="157"/>
      <c r="S902" s="152"/>
      <c r="T902" s="156"/>
    </row>
    <row r="903" spans="1:20" ht="14.25">
      <c r="A903" s="150"/>
      <c r="B903" s="151"/>
      <c r="C903" s="152"/>
      <c r="D903" s="135"/>
      <c r="E903" s="73"/>
      <c r="F903" s="153"/>
      <c r="G903" s="152"/>
      <c r="H903" s="152"/>
      <c r="I903" s="159"/>
      <c r="J903" s="159"/>
      <c r="K903" s="152"/>
      <c r="L903" s="154"/>
      <c r="M903" s="152"/>
      <c r="N903" s="152"/>
      <c r="O903" s="152"/>
      <c r="P903" s="152"/>
      <c r="Q903" s="155"/>
      <c r="R903" s="157"/>
      <c r="S903" s="152"/>
      <c r="T903" s="156"/>
    </row>
    <row r="904" spans="1:20" ht="14.25">
      <c r="A904" s="150"/>
      <c r="B904" s="151"/>
      <c r="C904" s="152"/>
      <c r="D904" s="135"/>
      <c r="E904" s="73"/>
      <c r="F904" s="153"/>
      <c r="G904" s="152"/>
      <c r="H904" s="152"/>
      <c r="I904" s="159"/>
      <c r="J904" s="159"/>
      <c r="K904" s="152"/>
      <c r="L904" s="154"/>
      <c r="M904" s="152"/>
      <c r="N904" s="152"/>
      <c r="O904" s="152"/>
      <c r="P904" s="152"/>
      <c r="Q904" s="155"/>
      <c r="R904" s="157"/>
      <c r="S904" s="152"/>
      <c r="T904" s="156"/>
    </row>
    <row r="905" spans="1:20" ht="14.25">
      <c r="A905" s="150"/>
      <c r="B905" s="151"/>
      <c r="C905" s="152"/>
      <c r="D905" s="135"/>
      <c r="E905" s="73"/>
      <c r="F905" s="153"/>
      <c r="G905" s="152"/>
      <c r="H905" s="152"/>
      <c r="I905" s="159"/>
      <c r="J905" s="159"/>
      <c r="K905" s="152"/>
      <c r="L905" s="154"/>
      <c r="M905" s="152"/>
      <c r="N905" s="152"/>
      <c r="O905" s="152"/>
      <c r="P905" s="152"/>
      <c r="Q905" s="155"/>
      <c r="R905" s="157"/>
      <c r="S905" s="152"/>
      <c r="T905" s="156"/>
    </row>
    <row r="906" spans="1:20" ht="14.25">
      <c r="A906" s="150"/>
      <c r="B906" s="151"/>
      <c r="C906" s="152"/>
      <c r="D906" s="135"/>
      <c r="E906" s="73"/>
      <c r="F906" s="153"/>
      <c r="G906" s="152"/>
      <c r="H906" s="152"/>
      <c r="I906" s="159"/>
      <c r="J906" s="159"/>
      <c r="K906" s="152"/>
      <c r="L906" s="154"/>
      <c r="M906" s="152"/>
      <c r="N906" s="152"/>
      <c r="O906" s="152"/>
      <c r="P906" s="152"/>
      <c r="Q906" s="155"/>
      <c r="R906" s="157"/>
      <c r="S906" s="152"/>
      <c r="T906" s="156"/>
    </row>
    <row r="907" spans="1:20" ht="14.25">
      <c r="A907" s="150"/>
      <c r="B907" s="151"/>
      <c r="C907" s="152"/>
      <c r="D907" s="135"/>
      <c r="E907" s="73"/>
      <c r="F907" s="153"/>
      <c r="G907" s="152"/>
      <c r="H907" s="152"/>
      <c r="I907" s="159"/>
      <c r="J907" s="159"/>
      <c r="K907" s="152"/>
      <c r="L907" s="154"/>
      <c r="M907" s="152"/>
      <c r="N907" s="152"/>
      <c r="O907" s="152"/>
      <c r="P907" s="152"/>
      <c r="Q907" s="155"/>
      <c r="R907" s="157"/>
      <c r="S907" s="152"/>
      <c r="T907" s="156"/>
    </row>
    <row r="908" spans="1:20" ht="14.25">
      <c r="A908" s="150"/>
      <c r="B908" s="151"/>
      <c r="C908" s="152"/>
      <c r="D908" s="135"/>
      <c r="E908" s="73"/>
      <c r="F908" s="153"/>
      <c r="G908" s="152"/>
      <c r="H908" s="152"/>
      <c r="I908" s="159"/>
      <c r="J908" s="159"/>
      <c r="K908" s="152"/>
      <c r="L908" s="154"/>
      <c r="M908" s="152"/>
      <c r="N908" s="152"/>
      <c r="O908" s="152"/>
      <c r="P908" s="152"/>
      <c r="Q908" s="155"/>
      <c r="R908" s="157"/>
      <c r="S908" s="152"/>
      <c r="T908" s="156"/>
    </row>
    <row r="909" spans="1:20" ht="14.25">
      <c r="A909" s="150"/>
      <c r="B909" s="151"/>
      <c r="C909" s="152"/>
      <c r="D909" s="135"/>
      <c r="E909" s="73"/>
      <c r="F909" s="153"/>
      <c r="G909" s="152"/>
      <c r="H909" s="152"/>
      <c r="I909" s="159"/>
      <c r="J909" s="159"/>
      <c r="K909" s="152"/>
      <c r="L909" s="154"/>
      <c r="M909" s="152"/>
      <c r="N909" s="152"/>
      <c r="O909" s="152"/>
      <c r="P909" s="152"/>
      <c r="Q909" s="155"/>
      <c r="R909" s="157"/>
      <c r="S909" s="152"/>
      <c r="T909" s="156"/>
    </row>
    <row r="910" spans="1:20" ht="14.25">
      <c r="A910" s="150"/>
      <c r="B910" s="151"/>
      <c r="C910" s="152"/>
      <c r="D910" s="135"/>
      <c r="E910" s="73"/>
      <c r="F910" s="153"/>
      <c r="G910" s="152"/>
      <c r="H910" s="152"/>
      <c r="I910" s="159"/>
      <c r="J910" s="159"/>
      <c r="K910" s="152"/>
      <c r="L910" s="154"/>
      <c r="M910" s="152"/>
      <c r="N910" s="152"/>
      <c r="O910" s="152"/>
      <c r="P910" s="152"/>
      <c r="Q910" s="155"/>
      <c r="R910" s="157"/>
      <c r="S910" s="152"/>
      <c r="T910" s="156"/>
    </row>
    <row r="911" spans="1:20" ht="14.25">
      <c r="A911" s="150"/>
      <c r="B911" s="151"/>
      <c r="C911" s="152"/>
      <c r="D911" s="135"/>
      <c r="E911" s="73"/>
      <c r="F911" s="153"/>
      <c r="G911" s="152"/>
      <c r="H911" s="152"/>
      <c r="I911" s="159"/>
      <c r="J911" s="159"/>
      <c r="K911" s="152"/>
      <c r="L911" s="154"/>
      <c r="M911" s="152"/>
      <c r="N911" s="152"/>
      <c r="O911" s="152"/>
      <c r="P911" s="152"/>
      <c r="Q911" s="155"/>
      <c r="R911" s="157"/>
      <c r="S911" s="152"/>
      <c r="T911" s="156"/>
    </row>
    <row r="912" spans="1:20" ht="14.25">
      <c r="A912" s="150"/>
      <c r="B912" s="151"/>
      <c r="C912" s="152"/>
      <c r="D912" s="135"/>
      <c r="E912" s="73"/>
      <c r="F912" s="153"/>
      <c r="G912" s="152"/>
      <c r="H912" s="152"/>
      <c r="I912" s="159"/>
      <c r="J912" s="159"/>
      <c r="K912" s="152"/>
      <c r="L912" s="154"/>
      <c r="M912" s="152"/>
      <c r="N912" s="152"/>
      <c r="O912" s="152"/>
      <c r="P912" s="152"/>
      <c r="Q912" s="155"/>
      <c r="R912" s="157"/>
      <c r="S912" s="152"/>
      <c r="T912" s="156"/>
    </row>
    <row r="913" spans="1:20" ht="14.25">
      <c r="A913" s="150"/>
      <c r="B913" s="151"/>
      <c r="C913" s="152"/>
      <c r="D913" s="135"/>
      <c r="E913" s="73"/>
      <c r="F913" s="153"/>
      <c r="G913" s="152"/>
      <c r="H913" s="152"/>
      <c r="I913" s="159"/>
      <c r="J913" s="159"/>
      <c r="K913" s="152"/>
      <c r="L913" s="154"/>
      <c r="M913" s="152"/>
      <c r="N913" s="152"/>
      <c r="O913" s="152"/>
      <c r="P913" s="152"/>
      <c r="Q913" s="155"/>
      <c r="R913" s="157"/>
      <c r="S913" s="152"/>
      <c r="T913" s="156"/>
    </row>
    <row r="914" spans="1:20" ht="14.25">
      <c r="A914" s="150"/>
      <c r="B914" s="151"/>
      <c r="C914" s="152"/>
      <c r="D914" s="135"/>
      <c r="E914" s="73"/>
      <c r="F914" s="153"/>
      <c r="G914" s="152"/>
      <c r="H914" s="152"/>
      <c r="I914" s="159"/>
      <c r="J914" s="159"/>
      <c r="K914" s="152"/>
      <c r="L914" s="154"/>
      <c r="M914" s="152"/>
      <c r="N914" s="152"/>
      <c r="O914" s="152"/>
      <c r="P914" s="152"/>
      <c r="Q914" s="155"/>
      <c r="R914" s="157"/>
      <c r="S914" s="152"/>
      <c r="T914" s="156"/>
    </row>
    <row r="915" spans="1:20" ht="14.25">
      <c r="A915" s="150"/>
      <c r="B915" s="151"/>
      <c r="C915" s="152"/>
      <c r="D915" s="135"/>
      <c r="E915" s="73"/>
      <c r="F915" s="153"/>
      <c r="G915" s="152"/>
      <c r="H915" s="152"/>
      <c r="I915" s="159"/>
      <c r="J915" s="159"/>
      <c r="K915" s="152"/>
      <c r="L915" s="154"/>
      <c r="M915" s="152"/>
      <c r="N915" s="152"/>
      <c r="O915" s="152"/>
      <c r="P915" s="152"/>
      <c r="Q915" s="155"/>
      <c r="R915" s="157"/>
      <c r="S915" s="152"/>
      <c r="T915" s="156"/>
    </row>
    <row r="916" spans="1:20" ht="14.25">
      <c r="A916" s="150"/>
      <c r="B916" s="151"/>
      <c r="C916" s="152"/>
      <c r="D916" s="135"/>
      <c r="E916" s="73"/>
      <c r="F916" s="153"/>
      <c r="G916" s="152"/>
      <c r="H916" s="152"/>
      <c r="I916" s="159"/>
      <c r="J916" s="159"/>
      <c r="K916" s="152"/>
      <c r="L916" s="154"/>
      <c r="M916" s="152"/>
      <c r="N916" s="152"/>
      <c r="O916" s="152"/>
      <c r="P916" s="152"/>
      <c r="Q916" s="155"/>
      <c r="R916" s="157"/>
      <c r="S916" s="152"/>
      <c r="T916" s="156"/>
    </row>
    <row r="917" spans="1:20" ht="14.25">
      <c r="A917" s="150"/>
      <c r="B917" s="151"/>
      <c r="C917" s="152"/>
      <c r="D917" s="135"/>
      <c r="E917" s="73"/>
      <c r="F917" s="153"/>
      <c r="G917" s="152"/>
      <c r="H917" s="152"/>
      <c r="I917" s="159"/>
      <c r="J917" s="159"/>
      <c r="K917" s="152"/>
      <c r="L917" s="154"/>
      <c r="M917" s="152"/>
      <c r="N917" s="152"/>
      <c r="O917" s="152"/>
      <c r="P917" s="152"/>
      <c r="Q917" s="155"/>
      <c r="R917" s="157"/>
      <c r="S917" s="152"/>
      <c r="T917" s="156"/>
    </row>
    <row r="918" spans="1:20" ht="14.25">
      <c r="A918" s="150"/>
      <c r="B918" s="151"/>
      <c r="C918" s="152"/>
      <c r="D918" s="135"/>
      <c r="E918" s="73"/>
      <c r="F918" s="153"/>
      <c r="G918" s="152"/>
      <c r="H918" s="152"/>
      <c r="I918" s="159"/>
      <c r="J918" s="159"/>
      <c r="K918" s="152"/>
      <c r="L918" s="154"/>
      <c r="M918" s="152"/>
      <c r="N918" s="152"/>
      <c r="O918" s="152"/>
      <c r="P918" s="152"/>
      <c r="Q918" s="155"/>
      <c r="R918" s="157"/>
      <c r="S918" s="152"/>
      <c r="T918" s="156"/>
    </row>
    <row r="919" spans="1:20" ht="14.25">
      <c r="A919" s="150"/>
      <c r="B919" s="151"/>
      <c r="C919" s="152"/>
      <c r="D919" s="135"/>
      <c r="E919" s="73"/>
      <c r="F919" s="153"/>
      <c r="G919" s="152"/>
      <c r="H919" s="152"/>
      <c r="I919" s="159"/>
      <c r="J919" s="159"/>
      <c r="K919" s="152"/>
      <c r="L919" s="154"/>
      <c r="M919" s="152"/>
      <c r="N919" s="152"/>
      <c r="O919" s="152"/>
      <c r="P919" s="152"/>
      <c r="Q919" s="155"/>
      <c r="R919" s="157"/>
      <c r="S919" s="152"/>
      <c r="T919" s="156"/>
    </row>
    <row r="920" spans="1:20" ht="14.25">
      <c r="A920" s="150"/>
      <c r="B920" s="151"/>
      <c r="C920" s="152"/>
      <c r="D920" s="135"/>
      <c r="E920" s="73"/>
      <c r="F920" s="153"/>
      <c r="G920" s="152"/>
      <c r="H920" s="152"/>
      <c r="I920" s="159"/>
      <c r="J920" s="159"/>
      <c r="K920" s="152"/>
      <c r="L920" s="154"/>
      <c r="M920" s="152"/>
      <c r="N920" s="152"/>
      <c r="O920" s="152"/>
      <c r="P920" s="152"/>
      <c r="Q920" s="155"/>
      <c r="R920" s="157"/>
      <c r="S920" s="152"/>
      <c r="T920" s="156"/>
    </row>
    <row r="921" spans="1:20" ht="14.25">
      <c r="A921" s="150"/>
      <c r="B921" s="151"/>
      <c r="C921" s="152"/>
      <c r="D921" s="135"/>
      <c r="E921" s="73"/>
      <c r="F921" s="153"/>
      <c r="G921" s="152"/>
      <c r="H921" s="152"/>
      <c r="I921" s="159"/>
      <c r="J921" s="159"/>
      <c r="K921" s="152"/>
      <c r="L921" s="154"/>
      <c r="M921" s="152"/>
      <c r="N921" s="152"/>
      <c r="O921" s="152"/>
      <c r="P921" s="152"/>
      <c r="Q921" s="155"/>
      <c r="R921" s="157"/>
      <c r="S921" s="152"/>
      <c r="T921" s="156"/>
    </row>
    <row r="922" spans="1:20" ht="14.25">
      <c r="A922" s="150"/>
      <c r="B922" s="151"/>
      <c r="C922" s="152"/>
      <c r="D922" s="135"/>
      <c r="E922" s="73"/>
      <c r="F922" s="153"/>
      <c r="G922" s="152"/>
      <c r="H922" s="152"/>
      <c r="I922" s="159"/>
      <c r="J922" s="159"/>
      <c r="K922" s="152"/>
      <c r="L922" s="154"/>
      <c r="M922" s="152"/>
      <c r="N922" s="152"/>
      <c r="O922" s="152"/>
      <c r="P922" s="152"/>
      <c r="Q922" s="155"/>
      <c r="R922" s="157"/>
      <c r="S922" s="152"/>
      <c r="T922" s="156"/>
    </row>
    <row r="923" spans="1:20" ht="14.25">
      <c r="A923" s="150"/>
      <c r="B923" s="151"/>
      <c r="C923" s="152"/>
      <c r="D923" s="135"/>
      <c r="E923" s="73"/>
      <c r="F923" s="153"/>
      <c r="G923" s="152"/>
      <c r="H923" s="152"/>
      <c r="I923" s="159"/>
      <c r="J923" s="159"/>
      <c r="K923" s="152"/>
      <c r="L923" s="154"/>
      <c r="M923" s="152"/>
      <c r="N923" s="152"/>
      <c r="O923" s="152"/>
      <c r="P923" s="152"/>
      <c r="Q923" s="155"/>
      <c r="R923" s="157"/>
      <c r="S923" s="152"/>
      <c r="T923" s="156"/>
    </row>
    <row r="924" spans="1:20" ht="14.25">
      <c r="A924" s="150"/>
      <c r="B924" s="151"/>
      <c r="C924" s="152"/>
      <c r="D924" s="135"/>
      <c r="E924" s="73"/>
      <c r="F924" s="153"/>
      <c r="G924" s="152"/>
      <c r="H924" s="152"/>
      <c r="I924" s="159"/>
      <c r="J924" s="159"/>
      <c r="K924" s="152"/>
      <c r="L924" s="154"/>
      <c r="M924" s="152"/>
      <c r="N924" s="152"/>
      <c r="O924" s="152"/>
      <c r="P924" s="152"/>
      <c r="Q924" s="155"/>
      <c r="R924" s="157"/>
      <c r="S924" s="152"/>
      <c r="T924" s="156"/>
    </row>
    <row r="925" spans="1:20" ht="14.25">
      <c r="A925" s="150"/>
      <c r="B925" s="151"/>
      <c r="C925" s="152"/>
      <c r="D925" s="135"/>
      <c r="E925" s="73"/>
      <c r="F925" s="153"/>
      <c r="G925" s="152"/>
      <c r="H925" s="152"/>
      <c r="I925" s="159"/>
      <c r="J925" s="159"/>
      <c r="K925" s="152"/>
      <c r="L925" s="154"/>
      <c r="M925" s="152"/>
      <c r="N925" s="152"/>
      <c r="O925" s="152"/>
      <c r="P925" s="152"/>
      <c r="Q925" s="155"/>
      <c r="R925" s="157"/>
      <c r="S925" s="152"/>
      <c r="T925" s="156"/>
    </row>
    <row r="926" spans="1:20" ht="14.25">
      <c r="A926" s="150"/>
      <c r="B926" s="151"/>
      <c r="C926" s="152"/>
      <c r="D926" s="135"/>
      <c r="E926" s="73"/>
      <c r="F926" s="153"/>
      <c r="G926" s="152"/>
      <c r="H926" s="152"/>
      <c r="I926" s="159"/>
      <c r="J926" s="159"/>
      <c r="K926" s="152"/>
      <c r="L926" s="154"/>
      <c r="M926" s="152"/>
      <c r="N926" s="152"/>
      <c r="O926" s="152"/>
      <c r="P926" s="152"/>
      <c r="Q926" s="155"/>
      <c r="R926" s="157"/>
      <c r="S926" s="152"/>
      <c r="T926" s="156"/>
    </row>
    <row r="927" spans="1:20" ht="14.25">
      <c r="A927" s="150"/>
      <c r="B927" s="151"/>
      <c r="C927" s="152"/>
      <c r="D927" s="135"/>
      <c r="E927" s="73"/>
      <c r="F927" s="153"/>
      <c r="G927" s="152"/>
      <c r="H927" s="152"/>
      <c r="I927" s="159"/>
      <c r="J927" s="159"/>
      <c r="K927" s="152"/>
      <c r="L927" s="154"/>
      <c r="M927" s="152"/>
      <c r="N927" s="152"/>
      <c r="O927" s="152"/>
      <c r="P927" s="152"/>
      <c r="Q927" s="155"/>
      <c r="R927" s="157"/>
      <c r="S927" s="152"/>
      <c r="T927" s="156"/>
    </row>
    <row r="928" spans="1:20" ht="14.25">
      <c r="A928" s="150"/>
      <c r="B928" s="151"/>
      <c r="C928" s="152"/>
      <c r="D928" s="135"/>
      <c r="E928" s="73"/>
      <c r="F928" s="153"/>
      <c r="G928" s="152"/>
      <c r="H928" s="152"/>
      <c r="I928" s="159"/>
      <c r="J928" s="159"/>
      <c r="K928" s="152"/>
      <c r="L928" s="154"/>
      <c r="M928" s="152"/>
      <c r="N928" s="152"/>
      <c r="O928" s="152"/>
      <c r="P928" s="152"/>
      <c r="Q928" s="155"/>
      <c r="R928" s="157"/>
      <c r="S928" s="152"/>
      <c r="T928" s="156"/>
    </row>
    <row r="929" spans="1:20" ht="14.25">
      <c r="A929" s="150"/>
      <c r="B929" s="151"/>
      <c r="C929" s="152"/>
      <c r="D929" s="135"/>
      <c r="E929" s="73"/>
      <c r="F929" s="153"/>
      <c r="G929" s="152"/>
      <c r="H929" s="152"/>
      <c r="I929" s="159"/>
      <c r="J929" s="159"/>
      <c r="K929" s="152"/>
      <c r="L929" s="154"/>
      <c r="M929" s="152"/>
      <c r="N929" s="152"/>
      <c r="O929" s="152"/>
      <c r="P929" s="152"/>
      <c r="Q929" s="155"/>
      <c r="R929" s="157"/>
      <c r="S929" s="152"/>
      <c r="T929" s="156"/>
    </row>
    <row r="930" spans="1:20" ht="14.25">
      <c r="A930" s="150"/>
      <c r="B930" s="151"/>
      <c r="C930" s="152"/>
      <c r="D930" s="135"/>
      <c r="E930" s="73"/>
      <c r="F930" s="153"/>
      <c r="G930" s="152"/>
      <c r="H930" s="152"/>
      <c r="I930" s="159"/>
      <c r="J930" s="159"/>
      <c r="K930" s="152"/>
      <c r="L930" s="154"/>
      <c r="M930" s="152"/>
      <c r="N930" s="152"/>
      <c r="O930" s="152"/>
      <c r="P930" s="152"/>
      <c r="Q930" s="155"/>
      <c r="R930" s="157"/>
      <c r="S930" s="152"/>
      <c r="T930" s="156"/>
    </row>
    <row r="931" spans="1:20" ht="14.25">
      <c r="A931" s="150"/>
      <c r="B931" s="151"/>
      <c r="C931" s="152"/>
      <c r="D931" s="135"/>
      <c r="E931" s="73"/>
      <c r="F931" s="153"/>
      <c r="G931" s="152"/>
      <c r="H931" s="152"/>
      <c r="I931" s="159"/>
      <c r="J931" s="159"/>
      <c r="K931" s="152"/>
      <c r="L931" s="154"/>
      <c r="M931" s="152"/>
      <c r="N931" s="152"/>
      <c r="O931" s="152"/>
      <c r="P931" s="152"/>
      <c r="Q931" s="155"/>
      <c r="R931" s="157"/>
      <c r="S931" s="152"/>
      <c r="T931" s="156"/>
    </row>
    <row r="932" spans="1:20" ht="14.25">
      <c r="A932" s="150"/>
      <c r="B932" s="151"/>
      <c r="C932" s="152"/>
      <c r="D932" s="135"/>
      <c r="E932" s="73"/>
      <c r="F932" s="153"/>
      <c r="G932" s="152"/>
      <c r="H932" s="152"/>
      <c r="I932" s="159"/>
      <c r="J932" s="159"/>
      <c r="K932" s="152"/>
      <c r="L932" s="154"/>
      <c r="M932" s="152"/>
      <c r="N932" s="152"/>
      <c r="O932" s="152"/>
      <c r="P932" s="152"/>
      <c r="Q932" s="155"/>
      <c r="R932" s="157"/>
      <c r="S932" s="152"/>
      <c r="T932" s="156"/>
    </row>
    <row r="933" spans="1:20" ht="14.25">
      <c r="A933" s="150"/>
      <c r="B933" s="151"/>
      <c r="C933" s="152"/>
      <c r="D933" s="135"/>
      <c r="E933" s="73"/>
      <c r="F933" s="153"/>
      <c r="G933" s="152"/>
      <c r="H933" s="152"/>
      <c r="I933" s="159"/>
      <c r="J933" s="159"/>
      <c r="K933" s="152"/>
      <c r="L933" s="154"/>
      <c r="M933" s="152"/>
      <c r="N933" s="152"/>
      <c r="O933" s="152"/>
      <c r="P933" s="152"/>
      <c r="Q933" s="155"/>
      <c r="R933" s="157"/>
      <c r="S933" s="152"/>
      <c r="T933" s="156"/>
    </row>
    <row r="934" spans="1:20" ht="14.25">
      <c r="A934" s="150"/>
      <c r="B934" s="151"/>
      <c r="C934" s="152"/>
      <c r="D934" s="135"/>
      <c r="E934" s="73"/>
      <c r="F934" s="153"/>
      <c r="G934" s="152"/>
      <c r="H934" s="152"/>
      <c r="I934" s="159"/>
      <c r="J934" s="159"/>
      <c r="K934" s="152"/>
      <c r="L934" s="154"/>
      <c r="M934" s="152"/>
      <c r="N934" s="152"/>
      <c r="O934" s="152"/>
      <c r="P934" s="152"/>
      <c r="Q934" s="155"/>
      <c r="R934" s="157"/>
      <c r="S934" s="152"/>
      <c r="T934" s="156"/>
    </row>
    <row r="935" spans="1:20" ht="14.25">
      <c r="A935" s="150"/>
      <c r="B935" s="151"/>
      <c r="C935" s="152"/>
      <c r="D935" s="135"/>
      <c r="E935" s="73"/>
      <c r="F935" s="153"/>
      <c r="G935" s="152"/>
      <c r="H935" s="152"/>
      <c r="I935" s="159"/>
      <c r="J935" s="159"/>
      <c r="K935" s="152"/>
      <c r="L935" s="154"/>
      <c r="M935" s="152"/>
      <c r="N935" s="152"/>
      <c r="O935" s="152"/>
      <c r="P935" s="152"/>
      <c r="Q935" s="155"/>
      <c r="R935" s="157"/>
      <c r="S935" s="152"/>
      <c r="T935" s="156"/>
    </row>
    <row r="936" spans="1:20" ht="14.25">
      <c r="A936" s="150"/>
      <c r="B936" s="151"/>
      <c r="C936" s="152"/>
      <c r="D936" s="135"/>
      <c r="E936" s="73"/>
      <c r="F936" s="153"/>
      <c r="G936" s="152"/>
      <c r="H936" s="152"/>
      <c r="I936" s="159"/>
      <c r="J936" s="159"/>
      <c r="K936" s="152"/>
      <c r="L936" s="154"/>
      <c r="M936" s="152"/>
      <c r="N936" s="152"/>
      <c r="O936" s="152"/>
      <c r="P936" s="152"/>
      <c r="Q936" s="155"/>
      <c r="R936" s="157"/>
      <c r="S936" s="152"/>
      <c r="T936" s="156"/>
    </row>
    <row r="937" spans="1:20" ht="14.25">
      <c r="A937" s="150"/>
      <c r="B937" s="151"/>
      <c r="C937" s="152"/>
      <c r="D937" s="135"/>
      <c r="E937" s="73"/>
      <c r="F937" s="153"/>
      <c r="G937" s="152"/>
      <c r="H937" s="152"/>
      <c r="I937" s="159"/>
      <c r="J937" s="159"/>
      <c r="K937" s="152"/>
      <c r="L937" s="154"/>
      <c r="M937" s="152"/>
      <c r="N937" s="152"/>
      <c r="O937" s="152"/>
      <c r="P937" s="152"/>
      <c r="Q937" s="155"/>
      <c r="R937" s="157"/>
      <c r="S937" s="152"/>
      <c r="T937" s="156"/>
    </row>
    <row r="938" spans="1:20" ht="14.25">
      <c r="A938" s="150"/>
      <c r="B938" s="151"/>
      <c r="C938" s="152"/>
      <c r="D938" s="135"/>
      <c r="E938" s="73"/>
      <c r="F938" s="153"/>
      <c r="G938" s="152"/>
      <c r="H938" s="152"/>
      <c r="I938" s="159"/>
      <c r="J938" s="159"/>
      <c r="K938" s="152"/>
      <c r="L938" s="154"/>
      <c r="M938" s="152"/>
      <c r="N938" s="152"/>
      <c r="O938" s="152"/>
      <c r="P938" s="152"/>
      <c r="Q938" s="155"/>
      <c r="R938" s="157"/>
      <c r="S938" s="152"/>
      <c r="T938" s="156"/>
    </row>
    <row r="939" spans="1:20" ht="14.25">
      <c r="A939" s="150"/>
      <c r="B939" s="151"/>
      <c r="C939" s="152"/>
      <c r="D939" s="135"/>
      <c r="E939" s="73"/>
      <c r="F939" s="153"/>
      <c r="G939" s="152"/>
      <c r="H939" s="152"/>
      <c r="I939" s="159"/>
      <c r="J939" s="159"/>
      <c r="K939" s="152"/>
      <c r="L939" s="154"/>
      <c r="M939" s="152"/>
      <c r="N939" s="152"/>
      <c r="O939" s="152"/>
      <c r="P939" s="152"/>
      <c r="Q939" s="155"/>
      <c r="R939" s="157"/>
      <c r="S939" s="152"/>
      <c r="T939" s="156"/>
    </row>
    <row r="940" spans="1:20" ht="14.25">
      <c r="A940" s="150"/>
      <c r="B940" s="151"/>
      <c r="C940" s="152"/>
      <c r="D940" s="135"/>
      <c r="E940" s="73"/>
      <c r="F940" s="153"/>
      <c r="G940" s="152"/>
      <c r="H940" s="152"/>
      <c r="I940" s="159"/>
      <c r="J940" s="159"/>
      <c r="K940" s="152"/>
      <c r="L940" s="154"/>
      <c r="M940" s="152"/>
      <c r="N940" s="152"/>
      <c r="O940" s="152"/>
      <c r="P940" s="152"/>
      <c r="Q940" s="155"/>
      <c r="R940" s="157"/>
      <c r="S940" s="152"/>
      <c r="T940" s="156"/>
    </row>
    <row r="941" spans="1:20" ht="14.25">
      <c r="A941" s="150"/>
      <c r="B941" s="151"/>
      <c r="C941" s="152"/>
      <c r="D941" s="135"/>
      <c r="E941" s="73"/>
      <c r="F941" s="153"/>
      <c r="G941" s="152"/>
      <c r="H941" s="152"/>
      <c r="I941" s="159"/>
      <c r="J941" s="159"/>
      <c r="K941" s="152"/>
      <c r="L941" s="154"/>
      <c r="M941" s="152"/>
      <c r="N941" s="152"/>
      <c r="O941" s="152"/>
      <c r="P941" s="152"/>
      <c r="Q941" s="155"/>
      <c r="R941" s="157"/>
      <c r="S941" s="152"/>
      <c r="T941" s="156"/>
    </row>
    <row r="942" spans="1:20" ht="14.25">
      <c r="A942" s="150"/>
      <c r="B942" s="151"/>
      <c r="C942" s="152"/>
      <c r="D942" s="135"/>
      <c r="E942" s="73"/>
      <c r="F942" s="153"/>
      <c r="G942" s="152"/>
      <c r="H942" s="152"/>
      <c r="I942" s="159"/>
      <c r="J942" s="159"/>
      <c r="K942" s="152"/>
      <c r="L942" s="154"/>
      <c r="M942" s="152"/>
      <c r="N942" s="152"/>
      <c r="O942" s="152"/>
      <c r="P942" s="152"/>
      <c r="Q942" s="155"/>
      <c r="R942" s="157"/>
      <c r="S942" s="152"/>
      <c r="T942" s="156"/>
    </row>
    <row r="943" spans="1:20" ht="14.25">
      <c r="A943" s="150"/>
      <c r="B943" s="151"/>
      <c r="C943" s="152"/>
      <c r="D943" s="135"/>
      <c r="E943" s="73"/>
      <c r="F943" s="153"/>
      <c r="G943" s="152"/>
      <c r="H943" s="152"/>
      <c r="I943" s="159"/>
      <c r="J943" s="159"/>
      <c r="K943" s="152"/>
      <c r="L943" s="154"/>
      <c r="M943" s="152"/>
      <c r="N943" s="152"/>
      <c r="O943" s="152"/>
      <c r="P943" s="152"/>
      <c r="Q943" s="155"/>
      <c r="R943" s="157"/>
      <c r="S943" s="152"/>
      <c r="T943" s="156"/>
    </row>
    <row r="944" spans="1:20" ht="14.25">
      <c r="A944" s="150"/>
      <c r="B944" s="151"/>
      <c r="C944" s="152"/>
      <c r="D944" s="135"/>
      <c r="E944" s="73"/>
      <c r="F944" s="153"/>
      <c r="G944" s="152"/>
      <c r="H944" s="152"/>
      <c r="I944" s="159"/>
      <c r="J944" s="159"/>
      <c r="K944" s="152"/>
      <c r="L944" s="154"/>
      <c r="M944" s="152"/>
      <c r="N944" s="152"/>
      <c r="O944" s="152"/>
      <c r="P944" s="152"/>
      <c r="Q944" s="155"/>
      <c r="R944" s="157"/>
      <c r="S944" s="152"/>
      <c r="T944" s="156"/>
    </row>
    <row r="945" spans="1:20" ht="14.25">
      <c r="A945" s="150"/>
      <c r="B945" s="151"/>
      <c r="C945" s="152"/>
      <c r="D945" s="135"/>
      <c r="E945" s="73"/>
      <c r="F945" s="153"/>
      <c r="G945" s="152"/>
      <c r="H945" s="152"/>
      <c r="I945" s="159"/>
      <c r="J945" s="159"/>
      <c r="K945" s="152"/>
      <c r="L945" s="154"/>
      <c r="M945" s="152"/>
      <c r="N945" s="152"/>
      <c r="O945" s="152"/>
      <c r="P945" s="152"/>
      <c r="Q945" s="155"/>
      <c r="R945" s="157"/>
      <c r="S945" s="152"/>
      <c r="T945" s="156"/>
    </row>
    <row r="946" spans="1:20" ht="14.25">
      <c r="A946" s="150"/>
      <c r="B946" s="151"/>
      <c r="C946" s="152"/>
      <c r="D946" s="135"/>
      <c r="E946" s="73"/>
      <c r="F946" s="153"/>
      <c r="G946" s="152"/>
      <c r="H946" s="152"/>
      <c r="I946" s="159"/>
      <c r="J946" s="159"/>
      <c r="K946" s="152"/>
      <c r="L946" s="154"/>
      <c r="M946" s="152"/>
      <c r="N946" s="152"/>
      <c r="O946" s="152"/>
      <c r="P946" s="152"/>
      <c r="Q946" s="155"/>
      <c r="R946" s="157"/>
      <c r="S946" s="152"/>
      <c r="T946" s="156"/>
    </row>
    <row r="947" spans="1:20" ht="14.25">
      <c r="A947" s="150"/>
      <c r="B947" s="151"/>
      <c r="C947" s="152"/>
      <c r="D947" s="135"/>
      <c r="E947" s="73"/>
      <c r="F947" s="153"/>
      <c r="G947" s="152"/>
      <c r="H947" s="152"/>
      <c r="I947" s="159"/>
      <c r="J947" s="159"/>
      <c r="K947" s="152"/>
      <c r="L947" s="154"/>
      <c r="M947" s="152"/>
      <c r="N947" s="152"/>
      <c r="O947" s="152"/>
      <c r="P947" s="152"/>
      <c r="Q947" s="155"/>
      <c r="R947" s="157"/>
      <c r="S947" s="152"/>
      <c r="T947" s="156"/>
    </row>
    <row r="948" spans="1:20" ht="14.25">
      <c r="A948" s="150"/>
      <c r="B948" s="151"/>
      <c r="C948" s="152"/>
      <c r="D948" s="135"/>
      <c r="E948" s="73"/>
      <c r="F948" s="153"/>
      <c r="G948" s="152"/>
      <c r="H948" s="152"/>
      <c r="I948" s="159"/>
      <c r="J948" s="159"/>
      <c r="K948" s="152"/>
      <c r="L948" s="154"/>
      <c r="M948" s="152"/>
      <c r="N948" s="152"/>
      <c r="O948" s="152"/>
      <c r="P948" s="152"/>
      <c r="Q948" s="155"/>
      <c r="R948" s="157"/>
      <c r="S948" s="152"/>
      <c r="T948" s="156"/>
    </row>
    <row r="949" spans="1:20" ht="14.25">
      <c r="A949" s="150"/>
      <c r="B949" s="151"/>
      <c r="C949" s="152"/>
      <c r="D949" s="135"/>
      <c r="E949" s="73"/>
      <c r="F949" s="153"/>
      <c r="G949" s="152"/>
      <c r="H949" s="152"/>
      <c r="I949" s="159"/>
      <c r="J949" s="159"/>
      <c r="K949" s="152"/>
      <c r="L949" s="154"/>
      <c r="M949" s="152"/>
      <c r="N949" s="152"/>
      <c r="O949" s="152"/>
      <c r="P949" s="152"/>
      <c r="Q949" s="155"/>
      <c r="R949" s="157"/>
      <c r="S949" s="152"/>
      <c r="T949" s="156"/>
    </row>
    <row r="950" spans="1:20" ht="14.25">
      <c r="A950" s="150"/>
      <c r="B950" s="151"/>
      <c r="C950" s="152"/>
      <c r="D950" s="135"/>
      <c r="E950" s="73"/>
      <c r="F950" s="153"/>
      <c r="G950" s="152"/>
      <c r="H950" s="152"/>
      <c r="I950" s="159"/>
      <c r="J950" s="159"/>
      <c r="K950" s="152"/>
      <c r="L950" s="154"/>
      <c r="M950" s="152"/>
      <c r="N950" s="152"/>
      <c r="O950" s="152"/>
      <c r="P950" s="152"/>
      <c r="Q950" s="155"/>
      <c r="R950" s="157"/>
      <c r="S950" s="152"/>
      <c r="T950" s="156"/>
    </row>
    <row r="951" spans="1:20" ht="14.25">
      <c r="A951" s="150"/>
      <c r="B951" s="151"/>
      <c r="C951" s="152"/>
      <c r="D951" s="135"/>
      <c r="E951" s="73"/>
      <c r="F951" s="153"/>
      <c r="G951" s="152"/>
      <c r="H951" s="152"/>
      <c r="I951" s="159"/>
      <c r="J951" s="159"/>
      <c r="K951" s="152"/>
      <c r="L951" s="154"/>
      <c r="M951" s="152"/>
      <c r="N951" s="152"/>
      <c r="O951" s="152"/>
      <c r="P951" s="152"/>
      <c r="Q951" s="155"/>
      <c r="R951" s="157"/>
      <c r="S951" s="152"/>
      <c r="T951" s="156"/>
    </row>
    <row r="952" spans="1:20" ht="14.25">
      <c r="A952" s="150"/>
      <c r="B952" s="151"/>
      <c r="C952" s="152"/>
      <c r="D952" s="135"/>
      <c r="E952" s="73"/>
      <c r="F952" s="153"/>
      <c r="G952" s="152"/>
      <c r="H952" s="152"/>
      <c r="I952" s="159"/>
      <c r="J952" s="159"/>
      <c r="K952" s="152"/>
      <c r="L952" s="154"/>
      <c r="M952" s="152"/>
      <c r="N952" s="152"/>
      <c r="O952" s="152"/>
      <c r="P952" s="152"/>
      <c r="Q952" s="155"/>
      <c r="R952" s="157"/>
      <c r="S952" s="152"/>
      <c r="T952" s="156"/>
    </row>
    <row r="953" spans="1:20" ht="14.25">
      <c r="A953" s="150"/>
      <c r="B953" s="151"/>
      <c r="C953" s="152"/>
      <c r="D953" s="135"/>
      <c r="E953" s="73"/>
      <c r="F953" s="153"/>
      <c r="G953" s="152"/>
      <c r="H953" s="152"/>
      <c r="I953" s="159"/>
      <c r="J953" s="159"/>
      <c r="K953" s="152"/>
      <c r="L953" s="154"/>
      <c r="M953" s="152"/>
      <c r="N953" s="152"/>
      <c r="O953" s="152"/>
      <c r="P953" s="152"/>
      <c r="Q953" s="155"/>
      <c r="R953" s="157"/>
      <c r="S953" s="152"/>
      <c r="T953" s="156"/>
    </row>
    <row r="954" spans="1:20" ht="14.25">
      <c r="A954" s="150"/>
      <c r="B954" s="151"/>
      <c r="C954" s="152"/>
      <c r="D954" s="135"/>
      <c r="E954" s="73"/>
      <c r="F954" s="153"/>
      <c r="G954" s="152"/>
      <c r="H954" s="152"/>
      <c r="I954" s="159"/>
      <c r="J954" s="159"/>
      <c r="K954" s="152"/>
      <c r="L954" s="154"/>
      <c r="M954" s="152"/>
      <c r="N954" s="152"/>
      <c r="O954" s="152"/>
      <c r="P954" s="152"/>
      <c r="Q954" s="155"/>
      <c r="R954" s="157"/>
      <c r="S954" s="152"/>
      <c r="T954" s="156"/>
    </row>
    <row r="955" spans="1:20" ht="14.25">
      <c r="A955" s="150"/>
      <c r="B955" s="151"/>
      <c r="C955" s="152"/>
      <c r="D955" s="135"/>
      <c r="E955" s="73"/>
      <c r="F955" s="153"/>
      <c r="G955" s="152"/>
      <c r="H955" s="152"/>
      <c r="I955" s="159"/>
      <c r="J955" s="159"/>
      <c r="K955" s="152"/>
      <c r="L955" s="154"/>
      <c r="M955" s="152"/>
      <c r="N955" s="152"/>
      <c r="O955" s="152"/>
      <c r="P955" s="152"/>
      <c r="Q955" s="155"/>
      <c r="R955" s="157"/>
      <c r="S955" s="152"/>
      <c r="T955" s="156"/>
    </row>
    <row r="956" spans="1:20" ht="14.25">
      <c r="A956" s="150"/>
      <c r="B956" s="151"/>
      <c r="C956" s="152"/>
      <c r="D956" s="135"/>
      <c r="E956" s="73"/>
      <c r="F956" s="153"/>
      <c r="G956" s="152"/>
      <c r="H956" s="152"/>
      <c r="I956" s="159"/>
      <c r="J956" s="159"/>
      <c r="K956" s="152"/>
      <c r="L956" s="154"/>
      <c r="M956" s="152"/>
      <c r="N956" s="152"/>
      <c r="O956" s="152"/>
      <c r="P956" s="152"/>
      <c r="Q956" s="155"/>
      <c r="R956" s="157"/>
      <c r="S956" s="152"/>
      <c r="T956" s="156"/>
    </row>
    <row r="957" spans="1:20" ht="14.25">
      <c r="A957" s="150"/>
      <c r="B957" s="151"/>
      <c r="C957" s="152"/>
      <c r="D957" s="135"/>
      <c r="E957" s="73"/>
      <c r="F957" s="153"/>
      <c r="G957" s="152"/>
      <c r="H957" s="152"/>
      <c r="I957" s="159"/>
      <c r="J957" s="159"/>
      <c r="K957" s="152"/>
      <c r="L957" s="154"/>
      <c r="M957" s="152"/>
      <c r="N957" s="152"/>
      <c r="O957" s="152"/>
      <c r="P957" s="152"/>
      <c r="Q957" s="155"/>
      <c r="R957" s="157"/>
      <c r="S957" s="152"/>
      <c r="T957" s="156"/>
    </row>
    <row r="958" spans="1:20" ht="14.25">
      <c r="A958" s="150"/>
      <c r="B958" s="151"/>
      <c r="C958" s="152"/>
      <c r="D958" s="135"/>
      <c r="E958" s="73"/>
      <c r="F958" s="153"/>
      <c r="G958" s="152"/>
      <c r="H958" s="152"/>
      <c r="I958" s="159"/>
      <c r="J958" s="159"/>
      <c r="K958" s="152"/>
      <c r="L958" s="154"/>
      <c r="M958" s="152"/>
      <c r="N958" s="152"/>
      <c r="O958" s="152"/>
      <c r="P958" s="152"/>
      <c r="Q958" s="155"/>
      <c r="R958" s="157"/>
      <c r="S958" s="152"/>
      <c r="T958" s="156"/>
    </row>
    <row r="959" spans="1:20" ht="14.25">
      <c r="A959" s="150"/>
      <c r="B959" s="151"/>
      <c r="C959" s="152"/>
      <c r="D959" s="135"/>
      <c r="E959" s="73"/>
      <c r="F959" s="153"/>
      <c r="G959" s="152"/>
      <c r="H959" s="152"/>
      <c r="I959" s="159"/>
      <c r="J959" s="159"/>
      <c r="K959" s="152"/>
      <c r="L959" s="154"/>
      <c r="M959" s="152"/>
      <c r="N959" s="152"/>
      <c r="O959" s="152"/>
      <c r="P959" s="152"/>
      <c r="Q959" s="155"/>
      <c r="R959" s="157"/>
      <c r="S959" s="152"/>
      <c r="T959" s="156"/>
    </row>
    <row r="960" spans="1:20" ht="14.25">
      <c r="A960" s="150"/>
      <c r="B960" s="151"/>
      <c r="C960" s="152"/>
      <c r="D960" s="135"/>
      <c r="E960" s="73"/>
      <c r="F960" s="153"/>
      <c r="G960" s="152"/>
      <c r="H960" s="152"/>
      <c r="I960" s="159"/>
      <c r="J960" s="159"/>
      <c r="K960" s="152"/>
      <c r="L960" s="154"/>
      <c r="M960" s="152"/>
      <c r="N960" s="152"/>
      <c r="O960" s="152"/>
      <c r="P960" s="152"/>
      <c r="Q960" s="155"/>
      <c r="R960" s="157"/>
      <c r="S960" s="152"/>
      <c r="T960" s="156"/>
    </row>
    <row r="961" spans="1:20" ht="14.25">
      <c r="A961" s="150"/>
      <c r="B961" s="151"/>
      <c r="C961" s="152"/>
      <c r="D961" s="135"/>
      <c r="E961" s="73"/>
      <c r="F961" s="153"/>
      <c r="G961" s="152"/>
      <c r="H961" s="152"/>
      <c r="I961" s="159"/>
      <c r="J961" s="159"/>
      <c r="K961" s="152"/>
      <c r="L961" s="154"/>
      <c r="M961" s="152"/>
      <c r="N961" s="152"/>
      <c r="O961" s="152"/>
      <c r="P961" s="152"/>
      <c r="Q961" s="155"/>
      <c r="R961" s="157"/>
      <c r="S961" s="152"/>
      <c r="T961" s="156"/>
    </row>
    <row r="962" spans="1:20" ht="14.25">
      <c r="A962" s="150"/>
      <c r="B962" s="151"/>
      <c r="C962" s="152"/>
      <c r="D962" s="135"/>
      <c r="E962" s="73"/>
      <c r="F962" s="153"/>
      <c r="G962" s="152"/>
      <c r="H962" s="152"/>
      <c r="I962" s="159"/>
      <c r="J962" s="159"/>
      <c r="K962" s="152"/>
      <c r="L962" s="154"/>
      <c r="M962" s="152"/>
      <c r="N962" s="152"/>
      <c r="O962" s="152"/>
      <c r="P962" s="152"/>
      <c r="Q962" s="155"/>
      <c r="R962" s="157"/>
      <c r="S962" s="152"/>
      <c r="T962" s="156"/>
    </row>
    <row r="963" spans="1:20" ht="14.25">
      <c r="A963" s="150"/>
      <c r="B963" s="151"/>
      <c r="C963" s="152"/>
      <c r="D963" s="135"/>
      <c r="E963" s="73"/>
      <c r="F963" s="153"/>
      <c r="G963" s="152"/>
      <c r="H963" s="152"/>
      <c r="I963" s="159"/>
      <c r="J963" s="159"/>
      <c r="K963" s="152"/>
      <c r="L963" s="154"/>
      <c r="M963" s="152"/>
      <c r="N963" s="152"/>
      <c r="O963" s="152"/>
      <c r="P963" s="152"/>
      <c r="Q963" s="155"/>
      <c r="R963" s="157"/>
      <c r="S963" s="152"/>
      <c r="T963" s="156"/>
    </row>
    <row r="964" spans="1:20" ht="14.25">
      <c r="A964" s="150"/>
      <c r="B964" s="151"/>
      <c r="C964" s="152"/>
      <c r="D964" s="135"/>
      <c r="E964" s="73"/>
      <c r="F964" s="153"/>
      <c r="G964" s="152"/>
      <c r="H964" s="152"/>
      <c r="I964" s="159"/>
      <c r="J964" s="159"/>
      <c r="K964" s="152"/>
      <c r="L964" s="154"/>
      <c r="M964" s="152"/>
      <c r="N964" s="152"/>
      <c r="O964" s="152"/>
      <c r="P964" s="152"/>
      <c r="Q964" s="155"/>
      <c r="R964" s="157"/>
      <c r="S964" s="152"/>
      <c r="T964" s="156"/>
    </row>
    <row r="965" spans="1:20" ht="14.25">
      <c r="A965" s="150"/>
      <c r="B965" s="151"/>
      <c r="C965" s="152"/>
      <c r="D965" s="135"/>
      <c r="E965" s="73"/>
      <c r="F965" s="153"/>
      <c r="G965" s="152"/>
      <c r="H965" s="152"/>
      <c r="I965" s="159"/>
      <c r="J965" s="159"/>
      <c r="K965" s="152"/>
      <c r="L965" s="154"/>
      <c r="M965" s="152"/>
      <c r="N965" s="152"/>
      <c r="O965" s="152"/>
      <c r="P965" s="152"/>
      <c r="Q965" s="155"/>
      <c r="R965" s="157"/>
      <c r="S965" s="152"/>
      <c r="T965" s="156"/>
    </row>
    <row r="966" spans="1:20" ht="14.25">
      <c r="A966" s="150"/>
      <c r="B966" s="151"/>
      <c r="C966" s="152"/>
      <c r="D966" s="135"/>
      <c r="E966" s="73"/>
      <c r="F966" s="153"/>
      <c r="G966" s="152"/>
      <c r="H966" s="152"/>
      <c r="I966" s="159"/>
      <c r="J966" s="159"/>
      <c r="K966" s="152"/>
      <c r="L966" s="154"/>
      <c r="M966" s="152"/>
      <c r="N966" s="152"/>
      <c r="O966" s="152"/>
      <c r="P966" s="152"/>
      <c r="Q966" s="155"/>
      <c r="R966" s="157"/>
      <c r="S966" s="152"/>
      <c r="T966" s="156"/>
    </row>
    <row r="967" spans="1:20" ht="14.25">
      <c r="A967" s="150"/>
      <c r="B967" s="151"/>
      <c r="C967" s="152"/>
      <c r="D967" s="135"/>
      <c r="E967" s="73"/>
      <c r="F967" s="153"/>
      <c r="G967" s="152"/>
      <c r="H967" s="152"/>
      <c r="I967" s="159"/>
      <c r="J967" s="159"/>
      <c r="K967" s="152"/>
      <c r="L967" s="154"/>
      <c r="M967" s="152"/>
      <c r="N967" s="152"/>
      <c r="O967" s="152"/>
      <c r="P967" s="152"/>
      <c r="Q967" s="155"/>
      <c r="R967" s="157"/>
      <c r="S967" s="152"/>
      <c r="T967" s="156"/>
    </row>
    <row r="968" spans="1:20" ht="14.25">
      <c r="A968" s="150"/>
      <c r="B968" s="151"/>
      <c r="C968" s="152"/>
      <c r="D968" s="135"/>
      <c r="E968" s="73"/>
      <c r="F968" s="153"/>
      <c r="G968" s="152"/>
      <c r="H968" s="152"/>
      <c r="I968" s="159"/>
      <c r="J968" s="159"/>
      <c r="K968" s="152"/>
      <c r="L968" s="154"/>
      <c r="M968" s="152"/>
      <c r="N968" s="152"/>
      <c r="O968" s="152"/>
      <c r="P968" s="152"/>
      <c r="Q968" s="155"/>
      <c r="R968" s="157"/>
      <c r="S968" s="152"/>
      <c r="T968" s="156"/>
    </row>
    <row r="969" spans="1:20" ht="14.25">
      <c r="A969" s="150"/>
      <c r="B969" s="151"/>
      <c r="C969" s="152"/>
      <c r="D969" s="135"/>
      <c r="E969" s="73"/>
      <c r="F969" s="153"/>
      <c r="G969" s="152"/>
      <c r="H969" s="152"/>
      <c r="I969" s="159"/>
      <c r="J969" s="159"/>
      <c r="K969" s="152"/>
      <c r="L969" s="154"/>
      <c r="M969" s="152"/>
      <c r="N969" s="152"/>
      <c r="O969" s="152"/>
      <c r="P969" s="152"/>
      <c r="Q969" s="155"/>
      <c r="R969" s="157"/>
      <c r="S969" s="152"/>
      <c r="T969" s="156"/>
    </row>
    <row r="970" spans="1:20" ht="14.25">
      <c r="A970" s="150"/>
      <c r="B970" s="151"/>
      <c r="C970" s="152"/>
      <c r="D970" s="135"/>
      <c r="E970" s="73"/>
      <c r="F970" s="153"/>
      <c r="G970" s="152"/>
      <c r="H970" s="152"/>
      <c r="I970" s="159"/>
      <c r="J970" s="159"/>
      <c r="K970" s="152"/>
      <c r="L970" s="154"/>
      <c r="M970" s="152"/>
      <c r="N970" s="152"/>
      <c r="O970" s="152"/>
      <c r="P970" s="152"/>
      <c r="Q970" s="155"/>
      <c r="R970" s="157"/>
      <c r="S970" s="152"/>
      <c r="T970" s="156"/>
    </row>
    <row r="971" spans="1:20" ht="14.25">
      <c r="A971" s="150"/>
      <c r="B971" s="151"/>
      <c r="C971" s="152"/>
      <c r="D971" s="135"/>
      <c r="E971" s="73"/>
      <c r="F971" s="153"/>
      <c r="G971" s="152"/>
      <c r="H971" s="152"/>
      <c r="I971" s="159"/>
      <c r="J971" s="159"/>
      <c r="K971" s="152"/>
      <c r="L971" s="154"/>
      <c r="M971" s="152"/>
      <c r="N971" s="152"/>
      <c r="O971" s="152"/>
      <c r="P971" s="152"/>
      <c r="Q971" s="155"/>
      <c r="R971" s="157"/>
      <c r="S971" s="152"/>
      <c r="T971" s="156"/>
    </row>
    <row r="972" spans="1:20" ht="14.25">
      <c r="A972" s="150"/>
      <c r="B972" s="151"/>
      <c r="C972" s="152"/>
      <c r="D972" s="135"/>
      <c r="E972" s="73"/>
      <c r="F972" s="153"/>
      <c r="G972" s="152"/>
      <c r="H972" s="152"/>
      <c r="I972" s="159"/>
      <c r="J972" s="159"/>
      <c r="K972" s="152"/>
      <c r="L972" s="154"/>
      <c r="M972" s="152"/>
      <c r="N972" s="152"/>
      <c r="O972" s="152"/>
      <c r="P972" s="152"/>
      <c r="Q972" s="155"/>
      <c r="R972" s="157"/>
      <c r="S972" s="152"/>
      <c r="T972" s="156"/>
    </row>
    <row r="973" spans="1:20" ht="14.25">
      <c r="A973" s="150"/>
      <c r="B973" s="151"/>
      <c r="C973" s="152"/>
      <c r="D973" s="135"/>
      <c r="E973" s="73"/>
      <c r="F973" s="153"/>
      <c r="G973" s="152"/>
      <c r="H973" s="152"/>
      <c r="I973" s="159"/>
      <c r="J973" s="159"/>
      <c r="K973" s="152"/>
      <c r="L973" s="154"/>
      <c r="M973" s="152"/>
      <c r="N973" s="152"/>
      <c r="O973" s="152"/>
      <c r="P973" s="152"/>
      <c r="Q973" s="155"/>
      <c r="R973" s="157"/>
      <c r="S973" s="152"/>
      <c r="T973" s="156"/>
    </row>
    <row r="974" spans="1:20" ht="14.25">
      <c r="A974" s="150"/>
      <c r="B974" s="151"/>
      <c r="C974" s="152"/>
      <c r="D974" s="135"/>
      <c r="E974" s="73"/>
      <c r="F974" s="153"/>
      <c r="G974" s="152"/>
      <c r="H974" s="152"/>
      <c r="I974" s="159"/>
      <c r="J974" s="159"/>
      <c r="K974" s="152"/>
      <c r="L974" s="154"/>
      <c r="M974" s="152"/>
      <c r="N974" s="152"/>
      <c r="O974" s="152"/>
      <c r="P974" s="152"/>
      <c r="Q974" s="155"/>
      <c r="R974" s="157"/>
      <c r="S974" s="152"/>
      <c r="T974" s="156"/>
    </row>
    <row r="975" spans="1:20" ht="14.25">
      <c r="A975" s="150"/>
      <c r="B975" s="151"/>
      <c r="C975" s="152"/>
      <c r="D975" s="135"/>
      <c r="E975" s="73"/>
      <c r="F975" s="153"/>
      <c r="G975" s="152"/>
      <c r="H975" s="152"/>
      <c r="I975" s="159"/>
      <c r="J975" s="159"/>
      <c r="K975" s="152"/>
      <c r="L975" s="154"/>
      <c r="M975" s="152"/>
      <c r="N975" s="152"/>
      <c r="O975" s="152"/>
      <c r="P975" s="152"/>
      <c r="Q975" s="155"/>
      <c r="R975" s="157"/>
      <c r="S975" s="152"/>
      <c r="T975" s="156"/>
    </row>
    <row r="976" spans="1:20" ht="14.25">
      <c r="A976" s="150"/>
      <c r="B976" s="151"/>
      <c r="C976" s="152"/>
      <c r="D976" s="135"/>
      <c r="E976" s="73"/>
      <c r="F976" s="153"/>
      <c r="G976" s="152"/>
      <c r="H976" s="152"/>
      <c r="I976" s="159"/>
      <c r="J976" s="159"/>
      <c r="K976" s="152"/>
      <c r="L976" s="154"/>
      <c r="M976" s="152"/>
      <c r="N976" s="152"/>
      <c r="O976" s="152"/>
      <c r="P976" s="152"/>
      <c r="Q976" s="155"/>
      <c r="R976" s="157"/>
      <c r="S976" s="152"/>
      <c r="T976" s="156"/>
    </row>
    <row r="977" spans="1:20" ht="14.25">
      <c r="A977" s="150"/>
      <c r="B977" s="151"/>
      <c r="C977" s="152"/>
      <c r="D977" s="135"/>
      <c r="E977" s="73"/>
      <c r="F977" s="153"/>
      <c r="G977" s="152"/>
      <c r="H977" s="152"/>
      <c r="I977" s="159"/>
      <c r="J977" s="159"/>
      <c r="K977" s="152"/>
      <c r="L977" s="154"/>
      <c r="M977" s="152"/>
      <c r="N977" s="152"/>
      <c r="O977" s="152"/>
      <c r="P977" s="152"/>
      <c r="Q977" s="155"/>
      <c r="R977" s="157"/>
      <c r="S977" s="152"/>
      <c r="T977" s="156"/>
    </row>
    <row r="978" spans="1:20" ht="14.25">
      <c r="A978" s="150"/>
      <c r="B978" s="151"/>
      <c r="C978" s="152"/>
      <c r="D978" s="135"/>
      <c r="E978" s="73"/>
      <c r="F978" s="153"/>
      <c r="G978" s="152"/>
      <c r="H978" s="152"/>
      <c r="I978" s="159"/>
      <c r="J978" s="159"/>
      <c r="K978" s="152"/>
      <c r="L978" s="154"/>
      <c r="M978" s="152"/>
      <c r="N978" s="152"/>
      <c r="O978" s="152"/>
      <c r="P978" s="152"/>
      <c r="Q978" s="155"/>
      <c r="R978" s="157"/>
      <c r="S978" s="152"/>
      <c r="T978" s="156"/>
    </row>
    <row r="979" spans="1:20" ht="14.25">
      <c r="A979" s="150"/>
      <c r="B979" s="151"/>
      <c r="C979" s="152"/>
      <c r="D979" s="135"/>
      <c r="E979" s="73"/>
      <c r="F979" s="153"/>
      <c r="G979" s="152"/>
      <c r="H979" s="152"/>
      <c r="I979" s="159"/>
      <c r="J979" s="159"/>
      <c r="K979" s="152"/>
      <c r="L979" s="154"/>
      <c r="M979" s="152"/>
      <c r="N979" s="152"/>
      <c r="O979" s="152"/>
      <c r="P979" s="152"/>
      <c r="Q979" s="155"/>
      <c r="R979" s="157"/>
      <c r="S979" s="152"/>
      <c r="T979" s="156"/>
    </row>
    <row r="980" spans="1:20" ht="14.25">
      <c r="A980" s="150"/>
      <c r="B980" s="151"/>
      <c r="C980" s="152"/>
      <c r="D980" s="135"/>
      <c r="E980" s="73"/>
      <c r="F980" s="153"/>
      <c r="G980" s="152"/>
      <c r="H980" s="152"/>
      <c r="I980" s="159"/>
      <c r="J980" s="159"/>
      <c r="K980" s="152"/>
      <c r="L980" s="154"/>
      <c r="M980" s="152"/>
      <c r="N980" s="152"/>
      <c r="O980" s="152"/>
      <c r="P980" s="152"/>
      <c r="Q980" s="155"/>
      <c r="R980" s="157"/>
      <c r="S980" s="152"/>
      <c r="T980" s="156"/>
    </row>
    <row r="981" spans="1:20" ht="14.25">
      <c r="A981" s="150"/>
      <c r="B981" s="151"/>
      <c r="C981" s="152"/>
      <c r="D981" s="135"/>
      <c r="E981" s="73"/>
      <c r="F981" s="153"/>
      <c r="G981" s="152"/>
      <c r="H981" s="152"/>
      <c r="I981" s="159"/>
      <c r="J981" s="159"/>
      <c r="K981" s="152"/>
      <c r="L981" s="154"/>
      <c r="M981" s="152"/>
      <c r="N981" s="152"/>
      <c r="O981" s="152"/>
      <c r="P981" s="152"/>
      <c r="Q981" s="155"/>
      <c r="R981" s="157"/>
      <c r="S981" s="152"/>
      <c r="T981" s="156"/>
    </row>
    <row r="982" spans="1:20" ht="14.25">
      <c r="A982" s="150"/>
      <c r="B982" s="151"/>
      <c r="C982" s="152"/>
      <c r="D982" s="135"/>
      <c r="E982" s="73"/>
      <c r="F982" s="153"/>
      <c r="G982" s="152"/>
      <c r="H982" s="152"/>
      <c r="I982" s="159"/>
      <c r="J982" s="159"/>
      <c r="K982" s="152"/>
      <c r="L982" s="154"/>
      <c r="M982" s="152"/>
      <c r="N982" s="152"/>
      <c r="O982" s="152"/>
      <c r="P982" s="152"/>
      <c r="Q982" s="155"/>
      <c r="R982" s="157"/>
      <c r="S982" s="152"/>
      <c r="T982" s="156"/>
    </row>
    <row r="983" spans="1:20" ht="14.25">
      <c r="A983" s="150"/>
      <c r="B983" s="151"/>
      <c r="C983" s="152"/>
      <c r="D983" s="135"/>
      <c r="E983" s="73"/>
      <c r="F983" s="153"/>
      <c r="G983" s="152"/>
      <c r="H983" s="152"/>
      <c r="I983" s="159"/>
      <c r="J983" s="159"/>
      <c r="K983" s="152"/>
      <c r="L983" s="154"/>
      <c r="M983" s="152"/>
      <c r="N983" s="152"/>
      <c r="O983" s="152"/>
      <c r="P983" s="152"/>
      <c r="Q983" s="155"/>
      <c r="R983" s="157"/>
      <c r="S983" s="152"/>
      <c r="T983" s="156"/>
    </row>
    <row r="984" spans="1:20" ht="14.25">
      <c r="A984" s="150"/>
      <c r="B984" s="151"/>
      <c r="C984" s="152"/>
      <c r="D984" s="135"/>
      <c r="E984" s="73"/>
      <c r="F984" s="153"/>
      <c r="G984" s="152"/>
      <c r="H984" s="152"/>
      <c r="I984" s="159"/>
      <c r="J984" s="159"/>
      <c r="K984" s="152"/>
      <c r="L984" s="154"/>
      <c r="M984" s="152"/>
      <c r="N984" s="152"/>
      <c r="O984" s="152"/>
      <c r="P984" s="152"/>
      <c r="Q984" s="155"/>
      <c r="R984" s="157"/>
      <c r="S984" s="152"/>
      <c r="T984" s="156"/>
    </row>
    <row r="985" spans="1:20" ht="14.25">
      <c r="A985" s="150"/>
      <c r="B985" s="151"/>
      <c r="C985" s="152"/>
      <c r="D985" s="135"/>
      <c r="E985" s="73"/>
      <c r="F985" s="153"/>
      <c r="G985" s="152"/>
      <c r="H985" s="152"/>
      <c r="I985" s="159"/>
      <c r="J985" s="159"/>
      <c r="K985" s="152"/>
      <c r="L985" s="154"/>
      <c r="M985" s="152"/>
      <c r="N985" s="152"/>
      <c r="O985" s="152"/>
      <c r="P985" s="152"/>
      <c r="Q985" s="155"/>
      <c r="R985" s="157"/>
      <c r="S985" s="152"/>
      <c r="T985" s="156"/>
    </row>
    <row r="986" spans="1:20" ht="14.25">
      <c r="A986" s="150"/>
      <c r="B986" s="151"/>
      <c r="C986" s="152"/>
      <c r="D986" s="135"/>
      <c r="E986" s="73"/>
      <c r="F986" s="153"/>
      <c r="G986" s="152"/>
      <c r="H986" s="152"/>
      <c r="I986" s="159"/>
      <c r="J986" s="159"/>
      <c r="K986" s="152"/>
      <c r="L986" s="154"/>
      <c r="M986" s="152"/>
      <c r="N986" s="152"/>
      <c r="O986" s="152"/>
      <c r="P986" s="152"/>
      <c r="Q986" s="155"/>
      <c r="R986" s="157"/>
      <c r="S986" s="152"/>
      <c r="T986" s="156"/>
    </row>
    <row r="987" spans="1:20" ht="14.25">
      <c r="A987" s="150"/>
      <c r="B987" s="151"/>
      <c r="C987" s="152"/>
      <c r="D987" s="135"/>
      <c r="E987" s="73"/>
      <c r="F987" s="153"/>
      <c r="G987" s="152"/>
      <c r="H987" s="152"/>
      <c r="I987" s="159"/>
      <c r="J987" s="159"/>
      <c r="K987" s="152"/>
      <c r="L987" s="154"/>
      <c r="M987" s="152"/>
      <c r="N987" s="152"/>
      <c r="O987" s="152"/>
      <c r="P987" s="152"/>
      <c r="Q987" s="155"/>
      <c r="R987" s="157"/>
      <c r="S987" s="152"/>
      <c r="T987" s="156"/>
    </row>
    <row r="988" spans="1:20" ht="14.25">
      <c r="A988" s="150"/>
      <c r="B988" s="151"/>
      <c r="C988" s="152"/>
      <c r="D988" s="135"/>
      <c r="E988" s="73"/>
      <c r="F988" s="153"/>
      <c r="G988" s="152"/>
      <c r="H988" s="152"/>
      <c r="I988" s="159"/>
      <c r="J988" s="159"/>
      <c r="K988" s="152"/>
      <c r="L988" s="154"/>
      <c r="M988" s="152"/>
      <c r="N988" s="152"/>
      <c r="O988" s="152"/>
      <c r="P988" s="152"/>
      <c r="Q988" s="155"/>
      <c r="R988" s="157"/>
      <c r="S988" s="152"/>
      <c r="T988" s="156"/>
    </row>
    <row r="989" spans="1:20" ht="14.25">
      <c r="A989" s="150"/>
      <c r="B989" s="151"/>
      <c r="C989" s="152"/>
      <c r="D989" s="135"/>
      <c r="E989" s="73"/>
      <c r="F989" s="153"/>
      <c r="G989" s="152"/>
      <c r="H989" s="152"/>
      <c r="I989" s="159"/>
      <c r="J989" s="159"/>
      <c r="K989" s="152"/>
      <c r="L989" s="154"/>
      <c r="M989" s="152"/>
      <c r="N989" s="152"/>
      <c r="O989" s="152"/>
      <c r="P989" s="152"/>
      <c r="Q989" s="155"/>
      <c r="R989" s="157"/>
      <c r="S989" s="152"/>
      <c r="T989" s="156"/>
    </row>
    <row r="990" spans="1:20" ht="14.25">
      <c r="A990" s="150"/>
      <c r="B990" s="151"/>
      <c r="C990" s="152"/>
      <c r="D990" s="135"/>
      <c r="E990" s="73"/>
      <c r="F990" s="153"/>
      <c r="G990" s="152"/>
      <c r="H990" s="152"/>
      <c r="I990" s="159"/>
      <c r="J990" s="159"/>
      <c r="K990" s="152"/>
      <c r="L990" s="154"/>
      <c r="M990" s="152"/>
      <c r="N990" s="152"/>
      <c r="O990" s="152"/>
      <c r="P990" s="152"/>
      <c r="Q990" s="155"/>
      <c r="R990" s="157"/>
      <c r="S990" s="152"/>
      <c r="T990" s="156"/>
    </row>
    <row r="991" spans="1:20" ht="14.25">
      <c r="A991" s="150"/>
      <c r="B991" s="151"/>
      <c r="C991" s="152"/>
      <c r="D991" s="135"/>
      <c r="E991" s="73"/>
      <c r="F991" s="153"/>
      <c r="G991" s="152"/>
      <c r="H991" s="152"/>
      <c r="I991" s="159"/>
      <c r="J991" s="159"/>
      <c r="K991" s="152"/>
      <c r="L991" s="154"/>
      <c r="M991" s="152"/>
      <c r="N991" s="152"/>
      <c r="O991" s="152"/>
      <c r="P991" s="152"/>
      <c r="Q991" s="155"/>
      <c r="R991" s="157"/>
      <c r="S991" s="152"/>
      <c r="T991" s="156"/>
    </row>
    <row r="992" spans="1:20" ht="14.25">
      <c r="A992" s="150"/>
      <c r="B992" s="151"/>
      <c r="C992" s="152"/>
      <c r="D992" s="135"/>
      <c r="E992" s="73"/>
      <c r="F992" s="153"/>
      <c r="G992" s="152"/>
      <c r="H992" s="152"/>
      <c r="I992" s="159"/>
      <c r="J992" s="159"/>
      <c r="K992" s="152"/>
      <c r="L992" s="154"/>
      <c r="M992" s="152"/>
      <c r="N992" s="152"/>
      <c r="O992" s="152"/>
      <c r="P992" s="152"/>
      <c r="Q992" s="155"/>
      <c r="R992" s="157"/>
      <c r="S992" s="152"/>
      <c r="T992" s="156"/>
    </row>
    <row r="993" spans="1:20" ht="14.25">
      <c r="A993" s="150"/>
      <c r="B993" s="151"/>
      <c r="C993" s="152"/>
      <c r="D993" s="135"/>
      <c r="E993" s="73"/>
      <c r="F993" s="153"/>
      <c r="G993" s="152"/>
      <c r="H993" s="152"/>
      <c r="I993" s="159"/>
      <c r="J993" s="159"/>
      <c r="K993" s="152"/>
      <c r="L993" s="154"/>
      <c r="M993" s="152"/>
      <c r="N993" s="152"/>
      <c r="O993" s="152"/>
      <c r="P993" s="152"/>
      <c r="Q993" s="155"/>
      <c r="R993" s="157"/>
      <c r="S993" s="152"/>
      <c r="T993" s="156"/>
    </row>
    <row r="994" spans="1:20" ht="14.25">
      <c r="A994" s="150"/>
      <c r="B994" s="151"/>
      <c r="C994" s="152"/>
      <c r="D994" s="135"/>
      <c r="E994" s="73"/>
      <c r="F994" s="153"/>
      <c r="G994" s="152"/>
      <c r="H994" s="152"/>
      <c r="I994" s="159"/>
      <c r="J994" s="159"/>
      <c r="K994" s="152"/>
      <c r="L994" s="154"/>
      <c r="M994" s="152"/>
      <c r="N994" s="152"/>
      <c r="O994" s="152"/>
      <c r="P994" s="152"/>
      <c r="Q994" s="155"/>
      <c r="R994" s="157"/>
      <c r="S994" s="152"/>
      <c r="T994" s="156"/>
    </row>
    <row r="995" spans="1:20" ht="14.25">
      <c r="A995" s="150"/>
      <c r="B995" s="151"/>
      <c r="C995" s="152"/>
      <c r="D995" s="135"/>
      <c r="E995" s="73"/>
      <c r="F995" s="153"/>
      <c r="G995" s="152"/>
      <c r="H995" s="152"/>
      <c r="I995" s="159"/>
      <c r="J995" s="159"/>
      <c r="K995" s="152"/>
      <c r="L995" s="154"/>
      <c r="M995" s="152"/>
      <c r="N995" s="152"/>
      <c r="O995" s="152"/>
      <c r="P995" s="152"/>
      <c r="Q995" s="155"/>
      <c r="R995" s="157"/>
      <c r="S995" s="152"/>
      <c r="T995" s="156"/>
    </row>
    <row r="996" spans="1:20" ht="14.25">
      <c r="A996" s="150"/>
      <c r="B996" s="151"/>
      <c r="C996" s="152"/>
      <c r="D996" s="135"/>
      <c r="E996" s="73"/>
      <c r="F996" s="153"/>
      <c r="G996" s="152"/>
      <c r="H996" s="152"/>
      <c r="I996" s="159"/>
      <c r="J996" s="159"/>
      <c r="K996" s="152"/>
      <c r="L996" s="154"/>
      <c r="M996" s="152"/>
      <c r="N996" s="152"/>
      <c r="O996" s="152"/>
      <c r="P996" s="152"/>
      <c r="Q996" s="155"/>
      <c r="R996" s="157"/>
      <c r="S996" s="152"/>
      <c r="T996" s="156"/>
    </row>
    <row r="997" spans="1:20" ht="14.25">
      <c r="A997" s="150"/>
      <c r="B997" s="151"/>
      <c r="C997" s="152"/>
      <c r="D997" s="135"/>
      <c r="E997" s="73"/>
      <c r="F997" s="153"/>
      <c r="G997" s="152"/>
      <c r="H997" s="152"/>
      <c r="I997" s="159"/>
      <c r="J997" s="159"/>
      <c r="K997" s="152"/>
      <c r="L997" s="154"/>
      <c r="M997" s="152"/>
      <c r="N997" s="152"/>
      <c r="O997" s="152"/>
      <c r="P997" s="152"/>
      <c r="Q997" s="155"/>
      <c r="R997" s="157"/>
      <c r="S997" s="152"/>
      <c r="T997" s="156"/>
    </row>
    <row r="998" spans="1:20" ht="14.25">
      <c r="A998" s="150"/>
      <c r="B998" s="151"/>
      <c r="C998" s="152"/>
      <c r="D998" s="135"/>
      <c r="E998" s="73"/>
      <c r="F998" s="153"/>
      <c r="G998" s="152"/>
      <c r="H998" s="152"/>
      <c r="I998" s="159"/>
      <c r="J998" s="159"/>
      <c r="K998" s="152"/>
      <c r="L998" s="154"/>
      <c r="M998" s="152"/>
      <c r="N998" s="152"/>
      <c r="O998" s="152"/>
      <c r="P998" s="152"/>
      <c r="Q998" s="155"/>
      <c r="R998" s="157"/>
      <c r="S998" s="152"/>
      <c r="T998" s="156"/>
    </row>
    <row r="999" spans="1:20" ht="14.25">
      <c r="A999" s="150"/>
      <c r="B999" s="151"/>
      <c r="C999" s="152"/>
      <c r="D999" s="135"/>
      <c r="E999" s="73"/>
      <c r="F999" s="153"/>
      <c r="G999" s="152"/>
      <c r="H999" s="152"/>
      <c r="I999" s="159"/>
      <c r="J999" s="159"/>
      <c r="K999" s="152"/>
      <c r="L999" s="154"/>
      <c r="M999" s="152"/>
      <c r="N999" s="152"/>
      <c r="O999" s="152"/>
      <c r="P999" s="152"/>
      <c r="Q999" s="155"/>
      <c r="R999" s="157"/>
      <c r="S999" s="152"/>
      <c r="T999" s="156"/>
    </row>
    <row r="1000" spans="1:20" ht="14.25">
      <c r="A1000" s="150"/>
      <c r="B1000" s="151"/>
      <c r="C1000" s="152"/>
      <c r="D1000" s="135"/>
      <c r="E1000" s="73"/>
      <c r="F1000" s="153"/>
      <c r="G1000" s="152"/>
      <c r="H1000" s="152"/>
      <c r="I1000" s="159"/>
      <c r="J1000" s="159"/>
      <c r="K1000" s="152"/>
      <c r="L1000" s="154"/>
      <c r="M1000" s="152"/>
      <c r="N1000" s="152"/>
      <c r="O1000" s="152"/>
      <c r="P1000" s="152"/>
      <c r="Q1000" s="155"/>
      <c r="R1000" s="157"/>
      <c r="S1000" s="152"/>
      <c r="T1000" s="156"/>
    </row>
    <row r="1001" spans="1:20" ht="14.25">
      <c r="A1001" s="150"/>
      <c r="B1001" s="151"/>
      <c r="C1001" s="152"/>
      <c r="D1001" s="135"/>
      <c r="E1001" s="73"/>
      <c r="F1001" s="153"/>
      <c r="G1001" s="152"/>
      <c r="H1001" s="152"/>
      <c r="I1001" s="159"/>
      <c r="J1001" s="159"/>
      <c r="K1001" s="152"/>
      <c r="L1001" s="154"/>
      <c r="M1001" s="152"/>
      <c r="N1001" s="152"/>
      <c r="O1001" s="152"/>
      <c r="P1001" s="152"/>
      <c r="Q1001" s="155"/>
      <c r="R1001" s="157"/>
      <c r="S1001" s="152"/>
      <c r="T1001" s="156"/>
    </row>
    <row r="1002" spans="1:20" ht="14.25">
      <c r="A1002" s="150"/>
      <c r="B1002" s="151"/>
      <c r="C1002" s="152"/>
      <c r="D1002" s="135"/>
      <c r="E1002" s="73"/>
      <c r="F1002" s="153"/>
      <c r="G1002" s="152"/>
      <c r="H1002" s="152"/>
      <c r="I1002" s="159"/>
      <c r="J1002" s="159"/>
      <c r="K1002" s="152"/>
      <c r="L1002" s="154"/>
      <c r="M1002" s="152"/>
      <c r="N1002" s="152"/>
      <c r="O1002" s="152"/>
      <c r="P1002" s="152"/>
      <c r="Q1002" s="155"/>
      <c r="R1002" s="157"/>
      <c r="S1002" s="152"/>
      <c r="T1002" s="156"/>
    </row>
    <row r="1003" spans="1:20" ht="14.25">
      <c r="A1003" s="150"/>
      <c r="B1003" s="151"/>
      <c r="C1003" s="152"/>
      <c r="D1003" s="135"/>
      <c r="E1003" s="73"/>
      <c r="F1003" s="153"/>
      <c r="G1003" s="152"/>
      <c r="H1003" s="152"/>
      <c r="I1003" s="159"/>
      <c r="J1003" s="159"/>
      <c r="K1003" s="152"/>
      <c r="L1003" s="154"/>
      <c r="M1003" s="152"/>
      <c r="N1003" s="152"/>
      <c r="O1003" s="152"/>
      <c r="P1003" s="152"/>
      <c r="Q1003" s="155"/>
      <c r="R1003" s="157"/>
      <c r="S1003" s="152"/>
      <c r="T1003" s="156"/>
    </row>
    <row r="1004" spans="1:20" ht="14.25">
      <c r="A1004" s="150"/>
      <c r="B1004" s="151"/>
      <c r="C1004" s="152"/>
      <c r="D1004" s="135"/>
      <c r="E1004" s="73"/>
      <c r="F1004" s="153"/>
      <c r="G1004" s="152"/>
      <c r="H1004" s="152"/>
      <c r="I1004" s="159"/>
      <c r="J1004" s="159"/>
      <c r="K1004" s="152"/>
      <c r="L1004" s="154"/>
      <c r="M1004" s="152"/>
      <c r="N1004" s="152"/>
      <c r="O1004" s="152"/>
      <c r="P1004" s="152"/>
      <c r="Q1004" s="155"/>
      <c r="R1004" s="157"/>
      <c r="S1004" s="152"/>
      <c r="T1004" s="156"/>
    </row>
    <row r="1005" spans="1:20" ht="14.25">
      <c r="A1005" s="150"/>
      <c r="B1005" s="151"/>
      <c r="C1005" s="152"/>
      <c r="D1005" s="135"/>
      <c r="E1005" s="73"/>
      <c r="F1005" s="153"/>
      <c r="G1005" s="152"/>
      <c r="H1005" s="152"/>
      <c r="I1005" s="159"/>
      <c r="J1005" s="159"/>
      <c r="K1005" s="152"/>
      <c r="L1005" s="154"/>
      <c r="M1005" s="152"/>
      <c r="N1005" s="152"/>
      <c r="O1005" s="152"/>
      <c r="P1005" s="152"/>
      <c r="Q1005" s="155"/>
      <c r="R1005" s="157"/>
      <c r="S1005" s="152"/>
      <c r="T1005" s="156"/>
    </row>
    <row r="1006" spans="1:20" ht="14.25">
      <c r="A1006" s="150"/>
      <c r="B1006" s="151"/>
      <c r="C1006" s="152"/>
      <c r="D1006" s="135"/>
      <c r="E1006" s="73"/>
      <c r="F1006" s="153"/>
      <c r="G1006" s="152"/>
      <c r="H1006" s="152"/>
      <c r="I1006" s="159"/>
      <c r="J1006" s="159"/>
      <c r="K1006" s="152"/>
      <c r="L1006" s="154"/>
      <c r="M1006" s="152"/>
      <c r="N1006" s="152"/>
      <c r="O1006" s="152"/>
      <c r="P1006" s="152"/>
      <c r="Q1006" s="155"/>
      <c r="R1006" s="157"/>
      <c r="S1006" s="152"/>
      <c r="T1006" s="156"/>
    </row>
    <row r="1007" spans="1:20" ht="14.25">
      <c r="A1007" s="150"/>
      <c r="B1007" s="151"/>
      <c r="C1007" s="152"/>
      <c r="D1007" s="135"/>
      <c r="E1007" s="73"/>
      <c r="F1007" s="153"/>
      <c r="G1007" s="152"/>
      <c r="H1007" s="152"/>
      <c r="I1007" s="159"/>
      <c r="J1007" s="159"/>
      <c r="K1007" s="152"/>
      <c r="L1007" s="154"/>
      <c r="M1007" s="152"/>
      <c r="N1007" s="152"/>
      <c r="O1007" s="152"/>
      <c r="P1007" s="152"/>
      <c r="Q1007" s="155"/>
      <c r="R1007" s="157"/>
      <c r="S1007" s="152"/>
      <c r="T1007" s="156"/>
    </row>
    <row r="1008" spans="1:20" ht="14.25">
      <c r="A1008" s="150"/>
      <c r="B1008" s="151"/>
      <c r="C1008" s="152"/>
      <c r="D1008" s="135"/>
      <c r="E1008" s="73"/>
      <c r="F1008" s="153"/>
      <c r="G1008" s="152"/>
      <c r="H1008" s="152"/>
      <c r="I1008" s="159"/>
      <c r="J1008" s="159"/>
      <c r="K1008" s="152"/>
      <c r="L1008" s="154"/>
      <c r="M1008" s="152"/>
      <c r="N1008" s="152"/>
      <c r="O1008" s="152"/>
      <c r="P1008" s="152"/>
      <c r="Q1008" s="155"/>
      <c r="R1008" s="157"/>
      <c r="S1008" s="152"/>
      <c r="T1008" s="156"/>
    </row>
    <row r="1009" spans="1:20" ht="14.25">
      <c r="A1009" s="150"/>
      <c r="B1009" s="151"/>
      <c r="C1009" s="152"/>
      <c r="D1009" s="135"/>
      <c r="E1009" s="73"/>
      <c r="F1009" s="153"/>
      <c r="G1009" s="152"/>
      <c r="H1009" s="152"/>
      <c r="I1009" s="159"/>
      <c r="J1009" s="159"/>
      <c r="K1009" s="152"/>
      <c r="L1009" s="154"/>
      <c r="M1009" s="152"/>
      <c r="N1009" s="152"/>
      <c r="O1009" s="152"/>
      <c r="P1009" s="152"/>
      <c r="Q1009" s="155"/>
      <c r="R1009" s="157"/>
      <c r="S1009" s="152"/>
      <c r="T1009" s="156"/>
    </row>
    <row r="1010" spans="1:20" ht="14.25">
      <c r="A1010" s="150"/>
      <c r="B1010" s="151"/>
      <c r="C1010" s="152"/>
      <c r="D1010" s="135"/>
      <c r="E1010" s="73"/>
      <c r="F1010" s="153"/>
      <c r="G1010" s="152"/>
      <c r="H1010" s="152"/>
      <c r="I1010" s="159"/>
      <c r="J1010" s="159"/>
      <c r="K1010" s="152"/>
      <c r="L1010" s="154"/>
      <c r="M1010" s="152"/>
      <c r="N1010" s="152"/>
      <c r="O1010" s="152"/>
      <c r="P1010" s="152"/>
      <c r="Q1010" s="155"/>
      <c r="R1010" s="157"/>
      <c r="S1010" s="152"/>
      <c r="T1010" s="156"/>
    </row>
    <row r="1011" spans="1:20" ht="14.25">
      <c r="A1011" s="150"/>
      <c r="B1011" s="151"/>
      <c r="C1011" s="152"/>
      <c r="D1011" s="135"/>
      <c r="E1011" s="73"/>
      <c r="F1011" s="153"/>
      <c r="G1011" s="152"/>
      <c r="H1011" s="152"/>
      <c r="I1011" s="159"/>
      <c r="J1011" s="159"/>
      <c r="K1011" s="152"/>
      <c r="L1011" s="154"/>
      <c r="M1011" s="152"/>
      <c r="N1011" s="152"/>
      <c r="O1011" s="152"/>
      <c r="P1011" s="152"/>
      <c r="Q1011" s="155"/>
      <c r="R1011" s="157"/>
      <c r="S1011" s="152"/>
      <c r="T1011" s="156"/>
    </row>
    <row r="1012" spans="1:20" ht="14.25">
      <c r="A1012" s="150"/>
      <c r="B1012" s="151"/>
      <c r="C1012" s="152"/>
      <c r="D1012" s="135"/>
      <c r="E1012" s="73"/>
      <c r="F1012" s="153"/>
      <c r="G1012" s="152"/>
      <c r="H1012" s="152"/>
      <c r="I1012" s="159"/>
      <c r="J1012" s="159"/>
      <c r="K1012" s="152"/>
      <c r="L1012" s="154"/>
      <c r="M1012" s="152"/>
      <c r="N1012" s="152"/>
      <c r="O1012" s="152"/>
      <c r="P1012" s="152"/>
      <c r="Q1012" s="155"/>
      <c r="R1012" s="157"/>
      <c r="S1012" s="152"/>
      <c r="T1012" s="156"/>
    </row>
    <row r="1013" spans="1:20" ht="14.25">
      <c r="A1013" s="150"/>
      <c r="B1013" s="151"/>
      <c r="C1013" s="152"/>
      <c r="D1013" s="135"/>
      <c r="E1013" s="73"/>
      <c r="F1013" s="153"/>
      <c r="G1013" s="152"/>
      <c r="H1013" s="152"/>
      <c r="I1013" s="159"/>
      <c r="J1013" s="159"/>
      <c r="K1013" s="152"/>
      <c r="L1013" s="154"/>
      <c r="M1013" s="152"/>
      <c r="N1013" s="152"/>
      <c r="O1013" s="152"/>
      <c r="P1013" s="152"/>
      <c r="Q1013" s="155"/>
      <c r="R1013" s="157"/>
      <c r="S1013" s="152"/>
      <c r="T1013" s="156"/>
    </row>
    <row r="1014" spans="1:20" ht="14.25">
      <c r="A1014" s="150"/>
      <c r="B1014" s="151"/>
      <c r="C1014" s="152"/>
      <c r="D1014" s="135"/>
      <c r="E1014" s="73"/>
      <c r="F1014" s="153"/>
      <c r="G1014" s="152"/>
      <c r="H1014" s="152"/>
      <c r="I1014" s="159"/>
      <c r="J1014" s="159"/>
      <c r="K1014" s="152"/>
      <c r="L1014" s="154"/>
      <c r="M1014" s="152"/>
      <c r="N1014" s="152"/>
      <c r="O1014" s="152"/>
      <c r="P1014" s="152"/>
      <c r="Q1014" s="155"/>
      <c r="R1014" s="157"/>
      <c r="S1014" s="152"/>
      <c r="T1014" s="156"/>
    </row>
    <row r="1015" spans="1:20" ht="14.25">
      <c r="A1015" s="150"/>
      <c r="B1015" s="151"/>
      <c r="C1015" s="152"/>
      <c r="D1015" s="135"/>
      <c r="E1015" s="73"/>
      <c r="F1015" s="153"/>
      <c r="G1015" s="152"/>
      <c r="H1015" s="152"/>
      <c r="I1015" s="159"/>
      <c r="J1015" s="159"/>
      <c r="K1015" s="152"/>
      <c r="L1015" s="154"/>
      <c r="M1015" s="152"/>
      <c r="N1015" s="152"/>
      <c r="O1015" s="152"/>
      <c r="P1015" s="152"/>
      <c r="Q1015" s="155"/>
      <c r="R1015" s="157"/>
      <c r="S1015" s="152"/>
      <c r="T1015" s="156"/>
    </row>
    <row r="1016" spans="1:20" ht="14.25">
      <c r="A1016" s="150"/>
      <c r="B1016" s="151"/>
      <c r="C1016" s="152"/>
      <c r="D1016" s="135"/>
      <c r="E1016" s="73"/>
      <c r="F1016" s="153"/>
      <c r="G1016" s="152"/>
      <c r="H1016" s="152"/>
      <c r="I1016" s="159"/>
      <c r="J1016" s="159"/>
      <c r="K1016" s="152"/>
      <c r="L1016" s="154"/>
      <c r="M1016" s="152"/>
      <c r="N1016" s="152"/>
      <c r="O1016" s="152"/>
      <c r="P1016" s="152"/>
      <c r="Q1016" s="155"/>
      <c r="R1016" s="157"/>
      <c r="S1016" s="152"/>
      <c r="T1016" s="156"/>
    </row>
    <row r="1017" spans="1:20" ht="14.25">
      <c r="A1017" s="150"/>
      <c r="B1017" s="151"/>
      <c r="C1017" s="152"/>
      <c r="D1017" s="135"/>
      <c r="E1017" s="73"/>
      <c r="F1017" s="153"/>
      <c r="G1017" s="152"/>
      <c r="H1017" s="152"/>
      <c r="I1017" s="159"/>
      <c r="J1017" s="159"/>
      <c r="K1017" s="152"/>
      <c r="L1017" s="154"/>
      <c r="M1017" s="152"/>
      <c r="N1017" s="152"/>
      <c r="O1017" s="152"/>
      <c r="P1017" s="152"/>
      <c r="Q1017" s="155"/>
      <c r="R1017" s="157"/>
      <c r="S1017" s="152"/>
      <c r="T1017" s="156"/>
    </row>
    <row r="1018" spans="1:20" ht="14.25">
      <c r="A1018" s="150"/>
      <c r="B1018" s="151"/>
      <c r="C1018" s="152"/>
      <c r="D1018" s="135"/>
      <c r="E1018" s="73"/>
      <c r="F1018" s="153"/>
      <c r="G1018" s="152"/>
      <c r="H1018" s="152"/>
      <c r="I1018" s="159"/>
      <c r="J1018" s="159"/>
      <c r="K1018" s="152"/>
      <c r="L1018" s="154"/>
      <c r="M1018" s="152"/>
      <c r="N1018" s="152"/>
      <c r="O1018" s="152"/>
      <c r="P1018" s="152"/>
      <c r="Q1018" s="155"/>
      <c r="R1018" s="157"/>
      <c r="S1018" s="152"/>
      <c r="T1018" s="156"/>
    </row>
    <row r="1019" spans="1:20" ht="14.25">
      <c r="A1019" s="150"/>
      <c r="B1019" s="151"/>
      <c r="C1019" s="152"/>
      <c r="D1019" s="135"/>
      <c r="E1019" s="73"/>
      <c r="F1019" s="153"/>
      <c r="G1019" s="152"/>
      <c r="H1019" s="152"/>
      <c r="I1019" s="159"/>
      <c r="J1019" s="159"/>
      <c r="K1019" s="152"/>
      <c r="L1019" s="154"/>
      <c r="M1019" s="152"/>
      <c r="N1019" s="152"/>
      <c r="O1019" s="152"/>
      <c r="P1019" s="152"/>
      <c r="Q1019" s="155"/>
      <c r="R1019" s="157"/>
      <c r="S1019" s="152"/>
      <c r="T1019" s="156"/>
    </row>
    <row r="1020" spans="1:20" ht="14.25">
      <c r="A1020" s="150"/>
      <c r="B1020" s="151"/>
      <c r="C1020" s="152"/>
      <c r="D1020" s="135"/>
      <c r="E1020" s="73"/>
      <c r="F1020" s="153"/>
      <c r="G1020" s="152"/>
      <c r="H1020" s="152"/>
      <c r="I1020" s="159"/>
      <c r="J1020" s="159"/>
      <c r="K1020" s="152"/>
      <c r="L1020" s="154"/>
      <c r="M1020" s="152"/>
      <c r="N1020" s="152"/>
      <c r="O1020" s="152"/>
      <c r="P1020" s="152"/>
      <c r="Q1020" s="155"/>
      <c r="R1020" s="157"/>
      <c r="S1020" s="152"/>
      <c r="T1020" s="156"/>
    </row>
    <row r="1021" spans="1:20" ht="14.25">
      <c r="A1021" s="150"/>
      <c r="B1021" s="151"/>
      <c r="C1021" s="152"/>
      <c r="D1021" s="135"/>
      <c r="E1021" s="73"/>
      <c r="F1021" s="153"/>
      <c r="G1021" s="152"/>
      <c r="H1021" s="152"/>
      <c r="I1021" s="159"/>
      <c r="J1021" s="159"/>
      <c r="K1021" s="152"/>
      <c r="L1021" s="154"/>
      <c r="M1021" s="152"/>
      <c r="N1021" s="152"/>
      <c r="O1021" s="152"/>
      <c r="P1021" s="152"/>
      <c r="Q1021" s="155"/>
      <c r="R1021" s="157"/>
      <c r="S1021" s="152"/>
      <c r="T1021" s="156"/>
    </row>
    <row r="1022" spans="1:20" ht="14.25">
      <c r="A1022" s="150"/>
      <c r="B1022" s="151"/>
      <c r="C1022" s="152"/>
      <c r="D1022" s="135"/>
      <c r="E1022" s="73"/>
      <c r="F1022" s="153"/>
      <c r="G1022" s="152"/>
      <c r="H1022" s="152"/>
      <c r="I1022" s="159"/>
      <c r="J1022" s="159"/>
      <c r="K1022" s="152"/>
      <c r="L1022" s="154"/>
      <c r="M1022" s="152"/>
      <c r="N1022" s="152"/>
      <c r="O1022" s="152"/>
      <c r="P1022" s="152"/>
      <c r="Q1022" s="155"/>
      <c r="R1022" s="157"/>
      <c r="S1022" s="152"/>
      <c r="T1022" s="156"/>
    </row>
    <row r="1023" spans="1:20" ht="14.25">
      <c r="A1023" s="150"/>
      <c r="B1023" s="151"/>
      <c r="C1023" s="152"/>
      <c r="D1023" s="135"/>
      <c r="E1023" s="73"/>
      <c r="F1023" s="153"/>
      <c r="G1023" s="152"/>
      <c r="H1023" s="152"/>
      <c r="I1023" s="159"/>
      <c r="J1023" s="159"/>
      <c r="K1023" s="152"/>
      <c r="L1023" s="154"/>
      <c r="M1023" s="152"/>
      <c r="N1023" s="152"/>
      <c r="O1023" s="152"/>
      <c r="P1023" s="152"/>
      <c r="Q1023" s="155"/>
      <c r="R1023" s="157"/>
      <c r="S1023" s="152"/>
      <c r="T1023" s="156"/>
    </row>
    <row r="1024" spans="1:20" ht="14.25">
      <c r="A1024" s="150"/>
      <c r="B1024" s="151"/>
      <c r="C1024" s="152"/>
      <c r="D1024" s="135"/>
      <c r="E1024" s="73"/>
      <c r="F1024" s="153"/>
      <c r="G1024" s="152"/>
      <c r="H1024" s="152"/>
      <c r="I1024" s="159"/>
      <c r="J1024" s="159"/>
      <c r="K1024" s="152"/>
      <c r="L1024" s="154"/>
      <c r="M1024" s="152"/>
      <c r="N1024" s="152"/>
      <c r="O1024" s="152"/>
      <c r="P1024" s="152"/>
      <c r="Q1024" s="155"/>
      <c r="R1024" s="157"/>
      <c r="S1024" s="152"/>
      <c r="T1024" s="156"/>
    </row>
    <row r="1025" spans="1:20" ht="14.25">
      <c r="A1025" s="150"/>
      <c r="B1025" s="151"/>
      <c r="C1025" s="152"/>
      <c r="D1025" s="135"/>
      <c r="E1025" s="73"/>
      <c r="F1025" s="153"/>
      <c r="G1025" s="152"/>
      <c r="H1025" s="152"/>
      <c r="I1025" s="159"/>
      <c r="J1025" s="159"/>
      <c r="K1025" s="152"/>
      <c r="L1025" s="154"/>
      <c r="M1025" s="152"/>
      <c r="N1025" s="152"/>
      <c r="O1025" s="152"/>
      <c r="P1025" s="152"/>
      <c r="Q1025" s="155"/>
      <c r="R1025" s="157"/>
      <c r="S1025" s="152"/>
      <c r="T1025" s="156"/>
    </row>
    <row r="1026" spans="1:20" ht="14.25">
      <c r="A1026" s="150"/>
      <c r="B1026" s="151"/>
      <c r="C1026" s="152"/>
      <c r="D1026" s="135"/>
      <c r="E1026" s="73"/>
      <c r="F1026" s="153"/>
      <c r="G1026" s="152"/>
      <c r="H1026" s="152"/>
      <c r="I1026" s="159"/>
      <c r="J1026" s="159"/>
      <c r="K1026" s="152"/>
      <c r="L1026" s="154"/>
      <c r="M1026" s="152"/>
      <c r="N1026" s="152"/>
      <c r="O1026" s="152"/>
      <c r="P1026" s="152"/>
      <c r="Q1026" s="155"/>
      <c r="R1026" s="157"/>
      <c r="S1026" s="152"/>
      <c r="T1026" s="156"/>
    </row>
    <row r="1027" spans="1:20" ht="14.25">
      <c r="A1027" s="150"/>
      <c r="B1027" s="151"/>
      <c r="C1027" s="152"/>
      <c r="D1027" s="135"/>
      <c r="E1027" s="73"/>
      <c r="F1027" s="153"/>
      <c r="G1027" s="152"/>
      <c r="H1027" s="152"/>
      <c r="I1027" s="159"/>
      <c r="J1027" s="159"/>
      <c r="K1027" s="152"/>
      <c r="L1027" s="154"/>
      <c r="M1027" s="152"/>
      <c r="N1027" s="152"/>
      <c r="O1027" s="152"/>
      <c r="P1027" s="152"/>
      <c r="Q1027" s="155"/>
      <c r="R1027" s="157"/>
      <c r="S1027" s="152"/>
      <c r="T1027" s="156"/>
    </row>
    <row r="1028" spans="1:20" ht="14.25">
      <c r="A1028" s="150"/>
      <c r="B1028" s="151"/>
      <c r="C1028" s="152"/>
      <c r="D1028" s="135"/>
      <c r="E1028" s="73"/>
      <c r="F1028" s="153"/>
      <c r="G1028" s="152"/>
      <c r="H1028" s="152"/>
      <c r="I1028" s="159"/>
      <c r="J1028" s="159"/>
      <c r="K1028" s="152"/>
      <c r="L1028" s="154"/>
      <c r="M1028" s="152"/>
      <c r="N1028" s="152"/>
      <c r="O1028" s="152"/>
      <c r="P1028" s="152"/>
      <c r="Q1028" s="155"/>
      <c r="R1028" s="157"/>
      <c r="S1028" s="152"/>
      <c r="T1028" s="156"/>
    </row>
    <row r="1029" spans="1:20" ht="14.25">
      <c r="A1029" s="150"/>
      <c r="B1029" s="151"/>
      <c r="C1029" s="152"/>
      <c r="D1029" s="135"/>
      <c r="E1029" s="73"/>
      <c r="F1029" s="153"/>
      <c r="G1029" s="152"/>
      <c r="H1029" s="152"/>
      <c r="I1029" s="159"/>
      <c r="J1029" s="159"/>
      <c r="K1029" s="152"/>
      <c r="L1029" s="154"/>
      <c r="M1029" s="152"/>
      <c r="N1029" s="152"/>
      <c r="O1029" s="152"/>
      <c r="P1029" s="152"/>
      <c r="Q1029" s="155"/>
      <c r="R1029" s="157"/>
      <c r="S1029" s="152"/>
      <c r="T1029" s="156"/>
    </row>
    <row r="1030" spans="1:20" ht="14.25">
      <c r="A1030" s="150"/>
      <c r="B1030" s="151"/>
      <c r="C1030" s="152"/>
      <c r="D1030" s="135"/>
      <c r="E1030" s="73"/>
      <c r="F1030" s="153"/>
      <c r="G1030" s="152"/>
      <c r="H1030" s="152"/>
      <c r="I1030" s="159"/>
      <c r="J1030" s="159"/>
      <c r="K1030" s="152"/>
      <c r="L1030" s="154"/>
      <c r="M1030" s="152"/>
      <c r="N1030" s="152"/>
      <c r="O1030" s="152"/>
      <c r="P1030" s="152"/>
      <c r="Q1030" s="155"/>
      <c r="R1030" s="157"/>
      <c r="S1030" s="152"/>
      <c r="T1030" s="156"/>
    </row>
    <row r="1031" spans="1:20" ht="14.25">
      <c r="A1031" s="150"/>
      <c r="B1031" s="151"/>
      <c r="C1031" s="152"/>
      <c r="D1031" s="135"/>
      <c r="E1031" s="73"/>
      <c r="F1031" s="153"/>
      <c r="G1031" s="152"/>
      <c r="H1031" s="152"/>
      <c r="I1031" s="159"/>
      <c r="J1031" s="159"/>
      <c r="K1031" s="152"/>
      <c r="L1031" s="154"/>
      <c r="M1031" s="152"/>
      <c r="N1031" s="152"/>
      <c r="O1031" s="152"/>
      <c r="P1031" s="152"/>
      <c r="Q1031" s="155"/>
      <c r="R1031" s="157"/>
      <c r="S1031" s="152"/>
      <c r="T1031" s="156"/>
    </row>
    <row r="1032" spans="1:20" ht="14.25">
      <c r="A1032" s="150"/>
      <c r="B1032" s="151"/>
      <c r="C1032" s="152"/>
      <c r="D1032" s="135"/>
      <c r="E1032" s="73"/>
      <c r="F1032" s="153"/>
      <c r="G1032" s="152"/>
      <c r="H1032" s="152"/>
      <c r="I1032" s="159"/>
      <c r="J1032" s="159"/>
      <c r="K1032" s="152"/>
      <c r="L1032" s="154"/>
      <c r="M1032" s="152"/>
      <c r="N1032" s="152"/>
      <c r="O1032" s="152"/>
      <c r="P1032" s="152"/>
      <c r="Q1032" s="155"/>
      <c r="R1032" s="157"/>
      <c r="S1032" s="152"/>
      <c r="T1032" s="156"/>
    </row>
    <row r="1033" spans="1:20" ht="14.25">
      <c r="A1033" s="150"/>
      <c r="B1033" s="151"/>
      <c r="C1033" s="152"/>
      <c r="D1033" s="135"/>
      <c r="E1033" s="73"/>
      <c r="F1033" s="153"/>
      <c r="G1033" s="152"/>
      <c r="H1033" s="152"/>
      <c r="I1033" s="159"/>
      <c r="J1033" s="159"/>
      <c r="K1033" s="152"/>
      <c r="L1033" s="154"/>
      <c r="M1033" s="152"/>
      <c r="N1033" s="152"/>
      <c r="O1033" s="152"/>
      <c r="P1033" s="152"/>
      <c r="Q1033" s="155"/>
      <c r="R1033" s="157"/>
      <c r="S1033" s="152"/>
      <c r="T1033" s="156"/>
    </row>
    <row r="1034" spans="1:20" ht="14.25">
      <c r="A1034" s="150"/>
      <c r="B1034" s="151"/>
      <c r="C1034" s="152"/>
      <c r="D1034" s="135"/>
      <c r="E1034" s="73"/>
      <c r="F1034" s="153"/>
      <c r="G1034" s="152"/>
      <c r="H1034" s="152"/>
      <c r="I1034" s="159"/>
      <c r="J1034" s="159"/>
      <c r="K1034" s="152"/>
      <c r="L1034" s="154"/>
      <c r="M1034" s="152"/>
      <c r="N1034" s="152"/>
      <c r="O1034" s="152"/>
      <c r="P1034" s="152"/>
      <c r="Q1034" s="155"/>
      <c r="R1034" s="157"/>
      <c r="S1034" s="152"/>
      <c r="T1034" s="156"/>
    </row>
    <row r="1035" spans="1:20" ht="14.25">
      <c r="A1035" s="150"/>
      <c r="B1035" s="151"/>
      <c r="C1035" s="152"/>
      <c r="D1035" s="135"/>
      <c r="E1035" s="73"/>
      <c r="F1035" s="153"/>
      <c r="G1035" s="152"/>
      <c r="H1035" s="152"/>
      <c r="I1035" s="159"/>
      <c r="J1035" s="159"/>
      <c r="K1035" s="152"/>
      <c r="L1035" s="154"/>
      <c r="M1035" s="152"/>
      <c r="N1035" s="152"/>
      <c r="O1035" s="152"/>
      <c r="P1035" s="152"/>
      <c r="Q1035" s="155"/>
      <c r="R1035" s="157"/>
      <c r="S1035" s="152"/>
      <c r="T1035" s="156"/>
    </row>
    <row r="1036" spans="1:20" ht="14.25">
      <c r="A1036" s="150"/>
      <c r="B1036" s="151"/>
      <c r="C1036" s="152"/>
      <c r="D1036" s="135"/>
      <c r="E1036" s="73"/>
      <c r="F1036" s="153"/>
      <c r="G1036" s="152"/>
      <c r="H1036" s="152"/>
      <c r="I1036" s="159"/>
      <c r="J1036" s="159"/>
      <c r="K1036" s="152"/>
      <c r="L1036" s="154"/>
      <c r="M1036" s="152"/>
      <c r="N1036" s="152"/>
      <c r="O1036" s="152"/>
      <c r="P1036" s="152"/>
      <c r="Q1036" s="155"/>
      <c r="R1036" s="157"/>
      <c r="S1036" s="152"/>
      <c r="T1036" s="156"/>
    </row>
    <row r="1037" spans="1:20" ht="14.25">
      <c r="A1037" s="150"/>
      <c r="B1037" s="151"/>
      <c r="C1037" s="152"/>
      <c r="D1037" s="135"/>
      <c r="E1037" s="73"/>
      <c r="F1037" s="153"/>
      <c r="G1037" s="152"/>
      <c r="H1037" s="152"/>
      <c r="I1037" s="159"/>
      <c r="J1037" s="159"/>
      <c r="K1037" s="152"/>
      <c r="L1037" s="154"/>
      <c r="M1037" s="152"/>
      <c r="N1037" s="152"/>
      <c r="O1037" s="152"/>
      <c r="P1037" s="152"/>
      <c r="Q1037" s="155"/>
      <c r="R1037" s="157"/>
      <c r="S1037" s="152"/>
      <c r="T1037" s="156"/>
    </row>
    <row r="1038" spans="1:20" ht="14.25">
      <c r="A1038" s="150"/>
      <c r="B1038" s="151"/>
      <c r="C1038" s="152"/>
      <c r="D1038" s="135"/>
      <c r="E1038" s="73"/>
      <c r="F1038" s="153"/>
      <c r="G1038" s="152"/>
      <c r="H1038" s="152"/>
      <c r="I1038" s="159"/>
      <c r="J1038" s="159"/>
      <c r="K1038" s="152"/>
      <c r="L1038" s="154"/>
      <c r="M1038" s="152"/>
      <c r="N1038" s="152"/>
      <c r="O1038" s="152"/>
      <c r="P1038" s="152"/>
      <c r="Q1038" s="155"/>
      <c r="R1038" s="157"/>
      <c r="S1038" s="152"/>
      <c r="T1038" s="156"/>
    </row>
    <row r="1039" spans="1:20" ht="14.25">
      <c r="A1039" s="150"/>
      <c r="B1039" s="151"/>
      <c r="C1039" s="152"/>
      <c r="D1039" s="135"/>
      <c r="E1039" s="73"/>
      <c r="F1039" s="153"/>
      <c r="G1039" s="152"/>
      <c r="H1039" s="152"/>
      <c r="I1039" s="159"/>
      <c r="J1039" s="159"/>
      <c r="K1039" s="152"/>
      <c r="L1039" s="154"/>
      <c r="M1039" s="152"/>
      <c r="N1039" s="152"/>
      <c r="O1039" s="152"/>
      <c r="P1039" s="152"/>
      <c r="Q1039" s="155"/>
      <c r="R1039" s="157"/>
      <c r="S1039" s="152"/>
      <c r="T1039" s="156"/>
    </row>
    <row r="1040" spans="1:20" ht="14.25">
      <c r="A1040" s="150"/>
      <c r="B1040" s="151"/>
      <c r="C1040" s="152"/>
      <c r="D1040" s="135"/>
      <c r="E1040" s="73"/>
      <c r="F1040" s="153"/>
      <c r="G1040" s="152"/>
      <c r="H1040" s="152"/>
      <c r="I1040" s="159"/>
      <c r="J1040" s="159"/>
      <c r="K1040" s="152"/>
      <c r="L1040" s="154"/>
      <c r="M1040" s="152"/>
      <c r="N1040" s="152"/>
      <c r="O1040" s="152"/>
      <c r="P1040" s="152"/>
      <c r="Q1040" s="155"/>
      <c r="R1040" s="157"/>
      <c r="S1040" s="152"/>
      <c r="T1040" s="156"/>
    </row>
    <row r="1041" spans="1:20" ht="14.25">
      <c r="A1041" s="150"/>
      <c r="B1041" s="151"/>
      <c r="C1041" s="152"/>
      <c r="D1041" s="135"/>
      <c r="E1041" s="73"/>
      <c r="F1041" s="153"/>
      <c r="G1041" s="152"/>
      <c r="H1041" s="152"/>
      <c r="I1041" s="159"/>
      <c r="J1041" s="159"/>
      <c r="K1041" s="152"/>
      <c r="L1041" s="154"/>
      <c r="M1041" s="152"/>
      <c r="N1041" s="152"/>
      <c r="O1041" s="152"/>
      <c r="P1041" s="152"/>
      <c r="Q1041" s="155"/>
      <c r="R1041" s="157"/>
      <c r="S1041" s="152"/>
      <c r="T1041" s="156"/>
    </row>
    <row r="1042" spans="1:20" ht="14.25">
      <c r="A1042" s="150"/>
      <c r="B1042" s="151"/>
      <c r="C1042" s="152"/>
      <c r="D1042" s="135"/>
      <c r="E1042" s="73"/>
      <c r="F1042" s="153"/>
      <c r="G1042" s="152"/>
      <c r="H1042" s="152"/>
      <c r="I1042" s="159"/>
      <c r="J1042" s="159"/>
      <c r="K1042" s="152"/>
      <c r="L1042" s="154"/>
      <c r="M1042" s="152"/>
      <c r="N1042" s="152"/>
      <c r="O1042" s="152"/>
      <c r="P1042" s="152"/>
      <c r="Q1042" s="155"/>
      <c r="R1042" s="157"/>
      <c r="S1042" s="152"/>
      <c r="T1042" s="156"/>
    </row>
    <row r="1043" spans="1:20" ht="14.25">
      <c r="A1043" s="150"/>
      <c r="B1043" s="151"/>
      <c r="C1043" s="152"/>
      <c r="D1043" s="135"/>
      <c r="E1043" s="73"/>
      <c r="F1043" s="153"/>
      <c r="G1043" s="152"/>
      <c r="H1043" s="152"/>
      <c r="I1043" s="159"/>
      <c r="J1043" s="159"/>
      <c r="K1043" s="152"/>
      <c r="L1043" s="154"/>
      <c r="M1043" s="152"/>
      <c r="N1043" s="152"/>
      <c r="O1043" s="152"/>
      <c r="P1043" s="152"/>
      <c r="Q1043" s="155"/>
      <c r="R1043" s="157"/>
      <c r="S1043" s="152"/>
      <c r="T1043" s="156"/>
    </row>
    <row r="1044" spans="1:20" ht="14.25">
      <c r="A1044" s="150"/>
      <c r="B1044" s="151"/>
      <c r="C1044" s="152"/>
      <c r="D1044" s="135"/>
      <c r="E1044" s="73"/>
      <c r="F1044" s="153"/>
      <c r="G1044" s="152"/>
      <c r="H1044" s="152"/>
      <c r="I1044" s="159"/>
      <c r="J1044" s="159"/>
      <c r="K1044" s="152"/>
      <c r="L1044" s="154"/>
      <c r="M1044" s="152"/>
      <c r="N1044" s="152"/>
      <c r="O1044" s="152"/>
      <c r="P1044" s="152"/>
      <c r="Q1044" s="155"/>
      <c r="R1044" s="157"/>
      <c r="S1044" s="152"/>
      <c r="T1044" s="156"/>
    </row>
    <row r="1045" spans="1:20" ht="14.25">
      <c r="A1045" s="150"/>
      <c r="B1045" s="151"/>
      <c r="C1045" s="152"/>
      <c r="D1045" s="135"/>
      <c r="E1045" s="73"/>
      <c r="F1045" s="153"/>
      <c r="G1045" s="152"/>
      <c r="H1045" s="152"/>
      <c r="I1045" s="159"/>
      <c r="J1045" s="159"/>
      <c r="K1045" s="152"/>
      <c r="L1045" s="154"/>
      <c r="M1045" s="152"/>
      <c r="N1045" s="152"/>
      <c r="O1045" s="152"/>
      <c r="P1045" s="152"/>
      <c r="Q1045" s="155"/>
      <c r="R1045" s="157"/>
      <c r="S1045" s="152"/>
      <c r="T1045" s="156"/>
    </row>
    <row r="1046" spans="1:20" ht="14.25">
      <c r="A1046" s="150"/>
      <c r="B1046" s="151"/>
      <c r="C1046" s="152"/>
      <c r="D1046" s="135"/>
      <c r="E1046" s="73"/>
      <c r="F1046" s="153"/>
      <c r="G1046" s="152"/>
      <c r="H1046" s="152"/>
      <c r="I1046" s="159"/>
      <c r="J1046" s="159"/>
      <c r="K1046" s="152"/>
      <c r="L1046" s="154"/>
      <c r="M1046" s="152"/>
      <c r="N1046" s="152"/>
      <c r="O1046" s="152"/>
      <c r="P1046" s="152"/>
      <c r="Q1046" s="155"/>
      <c r="R1046" s="157"/>
      <c r="S1046" s="152"/>
      <c r="T1046" s="156"/>
    </row>
    <row r="1047" spans="1:20" ht="14.25">
      <c r="A1047" s="150"/>
      <c r="B1047" s="151"/>
      <c r="C1047" s="152"/>
      <c r="D1047" s="135"/>
      <c r="E1047" s="73"/>
      <c r="F1047" s="153"/>
      <c r="G1047" s="152"/>
      <c r="H1047" s="152"/>
      <c r="I1047" s="159"/>
      <c r="J1047" s="159"/>
      <c r="K1047" s="152"/>
      <c r="L1047" s="154"/>
      <c r="M1047" s="152"/>
      <c r="N1047" s="152"/>
      <c r="O1047" s="152"/>
      <c r="P1047" s="152"/>
      <c r="Q1047" s="155"/>
      <c r="R1047" s="157"/>
      <c r="S1047" s="152"/>
      <c r="T1047" s="156"/>
    </row>
    <row r="1048" spans="1:20" ht="14.25">
      <c r="A1048" s="150"/>
      <c r="B1048" s="151"/>
      <c r="C1048" s="152"/>
      <c r="D1048" s="135"/>
      <c r="E1048" s="73"/>
      <c r="F1048" s="153"/>
      <c r="G1048" s="152"/>
      <c r="H1048" s="152"/>
      <c r="I1048" s="159"/>
      <c r="J1048" s="159"/>
      <c r="K1048" s="152"/>
      <c r="L1048" s="154"/>
      <c r="M1048" s="152"/>
      <c r="N1048" s="152"/>
      <c r="O1048" s="152"/>
      <c r="P1048" s="152"/>
      <c r="Q1048" s="155"/>
      <c r="R1048" s="157"/>
      <c r="S1048" s="152"/>
      <c r="T1048" s="156"/>
    </row>
    <row r="1049" spans="1:20" ht="14.25">
      <c r="A1049" s="150"/>
      <c r="B1049" s="151"/>
      <c r="C1049" s="152"/>
      <c r="D1049" s="135"/>
      <c r="E1049" s="73"/>
      <c r="F1049" s="153"/>
      <c r="G1049" s="152"/>
      <c r="H1049" s="152"/>
      <c r="I1049" s="159"/>
      <c r="J1049" s="159"/>
      <c r="K1049" s="152"/>
      <c r="L1049" s="154"/>
      <c r="M1049" s="152"/>
      <c r="N1049" s="152"/>
      <c r="O1049" s="152"/>
      <c r="P1049" s="152"/>
      <c r="Q1049" s="155"/>
      <c r="R1049" s="157"/>
      <c r="S1049" s="152"/>
      <c r="T1049" s="156"/>
    </row>
    <row r="1050" spans="1:20" ht="14.25">
      <c r="A1050" s="150"/>
      <c r="B1050" s="151"/>
      <c r="C1050" s="152"/>
      <c r="D1050" s="135"/>
      <c r="E1050" s="73"/>
      <c r="F1050" s="153"/>
      <c r="G1050" s="152"/>
      <c r="H1050" s="152"/>
      <c r="I1050" s="159"/>
      <c r="J1050" s="159"/>
      <c r="K1050" s="152"/>
      <c r="L1050" s="154"/>
      <c r="M1050" s="152"/>
      <c r="N1050" s="152"/>
      <c r="O1050" s="152"/>
      <c r="P1050" s="152"/>
      <c r="Q1050" s="155"/>
      <c r="R1050" s="157"/>
      <c r="S1050" s="152"/>
      <c r="T1050" s="156"/>
    </row>
    <row r="1051" spans="1:20" ht="14.25">
      <c r="A1051" s="150"/>
      <c r="B1051" s="151"/>
      <c r="C1051" s="152"/>
      <c r="D1051" s="135"/>
      <c r="E1051" s="73"/>
      <c r="F1051" s="153"/>
      <c r="G1051" s="152"/>
      <c r="H1051" s="152"/>
      <c r="I1051" s="159"/>
      <c r="J1051" s="159"/>
      <c r="K1051" s="152"/>
      <c r="L1051" s="154"/>
      <c r="M1051" s="152"/>
      <c r="N1051" s="152"/>
      <c r="O1051" s="152"/>
      <c r="P1051" s="152"/>
      <c r="Q1051" s="155"/>
      <c r="R1051" s="157"/>
      <c r="S1051" s="152"/>
      <c r="T1051" s="156"/>
    </row>
    <row r="1052" spans="1:20" ht="14.25">
      <c r="A1052" s="150"/>
      <c r="B1052" s="151"/>
      <c r="C1052" s="152"/>
      <c r="D1052" s="135"/>
      <c r="E1052" s="73"/>
      <c r="F1052" s="153"/>
      <c r="G1052" s="152"/>
      <c r="H1052" s="152"/>
      <c r="I1052" s="159"/>
      <c r="J1052" s="159"/>
      <c r="K1052" s="152"/>
      <c r="L1052" s="154"/>
      <c r="M1052" s="152"/>
      <c r="N1052" s="152"/>
      <c r="O1052" s="152"/>
      <c r="P1052" s="152"/>
      <c r="Q1052" s="155"/>
      <c r="R1052" s="157"/>
      <c r="S1052" s="152"/>
      <c r="T1052" s="156"/>
    </row>
    <row r="1053" spans="1:20" ht="14.25">
      <c r="A1053" s="150"/>
      <c r="B1053" s="151"/>
      <c r="C1053" s="152"/>
      <c r="D1053" s="135"/>
      <c r="E1053" s="73"/>
      <c r="F1053" s="153"/>
      <c r="G1053" s="152"/>
      <c r="H1053" s="152"/>
      <c r="I1053" s="159"/>
      <c r="J1053" s="159"/>
      <c r="K1053" s="152"/>
      <c r="L1053" s="154"/>
      <c r="M1053" s="152"/>
      <c r="N1053" s="152"/>
      <c r="O1053" s="152"/>
      <c r="P1053" s="152"/>
      <c r="Q1053" s="155"/>
      <c r="R1053" s="157"/>
      <c r="S1053" s="152"/>
      <c r="T1053" s="156"/>
    </row>
    <row r="1054" spans="1:20" ht="14.25">
      <c r="A1054" s="150"/>
      <c r="B1054" s="151"/>
      <c r="C1054" s="152"/>
      <c r="D1054" s="135"/>
      <c r="E1054" s="73"/>
      <c r="F1054" s="153"/>
      <c r="G1054" s="152"/>
      <c r="H1054" s="152"/>
      <c r="I1054" s="159"/>
      <c r="J1054" s="159"/>
      <c r="K1054" s="152"/>
      <c r="L1054" s="154"/>
      <c r="M1054" s="152"/>
      <c r="N1054" s="152"/>
      <c r="O1054" s="152"/>
      <c r="P1054" s="152"/>
      <c r="Q1054" s="155"/>
      <c r="R1054" s="157"/>
      <c r="S1054" s="152"/>
      <c r="T1054" s="156"/>
    </row>
    <row r="1055" spans="1:20" ht="14.25">
      <c r="A1055" s="150"/>
      <c r="B1055" s="151"/>
      <c r="C1055" s="152"/>
      <c r="D1055" s="135"/>
      <c r="E1055" s="73"/>
      <c r="F1055" s="153"/>
      <c r="G1055" s="152"/>
      <c r="H1055" s="152"/>
      <c r="I1055" s="159"/>
      <c r="J1055" s="159"/>
      <c r="K1055" s="152"/>
      <c r="L1055" s="154"/>
      <c r="M1055" s="152"/>
      <c r="N1055" s="152"/>
      <c r="O1055" s="152"/>
      <c r="P1055" s="152"/>
      <c r="Q1055" s="155"/>
      <c r="R1055" s="157"/>
      <c r="S1055" s="152"/>
      <c r="T1055" s="156"/>
    </row>
    <row r="1056" spans="1:20" ht="14.25">
      <c r="A1056" s="150"/>
      <c r="B1056" s="151"/>
      <c r="C1056" s="152"/>
      <c r="D1056" s="135"/>
      <c r="E1056" s="73"/>
      <c r="F1056" s="153"/>
      <c r="G1056" s="152"/>
      <c r="H1056" s="152"/>
      <c r="I1056" s="159"/>
      <c r="J1056" s="159"/>
      <c r="K1056" s="152"/>
      <c r="L1056" s="154"/>
      <c r="M1056" s="152"/>
      <c r="N1056" s="152"/>
      <c r="O1056" s="152"/>
      <c r="P1056" s="152"/>
      <c r="Q1056" s="155"/>
      <c r="R1056" s="157"/>
      <c r="S1056" s="152"/>
      <c r="T1056" s="156"/>
    </row>
    <row r="1057" spans="1:20" ht="14.25">
      <c r="A1057" s="150"/>
      <c r="B1057" s="151"/>
      <c r="C1057" s="152"/>
      <c r="D1057" s="135"/>
      <c r="E1057" s="73"/>
      <c r="F1057" s="153"/>
      <c r="G1057" s="152"/>
      <c r="H1057" s="152"/>
      <c r="I1057" s="159"/>
      <c r="J1057" s="159"/>
      <c r="K1057" s="152"/>
      <c r="L1057" s="154"/>
      <c r="M1057" s="152"/>
      <c r="N1057" s="152"/>
      <c r="O1057" s="152"/>
      <c r="P1057" s="152"/>
      <c r="Q1057" s="155"/>
      <c r="R1057" s="157"/>
      <c r="S1057" s="152"/>
      <c r="T1057" s="156"/>
    </row>
    <row r="1058" spans="1:20" ht="14.25">
      <c r="A1058" s="150"/>
      <c r="B1058" s="151"/>
      <c r="C1058" s="152"/>
      <c r="D1058" s="135"/>
      <c r="E1058" s="73"/>
      <c r="F1058" s="153"/>
      <c r="G1058" s="152"/>
      <c r="H1058" s="152"/>
      <c r="I1058" s="159"/>
      <c r="J1058" s="159"/>
      <c r="K1058" s="152"/>
      <c r="L1058" s="154"/>
      <c r="M1058" s="152"/>
      <c r="N1058" s="152"/>
      <c r="O1058" s="152"/>
      <c r="P1058" s="152"/>
      <c r="Q1058" s="155"/>
      <c r="R1058" s="157"/>
      <c r="S1058" s="152"/>
      <c r="T1058" s="156"/>
    </row>
    <row r="1059" spans="1:20" ht="14.25">
      <c r="A1059" s="150"/>
      <c r="B1059" s="151"/>
      <c r="C1059" s="152"/>
      <c r="D1059" s="135"/>
      <c r="E1059" s="73"/>
      <c r="F1059" s="153"/>
      <c r="G1059" s="152"/>
      <c r="H1059" s="152"/>
      <c r="I1059" s="159"/>
      <c r="J1059" s="159"/>
      <c r="K1059" s="152"/>
      <c r="L1059" s="154"/>
      <c r="M1059" s="152"/>
      <c r="N1059" s="152"/>
      <c r="O1059" s="152"/>
      <c r="P1059" s="152"/>
      <c r="Q1059" s="155"/>
      <c r="R1059" s="157"/>
      <c r="S1059" s="152"/>
      <c r="T1059" s="156"/>
    </row>
    <row r="1060" spans="1:20" ht="14.25">
      <c r="A1060" s="150"/>
      <c r="B1060" s="151"/>
      <c r="C1060" s="152"/>
      <c r="D1060" s="135"/>
      <c r="E1060" s="73"/>
      <c r="F1060" s="153"/>
      <c r="G1060" s="152"/>
      <c r="H1060" s="152"/>
      <c r="I1060" s="159"/>
      <c r="J1060" s="159"/>
      <c r="K1060" s="152"/>
      <c r="L1060" s="154"/>
      <c r="M1060" s="152"/>
      <c r="N1060" s="152"/>
      <c r="O1060" s="152"/>
      <c r="P1060" s="152"/>
      <c r="Q1060" s="155"/>
      <c r="R1060" s="157"/>
      <c r="S1060" s="152"/>
      <c r="T1060" s="156"/>
    </row>
    <row r="1061" spans="1:20" ht="14.25">
      <c r="A1061" s="150"/>
      <c r="B1061" s="151"/>
      <c r="C1061" s="152"/>
      <c r="D1061" s="135"/>
      <c r="E1061" s="73"/>
      <c r="F1061" s="153"/>
      <c r="G1061" s="152"/>
      <c r="H1061" s="152"/>
      <c r="I1061" s="159"/>
      <c r="J1061" s="159"/>
      <c r="K1061" s="152"/>
      <c r="L1061" s="154"/>
      <c r="M1061" s="152"/>
      <c r="N1061" s="152"/>
      <c r="O1061" s="152"/>
      <c r="P1061" s="152"/>
      <c r="Q1061" s="155"/>
      <c r="R1061" s="157"/>
      <c r="S1061" s="152"/>
      <c r="T1061" s="156"/>
    </row>
    <row r="1062" spans="1:20" ht="14.25">
      <c r="A1062" s="150"/>
      <c r="B1062" s="151"/>
      <c r="C1062" s="152"/>
      <c r="D1062" s="135"/>
      <c r="E1062" s="73"/>
      <c r="F1062" s="153"/>
      <c r="G1062" s="152"/>
      <c r="H1062" s="152"/>
      <c r="I1062" s="159"/>
      <c r="J1062" s="159"/>
      <c r="K1062" s="152"/>
      <c r="L1062" s="154"/>
      <c r="M1062" s="152"/>
      <c r="N1062" s="152"/>
      <c r="O1062" s="152"/>
      <c r="P1062" s="152"/>
      <c r="Q1062" s="155"/>
      <c r="R1062" s="157"/>
      <c r="S1062" s="152"/>
      <c r="T1062" s="156"/>
    </row>
    <row r="1063" spans="1:20" ht="14.25">
      <c r="A1063" s="150"/>
      <c r="B1063" s="151"/>
      <c r="C1063" s="152"/>
      <c r="D1063" s="135"/>
      <c r="E1063" s="73"/>
      <c r="F1063" s="153"/>
      <c r="G1063" s="152"/>
      <c r="H1063" s="152"/>
      <c r="I1063" s="159"/>
      <c r="J1063" s="159"/>
      <c r="K1063" s="152"/>
      <c r="L1063" s="154"/>
      <c r="M1063" s="152"/>
      <c r="N1063" s="152"/>
      <c r="O1063" s="152"/>
      <c r="P1063" s="152"/>
      <c r="Q1063" s="155"/>
      <c r="R1063" s="157"/>
      <c r="S1063" s="152"/>
      <c r="T1063" s="156"/>
    </row>
    <row r="1064" spans="1:20" ht="14.25">
      <c r="A1064" s="150"/>
      <c r="B1064" s="151"/>
      <c r="C1064" s="152"/>
      <c r="D1064" s="135"/>
      <c r="E1064" s="73"/>
      <c r="F1064" s="153"/>
      <c r="G1064" s="152"/>
      <c r="H1064" s="152"/>
      <c r="I1064" s="159"/>
      <c r="J1064" s="159"/>
      <c r="K1064" s="152"/>
      <c r="L1064" s="154"/>
      <c r="M1064" s="152"/>
      <c r="N1064" s="152"/>
      <c r="O1064" s="152"/>
      <c r="P1064" s="152"/>
      <c r="Q1064" s="155"/>
      <c r="R1064" s="157"/>
      <c r="S1064" s="152"/>
      <c r="T1064" s="156"/>
    </row>
    <row r="1065" spans="1:20" ht="14.25">
      <c r="A1065" s="150"/>
      <c r="B1065" s="151"/>
      <c r="C1065" s="152"/>
      <c r="D1065" s="135"/>
      <c r="E1065" s="73"/>
      <c r="F1065" s="153"/>
      <c r="G1065" s="152"/>
      <c r="H1065" s="152"/>
      <c r="I1065" s="159"/>
      <c r="J1065" s="159"/>
      <c r="K1065" s="152"/>
      <c r="L1065" s="154"/>
      <c r="M1065" s="152"/>
      <c r="N1065" s="152"/>
      <c r="O1065" s="152"/>
      <c r="P1065" s="152"/>
      <c r="Q1065" s="155"/>
      <c r="R1065" s="157"/>
      <c r="S1065" s="152"/>
      <c r="T1065" s="156"/>
    </row>
    <row r="1066" spans="1:20" ht="14.25">
      <c r="A1066" s="150"/>
      <c r="B1066" s="151"/>
      <c r="C1066" s="152"/>
      <c r="D1066" s="135"/>
      <c r="E1066" s="73"/>
      <c r="F1066" s="153"/>
      <c r="G1066" s="152"/>
      <c r="H1066" s="152"/>
      <c r="I1066" s="159"/>
      <c r="J1066" s="159"/>
      <c r="K1066" s="152"/>
      <c r="L1066" s="154"/>
      <c r="M1066" s="152"/>
      <c r="N1066" s="152"/>
      <c r="O1066" s="152"/>
      <c r="P1066" s="152"/>
      <c r="Q1066" s="155"/>
      <c r="R1066" s="157"/>
      <c r="S1066" s="152"/>
      <c r="T1066" s="156"/>
    </row>
    <row r="1067" spans="1:20" ht="14.25">
      <c r="A1067" s="150"/>
      <c r="B1067" s="151"/>
      <c r="C1067" s="152"/>
      <c r="D1067" s="135"/>
      <c r="E1067" s="73"/>
      <c r="F1067" s="153"/>
      <c r="G1067" s="152"/>
      <c r="H1067" s="152"/>
      <c r="I1067" s="159"/>
      <c r="J1067" s="159"/>
      <c r="K1067" s="152"/>
      <c r="L1067" s="154"/>
      <c r="M1067" s="152"/>
      <c r="N1067" s="152"/>
      <c r="O1067" s="152"/>
      <c r="P1067" s="152"/>
      <c r="Q1067" s="155"/>
      <c r="R1067" s="157"/>
      <c r="S1067" s="152"/>
      <c r="T1067" s="156"/>
    </row>
    <row r="1068" spans="1:20" ht="14.25">
      <c r="A1068" s="150"/>
      <c r="B1068" s="151"/>
      <c r="C1068" s="152"/>
      <c r="D1068" s="135"/>
      <c r="E1068" s="73"/>
      <c r="F1068" s="153"/>
      <c r="G1068" s="152"/>
      <c r="H1068" s="152"/>
      <c r="I1068" s="159"/>
      <c r="J1068" s="159"/>
      <c r="K1068" s="152"/>
      <c r="L1068" s="154"/>
      <c r="M1068" s="152"/>
      <c r="N1068" s="152"/>
      <c r="O1068" s="152"/>
      <c r="P1068" s="152"/>
      <c r="Q1068" s="155"/>
      <c r="R1068" s="157"/>
      <c r="S1068" s="152"/>
      <c r="T1068" s="156"/>
    </row>
    <row r="1069" spans="1:20" ht="14.25">
      <c r="A1069" s="150"/>
      <c r="B1069" s="151"/>
      <c r="C1069" s="152"/>
      <c r="D1069" s="135"/>
      <c r="E1069" s="73"/>
      <c r="F1069" s="153"/>
      <c r="G1069" s="152"/>
      <c r="H1069" s="152"/>
      <c r="I1069" s="159"/>
      <c r="J1069" s="159"/>
      <c r="K1069" s="152"/>
      <c r="L1069" s="154"/>
      <c r="M1069" s="152"/>
      <c r="N1069" s="152"/>
      <c r="O1069" s="152"/>
      <c r="P1069" s="152"/>
      <c r="Q1069" s="155"/>
      <c r="R1069" s="157"/>
      <c r="S1069" s="152"/>
      <c r="T1069" s="156"/>
    </row>
    <row r="1070" spans="1:20" ht="14.25">
      <c r="A1070" s="150"/>
      <c r="B1070" s="151"/>
      <c r="C1070" s="152"/>
      <c r="D1070" s="135"/>
      <c r="E1070" s="73"/>
      <c r="F1070" s="153"/>
      <c r="G1070" s="152"/>
      <c r="H1070" s="152"/>
      <c r="I1070" s="159"/>
      <c r="J1070" s="159"/>
      <c r="K1070" s="152"/>
      <c r="L1070" s="154"/>
      <c r="M1070" s="152"/>
      <c r="N1070" s="152"/>
      <c r="O1070" s="152"/>
      <c r="P1070" s="152"/>
      <c r="Q1070" s="155"/>
      <c r="R1070" s="157"/>
      <c r="S1070" s="152"/>
      <c r="T1070" s="156"/>
    </row>
    <row r="1071" spans="1:20" ht="14.25">
      <c r="A1071" s="150"/>
      <c r="B1071" s="151"/>
      <c r="C1071" s="152"/>
      <c r="D1071" s="135"/>
      <c r="E1071" s="73"/>
      <c r="F1071" s="153"/>
      <c r="G1071" s="152"/>
      <c r="H1071" s="152"/>
      <c r="I1071" s="159"/>
      <c r="J1071" s="159"/>
      <c r="K1071" s="152"/>
      <c r="L1071" s="154"/>
      <c r="M1071" s="152"/>
      <c r="N1071" s="152"/>
      <c r="O1071" s="152"/>
      <c r="P1071" s="152"/>
      <c r="Q1071" s="155"/>
      <c r="R1071" s="157"/>
      <c r="S1071" s="152"/>
      <c r="T1071" s="156"/>
    </row>
    <row r="1072" spans="1:20" ht="14.25">
      <c r="A1072" s="150"/>
      <c r="B1072" s="151"/>
      <c r="C1072" s="152"/>
      <c r="D1072" s="135"/>
      <c r="E1072" s="73"/>
      <c r="F1072" s="153"/>
      <c r="G1072" s="152"/>
      <c r="H1072" s="152"/>
      <c r="I1072" s="159"/>
      <c r="J1072" s="159"/>
      <c r="K1072" s="152"/>
      <c r="L1072" s="154"/>
      <c r="M1072" s="152"/>
      <c r="N1072" s="152"/>
      <c r="O1072" s="152"/>
      <c r="P1072" s="152"/>
      <c r="Q1072" s="155"/>
      <c r="R1072" s="157"/>
      <c r="S1072" s="152"/>
      <c r="T1072" s="156"/>
    </row>
    <row r="1073" spans="1:20" ht="14.25">
      <c r="A1073" s="150"/>
      <c r="B1073" s="151"/>
      <c r="C1073" s="152"/>
      <c r="D1073" s="135"/>
      <c r="E1073" s="73"/>
      <c r="F1073" s="153"/>
      <c r="G1073" s="152"/>
      <c r="H1073" s="152"/>
      <c r="I1073" s="159"/>
      <c r="J1073" s="159"/>
      <c r="K1073" s="152"/>
      <c r="L1073" s="154"/>
      <c r="M1073" s="152"/>
      <c r="N1073" s="152"/>
      <c r="O1073" s="152"/>
      <c r="P1073" s="152"/>
      <c r="Q1073" s="155"/>
      <c r="R1073" s="157"/>
      <c r="S1073" s="152"/>
      <c r="T1073" s="156"/>
    </row>
    <row r="1074" spans="1:20" ht="14.25">
      <c r="A1074" s="150"/>
      <c r="B1074" s="151"/>
      <c r="C1074" s="152"/>
      <c r="D1074" s="135"/>
      <c r="E1074" s="73"/>
      <c r="F1074" s="153"/>
      <c r="G1074" s="152"/>
      <c r="H1074" s="152"/>
      <c r="I1074" s="159"/>
      <c r="J1074" s="159"/>
      <c r="K1074" s="152"/>
      <c r="L1074" s="154"/>
      <c r="M1074" s="152"/>
      <c r="N1074" s="152"/>
      <c r="O1074" s="152"/>
      <c r="P1074" s="152"/>
      <c r="Q1074" s="155"/>
      <c r="R1074" s="157"/>
      <c r="S1074" s="152"/>
      <c r="T1074" s="156"/>
    </row>
    <row r="1075" spans="1:20" ht="14.25">
      <c r="A1075" s="150"/>
      <c r="B1075" s="151"/>
      <c r="C1075" s="152"/>
      <c r="D1075" s="135"/>
      <c r="E1075" s="73"/>
      <c r="F1075" s="153"/>
      <c r="G1075" s="152"/>
      <c r="H1075" s="152"/>
      <c r="I1075" s="159"/>
      <c r="J1075" s="159"/>
      <c r="K1075" s="152"/>
      <c r="L1075" s="154"/>
      <c r="M1075" s="152"/>
      <c r="N1075" s="152"/>
      <c r="O1075" s="152"/>
      <c r="P1075" s="152"/>
      <c r="Q1075" s="155"/>
      <c r="R1075" s="157"/>
      <c r="S1075" s="152"/>
      <c r="T1075" s="156"/>
    </row>
    <row r="1076" spans="1:20" ht="14.25">
      <c r="A1076" s="150"/>
      <c r="B1076" s="151"/>
      <c r="C1076" s="152"/>
      <c r="D1076" s="135"/>
      <c r="E1076" s="73"/>
      <c r="F1076" s="153"/>
      <c r="G1076" s="152"/>
      <c r="H1076" s="152"/>
      <c r="I1076" s="159"/>
      <c r="J1076" s="159"/>
      <c r="K1076" s="152"/>
      <c r="L1076" s="154"/>
      <c r="M1076" s="152"/>
      <c r="N1076" s="152"/>
      <c r="O1076" s="152"/>
      <c r="P1076" s="152"/>
      <c r="Q1076" s="155"/>
      <c r="R1076" s="157"/>
      <c r="S1076" s="152"/>
      <c r="T1076" s="156"/>
    </row>
    <row r="1077" spans="1:20" ht="14.25">
      <c r="A1077" s="150"/>
      <c r="B1077" s="151"/>
      <c r="C1077" s="152"/>
      <c r="D1077" s="135"/>
      <c r="E1077" s="73"/>
      <c r="F1077" s="153"/>
      <c r="G1077" s="152"/>
      <c r="H1077" s="152"/>
      <c r="I1077" s="159"/>
      <c r="J1077" s="159"/>
      <c r="K1077" s="152"/>
      <c r="L1077" s="154"/>
      <c r="M1077" s="152"/>
      <c r="N1077" s="152"/>
      <c r="O1077" s="152"/>
      <c r="P1077" s="152"/>
      <c r="Q1077" s="155"/>
      <c r="R1077" s="157"/>
      <c r="S1077" s="152"/>
      <c r="T1077" s="156"/>
    </row>
    <row r="1078" spans="1:20" ht="14.25">
      <c r="A1078" s="150"/>
      <c r="B1078" s="151"/>
      <c r="C1078" s="152"/>
      <c r="D1078" s="135"/>
      <c r="E1078" s="73"/>
      <c r="F1078" s="153"/>
      <c r="G1078" s="152"/>
      <c r="H1078" s="152"/>
      <c r="I1078" s="159"/>
      <c r="J1078" s="159"/>
      <c r="K1078" s="152"/>
      <c r="L1078" s="154"/>
      <c r="M1078" s="152"/>
      <c r="N1078" s="152"/>
      <c r="O1078" s="152"/>
      <c r="P1078" s="152"/>
      <c r="Q1078" s="155"/>
      <c r="R1078" s="157"/>
      <c r="S1078" s="152"/>
      <c r="T1078" s="156"/>
    </row>
    <row r="1079" spans="1:20" ht="14.25">
      <c r="A1079" s="150"/>
      <c r="B1079" s="151"/>
      <c r="C1079" s="152"/>
      <c r="D1079" s="135"/>
      <c r="E1079" s="73"/>
      <c r="F1079" s="153"/>
      <c r="G1079" s="152"/>
      <c r="H1079" s="152"/>
      <c r="I1079" s="159"/>
      <c r="J1079" s="159"/>
      <c r="K1079" s="152"/>
      <c r="L1079" s="154"/>
      <c r="M1079" s="152"/>
      <c r="N1079" s="152"/>
      <c r="O1079" s="152"/>
      <c r="P1079" s="152"/>
      <c r="Q1079" s="155"/>
      <c r="R1079" s="157"/>
      <c r="S1079" s="152"/>
      <c r="T1079" s="156"/>
    </row>
    <row r="1080" spans="1:20" ht="14.25">
      <c r="A1080" s="150"/>
      <c r="B1080" s="151"/>
      <c r="C1080" s="152"/>
      <c r="D1080" s="135"/>
      <c r="E1080" s="73"/>
      <c r="F1080" s="153"/>
      <c r="G1080" s="152"/>
      <c r="H1080" s="152"/>
      <c r="I1080" s="159"/>
      <c r="J1080" s="159"/>
      <c r="K1080" s="152"/>
      <c r="L1080" s="154"/>
      <c r="M1080" s="152"/>
      <c r="N1080" s="152"/>
      <c r="O1080" s="152"/>
      <c r="P1080" s="152"/>
      <c r="Q1080" s="155"/>
      <c r="R1080" s="157"/>
      <c r="S1080" s="152"/>
      <c r="T1080" s="156"/>
    </row>
    <row r="1081" spans="1:20" ht="14.25">
      <c r="A1081" s="150"/>
      <c r="B1081" s="151"/>
      <c r="C1081" s="152"/>
      <c r="D1081" s="135"/>
      <c r="E1081" s="73"/>
      <c r="F1081" s="153"/>
      <c r="G1081" s="152"/>
      <c r="H1081" s="152"/>
      <c r="I1081" s="159"/>
      <c r="J1081" s="159"/>
      <c r="K1081" s="152"/>
      <c r="L1081" s="154"/>
      <c r="M1081" s="152"/>
      <c r="N1081" s="152"/>
      <c r="O1081" s="152"/>
      <c r="P1081" s="152"/>
      <c r="Q1081" s="155"/>
      <c r="R1081" s="157"/>
      <c r="S1081" s="152"/>
      <c r="T1081" s="156"/>
    </row>
    <row r="1082" spans="1:20" ht="14.25">
      <c r="A1082" s="150"/>
      <c r="B1082" s="151"/>
      <c r="C1082" s="152"/>
      <c r="D1082" s="135"/>
      <c r="E1082" s="73"/>
      <c r="F1082" s="153"/>
      <c r="G1082" s="152"/>
      <c r="H1082" s="152"/>
      <c r="I1082" s="159"/>
      <c r="J1082" s="159"/>
      <c r="K1082" s="152"/>
      <c r="L1082" s="154"/>
      <c r="M1082" s="152"/>
      <c r="N1082" s="152"/>
      <c r="O1082" s="152"/>
      <c r="P1082" s="152"/>
      <c r="Q1082" s="155"/>
      <c r="R1082" s="157"/>
      <c r="S1082" s="152"/>
      <c r="T1082" s="156"/>
    </row>
    <row r="1083" spans="1:20" ht="14.25">
      <c r="A1083" s="150"/>
      <c r="B1083" s="151"/>
      <c r="C1083" s="152"/>
      <c r="D1083" s="135"/>
      <c r="E1083" s="73"/>
      <c r="F1083" s="153"/>
      <c r="G1083" s="152"/>
      <c r="H1083" s="152"/>
      <c r="I1083" s="159"/>
      <c r="J1083" s="159"/>
      <c r="K1083" s="152"/>
      <c r="L1083" s="154"/>
      <c r="M1083" s="152"/>
      <c r="N1083" s="152"/>
      <c r="O1083" s="152"/>
      <c r="P1083" s="152"/>
      <c r="Q1083" s="155"/>
      <c r="R1083" s="157"/>
      <c r="S1083" s="152"/>
      <c r="T1083" s="156"/>
    </row>
    <row r="1084" spans="1:20" ht="14.25">
      <c r="A1084" s="150"/>
      <c r="B1084" s="151"/>
      <c r="C1084" s="152"/>
      <c r="D1084" s="135"/>
      <c r="E1084" s="73"/>
      <c r="F1084" s="153"/>
      <c r="G1084" s="152"/>
      <c r="H1084" s="152"/>
      <c r="I1084" s="159"/>
      <c r="J1084" s="159"/>
      <c r="K1084" s="152"/>
      <c r="L1084" s="154"/>
      <c r="M1084" s="152"/>
      <c r="N1084" s="152"/>
      <c r="O1084" s="152"/>
      <c r="P1084" s="152"/>
      <c r="Q1084" s="155"/>
      <c r="R1084" s="157"/>
      <c r="S1084" s="152"/>
      <c r="T1084" s="156"/>
    </row>
    <row r="1085" spans="1:20" ht="14.25">
      <c r="A1085" s="150"/>
      <c r="B1085" s="151"/>
      <c r="C1085" s="152"/>
      <c r="D1085" s="135"/>
      <c r="E1085" s="73"/>
      <c r="F1085" s="153"/>
      <c r="G1085" s="152"/>
      <c r="H1085" s="152"/>
      <c r="I1085" s="159"/>
      <c r="J1085" s="159"/>
      <c r="K1085" s="152"/>
      <c r="L1085" s="154"/>
      <c r="M1085" s="152"/>
      <c r="N1085" s="152"/>
      <c r="O1085" s="152"/>
      <c r="P1085" s="152"/>
      <c r="Q1085" s="155"/>
      <c r="R1085" s="157"/>
      <c r="S1085" s="152"/>
      <c r="T1085" s="156"/>
    </row>
    <row r="1086" spans="1:20" ht="14.25">
      <c r="A1086" s="150"/>
      <c r="B1086" s="151"/>
      <c r="C1086" s="152"/>
      <c r="D1086" s="135"/>
      <c r="E1086" s="73"/>
      <c r="F1086" s="153"/>
      <c r="G1086" s="152"/>
      <c r="H1086" s="152"/>
      <c r="I1086" s="159"/>
      <c r="J1086" s="159"/>
      <c r="K1086" s="152"/>
      <c r="L1086" s="154"/>
      <c r="M1086" s="152"/>
      <c r="N1086" s="152"/>
      <c r="O1086" s="152"/>
      <c r="P1086" s="152"/>
      <c r="Q1086" s="155"/>
      <c r="R1086" s="157"/>
      <c r="S1086" s="152"/>
      <c r="T1086" s="156"/>
    </row>
    <row r="1087" spans="1:20" ht="14.25">
      <c r="A1087" s="150"/>
      <c r="B1087" s="151"/>
      <c r="C1087" s="152"/>
      <c r="D1087" s="135"/>
      <c r="E1087" s="73"/>
      <c r="F1087" s="153"/>
      <c r="G1087" s="152"/>
      <c r="H1087" s="152"/>
      <c r="I1087" s="159"/>
      <c r="J1087" s="159"/>
      <c r="K1087" s="152"/>
      <c r="L1087" s="154"/>
      <c r="M1087" s="152"/>
      <c r="N1087" s="152"/>
      <c r="O1087" s="152"/>
      <c r="P1087" s="152"/>
      <c r="Q1087" s="155"/>
      <c r="R1087" s="157"/>
      <c r="S1087" s="152"/>
      <c r="T1087" s="156"/>
    </row>
    <row r="1088" spans="1:20" ht="14.25">
      <c r="A1088" s="150"/>
      <c r="B1088" s="151"/>
      <c r="C1088" s="152"/>
      <c r="D1088" s="135"/>
      <c r="E1088" s="73"/>
      <c r="F1088" s="153"/>
      <c r="G1088" s="152"/>
      <c r="H1088" s="152"/>
      <c r="I1088" s="159"/>
      <c r="J1088" s="159"/>
      <c r="K1088" s="152"/>
      <c r="L1088" s="154"/>
      <c r="M1088" s="152"/>
      <c r="N1088" s="152"/>
      <c r="O1088" s="152"/>
      <c r="P1088" s="152"/>
      <c r="Q1088" s="155"/>
      <c r="R1088" s="157"/>
      <c r="S1088" s="152"/>
      <c r="T1088" s="156"/>
    </row>
    <row r="1089" spans="1:20" ht="14.25">
      <c r="A1089" s="150"/>
      <c r="B1089" s="151"/>
      <c r="C1089" s="152"/>
      <c r="D1089" s="135"/>
      <c r="E1089" s="73"/>
      <c r="F1089" s="153"/>
      <c r="G1089" s="152"/>
      <c r="H1089" s="152"/>
      <c r="I1089" s="159"/>
      <c r="J1089" s="159"/>
      <c r="K1089" s="152"/>
      <c r="L1089" s="154"/>
      <c r="M1089" s="152"/>
      <c r="N1089" s="152"/>
      <c r="O1089" s="152"/>
      <c r="P1089" s="152"/>
      <c r="Q1089" s="155"/>
      <c r="R1089" s="157"/>
      <c r="S1089" s="152"/>
      <c r="T1089" s="156"/>
    </row>
    <row r="1090" spans="1:20" ht="14.25">
      <c r="A1090" s="150"/>
      <c r="B1090" s="151"/>
      <c r="C1090" s="152"/>
      <c r="D1090" s="135"/>
      <c r="E1090" s="73"/>
      <c r="F1090" s="153"/>
      <c r="G1090" s="152"/>
      <c r="H1090" s="152"/>
      <c r="I1090" s="159"/>
      <c r="J1090" s="159"/>
      <c r="K1090" s="152"/>
      <c r="L1090" s="154"/>
      <c r="M1090" s="152"/>
      <c r="N1090" s="152"/>
      <c r="O1090" s="152"/>
      <c r="P1090" s="152"/>
      <c r="Q1090" s="155"/>
      <c r="R1090" s="157"/>
      <c r="S1090" s="152"/>
      <c r="T1090" s="156"/>
    </row>
    <row r="1091" spans="1:20" ht="14.25">
      <c r="A1091" s="150"/>
      <c r="B1091" s="151"/>
      <c r="C1091" s="152"/>
      <c r="D1091" s="135"/>
      <c r="E1091" s="73"/>
      <c r="F1091" s="153"/>
      <c r="G1091" s="152"/>
      <c r="H1091" s="152"/>
      <c r="I1091" s="159"/>
      <c r="J1091" s="159"/>
      <c r="K1091" s="152"/>
      <c r="L1091" s="154"/>
      <c r="M1091" s="152"/>
      <c r="N1091" s="152"/>
      <c r="O1091" s="152"/>
      <c r="P1091" s="152"/>
      <c r="Q1091" s="155"/>
      <c r="R1091" s="157"/>
      <c r="S1091" s="152"/>
      <c r="T1091" s="156"/>
    </row>
    <row r="1092" spans="1:20" ht="14.25">
      <c r="A1092" s="150"/>
      <c r="B1092" s="151"/>
      <c r="C1092" s="152"/>
      <c r="D1092" s="135"/>
      <c r="E1092" s="73"/>
      <c r="F1092" s="153"/>
      <c r="G1092" s="152"/>
      <c r="H1092" s="152"/>
      <c r="I1092" s="159"/>
      <c r="J1092" s="159"/>
      <c r="K1092" s="152"/>
      <c r="L1092" s="154"/>
      <c r="M1092" s="152"/>
      <c r="N1092" s="152"/>
      <c r="O1092" s="152"/>
      <c r="P1092" s="152"/>
      <c r="Q1092" s="155"/>
      <c r="R1092" s="157"/>
      <c r="S1092" s="152"/>
      <c r="T1092" s="156"/>
    </row>
    <row r="1093" spans="1:20" ht="14.25">
      <c r="A1093" s="150"/>
      <c r="B1093" s="151"/>
      <c r="C1093" s="152"/>
      <c r="D1093" s="135"/>
      <c r="E1093" s="73"/>
      <c r="F1093" s="153"/>
      <c r="G1093" s="152"/>
      <c r="H1093" s="152"/>
      <c r="I1093" s="159"/>
      <c r="J1093" s="159"/>
      <c r="K1093" s="152"/>
      <c r="L1093" s="154"/>
      <c r="M1093" s="152"/>
      <c r="N1093" s="152"/>
      <c r="O1093" s="152"/>
      <c r="P1093" s="152"/>
      <c r="Q1093" s="155"/>
      <c r="R1093" s="157"/>
      <c r="S1093" s="152"/>
      <c r="T1093" s="156"/>
    </row>
    <row r="1094" spans="1:20" ht="14.25">
      <c r="A1094" s="150"/>
      <c r="B1094" s="151"/>
      <c r="C1094" s="152"/>
      <c r="D1094" s="135"/>
      <c r="E1094" s="73"/>
      <c r="F1094" s="153"/>
      <c r="G1094" s="152"/>
      <c r="H1094" s="152"/>
      <c r="I1094" s="159"/>
      <c r="J1094" s="159"/>
      <c r="K1094" s="152"/>
      <c r="L1094" s="154"/>
      <c r="M1094" s="152"/>
      <c r="N1094" s="152"/>
      <c r="O1094" s="152"/>
      <c r="P1094" s="152"/>
      <c r="Q1094" s="155"/>
      <c r="R1094" s="157"/>
      <c r="S1094" s="152"/>
      <c r="T1094" s="156"/>
    </row>
    <row r="1095" spans="1:20" ht="14.25">
      <c r="A1095" s="150"/>
      <c r="B1095" s="151"/>
      <c r="C1095" s="152"/>
      <c r="D1095" s="135"/>
      <c r="E1095" s="73"/>
      <c r="F1095" s="153"/>
      <c r="G1095" s="152"/>
      <c r="H1095" s="152"/>
      <c r="I1095" s="159"/>
      <c r="J1095" s="159"/>
      <c r="K1095" s="152"/>
      <c r="L1095" s="154"/>
      <c r="M1095" s="152"/>
      <c r="N1095" s="152"/>
      <c r="O1095" s="152"/>
      <c r="P1095" s="152"/>
      <c r="Q1095" s="155"/>
      <c r="R1095" s="157"/>
      <c r="S1095" s="152"/>
      <c r="T1095" s="156"/>
    </row>
    <row r="1096" spans="1:20" ht="14.25">
      <c r="A1096" s="150"/>
      <c r="B1096" s="151"/>
      <c r="C1096" s="152"/>
      <c r="D1096" s="135"/>
      <c r="E1096" s="73"/>
      <c r="F1096" s="153"/>
      <c r="G1096" s="152"/>
      <c r="H1096" s="152"/>
      <c r="I1096" s="159"/>
      <c r="J1096" s="159"/>
      <c r="K1096" s="152"/>
      <c r="L1096" s="154"/>
      <c r="M1096" s="152"/>
      <c r="N1096" s="152"/>
      <c r="O1096" s="152"/>
      <c r="P1096" s="152"/>
      <c r="Q1096" s="155"/>
      <c r="R1096" s="157"/>
      <c r="S1096" s="152"/>
      <c r="T1096" s="156"/>
    </row>
    <row r="1097" spans="1:20" ht="14.25">
      <c r="A1097" s="150"/>
      <c r="B1097" s="151"/>
      <c r="C1097" s="152"/>
      <c r="D1097" s="135"/>
      <c r="E1097" s="73"/>
      <c r="F1097" s="153"/>
      <c r="G1097" s="152"/>
      <c r="H1097" s="152"/>
      <c r="I1097" s="159"/>
      <c r="J1097" s="159"/>
      <c r="K1097" s="152"/>
      <c r="L1097" s="154"/>
      <c r="M1097" s="152"/>
      <c r="N1097" s="152"/>
      <c r="O1097" s="152"/>
      <c r="P1097" s="152"/>
      <c r="Q1097" s="155"/>
      <c r="R1097" s="157"/>
      <c r="S1097" s="152"/>
      <c r="T1097" s="156"/>
    </row>
    <row r="1098" spans="1:20" ht="14.25">
      <c r="A1098" s="150"/>
      <c r="B1098" s="151"/>
      <c r="C1098" s="152"/>
      <c r="D1098" s="135"/>
      <c r="E1098" s="73"/>
      <c r="F1098" s="153"/>
      <c r="G1098" s="152"/>
      <c r="H1098" s="152"/>
      <c r="I1098" s="159"/>
      <c r="J1098" s="159"/>
      <c r="K1098" s="152"/>
      <c r="L1098" s="154"/>
      <c r="M1098" s="152"/>
      <c r="N1098" s="152"/>
      <c r="O1098" s="152"/>
      <c r="P1098" s="152"/>
      <c r="Q1098" s="155"/>
      <c r="R1098" s="157"/>
      <c r="S1098" s="152"/>
      <c r="T1098" s="156"/>
    </row>
    <row r="1099" spans="1:20" ht="14.25">
      <c r="A1099" s="150"/>
      <c r="B1099" s="151"/>
      <c r="C1099" s="152"/>
      <c r="D1099" s="135"/>
      <c r="E1099" s="73"/>
      <c r="F1099" s="153"/>
      <c r="G1099" s="152"/>
      <c r="H1099" s="152"/>
      <c r="I1099" s="159"/>
      <c r="J1099" s="159"/>
      <c r="K1099" s="152"/>
      <c r="L1099" s="154"/>
      <c r="M1099" s="152"/>
      <c r="N1099" s="152"/>
      <c r="O1099" s="152"/>
      <c r="P1099" s="152"/>
      <c r="Q1099" s="155"/>
      <c r="R1099" s="157"/>
      <c r="S1099" s="152"/>
      <c r="T1099" s="156"/>
    </row>
    <row r="1100" spans="1:20" ht="14.25">
      <c r="A1100" s="150"/>
      <c r="B1100" s="151"/>
      <c r="C1100" s="152"/>
      <c r="D1100" s="135"/>
      <c r="E1100" s="73"/>
      <c r="F1100" s="153"/>
      <c r="G1100" s="152"/>
      <c r="H1100" s="152"/>
      <c r="I1100" s="159"/>
      <c r="J1100" s="159"/>
      <c r="K1100" s="152"/>
      <c r="L1100" s="154"/>
      <c r="M1100" s="152"/>
      <c r="N1100" s="152"/>
      <c r="O1100" s="152"/>
      <c r="P1100" s="152"/>
      <c r="Q1100" s="155"/>
      <c r="R1100" s="157"/>
      <c r="S1100" s="152"/>
      <c r="T1100" s="156"/>
    </row>
    <row r="1101" spans="1:20" ht="14.25">
      <c r="A1101" s="150"/>
      <c r="B1101" s="151"/>
      <c r="C1101" s="152"/>
      <c r="D1101" s="135"/>
      <c r="E1101" s="73"/>
      <c r="F1101" s="153"/>
      <c r="G1101" s="152"/>
      <c r="H1101" s="152"/>
      <c r="I1101" s="159"/>
      <c r="J1101" s="159"/>
      <c r="K1101" s="152"/>
      <c r="L1101" s="154"/>
      <c r="M1101" s="152"/>
      <c r="N1101" s="152"/>
      <c r="O1101" s="152"/>
      <c r="P1101" s="152"/>
      <c r="Q1101" s="155"/>
      <c r="R1101" s="157"/>
      <c r="S1101" s="152"/>
      <c r="T1101" s="156"/>
    </row>
    <row r="1102" spans="1:20" ht="14.25">
      <c r="A1102" s="150"/>
      <c r="B1102" s="151"/>
      <c r="C1102" s="152"/>
      <c r="D1102" s="135"/>
      <c r="E1102" s="73"/>
      <c r="F1102" s="153"/>
      <c r="G1102" s="152"/>
      <c r="H1102" s="152"/>
      <c r="I1102" s="159"/>
      <c r="J1102" s="159"/>
      <c r="K1102" s="152"/>
      <c r="L1102" s="154"/>
      <c r="M1102" s="152"/>
      <c r="N1102" s="152"/>
      <c r="O1102" s="152"/>
      <c r="P1102" s="152"/>
      <c r="Q1102" s="155"/>
      <c r="R1102" s="157"/>
      <c r="S1102" s="152"/>
      <c r="T1102" s="156"/>
    </row>
    <row r="1103" spans="1:20" ht="14.25">
      <c r="A1103" s="150"/>
      <c r="B1103" s="151"/>
      <c r="C1103" s="152"/>
      <c r="D1103" s="135"/>
      <c r="E1103" s="73"/>
      <c r="F1103" s="153"/>
      <c r="G1103" s="152"/>
      <c r="H1103" s="152"/>
      <c r="I1103" s="159"/>
      <c r="J1103" s="159"/>
      <c r="K1103" s="152"/>
      <c r="L1103" s="154"/>
      <c r="M1103" s="152"/>
      <c r="N1103" s="152"/>
      <c r="O1103" s="152"/>
      <c r="P1103" s="152"/>
      <c r="Q1103" s="155"/>
      <c r="R1103" s="157"/>
      <c r="S1103" s="152"/>
      <c r="T1103" s="156"/>
    </row>
    <row r="1104" spans="1:20" ht="14.25">
      <c r="A1104" s="150"/>
      <c r="B1104" s="151"/>
      <c r="C1104" s="152"/>
      <c r="D1104" s="135"/>
      <c r="E1104" s="73"/>
      <c r="F1104" s="153"/>
      <c r="G1104" s="152"/>
      <c r="H1104" s="152"/>
      <c r="I1104" s="159"/>
      <c r="J1104" s="159"/>
      <c r="K1104" s="152"/>
      <c r="L1104" s="154"/>
      <c r="M1104" s="152"/>
      <c r="N1104" s="152"/>
      <c r="O1104" s="152"/>
      <c r="P1104" s="152"/>
      <c r="Q1104" s="155"/>
      <c r="R1104" s="157"/>
      <c r="S1104" s="152"/>
      <c r="T1104" s="156"/>
    </row>
    <row r="1105" spans="1:20" ht="14.25">
      <c r="A1105" s="150"/>
      <c r="B1105" s="151"/>
      <c r="C1105" s="152"/>
      <c r="D1105" s="135"/>
      <c r="E1105" s="73"/>
      <c r="F1105" s="153"/>
      <c r="G1105" s="152"/>
      <c r="H1105" s="152"/>
      <c r="I1105" s="159"/>
      <c r="J1105" s="159"/>
      <c r="K1105" s="152"/>
      <c r="L1105" s="154"/>
      <c r="M1105" s="152"/>
      <c r="N1105" s="152"/>
      <c r="O1105" s="152"/>
      <c r="P1105" s="152"/>
      <c r="Q1105" s="155"/>
      <c r="R1105" s="157"/>
      <c r="S1105" s="152"/>
      <c r="T1105" s="156"/>
    </row>
    <row r="1106" spans="1:20" ht="14.25">
      <c r="A1106" s="150"/>
      <c r="B1106" s="151"/>
      <c r="C1106" s="152"/>
      <c r="D1106" s="135"/>
      <c r="E1106" s="73"/>
      <c r="F1106" s="153"/>
      <c r="G1106" s="152"/>
      <c r="H1106" s="152"/>
      <c r="I1106" s="159"/>
      <c r="J1106" s="159"/>
      <c r="K1106" s="152"/>
      <c r="L1106" s="154"/>
      <c r="M1106" s="152"/>
      <c r="N1106" s="152"/>
      <c r="O1106" s="152"/>
      <c r="P1106" s="152"/>
      <c r="Q1106" s="155"/>
      <c r="R1106" s="157"/>
      <c r="S1106" s="152"/>
      <c r="T1106" s="156"/>
    </row>
    <row r="1107" spans="1:20" ht="14.25">
      <c r="A1107" s="150"/>
      <c r="B1107" s="151"/>
      <c r="C1107" s="152"/>
      <c r="D1107" s="135"/>
      <c r="E1107" s="73"/>
      <c r="F1107" s="153"/>
      <c r="G1107" s="152"/>
      <c r="H1107" s="152"/>
      <c r="I1107" s="159"/>
      <c r="J1107" s="159"/>
      <c r="K1107" s="152"/>
      <c r="L1107" s="154"/>
      <c r="M1107" s="152"/>
      <c r="N1107" s="152"/>
      <c r="O1107" s="152"/>
      <c r="P1107" s="152"/>
      <c r="Q1107" s="155"/>
      <c r="R1107" s="157"/>
      <c r="S1107" s="152"/>
      <c r="T1107" s="156"/>
    </row>
    <row r="1108" spans="1:20" ht="14.25">
      <c r="A1108" s="150"/>
      <c r="B1108" s="151"/>
      <c r="C1108" s="152"/>
      <c r="D1108" s="135"/>
      <c r="E1108" s="73"/>
      <c r="F1108" s="153"/>
      <c r="G1108" s="152"/>
      <c r="H1108" s="152"/>
      <c r="I1108" s="159"/>
      <c r="J1108" s="159"/>
      <c r="K1108" s="152"/>
      <c r="L1108" s="154"/>
      <c r="M1108" s="152"/>
      <c r="N1108" s="152"/>
      <c r="O1108" s="152"/>
      <c r="P1108" s="152"/>
      <c r="Q1108" s="155"/>
      <c r="R1108" s="157"/>
      <c r="S1108" s="152"/>
      <c r="T1108" s="156"/>
    </row>
    <row r="1109" spans="1:20" ht="14.25">
      <c r="A1109" s="150"/>
      <c r="B1109" s="151"/>
      <c r="C1109" s="152"/>
      <c r="D1109" s="135"/>
      <c r="E1109" s="73"/>
      <c r="F1109" s="153"/>
      <c r="G1109" s="152"/>
      <c r="H1109" s="152"/>
      <c r="I1109" s="159"/>
      <c r="J1109" s="159"/>
      <c r="K1109" s="152"/>
      <c r="L1109" s="154"/>
      <c r="M1109" s="152"/>
      <c r="N1109" s="152"/>
      <c r="O1109" s="152"/>
      <c r="P1109" s="152"/>
      <c r="Q1109" s="155"/>
      <c r="R1109" s="157"/>
      <c r="S1109" s="152"/>
      <c r="T1109" s="156"/>
    </row>
    <row r="1110" spans="1:20" ht="14.25">
      <c r="A1110" s="150"/>
      <c r="B1110" s="151"/>
      <c r="C1110" s="152"/>
      <c r="D1110" s="135"/>
      <c r="E1110" s="73"/>
      <c r="F1110" s="153"/>
      <c r="G1110" s="152"/>
      <c r="H1110" s="152"/>
      <c r="I1110" s="159"/>
      <c r="J1110" s="159"/>
      <c r="K1110" s="152"/>
      <c r="L1110" s="154"/>
      <c r="M1110" s="152"/>
      <c r="N1110" s="152"/>
      <c r="O1110" s="152"/>
      <c r="P1110" s="152"/>
      <c r="Q1110" s="155"/>
      <c r="R1110" s="157"/>
      <c r="S1110" s="152"/>
      <c r="T1110" s="156"/>
    </row>
    <row r="1111" spans="1:20" ht="14.25">
      <c r="A1111" s="150"/>
      <c r="B1111" s="151"/>
      <c r="C1111" s="152"/>
      <c r="D1111" s="135"/>
      <c r="E1111" s="73"/>
      <c r="F1111" s="153"/>
      <c r="G1111" s="152"/>
      <c r="H1111" s="152"/>
      <c r="I1111" s="159"/>
      <c r="J1111" s="159"/>
      <c r="K1111" s="152"/>
      <c r="L1111" s="154"/>
      <c r="M1111" s="152"/>
      <c r="N1111" s="152"/>
      <c r="O1111" s="152"/>
      <c r="P1111" s="152"/>
      <c r="Q1111" s="155"/>
      <c r="R1111" s="157"/>
      <c r="S1111" s="152"/>
      <c r="T1111" s="156"/>
    </row>
    <row r="1112" spans="1:20" ht="14.25">
      <c r="A1112" s="150"/>
      <c r="B1112" s="151"/>
      <c r="C1112" s="152"/>
      <c r="D1112" s="135"/>
      <c r="E1112" s="73"/>
      <c r="F1112" s="153"/>
      <c r="G1112" s="152"/>
      <c r="H1112" s="152"/>
      <c r="I1112" s="159"/>
      <c r="J1112" s="159"/>
      <c r="K1112" s="152"/>
      <c r="L1112" s="154"/>
      <c r="M1112" s="152"/>
      <c r="N1112" s="152"/>
      <c r="O1112" s="152"/>
      <c r="P1112" s="152"/>
      <c r="Q1112" s="155"/>
      <c r="R1112" s="157"/>
      <c r="S1112" s="152"/>
      <c r="T1112" s="156"/>
    </row>
    <row r="1113" spans="1:20" ht="14.25">
      <c r="A1113" s="150"/>
      <c r="B1113" s="151"/>
      <c r="C1113" s="152"/>
      <c r="D1113" s="135"/>
      <c r="E1113" s="73"/>
      <c r="F1113" s="153"/>
      <c r="G1113" s="152"/>
      <c r="H1113" s="152"/>
      <c r="I1113" s="159"/>
      <c r="J1113" s="159"/>
      <c r="K1113" s="152"/>
      <c r="L1113" s="154"/>
      <c r="M1113" s="152"/>
      <c r="N1113" s="152"/>
      <c r="O1113" s="152"/>
      <c r="P1113" s="152"/>
      <c r="Q1113" s="155"/>
      <c r="R1113" s="157"/>
      <c r="S1113" s="152"/>
      <c r="T1113" s="156"/>
    </row>
    <row r="1114" spans="1:20" ht="14.25">
      <c r="A1114" s="150"/>
      <c r="B1114" s="151"/>
      <c r="C1114" s="152"/>
      <c r="D1114" s="135"/>
      <c r="E1114" s="73"/>
      <c r="F1114" s="153"/>
      <c r="G1114" s="152"/>
      <c r="H1114" s="152"/>
      <c r="I1114" s="159"/>
      <c r="J1114" s="159"/>
      <c r="K1114" s="152"/>
      <c r="L1114" s="154"/>
      <c r="M1114" s="152"/>
      <c r="N1114" s="152"/>
      <c r="O1114" s="152"/>
      <c r="P1114" s="152"/>
      <c r="Q1114" s="155"/>
      <c r="R1114" s="157"/>
      <c r="S1114" s="152"/>
      <c r="T1114" s="156"/>
    </row>
    <row r="1115" spans="1:20" ht="14.25">
      <c r="A1115" s="150"/>
      <c r="B1115" s="151"/>
      <c r="C1115" s="152"/>
      <c r="D1115" s="135"/>
      <c r="E1115" s="73"/>
      <c r="F1115" s="153"/>
      <c r="G1115" s="152"/>
      <c r="H1115" s="152"/>
      <c r="I1115" s="159"/>
      <c r="J1115" s="159"/>
      <c r="K1115" s="152"/>
      <c r="L1115" s="154"/>
      <c r="M1115" s="152"/>
      <c r="N1115" s="152"/>
      <c r="O1115" s="152"/>
      <c r="P1115" s="152"/>
      <c r="Q1115" s="155"/>
      <c r="R1115" s="157"/>
      <c r="S1115" s="152"/>
      <c r="T1115" s="156"/>
    </row>
    <row r="1116" spans="1:20" ht="14.25">
      <c r="A1116" s="150"/>
      <c r="B1116" s="151"/>
      <c r="C1116" s="152"/>
      <c r="D1116" s="135"/>
      <c r="E1116" s="73"/>
      <c r="F1116" s="153"/>
      <c r="G1116" s="152"/>
      <c r="H1116" s="152"/>
      <c r="I1116" s="159"/>
      <c r="J1116" s="159"/>
      <c r="K1116" s="152"/>
      <c r="L1116" s="154"/>
      <c r="M1116" s="152"/>
      <c r="N1116" s="152"/>
      <c r="O1116" s="152"/>
      <c r="P1116" s="152"/>
      <c r="Q1116" s="155"/>
      <c r="R1116" s="157"/>
      <c r="S1116" s="152"/>
      <c r="T1116" s="156"/>
    </row>
    <row r="1117" spans="1:20" ht="14.25">
      <c r="A1117" s="150"/>
      <c r="B1117" s="151"/>
      <c r="C1117" s="152"/>
      <c r="D1117" s="135"/>
      <c r="E1117" s="73"/>
      <c r="F1117" s="153"/>
      <c r="G1117" s="152"/>
      <c r="H1117" s="152"/>
      <c r="I1117" s="159"/>
      <c r="J1117" s="159"/>
      <c r="K1117" s="152"/>
      <c r="L1117" s="154"/>
      <c r="M1117" s="152"/>
      <c r="N1117" s="152"/>
      <c r="O1117" s="152"/>
      <c r="P1117" s="152"/>
      <c r="Q1117" s="155"/>
      <c r="R1117" s="157"/>
      <c r="S1117" s="152"/>
      <c r="T1117" s="156"/>
    </row>
    <row r="1118" spans="1:20" ht="14.25">
      <c r="A1118" s="150"/>
      <c r="B1118" s="151"/>
      <c r="C1118" s="152"/>
      <c r="D1118" s="135"/>
      <c r="E1118" s="73"/>
      <c r="F1118" s="153"/>
      <c r="G1118" s="152"/>
      <c r="H1118" s="152"/>
      <c r="I1118" s="159"/>
      <c r="J1118" s="159"/>
      <c r="K1118" s="152"/>
      <c r="L1118" s="154"/>
      <c r="M1118" s="152"/>
      <c r="N1118" s="152"/>
      <c r="O1118" s="152"/>
      <c r="P1118" s="152"/>
      <c r="Q1118" s="155"/>
      <c r="R1118" s="157"/>
      <c r="S1118" s="152"/>
      <c r="T1118" s="156"/>
    </row>
    <row r="1119" spans="1:20" ht="14.25">
      <c r="A1119" s="150"/>
      <c r="B1119" s="151"/>
      <c r="C1119" s="152"/>
      <c r="D1119" s="135"/>
      <c r="E1119" s="73"/>
      <c r="F1119" s="153"/>
      <c r="G1119" s="152"/>
      <c r="H1119" s="152"/>
      <c r="I1119" s="159"/>
      <c r="J1119" s="159"/>
      <c r="K1119" s="152"/>
      <c r="L1119" s="154"/>
      <c r="M1119" s="152"/>
      <c r="N1119" s="152"/>
      <c r="O1119" s="152"/>
      <c r="P1119" s="152"/>
      <c r="Q1119" s="155"/>
      <c r="R1119" s="157"/>
      <c r="S1119" s="152"/>
      <c r="T1119" s="156"/>
    </row>
    <row r="1120" spans="1:20" ht="14.25">
      <c r="A1120" s="150"/>
      <c r="B1120" s="151"/>
      <c r="C1120" s="152"/>
      <c r="D1120" s="135"/>
      <c r="E1120" s="73"/>
      <c r="F1120" s="153"/>
      <c r="G1120" s="152"/>
      <c r="H1120" s="152"/>
      <c r="I1120" s="159"/>
      <c r="J1120" s="159"/>
      <c r="K1120" s="152"/>
      <c r="L1120" s="154"/>
      <c r="M1120" s="152"/>
      <c r="N1120" s="152"/>
      <c r="O1120" s="152"/>
      <c r="P1120" s="152"/>
      <c r="Q1120" s="155"/>
      <c r="R1120" s="157"/>
      <c r="S1120" s="152"/>
      <c r="T1120" s="156"/>
    </row>
    <row r="1121" spans="1:20" ht="14.25">
      <c r="A1121" s="150"/>
      <c r="B1121" s="151"/>
      <c r="C1121" s="152"/>
      <c r="D1121" s="135"/>
      <c r="E1121" s="73"/>
      <c r="F1121" s="153"/>
      <c r="G1121" s="152"/>
      <c r="H1121" s="152"/>
      <c r="I1121" s="159"/>
      <c r="J1121" s="159"/>
      <c r="K1121" s="152"/>
      <c r="L1121" s="154"/>
      <c r="M1121" s="152"/>
      <c r="N1121" s="152"/>
      <c r="O1121" s="152"/>
      <c r="P1121" s="152"/>
      <c r="Q1121" s="155"/>
      <c r="R1121" s="157"/>
      <c r="S1121" s="152"/>
      <c r="T1121" s="156"/>
    </row>
    <row r="1122" spans="1:20" ht="14.25">
      <c r="A1122" s="150"/>
      <c r="B1122" s="151"/>
      <c r="C1122" s="152"/>
      <c r="D1122" s="135"/>
      <c r="E1122" s="73"/>
      <c r="F1122" s="153"/>
      <c r="G1122" s="152"/>
      <c r="H1122" s="152"/>
      <c r="I1122" s="159"/>
      <c r="J1122" s="159"/>
      <c r="K1122" s="152"/>
      <c r="L1122" s="154"/>
      <c r="M1122" s="152"/>
      <c r="N1122" s="152"/>
      <c r="O1122" s="152"/>
      <c r="P1122" s="152"/>
      <c r="Q1122" s="155"/>
      <c r="R1122" s="157"/>
      <c r="S1122" s="152"/>
      <c r="T1122" s="156"/>
    </row>
    <row r="1123" spans="1:20" ht="14.25">
      <c r="A1123" s="150"/>
      <c r="B1123" s="151"/>
      <c r="C1123" s="152"/>
      <c r="D1123" s="135"/>
      <c r="E1123" s="73"/>
      <c r="F1123" s="153"/>
      <c r="G1123" s="152"/>
      <c r="H1123" s="152"/>
      <c r="I1123" s="159"/>
      <c r="J1123" s="159"/>
      <c r="K1123" s="152"/>
      <c r="L1123" s="154"/>
      <c r="M1123" s="152"/>
      <c r="N1123" s="152"/>
      <c r="O1123" s="152"/>
      <c r="P1123" s="152"/>
      <c r="Q1123" s="155"/>
      <c r="R1123" s="157"/>
      <c r="S1123" s="152"/>
      <c r="T1123" s="156"/>
    </row>
    <row r="1124" spans="1:20" ht="14.25">
      <c r="A1124" s="150"/>
      <c r="B1124" s="151"/>
      <c r="C1124" s="152"/>
      <c r="D1124" s="135"/>
      <c r="E1124" s="73"/>
      <c r="F1124" s="153"/>
      <c r="G1124" s="152"/>
      <c r="H1124" s="152"/>
      <c r="I1124" s="159"/>
      <c r="J1124" s="159"/>
      <c r="K1124" s="152"/>
      <c r="L1124" s="154"/>
      <c r="M1124" s="152"/>
      <c r="N1124" s="152"/>
      <c r="O1124" s="152"/>
      <c r="P1124" s="152"/>
      <c r="Q1124" s="155"/>
      <c r="R1124" s="157"/>
      <c r="S1124" s="152"/>
      <c r="T1124" s="156"/>
    </row>
    <row r="1125" spans="1:20" ht="14.25">
      <c r="A1125" s="150"/>
      <c r="B1125" s="151"/>
      <c r="C1125" s="152"/>
      <c r="D1125" s="135"/>
      <c r="E1125" s="73"/>
      <c r="F1125" s="153"/>
      <c r="G1125" s="152"/>
      <c r="H1125" s="152"/>
      <c r="I1125" s="159"/>
      <c r="J1125" s="159"/>
      <c r="K1125" s="152"/>
      <c r="L1125" s="154"/>
      <c r="M1125" s="152"/>
      <c r="N1125" s="152"/>
      <c r="O1125" s="152"/>
      <c r="P1125" s="152"/>
      <c r="Q1125" s="155"/>
      <c r="R1125" s="157"/>
      <c r="S1125" s="152"/>
      <c r="T1125" s="156"/>
    </row>
    <row r="1126" spans="1:20" ht="14.25">
      <c r="A1126" s="150"/>
      <c r="B1126" s="151"/>
      <c r="C1126" s="152"/>
      <c r="D1126" s="135"/>
      <c r="E1126" s="73"/>
      <c r="F1126" s="153"/>
      <c r="G1126" s="152"/>
      <c r="H1126" s="152"/>
      <c r="I1126" s="159"/>
      <c r="J1126" s="159"/>
      <c r="K1126" s="152"/>
      <c r="L1126" s="154"/>
      <c r="M1126" s="152"/>
      <c r="N1126" s="152"/>
      <c r="O1126" s="152"/>
      <c r="P1126" s="152"/>
      <c r="Q1126" s="155"/>
      <c r="R1126" s="157"/>
      <c r="S1126" s="152"/>
      <c r="T1126" s="156"/>
    </row>
    <row r="1127" spans="1:20" ht="14.25">
      <c r="A1127" s="150"/>
      <c r="B1127" s="151"/>
      <c r="C1127" s="152"/>
      <c r="D1127" s="135"/>
      <c r="E1127" s="73"/>
      <c r="F1127" s="153"/>
      <c r="G1127" s="152"/>
      <c r="H1127" s="152"/>
      <c r="I1127" s="159"/>
      <c r="J1127" s="159"/>
      <c r="K1127" s="152"/>
      <c r="L1127" s="154"/>
      <c r="M1127" s="152"/>
      <c r="N1127" s="152"/>
      <c r="O1127" s="152"/>
      <c r="P1127" s="152"/>
      <c r="Q1127" s="155"/>
      <c r="R1127" s="157"/>
      <c r="S1127" s="152"/>
      <c r="T1127" s="156"/>
    </row>
    <row r="1128" spans="1:20" ht="14.25">
      <c r="A1128" s="150"/>
      <c r="B1128" s="151"/>
      <c r="C1128" s="152"/>
      <c r="D1128" s="135"/>
      <c r="E1128" s="73"/>
      <c r="F1128" s="153"/>
      <c r="G1128" s="152"/>
      <c r="H1128" s="152"/>
      <c r="I1128" s="159"/>
      <c r="J1128" s="159"/>
      <c r="K1128" s="152"/>
      <c r="L1128" s="154"/>
      <c r="M1128" s="152"/>
      <c r="N1128" s="152"/>
      <c r="O1128" s="152"/>
      <c r="P1128" s="152"/>
      <c r="Q1128" s="155"/>
      <c r="R1128" s="157"/>
      <c r="S1128" s="152"/>
      <c r="T1128" s="156"/>
    </row>
    <row r="1129" spans="1:20" ht="14.25">
      <c r="A1129" s="150"/>
      <c r="B1129" s="151"/>
      <c r="C1129" s="152"/>
      <c r="D1129" s="135"/>
      <c r="E1129" s="73"/>
      <c r="F1129" s="153"/>
      <c r="G1129" s="152"/>
      <c r="H1129" s="152"/>
      <c r="I1129" s="159"/>
      <c r="J1129" s="159"/>
      <c r="K1129" s="152"/>
      <c r="L1129" s="154"/>
      <c r="M1129" s="152"/>
      <c r="N1129" s="152"/>
      <c r="O1129" s="152"/>
      <c r="P1129" s="152"/>
      <c r="Q1129" s="155"/>
      <c r="R1129" s="157"/>
      <c r="S1129" s="152"/>
      <c r="T1129" s="156"/>
    </row>
    <row r="1130" spans="1:20" ht="14.25">
      <c r="A1130" s="150"/>
      <c r="B1130" s="151"/>
      <c r="C1130" s="152"/>
      <c r="D1130" s="135"/>
      <c r="E1130" s="73"/>
      <c r="F1130" s="153"/>
      <c r="G1130" s="152"/>
      <c r="H1130" s="152"/>
      <c r="I1130" s="159"/>
      <c r="J1130" s="159"/>
      <c r="K1130" s="152"/>
      <c r="L1130" s="154"/>
      <c r="M1130" s="152"/>
      <c r="N1130" s="152"/>
      <c r="O1130" s="152"/>
      <c r="P1130" s="152"/>
      <c r="Q1130" s="155"/>
      <c r="R1130" s="157"/>
      <c r="S1130" s="152"/>
      <c r="T1130" s="156"/>
    </row>
    <row r="1131" spans="1:20" ht="14.25">
      <c r="A1131" s="150"/>
      <c r="B1131" s="151"/>
      <c r="C1131" s="152"/>
      <c r="D1131" s="135"/>
      <c r="E1131" s="73"/>
      <c r="F1131" s="153"/>
      <c r="G1131" s="152"/>
      <c r="H1131" s="152"/>
      <c r="I1131" s="159"/>
      <c r="J1131" s="159"/>
      <c r="K1131" s="152"/>
      <c r="L1131" s="154"/>
      <c r="M1131" s="152"/>
      <c r="N1131" s="152"/>
      <c r="O1131" s="152"/>
      <c r="P1131" s="152"/>
      <c r="Q1131" s="155"/>
      <c r="R1131" s="157"/>
      <c r="S1131" s="152"/>
      <c r="T1131" s="156"/>
    </row>
    <row r="1132" spans="1:20" ht="14.25">
      <c r="A1132" s="150"/>
      <c r="B1132" s="151"/>
      <c r="C1132" s="152"/>
      <c r="D1132" s="135"/>
      <c r="E1132" s="73"/>
      <c r="F1132" s="153"/>
      <c r="G1132" s="152"/>
      <c r="H1132" s="152"/>
      <c r="I1132" s="159"/>
      <c r="J1132" s="159"/>
      <c r="K1132" s="152"/>
      <c r="L1132" s="154"/>
      <c r="M1132" s="152"/>
      <c r="N1132" s="152"/>
      <c r="O1132" s="152"/>
      <c r="P1132" s="152"/>
      <c r="Q1132" s="155"/>
      <c r="R1132" s="157"/>
      <c r="S1132" s="152"/>
      <c r="T1132" s="156"/>
    </row>
    <row r="1133" spans="1:20" ht="14.25">
      <c r="A1133" s="150"/>
      <c r="B1133" s="151"/>
      <c r="C1133" s="152"/>
      <c r="D1133" s="135"/>
      <c r="E1133" s="73"/>
      <c r="F1133" s="153"/>
      <c r="G1133" s="152"/>
      <c r="H1133" s="152"/>
      <c r="I1133" s="159"/>
      <c r="J1133" s="159"/>
      <c r="K1133" s="152"/>
      <c r="L1133" s="154"/>
      <c r="M1133" s="152"/>
      <c r="N1133" s="152"/>
      <c r="O1133" s="152"/>
      <c r="P1133" s="152"/>
      <c r="Q1133" s="155"/>
      <c r="R1133" s="157"/>
      <c r="S1133" s="152"/>
      <c r="T1133" s="156"/>
    </row>
    <row r="1134" spans="1:20" ht="14.25">
      <c r="A1134" s="150"/>
      <c r="B1134" s="151"/>
      <c r="C1134" s="152"/>
      <c r="D1134" s="135"/>
      <c r="E1134" s="73"/>
      <c r="F1134" s="153"/>
      <c r="G1134" s="152"/>
      <c r="H1134" s="152"/>
      <c r="I1134" s="159"/>
      <c r="J1134" s="159"/>
      <c r="K1134" s="152"/>
      <c r="L1134" s="154"/>
      <c r="M1134" s="152"/>
      <c r="N1134" s="152"/>
      <c r="O1134" s="152"/>
      <c r="P1134" s="152"/>
      <c r="Q1134" s="155"/>
      <c r="R1134" s="157"/>
      <c r="S1134" s="152"/>
      <c r="T1134" s="156"/>
    </row>
    <row r="1135" spans="1:20" ht="14.25">
      <c r="A1135" s="150"/>
      <c r="B1135" s="151"/>
      <c r="C1135" s="152"/>
      <c r="D1135" s="135"/>
      <c r="E1135" s="73"/>
      <c r="F1135" s="153"/>
      <c r="G1135" s="152"/>
      <c r="H1135" s="152"/>
      <c r="I1135" s="159"/>
      <c r="J1135" s="159"/>
      <c r="K1135" s="152"/>
      <c r="L1135" s="154"/>
      <c r="M1135" s="152"/>
      <c r="N1135" s="152"/>
      <c r="O1135" s="152"/>
      <c r="P1135" s="152"/>
      <c r="Q1135" s="155"/>
      <c r="R1135" s="157"/>
      <c r="S1135" s="152"/>
      <c r="T1135" s="156"/>
    </row>
    <row r="1136" spans="1:20" ht="14.25">
      <c r="A1136" s="150"/>
      <c r="B1136" s="151"/>
      <c r="C1136" s="152"/>
      <c r="D1136" s="135"/>
      <c r="E1136" s="73"/>
      <c r="F1136" s="153"/>
      <c r="G1136" s="152"/>
      <c r="H1136" s="152"/>
      <c r="I1136" s="159"/>
      <c r="J1136" s="159"/>
      <c r="K1136" s="152"/>
      <c r="L1136" s="154"/>
      <c r="M1136" s="152"/>
      <c r="N1136" s="152"/>
      <c r="O1136" s="152"/>
      <c r="P1136" s="152"/>
      <c r="Q1136" s="155"/>
      <c r="R1136" s="157"/>
      <c r="S1136" s="152"/>
      <c r="T1136" s="156"/>
    </row>
    <row r="1137" spans="1:20" ht="14.25">
      <c r="A1137" s="150"/>
      <c r="B1137" s="151"/>
      <c r="C1137" s="152"/>
      <c r="D1137" s="135"/>
      <c r="E1137" s="73"/>
      <c r="F1137" s="153"/>
      <c r="G1137" s="152"/>
      <c r="H1137" s="152"/>
      <c r="I1137" s="159"/>
      <c r="J1137" s="159"/>
      <c r="K1137" s="152"/>
      <c r="L1137" s="154"/>
      <c r="M1137" s="152"/>
      <c r="N1137" s="152"/>
      <c r="O1137" s="152"/>
      <c r="P1137" s="152"/>
      <c r="Q1137" s="155"/>
      <c r="R1137" s="157"/>
      <c r="S1137" s="152"/>
      <c r="T1137" s="156"/>
    </row>
    <row r="1138" spans="1:20" ht="14.25">
      <c r="A1138" s="150"/>
      <c r="B1138" s="151"/>
      <c r="C1138" s="152"/>
      <c r="D1138" s="135"/>
      <c r="E1138" s="73"/>
      <c r="F1138" s="153"/>
      <c r="G1138" s="152"/>
      <c r="H1138" s="152"/>
      <c r="I1138" s="159"/>
      <c r="J1138" s="159"/>
      <c r="K1138" s="152"/>
      <c r="L1138" s="154"/>
      <c r="M1138" s="152"/>
      <c r="N1138" s="152"/>
      <c r="O1138" s="152"/>
      <c r="P1138" s="152"/>
      <c r="Q1138" s="155"/>
      <c r="R1138" s="157"/>
      <c r="S1138" s="152"/>
      <c r="T1138" s="156"/>
    </row>
    <row r="1139" spans="1:20" ht="14.25">
      <c r="A1139" s="150"/>
      <c r="B1139" s="151"/>
      <c r="C1139" s="152"/>
      <c r="D1139" s="135"/>
      <c r="E1139" s="73"/>
      <c r="F1139" s="153"/>
      <c r="G1139" s="152"/>
      <c r="H1139" s="152"/>
      <c r="I1139" s="159"/>
      <c r="J1139" s="159"/>
      <c r="K1139" s="152"/>
      <c r="L1139" s="154"/>
      <c r="M1139" s="152"/>
      <c r="N1139" s="152"/>
      <c r="O1139" s="152"/>
      <c r="P1139" s="152"/>
      <c r="Q1139" s="155"/>
      <c r="R1139" s="157"/>
      <c r="S1139" s="152"/>
      <c r="T1139" s="156"/>
    </row>
    <row r="1140" spans="1:20" ht="14.25">
      <c r="A1140" s="150"/>
      <c r="B1140" s="151"/>
      <c r="C1140" s="152"/>
      <c r="D1140" s="135"/>
      <c r="E1140" s="73"/>
      <c r="F1140" s="153"/>
      <c r="G1140" s="152"/>
      <c r="H1140" s="152"/>
      <c r="I1140" s="159"/>
      <c r="J1140" s="159"/>
      <c r="K1140" s="152"/>
      <c r="L1140" s="154"/>
      <c r="M1140" s="152"/>
      <c r="N1140" s="152"/>
      <c r="O1140" s="152"/>
      <c r="P1140" s="152"/>
      <c r="Q1140" s="155"/>
      <c r="R1140" s="157"/>
      <c r="S1140" s="152"/>
      <c r="T1140" s="156"/>
    </row>
    <row r="1141" spans="1:20" ht="14.25">
      <c r="A1141" s="150"/>
      <c r="B1141" s="151"/>
      <c r="C1141" s="152"/>
      <c r="D1141" s="135"/>
      <c r="E1141" s="73"/>
      <c r="F1141" s="153"/>
      <c r="G1141" s="152"/>
      <c r="H1141" s="152"/>
      <c r="I1141" s="159"/>
      <c r="J1141" s="159"/>
      <c r="K1141" s="152"/>
      <c r="L1141" s="154"/>
      <c r="M1141" s="152"/>
      <c r="N1141" s="152"/>
      <c r="O1141" s="152"/>
      <c r="P1141" s="152"/>
      <c r="Q1141" s="155"/>
      <c r="R1141" s="157"/>
      <c r="S1141" s="152"/>
      <c r="T1141" s="156"/>
    </row>
    <row r="1142" spans="1:20" ht="14.25">
      <c r="A1142" s="150"/>
      <c r="B1142" s="151"/>
      <c r="C1142" s="152"/>
      <c r="D1142" s="135"/>
      <c r="E1142" s="73"/>
      <c r="F1142" s="153"/>
      <c r="G1142" s="152"/>
      <c r="H1142" s="152"/>
      <c r="I1142" s="159"/>
      <c r="J1142" s="159"/>
      <c r="K1142" s="152"/>
      <c r="L1142" s="154"/>
      <c r="M1142" s="152"/>
      <c r="N1142" s="152"/>
      <c r="O1142" s="152"/>
      <c r="P1142" s="152"/>
      <c r="Q1142" s="155"/>
      <c r="R1142" s="157"/>
      <c r="S1142" s="152"/>
      <c r="T1142" s="156"/>
    </row>
    <row r="1143" spans="1:20" ht="14.25">
      <c r="A1143" s="150"/>
      <c r="B1143" s="151"/>
      <c r="C1143" s="152"/>
      <c r="D1143" s="135"/>
      <c r="E1143" s="73"/>
      <c r="F1143" s="153"/>
      <c r="G1143" s="152"/>
      <c r="H1143" s="152"/>
      <c r="I1143" s="159"/>
      <c r="J1143" s="159"/>
      <c r="K1143" s="152"/>
      <c r="L1143" s="154"/>
      <c r="M1143" s="152"/>
      <c r="N1143" s="152"/>
      <c r="O1143" s="152"/>
      <c r="P1143" s="152"/>
      <c r="Q1143" s="155"/>
      <c r="R1143" s="157"/>
      <c r="S1143" s="152"/>
      <c r="T1143" s="156"/>
    </row>
    <row r="1144" spans="1:20" ht="14.25">
      <c r="A1144" s="150"/>
      <c r="B1144" s="151"/>
      <c r="C1144" s="152"/>
      <c r="D1144" s="135"/>
      <c r="E1144" s="73"/>
      <c r="F1144" s="153"/>
      <c r="G1144" s="152"/>
      <c r="H1144" s="152"/>
      <c r="I1144" s="159"/>
      <c r="J1144" s="159"/>
      <c r="K1144" s="152"/>
      <c r="L1144" s="154"/>
      <c r="M1144" s="152"/>
      <c r="N1144" s="152"/>
      <c r="O1144" s="152"/>
      <c r="P1144" s="152"/>
      <c r="Q1144" s="155"/>
      <c r="R1144" s="157"/>
      <c r="S1144" s="152"/>
      <c r="T1144" s="156"/>
    </row>
    <row r="1145" spans="1:20" ht="14.25">
      <c r="A1145" s="150"/>
      <c r="B1145" s="151"/>
      <c r="C1145" s="152"/>
      <c r="D1145" s="135"/>
      <c r="E1145" s="73"/>
      <c r="F1145" s="153"/>
      <c r="G1145" s="152"/>
      <c r="H1145" s="152"/>
      <c r="I1145" s="159"/>
      <c r="J1145" s="159"/>
      <c r="K1145" s="152"/>
      <c r="L1145" s="154"/>
      <c r="M1145" s="152"/>
      <c r="N1145" s="152"/>
      <c r="O1145" s="152"/>
      <c r="P1145" s="152"/>
      <c r="Q1145" s="155"/>
      <c r="R1145" s="157"/>
      <c r="S1145" s="152"/>
      <c r="T1145" s="156"/>
    </row>
    <row r="1146" spans="1:20" ht="14.25">
      <c r="A1146" s="150"/>
      <c r="B1146" s="151"/>
      <c r="C1146" s="152"/>
      <c r="D1146" s="135"/>
      <c r="E1146" s="73"/>
      <c r="F1146" s="153"/>
      <c r="G1146" s="152"/>
      <c r="H1146" s="152"/>
      <c r="I1146" s="159"/>
      <c r="J1146" s="159"/>
      <c r="K1146" s="152"/>
      <c r="L1146" s="154"/>
      <c r="M1146" s="152"/>
      <c r="N1146" s="152"/>
      <c r="O1146" s="152"/>
      <c r="P1146" s="152"/>
      <c r="Q1146" s="155"/>
      <c r="R1146" s="157"/>
      <c r="S1146" s="152"/>
      <c r="T1146" s="156"/>
    </row>
    <row r="1147" spans="1:20" ht="14.25">
      <c r="A1147" s="150"/>
      <c r="B1147" s="151"/>
      <c r="C1147" s="152"/>
      <c r="D1147" s="135"/>
      <c r="E1147" s="73"/>
      <c r="F1147" s="153"/>
      <c r="G1147" s="152"/>
      <c r="H1147" s="152"/>
      <c r="I1147" s="159"/>
      <c r="J1147" s="159"/>
      <c r="K1147" s="152"/>
      <c r="L1147" s="154"/>
      <c r="M1147" s="152"/>
      <c r="N1147" s="152"/>
      <c r="O1147" s="152"/>
      <c r="P1147" s="152"/>
      <c r="Q1147" s="155"/>
      <c r="R1147" s="157"/>
      <c r="S1147" s="152"/>
      <c r="T1147" s="156"/>
    </row>
    <row r="1148" spans="1:20" ht="14.25">
      <c r="A1148" s="150"/>
      <c r="B1148" s="151"/>
      <c r="C1148" s="152"/>
      <c r="D1148" s="135"/>
      <c r="E1148" s="73"/>
      <c r="F1148" s="153"/>
      <c r="G1148" s="152"/>
      <c r="H1148" s="152"/>
      <c r="I1148" s="159"/>
      <c r="J1148" s="159"/>
      <c r="K1148" s="152"/>
      <c r="L1148" s="154"/>
      <c r="M1148" s="152"/>
      <c r="N1148" s="152"/>
      <c r="O1148" s="152"/>
      <c r="P1148" s="152"/>
      <c r="Q1148" s="155"/>
      <c r="R1148" s="157"/>
      <c r="S1148" s="152"/>
      <c r="T1148" s="156"/>
    </row>
    <row r="1149" spans="1:20" ht="14.25">
      <c r="A1149" s="150"/>
      <c r="B1149" s="151"/>
      <c r="C1149" s="152"/>
      <c r="D1149" s="135"/>
      <c r="E1149" s="73"/>
      <c r="F1149" s="153"/>
      <c r="G1149" s="152"/>
      <c r="H1149" s="152"/>
      <c r="I1149" s="159"/>
      <c r="J1149" s="159"/>
      <c r="K1149" s="152"/>
      <c r="L1149" s="154"/>
      <c r="M1149" s="152"/>
      <c r="N1149" s="152"/>
      <c r="O1149" s="152"/>
      <c r="P1149" s="152"/>
      <c r="Q1149" s="155"/>
      <c r="R1149" s="157"/>
      <c r="S1149" s="152"/>
      <c r="T1149" s="156"/>
    </row>
    <row r="1150" spans="1:20" ht="14.25">
      <c r="A1150" s="150"/>
      <c r="B1150" s="151"/>
      <c r="C1150" s="152"/>
      <c r="D1150" s="135"/>
      <c r="E1150" s="73"/>
      <c r="F1150" s="153"/>
      <c r="G1150" s="152"/>
      <c r="H1150" s="152"/>
      <c r="I1150" s="159"/>
      <c r="J1150" s="159"/>
      <c r="K1150" s="152"/>
      <c r="L1150" s="154"/>
      <c r="M1150" s="152"/>
      <c r="N1150" s="152"/>
      <c r="O1150" s="152"/>
      <c r="P1150" s="152"/>
      <c r="Q1150" s="155"/>
      <c r="R1150" s="157"/>
      <c r="S1150" s="152"/>
      <c r="T1150" s="156"/>
    </row>
    <row r="1151" spans="1:20" ht="14.25">
      <c r="A1151" s="150"/>
      <c r="B1151" s="151"/>
      <c r="C1151" s="152"/>
      <c r="D1151" s="135"/>
      <c r="E1151" s="73"/>
      <c r="F1151" s="153"/>
      <c r="G1151" s="152"/>
      <c r="H1151" s="152"/>
      <c r="I1151" s="159"/>
      <c r="J1151" s="159"/>
      <c r="K1151" s="152"/>
      <c r="L1151" s="154"/>
      <c r="M1151" s="152"/>
      <c r="N1151" s="152"/>
      <c r="O1151" s="152"/>
      <c r="P1151" s="152"/>
      <c r="Q1151" s="155"/>
      <c r="R1151" s="157"/>
      <c r="S1151" s="152"/>
      <c r="T1151" s="156"/>
    </row>
    <row r="1152" spans="1:20" ht="14.25">
      <c r="A1152" s="150"/>
      <c r="B1152" s="151"/>
      <c r="C1152" s="152"/>
      <c r="D1152" s="135"/>
      <c r="E1152" s="73"/>
      <c r="F1152" s="153"/>
      <c r="G1152" s="152"/>
      <c r="H1152" s="152"/>
      <c r="I1152" s="159"/>
      <c r="J1152" s="159"/>
      <c r="K1152" s="152"/>
      <c r="L1152" s="154"/>
      <c r="M1152" s="152"/>
      <c r="N1152" s="152"/>
      <c r="O1152" s="152"/>
      <c r="P1152" s="152"/>
      <c r="Q1152" s="155"/>
      <c r="R1152" s="157"/>
      <c r="S1152" s="152"/>
      <c r="T1152" s="156"/>
    </row>
    <row r="1153" spans="1:20" ht="14.25">
      <c r="A1153" s="150"/>
      <c r="B1153" s="151"/>
      <c r="C1153" s="152"/>
      <c r="D1153" s="135"/>
      <c r="E1153" s="73"/>
      <c r="F1153" s="153"/>
      <c r="G1153" s="152"/>
      <c r="H1153" s="152"/>
      <c r="I1153" s="159"/>
      <c r="J1153" s="159"/>
      <c r="K1153" s="152"/>
      <c r="L1153" s="154"/>
      <c r="M1153" s="152"/>
      <c r="N1153" s="152"/>
      <c r="O1153" s="152"/>
      <c r="P1153" s="152"/>
      <c r="Q1153" s="155"/>
      <c r="R1153" s="157"/>
      <c r="S1153" s="152"/>
      <c r="T1153" s="156"/>
    </row>
    <row r="1154" spans="1:20" ht="14.25">
      <c r="A1154" s="150"/>
      <c r="B1154" s="151"/>
      <c r="C1154" s="152"/>
      <c r="D1154" s="135"/>
      <c r="E1154" s="73"/>
      <c r="F1154" s="153"/>
      <c r="G1154" s="152"/>
      <c r="H1154" s="152"/>
      <c r="I1154" s="159"/>
      <c r="J1154" s="159"/>
      <c r="K1154" s="152"/>
      <c r="L1154" s="154"/>
      <c r="M1154" s="152"/>
      <c r="N1154" s="152"/>
      <c r="O1154" s="152"/>
      <c r="P1154" s="152"/>
      <c r="Q1154" s="155"/>
      <c r="R1154" s="157"/>
      <c r="S1154" s="152"/>
      <c r="T1154" s="156"/>
    </row>
    <row r="1155" spans="1:20" ht="14.25">
      <c r="A1155" s="150"/>
      <c r="B1155" s="151"/>
      <c r="C1155" s="152"/>
      <c r="D1155" s="135"/>
      <c r="E1155" s="73"/>
      <c r="F1155" s="153"/>
      <c r="G1155" s="152"/>
      <c r="H1155" s="152"/>
      <c r="I1155" s="159"/>
      <c r="J1155" s="159"/>
      <c r="K1155" s="152"/>
      <c r="L1155" s="154"/>
      <c r="M1155" s="152"/>
      <c r="N1155" s="152"/>
      <c r="O1155" s="152"/>
      <c r="P1155" s="152"/>
      <c r="Q1155" s="155"/>
      <c r="R1155" s="157"/>
      <c r="S1155" s="152"/>
      <c r="T1155" s="156"/>
    </row>
    <row r="1156" spans="1:20" ht="14.25">
      <c r="A1156" s="150"/>
      <c r="B1156" s="151"/>
      <c r="C1156" s="152"/>
      <c r="D1156" s="135"/>
      <c r="E1156" s="73"/>
      <c r="F1156" s="153"/>
      <c r="G1156" s="152"/>
      <c r="H1156" s="152"/>
      <c r="I1156" s="159"/>
      <c r="J1156" s="159"/>
      <c r="K1156" s="152"/>
      <c r="L1156" s="154"/>
      <c r="M1156" s="152"/>
      <c r="N1156" s="152"/>
      <c r="O1156" s="152"/>
      <c r="P1156" s="152"/>
      <c r="Q1156" s="155"/>
      <c r="R1156" s="157"/>
      <c r="S1156" s="152"/>
      <c r="T1156" s="156"/>
    </row>
    <row r="1157" spans="1:20" ht="14.25">
      <c r="A1157" s="150"/>
      <c r="B1157" s="151"/>
      <c r="C1157" s="152"/>
      <c r="D1157" s="135"/>
      <c r="E1157" s="73"/>
      <c r="F1157" s="153"/>
      <c r="G1157" s="152"/>
      <c r="H1157" s="152"/>
      <c r="I1157" s="159"/>
      <c r="J1157" s="159"/>
      <c r="K1157" s="152"/>
      <c r="L1157" s="154"/>
      <c r="M1157" s="152"/>
      <c r="N1157" s="152"/>
      <c r="O1157" s="152"/>
      <c r="P1157" s="152"/>
      <c r="Q1157" s="155"/>
      <c r="R1157" s="157"/>
      <c r="S1157" s="152"/>
      <c r="T1157" s="156"/>
    </row>
    <row r="1158" spans="1:20" ht="14.25">
      <c r="A1158" s="150"/>
      <c r="B1158" s="151"/>
      <c r="C1158" s="152"/>
      <c r="D1158" s="135"/>
      <c r="E1158" s="73"/>
      <c r="F1158" s="153"/>
      <c r="G1158" s="152"/>
      <c r="H1158" s="152"/>
      <c r="I1158" s="159"/>
      <c r="J1158" s="159"/>
      <c r="K1158" s="152"/>
      <c r="L1158" s="154"/>
      <c r="M1158" s="152"/>
      <c r="N1158" s="152"/>
      <c r="O1158" s="152"/>
      <c r="P1158" s="152"/>
      <c r="Q1158" s="155"/>
      <c r="R1158" s="157"/>
      <c r="S1158" s="152"/>
      <c r="T1158" s="156"/>
    </row>
    <row r="1159" spans="1:20" ht="14.25">
      <c r="A1159" s="150"/>
      <c r="B1159" s="151"/>
      <c r="C1159" s="152"/>
      <c r="D1159" s="135"/>
      <c r="E1159" s="73"/>
      <c r="F1159" s="153"/>
      <c r="G1159" s="152"/>
      <c r="H1159" s="152"/>
      <c r="I1159" s="159"/>
      <c r="J1159" s="159"/>
      <c r="K1159" s="152"/>
      <c r="L1159" s="154"/>
      <c r="M1159" s="152"/>
      <c r="N1159" s="152"/>
      <c r="O1159" s="152"/>
      <c r="P1159" s="152"/>
      <c r="Q1159" s="155"/>
      <c r="R1159" s="157"/>
      <c r="S1159" s="152"/>
      <c r="T1159" s="156"/>
    </row>
    <row r="1160" spans="1:20" ht="14.25">
      <c r="A1160" s="150"/>
      <c r="B1160" s="151"/>
      <c r="C1160" s="152"/>
      <c r="D1160" s="135"/>
      <c r="E1160" s="73"/>
      <c r="F1160" s="153"/>
      <c r="G1160" s="152"/>
      <c r="H1160" s="152"/>
      <c r="I1160" s="159"/>
      <c r="J1160" s="159"/>
      <c r="K1160" s="152"/>
      <c r="L1160" s="154"/>
      <c r="M1160" s="152"/>
      <c r="N1160" s="152"/>
      <c r="O1160" s="152"/>
      <c r="P1160" s="152"/>
      <c r="Q1160" s="155"/>
      <c r="R1160" s="157"/>
      <c r="S1160" s="152"/>
      <c r="T1160" s="156"/>
    </row>
    <row r="1161" spans="1:20" ht="14.25">
      <c r="A1161" s="150"/>
      <c r="B1161" s="151"/>
      <c r="C1161" s="152"/>
      <c r="D1161" s="135"/>
      <c r="E1161" s="73"/>
      <c r="F1161" s="153"/>
      <c r="G1161" s="152"/>
      <c r="H1161" s="152"/>
      <c r="I1161" s="159"/>
      <c r="J1161" s="159"/>
      <c r="K1161" s="152"/>
      <c r="L1161" s="154"/>
      <c r="M1161" s="152"/>
      <c r="N1161" s="152"/>
      <c r="O1161" s="152"/>
      <c r="P1161" s="152"/>
      <c r="Q1161" s="155"/>
      <c r="R1161" s="157"/>
      <c r="S1161" s="152"/>
      <c r="T1161" s="156"/>
    </row>
    <row r="1162" spans="1:20" ht="14.25">
      <c r="A1162" s="150"/>
      <c r="B1162" s="151"/>
      <c r="C1162" s="152"/>
      <c r="D1162" s="135"/>
      <c r="E1162" s="73"/>
      <c r="F1162" s="153"/>
      <c r="G1162" s="152"/>
      <c r="H1162" s="152"/>
      <c r="I1162" s="159"/>
      <c r="J1162" s="159"/>
      <c r="K1162" s="152"/>
      <c r="L1162" s="154"/>
      <c r="M1162" s="152"/>
      <c r="N1162" s="152"/>
      <c r="O1162" s="152"/>
      <c r="P1162" s="152"/>
      <c r="Q1162" s="155"/>
      <c r="R1162" s="157"/>
      <c r="S1162" s="152"/>
      <c r="T1162" s="156"/>
    </row>
    <row r="1163" spans="1:20" ht="14.25">
      <c r="A1163" s="150"/>
      <c r="B1163" s="151"/>
      <c r="C1163" s="152"/>
      <c r="D1163" s="135"/>
      <c r="E1163" s="73"/>
      <c r="F1163" s="153"/>
      <c r="G1163" s="152"/>
      <c r="H1163" s="152"/>
      <c r="I1163" s="159"/>
      <c r="J1163" s="159"/>
      <c r="K1163" s="152"/>
      <c r="L1163" s="154"/>
      <c r="M1163" s="152"/>
      <c r="N1163" s="152"/>
      <c r="O1163" s="152"/>
      <c r="P1163" s="152"/>
      <c r="Q1163" s="155"/>
      <c r="R1163" s="157"/>
      <c r="S1163" s="152"/>
      <c r="T1163" s="156"/>
    </row>
    <row r="1164" spans="1:20" ht="14.25">
      <c r="A1164" s="150"/>
      <c r="B1164" s="151"/>
      <c r="C1164" s="152"/>
      <c r="D1164" s="135"/>
      <c r="E1164" s="73"/>
      <c r="F1164" s="153"/>
      <c r="G1164" s="152"/>
      <c r="H1164" s="152"/>
      <c r="I1164" s="159"/>
      <c r="J1164" s="159"/>
      <c r="K1164" s="152"/>
      <c r="L1164" s="154"/>
      <c r="M1164" s="152"/>
      <c r="N1164" s="152"/>
      <c r="O1164" s="152"/>
      <c r="P1164" s="152"/>
      <c r="Q1164" s="155"/>
      <c r="R1164" s="157"/>
      <c r="S1164" s="152"/>
      <c r="T1164" s="156"/>
    </row>
    <row r="1165" spans="1:20" ht="14.25">
      <c r="A1165" s="150"/>
      <c r="B1165" s="151"/>
      <c r="C1165" s="152"/>
      <c r="D1165" s="135"/>
      <c r="E1165" s="73"/>
      <c r="F1165" s="153"/>
      <c r="G1165" s="152"/>
      <c r="H1165" s="152"/>
      <c r="I1165" s="159"/>
      <c r="J1165" s="159"/>
      <c r="K1165" s="152"/>
      <c r="L1165" s="154"/>
      <c r="M1165" s="152"/>
      <c r="N1165" s="152"/>
      <c r="O1165" s="152"/>
      <c r="P1165" s="152"/>
      <c r="Q1165" s="155"/>
      <c r="R1165" s="157"/>
      <c r="S1165" s="152"/>
      <c r="T1165" s="156"/>
    </row>
    <row r="1166" spans="1:20" ht="14.25">
      <c r="A1166" s="150"/>
      <c r="B1166" s="151"/>
      <c r="C1166" s="152"/>
      <c r="D1166" s="135"/>
      <c r="E1166" s="73"/>
      <c r="F1166" s="153"/>
      <c r="G1166" s="152"/>
      <c r="H1166" s="152"/>
      <c r="I1166" s="159"/>
      <c r="J1166" s="159"/>
      <c r="K1166" s="152"/>
      <c r="L1166" s="154"/>
      <c r="M1166" s="152"/>
      <c r="N1166" s="152"/>
      <c r="O1166" s="152"/>
      <c r="P1166" s="152"/>
      <c r="Q1166" s="155"/>
      <c r="R1166" s="157"/>
      <c r="S1166" s="152"/>
      <c r="T1166" s="156"/>
    </row>
    <row r="1167" spans="1:20" ht="14.25">
      <c r="A1167" s="150"/>
      <c r="B1167" s="151"/>
      <c r="C1167" s="152"/>
      <c r="D1167" s="135"/>
      <c r="E1167" s="73"/>
      <c r="F1167" s="153"/>
      <c r="G1167" s="152"/>
      <c r="H1167" s="152"/>
      <c r="I1167" s="159"/>
      <c r="J1167" s="159"/>
      <c r="K1167" s="152"/>
      <c r="L1167" s="154"/>
      <c r="M1167" s="152"/>
      <c r="N1167" s="152"/>
      <c r="O1167" s="152"/>
      <c r="P1167" s="152"/>
      <c r="Q1167" s="155"/>
      <c r="R1167" s="157"/>
      <c r="S1167" s="152"/>
      <c r="T1167" s="156"/>
    </row>
    <row r="1168" spans="1:20" ht="14.25">
      <c r="A1168" s="150"/>
      <c r="B1168" s="151"/>
      <c r="C1168" s="152"/>
      <c r="D1168" s="135"/>
      <c r="E1168" s="73"/>
      <c r="F1168" s="153"/>
      <c r="G1168" s="152"/>
      <c r="H1168" s="152"/>
      <c r="I1168" s="159"/>
      <c r="J1168" s="159"/>
      <c r="K1168" s="152"/>
      <c r="L1168" s="154"/>
      <c r="M1168" s="152"/>
      <c r="N1168" s="152"/>
      <c r="O1168" s="152"/>
      <c r="P1168" s="152"/>
      <c r="Q1168" s="155"/>
      <c r="R1168" s="157"/>
      <c r="S1168" s="152"/>
      <c r="T1168" s="156"/>
    </row>
    <row r="1169" spans="1:20" ht="14.25">
      <c r="A1169" s="150"/>
      <c r="B1169" s="151"/>
      <c r="C1169" s="152"/>
      <c r="D1169" s="135"/>
      <c r="E1169" s="73"/>
      <c r="F1169" s="153"/>
      <c r="G1169" s="152"/>
      <c r="H1169" s="152"/>
      <c r="I1169" s="159"/>
      <c r="J1169" s="159"/>
      <c r="K1169" s="152"/>
      <c r="L1169" s="154"/>
      <c r="M1169" s="152"/>
      <c r="N1169" s="152"/>
      <c r="O1169" s="152"/>
      <c r="P1169" s="152"/>
      <c r="Q1169" s="155"/>
      <c r="R1169" s="157"/>
      <c r="S1169" s="152"/>
      <c r="T1169" s="156"/>
    </row>
    <row r="1170" spans="1:20" ht="14.25">
      <c r="A1170" s="150"/>
      <c r="B1170" s="151"/>
      <c r="C1170" s="152"/>
      <c r="D1170" s="135"/>
      <c r="E1170" s="73"/>
      <c r="F1170" s="153"/>
      <c r="G1170" s="152"/>
      <c r="H1170" s="152"/>
      <c r="I1170" s="159"/>
      <c r="J1170" s="159"/>
      <c r="K1170" s="152"/>
      <c r="L1170" s="154"/>
      <c r="M1170" s="152"/>
      <c r="N1170" s="152"/>
      <c r="O1170" s="152"/>
      <c r="P1170" s="152"/>
      <c r="Q1170" s="155"/>
      <c r="R1170" s="157"/>
      <c r="S1170" s="152"/>
      <c r="T1170" s="156"/>
    </row>
    <row r="1171" spans="1:20" ht="14.25">
      <c r="A1171" s="150"/>
      <c r="B1171" s="151"/>
      <c r="C1171" s="152"/>
      <c r="D1171" s="135"/>
      <c r="E1171" s="73"/>
      <c r="F1171" s="153"/>
      <c r="G1171" s="152"/>
      <c r="H1171" s="152"/>
      <c r="I1171" s="159"/>
      <c r="J1171" s="159"/>
      <c r="K1171" s="152"/>
      <c r="L1171" s="154"/>
      <c r="M1171" s="152"/>
      <c r="N1171" s="152"/>
      <c r="O1171" s="152"/>
      <c r="P1171" s="152"/>
      <c r="Q1171" s="155"/>
      <c r="R1171" s="157"/>
      <c r="S1171" s="152"/>
      <c r="T1171" s="156"/>
    </row>
    <row r="1172" spans="1:20" ht="14.25">
      <c r="A1172" s="150"/>
      <c r="B1172" s="151"/>
      <c r="C1172" s="152"/>
      <c r="D1172" s="135"/>
      <c r="E1172" s="73"/>
      <c r="F1172" s="153"/>
      <c r="G1172" s="152"/>
      <c r="H1172" s="152"/>
      <c r="I1172" s="159"/>
      <c r="J1172" s="159"/>
      <c r="K1172" s="152"/>
      <c r="L1172" s="154"/>
      <c r="M1172" s="152"/>
      <c r="N1172" s="152"/>
      <c r="O1172" s="152"/>
      <c r="P1172" s="152"/>
      <c r="Q1172" s="155"/>
      <c r="R1172" s="157"/>
      <c r="S1172" s="152"/>
      <c r="T1172" s="156"/>
    </row>
    <row r="1173" spans="1:20" ht="14.25">
      <c r="A1173" s="150"/>
      <c r="B1173" s="151"/>
      <c r="C1173" s="152"/>
      <c r="D1173" s="135"/>
      <c r="E1173" s="73"/>
      <c r="F1173" s="153"/>
      <c r="G1173" s="152"/>
      <c r="H1173" s="152"/>
      <c r="I1173" s="159"/>
      <c r="J1173" s="159"/>
      <c r="K1173" s="152"/>
      <c r="L1173" s="154"/>
      <c r="M1173" s="152"/>
      <c r="N1173" s="152"/>
      <c r="O1173" s="152"/>
      <c r="P1173" s="152"/>
      <c r="Q1173" s="155"/>
      <c r="R1173" s="157"/>
      <c r="S1173" s="152"/>
      <c r="T1173" s="156"/>
    </row>
    <row r="1174" spans="1:20" ht="14.25">
      <c r="A1174" s="150"/>
      <c r="B1174" s="151"/>
      <c r="C1174" s="152"/>
      <c r="D1174" s="135"/>
      <c r="E1174" s="73"/>
      <c r="F1174" s="153"/>
      <c r="G1174" s="152"/>
      <c r="H1174" s="152"/>
      <c r="I1174" s="159"/>
      <c r="J1174" s="159"/>
      <c r="K1174" s="152"/>
      <c r="L1174" s="154"/>
      <c r="M1174" s="152"/>
      <c r="N1174" s="152"/>
      <c r="O1174" s="152"/>
      <c r="P1174" s="152"/>
      <c r="Q1174" s="155"/>
      <c r="R1174" s="157"/>
      <c r="S1174" s="152"/>
      <c r="T1174" s="156"/>
    </row>
    <row r="1175" spans="1:20" ht="14.25">
      <c r="A1175" s="150"/>
      <c r="B1175" s="151"/>
      <c r="C1175" s="152"/>
      <c r="D1175" s="135"/>
      <c r="E1175" s="73"/>
      <c r="F1175" s="153"/>
      <c r="G1175" s="152"/>
      <c r="H1175" s="152"/>
      <c r="I1175" s="159"/>
      <c r="J1175" s="159"/>
      <c r="K1175" s="152"/>
      <c r="L1175" s="154"/>
      <c r="M1175" s="152"/>
      <c r="N1175" s="152"/>
      <c r="O1175" s="152"/>
      <c r="P1175" s="152"/>
      <c r="Q1175" s="155"/>
      <c r="R1175" s="157"/>
      <c r="S1175" s="152"/>
      <c r="T1175" s="156"/>
    </row>
    <row r="1176" spans="1:20" ht="14.25">
      <c r="A1176" s="150"/>
      <c r="B1176" s="151"/>
      <c r="C1176" s="152"/>
      <c r="D1176" s="135"/>
      <c r="E1176" s="73"/>
      <c r="F1176" s="153"/>
      <c r="G1176" s="152"/>
      <c r="H1176" s="152"/>
      <c r="I1176" s="159"/>
      <c r="J1176" s="159"/>
      <c r="K1176" s="152"/>
      <c r="L1176" s="154"/>
      <c r="M1176" s="152"/>
      <c r="N1176" s="152"/>
      <c r="O1176" s="152"/>
      <c r="P1176" s="152"/>
      <c r="Q1176" s="155"/>
      <c r="R1176" s="157"/>
      <c r="S1176" s="152"/>
      <c r="T1176" s="156"/>
    </row>
    <row r="1177" spans="1:20" ht="14.25">
      <c r="A1177" s="150"/>
      <c r="B1177" s="151"/>
      <c r="C1177" s="152"/>
      <c r="D1177" s="135"/>
      <c r="E1177" s="73"/>
      <c r="F1177" s="153"/>
      <c r="G1177" s="152"/>
      <c r="H1177" s="152"/>
      <c r="I1177" s="159"/>
      <c r="J1177" s="159"/>
      <c r="K1177" s="152"/>
      <c r="L1177" s="154"/>
      <c r="M1177" s="152"/>
      <c r="N1177" s="152"/>
      <c r="O1177" s="152"/>
      <c r="P1177" s="152"/>
      <c r="Q1177" s="155"/>
      <c r="R1177" s="157"/>
      <c r="S1177" s="152"/>
      <c r="T1177" s="156"/>
    </row>
    <row r="1178" spans="1:20" ht="14.25">
      <c r="A1178" s="150"/>
      <c r="B1178" s="151"/>
      <c r="C1178" s="152"/>
      <c r="D1178" s="135"/>
      <c r="E1178" s="73"/>
      <c r="F1178" s="153"/>
      <c r="G1178" s="152"/>
      <c r="H1178" s="152"/>
      <c r="I1178" s="159"/>
      <c r="J1178" s="159"/>
      <c r="K1178" s="152"/>
      <c r="L1178" s="154"/>
      <c r="M1178" s="152"/>
      <c r="N1178" s="152"/>
      <c r="O1178" s="152"/>
      <c r="P1178" s="152"/>
      <c r="Q1178" s="155"/>
      <c r="R1178" s="157"/>
      <c r="S1178" s="152"/>
      <c r="T1178" s="156"/>
    </row>
    <row r="1179" spans="1:20" ht="14.25">
      <c r="A1179" s="150"/>
      <c r="B1179" s="151"/>
      <c r="C1179" s="152"/>
      <c r="D1179" s="135"/>
      <c r="E1179" s="73"/>
      <c r="F1179" s="153"/>
      <c r="G1179" s="152"/>
      <c r="H1179" s="152"/>
      <c r="I1179" s="159"/>
      <c r="J1179" s="159"/>
      <c r="K1179" s="152"/>
      <c r="L1179" s="154"/>
      <c r="M1179" s="152"/>
      <c r="N1179" s="152"/>
      <c r="O1179" s="152"/>
      <c r="P1179" s="152"/>
      <c r="Q1179" s="155"/>
      <c r="R1179" s="157"/>
      <c r="S1179" s="152"/>
      <c r="T1179" s="156"/>
    </row>
    <row r="1180" spans="1:20" ht="14.25">
      <c r="A1180" s="150"/>
      <c r="B1180" s="151"/>
      <c r="C1180" s="152"/>
      <c r="D1180" s="135"/>
      <c r="E1180" s="73"/>
      <c r="F1180" s="153"/>
      <c r="G1180" s="152"/>
      <c r="H1180" s="152"/>
      <c r="I1180" s="159"/>
      <c r="J1180" s="159"/>
      <c r="K1180" s="152"/>
      <c r="L1180" s="154"/>
      <c r="M1180" s="152"/>
      <c r="N1180" s="152"/>
      <c r="O1180" s="152"/>
      <c r="P1180" s="152"/>
      <c r="Q1180" s="155"/>
      <c r="R1180" s="157"/>
      <c r="S1180" s="152"/>
      <c r="T1180" s="156"/>
    </row>
    <row r="1181" spans="1:20" ht="14.25">
      <c r="A1181" s="150"/>
      <c r="B1181" s="151"/>
      <c r="C1181" s="152"/>
      <c r="D1181" s="135"/>
      <c r="E1181" s="73"/>
      <c r="F1181" s="153"/>
      <c r="G1181" s="152"/>
      <c r="H1181" s="152"/>
      <c r="I1181" s="159"/>
      <c r="J1181" s="159"/>
      <c r="K1181" s="152"/>
      <c r="L1181" s="154"/>
      <c r="M1181" s="152"/>
      <c r="N1181" s="152"/>
      <c r="O1181" s="152"/>
      <c r="P1181" s="152"/>
      <c r="Q1181" s="155"/>
      <c r="R1181" s="157"/>
      <c r="S1181" s="152"/>
      <c r="T1181" s="156"/>
    </row>
    <row r="1182" spans="1:20" ht="14.25">
      <c r="A1182" s="150"/>
      <c r="B1182" s="151"/>
      <c r="C1182" s="152"/>
      <c r="D1182" s="135"/>
      <c r="E1182" s="73"/>
      <c r="F1182" s="153"/>
      <c r="G1182" s="152"/>
      <c r="H1182" s="152"/>
      <c r="I1182" s="159"/>
      <c r="J1182" s="159"/>
      <c r="K1182" s="152"/>
      <c r="L1182" s="154"/>
      <c r="M1182" s="152"/>
      <c r="N1182" s="152"/>
      <c r="O1182" s="152"/>
      <c r="P1182" s="152"/>
      <c r="Q1182" s="155"/>
      <c r="R1182" s="157"/>
      <c r="S1182" s="152"/>
      <c r="T1182" s="156"/>
    </row>
    <row r="1183" spans="1:20" ht="14.25">
      <c r="A1183" s="150"/>
      <c r="B1183" s="151"/>
      <c r="C1183" s="152"/>
      <c r="D1183" s="135"/>
      <c r="E1183" s="73"/>
      <c r="F1183" s="153"/>
      <c r="G1183" s="152"/>
      <c r="H1183" s="152"/>
      <c r="I1183" s="159"/>
      <c r="J1183" s="159"/>
      <c r="K1183" s="152"/>
      <c r="L1183" s="154"/>
      <c r="M1183" s="152"/>
      <c r="N1183" s="152"/>
      <c r="O1183" s="152"/>
      <c r="P1183" s="152"/>
      <c r="Q1183" s="155"/>
      <c r="R1183" s="157"/>
      <c r="S1183" s="152"/>
      <c r="T1183" s="156"/>
    </row>
    <row r="1184" spans="1:20" ht="14.25">
      <c r="A1184" s="150"/>
      <c r="B1184" s="151"/>
      <c r="C1184" s="152"/>
      <c r="D1184" s="135"/>
      <c r="E1184" s="73"/>
      <c r="F1184" s="153"/>
      <c r="G1184" s="152"/>
      <c r="H1184" s="152"/>
      <c r="I1184" s="159"/>
      <c r="J1184" s="159"/>
      <c r="K1184" s="152"/>
      <c r="L1184" s="154"/>
      <c r="M1184" s="152"/>
      <c r="N1184" s="152"/>
      <c r="O1184" s="152"/>
      <c r="P1184" s="152"/>
      <c r="Q1184" s="155"/>
      <c r="R1184" s="157"/>
      <c r="S1184" s="152"/>
      <c r="T1184" s="156"/>
    </row>
    <row r="1185" spans="1:20" ht="14.25">
      <c r="A1185" s="150"/>
      <c r="B1185" s="151"/>
      <c r="C1185" s="152"/>
      <c r="D1185" s="135"/>
      <c r="E1185" s="73"/>
      <c r="F1185" s="153"/>
      <c r="G1185" s="152"/>
      <c r="H1185" s="152"/>
      <c r="I1185" s="159"/>
      <c r="J1185" s="159"/>
      <c r="K1185" s="152"/>
      <c r="L1185" s="154"/>
      <c r="M1185" s="152"/>
      <c r="N1185" s="152"/>
      <c r="O1185" s="152"/>
      <c r="P1185" s="152"/>
      <c r="Q1185" s="155"/>
      <c r="R1185" s="157"/>
      <c r="S1185" s="152"/>
      <c r="T1185" s="156"/>
    </row>
    <row r="1186" spans="1:20" ht="14.25">
      <c r="A1186" s="150"/>
      <c r="B1186" s="151"/>
      <c r="C1186" s="152"/>
      <c r="D1186" s="135"/>
      <c r="E1186" s="73"/>
      <c r="F1186" s="153"/>
      <c r="G1186" s="152"/>
      <c r="H1186" s="152"/>
      <c r="I1186" s="159"/>
      <c r="J1186" s="159"/>
      <c r="K1186" s="152"/>
      <c r="L1186" s="154"/>
      <c r="M1186" s="152"/>
      <c r="N1186" s="152"/>
      <c r="O1186" s="152"/>
      <c r="P1186" s="152"/>
      <c r="Q1186" s="155"/>
      <c r="R1186" s="157"/>
      <c r="S1186" s="152"/>
      <c r="T1186" s="156"/>
    </row>
    <row r="1187" spans="1:20" ht="14.25">
      <c r="A1187" s="150"/>
      <c r="B1187" s="151"/>
      <c r="C1187" s="152"/>
      <c r="D1187" s="135"/>
      <c r="E1187" s="73"/>
      <c r="F1187" s="153"/>
      <c r="G1187" s="152"/>
      <c r="H1187" s="152"/>
      <c r="I1187" s="159"/>
      <c r="J1187" s="159"/>
      <c r="K1187" s="152"/>
      <c r="L1187" s="154"/>
      <c r="M1187" s="152"/>
      <c r="N1187" s="152"/>
      <c r="O1187" s="152"/>
      <c r="P1187" s="152"/>
      <c r="Q1187" s="155"/>
      <c r="R1187" s="157"/>
      <c r="S1187" s="152"/>
      <c r="T1187" s="156"/>
    </row>
    <row r="1188" spans="1:20" ht="14.25">
      <c r="A1188" s="150"/>
      <c r="B1188" s="151"/>
      <c r="C1188" s="152"/>
      <c r="D1188" s="135"/>
      <c r="E1188" s="73"/>
      <c r="F1188" s="153"/>
      <c r="G1188" s="152"/>
      <c r="H1188" s="152"/>
      <c r="I1188" s="159"/>
      <c r="J1188" s="159"/>
      <c r="K1188" s="152"/>
      <c r="L1188" s="154"/>
      <c r="M1188" s="152"/>
      <c r="N1188" s="152"/>
      <c r="O1188" s="152"/>
      <c r="P1188" s="152"/>
      <c r="Q1188" s="155"/>
      <c r="R1188" s="157"/>
      <c r="S1188" s="152"/>
      <c r="T1188" s="156"/>
    </row>
    <row r="1189" spans="1:20" ht="14.25">
      <c r="A1189" s="150"/>
      <c r="B1189" s="151"/>
      <c r="C1189" s="152"/>
      <c r="D1189" s="135"/>
      <c r="E1189" s="73"/>
      <c r="F1189" s="153"/>
      <c r="G1189" s="152"/>
      <c r="H1189" s="152"/>
      <c r="I1189" s="159"/>
      <c r="J1189" s="159"/>
      <c r="K1189" s="152"/>
      <c r="L1189" s="154"/>
      <c r="M1189" s="152"/>
      <c r="N1189" s="152"/>
      <c r="O1189" s="152"/>
      <c r="P1189" s="152"/>
      <c r="Q1189" s="155"/>
      <c r="R1189" s="157"/>
      <c r="S1189" s="152"/>
      <c r="T1189" s="156"/>
    </row>
    <row r="1190" spans="1:20" ht="14.25">
      <c r="A1190" s="150"/>
      <c r="B1190" s="151"/>
      <c r="C1190" s="152"/>
      <c r="D1190" s="135"/>
      <c r="E1190" s="73"/>
      <c r="F1190" s="153"/>
      <c r="G1190" s="152"/>
      <c r="H1190" s="152"/>
      <c r="I1190" s="159"/>
      <c r="J1190" s="159"/>
      <c r="K1190" s="152"/>
      <c r="L1190" s="154"/>
      <c r="M1190" s="152"/>
      <c r="N1190" s="152"/>
      <c r="O1190" s="152"/>
      <c r="P1190" s="152"/>
      <c r="Q1190" s="155"/>
      <c r="R1190" s="157"/>
      <c r="S1190" s="152"/>
      <c r="T1190" s="156"/>
    </row>
    <row r="1191" spans="1:20" ht="14.25">
      <c r="A1191" s="150"/>
      <c r="B1191" s="151"/>
      <c r="C1191" s="152"/>
      <c r="D1191" s="135"/>
      <c r="E1191" s="73"/>
      <c r="F1191" s="153"/>
      <c r="G1191" s="152"/>
      <c r="H1191" s="152"/>
      <c r="I1191" s="159"/>
      <c r="J1191" s="159"/>
      <c r="K1191" s="152"/>
      <c r="L1191" s="154"/>
      <c r="M1191" s="152"/>
      <c r="N1191" s="152"/>
      <c r="O1191" s="152"/>
      <c r="P1191" s="152"/>
      <c r="Q1191" s="155"/>
      <c r="R1191" s="157"/>
      <c r="S1191" s="152"/>
      <c r="T1191" s="156"/>
    </row>
    <row r="1192" spans="1:20" ht="14.25">
      <c r="A1192" s="150"/>
      <c r="B1192" s="151"/>
      <c r="C1192" s="152"/>
      <c r="D1192" s="135"/>
      <c r="E1192" s="73"/>
      <c r="F1192" s="153"/>
      <c r="G1192" s="152"/>
      <c r="H1192" s="152"/>
      <c r="I1192" s="159"/>
      <c r="J1192" s="159"/>
      <c r="K1192" s="152"/>
      <c r="L1192" s="154"/>
      <c r="M1192" s="152"/>
      <c r="N1192" s="152"/>
      <c r="O1192" s="152"/>
      <c r="P1192" s="152"/>
      <c r="Q1192" s="155"/>
      <c r="R1192" s="157"/>
      <c r="S1192" s="152"/>
      <c r="T1192" s="156"/>
    </row>
    <row r="1193" spans="1:20" ht="14.25">
      <c r="A1193" s="150"/>
      <c r="B1193" s="151"/>
      <c r="C1193" s="152"/>
      <c r="D1193" s="135"/>
      <c r="E1193" s="73"/>
      <c r="F1193" s="153"/>
      <c r="G1193" s="152"/>
      <c r="H1193" s="152"/>
      <c r="I1193" s="159"/>
      <c r="J1193" s="159"/>
      <c r="K1193" s="152"/>
      <c r="L1193" s="154"/>
      <c r="M1193" s="152"/>
      <c r="N1193" s="152"/>
      <c r="O1193" s="152"/>
      <c r="P1193" s="152"/>
      <c r="Q1193" s="155"/>
      <c r="R1193" s="157"/>
      <c r="S1193" s="152"/>
      <c r="T1193" s="156"/>
    </row>
    <row r="1194" spans="1:20" ht="14.25">
      <c r="A1194" s="150"/>
      <c r="B1194" s="151"/>
      <c r="C1194" s="152"/>
      <c r="D1194" s="135"/>
      <c r="E1194" s="73"/>
      <c r="F1194" s="153"/>
      <c r="G1194" s="152"/>
      <c r="H1194" s="152"/>
      <c r="I1194" s="159"/>
      <c r="J1194" s="159"/>
      <c r="K1194" s="152"/>
      <c r="L1194" s="154"/>
      <c r="M1194" s="152"/>
      <c r="N1194" s="152"/>
      <c r="O1194" s="152"/>
      <c r="P1194" s="152"/>
      <c r="Q1194" s="155"/>
      <c r="R1194" s="157"/>
      <c r="S1194" s="152"/>
      <c r="T1194" s="156"/>
    </row>
    <row r="1195" spans="1:20" ht="14.25">
      <c r="A1195" s="150"/>
      <c r="B1195" s="151"/>
      <c r="C1195" s="152"/>
      <c r="D1195" s="135"/>
      <c r="E1195" s="73"/>
      <c r="F1195" s="153"/>
      <c r="G1195" s="152"/>
      <c r="H1195" s="152"/>
      <c r="I1195" s="159"/>
      <c r="J1195" s="159"/>
      <c r="K1195" s="152"/>
      <c r="L1195" s="154"/>
      <c r="M1195" s="152"/>
      <c r="N1195" s="152"/>
      <c r="O1195" s="152"/>
      <c r="P1195" s="152"/>
      <c r="Q1195" s="155"/>
      <c r="R1195" s="157"/>
      <c r="S1195" s="152"/>
      <c r="T1195" s="156"/>
    </row>
    <row r="1196" spans="1:20" ht="14.25">
      <c r="A1196" s="150"/>
      <c r="B1196" s="151"/>
      <c r="C1196" s="152"/>
      <c r="D1196" s="135"/>
      <c r="E1196" s="73"/>
      <c r="F1196" s="153"/>
      <c r="G1196" s="152"/>
      <c r="H1196" s="152"/>
      <c r="I1196" s="159"/>
      <c r="J1196" s="159"/>
      <c r="K1196" s="152"/>
      <c r="L1196" s="154"/>
      <c r="M1196" s="152"/>
      <c r="N1196" s="152"/>
      <c r="O1196" s="152"/>
      <c r="P1196" s="152"/>
      <c r="Q1196" s="155"/>
      <c r="R1196" s="157"/>
      <c r="S1196" s="152"/>
      <c r="T1196" s="156"/>
    </row>
    <row r="1197" spans="1:20" ht="14.25">
      <c r="A1197" s="150"/>
      <c r="B1197" s="151"/>
      <c r="C1197" s="152"/>
      <c r="D1197" s="135"/>
      <c r="E1197" s="73"/>
      <c r="F1197" s="153"/>
      <c r="G1197" s="152"/>
      <c r="H1197" s="152"/>
      <c r="I1197" s="159"/>
      <c r="J1197" s="159"/>
      <c r="K1197" s="152"/>
      <c r="L1197" s="154"/>
      <c r="M1197" s="152"/>
      <c r="N1197" s="152"/>
      <c r="O1197" s="152"/>
      <c r="P1197" s="152"/>
      <c r="Q1197" s="155"/>
      <c r="R1197" s="157"/>
      <c r="S1197" s="152"/>
      <c r="T1197" s="156"/>
    </row>
    <row r="1198" spans="1:20" ht="14.25">
      <c r="A1198" s="150"/>
      <c r="B1198" s="151"/>
      <c r="C1198" s="152"/>
      <c r="D1198" s="135"/>
      <c r="E1198" s="73"/>
      <c r="F1198" s="153"/>
      <c r="G1198" s="152"/>
      <c r="H1198" s="152"/>
      <c r="I1198" s="159"/>
      <c r="J1198" s="159"/>
      <c r="K1198" s="152"/>
      <c r="L1198" s="154"/>
      <c r="M1198" s="152"/>
      <c r="N1198" s="152"/>
      <c r="O1198" s="152"/>
      <c r="P1198" s="152"/>
      <c r="Q1198" s="155"/>
      <c r="R1198" s="157"/>
      <c r="S1198" s="152"/>
      <c r="T1198" s="156"/>
    </row>
    <row r="1199" spans="1:20" ht="14.25">
      <c r="A1199" s="150"/>
      <c r="B1199" s="151"/>
      <c r="C1199" s="152"/>
      <c r="D1199" s="135"/>
      <c r="E1199" s="73"/>
      <c r="F1199" s="153"/>
      <c r="G1199" s="152"/>
      <c r="H1199" s="152"/>
      <c r="I1199" s="159"/>
      <c r="J1199" s="159"/>
      <c r="K1199" s="152"/>
      <c r="L1199" s="154"/>
      <c r="M1199" s="152"/>
      <c r="N1199" s="152"/>
      <c r="O1199" s="152"/>
      <c r="P1199" s="152"/>
      <c r="Q1199" s="155"/>
      <c r="R1199" s="157"/>
      <c r="S1199" s="152"/>
      <c r="T1199" s="156"/>
    </row>
    <row r="1200" spans="1:20" ht="14.25">
      <c r="A1200" s="150"/>
      <c r="B1200" s="151"/>
      <c r="C1200" s="152"/>
      <c r="D1200" s="135"/>
      <c r="E1200" s="73"/>
      <c r="F1200" s="153"/>
      <c r="G1200" s="152"/>
      <c r="H1200" s="152"/>
      <c r="I1200" s="159"/>
      <c r="J1200" s="159"/>
      <c r="K1200" s="152"/>
      <c r="L1200" s="154"/>
      <c r="M1200" s="152"/>
      <c r="N1200" s="152"/>
      <c r="O1200" s="152"/>
      <c r="P1200" s="152"/>
      <c r="Q1200" s="155"/>
      <c r="R1200" s="157"/>
      <c r="S1200" s="152"/>
      <c r="T1200" s="156"/>
    </row>
    <row r="1201" spans="1:20" ht="14.25">
      <c r="A1201" s="150"/>
      <c r="B1201" s="151"/>
      <c r="C1201" s="152"/>
      <c r="D1201" s="135"/>
      <c r="E1201" s="73"/>
      <c r="F1201" s="153"/>
      <c r="G1201" s="152"/>
      <c r="H1201" s="152"/>
      <c r="I1201" s="159"/>
      <c r="J1201" s="159"/>
      <c r="K1201" s="152"/>
      <c r="L1201" s="154"/>
      <c r="M1201" s="152"/>
      <c r="N1201" s="152"/>
      <c r="O1201" s="152"/>
      <c r="P1201" s="152"/>
      <c r="Q1201" s="155"/>
      <c r="R1201" s="157"/>
      <c r="S1201" s="152"/>
      <c r="T1201" s="156"/>
    </row>
    <row r="1202" spans="1:20" ht="14.25">
      <c r="A1202" s="150"/>
      <c r="B1202" s="151"/>
      <c r="C1202" s="152"/>
      <c r="D1202" s="135"/>
      <c r="E1202" s="73"/>
      <c r="F1202" s="153"/>
      <c r="G1202" s="152"/>
      <c r="H1202" s="152"/>
      <c r="I1202" s="159"/>
      <c r="J1202" s="159"/>
      <c r="K1202" s="152"/>
      <c r="L1202" s="154"/>
      <c r="M1202" s="152"/>
      <c r="N1202" s="152"/>
      <c r="O1202" s="152"/>
      <c r="P1202" s="152"/>
      <c r="Q1202" s="155"/>
      <c r="R1202" s="157"/>
      <c r="S1202" s="152"/>
      <c r="T1202" s="156"/>
    </row>
    <row r="1203" spans="1:20" ht="14.25">
      <c r="A1203" s="150"/>
      <c r="B1203" s="151"/>
      <c r="C1203" s="152"/>
      <c r="D1203" s="135"/>
      <c r="E1203" s="73"/>
      <c r="F1203" s="153"/>
      <c r="G1203" s="152"/>
      <c r="H1203" s="152"/>
      <c r="I1203" s="159"/>
      <c r="J1203" s="159"/>
      <c r="K1203" s="152"/>
      <c r="L1203" s="154"/>
      <c r="M1203" s="152"/>
      <c r="N1203" s="152"/>
      <c r="O1203" s="152"/>
      <c r="P1203" s="152"/>
      <c r="Q1203" s="155"/>
      <c r="R1203" s="157"/>
      <c r="S1203" s="152"/>
      <c r="T1203" s="156"/>
    </row>
    <row r="1204" spans="1:20" ht="14.25">
      <c r="A1204" s="150"/>
      <c r="B1204" s="151"/>
      <c r="C1204" s="152"/>
      <c r="D1204" s="135"/>
      <c r="E1204" s="73"/>
      <c r="F1204" s="153"/>
      <c r="G1204" s="152"/>
      <c r="H1204" s="152"/>
      <c r="I1204" s="159"/>
      <c r="J1204" s="159"/>
      <c r="K1204" s="152"/>
      <c r="L1204" s="154"/>
      <c r="M1204" s="152"/>
      <c r="N1204" s="152"/>
      <c r="O1204" s="152"/>
      <c r="P1204" s="152"/>
      <c r="Q1204" s="155"/>
      <c r="R1204" s="157"/>
      <c r="S1204" s="152"/>
      <c r="T1204" s="156"/>
    </row>
    <row r="1205" spans="1:20" ht="14.25">
      <c r="A1205" s="150"/>
      <c r="B1205" s="151"/>
      <c r="C1205" s="152"/>
      <c r="D1205" s="135"/>
      <c r="E1205" s="73"/>
      <c r="F1205" s="153"/>
      <c r="G1205" s="152"/>
      <c r="H1205" s="152"/>
      <c r="I1205" s="159"/>
      <c r="J1205" s="159"/>
      <c r="K1205" s="152"/>
      <c r="L1205" s="154"/>
      <c r="M1205" s="152"/>
      <c r="N1205" s="152"/>
      <c r="O1205" s="152"/>
      <c r="P1205" s="152"/>
      <c r="Q1205" s="155"/>
      <c r="R1205" s="157"/>
      <c r="S1205" s="152"/>
      <c r="T1205" s="156"/>
    </row>
    <row r="1206" spans="1:20" ht="14.25">
      <c r="A1206" s="150"/>
      <c r="B1206" s="151"/>
      <c r="C1206" s="152"/>
      <c r="D1206" s="135"/>
      <c r="E1206" s="73"/>
      <c r="F1206" s="153"/>
      <c r="G1206" s="152"/>
      <c r="H1206" s="152"/>
      <c r="I1206" s="159"/>
      <c r="J1206" s="159"/>
      <c r="K1206" s="152"/>
      <c r="L1206" s="154"/>
      <c r="M1206" s="152"/>
      <c r="N1206" s="152"/>
      <c r="O1206" s="152"/>
      <c r="P1206" s="152"/>
      <c r="Q1206" s="155"/>
      <c r="R1206" s="157"/>
      <c r="S1206" s="152"/>
      <c r="T1206" s="156"/>
    </row>
    <row r="1207" spans="1:20" ht="14.25">
      <c r="A1207" s="150"/>
      <c r="B1207" s="151"/>
      <c r="C1207" s="152"/>
      <c r="D1207" s="135"/>
      <c r="E1207" s="73"/>
      <c r="F1207" s="153"/>
      <c r="G1207" s="152"/>
      <c r="H1207" s="152"/>
      <c r="I1207" s="159"/>
      <c r="J1207" s="159"/>
      <c r="K1207" s="152"/>
      <c r="L1207" s="154"/>
      <c r="M1207" s="152"/>
      <c r="N1207" s="152"/>
      <c r="O1207" s="152"/>
      <c r="P1207" s="152"/>
      <c r="Q1207" s="155"/>
      <c r="R1207" s="157"/>
      <c r="S1207" s="152"/>
      <c r="T1207" s="156"/>
    </row>
    <row r="1208" spans="1:20" ht="14.25">
      <c r="A1208" s="150"/>
      <c r="B1208" s="151"/>
      <c r="C1208" s="152"/>
      <c r="D1208" s="135"/>
      <c r="E1208" s="73"/>
      <c r="F1208" s="153"/>
      <c r="G1208" s="152"/>
      <c r="H1208" s="152"/>
      <c r="I1208" s="159"/>
      <c r="J1208" s="159"/>
      <c r="K1208" s="152"/>
      <c r="L1208" s="154"/>
      <c r="M1208" s="152"/>
      <c r="N1208" s="152"/>
      <c r="O1208" s="152"/>
      <c r="P1208" s="152"/>
      <c r="Q1208" s="155"/>
      <c r="R1208" s="157"/>
      <c r="S1208" s="152"/>
      <c r="T1208" s="156"/>
    </row>
    <row r="1209" spans="1:20" ht="14.25">
      <c r="A1209" s="150"/>
      <c r="B1209" s="151"/>
      <c r="C1209" s="152"/>
      <c r="D1209" s="135"/>
      <c r="E1209" s="73"/>
      <c r="F1209" s="153"/>
      <c r="G1209" s="152"/>
      <c r="H1209" s="152"/>
      <c r="I1209" s="159"/>
      <c r="J1209" s="159"/>
      <c r="K1209" s="152"/>
      <c r="L1209" s="154"/>
      <c r="M1209" s="152"/>
      <c r="N1209" s="152"/>
      <c r="O1209" s="152"/>
      <c r="P1209" s="152"/>
      <c r="Q1209" s="155"/>
      <c r="R1209" s="157"/>
      <c r="S1209" s="152"/>
      <c r="T1209" s="156"/>
    </row>
    <row r="1210" spans="1:20" ht="14.25">
      <c r="A1210" s="150"/>
      <c r="B1210" s="151"/>
      <c r="C1210" s="152"/>
      <c r="D1210" s="135"/>
      <c r="E1210" s="73"/>
      <c r="F1210" s="153"/>
      <c r="G1210" s="152"/>
      <c r="H1210" s="152"/>
      <c r="I1210" s="159"/>
      <c r="J1210" s="159"/>
      <c r="K1210" s="152"/>
      <c r="L1210" s="154"/>
      <c r="M1210" s="152"/>
      <c r="N1210" s="152"/>
      <c r="O1210" s="152"/>
      <c r="P1210" s="152"/>
      <c r="Q1210" s="155"/>
      <c r="R1210" s="157"/>
      <c r="S1210" s="152"/>
      <c r="T1210" s="156"/>
    </row>
    <row r="1211" spans="1:20" ht="14.25">
      <c r="A1211" s="150"/>
      <c r="B1211" s="151"/>
      <c r="C1211" s="152"/>
      <c r="D1211" s="135"/>
      <c r="E1211" s="73"/>
      <c r="F1211" s="153"/>
      <c r="G1211" s="152"/>
      <c r="H1211" s="152"/>
      <c r="I1211" s="159"/>
      <c r="J1211" s="159"/>
      <c r="K1211" s="152"/>
      <c r="L1211" s="154"/>
      <c r="M1211" s="152"/>
      <c r="N1211" s="152"/>
      <c r="O1211" s="152"/>
      <c r="P1211" s="152"/>
      <c r="Q1211" s="155"/>
      <c r="R1211" s="157"/>
      <c r="S1211" s="152"/>
      <c r="T1211" s="156"/>
    </row>
    <row r="1212" spans="1:20" ht="14.25">
      <c r="A1212" s="150"/>
      <c r="B1212" s="151"/>
      <c r="C1212" s="152"/>
      <c r="D1212" s="135"/>
      <c r="E1212" s="73"/>
      <c r="F1212" s="153"/>
      <c r="G1212" s="152"/>
      <c r="H1212" s="152"/>
      <c r="I1212" s="159"/>
      <c r="J1212" s="159"/>
      <c r="K1212" s="152"/>
      <c r="L1212" s="154"/>
      <c r="M1212" s="152"/>
      <c r="N1212" s="152"/>
      <c r="O1212" s="152"/>
      <c r="P1212" s="152"/>
      <c r="Q1212" s="155"/>
      <c r="R1212" s="157"/>
      <c r="S1212" s="152"/>
      <c r="T1212" s="156"/>
    </row>
    <row r="1213" spans="1:20" ht="14.25">
      <c r="A1213" s="150"/>
      <c r="B1213" s="151"/>
      <c r="C1213" s="152"/>
      <c r="D1213" s="135"/>
      <c r="E1213" s="73"/>
      <c r="F1213" s="153"/>
      <c r="G1213" s="152"/>
      <c r="H1213" s="152"/>
      <c r="I1213" s="159"/>
      <c r="J1213" s="159"/>
      <c r="K1213" s="152"/>
      <c r="L1213" s="154"/>
      <c r="M1213" s="152"/>
      <c r="N1213" s="152"/>
      <c r="O1213" s="152"/>
      <c r="P1213" s="152"/>
      <c r="Q1213" s="155"/>
      <c r="R1213" s="157"/>
      <c r="S1213" s="152"/>
      <c r="T1213" s="156"/>
    </row>
    <row r="1214" spans="1:20" ht="14.25">
      <c r="A1214" s="150"/>
      <c r="B1214" s="151"/>
      <c r="C1214" s="152"/>
      <c r="D1214" s="135"/>
      <c r="E1214" s="73"/>
      <c r="F1214" s="153"/>
      <c r="G1214" s="152"/>
      <c r="H1214" s="152"/>
      <c r="I1214" s="159"/>
      <c r="J1214" s="159"/>
      <c r="K1214" s="152"/>
      <c r="L1214" s="154"/>
      <c r="M1214" s="152"/>
      <c r="N1214" s="152"/>
      <c r="O1214" s="152"/>
      <c r="P1214" s="152"/>
      <c r="Q1214" s="155"/>
      <c r="R1214" s="157"/>
      <c r="S1214" s="152"/>
      <c r="T1214" s="156"/>
    </row>
    <row r="1215" spans="1:20" ht="14.25">
      <c r="A1215" s="150"/>
      <c r="B1215" s="151"/>
      <c r="C1215" s="152"/>
      <c r="D1215" s="135"/>
      <c r="E1215" s="73"/>
      <c r="F1215" s="153"/>
      <c r="G1215" s="152"/>
      <c r="H1215" s="152"/>
      <c r="I1215" s="159"/>
      <c r="J1215" s="159"/>
      <c r="K1215" s="152"/>
      <c r="L1215" s="154"/>
      <c r="M1215" s="152"/>
      <c r="N1215" s="152"/>
      <c r="O1215" s="152"/>
      <c r="P1215" s="152"/>
      <c r="Q1215" s="155"/>
      <c r="R1215" s="157"/>
      <c r="S1215" s="152"/>
      <c r="T1215" s="156"/>
    </row>
    <row r="1216" spans="1:20" ht="14.25">
      <c r="A1216" s="150"/>
      <c r="B1216" s="151"/>
      <c r="C1216" s="152"/>
      <c r="D1216" s="135"/>
      <c r="E1216" s="73"/>
      <c r="F1216" s="153"/>
      <c r="G1216" s="152"/>
      <c r="H1216" s="152"/>
      <c r="I1216" s="159"/>
      <c r="J1216" s="159"/>
      <c r="K1216" s="152"/>
      <c r="L1216" s="154"/>
      <c r="M1216" s="152"/>
      <c r="N1216" s="152"/>
      <c r="O1216" s="152"/>
      <c r="P1216" s="152"/>
      <c r="Q1216" s="155"/>
      <c r="R1216" s="157"/>
      <c r="S1216" s="152"/>
      <c r="T1216" s="156"/>
    </row>
    <row r="1217" spans="1:20" ht="14.25">
      <c r="A1217" s="150"/>
      <c r="B1217" s="151"/>
      <c r="C1217" s="152"/>
      <c r="D1217" s="135"/>
      <c r="E1217" s="73"/>
      <c r="F1217" s="153"/>
      <c r="G1217" s="152"/>
      <c r="H1217" s="152"/>
      <c r="I1217" s="159"/>
      <c r="J1217" s="159"/>
      <c r="K1217" s="152"/>
      <c r="L1217" s="154"/>
      <c r="M1217" s="152"/>
      <c r="N1217" s="152"/>
      <c r="O1217" s="152"/>
      <c r="P1217" s="152"/>
      <c r="Q1217" s="155"/>
      <c r="R1217" s="157"/>
      <c r="S1217" s="152"/>
      <c r="T1217" s="156"/>
    </row>
    <row r="1218" spans="1:20" ht="14.25">
      <c r="A1218" s="150"/>
      <c r="B1218" s="151"/>
      <c r="C1218" s="152"/>
      <c r="D1218" s="135"/>
      <c r="E1218" s="73"/>
      <c r="F1218" s="153"/>
      <c r="G1218" s="152"/>
      <c r="H1218" s="152"/>
      <c r="I1218" s="159"/>
      <c r="J1218" s="159"/>
      <c r="K1218" s="152"/>
      <c r="L1218" s="154"/>
      <c r="M1218" s="152"/>
      <c r="N1218" s="152"/>
      <c r="O1218" s="152"/>
      <c r="P1218" s="152"/>
      <c r="Q1218" s="155"/>
      <c r="R1218" s="157"/>
      <c r="S1218" s="152"/>
      <c r="T1218" s="156"/>
    </row>
    <row r="1219" spans="1:20" ht="14.25">
      <c r="A1219" s="150"/>
      <c r="B1219" s="151"/>
      <c r="C1219" s="152"/>
      <c r="D1219" s="135"/>
      <c r="E1219" s="73"/>
      <c r="F1219" s="153"/>
      <c r="G1219" s="152"/>
      <c r="H1219" s="152"/>
      <c r="I1219" s="159"/>
      <c r="J1219" s="159"/>
      <c r="K1219" s="152"/>
      <c r="L1219" s="154"/>
      <c r="M1219" s="152"/>
      <c r="N1219" s="152"/>
      <c r="O1219" s="152"/>
      <c r="P1219" s="152"/>
      <c r="Q1219" s="155"/>
      <c r="R1219" s="157"/>
      <c r="S1219" s="152"/>
      <c r="T1219" s="156"/>
    </row>
    <row r="1220" spans="1:20" ht="14.25">
      <c r="A1220" s="150"/>
      <c r="B1220" s="151"/>
      <c r="C1220" s="152"/>
      <c r="D1220" s="135"/>
      <c r="E1220" s="73"/>
      <c r="F1220" s="153"/>
      <c r="G1220" s="152"/>
      <c r="H1220" s="152"/>
      <c r="I1220" s="159"/>
      <c r="J1220" s="159"/>
      <c r="K1220" s="152"/>
      <c r="L1220" s="154"/>
      <c r="M1220" s="152"/>
      <c r="N1220" s="152"/>
      <c r="O1220" s="152"/>
      <c r="P1220" s="152"/>
      <c r="Q1220" s="155"/>
      <c r="R1220" s="157"/>
      <c r="S1220" s="152"/>
      <c r="T1220" s="156"/>
    </row>
    <row r="1221" spans="1:20" ht="14.25">
      <c r="A1221" s="150"/>
      <c r="B1221" s="151"/>
      <c r="C1221" s="152"/>
      <c r="D1221" s="135"/>
      <c r="E1221" s="73"/>
      <c r="F1221" s="153"/>
      <c r="G1221" s="152"/>
      <c r="H1221" s="152"/>
      <c r="I1221" s="159"/>
      <c r="J1221" s="159"/>
      <c r="K1221" s="152"/>
      <c r="L1221" s="154"/>
      <c r="M1221" s="152"/>
      <c r="N1221" s="152"/>
      <c r="O1221" s="152"/>
      <c r="P1221" s="152"/>
      <c r="Q1221" s="155"/>
      <c r="R1221" s="157"/>
      <c r="S1221" s="152"/>
      <c r="T1221" s="156"/>
    </row>
    <row r="1222" spans="1:20" ht="14.25">
      <c r="A1222" s="150"/>
      <c r="B1222" s="151"/>
      <c r="C1222" s="152"/>
      <c r="D1222" s="135"/>
      <c r="E1222" s="73"/>
      <c r="F1222" s="153"/>
      <c r="G1222" s="152"/>
      <c r="H1222" s="152"/>
      <c r="I1222" s="159"/>
      <c r="J1222" s="159"/>
      <c r="K1222" s="152"/>
      <c r="L1222" s="154"/>
      <c r="M1222" s="152"/>
      <c r="N1222" s="152"/>
      <c r="O1222" s="152"/>
      <c r="P1222" s="152"/>
      <c r="Q1222" s="155"/>
      <c r="R1222" s="157"/>
      <c r="S1222" s="152"/>
      <c r="T1222" s="156"/>
    </row>
    <row r="1223" spans="1:20" ht="14.25">
      <c r="A1223" s="150"/>
      <c r="B1223" s="151"/>
      <c r="C1223" s="152"/>
      <c r="D1223" s="135"/>
      <c r="E1223" s="73"/>
      <c r="F1223" s="153"/>
      <c r="G1223" s="152"/>
      <c r="H1223" s="152"/>
      <c r="I1223" s="159"/>
      <c r="J1223" s="159"/>
      <c r="K1223" s="152"/>
      <c r="L1223" s="154"/>
      <c r="M1223" s="152"/>
      <c r="N1223" s="152"/>
      <c r="O1223" s="152"/>
      <c r="P1223" s="152"/>
      <c r="Q1223" s="155"/>
      <c r="R1223" s="157"/>
      <c r="S1223" s="152"/>
      <c r="T1223" s="156"/>
    </row>
    <row r="1224" spans="1:20" ht="14.25">
      <c r="A1224" s="150"/>
      <c r="B1224" s="151"/>
      <c r="C1224" s="152"/>
      <c r="D1224" s="135"/>
      <c r="E1224" s="73"/>
      <c r="F1224" s="153"/>
      <c r="G1224" s="152"/>
      <c r="H1224" s="152"/>
      <c r="I1224" s="159"/>
      <c r="J1224" s="159"/>
      <c r="K1224" s="152"/>
      <c r="L1224" s="154"/>
      <c r="M1224" s="152"/>
      <c r="N1224" s="152"/>
      <c r="O1224" s="152"/>
      <c r="P1224" s="152"/>
      <c r="Q1224" s="155"/>
      <c r="R1224" s="157"/>
      <c r="S1224" s="152"/>
      <c r="T1224" s="156"/>
    </row>
    <row r="1225" spans="1:20" ht="14.25">
      <c r="A1225" s="150"/>
      <c r="B1225" s="151"/>
      <c r="C1225" s="152"/>
      <c r="D1225" s="135"/>
      <c r="E1225" s="73"/>
      <c r="F1225" s="153"/>
      <c r="G1225" s="152"/>
      <c r="H1225" s="152"/>
      <c r="I1225" s="159"/>
      <c r="J1225" s="159"/>
      <c r="K1225" s="152"/>
      <c r="L1225" s="154"/>
      <c r="M1225" s="152"/>
      <c r="N1225" s="152"/>
      <c r="O1225" s="152"/>
      <c r="P1225" s="152"/>
      <c r="Q1225" s="155"/>
      <c r="R1225" s="157"/>
      <c r="S1225" s="152"/>
      <c r="T1225" s="156"/>
    </row>
    <row r="1226" spans="1:20" ht="14.25">
      <c r="A1226" s="150"/>
      <c r="B1226" s="151"/>
      <c r="C1226" s="152"/>
      <c r="D1226" s="135"/>
      <c r="E1226" s="73"/>
      <c r="F1226" s="153"/>
      <c r="G1226" s="152"/>
      <c r="H1226" s="152"/>
      <c r="I1226" s="159"/>
      <c r="J1226" s="159"/>
      <c r="K1226" s="152"/>
      <c r="L1226" s="154"/>
      <c r="M1226" s="152"/>
      <c r="N1226" s="152"/>
      <c r="O1226" s="152"/>
      <c r="P1226" s="152"/>
      <c r="Q1226" s="155"/>
      <c r="R1226" s="157"/>
      <c r="S1226" s="152"/>
      <c r="T1226" s="156"/>
    </row>
  </sheetData>
  <phoneticPr fontId="35" type="noConversion"/>
  <conditionalFormatting sqref="F2:F1226 O2:O1226">
    <cfRule type="cellIs" dxfId="26" priority="36" operator="between">
      <formula>17</formula>
      <formula>20</formula>
    </cfRule>
    <cfRule type="cellIs" dxfId="25" priority="37" operator="between">
      <formula>14</formula>
      <formula>16</formula>
    </cfRule>
    <cfRule type="cellIs" dxfId="24" priority="38" operator="between">
      <formula>7</formula>
      <formula>13</formula>
    </cfRule>
    <cfRule type="cellIs" dxfId="23" priority="39" operator="between">
      <formula>1</formula>
      <formula>6</formula>
    </cfRule>
  </conditionalFormatting>
  <conditionalFormatting sqref="D603:D1048576">
    <cfRule type="cellIs" dxfId="22" priority="35" operator="greaterThan">
      <formula>"00/01/1900 00:00"</formula>
    </cfRule>
  </conditionalFormatting>
  <conditionalFormatting sqref="G603:H1048576 G2:J154 I155:J602">
    <cfRule type="cellIs" dxfId="5" priority="31" operator="greaterThan">
      <formula>0</formula>
    </cfRule>
  </conditionalFormatting>
  <conditionalFormatting sqref="L603:N1048576">
    <cfRule type="cellIs" dxfId="21" priority="30" operator="greaterThan">
      <formula>0</formula>
    </cfRule>
  </conditionalFormatting>
  <conditionalFormatting sqref="P2:P602">
    <cfRule type="expression" dxfId="20" priority="26" stopIfTrue="1">
      <formula>#REF!&gt;0</formula>
    </cfRule>
  </conditionalFormatting>
  <conditionalFormatting sqref="L2:N602">
    <cfRule type="cellIs" dxfId="19" priority="15" operator="greaterThan">
      <formula>0</formula>
    </cfRule>
  </conditionalFormatting>
  <conditionalFormatting sqref="L2:N602 P2:P602 R2:S602 G2:J154 I155:J602">
    <cfRule type="expression" dxfId="4" priority="14">
      <formula>#REF!&gt;0</formula>
    </cfRule>
  </conditionalFormatting>
  <conditionalFormatting sqref="A2:D602">
    <cfRule type="cellIs" dxfId="18" priority="11" operator="greaterThan">
      <formula>0</formula>
    </cfRule>
  </conditionalFormatting>
  <conditionalFormatting sqref="D11">
    <cfRule type="cellIs" dxfId="17" priority="9" operator="greaterThan">
      <formula>0</formula>
    </cfRule>
  </conditionalFormatting>
  <conditionalFormatting sqref="R2:S602">
    <cfRule type="cellIs" dxfId="16" priority="3" operator="greaterThan">
      <formula>0</formula>
    </cfRule>
    <cfRule type="expression" dxfId="15" priority="6">
      <formula>#REF!&gt;0</formula>
    </cfRule>
  </conditionalFormatting>
  <conditionalFormatting sqref="Q2:R8">
    <cfRule type="expression" dxfId="14" priority="4">
      <formula>"IF(R2:S602&gt;0)"</formula>
    </cfRule>
  </conditionalFormatting>
  <dataValidations count="6">
    <dataValidation type="whole" allowBlank="1" showInputMessage="1" showErrorMessage="1" errorTitle="הערך שהוזן אינו תקין" error="נא להזין ערך נומרי עגול" sqref="C2:C1226" xr:uid="{4D01A22E-5A4E-4340-9837-0F35BB05243D}">
      <formula1>0</formula1>
      <formula2>9.99999999999999E+56</formula2>
    </dataValidation>
    <dataValidation type="textLength" operator="lessThan" allowBlank="1" showInputMessage="1" showErrorMessage="1" errorTitle="הערך שהוזן אינו תקין" error=" מקסימום 250 תוים" sqref="T2:T1226" xr:uid="{2FAE3C53-4240-4052-9A05-4562A644A1E4}">
      <formula1>250</formula1>
    </dataValidation>
    <dataValidation type="textLength" operator="lessThan" allowBlank="1" showInputMessage="1" showErrorMessage="1" errorTitle="הערך שהוזן אינו תקין" error="מקסימום 250 תוים" sqref="R2:R1226" xr:uid="{5405ADDB-2BB7-4102-BA8A-8EF4598D5C6E}">
      <formula1>250</formula1>
    </dataValidation>
    <dataValidation type="decimal" allowBlank="1" showInputMessage="1" showErrorMessage="1" errorTitle="הערך שהוזן אינו תקין" error="נא להזין ערך נומרי" sqref="P2:P1226" xr:uid="{A978CB72-B377-4169-BFB5-F2148D35B966}">
      <formula1>0</formula1>
      <formula2>1E+32</formula2>
    </dataValidation>
    <dataValidation type="whole" allowBlank="1" showInputMessage="1" showErrorMessage="1" errorTitle="הערך שהוזן אינו תקין" error="נא להזין ערך נומרי עגול" sqref="Q2:Q1226" xr:uid="{3AD39C82-A15C-4B74-B677-4D58AED73F30}">
      <formula1>0</formula1>
      <formula2>9.99999999999999E+76</formula2>
    </dataValidation>
    <dataValidation type="decimal" allowBlank="1" showInputMessage="1" showErrorMessage="1" errorTitle="הערך שהוזן אינו תקין" error="נא להקליד ערך נומרי" sqref="I2:K1226 G2:H154 G603:H1226" xr:uid="{647F03D0-EFB4-4BBA-85F9-2182917B9344}">
      <formula1>0</formula1>
      <formula2>1E+30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E4A341E-A63D-4364-9FA5-1C2C99CD4537}">
          <x14:formula1>
            <xm:f>'חד גזעי'!$P$2:$P$509</xm:f>
          </x14:formula1>
          <xm:sqref>D2:D1226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E439E-821E-4B6A-A04E-6445F4D1D4EF}">
  <sheetPr codeName="גיליון2"/>
  <dimension ref="B2:AH138"/>
  <sheetViews>
    <sheetView rightToLeft="1" zoomScaleNormal="100" workbookViewId="0">
      <selection activeCell="D9" sqref="D9:G9"/>
    </sheetView>
  </sheetViews>
  <sheetFormatPr defaultRowHeight="12.75"/>
  <cols>
    <col min="20" max="34" width="9.140625" hidden="1" customWidth="1"/>
  </cols>
  <sheetData>
    <row r="2" spans="2:34">
      <c r="C2" s="108" t="s">
        <v>826</v>
      </c>
      <c r="D2" s="108"/>
      <c r="E2" s="108"/>
      <c r="F2" s="108"/>
      <c r="G2" s="108"/>
      <c r="H2" s="108"/>
      <c r="I2" s="108"/>
      <c r="J2" s="108"/>
      <c r="K2" s="108"/>
      <c r="L2" s="108"/>
      <c r="M2" s="108"/>
      <c r="N2" s="108"/>
    </row>
    <row r="3" spans="2:34">
      <c r="C3" s="108" t="s">
        <v>827</v>
      </c>
      <c r="D3" s="108"/>
      <c r="E3" s="108"/>
      <c r="F3" s="108"/>
      <c r="G3" s="108"/>
      <c r="H3" s="108"/>
      <c r="I3" s="108"/>
      <c r="J3" s="108"/>
      <c r="K3" s="108"/>
      <c r="L3" s="108"/>
      <c r="M3" s="108"/>
    </row>
    <row r="4" spans="2:34">
      <c r="C4" t="s">
        <v>823</v>
      </c>
    </row>
    <row r="5" spans="2:34" ht="38.25">
      <c r="C5" s="84" t="s">
        <v>822</v>
      </c>
      <c r="D5" s="84" t="s">
        <v>739</v>
      </c>
      <c r="E5" s="84" t="s">
        <v>740</v>
      </c>
      <c r="F5" s="84" t="s">
        <v>741</v>
      </c>
      <c r="G5" s="96"/>
      <c r="H5" s="96"/>
      <c r="I5" s="96"/>
      <c r="J5" s="84" t="s">
        <v>742</v>
      </c>
      <c r="K5" s="84" t="s">
        <v>743</v>
      </c>
      <c r="L5" s="84" t="s">
        <v>744</v>
      </c>
      <c r="M5" s="84" t="s">
        <v>745</v>
      </c>
      <c r="N5" s="84" t="s">
        <v>746</v>
      </c>
      <c r="O5" s="84" t="s">
        <v>747</v>
      </c>
      <c r="P5" s="84"/>
      <c r="Q5" s="84" t="s">
        <v>749</v>
      </c>
      <c r="R5" s="84"/>
      <c r="S5" s="84" t="s">
        <v>751</v>
      </c>
    </row>
    <row r="6" spans="2:34">
      <c r="B6" t="s">
        <v>824</v>
      </c>
      <c r="E6">
        <f>COUNT(G9:G138)</f>
        <v>0</v>
      </c>
      <c r="F6" t="e">
        <f>AVERAGE(F9:F138)</f>
        <v>#DIV/0!</v>
      </c>
      <c r="J6" t="e">
        <f>AVERAGE(G9:G138)</f>
        <v>#DIV/0!</v>
      </c>
      <c r="K6">
        <f>_xlfn.FLOOR.MATH(AVERAGE(K9:K138))</f>
        <v>5</v>
      </c>
      <c r="L6">
        <f>_xlfn.FLOOR.MATH(AVERAGE(L9:L138))</f>
        <v>3</v>
      </c>
      <c r="N6">
        <f>_xlfn.FLOOR.MATH(AVERAGE(N9:N138))</f>
        <v>1</v>
      </c>
      <c r="O6">
        <f>SUM(K6:N6)</f>
        <v>9</v>
      </c>
      <c r="Q6" s="107">
        <f>SUM(Q9:Q138)</f>
        <v>0</v>
      </c>
    </row>
    <row r="8" spans="2:34" ht="38.25">
      <c r="C8" s="84" t="s">
        <v>825</v>
      </c>
      <c r="D8" s="84" t="s">
        <v>739</v>
      </c>
      <c r="E8" s="84" t="s">
        <v>740</v>
      </c>
      <c r="F8" s="84" t="s">
        <v>741</v>
      </c>
      <c r="G8" s="95" t="s">
        <v>759</v>
      </c>
      <c r="H8" s="96" t="s">
        <v>760</v>
      </c>
      <c r="I8" s="96" t="s">
        <v>761</v>
      </c>
      <c r="J8" s="84" t="s">
        <v>742</v>
      </c>
      <c r="K8" s="84" t="s">
        <v>743</v>
      </c>
      <c r="L8" s="84" t="s">
        <v>744</v>
      </c>
      <c r="M8" s="84" t="s">
        <v>745</v>
      </c>
      <c r="N8" s="84" t="s">
        <v>746</v>
      </c>
      <c r="O8" s="84" t="s">
        <v>747</v>
      </c>
      <c r="P8" s="84" t="s">
        <v>748</v>
      </c>
      <c r="Q8" s="84" t="s">
        <v>749</v>
      </c>
      <c r="R8" s="84" t="s">
        <v>750</v>
      </c>
      <c r="S8" s="84" t="s">
        <v>751</v>
      </c>
      <c r="V8" s="94"/>
      <c r="W8" s="94"/>
      <c r="X8" s="72"/>
      <c r="Y8" s="77" t="s">
        <v>767</v>
      </c>
      <c r="Z8" s="77" t="s">
        <v>768</v>
      </c>
      <c r="AA8" s="72" t="s">
        <v>762</v>
      </c>
      <c r="AB8" s="72" t="s">
        <v>763</v>
      </c>
      <c r="AC8" s="72" t="s">
        <v>764</v>
      </c>
      <c r="AD8" s="77" t="s">
        <v>770</v>
      </c>
      <c r="AE8" s="69" t="s">
        <v>771</v>
      </c>
      <c r="AF8" s="77" t="s">
        <v>809</v>
      </c>
      <c r="AG8" s="77" t="s">
        <v>810</v>
      </c>
      <c r="AH8" s="77" t="s">
        <v>811</v>
      </c>
    </row>
    <row r="9" spans="2:34">
      <c r="C9" s="72"/>
      <c r="D9" s="77"/>
      <c r="E9" s="74"/>
      <c r="F9" s="73"/>
      <c r="G9" s="72"/>
      <c r="H9" s="72"/>
      <c r="I9" s="72"/>
      <c r="J9" s="73">
        <f>G9+(H9/2)+(I9/2)</f>
        <v>0</v>
      </c>
      <c r="K9" s="74">
        <v>5</v>
      </c>
      <c r="L9" s="73">
        <v>3</v>
      </c>
      <c r="M9" s="74" t="e">
        <f>_xlfn.IFNA(VLOOKUP(D9,'חד גזעי'!$U$4:$V$305,2,0),VLOOKUP(D9,'חד גזעי'!$U$4:$V$305,2))</f>
        <v>#N/A</v>
      </c>
      <c r="N9" s="74">
        <v>1</v>
      </c>
      <c r="O9" s="72" t="e">
        <f t="shared" ref="O9:O34" si="0">SUM(K9:N9)</f>
        <v>#N/A</v>
      </c>
      <c r="P9" s="85">
        <f>IF(K9=0,0,G9*0.12)</f>
        <v>0</v>
      </c>
      <c r="Q9" s="80">
        <f>IF(G9&lt;20,0,_xlfn.IFNA(Y9,AD9))</f>
        <v>0</v>
      </c>
      <c r="R9" s="77"/>
      <c r="S9" s="75"/>
      <c r="T9" t="e">
        <f>VLOOKUP(D9,'חד גזעי'!$Y$4:$Y$18,1,0)</f>
        <v>#N/A</v>
      </c>
      <c r="U9">
        <f>_xlfn.IFNA(T9,1)</f>
        <v>1</v>
      </c>
      <c r="V9" s="72"/>
      <c r="W9">
        <f>_xlfn.IFNA(Y9,0)</f>
        <v>0</v>
      </c>
      <c r="X9" s="72"/>
      <c r="Y9" s="72" t="e">
        <f>((AC9+AB9+AA9)*(Z9))*(K9*0.2)*(L9*0.2)*20</f>
        <v>#N/A</v>
      </c>
      <c r="Z9" s="72" t="e">
        <f>(VLOOKUP(D9,'חד גזעי'!$P$1:$R$282,3,FALSE))</f>
        <v>#N/A</v>
      </c>
      <c r="AA9" s="72">
        <f>(3.14*((G9/2)^2))</f>
        <v>0</v>
      </c>
      <c r="AB9" s="72">
        <f>(3.14*((H9/2)^2))/2</f>
        <v>0</v>
      </c>
      <c r="AC9" s="72">
        <f>(3.14*((I9/2)^2))/2</f>
        <v>0</v>
      </c>
      <c r="AD9" s="72" t="e">
        <f t="shared" ref="AD9:AD34" si="1">AE9*F9*(K9*0.2)*(0.2*L9)*1500</f>
        <v>#N/A</v>
      </c>
      <c r="AE9" t="e">
        <f>VLOOKUP(D9,'חד גזעי'!$P$284:$R$305,3,FALSE)</f>
        <v>#N/A</v>
      </c>
      <c r="AF9" s="72" t="b">
        <f>IF(M6="שימור",Q9)</f>
        <v>0</v>
      </c>
      <c r="AG9" s="72" t="b">
        <f>IF(M6="כריתה",Q9)</f>
        <v>0</v>
      </c>
      <c r="AH9" s="72" t="b">
        <f>IF(M6="העתקה",Q9)</f>
        <v>0</v>
      </c>
    </row>
    <row r="10" spans="2:34">
      <c r="C10" s="72"/>
      <c r="D10" s="77"/>
      <c r="E10" s="73"/>
      <c r="F10" s="73"/>
      <c r="G10" s="72"/>
      <c r="H10" s="72"/>
      <c r="I10" s="72"/>
      <c r="J10" s="73">
        <f t="shared" ref="J10:J34" si="2">G10+(H10/2)+(I10/2)</f>
        <v>0</v>
      </c>
      <c r="K10" s="74"/>
      <c r="L10" s="73"/>
      <c r="M10" s="74" t="e">
        <f>_xlfn.IFNA(VLOOKUP(D10,'חד גזעי'!$U$4:$V$305,2,0),VLOOKUP(D10,'חד גזעי'!$U$4:$V$305,2))</f>
        <v>#N/A</v>
      </c>
      <c r="N10" s="73"/>
      <c r="O10" s="72" t="e">
        <f t="shared" si="0"/>
        <v>#N/A</v>
      </c>
      <c r="P10" s="85">
        <f t="shared" ref="P10:P34" si="3">IF(K10=0,0,G10*0.12)</f>
        <v>0</v>
      </c>
      <c r="Q10" s="80">
        <f t="shared" ref="Q10:Q34" si="4">IF(G10&lt;20,0,_xlfn.IFNA(Y10,AD10))</f>
        <v>0</v>
      </c>
      <c r="R10" s="77"/>
      <c r="S10" s="75"/>
      <c r="T10" t="e">
        <f>VLOOKUP(D10,'חד גזעי'!$Y$4:$Y$18,1,0)</f>
        <v>#N/A</v>
      </c>
      <c r="U10">
        <f t="shared" ref="U10:U34" si="5">_xlfn.IFNA(T10,1)</f>
        <v>1</v>
      </c>
      <c r="V10" s="72"/>
      <c r="W10">
        <f t="shared" ref="W10:W34" si="6">_xlfn.IFNA(Y10,0)</f>
        <v>0</v>
      </c>
      <c r="X10" s="72"/>
      <c r="Y10" s="72" t="e">
        <f t="shared" ref="Y10:Y34" si="7">((AC10+AB10+AA10)*(Z10))*(K10*0.2)*(L10*0.2)*20</f>
        <v>#N/A</v>
      </c>
      <c r="Z10" s="72" t="e">
        <f>(VLOOKUP(D10,'חד גזעי'!$P$1:$R$282,3,FALSE))</f>
        <v>#N/A</v>
      </c>
      <c r="AA10" s="72">
        <f t="shared" ref="AA10:AA34" si="8">(3.14*((G10/2)^2))</f>
        <v>0</v>
      </c>
      <c r="AB10" s="72">
        <f t="shared" ref="AB10:AC34" si="9">(3.14*((H10/2)^2))/2</f>
        <v>0</v>
      </c>
      <c r="AC10" s="72">
        <f t="shared" si="9"/>
        <v>0</v>
      </c>
      <c r="AD10" s="72" t="e">
        <f t="shared" si="1"/>
        <v>#N/A</v>
      </c>
      <c r="AE10" t="e">
        <f>VLOOKUP(D10,'חד גזעי'!$P$284:$R$305,3,FALSE)</f>
        <v>#N/A</v>
      </c>
      <c r="AF10" s="72" t="b">
        <f t="shared" ref="AF10:AF41" si="10">IF(AS10="שימור",Q10)</f>
        <v>0</v>
      </c>
      <c r="AG10" s="72" t="b">
        <f t="shared" ref="AG10:AG41" si="11">IF(AS10="כריתה",Q10)</f>
        <v>0</v>
      </c>
      <c r="AH10" s="72" t="b">
        <f t="shared" ref="AH10:AH41" si="12">IF(AS10="העתקה",Q10)</f>
        <v>0</v>
      </c>
    </row>
    <row r="11" spans="2:34">
      <c r="C11" s="72"/>
      <c r="D11" s="77"/>
      <c r="E11" s="73"/>
      <c r="F11" s="73"/>
      <c r="G11" s="72"/>
      <c r="H11" s="72"/>
      <c r="I11" s="72"/>
      <c r="J11" s="73">
        <f t="shared" si="2"/>
        <v>0</v>
      </c>
      <c r="K11" s="74"/>
      <c r="L11" s="73"/>
      <c r="M11" s="74" t="e">
        <f>_xlfn.IFNA(VLOOKUP(D11,'חד גזעי'!$U$4:$V$305,2,0),VLOOKUP(D11,'חד גזעי'!$U$4:$V$305,2))</f>
        <v>#N/A</v>
      </c>
      <c r="N11" s="73"/>
      <c r="O11" s="72" t="e">
        <f t="shared" si="0"/>
        <v>#N/A</v>
      </c>
      <c r="P11" s="85">
        <f t="shared" si="3"/>
        <v>0</v>
      </c>
      <c r="Q11" s="80">
        <f t="shared" si="4"/>
        <v>0</v>
      </c>
      <c r="R11" s="77"/>
      <c r="S11" s="75"/>
      <c r="T11" t="e">
        <f>VLOOKUP(D11,'חד גזעי'!$Y$4:$Y$18,1,0)</f>
        <v>#N/A</v>
      </c>
      <c r="U11">
        <f t="shared" si="5"/>
        <v>1</v>
      </c>
      <c r="V11" s="72"/>
      <c r="W11">
        <f t="shared" si="6"/>
        <v>0</v>
      </c>
      <c r="X11" s="72"/>
      <c r="Y11" s="72" t="e">
        <f t="shared" si="7"/>
        <v>#N/A</v>
      </c>
      <c r="Z11" s="72" t="e">
        <f>(VLOOKUP(D11,'חד גזעי'!$P$1:$R$282,3,FALSE))</f>
        <v>#N/A</v>
      </c>
      <c r="AA11" s="72">
        <f t="shared" si="8"/>
        <v>0</v>
      </c>
      <c r="AB11" s="72">
        <f t="shared" si="9"/>
        <v>0</v>
      </c>
      <c r="AC11" s="72">
        <f t="shared" si="9"/>
        <v>0</v>
      </c>
      <c r="AD11" s="72" t="e">
        <f t="shared" si="1"/>
        <v>#N/A</v>
      </c>
      <c r="AE11" t="e">
        <f>VLOOKUP(D11,'חד גזעי'!$P$284:$R$305,3,FALSE)</f>
        <v>#N/A</v>
      </c>
      <c r="AF11" s="72" t="b">
        <f t="shared" si="10"/>
        <v>0</v>
      </c>
      <c r="AG11" s="72" t="b">
        <f t="shared" si="11"/>
        <v>0</v>
      </c>
      <c r="AH11" s="72" t="b">
        <f t="shared" si="12"/>
        <v>0</v>
      </c>
    </row>
    <row r="12" spans="2:34">
      <c r="C12" s="72"/>
      <c r="D12" s="77"/>
      <c r="E12" s="73"/>
      <c r="F12" s="73"/>
      <c r="G12" s="72"/>
      <c r="H12" s="72"/>
      <c r="I12" s="72"/>
      <c r="J12" s="73">
        <f t="shared" si="2"/>
        <v>0</v>
      </c>
      <c r="K12" s="74"/>
      <c r="L12" s="73"/>
      <c r="M12" s="74" t="e">
        <f>_xlfn.IFNA(VLOOKUP(D12,'חד גזעי'!$U$4:$V$305,2,0),VLOOKUP(D12,'חד גזעי'!$U$4:$V$305,2))</f>
        <v>#N/A</v>
      </c>
      <c r="N12" s="73"/>
      <c r="O12" s="72" t="e">
        <f t="shared" si="0"/>
        <v>#N/A</v>
      </c>
      <c r="P12" s="85">
        <f t="shared" si="3"/>
        <v>0</v>
      </c>
      <c r="Q12" s="80">
        <f t="shared" si="4"/>
        <v>0</v>
      </c>
      <c r="R12" s="77"/>
      <c r="S12" s="75"/>
      <c r="T12" t="e">
        <f>VLOOKUP(D12,'חד גזעי'!$Y$4:$Y$18,1,0)</f>
        <v>#N/A</v>
      </c>
      <c r="U12">
        <f t="shared" si="5"/>
        <v>1</v>
      </c>
      <c r="V12" s="72"/>
      <c r="W12">
        <f t="shared" si="6"/>
        <v>0</v>
      </c>
      <c r="X12" s="72"/>
      <c r="Y12" s="72" t="e">
        <f t="shared" si="7"/>
        <v>#N/A</v>
      </c>
      <c r="Z12" s="72" t="e">
        <f>(VLOOKUP(D12,'חד גזעי'!$P$1:$R$282,3,FALSE))</f>
        <v>#N/A</v>
      </c>
      <c r="AA12" s="72">
        <f t="shared" si="8"/>
        <v>0</v>
      </c>
      <c r="AB12" s="72">
        <f t="shared" si="9"/>
        <v>0</v>
      </c>
      <c r="AC12" s="72">
        <f t="shared" si="9"/>
        <v>0</v>
      </c>
      <c r="AD12" s="72" t="e">
        <f t="shared" si="1"/>
        <v>#N/A</v>
      </c>
      <c r="AE12" t="e">
        <f>VLOOKUP(D12,'חד גזעי'!$P$284:$R$305,3,FALSE)</f>
        <v>#N/A</v>
      </c>
      <c r="AF12" s="72" t="b">
        <f t="shared" si="10"/>
        <v>0</v>
      </c>
      <c r="AG12" s="72" t="b">
        <f t="shared" si="11"/>
        <v>0</v>
      </c>
      <c r="AH12" s="72" t="b">
        <f t="shared" si="12"/>
        <v>0</v>
      </c>
    </row>
    <row r="13" spans="2:34">
      <c r="C13" s="72"/>
      <c r="D13" s="77"/>
      <c r="E13" s="73"/>
      <c r="F13" s="73"/>
      <c r="G13" s="72"/>
      <c r="H13" s="72"/>
      <c r="I13" s="72"/>
      <c r="J13" s="73">
        <f t="shared" si="2"/>
        <v>0</v>
      </c>
      <c r="K13" s="74"/>
      <c r="L13" s="73"/>
      <c r="M13" s="74" t="e">
        <f>_xlfn.IFNA(VLOOKUP(D13,'חד גזעי'!$U$4:$V$305,2,0),VLOOKUP(D13,'חד גזעי'!$U$4:$V$305,2))</f>
        <v>#N/A</v>
      </c>
      <c r="N13" s="73"/>
      <c r="O13" s="72" t="e">
        <f t="shared" si="0"/>
        <v>#N/A</v>
      </c>
      <c r="P13" s="85">
        <f t="shared" si="3"/>
        <v>0</v>
      </c>
      <c r="Q13" s="80">
        <f t="shared" si="4"/>
        <v>0</v>
      </c>
      <c r="R13" s="77"/>
      <c r="S13" s="75"/>
      <c r="T13" t="e">
        <f>VLOOKUP(D13,'חד גזעי'!$Y$4:$Y$18,1,0)</f>
        <v>#N/A</v>
      </c>
      <c r="U13">
        <f t="shared" si="5"/>
        <v>1</v>
      </c>
      <c r="V13" s="72"/>
      <c r="W13">
        <f t="shared" si="6"/>
        <v>0</v>
      </c>
      <c r="X13" s="72"/>
      <c r="Y13" s="72" t="e">
        <f t="shared" si="7"/>
        <v>#N/A</v>
      </c>
      <c r="Z13" s="72" t="e">
        <f>(VLOOKUP(D13,'חד גזעי'!$P$1:$R$282,3,FALSE))</f>
        <v>#N/A</v>
      </c>
      <c r="AA13" s="72">
        <f t="shared" si="8"/>
        <v>0</v>
      </c>
      <c r="AB13" s="72">
        <f t="shared" si="9"/>
        <v>0</v>
      </c>
      <c r="AC13" s="72">
        <f t="shared" si="9"/>
        <v>0</v>
      </c>
      <c r="AD13" s="72" t="e">
        <f t="shared" si="1"/>
        <v>#N/A</v>
      </c>
      <c r="AE13" t="e">
        <f>VLOOKUP(D13,'חד גזעי'!$P$284:$R$305,3,FALSE)</f>
        <v>#N/A</v>
      </c>
      <c r="AF13" s="72" t="b">
        <f t="shared" si="10"/>
        <v>0</v>
      </c>
      <c r="AG13" s="72" t="b">
        <f t="shared" si="11"/>
        <v>0</v>
      </c>
      <c r="AH13" s="72" t="b">
        <f t="shared" si="12"/>
        <v>0</v>
      </c>
    </row>
    <row r="14" spans="2:34">
      <c r="C14" s="72"/>
      <c r="D14" s="77"/>
      <c r="E14" s="78"/>
      <c r="F14" s="73"/>
      <c r="G14" s="72"/>
      <c r="H14" s="72"/>
      <c r="I14" s="72"/>
      <c r="J14" s="73">
        <f t="shared" si="2"/>
        <v>0</v>
      </c>
      <c r="K14" s="74"/>
      <c r="L14" s="73"/>
      <c r="M14" s="74" t="e">
        <f>_xlfn.IFNA(VLOOKUP(D14,'חד גזעי'!$U$4:$V$305,2,0),VLOOKUP(D14,'חד גזעי'!$U$4:$V$305,2))</f>
        <v>#N/A</v>
      </c>
      <c r="N14" s="73"/>
      <c r="O14" s="72" t="e">
        <f t="shared" si="0"/>
        <v>#N/A</v>
      </c>
      <c r="P14" s="85">
        <f t="shared" si="3"/>
        <v>0</v>
      </c>
      <c r="Q14" s="80">
        <f t="shared" si="4"/>
        <v>0</v>
      </c>
      <c r="R14" s="77"/>
      <c r="S14" s="75"/>
      <c r="T14" t="e">
        <f>VLOOKUP(D14,'חד גזעי'!$Y$4:$Y$18,1,0)</f>
        <v>#N/A</v>
      </c>
      <c r="U14">
        <f t="shared" si="5"/>
        <v>1</v>
      </c>
      <c r="V14" s="72"/>
      <c r="W14">
        <f t="shared" si="6"/>
        <v>0</v>
      </c>
      <c r="X14" s="72"/>
      <c r="Y14" s="72" t="e">
        <f t="shared" si="7"/>
        <v>#N/A</v>
      </c>
      <c r="Z14" s="72" t="e">
        <f>(VLOOKUP(D14,'חד גזעי'!$P$1:$R$282,3,FALSE))</f>
        <v>#N/A</v>
      </c>
      <c r="AA14" s="72">
        <f t="shared" si="8"/>
        <v>0</v>
      </c>
      <c r="AB14" s="72">
        <f t="shared" si="9"/>
        <v>0</v>
      </c>
      <c r="AC14" s="72">
        <f t="shared" si="9"/>
        <v>0</v>
      </c>
      <c r="AD14" s="72" t="e">
        <f t="shared" si="1"/>
        <v>#N/A</v>
      </c>
      <c r="AE14" t="e">
        <f>VLOOKUP(D14,'חד גזעי'!$P$284:$R$305,3,FALSE)</f>
        <v>#N/A</v>
      </c>
      <c r="AF14" s="72" t="b">
        <f t="shared" si="10"/>
        <v>0</v>
      </c>
      <c r="AG14" s="72" t="b">
        <f t="shared" si="11"/>
        <v>0</v>
      </c>
      <c r="AH14" s="72" t="b">
        <f t="shared" si="12"/>
        <v>0</v>
      </c>
    </row>
    <row r="15" spans="2:34">
      <c r="C15" s="72"/>
      <c r="D15" s="77"/>
      <c r="E15" s="78"/>
      <c r="F15" s="73"/>
      <c r="G15" s="72"/>
      <c r="H15" s="72"/>
      <c r="I15" s="72"/>
      <c r="J15" s="73">
        <f t="shared" si="2"/>
        <v>0</v>
      </c>
      <c r="K15" s="74"/>
      <c r="L15" s="73"/>
      <c r="M15" s="74" t="e">
        <f>_xlfn.IFNA(VLOOKUP(D15,'חד גזעי'!$U$4:$V$305,2,0),VLOOKUP(D15,'חד גזעי'!$U$4:$V$305,2))</f>
        <v>#N/A</v>
      </c>
      <c r="N15" s="73"/>
      <c r="O15" s="72" t="e">
        <f t="shared" si="0"/>
        <v>#N/A</v>
      </c>
      <c r="P15" s="85">
        <f t="shared" si="3"/>
        <v>0</v>
      </c>
      <c r="Q15" s="80">
        <f t="shared" si="4"/>
        <v>0</v>
      </c>
      <c r="R15" s="77"/>
      <c r="S15" s="75"/>
      <c r="T15" t="e">
        <f>VLOOKUP(D15,'חד גזעי'!$Y$4:$Y$18,1,0)</f>
        <v>#N/A</v>
      </c>
      <c r="U15">
        <f t="shared" si="5"/>
        <v>1</v>
      </c>
      <c r="V15" s="72"/>
      <c r="W15">
        <f t="shared" si="6"/>
        <v>0</v>
      </c>
      <c r="X15" s="72"/>
      <c r="Y15" s="72" t="e">
        <f t="shared" si="7"/>
        <v>#N/A</v>
      </c>
      <c r="Z15" s="72" t="e">
        <f>(VLOOKUP(D15,'חד גזעי'!$P$1:$R$282,3,FALSE))</f>
        <v>#N/A</v>
      </c>
      <c r="AA15" s="72">
        <f t="shared" si="8"/>
        <v>0</v>
      </c>
      <c r="AB15" s="72">
        <f t="shared" si="9"/>
        <v>0</v>
      </c>
      <c r="AC15" s="72">
        <f t="shared" si="9"/>
        <v>0</v>
      </c>
      <c r="AD15" s="72" t="e">
        <f t="shared" si="1"/>
        <v>#N/A</v>
      </c>
      <c r="AE15" t="e">
        <f>VLOOKUP(D15,'חד גזעי'!$P$284:$R$305,3,FALSE)</f>
        <v>#N/A</v>
      </c>
      <c r="AF15" s="72" t="b">
        <f t="shared" si="10"/>
        <v>0</v>
      </c>
      <c r="AG15" s="72" t="b">
        <f t="shared" si="11"/>
        <v>0</v>
      </c>
      <c r="AH15" s="72" t="b">
        <f t="shared" si="12"/>
        <v>0</v>
      </c>
    </row>
    <row r="16" spans="2:34">
      <c r="C16" s="72"/>
      <c r="D16" s="77"/>
      <c r="E16" s="78"/>
      <c r="F16" s="73"/>
      <c r="G16" s="72"/>
      <c r="H16" s="72"/>
      <c r="I16" s="72"/>
      <c r="J16" s="73">
        <f t="shared" si="2"/>
        <v>0</v>
      </c>
      <c r="K16" s="74"/>
      <c r="L16" s="73"/>
      <c r="M16" s="74" t="e">
        <f>_xlfn.IFNA(VLOOKUP(D16,'חד גזעי'!$U$4:$V$305,2,0),VLOOKUP(D16,'חד גזעי'!$U$4:$V$305,2))</f>
        <v>#N/A</v>
      </c>
      <c r="N16" s="73"/>
      <c r="O16" s="72" t="e">
        <f t="shared" si="0"/>
        <v>#N/A</v>
      </c>
      <c r="P16" s="85">
        <f t="shared" si="3"/>
        <v>0</v>
      </c>
      <c r="Q16" s="80">
        <f t="shared" si="4"/>
        <v>0</v>
      </c>
      <c r="R16" s="77"/>
      <c r="S16" s="75"/>
      <c r="T16" t="e">
        <f>VLOOKUP(D16,'חד גזעי'!$Y$4:$Y$18,1,0)</f>
        <v>#N/A</v>
      </c>
      <c r="U16">
        <f t="shared" si="5"/>
        <v>1</v>
      </c>
      <c r="V16" s="72"/>
      <c r="W16">
        <f t="shared" si="6"/>
        <v>0</v>
      </c>
      <c r="X16" s="72"/>
      <c r="Y16" s="72" t="e">
        <f t="shared" si="7"/>
        <v>#N/A</v>
      </c>
      <c r="Z16" s="72" t="e">
        <f>(VLOOKUP(D16,'חד גזעי'!$P$1:$R$282,3,FALSE))</f>
        <v>#N/A</v>
      </c>
      <c r="AA16" s="72">
        <f t="shared" si="8"/>
        <v>0</v>
      </c>
      <c r="AB16" s="72">
        <f t="shared" si="9"/>
        <v>0</v>
      </c>
      <c r="AC16" s="72">
        <f t="shared" si="9"/>
        <v>0</v>
      </c>
      <c r="AD16" s="72" t="e">
        <f t="shared" si="1"/>
        <v>#N/A</v>
      </c>
      <c r="AE16" t="e">
        <f>VLOOKUP(D16,'חד גזעי'!$P$284:$R$305,3,FALSE)</f>
        <v>#N/A</v>
      </c>
      <c r="AF16" s="72" t="b">
        <f t="shared" si="10"/>
        <v>0</v>
      </c>
      <c r="AG16" s="72" t="b">
        <f t="shared" si="11"/>
        <v>0</v>
      </c>
      <c r="AH16" s="72" t="b">
        <f t="shared" si="12"/>
        <v>0</v>
      </c>
    </row>
    <row r="17" spans="3:34">
      <c r="C17" s="72"/>
      <c r="D17" s="77"/>
      <c r="E17" s="78"/>
      <c r="F17" s="73"/>
      <c r="G17" s="72"/>
      <c r="H17" s="72"/>
      <c r="I17" s="72"/>
      <c r="J17" s="73">
        <f t="shared" si="2"/>
        <v>0</v>
      </c>
      <c r="K17" s="74"/>
      <c r="L17" s="73"/>
      <c r="M17" s="74" t="e">
        <f>_xlfn.IFNA(VLOOKUP(D17,'חד גזעי'!$U$4:$V$305,2,0),VLOOKUP(D17,'חד גזעי'!$U$4:$V$305,2))</f>
        <v>#N/A</v>
      </c>
      <c r="N17" s="73"/>
      <c r="O17" s="72" t="e">
        <f t="shared" si="0"/>
        <v>#N/A</v>
      </c>
      <c r="P17" s="85">
        <f t="shared" si="3"/>
        <v>0</v>
      </c>
      <c r="Q17" s="80">
        <f t="shared" si="4"/>
        <v>0</v>
      </c>
      <c r="R17" s="77"/>
      <c r="S17" s="75"/>
      <c r="T17" t="e">
        <f>VLOOKUP(D17,'חד גזעי'!$Y$4:$Y$18,1,0)</f>
        <v>#N/A</v>
      </c>
      <c r="U17">
        <f t="shared" si="5"/>
        <v>1</v>
      </c>
      <c r="V17" s="72"/>
      <c r="W17">
        <f t="shared" si="6"/>
        <v>0</v>
      </c>
      <c r="X17" s="72"/>
      <c r="Y17" s="72" t="e">
        <f t="shared" si="7"/>
        <v>#N/A</v>
      </c>
      <c r="Z17" s="72" t="e">
        <f>(VLOOKUP(D17,'חד גזעי'!$P$1:$R$282,3,FALSE))</f>
        <v>#N/A</v>
      </c>
      <c r="AA17" s="72">
        <f t="shared" si="8"/>
        <v>0</v>
      </c>
      <c r="AB17" s="72">
        <f t="shared" si="9"/>
        <v>0</v>
      </c>
      <c r="AC17" s="72">
        <f t="shared" si="9"/>
        <v>0</v>
      </c>
      <c r="AD17" s="72" t="e">
        <f t="shared" si="1"/>
        <v>#N/A</v>
      </c>
      <c r="AE17" t="e">
        <f>VLOOKUP(D17,'חד גזעי'!$P$284:$R$305,3,FALSE)</f>
        <v>#N/A</v>
      </c>
      <c r="AF17" s="72" t="b">
        <f t="shared" si="10"/>
        <v>0</v>
      </c>
      <c r="AG17" s="72" t="b">
        <f t="shared" si="11"/>
        <v>0</v>
      </c>
      <c r="AH17" s="72" t="b">
        <f t="shared" si="12"/>
        <v>0</v>
      </c>
    </row>
    <row r="18" spans="3:34">
      <c r="C18" s="72"/>
      <c r="D18" s="77"/>
      <c r="E18" s="78"/>
      <c r="F18" s="78"/>
      <c r="G18" s="72"/>
      <c r="H18" s="72"/>
      <c r="I18" s="72"/>
      <c r="J18" s="73">
        <f t="shared" si="2"/>
        <v>0</v>
      </c>
      <c r="K18" s="74"/>
      <c r="L18" s="73"/>
      <c r="M18" s="74" t="e">
        <f>_xlfn.IFNA(VLOOKUP(D18,'חד גזעי'!$U$4:$V$305,2,0),VLOOKUP(D18,'חד גזעי'!$U$4:$V$305,2))</f>
        <v>#N/A</v>
      </c>
      <c r="N18" s="73"/>
      <c r="O18" s="72" t="e">
        <f t="shared" si="0"/>
        <v>#N/A</v>
      </c>
      <c r="P18" s="85">
        <f t="shared" si="3"/>
        <v>0</v>
      </c>
      <c r="Q18" s="80">
        <f t="shared" si="4"/>
        <v>0</v>
      </c>
      <c r="R18" s="77"/>
      <c r="S18" s="75"/>
      <c r="T18" t="e">
        <f>VLOOKUP(D18,'חד גזעי'!$Y$4:$Y$18,1,0)</f>
        <v>#N/A</v>
      </c>
      <c r="U18">
        <f t="shared" si="5"/>
        <v>1</v>
      </c>
      <c r="V18" s="72"/>
      <c r="W18">
        <f t="shared" si="6"/>
        <v>0</v>
      </c>
      <c r="X18" s="72"/>
      <c r="Y18" s="72" t="e">
        <f t="shared" si="7"/>
        <v>#N/A</v>
      </c>
      <c r="Z18" s="72" t="e">
        <f>(VLOOKUP(D18,'חד גזעי'!$P$1:$R$282,3,FALSE))</f>
        <v>#N/A</v>
      </c>
      <c r="AA18" s="72">
        <f t="shared" si="8"/>
        <v>0</v>
      </c>
      <c r="AB18" s="72">
        <f t="shared" si="9"/>
        <v>0</v>
      </c>
      <c r="AC18" s="72">
        <f t="shared" si="9"/>
        <v>0</v>
      </c>
      <c r="AD18" s="72" t="e">
        <f t="shared" si="1"/>
        <v>#N/A</v>
      </c>
      <c r="AE18" t="e">
        <f>VLOOKUP(D18,'חד גזעי'!$P$284:$R$305,3,FALSE)</f>
        <v>#N/A</v>
      </c>
      <c r="AF18" s="72" t="b">
        <f t="shared" si="10"/>
        <v>0</v>
      </c>
      <c r="AG18" s="72" t="b">
        <f t="shared" si="11"/>
        <v>0</v>
      </c>
      <c r="AH18" s="72" t="b">
        <f t="shared" si="12"/>
        <v>0</v>
      </c>
    </row>
    <row r="19" spans="3:34">
      <c r="C19" s="72"/>
      <c r="D19" s="77"/>
      <c r="E19" s="78"/>
      <c r="F19" s="78"/>
      <c r="G19" s="72"/>
      <c r="H19" s="72"/>
      <c r="I19" s="72"/>
      <c r="J19" s="73">
        <f t="shared" si="2"/>
        <v>0</v>
      </c>
      <c r="K19" s="78"/>
      <c r="L19" s="73"/>
      <c r="M19" s="74" t="e">
        <f>_xlfn.IFNA(VLOOKUP(D19,'חד גזעי'!$U$4:$V$305,2,0),VLOOKUP(D19,'חד גזעי'!$U$4:$V$305,2))</f>
        <v>#N/A</v>
      </c>
      <c r="N19" s="73"/>
      <c r="O19" s="72" t="e">
        <f t="shared" si="0"/>
        <v>#N/A</v>
      </c>
      <c r="P19" s="85">
        <f t="shared" si="3"/>
        <v>0</v>
      </c>
      <c r="Q19" s="80">
        <f t="shared" si="4"/>
        <v>0</v>
      </c>
      <c r="R19" s="77"/>
      <c r="S19" s="75"/>
      <c r="T19" t="e">
        <f>VLOOKUP(D19,'חד גזעי'!$Y$4:$Y$18,1,0)</f>
        <v>#N/A</v>
      </c>
      <c r="U19">
        <f t="shared" si="5"/>
        <v>1</v>
      </c>
      <c r="V19" s="72"/>
      <c r="W19">
        <f t="shared" si="6"/>
        <v>0</v>
      </c>
      <c r="X19" s="72"/>
      <c r="Y19" s="72" t="e">
        <f t="shared" si="7"/>
        <v>#N/A</v>
      </c>
      <c r="Z19" s="72" t="e">
        <f>(VLOOKUP(D19,'חד גזעי'!$P$1:$R$282,3,FALSE))</f>
        <v>#N/A</v>
      </c>
      <c r="AA19" s="72">
        <f t="shared" si="8"/>
        <v>0</v>
      </c>
      <c r="AB19" s="72">
        <f t="shared" si="9"/>
        <v>0</v>
      </c>
      <c r="AC19" s="72">
        <f t="shared" si="9"/>
        <v>0</v>
      </c>
      <c r="AD19" s="72" t="e">
        <f t="shared" si="1"/>
        <v>#N/A</v>
      </c>
      <c r="AE19" t="e">
        <f>VLOOKUP(D19,'חד גזעי'!$P$284:$R$305,3,FALSE)</f>
        <v>#N/A</v>
      </c>
      <c r="AF19" s="72" t="b">
        <f t="shared" si="10"/>
        <v>0</v>
      </c>
      <c r="AG19" s="72" t="b">
        <f t="shared" si="11"/>
        <v>0</v>
      </c>
      <c r="AH19" s="72" t="b">
        <f t="shared" si="12"/>
        <v>0</v>
      </c>
    </row>
    <row r="20" spans="3:34">
      <c r="C20" s="72"/>
      <c r="D20" s="77"/>
      <c r="E20" s="78"/>
      <c r="F20" s="78"/>
      <c r="G20" s="72"/>
      <c r="H20" s="72"/>
      <c r="I20" s="72"/>
      <c r="J20" s="73">
        <f t="shared" si="2"/>
        <v>0</v>
      </c>
      <c r="K20" s="78"/>
      <c r="L20" s="73"/>
      <c r="M20" s="74" t="e">
        <f>_xlfn.IFNA(VLOOKUP(D20,'חד גזעי'!$U$4:$V$305,2,0),VLOOKUP(D20,'חד גזעי'!$U$4:$V$305,2))</f>
        <v>#N/A</v>
      </c>
      <c r="N20" s="73"/>
      <c r="O20" s="72" t="e">
        <f t="shared" si="0"/>
        <v>#N/A</v>
      </c>
      <c r="P20" s="85">
        <f t="shared" si="3"/>
        <v>0</v>
      </c>
      <c r="Q20" s="80">
        <f t="shared" si="4"/>
        <v>0</v>
      </c>
      <c r="R20" s="77"/>
      <c r="S20" s="75"/>
      <c r="T20" t="e">
        <f>VLOOKUP(D20,'חד גזעי'!$Y$4:$Y$18,1,0)</f>
        <v>#N/A</v>
      </c>
      <c r="U20">
        <f t="shared" si="5"/>
        <v>1</v>
      </c>
      <c r="V20" s="72"/>
      <c r="W20">
        <f t="shared" si="6"/>
        <v>0</v>
      </c>
      <c r="X20" s="72"/>
      <c r="Y20" s="72" t="e">
        <f t="shared" si="7"/>
        <v>#N/A</v>
      </c>
      <c r="Z20" s="72" t="e">
        <f>(VLOOKUP(D20,'חד גזעי'!$P$1:$R$282,3,FALSE))</f>
        <v>#N/A</v>
      </c>
      <c r="AA20" s="72">
        <f t="shared" si="8"/>
        <v>0</v>
      </c>
      <c r="AB20" s="72">
        <f t="shared" si="9"/>
        <v>0</v>
      </c>
      <c r="AC20" s="72">
        <f t="shared" si="9"/>
        <v>0</v>
      </c>
      <c r="AD20" s="72" t="e">
        <f t="shared" si="1"/>
        <v>#N/A</v>
      </c>
      <c r="AE20" t="e">
        <f>VLOOKUP(D20,'חד גזעי'!$P$284:$R$305,3,FALSE)</f>
        <v>#N/A</v>
      </c>
      <c r="AF20" s="72" t="b">
        <f t="shared" si="10"/>
        <v>0</v>
      </c>
      <c r="AG20" s="72" t="b">
        <f t="shared" si="11"/>
        <v>0</v>
      </c>
      <c r="AH20" s="72" t="b">
        <f t="shared" si="12"/>
        <v>0</v>
      </c>
    </row>
    <row r="21" spans="3:34">
      <c r="C21" s="72"/>
      <c r="D21" s="77"/>
      <c r="E21" s="78"/>
      <c r="F21" s="78"/>
      <c r="G21" s="72"/>
      <c r="H21" s="72"/>
      <c r="I21" s="72"/>
      <c r="J21" s="73">
        <f t="shared" si="2"/>
        <v>0</v>
      </c>
      <c r="K21" s="78"/>
      <c r="L21" s="73"/>
      <c r="M21" s="74" t="e">
        <f>_xlfn.IFNA(VLOOKUP(D21,'חד גזעי'!$U$4:$V$305,2,0),VLOOKUP(D21,'חד גזעי'!$U$4:$V$305,2))</f>
        <v>#N/A</v>
      </c>
      <c r="N21" s="73"/>
      <c r="O21" s="72" t="e">
        <f t="shared" si="0"/>
        <v>#N/A</v>
      </c>
      <c r="P21" s="85">
        <f t="shared" si="3"/>
        <v>0</v>
      </c>
      <c r="Q21" s="80">
        <f t="shared" si="4"/>
        <v>0</v>
      </c>
      <c r="R21" s="77"/>
      <c r="S21" s="75"/>
      <c r="T21" t="e">
        <f>VLOOKUP(D21,'חד גזעי'!$Y$4:$Y$18,1,0)</f>
        <v>#N/A</v>
      </c>
      <c r="U21">
        <f t="shared" si="5"/>
        <v>1</v>
      </c>
      <c r="V21" s="72"/>
      <c r="W21">
        <f t="shared" si="6"/>
        <v>0</v>
      </c>
      <c r="X21" s="72"/>
      <c r="Y21" s="72" t="e">
        <f t="shared" si="7"/>
        <v>#N/A</v>
      </c>
      <c r="Z21" s="72" t="e">
        <f>(VLOOKUP(D21,'חד גזעי'!$P$1:$R$282,3,FALSE))</f>
        <v>#N/A</v>
      </c>
      <c r="AA21" s="72">
        <f t="shared" si="8"/>
        <v>0</v>
      </c>
      <c r="AB21" s="72">
        <f t="shared" si="9"/>
        <v>0</v>
      </c>
      <c r="AC21" s="72">
        <f t="shared" si="9"/>
        <v>0</v>
      </c>
      <c r="AD21" s="72" t="e">
        <f t="shared" si="1"/>
        <v>#N/A</v>
      </c>
      <c r="AE21" t="e">
        <f>VLOOKUP(D21,'חד גזעי'!$P$284:$R$305,3,FALSE)</f>
        <v>#N/A</v>
      </c>
      <c r="AF21" s="72" t="b">
        <f t="shared" si="10"/>
        <v>0</v>
      </c>
      <c r="AG21" s="72" t="b">
        <f t="shared" si="11"/>
        <v>0</v>
      </c>
      <c r="AH21" s="72" t="b">
        <f t="shared" si="12"/>
        <v>0</v>
      </c>
    </row>
    <row r="22" spans="3:34">
      <c r="C22" s="72"/>
      <c r="D22" s="77"/>
      <c r="E22" s="78"/>
      <c r="F22" s="78"/>
      <c r="G22" s="72"/>
      <c r="H22" s="72"/>
      <c r="I22" s="72"/>
      <c r="J22" s="73">
        <f t="shared" si="2"/>
        <v>0</v>
      </c>
      <c r="K22" s="78"/>
      <c r="L22" s="73"/>
      <c r="M22" s="74" t="e">
        <f>_xlfn.IFNA(VLOOKUP(D22,'חד גזעי'!$U$4:$V$305,2,0),VLOOKUP(D22,'חד גזעי'!$U$4:$V$305,2))</f>
        <v>#N/A</v>
      </c>
      <c r="N22" s="73"/>
      <c r="O22" s="72" t="e">
        <f t="shared" si="0"/>
        <v>#N/A</v>
      </c>
      <c r="P22" s="85">
        <f t="shared" si="3"/>
        <v>0</v>
      </c>
      <c r="Q22" s="80">
        <f t="shared" si="4"/>
        <v>0</v>
      </c>
      <c r="R22" s="77"/>
      <c r="S22" s="76"/>
      <c r="T22" t="e">
        <f>VLOOKUP(D22,'חד גזעי'!$Y$4:$Y$18,1,0)</f>
        <v>#N/A</v>
      </c>
      <c r="U22">
        <f t="shared" si="5"/>
        <v>1</v>
      </c>
      <c r="V22" s="72"/>
      <c r="W22">
        <f t="shared" si="6"/>
        <v>0</v>
      </c>
      <c r="X22" s="72"/>
      <c r="Y22" s="72" t="e">
        <f t="shared" si="7"/>
        <v>#N/A</v>
      </c>
      <c r="Z22" s="72" t="e">
        <f>(VLOOKUP(D22,'חד גזעי'!$P$1:$R$282,3,FALSE))</f>
        <v>#N/A</v>
      </c>
      <c r="AA22" s="72">
        <f t="shared" si="8"/>
        <v>0</v>
      </c>
      <c r="AB22" s="72">
        <f t="shared" si="9"/>
        <v>0</v>
      </c>
      <c r="AC22" s="72">
        <f t="shared" si="9"/>
        <v>0</v>
      </c>
      <c r="AD22" s="72" t="e">
        <f t="shared" si="1"/>
        <v>#N/A</v>
      </c>
      <c r="AE22" t="e">
        <f>VLOOKUP(D22,'חד גזעי'!$P$284:$R$305,3,FALSE)</f>
        <v>#N/A</v>
      </c>
      <c r="AF22" s="72" t="b">
        <f t="shared" si="10"/>
        <v>0</v>
      </c>
      <c r="AG22" s="72" t="b">
        <f t="shared" si="11"/>
        <v>0</v>
      </c>
      <c r="AH22" s="72" t="b">
        <f t="shared" si="12"/>
        <v>0</v>
      </c>
    </row>
    <row r="23" spans="3:34">
      <c r="C23" s="72"/>
      <c r="D23" s="77"/>
      <c r="E23" s="78"/>
      <c r="F23" s="78"/>
      <c r="G23" s="72"/>
      <c r="H23" s="72"/>
      <c r="I23" s="72"/>
      <c r="J23" s="73">
        <f t="shared" si="2"/>
        <v>0</v>
      </c>
      <c r="K23" s="78"/>
      <c r="L23" s="73"/>
      <c r="M23" s="74" t="e">
        <f>_xlfn.IFNA(VLOOKUP(D23,'חד גזעי'!$U$4:$V$305,2,0),VLOOKUP(D23,'חד גזעי'!$U$4:$V$305,2))</f>
        <v>#N/A</v>
      </c>
      <c r="N23" s="73"/>
      <c r="O23" s="72" t="e">
        <f t="shared" si="0"/>
        <v>#N/A</v>
      </c>
      <c r="P23" s="85">
        <f t="shared" si="3"/>
        <v>0</v>
      </c>
      <c r="Q23" s="80">
        <f t="shared" si="4"/>
        <v>0</v>
      </c>
      <c r="R23" s="77"/>
      <c r="S23" s="76"/>
      <c r="T23" t="e">
        <f>VLOOKUP(D23,'חד גזעי'!$Y$4:$Y$18,1,0)</f>
        <v>#N/A</v>
      </c>
      <c r="U23">
        <f t="shared" si="5"/>
        <v>1</v>
      </c>
      <c r="V23" s="72"/>
      <c r="W23">
        <f t="shared" si="6"/>
        <v>0</v>
      </c>
      <c r="X23" s="72"/>
      <c r="Y23" s="72" t="e">
        <f t="shared" si="7"/>
        <v>#N/A</v>
      </c>
      <c r="Z23" s="72" t="e">
        <f>(VLOOKUP(D23,'חד גזעי'!$P$1:$R$282,3,FALSE))</f>
        <v>#N/A</v>
      </c>
      <c r="AA23" s="72">
        <f t="shared" si="8"/>
        <v>0</v>
      </c>
      <c r="AB23" s="72">
        <f t="shared" si="9"/>
        <v>0</v>
      </c>
      <c r="AC23" s="72">
        <f t="shared" si="9"/>
        <v>0</v>
      </c>
      <c r="AD23" s="72" t="e">
        <f t="shared" si="1"/>
        <v>#N/A</v>
      </c>
      <c r="AE23" t="e">
        <f>VLOOKUP(D23,'חד גזעי'!$P$284:$R$305,3,FALSE)</f>
        <v>#N/A</v>
      </c>
      <c r="AF23" s="72" t="b">
        <f t="shared" si="10"/>
        <v>0</v>
      </c>
      <c r="AG23" s="72" t="b">
        <f t="shared" si="11"/>
        <v>0</v>
      </c>
      <c r="AH23" s="72" t="b">
        <f t="shared" si="12"/>
        <v>0</v>
      </c>
    </row>
    <row r="24" spans="3:34">
      <c r="C24" s="72"/>
      <c r="D24" s="77"/>
      <c r="E24" s="78"/>
      <c r="F24" s="78"/>
      <c r="G24" s="72"/>
      <c r="H24" s="72"/>
      <c r="I24" s="72"/>
      <c r="J24" s="73">
        <f t="shared" si="2"/>
        <v>0</v>
      </c>
      <c r="K24" s="78"/>
      <c r="L24" s="73"/>
      <c r="M24" s="74" t="e">
        <f>_xlfn.IFNA(VLOOKUP(D24,'חד גזעי'!$U$4:$V$305,2,0),VLOOKUP(D24,'חד גזעי'!$U$4:$V$305,2))</f>
        <v>#N/A</v>
      </c>
      <c r="N24" s="73"/>
      <c r="O24" s="72" t="e">
        <f t="shared" si="0"/>
        <v>#N/A</v>
      </c>
      <c r="P24" s="85">
        <f t="shared" si="3"/>
        <v>0</v>
      </c>
      <c r="Q24" s="80">
        <f t="shared" si="4"/>
        <v>0</v>
      </c>
      <c r="R24" s="77"/>
      <c r="S24" s="76"/>
      <c r="T24" t="e">
        <f>VLOOKUP(D24,'חד גזעי'!$Y$4:$Y$18,1,0)</f>
        <v>#N/A</v>
      </c>
      <c r="U24">
        <f t="shared" si="5"/>
        <v>1</v>
      </c>
      <c r="V24" s="72"/>
      <c r="W24">
        <f t="shared" si="6"/>
        <v>0</v>
      </c>
      <c r="X24" s="72"/>
      <c r="Y24" s="72" t="e">
        <f t="shared" si="7"/>
        <v>#N/A</v>
      </c>
      <c r="Z24" s="72" t="e">
        <f>(VLOOKUP(D24,'חד גזעי'!$P$1:$R$282,3,FALSE))</f>
        <v>#N/A</v>
      </c>
      <c r="AA24" s="72">
        <f t="shared" si="8"/>
        <v>0</v>
      </c>
      <c r="AB24" s="72">
        <f t="shared" si="9"/>
        <v>0</v>
      </c>
      <c r="AC24" s="72">
        <f t="shared" si="9"/>
        <v>0</v>
      </c>
      <c r="AD24" s="72" t="e">
        <f t="shared" si="1"/>
        <v>#N/A</v>
      </c>
      <c r="AE24" t="e">
        <f>VLOOKUP(D24,'חד גזעי'!$P$284:$R$305,3,FALSE)</f>
        <v>#N/A</v>
      </c>
      <c r="AF24" s="72" t="b">
        <f t="shared" si="10"/>
        <v>0</v>
      </c>
      <c r="AG24" s="72" t="b">
        <f t="shared" si="11"/>
        <v>0</v>
      </c>
      <c r="AH24" s="72" t="b">
        <f t="shared" si="12"/>
        <v>0</v>
      </c>
    </row>
    <row r="25" spans="3:34">
      <c r="C25" s="72"/>
      <c r="D25" s="77"/>
      <c r="E25" s="78"/>
      <c r="F25" s="78"/>
      <c r="G25" s="72"/>
      <c r="H25" s="72"/>
      <c r="I25" s="72"/>
      <c r="J25" s="73">
        <f t="shared" si="2"/>
        <v>0</v>
      </c>
      <c r="K25" s="78"/>
      <c r="L25" s="73"/>
      <c r="M25" s="74" t="e">
        <f>_xlfn.IFNA(VLOOKUP(D25,'חד גזעי'!$U$4:$V$305,2,0),VLOOKUP(D25,'חד גזעי'!$U$4:$V$305,2))</f>
        <v>#N/A</v>
      </c>
      <c r="N25" s="73"/>
      <c r="O25" s="72" t="e">
        <f t="shared" si="0"/>
        <v>#N/A</v>
      </c>
      <c r="P25" s="85">
        <f t="shared" si="3"/>
        <v>0</v>
      </c>
      <c r="Q25" s="80">
        <f t="shared" si="4"/>
        <v>0</v>
      </c>
      <c r="R25" s="77"/>
      <c r="S25" s="75"/>
      <c r="T25" t="e">
        <f>VLOOKUP(D25,'חד גזעי'!$Y$4:$Y$18,1,0)</f>
        <v>#N/A</v>
      </c>
      <c r="U25">
        <f t="shared" si="5"/>
        <v>1</v>
      </c>
      <c r="V25" s="72"/>
      <c r="W25">
        <f t="shared" si="6"/>
        <v>0</v>
      </c>
      <c r="X25" s="72"/>
      <c r="Y25" s="72" t="e">
        <f t="shared" si="7"/>
        <v>#N/A</v>
      </c>
      <c r="Z25" s="72" t="e">
        <f>(VLOOKUP(D25,'חד גזעי'!$P$1:$R$282,3,FALSE))</f>
        <v>#N/A</v>
      </c>
      <c r="AA25" s="72">
        <f t="shared" si="8"/>
        <v>0</v>
      </c>
      <c r="AB25" s="72">
        <f t="shared" si="9"/>
        <v>0</v>
      </c>
      <c r="AC25" s="72">
        <f t="shared" si="9"/>
        <v>0</v>
      </c>
      <c r="AD25" s="72" t="e">
        <f t="shared" si="1"/>
        <v>#N/A</v>
      </c>
      <c r="AE25" t="e">
        <f>VLOOKUP(D25,'חד גזעי'!$P$284:$R$305,3,FALSE)</f>
        <v>#N/A</v>
      </c>
      <c r="AF25" s="72" t="b">
        <f t="shared" si="10"/>
        <v>0</v>
      </c>
      <c r="AG25" s="72" t="b">
        <f t="shared" si="11"/>
        <v>0</v>
      </c>
      <c r="AH25" s="72" t="b">
        <f t="shared" si="12"/>
        <v>0</v>
      </c>
    </row>
    <row r="26" spans="3:34">
      <c r="C26" s="72"/>
      <c r="D26" s="77"/>
      <c r="E26" s="78"/>
      <c r="F26" s="78"/>
      <c r="G26" s="72"/>
      <c r="H26" s="72"/>
      <c r="I26" s="72"/>
      <c r="J26" s="73">
        <f t="shared" si="2"/>
        <v>0</v>
      </c>
      <c r="K26" s="78"/>
      <c r="L26" s="73"/>
      <c r="M26" s="74" t="e">
        <f>_xlfn.IFNA(VLOOKUP(D26,'חד גזעי'!$U$4:$V$305,2,0),VLOOKUP(D26,'חד גזעי'!$U$4:$V$305,2))</f>
        <v>#N/A</v>
      </c>
      <c r="N26" s="73"/>
      <c r="O26" s="72" t="e">
        <f t="shared" si="0"/>
        <v>#N/A</v>
      </c>
      <c r="P26" s="85">
        <f t="shared" si="3"/>
        <v>0</v>
      </c>
      <c r="Q26" s="80">
        <f t="shared" si="4"/>
        <v>0</v>
      </c>
      <c r="R26" s="77"/>
      <c r="S26" s="76"/>
      <c r="T26" t="e">
        <f>VLOOKUP(D26,'חד גזעי'!$Y$4:$Y$18,1,0)</f>
        <v>#N/A</v>
      </c>
      <c r="U26">
        <f t="shared" si="5"/>
        <v>1</v>
      </c>
      <c r="V26" s="72"/>
      <c r="W26">
        <f t="shared" si="6"/>
        <v>0</v>
      </c>
      <c r="X26" s="72"/>
      <c r="Y26" s="72" t="e">
        <f t="shared" si="7"/>
        <v>#N/A</v>
      </c>
      <c r="Z26" s="72" t="e">
        <f>(VLOOKUP(D26,'חד גזעי'!$P$1:$R$282,3,FALSE))</f>
        <v>#N/A</v>
      </c>
      <c r="AA26" s="72">
        <f t="shared" si="8"/>
        <v>0</v>
      </c>
      <c r="AB26" s="72">
        <f t="shared" si="9"/>
        <v>0</v>
      </c>
      <c r="AC26" s="72">
        <f t="shared" si="9"/>
        <v>0</v>
      </c>
      <c r="AD26" s="72" t="e">
        <f t="shared" si="1"/>
        <v>#N/A</v>
      </c>
      <c r="AE26" t="e">
        <f>VLOOKUP(D26,'חד גזעי'!$P$284:$R$305,3,FALSE)</f>
        <v>#N/A</v>
      </c>
      <c r="AF26" s="72" t="b">
        <f t="shared" si="10"/>
        <v>0</v>
      </c>
      <c r="AG26" s="72" t="b">
        <f t="shared" si="11"/>
        <v>0</v>
      </c>
      <c r="AH26" s="72" t="b">
        <f t="shared" si="12"/>
        <v>0</v>
      </c>
    </row>
    <row r="27" spans="3:34">
      <c r="C27" s="72"/>
      <c r="D27" s="77"/>
      <c r="E27" s="78"/>
      <c r="F27" s="78"/>
      <c r="G27" s="72"/>
      <c r="H27" s="72"/>
      <c r="I27" s="72"/>
      <c r="J27" s="73">
        <f t="shared" si="2"/>
        <v>0</v>
      </c>
      <c r="K27" s="78"/>
      <c r="L27" s="73"/>
      <c r="M27" s="74" t="e">
        <f>_xlfn.IFNA(VLOOKUP(D27,'חד גזעי'!$U$4:$V$305,2,0),VLOOKUP(D27,'חד גזעי'!$U$4:$V$305,2))</f>
        <v>#N/A</v>
      </c>
      <c r="N27" s="73"/>
      <c r="O27" s="72" t="e">
        <f t="shared" si="0"/>
        <v>#N/A</v>
      </c>
      <c r="P27" s="85">
        <f t="shared" si="3"/>
        <v>0</v>
      </c>
      <c r="Q27" s="80">
        <f t="shared" si="4"/>
        <v>0</v>
      </c>
      <c r="R27" s="77"/>
      <c r="S27" s="76"/>
      <c r="T27" t="e">
        <f>VLOOKUP(D27,'חד גזעי'!$Y$4:$Y$18,1,0)</f>
        <v>#N/A</v>
      </c>
      <c r="U27">
        <f t="shared" si="5"/>
        <v>1</v>
      </c>
      <c r="V27" s="72"/>
      <c r="W27">
        <f t="shared" si="6"/>
        <v>0</v>
      </c>
      <c r="X27" s="72"/>
      <c r="Y27" s="72" t="e">
        <f t="shared" si="7"/>
        <v>#N/A</v>
      </c>
      <c r="Z27" s="72" t="e">
        <f>(VLOOKUP(D27,'חד גזעי'!$P$1:$R$282,3,FALSE))</f>
        <v>#N/A</v>
      </c>
      <c r="AA27" s="72">
        <f t="shared" si="8"/>
        <v>0</v>
      </c>
      <c r="AB27" s="72">
        <f t="shared" si="9"/>
        <v>0</v>
      </c>
      <c r="AC27" s="72">
        <f t="shared" si="9"/>
        <v>0</v>
      </c>
      <c r="AD27" s="72" t="e">
        <f t="shared" si="1"/>
        <v>#N/A</v>
      </c>
      <c r="AE27" t="e">
        <f>VLOOKUP(D27,'חד גזעי'!$P$284:$R$305,3,FALSE)</f>
        <v>#N/A</v>
      </c>
      <c r="AF27" s="72" t="b">
        <f t="shared" si="10"/>
        <v>0</v>
      </c>
      <c r="AG27" s="72" t="b">
        <f t="shared" si="11"/>
        <v>0</v>
      </c>
      <c r="AH27" s="72" t="b">
        <f t="shared" si="12"/>
        <v>0</v>
      </c>
    </row>
    <row r="28" spans="3:34">
      <c r="C28" s="72"/>
      <c r="D28" s="77"/>
      <c r="E28" s="78"/>
      <c r="F28" s="78"/>
      <c r="G28" s="72"/>
      <c r="H28" s="72"/>
      <c r="I28" s="72"/>
      <c r="J28" s="73">
        <f t="shared" si="2"/>
        <v>0</v>
      </c>
      <c r="K28" s="78"/>
      <c r="L28" s="73"/>
      <c r="M28" s="74" t="e">
        <f>_xlfn.IFNA(VLOOKUP(D28,'חד גזעי'!$U$4:$V$305,2,0),VLOOKUP(D28,'חד גזעי'!$U$4:$V$305,2))</f>
        <v>#N/A</v>
      </c>
      <c r="N28" s="73"/>
      <c r="O28" s="72" t="e">
        <f t="shared" si="0"/>
        <v>#N/A</v>
      </c>
      <c r="P28" s="85">
        <f t="shared" si="3"/>
        <v>0</v>
      </c>
      <c r="Q28" s="80">
        <f t="shared" si="4"/>
        <v>0</v>
      </c>
      <c r="R28" s="77"/>
      <c r="S28" s="75"/>
      <c r="T28" t="e">
        <f>VLOOKUP(D28,'חד גזעי'!$Y$4:$Y$18,1,0)</f>
        <v>#N/A</v>
      </c>
      <c r="U28">
        <f t="shared" si="5"/>
        <v>1</v>
      </c>
      <c r="V28" s="72"/>
      <c r="W28">
        <f t="shared" si="6"/>
        <v>0</v>
      </c>
      <c r="X28" s="72"/>
      <c r="Y28" s="72" t="e">
        <f t="shared" si="7"/>
        <v>#N/A</v>
      </c>
      <c r="Z28" s="72" t="e">
        <f>(VLOOKUP(D28,'חד גזעי'!$P$1:$R$282,3,FALSE))</f>
        <v>#N/A</v>
      </c>
      <c r="AA28" s="72">
        <f t="shared" si="8"/>
        <v>0</v>
      </c>
      <c r="AB28" s="72">
        <f t="shared" si="9"/>
        <v>0</v>
      </c>
      <c r="AC28" s="72">
        <f t="shared" si="9"/>
        <v>0</v>
      </c>
      <c r="AD28" s="72" t="e">
        <f t="shared" si="1"/>
        <v>#N/A</v>
      </c>
      <c r="AE28" t="e">
        <f>VLOOKUP(D28,'חד גזעי'!$P$284:$R$305,3,FALSE)</f>
        <v>#N/A</v>
      </c>
      <c r="AF28" s="72" t="b">
        <f t="shared" si="10"/>
        <v>0</v>
      </c>
      <c r="AG28" s="72" t="b">
        <f t="shared" si="11"/>
        <v>0</v>
      </c>
      <c r="AH28" s="72" t="b">
        <f t="shared" si="12"/>
        <v>0</v>
      </c>
    </row>
    <row r="29" spans="3:34">
      <c r="C29" s="72"/>
      <c r="D29" s="77"/>
      <c r="E29" s="78"/>
      <c r="F29" s="78"/>
      <c r="G29" s="72"/>
      <c r="H29" s="72"/>
      <c r="I29" s="72"/>
      <c r="J29" s="73">
        <f t="shared" si="2"/>
        <v>0</v>
      </c>
      <c r="K29" s="78"/>
      <c r="L29" s="73"/>
      <c r="M29" s="74" t="e">
        <f>_xlfn.IFNA(VLOOKUP(D29,'חד גזעי'!$U$4:$V$305,2,0),VLOOKUP(D29,'חד גזעי'!$U$4:$V$305,2))</f>
        <v>#N/A</v>
      </c>
      <c r="N29" s="73"/>
      <c r="O29" s="72" t="e">
        <f t="shared" si="0"/>
        <v>#N/A</v>
      </c>
      <c r="P29" s="85">
        <f t="shared" si="3"/>
        <v>0</v>
      </c>
      <c r="Q29" s="80">
        <f t="shared" si="4"/>
        <v>0</v>
      </c>
      <c r="R29" s="77"/>
      <c r="S29" s="76"/>
      <c r="T29" t="e">
        <f>VLOOKUP(D29,'חד גזעי'!$Y$4:$Y$18,1,0)</f>
        <v>#N/A</v>
      </c>
      <c r="U29">
        <f t="shared" si="5"/>
        <v>1</v>
      </c>
      <c r="V29" s="72"/>
      <c r="W29">
        <f t="shared" si="6"/>
        <v>0</v>
      </c>
      <c r="X29" s="72"/>
      <c r="Y29" s="72" t="e">
        <f t="shared" si="7"/>
        <v>#N/A</v>
      </c>
      <c r="Z29" s="72" t="e">
        <f>(VLOOKUP(D29,'חד גזעי'!$P$1:$R$282,3,FALSE))</f>
        <v>#N/A</v>
      </c>
      <c r="AA29" s="72">
        <f t="shared" si="8"/>
        <v>0</v>
      </c>
      <c r="AB29" s="72">
        <f t="shared" si="9"/>
        <v>0</v>
      </c>
      <c r="AC29" s="72">
        <f t="shared" si="9"/>
        <v>0</v>
      </c>
      <c r="AD29" s="72" t="e">
        <f t="shared" si="1"/>
        <v>#N/A</v>
      </c>
      <c r="AE29" t="e">
        <f>VLOOKUP(D29,'חד גזעי'!$P$284:$R$305,3,FALSE)</f>
        <v>#N/A</v>
      </c>
      <c r="AF29" s="72" t="b">
        <f t="shared" si="10"/>
        <v>0</v>
      </c>
      <c r="AG29" s="72" t="b">
        <f t="shared" si="11"/>
        <v>0</v>
      </c>
      <c r="AH29" s="72" t="b">
        <f t="shared" si="12"/>
        <v>0</v>
      </c>
    </row>
    <row r="30" spans="3:34">
      <c r="C30" s="72"/>
      <c r="D30" s="77"/>
      <c r="E30" s="78"/>
      <c r="F30" s="78"/>
      <c r="G30" s="72"/>
      <c r="H30" s="72"/>
      <c r="I30" s="72"/>
      <c r="J30" s="73">
        <f t="shared" si="2"/>
        <v>0</v>
      </c>
      <c r="K30" s="78"/>
      <c r="L30" s="73"/>
      <c r="M30" s="74" t="e">
        <f>_xlfn.IFNA(VLOOKUP(D30,'חד גזעי'!$U$4:$V$305,2,0),VLOOKUP(D30,'חד גזעי'!$U$4:$V$305,2))</f>
        <v>#N/A</v>
      </c>
      <c r="N30" s="102"/>
      <c r="O30" s="72" t="e">
        <f t="shared" si="0"/>
        <v>#N/A</v>
      </c>
      <c r="P30" s="85">
        <f t="shared" si="3"/>
        <v>0</v>
      </c>
      <c r="Q30" s="80">
        <f t="shared" si="4"/>
        <v>0</v>
      </c>
      <c r="R30" s="77"/>
      <c r="S30" s="76"/>
      <c r="T30" t="e">
        <f>VLOOKUP(D30,'חד גזעי'!$Y$4:$Y$18,1,0)</f>
        <v>#N/A</v>
      </c>
      <c r="U30">
        <f t="shared" si="5"/>
        <v>1</v>
      </c>
      <c r="V30" s="72"/>
      <c r="W30">
        <f t="shared" si="6"/>
        <v>0</v>
      </c>
      <c r="X30" s="72"/>
      <c r="Y30" s="72" t="e">
        <f t="shared" si="7"/>
        <v>#N/A</v>
      </c>
      <c r="Z30" s="72" t="e">
        <f>(VLOOKUP(D30,'חד גזעי'!$P$1:$R$282,3,FALSE))</f>
        <v>#N/A</v>
      </c>
      <c r="AA30" s="72">
        <f t="shared" si="8"/>
        <v>0</v>
      </c>
      <c r="AB30" s="72">
        <f t="shared" si="9"/>
        <v>0</v>
      </c>
      <c r="AC30" s="72">
        <f t="shared" si="9"/>
        <v>0</v>
      </c>
      <c r="AD30" s="72" t="e">
        <f t="shared" si="1"/>
        <v>#N/A</v>
      </c>
      <c r="AE30" t="e">
        <f>VLOOKUP(D30,'חד גזעי'!$P$284:$R$305,3,FALSE)</f>
        <v>#N/A</v>
      </c>
      <c r="AF30" s="72" t="b">
        <f t="shared" si="10"/>
        <v>0</v>
      </c>
      <c r="AG30" s="72" t="b">
        <f t="shared" si="11"/>
        <v>0</v>
      </c>
      <c r="AH30" s="72" t="b">
        <f t="shared" si="12"/>
        <v>0</v>
      </c>
    </row>
    <row r="31" spans="3:34">
      <c r="C31" s="72"/>
      <c r="D31" s="77"/>
      <c r="E31" s="73"/>
      <c r="F31" s="73"/>
      <c r="G31" s="72"/>
      <c r="H31" s="72"/>
      <c r="I31" s="72"/>
      <c r="J31" s="73">
        <f t="shared" si="2"/>
        <v>0</v>
      </c>
      <c r="K31" s="73"/>
      <c r="L31" s="73"/>
      <c r="M31" s="74" t="e">
        <f>_xlfn.IFNA(VLOOKUP(D31,'חד גזעי'!$U$4:$V$305,2,0),VLOOKUP(D31,'חד גזעי'!$U$4:$V$305,2))</f>
        <v>#N/A</v>
      </c>
      <c r="N31" s="73"/>
      <c r="O31" s="72" t="e">
        <f t="shared" si="0"/>
        <v>#N/A</v>
      </c>
      <c r="P31" s="85">
        <f t="shared" si="3"/>
        <v>0</v>
      </c>
      <c r="Q31" s="80">
        <f t="shared" si="4"/>
        <v>0</v>
      </c>
      <c r="R31" s="77"/>
      <c r="S31" s="76"/>
      <c r="T31" t="e">
        <f>VLOOKUP(D31,'חד גזעי'!$Y$4:$Y$18,1,0)</f>
        <v>#N/A</v>
      </c>
      <c r="U31">
        <f t="shared" si="5"/>
        <v>1</v>
      </c>
      <c r="V31" s="72"/>
      <c r="W31">
        <f t="shared" si="6"/>
        <v>0</v>
      </c>
      <c r="X31" s="72"/>
      <c r="Y31" s="72" t="e">
        <f t="shared" si="7"/>
        <v>#N/A</v>
      </c>
      <c r="Z31" s="72" t="e">
        <f>(VLOOKUP(D31,'חד גזעי'!$P$1:$R$282,3,FALSE))</f>
        <v>#N/A</v>
      </c>
      <c r="AA31" s="72">
        <f t="shared" si="8"/>
        <v>0</v>
      </c>
      <c r="AB31" s="72">
        <f t="shared" si="9"/>
        <v>0</v>
      </c>
      <c r="AC31" s="72">
        <f t="shared" si="9"/>
        <v>0</v>
      </c>
      <c r="AD31" s="72" t="e">
        <f t="shared" si="1"/>
        <v>#N/A</v>
      </c>
      <c r="AE31" t="e">
        <f>VLOOKUP(D31,'חד גזעי'!$P$284:$R$305,3,FALSE)</f>
        <v>#N/A</v>
      </c>
      <c r="AF31" s="72" t="b">
        <f t="shared" si="10"/>
        <v>0</v>
      </c>
      <c r="AG31" s="72" t="b">
        <f t="shared" si="11"/>
        <v>0</v>
      </c>
      <c r="AH31" s="72" t="b">
        <f t="shared" si="12"/>
        <v>0</v>
      </c>
    </row>
    <row r="32" spans="3:34">
      <c r="C32" s="72"/>
      <c r="D32" s="77"/>
      <c r="E32" s="73"/>
      <c r="F32" s="73"/>
      <c r="G32" s="72"/>
      <c r="H32" s="72"/>
      <c r="I32" s="72"/>
      <c r="J32" s="73">
        <f t="shared" si="2"/>
        <v>0</v>
      </c>
      <c r="K32" s="73"/>
      <c r="L32" s="73"/>
      <c r="M32" s="74" t="e">
        <f>_xlfn.IFNA(VLOOKUP(D32,'חד גזעי'!$U$4:$V$305,2,0),VLOOKUP(D32,'חד גזעי'!$U$4:$V$305,2))</f>
        <v>#N/A</v>
      </c>
      <c r="N32" s="73"/>
      <c r="O32" s="72" t="e">
        <f t="shared" si="0"/>
        <v>#N/A</v>
      </c>
      <c r="P32" s="85">
        <f t="shared" si="3"/>
        <v>0</v>
      </c>
      <c r="Q32" s="80">
        <f t="shared" si="4"/>
        <v>0</v>
      </c>
      <c r="R32" s="77"/>
      <c r="S32" s="76"/>
      <c r="T32" t="e">
        <f>VLOOKUP(D32,'חד גזעי'!$Y$4:$Y$18,1,0)</f>
        <v>#N/A</v>
      </c>
      <c r="U32">
        <f t="shared" si="5"/>
        <v>1</v>
      </c>
      <c r="V32" s="72"/>
      <c r="W32">
        <f t="shared" si="6"/>
        <v>0</v>
      </c>
      <c r="X32" s="72"/>
      <c r="Y32" s="72" t="e">
        <f t="shared" si="7"/>
        <v>#N/A</v>
      </c>
      <c r="Z32" s="72" t="e">
        <f>(VLOOKUP(D32,'חד גזעי'!$P$1:$R$282,3,FALSE))</f>
        <v>#N/A</v>
      </c>
      <c r="AA32" s="72">
        <f t="shared" si="8"/>
        <v>0</v>
      </c>
      <c r="AB32" s="72">
        <f t="shared" si="9"/>
        <v>0</v>
      </c>
      <c r="AC32" s="72">
        <f t="shared" si="9"/>
        <v>0</v>
      </c>
      <c r="AD32" s="72" t="e">
        <f t="shared" si="1"/>
        <v>#N/A</v>
      </c>
      <c r="AE32" t="e">
        <f>VLOOKUP(D32,'חד גזעי'!$P$284:$R$305,3,FALSE)</f>
        <v>#N/A</v>
      </c>
      <c r="AF32" s="72" t="b">
        <f t="shared" si="10"/>
        <v>0</v>
      </c>
      <c r="AG32" s="72" t="b">
        <f t="shared" si="11"/>
        <v>0</v>
      </c>
      <c r="AH32" s="72" t="b">
        <f t="shared" si="12"/>
        <v>0</v>
      </c>
    </row>
    <row r="33" spans="3:34">
      <c r="C33" s="72"/>
      <c r="D33" s="77"/>
      <c r="E33" s="73"/>
      <c r="F33" s="73"/>
      <c r="G33" s="72"/>
      <c r="H33" s="72"/>
      <c r="I33" s="72"/>
      <c r="J33" s="73">
        <f t="shared" si="2"/>
        <v>0</v>
      </c>
      <c r="K33" s="73"/>
      <c r="L33" s="73"/>
      <c r="M33" s="74" t="e">
        <f>_xlfn.IFNA(VLOOKUP(D33,'חד גזעי'!$U$4:$V$305,2,0),VLOOKUP(D33,'חד גזעי'!$U$4:$V$305,2))</f>
        <v>#N/A</v>
      </c>
      <c r="N33" s="73"/>
      <c r="O33" s="72" t="e">
        <f t="shared" si="0"/>
        <v>#N/A</v>
      </c>
      <c r="P33" s="85">
        <f t="shared" si="3"/>
        <v>0</v>
      </c>
      <c r="Q33" s="80">
        <f t="shared" si="4"/>
        <v>0</v>
      </c>
      <c r="R33" s="77"/>
      <c r="S33" s="76"/>
      <c r="T33" t="e">
        <f>VLOOKUP(D33,'חד גזעי'!$Y$4:$Y$18,1,0)</f>
        <v>#N/A</v>
      </c>
      <c r="U33">
        <f t="shared" si="5"/>
        <v>1</v>
      </c>
      <c r="V33" s="72"/>
      <c r="W33">
        <f t="shared" si="6"/>
        <v>0</v>
      </c>
      <c r="X33" s="72"/>
      <c r="Y33" s="72" t="e">
        <f t="shared" si="7"/>
        <v>#N/A</v>
      </c>
      <c r="Z33" s="72" t="e">
        <f>(VLOOKUP(D33,'חד גזעי'!$P$1:$R$282,3,FALSE))</f>
        <v>#N/A</v>
      </c>
      <c r="AA33" s="72">
        <f t="shared" si="8"/>
        <v>0</v>
      </c>
      <c r="AB33" s="72">
        <f t="shared" si="9"/>
        <v>0</v>
      </c>
      <c r="AC33" s="72">
        <f t="shared" si="9"/>
        <v>0</v>
      </c>
      <c r="AD33" s="72" t="e">
        <f t="shared" si="1"/>
        <v>#N/A</v>
      </c>
      <c r="AE33" t="e">
        <f>VLOOKUP(D33,'חד גזעי'!$P$284:$R$305,3,FALSE)</f>
        <v>#N/A</v>
      </c>
      <c r="AF33" s="72" t="b">
        <f t="shared" si="10"/>
        <v>0</v>
      </c>
      <c r="AG33" s="72" t="b">
        <f t="shared" si="11"/>
        <v>0</v>
      </c>
      <c r="AH33" s="72" t="b">
        <f t="shared" si="12"/>
        <v>0</v>
      </c>
    </row>
    <row r="34" spans="3:34">
      <c r="C34" s="72"/>
      <c r="D34" s="77"/>
      <c r="E34" s="73"/>
      <c r="F34" s="73"/>
      <c r="G34" s="72"/>
      <c r="H34" s="72"/>
      <c r="I34" s="72"/>
      <c r="J34" s="73">
        <f t="shared" si="2"/>
        <v>0</v>
      </c>
      <c r="K34" s="73"/>
      <c r="L34" s="73"/>
      <c r="M34" s="74" t="e">
        <f>_xlfn.IFNA(VLOOKUP(D34,'חד גזעי'!$U$4:$V$305,2,0),VLOOKUP(D34,'חד גזעי'!$U$4:$V$305,2))</f>
        <v>#N/A</v>
      </c>
      <c r="N34" s="73"/>
      <c r="O34" s="72" t="e">
        <f t="shared" si="0"/>
        <v>#N/A</v>
      </c>
      <c r="P34" s="85">
        <f t="shared" si="3"/>
        <v>0</v>
      </c>
      <c r="Q34" s="80">
        <f t="shared" si="4"/>
        <v>0</v>
      </c>
      <c r="R34" s="77"/>
      <c r="S34" s="76"/>
      <c r="T34" t="e">
        <f>VLOOKUP(D34,'חד גזעי'!$Y$4:$Y$18,1,0)</f>
        <v>#N/A</v>
      </c>
      <c r="U34">
        <f t="shared" si="5"/>
        <v>1</v>
      </c>
      <c r="V34" s="72"/>
      <c r="W34">
        <f t="shared" si="6"/>
        <v>0</v>
      </c>
      <c r="X34" s="72"/>
      <c r="Y34" s="72" t="e">
        <f t="shared" si="7"/>
        <v>#N/A</v>
      </c>
      <c r="Z34" s="72" t="e">
        <f>(VLOOKUP(D34,'חד גזעי'!$P$1:$R$282,3,FALSE))</f>
        <v>#N/A</v>
      </c>
      <c r="AA34" s="72">
        <f t="shared" si="8"/>
        <v>0</v>
      </c>
      <c r="AB34" s="72">
        <f t="shared" si="9"/>
        <v>0</v>
      </c>
      <c r="AC34" s="72">
        <f t="shared" si="9"/>
        <v>0</v>
      </c>
      <c r="AD34" s="72" t="e">
        <f t="shared" si="1"/>
        <v>#N/A</v>
      </c>
      <c r="AE34" t="e">
        <f>VLOOKUP(D34,'חד גזעי'!$P$284:$R$305,3,FALSE)</f>
        <v>#N/A</v>
      </c>
      <c r="AF34" s="72" t="b">
        <f t="shared" si="10"/>
        <v>0</v>
      </c>
      <c r="AG34" s="72" t="b">
        <f t="shared" si="11"/>
        <v>0</v>
      </c>
      <c r="AH34" s="72" t="b">
        <f t="shared" si="12"/>
        <v>0</v>
      </c>
    </row>
    <row r="35" spans="3:34">
      <c r="C35" s="72"/>
      <c r="D35" s="77"/>
      <c r="E35" s="74"/>
      <c r="F35" s="73"/>
      <c r="G35" s="72"/>
      <c r="H35" s="72"/>
      <c r="I35" s="72"/>
      <c r="J35" s="73">
        <f t="shared" ref="J35:J60" si="13">G35+(H35/2)+(I35/2)</f>
        <v>0</v>
      </c>
      <c r="K35" s="74"/>
      <c r="L35" s="73"/>
      <c r="M35" s="74" t="e">
        <f>_xlfn.IFNA(VLOOKUP(D35,'חד גזעי'!$U$4:$V$305,2,0),VLOOKUP(D35,'חד גזעי'!$U$4:$V$305,2))</f>
        <v>#N/A</v>
      </c>
      <c r="N35" s="74"/>
      <c r="O35" s="72" t="e">
        <f t="shared" ref="O35:O60" si="14">SUM(K35:N35)</f>
        <v>#N/A</v>
      </c>
      <c r="P35" s="85">
        <f t="shared" ref="P35:P60" si="15">IF(K35=0,0,G35*0.12)</f>
        <v>0</v>
      </c>
      <c r="Q35" s="80">
        <f t="shared" ref="Q35:Q60" si="16">IF(G35&lt;20,0,_xlfn.IFNA(Y35,AD35))</f>
        <v>0</v>
      </c>
      <c r="R35" s="77"/>
      <c r="S35" s="75"/>
      <c r="T35" t="e">
        <f>VLOOKUP(D35,'חד גזעי'!$Y$4:$Y$18,1,0)</f>
        <v>#N/A</v>
      </c>
      <c r="U35">
        <f t="shared" ref="U35:U60" si="17">_xlfn.IFNA(T35,1)</f>
        <v>1</v>
      </c>
      <c r="V35" s="72"/>
      <c r="W35">
        <f t="shared" ref="W35:W60" si="18">_xlfn.IFNA(Y35,0)</f>
        <v>0</v>
      </c>
      <c r="X35" s="72"/>
      <c r="Y35" s="72" t="e">
        <f t="shared" ref="Y35:Y60" si="19">((AC35+AB35+AA35)*(Z35))*(K35*0.2)*(L35*0.2)*20</f>
        <v>#N/A</v>
      </c>
      <c r="Z35" s="72" t="e">
        <f>(VLOOKUP(D35,'חד גזעי'!$P$1:$R$282,3,FALSE))</f>
        <v>#N/A</v>
      </c>
      <c r="AA35" s="72">
        <f t="shared" ref="AA35:AA60" si="20">(3.14*((G35/2)^2))</f>
        <v>0</v>
      </c>
      <c r="AB35" s="72">
        <f t="shared" ref="AB35:AB60" si="21">(3.14*((H35/2)^2))/2</f>
        <v>0</v>
      </c>
      <c r="AC35" s="72">
        <f t="shared" ref="AC35:AC60" si="22">(3.14*((I35/2)^2))/2</f>
        <v>0</v>
      </c>
      <c r="AD35" s="72" t="e">
        <f t="shared" ref="AD35:AD60" si="23">AE35*F35*(K35*0.2)*(0.2*L35)*1500</f>
        <v>#N/A</v>
      </c>
      <c r="AE35" t="e">
        <f>VLOOKUP(D35,'חד גזעי'!$P$284:$R$305,3,FALSE)</f>
        <v>#N/A</v>
      </c>
      <c r="AF35" s="72" t="b">
        <f t="shared" si="10"/>
        <v>0</v>
      </c>
      <c r="AG35" s="72" t="b">
        <f t="shared" si="11"/>
        <v>0</v>
      </c>
      <c r="AH35" s="72" t="b">
        <f t="shared" si="12"/>
        <v>0</v>
      </c>
    </row>
    <row r="36" spans="3:34">
      <c r="C36" s="72"/>
      <c r="D36" s="77"/>
      <c r="E36" s="73"/>
      <c r="F36" s="73"/>
      <c r="G36" s="72"/>
      <c r="H36" s="72"/>
      <c r="I36" s="72"/>
      <c r="J36" s="73">
        <f t="shared" si="13"/>
        <v>0</v>
      </c>
      <c r="K36" s="73"/>
      <c r="L36" s="73"/>
      <c r="M36" s="74" t="e">
        <f>_xlfn.IFNA(VLOOKUP(D36,'חד גזעי'!$U$4:$V$305,2,0),VLOOKUP(D36,'חד גזעי'!$U$4:$V$305,2))</f>
        <v>#N/A</v>
      </c>
      <c r="N36" s="73"/>
      <c r="O36" s="72" t="e">
        <f t="shared" si="14"/>
        <v>#N/A</v>
      </c>
      <c r="P36" s="85">
        <f t="shared" si="15"/>
        <v>0</v>
      </c>
      <c r="Q36" s="80">
        <f t="shared" si="16"/>
        <v>0</v>
      </c>
      <c r="R36" s="77"/>
      <c r="S36" s="75"/>
      <c r="T36" t="e">
        <f>VLOOKUP(D36,'חד גזעי'!$Y$4:$Y$18,1,0)</f>
        <v>#N/A</v>
      </c>
      <c r="U36">
        <f t="shared" si="17"/>
        <v>1</v>
      </c>
      <c r="V36" s="72"/>
      <c r="W36">
        <f t="shared" si="18"/>
        <v>0</v>
      </c>
      <c r="X36" s="72"/>
      <c r="Y36" s="72" t="e">
        <f t="shared" si="19"/>
        <v>#N/A</v>
      </c>
      <c r="Z36" s="72" t="e">
        <f>(VLOOKUP(D36,'חד גזעי'!$P$1:$R$282,3,FALSE))</f>
        <v>#N/A</v>
      </c>
      <c r="AA36" s="72">
        <f t="shared" si="20"/>
        <v>0</v>
      </c>
      <c r="AB36" s="72">
        <f t="shared" si="21"/>
        <v>0</v>
      </c>
      <c r="AC36" s="72">
        <f t="shared" si="22"/>
        <v>0</v>
      </c>
      <c r="AD36" s="72" t="e">
        <f t="shared" si="23"/>
        <v>#N/A</v>
      </c>
      <c r="AE36" t="e">
        <f>VLOOKUP(D36,'חד גזעי'!$P$284:$R$305,3,FALSE)</f>
        <v>#N/A</v>
      </c>
      <c r="AF36" s="72" t="b">
        <f t="shared" si="10"/>
        <v>0</v>
      </c>
      <c r="AG36" s="72" t="b">
        <f t="shared" si="11"/>
        <v>0</v>
      </c>
      <c r="AH36" s="72" t="b">
        <f t="shared" si="12"/>
        <v>0</v>
      </c>
    </row>
    <row r="37" spans="3:34">
      <c r="C37" s="72"/>
      <c r="D37" s="77"/>
      <c r="E37" s="73"/>
      <c r="F37" s="73"/>
      <c r="G37" s="72"/>
      <c r="H37" s="72"/>
      <c r="I37" s="72"/>
      <c r="J37" s="73">
        <f t="shared" si="13"/>
        <v>0</v>
      </c>
      <c r="K37" s="73"/>
      <c r="L37" s="73"/>
      <c r="M37" s="74" t="e">
        <f>_xlfn.IFNA(VLOOKUP(D37,'חד גזעי'!$U$4:$V$305,2,0),VLOOKUP(D37,'חד גזעי'!$U$4:$V$305,2))</f>
        <v>#N/A</v>
      </c>
      <c r="N37" s="73"/>
      <c r="O37" s="72" t="e">
        <f t="shared" si="14"/>
        <v>#N/A</v>
      </c>
      <c r="P37" s="85">
        <f t="shared" si="15"/>
        <v>0</v>
      </c>
      <c r="Q37" s="80">
        <f t="shared" si="16"/>
        <v>0</v>
      </c>
      <c r="R37" s="77"/>
      <c r="S37" s="75"/>
      <c r="T37" t="e">
        <f>VLOOKUP(D37,'חד גזעי'!$Y$4:$Y$18,1,0)</f>
        <v>#N/A</v>
      </c>
      <c r="U37">
        <f t="shared" si="17"/>
        <v>1</v>
      </c>
      <c r="V37" s="72"/>
      <c r="W37">
        <f t="shared" si="18"/>
        <v>0</v>
      </c>
      <c r="X37" s="72"/>
      <c r="Y37" s="72" t="e">
        <f t="shared" si="19"/>
        <v>#N/A</v>
      </c>
      <c r="Z37" s="72" t="e">
        <f>(VLOOKUP(D37,'חד גזעי'!$P$1:$R$282,3,FALSE))</f>
        <v>#N/A</v>
      </c>
      <c r="AA37" s="72">
        <f t="shared" si="20"/>
        <v>0</v>
      </c>
      <c r="AB37" s="72">
        <f t="shared" si="21"/>
        <v>0</v>
      </c>
      <c r="AC37" s="72">
        <f t="shared" si="22"/>
        <v>0</v>
      </c>
      <c r="AD37" s="72" t="e">
        <f t="shared" si="23"/>
        <v>#N/A</v>
      </c>
      <c r="AE37" t="e">
        <f>VLOOKUP(D37,'חד גזעי'!$P$284:$R$305,3,FALSE)</f>
        <v>#N/A</v>
      </c>
      <c r="AF37" s="72" t="b">
        <f t="shared" si="10"/>
        <v>0</v>
      </c>
      <c r="AG37" s="72" t="b">
        <f t="shared" si="11"/>
        <v>0</v>
      </c>
      <c r="AH37" s="72" t="b">
        <f t="shared" si="12"/>
        <v>0</v>
      </c>
    </row>
    <row r="38" spans="3:34">
      <c r="C38" s="72"/>
      <c r="D38" s="77"/>
      <c r="E38" s="73"/>
      <c r="F38" s="73"/>
      <c r="G38" s="72"/>
      <c r="H38" s="72"/>
      <c r="I38" s="72"/>
      <c r="J38" s="73">
        <f t="shared" si="13"/>
        <v>0</v>
      </c>
      <c r="K38" s="73"/>
      <c r="L38" s="73"/>
      <c r="M38" s="74" t="e">
        <f>_xlfn.IFNA(VLOOKUP(D38,'חד גזעי'!$U$4:$V$305,2,0),VLOOKUP(D38,'חד גזעי'!$U$4:$V$305,2))</f>
        <v>#N/A</v>
      </c>
      <c r="N38" s="73"/>
      <c r="O38" s="72" t="e">
        <f t="shared" si="14"/>
        <v>#N/A</v>
      </c>
      <c r="P38" s="85">
        <f t="shared" si="15"/>
        <v>0</v>
      </c>
      <c r="Q38" s="80">
        <f t="shared" si="16"/>
        <v>0</v>
      </c>
      <c r="R38" s="77"/>
      <c r="S38" s="75"/>
      <c r="T38" t="e">
        <f>VLOOKUP(D38,'חד גזעי'!$Y$4:$Y$18,1,0)</f>
        <v>#N/A</v>
      </c>
      <c r="U38">
        <f t="shared" si="17"/>
        <v>1</v>
      </c>
      <c r="V38" s="72"/>
      <c r="W38">
        <f t="shared" si="18"/>
        <v>0</v>
      </c>
      <c r="X38" s="72"/>
      <c r="Y38" s="72" t="e">
        <f t="shared" si="19"/>
        <v>#N/A</v>
      </c>
      <c r="Z38" s="72" t="e">
        <f>(VLOOKUP(D38,'חד גזעי'!$P$1:$R$282,3,FALSE))</f>
        <v>#N/A</v>
      </c>
      <c r="AA38" s="72">
        <f t="shared" si="20"/>
        <v>0</v>
      </c>
      <c r="AB38" s="72">
        <f t="shared" si="21"/>
        <v>0</v>
      </c>
      <c r="AC38" s="72">
        <f t="shared" si="22"/>
        <v>0</v>
      </c>
      <c r="AD38" s="72" t="e">
        <f t="shared" si="23"/>
        <v>#N/A</v>
      </c>
      <c r="AE38" t="e">
        <f>VLOOKUP(D38,'חד גזעי'!$P$284:$R$305,3,FALSE)</f>
        <v>#N/A</v>
      </c>
      <c r="AF38" s="72" t="b">
        <f t="shared" si="10"/>
        <v>0</v>
      </c>
      <c r="AG38" s="72" t="b">
        <f t="shared" si="11"/>
        <v>0</v>
      </c>
      <c r="AH38" s="72" t="b">
        <f t="shared" si="12"/>
        <v>0</v>
      </c>
    </row>
    <row r="39" spans="3:34">
      <c r="C39" s="72"/>
      <c r="D39" s="77"/>
      <c r="E39" s="73"/>
      <c r="F39" s="73"/>
      <c r="G39" s="72"/>
      <c r="H39" s="72"/>
      <c r="I39" s="72"/>
      <c r="J39" s="73">
        <f t="shared" si="13"/>
        <v>0</v>
      </c>
      <c r="K39" s="73"/>
      <c r="L39" s="73"/>
      <c r="M39" s="74" t="e">
        <f>_xlfn.IFNA(VLOOKUP(D39,'חד גזעי'!$U$4:$V$305,2,0),VLOOKUP(D39,'חד גזעי'!$U$4:$V$305,2))</f>
        <v>#N/A</v>
      </c>
      <c r="N39" s="73"/>
      <c r="O39" s="72" t="e">
        <f t="shared" si="14"/>
        <v>#N/A</v>
      </c>
      <c r="P39" s="85">
        <f t="shared" si="15"/>
        <v>0</v>
      </c>
      <c r="Q39" s="80">
        <f t="shared" si="16"/>
        <v>0</v>
      </c>
      <c r="R39" s="77"/>
      <c r="S39" s="75"/>
      <c r="T39" t="e">
        <f>VLOOKUP(D39,'חד גזעי'!$Y$4:$Y$18,1,0)</f>
        <v>#N/A</v>
      </c>
      <c r="U39">
        <f t="shared" si="17"/>
        <v>1</v>
      </c>
      <c r="V39" s="72"/>
      <c r="W39">
        <f t="shared" si="18"/>
        <v>0</v>
      </c>
      <c r="X39" s="72"/>
      <c r="Y39" s="72" t="e">
        <f t="shared" si="19"/>
        <v>#N/A</v>
      </c>
      <c r="Z39" s="72" t="e">
        <f>(VLOOKUP(D39,'חד גזעי'!$P$1:$R$282,3,FALSE))</f>
        <v>#N/A</v>
      </c>
      <c r="AA39" s="72">
        <f t="shared" si="20"/>
        <v>0</v>
      </c>
      <c r="AB39" s="72">
        <f t="shared" si="21"/>
        <v>0</v>
      </c>
      <c r="AC39" s="72">
        <f t="shared" si="22"/>
        <v>0</v>
      </c>
      <c r="AD39" s="72" t="e">
        <f t="shared" si="23"/>
        <v>#N/A</v>
      </c>
      <c r="AE39" t="e">
        <f>VLOOKUP(D39,'חד גזעי'!$P$284:$R$305,3,FALSE)</f>
        <v>#N/A</v>
      </c>
      <c r="AF39" s="72" t="b">
        <f t="shared" si="10"/>
        <v>0</v>
      </c>
      <c r="AG39" s="72" t="b">
        <f t="shared" si="11"/>
        <v>0</v>
      </c>
      <c r="AH39" s="72" t="b">
        <f t="shared" si="12"/>
        <v>0</v>
      </c>
    </row>
    <row r="40" spans="3:34">
      <c r="C40" s="72"/>
      <c r="D40" s="77"/>
      <c r="E40" s="78"/>
      <c r="F40" s="73"/>
      <c r="G40" s="72"/>
      <c r="H40" s="72"/>
      <c r="I40" s="72"/>
      <c r="J40" s="73">
        <f t="shared" si="13"/>
        <v>0</v>
      </c>
      <c r="K40" s="78"/>
      <c r="L40" s="73"/>
      <c r="M40" s="74" t="e">
        <f>_xlfn.IFNA(VLOOKUP(D40,'חד גזעי'!$U$4:$V$305,2,0),VLOOKUP(D40,'חד גזעי'!$U$4:$V$305,2))</f>
        <v>#N/A</v>
      </c>
      <c r="N40" s="73"/>
      <c r="O40" s="72" t="e">
        <f t="shared" si="14"/>
        <v>#N/A</v>
      </c>
      <c r="P40" s="85">
        <f t="shared" si="15"/>
        <v>0</v>
      </c>
      <c r="Q40" s="80">
        <f t="shared" si="16"/>
        <v>0</v>
      </c>
      <c r="R40" s="77"/>
      <c r="S40" s="75"/>
      <c r="T40" t="e">
        <f>VLOOKUP(D40,'חד גזעי'!$Y$4:$Y$18,1,0)</f>
        <v>#N/A</v>
      </c>
      <c r="U40">
        <f t="shared" si="17"/>
        <v>1</v>
      </c>
      <c r="V40" s="72"/>
      <c r="W40">
        <f t="shared" si="18"/>
        <v>0</v>
      </c>
      <c r="X40" s="72"/>
      <c r="Y40" s="72" t="e">
        <f t="shared" si="19"/>
        <v>#N/A</v>
      </c>
      <c r="Z40" s="72" t="e">
        <f>(VLOOKUP(D40,'חד גזעי'!$P$1:$R$282,3,FALSE))</f>
        <v>#N/A</v>
      </c>
      <c r="AA40" s="72">
        <f t="shared" si="20"/>
        <v>0</v>
      </c>
      <c r="AB40" s="72">
        <f t="shared" si="21"/>
        <v>0</v>
      </c>
      <c r="AC40" s="72">
        <f t="shared" si="22"/>
        <v>0</v>
      </c>
      <c r="AD40" s="72" t="e">
        <f t="shared" si="23"/>
        <v>#N/A</v>
      </c>
      <c r="AE40" t="e">
        <f>VLOOKUP(D40,'חד גזעי'!$P$284:$R$305,3,FALSE)</f>
        <v>#N/A</v>
      </c>
      <c r="AF40" s="72" t="b">
        <f t="shared" si="10"/>
        <v>0</v>
      </c>
      <c r="AG40" s="72" t="b">
        <f t="shared" si="11"/>
        <v>0</v>
      </c>
      <c r="AH40" s="72" t="b">
        <f t="shared" si="12"/>
        <v>0</v>
      </c>
    </row>
    <row r="41" spans="3:34">
      <c r="C41" s="72"/>
      <c r="D41" s="77"/>
      <c r="E41" s="78"/>
      <c r="F41" s="73"/>
      <c r="G41" s="72"/>
      <c r="H41" s="72"/>
      <c r="I41" s="72"/>
      <c r="J41" s="73">
        <f t="shared" si="13"/>
        <v>0</v>
      </c>
      <c r="K41" s="78"/>
      <c r="L41" s="73"/>
      <c r="M41" s="74" t="e">
        <f>_xlfn.IFNA(VLOOKUP(D41,'חד גזעי'!$U$4:$V$305,2,0),VLOOKUP(D41,'חד גזעי'!$U$4:$V$305,2))</f>
        <v>#N/A</v>
      </c>
      <c r="N41" s="73"/>
      <c r="O41" s="72" t="e">
        <f t="shared" si="14"/>
        <v>#N/A</v>
      </c>
      <c r="P41" s="85">
        <f t="shared" si="15"/>
        <v>0</v>
      </c>
      <c r="Q41" s="80">
        <f t="shared" si="16"/>
        <v>0</v>
      </c>
      <c r="R41" s="77"/>
      <c r="S41" s="75"/>
      <c r="T41" t="e">
        <f>VLOOKUP(D41,'חד גזעי'!$Y$4:$Y$18,1,0)</f>
        <v>#N/A</v>
      </c>
      <c r="U41">
        <f t="shared" si="17"/>
        <v>1</v>
      </c>
      <c r="V41" s="72"/>
      <c r="W41">
        <f t="shared" si="18"/>
        <v>0</v>
      </c>
      <c r="X41" s="72"/>
      <c r="Y41" s="72" t="e">
        <f t="shared" si="19"/>
        <v>#N/A</v>
      </c>
      <c r="Z41" s="72" t="e">
        <f>(VLOOKUP(D41,'חד גזעי'!$P$1:$R$282,3,FALSE))</f>
        <v>#N/A</v>
      </c>
      <c r="AA41" s="72">
        <f t="shared" si="20"/>
        <v>0</v>
      </c>
      <c r="AB41" s="72">
        <f t="shared" si="21"/>
        <v>0</v>
      </c>
      <c r="AC41" s="72">
        <f t="shared" si="22"/>
        <v>0</v>
      </c>
      <c r="AD41" s="72" t="e">
        <f t="shared" si="23"/>
        <v>#N/A</v>
      </c>
      <c r="AE41" t="e">
        <f>VLOOKUP(D41,'חד גזעי'!$P$284:$R$305,3,FALSE)</f>
        <v>#N/A</v>
      </c>
      <c r="AF41" s="72" t="b">
        <f t="shared" si="10"/>
        <v>0</v>
      </c>
      <c r="AG41" s="72" t="b">
        <f t="shared" si="11"/>
        <v>0</v>
      </c>
      <c r="AH41" s="72" t="b">
        <f t="shared" si="12"/>
        <v>0</v>
      </c>
    </row>
    <row r="42" spans="3:34">
      <c r="C42" s="72"/>
      <c r="D42" s="77"/>
      <c r="E42" s="78"/>
      <c r="F42" s="73"/>
      <c r="G42" s="72"/>
      <c r="H42" s="72"/>
      <c r="I42" s="72"/>
      <c r="J42" s="73">
        <f t="shared" si="13"/>
        <v>0</v>
      </c>
      <c r="K42" s="78"/>
      <c r="L42" s="73"/>
      <c r="M42" s="74" t="e">
        <f>_xlfn.IFNA(VLOOKUP(D42,'חד גזעי'!$U$4:$V$305,2,0),VLOOKUP(D42,'חד גזעי'!$U$4:$V$305,2))</f>
        <v>#N/A</v>
      </c>
      <c r="N42" s="73"/>
      <c r="O42" s="72" t="e">
        <f t="shared" si="14"/>
        <v>#N/A</v>
      </c>
      <c r="P42" s="85">
        <f t="shared" si="15"/>
        <v>0</v>
      </c>
      <c r="Q42" s="80">
        <f t="shared" si="16"/>
        <v>0</v>
      </c>
      <c r="R42" s="77"/>
      <c r="S42" s="75"/>
      <c r="T42" t="e">
        <f>VLOOKUP(D42,'חד גזעי'!$Y$4:$Y$18,1,0)</f>
        <v>#N/A</v>
      </c>
      <c r="U42">
        <f t="shared" si="17"/>
        <v>1</v>
      </c>
      <c r="V42" s="72"/>
      <c r="W42">
        <f t="shared" si="18"/>
        <v>0</v>
      </c>
      <c r="X42" s="72"/>
      <c r="Y42" s="72" t="e">
        <f t="shared" si="19"/>
        <v>#N/A</v>
      </c>
      <c r="Z42" s="72" t="e">
        <f>(VLOOKUP(D42,'חד גזעי'!$P$1:$R$282,3,FALSE))</f>
        <v>#N/A</v>
      </c>
      <c r="AA42" s="72">
        <f t="shared" si="20"/>
        <v>0</v>
      </c>
      <c r="AB42" s="72">
        <f t="shared" si="21"/>
        <v>0</v>
      </c>
      <c r="AC42" s="72">
        <f t="shared" si="22"/>
        <v>0</v>
      </c>
      <c r="AD42" s="72" t="e">
        <f t="shared" si="23"/>
        <v>#N/A</v>
      </c>
      <c r="AE42" t="e">
        <f>VLOOKUP(D42,'חד גזעי'!$P$284:$R$305,3,FALSE)</f>
        <v>#N/A</v>
      </c>
      <c r="AF42" s="72" t="b">
        <f t="shared" ref="AF42:AF73" si="24">IF(AS42="שימור",Q42)</f>
        <v>0</v>
      </c>
      <c r="AG42" s="72" t="b">
        <f t="shared" ref="AG42:AG73" si="25">IF(AS42="כריתה",Q42)</f>
        <v>0</v>
      </c>
      <c r="AH42" s="72" t="b">
        <f t="shared" ref="AH42:AH73" si="26">IF(AS42="העתקה",Q42)</f>
        <v>0</v>
      </c>
    </row>
    <row r="43" spans="3:34">
      <c r="C43" s="72"/>
      <c r="D43" s="77"/>
      <c r="E43" s="78"/>
      <c r="F43" s="73"/>
      <c r="G43" s="72"/>
      <c r="H43" s="72"/>
      <c r="I43" s="72"/>
      <c r="J43" s="73">
        <f t="shared" si="13"/>
        <v>0</v>
      </c>
      <c r="K43" s="78"/>
      <c r="L43" s="73"/>
      <c r="M43" s="74" t="e">
        <f>_xlfn.IFNA(VLOOKUP(D43,'חד גזעי'!$U$4:$V$305,2,0),VLOOKUP(D43,'חד גזעי'!$U$4:$V$305,2))</f>
        <v>#N/A</v>
      </c>
      <c r="N43" s="73"/>
      <c r="O43" s="72" t="e">
        <f t="shared" si="14"/>
        <v>#N/A</v>
      </c>
      <c r="P43" s="85">
        <f t="shared" si="15"/>
        <v>0</v>
      </c>
      <c r="Q43" s="80">
        <f t="shared" si="16"/>
        <v>0</v>
      </c>
      <c r="R43" s="77"/>
      <c r="S43" s="75"/>
      <c r="T43" t="e">
        <f>VLOOKUP(D43,'חד גזעי'!$Y$4:$Y$18,1,0)</f>
        <v>#N/A</v>
      </c>
      <c r="U43">
        <f t="shared" si="17"/>
        <v>1</v>
      </c>
      <c r="V43" s="72"/>
      <c r="W43">
        <f t="shared" si="18"/>
        <v>0</v>
      </c>
      <c r="X43" s="72"/>
      <c r="Y43" s="72" t="e">
        <f t="shared" si="19"/>
        <v>#N/A</v>
      </c>
      <c r="Z43" s="72" t="e">
        <f>(VLOOKUP(D43,'חד גזעי'!$P$1:$R$282,3,FALSE))</f>
        <v>#N/A</v>
      </c>
      <c r="AA43" s="72">
        <f t="shared" si="20"/>
        <v>0</v>
      </c>
      <c r="AB43" s="72">
        <f t="shared" si="21"/>
        <v>0</v>
      </c>
      <c r="AC43" s="72">
        <f t="shared" si="22"/>
        <v>0</v>
      </c>
      <c r="AD43" s="72" t="e">
        <f t="shared" si="23"/>
        <v>#N/A</v>
      </c>
      <c r="AE43" t="e">
        <f>VLOOKUP(D43,'חד גזעי'!$P$284:$R$305,3,FALSE)</f>
        <v>#N/A</v>
      </c>
      <c r="AF43" s="72" t="b">
        <f t="shared" si="24"/>
        <v>0</v>
      </c>
      <c r="AG43" s="72" t="b">
        <f t="shared" si="25"/>
        <v>0</v>
      </c>
      <c r="AH43" s="72" t="b">
        <f t="shared" si="26"/>
        <v>0</v>
      </c>
    </row>
    <row r="44" spans="3:34">
      <c r="C44" s="72"/>
      <c r="D44" s="77"/>
      <c r="E44" s="78"/>
      <c r="F44" s="78"/>
      <c r="G44" s="72"/>
      <c r="H44" s="72"/>
      <c r="I44" s="72"/>
      <c r="J44" s="73">
        <f t="shared" si="13"/>
        <v>0</v>
      </c>
      <c r="K44" s="78"/>
      <c r="L44" s="73"/>
      <c r="M44" s="74" t="e">
        <f>_xlfn.IFNA(VLOOKUP(D44,'חד גזעי'!$U$4:$V$305,2,0),VLOOKUP(D44,'חד גזעי'!$U$4:$V$305,2))</f>
        <v>#N/A</v>
      </c>
      <c r="N44" s="73"/>
      <c r="O44" s="72" t="e">
        <f t="shared" si="14"/>
        <v>#N/A</v>
      </c>
      <c r="P44" s="85">
        <f t="shared" si="15"/>
        <v>0</v>
      </c>
      <c r="Q44" s="80">
        <f t="shared" si="16"/>
        <v>0</v>
      </c>
      <c r="R44" s="77"/>
      <c r="S44" s="75"/>
      <c r="T44" t="e">
        <f>VLOOKUP(D44,'חד גזעי'!$Y$4:$Y$18,1,0)</f>
        <v>#N/A</v>
      </c>
      <c r="U44">
        <f t="shared" si="17"/>
        <v>1</v>
      </c>
      <c r="V44" s="72"/>
      <c r="W44">
        <f t="shared" si="18"/>
        <v>0</v>
      </c>
      <c r="X44" s="72"/>
      <c r="Y44" s="72" t="e">
        <f t="shared" si="19"/>
        <v>#N/A</v>
      </c>
      <c r="Z44" s="72" t="e">
        <f>(VLOOKUP(D44,'חד גזעי'!$P$1:$R$282,3,FALSE))</f>
        <v>#N/A</v>
      </c>
      <c r="AA44" s="72">
        <f t="shared" si="20"/>
        <v>0</v>
      </c>
      <c r="AB44" s="72">
        <f t="shared" si="21"/>
        <v>0</v>
      </c>
      <c r="AC44" s="72">
        <f t="shared" si="22"/>
        <v>0</v>
      </c>
      <c r="AD44" s="72" t="e">
        <f t="shared" si="23"/>
        <v>#N/A</v>
      </c>
      <c r="AE44" t="e">
        <f>VLOOKUP(D44,'חד גזעי'!$P$284:$R$305,3,FALSE)</f>
        <v>#N/A</v>
      </c>
      <c r="AF44" s="72" t="b">
        <f t="shared" si="24"/>
        <v>0</v>
      </c>
      <c r="AG44" s="72" t="b">
        <f t="shared" si="25"/>
        <v>0</v>
      </c>
      <c r="AH44" s="72" t="b">
        <f t="shared" si="26"/>
        <v>0</v>
      </c>
    </row>
    <row r="45" spans="3:34">
      <c r="C45" s="72"/>
      <c r="D45" s="77"/>
      <c r="E45" s="78"/>
      <c r="F45" s="78"/>
      <c r="G45" s="72"/>
      <c r="H45" s="72"/>
      <c r="I45" s="72"/>
      <c r="J45" s="73">
        <f t="shared" si="13"/>
        <v>0</v>
      </c>
      <c r="K45" s="78"/>
      <c r="L45" s="73"/>
      <c r="M45" s="74" t="e">
        <f>_xlfn.IFNA(VLOOKUP(D45,'חד גזעי'!$U$4:$V$305,2,0),VLOOKUP(D45,'חד גזעי'!$U$4:$V$305,2))</f>
        <v>#N/A</v>
      </c>
      <c r="N45" s="73"/>
      <c r="O45" s="72" t="e">
        <f t="shared" si="14"/>
        <v>#N/A</v>
      </c>
      <c r="P45" s="85">
        <f t="shared" si="15"/>
        <v>0</v>
      </c>
      <c r="Q45" s="80">
        <f t="shared" si="16"/>
        <v>0</v>
      </c>
      <c r="R45" s="77"/>
      <c r="S45" s="75"/>
      <c r="T45" t="e">
        <f>VLOOKUP(D45,'חד גזעי'!$Y$4:$Y$18,1,0)</f>
        <v>#N/A</v>
      </c>
      <c r="U45">
        <f t="shared" si="17"/>
        <v>1</v>
      </c>
      <c r="V45" s="72"/>
      <c r="W45">
        <f t="shared" si="18"/>
        <v>0</v>
      </c>
      <c r="X45" s="72"/>
      <c r="Y45" s="72" t="e">
        <f t="shared" si="19"/>
        <v>#N/A</v>
      </c>
      <c r="Z45" s="72" t="e">
        <f>(VLOOKUP(D45,'חד גזעי'!$P$1:$R$282,3,FALSE))</f>
        <v>#N/A</v>
      </c>
      <c r="AA45" s="72">
        <f t="shared" si="20"/>
        <v>0</v>
      </c>
      <c r="AB45" s="72">
        <f t="shared" si="21"/>
        <v>0</v>
      </c>
      <c r="AC45" s="72">
        <f t="shared" si="22"/>
        <v>0</v>
      </c>
      <c r="AD45" s="72" t="e">
        <f t="shared" si="23"/>
        <v>#N/A</v>
      </c>
      <c r="AE45" t="e">
        <f>VLOOKUP(D45,'חד גזעי'!$P$284:$R$305,3,FALSE)</f>
        <v>#N/A</v>
      </c>
      <c r="AF45" s="72" t="b">
        <f t="shared" si="24"/>
        <v>0</v>
      </c>
      <c r="AG45" s="72" t="b">
        <f t="shared" si="25"/>
        <v>0</v>
      </c>
      <c r="AH45" s="72" t="b">
        <f t="shared" si="26"/>
        <v>0</v>
      </c>
    </row>
    <row r="46" spans="3:34">
      <c r="C46" s="72"/>
      <c r="D46" s="77"/>
      <c r="E46" s="78"/>
      <c r="F46" s="78"/>
      <c r="G46" s="72"/>
      <c r="H46" s="72"/>
      <c r="I46" s="72"/>
      <c r="J46" s="73">
        <f t="shared" si="13"/>
        <v>0</v>
      </c>
      <c r="K46" s="78"/>
      <c r="L46" s="73"/>
      <c r="M46" s="74" t="e">
        <f>_xlfn.IFNA(VLOOKUP(D46,'חד גזעי'!$U$4:$V$305,2,0),VLOOKUP(D46,'חד גזעי'!$U$4:$V$305,2))</f>
        <v>#N/A</v>
      </c>
      <c r="N46" s="73"/>
      <c r="O46" s="72" t="e">
        <f t="shared" si="14"/>
        <v>#N/A</v>
      </c>
      <c r="P46" s="85">
        <f t="shared" si="15"/>
        <v>0</v>
      </c>
      <c r="Q46" s="80">
        <f t="shared" si="16"/>
        <v>0</v>
      </c>
      <c r="R46" s="77"/>
      <c r="S46" s="75"/>
      <c r="T46" t="e">
        <f>VLOOKUP(D46,'חד גזעי'!$Y$4:$Y$18,1,0)</f>
        <v>#N/A</v>
      </c>
      <c r="U46">
        <f t="shared" si="17"/>
        <v>1</v>
      </c>
      <c r="V46" s="72"/>
      <c r="W46">
        <f t="shared" si="18"/>
        <v>0</v>
      </c>
      <c r="X46" s="72"/>
      <c r="Y46" s="72" t="e">
        <f t="shared" si="19"/>
        <v>#N/A</v>
      </c>
      <c r="Z46" s="72" t="e">
        <f>(VLOOKUP(D46,'חד גזעי'!$P$1:$R$282,3,FALSE))</f>
        <v>#N/A</v>
      </c>
      <c r="AA46" s="72">
        <f t="shared" si="20"/>
        <v>0</v>
      </c>
      <c r="AB46" s="72">
        <f t="shared" si="21"/>
        <v>0</v>
      </c>
      <c r="AC46" s="72">
        <f t="shared" si="22"/>
        <v>0</v>
      </c>
      <c r="AD46" s="72" t="e">
        <f t="shared" si="23"/>
        <v>#N/A</v>
      </c>
      <c r="AE46" t="e">
        <f>VLOOKUP(D46,'חד גזעי'!$P$284:$R$305,3,FALSE)</f>
        <v>#N/A</v>
      </c>
      <c r="AF46" s="72" t="b">
        <f t="shared" si="24"/>
        <v>0</v>
      </c>
      <c r="AG46" s="72" t="b">
        <f t="shared" si="25"/>
        <v>0</v>
      </c>
      <c r="AH46" s="72" t="b">
        <f t="shared" si="26"/>
        <v>0</v>
      </c>
    </row>
    <row r="47" spans="3:34">
      <c r="C47" s="72"/>
      <c r="D47" s="77"/>
      <c r="E47" s="78"/>
      <c r="F47" s="78"/>
      <c r="G47" s="72"/>
      <c r="H47" s="72"/>
      <c r="I47" s="72"/>
      <c r="J47" s="73">
        <f t="shared" si="13"/>
        <v>0</v>
      </c>
      <c r="K47" s="78"/>
      <c r="L47" s="73"/>
      <c r="M47" s="74" t="e">
        <f>_xlfn.IFNA(VLOOKUP(D47,'חד גזעי'!$U$4:$V$305,2,0),VLOOKUP(D47,'חד גזעי'!$U$4:$V$305,2))</f>
        <v>#N/A</v>
      </c>
      <c r="N47" s="73"/>
      <c r="O47" s="72" t="e">
        <f t="shared" si="14"/>
        <v>#N/A</v>
      </c>
      <c r="P47" s="85">
        <f t="shared" si="15"/>
        <v>0</v>
      </c>
      <c r="Q47" s="80">
        <f t="shared" si="16"/>
        <v>0</v>
      </c>
      <c r="R47" s="77"/>
      <c r="S47" s="75"/>
      <c r="T47" t="e">
        <f>VLOOKUP(D47,'חד גזעי'!$Y$4:$Y$18,1,0)</f>
        <v>#N/A</v>
      </c>
      <c r="U47">
        <f t="shared" si="17"/>
        <v>1</v>
      </c>
      <c r="V47" s="72"/>
      <c r="W47">
        <f t="shared" si="18"/>
        <v>0</v>
      </c>
      <c r="X47" s="72"/>
      <c r="Y47" s="72" t="e">
        <f t="shared" si="19"/>
        <v>#N/A</v>
      </c>
      <c r="Z47" s="72" t="e">
        <f>(VLOOKUP(D47,'חד גזעי'!$P$1:$R$282,3,FALSE))</f>
        <v>#N/A</v>
      </c>
      <c r="AA47" s="72">
        <f t="shared" si="20"/>
        <v>0</v>
      </c>
      <c r="AB47" s="72">
        <f t="shared" si="21"/>
        <v>0</v>
      </c>
      <c r="AC47" s="72">
        <f t="shared" si="22"/>
        <v>0</v>
      </c>
      <c r="AD47" s="72" t="e">
        <f t="shared" si="23"/>
        <v>#N/A</v>
      </c>
      <c r="AE47" t="e">
        <f>VLOOKUP(D47,'חד גזעי'!$P$284:$R$305,3,FALSE)</f>
        <v>#N/A</v>
      </c>
      <c r="AF47" s="72" t="b">
        <f t="shared" si="24"/>
        <v>0</v>
      </c>
      <c r="AG47" s="72" t="b">
        <f t="shared" si="25"/>
        <v>0</v>
      </c>
      <c r="AH47" s="72" t="b">
        <f t="shared" si="26"/>
        <v>0</v>
      </c>
    </row>
    <row r="48" spans="3:34">
      <c r="C48" s="72"/>
      <c r="D48" s="77"/>
      <c r="E48" s="78"/>
      <c r="F48" s="78"/>
      <c r="G48" s="72"/>
      <c r="H48" s="72"/>
      <c r="I48" s="72"/>
      <c r="J48" s="73">
        <f t="shared" si="13"/>
        <v>0</v>
      </c>
      <c r="K48" s="78"/>
      <c r="L48" s="73"/>
      <c r="M48" s="74" t="e">
        <f>_xlfn.IFNA(VLOOKUP(D48,'חד גזעי'!$U$4:$V$305,2,0),VLOOKUP(D48,'חד גזעי'!$U$4:$V$305,2))</f>
        <v>#N/A</v>
      </c>
      <c r="N48" s="73"/>
      <c r="O48" s="72" t="e">
        <f t="shared" si="14"/>
        <v>#N/A</v>
      </c>
      <c r="P48" s="85">
        <f t="shared" si="15"/>
        <v>0</v>
      </c>
      <c r="Q48" s="80">
        <f t="shared" si="16"/>
        <v>0</v>
      </c>
      <c r="R48" s="77"/>
      <c r="S48" s="76"/>
      <c r="T48" t="e">
        <f>VLOOKUP(D48,'חד גזעי'!$Y$4:$Y$18,1,0)</f>
        <v>#N/A</v>
      </c>
      <c r="U48">
        <f t="shared" si="17"/>
        <v>1</v>
      </c>
      <c r="V48" s="72"/>
      <c r="W48">
        <f t="shared" si="18"/>
        <v>0</v>
      </c>
      <c r="X48" s="72"/>
      <c r="Y48" s="72" t="e">
        <f t="shared" si="19"/>
        <v>#N/A</v>
      </c>
      <c r="Z48" s="72" t="e">
        <f>(VLOOKUP(D48,'חד גזעי'!$P$1:$R$282,3,FALSE))</f>
        <v>#N/A</v>
      </c>
      <c r="AA48" s="72">
        <f t="shared" si="20"/>
        <v>0</v>
      </c>
      <c r="AB48" s="72">
        <f t="shared" si="21"/>
        <v>0</v>
      </c>
      <c r="AC48" s="72">
        <f t="shared" si="22"/>
        <v>0</v>
      </c>
      <c r="AD48" s="72" t="e">
        <f t="shared" si="23"/>
        <v>#N/A</v>
      </c>
      <c r="AE48" t="e">
        <f>VLOOKUP(D48,'חד גזעי'!$P$284:$R$305,3,FALSE)</f>
        <v>#N/A</v>
      </c>
      <c r="AF48" s="72" t="b">
        <f t="shared" si="24"/>
        <v>0</v>
      </c>
      <c r="AG48" s="72" t="b">
        <f t="shared" si="25"/>
        <v>0</v>
      </c>
      <c r="AH48" s="72" t="b">
        <f t="shared" si="26"/>
        <v>0</v>
      </c>
    </row>
    <row r="49" spans="3:34">
      <c r="C49" s="72"/>
      <c r="D49" s="77"/>
      <c r="E49" s="78"/>
      <c r="F49" s="78"/>
      <c r="G49" s="72"/>
      <c r="H49" s="72"/>
      <c r="I49" s="72"/>
      <c r="J49" s="73">
        <f t="shared" si="13"/>
        <v>0</v>
      </c>
      <c r="K49" s="78"/>
      <c r="L49" s="73"/>
      <c r="M49" s="74" t="e">
        <f>_xlfn.IFNA(VLOOKUP(D49,'חד גזעי'!$U$4:$V$305,2,0),VLOOKUP(D49,'חד גזעי'!$U$4:$V$305,2))</f>
        <v>#N/A</v>
      </c>
      <c r="N49" s="73"/>
      <c r="O49" s="72" t="e">
        <f t="shared" si="14"/>
        <v>#N/A</v>
      </c>
      <c r="P49" s="85">
        <f t="shared" si="15"/>
        <v>0</v>
      </c>
      <c r="Q49" s="80">
        <f t="shared" si="16"/>
        <v>0</v>
      </c>
      <c r="R49" s="77"/>
      <c r="S49" s="76"/>
      <c r="T49" t="e">
        <f>VLOOKUP(D49,'חד גזעי'!$Y$4:$Y$18,1,0)</f>
        <v>#N/A</v>
      </c>
      <c r="U49">
        <f t="shared" si="17"/>
        <v>1</v>
      </c>
      <c r="V49" s="72"/>
      <c r="W49">
        <f t="shared" si="18"/>
        <v>0</v>
      </c>
      <c r="X49" s="72"/>
      <c r="Y49" s="72" t="e">
        <f t="shared" si="19"/>
        <v>#N/A</v>
      </c>
      <c r="Z49" s="72" t="e">
        <f>(VLOOKUP(D49,'חד גזעי'!$P$1:$R$282,3,FALSE))</f>
        <v>#N/A</v>
      </c>
      <c r="AA49" s="72">
        <f t="shared" si="20"/>
        <v>0</v>
      </c>
      <c r="AB49" s="72">
        <f t="shared" si="21"/>
        <v>0</v>
      </c>
      <c r="AC49" s="72">
        <f t="shared" si="22"/>
        <v>0</v>
      </c>
      <c r="AD49" s="72" t="e">
        <f t="shared" si="23"/>
        <v>#N/A</v>
      </c>
      <c r="AE49" t="e">
        <f>VLOOKUP(D49,'חד גזעי'!$P$284:$R$305,3,FALSE)</f>
        <v>#N/A</v>
      </c>
      <c r="AF49" s="72" t="b">
        <f t="shared" si="24"/>
        <v>0</v>
      </c>
      <c r="AG49" s="72" t="b">
        <f t="shared" si="25"/>
        <v>0</v>
      </c>
      <c r="AH49" s="72" t="b">
        <f t="shared" si="26"/>
        <v>0</v>
      </c>
    </row>
    <row r="50" spans="3:34">
      <c r="C50" s="72"/>
      <c r="D50" s="77"/>
      <c r="E50" s="78"/>
      <c r="F50" s="78"/>
      <c r="G50" s="72"/>
      <c r="H50" s="72"/>
      <c r="I50" s="72"/>
      <c r="J50" s="73">
        <f t="shared" si="13"/>
        <v>0</v>
      </c>
      <c r="K50" s="78"/>
      <c r="L50" s="73"/>
      <c r="M50" s="74" t="e">
        <f>_xlfn.IFNA(VLOOKUP(D50,'חד גזעי'!$U$4:$V$305,2,0),VLOOKUP(D50,'חד גזעי'!$U$4:$V$305,2))</f>
        <v>#N/A</v>
      </c>
      <c r="N50" s="73"/>
      <c r="O50" s="72" t="e">
        <f t="shared" si="14"/>
        <v>#N/A</v>
      </c>
      <c r="P50" s="85">
        <f t="shared" si="15"/>
        <v>0</v>
      </c>
      <c r="Q50" s="80">
        <f t="shared" si="16"/>
        <v>0</v>
      </c>
      <c r="R50" s="77"/>
      <c r="S50" s="76"/>
      <c r="T50" t="e">
        <f>VLOOKUP(D50,'חד גזעי'!$Y$4:$Y$18,1,0)</f>
        <v>#N/A</v>
      </c>
      <c r="U50">
        <f t="shared" si="17"/>
        <v>1</v>
      </c>
      <c r="V50" s="72"/>
      <c r="W50">
        <f t="shared" si="18"/>
        <v>0</v>
      </c>
      <c r="X50" s="72"/>
      <c r="Y50" s="72" t="e">
        <f t="shared" si="19"/>
        <v>#N/A</v>
      </c>
      <c r="Z50" s="72" t="e">
        <f>(VLOOKUP(D50,'חד גזעי'!$P$1:$R$282,3,FALSE))</f>
        <v>#N/A</v>
      </c>
      <c r="AA50" s="72">
        <f t="shared" si="20"/>
        <v>0</v>
      </c>
      <c r="AB50" s="72">
        <f t="shared" si="21"/>
        <v>0</v>
      </c>
      <c r="AC50" s="72">
        <f t="shared" si="22"/>
        <v>0</v>
      </c>
      <c r="AD50" s="72" t="e">
        <f t="shared" si="23"/>
        <v>#N/A</v>
      </c>
      <c r="AE50" t="e">
        <f>VLOOKUP(D50,'חד גזעי'!$P$284:$R$305,3,FALSE)</f>
        <v>#N/A</v>
      </c>
      <c r="AF50" s="72" t="b">
        <f t="shared" si="24"/>
        <v>0</v>
      </c>
      <c r="AG50" s="72" t="b">
        <f t="shared" si="25"/>
        <v>0</v>
      </c>
      <c r="AH50" s="72" t="b">
        <f t="shared" si="26"/>
        <v>0</v>
      </c>
    </row>
    <row r="51" spans="3:34">
      <c r="C51" s="72"/>
      <c r="D51" s="77"/>
      <c r="E51" s="78"/>
      <c r="F51" s="78"/>
      <c r="G51" s="72"/>
      <c r="H51" s="72"/>
      <c r="I51" s="72"/>
      <c r="J51" s="73">
        <f t="shared" si="13"/>
        <v>0</v>
      </c>
      <c r="K51" s="78"/>
      <c r="L51" s="73"/>
      <c r="M51" s="74" t="e">
        <f>_xlfn.IFNA(VLOOKUP(D51,'חד גזעי'!$U$4:$V$305,2,0),VLOOKUP(D51,'חד גזעי'!$U$4:$V$305,2))</f>
        <v>#N/A</v>
      </c>
      <c r="N51" s="73"/>
      <c r="O51" s="72" t="e">
        <f t="shared" si="14"/>
        <v>#N/A</v>
      </c>
      <c r="P51" s="85">
        <f t="shared" si="15"/>
        <v>0</v>
      </c>
      <c r="Q51" s="80">
        <f t="shared" si="16"/>
        <v>0</v>
      </c>
      <c r="R51" s="77"/>
      <c r="S51" s="75"/>
      <c r="T51" t="e">
        <f>VLOOKUP(D51,'חד גזעי'!$Y$4:$Y$18,1,0)</f>
        <v>#N/A</v>
      </c>
      <c r="U51">
        <f t="shared" si="17"/>
        <v>1</v>
      </c>
      <c r="V51" s="72"/>
      <c r="W51">
        <f t="shared" si="18"/>
        <v>0</v>
      </c>
      <c r="X51" s="72"/>
      <c r="Y51" s="72" t="e">
        <f t="shared" si="19"/>
        <v>#N/A</v>
      </c>
      <c r="Z51" s="72" t="e">
        <f>(VLOOKUP(D51,'חד גזעי'!$P$1:$R$282,3,FALSE))</f>
        <v>#N/A</v>
      </c>
      <c r="AA51" s="72">
        <f t="shared" si="20"/>
        <v>0</v>
      </c>
      <c r="AB51" s="72">
        <f t="shared" si="21"/>
        <v>0</v>
      </c>
      <c r="AC51" s="72">
        <f t="shared" si="22"/>
        <v>0</v>
      </c>
      <c r="AD51" s="72" t="e">
        <f t="shared" si="23"/>
        <v>#N/A</v>
      </c>
      <c r="AE51" t="e">
        <f>VLOOKUP(D51,'חד גזעי'!$P$284:$R$305,3,FALSE)</f>
        <v>#N/A</v>
      </c>
      <c r="AF51" s="72" t="b">
        <f t="shared" si="24"/>
        <v>0</v>
      </c>
      <c r="AG51" s="72" t="b">
        <f t="shared" si="25"/>
        <v>0</v>
      </c>
      <c r="AH51" s="72" t="b">
        <f t="shared" si="26"/>
        <v>0</v>
      </c>
    </row>
    <row r="52" spans="3:34">
      <c r="C52" s="72"/>
      <c r="D52" s="77"/>
      <c r="E52" s="78"/>
      <c r="F52" s="78"/>
      <c r="G52" s="72"/>
      <c r="H52" s="72"/>
      <c r="I52" s="72"/>
      <c r="J52" s="73">
        <f t="shared" si="13"/>
        <v>0</v>
      </c>
      <c r="K52" s="78"/>
      <c r="L52" s="73"/>
      <c r="M52" s="74" t="e">
        <f>_xlfn.IFNA(VLOOKUP(D52,'חד גזעי'!$U$4:$V$305,2,0),VLOOKUP(D52,'חד גזעי'!$U$4:$V$305,2))</f>
        <v>#N/A</v>
      </c>
      <c r="N52" s="73"/>
      <c r="O52" s="72" t="e">
        <f t="shared" si="14"/>
        <v>#N/A</v>
      </c>
      <c r="P52" s="85">
        <f t="shared" si="15"/>
        <v>0</v>
      </c>
      <c r="Q52" s="80">
        <f t="shared" si="16"/>
        <v>0</v>
      </c>
      <c r="R52" s="77"/>
      <c r="S52" s="76"/>
      <c r="T52" t="e">
        <f>VLOOKUP(D52,'חד גזעי'!$Y$4:$Y$18,1,0)</f>
        <v>#N/A</v>
      </c>
      <c r="U52">
        <f t="shared" si="17"/>
        <v>1</v>
      </c>
      <c r="V52" s="72"/>
      <c r="W52">
        <f t="shared" si="18"/>
        <v>0</v>
      </c>
      <c r="X52" s="72"/>
      <c r="Y52" s="72" t="e">
        <f t="shared" si="19"/>
        <v>#N/A</v>
      </c>
      <c r="Z52" s="72" t="e">
        <f>(VLOOKUP(D52,'חד גזעי'!$P$1:$R$282,3,FALSE))</f>
        <v>#N/A</v>
      </c>
      <c r="AA52" s="72">
        <f t="shared" si="20"/>
        <v>0</v>
      </c>
      <c r="AB52" s="72">
        <f t="shared" si="21"/>
        <v>0</v>
      </c>
      <c r="AC52" s="72">
        <f t="shared" si="22"/>
        <v>0</v>
      </c>
      <c r="AD52" s="72" t="e">
        <f t="shared" si="23"/>
        <v>#N/A</v>
      </c>
      <c r="AE52" t="e">
        <f>VLOOKUP(D52,'חד גזעי'!$P$284:$R$305,3,FALSE)</f>
        <v>#N/A</v>
      </c>
      <c r="AF52" s="72" t="b">
        <f t="shared" si="24"/>
        <v>0</v>
      </c>
      <c r="AG52" s="72" t="b">
        <f t="shared" si="25"/>
        <v>0</v>
      </c>
      <c r="AH52" s="72" t="b">
        <f t="shared" si="26"/>
        <v>0</v>
      </c>
    </row>
    <row r="53" spans="3:34">
      <c r="C53" s="72"/>
      <c r="D53" s="77"/>
      <c r="E53" s="78"/>
      <c r="F53" s="78"/>
      <c r="G53" s="72"/>
      <c r="H53" s="72"/>
      <c r="I53" s="72"/>
      <c r="J53" s="73">
        <f t="shared" si="13"/>
        <v>0</v>
      </c>
      <c r="K53" s="78"/>
      <c r="L53" s="73"/>
      <c r="M53" s="74" t="e">
        <f>_xlfn.IFNA(VLOOKUP(D53,'חד גזעי'!$U$4:$V$305,2,0),VLOOKUP(D53,'חד גזעי'!$U$4:$V$305,2))</f>
        <v>#N/A</v>
      </c>
      <c r="N53" s="73"/>
      <c r="O53" s="72" t="e">
        <f t="shared" si="14"/>
        <v>#N/A</v>
      </c>
      <c r="P53" s="85">
        <f t="shared" si="15"/>
        <v>0</v>
      </c>
      <c r="Q53" s="80">
        <f t="shared" si="16"/>
        <v>0</v>
      </c>
      <c r="R53" s="77"/>
      <c r="S53" s="76"/>
      <c r="T53" t="e">
        <f>VLOOKUP(D53,'חד גזעי'!$Y$4:$Y$18,1,0)</f>
        <v>#N/A</v>
      </c>
      <c r="U53">
        <f t="shared" si="17"/>
        <v>1</v>
      </c>
      <c r="V53" s="72"/>
      <c r="W53">
        <f t="shared" si="18"/>
        <v>0</v>
      </c>
      <c r="X53" s="72"/>
      <c r="Y53" s="72" t="e">
        <f t="shared" si="19"/>
        <v>#N/A</v>
      </c>
      <c r="Z53" s="72" t="e">
        <f>(VLOOKUP(D53,'חד גזעי'!$P$1:$R$282,3,FALSE))</f>
        <v>#N/A</v>
      </c>
      <c r="AA53" s="72">
        <f t="shared" si="20"/>
        <v>0</v>
      </c>
      <c r="AB53" s="72">
        <f t="shared" si="21"/>
        <v>0</v>
      </c>
      <c r="AC53" s="72">
        <f t="shared" si="22"/>
        <v>0</v>
      </c>
      <c r="AD53" s="72" t="e">
        <f t="shared" si="23"/>
        <v>#N/A</v>
      </c>
      <c r="AE53" t="e">
        <f>VLOOKUP(D53,'חד גזעי'!$P$284:$R$305,3,FALSE)</f>
        <v>#N/A</v>
      </c>
      <c r="AF53" s="72" t="b">
        <f t="shared" si="24"/>
        <v>0</v>
      </c>
      <c r="AG53" s="72" t="b">
        <f t="shared" si="25"/>
        <v>0</v>
      </c>
      <c r="AH53" s="72" t="b">
        <f t="shared" si="26"/>
        <v>0</v>
      </c>
    </row>
    <row r="54" spans="3:34">
      <c r="C54" s="72"/>
      <c r="D54" s="77"/>
      <c r="E54" s="78"/>
      <c r="F54" s="78"/>
      <c r="G54" s="72"/>
      <c r="H54" s="72"/>
      <c r="I54" s="72"/>
      <c r="J54" s="73">
        <f t="shared" si="13"/>
        <v>0</v>
      </c>
      <c r="K54" s="78"/>
      <c r="L54" s="73"/>
      <c r="M54" s="74" t="e">
        <f>_xlfn.IFNA(VLOOKUP(D54,'חד גזעי'!$U$4:$V$305,2,0),VLOOKUP(D54,'חד גזעי'!$U$4:$V$305,2))</f>
        <v>#N/A</v>
      </c>
      <c r="N54" s="73"/>
      <c r="O54" s="72" t="e">
        <f t="shared" si="14"/>
        <v>#N/A</v>
      </c>
      <c r="P54" s="85">
        <f t="shared" si="15"/>
        <v>0</v>
      </c>
      <c r="Q54" s="80">
        <f t="shared" si="16"/>
        <v>0</v>
      </c>
      <c r="R54" s="77"/>
      <c r="S54" s="75"/>
      <c r="T54" t="e">
        <f>VLOOKUP(D54,'חד גזעי'!$Y$4:$Y$18,1,0)</f>
        <v>#N/A</v>
      </c>
      <c r="U54">
        <f t="shared" si="17"/>
        <v>1</v>
      </c>
      <c r="V54" s="72"/>
      <c r="W54">
        <f t="shared" si="18"/>
        <v>0</v>
      </c>
      <c r="X54" s="72"/>
      <c r="Y54" s="72" t="e">
        <f t="shared" si="19"/>
        <v>#N/A</v>
      </c>
      <c r="Z54" s="72" t="e">
        <f>(VLOOKUP(D54,'חד גזעי'!$P$1:$R$282,3,FALSE))</f>
        <v>#N/A</v>
      </c>
      <c r="AA54" s="72">
        <f t="shared" si="20"/>
        <v>0</v>
      </c>
      <c r="AB54" s="72">
        <f t="shared" si="21"/>
        <v>0</v>
      </c>
      <c r="AC54" s="72">
        <f t="shared" si="22"/>
        <v>0</v>
      </c>
      <c r="AD54" s="72" t="e">
        <f t="shared" si="23"/>
        <v>#N/A</v>
      </c>
      <c r="AE54" t="e">
        <f>VLOOKUP(D54,'חד גזעי'!$P$284:$R$305,3,FALSE)</f>
        <v>#N/A</v>
      </c>
      <c r="AF54" s="72" t="b">
        <f t="shared" si="24"/>
        <v>0</v>
      </c>
      <c r="AG54" s="72" t="b">
        <f t="shared" si="25"/>
        <v>0</v>
      </c>
      <c r="AH54" s="72" t="b">
        <f t="shared" si="26"/>
        <v>0</v>
      </c>
    </row>
    <row r="55" spans="3:34">
      <c r="C55" s="72"/>
      <c r="D55" s="77"/>
      <c r="E55" s="78"/>
      <c r="F55" s="78"/>
      <c r="G55" s="72"/>
      <c r="H55" s="72"/>
      <c r="I55" s="72"/>
      <c r="J55" s="73">
        <f t="shared" si="13"/>
        <v>0</v>
      </c>
      <c r="K55" s="78"/>
      <c r="L55" s="73"/>
      <c r="M55" s="74" t="e">
        <f>_xlfn.IFNA(VLOOKUP(D55,'חד גזעי'!$U$4:$V$305,2,0),VLOOKUP(D55,'חד גזעי'!$U$4:$V$305,2))</f>
        <v>#N/A</v>
      </c>
      <c r="N55" s="73"/>
      <c r="O55" s="72" t="e">
        <f t="shared" si="14"/>
        <v>#N/A</v>
      </c>
      <c r="P55" s="85">
        <f t="shared" si="15"/>
        <v>0</v>
      </c>
      <c r="Q55" s="80">
        <f t="shared" si="16"/>
        <v>0</v>
      </c>
      <c r="R55" s="77"/>
      <c r="S55" s="76"/>
      <c r="T55" t="e">
        <f>VLOOKUP(D55,'חד גזעי'!$Y$4:$Y$18,1,0)</f>
        <v>#N/A</v>
      </c>
      <c r="U55">
        <f t="shared" si="17"/>
        <v>1</v>
      </c>
      <c r="V55" s="72"/>
      <c r="W55">
        <f t="shared" si="18"/>
        <v>0</v>
      </c>
      <c r="X55" s="72"/>
      <c r="Y55" s="72" t="e">
        <f t="shared" si="19"/>
        <v>#N/A</v>
      </c>
      <c r="Z55" s="72" t="e">
        <f>(VLOOKUP(D55,'חד גזעי'!$P$1:$R$282,3,FALSE))</f>
        <v>#N/A</v>
      </c>
      <c r="AA55" s="72">
        <f t="shared" si="20"/>
        <v>0</v>
      </c>
      <c r="AB55" s="72">
        <f t="shared" si="21"/>
        <v>0</v>
      </c>
      <c r="AC55" s="72">
        <f t="shared" si="22"/>
        <v>0</v>
      </c>
      <c r="AD55" s="72" t="e">
        <f t="shared" si="23"/>
        <v>#N/A</v>
      </c>
      <c r="AE55" t="e">
        <f>VLOOKUP(D55,'חד גזעי'!$P$284:$R$305,3,FALSE)</f>
        <v>#N/A</v>
      </c>
      <c r="AF55" s="72" t="b">
        <f t="shared" si="24"/>
        <v>0</v>
      </c>
      <c r="AG55" s="72" t="b">
        <f t="shared" si="25"/>
        <v>0</v>
      </c>
      <c r="AH55" s="72" t="b">
        <f t="shared" si="26"/>
        <v>0</v>
      </c>
    </row>
    <row r="56" spans="3:34">
      <c r="C56" s="72"/>
      <c r="D56" s="77"/>
      <c r="E56" s="78"/>
      <c r="F56" s="78"/>
      <c r="G56" s="72"/>
      <c r="H56" s="72"/>
      <c r="I56" s="72"/>
      <c r="J56" s="73">
        <f t="shared" si="13"/>
        <v>0</v>
      </c>
      <c r="K56" s="78"/>
      <c r="L56" s="73"/>
      <c r="M56" s="74" t="e">
        <f>_xlfn.IFNA(VLOOKUP(D56,'חד גזעי'!$U$4:$V$305,2,0),VLOOKUP(D56,'חד גזעי'!$U$4:$V$305,2))</f>
        <v>#N/A</v>
      </c>
      <c r="N56" s="102"/>
      <c r="O56" s="72" t="e">
        <f t="shared" si="14"/>
        <v>#N/A</v>
      </c>
      <c r="P56" s="85">
        <f t="shared" si="15"/>
        <v>0</v>
      </c>
      <c r="Q56" s="80">
        <f t="shared" si="16"/>
        <v>0</v>
      </c>
      <c r="R56" s="77"/>
      <c r="S56" s="76"/>
      <c r="T56" t="e">
        <f>VLOOKUP(D56,'חד גזעי'!$Y$4:$Y$18,1,0)</f>
        <v>#N/A</v>
      </c>
      <c r="U56">
        <f t="shared" si="17"/>
        <v>1</v>
      </c>
      <c r="V56" s="72"/>
      <c r="W56">
        <f t="shared" si="18"/>
        <v>0</v>
      </c>
      <c r="X56" s="72"/>
      <c r="Y56" s="72" t="e">
        <f t="shared" si="19"/>
        <v>#N/A</v>
      </c>
      <c r="Z56" s="72" t="e">
        <f>(VLOOKUP(D56,'חד גזעי'!$P$1:$R$282,3,FALSE))</f>
        <v>#N/A</v>
      </c>
      <c r="AA56" s="72">
        <f t="shared" si="20"/>
        <v>0</v>
      </c>
      <c r="AB56" s="72">
        <f t="shared" si="21"/>
        <v>0</v>
      </c>
      <c r="AC56" s="72">
        <f t="shared" si="22"/>
        <v>0</v>
      </c>
      <c r="AD56" s="72" t="e">
        <f t="shared" si="23"/>
        <v>#N/A</v>
      </c>
      <c r="AE56" t="e">
        <f>VLOOKUP(D56,'חד גזעי'!$P$284:$R$305,3,FALSE)</f>
        <v>#N/A</v>
      </c>
      <c r="AF56" s="72" t="b">
        <f t="shared" si="24"/>
        <v>0</v>
      </c>
      <c r="AG56" s="72" t="b">
        <f t="shared" si="25"/>
        <v>0</v>
      </c>
      <c r="AH56" s="72" t="b">
        <f t="shared" si="26"/>
        <v>0</v>
      </c>
    </row>
    <row r="57" spans="3:34">
      <c r="C57" s="72"/>
      <c r="D57" s="77"/>
      <c r="E57" s="73"/>
      <c r="F57" s="73"/>
      <c r="G57" s="72"/>
      <c r="H57" s="72"/>
      <c r="I57" s="72"/>
      <c r="J57" s="73">
        <f t="shared" si="13"/>
        <v>0</v>
      </c>
      <c r="K57" s="73"/>
      <c r="L57" s="73"/>
      <c r="M57" s="74" t="e">
        <f>_xlfn.IFNA(VLOOKUP(D57,'חד גזעי'!$U$4:$V$305,2,0),VLOOKUP(D57,'חד גזעי'!$U$4:$V$305,2))</f>
        <v>#N/A</v>
      </c>
      <c r="N57" s="73"/>
      <c r="O57" s="72" t="e">
        <f t="shared" si="14"/>
        <v>#N/A</v>
      </c>
      <c r="P57" s="85">
        <f t="shared" si="15"/>
        <v>0</v>
      </c>
      <c r="Q57" s="80">
        <f t="shared" si="16"/>
        <v>0</v>
      </c>
      <c r="R57" s="77"/>
      <c r="S57" s="76"/>
      <c r="T57" t="e">
        <f>VLOOKUP(D57,'חד גזעי'!$Y$4:$Y$18,1,0)</f>
        <v>#N/A</v>
      </c>
      <c r="U57">
        <f t="shared" si="17"/>
        <v>1</v>
      </c>
      <c r="V57" s="72"/>
      <c r="W57">
        <f t="shared" si="18"/>
        <v>0</v>
      </c>
      <c r="X57" s="72"/>
      <c r="Y57" s="72" t="e">
        <f t="shared" si="19"/>
        <v>#N/A</v>
      </c>
      <c r="Z57" s="72" t="e">
        <f>(VLOOKUP(D57,'חד גזעי'!$P$1:$R$282,3,FALSE))</f>
        <v>#N/A</v>
      </c>
      <c r="AA57" s="72">
        <f t="shared" si="20"/>
        <v>0</v>
      </c>
      <c r="AB57" s="72">
        <f t="shared" si="21"/>
        <v>0</v>
      </c>
      <c r="AC57" s="72">
        <f t="shared" si="22"/>
        <v>0</v>
      </c>
      <c r="AD57" s="72" t="e">
        <f t="shared" si="23"/>
        <v>#N/A</v>
      </c>
      <c r="AE57" t="e">
        <f>VLOOKUP(D57,'חד גזעי'!$P$284:$R$305,3,FALSE)</f>
        <v>#N/A</v>
      </c>
      <c r="AF57" s="72" t="b">
        <f t="shared" si="24"/>
        <v>0</v>
      </c>
      <c r="AG57" s="72" t="b">
        <f t="shared" si="25"/>
        <v>0</v>
      </c>
      <c r="AH57" s="72" t="b">
        <f t="shared" si="26"/>
        <v>0</v>
      </c>
    </row>
    <row r="58" spans="3:34">
      <c r="C58" s="72"/>
      <c r="D58" s="77"/>
      <c r="E58" s="73"/>
      <c r="F58" s="73"/>
      <c r="G58" s="72"/>
      <c r="H58" s="72"/>
      <c r="I58" s="72"/>
      <c r="J58" s="73">
        <f t="shared" si="13"/>
        <v>0</v>
      </c>
      <c r="K58" s="73"/>
      <c r="L58" s="73"/>
      <c r="M58" s="74" t="e">
        <f>_xlfn.IFNA(VLOOKUP(D58,'חד גזעי'!$U$4:$V$305,2,0),VLOOKUP(D58,'חד גזעי'!$U$4:$V$305,2))</f>
        <v>#N/A</v>
      </c>
      <c r="N58" s="73"/>
      <c r="O58" s="72" t="e">
        <f t="shared" si="14"/>
        <v>#N/A</v>
      </c>
      <c r="P58" s="85">
        <f t="shared" si="15"/>
        <v>0</v>
      </c>
      <c r="Q58" s="80">
        <f t="shared" si="16"/>
        <v>0</v>
      </c>
      <c r="R58" s="77"/>
      <c r="S58" s="76"/>
      <c r="T58" t="e">
        <f>VLOOKUP(D58,'חד גזעי'!$Y$4:$Y$18,1,0)</f>
        <v>#N/A</v>
      </c>
      <c r="U58">
        <f t="shared" si="17"/>
        <v>1</v>
      </c>
      <c r="V58" s="72"/>
      <c r="W58">
        <f t="shared" si="18"/>
        <v>0</v>
      </c>
      <c r="X58" s="72"/>
      <c r="Y58" s="72" t="e">
        <f t="shared" si="19"/>
        <v>#N/A</v>
      </c>
      <c r="Z58" s="72" t="e">
        <f>(VLOOKUP(D58,'חד גזעי'!$P$1:$R$282,3,FALSE))</f>
        <v>#N/A</v>
      </c>
      <c r="AA58" s="72">
        <f t="shared" si="20"/>
        <v>0</v>
      </c>
      <c r="AB58" s="72">
        <f t="shared" si="21"/>
        <v>0</v>
      </c>
      <c r="AC58" s="72">
        <f t="shared" si="22"/>
        <v>0</v>
      </c>
      <c r="AD58" s="72" t="e">
        <f t="shared" si="23"/>
        <v>#N/A</v>
      </c>
      <c r="AE58" t="e">
        <f>VLOOKUP(D58,'חד גזעי'!$P$284:$R$305,3,FALSE)</f>
        <v>#N/A</v>
      </c>
      <c r="AF58" s="72" t="b">
        <f t="shared" si="24"/>
        <v>0</v>
      </c>
      <c r="AG58" s="72" t="b">
        <f t="shared" si="25"/>
        <v>0</v>
      </c>
      <c r="AH58" s="72" t="b">
        <f t="shared" si="26"/>
        <v>0</v>
      </c>
    </row>
    <row r="59" spans="3:34">
      <c r="C59" s="72"/>
      <c r="D59" s="77"/>
      <c r="E59" s="73"/>
      <c r="F59" s="73"/>
      <c r="G59" s="72"/>
      <c r="H59" s="72"/>
      <c r="I59" s="72"/>
      <c r="J59" s="73">
        <f t="shared" si="13"/>
        <v>0</v>
      </c>
      <c r="K59" s="73"/>
      <c r="L59" s="73"/>
      <c r="M59" s="74" t="e">
        <f>_xlfn.IFNA(VLOOKUP(D59,'חד גזעי'!$U$4:$V$305,2,0),VLOOKUP(D59,'חד גזעי'!$U$4:$V$305,2))</f>
        <v>#N/A</v>
      </c>
      <c r="N59" s="73"/>
      <c r="O59" s="72" t="e">
        <f t="shared" si="14"/>
        <v>#N/A</v>
      </c>
      <c r="P59" s="85">
        <f t="shared" si="15"/>
        <v>0</v>
      </c>
      <c r="Q59" s="80">
        <f t="shared" si="16"/>
        <v>0</v>
      </c>
      <c r="R59" s="77"/>
      <c r="S59" s="76"/>
      <c r="T59" t="e">
        <f>VLOOKUP(D59,'חד גזעי'!$Y$4:$Y$18,1,0)</f>
        <v>#N/A</v>
      </c>
      <c r="U59">
        <f t="shared" si="17"/>
        <v>1</v>
      </c>
      <c r="V59" s="72"/>
      <c r="W59">
        <f t="shared" si="18"/>
        <v>0</v>
      </c>
      <c r="X59" s="72"/>
      <c r="Y59" s="72" t="e">
        <f t="shared" si="19"/>
        <v>#N/A</v>
      </c>
      <c r="Z59" s="72" t="e">
        <f>(VLOOKUP(D59,'חד גזעי'!$P$1:$R$282,3,FALSE))</f>
        <v>#N/A</v>
      </c>
      <c r="AA59" s="72">
        <f t="shared" si="20"/>
        <v>0</v>
      </c>
      <c r="AB59" s="72">
        <f t="shared" si="21"/>
        <v>0</v>
      </c>
      <c r="AC59" s="72">
        <f t="shared" si="22"/>
        <v>0</v>
      </c>
      <c r="AD59" s="72" t="e">
        <f t="shared" si="23"/>
        <v>#N/A</v>
      </c>
      <c r="AE59" t="e">
        <f>VLOOKUP(D59,'חד גזעי'!$P$284:$R$305,3,FALSE)</f>
        <v>#N/A</v>
      </c>
      <c r="AF59" s="72" t="b">
        <f t="shared" si="24"/>
        <v>0</v>
      </c>
      <c r="AG59" s="72" t="b">
        <f t="shared" si="25"/>
        <v>0</v>
      </c>
      <c r="AH59" s="72" t="b">
        <f t="shared" si="26"/>
        <v>0</v>
      </c>
    </row>
    <row r="60" spans="3:34">
      <c r="C60" s="72"/>
      <c r="D60" s="77"/>
      <c r="E60" s="73"/>
      <c r="F60" s="73"/>
      <c r="G60" s="72"/>
      <c r="H60" s="72"/>
      <c r="I60" s="72"/>
      <c r="J60" s="73">
        <f t="shared" si="13"/>
        <v>0</v>
      </c>
      <c r="K60" s="73"/>
      <c r="L60" s="73"/>
      <c r="M60" s="74" t="e">
        <f>_xlfn.IFNA(VLOOKUP(D60,'חד גזעי'!$U$4:$V$305,2,0),VLOOKUP(D60,'חד גזעי'!$U$4:$V$305,2))</f>
        <v>#N/A</v>
      </c>
      <c r="N60" s="73"/>
      <c r="O60" s="72" t="e">
        <f t="shared" si="14"/>
        <v>#N/A</v>
      </c>
      <c r="P60" s="85">
        <f t="shared" si="15"/>
        <v>0</v>
      </c>
      <c r="Q60" s="80">
        <f t="shared" si="16"/>
        <v>0</v>
      </c>
      <c r="R60" s="77"/>
      <c r="S60" s="76"/>
      <c r="T60" t="e">
        <f>VLOOKUP(D60,'חד גזעי'!$Y$4:$Y$18,1,0)</f>
        <v>#N/A</v>
      </c>
      <c r="U60">
        <f t="shared" si="17"/>
        <v>1</v>
      </c>
      <c r="V60" s="72"/>
      <c r="W60">
        <f t="shared" si="18"/>
        <v>0</v>
      </c>
      <c r="X60" s="72"/>
      <c r="Y60" s="72" t="e">
        <f t="shared" si="19"/>
        <v>#N/A</v>
      </c>
      <c r="Z60" s="72" t="e">
        <f>(VLOOKUP(D60,'חד גזעי'!$P$1:$R$282,3,FALSE))</f>
        <v>#N/A</v>
      </c>
      <c r="AA60" s="72">
        <f t="shared" si="20"/>
        <v>0</v>
      </c>
      <c r="AB60" s="72">
        <f t="shared" si="21"/>
        <v>0</v>
      </c>
      <c r="AC60" s="72">
        <f t="shared" si="22"/>
        <v>0</v>
      </c>
      <c r="AD60" s="72" t="e">
        <f t="shared" si="23"/>
        <v>#N/A</v>
      </c>
      <c r="AE60" t="e">
        <f>VLOOKUP(D60,'חד גזעי'!$P$284:$R$305,3,FALSE)</f>
        <v>#N/A</v>
      </c>
      <c r="AF60" s="72" t="b">
        <f t="shared" si="24"/>
        <v>0</v>
      </c>
      <c r="AG60" s="72" t="b">
        <f t="shared" si="25"/>
        <v>0</v>
      </c>
      <c r="AH60" s="72" t="b">
        <f t="shared" si="26"/>
        <v>0</v>
      </c>
    </row>
    <row r="61" spans="3:34">
      <c r="C61" s="72"/>
      <c r="D61" s="77"/>
      <c r="E61" s="74"/>
      <c r="F61" s="73"/>
      <c r="G61" s="72"/>
      <c r="H61" s="72"/>
      <c r="I61" s="72"/>
      <c r="J61" s="73">
        <f t="shared" ref="J61:J86" si="27">G61+(H61/2)+(I61/2)</f>
        <v>0</v>
      </c>
      <c r="K61" s="74"/>
      <c r="L61" s="73"/>
      <c r="M61" s="74" t="e">
        <f>_xlfn.IFNA(VLOOKUP(D61,'חד גזעי'!$U$4:$V$305,2,0),VLOOKUP(D61,'חד גזעי'!$U$4:$V$305,2))</f>
        <v>#N/A</v>
      </c>
      <c r="N61" s="74"/>
      <c r="O61" s="72" t="e">
        <f t="shared" ref="O61:O86" si="28">SUM(K61:N61)</f>
        <v>#N/A</v>
      </c>
      <c r="P61" s="85">
        <f t="shared" ref="P61:P86" si="29">IF(K61=0,0,G61*0.12)</f>
        <v>0</v>
      </c>
      <c r="Q61" s="80">
        <f t="shared" ref="Q61:Q86" si="30">IF(G61&lt;20,0,_xlfn.IFNA(Y61,AD61))</f>
        <v>0</v>
      </c>
      <c r="R61" s="77"/>
      <c r="S61" s="75"/>
      <c r="T61" t="e">
        <f>VLOOKUP(D61,'חד גזעי'!$Y$4:$Y$18,1,0)</f>
        <v>#N/A</v>
      </c>
      <c r="U61">
        <f t="shared" ref="U61:U86" si="31">_xlfn.IFNA(T61,1)</f>
        <v>1</v>
      </c>
      <c r="V61" s="72"/>
      <c r="W61">
        <f t="shared" ref="W61:W86" si="32">_xlfn.IFNA(Y61,0)</f>
        <v>0</v>
      </c>
      <c r="X61" s="72"/>
      <c r="Y61" s="72" t="e">
        <f t="shared" ref="Y61:Y86" si="33">((AC61+AB61+AA61)*(Z61))*(K61*0.2)*(L61*0.2)*20</f>
        <v>#N/A</v>
      </c>
      <c r="Z61" s="72" t="e">
        <f>(VLOOKUP(D61,'חד גזעי'!$P$1:$R$282,3,FALSE))</f>
        <v>#N/A</v>
      </c>
      <c r="AA61" s="72">
        <f t="shared" ref="AA61:AA86" si="34">(3.14*((G61/2)^2))</f>
        <v>0</v>
      </c>
      <c r="AB61" s="72">
        <f t="shared" ref="AB61:AB86" si="35">(3.14*((H61/2)^2))/2</f>
        <v>0</v>
      </c>
      <c r="AC61" s="72">
        <f t="shared" ref="AC61:AC86" si="36">(3.14*((I61/2)^2))/2</f>
        <v>0</v>
      </c>
      <c r="AD61" s="72" t="e">
        <f t="shared" ref="AD61:AD86" si="37">AE61*F61*(K61*0.2)*(0.2*L61)*1500</f>
        <v>#N/A</v>
      </c>
      <c r="AE61" t="e">
        <f>VLOOKUP(D61,'חד גזעי'!$P$284:$R$305,3,FALSE)</f>
        <v>#N/A</v>
      </c>
      <c r="AF61" s="72" t="b">
        <f t="shared" si="24"/>
        <v>0</v>
      </c>
      <c r="AG61" s="72" t="b">
        <f t="shared" si="25"/>
        <v>0</v>
      </c>
      <c r="AH61" s="72" t="b">
        <f t="shared" si="26"/>
        <v>0</v>
      </c>
    </row>
    <row r="62" spans="3:34">
      <c r="C62" s="72"/>
      <c r="D62" s="77"/>
      <c r="E62" s="73"/>
      <c r="F62" s="73"/>
      <c r="G62" s="72"/>
      <c r="H62" s="72"/>
      <c r="I62" s="72"/>
      <c r="J62" s="73">
        <f t="shared" si="27"/>
        <v>0</v>
      </c>
      <c r="K62" s="73"/>
      <c r="L62" s="73"/>
      <c r="M62" s="74" t="e">
        <f>_xlfn.IFNA(VLOOKUP(D62,'חד גזעי'!$U$4:$V$305,2,0),VLOOKUP(D62,'חד גזעי'!$U$4:$V$305,2))</f>
        <v>#N/A</v>
      </c>
      <c r="N62" s="73"/>
      <c r="O62" s="72" t="e">
        <f t="shared" si="28"/>
        <v>#N/A</v>
      </c>
      <c r="P62" s="85">
        <f t="shared" si="29"/>
        <v>0</v>
      </c>
      <c r="Q62" s="80">
        <f t="shared" si="30"/>
        <v>0</v>
      </c>
      <c r="R62" s="77"/>
      <c r="S62" s="75"/>
      <c r="T62" t="e">
        <f>VLOOKUP(D62,'חד גזעי'!$Y$4:$Y$18,1,0)</f>
        <v>#N/A</v>
      </c>
      <c r="U62">
        <f t="shared" si="31"/>
        <v>1</v>
      </c>
      <c r="V62" s="72"/>
      <c r="W62">
        <f t="shared" si="32"/>
        <v>0</v>
      </c>
      <c r="X62" s="72"/>
      <c r="Y62" s="72" t="e">
        <f t="shared" si="33"/>
        <v>#N/A</v>
      </c>
      <c r="Z62" s="72" t="e">
        <f>(VLOOKUP(D62,'חד גזעי'!$P$1:$R$282,3,FALSE))</f>
        <v>#N/A</v>
      </c>
      <c r="AA62" s="72">
        <f t="shared" si="34"/>
        <v>0</v>
      </c>
      <c r="AB62" s="72">
        <f t="shared" si="35"/>
        <v>0</v>
      </c>
      <c r="AC62" s="72">
        <f t="shared" si="36"/>
        <v>0</v>
      </c>
      <c r="AD62" s="72" t="e">
        <f t="shared" si="37"/>
        <v>#N/A</v>
      </c>
      <c r="AE62" t="e">
        <f>VLOOKUP(D62,'חד גזעי'!$P$284:$R$305,3,FALSE)</f>
        <v>#N/A</v>
      </c>
      <c r="AF62" s="72" t="b">
        <f t="shared" si="24"/>
        <v>0</v>
      </c>
      <c r="AG62" s="72" t="b">
        <f t="shared" si="25"/>
        <v>0</v>
      </c>
      <c r="AH62" s="72" t="b">
        <f t="shared" si="26"/>
        <v>0</v>
      </c>
    </row>
    <row r="63" spans="3:34">
      <c r="C63" s="72"/>
      <c r="D63" s="77"/>
      <c r="E63" s="73"/>
      <c r="F63" s="73"/>
      <c r="G63" s="72"/>
      <c r="H63" s="72"/>
      <c r="I63" s="72"/>
      <c r="J63" s="73">
        <f t="shared" si="27"/>
        <v>0</v>
      </c>
      <c r="K63" s="73"/>
      <c r="L63" s="73"/>
      <c r="M63" s="74" t="e">
        <f>_xlfn.IFNA(VLOOKUP(D63,'חד גזעי'!$U$4:$V$305,2,0),VLOOKUP(D63,'חד גזעי'!$U$4:$V$305,2))</f>
        <v>#N/A</v>
      </c>
      <c r="N63" s="73"/>
      <c r="O63" s="72" t="e">
        <f t="shared" si="28"/>
        <v>#N/A</v>
      </c>
      <c r="P63" s="85">
        <f t="shared" si="29"/>
        <v>0</v>
      </c>
      <c r="Q63" s="80">
        <f t="shared" si="30"/>
        <v>0</v>
      </c>
      <c r="R63" s="77"/>
      <c r="S63" s="75"/>
      <c r="T63" t="e">
        <f>VLOOKUP(D63,'חד גזעי'!$Y$4:$Y$18,1,0)</f>
        <v>#N/A</v>
      </c>
      <c r="U63">
        <f t="shared" si="31"/>
        <v>1</v>
      </c>
      <c r="V63" s="72"/>
      <c r="W63">
        <f t="shared" si="32"/>
        <v>0</v>
      </c>
      <c r="X63" s="72"/>
      <c r="Y63" s="72" t="e">
        <f t="shared" si="33"/>
        <v>#N/A</v>
      </c>
      <c r="Z63" s="72" t="e">
        <f>(VLOOKUP(D63,'חד גזעי'!$P$1:$R$282,3,FALSE))</f>
        <v>#N/A</v>
      </c>
      <c r="AA63" s="72">
        <f t="shared" si="34"/>
        <v>0</v>
      </c>
      <c r="AB63" s="72">
        <f t="shared" si="35"/>
        <v>0</v>
      </c>
      <c r="AC63" s="72">
        <f t="shared" si="36"/>
        <v>0</v>
      </c>
      <c r="AD63" s="72" t="e">
        <f t="shared" si="37"/>
        <v>#N/A</v>
      </c>
      <c r="AE63" t="e">
        <f>VLOOKUP(D63,'חד גזעי'!$P$284:$R$305,3,FALSE)</f>
        <v>#N/A</v>
      </c>
      <c r="AF63" s="72" t="b">
        <f t="shared" si="24"/>
        <v>0</v>
      </c>
      <c r="AG63" s="72" t="b">
        <f t="shared" si="25"/>
        <v>0</v>
      </c>
      <c r="AH63" s="72" t="b">
        <f t="shared" si="26"/>
        <v>0</v>
      </c>
    </row>
    <row r="64" spans="3:34">
      <c r="C64" s="72"/>
      <c r="D64" s="77"/>
      <c r="E64" s="73"/>
      <c r="F64" s="73"/>
      <c r="G64" s="72"/>
      <c r="H64" s="72"/>
      <c r="I64" s="72"/>
      <c r="J64" s="73">
        <f t="shared" si="27"/>
        <v>0</v>
      </c>
      <c r="K64" s="73"/>
      <c r="L64" s="73"/>
      <c r="M64" s="74" t="e">
        <f>_xlfn.IFNA(VLOOKUP(D64,'חד גזעי'!$U$4:$V$305,2,0),VLOOKUP(D64,'חד גזעי'!$U$4:$V$305,2))</f>
        <v>#N/A</v>
      </c>
      <c r="N64" s="73"/>
      <c r="O64" s="72" t="e">
        <f t="shared" si="28"/>
        <v>#N/A</v>
      </c>
      <c r="P64" s="85">
        <f t="shared" si="29"/>
        <v>0</v>
      </c>
      <c r="Q64" s="80">
        <f t="shared" si="30"/>
        <v>0</v>
      </c>
      <c r="R64" s="77"/>
      <c r="S64" s="75"/>
      <c r="T64" t="e">
        <f>VLOOKUP(D64,'חד גזעי'!$Y$4:$Y$18,1,0)</f>
        <v>#N/A</v>
      </c>
      <c r="U64">
        <f t="shared" si="31"/>
        <v>1</v>
      </c>
      <c r="V64" s="72"/>
      <c r="W64">
        <f t="shared" si="32"/>
        <v>0</v>
      </c>
      <c r="X64" s="72"/>
      <c r="Y64" s="72" t="e">
        <f t="shared" si="33"/>
        <v>#N/A</v>
      </c>
      <c r="Z64" s="72" t="e">
        <f>(VLOOKUP(D64,'חד גזעי'!$P$1:$R$282,3,FALSE))</f>
        <v>#N/A</v>
      </c>
      <c r="AA64" s="72">
        <f t="shared" si="34"/>
        <v>0</v>
      </c>
      <c r="AB64" s="72">
        <f t="shared" si="35"/>
        <v>0</v>
      </c>
      <c r="AC64" s="72">
        <f t="shared" si="36"/>
        <v>0</v>
      </c>
      <c r="AD64" s="72" t="e">
        <f t="shared" si="37"/>
        <v>#N/A</v>
      </c>
      <c r="AE64" t="e">
        <f>VLOOKUP(D64,'חד גזעי'!$P$284:$R$305,3,FALSE)</f>
        <v>#N/A</v>
      </c>
      <c r="AF64" s="72" t="b">
        <f t="shared" si="24"/>
        <v>0</v>
      </c>
      <c r="AG64" s="72" t="b">
        <f t="shared" si="25"/>
        <v>0</v>
      </c>
      <c r="AH64" s="72" t="b">
        <f t="shared" si="26"/>
        <v>0</v>
      </c>
    </row>
    <row r="65" spans="3:34">
      <c r="C65" s="72"/>
      <c r="D65" s="77"/>
      <c r="E65" s="73"/>
      <c r="F65" s="73"/>
      <c r="G65" s="72"/>
      <c r="H65" s="72"/>
      <c r="I65" s="72"/>
      <c r="J65" s="73">
        <f t="shared" si="27"/>
        <v>0</v>
      </c>
      <c r="K65" s="73"/>
      <c r="L65" s="73"/>
      <c r="M65" s="74" t="e">
        <f>_xlfn.IFNA(VLOOKUP(D65,'חד גזעי'!$U$4:$V$305,2,0),VLOOKUP(D65,'חד גזעי'!$U$4:$V$305,2))</f>
        <v>#N/A</v>
      </c>
      <c r="N65" s="73"/>
      <c r="O65" s="72" t="e">
        <f t="shared" si="28"/>
        <v>#N/A</v>
      </c>
      <c r="P65" s="85">
        <f t="shared" si="29"/>
        <v>0</v>
      </c>
      <c r="Q65" s="80">
        <f t="shared" si="30"/>
        <v>0</v>
      </c>
      <c r="R65" s="77"/>
      <c r="S65" s="75"/>
      <c r="T65" t="e">
        <f>VLOOKUP(D65,'חד גזעי'!$Y$4:$Y$18,1,0)</f>
        <v>#N/A</v>
      </c>
      <c r="U65">
        <f t="shared" si="31"/>
        <v>1</v>
      </c>
      <c r="V65" s="72"/>
      <c r="W65">
        <f t="shared" si="32"/>
        <v>0</v>
      </c>
      <c r="X65" s="72"/>
      <c r="Y65" s="72" t="e">
        <f t="shared" si="33"/>
        <v>#N/A</v>
      </c>
      <c r="Z65" s="72" t="e">
        <f>(VLOOKUP(D65,'חד גזעי'!$P$1:$R$282,3,FALSE))</f>
        <v>#N/A</v>
      </c>
      <c r="AA65" s="72">
        <f t="shared" si="34"/>
        <v>0</v>
      </c>
      <c r="AB65" s="72">
        <f t="shared" si="35"/>
        <v>0</v>
      </c>
      <c r="AC65" s="72">
        <f t="shared" si="36"/>
        <v>0</v>
      </c>
      <c r="AD65" s="72" t="e">
        <f t="shared" si="37"/>
        <v>#N/A</v>
      </c>
      <c r="AE65" t="e">
        <f>VLOOKUP(D65,'חד גזעי'!$P$284:$R$305,3,FALSE)</f>
        <v>#N/A</v>
      </c>
      <c r="AF65" s="72" t="b">
        <f t="shared" si="24"/>
        <v>0</v>
      </c>
      <c r="AG65" s="72" t="b">
        <f t="shared" si="25"/>
        <v>0</v>
      </c>
      <c r="AH65" s="72" t="b">
        <f t="shared" si="26"/>
        <v>0</v>
      </c>
    </row>
    <row r="66" spans="3:34">
      <c r="C66" s="72"/>
      <c r="D66" s="77"/>
      <c r="E66" s="78"/>
      <c r="F66" s="73"/>
      <c r="G66" s="72"/>
      <c r="H66" s="72"/>
      <c r="I66" s="72"/>
      <c r="J66" s="73">
        <f t="shared" si="27"/>
        <v>0</v>
      </c>
      <c r="K66" s="78"/>
      <c r="L66" s="73"/>
      <c r="M66" s="74" t="e">
        <f>_xlfn.IFNA(VLOOKUP(D66,'חד גזעי'!$U$4:$V$305,2,0),VLOOKUP(D66,'חד גזעי'!$U$4:$V$305,2))</f>
        <v>#N/A</v>
      </c>
      <c r="N66" s="73"/>
      <c r="O66" s="72" t="e">
        <f t="shared" si="28"/>
        <v>#N/A</v>
      </c>
      <c r="P66" s="85">
        <f t="shared" si="29"/>
        <v>0</v>
      </c>
      <c r="Q66" s="80">
        <f t="shared" si="30"/>
        <v>0</v>
      </c>
      <c r="R66" s="77"/>
      <c r="S66" s="75"/>
      <c r="T66" t="e">
        <f>VLOOKUP(D66,'חד גזעי'!$Y$4:$Y$18,1,0)</f>
        <v>#N/A</v>
      </c>
      <c r="U66">
        <f t="shared" si="31"/>
        <v>1</v>
      </c>
      <c r="V66" s="72"/>
      <c r="W66">
        <f t="shared" si="32"/>
        <v>0</v>
      </c>
      <c r="X66" s="72"/>
      <c r="Y66" s="72" t="e">
        <f t="shared" si="33"/>
        <v>#N/A</v>
      </c>
      <c r="Z66" s="72" t="e">
        <f>(VLOOKUP(D66,'חד גזעי'!$P$1:$R$282,3,FALSE))</f>
        <v>#N/A</v>
      </c>
      <c r="AA66" s="72">
        <f t="shared" si="34"/>
        <v>0</v>
      </c>
      <c r="AB66" s="72">
        <f t="shared" si="35"/>
        <v>0</v>
      </c>
      <c r="AC66" s="72">
        <f t="shared" si="36"/>
        <v>0</v>
      </c>
      <c r="AD66" s="72" t="e">
        <f t="shared" si="37"/>
        <v>#N/A</v>
      </c>
      <c r="AE66" t="e">
        <f>VLOOKUP(D66,'חד גזעי'!$P$284:$R$305,3,FALSE)</f>
        <v>#N/A</v>
      </c>
      <c r="AF66" s="72" t="b">
        <f t="shared" si="24"/>
        <v>0</v>
      </c>
      <c r="AG66" s="72" t="b">
        <f t="shared" si="25"/>
        <v>0</v>
      </c>
      <c r="AH66" s="72" t="b">
        <f t="shared" si="26"/>
        <v>0</v>
      </c>
    </row>
    <row r="67" spans="3:34">
      <c r="C67" s="72"/>
      <c r="D67" s="77"/>
      <c r="E67" s="78"/>
      <c r="F67" s="73"/>
      <c r="G67" s="72"/>
      <c r="H67" s="72"/>
      <c r="I67" s="72"/>
      <c r="J67" s="73">
        <f t="shared" si="27"/>
        <v>0</v>
      </c>
      <c r="K67" s="78"/>
      <c r="L67" s="73"/>
      <c r="M67" s="74" t="e">
        <f>_xlfn.IFNA(VLOOKUP(D67,'חד גזעי'!$U$4:$V$305,2,0),VLOOKUP(D67,'חד גזעי'!$U$4:$V$305,2))</f>
        <v>#N/A</v>
      </c>
      <c r="N67" s="73"/>
      <c r="O67" s="72" t="e">
        <f t="shared" si="28"/>
        <v>#N/A</v>
      </c>
      <c r="P67" s="85">
        <f t="shared" si="29"/>
        <v>0</v>
      </c>
      <c r="Q67" s="80">
        <f t="shared" si="30"/>
        <v>0</v>
      </c>
      <c r="R67" s="77"/>
      <c r="S67" s="75"/>
      <c r="T67" t="e">
        <f>VLOOKUP(D67,'חד גזעי'!$Y$4:$Y$18,1,0)</f>
        <v>#N/A</v>
      </c>
      <c r="U67">
        <f t="shared" si="31"/>
        <v>1</v>
      </c>
      <c r="V67" s="72"/>
      <c r="W67">
        <f t="shared" si="32"/>
        <v>0</v>
      </c>
      <c r="X67" s="72"/>
      <c r="Y67" s="72" t="e">
        <f t="shared" si="33"/>
        <v>#N/A</v>
      </c>
      <c r="Z67" s="72" t="e">
        <f>(VLOOKUP(D67,'חד גזעי'!$P$1:$R$282,3,FALSE))</f>
        <v>#N/A</v>
      </c>
      <c r="AA67" s="72">
        <f t="shared" si="34"/>
        <v>0</v>
      </c>
      <c r="AB67" s="72">
        <f t="shared" si="35"/>
        <v>0</v>
      </c>
      <c r="AC67" s="72">
        <f t="shared" si="36"/>
        <v>0</v>
      </c>
      <c r="AD67" s="72" t="e">
        <f t="shared" si="37"/>
        <v>#N/A</v>
      </c>
      <c r="AE67" t="e">
        <f>VLOOKUP(D67,'חד גזעי'!$P$284:$R$305,3,FALSE)</f>
        <v>#N/A</v>
      </c>
      <c r="AF67" s="72" t="b">
        <f t="shared" si="24"/>
        <v>0</v>
      </c>
      <c r="AG67" s="72" t="b">
        <f t="shared" si="25"/>
        <v>0</v>
      </c>
      <c r="AH67" s="72" t="b">
        <f t="shared" si="26"/>
        <v>0</v>
      </c>
    </row>
    <row r="68" spans="3:34">
      <c r="C68" s="72"/>
      <c r="D68" s="77"/>
      <c r="E68" s="78"/>
      <c r="F68" s="73"/>
      <c r="G68" s="72"/>
      <c r="H68" s="72"/>
      <c r="I68" s="72"/>
      <c r="J68" s="73">
        <f t="shared" si="27"/>
        <v>0</v>
      </c>
      <c r="K68" s="78"/>
      <c r="L68" s="73"/>
      <c r="M68" s="74" t="e">
        <f>_xlfn.IFNA(VLOOKUP(D68,'חד גזעי'!$U$4:$V$305,2,0),VLOOKUP(D68,'חד גזעי'!$U$4:$V$305,2))</f>
        <v>#N/A</v>
      </c>
      <c r="N68" s="73"/>
      <c r="O68" s="72" t="e">
        <f t="shared" si="28"/>
        <v>#N/A</v>
      </c>
      <c r="P68" s="85">
        <f t="shared" si="29"/>
        <v>0</v>
      </c>
      <c r="Q68" s="80">
        <f t="shared" si="30"/>
        <v>0</v>
      </c>
      <c r="R68" s="77"/>
      <c r="S68" s="75"/>
      <c r="T68" t="e">
        <f>VLOOKUP(D68,'חד גזעי'!$Y$4:$Y$18,1,0)</f>
        <v>#N/A</v>
      </c>
      <c r="U68">
        <f t="shared" si="31"/>
        <v>1</v>
      </c>
      <c r="V68" s="72"/>
      <c r="W68">
        <f t="shared" si="32"/>
        <v>0</v>
      </c>
      <c r="X68" s="72"/>
      <c r="Y68" s="72" t="e">
        <f t="shared" si="33"/>
        <v>#N/A</v>
      </c>
      <c r="Z68" s="72" t="e">
        <f>(VLOOKUP(D68,'חד גזעי'!$P$1:$R$282,3,FALSE))</f>
        <v>#N/A</v>
      </c>
      <c r="AA68" s="72">
        <f t="shared" si="34"/>
        <v>0</v>
      </c>
      <c r="AB68" s="72">
        <f t="shared" si="35"/>
        <v>0</v>
      </c>
      <c r="AC68" s="72">
        <f t="shared" si="36"/>
        <v>0</v>
      </c>
      <c r="AD68" s="72" t="e">
        <f t="shared" si="37"/>
        <v>#N/A</v>
      </c>
      <c r="AE68" t="e">
        <f>VLOOKUP(D68,'חד גזעי'!$P$284:$R$305,3,FALSE)</f>
        <v>#N/A</v>
      </c>
      <c r="AF68" s="72" t="b">
        <f t="shared" si="24"/>
        <v>0</v>
      </c>
      <c r="AG68" s="72" t="b">
        <f t="shared" si="25"/>
        <v>0</v>
      </c>
      <c r="AH68" s="72" t="b">
        <f t="shared" si="26"/>
        <v>0</v>
      </c>
    </row>
    <row r="69" spans="3:34">
      <c r="C69" s="72"/>
      <c r="D69" s="77"/>
      <c r="E69" s="78"/>
      <c r="F69" s="73"/>
      <c r="G69" s="72"/>
      <c r="H69" s="72"/>
      <c r="I69" s="72"/>
      <c r="J69" s="73">
        <f t="shared" si="27"/>
        <v>0</v>
      </c>
      <c r="K69" s="78"/>
      <c r="L69" s="73"/>
      <c r="M69" s="74" t="e">
        <f>_xlfn.IFNA(VLOOKUP(D69,'חד גזעי'!$U$4:$V$305,2,0),VLOOKUP(D69,'חד גזעי'!$U$4:$V$305,2))</f>
        <v>#N/A</v>
      </c>
      <c r="N69" s="73"/>
      <c r="O69" s="72" t="e">
        <f t="shared" si="28"/>
        <v>#N/A</v>
      </c>
      <c r="P69" s="85">
        <f t="shared" si="29"/>
        <v>0</v>
      </c>
      <c r="Q69" s="80">
        <f t="shared" si="30"/>
        <v>0</v>
      </c>
      <c r="R69" s="77"/>
      <c r="S69" s="75"/>
      <c r="T69" t="e">
        <f>VLOOKUP(D69,'חד גזעי'!$Y$4:$Y$18,1,0)</f>
        <v>#N/A</v>
      </c>
      <c r="U69">
        <f t="shared" si="31"/>
        <v>1</v>
      </c>
      <c r="V69" s="72"/>
      <c r="W69">
        <f t="shared" si="32"/>
        <v>0</v>
      </c>
      <c r="X69" s="72"/>
      <c r="Y69" s="72" t="e">
        <f t="shared" si="33"/>
        <v>#N/A</v>
      </c>
      <c r="Z69" s="72" t="e">
        <f>(VLOOKUP(D69,'חד גזעי'!$P$1:$R$282,3,FALSE))</f>
        <v>#N/A</v>
      </c>
      <c r="AA69" s="72">
        <f t="shared" si="34"/>
        <v>0</v>
      </c>
      <c r="AB69" s="72">
        <f t="shared" si="35"/>
        <v>0</v>
      </c>
      <c r="AC69" s="72">
        <f t="shared" si="36"/>
        <v>0</v>
      </c>
      <c r="AD69" s="72" t="e">
        <f t="shared" si="37"/>
        <v>#N/A</v>
      </c>
      <c r="AE69" t="e">
        <f>VLOOKUP(D69,'חד גזעי'!$P$284:$R$305,3,FALSE)</f>
        <v>#N/A</v>
      </c>
      <c r="AF69" s="72" t="b">
        <f t="shared" si="24"/>
        <v>0</v>
      </c>
      <c r="AG69" s="72" t="b">
        <f t="shared" si="25"/>
        <v>0</v>
      </c>
      <c r="AH69" s="72" t="b">
        <f t="shared" si="26"/>
        <v>0</v>
      </c>
    </row>
    <row r="70" spans="3:34">
      <c r="C70" s="72"/>
      <c r="D70" s="77"/>
      <c r="E70" s="78"/>
      <c r="F70" s="78"/>
      <c r="G70" s="72"/>
      <c r="H70" s="72"/>
      <c r="I70" s="72"/>
      <c r="J70" s="73">
        <f t="shared" si="27"/>
        <v>0</v>
      </c>
      <c r="K70" s="78"/>
      <c r="L70" s="73"/>
      <c r="M70" s="74" t="e">
        <f>_xlfn.IFNA(VLOOKUP(D70,'חד גזעי'!$U$4:$V$305,2,0),VLOOKUP(D70,'חד גזעי'!$U$4:$V$305,2))</f>
        <v>#N/A</v>
      </c>
      <c r="N70" s="73"/>
      <c r="O70" s="72" t="e">
        <f t="shared" si="28"/>
        <v>#N/A</v>
      </c>
      <c r="P70" s="85">
        <f t="shared" si="29"/>
        <v>0</v>
      </c>
      <c r="Q70" s="80">
        <f t="shared" si="30"/>
        <v>0</v>
      </c>
      <c r="R70" s="77"/>
      <c r="S70" s="75"/>
      <c r="T70" t="e">
        <f>VLOOKUP(D70,'חד גזעי'!$Y$4:$Y$18,1,0)</f>
        <v>#N/A</v>
      </c>
      <c r="U70">
        <f t="shared" si="31"/>
        <v>1</v>
      </c>
      <c r="V70" s="72"/>
      <c r="W70">
        <f t="shared" si="32"/>
        <v>0</v>
      </c>
      <c r="X70" s="72"/>
      <c r="Y70" s="72" t="e">
        <f t="shared" si="33"/>
        <v>#N/A</v>
      </c>
      <c r="Z70" s="72" t="e">
        <f>(VLOOKUP(D70,'חד גזעי'!$P$1:$R$282,3,FALSE))</f>
        <v>#N/A</v>
      </c>
      <c r="AA70" s="72">
        <f t="shared" si="34"/>
        <v>0</v>
      </c>
      <c r="AB70" s="72">
        <f t="shared" si="35"/>
        <v>0</v>
      </c>
      <c r="AC70" s="72">
        <f t="shared" si="36"/>
        <v>0</v>
      </c>
      <c r="AD70" s="72" t="e">
        <f t="shared" si="37"/>
        <v>#N/A</v>
      </c>
      <c r="AE70" t="e">
        <f>VLOOKUP(D70,'חד גזעי'!$P$284:$R$305,3,FALSE)</f>
        <v>#N/A</v>
      </c>
      <c r="AF70" s="72" t="b">
        <f t="shared" si="24"/>
        <v>0</v>
      </c>
      <c r="AG70" s="72" t="b">
        <f t="shared" si="25"/>
        <v>0</v>
      </c>
      <c r="AH70" s="72" t="b">
        <f t="shared" si="26"/>
        <v>0</v>
      </c>
    </row>
    <row r="71" spans="3:34">
      <c r="C71" s="72"/>
      <c r="D71" s="77"/>
      <c r="E71" s="78"/>
      <c r="F71" s="78"/>
      <c r="G71" s="72"/>
      <c r="H71" s="72"/>
      <c r="I71" s="72"/>
      <c r="J71" s="73">
        <f t="shared" si="27"/>
        <v>0</v>
      </c>
      <c r="K71" s="78"/>
      <c r="L71" s="73"/>
      <c r="M71" s="74" t="e">
        <f>_xlfn.IFNA(VLOOKUP(D71,'חד גזעי'!$U$4:$V$305,2,0),VLOOKUP(D71,'חד גזעי'!$U$4:$V$305,2))</f>
        <v>#N/A</v>
      </c>
      <c r="N71" s="73"/>
      <c r="O71" s="72" t="e">
        <f t="shared" si="28"/>
        <v>#N/A</v>
      </c>
      <c r="P71" s="85">
        <f t="shared" si="29"/>
        <v>0</v>
      </c>
      <c r="Q71" s="80">
        <f t="shared" si="30"/>
        <v>0</v>
      </c>
      <c r="R71" s="77"/>
      <c r="S71" s="75"/>
      <c r="T71" t="e">
        <f>VLOOKUP(D71,'חד גזעי'!$Y$4:$Y$18,1,0)</f>
        <v>#N/A</v>
      </c>
      <c r="U71">
        <f t="shared" si="31"/>
        <v>1</v>
      </c>
      <c r="V71" s="72"/>
      <c r="W71">
        <f t="shared" si="32"/>
        <v>0</v>
      </c>
      <c r="X71" s="72"/>
      <c r="Y71" s="72" t="e">
        <f t="shared" si="33"/>
        <v>#N/A</v>
      </c>
      <c r="Z71" s="72" t="e">
        <f>(VLOOKUP(D71,'חד גזעי'!$P$1:$R$282,3,FALSE))</f>
        <v>#N/A</v>
      </c>
      <c r="AA71" s="72">
        <f t="shared" si="34"/>
        <v>0</v>
      </c>
      <c r="AB71" s="72">
        <f t="shared" si="35"/>
        <v>0</v>
      </c>
      <c r="AC71" s="72">
        <f t="shared" si="36"/>
        <v>0</v>
      </c>
      <c r="AD71" s="72" t="e">
        <f t="shared" si="37"/>
        <v>#N/A</v>
      </c>
      <c r="AE71" t="e">
        <f>VLOOKUP(D71,'חד גזעי'!$P$284:$R$305,3,FALSE)</f>
        <v>#N/A</v>
      </c>
      <c r="AF71" s="72" t="b">
        <f t="shared" si="24"/>
        <v>0</v>
      </c>
      <c r="AG71" s="72" t="b">
        <f t="shared" si="25"/>
        <v>0</v>
      </c>
      <c r="AH71" s="72" t="b">
        <f t="shared" si="26"/>
        <v>0</v>
      </c>
    </row>
    <row r="72" spans="3:34">
      <c r="C72" s="72"/>
      <c r="D72" s="77"/>
      <c r="E72" s="78"/>
      <c r="F72" s="78"/>
      <c r="G72" s="72"/>
      <c r="H72" s="72"/>
      <c r="I72" s="72"/>
      <c r="J72" s="73">
        <f t="shared" si="27"/>
        <v>0</v>
      </c>
      <c r="K72" s="78"/>
      <c r="L72" s="73"/>
      <c r="M72" s="74" t="e">
        <f>_xlfn.IFNA(VLOOKUP(D72,'חד גזעי'!$U$4:$V$305,2,0),VLOOKUP(D72,'חד גזעי'!$U$4:$V$305,2))</f>
        <v>#N/A</v>
      </c>
      <c r="N72" s="73"/>
      <c r="O72" s="72" t="e">
        <f t="shared" si="28"/>
        <v>#N/A</v>
      </c>
      <c r="P72" s="85">
        <f t="shared" si="29"/>
        <v>0</v>
      </c>
      <c r="Q72" s="80">
        <f t="shared" si="30"/>
        <v>0</v>
      </c>
      <c r="R72" s="77"/>
      <c r="S72" s="75"/>
      <c r="T72" t="e">
        <f>VLOOKUP(D72,'חד גזעי'!$Y$4:$Y$18,1,0)</f>
        <v>#N/A</v>
      </c>
      <c r="U72">
        <f t="shared" si="31"/>
        <v>1</v>
      </c>
      <c r="V72" s="72"/>
      <c r="W72">
        <f t="shared" si="32"/>
        <v>0</v>
      </c>
      <c r="X72" s="72"/>
      <c r="Y72" s="72" t="e">
        <f t="shared" si="33"/>
        <v>#N/A</v>
      </c>
      <c r="Z72" s="72" t="e">
        <f>(VLOOKUP(D72,'חד גזעי'!$P$1:$R$282,3,FALSE))</f>
        <v>#N/A</v>
      </c>
      <c r="AA72" s="72">
        <f t="shared" si="34"/>
        <v>0</v>
      </c>
      <c r="AB72" s="72">
        <f t="shared" si="35"/>
        <v>0</v>
      </c>
      <c r="AC72" s="72">
        <f t="shared" si="36"/>
        <v>0</v>
      </c>
      <c r="AD72" s="72" t="e">
        <f t="shared" si="37"/>
        <v>#N/A</v>
      </c>
      <c r="AE72" t="e">
        <f>VLOOKUP(D72,'חד גזעי'!$P$284:$R$305,3,FALSE)</f>
        <v>#N/A</v>
      </c>
      <c r="AF72" s="72" t="b">
        <f t="shared" si="24"/>
        <v>0</v>
      </c>
      <c r="AG72" s="72" t="b">
        <f t="shared" si="25"/>
        <v>0</v>
      </c>
      <c r="AH72" s="72" t="b">
        <f t="shared" si="26"/>
        <v>0</v>
      </c>
    </row>
    <row r="73" spans="3:34">
      <c r="C73" s="72"/>
      <c r="D73" s="77"/>
      <c r="E73" s="78"/>
      <c r="F73" s="78"/>
      <c r="G73" s="72"/>
      <c r="H73" s="72"/>
      <c r="I73" s="72"/>
      <c r="J73" s="73">
        <f t="shared" si="27"/>
        <v>0</v>
      </c>
      <c r="K73" s="78"/>
      <c r="L73" s="73"/>
      <c r="M73" s="74" t="e">
        <f>_xlfn.IFNA(VLOOKUP(D73,'חד גזעי'!$U$4:$V$305,2,0),VLOOKUP(D73,'חד גזעי'!$U$4:$V$305,2))</f>
        <v>#N/A</v>
      </c>
      <c r="N73" s="73"/>
      <c r="O73" s="72" t="e">
        <f t="shared" si="28"/>
        <v>#N/A</v>
      </c>
      <c r="P73" s="85">
        <f t="shared" si="29"/>
        <v>0</v>
      </c>
      <c r="Q73" s="80">
        <f t="shared" si="30"/>
        <v>0</v>
      </c>
      <c r="R73" s="77"/>
      <c r="S73" s="75"/>
      <c r="T73" t="e">
        <f>VLOOKUP(D73,'חד גזעי'!$Y$4:$Y$18,1,0)</f>
        <v>#N/A</v>
      </c>
      <c r="U73">
        <f t="shared" si="31"/>
        <v>1</v>
      </c>
      <c r="V73" s="72"/>
      <c r="W73">
        <f t="shared" si="32"/>
        <v>0</v>
      </c>
      <c r="X73" s="72"/>
      <c r="Y73" s="72" t="e">
        <f t="shared" si="33"/>
        <v>#N/A</v>
      </c>
      <c r="Z73" s="72" t="e">
        <f>(VLOOKUP(D73,'חד גזעי'!$P$1:$R$282,3,FALSE))</f>
        <v>#N/A</v>
      </c>
      <c r="AA73" s="72">
        <f t="shared" si="34"/>
        <v>0</v>
      </c>
      <c r="AB73" s="72">
        <f t="shared" si="35"/>
        <v>0</v>
      </c>
      <c r="AC73" s="72">
        <f t="shared" si="36"/>
        <v>0</v>
      </c>
      <c r="AD73" s="72" t="e">
        <f t="shared" si="37"/>
        <v>#N/A</v>
      </c>
      <c r="AE73" t="e">
        <f>VLOOKUP(D73,'חד גזעי'!$P$284:$R$305,3,FALSE)</f>
        <v>#N/A</v>
      </c>
      <c r="AF73" s="72" t="b">
        <f t="shared" si="24"/>
        <v>0</v>
      </c>
      <c r="AG73" s="72" t="b">
        <f t="shared" si="25"/>
        <v>0</v>
      </c>
      <c r="AH73" s="72" t="b">
        <f t="shared" si="26"/>
        <v>0</v>
      </c>
    </row>
    <row r="74" spans="3:34">
      <c r="C74" s="72"/>
      <c r="D74" s="77"/>
      <c r="E74" s="78"/>
      <c r="F74" s="78"/>
      <c r="G74" s="72"/>
      <c r="H74" s="72"/>
      <c r="I74" s="72"/>
      <c r="J74" s="73">
        <f t="shared" si="27"/>
        <v>0</v>
      </c>
      <c r="K74" s="78"/>
      <c r="L74" s="73"/>
      <c r="M74" s="74" t="e">
        <f>_xlfn.IFNA(VLOOKUP(D74,'חד גזעי'!$U$4:$V$305,2,0),VLOOKUP(D74,'חד גזעי'!$U$4:$V$305,2))</f>
        <v>#N/A</v>
      </c>
      <c r="N74" s="73"/>
      <c r="O74" s="72" t="e">
        <f t="shared" si="28"/>
        <v>#N/A</v>
      </c>
      <c r="P74" s="85">
        <f t="shared" si="29"/>
        <v>0</v>
      </c>
      <c r="Q74" s="80">
        <f t="shared" si="30"/>
        <v>0</v>
      </c>
      <c r="R74" s="77"/>
      <c r="S74" s="76"/>
      <c r="T74" t="e">
        <f>VLOOKUP(D74,'חד גזעי'!$Y$4:$Y$18,1,0)</f>
        <v>#N/A</v>
      </c>
      <c r="U74">
        <f t="shared" si="31"/>
        <v>1</v>
      </c>
      <c r="V74" s="72"/>
      <c r="W74">
        <f t="shared" si="32"/>
        <v>0</v>
      </c>
      <c r="X74" s="72"/>
      <c r="Y74" s="72" t="e">
        <f t="shared" si="33"/>
        <v>#N/A</v>
      </c>
      <c r="Z74" s="72" t="e">
        <f>(VLOOKUP(D74,'חד גזעי'!$P$1:$R$282,3,FALSE))</f>
        <v>#N/A</v>
      </c>
      <c r="AA74" s="72">
        <f t="shared" si="34"/>
        <v>0</v>
      </c>
      <c r="AB74" s="72">
        <f t="shared" si="35"/>
        <v>0</v>
      </c>
      <c r="AC74" s="72">
        <f t="shared" si="36"/>
        <v>0</v>
      </c>
      <c r="AD74" s="72" t="e">
        <f t="shared" si="37"/>
        <v>#N/A</v>
      </c>
      <c r="AE74" t="e">
        <f>VLOOKUP(D74,'חד גזעי'!$P$284:$R$305,3,FALSE)</f>
        <v>#N/A</v>
      </c>
      <c r="AF74" s="72" t="b">
        <f t="shared" ref="AF74:AF105" si="38">IF(AS74="שימור",Q74)</f>
        <v>0</v>
      </c>
      <c r="AG74" s="72" t="b">
        <f t="shared" ref="AG74:AG105" si="39">IF(AS74="כריתה",Q74)</f>
        <v>0</v>
      </c>
      <c r="AH74" s="72" t="b">
        <f t="shared" ref="AH74:AH105" si="40">IF(AS74="העתקה",Q74)</f>
        <v>0</v>
      </c>
    </row>
    <row r="75" spans="3:34">
      <c r="C75" s="72"/>
      <c r="D75" s="77"/>
      <c r="E75" s="78"/>
      <c r="F75" s="78"/>
      <c r="G75" s="72"/>
      <c r="H75" s="72"/>
      <c r="I75" s="72"/>
      <c r="J75" s="73">
        <f t="shared" si="27"/>
        <v>0</v>
      </c>
      <c r="K75" s="78"/>
      <c r="L75" s="73"/>
      <c r="M75" s="74" t="e">
        <f>_xlfn.IFNA(VLOOKUP(D75,'חד גזעי'!$U$4:$V$305,2,0),VLOOKUP(D75,'חד גזעי'!$U$4:$V$305,2))</f>
        <v>#N/A</v>
      </c>
      <c r="N75" s="73"/>
      <c r="O75" s="72" t="e">
        <f t="shared" si="28"/>
        <v>#N/A</v>
      </c>
      <c r="P75" s="85">
        <f t="shared" si="29"/>
        <v>0</v>
      </c>
      <c r="Q75" s="80">
        <f t="shared" si="30"/>
        <v>0</v>
      </c>
      <c r="R75" s="77"/>
      <c r="S75" s="76"/>
      <c r="T75" t="e">
        <f>VLOOKUP(D75,'חד גזעי'!$Y$4:$Y$18,1,0)</f>
        <v>#N/A</v>
      </c>
      <c r="U75">
        <f t="shared" si="31"/>
        <v>1</v>
      </c>
      <c r="V75" s="72"/>
      <c r="W75">
        <f t="shared" si="32"/>
        <v>0</v>
      </c>
      <c r="X75" s="72"/>
      <c r="Y75" s="72" t="e">
        <f t="shared" si="33"/>
        <v>#N/A</v>
      </c>
      <c r="Z75" s="72" t="e">
        <f>(VLOOKUP(D75,'חד גזעי'!$P$1:$R$282,3,FALSE))</f>
        <v>#N/A</v>
      </c>
      <c r="AA75" s="72">
        <f t="shared" si="34"/>
        <v>0</v>
      </c>
      <c r="AB75" s="72">
        <f t="shared" si="35"/>
        <v>0</v>
      </c>
      <c r="AC75" s="72">
        <f t="shared" si="36"/>
        <v>0</v>
      </c>
      <c r="AD75" s="72" t="e">
        <f t="shared" si="37"/>
        <v>#N/A</v>
      </c>
      <c r="AE75" t="e">
        <f>VLOOKUP(D75,'חד גזעי'!$P$284:$R$305,3,FALSE)</f>
        <v>#N/A</v>
      </c>
      <c r="AF75" s="72" t="b">
        <f t="shared" si="38"/>
        <v>0</v>
      </c>
      <c r="AG75" s="72" t="b">
        <f t="shared" si="39"/>
        <v>0</v>
      </c>
      <c r="AH75" s="72" t="b">
        <f t="shared" si="40"/>
        <v>0</v>
      </c>
    </row>
    <row r="76" spans="3:34">
      <c r="C76" s="72"/>
      <c r="D76" s="77"/>
      <c r="E76" s="78"/>
      <c r="F76" s="78"/>
      <c r="G76" s="72"/>
      <c r="H76" s="72"/>
      <c r="I76" s="72"/>
      <c r="J76" s="73">
        <f t="shared" si="27"/>
        <v>0</v>
      </c>
      <c r="K76" s="78"/>
      <c r="L76" s="73"/>
      <c r="M76" s="74" t="e">
        <f>_xlfn.IFNA(VLOOKUP(D76,'חד גזעי'!$U$4:$V$305,2,0),VLOOKUP(D76,'חד גזעי'!$U$4:$V$305,2))</f>
        <v>#N/A</v>
      </c>
      <c r="N76" s="73"/>
      <c r="O76" s="72" t="e">
        <f t="shared" si="28"/>
        <v>#N/A</v>
      </c>
      <c r="P76" s="85">
        <f t="shared" si="29"/>
        <v>0</v>
      </c>
      <c r="Q76" s="80">
        <f t="shared" si="30"/>
        <v>0</v>
      </c>
      <c r="R76" s="77"/>
      <c r="S76" s="76"/>
      <c r="T76" t="e">
        <f>VLOOKUP(D76,'חד גזעי'!$Y$4:$Y$18,1,0)</f>
        <v>#N/A</v>
      </c>
      <c r="U76">
        <f t="shared" si="31"/>
        <v>1</v>
      </c>
      <c r="V76" s="72"/>
      <c r="W76">
        <f t="shared" si="32"/>
        <v>0</v>
      </c>
      <c r="X76" s="72"/>
      <c r="Y76" s="72" t="e">
        <f t="shared" si="33"/>
        <v>#N/A</v>
      </c>
      <c r="Z76" s="72" t="e">
        <f>(VLOOKUP(D76,'חד גזעי'!$P$1:$R$282,3,FALSE))</f>
        <v>#N/A</v>
      </c>
      <c r="AA76" s="72">
        <f t="shared" si="34"/>
        <v>0</v>
      </c>
      <c r="AB76" s="72">
        <f t="shared" si="35"/>
        <v>0</v>
      </c>
      <c r="AC76" s="72">
        <f t="shared" si="36"/>
        <v>0</v>
      </c>
      <c r="AD76" s="72" t="e">
        <f t="shared" si="37"/>
        <v>#N/A</v>
      </c>
      <c r="AE76" t="e">
        <f>VLOOKUP(D76,'חד גזעי'!$P$284:$R$305,3,FALSE)</f>
        <v>#N/A</v>
      </c>
      <c r="AF76" s="72" t="b">
        <f t="shared" si="38"/>
        <v>0</v>
      </c>
      <c r="AG76" s="72" t="b">
        <f t="shared" si="39"/>
        <v>0</v>
      </c>
      <c r="AH76" s="72" t="b">
        <f t="shared" si="40"/>
        <v>0</v>
      </c>
    </row>
    <row r="77" spans="3:34">
      <c r="C77" s="72"/>
      <c r="D77" s="77"/>
      <c r="E77" s="78"/>
      <c r="F77" s="78"/>
      <c r="G77" s="72"/>
      <c r="H77" s="72"/>
      <c r="I77" s="72"/>
      <c r="J77" s="73">
        <f t="shared" si="27"/>
        <v>0</v>
      </c>
      <c r="K77" s="78"/>
      <c r="L77" s="73"/>
      <c r="M77" s="74" t="e">
        <f>_xlfn.IFNA(VLOOKUP(D77,'חד גזעי'!$U$4:$V$305,2,0),VLOOKUP(D77,'חד גזעי'!$U$4:$V$305,2))</f>
        <v>#N/A</v>
      </c>
      <c r="N77" s="73"/>
      <c r="O77" s="72" t="e">
        <f t="shared" si="28"/>
        <v>#N/A</v>
      </c>
      <c r="P77" s="85">
        <f t="shared" si="29"/>
        <v>0</v>
      </c>
      <c r="Q77" s="80">
        <f t="shared" si="30"/>
        <v>0</v>
      </c>
      <c r="R77" s="77"/>
      <c r="S77" s="75"/>
      <c r="T77" t="e">
        <f>VLOOKUP(D77,'חד גזעי'!$Y$4:$Y$18,1,0)</f>
        <v>#N/A</v>
      </c>
      <c r="U77">
        <f t="shared" si="31"/>
        <v>1</v>
      </c>
      <c r="V77" s="72"/>
      <c r="W77">
        <f t="shared" si="32"/>
        <v>0</v>
      </c>
      <c r="X77" s="72"/>
      <c r="Y77" s="72" t="e">
        <f t="shared" si="33"/>
        <v>#N/A</v>
      </c>
      <c r="Z77" s="72" t="e">
        <f>(VLOOKUP(D77,'חד גזעי'!$P$1:$R$282,3,FALSE))</f>
        <v>#N/A</v>
      </c>
      <c r="AA77" s="72">
        <f t="shared" si="34"/>
        <v>0</v>
      </c>
      <c r="AB77" s="72">
        <f t="shared" si="35"/>
        <v>0</v>
      </c>
      <c r="AC77" s="72">
        <f t="shared" si="36"/>
        <v>0</v>
      </c>
      <c r="AD77" s="72" t="e">
        <f t="shared" si="37"/>
        <v>#N/A</v>
      </c>
      <c r="AE77" t="e">
        <f>VLOOKUP(D77,'חד גזעי'!$P$284:$R$305,3,FALSE)</f>
        <v>#N/A</v>
      </c>
      <c r="AF77" s="72" t="b">
        <f t="shared" si="38"/>
        <v>0</v>
      </c>
      <c r="AG77" s="72" t="b">
        <f t="shared" si="39"/>
        <v>0</v>
      </c>
      <c r="AH77" s="72" t="b">
        <f t="shared" si="40"/>
        <v>0</v>
      </c>
    </row>
    <row r="78" spans="3:34">
      <c r="C78" s="72"/>
      <c r="D78" s="77"/>
      <c r="E78" s="78"/>
      <c r="F78" s="78"/>
      <c r="G78" s="72"/>
      <c r="H78" s="72"/>
      <c r="I78" s="72"/>
      <c r="J78" s="73">
        <f t="shared" si="27"/>
        <v>0</v>
      </c>
      <c r="K78" s="78"/>
      <c r="L78" s="73"/>
      <c r="M78" s="74" t="e">
        <f>_xlfn.IFNA(VLOOKUP(D78,'חד גזעי'!$U$4:$V$305,2,0),VLOOKUP(D78,'חד גזעי'!$U$4:$V$305,2))</f>
        <v>#N/A</v>
      </c>
      <c r="N78" s="73"/>
      <c r="O78" s="72" t="e">
        <f t="shared" si="28"/>
        <v>#N/A</v>
      </c>
      <c r="P78" s="85">
        <f t="shared" si="29"/>
        <v>0</v>
      </c>
      <c r="Q78" s="80">
        <f t="shared" si="30"/>
        <v>0</v>
      </c>
      <c r="R78" s="77"/>
      <c r="S78" s="76"/>
      <c r="T78" t="e">
        <f>VLOOKUP(D78,'חד גזעי'!$Y$4:$Y$18,1,0)</f>
        <v>#N/A</v>
      </c>
      <c r="U78">
        <f t="shared" si="31"/>
        <v>1</v>
      </c>
      <c r="V78" s="72"/>
      <c r="W78">
        <f t="shared" si="32"/>
        <v>0</v>
      </c>
      <c r="X78" s="72"/>
      <c r="Y78" s="72" t="e">
        <f t="shared" si="33"/>
        <v>#N/A</v>
      </c>
      <c r="Z78" s="72" t="e">
        <f>(VLOOKUP(D78,'חד גזעי'!$P$1:$R$282,3,FALSE))</f>
        <v>#N/A</v>
      </c>
      <c r="AA78" s="72">
        <f t="shared" si="34"/>
        <v>0</v>
      </c>
      <c r="AB78" s="72">
        <f t="shared" si="35"/>
        <v>0</v>
      </c>
      <c r="AC78" s="72">
        <f t="shared" si="36"/>
        <v>0</v>
      </c>
      <c r="AD78" s="72" t="e">
        <f t="shared" si="37"/>
        <v>#N/A</v>
      </c>
      <c r="AE78" t="e">
        <f>VLOOKUP(D78,'חד גזעי'!$P$284:$R$305,3,FALSE)</f>
        <v>#N/A</v>
      </c>
      <c r="AF78" s="72" t="b">
        <f t="shared" si="38"/>
        <v>0</v>
      </c>
      <c r="AG78" s="72" t="b">
        <f t="shared" si="39"/>
        <v>0</v>
      </c>
      <c r="AH78" s="72" t="b">
        <f t="shared" si="40"/>
        <v>0</v>
      </c>
    </row>
    <row r="79" spans="3:34">
      <c r="C79" s="72"/>
      <c r="D79" s="77"/>
      <c r="E79" s="78"/>
      <c r="F79" s="78"/>
      <c r="G79" s="72"/>
      <c r="H79" s="72"/>
      <c r="I79" s="72"/>
      <c r="J79" s="73">
        <f t="shared" si="27"/>
        <v>0</v>
      </c>
      <c r="K79" s="78"/>
      <c r="L79" s="73"/>
      <c r="M79" s="74" t="e">
        <f>_xlfn.IFNA(VLOOKUP(D79,'חד גזעי'!$U$4:$V$305,2,0),VLOOKUP(D79,'חד גזעי'!$U$4:$V$305,2))</f>
        <v>#N/A</v>
      </c>
      <c r="N79" s="73"/>
      <c r="O79" s="72" t="e">
        <f t="shared" si="28"/>
        <v>#N/A</v>
      </c>
      <c r="P79" s="85">
        <f t="shared" si="29"/>
        <v>0</v>
      </c>
      <c r="Q79" s="80">
        <f t="shared" si="30"/>
        <v>0</v>
      </c>
      <c r="R79" s="77"/>
      <c r="S79" s="76"/>
      <c r="T79" t="e">
        <f>VLOOKUP(D79,'חד גזעי'!$Y$4:$Y$18,1,0)</f>
        <v>#N/A</v>
      </c>
      <c r="U79">
        <f t="shared" si="31"/>
        <v>1</v>
      </c>
      <c r="V79" s="72"/>
      <c r="W79">
        <f t="shared" si="32"/>
        <v>0</v>
      </c>
      <c r="X79" s="72"/>
      <c r="Y79" s="72" t="e">
        <f t="shared" si="33"/>
        <v>#N/A</v>
      </c>
      <c r="Z79" s="72" t="e">
        <f>(VLOOKUP(D79,'חד גזעי'!$P$1:$R$282,3,FALSE))</f>
        <v>#N/A</v>
      </c>
      <c r="AA79" s="72">
        <f t="shared" si="34"/>
        <v>0</v>
      </c>
      <c r="AB79" s="72">
        <f t="shared" si="35"/>
        <v>0</v>
      </c>
      <c r="AC79" s="72">
        <f t="shared" si="36"/>
        <v>0</v>
      </c>
      <c r="AD79" s="72" t="e">
        <f t="shared" si="37"/>
        <v>#N/A</v>
      </c>
      <c r="AE79" t="e">
        <f>VLOOKUP(D79,'חד גזעי'!$P$284:$R$305,3,FALSE)</f>
        <v>#N/A</v>
      </c>
      <c r="AF79" s="72" t="b">
        <f t="shared" si="38"/>
        <v>0</v>
      </c>
      <c r="AG79" s="72" t="b">
        <f t="shared" si="39"/>
        <v>0</v>
      </c>
      <c r="AH79" s="72" t="b">
        <f t="shared" si="40"/>
        <v>0</v>
      </c>
    </row>
    <row r="80" spans="3:34">
      <c r="C80" s="72"/>
      <c r="D80" s="77"/>
      <c r="E80" s="78"/>
      <c r="F80" s="78"/>
      <c r="G80" s="72"/>
      <c r="H80" s="72"/>
      <c r="I80" s="72"/>
      <c r="J80" s="73">
        <f t="shared" si="27"/>
        <v>0</v>
      </c>
      <c r="K80" s="78"/>
      <c r="L80" s="73"/>
      <c r="M80" s="74" t="e">
        <f>_xlfn.IFNA(VLOOKUP(D80,'חד גזעי'!$U$4:$V$305,2,0),VLOOKUP(D80,'חד גזעי'!$U$4:$V$305,2))</f>
        <v>#N/A</v>
      </c>
      <c r="N80" s="73"/>
      <c r="O80" s="72" t="e">
        <f t="shared" si="28"/>
        <v>#N/A</v>
      </c>
      <c r="P80" s="85">
        <f t="shared" si="29"/>
        <v>0</v>
      </c>
      <c r="Q80" s="80">
        <f t="shared" si="30"/>
        <v>0</v>
      </c>
      <c r="R80" s="77"/>
      <c r="S80" s="75"/>
      <c r="T80" t="e">
        <f>VLOOKUP(D80,'חד גזעי'!$Y$4:$Y$18,1,0)</f>
        <v>#N/A</v>
      </c>
      <c r="U80">
        <f t="shared" si="31"/>
        <v>1</v>
      </c>
      <c r="V80" s="72"/>
      <c r="W80">
        <f t="shared" si="32"/>
        <v>0</v>
      </c>
      <c r="X80" s="72"/>
      <c r="Y80" s="72" t="e">
        <f t="shared" si="33"/>
        <v>#N/A</v>
      </c>
      <c r="Z80" s="72" t="e">
        <f>(VLOOKUP(D80,'חד גזעי'!$P$1:$R$282,3,FALSE))</f>
        <v>#N/A</v>
      </c>
      <c r="AA80" s="72">
        <f t="shared" si="34"/>
        <v>0</v>
      </c>
      <c r="AB80" s="72">
        <f t="shared" si="35"/>
        <v>0</v>
      </c>
      <c r="AC80" s="72">
        <f t="shared" si="36"/>
        <v>0</v>
      </c>
      <c r="AD80" s="72" t="e">
        <f t="shared" si="37"/>
        <v>#N/A</v>
      </c>
      <c r="AE80" t="e">
        <f>VLOOKUP(D80,'חד גזעי'!$P$284:$R$305,3,FALSE)</f>
        <v>#N/A</v>
      </c>
      <c r="AF80" s="72" t="b">
        <f t="shared" si="38"/>
        <v>0</v>
      </c>
      <c r="AG80" s="72" t="b">
        <f t="shared" si="39"/>
        <v>0</v>
      </c>
      <c r="AH80" s="72" t="b">
        <f t="shared" si="40"/>
        <v>0</v>
      </c>
    </row>
    <row r="81" spans="3:34">
      <c r="C81" s="72"/>
      <c r="D81" s="77"/>
      <c r="E81" s="78"/>
      <c r="F81" s="78"/>
      <c r="G81" s="72"/>
      <c r="H81" s="72"/>
      <c r="I81" s="72"/>
      <c r="J81" s="73">
        <f t="shared" si="27"/>
        <v>0</v>
      </c>
      <c r="K81" s="78"/>
      <c r="L81" s="73"/>
      <c r="M81" s="74" t="e">
        <f>_xlfn.IFNA(VLOOKUP(D81,'חד גזעי'!$U$4:$V$305,2,0),VLOOKUP(D81,'חד גזעי'!$U$4:$V$305,2))</f>
        <v>#N/A</v>
      </c>
      <c r="N81" s="73"/>
      <c r="O81" s="72" t="e">
        <f t="shared" si="28"/>
        <v>#N/A</v>
      </c>
      <c r="P81" s="85">
        <f t="shared" si="29"/>
        <v>0</v>
      </c>
      <c r="Q81" s="80">
        <f t="shared" si="30"/>
        <v>0</v>
      </c>
      <c r="R81" s="77"/>
      <c r="S81" s="76"/>
      <c r="T81" t="e">
        <f>VLOOKUP(D81,'חד גזעי'!$Y$4:$Y$18,1,0)</f>
        <v>#N/A</v>
      </c>
      <c r="U81">
        <f t="shared" si="31"/>
        <v>1</v>
      </c>
      <c r="V81" s="72"/>
      <c r="W81">
        <f t="shared" si="32"/>
        <v>0</v>
      </c>
      <c r="X81" s="72"/>
      <c r="Y81" s="72" t="e">
        <f t="shared" si="33"/>
        <v>#N/A</v>
      </c>
      <c r="Z81" s="72" t="e">
        <f>(VLOOKUP(D81,'חד גזעי'!$P$1:$R$282,3,FALSE))</f>
        <v>#N/A</v>
      </c>
      <c r="AA81" s="72">
        <f t="shared" si="34"/>
        <v>0</v>
      </c>
      <c r="AB81" s="72">
        <f t="shared" si="35"/>
        <v>0</v>
      </c>
      <c r="AC81" s="72">
        <f t="shared" si="36"/>
        <v>0</v>
      </c>
      <c r="AD81" s="72" t="e">
        <f t="shared" si="37"/>
        <v>#N/A</v>
      </c>
      <c r="AE81" t="e">
        <f>VLOOKUP(D81,'חד גזעי'!$P$284:$R$305,3,FALSE)</f>
        <v>#N/A</v>
      </c>
      <c r="AF81" s="72" t="b">
        <f t="shared" si="38"/>
        <v>0</v>
      </c>
      <c r="AG81" s="72" t="b">
        <f t="shared" si="39"/>
        <v>0</v>
      </c>
      <c r="AH81" s="72" t="b">
        <f t="shared" si="40"/>
        <v>0</v>
      </c>
    </row>
    <row r="82" spans="3:34">
      <c r="C82" s="72"/>
      <c r="D82" s="77"/>
      <c r="E82" s="78"/>
      <c r="F82" s="78"/>
      <c r="G82" s="72"/>
      <c r="H82" s="72"/>
      <c r="I82" s="72"/>
      <c r="J82" s="73">
        <f t="shared" si="27"/>
        <v>0</v>
      </c>
      <c r="K82" s="78"/>
      <c r="L82" s="73"/>
      <c r="M82" s="74" t="e">
        <f>_xlfn.IFNA(VLOOKUP(D82,'חד גזעי'!$U$4:$V$305,2,0),VLOOKUP(D82,'חד גזעי'!$U$4:$V$305,2))</f>
        <v>#N/A</v>
      </c>
      <c r="N82" s="102"/>
      <c r="O82" s="72" t="e">
        <f t="shared" si="28"/>
        <v>#N/A</v>
      </c>
      <c r="P82" s="85">
        <f t="shared" si="29"/>
        <v>0</v>
      </c>
      <c r="Q82" s="80">
        <f t="shared" si="30"/>
        <v>0</v>
      </c>
      <c r="R82" s="77"/>
      <c r="S82" s="76"/>
      <c r="T82" t="e">
        <f>VLOOKUP(D82,'חד גזעי'!$Y$4:$Y$18,1,0)</f>
        <v>#N/A</v>
      </c>
      <c r="U82">
        <f t="shared" si="31"/>
        <v>1</v>
      </c>
      <c r="V82" s="72"/>
      <c r="W82">
        <f t="shared" si="32"/>
        <v>0</v>
      </c>
      <c r="X82" s="72"/>
      <c r="Y82" s="72" t="e">
        <f t="shared" si="33"/>
        <v>#N/A</v>
      </c>
      <c r="Z82" s="72" t="e">
        <f>(VLOOKUP(D82,'חד גזעי'!$P$1:$R$282,3,FALSE))</f>
        <v>#N/A</v>
      </c>
      <c r="AA82" s="72">
        <f t="shared" si="34"/>
        <v>0</v>
      </c>
      <c r="AB82" s="72">
        <f t="shared" si="35"/>
        <v>0</v>
      </c>
      <c r="AC82" s="72">
        <f t="shared" si="36"/>
        <v>0</v>
      </c>
      <c r="AD82" s="72" t="e">
        <f t="shared" si="37"/>
        <v>#N/A</v>
      </c>
      <c r="AE82" t="e">
        <f>VLOOKUP(D82,'חד גזעי'!$P$284:$R$305,3,FALSE)</f>
        <v>#N/A</v>
      </c>
      <c r="AF82" s="72" t="b">
        <f t="shared" si="38"/>
        <v>0</v>
      </c>
      <c r="AG82" s="72" t="b">
        <f t="shared" si="39"/>
        <v>0</v>
      </c>
      <c r="AH82" s="72" t="b">
        <f t="shared" si="40"/>
        <v>0</v>
      </c>
    </row>
    <row r="83" spans="3:34">
      <c r="C83" s="72"/>
      <c r="D83" s="77"/>
      <c r="E83" s="73"/>
      <c r="F83" s="73"/>
      <c r="G83" s="72"/>
      <c r="H83" s="72"/>
      <c r="I83" s="72"/>
      <c r="J83" s="73">
        <f t="shared" si="27"/>
        <v>0</v>
      </c>
      <c r="K83" s="73"/>
      <c r="L83" s="73"/>
      <c r="M83" s="74" t="e">
        <f>_xlfn.IFNA(VLOOKUP(D83,'חד גזעי'!$U$4:$V$305,2,0),VLOOKUP(D83,'חד גזעי'!$U$4:$V$305,2))</f>
        <v>#N/A</v>
      </c>
      <c r="N83" s="73"/>
      <c r="O83" s="72" t="e">
        <f t="shared" si="28"/>
        <v>#N/A</v>
      </c>
      <c r="P83" s="85">
        <f t="shared" si="29"/>
        <v>0</v>
      </c>
      <c r="Q83" s="80">
        <f t="shared" si="30"/>
        <v>0</v>
      </c>
      <c r="R83" s="77"/>
      <c r="S83" s="76"/>
      <c r="T83" t="e">
        <f>VLOOKUP(D83,'חד גזעי'!$Y$4:$Y$18,1,0)</f>
        <v>#N/A</v>
      </c>
      <c r="U83">
        <f t="shared" si="31"/>
        <v>1</v>
      </c>
      <c r="V83" s="72"/>
      <c r="W83">
        <f t="shared" si="32"/>
        <v>0</v>
      </c>
      <c r="X83" s="72"/>
      <c r="Y83" s="72" t="e">
        <f t="shared" si="33"/>
        <v>#N/A</v>
      </c>
      <c r="Z83" s="72" t="e">
        <f>(VLOOKUP(D83,'חד גזעי'!$P$1:$R$282,3,FALSE))</f>
        <v>#N/A</v>
      </c>
      <c r="AA83" s="72">
        <f t="shared" si="34"/>
        <v>0</v>
      </c>
      <c r="AB83" s="72">
        <f t="shared" si="35"/>
        <v>0</v>
      </c>
      <c r="AC83" s="72">
        <f t="shared" si="36"/>
        <v>0</v>
      </c>
      <c r="AD83" s="72" t="e">
        <f t="shared" si="37"/>
        <v>#N/A</v>
      </c>
      <c r="AE83" t="e">
        <f>VLOOKUP(D83,'חד גזעי'!$P$284:$R$305,3,FALSE)</f>
        <v>#N/A</v>
      </c>
      <c r="AF83" s="72" t="b">
        <f t="shared" si="38"/>
        <v>0</v>
      </c>
      <c r="AG83" s="72" t="b">
        <f t="shared" si="39"/>
        <v>0</v>
      </c>
      <c r="AH83" s="72" t="b">
        <f t="shared" si="40"/>
        <v>0</v>
      </c>
    </row>
    <row r="84" spans="3:34">
      <c r="C84" s="72"/>
      <c r="D84" s="77"/>
      <c r="E84" s="73"/>
      <c r="F84" s="73"/>
      <c r="G84" s="72"/>
      <c r="H84" s="72"/>
      <c r="I84" s="72"/>
      <c r="J84" s="73">
        <f t="shared" si="27"/>
        <v>0</v>
      </c>
      <c r="K84" s="73"/>
      <c r="L84" s="73"/>
      <c r="M84" s="74" t="e">
        <f>_xlfn.IFNA(VLOOKUP(D84,'חד גזעי'!$U$4:$V$305,2,0),VLOOKUP(D84,'חד גזעי'!$U$4:$V$305,2))</f>
        <v>#N/A</v>
      </c>
      <c r="N84" s="73"/>
      <c r="O84" s="72" t="e">
        <f t="shared" si="28"/>
        <v>#N/A</v>
      </c>
      <c r="P84" s="85">
        <f t="shared" si="29"/>
        <v>0</v>
      </c>
      <c r="Q84" s="80">
        <f t="shared" si="30"/>
        <v>0</v>
      </c>
      <c r="R84" s="77"/>
      <c r="S84" s="76"/>
      <c r="T84" t="e">
        <f>VLOOKUP(D84,'חד גזעי'!$Y$4:$Y$18,1,0)</f>
        <v>#N/A</v>
      </c>
      <c r="U84">
        <f t="shared" si="31"/>
        <v>1</v>
      </c>
      <c r="V84" s="72"/>
      <c r="W84">
        <f t="shared" si="32"/>
        <v>0</v>
      </c>
      <c r="X84" s="72"/>
      <c r="Y84" s="72" t="e">
        <f t="shared" si="33"/>
        <v>#N/A</v>
      </c>
      <c r="Z84" s="72" t="e">
        <f>(VLOOKUP(D84,'חד גזעי'!$P$1:$R$282,3,FALSE))</f>
        <v>#N/A</v>
      </c>
      <c r="AA84" s="72">
        <f t="shared" si="34"/>
        <v>0</v>
      </c>
      <c r="AB84" s="72">
        <f t="shared" si="35"/>
        <v>0</v>
      </c>
      <c r="AC84" s="72">
        <f t="shared" si="36"/>
        <v>0</v>
      </c>
      <c r="AD84" s="72" t="e">
        <f t="shared" si="37"/>
        <v>#N/A</v>
      </c>
      <c r="AE84" t="e">
        <f>VLOOKUP(D84,'חד גזעי'!$P$284:$R$305,3,FALSE)</f>
        <v>#N/A</v>
      </c>
      <c r="AF84" s="72" t="b">
        <f t="shared" si="38"/>
        <v>0</v>
      </c>
      <c r="AG84" s="72" t="b">
        <f t="shared" si="39"/>
        <v>0</v>
      </c>
      <c r="AH84" s="72" t="b">
        <f t="shared" si="40"/>
        <v>0</v>
      </c>
    </row>
    <row r="85" spans="3:34">
      <c r="C85" s="72"/>
      <c r="D85" s="77"/>
      <c r="E85" s="73"/>
      <c r="F85" s="73"/>
      <c r="G85" s="72"/>
      <c r="H85" s="72"/>
      <c r="I85" s="72"/>
      <c r="J85" s="73">
        <f t="shared" si="27"/>
        <v>0</v>
      </c>
      <c r="K85" s="73"/>
      <c r="L85" s="73"/>
      <c r="M85" s="74" t="e">
        <f>_xlfn.IFNA(VLOOKUP(D85,'חד גזעי'!$U$4:$V$305,2,0),VLOOKUP(D85,'חד גזעי'!$U$4:$V$305,2))</f>
        <v>#N/A</v>
      </c>
      <c r="N85" s="73"/>
      <c r="O85" s="72" t="e">
        <f t="shared" si="28"/>
        <v>#N/A</v>
      </c>
      <c r="P85" s="85">
        <f t="shared" si="29"/>
        <v>0</v>
      </c>
      <c r="Q85" s="80">
        <f t="shared" si="30"/>
        <v>0</v>
      </c>
      <c r="R85" s="77"/>
      <c r="S85" s="76"/>
      <c r="T85" t="e">
        <f>VLOOKUP(D85,'חד גזעי'!$Y$4:$Y$18,1,0)</f>
        <v>#N/A</v>
      </c>
      <c r="U85">
        <f t="shared" si="31"/>
        <v>1</v>
      </c>
      <c r="V85" s="72"/>
      <c r="W85">
        <f t="shared" si="32"/>
        <v>0</v>
      </c>
      <c r="X85" s="72"/>
      <c r="Y85" s="72" t="e">
        <f t="shared" si="33"/>
        <v>#N/A</v>
      </c>
      <c r="Z85" s="72" t="e">
        <f>(VLOOKUP(D85,'חד גזעי'!$P$1:$R$282,3,FALSE))</f>
        <v>#N/A</v>
      </c>
      <c r="AA85" s="72">
        <f t="shared" si="34"/>
        <v>0</v>
      </c>
      <c r="AB85" s="72">
        <f t="shared" si="35"/>
        <v>0</v>
      </c>
      <c r="AC85" s="72">
        <f t="shared" si="36"/>
        <v>0</v>
      </c>
      <c r="AD85" s="72" t="e">
        <f t="shared" si="37"/>
        <v>#N/A</v>
      </c>
      <c r="AE85" t="e">
        <f>VLOOKUP(D85,'חד גזעי'!$P$284:$R$305,3,FALSE)</f>
        <v>#N/A</v>
      </c>
      <c r="AF85" s="72" t="b">
        <f t="shared" si="38"/>
        <v>0</v>
      </c>
      <c r="AG85" s="72" t="b">
        <f t="shared" si="39"/>
        <v>0</v>
      </c>
      <c r="AH85" s="72" t="b">
        <f t="shared" si="40"/>
        <v>0</v>
      </c>
    </row>
    <row r="86" spans="3:34">
      <c r="C86" s="72"/>
      <c r="D86" s="77"/>
      <c r="E86" s="73"/>
      <c r="F86" s="73"/>
      <c r="G86" s="72"/>
      <c r="H86" s="72"/>
      <c r="I86" s="72"/>
      <c r="J86" s="73">
        <f t="shared" si="27"/>
        <v>0</v>
      </c>
      <c r="K86" s="73"/>
      <c r="L86" s="73"/>
      <c r="M86" s="74" t="e">
        <f>_xlfn.IFNA(VLOOKUP(D86,'חד גזעי'!$U$4:$V$305,2,0),VLOOKUP(D86,'חד גזעי'!$U$4:$V$305,2))</f>
        <v>#N/A</v>
      </c>
      <c r="N86" s="73"/>
      <c r="O86" s="72" t="e">
        <f t="shared" si="28"/>
        <v>#N/A</v>
      </c>
      <c r="P86" s="85">
        <f t="shared" si="29"/>
        <v>0</v>
      </c>
      <c r="Q86" s="80">
        <f t="shared" si="30"/>
        <v>0</v>
      </c>
      <c r="R86" s="77"/>
      <c r="S86" s="76"/>
      <c r="T86" t="e">
        <f>VLOOKUP(D86,'חד גזעי'!$Y$4:$Y$18,1,0)</f>
        <v>#N/A</v>
      </c>
      <c r="U86">
        <f t="shared" si="31"/>
        <v>1</v>
      </c>
      <c r="V86" s="72"/>
      <c r="W86">
        <f t="shared" si="32"/>
        <v>0</v>
      </c>
      <c r="X86" s="72"/>
      <c r="Y86" s="72" t="e">
        <f t="shared" si="33"/>
        <v>#N/A</v>
      </c>
      <c r="Z86" s="72" t="e">
        <f>(VLOOKUP(D86,'חד גזעי'!$P$1:$R$282,3,FALSE))</f>
        <v>#N/A</v>
      </c>
      <c r="AA86" s="72">
        <f t="shared" si="34"/>
        <v>0</v>
      </c>
      <c r="AB86" s="72">
        <f t="shared" si="35"/>
        <v>0</v>
      </c>
      <c r="AC86" s="72">
        <f t="shared" si="36"/>
        <v>0</v>
      </c>
      <c r="AD86" s="72" t="e">
        <f t="shared" si="37"/>
        <v>#N/A</v>
      </c>
      <c r="AE86" t="e">
        <f>VLOOKUP(D86,'חד גזעי'!$P$284:$R$305,3,FALSE)</f>
        <v>#N/A</v>
      </c>
      <c r="AF86" s="72" t="b">
        <f t="shared" si="38"/>
        <v>0</v>
      </c>
      <c r="AG86" s="72" t="b">
        <f t="shared" si="39"/>
        <v>0</v>
      </c>
      <c r="AH86" s="72" t="b">
        <f t="shared" si="40"/>
        <v>0</v>
      </c>
    </row>
    <row r="87" spans="3:34">
      <c r="C87" s="72"/>
      <c r="D87" s="77"/>
      <c r="E87" s="74"/>
      <c r="F87" s="73"/>
      <c r="G87" s="72"/>
      <c r="H87" s="72"/>
      <c r="I87" s="72"/>
      <c r="J87" s="73">
        <f t="shared" ref="J87:J112" si="41">G87+(H87/2)+(I87/2)</f>
        <v>0</v>
      </c>
      <c r="K87" s="74"/>
      <c r="L87" s="73"/>
      <c r="M87" s="74" t="e">
        <f>_xlfn.IFNA(VLOOKUP(D87,'חד גזעי'!$U$4:$V$305,2,0),VLOOKUP(D87,'חד גזעי'!$U$4:$V$305,2))</f>
        <v>#N/A</v>
      </c>
      <c r="N87" s="74"/>
      <c r="O87" s="72" t="e">
        <f t="shared" ref="O87:O112" si="42">SUM(K87:N87)</f>
        <v>#N/A</v>
      </c>
      <c r="P87" s="85">
        <f t="shared" ref="P87:P112" si="43">IF(K87=0,0,G87*0.12)</f>
        <v>0</v>
      </c>
      <c r="Q87" s="80">
        <f t="shared" ref="Q87:Q112" si="44">IF(G87&lt;20,0,_xlfn.IFNA(Y87,AD87))</f>
        <v>0</v>
      </c>
      <c r="R87" s="77"/>
      <c r="S87" s="75"/>
      <c r="T87" t="e">
        <f>VLOOKUP(D87,'חד גזעי'!$Y$4:$Y$18,1,0)</f>
        <v>#N/A</v>
      </c>
      <c r="U87">
        <f t="shared" ref="U87:U112" si="45">_xlfn.IFNA(T87,1)</f>
        <v>1</v>
      </c>
      <c r="V87" s="72"/>
      <c r="W87">
        <f t="shared" ref="W87:W112" si="46">_xlfn.IFNA(Y87,0)</f>
        <v>0</v>
      </c>
      <c r="X87" s="72"/>
      <c r="Y87" s="72" t="e">
        <f t="shared" ref="Y87:Y112" si="47">((AC87+AB87+AA87)*(Z87))*(K87*0.2)*(L87*0.2)*20</f>
        <v>#N/A</v>
      </c>
      <c r="Z87" s="72" t="e">
        <f>(VLOOKUP(D87,'חד גזעי'!$P$1:$R$282,3,FALSE))</f>
        <v>#N/A</v>
      </c>
      <c r="AA87" s="72">
        <f t="shared" ref="AA87:AA112" si="48">(3.14*((G87/2)^2))</f>
        <v>0</v>
      </c>
      <c r="AB87" s="72">
        <f t="shared" ref="AB87:AB112" si="49">(3.14*((H87/2)^2))/2</f>
        <v>0</v>
      </c>
      <c r="AC87" s="72">
        <f t="shared" ref="AC87:AC112" si="50">(3.14*((I87/2)^2))/2</f>
        <v>0</v>
      </c>
      <c r="AD87" s="72" t="e">
        <f t="shared" ref="AD87:AD112" si="51">AE87*F87*(K87*0.2)*(0.2*L87)*1500</f>
        <v>#N/A</v>
      </c>
      <c r="AE87" t="e">
        <f>VLOOKUP(D87,'חד גזעי'!$P$284:$R$305,3,FALSE)</f>
        <v>#N/A</v>
      </c>
      <c r="AF87" s="72" t="b">
        <f t="shared" si="38"/>
        <v>0</v>
      </c>
      <c r="AG87" s="72" t="b">
        <f t="shared" si="39"/>
        <v>0</v>
      </c>
      <c r="AH87" s="72" t="b">
        <f t="shared" si="40"/>
        <v>0</v>
      </c>
    </row>
    <row r="88" spans="3:34">
      <c r="C88" s="72"/>
      <c r="D88" s="77"/>
      <c r="E88" s="73"/>
      <c r="F88" s="73"/>
      <c r="G88" s="72"/>
      <c r="H88" s="72"/>
      <c r="I88" s="72"/>
      <c r="J88" s="73">
        <f t="shared" si="41"/>
        <v>0</v>
      </c>
      <c r="K88" s="73"/>
      <c r="L88" s="73"/>
      <c r="M88" s="74" t="e">
        <f>_xlfn.IFNA(VLOOKUP(D88,'חד גזעי'!$U$4:$V$305,2,0),VLOOKUP(D88,'חד גזעי'!$U$4:$V$305,2))</f>
        <v>#N/A</v>
      </c>
      <c r="N88" s="73"/>
      <c r="O88" s="72" t="e">
        <f t="shared" si="42"/>
        <v>#N/A</v>
      </c>
      <c r="P88" s="85">
        <f t="shared" si="43"/>
        <v>0</v>
      </c>
      <c r="Q88" s="80">
        <f t="shared" si="44"/>
        <v>0</v>
      </c>
      <c r="R88" s="77"/>
      <c r="S88" s="75"/>
      <c r="T88" t="e">
        <f>VLOOKUP(D88,'חד גזעי'!$Y$4:$Y$18,1,0)</f>
        <v>#N/A</v>
      </c>
      <c r="U88">
        <f t="shared" si="45"/>
        <v>1</v>
      </c>
      <c r="V88" s="72"/>
      <c r="W88">
        <f t="shared" si="46"/>
        <v>0</v>
      </c>
      <c r="X88" s="72"/>
      <c r="Y88" s="72" t="e">
        <f t="shared" si="47"/>
        <v>#N/A</v>
      </c>
      <c r="Z88" s="72" t="e">
        <f>(VLOOKUP(D88,'חד גזעי'!$P$1:$R$282,3,FALSE))</f>
        <v>#N/A</v>
      </c>
      <c r="AA88" s="72">
        <f t="shared" si="48"/>
        <v>0</v>
      </c>
      <c r="AB88" s="72">
        <f t="shared" si="49"/>
        <v>0</v>
      </c>
      <c r="AC88" s="72">
        <f t="shared" si="50"/>
        <v>0</v>
      </c>
      <c r="AD88" s="72" t="e">
        <f t="shared" si="51"/>
        <v>#N/A</v>
      </c>
      <c r="AE88" t="e">
        <f>VLOOKUP(D88,'חד גזעי'!$P$284:$R$305,3,FALSE)</f>
        <v>#N/A</v>
      </c>
      <c r="AF88" s="72" t="b">
        <f t="shared" si="38"/>
        <v>0</v>
      </c>
      <c r="AG88" s="72" t="b">
        <f t="shared" si="39"/>
        <v>0</v>
      </c>
      <c r="AH88" s="72" t="b">
        <f t="shared" si="40"/>
        <v>0</v>
      </c>
    </row>
    <row r="89" spans="3:34">
      <c r="C89" s="72"/>
      <c r="D89" s="77"/>
      <c r="E89" s="73"/>
      <c r="F89" s="73"/>
      <c r="G89" s="72"/>
      <c r="H89" s="72"/>
      <c r="I89" s="72"/>
      <c r="J89" s="73">
        <f t="shared" si="41"/>
        <v>0</v>
      </c>
      <c r="K89" s="73"/>
      <c r="L89" s="73"/>
      <c r="M89" s="74" t="e">
        <f>_xlfn.IFNA(VLOOKUP(D89,'חד גזעי'!$U$4:$V$305,2,0),VLOOKUP(D89,'חד גזעי'!$U$4:$V$305,2))</f>
        <v>#N/A</v>
      </c>
      <c r="N89" s="73"/>
      <c r="O89" s="72" t="e">
        <f t="shared" si="42"/>
        <v>#N/A</v>
      </c>
      <c r="P89" s="85">
        <f t="shared" si="43"/>
        <v>0</v>
      </c>
      <c r="Q89" s="80">
        <f t="shared" si="44"/>
        <v>0</v>
      </c>
      <c r="R89" s="77"/>
      <c r="S89" s="75"/>
      <c r="T89" t="e">
        <f>VLOOKUP(D89,'חד גזעי'!$Y$4:$Y$18,1,0)</f>
        <v>#N/A</v>
      </c>
      <c r="U89">
        <f t="shared" si="45"/>
        <v>1</v>
      </c>
      <c r="V89" s="72"/>
      <c r="W89">
        <f t="shared" si="46"/>
        <v>0</v>
      </c>
      <c r="X89" s="72"/>
      <c r="Y89" s="72" t="e">
        <f t="shared" si="47"/>
        <v>#N/A</v>
      </c>
      <c r="Z89" s="72" t="e">
        <f>(VLOOKUP(D89,'חד גזעי'!$P$1:$R$282,3,FALSE))</f>
        <v>#N/A</v>
      </c>
      <c r="AA89" s="72">
        <f t="shared" si="48"/>
        <v>0</v>
      </c>
      <c r="AB89" s="72">
        <f t="shared" si="49"/>
        <v>0</v>
      </c>
      <c r="AC89" s="72">
        <f t="shared" si="50"/>
        <v>0</v>
      </c>
      <c r="AD89" s="72" t="e">
        <f t="shared" si="51"/>
        <v>#N/A</v>
      </c>
      <c r="AE89" t="e">
        <f>VLOOKUP(D89,'חד גזעי'!$P$284:$R$305,3,FALSE)</f>
        <v>#N/A</v>
      </c>
      <c r="AF89" s="72" t="b">
        <f t="shared" si="38"/>
        <v>0</v>
      </c>
      <c r="AG89" s="72" t="b">
        <f t="shared" si="39"/>
        <v>0</v>
      </c>
      <c r="AH89" s="72" t="b">
        <f t="shared" si="40"/>
        <v>0</v>
      </c>
    </row>
    <row r="90" spans="3:34">
      <c r="C90" s="72"/>
      <c r="D90" s="77"/>
      <c r="E90" s="73"/>
      <c r="F90" s="73"/>
      <c r="G90" s="72"/>
      <c r="H90" s="72"/>
      <c r="I90" s="72"/>
      <c r="J90" s="73">
        <f t="shared" si="41"/>
        <v>0</v>
      </c>
      <c r="K90" s="73"/>
      <c r="L90" s="73"/>
      <c r="M90" s="74" t="e">
        <f>_xlfn.IFNA(VLOOKUP(D90,'חד גזעי'!$U$4:$V$305,2,0),VLOOKUP(D90,'חד גזעי'!$U$4:$V$305,2))</f>
        <v>#N/A</v>
      </c>
      <c r="N90" s="73"/>
      <c r="O90" s="72" t="e">
        <f t="shared" si="42"/>
        <v>#N/A</v>
      </c>
      <c r="P90" s="85">
        <f t="shared" si="43"/>
        <v>0</v>
      </c>
      <c r="Q90" s="80">
        <f t="shared" si="44"/>
        <v>0</v>
      </c>
      <c r="R90" s="77"/>
      <c r="S90" s="75"/>
      <c r="T90" t="e">
        <f>VLOOKUP(D90,'חד גזעי'!$Y$4:$Y$18,1,0)</f>
        <v>#N/A</v>
      </c>
      <c r="U90">
        <f t="shared" si="45"/>
        <v>1</v>
      </c>
      <c r="V90" s="72"/>
      <c r="W90">
        <f t="shared" si="46"/>
        <v>0</v>
      </c>
      <c r="X90" s="72"/>
      <c r="Y90" s="72" t="e">
        <f t="shared" si="47"/>
        <v>#N/A</v>
      </c>
      <c r="Z90" s="72" t="e">
        <f>(VLOOKUP(D90,'חד גזעי'!$P$1:$R$282,3,FALSE))</f>
        <v>#N/A</v>
      </c>
      <c r="AA90" s="72">
        <f t="shared" si="48"/>
        <v>0</v>
      </c>
      <c r="AB90" s="72">
        <f t="shared" si="49"/>
        <v>0</v>
      </c>
      <c r="AC90" s="72">
        <f t="shared" si="50"/>
        <v>0</v>
      </c>
      <c r="AD90" s="72" t="e">
        <f t="shared" si="51"/>
        <v>#N/A</v>
      </c>
      <c r="AE90" t="e">
        <f>VLOOKUP(D90,'חד גזעי'!$P$284:$R$305,3,FALSE)</f>
        <v>#N/A</v>
      </c>
      <c r="AF90" s="72" t="b">
        <f t="shared" si="38"/>
        <v>0</v>
      </c>
      <c r="AG90" s="72" t="b">
        <f t="shared" si="39"/>
        <v>0</v>
      </c>
      <c r="AH90" s="72" t="b">
        <f t="shared" si="40"/>
        <v>0</v>
      </c>
    </row>
    <row r="91" spans="3:34">
      <c r="C91" s="72"/>
      <c r="D91" s="77"/>
      <c r="E91" s="73"/>
      <c r="F91" s="73"/>
      <c r="G91" s="72"/>
      <c r="H91" s="72"/>
      <c r="I91" s="72"/>
      <c r="J91" s="73">
        <f t="shared" si="41"/>
        <v>0</v>
      </c>
      <c r="K91" s="73"/>
      <c r="L91" s="73"/>
      <c r="M91" s="74" t="e">
        <f>_xlfn.IFNA(VLOOKUP(D91,'חד גזעי'!$U$4:$V$305,2,0),VLOOKUP(D91,'חד גזעי'!$U$4:$V$305,2))</f>
        <v>#N/A</v>
      </c>
      <c r="N91" s="73"/>
      <c r="O91" s="72" t="e">
        <f t="shared" si="42"/>
        <v>#N/A</v>
      </c>
      <c r="P91" s="85">
        <f t="shared" si="43"/>
        <v>0</v>
      </c>
      <c r="Q91" s="80">
        <f t="shared" si="44"/>
        <v>0</v>
      </c>
      <c r="R91" s="77"/>
      <c r="S91" s="75"/>
      <c r="T91" t="e">
        <f>VLOOKUP(D91,'חד גזעי'!$Y$4:$Y$18,1,0)</f>
        <v>#N/A</v>
      </c>
      <c r="U91">
        <f t="shared" si="45"/>
        <v>1</v>
      </c>
      <c r="V91" s="72"/>
      <c r="W91">
        <f t="shared" si="46"/>
        <v>0</v>
      </c>
      <c r="X91" s="72"/>
      <c r="Y91" s="72" t="e">
        <f t="shared" si="47"/>
        <v>#N/A</v>
      </c>
      <c r="Z91" s="72" t="e">
        <f>(VLOOKUP(D91,'חד גזעי'!$P$1:$R$282,3,FALSE))</f>
        <v>#N/A</v>
      </c>
      <c r="AA91" s="72">
        <f t="shared" si="48"/>
        <v>0</v>
      </c>
      <c r="AB91" s="72">
        <f t="shared" si="49"/>
        <v>0</v>
      </c>
      <c r="AC91" s="72">
        <f t="shared" si="50"/>
        <v>0</v>
      </c>
      <c r="AD91" s="72" t="e">
        <f t="shared" si="51"/>
        <v>#N/A</v>
      </c>
      <c r="AE91" t="e">
        <f>VLOOKUP(D91,'חד גזעי'!$P$284:$R$305,3,FALSE)</f>
        <v>#N/A</v>
      </c>
      <c r="AF91" s="72" t="b">
        <f t="shared" si="38"/>
        <v>0</v>
      </c>
      <c r="AG91" s="72" t="b">
        <f t="shared" si="39"/>
        <v>0</v>
      </c>
      <c r="AH91" s="72" t="b">
        <f t="shared" si="40"/>
        <v>0</v>
      </c>
    </row>
    <row r="92" spans="3:34">
      <c r="C92" s="72"/>
      <c r="D92" s="77"/>
      <c r="E92" s="78"/>
      <c r="F92" s="73"/>
      <c r="G92" s="72"/>
      <c r="H92" s="72"/>
      <c r="I92" s="72"/>
      <c r="J92" s="73">
        <f t="shared" si="41"/>
        <v>0</v>
      </c>
      <c r="K92" s="78"/>
      <c r="L92" s="73"/>
      <c r="M92" s="74" t="e">
        <f>_xlfn.IFNA(VLOOKUP(D92,'חד גזעי'!$U$4:$V$305,2,0),VLOOKUP(D92,'חד גזעי'!$U$4:$V$305,2))</f>
        <v>#N/A</v>
      </c>
      <c r="N92" s="73"/>
      <c r="O92" s="72" t="e">
        <f t="shared" si="42"/>
        <v>#N/A</v>
      </c>
      <c r="P92" s="85">
        <f t="shared" si="43"/>
        <v>0</v>
      </c>
      <c r="Q92" s="80">
        <f t="shared" si="44"/>
        <v>0</v>
      </c>
      <c r="R92" s="77"/>
      <c r="S92" s="75"/>
      <c r="T92" t="e">
        <f>VLOOKUP(D92,'חד גזעי'!$Y$4:$Y$18,1,0)</f>
        <v>#N/A</v>
      </c>
      <c r="U92">
        <f t="shared" si="45"/>
        <v>1</v>
      </c>
      <c r="V92" s="72"/>
      <c r="W92">
        <f t="shared" si="46"/>
        <v>0</v>
      </c>
      <c r="X92" s="72"/>
      <c r="Y92" s="72" t="e">
        <f t="shared" si="47"/>
        <v>#N/A</v>
      </c>
      <c r="Z92" s="72" t="e">
        <f>(VLOOKUP(D92,'חד גזעי'!$P$1:$R$282,3,FALSE))</f>
        <v>#N/A</v>
      </c>
      <c r="AA92" s="72">
        <f t="shared" si="48"/>
        <v>0</v>
      </c>
      <c r="AB92" s="72">
        <f t="shared" si="49"/>
        <v>0</v>
      </c>
      <c r="AC92" s="72">
        <f t="shared" si="50"/>
        <v>0</v>
      </c>
      <c r="AD92" s="72" t="e">
        <f t="shared" si="51"/>
        <v>#N/A</v>
      </c>
      <c r="AE92" t="e">
        <f>VLOOKUP(D92,'חד גזעי'!$P$284:$R$305,3,FALSE)</f>
        <v>#N/A</v>
      </c>
      <c r="AF92" s="72" t="b">
        <f t="shared" si="38"/>
        <v>0</v>
      </c>
      <c r="AG92" s="72" t="b">
        <f t="shared" si="39"/>
        <v>0</v>
      </c>
      <c r="AH92" s="72" t="b">
        <f t="shared" si="40"/>
        <v>0</v>
      </c>
    </row>
    <row r="93" spans="3:34">
      <c r="C93" s="72"/>
      <c r="D93" s="77"/>
      <c r="E93" s="78"/>
      <c r="F93" s="73"/>
      <c r="G93" s="72"/>
      <c r="H93" s="72"/>
      <c r="I93" s="72"/>
      <c r="J93" s="73">
        <f t="shared" si="41"/>
        <v>0</v>
      </c>
      <c r="K93" s="78"/>
      <c r="L93" s="73"/>
      <c r="M93" s="74" t="e">
        <f>_xlfn.IFNA(VLOOKUP(D93,'חד גזעי'!$U$4:$V$305,2,0),VLOOKUP(D93,'חד גזעי'!$U$4:$V$305,2))</f>
        <v>#N/A</v>
      </c>
      <c r="N93" s="73"/>
      <c r="O93" s="72" t="e">
        <f t="shared" si="42"/>
        <v>#N/A</v>
      </c>
      <c r="P93" s="85">
        <f t="shared" si="43"/>
        <v>0</v>
      </c>
      <c r="Q93" s="80">
        <f t="shared" si="44"/>
        <v>0</v>
      </c>
      <c r="R93" s="77"/>
      <c r="S93" s="75"/>
      <c r="T93" t="e">
        <f>VLOOKUP(D93,'חד גזעי'!$Y$4:$Y$18,1,0)</f>
        <v>#N/A</v>
      </c>
      <c r="U93">
        <f t="shared" si="45"/>
        <v>1</v>
      </c>
      <c r="V93" s="72"/>
      <c r="W93">
        <f t="shared" si="46"/>
        <v>0</v>
      </c>
      <c r="X93" s="72"/>
      <c r="Y93" s="72" t="e">
        <f t="shared" si="47"/>
        <v>#N/A</v>
      </c>
      <c r="Z93" s="72" t="e">
        <f>(VLOOKUP(D93,'חד גזעי'!$P$1:$R$282,3,FALSE))</f>
        <v>#N/A</v>
      </c>
      <c r="AA93" s="72">
        <f t="shared" si="48"/>
        <v>0</v>
      </c>
      <c r="AB93" s="72">
        <f t="shared" si="49"/>
        <v>0</v>
      </c>
      <c r="AC93" s="72">
        <f t="shared" si="50"/>
        <v>0</v>
      </c>
      <c r="AD93" s="72" t="e">
        <f t="shared" si="51"/>
        <v>#N/A</v>
      </c>
      <c r="AE93" t="e">
        <f>VLOOKUP(D93,'חד גזעי'!$P$284:$R$305,3,FALSE)</f>
        <v>#N/A</v>
      </c>
      <c r="AF93" s="72" t="b">
        <f t="shared" si="38"/>
        <v>0</v>
      </c>
      <c r="AG93" s="72" t="b">
        <f t="shared" si="39"/>
        <v>0</v>
      </c>
      <c r="AH93" s="72" t="b">
        <f t="shared" si="40"/>
        <v>0</v>
      </c>
    </row>
    <row r="94" spans="3:34">
      <c r="C94" s="72"/>
      <c r="D94" s="77"/>
      <c r="E94" s="78"/>
      <c r="F94" s="73"/>
      <c r="G94" s="72"/>
      <c r="H94" s="72"/>
      <c r="I94" s="72"/>
      <c r="J94" s="73">
        <f t="shared" si="41"/>
        <v>0</v>
      </c>
      <c r="K94" s="78"/>
      <c r="L94" s="73"/>
      <c r="M94" s="74" t="e">
        <f>_xlfn.IFNA(VLOOKUP(D94,'חד גזעי'!$U$4:$V$305,2,0),VLOOKUP(D94,'חד גזעי'!$U$4:$V$305,2))</f>
        <v>#N/A</v>
      </c>
      <c r="N94" s="73"/>
      <c r="O94" s="72" t="e">
        <f t="shared" si="42"/>
        <v>#N/A</v>
      </c>
      <c r="P94" s="85">
        <f t="shared" si="43"/>
        <v>0</v>
      </c>
      <c r="Q94" s="80">
        <f t="shared" si="44"/>
        <v>0</v>
      </c>
      <c r="R94" s="77"/>
      <c r="S94" s="75"/>
      <c r="T94" t="e">
        <f>VLOOKUP(D94,'חד גזעי'!$Y$4:$Y$18,1,0)</f>
        <v>#N/A</v>
      </c>
      <c r="U94">
        <f t="shared" si="45"/>
        <v>1</v>
      </c>
      <c r="V94" s="72"/>
      <c r="W94">
        <f t="shared" si="46"/>
        <v>0</v>
      </c>
      <c r="X94" s="72"/>
      <c r="Y94" s="72" t="e">
        <f t="shared" si="47"/>
        <v>#N/A</v>
      </c>
      <c r="Z94" s="72" t="e">
        <f>(VLOOKUP(D94,'חד גזעי'!$P$1:$R$282,3,FALSE))</f>
        <v>#N/A</v>
      </c>
      <c r="AA94" s="72">
        <f t="shared" si="48"/>
        <v>0</v>
      </c>
      <c r="AB94" s="72">
        <f t="shared" si="49"/>
        <v>0</v>
      </c>
      <c r="AC94" s="72">
        <f t="shared" si="50"/>
        <v>0</v>
      </c>
      <c r="AD94" s="72" t="e">
        <f t="shared" si="51"/>
        <v>#N/A</v>
      </c>
      <c r="AE94" t="e">
        <f>VLOOKUP(D94,'חד גזעי'!$P$284:$R$305,3,FALSE)</f>
        <v>#N/A</v>
      </c>
      <c r="AF94" s="72" t="b">
        <f t="shared" si="38"/>
        <v>0</v>
      </c>
      <c r="AG94" s="72" t="b">
        <f t="shared" si="39"/>
        <v>0</v>
      </c>
      <c r="AH94" s="72" t="b">
        <f t="shared" si="40"/>
        <v>0</v>
      </c>
    </row>
    <row r="95" spans="3:34">
      <c r="C95" s="72"/>
      <c r="D95" s="77"/>
      <c r="E95" s="78"/>
      <c r="F95" s="73"/>
      <c r="G95" s="72"/>
      <c r="H95" s="72"/>
      <c r="I95" s="72"/>
      <c r="J95" s="73">
        <f t="shared" si="41"/>
        <v>0</v>
      </c>
      <c r="K95" s="78"/>
      <c r="L95" s="73"/>
      <c r="M95" s="74" t="e">
        <f>_xlfn.IFNA(VLOOKUP(D95,'חד גזעי'!$U$4:$V$305,2,0),VLOOKUP(D95,'חד גזעי'!$U$4:$V$305,2))</f>
        <v>#N/A</v>
      </c>
      <c r="N95" s="73"/>
      <c r="O95" s="72" t="e">
        <f t="shared" si="42"/>
        <v>#N/A</v>
      </c>
      <c r="P95" s="85">
        <f t="shared" si="43"/>
        <v>0</v>
      </c>
      <c r="Q95" s="80">
        <f t="shared" si="44"/>
        <v>0</v>
      </c>
      <c r="R95" s="77"/>
      <c r="S95" s="75"/>
      <c r="T95" t="e">
        <f>VLOOKUP(D95,'חד גזעי'!$Y$4:$Y$18,1,0)</f>
        <v>#N/A</v>
      </c>
      <c r="U95">
        <f t="shared" si="45"/>
        <v>1</v>
      </c>
      <c r="V95" s="72"/>
      <c r="W95">
        <f t="shared" si="46"/>
        <v>0</v>
      </c>
      <c r="X95" s="72"/>
      <c r="Y95" s="72" t="e">
        <f t="shared" si="47"/>
        <v>#N/A</v>
      </c>
      <c r="Z95" s="72" t="e">
        <f>(VLOOKUP(D95,'חד גזעי'!$P$1:$R$282,3,FALSE))</f>
        <v>#N/A</v>
      </c>
      <c r="AA95" s="72">
        <f t="shared" si="48"/>
        <v>0</v>
      </c>
      <c r="AB95" s="72">
        <f t="shared" si="49"/>
        <v>0</v>
      </c>
      <c r="AC95" s="72">
        <f t="shared" si="50"/>
        <v>0</v>
      </c>
      <c r="AD95" s="72" t="e">
        <f t="shared" si="51"/>
        <v>#N/A</v>
      </c>
      <c r="AE95" t="e">
        <f>VLOOKUP(D95,'חד גזעי'!$P$284:$R$305,3,FALSE)</f>
        <v>#N/A</v>
      </c>
      <c r="AF95" s="72" t="b">
        <f t="shared" si="38"/>
        <v>0</v>
      </c>
      <c r="AG95" s="72" t="b">
        <f t="shared" si="39"/>
        <v>0</v>
      </c>
      <c r="AH95" s="72" t="b">
        <f t="shared" si="40"/>
        <v>0</v>
      </c>
    </row>
    <row r="96" spans="3:34">
      <c r="C96" s="72"/>
      <c r="D96" s="77"/>
      <c r="E96" s="78"/>
      <c r="F96" s="78"/>
      <c r="G96" s="72"/>
      <c r="H96" s="72"/>
      <c r="I96" s="72"/>
      <c r="J96" s="73">
        <f t="shared" si="41"/>
        <v>0</v>
      </c>
      <c r="K96" s="78"/>
      <c r="L96" s="73"/>
      <c r="M96" s="74" t="e">
        <f>_xlfn.IFNA(VLOOKUP(D96,'חד גזעי'!$U$4:$V$305,2,0),VLOOKUP(D96,'חד גזעי'!$U$4:$V$305,2))</f>
        <v>#N/A</v>
      </c>
      <c r="N96" s="73"/>
      <c r="O96" s="72" t="e">
        <f t="shared" si="42"/>
        <v>#N/A</v>
      </c>
      <c r="P96" s="85">
        <f t="shared" si="43"/>
        <v>0</v>
      </c>
      <c r="Q96" s="80">
        <f t="shared" si="44"/>
        <v>0</v>
      </c>
      <c r="R96" s="77"/>
      <c r="S96" s="75"/>
      <c r="T96" t="e">
        <f>VLOOKUP(D96,'חד גזעי'!$Y$4:$Y$18,1,0)</f>
        <v>#N/A</v>
      </c>
      <c r="U96">
        <f t="shared" si="45"/>
        <v>1</v>
      </c>
      <c r="V96" s="72"/>
      <c r="W96">
        <f t="shared" si="46"/>
        <v>0</v>
      </c>
      <c r="X96" s="72"/>
      <c r="Y96" s="72" t="e">
        <f t="shared" si="47"/>
        <v>#N/A</v>
      </c>
      <c r="Z96" s="72" t="e">
        <f>(VLOOKUP(D96,'חד גזעי'!$P$1:$R$282,3,FALSE))</f>
        <v>#N/A</v>
      </c>
      <c r="AA96" s="72">
        <f t="shared" si="48"/>
        <v>0</v>
      </c>
      <c r="AB96" s="72">
        <f t="shared" si="49"/>
        <v>0</v>
      </c>
      <c r="AC96" s="72">
        <f t="shared" si="50"/>
        <v>0</v>
      </c>
      <c r="AD96" s="72" t="e">
        <f t="shared" si="51"/>
        <v>#N/A</v>
      </c>
      <c r="AE96" t="e">
        <f>VLOOKUP(D96,'חד גזעי'!$P$284:$R$305,3,FALSE)</f>
        <v>#N/A</v>
      </c>
      <c r="AF96" s="72" t="b">
        <f t="shared" si="38"/>
        <v>0</v>
      </c>
      <c r="AG96" s="72" t="b">
        <f t="shared" si="39"/>
        <v>0</v>
      </c>
      <c r="AH96" s="72" t="b">
        <f t="shared" si="40"/>
        <v>0</v>
      </c>
    </row>
    <row r="97" spans="3:34">
      <c r="C97" s="72"/>
      <c r="D97" s="77"/>
      <c r="E97" s="78"/>
      <c r="F97" s="78"/>
      <c r="G97" s="72"/>
      <c r="H97" s="72"/>
      <c r="I97" s="72"/>
      <c r="J97" s="73">
        <f t="shared" si="41"/>
        <v>0</v>
      </c>
      <c r="K97" s="78"/>
      <c r="L97" s="73"/>
      <c r="M97" s="74" t="e">
        <f>_xlfn.IFNA(VLOOKUP(D97,'חד גזעי'!$U$4:$V$305,2,0),VLOOKUP(D97,'חד גזעי'!$U$4:$V$305,2))</f>
        <v>#N/A</v>
      </c>
      <c r="N97" s="73"/>
      <c r="O97" s="72" t="e">
        <f t="shared" si="42"/>
        <v>#N/A</v>
      </c>
      <c r="P97" s="85">
        <f t="shared" si="43"/>
        <v>0</v>
      </c>
      <c r="Q97" s="80">
        <f t="shared" si="44"/>
        <v>0</v>
      </c>
      <c r="R97" s="77"/>
      <c r="S97" s="75"/>
      <c r="T97" t="e">
        <f>VLOOKUP(D97,'חד גזעי'!$Y$4:$Y$18,1,0)</f>
        <v>#N/A</v>
      </c>
      <c r="U97">
        <f t="shared" si="45"/>
        <v>1</v>
      </c>
      <c r="V97" s="72"/>
      <c r="W97">
        <f t="shared" si="46"/>
        <v>0</v>
      </c>
      <c r="X97" s="72"/>
      <c r="Y97" s="72" t="e">
        <f t="shared" si="47"/>
        <v>#N/A</v>
      </c>
      <c r="Z97" s="72" t="e">
        <f>(VLOOKUP(D97,'חד גזעי'!$P$1:$R$282,3,FALSE))</f>
        <v>#N/A</v>
      </c>
      <c r="AA97" s="72">
        <f t="shared" si="48"/>
        <v>0</v>
      </c>
      <c r="AB97" s="72">
        <f t="shared" si="49"/>
        <v>0</v>
      </c>
      <c r="AC97" s="72">
        <f t="shared" si="50"/>
        <v>0</v>
      </c>
      <c r="AD97" s="72" t="e">
        <f t="shared" si="51"/>
        <v>#N/A</v>
      </c>
      <c r="AE97" t="e">
        <f>VLOOKUP(D97,'חד גזעי'!$P$284:$R$305,3,FALSE)</f>
        <v>#N/A</v>
      </c>
      <c r="AF97" s="72" t="b">
        <f t="shared" si="38"/>
        <v>0</v>
      </c>
      <c r="AG97" s="72" t="b">
        <f t="shared" si="39"/>
        <v>0</v>
      </c>
      <c r="AH97" s="72" t="b">
        <f t="shared" si="40"/>
        <v>0</v>
      </c>
    </row>
    <row r="98" spans="3:34">
      <c r="C98" s="72"/>
      <c r="D98" s="77"/>
      <c r="E98" s="78"/>
      <c r="F98" s="78"/>
      <c r="G98" s="72"/>
      <c r="H98" s="72"/>
      <c r="I98" s="72"/>
      <c r="J98" s="73">
        <f t="shared" si="41"/>
        <v>0</v>
      </c>
      <c r="K98" s="78"/>
      <c r="L98" s="73"/>
      <c r="M98" s="74" t="e">
        <f>_xlfn.IFNA(VLOOKUP(D98,'חד גזעי'!$U$4:$V$305,2,0),VLOOKUP(D98,'חד גזעי'!$U$4:$V$305,2))</f>
        <v>#N/A</v>
      </c>
      <c r="N98" s="73"/>
      <c r="O98" s="72" t="e">
        <f t="shared" si="42"/>
        <v>#N/A</v>
      </c>
      <c r="P98" s="85">
        <f t="shared" si="43"/>
        <v>0</v>
      </c>
      <c r="Q98" s="80">
        <f t="shared" si="44"/>
        <v>0</v>
      </c>
      <c r="R98" s="77"/>
      <c r="S98" s="75"/>
      <c r="T98" t="e">
        <f>VLOOKUP(D98,'חד גזעי'!$Y$4:$Y$18,1,0)</f>
        <v>#N/A</v>
      </c>
      <c r="U98">
        <f t="shared" si="45"/>
        <v>1</v>
      </c>
      <c r="V98" s="72"/>
      <c r="W98">
        <f t="shared" si="46"/>
        <v>0</v>
      </c>
      <c r="X98" s="72"/>
      <c r="Y98" s="72" t="e">
        <f t="shared" si="47"/>
        <v>#N/A</v>
      </c>
      <c r="Z98" s="72" t="e">
        <f>(VLOOKUP(D98,'חד גזעי'!$P$1:$R$282,3,FALSE))</f>
        <v>#N/A</v>
      </c>
      <c r="AA98" s="72">
        <f t="shared" si="48"/>
        <v>0</v>
      </c>
      <c r="AB98" s="72">
        <f t="shared" si="49"/>
        <v>0</v>
      </c>
      <c r="AC98" s="72">
        <f t="shared" si="50"/>
        <v>0</v>
      </c>
      <c r="AD98" s="72" t="e">
        <f t="shared" si="51"/>
        <v>#N/A</v>
      </c>
      <c r="AE98" t="e">
        <f>VLOOKUP(D98,'חד גזעי'!$P$284:$R$305,3,FALSE)</f>
        <v>#N/A</v>
      </c>
      <c r="AF98" s="72" t="b">
        <f t="shared" si="38"/>
        <v>0</v>
      </c>
      <c r="AG98" s="72" t="b">
        <f t="shared" si="39"/>
        <v>0</v>
      </c>
      <c r="AH98" s="72" t="b">
        <f t="shared" si="40"/>
        <v>0</v>
      </c>
    </row>
    <row r="99" spans="3:34">
      <c r="C99" s="72"/>
      <c r="D99" s="77"/>
      <c r="E99" s="78"/>
      <c r="F99" s="78"/>
      <c r="G99" s="72"/>
      <c r="H99" s="72"/>
      <c r="I99" s="72"/>
      <c r="J99" s="73">
        <f t="shared" si="41"/>
        <v>0</v>
      </c>
      <c r="K99" s="78"/>
      <c r="L99" s="73"/>
      <c r="M99" s="74" t="e">
        <f>_xlfn.IFNA(VLOOKUP(D99,'חד גזעי'!$U$4:$V$305,2,0),VLOOKUP(D99,'חד גזעי'!$U$4:$V$305,2))</f>
        <v>#N/A</v>
      </c>
      <c r="N99" s="73"/>
      <c r="O99" s="72" t="e">
        <f t="shared" si="42"/>
        <v>#N/A</v>
      </c>
      <c r="P99" s="85">
        <f t="shared" si="43"/>
        <v>0</v>
      </c>
      <c r="Q99" s="80">
        <f t="shared" si="44"/>
        <v>0</v>
      </c>
      <c r="R99" s="77"/>
      <c r="S99" s="75"/>
      <c r="T99" t="e">
        <f>VLOOKUP(D99,'חד גזעי'!$Y$4:$Y$18,1,0)</f>
        <v>#N/A</v>
      </c>
      <c r="U99">
        <f t="shared" si="45"/>
        <v>1</v>
      </c>
      <c r="V99" s="72"/>
      <c r="W99">
        <f t="shared" si="46"/>
        <v>0</v>
      </c>
      <c r="X99" s="72"/>
      <c r="Y99" s="72" t="e">
        <f t="shared" si="47"/>
        <v>#N/A</v>
      </c>
      <c r="Z99" s="72" t="e">
        <f>(VLOOKUP(D99,'חד גזעי'!$P$1:$R$282,3,FALSE))</f>
        <v>#N/A</v>
      </c>
      <c r="AA99" s="72">
        <f t="shared" si="48"/>
        <v>0</v>
      </c>
      <c r="AB99" s="72">
        <f t="shared" si="49"/>
        <v>0</v>
      </c>
      <c r="AC99" s="72">
        <f t="shared" si="50"/>
        <v>0</v>
      </c>
      <c r="AD99" s="72" t="e">
        <f t="shared" si="51"/>
        <v>#N/A</v>
      </c>
      <c r="AE99" t="e">
        <f>VLOOKUP(D99,'חד גזעי'!$P$284:$R$305,3,FALSE)</f>
        <v>#N/A</v>
      </c>
      <c r="AF99" s="72" t="b">
        <f t="shared" si="38"/>
        <v>0</v>
      </c>
      <c r="AG99" s="72" t="b">
        <f t="shared" si="39"/>
        <v>0</v>
      </c>
      <c r="AH99" s="72" t="b">
        <f t="shared" si="40"/>
        <v>0</v>
      </c>
    </row>
    <row r="100" spans="3:34">
      <c r="C100" s="72"/>
      <c r="D100" s="77"/>
      <c r="E100" s="78"/>
      <c r="F100" s="78"/>
      <c r="G100" s="72"/>
      <c r="H100" s="72"/>
      <c r="I100" s="72"/>
      <c r="J100" s="73">
        <f t="shared" si="41"/>
        <v>0</v>
      </c>
      <c r="K100" s="78"/>
      <c r="L100" s="73"/>
      <c r="M100" s="74" t="e">
        <f>_xlfn.IFNA(VLOOKUP(D100,'חד גזעי'!$U$4:$V$305,2,0),VLOOKUP(D100,'חד גזעי'!$U$4:$V$305,2))</f>
        <v>#N/A</v>
      </c>
      <c r="N100" s="73"/>
      <c r="O100" s="72" t="e">
        <f t="shared" si="42"/>
        <v>#N/A</v>
      </c>
      <c r="P100" s="85">
        <f t="shared" si="43"/>
        <v>0</v>
      </c>
      <c r="Q100" s="80">
        <f t="shared" si="44"/>
        <v>0</v>
      </c>
      <c r="R100" s="77"/>
      <c r="S100" s="76"/>
      <c r="T100" t="e">
        <f>VLOOKUP(D100,'חד גזעי'!$Y$4:$Y$18,1,0)</f>
        <v>#N/A</v>
      </c>
      <c r="U100">
        <f t="shared" si="45"/>
        <v>1</v>
      </c>
      <c r="V100" s="72"/>
      <c r="W100">
        <f t="shared" si="46"/>
        <v>0</v>
      </c>
      <c r="X100" s="72"/>
      <c r="Y100" s="72" t="e">
        <f t="shared" si="47"/>
        <v>#N/A</v>
      </c>
      <c r="Z100" s="72" t="e">
        <f>(VLOOKUP(D100,'חד גזעי'!$P$1:$R$282,3,FALSE))</f>
        <v>#N/A</v>
      </c>
      <c r="AA100" s="72">
        <f t="shared" si="48"/>
        <v>0</v>
      </c>
      <c r="AB100" s="72">
        <f t="shared" si="49"/>
        <v>0</v>
      </c>
      <c r="AC100" s="72">
        <f t="shared" si="50"/>
        <v>0</v>
      </c>
      <c r="AD100" s="72" t="e">
        <f t="shared" si="51"/>
        <v>#N/A</v>
      </c>
      <c r="AE100" t="e">
        <f>VLOOKUP(D100,'חד גזעי'!$P$284:$R$305,3,FALSE)</f>
        <v>#N/A</v>
      </c>
      <c r="AF100" s="72" t="b">
        <f t="shared" si="38"/>
        <v>0</v>
      </c>
      <c r="AG100" s="72" t="b">
        <f t="shared" si="39"/>
        <v>0</v>
      </c>
      <c r="AH100" s="72" t="b">
        <f t="shared" si="40"/>
        <v>0</v>
      </c>
    </row>
    <row r="101" spans="3:34">
      <c r="C101" s="72"/>
      <c r="D101" s="77"/>
      <c r="E101" s="78"/>
      <c r="F101" s="78"/>
      <c r="G101" s="72"/>
      <c r="H101" s="72"/>
      <c r="I101" s="72"/>
      <c r="J101" s="73">
        <f t="shared" si="41"/>
        <v>0</v>
      </c>
      <c r="K101" s="78"/>
      <c r="L101" s="73"/>
      <c r="M101" s="74" t="e">
        <f>_xlfn.IFNA(VLOOKUP(D101,'חד גזעי'!$U$4:$V$305,2,0),VLOOKUP(D101,'חד גזעי'!$U$4:$V$305,2))</f>
        <v>#N/A</v>
      </c>
      <c r="N101" s="73"/>
      <c r="O101" s="72" t="e">
        <f t="shared" si="42"/>
        <v>#N/A</v>
      </c>
      <c r="P101" s="85">
        <f t="shared" si="43"/>
        <v>0</v>
      </c>
      <c r="Q101" s="80">
        <f t="shared" si="44"/>
        <v>0</v>
      </c>
      <c r="R101" s="77"/>
      <c r="S101" s="76"/>
      <c r="T101" t="e">
        <f>VLOOKUP(D101,'חד גזעי'!$Y$4:$Y$18,1,0)</f>
        <v>#N/A</v>
      </c>
      <c r="U101">
        <f t="shared" si="45"/>
        <v>1</v>
      </c>
      <c r="V101" s="72"/>
      <c r="W101">
        <f t="shared" si="46"/>
        <v>0</v>
      </c>
      <c r="X101" s="72"/>
      <c r="Y101" s="72" t="e">
        <f t="shared" si="47"/>
        <v>#N/A</v>
      </c>
      <c r="Z101" s="72" t="e">
        <f>(VLOOKUP(D101,'חד גזעי'!$P$1:$R$282,3,FALSE))</f>
        <v>#N/A</v>
      </c>
      <c r="AA101" s="72">
        <f t="shared" si="48"/>
        <v>0</v>
      </c>
      <c r="AB101" s="72">
        <f t="shared" si="49"/>
        <v>0</v>
      </c>
      <c r="AC101" s="72">
        <f t="shared" si="50"/>
        <v>0</v>
      </c>
      <c r="AD101" s="72" t="e">
        <f t="shared" si="51"/>
        <v>#N/A</v>
      </c>
      <c r="AE101" t="e">
        <f>VLOOKUP(D101,'חד גזעי'!$P$284:$R$305,3,FALSE)</f>
        <v>#N/A</v>
      </c>
      <c r="AF101" s="72" t="b">
        <f t="shared" si="38"/>
        <v>0</v>
      </c>
      <c r="AG101" s="72" t="b">
        <f t="shared" si="39"/>
        <v>0</v>
      </c>
      <c r="AH101" s="72" t="b">
        <f t="shared" si="40"/>
        <v>0</v>
      </c>
    </row>
    <row r="102" spans="3:34">
      <c r="C102" s="72"/>
      <c r="D102" s="77"/>
      <c r="E102" s="78"/>
      <c r="F102" s="78"/>
      <c r="G102" s="72"/>
      <c r="H102" s="72"/>
      <c r="I102" s="72"/>
      <c r="J102" s="73">
        <f t="shared" si="41"/>
        <v>0</v>
      </c>
      <c r="K102" s="78"/>
      <c r="L102" s="73"/>
      <c r="M102" s="74" t="e">
        <f>_xlfn.IFNA(VLOOKUP(D102,'חד גזעי'!$U$4:$V$305,2,0),VLOOKUP(D102,'חד גזעי'!$U$4:$V$305,2))</f>
        <v>#N/A</v>
      </c>
      <c r="N102" s="73"/>
      <c r="O102" s="72" t="e">
        <f t="shared" si="42"/>
        <v>#N/A</v>
      </c>
      <c r="P102" s="85">
        <f t="shared" si="43"/>
        <v>0</v>
      </c>
      <c r="Q102" s="80">
        <f t="shared" si="44"/>
        <v>0</v>
      </c>
      <c r="R102" s="77"/>
      <c r="S102" s="76"/>
      <c r="T102" t="e">
        <f>VLOOKUP(D102,'חד גזעי'!$Y$4:$Y$18,1,0)</f>
        <v>#N/A</v>
      </c>
      <c r="U102">
        <f t="shared" si="45"/>
        <v>1</v>
      </c>
      <c r="V102" s="72"/>
      <c r="W102">
        <f t="shared" si="46"/>
        <v>0</v>
      </c>
      <c r="X102" s="72"/>
      <c r="Y102" s="72" t="e">
        <f t="shared" si="47"/>
        <v>#N/A</v>
      </c>
      <c r="Z102" s="72" t="e">
        <f>(VLOOKUP(D102,'חד גזעי'!$P$1:$R$282,3,FALSE))</f>
        <v>#N/A</v>
      </c>
      <c r="AA102" s="72">
        <f t="shared" si="48"/>
        <v>0</v>
      </c>
      <c r="AB102" s="72">
        <f t="shared" si="49"/>
        <v>0</v>
      </c>
      <c r="AC102" s="72">
        <f t="shared" si="50"/>
        <v>0</v>
      </c>
      <c r="AD102" s="72" t="e">
        <f t="shared" si="51"/>
        <v>#N/A</v>
      </c>
      <c r="AE102" t="e">
        <f>VLOOKUP(D102,'חד גזעי'!$P$284:$R$305,3,FALSE)</f>
        <v>#N/A</v>
      </c>
      <c r="AF102" s="72" t="b">
        <f t="shared" si="38"/>
        <v>0</v>
      </c>
      <c r="AG102" s="72" t="b">
        <f t="shared" si="39"/>
        <v>0</v>
      </c>
      <c r="AH102" s="72" t="b">
        <f t="shared" si="40"/>
        <v>0</v>
      </c>
    </row>
    <row r="103" spans="3:34">
      <c r="C103" s="72"/>
      <c r="D103" s="77"/>
      <c r="E103" s="78"/>
      <c r="F103" s="78"/>
      <c r="G103" s="72"/>
      <c r="H103" s="72"/>
      <c r="I103" s="72"/>
      <c r="J103" s="73">
        <f t="shared" si="41"/>
        <v>0</v>
      </c>
      <c r="K103" s="78"/>
      <c r="L103" s="73"/>
      <c r="M103" s="74" t="e">
        <f>_xlfn.IFNA(VLOOKUP(D103,'חד גזעי'!$U$4:$V$305,2,0),VLOOKUP(D103,'חד גזעי'!$U$4:$V$305,2))</f>
        <v>#N/A</v>
      </c>
      <c r="N103" s="73"/>
      <c r="O103" s="72" t="e">
        <f t="shared" si="42"/>
        <v>#N/A</v>
      </c>
      <c r="P103" s="85">
        <f t="shared" si="43"/>
        <v>0</v>
      </c>
      <c r="Q103" s="80">
        <f t="shared" si="44"/>
        <v>0</v>
      </c>
      <c r="R103" s="77"/>
      <c r="S103" s="75"/>
      <c r="T103" t="e">
        <f>VLOOKUP(D103,'חד גזעי'!$Y$4:$Y$18,1,0)</f>
        <v>#N/A</v>
      </c>
      <c r="U103">
        <f t="shared" si="45"/>
        <v>1</v>
      </c>
      <c r="V103" s="72"/>
      <c r="W103">
        <f t="shared" si="46"/>
        <v>0</v>
      </c>
      <c r="X103" s="72"/>
      <c r="Y103" s="72" t="e">
        <f t="shared" si="47"/>
        <v>#N/A</v>
      </c>
      <c r="Z103" s="72" t="e">
        <f>(VLOOKUP(D103,'חד גזעי'!$P$1:$R$282,3,FALSE))</f>
        <v>#N/A</v>
      </c>
      <c r="AA103" s="72">
        <f t="shared" si="48"/>
        <v>0</v>
      </c>
      <c r="AB103" s="72">
        <f t="shared" si="49"/>
        <v>0</v>
      </c>
      <c r="AC103" s="72">
        <f t="shared" si="50"/>
        <v>0</v>
      </c>
      <c r="AD103" s="72" t="e">
        <f t="shared" si="51"/>
        <v>#N/A</v>
      </c>
      <c r="AE103" t="e">
        <f>VLOOKUP(D103,'חד גזעי'!$P$284:$R$305,3,FALSE)</f>
        <v>#N/A</v>
      </c>
      <c r="AF103" s="72" t="b">
        <f t="shared" si="38"/>
        <v>0</v>
      </c>
      <c r="AG103" s="72" t="b">
        <f t="shared" si="39"/>
        <v>0</v>
      </c>
      <c r="AH103" s="72" t="b">
        <f t="shared" si="40"/>
        <v>0</v>
      </c>
    </row>
    <row r="104" spans="3:34">
      <c r="C104" s="72"/>
      <c r="D104" s="77"/>
      <c r="E104" s="78"/>
      <c r="F104" s="78"/>
      <c r="G104" s="72"/>
      <c r="H104" s="72"/>
      <c r="I104" s="72"/>
      <c r="J104" s="73">
        <f t="shared" si="41"/>
        <v>0</v>
      </c>
      <c r="K104" s="78"/>
      <c r="L104" s="73"/>
      <c r="M104" s="74" t="e">
        <f>_xlfn.IFNA(VLOOKUP(D104,'חד גזעי'!$U$4:$V$305,2,0),VLOOKUP(D104,'חד גזעי'!$U$4:$V$305,2))</f>
        <v>#N/A</v>
      </c>
      <c r="N104" s="73"/>
      <c r="O104" s="72" t="e">
        <f t="shared" si="42"/>
        <v>#N/A</v>
      </c>
      <c r="P104" s="85">
        <f t="shared" si="43"/>
        <v>0</v>
      </c>
      <c r="Q104" s="80">
        <f t="shared" si="44"/>
        <v>0</v>
      </c>
      <c r="R104" s="77"/>
      <c r="S104" s="76"/>
      <c r="T104" t="e">
        <f>VLOOKUP(D104,'חד גזעי'!$Y$4:$Y$18,1,0)</f>
        <v>#N/A</v>
      </c>
      <c r="U104">
        <f t="shared" si="45"/>
        <v>1</v>
      </c>
      <c r="V104" s="72"/>
      <c r="W104">
        <f t="shared" si="46"/>
        <v>0</v>
      </c>
      <c r="X104" s="72"/>
      <c r="Y104" s="72" t="e">
        <f t="shared" si="47"/>
        <v>#N/A</v>
      </c>
      <c r="Z104" s="72" t="e">
        <f>(VLOOKUP(D104,'חד גזעי'!$P$1:$R$282,3,FALSE))</f>
        <v>#N/A</v>
      </c>
      <c r="AA104" s="72">
        <f t="shared" si="48"/>
        <v>0</v>
      </c>
      <c r="AB104" s="72">
        <f t="shared" si="49"/>
        <v>0</v>
      </c>
      <c r="AC104" s="72">
        <f t="shared" si="50"/>
        <v>0</v>
      </c>
      <c r="AD104" s="72" t="e">
        <f t="shared" si="51"/>
        <v>#N/A</v>
      </c>
      <c r="AE104" t="e">
        <f>VLOOKUP(D104,'חד גזעי'!$P$284:$R$305,3,FALSE)</f>
        <v>#N/A</v>
      </c>
      <c r="AF104" s="72" t="b">
        <f t="shared" si="38"/>
        <v>0</v>
      </c>
      <c r="AG104" s="72" t="b">
        <f t="shared" si="39"/>
        <v>0</v>
      </c>
      <c r="AH104" s="72" t="b">
        <f t="shared" si="40"/>
        <v>0</v>
      </c>
    </row>
    <row r="105" spans="3:34">
      <c r="C105" s="72"/>
      <c r="D105" s="77"/>
      <c r="E105" s="78"/>
      <c r="F105" s="78"/>
      <c r="G105" s="72"/>
      <c r="H105" s="72"/>
      <c r="I105" s="72"/>
      <c r="J105" s="73">
        <f t="shared" si="41"/>
        <v>0</v>
      </c>
      <c r="K105" s="78"/>
      <c r="L105" s="73"/>
      <c r="M105" s="74" t="e">
        <f>_xlfn.IFNA(VLOOKUP(D105,'חד גזעי'!$U$4:$V$305,2,0),VLOOKUP(D105,'חד גזעי'!$U$4:$V$305,2))</f>
        <v>#N/A</v>
      </c>
      <c r="N105" s="73"/>
      <c r="O105" s="72" t="e">
        <f t="shared" si="42"/>
        <v>#N/A</v>
      </c>
      <c r="P105" s="85">
        <f t="shared" si="43"/>
        <v>0</v>
      </c>
      <c r="Q105" s="80">
        <f t="shared" si="44"/>
        <v>0</v>
      </c>
      <c r="R105" s="77"/>
      <c r="S105" s="76"/>
      <c r="T105" t="e">
        <f>VLOOKUP(D105,'חד גזעי'!$Y$4:$Y$18,1,0)</f>
        <v>#N/A</v>
      </c>
      <c r="U105">
        <f t="shared" si="45"/>
        <v>1</v>
      </c>
      <c r="V105" s="72"/>
      <c r="W105">
        <f t="shared" si="46"/>
        <v>0</v>
      </c>
      <c r="X105" s="72"/>
      <c r="Y105" s="72" t="e">
        <f t="shared" si="47"/>
        <v>#N/A</v>
      </c>
      <c r="Z105" s="72" t="e">
        <f>(VLOOKUP(D105,'חד גזעי'!$P$1:$R$282,3,FALSE))</f>
        <v>#N/A</v>
      </c>
      <c r="AA105" s="72">
        <f t="shared" si="48"/>
        <v>0</v>
      </c>
      <c r="AB105" s="72">
        <f t="shared" si="49"/>
        <v>0</v>
      </c>
      <c r="AC105" s="72">
        <f t="shared" si="50"/>
        <v>0</v>
      </c>
      <c r="AD105" s="72" t="e">
        <f t="shared" si="51"/>
        <v>#N/A</v>
      </c>
      <c r="AE105" t="e">
        <f>VLOOKUP(D105,'חד גזעי'!$P$284:$R$305,3,FALSE)</f>
        <v>#N/A</v>
      </c>
      <c r="AF105" s="72" t="b">
        <f t="shared" si="38"/>
        <v>0</v>
      </c>
      <c r="AG105" s="72" t="b">
        <f t="shared" si="39"/>
        <v>0</v>
      </c>
      <c r="AH105" s="72" t="b">
        <f t="shared" si="40"/>
        <v>0</v>
      </c>
    </row>
    <row r="106" spans="3:34">
      <c r="C106" s="72"/>
      <c r="D106" s="77"/>
      <c r="E106" s="78"/>
      <c r="F106" s="78"/>
      <c r="G106" s="72"/>
      <c r="H106" s="72"/>
      <c r="I106" s="72"/>
      <c r="J106" s="73">
        <f t="shared" si="41"/>
        <v>0</v>
      </c>
      <c r="K106" s="78"/>
      <c r="L106" s="73"/>
      <c r="M106" s="74" t="e">
        <f>_xlfn.IFNA(VLOOKUP(D106,'חד גזעי'!$U$4:$V$305,2,0),VLOOKUP(D106,'חד גזעי'!$U$4:$V$305,2))</f>
        <v>#N/A</v>
      </c>
      <c r="N106" s="73"/>
      <c r="O106" s="72" t="e">
        <f t="shared" si="42"/>
        <v>#N/A</v>
      </c>
      <c r="P106" s="85">
        <f t="shared" si="43"/>
        <v>0</v>
      </c>
      <c r="Q106" s="80">
        <f t="shared" si="44"/>
        <v>0</v>
      </c>
      <c r="R106" s="77"/>
      <c r="S106" s="75"/>
      <c r="T106" t="e">
        <f>VLOOKUP(D106,'חד גזעי'!$Y$4:$Y$18,1,0)</f>
        <v>#N/A</v>
      </c>
      <c r="U106">
        <f t="shared" si="45"/>
        <v>1</v>
      </c>
      <c r="V106" s="72"/>
      <c r="W106">
        <f t="shared" si="46"/>
        <v>0</v>
      </c>
      <c r="X106" s="72"/>
      <c r="Y106" s="72" t="e">
        <f t="shared" si="47"/>
        <v>#N/A</v>
      </c>
      <c r="Z106" s="72" t="e">
        <f>(VLOOKUP(D106,'חד גזעי'!$P$1:$R$282,3,FALSE))</f>
        <v>#N/A</v>
      </c>
      <c r="AA106" s="72">
        <f t="shared" si="48"/>
        <v>0</v>
      </c>
      <c r="AB106" s="72">
        <f t="shared" si="49"/>
        <v>0</v>
      </c>
      <c r="AC106" s="72">
        <f t="shared" si="50"/>
        <v>0</v>
      </c>
      <c r="AD106" s="72" t="e">
        <f t="shared" si="51"/>
        <v>#N/A</v>
      </c>
      <c r="AE106" t="e">
        <f>VLOOKUP(D106,'חד גזעי'!$P$284:$R$305,3,FALSE)</f>
        <v>#N/A</v>
      </c>
      <c r="AF106" s="72" t="b">
        <f t="shared" ref="AF106:AF138" si="52">IF(AS106="שימור",Q106)</f>
        <v>0</v>
      </c>
      <c r="AG106" s="72" t="b">
        <f t="shared" ref="AG106:AG138" si="53">IF(AS106="כריתה",Q106)</f>
        <v>0</v>
      </c>
      <c r="AH106" s="72" t="b">
        <f t="shared" ref="AH106:AH138" si="54">IF(AS106="העתקה",Q106)</f>
        <v>0</v>
      </c>
    </row>
    <row r="107" spans="3:34">
      <c r="C107" s="72"/>
      <c r="D107" s="77"/>
      <c r="E107" s="78"/>
      <c r="F107" s="78"/>
      <c r="G107" s="72"/>
      <c r="H107" s="72"/>
      <c r="I107" s="72"/>
      <c r="J107" s="73">
        <f t="shared" si="41"/>
        <v>0</v>
      </c>
      <c r="K107" s="78"/>
      <c r="L107" s="73"/>
      <c r="M107" s="74" t="e">
        <f>_xlfn.IFNA(VLOOKUP(D107,'חד גזעי'!$U$4:$V$305,2,0),VLOOKUP(D107,'חד גזעי'!$U$4:$V$305,2))</f>
        <v>#N/A</v>
      </c>
      <c r="N107" s="73"/>
      <c r="O107" s="72" t="e">
        <f t="shared" si="42"/>
        <v>#N/A</v>
      </c>
      <c r="P107" s="85">
        <f t="shared" si="43"/>
        <v>0</v>
      </c>
      <c r="Q107" s="80">
        <f t="shared" si="44"/>
        <v>0</v>
      </c>
      <c r="R107" s="77"/>
      <c r="S107" s="76"/>
      <c r="T107" t="e">
        <f>VLOOKUP(D107,'חד גזעי'!$Y$4:$Y$18,1,0)</f>
        <v>#N/A</v>
      </c>
      <c r="U107">
        <f t="shared" si="45"/>
        <v>1</v>
      </c>
      <c r="V107" s="72"/>
      <c r="W107">
        <f t="shared" si="46"/>
        <v>0</v>
      </c>
      <c r="X107" s="72"/>
      <c r="Y107" s="72" t="e">
        <f t="shared" si="47"/>
        <v>#N/A</v>
      </c>
      <c r="Z107" s="72" t="e">
        <f>(VLOOKUP(D107,'חד גזעי'!$P$1:$R$282,3,FALSE))</f>
        <v>#N/A</v>
      </c>
      <c r="AA107" s="72">
        <f t="shared" si="48"/>
        <v>0</v>
      </c>
      <c r="AB107" s="72">
        <f t="shared" si="49"/>
        <v>0</v>
      </c>
      <c r="AC107" s="72">
        <f t="shared" si="50"/>
        <v>0</v>
      </c>
      <c r="AD107" s="72" t="e">
        <f t="shared" si="51"/>
        <v>#N/A</v>
      </c>
      <c r="AE107" t="e">
        <f>VLOOKUP(D107,'חד גזעי'!$P$284:$R$305,3,FALSE)</f>
        <v>#N/A</v>
      </c>
      <c r="AF107" s="72" t="b">
        <f t="shared" si="52"/>
        <v>0</v>
      </c>
      <c r="AG107" s="72" t="b">
        <f t="shared" si="53"/>
        <v>0</v>
      </c>
      <c r="AH107" s="72" t="b">
        <f t="shared" si="54"/>
        <v>0</v>
      </c>
    </row>
    <row r="108" spans="3:34">
      <c r="C108" s="72"/>
      <c r="D108" s="77"/>
      <c r="E108" s="78"/>
      <c r="F108" s="78"/>
      <c r="G108" s="72"/>
      <c r="H108" s="72"/>
      <c r="I108" s="72"/>
      <c r="J108" s="73">
        <f t="shared" si="41"/>
        <v>0</v>
      </c>
      <c r="K108" s="78"/>
      <c r="L108" s="73"/>
      <c r="M108" s="74" t="e">
        <f>_xlfn.IFNA(VLOOKUP(D108,'חד גזעי'!$U$4:$V$305,2,0),VLOOKUP(D108,'חד גזעי'!$U$4:$V$305,2))</f>
        <v>#N/A</v>
      </c>
      <c r="N108" s="102"/>
      <c r="O108" s="72" t="e">
        <f t="shared" si="42"/>
        <v>#N/A</v>
      </c>
      <c r="P108" s="85">
        <f t="shared" si="43"/>
        <v>0</v>
      </c>
      <c r="Q108" s="80">
        <f t="shared" si="44"/>
        <v>0</v>
      </c>
      <c r="R108" s="77"/>
      <c r="S108" s="76"/>
      <c r="T108" t="e">
        <f>VLOOKUP(D108,'חד גזעי'!$Y$4:$Y$18,1,0)</f>
        <v>#N/A</v>
      </c>
      <c r="U108">
        <f t="shared" si="45"/>
        <v>1</v>
      </c>
      <c r="V108" s="72"/>
      <c r="W108">
        <f t="shared" si="46"/>
        <v>0</v>
      </c>
      <c r="X108" s="72"/>
      <c r="Y108" s="72" t="e">
        <f t="shared" si="47"/>
        <v>#N/A</v>
      </c>
      <c r="Z108" s="72" t="e">
        <f>(VLOOKUP(D108,'חד גזעי'!$P$1:$R$282,3,FALSE))</f>
        <v>#N/A</v>
      </c>
      <c r="AA108" s="72">
        <f t="shared" si="48"/>
        <v>0</v>
      </c>
      <c r="AB108" s="72">
        <f t="shared" si="49"/>
        <v>0</v>
      </c>
      <c r="AC108" s="72">
        <f t="shared" si="50"/>
        <v>0</v>
      </c>
      <c r="AD108" s="72" t="e">
        <f t="shared" si="51"/>
        <v>#N/A</v>
      </c>
      <c r="AE108" t="e">
        <f>VLOOKUP(D108,'חד גזעי'!$P$284:$R$305,3,FALSE)</f>
        <v>#N/A</v>
      </c>
      <c r="AF108" s="72" t="b">
        <f t="shared" si="52"/>
        <v>0</v>
      </c>
      <c r="AG108" s="72" t="b">
        <f t="shared" si="53"/>
        <v>0</v>
      </c>
      <c r="AH108" s="72" t="b">
        <f t="shared" si="54"/>
        <v>0</v>
      </c>
    </row>
    <row r="109" spans="3:34">
      <c r="C109" s="72"/>
      <c r="D109" s="77"/>
      <c r="E109" s="73"/>
      <c r="F109" s="73"/>
      <c r="G109" s="72"/>
      <c r="H109" s="72"/>
      <c r="I109" s="72"/>
      <c r="J109" s="73">
        <f t="shared" si="41"/>
        <v>0</v>
      </c>
      <c r="K109" s="73"/>
      <c r="L109" s="73"/>
      <c r="M109" s="74" t="e">
        <f>_xlfn.IFNA(VLOOKUP(D109,'חד גזעי'!$U$4:$V$305,2,0),VLOOKUP(D109,'חד גזעי'!$U$4:$V$305,2))</f>
        <v>#N/A</v>
      </c>
      <c r="N109" s="73"/>
      <c r="O109" s="72" t="e">
        <f t="shared" si="42"/>
        <v>#N/A</v>
      </c>
      <c r="P109" s="85">
        <f t="shared" si="43"/>
        <v>0</v>
      </c>
      <c r="Q109" s="80">
        <f t="shared" si="44"/>
        <v>0</v>
      </c>
      <c r="R109" s="77"/>
      <c r="S109" s="76"/>
      <c r="T109" t="e">
        <f>VLOOKUP(D109,'חד גזעי'!$Y$4:$Y$18,1,0)</f>
        <v>#N/A</v>
      </c>
      <c r="U109">
        <f t="shared" si="45"/>
        <v>1</v>
      </c>
      <c r="V109" s="72"/>
      <c r="W109">
        <f t="shared" si="46"/>
        <v>0</v>
      </c>
      <c r="X109" s="72"/>
      <c r="Y109" s="72" t="e">
        <f t="shared" si="47"/>
        <v>#N/A</v>
      </c>
      <c r="Z109" s="72" t="e">
        <f>(VLOOKUP(D109,'חד גזעי'!$P$1:$R$282,3,FALSE))</f>
        <v>#N/A</v>
      </c>
      <c r="AA109" s="72">
        <f t="shared" si="48"/>
        <v>0</v>
      </c>
      <c r="AB109" s="72">
        <f t="shared" si="49"/>
        <v>0</v>
      </c>
      <c r="AC109" s="72">
        <f t="shared" si="50"/>
        <v>0</v>
      </c>
      <c r="AD109" s="72" t="e">
        <f t="shared" si="51"/>
        <v>#N/A</v>
      </c>
      <c r="AE109" t="e">
        <f>VLOOKUP(D109,'חד גזעי'!$P$284:$R$305,3,FALSE)</f>
        <v>#N/A</v>
      </c>
      <c r="AF109" s="72" t="b">
        <f t="shared" si="52"/>
        <v>0</v>
      </c>
      <c r="AG109" s="72" t="b">
        <f t="shared" si="53"/>
        <v>0</v>
      </c>
      <c r="AH109" s="72" t="b">
        <f t="shared" si="54"/>
        <v>0</v>
      </c>
    </row>
    <row r="110" spans="3:34">
      <c r="C110" s="72"/>
      <c r="D110" s="77"/>
      <c r="E110" s="73"/>
      <c r="F110" s="73"/>
      <c r="G110" s="72"/>
      <c r="H110" s="72"/>
      <c r="I110" s="72"/>
      <c r="J110" s="73">
        <f t="shared" si="41"/>
        <v>0</v>
      </c>
      <c r="K110" s="73"/>
      <c r="L110" s="73"/>
      <c r="M110" s="74" t="e">
        <f>_xlfn.IFNA(VLOOKUP(D110,'חד גזעי'!$U$4:$V$305,2,0),VLOOKUP(D110,'חד גזעי'!$U$4:$V$305,2))</f>
        <v>#N/A</v>
      </c>
      <c r="N110" s="73"/>
      <c r="O110" s="72" t="e">
        <f t="shared" si="42"/>
        <v>#N/A</v>
      </c>
      <c r="P110" s="85">
        <f t="shared" si="43"/>
        <v>0</v>
      </c>
      <c r="Q110" s="80">
        <f t="shared" si="44"/>
        <v>0</v>
      </c>
      <c r="R110" s="77"/>
      <c r="S110" s="76"/>
      <c r="T110" t="e">
        <f>VLOOKUP(D110,'חד גזעי'!$Y$4:$Y$18,1,0)</f>
        <v>#N/A</v>
      </c>
      <c r="U110">
        <f t="shared" si="45"/>
        <v>1</v>
      </c>
      <c r="V110" s="72"/>
      <c r="W110">
        <f t="shared" si="46"/>
        <v>0</v>
      </c>
      <c r="X110" s="72"/>
      <c r="Y110" s="72" t="e">
        <f t="shared" si="47"/>
        <v>#N/A</v>
      </c>
      <c r="Z110" s="72" t="e">
        <f>(VLOOKUP(D110,'חד גזעי'!$P$1:$R$282,3,FALSE))</f>
        <v>#N/A</v>
      </c>
      <c r="AA110" s="72">
        <f t="shared" si="48"/>
        <v>0</v>
      </c>
      <c r="AB110" s="72">
        <f t="shared" si="49"/>
        <v>0</v>
      </c>
      <c r="AC110" s="72">
        <f t="shared" si="50"/>
        <v>0</v>
      </c>
      <c r="AD110" s="72" t="e">
        <f t="shared" si="51"/>
        <v>#N/A</v>
      </c>
      <c r="AE110" t="e">
        <f>VLOOKUP(D110,'חד גזעי'!$P$284:$R$305,3,FALSE)</f>
        <v>#N/A</v>
      </c>
      <c r="AF110" s="72" t="b">
        <f t="shared" si="52"/>
        <v>0</v>
      </c>
      <c r="AG110" s="72" t="b">
        <f t="shared" si="53"/>
        <v>0</v>
      </c>
      <c r="AH110" s="72" t="b">
        <f t="shared" si="54"/>
        <v>0</v>
      </c>
    </row>
    <row r="111" spans="3:34">
      <c r="C111" s="72"/>
      <c r="D111" s="77"/>
      <c r="E111" s="73"/>
      <c r="F111" s="73"/>
      <c r="G111" s="72"/>
      <c r="H111" s="72"/>
      <c r="I111" s="72"/>
      <c r="J111" s="73">
        <f t="shared" si="41"/>
        <v>0</v>
      </c>
      <c r="K111" s="73"/>
      <c r="L111" s="73"/>
      <c r="M111" s="74" t="e">
        <f>_xlfn.IFNA(VLOOKUP(D111,'חד גזעי'!$U$4:$V$305,2,0),VLOOKUP(D111,'חד גזעי'!$U$4:$V$305,2))</f>
        <v>#N/A</v>
      </c>
      <c r="N111" s="73"/>
      <c r="O111" s="72" t="e">
        <f t="shared" si="42"/>
        <v>#N/A</v>
      </c>
      <c r="P111" s="85">
        <f t="shared" si="43"/>
        <v>0</v>
      </c>
      <c r="Q111" s="80">
        <f t="shared" si="44"/>
        <v>0</v>
      </c>
      <c r="R111" s="77"/>
      <c r="S111" s="76"/>
      <c r="T111" t="e">
        <f>VLOOKUP(D111,'חד גזעי'!$Y$4:$Y$18,1,0)</f>
        <v>#N/A</v>
      </c>
      <c r="U111">
        <f t="shared" si="45"/>
        <v>1</v>
      </c>
      <c r="V111" s="72"/>
      <c r="W111">
        <f t="shared" si="46"/>
        <v>0</v>
      </c>
      <c r="X111" s="72"/>
      <c r="Y111" s="72" t="e">
        <f t="shared" si="47"/>
        <v>#N/A</v>
      </c>
      <c r="Z111" s="72" t="e">
        <f>(VLOOKUP(D111,'חד גזעי'!$P$1:$R$282,3,FALSE))</f>
        <v>#N/A</v>
      </c>
      <c r="AA111" s="72">
        <f t="shared" si="48"/>
        <v>0</v>
      </c>
      <c r="AB111" s="72">
        <f t="shared" si="49"/>
        <v>0</v>
      </c>
      <c r="AC111" s="72">
        <f t="shared" si="50"/>
        <v>0</v>
      </c>
      <c r="AD111" s="72" t="e">
        <f t="shared" si="51"/>
        <v>#N/A</v>
      </c>
      <c r="AE111" t="e">
        <f>VLOOKUP(D111,'חד גזעי'!$P$284:$R$305,3,FALSE)</f>
        <v>#N/A</v>
      </c>
      <c r="AF111" s="72" t="b">
        <f t="shared" si="52"/>
        <v>0</v>
      </c>
      <c r="AG111" s="72" t="b">
        <f t="shared" si="53"/>
        <v>0</v>
      </c>
      <c r="AH111" s="72" t="b">
        <f t="shared" si="54"/>
        <v>0</v>
      </c>
    </row>
    <row r="112" spans="3:34">
      <c r="C112" s="72"/>
      <c r="D112" s="77"/>
      <c r="E112" s="73"/>
      <c r="F112" s="73"/>
      <c r="G112" s="72"/>
      <c r="H112" s="72"/>
      <c r="I112" s="72"/>
      <c r="J112" s="73">
        <f t="shared" si="41"/>
        <v>0</v>
      </c>
      <c r="K112" s="73"/>
      <c r="L112" s="73"/>
      <c r="M112" s="74" t="e">
        <f>_xlfn.IFNA(VLOOKUP(D112,'חד גזעי'!$U$4:$V$305,2,0),VLOOKUP(D112,'חד גזעי'!$U$4:$V$305,2))</f>
        <v>#N/A</v>
      </c>
      <c r="N112" s="73"/>
      <c r="O112" s="72" t="e">
        <f t="shared" si="42"/>
        <v>#N/A</v>
      </c>
      <c r="P112" s="85">
        <f t="shared" si="43"/>
        <v>0</v>
      </c>
      <c r="Q112" s="80">
        <f t="shared" si="44"/>
        <v>0</v>
      </c>
      <c r="R112" s="77"/>
      <c r="S112" s="76"/>
      <c r="T112" t="e">
        <f>VLOOKUP(D112,'חד גזעי'!$Y$4:$Y$18,1,0)</f>
        <v>#N/A</v>
      </c>
      <c r="U112">
        <f t="shared" si="45"/>
        <v>1</v>
      </c>
      <c r="V112" s="72"/>
      <c r="W112">
        <f t="shared" si="46"/>
        <v>0</v>
      </c>
      <c r="X112" s="72"/>
      <c r="Y112" s="72" t="e">
        <f t="shared" si="47"/>
        <v>#N/A</v>
      </c>
      <c r="Z112" s="72" t="e">
        <f>(VLOOKUP(D112,'חד גזעי'!$P$1:$R$282,3,FALSE))</f>
        <v>#N/A</v>
      </c>
      <c r="AA112" s="72">
        <f t="shared" si="48"/>
        <v>0</v>
      </c>
      <c r="AB112" s="72">
        <f t="shared" si="49"/>
        <v>0</v>
      </c>
      <c r="AC112" s="72">
        <f t="shared" si="50"/>
        <v>0</v>
      </c>
      <c r="AD112" s="72" t="e">
        <f t="shared" si="51"/>
        <v>#N/A</v>
      </c>
      <c r="AE112" t="e">
        <f>VLOOKUP(D112,'חד גזעי'!$P$284:$R$305,3,FALSE)</f>
        <v>#N/A</v>
      </c>
      <c r="AF112" s="72" t="b">
        <f t="shared" si="52"/>
        <v>0</v>
      </c>
      <c r="AG112" s="72" t="b">
        <f t="shared" si="53"/>
        <v>0</v>
      </c>
      <c r="AH112" s="72" t="b">
        <f t="shared" si="54"/>
        <v>0</v>
      </c>
    </row>
    <row r="113" spans="3:34">
      <c r="C113" s="72"/>
      <c r="D113" s="77"/>
      <c r="E113" s="74"/>
      <c r="F113" s="73"/>
      <c r="G113" s="72"/>
      <c r="H113" s="72"/>
      <c r="I113" s="72"/>
      <c r="J113" s="73">
        <f t="shared" ref="J113:J138" si="55">G113+(H113/2)+(I113/2)</f>
        <v>0</v>
      </c>
      <c r="K113" s="74"/>
      <c r="L113" s="73"/>
      <c r="M113" s="74" t="e">
        <f>_xlfn.IFNA(VLOOKUP(D113,'חד גזעי'!$U$4:$V$305,2,0),VLOOKUP(D113,'חד גזעי'!$U$4:$V$305,2))</f>
        <v>#N/A</v>
      </c>
      <c r="N113" s="74"/>
      <c r="O113" s="72" t="e">
        <f t="shared" ref="O113:O138" si="56">SUM(K113:N113)</f>
        <v>#N/A</v>
      </c>
      <c r="P113" s="85">
        <f t="shared" ref="P113:P138" si="57">IF(K113=0,0,G113*0.12)</f>
        <v>0</v>
      </c>
      <c r="Q113" s="80">
        <f t="shared" ref="Q113:Q138" si="58">IF(G113&lt;20,0,_xlfn.IFNA(Y113,AD113))</f>
        <v>0</v>
      </c>
      <c r="R113" s="77"/>
      <c r="S113" s="75"/>
      <c r="T113" t="e">
        <f>VLOOKUP(D113,'חד גזעי'!$Y$4:$Y$18,1,0)</f>
        <v>#N/A</v>
      </c>
      <c r="U113">
        <f t="shared" ref="U113:U138" si="59">_xlfn.IFNA(T113,1)</f>
        <v>1</v>
      </c>
      <c r="V113" s="72"/>
      <c r="W113">
        <f t="shared" ref="W113:W138" si="60">_xlfn.IFNA(Y113,0)</f>
        <v>0</v>
      </c>
      <c r="X113" s="72"/>
      <c r="Y113" s="72" t="e">
        <f t="shared" ref="Y113:Y138" si="61">((AC113+AB113+AA113)*(Z113))*(K113*0.2)*(L113*0.2)*20</f>
        <v>#N/A</v>
      </c>
      <c r="Z113" s="72" t="e">
        <f>(VLOOKUP(D113,'חד גזעי'!$P$1:$R$282,3,FALSE))</f>
        <v>#N/A</v>
      </c>
      <c r="AA113" s="72">
        <f t="shared" ref="AA113:AA138" si="62">(3.14*((G113/2)^2))</f>
        <v>0</v>
      </c>
      <c r="AB113" s="72">
        <f t="shared" ref="AB113:AB138" si="63">(3.14*((H113/2)^2))/2</f>
        <v>0</v>
      </c>
      <c r="AC113" s="72">
        <f t="shared" ref="AC113:AC138" si="64">(3.14*((I113/2)^2))/2</f>
        <v>0</v>
      </c>
      <c r="AD113" s="72" t="e">
        <f t="shared" ref="AD113:AD138" si="65">AE113*F113*(K113*0.2)*(0.2*L113)*1500</f>
        <v>#N/A</v>
      </c>
      <c r="AE113" t="e">
        <f>VLOOKUP(D113,'חד גזעי'!$P$284:$R$305,3,FALSE)</f>
        <v>#N/A</v>
      </c>
      <c r="AF113" s="72" t="b">
        <f t="shared" si="52"/>
        <v>0</v>
      </c>
      <c r="AG113" s="72" t="b">
        <f t="shared" si="53"/>
        <v>0</v>
      </c>
      <c r="AH113" s="72" t="b">
        <f t="shared" si="54"/>
        <v>0</v>
      </c>
    </row>
    <row r="114" spans="3:34">
      <c r="C114" s="72"/>
      <c r="D114" s="77"/>
      <c r="E114" s="73"/>
      <c r="F114" s="73"/>
      <c r="G114" s="72"/>
      <c r="H114" s="72"/>
      <c r="I114" s="72"/>
      <c r="J114" s="73">
        <f t="shared" si="55"/>
        <v>0</v>
      </c>
      <c r="K114" s="73"/>
      <c r="L114" s="73"/>
      <c r="M114" s="74" t="e">
        <f>_xlfn.IFNA(VLOOKUP(D114,'חד גזעי'!$U$4:$V$305,2,0),VLOOKUP(D114,'חד גזעי'!$U$4:$V$305,2))</f>
        <v>#N/A</v>
      </c>
      <c r="N114" s="73"/>
      <c r="O114" s="72" t="e">
        <f t="shared" si="56"/>
        <v>#N/A</v>
      </c>
      <c r="P114" s="85">
        <f t="shared" si="57"/>
        <v>0</v>
      </c>
      <c r="Q114" s="80">
        <f t="shared" si="58"/>
        <v>0</v>
      </c>
      <c r="R114" s="77"/>
      <c r="S114" s="75"/>
      <c r="T114" t="e">
        <f>VLOOKUP(D114,'חד גזעי'!$Y$4:$Y$18,1,0)</f>
        <v>#N/A</v>
      </c>
      <c r="U114">
        <f t="shared" si="59"/>
        <v>1</v>
      </c>
      <c r="V114" s="72"/>
      <c r="W114">
        <f t="shared" si="60"/>
        <v>0</v>
      </c>
      <c r="X114" s="72"/>
      <c r="Y114" s="72" t="e">
        <f t="shared" si="61"/>
        <v>#N/A</v>
      </c>
      <c r="Z114" s="72" t="e">
        <f>(VLOOKUP(D114,'חד גזעי'!$P$1:$R$282,3,FALSE))</f>
        <v>#N/A</v>
      </c>
      <c r="AA114" s="72">
        <f t="shared" si="62"/>
        <v>0</v>
      </c>
      <c r="AB114" s="72">
        <f t="shared" si="63"/>
        <v>0</v>
      </c>
      <c r="AC114" s="72">
        <f t="shared" si="64"/>
        <v>0</v>
      </c>
      <c r="AD114" s="72" t="e">
        <f t="shared" si="65"/>
        <v>#N/A</v>
      </c>
      <c r="AE114" t="e">
        <f>VLOOKUP(D114,'חד גזעי'!$P$284:$R$305,3,FALSE)</f>
        <v>#N/A</v>
      </c>
      <c r="AF114" s="72" t="b">
        <f t="shared" si="52"/>
        <v>0</v>
      </c>
      <c r="AG114" s="72" t="b">
        <f t="shared" si="53"/>
        <v>0</v>
      </c>
      <c r="AH114" s="72" t="b">
        <f t="shared" si="54"/>
        <v>0</v>
      </c>
    </row>
    <row r="115" spans="3:34">
      <c r="C115" s="72"/>
      <c r="D115" s="77"/>
      <c r="E115" s="73"/>
      <c r="F115" s="73"/>
      <c r="G115" s="72"/>
      <c r="H115" s="72"/>
      <c r="I115" s="72"/>
      <c r="J115" s="73">
        <f t="shared" si="55"/>
        <v>0</v>
      </c>
      <c r="K115" s="73"/>
      <c r="L115" s="73"/>
      <c r="M115" s="74" t="e">
        <f>_xlfn.IFNA(VLOOKUP(D115,'חד גזעי'!$U$4:$V$305,2,0),VLOOKUP(D115,'חד גזעי'!$U$4:$V$305,2))</f>
        <v>#N/A</v>
      </c>
      <c r="N115" s="73"/>
      <c r="O115" s="72" t="e">
        <f t="shared" si="56"/>
        <v>#N/A</v>
      </c>
      <c r="P115" s="85">
        <f t="shared" si="57"/>
        <v>0</v>
      </c>
      <c r="Q115" s="80">
        <f t="shared" si="58"/>
        <v>0</v>
      </c>
      <c r="R115" s="77"/>
      <c r="S115" s="75"/>
      <c r="T115" t="e">
        <f>VLOOKUP(D115,'חד גזעי'!$Y$4:$Y$18,1,0)</f>
        <v>#N/A</v>
      </c>
      <c r="U115">
        <f t="shared" si="59"/>
        <v>1</v>
      </c>
      <c r="V115" s="72"/>
      <c r="W115">
        <f t="shared" si="60"/>
        <v>0</v>
      </c>
      <c r="X115" s="72"/>
      <c r="Y115" s="72" t="e">
        <f t="shared" si="61"/>
        <v>#N/A</v>
      </c>
      <c r="Z115" s="72" t="e">
        <f>(VLOOKUP(D115,'חד גזעי'!$P$1:$R$282,3,FALSE))</f>
        <v>#N/A</v>
      </c>
      <c r="AA115" s="72">
        <f t="shared" si="62"/>
        <v>0</v>
      </c>
      <c r="AB115" s="72">
        <f t="shared" si="63"/>
        <v>0</v>
      </c>
      <c r="AC115" s="72">
        <f t="shared" si="64"/>
        <v>0</v>
      </c>
      <c r="AD115" s="72" t="e">
        <f t="shared" si="65"/>
        <v>#N/A</v>
      </c>
      <c r="AE115" t="e">
        <f>VLOOKUP(D115,'חד גזעי'!$P$284:$R$305,3,FALSE)</f>
        <v>#N/A</v>
      </c>
      <c r="AF115" s="72" t="b">
        <f t="shared" si="52"/>
        <v>0</v>
      </c>
      <c r="AG115" s="72" t="b">
        <f t="shared" si="53"/>
        <v>0</v>
      </c>
      <c r="AH115" s="72" t="b">
        <f t="shared" si="54"/>
        <v>0</v>
      </c>
    </row>
    <row r="116" spans="3:34">
      <c r="C116" s="72"/>
      <c r="D116" s="77"/>
      <c r="E116" s="73"/>
      <c r="F116" s="73"/>
      <c r="G116" s="72"/>
      <c r="H116" s="72"/>
      <c r="I116" s="72"/>
      <c r="J116" s="73">
        <f t="shared" si="55"/>
        <v>0</v>
      </c>
      <c r="K116" s="73"/>
      <c r="L116" s="73"/>
      <c r="M116" s="74" t="e">
        <f>_xlfn.IFNA(VLOOKUP(D116,'חד גזעי'!$U$4:$V$305,2,0),VLOOKUP(D116,'חד גזעי'!$U$4:$V$305,2))</f>
        <v>#N/A</v>
      </c>
      <c r="N116" s="73"/>
      <c r="O116" s="72" t="e">
        <f t="shared" si="56"/>
        <v>#N/A</v>
      </c>
      <c r="P116" s="85">
        <f t="shared" si="57"/>
        <v>0</v>
      </c>
      <c r="Q116" s="80">
        <f t="shared" si="58"/>
        <v>0</v>
      </c>
      <c r="R116" s="77"/>
      <c r="S116" s="75"/>
      <c r="T116" t="e">
        <f>VLOOKUP(D116,'חד גזעי'!$Y$4:$Y$18,1,0)</f>
        <v>#N/A</v>
      </c>
      <c r="U116">
        <f t="shared" si="59"/>
        <v>1</v>
      </c>
      <c r="V116" s="72"/>
      <c r="W116">
        <f t="shared" si="60"/>
        <v>0</v>
      </c>
      <c r="X116" s="72"/>
      <c r="Y116" s="72" t="e">
        <f t="shared" si="61"/>
        <v>#N/A</v>
      </c>
      <c r="Z116" s="72" t="e">
        <f>(VLOOKUP(D116,'חד גזעי'!$P$1:$R$282,3,FALSE))</f>
        <v>#N/A</v>
      </c>
      <c r="AA116" s="72">
        <f t="shared" si="62"/>
        <v>0</v>
      </c>
      <c r="AB116" s="72">
        <f t="shared" si="63"/>
        <v>0</v>
      </c>
      <c r="AC116" s="72">
        <f t="shared" si="64"/>
        <v>0</v>
      </c>
      <c r="AD116" s="72" t="e">
        <f t="shared" si="65"/>
        <v>#N/A</v>
      </c>
      <c r="AE116" t="e">
        <f>VLOOKUP(D116,'חד גזעי'!$P$284:$R$305,3,FALSE)</f>
        <v>#N/A</v>
      </c>
      <c r="AF116" s="72" t="b">
        <f t="shared" si="52"/>
        <v>0</v>
      </c>
      <c r="AG116" s="72" t="b">
        <f t="shared" si="53"/>
        <v>0</v>
      </c>
      <c r="AH116" s="72" t="b">
        <f t="shared" si="54"/>
        <v>0</v>
      </c>
    </row>
    <row r="117" spans="3:34">
      <c r="C117" s="72"/>
      <c r="D117" s="77"/>
      <c r="E117" s="73"/>
      <c r="F117" s="73"/>
      <c r="G117" s="72"/>
      <c r="H117" s="72"/>
      <c r="I117" s="72"/>
      <c r="J117" s="73">
        <f t="shared" si="55"/>
        <v>0</v>
      </c>
      <c r="K117" s="73"/>
      <c r="L117" s="73"/>
      <c r="M117" s="74" t="e">
        <f>_xlfn.IFNA(VLOOKUP(D117,'חד גזעי'!$U$4:$V$305,2,0),VLOOKUP(D117,'חד גזעי'!$U$4:$V$305,2))</f>
        <v>#N/A</v>
      </c>
      <c r="N117" s="73"/>
      <c r="O117" s="72" t="e">
        <f t="shared" si="56"/>
        <v>#N/A</v>
      </c>
      <c r="P117" s="85">
        <f t="shared" si="57"/>
        <v>0</v>
      </c>
      <c r="Q117" s="80">
        <f t="shared" si="58"/>
        <v>0</v>
      </c>
      <c r="R117" s="77"/>
      <c r="S117" s="75"/>
      <c r="T117" t="e">
        <f>VLOOKUP(D117,'חד גזעי'!$Y$4:$Y$18,1,0)</f>
        <v>#N/A</v>
      </c>
      <c r="U117">
        <f t="shared" si="59"/>
        <v>1</v>
      </c>
      <c r="V117" s="72"/>
      <c r="W117">
        <f t="shared" si="60"/>
        <v>0</v>
      </c>
      <c r="X117" s="72"/>
      <c r="Y117" s="72" t="e">
        <f t="shared" si="61"/>
        <v>#N/A</v>
      </c>
      <c r="Z117" s="72" t="e">
        <f>(VLOOKUP(D117,'חד גזעי'!$P$1:$R$282,3,FALSE))</f>
        <v>#N/A</v>
      </c>
      <c r="AA117" s="72">
        <f t="shared" si="62"/>
        <v>0</v>
      </c>
      <c r="AB117" s="72">
        <f t="shared" si="63"/>
        <v>0</v>
      </c>
      <c r="AC117" s="72">
        <f t="shared" si="64"/>
        <v>0</v>
      </c>
      <c r="AD117" s="72" t="e">
        <f t="shared" si="65"/>
        <v>#N/A</v>
      </c>
      <c r="AE117" t="e">
        <f>VLOOKUP(D117,'חד גזעי'!$P$284:$R$305,3,FALSE)</f>
        <v>#N/A</v>
      </c>
      <c r="AF117" s="72" t="b">
        <f t="shared" si="52"/>
        <v>0</v>
      </c>
      <c r="AG117" s="72" t="b">
        <f t="shared" si="53"/>
        <v>0</v>
      </c>
      <c r="AH117" s="72" t="b">
        <f t="shared" si="54"/>
        <v>0</v>
      </c>
    </row>
    <row r="118" spans="3:34">
      <c r="C118" s="72"/>
      <c r="D118" s="77"/>
      <c r="E118" s="78"/>
      <c r="F118" s="73"/>
      <c r="G118" s="72"/>
      <c r="H118" s="72"/>
      <c r="I118" s="72"/>
      <c r="J118" s="73">
        <f t="shared" si="55"/>
        <v>0</v>
      </c>
      <c r="K118" s="78"/>
      <c r="L118" s="73"/>
      <c r="M118" s="74" t="e">
        <f>_xlfn.IFNA(VLOOKUP(D118,'חד גזעי'!$U$4:$V$305,2,0),VLOOKUP(D118,'חד גזעי'!$U$4:$V$305,2))</f>
        <v>#N/A</v>
      </c>
      <c r="N118" s="73"/>
      <c r="O118" s="72" t="e">
        <f t="shared" si="56"/>
        <v>#N/A</v>
      </c>
      <c r="P118" s="85">
        <f t="shared" si="57"/>
        <v>0</v>
      </c>
      <c r="Q118" s="80">
        <f t="shared" si="58"/>
        <v>0</v>
      </c>
      <c r="R118" s="77"/>
      <c r="S118" s="75"/>
      <c r="T118" t="e">
        <f>VLOOKUP(D118,'חד גזעי'!$Y$4:$Y$18,1,0)</f>
        <v>#N/A</v>
      </c>
      <c r="U118">
        <f t="shared" si="59"/>
        <v>1</v>
      </c>
      <c r="V118" s="72"/>
      <c r="W118">
        <f t="shared" si="60"/>
        <v>0</v>
      </c>
      <c r="X118" s="72"/>
      <c r="Y118" s="72" t="e">
        <f t="shared" si="61"/>
        <v>#N/A</v>
      </c>
      <c r="Z118" s="72" t="e">
        <f>(VLOOKUP(D118,'חד גזעי'!$P$1:$R$282,3,FALSE))</f>
        <v>#N/A</v>
      </c>
      <c r="AA118" s="72">
        <f t="shared" si="62"/>
        <v>0</v>
      </c>
      <c r="AB118" s="72">
        <f t="shared" si="63"/>
        <v>0</v>
      </c>
      <c r="AC118" s="72">
        <f t="shared" si="64"/>
        <v>0</v>
      </c>
      <c r="AD118" s="72" t="e">
        <f t="shared" si="65"/>
        <v>#N/A</v>
      </c>
      <c r="AE118" t="e">
        <f>VLOOKUP(D118,'חד גזעי'!$P$284:$R$305,3,FALSE)</f>
        <v>#N/A</v>
      </c>
      <c r="AF118" s="72" t="b">
        <f t="shared" si="52"/>
        <v>0</v>
      </c>
      <c r="AG118" s="72" t="b">
        <f t="shared" si="53"/>
        <v>0</v>
      </c>
      <c r="AH118" s="72" t="b">
        <f t="shared" si="54"/>
        <v>0</v>
      </c>
    </row>
    <row r="119" spans="3:34">
      <c r="C119" s="72"/>
      <c r="D119" s="77"/>
      <c r="E119" s="78"/>
      <c r="F119" s="73"/>
      <c r="G119" s="72"/>
      <c r="H119" s="72"/>
      <c r="I119" s="72"/>
      <c r="J119" s="73">
        <f t="shared" si="55"/>
        <v>0</v>
      </c>
      <c r="K119" s="78"/>
      <c r="L119" s="73"/>
      <c r="M119" s="74" t="e">
        <f>_xlfn.IFNA(VLOOKUP(D119,'חד גזעי'!$U$4:$V$305,2,0),VLOOKUP(D119,'חד גזעי'!$U$4:$V$305,2))</f>
        <v>#N/A</v>
      </c>
      <c r="N119" s="73"/>
      <c r="O119" s="72" t="e">
        <f t="shared" si="56"/>
        <v>#N/A</v>
      </c>
      <c r="P119" s="85">
        <f t="shared" si="57"/>
        <v>0</v>
      </c>
      <c r="Q119" s="80">
        <f t="shared" si="58"/>
        <v>0</v>
      </c>
      <c r="R119" s="77"/>
      <c r="S119" s="75"/>
      <c r="T119" t="e">
        <f>VLOOKUP(D119,'חד גזעי'!$Y$4:$Y$18,1,0)</f>
        <v>#N/A</v>
      </c>
      <c r="U119">
        <f t="shared" si="59"/>
        <v>1</v>
      </c>
      <c r="V119" s="72"/>
      <c r="W119">
        <f t="shared" si="60"/>
        <v>0</v>
      </c>
      <c r="X119" s="72"/>
      <c r="Y119" s="72" t="e">
        <f t="shared" si="61"/>
        <v>#N/A</v>
      </c>
      <c r="Z119" s="72" t="e">
        <f>(VLOOKUP(D119,'חד גזעי'!$P$1:$R$282,3,FALSE))</f>
        <v>#N/A</v>
      </c>
      <c r="AA119" s="72">
        <f t="shared" si="62"/>
        <v>0</v>
      </c>
      <c r="AB119" s="72">
        <f t="shared" si="63"/>
        <v>0</v>
      </c>
      <c r="AC119" s="72">
        <f t="shared" si="64"/>
        <v>0</v>
      </c>
      <c r="AD119" s="72" t="e">
        <f t="shared" si="65"/>
        <v>#N/A</v>
      </c>
      <c r="AE119" t="e">
        <f>VLOOKUP(D119,'חד גזעי'!$P$284:$R$305,3,FALSE)</f>
        <v>#N/A</v>
      </c>
      <c r="AF119" s="72" t="b">
        <f t="shared" si="52"/>
        <v>0</v>
      </c>
      <c r="AG119" s="72" t="b">
        <f t="shared" si="53"/>
        <v>0</v>
      </c>
      <c r="AH119" s="72" t="b">
        <f t="shared" si="54"/>
        <v>0</v>
      </c>
    </row>
    <row r="120" spans="3:34">
      <c r="C120" s="72"/>
      <c r="D120" s="77"/>
      <c r="E120" s="78"/>
      <c r="F120" s="73"/>
      <c r="G120" s="72"/>
      <c r="H120" s="72"/>
      <c r="I120" s="72"/>
      <c r="J120" s="73">
        <f t="shared" si="55"/>
        <v>0</v>
      </c>
      <c r="K120" s="78"/>
      <c r="L120" s="73"/>
      <c r="M120" s="74" t="e">
        <f>_xlfn.IFNA(VLOOKUP(D120,'חד גזעי'!$U$4:$V$305,2,0),VLOOKUP(D120,'חד גזעי'!$U$4:$V$305,2))</f>
        <v>#N/A</v>
      </c>
      <c r="N120" s="73"/>
      <c r="O120" s="72" t="e">
        <f t="shared" si="56"/>
        <v>#N/A</v>
      </c>
      <c r="P120" s="85">
        <f t="shared" si="57"/>
        <v>0</v>
      </c>
      <c r="Q120" s="80">
        <f t="shared" si="58"/>
        <v>0</v>
      </c>
      <c r="R120" s="77"/>
      <c r="S120" s="75"/>
      <c r="T120" t="e">
        <f>VLOOKUP(D120,'חד גזעי'!$Y$4:$Y$18,1,0)</f>
        <v>#N/A</v>
      </c>
      <c r="U120">
        <f t="shared" si="59"/>
        <v>1</v>
      </c>
      <c r="V120" s="72"/>
      <c r="W120">
        <f t="shared" si="60"/>
        <v>0</v>
      </c>
      <c r="X120" s="72"/>
      <c r="Y120" s="72" t="e">
        <f t="shared" si="61"/>
        <v>#N/A</v>
      </c>
      <c r="Z120" s="72" t="e">
        <f>(VLOOKUP(D120,'חד גזעי'!$P$1:$R$282,3,FALSE))</f>
        <v>#N/A</v>
      </c>
      <c r="AA120" s="72">
        <f t="shared" si="62"/>
        <v>0</v>
      </c>
      <c r="AB120" s="72">
        <f t="shared" si="63"/>
        <v>0</v>
      </c>
      <c r="AC120" s="72">
        <f t="shared" si="64"/>
        <v>0</v>
      </c>
      <c r="AD120" s="72" t="e">
        <f t="shared" si="65"/>
        <v>#N/A</v>
      </c>
      <c r="AE120" t="e">
        <f>VLOOKUP(D120,'חד גזעי'!$P$284:$R$305,3,FALSE)</f>
        <v>#N/A</v>
      </c>
      <c r="AF120" s="72" t="b">
        <f t="shared" si="52"/>
        <v>0</v>
      </c>
      <c r="AG120" s="72" t="b">
        <f t="shared" si="53"/>
        <v>0</v>
      </c>
      <c r="AH120" s="72" t="b">
        <f t="shared" si="54"/>
        <v>0</v>
      </c>
    </row>
    <row r="121" spans="3:34">
      <c r="C121" s="72"/>
      <c r="D121" s="77"/>
      <c r="E121" s="78"/>
      <c r="F121" s="73"/>
      <c r="G121" s="72"/>
      <c r="H121" s="72"/>
      <c r="I121" s="72"/>
      <c r="J121" s="73">
        <f t="shared" si="55"/>
        <v>0</v>
      </c>
      <c r="K121" s="78"/>
      <c r="L121" s="73"/>
      <c r="M121" s="74" t="e">
        <f>_xlfn.IFNA(VLOOKUP(D121,'חד גזעי'!$U$4:$V$305,2,0),VLOOKUP(D121,'חד גזעי'!$U$4:$V$305,2))</f>
        <v>#N/A</v>
      </c>
      <c r="N121" s="73"/>
      <c r="O121" s="72" t="e">
        <f t="shared" si="56"/>
        <v>#N/A</v>
      </c>
      <c r="P121" s="85">
        <f t="shared" si="57"/>
        <v>0</v>
      </c>
      <c r="Q121" s="80">
        <f t="shared" si="58"/>
        <v>0</v>
      </c>
      <c r="R121" s="77"/>
      <c r="S121" s="75"/>
      <c r="T121" t="e">
        <f>VLOOKUP(D121,'חד גזעי'!$Y$4:$Y$18,1,0)</f>
        <v>#N/A</v>
      </c>
      <c r="U121">
        <f t="shared" si="59"/>
        <v>1</v>
      </c>
      <c r="V121" s="72"/>
      <c r="W121">
        <f t="shared" si="60"/>
        <v>0</v>
      </c>
      <c r="X121" s="72"/>
      <c r="Y121" s="72" t="e">
        <f t="shared" si="61"/>
        <v>#N/A</v>
      </c>
      <c r="Z121" s="72" t="e">
        <f>(VLOOKUP(D121,'חד גזעי'!$P$1:$R$282,3,FALSE))</f>
        <v>#N/A</v>
      </c>
      <c r="AA121" s="72">
        <f t="shared" si="62"/>
        <v>0</v>
      </c>
      <c r="AB121" s="72">
        <f t="shared" si="63"/>
        <v>0</v>
      </c>
      <c r="AC121" s="72">
        <f t="shared" si="64"/>
        <v>0</v>
      </c>
      <c r="AD121" s="72" t="e">
        <f t="shared" si="65"/>
        <v>#N/A</v>
      </c>
      <c r="AE121" t="e">
        <f>VLOOKUP(D121,'חד גזעי'!$P$284:$R$305,3,FALSE)</f>
        <v>#N/A</v>
      </c>
      <c r="AF121" s="72" t="b">
        <f t="shared" si="52"/>
        <v>0</v>
      </c>
      <c r="AG121" s="72" t="b">
        <f t="shared" si="53"/>
        <v>0</v>
      </c>
      <c r="AH121" s="72" t="b">
        <f t="shared" si="54"/>
        <v>0</v>
      </c>
    </row>
    <row r="122" spans="3:34">
      <c r="C122" s="72"/>
      <c r="D122" s="77"/>
      <c r="E122" s="78"/>
      <c r="F122" s="78"/>
      <c r="G122" s="72"/>
      <c r="H122" s="72"/>
      <c r="I122" s="72"/>
      <c r="J122" s="73">
        <f t="shared" si="55"/>
        <v>0</v>
      </c>
      <c r="K122" s="78"/>
      <c r="L122" s="73"/>
      <c r="M122" s="74" t="e">
        <f>_xlfn.IFNA(VLOOKUP(D122,'חד גזעי'!$U$4:$V$305,2,0),VLOOKUP(D122,'חד גזעי'!$U$4:$V$305,2))</f>
        <v>#N/A</v>
      </c>
      <c r="N122" s="73"/>
      <c r="O122" s="72" t="e">
        <f t="shared" si="56"/>
        <v>#N/A</v>
      </c>
      <c r="P122" s="85">
        <f t="shared" si="57"/>
        <v>0</v>
      </c>
      <c r="Q122" s="80">
        <f t="shared" si="58"/>
        <v>0</v>
      </c>
      <c r="R122" s="77"/>
      <c r="S122" s="75"/>
      <c r="T122" t="e">
        <f>VLOOKUP(D122,'חד גזעי'!$Y$4:$Y$18,1,0)</f>
        <v>#N/A</v>
      </c>
      <c r="U122">
        <f t="shared" si="59"/>
        <v>1</v>
      </c>
      <c r="V122" s="72"/>
      <c r="W122">
        <f t="shared" si="60"/>
        <v>0</v>
      </c>
      <c r="X122" s="72"/>
      <c r="Y122" s="72" t="e">
        <f t="shared" si="61"/>
        <v>#N/A</v>
      </c>
      <c r="Z122" s="72" t="e">
        <f>(VLOOKUP(D122,'חד גזעי'!$P$1:$R$282,3,FALSE))</f>
        <v>#N/A</v>
      </c>
      <c r="AA122" s="72">
        <f t="shared" si="62"/>
        <v>0</v>
      </c>
      <c r="AB122" s="72">
        <f t="shared" si="63"/>
        <v>0</v>
      </c>
      <c r="AC122" s="72">
        <f t="shared" si="64"/>
        <v>0</v>
      </c>
      <c r="AD122" s="72" t="e">
        <f t="shared" si="65"/>
        <v>#N/A</v>
      </c>
      <c r="AE122" t="e">
        <f>VLOOKUP(D122,'חד גזעי'!$P$284:$R$305,3,FALSE)</f>
        <v>#N/A</v>
      </c>
      <c r="AF122" s="72" t="b">
        <f t="shared" si="52"/>
        <v>0</v>
      </c>
      <c r="AG122" s="72" t="b">
        <f t="shared" si="53"/>
        <v>0</v>
      </c>
      <c r="AH122" s="72" t="b">
        <f t="shared" si="54"/>
        <v>0</v>
      </c>
    </row>
    <row r="123" spans="3:34">
      <c r="C123" s="72"/>
      <c r="D123" s="77"/>
      <c r="E123" s="78"/>
      <c r="F123" s="78"/>
      <c r="G123" s="72"/>
      <c r="H123" s="72"/>
      <c r="I123" s="72"/>
      <c r="J123" s="73">
        <f t="shared" si="55"/>
        <v>0</v>
      </c>
      <c r="K123" s="78"/>
      <c r="L123" s="73"/>
      <c r="M123" s="74" t="e">
        <f>_xlfn.IFNA(VLOOKUP(D123,'חד גזעי'!$U$4:$V$305,2,0),VLOOKUP(D123,'חד גזעי'!$U$4:$V$305,2))</f>
        <v>#N/A</v>
      </c>
      <c r="N123" s="73"/>
      <c r="O123" s="72" t="e">
        <f t="shared" si="56"/>
        <v>#N/A</v>
      </c>
      <c r="P123" s="85">
        <f t="shared" si="57"/>
        <v>0</v>
      </c>
      <c r="Q123" s="80">
        <f t="shared" si="58"/>
        <v>0</v>
      </c>
      <c r="R123" s="77"/>
      <c r="S123" s="75"/>
      <c r="T123" t="e">
        <f>VLOOKUP(D123,'חד גזעי'!$Y$4:$Y$18,1,0)</f>
        <v>#N/A</v>
      </c>
      <c r="U123">
        <f t="shared" si="59"/>
        <v>1</v>
      </c>
      <c r="V123" s="72"/>
      <c r="W123">
        <f t="shared" si="60"/>
        <v>0</v>
      </c>
      <c r="X123" s="72"/>
      <c r="Y123" s="72" t="e">
        <f t="shared" si="61"/>
        <v>#N/A</v>
      </c>
      <c r="Z123" s="72" t="e">
        <f>(VLOOKUP(D123,'חד גזעי'!$P$1:$R$282,3,FALSE))</f>
        <v>#N/A</v>
      </c>
      <c r="AA123" s="72">
        <f t="shared" si="62"/>
        <v>0</v>
      </c>
      <c r="AB123" s="72">
        <f t="shared" si="63"/>
        <v>0</v>
      </c>
      <c r="AC123" s="72">
        <f t="shared" si="64"/>
        <v>0</v>
      </c>
      <c r="AD123" s="72" t="e">
        <f t="shared" si="65"/>
        <v>#N/A</v>
      </c>
      <c r="AE123" t="e">
        <f>VLOOKUP(D123,'חד גזעי'!$P$284:$R$305,3,FALSE)</f>
        <v>#N/A</v>
      </c>
      <c r="AF123" s="72" t="b">
        <f t="shared" si="52"/>
        <v>0</v>
      </c>
      <c r="AG123" s="72" t="b">
        <f t="shared" si="53"/>
        <v>0</v>
      </c>
      <c r="AH123" s="72" t="b">
        <f t="shared" si="54"/>
        <v>0</v>
      </c>
    </row>
    <row r="124" spans="3:34">
      <c r="C124" s="72"/>
      <c r="D124" s="77"/>
      <c r="E124" s="78"/>
      <c r="F124" s="78"/>
      <c r="G124" s="72"/>
      <c r="H124" s="72"/>
      <c r="I124" s="72"/>
      <c r="J124" s="73">
        <f t="shared" si="55"/>
        <v>0</v>
      </c>
      <c r="K124" s="78"/>
      <c r="L124" s="73"/>
      <c r="M124" s="74" t="e">
        <f>_xlfn.IFNA(VLOOKUP(D124,'חד גזעי'!$U$4:$V$305,2,0),VLOOKUP(D124,'חד גזעי'!$U$4:$V$305,2))</f>
        <v>#N/A</v>
      </c>
      <c r="N124" s="73"/>
      <c r="O124" s="72" t="e">
        <f t="shared" si="56"/>
        <v>#N/A</v>
      </c>
      <c r="P124" s="85">
        <f t="shared" si="57"/>
        <v>0</v>
      </c>
      <c r="Q124" s="80">
        <f t="shared" si="58"/>
        <v>0</v>
      </c>
      <c r="R124" s="77"/>
      <c r="S124" s="75"/>
      <c r="T124" t="e">
        <f>VLOOKUP(D124,'חד גזעי'!$Y$4:$Y$18,1,0)</f>
        <v>#N/A</v>
      </c>
      <c r="U124">
        <f t="shared" si="59"/>
        <v>1</v>
      </c>
      <c r="V124" s="72"/>
      <c r="W124">
        <f t="shared" si="60"/>
        <v>0</v>
      </c>
      <c r="X124" s="72"/>
      <c r="Y124" s="72" t="e">
        <f t="shared" si="61"/>
        <v>#N/A</v>
      </c>
      <c r="Z124" s="72" t="e">
        <f>(VLOOKUP(D124,'חד גזעי'!$P$1:$R$282,3,FALSE))</f>
        <v>#N/A</v>
      </c>
      <c r="AA124" s="72">
        <f t="shared" si="62"/>
        <v>0</v>
      </c>
      <c r="AB124" s="72">
        <f t="shared" si="63"/>
        <v>0</v>
      </c>
      <c r="AC124" s="72">
        <f t="shared" si="64"/>
        <v>0</v>
      </c>
      <c r="AD124" s="72" t="e">
        <f t="shared" si="65"/>
        <v>#N/A</v>
      </c>
      <c r="AE124" t="e">
        <f>VLOOKUP(D124,'חד גזעי'!$P$284:$R$305,3,FALSE)</f>
        <v>#N/A</v>
      </c>
      <c r="AF124" s="72" t="b">
        <f t="shared" si="52"/>
        <v>0</v>
      </c>
      <c r="AG124" s="72" t="b">
        <f t="shared" si="53"/>
        <v>0</v>
      </c>
      <c r="AH124" s="72" t="b">
        <f t="shared" si="54"/>
        <v>0</v>
      </c>
    </row>
    <row r="125" spans="3:34">
      <c r="C125" s="72"/>
      <c r="D125" s="77"/>
      <c r="E125" s="78"/>
      <c r="F125" s="78"/>
      <c r="G125" s="72"/>
      <c r="H125" s="72"/>
      <c r="I125" s="72"/>
      <c r="J125" s="73">
        <f t="shared" si="55"/>
        <v>0</v>
      </c>
      <c r="K125" s="78"/>
      <c r="L125" s="73"/>
      <c r="M125" s="74" t="e">
        <f>_xlfn.IFNA(VLOOKUP(D125,'חד גזעי'!$U$4:$V$305,2,0),VLOOKUP(D125,'חד גזעי'!$U$4:$V$305,2))</f>
        <v>#N/A</v>
      </c>
      <c r="N125" s="73"/>
      <c r="O125" s="72" t="e">
        <f t="shared" si="56"/>
        <v>#N/A</v>
      </c>
      <c r="P125" s="85">
        <f t="shared" si="57"/>
        <v>0</v>
      </c>
      <c r="Q125" s="80">
        <f t="shared" si="58"/>
        <v>0</v>
      </c>
      <c r="R125" s="77"/>
      <c r="S125" s="75"/>
      <c r="T125" t="e">
        <f>VLOOKUP(D125,'חד גזעי'!$Y$4:$Y$18,1,0)</f>
        <v>#N/A</v>
      </c>
      <c r="U125">
        <f t="shared" si="59"/>
        <v>1</v>
      </c>
      <c r="V125" s="72"/>
      <c r="W125">
        <f t="shared" si="60"/>
        <v>0</v>
      </c>
      <c r="X125" s="72"/>
      <c r="Y125" s="72" t="e">
        <f t="shared" si="61"/>
        <v>#N/A</v>
      </c>
      <c r="Z125" s="72" t="e">
        <f>(VLOOKUP(D125,'חד גזעי'!$P$1:$R$282,3,FALSE))</f>
        <v>#N/A</v>
      </c>
      <c r="AA125" s="72">
        <f t="shared" si="62"/>
        <v>0</v>
      </c>
      <c r="AB125" s="72">
        <f t="shared" si="63"/>
        <v>0</v>
      </c>
      <c r="AC125" s="72">
        <f t="shared" si="64"/>
        <v>0</v>
      </c>
      <c r="AD125" s="72" t="e">
        <f t="shared" si="65"/>
        <v>#N/A</v>
      </c>
      <c r="AE125" t="e">
        <f>VLOOKUP(D125,'חד גזעי'!$P$284:$R$305,3,FALSE)</f>
        <v>#N/A</v>
      </c>
      <c r="AF125" s="72" t="b">
        <f t="shared" si="52"/>
        <v>0</v>
      </c>
      <c r="AG125" s="72" t="b">
        <f t="shared" si="53"/>
        <v>0</v>
      </c>
      <c r="AH125" s="72" t="b">
        <f t="shared" si="54"/>
        <v>0</v>
      </c>
    </row>
    <row r="126" spans="3:34">
      <c r="C126" s="72"/>
      <c r="D126" s="77"/>
      <c r="E126" s="78"/>
      <c r="F126" s="78"/>
      <c r="G126" s="72"/>
      <c r="H126" s="72"/>
      <c r="I126" s="72"/>
      <c r="J126" s="73">
        <f t="shared" si="55"/>
        <v>0</v>
      </c>
      <c r="K126" s="78"/>
      <c r="L126" s="73"/>
      <c r="M126" s="74" t="e">
        <f>_xlfn.IFNA(VLOOKUP(D126,'חד גזעי'!$U$4:$V$305,2,0),VLOOKUP(D126,'חד גזעי'!$U$4:$V$305,2))</f>
        <v>#N/A</v>
      </c>
      <c r="N126" s="73"/>
      <c r="O126" s="72" t="e">
        <f t="shared" si="56"/>
        <v>#N/A</v>
      </c>
      <c r="P126" s="85">
        <f t="shared" si="57"/>
        <v>0</v>
      </c>
      <c r="Q126" s="80">
        <f t="shared" si="58"/>
        <v>0</v>
      </c>
      <c r="R126" s="77"/>
      <c r="S126" s="76"/>
      <c r="T126" t="e">
        <f>VLOOKUP(D126,'חד גזעי'!$Y$4:$Y$18,1,0)</f>
        <v>#N/A</v>
      </c>
      <c r="U126">
        <f t="shared" si="59"/>
        <v>1</v>
      </c>
      <c r="V126" s="72"/>
      <c r="W126">
        <f t="shared" si="60"/>
        <v>0</v>
      </c>
      <c r="X126" s="72"/>
      <c r="Y126" s="72" t="e">
        <f t="shared" si="61"/>
        <v>#N/A</v>
      </c>
      <c r="Z126" s="72" t="e">
        <f>(VLOOKUP(D126,'חד גזעי'!$P$1:$R$282,3,FALSE))</f>
        <v>#N/A</v>
      </c>
      <c r="AA126" s="72">
        <f t="shared" si="62"/>
        <v>0</v>
      </c>
      <c r="AB126" s="72">
        <f t="shared" si="63"/>
        <v>0</v>
      </c>
      <c r="AC126" s="72">
        <f t="shared" si="64"/>
        <v>0</v>
      </c>
      <c r="AD126" s="72" t="e">
        <f t="shared" si="65"/>
        <v>#N/A</v>
      </c>
      <c r="AE126" t="e">
        <f>VLOOKUP(D126,'חד גזעי'!$P$284:$R$305,3,FALSE)</f>
        <v>#N/A</v>
      </c>
      <c r="AF126" s="72" t="b">
        <f t="shared" si="52"/>
        <v>0</v>
      </c>
      <c r="AG126" s="72" t="b">
        <f t="shared" si="53"/>
        <v>0</v>
      </c>
      <c r="AH126" s="72" t="b">
        <f t="shared" si="54"/>
        <v>0</v>
      </c>
    </row>
    <row r="127" spans="3:34">
      <c r="C127" s="72"/>
      <c r="D127" s="77"/>
      <c r="E127" s="78"/>
      <c r="F127" s="78"/>
      <c r="G127" s="72"/>
      <c r="H127" s="72"/>
      <c r="I127" s="72"/>
      <c r="J127" s="73">
        <f t="shared" si="55"/>
        <v>0</v>
      </c>
      <c r="K127" s="78"/>
      <c r="L127" s="73"/>
      <c r="M127" s="74" t="e">
        <f>_xlfn.IFNA(VLOOKUP(D127,'חד גזעי'!$U$4:$V$305,2,0),VLOOKUP(D127,'חד גזעי'!$U$4:$V$305,2))</f>
        <v>#N/A</v>
      </c>
      <c r="N127" s="73"/>
      <c r="O127" s="72" t="e">
        <f t="shared" si="56"/>
        <v>#N/A</v>
      </c>
      <c r="P127" s="85">
        <f t="shared" si="57"/>
        <v>0</v>
      </c>
      <c r="Q127" s="80">
        <f t="shared" si="58"/>
        <v>0</v>
      </c>
      <c r="R127" s="77"/>
      <c r="S127" s="76"/>
      <c r="T127" t="e">
        <f>VLOOKUP(D127,'חד גזעי'!$Y$4:$Y$18,1,0)</f>
        <v>#N/A</v>
      </c>
      <c r="U127">
        <f t="shared" si="59"/>
        <v>1</v>
      </c>
      <c r="V127" s="72"/>
      <c r="W127">
        <f t="shared" si="60"/>
        <v>0</v>
      </c>
      <c r="X127" s="72"/>
      <c r="Y127" s="72" t="e">
        <f t="shared" si="61"/>
        <v>#N/A</v>
      </c>
      <c r="Z127" s="72" t="e">
        <f>(VLOOKUP(D127,'חד גזעי'!$P$1:$R$282,3,FALSE))</f>
        <v>#N/A</v>
      </c>
      <c r="AA127" s="72">
        <f t="shared" si="62"/>
        <v>0</v>
      </c>
      <c r="AB127" s="72">
        <f t="shared" si="63"/>
        <v>0</v>
      </c>
      <c r="AC127" s="72">
        <f t="shared" si="64"/>
        <v>0</v>
      </c>
      <c r="AD127" s="72" t="e">
        <f t="shared" si="65"/>
        <v>#N/A</v>
      </c>
      <c r="AE127" t="e">
        <f>VLOOKUP(D127,'חד גזעי'!$P$284:$R$305,3,FALSE)</f>
        <v>#N/A</v>
      </c>
      <c r="AF127" s="72" t="b">
        <f t="shared" si="52"/>
        <v>0</v>
      </c>
      <c r="AG127" s="72" t="b">
        <f t="shared" si="53"/>
        <v>0</v>
      </c>
      <c r="AH127" s="72" t="b">
        <f t="shared" si="54"/>
        <v>0</v>
      </c>
    </row>
    <row r="128" spans="3:34">
      <c r="C128" s="72"/>
      <c r="D128" s="77"/>
      <c r="E128" s="78"/>
      <c r="F128" s="78"/>
      <c r="G128" s="72"/>
      <c r="H128" s="72"/>
      <c r="I128" s="72"/>
      <c r="J128" s="73">
        <f t="shared" si="55"/>
        <v>0</v>
      </c>
      <c r="K128" s="78"/>
      <c r="L128" s="73"/>
      <c r="M128" s="74" t="e">
        <f>_xlfn.IFNA(VLOOKUP(D128,'חד גזעי'!$U$4:$V$305,2,0),VLOOKUP(D128,'חד גזעי'!$U$4:$V$305,2))</f>
        <v>#N/A</v>
      </c>
      <c r="N128" s="73"/>
      <c r="O128" s="72" t="e">
        <f t="shared" si="56"/>
        <v>#N/A</v>
      </c>
      <c r="P128" s="85">
        <f t="shared" si="57"/>
        <v>0</v>
      </c>
      <c r="Q128" s="80">
        <f t="shared" si="58"/>
        <v>0</v>
      </c>
      <c r="R128" s="77"/>
      <c r="S128" s="76"/>
      <c r="T128" t="e">
        <f>VLOOKUP(D128,'חד גזעי'!$Y$4:$Y$18,1,0)</f>
        <v>#N/A</v>
      </c>
      <c r="U128">
        <f t="shared" si="59"/>
        <v>1</v>
      </c>
      <c r="V128" s="72"/>
      <c r="W128">
        <f t="shared" si="60"/>
        <v>0</v>
      </c>
      <c r="X128" s="72"/>
      <c r="Y128" s="72" t="e">
        <f t="shared" si="61"/>
        <v>#N/A</v>
      </c>
      <c r="Z128" s="72" t="e">
        <f>(VLOOKUP(D128,'חד גזעי'!$P$1:$R$282,3,FALSE))</f>
        <v>#N/A</v>
      </c>
      <c r="AA128" s="72">
        <f t="shared" si="62"/>
        <v>0</v>
      </c>
      <c r="AB128" s="72">
        <f t="shared" si="63"/>
        <v>0</v>
      </c>
      <c r="AC128" s="72">
        <f t="shared" si="64"/>
        <v>0</v>
      </c>
      <c r="AD128" s="72" t="e">
        <f t="shared" si="65"/>
        <v>#N/A</v>
      </c>
      <c r="AE128" t="e">
        <f>VLOOKUP(D128,'חד גזעי'!$P$284:$R$305,3,FALSE)</f>
        <v>#N/A</v>
      </c>
      <c r="AF128" s="72" t="b">
        <f t="shared" si="52"/>
        <v>0</v>
      </c>
      <c r="AG128" s="72" t="b">
        <f t="shared" si="53"/>
        <v>0</v>
      </c>
      <c r="AH128" s="72" t="b">
        <f t="shared" si="54"/>
        <v>0</v>
      </c>
    </row>
    <row r="129" spans="3:34">
      <c r="C129" s="72"/>
      <c r="D129" s="77"/>
      <c r="E129" s="78"/>
      <c r="F129" s="78"/>
      <c r="G129" s="72"/>
      <c r="H129" s="72"/>
      <c r="I129" s="72"/>
      <c r="J129" s="73">
        <f t="shared" si="55"/>
        <v>0</v>
      </c>
      <c r="K129" s="78"/>
      <c r="L129" s="73"/>
      <c r="M129" s="74" t="e">
        <f>_xlfn.IFNA(VLOOKUP(D129,'חד גזעי'!$U$4:$V$305,2,0),VLOOKUP(D129,'חד גזעי'!$U$4:$V$305,2))</f>
        <v>#N/A</v>
      </c>
      <c r="N129" s="73"/>
      <c r="O129" s="72" t="e">
        <f t="shared" si="56"/>
        <v>#N/A</v>
      </c>
      <c r="P129" s="85">
        <f t="shared" si="57"/>
        <v>0</v>
      </c>
      <c r="Q129" s="80">
        <f t="shared" si="58"/>
        <v>0</v>
      </c>
      <c r="R129" s="77"/>
      <c r="S129" s="75"/>
      <c r="T129" t="e">
        <f>VLOOKUP(D129,'חד גזעי'!$Y$4:$Y$18,1,0)</f>
        <v>#N/A</v>
      </c>
      <c r="U129">
        <f t="shared" si="59"/>
        <v>1</v>
      </c>
      <c r="V129" s="72"/>
      <c r="W129">
        <f t="shared" si="60"/>
        <v>0</v>
      </c>
      <c r="X129" s="72"/>
      <c r="Y129" s="72" t="e">
        <f t="shared" si="61"/>
        <v>#N/A</v>
      </c>
      <c r="Z129" s="72" t="e">
        <f>(VLOOKUP(D129,'חד גזעי'!$P$1:$R$282,3,FALSE))</f>
        <v>#N/A</v>
      </c>
      <c r="AA129" s="72">
        <f t="shared" si="62"/>
        <v>0</v>
      </c>
      <c r="AB129" s="72">
        <f t="shared" si="63"/>
        <v>0</v>
      </c>
      <c r="AC129" s="72">
        <f t="shared" si="64"/>
        <v>0</v>
      </c>
      <c r="AD129" s="72" t="e">
        <f t="shared" si="65"/>
        <v>#N/A</v>
      </c>
      <c r="AE129" t="e">
        <f>VLOOKUP(D129,'חד גזעי'!$P$284:$R$305,3,FALSE)</f>
        <v>#N/A</v>
      </c>
      <c r="AF129" s="72" t="b">
        <f t="shared" si="52"/>
        <v>0</v>
      </c>
      <c r="AG129" s="72" t="b">
        <f t="shared" si="53"/>
        <v>0</v>
      </c>
      <c r="AH129" s="72" t="b">
        <f t="shared" si="54"/>
        <v>0</v>
      </c>
    </row>
    <row r="130" spans="3:34">
      <c r="C130" s="72"/>
      <c r="D130" s="77"/>
      <c r="E130" s="78"/>
      <c r="F130" s="78"/>
      <c r="G130" s="72"/>
      <c r="H130" s="72"/>
      <c r="I130" s="72"/>
      <c r="J130" s="73">
        <f t="shared" si="55"/>
        <v>0</v>
      </c>
      <c r="K130" s="78"/>
      <c r="L130" s="73"/>
      <c r="M130" s="74" t="e">
        <f>_xlfn.IFNA(VLOOKUP(D130,'חד גזעי'!$U$4:$V$305,2,0),VLOOKUP(D130,'חד גזעי'!$U$4:$V$305,2))</f>
        <v>#N/A</v>
      </c>
      <c r="N130" s="73"/>
      <c r="O130" s="72" t="e">
        <f t="shared" si="56"/>
        <v>#N/A</v>
      </c>
      <c r="P130" s="85">
        <f t="shared" si="57"/>
        <v>0</v>
      </c>
      <c r="Q130" s="80">
        <f t="shared" si="58"/>
        <v>0</v>
      </c>
      <c r="R130" s="77"/>
      <c r="S130" s="76"/>
      <c r="T130" t="e">
        <f>VLOOKUP(D130,'חד גזעי'!$Y$4:$Y$18,1,0)</f>
        <v>#N/A</v>
      </c>
      <c r="U130">
        <f t="shared" si="59"/>
        <v>1</v>
      </c>
      <c r="V130" s="72"/>
      <c r="W130">
        <f t="shared" si="60"/>
        <v>0</v>
      </c>
      <c r="X130" s="72"/>
      <c r="Y130" s="72" t="e">
        <f t="shared" si="61"/>
        <v>#N/A</v>
      </c>
      <c r="Z130" s="72" t="e">
        <f>(VLOOKUP(D130,'חד גזעי'!$P$1:$R$282,3,FALSE))</f>
        <v>#N/A</v>
      </c>
      <c r="AA130" s="72">
        <f t="shared" si="62"/>
        <v>0</v>
      </c>
      <c r="AB130" s="72">
        <f t="shared" si="63"/>
        <v>0</v>
      </c>
      <c r="AC130" s="72">
        <f t="shared" si="64"/>
        <v>0</v>
      </c>
      <c r="AD130" s="72" t="e">
        <f t="shared" si="65"/>
        <v>#N/A</v>
      </c>
      <c r="AE130" t="e">
        <f>VLOOKUP(D130,'חד גזעי'!$P$284:$R$305,3,FALSE)</f>
        <v>#N/A</v>
      </c>
      <c r="AF130" s="72" t="b">
        <f t="shared" si="52"/>
        <v>0</v>
      </c>
      <c r="AG130" s="72" t="b">
        <f t="shared" si="53"/>
        <v>0</v>
      </c>
      <c r="AH130" s="72" t="b">
        <f t="shared" si="54"/>
        <v>0</v>
      </c>
    </row>
    <row r="131" spans="3:34">
      <c r="C131" s="72"/>
      <c r="D131" s="77"/>
      <c r="E131" s="78"/>
      <c r="F131" s="78"/>
      <c r="G131" s="72"/>
      <c r="H131" s="72"/>
      <c r="I131" s="72"/>
      <c r="J131" s="73">
        <f t="shared" si="55"/>
        <v>0</v>
      </c>
      <c r="K131" s="78"/>
      <c r="L131" s="73"/>
      <c r="M131" s="74" t="e">
        <f>_xlfn.IFNA(VLOOKUP(D131,'חד גזעי'!$U$4:$V$305,2,0),VLOOKUP(D131,'חד גזעי'!$U$4:$V$305,2))</f>
        <v>#N/A</v>
      </c>
      <c r="N131" s="73"/>
      <c r="O131" s="72" t="e">
        <f t="shared" si="56"/>
        <v>#N/A</v>
      </c>
      <c r="P131" s="85">
        <f t="shared" si="57"/>
        <v>0</v>
      </c>
      <c r="Q131" s="80">
        <f t="shared" si="58"/>
        <v>0</v>
      </c>
      <c r="R131" s="77"/>
      <c r="S131" s="76"/>
      <c r="T131" t="e">
        <f>VLOOKUP(D131,'חד גזעי'!$Y$4:$Y$18,1,0)</f>
        <v>#N/A</v>
      </c>
      <c r="U131">
        <f t="shared" si="59"/>
        <v>1</v>
      </c>
      <c r="V131" s="72"/>
      <c r="W131">
        <f t="shared" si="60"/>
        <v>0</v>
      </c>
      <c r="X131" s="72"/>
      <c r="Y131" s="72" t="e">
        <f t="shared" si="61"/>
        <v>#N/A</v>
      </c>
      <c r="Z131" s="72" t="e">
        <f>(VLOOKUP(D131,'חד גזעי'!$P$1:$R$282,3,FALSE))</f>
        <v>#N/A</v>
      </c>
      <c r="AA131" s="72">
        <f t="shared" si="62"/>
        <v>0</v>
      </c>
      <c r="AB131" s="72">
        <f t="shared" si="63"/>
        <v>0</v>
      </c>
      <c r="AC131" s="72">
        <f t="shared" si="64"/>
        <v>0</v>
      </c>
      <c r="AD131" s="72" t="e">
        <f t="shared" si="65"/>
        <v>#N/A</v>
      </c>
      <c r="AE131" t="e">
        <f>VLOOKUP(D131,'חד גזעי'!$P$284:$R$305,3,FALSE)</f>
        <v>#N/A</v>
      </c>
      <c r="AF131" s="72" t="b">
        <f t="shared" si="52"/>
        <v>0</v>
      </c>
      <c r="AG131" s="72" t="b">
        <f t="shared" si="53"/>
        <v>0</v>
      </c>
      <c r="AH131" s="72" t="b">
        <f t="shared" si="54"/>
        <v>0</v>
      </c>
    </row>
    <row r="132" spans="3:34">
      <c r="C132" s="72"/>
      <c r="D132" s="77"/>
      <c r="E132" s="78"/>
      <c r="F132" s="78"/>
      <c r="G132" s="72"/>
      <c r="H132" s="72"/>
      <c r="I132" s="72"/>
      <c r="J132" s="73">
        <f t="shared" si="55"/>
        <v>0</v>
      </c>
      <c r="K132" s="78"/>
      <c r="L132" s="73"/>
      <c r="M132" s="74" t="e">
        <f>_xlfn.IFNA(VLOOKUP(D132,'חד גזעי'!$U$4:$V$305,2,0),VLOOKUP(D132,'חד גזעי'!$U$4:$V$305,2))</f>
        <v>#N/A</v>
      </c>
      <c r="N132" s="73"/>
      <c r="O132" s="72" t="e">
        <f t="shared" si="56"/>
        <v>#N/A</v>
      </c>
      <c r="P132" s="85">
        <f t="shared" si="57"/>
        <v>0</v>
      </c>
      <c r="Q132" s="80">
        <f t="shared" si="58"/>
        <v>0</v>
      </c>
      <c r="R132" s="77"/>
      <c r="S132" s="75"/>
      <c r="T132" t="e">
        <f>VLOOKUP(D132,'חד גזעי'!$Y$4:$Y$18,1,0)</f>
        <v>#N/A</v>
      </c>
      <c r="U132">
        <f t="shared" si="59"/>
        <v>1</v>
      </c>
      <c r="V132" s="72"/>
      <c r="W132">
        <f t="shared" si="60"/>
        <v>0</v>
      </c>
      <c r="X132" s="72"/>
      <c r="Y132" s="72" t="e">
        <f t="shared" si="61"/>
        <v>#N/A</v>
      </c>
      <c r="Z132" s="72" t="e">
        <f>(VLOOKUP(D132,'חד גזעי'!$P$1:$R$282,3,FALSE))</f>
        <v>#N/A</v>
      </c>
      <c r="AA132" s="72">
        <f t="shared" si="62"/>
        <v>0</v>
      </c>
      <c r="AB132" s="72">
        <f t="shared" si="63"/>
        <v>0</v>
      </c>
      <c r="AC132" s="72">
        <f t="shared" si="64"/>
        <v>0</v>
      </c>
      <c r="AD132" s="72" t="e">
        <f t="shared" si="65"/>
        <v>#N/A</v>
      </c>
      <c r="AE132" t="e">
        <f>VLOOKUP(D132,'חד גזעי'!$P$284:$R$305,3,FALSE)</f>
        <v>#N/A</v>
      </c>
      <c r="AF132" s="72" t="b">
        <f t="shared" si="52"/>
        <v>0</v>
      </c>
      <c r="AG132" s="72" t="b">
        <f t="shared" si="53"/>
        <v>0</v>
      </c>
      <c r="AH132" s="72" t="b">
        <f t="shared" si="54"/>
        <v>0</v>
      </c>
    </row>
    <row r="133" spans="3:34">
      <c r="C133" s="72"/>
      <c r="D133" s="77"/>
      <c r="E133" s="78"/>
      <c r="F133" s="78"/>
      <c r="G133" s="72"/>
      <c r="H133" s="72"/>
      <c r="I133" s="72"/>
      <c r="J133" s="73">
        <f t="shared" si="55"/>
        <v>0</v>
      </c>
      <c r="K133" s="78"/>
      <c r="L133" s="73"/>
      <c r="M133" s="74" t="e">
        <f>_xlfn.IFNA(VLOOKUP(D133,'חד גזעי'!$U$4:$V$305,2,0),VLOOKUP(D133,'חד גזעי'!$U$4:$V$305,2))</f>
        <v>#N/A</v>
      </c>
      <c r="N133" s="73"/>
      <c r="O133" s="72" t="e">
        <f t="shared" si="56"/>
        <v>#N/A</v>
      </c>
      <c r="P133" s="85">
        <f t="shared" si="57"/>
        <v>0</v>
      </c>
      <c r="Q133" s="80">
        <f t="shared" si="58"/>
        <v>0</v>
      </c>
      <c r="R133" s="77"/>
      <c r="S133" s="76"/>
      <c r="T133" t="e">
        <f>VLOOKUP(D133,'חד גזעי'!$Y$4:$Y$18,1,0)</f>
        <v>#N/A</v>
      </c>
      <c r="U133">
        <f t="shared" si="59"/>
        <v>1</v>
      </c>
      <c r="V133" s="72"/>
      <c r="W133">
        <f t="shared" si="60"/>
        <v>0</v>
      </c>
      <c r="X133" s="72"/>
      <c r="Y133" s="72" t="e">
        <f t="shared" si="61"/>
        <v>#N/A</v>
      </c>
      <c r="Z133" s="72" t="e">
        <f>(VLOOKUP(D133,'חד גזעי'!$P$1:$R$282,3,FALSE))</f>
        <v>#N/A</v>
      </c>
      <c r="AA133" s="72">
        <f t="shared" si="62"/>
        <v>0</v>
      </c>
      <c r="AB133" s="72">
        <f t="shared" si="63"/>
        <v>0</v>
      </c>
      <c r="AC133" s="72">
        <f t="shared" si="64"/>
        <v>0</v>
      </c>
      <c r="AD133" s="72" t="e">
        <f t="shared" si="65"/>
        <v>#N/A</v>
      </c>
      <c r="AE133" t="e">
        <f>VLOOKUP(D133,'חד גזעי'!$P$284:$R$305,3,FALSE)</f>
        <v>#N/A</v>
      </c>
      <c r="AF133" s="72" t="b">
        <f t="shared" si="52"/>
        <v>0</v>
      </c>
      <c r="AG133" s="72" t="b">
        <f t="shared" si="53"/>
        <v>0</v>
      </c>
      <c r="AH133" s="72" t="b">
        <f t="shared" si="54"/>
        <v>0</v>
      </c>
    </row>
    <row r="134" spans="3:34">
      <c r="C134" s="72"/>
      <c r="D134" s="77"/>
      <c r="E134" s="78"/>
      <c r="F134" s="78"/>
      <c r="G134" s="72"/>
      <c r="H134" s="72"/>
      <c r="I134" s="72"/>
      <c r="J134" s="73">
        <f t="shared" si="55"/>
        <v>0</v>
      </c>
      <c r="K134" s="78"/>
      <c r="L134" s="73"/>
      <c r="M134" s="74" t="e">
        <f>_xlfn.IFNA(VLOOKUP(D134,'חד גזעי'!$U$4:$V$305,2,0),VLOOKUP(D134,'חד גזעי'!$U$4:$V$305,2))</f>
        <v>#N/A</v>
      </c>
      <c r="N134" s="102"/>
      <c r="O134" s="72" t="e">
        <f t="shared" si="56"/>
        <v>#N/A</v>
      </c>
      <c r="P134" s="85">
        <f t="shared" si="57"/>
        <v>0</v>
      </c>
      <c r="Q134" s="80">
        <f t="shared" si="58"/>
        <v>0</v>
      </c>
      <c r="R134" s="77"/>
      <c r="S134" s="76"/>
      <c r="T134" t="e">
        <f>VLOOKUP(D134,'חד גזעי'!$Y$4:$Y$18,1,0)</f>
        <v>#N/A</v>
      </c>
      <c r="U134">
        <f t="shared" si="59"/>
        <v>1</v>
      </c>
      <c r="V134" s="72"/>
      <c r="W134">
        <f t="shared" si="60"/>
        <v>0</v>
      </c>
      <c r="X134" s="72"/>
      <c r="Y134" s="72" t="e">
        <f t="shared" si="61"/>
        <v>#N/A</v>
      </c>
      <c r="Z134" s="72" t="e">
        <f>(VLOOKUP(D134,'חד גזעי'!$P$1:$R$282,3,FALSE))</f>
        <v>#N/A</v>
      </c>
      <c r="AA134" s="72">
        <f t="shared" si="62"/>
        <v>0</v>
      </c>
      <c r="AB134" s="72">
        <f t="shared" si="63"/>
        <v>0</v>
      </c>
      <c r="AC134" s="72">
        <f t="shared" si="64"/>
        <v>0</v>
      </c>
      <c r="AD134" s="72" t="e">
        <f t="shared" si="65"/>
        <v>#N/A</v>
      </c>
      <c r="AE134" t="e">
        <f>VLOOKUP(D134,'חד גזעי'!$P$284:$R$305,3,FALSE)</f>
        <v>#N/A</v>
      </c>
      <c r="AF134" s="72" t="b">
        <f t="shared" si="52"/>
        <v>0</v>
      </c>
      <c r="AG134" s="72" t="b">
        <f t="shared" si="53"/>
        <v>0</v>
      </c>
      <c r="AH134" s="72" t="b">
        <f t="shared" si="54"/>
        <v>0</v>
      </c>
    </row>
    <row r="135" spans="3:34">
      <c r="C135" s="72"/>
      <c r="D135" s="77"/>
      <c r="E135" s="73"/>
      <c r="F135" s="73"/>
      <c r="G135" s="72"/>
      <c r="H135" s="72"/>
      <c r="I135" s="72"/>
      <c r="J135" s="73">
        <f t="shared" si="55"/>
        <v>0</v>
      </c>
      <c r="K135" s="73"/>
      <c r="L135" s="73"/>
      <c r="M135" s="74" t="e">
        <f>_xlfn.IFNA(VLOOKUP(D135,'חד גזעי'!$U$4:$V$305,2,0),VLOOKUP(D135,'חד גזעי'!$U$4:$V$305,2))</f>
        <v>#N/A</v>
      </c>
      <c r="N135" s="73"/>
      <c r="O135" s="72" t="e">
        <f t="shared" si="56"/>
        <v>#N/A</v>
      </c>
      <c r="P135" s="85">
        <f t="shared" si="57"/>
        <v>0</v>
      </c>
      <c r="Q135" s="80">
        <f t="shared" si="58"/>
        <v>0</v>
      </c>
      <c r="R135" s="77"/>
      <c r="S135" s="76"/>
      <c r="T135" t="e">
        <f>VLOOKUP(D135,'חד גזעי'!$Y$4:$Y$18,1,0)</f>
        <v>#N/A</v>
      </c>
      <c r="U135">
        <f t="shared" si="59"/>
        <v>1</v>
      </c>
      <c r="V135" s="72"/>
      <c r="W135">
        <f t="shared" si="60"/>
        <v>0</v>
      </c>
      <c r="X135" s="72"/>
      <c r="Y135" s="72" t="e">
        <f t="shared" si="61"/>
        <v>#N/A</v>
      </c>
      <c r="Z135" s="72" t="e">
        <f>(VLOOKUP(D135,'חד גזעי'!$P$1:$R$282,3,FALSE))</f>
        <v>#N/A</v>
      </c>
      <c r="AA135" s="72">
        <f t="shared" si="62"/>
        <v>0</v>
      </c>
      <c r="AB135" s="72">
        <f t="shared" si="63"/>
        <v>0</v>
      </c>
      <c r="AC135" s="72">
        <f t="shared" si="64"/>
        <v>0</v>
      </c>
      <c r="AD135" s="72" t="e">
        <f t="shared" si="65"/>
        <v>#N/A</v>
      </c>
      <c r="AE135" t="e">
        <f>VLOOKUP(D135,'חד גזעי'!$P$284:$R$305,3,FALSE)</f>
        <v>#N/A</v>
      </c>
      <c r="AF135" s="72" t="b">
        <f t="shared" si="52"/>
        <v>0</v>
      </c>
      <c r="AG135" s="72" t="b">
        <f t="shared" si="53"/>
        <v>0</v>
      </c>
      <c r="AH135" s="72" t="b">
        <f t="shared" si="54"/>
        <v>0</v>
      </c>
    </row>
    <row r="136" spans="3:34">
      <c r="C136" s="72"/>
      <c r="D136" s="77"/>
      <c r="E136" s="73"/>
      <c r="F136" s="73"/>
      <c r="G136" s="72"/>
      <c r="H136" s="72"/>
      <c r="I136" s="72"/>
      <c r="J136" s="73">
        <f t="shared" si="55"/>
        <v>0</v>
      </c>
      <c r="K136" s="73"/>
      <c r="L136" s="73"/>
      <c r="M136" s="74" t="e">
        <f>_xlfn.IFNA(VLOOKUP(D136,'חד גזעי'!$U$4:$V$305,2,0),VLOOKUP(D136,'חד גזעי'!$U$4:$V$305,2))</f>
        <v>#N/A</v>
      </c>
      <c r="N136" s="73"/>
      <c r="O136" s="72" t="e">
        <f t="shared" si="56"/>
        <v>#N/A</v>
      </c>
      <c r="P136" s="85">
        <f t="shared" si="57"/>
        <v>0</v>
      </c>
      <c r="Q136" s="80">
        <f t="shared" si="58"/>
        <v>0</v>
      </c>
      <c r="R136" s="77"/>
      <c r="S136" s="76"/>
      <c r="T136" t="e">
        <f>VLOOKUP(D136,'חד גזעי'!$Y$4:$Y$18,1,0)</f>
        <v>#N/A</v>
      </c>
      <c r="U136">
        <f t="shared" si="59"/>
        <v>1</v>
      </c>
      <c r="V136" s="72"/>
      <c r="W136">
        <f t="shared" si="60"/>
        <v>0</v>
      </c>
      <c r="X136" s="72"/>
      <c r="Y136" s="72" t="e">
        <f t="shared" si="61"/>
        <v>#N/A</v>
      </c>
      <c r="Z136" s="72" t="e">
        <f>(VLOOKUP(D136,'חד גזעי'!$P$1:$R$282,3,FALSE))</f>
        <v>#N/A</v>
      </c>
      <c r="AA136" s="72">
        <f t="shared" si="62"/>
        <v>0</v>
      </c>
      <c r="AB136" s="72">
        <f t="shared" si="63"/>
        <v>0</v>
      </c>
      <c r="AC136" s="72">
        <f t="shared" si="64"/>
        <v>0</v>
      </c>
      <c r="AD136" s="72" t="e">
        <f t="shared" si="65"/>
        <v>#N/A</v>
      </c>
      <c r="AE136" t="e">
        <f>VLOOKUP(D136,'חד גזעי'!$P$284:$R$305,3,FALSE)</f>
        <v>#N/A</v>
      </c>
      <c r="AF136" s="72" t="b">
        <f t="shared" si="52"/>
        <v>0</v>
      </c>
      <c r="AG136" s="72" t="b">
        <f t="shared" si="53"/>
        <v>0</v>
      </c>
      <c r="AH136" s="72" t="b">
        <f t="shared" si="54"/>
        <v>0</v>
      </c>
    </row>
    <row r="137" spans="3:34">
      <c r="C137" s="72"/>
      <c r="D137" s="77"/>
      <c r="E137" s="73"/>
      <c r="F137" s="73"/>
      <c r="G137" s="72"/>
      <c r="H137" s="72"/>
      <c r="I137" s="72"/>
      <c r="J137" s="73">
        <f t="shared" si="55"/>
        <v>0</v>
      </c>
      <c r="K137" s="73"/>
      <c r="L137" s="73"/>
      <c r="M137" s="74" t="e">
        <f>_xlfn.IFNA(VLOOKUP(D137,'חד גזעי'!$U$4:$V$305,2,0),VLOOKUP(D137,'חד גזעי'!$U$4:$V$305,2))</f>
        <v>#N/A</v>
      </c>
      <c r="N137" s="73"/>
      <c r="O137" s="72" t="e">
        <f t="shared" si="56"/>
        <v>#N/A</v>
      </c>
      <c r="P137" s="85">
        <f t="shared" si="57"/>
        <v>0</v>
      </c>
      <c r="Q137" s="80">
        <f t="shared" si="58"/>
        <v>0</v>
      </c>
      <c r="R137" s="77"/>
      <c r="S137" s="76"/>
      <c r="T137" t="e">
        <f>VLOOKUP(D137,'חד גזעי'!$Y$4:$Y$18,1,0)</f>
        <v>#N/A</v>
      </c>
      <c r="U137">
        <f t="shared" si="59"/>
        <v>1</v>
      </c>
      <c r="V137" s="72"/>
      <c r="W137">
        <f t="shared" si="60"/>
        <v>0</v>
      </c>
      <c r="X137" s="72"/>
      <c r="Y137" s="72" t="e">
        <f t="shared" si="61"/>
        <v>#N/A</v>
      </c>
      <c r="Z137" s="72" t="e">
        <f>(VLOOKUP(D137,'חד גזעי'!$P$1:$R$282,3,FALSE))</f>
        <v>#N/A</v>
      </c>
      <c r="AA137" s="72">
        <f t="shared" si="62"/>
        <v>0</v>
      </c>
      <c r="AB137" s="72">
        <f t="shared" si="63"/>
        <v>0</v>
      </c>
      <c r="AC137" s="72">
        <f t="shared" si="64"/>
        <v>0</v>
      </c>
      <c r="AD137" s="72" t="e">
        <f t="shared" si="65"/>
        <v>#N/A</v>
      </c>
      <c r="AE137" t="e">
        <f>VLOOKUP(D137,'חד גזעי'!$P$284:$R$305,3,FALSE)</f>
        <v>#N/A</v>
      </c>
      <c r="AF137" s="72" t="b">
        <f t="shared" si="52"/>
        <v>0</v>
      </c>
      <c r="AG137" s="72" t="b">
        <f t="shared" si="53"/>
        <v>0</v>
      </c>
      <c r="AH137" s="72" t="b">
        <f t="shared" si="54"/>
        <v>0</v>
      </c>
    </row>
    <row r="138" spans="3:34">
      <c r="C138" s="72"/>
      <c r="D138" s="77"/>
      <c r="E138" s="73"/>
      <c r="F138" s="73"/>
      <c r="G138" s="72"/>
      <c r="H138" s="72"/>
      <c r="I138" s="72"/>
      <c r="J138" s="73">
        <f t="shared" si="55"/>
        <v>0</v>
      </c>
      <c r="K138" s="73"/>
      <c r="L138" s="73"/>
      <c r="M138" s="74" t="e">
        <f>_xlfn.IFNA(VLOOKUP(D138,'חד גזעי'!$U$4:$V$305,2,0),VLOOKUP(D138,'חד גזעי'!$U$4:$V$305,2))</f>
        <v>#N/A</v>
      </c>
      <c r="N138" s="73"/>
      <c r="O138" s="72" t="e">
        <f t="shared" si="56"/>
        <v>#N/A</v>
      </c>
      <c r="P138" s="85">
        <f t="shared" si="57"/>
        <v>0</v>
      </c>
      <c r="Q138" s="80">
        <f t="shared" si="58"/>
        <v>0</v>
      </c>
      <c r="R138" s="77"/>
      <c r="S138" s="76"/>
      <c r="T138" t="e">
        <f>VLOOKUP(D138,'חד גזעי'!$Y$4:$Y$18,1,0)</f>
        <v>#N/A</v>
      </c>
      <c r="U138">
        <f t="shared" si="59"/>
        <v>1</v>
      </c>
      <c r="V138" s="72"/>
      <c r="W138">
        <f t="shared" si="60"/>
        <v>0</v>
      </c>
      <c r="X138" s="72"/>
      <c r="Y138" s="72" t="e">
        <f t="shared" si="61"/>
        <v>#N/A</v>
      </c>
      <c r="Z138" s="72" t="e">
        <f>(VLOOKUP(D138,'חד גזעי'!$P$1:$R$282,3,FALSE))</f>
        <v>#N/A</v>
      </c>
      <c r="AA138" s="72">
        <f t="shared" si="62"/>
        <v>0</v>
      </c>
      <c r="AB138" s="72">
        <f t="shared" si="63"/>
        <v>0</v>
      </c>
      <c r="AC138" s="72">
        <f t="shared" si="64"/>
        <v>0</v>
      </c>
      <c r="AD138" s="72" t="e">
        <f t="shared" si="65"/>
        <v>#N/A</v>
      </c>
      <c r="AE138" t="e">
        <f>VLOOKUP(D138,'חד גזעי'!$P$284:$R$305,3,FALSE)</f>
        <v>#N/A</v>
      </c>
      <c r="AF138" s="72" t="b">
        <f t="shared" si="52"/>
        <v>0</v>
      </c>
      <c r="AG138" s="72" t="b">
        <f t="shared" si="53"/>
        <v>0</v>
      </c>
      <c r="AH138" s="72" t="b">
        <f t="shared" si="54"/>
        <v>0</v>
      </c>
    </row>
  </sheetData>
  <conditionalFormatting sqref="O9:O138">
    <cfRule type="cellIs" dxfId="13" priority="1" operator="between">
      <formula>17</formula>
      <formula>20</formula>
    </cfRule>
    <cfRule type="cellIs" dxfId="12" priority="2" operator="between">
      <formula>14</formula>
      <formula>16</formula>
    </cfRule>
    <cfRule type="cellIs" dxfId="11" priority="3" operator="between">
      <formula>7</formula>
      <formula>13</formula>
    </cfRule>
    <cfRule type="cellIs" dxfId="10" priority="4" operator="between">
      <formula>0</formula>
      <formula>6</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A9553CC-4E3D-4241-A697-7994762001C5}">
          <x14:formula1>
            <xm:f>'חד גזעי'!$P$4:$P$305</xm:f>
          </x14:formula1>
          <xm:sqref>D9:D138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3"/>
  <dimension ref="C1:BD509"/>
  <sheetViews>
    <sheetView showGridLines="0" rightToLeft="1" topLeftCell="E13" zoomScale="70" zoomScaleNormal="70" workbookViewId="0">
      <selection activeCell="AH33" sqref="AH33"/>
    </sheetView>
  </sheetViews>
  <sheetFormatPr defaultRowHeight="12.75"/>
  <cols>
    <col min="1" max="1" width="7.28515625" customWidth="1"/>
    <col min="3" max="3" width="3.85546875" customWidth="1"/>
    <col min="6" max="6" width="28" customWidth="1"/>
    <col min="7" max="7" width="8" customWidth="1"/>
    <col min="12" max="12" width="15.5703125" customWidth="1"/>
    <col min="14" max="14" width="0" hidden="1" customWidth="1"/>
    <col min="16" max="16" width="30.7109375" bestFit="1" customWidth="1"/>
    <col min="17" max="17" width="43.28515625" bestFit="1" customWidth="1"/>
    <col min="21" max="21" width="14.5703125" bestFit="1" customWidth="1"/>
    <col min="25" max="25" width="17.5703125" bestFit="1" customWidth="1"/>
    <col min="34" max="34" width="21.5703125" bestFit="1" customWidth="1"/>
  </cols>
  <sheetData>
    <row r="1" spans="3:56" ht="38.25" thickBot="1">
      <c r="P1" s="18" t="s">
        <v>12</v>
      </c>
      <c r="Q1" s="19" t="s">
        <v>270</v>
      </c>
      <c r="R1" s="20" t="s">
        <v>713</v>
      </c>
      <c r="U1" s="88"/>
      <c r="V1" s="89" t="s">
        <v>765</v>
      </c>
      <c r="AH1" s="106" t="s">
        <v>841</v>
      </c>
      <c r="AJ1" s="253" t="s">
        <v>832</v>
      </c>
      <c r="AK1" s="254"/>
      <c r="AL1" s="254"/>
      <c r="AM1" s="255"/>
      <c r="AP1" t="s">
        <v>837</v>
      </c>
      <c r="AV1" t="s">
        <v>858</v>
      </c>
      <c r="AY1" s="19" t="s">
        <v>270</v>
      </c>
      <c r="AZ1" s="20" t="s">
        <v>713</v>
      </c>
      <c r="BC1" s="88"/>
      <c r="BD1" s="89" t="s">
        <v>765</v>
      </c>
    </row>
    <row r="2" spans="3:56" ht="30">
      <c r="S2" s="112" t="s">
        <v>840</v>
      </c>
      <c r="T2" s="69"/>
      <c r="U2" s="90" t="s">
        <v>766</v>
      </c>
      <c r="V2" s="91" t="s">
        <v>1318</v>
      </c>
      <c r="Y2" t="s">
        <v>818</v>
      </c>
      <c r="AD2" t="s">
        <v>828</v>
      </c>
      <c r="AG2" s="252" t="s">
        <v>845</v>
      </c>
      <c r="AH2" s="124" t="s">
        <v>876</v>
      </c>
      <c r="AJ2" s="218" t="s">
        <v>833</v>
      </c>
      <c r="AK2" s="218"/>
      <c r="AL2" s="218"/>
      <c r="AM2" s="72" t="s">
        <v>836</v>
      </c>
      <c r="AP2" t="s">
        <v>835</v>
      </c>
      <c r="BA2" s="112" t="s">
        <v>840</v>
      </c>
      <c r="BB2" s="69"/>
      <c r="BC2" s="90" t="s">
        <v>766</v>
      </c>
      <c r="BD2" s="91">
        <v>2018</v>
      </c>
    </row>
    <row r="3" spans="3:56" ht="30">
      <c r="P3" s="163" t="s">
        <v>851</v>
      </c>
      <c r="Q3" s="163" t="s">
        <v>851</v>
      </c>
      <c r="R3" s="173">
        <v>0</v>
      </c>
      <c r="S3" s="173">
        <v>0</v>
      </c>
      <c r="T3" s="69"/>
      <c r="U3" s="143" t="s">
        <v>851</v>
      </c>
      <c r="V3" s="175">
        <v>0</v>
      </c>
      <c r="AD3">
        <f>COUNTIF(סקר!$AT$11:$AT$880,P3)</f>
        <v>0</v>
      </c>
      <c r="AF3">
        <f t="shared" ref="AF3:AF34" si="0">IF(AD3&gt;0,U3,0)</f>
        <v>0</v>
      </c>
      <c r="AG3" s="252"/>
      <c r="AH3" s="124"/>
      <c r="AJ3" s="256" t="s">
        <v>855</v>
      </c>
      <c r="AK3" s="257"/>
      <c r="AL3" s="258"/>
      <c r="AM3" s="72" t="s">
        <v>835</v>
      </c>
      <c r="AP3" t="s">
        <v>836</v>
      </c>
      <c r="AY3" t="s">
        <v>851</v>
      </c>
      <c r="AZ3">
        <v>0</v>
      </c>
      <c r="BA3" s="112">
        <v>0</v>
      </c>
      <c r="BB3" s="69"/>
      <c r="BC3" s="143" t="s">
        <v>851</v>
      </c>
      <c r="BD3" s="91">
        <v>0</v>
      </c>
    </row>
    <row r="4" spans="3:56" ht="26.25">
      <c r="E4" s="8" t="s">
        <v>6</v>
      </c>
      <c r="P4" s="163" t="s">
        <v>859</v>
      </c>
      <c r="Q4" s="169" t="s">
        <v>632</v>
      </c>
      <c r="R4" s="174">
        <v>0.55000000000000004</v>
      </c>
      <c r="S4" s="174">
        <v>0.55000000000000004</v>
      </c>
      <c r="U4" t="str">
        <f t="shared" ref="U4:U35" si="1">P4</f>
        <v>אבוקדו אמריקני</v>
      </c>
      <c r="V4" s="175">
        <v>3</v>
      </c>
      <c r="Y4" s="53" t="s">
        <v>77</v>
      </c>
      <c r="AB4" s="69" t="s">
        <v>821</v>
      </c>
      <c r="AD4">
        <f>COUNTIF(סקר!$AT$11:$AT$880,P4)</f>
        <v>0</v>
      </c>
      <c r="AF4">
        <f t="shared" si="0"/>
        <v>0</v>
      </c>
      <c r="AG4" s="252"/>
      <c r="AH4" s="124" t="s">
        <v>604</v>
      </c>
      <c r="AJ4" s="218" t="s">
        <v>834</v>
      </c>
      <c r="AK4" s="218"/>
      <c r="AL4" s="218"/>
      <c r="AM4" s="72" t="s">
        <v>836</v>
      </c>
      <c r="AY4" s="49" t="s">
        <v>632</v>
      </c>
      <c r="AZ4" s="106">
        <v>0.55000000000000004</v>
      </c>
      <c r="BA4" s="106">
        <v>0.55000000000000004</v>
      </c>
      <c r="BC4">
        <f t="shared" ref="BC4:BC67" si="2">AX4</f>
        <v>0</v>
      </c>
      <c r="BD4" s="92">
        <v>3</v>
      </c>
    </row>
    <row r="5" spans="3:56" ht="31.5">
      <c r="P5" s="164" t="s">
        <v>860</v>
      </c>
      <c r="Q5" s="168" t="s">
        <v>1090</v>
      </c>
      <c r="R5" s="174">
        <v>0.5</v>
      </c>
      <c r="S5" s="174">
        <v>0.5</v>
      </c>
      <c r="U5" t="str">
        <f t="shared" si="1"/>
        <v>אבוקדו הודי</v>
      </c>
      <c r="V5" s="176">
        <v>3</v>
      </c>
      <c r="Y5" s="53" t="s">
        <v>537</v>
      </c>
      <c r="AB5" s="69" t="s">
        <v>809</v>
      </c>
      <c r="AD5">
        <f>COUNTIF(סקר!$AT$11:$AT$880,P5)</f>
        <v>0</v>
      </c>
      <c r="AF5">
        <f t="shared" si="0"/>
        <v>0</v>
      </c>
      <c r="AG5" s="252"/>
      <c r="AH5" s="124" t="s">
        <v>605</v>
      </c>
      <c r="AJ5" s="218" t="s">
        <v>848</v>
      </c>
      <c r="AK5" s="218"/>
      <c r="AL5" s="218"/>
      <c r="AM5" s="72" t="s">
        <v>835</v>
      </c>
      <c r="AY5" s="47" t="s">
        <v>271</v>
      </c>
      <c r="AZ5" s="106">
        <v>0.61</v>
      </c>
      <c r="BA5" s="106">
        <v>0.61</v>
      </c>
      <c r="BC5">
        <f t="shared" si="2"/>
        <v>0</v>
      </c>
      <c r="BD5" s="92">
        <v>3</v>
      </c>
    </row>
    <row r="6" spans="3:56" ht="51">
      <c r="P6" s="164" t="s">
        <v>861</v>
      </c>
      <c r="Q6" s="168" t="s">
        <v>1091</v>
      </c>
      <c r="R6" s="174">
        <v>0.5</v>
      </c>
      <c r="S6" s="174">
        <v>0.5</v>
      </c>
      <c r="U6" t="str">
        <f t="shared" si="1"/>
        <v>אבוקדו קנרי</v>
      </c>
      <c r="V6" s="176">
        <v>3</v>
      </c>
      <c r="Y6" s="53" t="s">
        <v>79</v>
      </c>
      <c r="AB6" s="69" t="s">
        <v>810</v>
      </c>
      <c r="AD6">
        <f>COUNTIF(סקר!$AT$11:$AT$880,P6)</f>
        <v>0</v>
      </c>
      <c r="AF6">
        <f t="shared" si="0"/>
        <v>0</v>
      </c>
      <c r="AG6" s="252"/>
      <c r="AH6" s="124" t="s">
        <v>625</v>
      </c>
      <c r="AJ6" s="218" t="s">
        <v>838</v>
      </c>
      <c r="AK6" s="218"/>
      <c r="AL6" s="218"/>
      <c r="AM6" s="72" t="s">
        <v>836</v>
      </c>
      <c r="AN6" s="150" t="s">
        <v>1345</v>
      </c>
      <c r="AY6" s="47" t="s">
        <v>17</v>
      </c>
      <c r="AZ6" s="106">
        <v>0.59</v>
      </c>
      <c r="BA6" s="106">
        <v>0.59</v>
      </c>
      <c r="BC6">
        <f t="shared" si="2"/>
        <v>0</v>
      </c>
      <c r="BD6" s="92">
        <v>3</v>
      </c>
    </row>
    <row r="7" spans="3:56" ht="32.25" thickBot="1">
      <c r="D7" s="7" t="s">
        <v>5</v>
      </c>
      <c r="E7" s="1"/>
      <c r="P7" s="164" t="s">
        <v>862</v>
      </c>
      <c r="Q7" s="168" t="s">
        <v>1092</v>
      </c>
      <c r="R7" s="174">
        <v>0.5</v>
      </c>
      <c r="S7" s="174">
        <v>0.5</v>
      </c>
      <c r="U7" t="str">
        <f t="shared" si="1"/>
        <v>אבוקדו קרוליני</v>
      </c>
      <c r="V7" s="176">
        <v>3</v>
      </c>
      <c r="Y7" s="53" t="s">
        <v>81</v>
      </c>
      <c r="AB7" s="69" t="s">
        <v>811</v>
      </c>
      <c r="AD7">
        <f>COUNTIF(סקר!$AT$11:$AT$880,P7)</f>
        <v>0</v>
      </c>
      <c r="AF7">
        <f t="shared" si="0"/>
        <v>0</v>
      </c>
      <c r="AG7" s="252"/>
      <c r="AH7" s="124" t="s">
        <v>627</v>
      </c>
      <c r="AJ7" s="218" t="s">
        <v>1344</v>
      </c>
      <c r="AK7" s="218"/>
      <c r="AL7" s="218"/>
      <c r="AM7" s="72" t="s">
        <v>836</v>
      </c>
      <c r="AN7" s="162"/>
      <c r="AY7" s="47" t="s">
        <v>15</v>
      </c>
      <c r="AZ7" s="106">
        <v>0.51</v>
      </c>
      <c r="BA7" s="106">
        <v>0.51</v>
      </c>
      <c r="BC7">
        <f t="shared" si="2"/>
        <v>0</v>
      </c>
      <c r="BD7" s="92">
        <v>3</v>
      </c>
    </row>
    <row r="8" spans="3:56" ht="32.25" customHeight="1" thickBot="1">
      <c r="D8" s="15">
        <v>25</v>
      </c>
      <c r="E8" s="2"/>
      <c r="L8" s="10"/>
      <c r="P8" s="163" t="s">
        <v>508</v>
      </c>
      <c r="Q8" s="169" t="s">
        <v>271</v>
      </c>
      <c r="R8" s="174">
        <v>0.61</v>
      </c>
      <c r="S8" s="174">
        <v>0.61</v>
      </c>
      <c r="U8" t="str">
        <f t="shared" si="1"/>
        <v>אגוז המלך</v>
      </c>
      <c r="V8" s="175">
        <v>3</v>
      </c>
      <c r="Y8" s="53" t="s">
        <v>301</v>
      </c>
      <c r="AB8" s="69" t="s">
        <v>850</v>
      </c>
      <c r="AD8">
        <f>COUNTIF(סקר!$AT$11:$AT$880,P8)</f>
        <v>0</v>
      </c>
      <c r="AF8">
        <f t="shared" si="0"/>
        <v>0</v>
      </c>
      <c r="AG8" s="252" t="s">
        <v>846</v>
      </c>
      <c r="AH8" s="124" t="s">
        <v>772</v>
      </c>
      <c r="AI8">
        <f t="shared" ref="AI8:AI14" si="3">VLOOKUP(AH8,$P$3:$S$509,3,FALSE)</f>
        <v>0.6</v>
      </c>
      <c r="AY8" s="47" t="s">
        <v>272</v>
      </c>
      <c r="AZ8" s="106">
        <v>0.67</v>
      </c>
      <c r="BA8" s="106">
        <v>0.67</v>
      </c>
      <c r="BC8">
        <f t="shared" si="2"/>
        <v>0</v>
      </c>
      <c r="BD8" s="92">
        <v>3</v>
      </c>
    </row>
    <row r="9" spans="3:56" ht="48" thickTop="1">
      <c r="C9" s="3"/>
      <c r="D9" s="9" t="s">
        <v>4</v>
      </c>
      <c r="E9" s="1"/>
      <c r="F9" s="9" t="s">
        <v>0</v>
      </c>
      <c r="G9" s="1"/>
      <c r="H9" s="9" t="s">
        <v>1</v>
      </c>
      <c r="I9" s="1"/>
      <c r="J9" s="9" t="s">
        <v>2</v>
      </c>
      <c r="K9" s="11"/>
      <c r="L9" s="13" t="s">
        <v>3</v>
      </c>
      <c r="P9" s="164" t="s">
        <v>863</v>
      </c>
      <c r="Q9" s="168" t="s">
        <v>1093</v>
      </c>
      <c r="R9" s="174">
        <v>0.6</v>
      </c>
      <c r="S9" s="174">
        <v>0.6</v>
      </c>
      <c r="U9" t="str">
        <f t="shared" si="1"/>
        <v>אגוז לבן</v>
      </c>
      <c r="V9" s="176">
        <v>3</v>
      </c>
      <c r="Y9" s="53" t="s">
        <v>546</v>
      </c>
      <c r="AB9" s="69"/>
      <c r="AD9">
        <f>COUNTIF(סקר!$AT$11:$AT$880,P9)</f>
        <v>0</v>
      </c>
      <c r="AF9">
        <f t="shared" si="0"/>
        <v>0</v>
      </c>
      <c r="AG9" s="252"/>
      <c r="AH9" s="125" t="s">
        <v>773</v>
      </c>
      <c r="AI9">
        <f t="shared" si="3"/>
        <v>0.62</v>
      </c>
      <c r="AY9" s="47" t="s">
        <v>19</v>
      </c>
      <c r="AZ9" s="106">
        <v>0.56000000000000005</v>
      </c>
      <c r="BA9" s="106">
        <v>0.56000000000000005</v>
      </c>
      <c r="BC9">
        <f t="shared" si="2"/>
        <v>0</v>
      </c>
      <c r="BD9" s="92">
        <v>3</v>
      </c>
    </row>
    <row r="10" spans="3:56" ht="26.25" customHeight="1" thickBot="1">
      <c r="C10" s="1"/>
      <c r="D10" s="4">
        <f>3.14*((D8/2)^2)</f>
        <v>490.625</v>
      </c>
      <c r="E10" s="6"/>
      <c r="F10" s="25">
        <f>VLOOKUP(F12,'ערך מין העץ 2018'!$A$3:$C$274,'ערך מין העץ 2018'!C$1,0)</f>
        <v>0.6</v>
      </c>
      <c r="G10" s="6"/>
      <c r="H10" s="16">
        <v>0.4</v>
      </c>
      <c r="I10" s="6"/>
      <c r="J10" s="16">
        <v>0.6</v>
      </c>
      <c r="K10" s="11"/>
      <c r="L10" s="12">
        <f>F10*D10*H10*J10*20</f>
        <v>1412.9999999999998</v>
      </c>
      <c r="P10" s="163" t="s">
        <v>16</v>
      </c>
      <c r="Q10" s="169" t="s">
        <v>17</v>
      </c>
      <c r="R10" s="174">
        <v>0.59</v>
      </c>
      <c r="S10" s="174">
        <v>0.59</v>
      </c>
      <c r="U10" t="str">
        <f t="shared" si="1"/>
        <v>אגוז שחור</v>
      </c>
      <c r="V10" s="175">
        <v>3</v>
      </c>
      <c r="Y10" s="53" t="s">
        <v>309</v>
      </c>
      <c r="AD10">
        <f>COUNTIF(סקר!$AT$11:$AT$880,P10)</f>
        <v>0</v>
      </c>
      <c r="AF10">
        <f t="shared" si="0"/>
        <v>0</v>
      </c>
      <c r="AG10" s="252"/>
      <c r="AH10" s="125" t="s">
        <v>775</v>
      </c>
      <c r="AI10">
        <f t="shared" si="3"/>
        <v>0.62</v>
      </c>
      <c r="AY10" s="47" t="s">
        <v>274</v>
      </c>
      <c r="AZ10" s="106">
        <v>0.47</v>
      </c>
      <c r="BA10" s="106">
        <v>0.47</v>
      </c>
      <c r="BC10">
        <f t="shared" si="2"/>
        <v>0</v>
      </c>
      <c r="BD10" s="92">
        <v>2</v>
      </c>
    </row>
    <row r="11" spans="3:56" ht="21" customHeight="1" thickTop="1">
      <c r="C11" s="1"/>
      <c r="F11" s="9" t="s">
        <v>491</v>
      </c>
      <c r="H11" s="1"/>
      <c r="I11" s="1"/>
      <c r="J11" s="1"/>
      <c r="N11">
        <v>0</v>
      </c>
      <c r="P11" s="163" t="s">
        <v>14</v>
      </c>
      <c r="Q11" s="169" t="s">
        <v>15</v>
      </c>
      <c r="R11" s="174">
        <v>0.51</v>
      </c>
      <c r="S11" s="174">
        <v>0.51</v>
      </c>
      <c r="U11" t="str">
        <f t="shared" si="1"/>
        <v>אגון גמיש</v>
      </c>
      <c r="V11" s="175">
        <v>3</v>
      </c>
      <c r="Y11" s="53" t="s">
        <v>547</v>
      </c>
      <c r="AD11">
        <f>COUNTIF(סקר!$AT$11:$AT$880,P11)</f>
        <v>0</v>
      </c>
      <c r="AF11">
        <f t="shared" si="0"/>
        <v>0</v>
      </c>
      <c r="AG11" s="252"/>
      <c r="AH11" s="125" t="s">
        <v>831</v>
      </c>
      <c r="AI11">
        <f t="shared" si="3"/>
        <v>0.53</v>
      </c>
      <c r="AY11" s="47" t="s">
        <v>276</v>
      </c>
      <c r="AZ11" s="106">
        <v>0.84</v>
      </c>
      <c r="BA11" s="106">
        <v>0.84</v>
      </c>
      <c r="BC11">
        <f t="shared" si="2"/>
        <v>0</v>
      </c>
      <c r="BD11" s="92">
        <v>4</v>
      </c>
    </row>
    <row r="12" spans="3:56" ht="21" customHeight="1">
      <c r="C12" s="1"/>
      <c r="E12" s="23" t="s">
        <v>492</v>
      </c>
      <c r="F12" s="26" t="s">
        <v>621</v>
      </c>
      <c r="H12" s="1"/>
      <c r="I12" s="1"/>
      <c r="J12" s="1"/>
      <c r="N12">
        <v>0.2</v>
      </c>
      <c r="P12" s="164" t="s">
        <v>864</v>
      </c>
      <c r="Q12" s="168" t="s">
        <v>1094</v>
      </c>
      <c r="R12" s="174">
        <v>0.5</v>
      </c>
      <c r="S12" s="174">
        <v>0.5</v>
      </c>
      <c r="U12" t="str">
        <f t="shared" si="1"/>
        <v>אגון גמיש ארגמני</v>
      </c>
      <c r="V12" s="176">
        <v>3</v>
      </c>
      <c r="Y12" s="53" t="s">
        <v>548</v>
      </c>
      <c r="AD12">
        <f>COUNTIF(סקר!$AT$11:$AT$880,P12)</f>
        <v>0</v>
      </c>
      <c r="AF12">
        <f t="shared" si="0"/>
        <v>0</v>
      </c>
      <c r="AG12" s="252"/>
      <c r="AH12" s="125" t="s">
        <v>1348</v>
      </c>
      <c r="AI12">
        <f t="shared" si="3"/>
        <v>0.5</v>
      </c>
      <c r="AY12" s="47" t="s">
        <v>633</v>
      </c>
      <c r="AZ12" s="106">
        <v>0.62</v>
      </c>
      <c r="BA12" s="106">
        <v>0.62</v>
      </c>
      <c r="BC12">
        <f t="shared" si="2"/>
        <v>0</v>
      </c>
      <c r="BD12" s="92">
        <v>3</v>
      </c>
    </row>
    <row r="13" spans="3:56" ht="47.25">
      <c r="C13" s="1"/>
      <c r="D13" s="1"/>
      <c r="F13" s="1">
        <v>2018</v>
      </c>
      <c r="H13" s="1"/>
      <c r="I13" s="1"/>
      <c r="J13" s="1">
        <f>4*0.2</f>
        <v>0.8</v>
      </c>
      <c r="N13">
        <v>0.4</v>
      </c>
      <c r="P13" s="164" t="s">
        <v>865</v>
      </c>
      <c r="Q13" s="168" t="s">
        <v>1095</v>
      </c>
      <c r="R13" s="174">
        <v>0.55000000000000004</v>
      </c>
      <c r="S13" s="174">
        <v>0.55000000000000004</v>
      </c>
      <c r="U13" t="str">
        <f t="shared" si="1"/>
        <v>אגס אוסורי</v>
      </c>
      <c r="V13" s="176">
        <v>3</v>
      </c>
      <c r="Y13" s="53" t="s">
        <v>312</v>
      </c>
      <c r="AD13">
        <f>COUNTIF(סקר!$AT$11:$AT$880,P13)</f>
        <v>0</v>
      </c>
      <c r="AF13">
        <f t="shared" si="0"/>
        <v>0</v>
      </c>
      <c r="AG13" s="252"/>
      <c r="AH13" s="125" t="s">
        <v>781</v>
      </c>
      <c r="AI13">
        <f t="shared" si="3"/>
        <v>0.54</v>
      </c>
      <c r="AY13" s="47" t="s">
        <v>634</v>
      </c>
      <c r="AZ13" s="106">
        <v>0.47</v>
      </c>
      <c r="BA13" s="106">
        <v>0.47</v>
      </c>
      <c r="BC13">
        <f t="shared" si="2"/>
        <v>0</v>
      </c>
      <c r="BD13" s="92">
        <v>2</v>
      </c>
    </row>
    <row r="14" spans="3:56" ht="31.5">
      <c r="C14" s="1"/>
      <c r="D14" s="1"/>
      <c r="H14" s="1"/>
      <c r="I14" s="1"/>
      <c r="J14" s="1"/>
      <c r="N14">
        <v>0.6</v>
      </c>
      <c r="P14" s="163" t="s">
        <v>509</v>
      </c>
      <c r="Q14" s="169" t="s">
        <v>272</v>
      </c>
      <c r="R14" s="174">
        <v>0.67</v>
      </c>
      <c r="S14" s="174">
        <v>0.67</v>
      </c>
      <c r="U14" t="str">
        <f t="shared" si="1"/>
        <v>אגס סורי</v>
      </c>
      <c r="V14" s="175">
        <v>3</v>
      </c>
      <c r="Y14" s="53" t="s">
        <v>549</v>
      </c>
      <c r="AD14">
        <f>COUNTIF(סקר!$AT$11:$AT$880,P14)</f>
        <v>0</v>
      </c>
      <c r="AF14">
        <f t="shared" si="0"/>
        <v>0</v>
      </c>
      <c r="AG14" s="252"/>
      <c r="AH14" s="125" t="s">
        <v>123</v>
      </c>
      <c r="AI14">
        <f t="shared" si="3"/>
        <v>0.5</v>
      </c>
      <c r="AY14" s="47" t="s">
        <v>21</v>
      </c>
      <c r="AZ14" s="106">
        <v>0.46</v>
      </c>
      <c r="BA14" s="106">
        <v>0.46</v>
      </c>
      <c r="BC14">
        <f t="shared" si="2"/>
        <v>0</v>
      </c>
      <c r="BD14" s="92">
        <v>2</v>
      </c>
    </row>
    <row r="15" spans="3:56" ht="47.25">
      <c r="C15" s="1"/>
      <c r="D15" s="1"/>
      <c r="E15" s="1"/>
      <c r="F15" s="1"/>
      <c r="G15" s="1"/>
      <c r="H15" s="1"/>
      <c r="I15" s="1"/>
      <c r="J15" s="1"/>
      <c r="N15">
        <v>0.8</v>
      </c>
      <c r="P15" s="164" t="s">
        <v>866</v>
      </c>
      <c r="Q15" s="168" t="s">
        <v>1096</v>
      </c>
      <c r="R15" s="174">
        <v>0.4</v>
      </c>
      <c r="S15" s="174">
        <v>0.4</v>
      </c>
      <c r="U15" t="str">
        <f t="shared" si="1"/>
        <v>אגס ערבתי</v>
      </c>
      <c r="V15" s="176">
        <v>2</v>
      </c>
      <c r="Y15" s="53" t="s">
        <v>550</v>
      </c>
      <c r="AD15">
        <f>COUNTIF(סקר!$AT$11:$AT$880,P15)</f>
        <v>0</v>
      </c>
      <c r="AF15">
        <f t="shared" si="0"/>
        <v>0</v>
      </c>
      <c r="AG15" s="252"/>
      <c r="AH15" s="125" t="s">
        <v>125</v>
      </c>
      <c r="AI15">
        <f t="shared" ref="AI15:AI16" si="4">VLOOKUP(AH15,$P$3:$S$509,3,FALSE)</f>
        <v>0.35</v>
      </c>
      <c r="AY15" s="47" t="s">
        <v>635</v>
      </c>
      <c r="AZ15" s="106">
        <v>0.68</v>
      </c>
      <c r="BA15" s="106">
        <v>0.68</v>
      </c>
      <c r="BC15">
        <f t="shared" si="2"/>
        <v>0</v>
      </c>
      <c r="BD15" s="92">
        <v>3</v>
      </c>
    </row>
    <row r="16" spans="3:56" ht="47.25">
      <c r="C16" s="1"/>
      <c r="D16" s="1"/>
      <c r="E16" s="1"/>
      <c r="F16" s="5"/>
      <c r="G16" s="1"/>
      <c r="H16" s="1"/>
      <c r="I16" s="1"/>
      <c r="J16" s="1"/>
      <c r="N16">
        <v>1</v>
      </c>
      <c r="P16" s="163" t="s">
        <v>510</v>
      </c>
      <c r="Q16" s="169" t="s">
        <v>19</v>
      </c>
      <c r="R16" s="174">
        <v>0.56000000000000005</v>
      </c>
      <c r="S16" s="174">
        <v>0.56000000000000005</v>
      </c>
      <c r="U16" t="str">
        <f t="shared" si="1"/>
        <v>אגס קלרי</v>
      </c>
      <c r="V16" s="175">
        <v>3</v>
      </c>
      <c r="Y16" s="53" t="s">
        <v>597</v>
      </c>
      <c r="AD16">
        <f>COUNTIF(סקר!$AT$11:$AT$880,P16)</f>
        <v>0</v>
      </c>
      <c r="AF16">
        <f t="shared" si="0"/>
        <v>0</v>
      </c>
      <c r="AG16" s="252"/>
      <c r="AH16" s="125" t="s">
        <v>784</v>
      </c>
      <c r="AI16">
        <f t="shared" si="4"/>
        <v>0.57999999999999996</v>
      </c>
      <c r="AY16" s="47" t="s">
        <v>23</v>
      </c>
      <c r="AZ16" s="106">
        <v>0.85</v>
      </c>
      <c r="BA16" s="106">
        <v>0.85</v>
      </c>
      <c r="BC16">
        <f t="shared" si="2"/>
        <v>0</v>
      </c>
      <c r="BD16" s="92">
        <v>4</v>
      </c>
    </row>
    <row r="17" spans="3:56" ht="31.5">
      <c r="C17" s="1"/>
      <c r="D17" s="1"/>
      <c r="E17" s="1"/>
      <c r="F17" s="1"/>
      <c r="G17" s="1"/>
      <c r="H17" s="1"/>
      <c r="I17" s="1"/>
      <c r="J17" s="1"/>
      <c r="P17" s="164" t="s">
        <v>867</v>
      </c>
      <c r="Q17" s="168" t="s">
        <v>1097</v>
      </c>
      <c r="R17" s="174">
        <v>0.55000000000000004</v>
      </c>
      <c r="S17" s="174">
        <v>0.55000000000000004</v>
      </c>
      <c r="U17" t="str">
        <f t="shared" si="1"/>
        <v>אגס שקדי</v>
      </c>
      <c r="V17" s="176">
        <v>3</v>
      </c>
      <c r="Y17" s="55" t="s">
        <v>226</v>
      </c>
      <c r="AD17">
        <f>COUNTIF(סקר!$AT$11:$AT$880,P17)</f>
        <v>0</v>
      </c>
      <c r="AF17">
        <f t="shared" si="0"/>
        <v>0</v>
      </c>
      <c r="AG17" s="252"/>
      <c r="AH17" s="125" t="s">
        <v>786</v>
      </c>
      <c r="AI17">
        <f>VLOOKUP(AH17,$P$3:$S$509,3,FALSE)</f>
        <v>0.69</v>
      </c>
      <c r="AY17" s="47" t="s">
        <v>277</v>
      </c>
      <c r="AZ17" s="106">
        <v>0.62</v>
      </c>
      <c r="BA17" s="106">
        <v>0.62</v>
      </c>
      <c r="BC17">
        <f t="shared" si="2"/>
        <v>0</v>
      </c>
      <c r="BD17" s="92">
        <v>3</v>
      </c>
    </row>
    <row r="18" spans="3:56" ht="15.75" customHeight="1">
      <c r="C18" s="1"/>
      <c r="D18" s="1"/>
      <c r="E18" s="1"/>
      <c r="F18" s="1"/>
      <c r="G18" s="1"/>
      <c r="H18" s="1"/>
      <c r="I18" s="1"/>
      <c r="J18" s="1"/>
      <c r="P18" s="163" t="s">
        <v>273</v>
      </c>
      <c r="Q18" s="169" t="s">
        <v>274</v>
      </c>
      <c r="R18" s="174">
        <v>0.47</v>
      </c>
      <c r="S18" s="174">
        <v>0.47</v>
      </c>
      <c r="U18" t="str">
        <f t="shared" si="1"/>
        <v>אגס תרבותי</v>
      </c>
      <c r="V18" s="175">
        <v>2</v>
      </c>
      <c r="Y18" s="53"/>
      <c r="AD18">
        <f>COUNTIF(סקר!$AT$11:$AT$880,P18)</f>
        <v>0</v>
      </c>
      <c r="AF18">
        <f t="shared" si="0"/>
        <v>0</v>
      </c>
      <c r="AG18" s="252"/>
      <c r="AH18" s="125" t="s">
        <v>151</v>
      </c>
      <c r="AI18">
        <f t="shared" ref="AI18:AI33" si="5">VLOOKUP(AH18,$P$3:$S$509,3,FALSE)</f>
        <v>0.6</v>
      </c>
      <c r="AY18" s="47" t="s">
        <v>636</v>
      </c>
      <c r="AZ18" s="106">
        <v>0.57999999999999996</v>
      </c>
      <c r="BA18" s="106">
        <v>0.57999999999999996</v>
      </c>
      <c r="BC18">
        <f t="shared" si="2"/>
        <v>0</v>
      </c>
      <c r="BD18" s="92">
        <v>3</v>
      </c>
    </row>
    <row r="19" spans="3:56" ht="15.75" customHeight="1">
      <c r="C19" s="1"/>
      <c r="D19" s="1"/>
      <c r="E19" s="1"/>
      <c r="F19" s="1"/>
      <c r="G19" s="1"/>
      <c r="H19" s="1"/>
      <c r="I19" s="1"/>
      <c r="J19" s="1"/>
      <c r="P19" s="163" t="s">
        <v>275</v>
      </c>
      <c r="Q19" s="169" t="s">
        <v>276</v>
      </c>
      <c r="R19" s="174">
        <v>0.84</v>
      </c>
      <c r="S19" s="174">
        <v>0.84</v>
      </c>
      <c r="U19" t="str">
        <f t="shared" si="1"/>
        <v>אדנסוניה מאוצבעת</v>
      </c>
      <c r="V19" s="175">
        <v>4</v>
      </c>
      <c r="Y19" s="72"/>
      <c r="AD19">
        <f>COUNTIF(סקר!$AT$11:$AT$880,P19)</f>
        <v>0</v>
      </c>
      <c r="AF19">
        <f t="shared" si="0"/>
        <v>0</v>
      </c>
      <c r="AG19" s="252"/>
      <c r="AH19" s="125" t="s">
        <v>174</v>
      </c>
      <c r="AI19">
        <f t="shared" si="5"/>
        <v>0.61</v>
      </c>
      <c r="AY19" s="47" t="s">
        <v>637</v>
      </c>
      <c r="AZ19" s="106">
        <v>0.48</v>
      </c>
      <c r="BA19" s="106">
        <v>0.48</v>
      </c>
      <c r="BC19">
        <f t="shared" si="2"/>
        <v>0</v>
      </c>
      <c r="BD19" s="92">
        <v>2</v>
      </c>
    </row>
    <row r="20" spans="3:56" ht="15.75" customHeight="1">
      <c r="C20" s="1"/>
      <c r="D20" s="1"/>
      <c r="E20" s="1"/>
      <c r="F20" s="1"/>
      <c r="G20" s="1"/>
      <c r="H20" s="1"/>
      <c r="I20" s="1"/>
      <c r="J20" s="1"/>
      <c r="P20" s="164" t="s">
        <v>868</v>
      </c>
      <c r="Q20" s="168" t="s">
        <v>1098</v>
      </c>
      <c r="R20" s="174">
        <v>0.6</v>
      </c>
      <c r="S20" s="174">
        <v>0.6</v>
      </c>
      <c r="U20" t="str">
        <f t="shared" si="1"/>
        <v>אדר אדום</v>
      </c>
      <c r="V20" s="176">
        <v>3</v>
      </c>
      <c r="Y20" s="72"/>
      <c r="AD20">
        <f>COUNTIF(סקר!$AT$11:$AT$880,P20)</f>
        <v>0</v>
      </c>
      <c r="AF20">
        <f t="shared" si="0"/>
        <v>0</v>
      </c>
      <c r="AG20" s="252"/>
      <c r="AH20" s="125" t="s">
        <v>789</v>
      </c>
      <c r="AI20">
        <f t="shared" si="5"/>
        <v>0.42</v>
      </c>
      <c r="AY20" s="47" t="s">
        <v>638</v>
      </c>
      <c r="AZ20" s="106">
        <v>0.54</v>
      </c>
      <c r="BA20" s="106">
        <v>0.54</v>
      </c>
      <c r="BC20">
        <f t="shared" si="2"/>
        <v>0</v>
      </c>
      <c r="BD20" s="92">
        <v>3</v>
      </c>
    </row>
    <row r="21" spans="3:56" ht="31.5">
      <c r="P21" s="163" t="s">
        <v>511</v>
      </c>
      <c r="Q21" s="169" t="s">
        <v>633</v>
      </c>
      <c r="R21" s="174">
        <v>0.62</v>
      </c>
      <c r="S21" s="174">
        <v>0.62</v>
      </c>
      <c r="U21" t="str">
        <f t="shared" si="1"/>
        <v>אדר ברגר</v>
      </c>
      <c r="V21" s="175">
        <v>3</v>
      </c>
      <c r="Y21" s="72"/>
      <c r="AD21">
        <f>COUNTIF(סקר!$AT$11:$AT$880,P21)</f>
        <v>0</v>
      </c>
      <c r="AF21">
        <f t="shared" si="0"/>
        <v>0</v>
      </c>
      <c r="AG21" s="252"/>
      <c r="AH21" s="125" t="s">
        <v>790</v>
      </c>
      <c r="AI21">
        <f t="shared" si="5"/>
        <v>0.56000000000000005</v>
      </c>
      <c r="AY21" s="47" t="s">
        <v>639</v>
      </c>
      <c r="AZ21" s="106">
        <v>0.5</v>
      </c>
      <c r="BA21" s="106">
        <v>0.5</v>
      </c>
      <c r="BC21">
        <f t="shared" si="2"/>
        <v>0</v>
      </c>
      <c r="BD21" s="92">
        <v>3</v>
      </c>
    </row>
    <row r="22" spans="3:56" ht="47.25">
      <c r="P22" s="164" t="s">
        <v>869</v>
      </c>
      <c r="Q22" s="168" t="s">
        <v>1099</v>
      </c>
      <c r="R22" s="174">
        <v>0.65</v>
      </c>
      <c r="S22" s="174">
        <v>0.65</v>
      </c>
      <c r="U22" t="str">
        <f t="shared" si="1"/>
        <v>אדר גדול-עלים</v>
      </c>
      <c r="V22" s="176">
        <v>3</v>
      </c>
      <c r="Y22" s="72"/>
      <c r="AD22">
        <f>COUNTIF(סקר!$AT$11:$AT$880,P22)</f>
        <v>0</v>
      </c>
      <c r="AF22">
        <f t="shared" si="0"/>
        <v>0</v>
      </c>
      <c r="AG22" s="252"/>
      <c r="AH22" s="125" t="s">
        <v>792</v>
      </c>
      <c r="AI22">
        <f t="shared" si="5"/>
        <v>0.52</v>
      </c>
      <c r="AY22" s="47" t="s">
        <v>278</v>
      </c>
      <c r="AZ22" s="106">
        <v>0.71</v>
      </c>
      <c r="BA22" s="106">
        <v>0.71</v>
      </c>
      <c r="BC22">
        <f t="shared" si="2"/>
        <v>0</v>
      </c>
      <c r="BD22" s="92">
        <v>4</v>
      </c>
    </row>
    <row r="23" spans="3:56" ht="12.75" customHeight="1">
      <c r="P23" s="164" t="s">
        <v>870</v>
      </c>
      <c r="Q23" s="168" t="s">
        <v>1100</v>
      </c>
      <c r="R23" s="174">
        <v>0.45</v>
      </c>
      <c r="S23" s="174">
        <v>0.45</v>
      </c>
      <c r="U23" t="str">
        <f t="shared" si="1"/>
        <v>אדר דולבני</v>
      </c>
      <c r="V23" s="176">
        <v>4</v>
      </c>
      <c r="Y23" s="72"/>
      <c r="AD23">
        <f>COUNTIF(סקר!$AT$11:$AT$880,P23)</f>
        <v>0</v>
      </c>
      <c r="AF23">
        <f t="shared" si="0"/>
        <v>0</v>
      </c>
      <c r="AG23" s="252"/>
      <c r="AH23" s="125" t="s">
        <v>984</v>
      </c>
      <c r="AI23">
        <f t="shared" si="5"/>
        <v>0.45</v>
      </c>
      <c r="AY23" s="47" t="s">
        <v>279</v>
      </c>
      <c r="AZ23" s="106">
        <v>0.82</v>
      </c>
      <c r="BA23" s="106">
        <v>0.82</v>
      </c>
      <c r="BC23">
        <f t="shared" si="2"/>
        <v>0</v>
      </c>
      <c r="BD23" s="92">
        <v>4</v>
      </c>
    </row>
    <row r="24" spans="3:56" ht="13.5" customHeight="1">
      <c r="P24" s="164" t="s">
        <v>871</v>
      </c>
      <c r="Q24" s="168" t="s">
        <v>1101</v>
      </c>
      <c r="R24" s="174">
        <v>0.45</v>
      </c>
      <c r="S24" s="174">
        <v>0.45</v>
      </c>
      <c r="U24" t="str">
        <f t="shared" si="1"/>
        <v>אדר דמוי-דולב</v>
      </c>
      <c r="V24" s="176">
        <v>4</v>
      </c>
      <c r="Y24" s="72"/>
      <c r="AD24">
        <f>COUNTIF(סקר!$AT$11:$AT$880,P24)</f>
        <v>0</v>
      </c>
      <c r="AF24">
        <f t="shared" si="0"/>
        <v>0</v>
      </c>
      <c r="AG24" s="252"/>
      <c r="AH24" s="125" t="s">
        <v>795</v>
      </c>
      <c r="AI24">
        <f t="shared" si="5"/>
        <v>0.57999999999999996</v>
      </c>
      <c r="AY24" s="47" t="s">
        <v>640</v>
      </c>
      <c r="AZ24" s="106">
        <v>0.57999999999999996</v>
      </c>
      <c r="BA24" s="106">
        <v>0.57999999999999996</v>
      </c>
      <c r="BC24">
        <f t="shared" si="2"/>
        <v>0</v>
      </c>
      <c r="BD24" s="92">
        <v>3</v>
      </c>
    </row>
    <row r="25" spans="3:56" ht="47.25">
      <c r="P25" s="163" t="s">
        <v>512</v>
      </c>
      <c r="Q25" s="169" t="s">
        <v>634</v>
      </c>
      <c r="R25" s="174">
        <v>0.47</v>
      </c>
      <c r="S25" s="174">
        <v>0.47</v>
      </c>
      <c r="U25" t="str">
        <f t="shared" si="1"/>
        <v>אדר כפני</v>
      </c>
      <c r="V25" s="175">
        <v>2</v>
      </c>
      <c r="Y25" s="72"/>
      <c r="AD25">
        <f>COUNTIF(סקר!$AT$11:$AT$880,P25)</f>
        <v>0</v>
      </c>
      <c r="AF25">
        <f t="shared" si="0"/>
        <v>0</v>
      </c>
      <c r="AG25" s="252"/>
      <c r="AH25" s="125" t="s">
        <v>797</v>
      </c>
      <c r="AI25">
        <f t="shared" si="5"/>
        <v>0.44</v>
      </c>
      <c r="AY25" s="47" t="s">
        <v>29</v>
      </c>
      <c r="AZ25" s="106">
        <v>0.51</v>
      </c>
      <c r="BA25" s="106">
        <v>0.51</v>
      </c>
      <c r="BC25">
        <f t="shared" si="2"/>
        <v>0</v>
      </c>
      <c r="BD25" s="92">
        <v>3</v>
      </c>
    </row>
    <row r="26" spans="3:56" ht="47.25">
      <c r="P26" s="163" t="s">
        <v>20</v>
      </c>
      <c r="Q26" s="169" t="s">
        <v>21</v>
      </c>
      <c r="R26" s="174">
        <v>0.46</v>
      </c>
      <c r="S26" s="174">
        <v>0.46</v>
      </c>
      <c r="U26" t="str">
        <f t="shared" si="1"/>
        <v>אדר מילני</v>
      </c>
      <c r="V26" s="175">
        <v>2</v>
      </c>
      <c r="Y26" s="72"/>
      <c r="AD26">
        <f>COUNTIF(סקר!$AT$11:$AT$880,P26)</f>
        <v>0</v>
      </c>
      <c r="AF26">
        <f t="shared" si="0"/>
        <v>0</v>
      </c>
      <c r="AG26" s="252"/>
      <c r="AH26" s="125" t="s">
        <v>264</v>
      </c>
      <c r="AI26">
        <f t="shared" si="5"/>
        <v>0.71</v>
      </c>
      <c r="AY26" s="47" t="s">
        <v>31</v>
      </c>
      <c r="AZ26" s="106">
        <v>0.67</v>
      </c>
      <c r="BA26" s="106">
        <v>0.67</v>
      </c>
      <c r="BC26">
        <f t="shared" si="2"/>
        <v>0</v>
      </c>
      <c r="BD26" s="92">
        <v>3</v>
      </c>
    </row>
    <row r="27" spans="3:56" ht="31.5">
      <c r="P27" s="163" t="s">
        <v>513</v>
      </c>
      <c r="Q27" s="169" t="s">
        <v>635</v>
      </c>
      <c r="R27" s="174">
        <v>0.68</v>
      </c>
      <c r="S27" s="174">
        <v>0.68</v>
      </c>
      <c r="U27" t="str">
        <f t="shared" si="1"/>
        <v>אדר מצוי</v>
      </c>
      <c r="V27" s="175">
        <v>3</v>
      </c>
      <c r="Y27" s="72"/>
      <c r="AD27">
        <f>COUNTIF(סקר!$AT$11:$AT$880,P27)</f>
        <v>0</v>
      </c>
      <c r="AF27">
        <f t="shared" si="0"/>
        <v>0</v>
      </c>
      <c r="AG27" s="252"/>
      <c r="AH27" s="125" t="s">
        <v>799</v>
      </c>
      <c r="AI27">
        <f t="shared" si="5"/>
        <v>0.6</v>
      </c>
      <c r="AY27" s="47" t="s">
        <v>280</v>
      </c>
      <c r="AZ27" s="106">
        <v>0.66</v>
      </c>
      <c r="BA27" s="106">
        <v>0.66</v>
      </c>
      <c r="BC27">
        <f t="shared" si="2"/>
        <v>0</v>
      </c>
      <c r="BD27" s="92">
        <v>3</v>
      </c>
    </row>
    <row r="28" spans="3:56" ht="47.25">
      <c r="P28" s="163" t="s">
        <v>22</v>
      </c>
      <c r="Q28" s="169" t="s">
        <v>23</v>
      </c>
      <c r="R28" s="174">
        <v>0.85</v>
      </c>
      <c r="S28" s="174">
        <v>0.85</v>
      </c>
      <c r="U28" t="str">
        <f t="shared" si="1"/>
        <v>אדר סורי</v>
      </c>
      <c r="V28" s="175">
        <v>4</v>
      </c>
      <c r="Y28" s="72"/>
      <c r="AD28">
        <f>COUNTIF(סקר!$AT$11:$AT$880,P28)</f>
        <v>0</v>
      </c>
      <c r="AF28">
        <f t="shared" si="0"/>
        <v>0</v>
      </c>
      <c r="AG28" s="252"/>
      <c r="AH28" s="125" t="s">
        <v>801</v>
      </c>
      <c r="AI28">
        <f t="shared" si="5"/>
        <v>0.42</v>
      </c>
      <c r="AY28" s="47" t="s">
        <v>281</v>
      </c>
      <c r="AZ28" s="106">
        <v>0.26</v>
      </c>
      <c r="BA28" s="106">
        <v>0.26</v>
      </c>
      <c r="BC28">
        <f t="shared" si="2"/>
        <v>0</v>
      </c>
      <c r="BD28" s="92">
        <v>1</v>
      </c>
    </row>
    <row r="29" spans="3:56" ht="47.25">
      <c r="P29" s="163" t="s">
        <v>514</v>
      </c>
      <c r="Q29" s="169" t="s">
        <v>277</v>
      </c>
      <c r="R29" s="174">
        <v>0.62</v>
      </c>
      <c r="S29" s="174">
        <v>0.62</v>
      </c>
      <c r="U29" t="str">
        <f t="shared" si="1"/>
        <v>אוג אזמלני</v>
      </c>
      <c r="V29" s="175">
        <v>3</v>
      </c>
      <c r="Y29" s="72"/>
      <c r="AD29">
        <f>COUNTIF(סקר!$AT$11:$AT$880,P29)</f>
        <v>0</v>
      </c>
      <c r="AF29">
        <f t="shared" si="0"/>
        <v>0</v>
      </c>
      <c r="AG29" s="252"/>
      <c r="AH29" s="144" t="s">
        <v>983</v>
      </c>
      <c r="AI29">
        <f t="shared" si="5"/>
        <v>0.3</v>
      </c>
      <c r="AY29" s="47" t="s">
        <v>36</v>
      </c>
      <c r="AZ29" s="106">
        <v>0</v>
      </c>
      <c r="BA29" s="106">
        <v>0</v>
      </c>
      <c r="BC29">
        <f t="shared" si="2"/>
        <v>0</v>
      </c>
      <c r="BD29" s="92">
        <v>0</v>
      </c>
    </row>
    <row r="30" spans="3:56" ht="31.5">
      <c r="P30" s="163" t="s">
        <v>515</v>
      </c>
      <c r="Q30" s="169" t="s">
        <v>1102</v>
      </c>
      <c r="R30" s="174">
        <v>0.57999999999999996</v>
      </c>
      <c r="S30" s="174">
        <v>0.57999999999999996</v>
      </c>
      <c r="U30" t="str">
        <f t="shared" si="1"/>
        <v>אוג הבורסקאים</v>
      </c>
      <c r="V30" s="175">
        <v>3</v>
      </c>
      <c r="Y30" s="72"/>
      <c r="AD30">
        <f>COUNTIF(סקר!$AT$11:$AT$880,P30)</f>
        <v>0</v>
      </c>
      <c r="AF30">
        <f t="shared" si="0"/>
        <v>0</v>
      </c>
      <c r="AG30" s="252"/>
      <c r="AH30" s="145" t="s">
        <v>116</v>
      </c>
      <c r="AI30">
        <f t="shared" si="5"/>
        <v>0.8</v>
      </c>
      <c r="AY30" s="47" t="s">
        <v>283</v>
      </c>
      <c r="AZ30" s="106">
        <v>0.5</v>
      </c>
      <c r="BA30" s="106">
        <v>0.5</v>
      </c>
      <c r="BC30">
        <f t="shared" si="2"/>
        <v>0</v>
      </c>
      <c r="BD30" s="92">
        <v>3</v>
      </c>
    </row>
    <row r="31" spans="3:56" ht="15.75">
      <c r="P31" s="163" t="s">
        <v>516</v>
      </c>
      <c r="Q31" s="169" t="s">
        <v>637</v>
      </c>
      <c r="R31" s="174">
        <v>0.48</v>
      </c>
      <c r="S31" s="174">
        <v>0.48</v>
      </c>
      <c r="U31" t="str">
        <f t="shared" si="1"/>
        <v>אוג הדונג</v>
      </c>
      <c r="V31" s="175">
        <v>2</v>
      </c>
      <c r="Y31" s="72"/>
      <c r="AD31">
        <f>COUNTIF(סקר!$AT$11:$AT$880,P31)</f>
        <v>0</v>
      </c>
      <c r="AF31">
        <f t="shared" si="0"/>
        <v>0</v>
      </c>
      <c r="AG31" s="252"/>
      <c r="AH31" t="s">
        <v>1062</v>
      </c>
      <c r="AI31">
        <f t="shared" si="5"/>
        <v>0.3</v>
      </c>
      <c r="AY31" s="48" t="s">
        <v>641</v>
      </c>
      <c r="AZ31" s="106">
        <v>0.64</v>
      </c>
      <c r="BA31" s="106">
        <v>0.64</v>
      </c>
      <c r="BC31">
        <f t="shared" si="2"/>
        <v>0</v>
      </c>
      <c r="BD31" s="92">
        <v>3</v>
      </c>
    </row>
    <row r="32" spans="3:56" ht="63">
      <c r="P32" s="163" t="s">
        <v>517</v>
      </c>
      <c r="Q32" s="169" t="s">
        <v>638</v>
      </c>
      <c r="R32" s="174">
        <v>0.54</v>
      </c>
      <c r="S32" s="174">
        <v>0.54</v>
      </c>
      <c r="U32" t="str">
        <f t="shared" si="1"/>
        <v>אוג הקופל</v>
      </c>
      <c r="V32" s="175">
        <v>3</v>
      </c>
      <c r="Y32" s="72"/>
      <c r="AD32">
        <f>COUNTIF(סקר!$AT$11:$AT$880,P32)</f>
        <v>0</v>
      </c>
      <c r="AF32">
        <f t="shared" si="0"/>
        <v>0</v>
      </c>
      <c r="AG32" s="252"/>
      <c r="AH32" s="144" t="s">
        <v>994</v>
      </c>
      <c r="AI32" t="e">
        <f t="shared" si="5"/>
        <v>#N/A</v>
      </c>
      <c r="AY32" s="47" t="s">
        <v>284</v>
      </c>
      <c r="AZ32" s="106">
        <v>0.56000000000000005</v>
      </c>
      <c r="BA32" s="106">
        <v>0.56000000000000005</v>
      </c>
      <c r="BC32">
        <f t="shared" si="2"/>
        <v>0</v>
      </c>
      <c r="BD32" s="92">
        <v>3</v>
      </c>
    </row>
    <row r="33" spans="16:56" ht="47.25">
      <c r="P33" s="164" t="s">
        <v>872</v>
      </c>
      <c r="Q33" s="169" t="s">
        <v>1103</v>
      </c>
      <c r="R33" s="174">
        <v>0.46</v>
      </c>
      <c r="S33" s="174">
        <v>0.46</v>
      </c>
      <c r="U33" t="str">
        <f t="shared" si="1"/>
        <v>אוג תמים</v>
      </c>
      <c r="V33" s="176">
        <v>4</v>
      </c>
      <c r="Y33" s="72"/>
      <c r="AD33">
        <f>COUNTIF(סקר!$AT$11:$AT$880,P33)</f>
        <v>0</v>
      </c>
      <c r="AF33">
        <f t="shared" si="0"/>
        <v>0</v>
      </c>
      <c r="AG33" s="252"/>
      <c r="AH33" s="144" t="s">
        <v>995</v>
      </c>
      <c r="AI33" t="e">
        <f t="shared" si="5"/>
        <v>#N/A</v>
      </c>
      <c r="AY33" s="47" t="s">
        <v>297</v>
      </c>
      <c r="AZ33" s="106">
        <v>0.67</v>
      </c>
      <c r="BA33" s="106">
        <v>0.67</v>
      </c>
      <c r="BC33">
        <f t="shared" si="2"/>
        <v>0</v>
      </c>
      <c r="BD33" s="92">
        <v>3</v>
      </c>
    </row>
    <row r="34" spans="16:56" ht="15.75">
      <c r="P34" s="163" t="s">
        <v>518</v>
      </c>
      <c r="Q34" s="169" t="s">
        <v>639</v>
      </c>
      <c r="R34" s="174">
        <v>0.5</v>
      </c>
      <c r="S34" s="174">
        <v>0.5</v>
      </c>
      <c r="U34" t="str">
        <f t="shared" si="1"/>
        <v>אוגניה חד-פרחית</v>
      </c>
      <c r="V34" s="175">
        <v>3</v>
      </c>
      <c r="Y34" s="72"/>
      <c r="AD34">
        <f>COUNTIF(סקר!$AT$11:$AT$880,P34)</f>
        <v>0</v>
      </c>
      <c r="AF34">
        <f t="shared" si="0"/>
        <v>0</v>
      </c>
      <c r="AG34" s="252"/>
      <c r="AY34" s="48" t="s">
        <v>642</v>
      </c>
      <c r="AZ34" s="106">
        <v>0.6</v>
      </c>
      <c r="BA34" s="106">
        <v>0.6</v>
      </c>
      <c r="BC34">
        <f t="shared" si="2"/>
        <v>0</v>
      </c>
      <c r="BD34" s="92">
        <v>3</v>
      </c>
    </row>
    <row r="35" spans="16:56" ht="47.25">
      <c r="P35" s="164" t="s">
        <v>873</v>
      </c>
      <c r="Q35" s="170" t="s">
        <v>1104</v>
      </c>
      <c r="R35" s="174">
        <v>0.37</v>
      </c>
      <c r="S35" s="174">
        <v>0.37</v>
      </c>
      <c r="U35" t="str">
        <f t="shared" si="1"/>
        <v>אוכנה מסורית</v>
      </c>
      <c r="V35" s="176">
        <v>4</v>
      </c>
      <c r="Y35" s="72"/>
      <c r="AD35">
        <f>COUNTIF(סקר!$AT$11:$AT$880,P35)</f>
        <v>0</v>
      </c>
      <c r="AF35">
        <f t="shared" ref="AF35:AF66" si="6">IF(AD35&gt;0,U35,0)</f>
        <v>0</v>
      </c>
      <c r="AY35" s="47" t="s">
        <v>285</v>
      </c>
      <c r="AZ35" s="106">
        <v>0.61</v>
      </c>
      <c r="BA35" s="106">
        <v>0.61</v>
      </c>
      <c r="BC35">
        <f t="shared" si="2"/>
        <v>0</v>
      </c>
      <c r="BD35" s="92">
        <v>3</v>
      </c>
    </row>
    <row r="36" spans="16:56" ht="31.5">
      <c r="P36" s="163" t="s">
        <v>519</v>
      </c>
      <c r="Q36" s="169" t="s">
        <v>278</v>
      </c>
      <c r="R36" s="174">
        <v>0.71</v>
      </c>
      <c r="S36" s="174">
        <v>0.71</v>
      </c>
      <c r="U36" t="str">
        <f t="shared" ref="U36:U67" si="7">P36</f>
        <v>אורן ארך-עלים</v>
      </c>
      <c r="V36" s="175">
        <v>4</v>
      </c>
      <c r="AD36">
        <f>COUNTIF(סקר!$AT$11:$AT$880,P36)</f>
        <v>0</v>
      </c>
      <c r="AF36">
        <f t="shared" si="6"/>
        <v>0</v>
      </c>
      <c r="AY36" s="47" t="s">
        <v>286</v>
      </c>
      <c r="AZ36" s="106">
        <v>0.56999999999999995</v>
      </c>
      <c r="BA36" s="106">
        <v>0.56999999999999995</v>
      </c>
      <c r="BC36">
        <f t="shared" si="2"/>
        <v>0</v>
      </c>
      <c r="BD36" s="92">
        <v>3</v>
      </c>
    </row>
    <row r="37" spans="16:56" ht="31.5">
      <c r="P37" s="163" t="s">
        <v>521</v>
      </c>
      <c r="Q37" s="169" t="s">
        <v>640</v>
      </c>
      <c r="R37" s="174">
        <v>0.57999999999999996</v>
      </c>
      <c r="S37" s="174">
        <v>0.57999999999999996</v>
      </c>
      <c r="U37" t="str">
        <f t="shared" si="7"/>
        <v>אורן החוף</v>
      </c>
      <c r="V37" s="175">
        <v>3</v>
      </c>
      <c r="AD37">
        <f>COUNTIF(סקר!$AT$11:$AT$880,P37)</f>
        <v>0</v>
      </c>
      <c r="AF37">
        <f t="shared" si="6"/>
        <v>0</v>
      </c>
      <c r="AY37" s="47" t="s">
        <v>43</v>
      </c>
      <c r="AZ37" s="106">
        <v>0.96</v>
      </c>
      <c r="BA37" s="106">
        <v>0.96</v>
      </c>
      <c r="BC37">
        <f t="shared" si="2"/>
        <v>0</v>
      </c>
      <c r="BD37" s="92">
        <v>5</v>
      </c>
    </row>
    <row r="38" spans="16:56" ht="30.75" customHeight="1">
      <c r="P38" s="163" t="s">
        <v>874</v>
      </c>
      <c r="Q38" s="169" t="s">
        <v>279</v>
      </c>
      <c r="R38" s="174">
        <v>0.82</v>
      </c>
      <c r="S38" s="174">
        <v>0.82</v>
      </c>
      <c r="U38" t="str">
        <f t="shared" si="7"/>
        <v>אורן הצנובר</v>
      </c>
      <c r="V38" s="175">
        <v>4</v>
      </c>
      <c r="AD38">
        <f>COUNTIF(סקר!$AT$11:$AT$880,P38)</f>
        <v>0</v>
      </c>
      <c r="AF38">
        <f t="shared" si="6"/>
        <v>0</v>
      </c>
      <c r="AY38" s="47" t="s">
        <v>643</v>
      </c>
      <c r="AZ38" s="106">
        <v>0.87</v>
      </c>
      <c r="BA38" s="106">
        <v>0.87</v>
      </c>
      <c r="BC38">
        <f t="shared" si="2"/>
        <v>0</v>
      </c>
      <c r="BD38" s="92">
        <v>4</v>
      </c>
    </row>
    <row r="39" spans="16:56" ht="47.25">
      <c r="P39" s="163" t="s">
        <v>28</v>
      </c>
      <c r="Q39" s="169" t="s">
        <v>29</v>
      </c>
      <c r="R39" s="174">
        <v>0.51</v>
      </c>
      <c r="S39" s="174">
        <v>0.51</v>
      </c>
      <c r="U39" t="str">
        <f t="shared" si="7"/>
        <v>אורן ירושלים</v>
      </c>
      <c r="V39" s="175">
        <v>3</v>
      </c>
      <c r="AD39">
        <f>COUNTIF(סקר!$AT$11:$AT$880,P39)</f>
        <v>0</v>
      </c>
      <c r="AF39">
        <f t="shared" si="6"/>
        <v>0</v>
      </c>
      <c r="AY39" s="47" t="s">
        <v>45</v>
      </c>
      <c r="AZ39" s="106">
        <v>0.67</v>
      </c>
      <c r="BA39" s="106">
        <v>0.67</v>
      </c>
      <c r="BC39">
        <f t="shared" si="2"/>
        <v>0</v>
      </c>
      <c r="BD39" s="92">
        <v>3</v>
      </c>
    </row>
    <row r="40" spans="16:56" ht="15.75">
      <c r="P40" s="163" t="s">
        <v>522</v>
      </c>
      <c r="Q40" s="169" t="s">
        <v>31</v>
      </c>
      <c r="R40" s="174">
        <v>0.67</v>
      </c>
      <c r="S40" s="174">
        <v>0.67</v>
      </c>
      <c r="U40" t="str">
        <f t="shared" si="7"/>
        <v>אורן קנרי</v>
      </c>
      <c r="V40" s="175">
        <v>3</v>
      </c>
      <c r="AD40">
        <f>COUNTIF(סקר!$AT$11:$AT$880,P40)</f>
        <v>0</v>
      </c>
      <c r="AF40">
        <f t="shared" si="6"/>
        <v>0</v>
      </c>
      <c r="AY40" s="47"/>
      <c r="AZ40" s="106">
        <v>0.67</v>
      </c>
      <c r="BA40" s="106">
        <v>0.67</v>
      </c>
      <c r="BC40">
        <f t="shared" si="2"/>
        <v>0</v>
      </c>
      <c r="BD40" s="92">
        <v>3</v>
      </c>
    </row>
    <row r="41" spans="16:56" ht="31.5">
      <c r="P41" s="163" t="s">
        <v>32</v>
      </c>
      <c r="Q41" s="169" t="s">
        <v>280</v>
      </c>
      <c r="R41" s="174">
        <v>0.66</v>
      </c>
      <c r="S41" s="174">
        <v>0.66</v>
      </c>
      <c r="U41" t="str">
        <f t="shared" si="7"/>
        <v>אורן קפריסאי</v>
      </c>
      <c r="V41" s="175">
        <v>3</v>
      </c>
      <c r="AD41">
        <f>COUNTIF(סקר!$AT$11:$AT$880,P41)</f>
        <v>0</v>
      </c>
      <c r="AF41">
        <f t="shared" si="6"/>
        <v>0</v>
      </c>
      <c r="AY41" s="47" t="s">
        <v>49</v>
      </c>
      <c r="AZ41" s="106">
        <v>0.77</v>
      </c>
      <c r="BA41" s="106">
        <v>0.77</v>
      </c>
      <c r="BC41">
        <f t="shared" si="2"/>
        <v>0</v>
      </c>
      <c r="BD41" s="92">
        <v>4</v>
      </c>
    </row>
    <row r="42" spans="16:56" ht="47.25">
      <c r="P42" s="164" t="s">
        <v>875</v>
      </c>
      <c r="Q42" s="168" t="s">
        <v>1105</v>
      </c>
      <c r="R42" s="174">
        <v>0.26</v>
      </c>
      <c r="S42" s="174">
        <v>0.26</v>
      </c>
      <c r="U42" t="str">
        <f t="shared" si="7"/>
        <v>אזדרכת הודית</v>
      </c>
      <c r="V42" s="176">
        <v>2</v>
      </c>
      <c r="AD42">
        <f>COUNTIF(סקר!$AT$11:$AT$880,P42)</f>
        <v>0</v>
      </c>
      <c r="AF42">
        <f t="shared" si="6"/>
        <v>0</v>
      </c>
      <c r="AY42" s="47" t="s">
        <v>51</v>
      </c>
      <c r="AZ42" s="106">
        <v>0.79</v>
      </c>
      <c r="BA42" s="106">
        <v>0.79</v>
      </c>
      <c r="BC42">
        <f t="shared" si="2"/>
        <v>0</v>
      </c>
      <c r="BD42" s="92">
        <v>4</v>
      </c>
    </row>
    <row r="43" spans="16:56" ht="31.5">
      <c r="P43" s="163" t="s">
        <v>34</v>
      </c>
      <c r="Q43" s="169" t="s">
        <v>281</v>
      </c>
      <c r="R43" s="174">
        <v>0.26</v>
      </c>
      <c r="S43" s="174">
        <v>0.26</v>
      </c>
      <c r="U43" t="str">
        <f t="shared" si="7"/>
        <v>אזדרכת מצויה</v>
      </c>
      <c r="V43" s="175">
        <v>1</v>
      </c>
      <c r="AD43">
        <f>COUNTIF(סקר!$AT$11:$AT$880,P43)</f>
        <v>0</v>
      </c>
      <c r="AF43">
        <f t="shared" si="6"/>
        <v>0</v>
      </c>
      <c r="AY43" s="47" t="s">
        <v>53</v>
      </c>
      <c r="AZ43" s="106">
        <v>0.92</v>
      </c>
      <c r="BA43" s="106">
        <v>0.92</v>
      </c>
      <c r="BC43">
        <f t="shared" si="2"/>
        <v>0</v>
      </c>
      <c r="BD43" s="92">
        <v>5</v>
      </c>
    </row>
    <row r="44" spans="16:56" ht="31.5">
      <c r="P44" s="163" t="s">
        <v>876</v>
      </c>
      <c r="Q44" s="169" t="s">
        <v>36</v>
      </c>
      <c r="R44" s="174">
        <v>0</v>
      </c>
      <c r="S44" s="174">
        <v>0</v>
      </c>
      <c r="U44" t="str">
        <f t="shared" si="7"/>
        <v>אילנתה בלוטית</v>
      </c>
      <c r="V44" s="175">
        <v>0</v>
      </c>
      <c r="AD44">
        <f>COUNTIF(סקר!$AT$11:$AT$880,P44)</f>
        <v>0</v>
      </c>
      <c r="AF44">
        <f t="shared" si="6"/>
        <v>0</v>
      </c>
      <c r="AY44" s="47" t="s">
        <v>644</v>
      </c>
      <c r="AZ44" s="106">
        <v>0.87</v>
      </c>
      <c r="BA44" s="106">
        <v>0.87</v>
      </c>
      <c r="BC44">
        <f t="shared" si="2"/>
        <v>0</v>
      </c>
      <c r="BD44" s="92">
        <v>4</v>
      </c>
    </row>
    <row r="45" spans="16:56" ht="31.5">
      <c r="P45" s="163" t="s">
        <v>282</v>
      </c>
      <c r="Q45" s="169" t="s">
        <v>283</v>
      </c>
      <c r="R45" s="174">
        <v>0.5</v>
      </c>
      <c r="S45" s="174">
        <v>0.5</v>
      </c>
      <c r="U45" t="str">
        <f t="shared" si="7"/>
        <v>אינגה אמיתית</v>
      </c>
      <c r="V45" s="175">
        <v>3</v>
      </c>
      <c r="AD45">
        <f>COUNTIF(סקר!$AT$11:$AT$880,P45)</f>
        <v>0</v>
      </c>
      <c r="AF45">
        <f t="shared" si="6"/>
        <v>0</v>
      </c>
      <c r="AY45" s="47" t="s">
        <v>55</v>
      </c>
      <c r="AZ45" s="106">
        <v>0.92</v>
      </c>
      <c r="BA45" s="106">
        <v>0.92</v>
      </c>
      <c r="BC45">
        <f t="shared" si="2"/>
        <v>0</v>
      </c>
      <c r="BD45" s="92">
        <v>5</v>
      </c>
    </row>
    <row r="46" spans="16:56" ht="47.25">
      <c r="P46" s="164" t="s">
        <v>877</v>
      </c>
      <c r="Q46" s="168" t="s">
        <v>1106</v>
      </c>
      <c r="R46" s="174">
        <v>0.55000000000000004</v>
      </c>
      <c r="S46" s="174">
        <v>0.55000000000000004</v>
      </c>
      <c r="U46" t="str">
        <f t="shared" si="7"/>
        <v>איקליפטוס אגסי</v>
      </c>
      <c r="V46" s="176">
        <v>3</v>
      </c>
      <c r="AD46">
        <f>COUNTIF(סקר!$AT$11:$AT$880,P46)</f>
        <v>0</v>
      </c>
      <c r="AF46">
        <f t="shared" si="6"/>
        <v>0</v>
      </c>
      <c r="AY46" s="47" t="s">
        <v>57</v>
      </c>
      <c r="AZ46" s="106">
        <v>0.97</v>
      </c>
      <c r="BA46" s="106">
        <v>0.97</v>
      </c>
      <c r="BC46">
        <f t="shared" si="2"/>
        <v>0</v>
      </c>
      <c r="BD46" s="92">
        <v>5</v>
      </c>
    </row>
    <row r="47" spans="16:56" ht="31.5">
      <c r="P47" s="164" t="s">
        <v>878</v>
      </c>
      <c r="Q47" s="168" t="s">
        <v>1107</v>
      </c>
      <c r="R47" s="174">
        <v>0.67</v>
      </c>
      <c r="S47" s="174">
        <v>0.67</v>
      </c>
      <c r="U47" t="str">
        <f t="shared" si="7"/>
        <v>איקליפטוס אדום</v>
      </c>
      <c r="V47" s="176">
        <v>3</v>
      </c>
      <c r="AD47">
        <f>COUNTIF(סקר!$AT$11:$AT$880,P47)</f>
        <v>0</v>
      </c>
      <c r="AF47">
        <f t="shared" si="6"/>
        <v>0</v>
      </c>
      <c r="AY47" s="47" t="s">
        <v>59</v>
      </c>
      <c r="AZ47" s="106">
        <v>0.95</v>
      </c>
      <c r="BA47" s="106">
        <v>0.95</v>
      </c>
      <c r="BC47">
        <f t="shared" si="2"/>
        <v>0</v>
      </c>
      <c r="BD47" s="92">
        <v>5</v>
      </c>
    </row>
    <row r="48" spans="16:56" ht="47.25">
      <c r="P48" s="164" t="s">
        <v>879</v>
      </c>
      <c r="Q48" s="168" t="s">
        <v>1108</v>
      </c>
      <c r="R48" s="174">
        <v>0.6</v>
      </c>
      <c r="S48" s="174">
        <v>0.6</v>
      </c>
      <c r="U48" t="str">
        <f t="shared" si="7"/>
        <v>איקליפטוס אדום-זירים</v>
      </c>
      <c r="V48" s="176">
        <v>3</v>
      </c>
      <c r="AD48">
        <f>COUNTIF(סקר!$AT$11:$AT$880,P48)</f>
        <v>0</v>
      </c>
      <c r="AF48">
        <f t="shared" si="6"/>
        <v>0</v>
      </c>
      <c r="AY48" s="47" t="s">
        <v>645</v>
      </c>
      <c r="AZ48" s="106">
        <v>0.93</v>
      </c>
      <c r="BA48" s="106">
        <v>0.93</v>
      </c>
      <c r="BC48">
        <f t="shared" si="2"/>
        <v>0</v>
      </c>
      <c r="BD48" s="92">
        <v>5</v>
      </c>
    </row>
    <row r="49" spans="16:56" ht="31.5">
      <c r="P49" s="164" t="s">
        <v>880</v>
      </c>
      <c r="Q49" s="168" t="s">
        <v>1109</v>
      </c>
      <c r="R49" s="174">
        <v>0.67</v>
      </c>
      <c r="S49" s="174">
        <v>0.67</v>
      </c>
      <c r="U49" t="str">
        <f t="shared" si="7"/>
        <v>איקליפטוס אדום-מצנפת</v>
      </c>
      <c r="V49" s="176">
        <v>3</v>
      </c>
      <c r="AD49">
        <f>COUNTIF(סקר!$AT$11:$AT$880,P49)</f>
        <v>0</v>
      </c>
      <c r="AF49">
        <f t="shared" si="6"/>
        <v>0</v>
      </c>
      <c r="AY49" s="47" t="s">
        <v>288</v>
      </c>
      <c r="AZ49" s="106">
        <v>0.84</v>
      </c>
      <c r="BA49" s="106">
        <v>0.84</v>
      </c>
      <c r="BC49">
        <f t="shared" si="2"/>
        <v>0</v>
      </c>
      <c r="BD49" s="92">
        <v>4</v>
      </c>
    </row>
    <row r="50" spans="16:56" ht="63">
      <c r="P50" s="164" t="s">
        <v>881</v>
      </c>
      <c r="Q50" s="168" t="s">
        <v>1110</v>
      </c>
      <c r="R50" s="174">
        <v>0.6</v>
      </c>
      <c r="S50" s="174">
        <v>0.6</v>
      </c>
      <c r="U50" t="str">
        <f t="shared" si="7"/>
        <v>איקליפטוס אינקרסטה</v>
      </c>
      <c r="V50" s="176">
        <v>3</v>
      </c>
      <c r="AD50">
        <f>COUNTIF(סקר!$AT$11:$AT$880,P50)</f>
        <v>0</v>
      </c>
      <c r="AF50">
        <f t="shared" si="6"/>
        <v>0</v>
      </c>
      <c r="AY50" s="47" t="s">
        <v>646</v>
      </c>
      <c r="AZ50" s="106">
        <v>0.51</v>
      </c>
      <c r="BA50" s="106">
        <v>0.51</v>
      </c>
      <c r="BC50">
        <f t="shared" si="2"/>
        <v>0</v>
      </c>
      <c r="BD50" s="92">
        <v>3</v>
      </c>
    </row>
    <row r="51" spans="16:56" ht="31.5">
      <c r="P51" s="164" t="s">
        <v>882</v>
      </c>
      <c r="Q51" s="168" t="s">
        <v>1111</v>
      </c>
      <c r="R51" s="174">
        <v>0.6</v>
      </c>
      <c r="S51" s="174">
        <v>0.6</v>
      </c>
      <c r="U51" t="str">
        <f t="shared" si="7"/>
        <v>איקליפטוס אלני</v>
      </c>
      <c r="V51" s="176">
        <v>3</v>
      </c>
      <c r="AD51">
        <f>COUNTIF(סקר!$AT$11:$AT$880,P51)</f>
        <v>0</v>
      </c>
      <c r="AF51">
        <f t="shared" si="6"/>
        <v>0</v>
      </c>
      <c r="AY51" s="47" t="s">
        <v>290</v>
      </c>
      <c r="AZ51" s="106">
        <v>0.5</v>
      </c>
      <c r="BA51" s="106">
        <v>0.5</v>
      </c>
      <c r="BC51">
        <f t="shared" si="2"/>
        <v>0</v>
      </c>
      <c r="BD51" s="92">
        <v>3</v>
      </c>
    </row>
    <row r="52" spans="16:56" ht="47.25">
      <c r="P52" s="164" t="s">
        <v>883</v>
      </c>
      <c r="Q52" s="168" t="s">
        <v>1112</v>
      </c>
      <c r="R52" s="174">
        <v>0.6</v>
      </c>
      <c r="S52" s="174">
        <v>0.6</v>
      </c>
      <c r="U52" t="str">
        <f t="shared" si="7"/>
        <v>איקליפטוס ארבע-הכנפות</v>
      </c>
      <c r="V52" s="176">
        <v>3</v>
      </c>
      <c r="AD52">
        <f>COUNTIF(סקר!$AT$11:$AT$880,P52)</f>
        <v>0</v>
      </c>
      <c r="AF52">
        <f t="shared" si="6"/>
        <v>0</v>
      </c>
      <c r="AY52" s="47" t="s">
        <v>292</v>
      </c>
      <c r="AZ52" s="106">
        <v>0.61</v>
      </c>
      <c r="BA52" s="106">
        <v>0.61</v>
      </c>
      <c r="BC52">
        <f t="shared" si="2"/>
        <v>0</v>
      </c>
      <c r="BD52" s="92">
        <v>3</v>
      </c>
    </row>
    <row r="53" spans="16:56" ht="63">
      <c r="P53" s="164" t="s">
        <v>884</v>
      </c>
      <c r="Q53" s="168" t="s">
        <v>1113</v>
      </c>
      <c r="R53" s="174">
        <v>0.64</v>
      </c>
      <c r="S53" s="174">
        <v>0.64</v>
      </c>
      <c r="U53" t="str">
        <f t="shared" si="7"/>
        <v>איקליפטוס ארוך-מצנפת</v>
      </c>
      <c r="V53" s="176">
        <v>3</v>
      </c>
      <c r="AD53">
        <f>COUNTIF(סקר!$AT$11:$AT$880,P53)</f>
        <v>0</v>
      </c>
      <c r="AF53">
        <f t="shared" si="6"/>
        <v>0</v>
      </c>
      <c r="AY53" s="47" t="s">
        <v>293</v>
      </c>
      <c r="AZ53" s="106">
        <v>0.64</v>
      </c>
      <c r="BA53" s="106">
        <v>0.64</v>
      </c>
      <c r="BC53">
        <f t="shared" si="2"/>
        <v>0</v>
      </c>
      <c r="BD53" s="92">
        <v>3</v>
      </c>
    </row>
    <row r="54" spans="16:56" ht="31.5">
      <c r="P54" s="164" t="s">
        <v>885</v>
      </c>
      <c r="Q54" s="168" t="s">
        <v>1114</v>
      </c>
      <c r="R54" s="174">
        <v>0.64</v>
      </c>
      <c r="S54" s="174">
        <v>0.64</v>
      </c>
      <c r="U54" t="str">
        <f t="shared" si="7"/>
        <v>איקליפטוס אשכולי</v>
      </c>
      <c r="V54" s="176">
        <v>3</v>
      </c>
      <c r="AD54">
        <f>COUNTIF(סקר!$AT$11:$AT$880,P54)</f>
        <v>0</v>
      </c>
      <c r="AF54">
        <f t="shared" si="6"/>
        <v>0</v>
      </c>
      <c r="AY54" s="47" t="s">
        <v>647</v>
      </c>
      <c r="AZ54" s="106">
        <v>0.76</v>
      </c>
      <c r="BA54" s="106">
        <v>0.76</v>
      </c>
      <c r="BC54">
        <f t="shared" si="2"/>
        <v>0</v>
      </c>
      <c r="BD54" s="92">
        <v>4</v>
      </c>
    </row>
    <row r="55" spans="16:56" ht="63">
      <c r="P55" s="163" t="s">
        <v>523</v>
      </c>
      <c r="Q55" s="169" t="s">
        <v>641</v>
      </c>
      <c r="R55" s="174">
        <v>0.64</v>
      </c>
      <c r="S55" s="174">
        <v>0.64</v>
      </c>
      <c r="U55" t="str">
        <f t="shared" si="7"/>
        <v>איקליפטוס בהיר-קליפה</v>
      </c>
      <c r="V55" s="175">
        <v>3</v>
      </c>
      <c r="AD55">
        <f>COUNTIF(סקר!$AT$11:$AT$880,P55)</f>
        <v>0</v>
      </c>
      <c r="AF55">
        <f t="shared" si="6"/>
        <v>0</v>
      </c>
      <c r="AY55" s="47" t="s">
        <v>294</v>
      </c>
      <c r="AZ55" s="106">
        <v>0.65</v>
      </c>
      <c r="BA55" s="106">
        <v>0.65</v>
      </c>
      <c r="BC55">
        <f t="shared" si="2"/>
        <v>0</v>
      </c>
      <c r="BD55" s="92">
        <v>3</v>
      </c>
    </row>
    <row r="56" spans="16:56" ht="63">
      <c r="P56" s="164" t="s">
        <v>886</v>
      </c>
      <c r="Q56" s="168" t="s">
        <v>1115</v>
      </c>
      <c r="R56" s="174">
        <v>0.6</v>
      </c>
      <c r="S56" s="174">
        <v>0.6</v>
      </c>
      <c r="U56" t="str">
        <f t="shared" si="7"/>
        <v>איקליפטוס ברידגס</v>
      </c>
      <c r="V56" s="176">
        <v>3</v>
      </c>
      <c r="AD56">
        <f>COUNTIF(סקר!$AT$11:$AT$880,P56)</f>
        <v>0</v>
      </c>
      <c r="AF56">
        <f t="shared" si="6"/>
        <v>0</v>
      </c>
      <c r="AY56" s="47" t="s">
        <v>296</v>
      </c>
      <c r="AZ56" s="106">
        <v>0.56000000000000005</v>
      </c>
      <c r="BA56" s="106">
        <v>0.56000000000000005</v>
      </c>
      <c r="BC56">
        <f t="shared" si="2"/>
        <v>0</v>
      </c>
      <c r="BD56" s="92">
        <v>3</v>
      </c>
    </row>
    <row r="57" spans="16:56" ht="31.5">
      <c r="P57" s="164" t="s">
        <v>887</v>
      </c>
      <c r="Q57" s="168" t="s">
        <v>1116</v>
      </c>
      <c r="R57" s="174">
        <v>0.6</v>
      </c>
      <c r="S57" s="174">
        <v>0.6</v>
      </c>
      <c r="U57" t="str">
        <f t="shared" si="7"/>
        <v>איקליפטוס גאן</v>
      </c>
      <c r="V57" s="176">
        <v>3</v>
      </c>
      <c r="AD57">
        <f>COUNTIF(סקר!$AT$11:$AT$880,P57)</f>
        <v>0</v>
      </c>
      <c r="AF57">
        <f t="shared" si="6"/>
        <v>0</v>
      </c>
      <c r="AY57" s="47" t="s">
        <v>69</v>
      </c>
      <c r="AZ57" s="106">
        <v>0.45</v>
      </c>
      <c r="BA57" s="106">
        <v>0.45</v>
      </c>
      <c r="BC57">
        <f t="shared" si="2"/>
        <v>0</v>
      </c>
      <c r="BD57" s="92">
        <v>2</v>
      </c>
    </row>
    <row r="58" spans="16:56" ht="15.75">
      <c r="P58" s="164" t="s">
        <v>888</v>
      </c>
      <c r="Q58" s="168" t="s">
        <v>1117</v>
      </c>
      <c r="R58" s="174">
        <v>0.6</v>
      </c>
      <c r="S58" s="174">
        <v>0.6</v>
      </c>
      <c r="U58" t="str">
        <f t="shared" si="7"/>
        <v>איקליפטוס גביעני</v>
      </c>
      <c r="V58" s="176">
        <v>3</v>
      </c>
      <c r="AD58">
        <f>COUNTIF(סקר!$AT$11:$AT$880,P58)</f>
        <v>0</v>
      </c>
      <c r="AF58">
        <f t="shared" si="6"/>
        <v>0</v>
      </c>
      <c r="AY58" s="49" t="s">
        <v>648</v>
      </c>
      <c r="AZ58" s="106">
        <v>0.4</v>
      </c>
      <c r="BA58" s="106">
        <v>0.4</v>
      </c>
      <c r="BC58">
        <f t="shared" si="2"/>
        <v>0</v>
      </c>
      <c r="BD58" s="92">
        <v>2</v>
      </c>
    </row>
    <row r="59" spans="16:56" ht="31.5">
      <c r="P59" s="164" t="s">
        <v>889</v>
      </c>
      <c r="Q59" s="168" t="s">
        <v>1118</v>
      </c>
      <c r="R59" s="174">
        <v>0.65</v>
      </c>
      <c r="S59" s="174">
        <v>0.65</v>
      </c>
      <c r="U59" t="str">
        <f t="shared" si="7"/>
        <v>איקליפטוס גדול</v>
      </c>
      <c r="V59" s="176">
        <v>3</v>
      </c>
      <c r="AD59">
        <f>COUNTIF(סקר!$AT$11:$AT$880,P59)</f>
        <v>0</v>
      </c>
      <c r="AF59">
        <f t="shared" si="6"/>
        <v>0</v>
      </c>
      <c r="AY59" s="47" t="s">
        <v>649</v>
      </c>
      <c r="AZ59" s="106">
        <v>0.38</v>
      </c>
      <c r="BA59" s="106">
        <v>0.38</v>
      </c>
      <c r="BC59">
        <f t="shared" si="2"/>
        <v>0</v>
      </c>
      <c r="BD59" s="92">
        <v>2</v>
      </c>
    </row>
    <row r="60" spans="16:56" ht="63">
      <c r="P60" s="164" t="s">
        <v>890</v>
      </c>
      <c r="Q60" s="168" t="s">
        <v>1119</v>
      </c>
      <c r="R60" s="174">
        <v>0.62</v>
      </c>
      <c r="S60" s="174">
        <v>0.62</v>
      </c>
      <c r="U60" t="str">
        <f t="shared" si="7"/>
        <v>איקליפטוס גדול-קרנים</v>
      </c>
      <c r="V60" s="176">
        <v>3</v>
      </c>
      <c r="AD60">
        <f>COUNTIF(סקר!$AT$11:$AT$880,P60)</f>
        <v>0</v>
      </c>
      <c r="AF60">
        <f t="shared" si="6"/>
        <v>0</v>
      </c>
      <c r="AY60" s="47" t="s">
        <v>299</v>
      </c>
      <c r="AZ60" s="106">
        <v>0.73</v>
      </c>
      <c r="BA60" s="106">
        <v>0.73</v>
      </c>
      <c r="BC60">
        <f t="shared" si="2"/>
        <v>0</v>
      </c>
      <c r="BD60" s="92">
        <v>4</v>
      </c>
    </row>
    <row r="61" spans="16:56" ht="47.25">
      <c r="P61" s="164" t="s">
        <v>891</v>
      </c>
      <c r="Q61" s="168" t="s">
        <v>1120</v>
      </c>
      <c r="R61" s="174">
        <v>0.6</v>
      </c>
      <c r="S61" s="174">
        <v>0.6</v>
      </c>
      <c r="U61" t="str">
        <f t="shared" si="7"/>
        <v>איקליפטוס גלילי</v>
      </c>
      <c r="V61" s="176">
        <v>3</v>
      </c>
      <c r="AD61">
        <f>COUNTIF(סקר!$AT$11:$AT$880,P61)</f>
        <v>0</v>
      </c>
      <c r="AF61">
        <f t="shared" si="6"/>
        <v>0</v>
      </c>
      <c r="AY61" s="47" t="s">
        <v>298</v>
      </c>
      <c r="AZ61" s="106">
        <v>0.74</v>
      </c>
      <c r="BA61" s="106">
        <v>0.74</v>
      </c>
      <c r="BC61">
        <f t="shared" si="2"/>
        <v>0</v>
      </c>
      <c r="BD61" s="92">
        <v>4</v>
      </c>
    </row>
    <row r="62" spans="16:56" ht="31.5">
      <c r="P62" s="164" t="s">
        <v>892</v>
      </c>
      <c r="Q62" s="168" t="s">
        <v>1121</v>
      </c>
      <c r="R62" s="174">
        <v>0.6</v>
      </c>
      <c r="S62" s="174">
        <v>0.6</v>
      </c>
      <c r="U62" t="str">
        <f t="shared" si="7"/>
        <v>איקליפטוס גס</v>
      </c>
      <c r="V62" s="176">
        <v>3</v>
      </c>
      <c r="AD62">
        <f>COUNTIF(סקר!$AT$11:$AT$880,P62)</f>
        <v>0</v>
      </c>
      <c r="AF62">
        <f t="shared" si="6"/>
        <v>0</v>
      </c>
      <c r="AY62" s="47" t="s">
        <v>80</v>
      </c>
      <c r="AZ62" s="106">
        <v>0.94</v>
      </c>
      <c r="BA62" s="106">
        <v>0.94</v>
      </c>
      <c r="BC62">
        <f t="shared" si="2"/>
        <v>0</v>
      </c>
      <c r="BD62" s="92">
        <v>5</v>
      </c>
    </row>
    <row r="63" spans="16:56" ht="31.5">
      <c r="P63" s="164" t="s">
        <v>893</v>
      </c>
      <c r="Q63" s="168" t="s">
        <v>1122</v>
      </c>
      <c r="R63" s="174">
        <v>0.57999999999999996</v>
      </c>
      <c r="S63" s="174">
        <v>0.57999999999999996</v>
      </c>
      <c r="U63" t="str">
        <f t="shared" si="7"/>
        <v>איקליפטוס גרדנר</v>
      </c>
      <c r="V63" s="176">
        <v>3</v>
      </c>
      <c r="AD63">
        <f>COUNTIF(סקר!$AT$11:$AT$880,P63)</f>
        <v>0</v>
      </c>
      <c r="AF63">
        <f t="shared" si="6"/>
        <v>0</v>
      </c>
      <c r="AY63" s="47" t="s">
        <v>300</v>
      </c>
      <c r="AZ63" s="106">
        <v>0.95</v>
      </c>
      <c r="BA63" s="106">
        <v>0.95</v>
      </c>
      <c r="BC63">
        <f t="shared" si="2"/>
        <v>0</v>
      </c>
      <c r="BD63" s="92">
        <v>5</v>
      </c>
    </row>
    <row r="64" spans="16:56" ht="31.5">
      <c r="P64" s="164" t="s">
        <v>894</v>
      </c>
      <c r="Q64" s="168" t="s">
        <v>1123</v>
      </c>
      <c r="R64" s="174">
        <v>0.64</v>
      </c>
      <c r="S64" s="174">
        <v>0.64</v>
      </c>
      <c r="U64" t="str">
        <f t="shared" si="7"/>
        <v>איקליפטוס דו-גוני</v>
      </c>
      <c r="V64" s="176">
        <v>3</v>
      </c>
      <c r="AD64">
        <f>COUNTIF(סקר!$AT$11:$AT$880,P64)</f>
        <v>0</v>
      </c>
      <c r="AF64">
        <f t="shared" si="6"/>
        <v>0</v>
      </c>
      <c r="AY64" s="47" t="s">
        <v>302</v>
      </c>
      <c r="AZ64" s="106">
        <v>0.92</v>
      </c>
      <c r="BA64" s="106">
        <v>0.92</v>
      </c>
      <c r="BC64">
        <f t="shared" si="2"/>
        <v>0</v>
      </c>
      <c r="BD64" s="92">
        <v>5</v>
      </c>
    </row>
    <row r="65" spans="16:56" ht="47.25">
      <c r="P65" s="164" t="s">
        <v>895</v>
      </c>
      <c r="Q65" s="168" t="s">
        <v>1124</v>
      </c>
      <c r="R65" s="174">
        <v>0.56999999999999995</v>
      </c>
      <c r="S65" s="174">
        <v>0.56999999999999995</v>
      </c>
      <c r="U65" t="str">
        <f t="shared" si="7"/>
        <v>איקליפטוס דוליכורינכה</v>
      </c>
      <c r="V65" s="176">
        <v>3</v>
      </c>
      <c r="AD65">
        <f>COUNTIF(סקר!$AT$11:$AT$880,P65)</f>
        <v>0</v>
      </c>
      <c r="AF65">
        <f t="shared" si="6"/>
        <v>0</v>
      </c>
      <c r="AY65" s="47" t="s">
        <v>303</v>
      </c>
      <c r="AZ65" s="106">
        <v>0.34</v>
      </c>
      <c r="BA65" s="106">
        <v>0.34</v>
      </c>
      <c r="BC65">
        <f t="shared" si="2"/>
        <v>0</v>
      </c>
      <c r="BD65" s="92">
        <v>2</v>
      </c>
    </row>
    <row r="66" spans="16:56" ht="31.5">
      <c r="P66" s="164" t="s">
        <v>896</v>
      </c>
      <c r="Q66" s="168" t="s">
        <v>1125</v>
      </c>
      <c r="R66" s="174">
        <v>0.6</v>
      </c>
      <c r="S66" s="174">
        <v>0.6</v>
      </c>
      <c r="U66" t="str">
        <f t="shared" si="7"/>
        <v>איקליפטוס הטבעות</v>
      </c>
      <c r="V66" s="176">
        <v>3</v>
      </c>
      <c r="AD66">
        <f>COUNTIF(סקר!$AT$11:$AT$880,P66)</f>
        <v>0</v>
      </c>
      <c r="AF66">
        <f t="shared" si="6"/>
        <v>0</v>
      </c>
      <c r="AY66" s="47" t="s">
        <v>304</v>
      </c>
      <c r="AZ66" s="106">
        <v>0.6</v>
      </c>
      <c r="BA66" s="106">
        <v>0.6</v>
      </c>
      <c r="BC66">
        <f t="shared" si="2"/>
        <v>0</v>
      </c>
      <c r="BD66" s="92">
        <v>3</v>
      </c>
    </row>
    <row r="67" spans="16:56" ht="47.25">
      <c r="P67" s="164" t="s">
        <v>897</v>
      </c>
      <c r="Q67" s="168" t="s">
        <v>1126</v>
      </c>
      <c r="R67" s="174">
        <v>0.6</v>
      </c>
      <c r="S67" s="174">
        <v>0.6</v>
      </c>
      <c r="U67" t="str">
        <f t="shared" si="7"/>
        <v>איקליפטוס הישימון</v>
      </c>
      <c r="V67" s="176">
        <v>3</v>
      </c>
      <c r="AD67">
        <f>COUNTIF(סקר!$AT$11:$AT$880,P67)</f>
        <v>0</v>
      </c>
      <c r="AF67">
        <f t="shared" ref="AF67:AF98" si="8">IF(AD67&gt;0,U67,0)</f>
        <v>0</v>
      </c>
      <c r="AY67" s="47" t="s">
        <v>650</v>
      </c>
      <c r="AZ67" s="106">
        <v>0.48</v>
      </c>
      <c r="BA67" s="106">
        <v>0.48</v>
      </c>
      <c r="BC67">
        <f t="shared" si="2"/>
        <v>0</v>
      </c>
      <c r="BD67" s="92">
        <v>2</v>
      </c>
    </row>
    <row r="68" spans="16:56" ht="47.25">
      <c r="P68" s="163" t="s">
        <v>524</v>
      </c>
      <c r="Q68" s="169" t="s">
        <v>284</v>
      </c>
      <c r="R68" s="174">
        <v>0.56000000000000005</v>
      </c>
      <c r="S68" s="174">
        <v>0.56000000000000005</v>
      </c>
      <c r="U68" t="str">
        <f t="shared" ref="U68:U99" si="9">P68</f>
        <v>איקליפטוס המקור</v>
      </c>
      <c r="V68" s="175">
        <v>3</v>
      </c>
      <c r="AD68">
        <f>COUNTIF(סקר!$AT$11:$AT$880,P68)</f>
        <v>0</v>
      </c>
      <c r="AF68">
        <f t="shared" si="8"/>
        <v>0</v>
      </c>
      <c r="AY68" s="47" t="s">
        <v>305</v>
      </c>
      <c r="AZ68" s="106">
        <v>0.59</v>
      </c>
      <c r="BA68" s="106">
        <v>0.59</v>
      </c>
      <c r="BC68">
        <f t="shared" ref="BC68:BC131" si="10">AX68</f>
        <v>0</v>
      </c>
      <c r="BD68" s="92">
        <v>3</v>
      </c>
    </row>
    <row r="69" spans="16:56" ht="47.25">
      <c r="P69" s="163" t="s">
        <v>525</v>
      </c>
      <c r="Q69" s="169" t="s">
        <v>297</v>
      </c>
      <c r="R69" s="174">
        <v>0.67</v>
      </c>
      <c r="S69" s="174">
        <v>0.67</v>
      </c>
      <c r="U69" t="str">
        <f t="shared" si="9"/>
        <v>איקליפטוס הצאוורון</v>
      </c>
      <c r="V69" s="175">
        <v>3</v>
      </c>
      <c r="AD69">
        <f>COUNTIF(סקר!$AT$11:$AT$880,P69)</f>
        <v>0</v>
      </c>
      <c r="AF69">
        <f t="shared" si="8"/>
        <v>0</v>
      </c>
      <c r="AY69" s="47" t="s">
        <v>306</v>
      </c>
      <c r="AZ69" s="106">
        <v>0.7</v>
      </c>
      <c r="BA69" s="106">
        <v>0.7</v>
      </c>
      <c r="BC69">
        <f t="shared" si="10"/>
        <v>0</v>
      </c>
      <c r="BD69" s="92">
        <v>4</v>
      </c>
    </row>
    <row r="70" spans="16:56" ht="31.5">
      <c r="P70" s="164" t="s">
        <v>898</v>
      </c>
      <c r="Q70" s="168" t="s">
        <v>1127</v>
      </c>
      <c r="R70" s="174">
        <v>0.6</v>
      </c>
      <c r="S70" s="174">
        <v>0.6</v>
      </c>
      <c r="U70" t="str">
        <f t="shared" si="9"/>
        <v>איקליפטוס וודורד</v>
      </c>
      <c r="V70" s="176">
        <v>3</v>
      </c>
      <c r="AD70">
        <f>COUNTIF(סקר!$AT$11:$AT$880,P70)</f>
        <v>0</v>
      </c>
      <c r="AF70">
        <f t="shared" si="8"/>
        <v>0</v>
      </c>
      <c r="AY70" s="47" t="s">
        <v>93</v>
      </c>
      <c r="AZ70" s="106">
        <v>0.68</v>
      </c>
      <c r="BA70" s="106">
        <v>0.68</v>
      </c>
      <c r="BC70">
        <f t="shared" si="10"/>
        <v>0</v>
      </c>
      <c r="BD70" s="92">
        <v>3</v>
      </c>
    </row>
    <row r="71" spans="16:56" ht="47.25">
      <c r="P71" s="164" t="s">
        <v>899</v>
      </c>
      <c r="Q71" s="168" t="s">
        <v>1128</v>
      </c>
      <c r="R71" s="174">
        <v>0.67</v>
      </c>
      <c r="S71" s="174">
        <v>0.67</v>
      </c>
      <c r="U71" t="str">
        <f t="shared" si="9"/>
        <v>איקליפטוס ורוד-קליפה</v>
      </c>
      <c r="V71" s="176">
        <v>3</v>
      </c>
      <c r="AD71">
        <f>COUNTIF(סקר!$AT$11:$AT$880,P71)</f>
        <v>0</v>
      </c>
      <c r="AF71">
        <f t="shared" si="8"/>
        <v>0</v>
      </c>
      <c r="AY71" s="47" t="s">
        <v>651</v>
      </c>
      <c r="AZ71" s="106">
        <v>0.49</v>
      </c>
      <c r="BA71" s="106">
        <v>0.49</v>
      </c>
      <c r="BC71">
        <f t="shared" si="10"/>
        <v>0</v>
      </c>
      <c r="BD71" s="92">
        <v>2</v>
      </c>
    </row>
    <row r="72" spans="16:56" ht="31.5">
      <c r="P72" s="164" t="s">
        <v>900</v>
      </c>
      <c r="Q72" s="168" t="s">
        <v>1129</v>
      </c>
      <c r="R72" s="174">
        <v>0.62</v>
      </c>
      <c r="S72" s="174">
        <v>0.62</v>
      </c>
      <c r="U72" t="str">
        <f t="shared" si="9"/>
        <v>איקליפטוס חיוני</v>
      </c>
      <c r="V72" s="176">
        <v>3</v>
      </c>
      <c r="AD72">
        <f>COUNTIF(סקר!$AT$11:$AT$880,P72)</f>
        <v>0</v>
      </c>
      <c r="AF72">
        <f t="shared" si="8"/>
        <v>0</v>
      </c>
      <c r="AY72" s="47" t="s">
        <v>307</v>
      </c>
      <c r="AZ72" s="106">
        <v>0.42</v>
      </c>
      <c r="BA72" s="106">
        <v>0.42</v>
      </c>
      <c r="BC72">
        <f t="shared" si="10"/>
        <v>0</v>
      </c>
      <c r="BD72" s="92">
        <v>2</v>
      </c>
    </row>
    <row r="73" spans="16:56" ht="47.25">
      <c r="P73" s="164" t="s">
        <v>901</v>
      </c>
      <c r="Q73" s="168" t="s">
        <v>1130</v>
      </c>
      <c r="R73" s="174">
        <v>0.64</v>
      </c>
      <c r="S73" s="174">
        <v>0.64</v>
      </c>
      <c r="U73" t="str">
        <f t="shared" si="9"/>
        <v>איקליפטוס חלק</v>
      </c>
      <c r="V73" s="176">
        <v>3</v>
      </c>
      <c r="AD73">
        <f>COUNTIF(סקר!$AT$11:$AT$880,P73)</f>
        <v>0</v>
      </c>
      <c r="AF73">
        <f t="shared" si="8"/>
        <v>0</v>
      </c>
      <c r="AY73" s="47" t="s">
        <v>27</v>
      </c>
      <c r="AZ73" s="106">
        <v>0.65</v>
      </c>
      <c r="BA73" s="106">
        <v>0.65</v>
      </c>
      <c r="BC73">
        <f t="shared" si="10"/>
        <v>0</v>
      </c>
      <c r="BD73" s="92">
        <v>3</v>
      </c>
    </row>
    <row r="74" spans="16:56" ht="47.25">
      <c r="P74" s="164" t="s">
        <v>902</v>
      </c>
      <c r="Q74" s="168" t="s">
        <v>1131</v>
      </c>
      <c r="R74" s="174">
        <v>0.65</v>
      </c>
      <c r="S74" s="174">
        <v>0.65</v>
      </c>
      <c r="U74" t="str">
        <f t="shared" si="9"/>
        <v>איקליפטוס חסון</v>
      </c>
      <c r="V74" s="176">
        <v>3</v>
      </c>
      <c r="AD74">
        <f>COUNTIF(סקר!$AT$11:$AT$880,P74)</f>
        <v>0</v>
      </c>
      <c r="AF74">
        <f t="shared" si="8"/>
        <v>0</v>
      </c>
      <c r="AY74" s="47" t="s">
        <v>652</v>
      </c>
      <c r="AZ74" s="106">
        <v>0.62</v>
      </c>
      <c r="BA74" s="106">
        <v>0.62</v>
      </c>
      <c r="BC74">
        <f t="shared" si="10"/>
        <v>0</v>
      </c>
      <c r="BD74" s="92">
        <v>3</v>
      </c>
    </row>
    <row r="75" spans="16:56" ht="31.5">
      <c r="P75" s="164" t="s">
        <v>903</v>
      </c>
      <c r="Q75" s="168" t="s">
        <v>1132</v>
      </c>
      <c r="R75" s="174">
        <v>0.6</v>
      </c>
      <c r="S75" s="174">
        <v>0.6</v>
      </c>
      <c r="U75" t="str">
        <f t="shared" si="9"/>
        <v>איקליפטוס חרוק</v>
      </c>
      <c r="V75" s="176">
        <v>3</v>
      </c>
      <c r="AD75">
        <f>COUNTIF(סקר!$AT$11:$AT$880,P75)</f>
        <v>0</v>
      </c>
      <c r="AF75">
        <f t="shared" si="8"/>
        <v>0</v>
      </c>
      <c r="AY75" s="47" t="s">
        <v>321</v>
      </c>
      <c r="AZ75" s="106">
        <v>0.59</v>
      </c>
      <c r="BA75" s="106">
        <v>0.59</v>
      </c>
      <c r="BC75">
        <f t="shared" si="10"/>
        <v>0</v>
      </c>
      <c r="BD75" s="92">
        <v>3</v>
      </c>
    </row>
    <row r="76" spans="16:56" ht="47.25">
      <c r="P76" s="164" t="s">
        <v>904</v>
      </c>
      <c r="Q76" s="168" t="s">
        <v>1133</v>
      </c>
      <c r="R76" s="174">
        <v>0.63</v>
      </c>
      <c r="S76" s="174">
        <v>0.63</v>
      </c>
      <c r="U76" t="str">
        <f t="shared" si="9"/>
        <v>איקליפטוס טורלי (קורימביה טורלי)</v>
      </c>
      <c r="V76" s="176">
        <v>3</v>
      </c>
      <c r="AD76">
        <f>COUNTIF(סקר!$AT$11:$AT$880,P76)</f>
        <v>0</v>
      </c>
      <c r="AF76">
        <f t="shared" si="8"/>
        <v>0</v>
      </c>
      <c r="AY76" s="47" t="s">
        <v>308</v>
      </c>
      <c r="AZ76" s="106">
        <v>0.76</v>
      </c>
      <c r="BA76" s="106">
        <v>0.76</v>
      </c>
      <c r="BC76">
        <f t="shared" si="10"/>
        <v>0</v>
      </c>
      <c r="BD76" s="92">
        <v>4</v>
      </c>
    </row>
    <row r="77" spans="16:56" ht="47.25">
      <c r="P77" s="164" t="s">
        <v>905</v>
      </c>
      <c r="Q77" s="168" t="s">
        <v>1134</v>
      </c>
      <c r="R77" s="174">
        <v>0.6</v>
      </c>
      <c r="S77" s="174">
        <v>0.6</v>
      </c>
      <c r="U77" t="str">
        <f t="shared" si="9"/>
        <v>איקליפטוס יפה-עלים</v>
      </c>
      <c r="V77" s="176">
        <v>3</v>
      </c>
      <c r="AD77">
        <f>COUNTIF(סקר!$AT$11:$AT$880,P77)</f>
        <v>0</v>
      </c>
      <c r="AF77">
        <f t="shared" si="8"/>
        <v>0</v>
      </c>
      <c r="AY77" s="47" t="s">
        <v>310</v>
      </c>
      <c r="AZ77" s="106">
        <v>0.78</v>
      </c>
      <c r="BA77" s="106">
        <v>0.78</v>
      </c>
      <c r="BC77">
        <f t="shared" si="10"/>
        <v>0</v>
      </c>
      <c r="BD77" s="92">
        <v>4</v>
      </c>
    </row>
    <row r="78" spans="16:56" ht="63">
      <c r="P78" s="164" t="s">
        <v>906</v>
      </c>
      <c r="Q78" s="168" t="s">
        <v>1135</v>
      </c>
      <c r="R78" s="174">
        <v>0.57999999999999996</v>
      </c>
      <c r="S78" s="174">
        <v>0.57999999999999996</v>
      </c>
      <c r="U78" t="str">
        <f t="shared" si="9"/>
        <v>איקליפטוס כדורי</v>
      </c>
      <c r="V78" s="176">
        <v>3</v>
      </c>
      <c r="AD78">
        <f>COUNTIF(סקר!$AT$11:$AT$880,P78)</f>
        <v>0</v>
      </c>
      <c r="AF78">
        <f t="shared" si="8"/>
        <v>0</v>
      </c>
      <c r="AY78" s="47" t="s">
        <v>311</v>
      </c>
      <c r="AZ78" s="106">
        <v>0.48</v>
      </c>
      <c r="BA78" s="106">
        <v>0.48</v>
      </c>
      <c r="BC78">
        <f t="shared" si="10"/>
        <v>0</v>
      </c>
      <c r="BD78" s="92">
        <v>2</v>
      </c>
    </row>
    <row r="79" spans="16:56" ht="63">
      <c r="P79" s="164" t="s">
        <v>907</v>
      </c>
      <c r="Q79" s="168" t="s">
        <v>1136</v>
      </c>
      <c r="R79" s="174">
        <v>0.6</v>
      </c>
      <c r="S79" s="174">
        <v>0.6</v>
      </c>
      <c r="U79" t="str">
        <f t="shared" si="9"/>
        <v>איקליפטוס כהה-קליפה</v>
      </c>
      <c r="V79" s="176">
        <v>3</v>
      </c>
      <c r="AD79">
        <f>COUNTIF(סקר!$AT$11:$AT$880,P79)</f>
        <v>0</v>
      </c>
      <c r="AF79">
        <f t="shared" si="8"/>
        <v>0</v>
      </c>
      <c r="AY79" s="47" t="s">
        <v>95</v>
      </c>
      <c r="AZ79" s="106">
        <v>0.84</v>
      </c>
      <c r="BA79" s="106">
        <v>0.84</v>
      </c>
      <c r="BC79">
        <f t="shared" si="10"/>
        <v>0</v>
      </c>
      <c r="BD79" s="92">
        <v>4</v>
      </c>
    </row>
    <row r="80" spans="16:56" ht="63">
      <c r="P80" s="164" t="s">
        <v>908</v>
      </c>
      <c r="Q80" s="168" t="s">
        <v>1137</v>
      </c>
      <c r="R80" s="174">
        <v>0.6</v>
      </c>
      <c r="S80" s="174">
        <v>0.6</v>
      </c>
      <c r="U80" t="str">
        <f t="shared" si="9"/>
        <v>איקליפטוס כלאיים</v>
      </c>
      <c r="V80" s="176">
        <v>3</v>
      </c>
      <c r="AD80">
        <f>COUNTIF(סקר!$AT$11:$AT$880,P80)</f>
        <v>0</v>
      </c>
      <c r="AF80">
        <f t="shared" si="8"/>
        <v>0</v>
      </c>
      <c r="AY80" s="47" t="s">
        <v>313</v>
      </c>
      <c r="AZ80" s="106">
        <v>0.79</v>
      </c>
      <c r="BA80" s="106">
        <v>0.79</v>
      </c>
      <c r="BC80">
        <f t="shared" si="10"/>
        <v>0</v>
      </c>
      <c r="BD80" s="92">
        <v>4</v>
      </c>
    </row>
    <row r="81" spans="16:56" ht="31.5">
      <c r="P81" s="164" t="s">
        <v>909</v>
      </c>
      <c r="Q81" s="168" t="s">
        <v>1138</v>
      </c>
      <c r="R81" s="174">
        <v>0.6</v>
      </c>
      <c r="S81" s="174">
        <v>0.6</v>
      </c>
      <c r="U81" t="str">
        <f t="shared" si="9"/>
        <v>איקליפטוס כתום</v>
      </c>
      <c r="V81" s="176">
        <v>3</v>
      </c>
      <c r="AD81">
        <f>COUNTIF(סקר!$AT$11:$AT$880,P81)</f>
        <v>0</v>
      </c>
      <c r="AF81">
        <f t="shared" si="8"/>
        <v>0</v>
      </c>
      <c r="AY81" s="47" t="s">
        <v>653</v>
      </c>
      <c r="AZ81" s="106">
        <v>0.73</v>
      </c>
      <c r="BA81" s="106">
        <v>0.73</v>
      </c>
      <c r="BC81">
        <f t="shared" si="10"/>
        <v>0</v>
      </c>
      <c r="BD81" s="92">
        <v>4</v>
      </c>
    </row>
    <row r="82" spans="16:56" ht="63">
      <c r="P82" s="164" t="s">
        <v>910</v>
      </c>
      <c r="Q82" s="168" t="s">
        <v>1139</v>
      </c>
      <c r="R82" s="174">
        <v>0.64</v>
      </c>
      <c r="S82" s="174">
        <v>0.64</v>
      </c>
      <c r="U82" t="str">
        <f t="shared" si="9"/>
        <v>איקליפטוס לבן-ארגמן</v>
      </c>
      <c r="V82" s="176">
        <v>3</v>
      </c>
      <c r="AD82">
        <f>COUNTIF(סקר!$AT$11:$AT$880,P82)</f>
        <v>0</v>
      </c>
      <c r="AF82">
        <f t="shared" si="8"/>
        <v>0</v>
      </c>
      <c r="AY82" s="47" t="s">
        <v>314</v>
      </c>
      <c r="AZ82" s="106">
        <v>0.8</v>
      </c>
      <c r="BA82" s="106">
        <v>0.8</v>
      </c>
      <c r="BC82">
        <f t="shared" si="10"/>
        <v>0</v>
      </c>
      <c r="BD82" s="92">
        <v>4</v>
      </c>
    </row>
    <row r="83" spans="16:56" ht="47.25">
      <c r="P83" s="164" t="s">
        <v>1359</v>
      </c>
      <c r="Q83" s="168" t="s">
        <v>1140</v>
      </c>
      <c r="R83" s="174">
        <v>0.64</v>
      </c>
      <c r="S83" s="174">
        <v>0.64</v>
      </c>
      <c r="U83" t="str">
        <f t="shared" si="9"/>
        <v>איקליפטוס לימוני</v>
      </c>
      <c r="V83" s="176">
        <v>3</v>
      </c>
      <c r="AD83">
        <f>COUNTIF(סקר!$AT$11:$AT$880,P83)</f>
        <v>0</v>
      </c>
      <c r="AF83">
        <f t="shared" si="8"/>
        <v>0</v>
      </c>
      <c r="AY83" s="47" t="s">
        <v>316</v>
      </c>
      <c r="AZ83" s="106">
        <v>0.65</v>
      </c>
      <c r="BA83" s="106">
        <v>0.65</v>
      </c>
      <c r="BC83">
        <f t="shared" si="10"/>
        <v>0</v>
      </c>
      <c r="BD83" s="92">
        <v>3</v>
      </c>
    </row>
    <row r="84" spans="16:56" ht="47.25">
      <c r="P84" s="164" t="s">
        <v>911</v>
      </c>
      <c r="Q84" s="168" t="s">
        <v>1141</v>
      </c>
      <c r="R84" s="174">
        <v>0.6</v>
      </c>
      <c r="S84" s="174">
        <v>0.6</v>
      </c>
      <c r="U84" t="str">
        <f t="shared" si="9"/>
        <v>איקליפטוס למן</v>
      </c>
      <c r="V84" s="176">
        <v>3</v>
      </c>
      <c r="AD84">
        <f>COUNTIF(סקר!$AT$11:$AT$880,P84)</f>
        <v>0</v>
      </c>
      <c r="AF84">
        <f t="shared" si="8"/>
        <v>0</v>
      </c>
      <c r="AY84" s="47" t="s">
        <v>101</v>
      </c>
      <c r="AZ84" s="106">
        <v>0.56000000000000005</v>
      </c>
      <c r="BA84" s="106">
        <v>0.56000000000000005</v>
      </c>
      <c r="BC84">
        <f t="shared" si="10"/>
        <v>0</v>
      </c>
      <c r="BD84" s="92">
        <v>3</v>
      </c>
    </row>
    <row r="85" spans="16:56" ht="63">
      <c r="P85" s="164" t="s">
        <v>912</v>
      </c>
      <c r="Q85" s="168" t="s">
        <v>1142</v>
      </c>
      <c r="R85" s="174">
        <v>0.6</v>
      </c>
      <c r="S85" s="174">
        <v>0.6</v>
      </c>
      <c r="U85" t="str">
        <f t="shared" si="9"/>
        <v>איקליפטוס לנסדון</v>
      </c>
      <c r="V85" s="176">
        <v>3</v>
      </c>
      <c r="AD85">
        <f>COUNTIF(סקר!$AT$11:$AT$880,P85)</f>
        <v>0</v>
      </c>
      <c r="AF85">
        <f t="shared" si="8"/>
        <v>0</v>
      </c>
      <c r="AY85" s="47" t="s">
        <v>654</v>
      </c>
      <c r="AZ85" s="106">
        <v>0.56000000000000005</v>
      </c>
      <c r="BA85" s="106">
        <v>0.56000000000000005</v>
      </c>
      <c r="BC85">
        <f t="shared" si="10"/>
        <v>0</v>
      </c>
      <c r="BD85" s="92">
        <v>3</v>
      </c>
    </row>
    <row r="86" spans="16:56" ht="47.25">
      <c r="P86" s="164" t="s">
        <v>913</v>
      </c>
      <c r="Q86" s="168" t="s">
        <v>1143</v>
      </c>
      <c r="R86" s="174">
        <v>0.62</v>
      </c>
      <c r="S86" s="174">
        <v>0.62</v>
      </c>
      <c r="U86" t="str">
        <f t="shared" si="9"/>
        <v>איקליפטוס מאובק</v>
      </c>
      <c r="V86" s="176">
        <v>3</v>
      </c>
      <c r="AD86">
        <f>COUNTIF(סקר!$AT$11:$AT$880,P86)</f>
        <v>0</v>
      </c>
      <c r="AF86">
        <f t="shared" si="8"/>
        <v>0</v>
      </c>
      <c r="AY86" s="47" t="s">
        <v>318</v>
      </c>
      <c r="AZ86" s="106">
        <v>0.55000000000000004</v>
      </c>
      <c r="BA86" s="106">
        <v>0.55000000000000004</v>
      </c>
      <c r="BC86">
        <f t="shared" si="10"/>
        <v>0</v>
      </c>
      <c r="BD86" s="92">
        <v>3</v>
      </c>
    </row>
    <row r="87" spans="16:56" ht="47.25">
      <c r="P87" s="164" t="s">
        <v>914</v>
      </c>
      <c r="Q87" s="168" t="s">
        <v>1144</v>
      </c>
      <c r="R87" s="174">
        <v>0.67</v>
      </c>
      <c r="S87" s="174">
        <v>0.67</v>
      </c>
      <c r="U87" t="str">
        <f t="shared" si="9"/>
        <v>איקליפטוס מאפיר</v>
      </c>
      <c r="V87" s="176">
        <v>3</v>
      </c>
      <c r="AD87">
        <f>COUNTIF(סקר!$AT$11:$AT$880,P87)</f>
        <v>0</v>
      </c>
      <c r="AF87">
        <f t="shared" si="8"/>
        <v>0</v>
      </c>
      <c r="AY87" s="47" t="s">
        <v>655</v>
      </c>
      <c r="AZ87" s="106">
        <v>0.5</v>
      </c>
      <c r="BA87" s="106">
        <v>0.5</v>
      </c>
      <c r="BC87">
        <f t="shared" si="10"/>
        <v>0</v>
      </c>
      <c r="BD87" s="92">
        <v>3</v>
      </c>
    </row>
    <row r="88" spans="16:56" ht="47.25">
      <c r="P88" s="164" t="s">
        <v>915</v>
      </c>
      <c r="Q88" s="168" t="s">
        <v>1145</v>
      </c>
      <c r="R88" s="174">
        <v>0.6</v>
      </c>
      <c r="S88" s="174">
        <v>0.6</v>
      </c>
      <c r="U88" t="str">
        <f t="shared" si="9"/>
        <v>איקליפטוס מוכתם</v>
      </c>
      <c r="V88" s="176">
        <v>3</v>
      </c>
      <c r="AD88">
        <f>COUNTIF(סקר!$AT$11:$AT$880,P88)</f>
        <v>0</v>
      </c>
      <c r="AF88">
        <f t="shared" si="8"/>
        <v>0</v>
      </c>
      <c r="AY88" s="47" t="s">
        <v>103</v>
      </c>
      <c r="AZ88" s="106">
        <v>0.67</v>
      </c>
      <c r="BA88" s="106">
        <v>0.67</v>
      </c>
      <c r="BC88">
        <f t="shared" si="10"/>
        <v>0</v>
      </c>
      <c r="BD88" s="92">
        <v>3</v>
      </c>
    </row>
    <row r="89" spans="16:56" ht="63">
      <c r="P89" s="164" t="s">
        <v>916</v>
      </c>
      <c r="Q89" s="168" t="s">
        <v>1146</v>
      </c>
      <c r="R89" s="174">
        <v>0.6</v>
      </c>
      <c r="S89" s="174">
        <v>0.6</v>
      </c>
      <c r="U89" t="str">
        <f t="shared" si="9"/>
        <v>איקליפטוס מיידן</v>
      </c>
      <c r="V89" s="176">
        <v>3</v>
      </c>
      <c r="AD89">
        <f>COUNTIF(סקר!$AT$11:$AT$880,P89)</f>
        <v>0</v>
      </c>
      <c r="AF89">
        <f t="shared" si="8"/>
        <v>0</v>
      </c>
      <c r="AY89" s="47" t="s">
        <v>320</v>
      </c>
      <c r="AZ89" s="106">
        <v>0.68</v>
      </c>
      <c r="BA89" s="106">
        <v>0.68</v>
      </c>
      <c r="BC89">
        <f t="shared" si="10"/>
        <v>0</v>
      </c>
      <c r="BD89" s="92">
        <v>3</v>
      </c>
    </row>
    <row r="90" spans="16:56" ht="15.75">
      <c r="P90" s="164" t="s">
        <v>917</v>
      </c>
      <c r="Q90" s="168" t="s">
        <v>1147</v>
      </c>
      <c r="R90" s="174">
        <v>0.6</v>
      </c>
      <c r="S90" s="174">
        <v>0.6</v>
      </c>
      <c r="U90" t="str">
        <f t="shared" si="9"/>
        <v>איקליפטוס מכבדי</v>
      </c>
      <c r="V90" s="176">
        <v>3</v>
      </c>
      <c r="AD90">
        <f>COUNTIF(סקר!$AT$11:$AT$880,P90)</f>
        <v>0</v>
      </c>
      <c r="AF90">
        <f t="shared" si="8"/>
        <v>0</v>
      </c>
      <c r="AY90" s="49" t="s">
        <v>656</v>
      </c>
      <c r="AZ90" s="106">
        <v>0.43</v>
      </c>
      <c r="BA90" s="106">
        <v>0.43</v>
      </c>
      <c r="BC90">
        <f t="shared" si="10"/>
        <v>0</v>
      </c>
      <c r="BD90" s="92">
        <v>2</v>
      </c>
    </row>
    <row r="91" spans="16:56" ht="15.75">
      <c r="P91" s="164" t="s">
        <v>918</v>
      </c>
      <c r="Q91" s="168" t="s">
        <v>1148</v>
      </c>
      <c r="R91" s="174">
        <v>0.6</v>
      </c>
      <c r="S91" s="174">
        <v>0.6</v>
      </c>
      <c r="U91" t="str">
        <f t="shared" si="9"/>
        <v>איקליפטוס מכחיל</v>
      </c>
      <c r="V91" s="176">
        <v>3</v>
      </c>
      <c r="AD91">
        <f>COUNTIF(סקר!$AT$11:$AT$880,P91)</f>
        <v>0</v>
      </c>
      <c r="AF91">
        <f t="shared" si="8"/>
        <v>0</v>
      </c>
      <c r="AY91" s="49" t="s">
        <v>657</v>
      </c>
      <c r="AZ91" s="106">
        <v>0.4</v>
      </c>
      <c r="BA91" s="106">
        <v>0.4</v>
      </c>
      <c r="BC91">
        <f t="shared" si="10"/>
        <v>0</v>
      </c>
      <c r="BD91" s="92">
        <v>2</v>
      </c>
    </row>
    <row r="92" spans="16:56" ht="31.5">
      <c r="P92" s="164" t="s">
        <v>919</v>
      </c>
      <c r="Q92" s="168" t="s">
        <v>1149</v>
      </c>
      <c r="R92" s="174">
        <v>0.64</v>
      </c>
      <c r="S92" s="174">
        <v>0.64</v>
      </c>
      <c r="U92" t="str">
        <f t="shared" si="9"/>
        <v>איקליפטוס מכסיף</v>
      </c>
      <c r="V92" s="176">
        <v>3</v>
      </c>
      <c r="AD92">
        <f>COUNTIF(סקר!$AT$11:$AT$880,P92)</f>
        <v>0</v>
      </c>
      <c r="AF92">
        <f t="shared" si="8"/>
        <v>0</v>
      </c>
      <c r="AY92" s="47" t="s">
        <v>323</v>
      </c>
      <c r="AZ92" s="106">
        <v>0.85</v>
      </c>
      <c r="BA92" s="106">
        <v>0.85</v>
      </c>
      <c r="BC92">
        <f t="shared" si="10"/>
        <v>0</v>
      </c>
      <c r="BD92" s="92">
        <v>4</v>
      </c>
    </row>
    <row r="93" spans="16:56" ht="63">
      <c r="P93" s="163" t="s">
        <v>526</v>
      </c>
      <c r="Q93" s="169" t="s">
        <v>642</v>
      </c>
      <c r="R93" s="174">
        <v>0.6</v>
      </c>
      <c r="S93" s="174">
        <v>0.6</v>
      </c>
      <c r="U93" t="str">
        <f t="shared" si="9"/>
        <v>איקליפטוס מסמרי</v>
      </c>
      <c r="V93" s="175">
        <v>3</v>
      </c>
      <c r="AD93">
        <f>COUNTIF(סקר!$AT$11:$AT$880,P93)</f>
        <v>0</v>
      </c>
      <c r="AF93">
        <f t="shared" si="8"/>
        <v>0</v>
      </c>
      <c r="AY93" s="47" t="s">
        <v>324</v>
      </c>
      <c r="AZ93" s="106">
        <v>0.61</v>
      </c>
      <c r="BA93" s="106">
        <v>0.61</v>
      </c>
      <c r="BC93">
        <f t="shared" si="10"/>
        <v>0</v>
      </c>
      <c r="BD93" s="92">
        <v>3</v>
      </c>
    </row>
    <row r="94" spans="16:56" ht="31.5">
      <c r="P94" s="164" t="s">
        <v>920</v>
      </c>
      <c r="Q94" s="168" t="s">
        <v>1150</v>
      </c>
      <c r="R94" s="174">
        <v>0.6</v>
      </c>
      <c r="S94" s="174">
        <v>0.6</v>
      </c>
      <c r="U94" t="str">
        <f t="shared" si="9"/>
        <v>איקליפטוס מעובה</v>
      </c>
      <c r="V94" s="176">
        <v>3</v>
      </c>
      <c r="AD94">
        <f>COUNTIF(סקר!$AT$11:$AT$880,P94)</f>
        <v>0</v>
      </c>
      <c r="AF94">
        <f t="shared" si="8"/>
        <v>0</v>
      </c>
      <c r="AY94" s="47" t="s">
        <v>325</v>
      </c>
      <c r="AZ94" s="106">
        <v>0.63</v>
      </c>
      <c r="BA94" s="106">
        <v>0.63</v>
      </c>
      <c r="BC94">
        <f t="shared" si="10"/>
        <v>0</v>
      </c>
      <c r="BD94" s="92">
        <v>3</v>
      </c>
    </row>
    <row r="95" spans="16:56" ht="47.25">
      <c r="P95" s="164" t="s">
        <v>921</v>
      </c>
      <c r="Q95" s="168" t="s">
        <v>1151</v>
      </c>
      <c r="R95" s="174">
        <v>0.6</v>
      </c>
      <c r="S95" s="174">
        <v>0.6</v>
      </c>
      <c r="U95" t="str">
        <f t="shared" si="9"/>
        <v>איקליפטוס מערבי</v>
      </c>
      <c r="V95" s="176">
        <v>3</v>
      </c>
      <c r="AD95">
        <f>COUNTIF(סקר!$AT$11:$AT$880,P95)</f>
        <v>0</v>
      </c>
      <c r="AF95">
        <f t="shared" si="8"/>
        <v>0</v>
      </c>
      <c r="AY95" s="47" t="s">
        <v>658</v>
      </c>
      <c r="AZ95" s="106">
        <v>0.53</v>
      </c>
      <c r="BA95" s="106">
        <v>0.53</v>
      </c>
      <c r="BC95">
        <f t="shared" si="10"/>
        <v>0</v>
      </c>
      <c r="BD95" s="92">
        <v>3</v>
      </c>
    </row>
    <row r="96" spans="16:56" ht="47.25">
      <c r="P96" s="164" t="s">
        <v>922</v>
      </c>
      <c r="Q96" s="168" t="s">
        <v>1152</v>
      </c>
      <c r="R96" s="174">
        <v>0.6</v>
      </c>
      <c r="S96" s="174">
        <v>0.6</v>
      </c>
      <c r="U96" t="str">
        <f t="shared" si="9"/>
        <v>איקליפטוס מצולע</v>
      </c>
      <c r="V96" s="176">
        <v>3</v>
      </c>
      <c r="AD96">
        <f>COUNTIF(סקר!$AT$11:$AT$880,P96)</f>
        <v>0</v>
      </c>
      <c r="AF96">
        <f t="shared" si="8"/>
        <v>0</v>
      </c>
      <c r="AY96" s="47" t="s">
        <v>327</v>
      </c>
      <c r="AZ96" s="106">
        <v>0.52</v>
      </c>
      <c r="BA96" s="106">
        <v>0.52</v>
      </c>
      <c r="BC96">
        <f t="shared" si="10"/>
        <v>0</v>
      </c>
      <c r="BD96" s="92">
        <v>3</v>
      </c>
    </row>
    <row r="97" spans="16:56" ht="31.5">
      <c r="P97" s="164" t="s">
        <v>923</v>
      </c>
      <c r="Q97" s="168" t="s">
        <v>1153</v>
      </c>
      <c r="R97" s="174">
        <v>0.67</v>
      </c>
      <c r="S97" s="174">
        <v>0.67</v>
      </c>
      <c r="U97" t="str">
        <f t="shared" si="9"/>
        <v>איקליפטוס מקופל-פרי</v>
      </c>
      <c r="V97" s="176">
        <v>3</v>
      </c>
      <c r="AD97">
        <f>COUNTIF(סקר!$AT$11:$AT$880,P97)</f>
        <v>0</v>
      </c>
      <c r="AF97">
        <f t="shared" si="8"/>
        <v>0</v>
      </c>
      <c r="AY97" s="47" t="s">
        <v>328</v>
      </c>
      <c r="AZ97" s="106">
        <v>0.78</v>
      </c>
      <c r="BA97" s="106">
        <v>0.78</v>
      </c>
      <c r="BC97">
        <f t="shared" si="10"/>
        <v>0</v>
      </c>
      <c r="BD97" s="92">
        <v>4</v>
      </c>
    </row>
    <row r="98" spans="16:56" ht="47.25">
      <c r="P98" s="164" t="s">
        <v>924</v>
      </c>
      <c r="Q98" s="168" t="s">
        <v>1154</v>
      </c>
      <c r="R98" s="174">
        <v>0.6</v>
      </c>
      <c r="S98" s="174">
        <v>0.6</v>
      </c>
      <c r="U98" t="str">
        <f t="shared" si="9"/>
        <v>איקליפטוס מרובע</v>
      </c>
      <c r="V98" s="176">
        <v>3</v>
      </c>
      <c r="AD98">
        <f>COUNTIF(סקר!$AT$11:$AT$880,P98)</f>
        <v>0</v>
      </c>
      <c r="AF98">
        <f t="shared" si="8"/>
        <v>0</v>
      </c>
      <c r="AY98" s="47" t="s">
        <v>659</v>
      </c>
      <c r="AZ98" s="106">
        <v>0.7</v>
      </c>
      <c r="BA98" s="106">
        <v>0.7</v>
      </c>
      <c r="BC98">
        <f t="shared" si="10"/>
        <v>0</v>
      </c>
      <c r="BD98" s="92">
        <v>4</v>
      </c>
    </row>
    <row r="99" spans="16:56" ht="47.25">
      <c r="P99" s="164" t="s">
        <v>925</v>
      </c>
      <c r="Q99" s="168" t="s">
        <v>1155</v>
      </c>
      <c r="R99" s="174">
        <v>0.6</v>
      </c>
      <c r="S99" s="174">
        <v>0.6</v>
      </c>
      <c r="U99" t="str">
        <f t="shared" si="9"/>
        <v>איקליפטוס מריתי</v>
      </c>
      <c r="V99" s="176">
        <v>3</v>
      </c>
      <c r="AD99">
        <f>COUNTIF(סקר!$AT$11:$AT$880,P99)</f>
        <v>0</v>
      </c>
      <c r="AF99">
        <f t="shared" ref="AF99:AF130" si="11">IF(AD99&gt;0,U99,0)</f>
        <v>0</v>
      </c>
      <c r="AY99" s="47" t="s">
        <v>330</v>
      </c>
      <c r="AZ99" s="106">
        <v>0.68</v>
      </c>
      <c r="BA99" s="106">
        <v>0.68</v>
      </c>
      <c r="BC99">
        <f t="shared" si="10"/>
        <v>0</v>
      </c>
      <c r="BD99" s="92">
        <v>3</v>
      </c>
    </row>
    <row r="100" spans="16:56" ht="63">
      <c r="P100" s="164" t="s">
        <v>926</v>
      </c>
      <c r="Q100" s="168" t="s">
        <v>1156</v>
      </c>
      <c r="R100" s="174">
        <v>0.6</v>
      </c>
      <c r="S100" s="174">
        <v>0.6</v>
      </c>
      <c r="U100" t="str">
        <f t="shared" ref="U100:U131" si="12">P100</f>
        <v>איקליפטוס נאה</v>
      </c>
      <c r="V100" s="176">
        <v>3</v>
      </c>
      <c r="AD100">
        <f>COUNTIF(סקר!$AT$11:$AT$880,P100)</f>
        <v>0</v>
      </c>
      <c r="AF100">
        <f t="shared" si="11"/>
        <v>0</v>
      </c>
      <c r="AY100" s="47" t="s">
        <v>660</v>
      </c>
      <c r="AZ100" s="106">
        <v>0.51</v>
      </c>
      <c r="BA100" s="106">
        <v>0.51</v>
      </c>
      <c r="BC100">
        <f t="shared" si="10"/>
        <v>0</v>
      </c>
      <c r="BD100" s="92">
        <v>3</v>
      </c>
    </row>
    <row r="101" spans="16:56" ht="31.5">
      <c r="P101" s="164" t="s">
        <v>927</v>
      </c>
      <c r="Q101" s="168" t="s">
        <v>1157</v>
      </c>
      <c r="R101" s="174">
        <v>0.56999999999999995</v>
      </c>
      <c r="S101" s="174">
        <v>0.56999999999999995</v>
      </c>
      <c r="U101" t="str">
        <f t="shared" si="12"/>
        <v>איקליפטוס נטוי</v>
      </c>
      <c r="V101" s="176">
        <v>3</v>
      </c>
      <c r="AD101">
        <f>COUNTIF(סקר!$AT$11:$AT$880,P101)</f>
        <v>0</v>
      </c>
      <c r="AF101">
        <f t="shared" si="11"/>
        <v>0</v>
      </c>
      <c r="AY101" s="47" t="s">
        <v>661</v>
      </c>
      <c r="AZ101" s="106">
        <v>0.43</v>
      </c>
      <c r="BA101" s="106">
        <v>0.43</v>
      </c>
      <c r="BC101">
        <f t="shared" si="10"/>
        <v>0</v>
      </c>
      <c r="BD101" s="92">
        <v>2</v>
      </c>
    </row>
    <row r="102" spans="16:56" ht="47.25">
      <c r="P102" s="164" t="s">
        <v>928</v>
      </c>
      <c r="Q102" s="168" t="s">
        <v>1158</v>
      </c>
      <c r="R102" s="174">
        <v>0.6</v>
      </c>
      <c r="S102" s="174">
        <v>0.6</v>
      </c>
      <c r="U102" t="str">
        <f t="shared" si="12"/>
        <v>איקליפטוס סטריקלנד</v>
      </c>
      <c r="V102" s="176">
        <v>3</v>
      </c>
      <c r="AD102">
        <f>COUNTIF(סקר!$AT$11:$AT$880,P102)</f>
        <v>0</v>
      </c>
      <c r="AF102">
        <f t="shared" si="11"/>
        <v>0</v>
      </c>
      <c r="AY102" s="47" t="s">
        <v>331</v>
      </c>
      <c r="AZ102" s="106">
        <v>0.51</v>
      </c>
      <c r="BA102" s="106">
        <v>0.51</v>
      </c>
      <c r="BC102">
        <f t="shared" si="10"/>
        <v>0</v>
      </c>
      <c r="BD102" s="92">
        <v>3</v>
      </c>
    </row>
    <row r="103" spans="16:56" ht="31.5">
      <c r="P103" s="164" t="s">
        <v>929</v>
      </c>
      <c r="Q103" s="168" t="s">
        <v>1159</v>
      </c>
      <c r="R103" s="174">
        <v>0.6</v>
      </c>
      <c r="S103" s="174">
        <v>0.6</v>
      </c>
      <c r="U103" t="str">
        <f t="shared" si="12"/>
        <v>איקליפטוס ססגוני</v>
      </c>
      <c r="V103" s="176">
        <v>3</v>
      </c>
      <c r="AD103">
        <f>COUNTIF(סקר!$AT$11:$AT$880,P103)</f>
        <v>0</v>
      </c>
      <c r="AF103">
        <f t="shared" si="11"/>
        <v>0</v>
      </c>
      <c r="AY103" s="47" t="s">
        <v>117</v>
      </c>
      <c r="AZ103" s="106">
        <v>0.8</v>
      </c>
      <c r="BA103" s="106">
        <v>0.8</v>
      </c>
      <c r="BC103">
        <f t="shared" si="10"/>
        <v>0</v>
      </c>
      <c r="BD103" s="92">
        <v>4</v>
      </c>
    </row>
    <row r="104" spans="16:56" ht="15.75">
      <c r="P104" s="164" t="s">
        <v>930</v>
      </c>
      <c r="Q104" s="168" t="s">
        <v>1160</v>
      </c>
      <c r="R104" s="174">
        <v>0.6</v>
      </c>
      <c r="S104" s="174">
        <v>0.6</v>
      </c>
      <c r="U104" t="str">
        <f t="shared" si="12"/>
        <v>איקליפטוס סרגנטי</v>
      </c>
      <c r="V104" s="176">
        <v>3</v>
      </c>
      <c r="AD104">
        <f>COUNTIF(סקר!$AT$11:$AT$880,P104)</f>
        <v>0</v>
      </c>
      <c r="AF104">
        <f t="shared" si="11"/>
        <v>0</v>
      </c>
      <c r="AY104" s="49" t="s">
        <v>662</v>
      </c>
      <c r="AZ104" s="106">
        <v>0.44</v>
      </c>
      <c r="BA104" s="106">
        <v>0.44</v>
      </c>
      <c r="BC104">
        <f t="shared" si="10"/>
        <v>0</v>
      </c>
      <c r="BD104" s="92">
        <v>2</v>
      </c>
    </row>
    <row r="105" spans="16:56" ht="15.75">
      <c r="P105" s="164" t="s">
        <v>931</v>
      </c>
      <c r="Q105" s="168" t="s">
        <v>1161</v>
      </c>
      <c r="R105" s="174">
        <v>0.56999999999999995</v>
      </c>
      <c r="S105" s="174">
        <v>0.56999999999999995</v>
      </c>
      <c r="U105" t="str">
        <f t="shared" si="12"/>
        <v>איקליפטוס עדין</v>
      </c>
      <c r="V105" s="176">
        <v>3</v>
      </c>
      <c r="AD105">
        <f>COUNTIF(סקר!$AT$11:$AT$880,P105)</f>
        <v>0</v>
      </c>
      <c r="AF105">
        <f t="shared" si="11"/>
        <v>0</v>
      </c>
      <c r="AY105" s="49" t="s">
        <v>663</v>
      </c>
      <c r="AZ105" s="106">
        <v>0.46</v>
      </c>
      <c r="BA105" s="106">
        <v>0.46</v>
      </c>
      <c r="BC105">
        <f t="shared" si="10"/>
        <v>0</v>
      </c>
      <c r="BD105" s="92">
        <v>2</v>
      </c>
    </row>
    <row r="106" spans="16:56" ht="47.25">
      <c r="P106" s="164" t="s">
        <v>932</v>
      </c>
      <c r="Q106" s="168" t="s">
        <v>1162</v>
      </c>
      <c r="R106" s="174">
        <v>0.57999999999999996</v>
      </c>
      <c r="S106" s="174">
        <v>0.57999999999999996</v>
      </c>
      <c r="U106" t="str">
        <f t="shared" si="12"/>
        <v>איקליפטוס עפיץ</v>
      </c>
      <c r="V106" s="176">
        <v>3</v>
      </c>
      <c r="AD106">
        <f>COUNTIF(סקר!$AT$11:$AT$880,P106)</f>
        <v>0</v>
      </c>
      <c r="AF106">
        <f t="shared" si="11"/>
        <v>0</v>
      </c>
      <c r="AY106" s="47" t="s">
        <v>333</v>
      </c>
      <c r="AZ106" s="106">
        <v>0.5</v>
      </c>
      <c r="BA106" s="106">
        <v>0.5</v>
      </c>
      <c r="BC106">
        <f t="shared" si="10"/>
        <v>0</v>
      </c>
      <c r="BD106" s="92">
        <v>3</v>
      </c>
    </row>
    <row r="107" spans="16:56" ht="15.75">
      <c r="P107" s="164" t="s">
        <v>933</v>
      </c>
      <c r="Q107" s="168" t="s">
        <v>1163</v>
      </c>
      <c r="R107" s="174">
        <v>0.64</v>
      </c>
      <c r="S107" s="174">
        <v>0.64</v>
      </c>
      <c r="U107" t="str">
        <f t="shared" si="12"/>
        <v>איקליפטוס ערבתי</v>
      </c>
      <c r="V107" s="176">
        <v>3</v>
      </c>
      <c r="AD107">
        <f>COUNTIF(סקר!$AT$11:$AT$880,P107)</f>
        <v>0</v>
      </c>
      <c r="AF107">
        <f t="shared" si="11"/>
        <v>0</v>
      </c>
      <c r="AY107" s="49" t="s">
        <v>664</v>
      </c>
      <c r="AZ107" s="106">
        <v>0.56000000000000005</v>
      </c>
      <c r="BA107" s="106">
        <v>0.56000000000000005</v>
      </c>
      <c r="BC107">
        <f t="shared" si="10"/>
        <v>0</v>
      </c>
      <c r="BD107" s="92">
        <v>3</v>
      </c>
    </row>
    <row r="108" spans="16:56" ht="15.75">
      <c r="P108" s="164" t="s">
        <v>934</v>
      </c>
      <c r="Q108" s="168" t="s">
        <v>1164</v>
      </c>
      <c r="R108" s="174">
        <v>0.6</v>
      </c>
      <c r="S108" s="174">
        <v>0.6</v>
      </c>
      <c r="U108" t="str">
        <f t="shared" si="12"/>
        <v>איקליפטוס פורה</v>
      </c>
      <c r="V108" s="176">
        <v>3</v>
      </c>
      <c r="AD108">
        <f>COUNTIF(סקר!$AT$11:$AT$880,P108)</f>
        <v>0</v>
      </c>
      <c r="AF108">
        <f t="shared" si="11"/>
        <v>0</v>
      </c>
      <c r="AY108" s="49" t="s">
        <v>665</v>
      </c>
      <c r="AZ108" s="106">
        <v>0.45</v>
      </c>
      <c r="BA108" s="106">
        <v>0.45</v>
      </c>
      <c r="BC108">
        <f t="shared" si="10"/>
        <v>0</v>
      </c>
      <c r="BD108" s="92">
        <v>2</v>
      </c>
    </row>
    <row r="109" spans="16:56" ht="15.75">
      <c r="P109" s="164" t="s">
        <v>935</v>
      </c>
      <c r="Q109" s="168" t="s">
        <v>1165</v>
      </c>
      <c r="R109" s="174">
        <v>0.6</v>
      </c>
      <c r="S109" s="174">
        <v>0.6</v>
      </c>
      <c r="U109" t="str">
        <f t="shared" si="12"/>
        <v>איקליפטוס פורמני</v>
      </c>
      <c r="V109" s="176">
        <v>3</v>
      </c>
      <c r="AD109">
        <f>COUNTIF(סקר!$AT$11:$AT$880,P109)</f>
        <v>0</v>
      </c>
      <c r="AF109">
        <f t="shared" si="11"/>
        <v>0</v>
      </c>
      <c r="AY109" s="49" t="s">
        <v>666</v>
      </c>
      <c r="AZ109" s="106">
        <v>0.45</v>
      </c>
      <c r="BA109" s="106">
        <v>0.45</v>
      </c>
      <c r="BC109">
        <f t="shared" si="10"/>
        <v>0</v>
      </c>
      <c r="BD109" s="92">
        <v>2</v>
      </c>
    </row>
    <row r="110" spans="16:56" ht="15.75">
      <c r="P110" s="164" t="s">
        <v>936</v>
      </c>
      <c r="Q110" s="168" t="s">
        <v>1166</v>
      </c>
      <c r="R110" s="174">
        <v>0.6</v>
      </c>
      <c r="S110" s="174">
        <v>0.6</v>
      </c>
      <c r="U110" t="str">
        <f t="shared" si="12"/>
        <v>איקליפטוס פלוקטון</v>
      </c>
      <c r="V110" s="176">
        <v>3</v>
      </c>
      <c r="AD110">
        <f>COUNTIF(סקר!$AT$11:$AT$880,P110)</f>
        <v>0</v>
      </c>
      <c r="AF110">
        <f t="shared" si="11"/>
        <v>0</v>
      </c>
      <c r="AY110" s="49" t="s">
        <v>667</v>
      </c>
      <c r="AZ110" s="106">
        <v>0.47</v>
      </c>
      <c r="BA110" s="106">
        <v>0.47</v>
      </c>
      <c r="BC110">
        <f t="shared" si="10"/>
        <v>0</v>
      </c>
      <c r="BD110" s="92">
        <v>2</v>
      </c>
    </row>
    <row r="111" spans="16:56" ht="31.5">
      <c r="P111" s="164" t="s">
        <v>937</v>
      </c>
      <c r="Q111" s="168" t="s">
        <v>1167</v>
      </c>
      <c r="R111" s="174">
        <v>0.6</v>
      </c>
      <c r="S111" s="174">
        <v>0.6</v>
      </c>
      <c r="U111" t="str">
        <f t="shared" si="12"/>
        <v>איקליפטוס פרין</v>
      </c>
      <c r="V111" s="176">
        <v>3</v>
      </c>
      <c r="AD111">
        <f>COUNTIF(סקר!$AT$11:$AT$880,P111)</f>
        <v>0</v>
      </c>
      <c r="AF111">
        <f t="shared" si="11"/>
        <v>0</v>
      </c>
      <c r="AY111" s="47" t="s">
        <v>120</v>
      </c>
      <c r="AZ111" s="106">
        <v>0.52</v>
      </c>
      <c r="BA111" s="106">
        <v>0.52</v>
      </c>
      <c r="BC111">
        <f t="shared" si="10"/>
        <v>0</v>
      </c>
      <c r="BD111" s="92">
        <v>3</v>
      </c>
    </row>
    <row r="112" spans="16:56" ht="63">
      <c r="P112" s="164" t="s">
        <v>938</v>
      </c>
      <c r="Q112" s="168" t="s">
        <v>1168</v>
      </c>
      <c r="R112" s="174">
        <v>0.61</v>
      </c>
      <c r="S112" s="174">
        <v>0.61</v>
      </c>
      <c r="U112" t="str">
        <f t="shared" si="12"/>
        <v>איקליפטוס צפוף</v>
      </c>
      <c r="V112" s="176">
        <v>3</v>
      </c>
      <c r="AD112">
        <f>COUNTIF(סקר!$AT$11:$AT$880,P112)</f>
        <v>0</v>
      </c>
      <c r="AF112">
        <f t="shared" si="11"/>
        <v>0</v>
      </c>
      <c r="AY112" s="47" t="s">
        <v>668</v>
      </c>
      <c r="AZ112" s="106">
        <v>0.48</v>
      </c>
      <c r="BA112" s="106">
        <v>0.48</v>
      </c>
      <c r="BC112">
        <f t="shared" si="10"/>
        <v>0</v>
      </c>
      <c r="BD112" s="92">
        <v>2</v>
      </c>
    </row>
    <row r="113" spans="16:56" ht="63">
      <c r="P113" s="164" t="s">
        <v>939</v>
      </c>
      <c r="Q113" s="168" t="s">
        <v>1169</v>
      </c>
      <c r="R113" s="174">
        <v>0.67</v>
      </c>
      <c r="S113" s="174">
        <v>0.67</v>
      </c>
      <c r="U113" t="str">
        <f t="shared" si="12"/>
        <v>איקליפטוס צפצפתי</v>
      </c>
      <c r="V113" s="176">
        <v>3</v>
      </c>
      <c r="AD113">
        <f>COUNTIF(סקר!$AT$11:$AT$880,P113)</f>
        <v>0</v>
      </c>
      <c r="AF113">
        <f t="shared" si="11"/>
        <v>0</v>
      </c>
      <c r="AY113" s="47" t="s">
        <v>335</v>
      </c>
      <c r="AZ113" s="106">
        <v>0.64</v>
      </c>
      <c r="BA113" s="106">
        <v>0.64</v>
      </c>
      <c r="BC113">
        <f t="shared" si="10"/>
        <v>0</v>
      </c>
      <c r="BD113" s="92">
        <v>3</v>
      </c>
    </row>
    <row r="114" spans="16:56" ht="16.5" customHeight="1">
      <c r="P114" s="164" t="s">
        <v>940</v>
      </c>
      <c r="Q114" s="168" t="s">
        <v>1170</v>
      </c>
      <c r="R114" s="174">
        <v>0.6</v>
      </c>
      <c r="S114" s="174">
        <v>0.6</v>
      </c>
      <c r="U114" t="str">
        <f t="shared" si="12"/>
        <v>איקליפטוס קינגסמיל</v>
      </c>
      <c r="V114" s="176">
        <v>3</v>
      </c>
      <c r="AD114">
        <f>COUNTIF(סקר!$AT$11:$AT$880,P114)</f>
        <v>0</v>
      </c>
      <c r="AF114">
        <f t="shared" si="11"/>
        <v>0</v>
      </c>
      <c r="AY114" s="47" t="s">
        <v>337</v>
      </c>
      <c r="AZ114" s="106">
        <v>0.46</v>
      </c>
      <c r="BA114" s="106">
        <v>0.46</v>
      </c>
      <c r="BC114">
        <f t="shared" si="10"/>
        <v>0</v>
      </c>
      <c r="BD114" s="92">
        <v>2</v>
      </c>
    </row>
    <row r="115" spans="16:56" ht="47.25">
      <c r="P115" s="164" t="s">
        <v>941</v>
      </c>
      <c r="Q115" s="168" t="s">
        <v>1171</v>
      </c>
      <c r="R115" s="174">
        <v>0.64</v>
      </c>
      <c r="S115" s="174">
        <v>0.64</v>
      </c>
      <c r="U115" t="str">
        <f t="shared" si="12"/>
        <v>איקליפטוס קמחי</v>
      </c>
      <c r="V115" s="176">
        <v>3</v>
      </c>
      <c r="AD115">
        <f>COUNTIF(סקר!$AT$11:$AT$880,P115)</f>
        <v>0</v>
      </c>
      <c r="AF115">
        <f t="shared" si="11"/>
        <v>0</v>
      </c>
      <c r="AY115" s="47" t="s">
        <v>339</v>
      </c>
      <c r="AZ115" s="106">
        <v>0.65</v>
      </c>
      <c r="BA115" s="106">
        <v>0.65</v>
      </c>
      <c r="BC115">
        <f t="shared" si="10"/>
        <v>0</v>
      </c>
      <c r="BD115" s="92">
        <v>3</v>
      </c>
    </row>
    <row r="116" spans="16:56" ht="31.5">
      <c r="P116" s="164" t="s">
        <v>942</v>
      </c>
      <c r="Q116" s="168" t="s">
        <v>1172</v>
      </c>
      <c r="R116" s="174">
        <v>0.6</v>
      </c>
      <c r="S116" s="174">
        <v>0.6</v>
      </c>
      <c r="U116" t="str">
        <f t="shared" si="12"/>
        <v>איקליפטוס קרנוני</v>
      </c>
      <c r="V116" s="176">
        <v>3</v>
      </c>
      <c r="AD116">
        <f>COUNTIF(סקר!$AT$11:$AT$880,P116)</f>
        <v>0</v>
      </c>
      <c r="AF116">
        <f t="shared" si="11"/>
        <v>0</v>
      </c>
      <c r="AY116" s="47" t="s">
        <v>669</v>
      </c>
      <c r="AZ116" s="106">
        <v>0.85</v>
      </c>
      <c r="BA116" s="106">
        <v>0.85</v>
      </c>
      <c r="BC116">
        <f t="shared" si="10"/>
        <v>0</v>
      </c>
      <c r="BD116" s="92">
        <v>4</v>
      </c>
    </row>
    <row r="117" spans="16:56" ht="31.5">
      <c r="P117" s="164" t="s">
        <v>943</v>
      </c>
      <c r="Q117" s="168" t="s">
        <v>1173</v>
      </c>
      <c r="R117" s="174">
        <v>0.62</v>
      </c>
      <c r="S117" s="174">
        <v>0.62</v>
      </c>
      <c r="U117" t="str">
        <f t="shared" si="12"/>
        <v>איקליפטוס רב-פרחים</v>
      </c>
      <c r="V117" s="176">
        <v>3</v>
      </c>
      <c r="AD117">
        <f>COUNTIF(סקר!$AT$11:$AT$880,P117)</f>
        <v>0</v>
      </c>
      <c r="AF117">
        <f t="shared" si="11"/>
        <v>0</v>
      </c>
      <c r="AY117" s="47" t="s">
        <v>341</v>
      </c>
      <c r="AZ117" s="106">
        <v>0.76</v>
      </c>
      <c r="BA117" s="106">
        <v>0.76</v>
      </c>
      <c r="BC117">
        <f t="shared" si="10"/>
        <v>0</v>
      </c>
      <c r="BD117" s="92">
        <v>4</v>
      </c>
    </row>
    <row r="118" spans="16:56" ht="63">
      <c r="P118" s="164" t="s">
        <v>944</v>
      </c>
      <c r="Q118" s="168" t="s">
        <v>1174</v>
      </c>
      <c r="R118" s="174">
        <v>0.6</v>
      </c>
      <c r="S118" s="174">
        <v>0.6</v>
      </c>
      <c r="U118" t="str">
        <f t="shared" si="12"/>
        <v>איקליפטוס שונה-עלים</v>
      </c>
      <c r="V118" s="176">
        <v>3</v>
      </c>
      <c r="AD118">
        <f>COUNTIF(סקר!$AT$11:$AT$880,P118)</f>
        <v>0</v>
      </c>
      <c r="AF118">
        <f t="shared" si="11"/>
        <v>0</v>
      </c>
      <c r="AY118" s="47" t="s">
        <v>343</v>
      </c>
      <c r="AZ118" s="106">
        <v>0.75</v>
      </c>
      <c r="BA118" s="106">
        <v>0.75</v>
      </c>
      <c r="BC118">
        <f t="shared" si="10"/>
        <v>0</v>
      </c>
      <c r="BD118" s="92">
        <v>4</v>
      </c>
    </row>
    <row r="119" spans="16:56" ht="31.5">
      <c r="P119" s="163" t="s">
        <v>945</v>
      </c>
      <c r="Q119" s="169" t="s">
        <v>1175</v>
      </c>
      <c r="R119" s="174">
        <v>0.62</v>
      </c>
      <c r="S119" s="174">
        <v>0.62</v>
      </c>
      <c r="U119" t="str">
        <f t="shared" si="12"/>
        <v>איקליפטוס שחור-סות</v>
      </c>
      <c r="V119" s="175">
        <v>3</v>
      </c>
      <c r="AD119">
        <f>COUNTIF(סקר!$AT$11:$AT$880,P119)</f>
        <v>0</v>
      </c>
      <c r="AF119">
        <f t="shared" si="11"/>
        <v>0</v>
      </c>
      <c r="AY119" s="47" t="s">
        <v>346</v>
      </c>
      <c r="AZ119" s="106">
        <v>0.57999999999999996</v>
      </c>
      <c r="BA119" s="106">
        <v>0.57999999999999996</v>
      </c>
      <c r="BC119">
        <f t="shared" si="10"/>
        <v>0</v>
      </c>
      <c r="BD119" s="92">
        <v>3</v>
      </c>
    </row>
    <row r="120" spans="16:56" ht="15.75">
      <c r="P120" s="164" t="s">
        <v>946</v>
      </c>
      <c r="Q120" s="168" t="s">
        <v>1176</v>
      </c>
      <c r="R120" s="174">
        <v>0.6</v>
      </c>
      <c r="S120" s="174">
        <v>0.6</v>
      </c>
      <c r="U120" t="str">
        <f t="shared" si="12"/>
        <v>איקליפטוס שטייגר</v>
      </c>
      <c r="V120" s="176">
        <v>3</v>
      </c>
      <c r="AD120">
        <f>COUNTIF(סקר!$AT$11:$AT$880,P120)</f>
        <v>0</v>
      </c>
      <c r="AF120">
        <f t="shared" si="11"/>
        <v>0</v>
      </c>
      <c r="AY120" s="49" t="s">
        <v>670</v>
      </c>
      <c r="AZ120" s="106">
        <v>0.44</v>
      </c>
      <c r="BA120" s="106">
        <v>0.44</v>
      </c>
      <c r="BC120">
        <f t="shared" si="10"/>
        <v>0</v>
      </c>
      <c r="BD120" s="92">
        <v>2</v>
      </c>
    </row>
    <row r="121" spans="16:56" ht="63">
      <c r="P121" s="164" t="s">
        <v>947</v>
      </c>
      <c r="Q121" s="168" t="s">
        <v>1177</v>
      </c>
      <c r="R121" s="174">
        <v>0.6</v>
      </c>
      <c r="S121" s="174">
        <v>0.6</v>
      </c>
      <c r="U121" t="str">
        <f t="shared" si="12"/>
        <v>איקליפטוס שמוט</v>
      </c>
      <c r="V121" s="176">
        <v>3</v>
      </c>
      <c r="AD121">
        <f>COUNTIF(סקר!$AT$11:$AT$880,P121)</f>
        <v>0</v>
      </c>
      <c r="AF121">
        <f t="shared" si="11"/>
        <v>0</v>
      </c>
      <c r="AY121" s="47" t="s">
        <v>345</v>
      </c>
      <c r="AZ121" s="106">
        <v>0.82</v>
      </c>
      <c r="BA121" s="106">
        <v>0.82</v>
      </c>
      <c r="BC121">
        <f t="shared" si="10"/>
        <v>0</v>
      </c>
      <c r="BD121" s="92">
        <v>4</v>
      </c>
    </row>
    <row r="122" spans="16:56" ht="63">
      <c r="P122" s="164" t="s">
        <v>948</v>
      </c>
      <c r="Q122" s="168" t="s">
        <v>1178</v>
      </c>
      <c r="R122" s="174">
        <v>0.59</v>
      </c>
      <c r="S122" s="174">
        <v>0.59</v>
      </c>
      <c r="U122" t="str">
        <f t="shared" si="12"/>
        <v>איקליפטוס שרפי</v>
      </c>
      <c r="V122" s="176">
        <v>3</v>
      </c>
      <c r="AD122">
        <f>COUNTIF(סקר!$AT$11:$AT$880,P122)</f>
        <v>0</v>
      </c>
      <c r="AF122">
        <f t="shared" si="11"/>
        <v>0</v>
      </c>
      <c r="AY122" s="47" t="s">
        <v>671</v>
      </c>
      <c r="AZ122" s="106">
        <v>0.38</v>
      </c>
      <c r="BA122" s="106">
        <v>0.38</v>
      </c>
      <c r="BC122">
        <f t="shared" si="10"/>
        <v>0</v>
      </c>
      <c r="BD122" s="92">
        <v>2</v>
      </c>
    </row>
    <row r="123" spans="16:56" ht="47.25">
      <c r="P123" s="164" t="s">
        <v>949</v>
      </c>
      <c r="Q123" s="168" t="s">
        <v>1179</v>
      </c>
      <c r="R123" s="174">
        <v>0.56000000000000005</v>
      </c>
      <c r="S123" s="174">
        <v>0.56000000000000005</v>
      </c>
      <c r="U123" t="str">
        <f t="shared" si="12"/>
        <v>איקלפטוס המקור (מכון)</v>
      </c>
      <c r="V123" s="176">
        <v>3</v>
      </c>
      <c r="AD123">
        <f>COUNTIF(סקר!$AT$11:$AT$880,P123)</f>
        <v>0</v>
      </c>
      <c r="AF123">
        <f t="shared" si="11"/>
        <v>0</v>
      </c>
      <c r="AY123" s="47" t="s">
        <v>672</v>
      </c>
      <c r="AZ123" s="106">
        <v>0.38</v>
      </c>
      <c r="BA123" s="106">
        <v>0.38</v>
      </c>
      <c r="BC123">
        <f t="shared" si="10"/>
        <v>0</v>
      </c>
      <c r="BD123" s="92">
        <v>2</v>
      </c>
    </row>
    <row r="124" spans="16:56" ht="31.5">
      <c r="P124" s="164" t="s">
        <v>950</v>
      </c>
      <c r="Q124" s="168" t="s">
        <v>1180</v>
      </c>
      <c r="R124" s="174">
        <v>0.56000000000000005</v>
      </c>
      <c r="S124" s="174">
        <v>0.56000000000000005</v>
      </c>
      <c r="U124" t="str">
        <f t="shared" si="12"/>
        <v>איקלפטוס המקור (עומר)</v>
      </c>
      <c r="V124" s="176">
        <v>3</v>
      </c>
      <c r="AD124">
        <f>COUNTIF(סקר!$AT$11:$AT$880,P124)</f>
        <v>0</v>
      </c>
      <c r="AF124">
        <f t="shared" si="11"/>
        <v>0</v>
      </c>
      <c r="AY124" s="47" t="s">
        <v>347</v>
      </c>
      <c r="AZ124" s="106">
        <v>0.76</v>
      </c>
      <c r="BA124" s="106">
        <v>0.76</v>
      </c>
      <c r="BC124">
        <f t="shared" si="10"/>
        <v>0</v>
      </c>
      <c r="BD124" s="92">
        <v>4</v>
      </c>
    </row>
    <row r="125" spans="16:56" ht="63">
      <c r="P125" s="164" t="s">
        <v>951</v>
      </c>
      <c r="Q125" s="168" t="s">
        <v>1181</v>
      </c>
      <c r="R125" s="174">
        <v>0.64</v>
      </c>
      <c r="S125" s="174">
        <v>0.64</v>
      </c>
      <c r="U125" t="str">
        <f t="shared" si="12"/>
        <v>איקלפטוס הצוארון (צהב עומר)</v>
      </c>
      <c r="V125" s="176">
        <v>3</v>
      </c>
      <c r="AD125">
        <f>COUNTIF(סקר!$AT$11:$AT$880,P125)</f>
        <v>0</v>
      </c>
      <c r="AF125">
        <f t="shared" si="11"/>
        <v>0</v>
      </c>
      <c r="AY125" s="47" t="s">
        <v>348</v>
      </c>
      <c r="AZ125" s="106">
        <v>0.73</v>
      </c>
      <c r="BA125" s="106">
        <v>0.73</v>
      </c>
      <c r="BC125">
        <f t="shared" si="10"/>
        <v>0</v>
      </c>
      <c r="BD125" s="92">
        <v>4</v>
      </c>
    </row>
    <row r="126" spans="16:56" ht="63">
      <c r="P126" s="164" t="s">
        <v>952</v>
      </c>
      <c r="Q126" s="168" t="s">
        <v>1182</v>
      </c>
      <c r="R126" s="174">
        <v>0.62</v>
      </c>
      <c r="S126" s="174">
        <v>0.62</v>
      </c>
      <c r="U126" t="str">
        <f t="shared" si="12"/>
        <v>איקלפטוס קלילנד</v>
      </c>
      <c r="V126" s="176">
        <v>3</v>
      </c>
      <c r="AD126">
        <f>COUNTIF(סקר!$AT$11:$AT$880,P126)</f>
        <v>0</v>
      </c>
      <c r="AF126">
        <f t="shared" si="11"/>
        <v>0</v>
      </c>
      <c r="AY126" s="47" t="s">
        <v>673</v>
      </c>
      <c r="AZ126" s="106">
        <v>0.57999999999999996</v>
      </c>
      <c r="BA126" s="106">
        <v>0.57999999999999996</v>
      </c>
      <c r="BC126">
        <f t="shared" si="10"/>
        <v>0</v>
      </c>
      <c r="BD126" s="92">
        <v>3</v>
      </c>
    </row>
    <row r="127" spans="16:56" ht="47.25">
      <c r="P127" s="163" t="s">
        <v>37</v>
      </c>
      <c r="Q127" s="169" t="s">
        <v>285</v>
      </c>
      <c r="R127" s="174">
        <v>0.61</v>
      </c>
      <c r="S127" s="174">
        <v>0.61</v>
      </c>
      <c r="U127" t="str">
        <f t="shared" si="12"/>
        <v>אלביציה ורודה</v>
      </c>
      <c r="V127" s="175">
        <v>3</v>
      </c>
      <c r="AD127">
        <f>COUNTIF(סקר!$AT$11:$AT$880,P127)</f>
        <v>0</v>
      </c>
      <c r="AF127">
        <f t="shared" si="11"/>
        <v>0</v>
      </c>
      <c r="AY127" s="47" t="s">
        <v>349</v>
      </c>
      <c r="AZ127" s="106">
        <v>0.55000000000000004</v>
      </c>
      <c r="BA127" s="106">
        <v>0.55000000000000004</v>
      </c>
      <c r="BC127">
        <f t="shared" si="10"/>
        <v>0</v>
      </c>
      <c r="BD127" s="92">
        <v>3</v>
      </c>
    </row>
    <row r="128" spans="16:56" ht="63">
      <c r="P128" s="163" t="s">
        <v>39</v>
      </c>
      <c r="Q128" s="169" t="s">
        <v>286</v>
      </c>
      <c r="R128" s="174">
        <v>0.56999999999999995</v>
      </c>
      <c r="S128" s="174">
        <v>0.56999999999999995</v>
      </c>
      <c r="U128" t="str">
        <f t="shared" si="12"/>
        <v>אלביציה צהובה</v>
      </c>
      <c r="V128" s="175">
        <v>3</v>
      </c>
      <c r="AD128">
        <f>COUNTIF(סקר!$AT$11:$AT$880,P128)</f>
        <v>0</v>
      </c>
      <c r="AF128">
        <f t="shared" si="11"/>
        <v>0</v>
      </c>
      <c r="AY128" s="47" t="s">
        <v>134</v>
      </c>
      <c r="AZ128" s="106">
        <v>0.8</v>
      </c>
      <c r="BA128" s="106">
        <v>0.8</v>
      </c>
      <c r="BC128">
        <f t="shared" si="10"/>
        <v>0</v>
      </c>
      <c r="BD128" s="92">
        <v>4</v>
      </c>
    </row>
    <row r="129" spans="16:56" ht="47.25">
      <c r="P129" s="163" t="s">
        <v>42</v>
      </c>
      <c r="Q129" s="169" t="s">
        <v>43</v>
      </c>
      <c r="R129" s="174">
        <v>0.96</v>
      </c>
      <c r="S129" s="174">
        <v>0.96</v>
      </c>
      <c r="U129" t="str">
        <f t="shared" si="12"/>
        <v>אלה אטלנטית</v>
      </c>
      <c r="V129" s="175">
        <v>5</v>
      </c>
      <c r="AD129">
        <f>COUNTIF(סקר!$AT$11:$AT$880,P129)</f>
        <v>0</v>
      </c>
      <c r="AF129">
        <f t="shared" si="11"/>
        <v>0</v>
      </c>
      <c r="AY129" s="47" t="s">
        <v>352</v>
      </c>
      <c r="AZ129" s="106">
        <v>0.55000000000000004</v>
      </c>
      <c r="BA129" s="106">
        <v>0.55000000000000004</v>
      </c>
      <c r="BC129">
        <f t="shared" si="10"/>
        <v>0</v>
      </c>
      <c r="BD129" s="92">
        <v>3</v>
      </c>
    </row>
    <row r="130" spans="16:56" ht="31.5">
      <c r="P130" s="163" t="s">
        <v>527</v>
      </c>
      <c r="Q130" s="169" t="s">
        <v>643</v>
      </c>
      <c r="R130" s="174">
        <v>0.87</v>
      </c>
      <c r="S130" s="174">
        <v>0.87</v>
      </c>
      <c r="U130" t="str">
        <f t="shared" si="12"/>
        <v>אלה ארץ-ישראלית</v>
      </c>
      <c r="V130" s="175">
        <v>4</v>
      </c>
      <c r="AD130">
        <f>COUNTIF(סקר!$AT$11:$AT$880,P130)</f>
        <v>0</v>
      </c>
      <c r="AF130">
        <f t="shared" si="11"/>
        <v>0</v>
      </c>
      <c r="AY130" s="47" t="s">
        <v>674</v>
      </c>
      <c r="AZ130" s="106">
        <v>0.66</v>
      </c>
      <c r="BA130" s="106">
        <v>0.66</v>
      </c>
      <c r="BC130">
        <f t="shared" si="10"/>
        <v>0</v>
      </c>
      <c r="BD130" s="92">
        <v>3</v>
      </c>
    </row>
    <row r="131" spans="16:56" ht="31.5">
      <c r="P131" s="163" t="s">
        <v>44</v>
      </c>
      <c r="Q131" s="169" t="s">
        <v>45</v>
      </c>
      <c r="R131" s="174">
        <v>0.67</v>
      </c>
      <c r="S131" s="174">
        <v>0.67</v>
      </c>
      <c r="U131" t="str">
        <f t="shared" si="12"/>
        <v>אלה סינית</v>
      </c>
      <c r="V131" s="175">
        <v>3</v>
      </c>
      <c r="AD131">
        <f>COUNTIF(סקר!$AT$11:$AT$880,P131)</f>
        <v>0</v>
      </c>
      <c r="AF131">
        <f t="shared" ref="AF131:AF145" si="13">IF(AD131&gt;0,U131,0)</f>
        <v>0</v>
      </c>
      <c r="AY131" s="47" t="s">
        <v>675</v>
      </c>
      <c r="AZ131" s="106">
        <v>0.55000000000000004</v>
      </c>
      <c r="BA131" s="106">
        <v>0.55000000000000004</v>
      </c>
      <c r="BC131">
        <f t="shared" si="10"/>
        <v>0</v>
      </c>
      <c r="BD131" s="92">
        <v>3</v>
      </c>
    </row>
    <row r="132" spans="16:56" ht="15.75">
      <c r="P132" s="163" t="s">
        <v>953</v>
      </c>
      <c r="Q132" s="169" t="s">
        <v>1183</v>
      </c>
      <c r="R132" s="174">
        <v>0.54</v>
      </c>
      <c r="S132" s="174">
        <v>0.54</v>
      </c>
      <c r="U132" t="str">
        <f t="shared" ref="U132:U145" si="14">P132</f>
        <v>אלומגן חרמשי</v>
      </c>
      <c r="V132" s="175">
        <v>3</v>
      </c>
      <c r="AD132">
        <f>COUNTIF(סקר!$AT$11:$AT$880,P132)</f>
        <v>0</v>
      </c>
      <c r="AF132">
        <f t="shared" si="13"/>
        <v>0</v>
      </c>
      <c r="AY132" s="47"/>
      <c r="AZ132" s="106">
        <v>0.55000000000000004</v>
      </c>
      <c r="BA132" s="106">
        <v>0.55000000000000004</v>
      </c>
      <c r="BC132">
        <f t="shared" ref="BC132:BC195" si="15">AX132</f>
        <v>0</v>
      </c>
      <c r="BD132" s="92">
        <v>3</v>
      </c>
    </row>
    <row r="133" spans="16:56" ht="31.5">
      <c r="P133" s="163" t="s">
        <v>48</v>
      </c>
      <c r="Q133" s="169" t="s">
        <v>49</v>
      </c>
      <c r="R133" s="174">
        <v>0.77</v>
      </c>
      <c r="S133" s="174">
        <v>0.77</v>
      </c>
      <c r="U133" t="str">
        <f t="shared" si="14"/>
        <v>אלון אנגלי</v>
      </c>
      <c r="V133" s="175">
        <v>4</v>
      </c>
      <c r="AD133">
        <f>COUNTIF(סקר!$AT$11:$AT$880,P133)</f>
        <v>0</v>
      </c>
      <c r="AF133">
        <f t="shared" si="13"/>
        <v>0</v>
      </c>
      <c r="AY133" s="47" t="s">
        <v>354</v>
      </c>
      <c r="AZ133" s="106">
        <v>0.35</v>
      </c>
      <c r="BA133" s="106">
        <v>0.35</v>
      </c>
      <c r="BC133">
        <f t="shared" si="15"/>
        <v>0</v>
      </c>
      <c r="BD133" s="92">
        <v>2</v>
      </c>
    </row>
    <row r="134" spans="16:56" ht="31.5">
      <c r="P134" s="163" t="s">
        <v>528</v>
      </c>
      <c r="Q134" s="169" t="s">
        <v>51</v>
      </c>
      <c r="R134" s="174">
        <v>0.79</v>
      </c>
      <c r="S134" s="174">
        <v>0.79</v>
      </c>
      <c r="U134" t="str">
        <f t="shared" si="14"/>
        <v>אלון ארך-עוקצים</v>
      </c>
      <c r="V134" s="175">
        <v>4</v>
      </c>
      <c r="AD134">
        <f>COUNTIF(סקר!$AT$11:$AT$880,P134)</f>
        <v>0</v>
      </c>
      <c r="AF134">
        <f t="shared" si="13"/>
        <v>0</v>
      </c>
      <c r="AY134" s="47" t="s">
        <v>138</v>
      </c>
      <c r="AZ134" s="106">
        <v>0.53</v>
      </c>
      <c r="BA134" s="106">
        <v>0.53</v>
      </c>
      <c r="BC134">
        <f t="shared" si="15"/>
        <v>0</v>
      </c>
      <c r="BD134" s="92">
        <v>3</v>
      </c>
    </row>
    <row r="135" spans="16:56" ht="63">
      <c r="P135" s="163" t="s">
        <v>52</v>
      </c>
      <c r="Q135" s="169" t="s">
        <v>53</v>
      </c>
      <c r="R135" s="174">
        <v>0.92</v>
      </c>
      <c r="S135" s="174">
        <v>0.92</v>
      </c>
      <c r="U135" t="str">
        <f t="shared" si="14"/>
        <v>אלון הגלעין</v>
      </c>
      <c r="V135" s="175">
        <v>5</v>
      </c>
      <c r="AD135">
        <f>COUNTIF(סקר!$AT$11:$AT$880,P135)</f>
        <v>0</v>
      </c>
      <c r="AF135">
        <f t="shared" si="13"/>
        <v>0</v>
      </c>
      <c r="AY135" s="47" t="s">
        <v>356</v>
      </c>
      <c r="AZ135" s="106">
        <v>0.56000000000000005</v>
      </c>
      <c r="BA135" s="106">
        <v>0.56000000000000005</v>
      </c>
      <c r="BC135">
        <f t="shared" si="15"/>
        <v>0</v>
      </c>
      <c r="BD135" s="92">
        <v>3</v>
      </c>
    </row>
    <row r="136" spans="16:56" ht="47.25">
      <c r="P136" s="163" t="s">
        <v>529</v>
      </c>
      <c r="Q136" s="169" t="s">
        <v>644</v>
      </c>
      <c r="R136" s="174">
        <v>0.87</v>
      </c>
      <c r="S136" s="174">
        <v>0.87</v>
      </c>
      <c r="U136" t="str">
        <f t="shared" si="14"/>
        <v>אלון הלבנון</v>
      </c>
      <c r="V136" s="175">
        <v>4</v>
      </c>
      <c r="AD136">
        <f>COUNTIF(סקר!$AT$11:$AT$880,P136)</f>
        <v>0</v>
      </c>
      <c r="AF136">
        <f t="shared" si="13"/>
        <v>0</v>
      </c>
      <c r="AY136" s="47" t="s">
        <v>676</v>
      </c>
      <c r="AZ136" s="106">
        <v>0.43</v>
      </c>
      <c r="BA136" s="106">
        <v>0.43</v>
      </c>
      <c r="BC136">
        <f t="shared" si="15"/>
        <v>0</v>
      </c>
      <c r="BD136" s="92">
        <v>2</v>
      </c>
    </row>
    <row r="137" spans="16:56" ht="31.5">
      <c r="P137" s="163" t="s">
        <v>54</v>
      </c>
      <c r="Q137" s="169" t="s">
        <v>55</v>
      </c>
      <c r="R137" s="174">
        <v>0.92</v>
      </c>
      <c r="S137" s="174">
        <v>0.92</v>
      </c>
      <c r="U137" t="str">
        <f t="shared" si="14"/>
        <v>אלון השעם</v>
      </c>
      <c r="V137" s="175">
        <v>5</v>
      </c>
      <c r="AD137">
        <f>COUNTIF(סקר!$AT$11:$AT$880,P137)</f>
        <v>0</v>
      </c>
      <c r="AF137">
        <f t="shared" si="13"/>
        <v>0</v>
      </c>
      <c r="AY137" s="47" t="s">
        <v>140</v>
      </c>
      <c r="AZ137" s="106">
        <v>0.69</v>
      </c>
      <c r="BA137" s="106">
        <v>0.69</v>
      </c>
      <c r="BC137">
        <f t="shared" si="15"/>
        <v>0</v>
      </c>
      <c r="BD137" s="92">
        <v>3</v>
      </c>
    </row>
    <row r="138" spans="16:56" ht="31.5">
      <c r="P138" s="163" t="s">
        <v>56</v>
      </c>
      <c r="Q138" s="169" t="s">
        <v>57</v>
      </c>
      <c r="R138" s="174">
        <v>0.97</v>
      </c>
      <c r="S138" s="174">
        <v>0.97</v>
      </c>
      <c r="U138" t="str">
        <f t="shared" si="14"/>
        <v>אלון התבור</v>
      </c>
      <c r="V138" s="175">
        <v>5</v>
      </c>
      <c r="AD138">
        <f>COUNTIF(סקר!$AT$11:$AT$880,P138)</f>
        <v>0</v>
      </c>
      <c r="AF138">
        <f t="shared" si="13"/>
        <v>0</v>
      </c>
      <c r="AY138" s="47" t="s">
        <v>142</v>
      </c>
      <c r="AZ138" s="106">
        <v>0.73</v>
      </c>
      <c r="BA138" s="106">
        <v>0.73</v>
      </c>
      <c r="BC138">
        <f t="shared" si="15"/>
        <v>0</v>
      </c>
      <c r="BD138" s="92">
        <v>4</v>
      </c>
    </row>
    <row r="139" spans="16:56" ht="47.25">
      <c r="P139" s="163" t="s">
        <v>58</v>
      </c>
      <c r="Q139" s="169" t="s">
        <v>59</v>
      </c>
      <c r="R139" s="174">
        <v>0.95</v>
      </c>
      <c r="S139" s="174">
        <v>0.95</v>
      </c>
      <c r="U139" t="str">
        <f t="shared" si="14"/>
        <v>אלון התולע</v>
      </c>
      <c r="V139" s="175">
        <v>5</v>
      </c>
      <c r="AD139">
        <f>COUNTIF(סקר!$AT$11:$AT$880,P139)</f>
        <v>0</v>
      </c>
      <c r="AF139">
        <f t="shared" si="13"/>
        <v>0</v>
      </c>
      <c r="AY139" s="47" t="s">
        <v>358</v>
      </c>
      <c r="AZ139" s="106">
        <v>0.59</v>
      </c>
      <c r="BA139" s="106">
        <v>0.59</v>
      </c>
      <c r="BC139">
        <f t="shared" si="15"/>
        <v>0</v>
      </c>
      <c r="BD139" s="92">
        <v>3</v>
      </c>
    </row>
    <row r="140" spans="16:56" ht="31.5">
      <c r="P140" s="163" t="s">
        <v>62</v>
      </c>
      <c r="Q140" s="169" t="s">
        <v>645</v>
      </c>
      <c r="R140" s="174">
        <v>0.93</v>
      </c>
      <c r="S140" s="174">
        <v>0.93</v>
      </c>
      <c r="U140" t="str">
        <f t="shared" si="14"/>
        <v>אלון מצוי</v>
      </c>
      <c r="V140" s="175">
        <v>5</v>
      </c>
      <c r="AD140">
        <f>COUNTIF(סקר!$AT$11:$AT$880,P140)</f>
        <v>0</v>
      </c>
      <c r="AF140">
        <f t="shared" si="13"/>
        <v>0</v>
      </c>
      <c r="AY140" s="47" t="s">
        <v>677</v>
      </c>
      <c r="AZ140" s="106">
        <v>0.53</v>
      </c>
      <c r="BA140" s="106">
        <v>0.53</v>
      </c>
      <c r="BC140">
        <f t="shared" si="15"/>
        <v>0</v>
      </c>
      <c r="BD140" s="92">
        <v>3</v>
      </c>
    </row>
    <row r="141" spans="16:56" ht="47.25">
      <c r="P141" s="163" t="s">
        <v>287</v>
      </c>
      <c r="Q141" s="169" t="s">
        <v>288</v>
      </c>
      <c r="R141" s="174">
        <v>0.84</v>
      </c>
      <c r="S141" s="174">
        <v>0.84</v>
      </c>
      <c r="U141" t="str">
        <f t="shared" si="14"/>
        <v>אלון שסוע</v>
      </c>
      <c r="V141" s="175">
        <v>4</v>
      </c>
      <c r="AD141">
        <f>COUNTIF(סקר!$AT$11:$AT$880,P141)</f>
        <v>0</v>
      </c>
      <c r="AF141">
        <f t="shared" si="13"/>
        <v>0</v>
      </c>
      <c r="AY141" s="47" t="s">
        <v>359</v>
      </c>
      <c r="AZ141" s="106">
        <v>0.79</v>
      </c>
      <c r="BA141" s="106">
        <v>0.79</v>
      </c>
      <c r="BC141">
        <f t="shared" si="15"/>
        <v>0</v>
      </c>
      <c r="BD141" s="92">
        <v>4</v>
      </c>
    </row>
    <row r="142" spans="16:56" ht="47.25">
      <c r="P142" s="163" t="s">
        <v>530</v>
      </c>
      <c r="Q142" s="169" t="s">
        <v>646</v>
      </c>
      <c r="R142" s="174">
        <v>0.51</v>
      </c>
      <c r="S142" s="174">
        <v>0.51</v>
      </c>
      <c r="U142" t="str">
        <f t="shared" si="14"/>
        <v>אלמוגן אתיופי</v>
      </c>
      <c r="V142" s="175">
        <v>3</v>
      </c>
      <c r="AD142">
        <f>COUNTIF(סקר!$AT$11:$AT$880,P142)</f>
        <v>0</v>
      </c>
      <c r="AF142">
        <f t="shared" si="13"/>
        <v>0</v>
      </c>
      <c r="AY142" s="47" t="s">
        <v>678</v>
      </c>
      <c r="AZ142" s="106">
        <v>0.56999999999999995</v>
      </c>
      <c r="BA142" s="106">
        <v>0.56999999999999995</v>
      </c>
      <c r="BC142">
        <f t="shared" si="15"/>
        <v>0</v>
      </c>
      <c r="BD142" s="92">
        <v>3</v>
      </c>
    </row>
    <row r="143" spans="16:56" ht="63">
      <c r="P143" s="163" t="s">
        <v>289</v>
      </c>
      <c r="Q143" s="169" t="s">
        <v>290</v>
      </c>
      <c r="R143" s="174">
        <v>0.5</v>
      </c>
      <c r="S143" s="174">
        <v>0.5</v>
      </c>
      <c r="U143" t="str">
        <f t="shared" si="14"/>
        <v>אלמוגן הודי</v>
      </c>
      <c r="V143" s="175">
        <v>3</v>
      </c>
      <c r="AD143">
        <f>COUNTIF(סקר!$AT$11:$AT$880,P143)</f>
        <v>0</v>
      </c>
      <c r="AF143">
        <f t="shared" si="13"/>
        <v>0</v>
      </c>
      <c r="AY143" s="47" t="s">
        <v>361</v>
      </c>
      <c r="AZ143" s="106">
        <v>0.73</v>
      </c>
      <c r="BA143" s="106">
        <v>0.73</v>
      </c>
      <c r="BC143">
        <f t="shared" si="15"/>
        <v>0</v>
      </c>
      <c r="BD143" s="92">
        <v>4</v>
      </c>
    </row>
    <row r="144" spans="16:56" ht="31.5">
      <c r="P144" s="163" t="s">
        <v>291</v>
      </c>
      <c r="Q144" s="169" t="s">
        <v>292</v>
      </c>
      <c r="R144" s="174">
        <v>0.61</v>
      </c>
      <c r="S144" s="174">
        <v>0.61</v>
      </c>
      <c r="U144" t="str">
        <f t="shared" si="14"/>
        <v>אלמוגן כרבולתי</v>
      </c>
      <c r="V144" s="175">
        <v>3</v>
      </c>
      <c r="AD144">
        <f>COUNTIF(סקר!$AT$11:$AT$880,P144)</f>
        <v>0</v>
      </c>
      <c r="AF144">
        <f t="shared" si="13"/>
        <v>0</v>
      </c>
      <c r="AY144" s="47" t="s">
        <v>362</v>
      </c>
      <c r="AZ144" s="106">
        <v>0.6</v>
      </c>
      <c r="BA144" s="106">
        <v>0.6</v>
      </c>
      <c r="BC144">
        <f t="shared" si="15"/>
        <v>0</v>
      </c>
      <c r="BD144" s="92">
        <v>3</v>
      </c>
    </row>
    <row r="145" spans="16:56" ht="63">
      <c r="P145" s="164" t="s">
        <v>954</v>
      </c>
      <c r="Q145" s="168" t="s">
        <v>1184</v>
      </c>
      <c r="R145" s="174">
        <v>0.65</v>
      </c>
      <c r="S145" s="174">
        <v>0.65</v>
      </c>
      <c r="U145" t="str">
        <f t="shared" si="14"/>
        <v>אלמוגן מעולה</v>
      </c>
      <c r="V145" s="176">
        <v>3</v>
      </c>
      <c r="AD145">
        <f>COUNTIF(סקר!$AT$11:$AT$880,P145)</f>
        <v>0</v>
      </c>
      <c r="AF145">
        <f t="shared" si="13"/>
        <v>0</v>
      </c>
      <c r="AY145" s="47" t="s">
        <v>146</v>
      </c>
      <c r="AZ145" s="106">
        <v>0.59</v>
      </c>
      <c r="BA145" s="106">
        <v>0.59</v>
      </c>
      <c r="BC145">
        <f t="shared" si="15"/>
        <v>0</v>
      </c>
      <c r="BD145" s="92">
        <v>3</v>
      </c>
    </row>
    <row r="146" spans="16:56" ht="15.75">
      <c r="P146" s="164" t="s">
        <v>955</v>
      </c>
      <c r="Q146" s="168" t="s">
        <v>1185</v>
      </c>
      <c r="R146" s="174">
        <v>0.6</v>
      </c>
      <c r="S146" s="174">
        <v>0.6</v>
      </c>
      <c r="U146" t="str">
        <f t="shared" ref="U146:U197" si="16">P146</f>
        <v>אלמוגן נשפוני</v>
      </c>
      <c r="V146" s="176">
        <v>3</v>
      </c>
      <c r="AD146">
        <f>COUNTIF(סקר!$AT$11:$AT$880,P146)</f>
        <v>0</v>
      </c>
      <c r="AF146">
        <f t="shared" ref="AF146:AF196" si="17">IF(AD146&gt;0,U146,0)</f>
        <v>0</v>
      </c>
      <c r="AY146" s="47"/>
      <c r="AZ146" s="106">
        <v>0</v>
      </c>
      <c r="BA146" s="106">
        <v>0</v>
      </c>
      <c r="BC146">
        <f t="shared" si="15"/>
        <v>0</v>
      </c>
      <c r="BD146" s="92">
        <v>0</v>
      </c>
    </row>
    <row r="147" spans="16:56" ht="15.75">
      <c r="P147" s="164" t="s">
        <v>956</v>
      </c>
      <c r="Q147" s="168" t="s">
        <v>1186</v>
      </c>
      <c r="R147" s="174">
        <v>0.59</v>
      </c>
      <c r="S147" s="174">
        <v>0.59</v>
      </c>
      <c r="U147" t="str">
        <f t="shared" si="16"/>
        <v>אלמוגן צר-פרחים</v>
      </c>
      <c r="V147" s="176">
        <v>3</v>
      </c>
      <c r="AD147">
        <f>COUNTIF(סקר!$AT$11:$AT$880,P147)</f>
        <v>0</v>
      </c>
      <c r="AF147">
        <f t="shared" si="17"/>
        <v>0</v>
      </c>
      <c r="AY147" s="47"/>
      <c r="AZ147" s="106">
        <v>0</v>
      </c>
      <c r="BA147" s="106">
        <v>0</v>
      </c>
      <c r="BC147">
        <f t="shared" si="15"/>
        <v>0</v>
      </c>
      <c r="BD147" s="92">
        <v>0</v>
      </c>
    </row>
    <row r="148" spans="16:56" ht="47.25">
      <c r="P148" s="163" t="s">
        <v>531</v>
      </c>
      <c r="Q148" s="169" t="s">
        <v>293</v>
      </c>
      <c r="R148" s="174">
        <v>0.64</v>
      </c>
      <c r="S148" s="174">
        <v>0.64</v>
      </c>
      <c r="U148" t="str">
        <f t="shared" si="16"/>
        <v>אלמוגן רחב-עלים</v>
      </c>
      <c r="V148" s="175">
        <v>3</v>
      </c>
      <c r="AD148">
        <f>COUNTIF(סקר!$AT$11:$AT$880,P148)</f>
        <v>0</v>
      </c>
      <c r="AF148">
        <f t="shared" si="17"/>
        <v>0</v>
      </c>
      <c r="AY148" s="47" t="s">
        <v>363</v>
      </c>
      <c r="AZ148" s="106">
        <v>0.76</v>
      </c>
      <c r="BA148" s="106">
        <v>0.76</v>
      </c>
      <c r="BC148">
        <f t="shared" si="15"/>
        <v>0</v>
      </c>
      <c r="BD148" s="92">
        <v>4</v>
      </c>
    </row>
    <row r="149" spans="16:56" ht="63">
      <c r="P149" s="163" t="s">
        <v>532</v>
      </c>
      <c r="Q149" s="169" t="s">
        <v>647</v>
      </c>
      <c r="R149" s="174">
        <v>0.76</v>
      </c>
      <c r="S149" s="174">
        <v>0.76</v>
      </c>
      <c r="U149" t="str">
        <f t="shared" si="16"/>
        <v>אלת הבוטנה</v>
      </c>
      <c r="V149" s="175">
        <v>4</v>
      </c>
      <c r="AD149">
        <f>COUNTIF(סקר!$AT$11:$AT$880,P149)</f>
        <v>0</v>
      </c>
      <c r="AF149">
        <f t="shared" si="17"/>
        <v>0</v>
      </c>
      <c r="AY149" s="47" t="s">
        <v>364</v>
      </c>
      <c r="AZ149" s="106">
        <v>0.59</v>
      </c>
      <c r="BA149" s="106">
        <v>0.59</v>
      </c>
      <c r="BC149">
        <f t="shared" si="15"/>
        <v>0</v>
      </c>
      <c r="BD149" s="92">
        <v>3</v>
      </c>
    </row>
    <row r="150" spans="16:56" ht="47.25">
      <c r="P150" s="164" t="s">
        <v>957</v>
      </c>
      <c r="Q150" s="168" t="s">
        <v>1187</v>
      </c>
      <c r="R150" s="174">
        <v>0.69</v>
      </c>
      <c r="S150" s="174">
        <v>0.69</v>
      </c>
      <c r="U150" t="str">
        <f t="shared" si="16"/>
        <v>אלת מסטיק</v>
      </c>
      <c r="V150" s="176">
        <v>4.3</v>
      </c>
      <c r="AD150">
        <f>COUNTIF(סקר!$AT$11:$AT$880,P150)</f>
        <v>0</v>
      </c>
      <c r="AF150">
        <f t="shared" si="17"/>
        <v>0</v>
      </c>
      <c r="AY150" s="47" t="s">
        <v>679</v>
      </c>
      <c r="AZ150" s="106">
        <v>0.61</v>
      </c>
      <c r="BA150" s="106">
        <v>0.61</v>
      </c>
      <c r="BC150">
        <f t="shared" si="15"/>
        <v>0</v>
      </c>
      <c r="BD150" s="92">
        <v>3</v>
      </c>
    </row>
    <row r="151" spans="16:56" ht="63">
      <c r="P151" s="164" t="s">
        <v>1346</v>
      </c>
      <c r="Q151" s="168" t="s">
        <v>1347</v>
      </c>
      <c r="R151" s="174">
        <v>0.5</v>
      </c>
      <c r="S151" s="174">
        <v>0.5</v>
      </c>
      <c r="U151" t="str">
        <f t="shared" si="16"/>
        <v>אנונה</v>
      </c>
      <c r="V151" s="176">
        <v>3</v>
      </c>
      <c r="AD151">
        <f>COUNTIF(סקר!$AT$11:$AT$880,P151)</f>
        <v>0</v>
      </c>
      <c r="AF151">
        <f t="shared" si="17"/>
        <v>0</v>
      </c>
      <c r="AY151" s="47" t="s">
        <v>365</v>
      </c>
      <c r="AZ151" s="106">
        <v>0.68</v>
      </c>
      <c r="BA151" s="106">
        <v>0.68</v>
      </c>
      <c r="BC151">
        <f t="shared" si="15"/>
        <v>0</v>
      </c>
      <c r="BD151" s="92">
        <v>3</v>
      </c>
    </row>
    <row r="152" spans="16:56" ht="63">
      <c r="P152" s="163" t="s">
        <v>533</v>
      </c>
      <c r="Q152" s="169" t="s">
        <v>294</v>
      </c>
      <c r="R152" s="174">
        <v>0.65</v>
      </c>
      <c r="S152" s="174">
        <v>0.65</v>
      </c>
      <c r="U152" t="str">
        <f t="shared" si="16"/>
        <v>אנטרולוביום עגול-פרי</v>
      </c>
      <c r="V152" s="175">
        <v>3</v>
      </c>
      <c r="AD152">
        <f>COUNTIF(סקר!$AT$11:$AT$880,P152)</f>
        <v>0</v>
      </c>
      <c r="AF152">
        <f t="shared" si="17"/>
        <v>0</v>
      </c>
      <c r="AY152" s="47" t="s">
        <v>367</v>
      </c>
      <c r="AZ152" s="106">
        <v>0.64</v>
      </c>
      <c r="BA152" s="106">
        <v>0.64</v>
      </c>
      <c r="BC152">
        <f t="shared" si="15"/>
        <v>0</v>
      </c>
      <c r="BD152" s="92">
        <v>3</v>
      </c>
    </row>
    <row r="153" spans="16:56" ht="47.25">
      <c r="P153" s="163" t="s">
        <v>295</v>
      </c>
      <c r="Q153" s="169" t="s">
        <v>296</v>
      </c>
      <c r="R153" s="174">
        <v>0.56000000000000005</v>
      </c>
      <c r="S153" s="174">
        <v>0.56000000000000005</v>
      </c>
      <c r="U153" t="str">
        <f t="shared" si="16"/>
        <v>אפרסמון אמריקני</v>
      </c>
      <c r="V153" s="175">
        <v>3</v>
      </c>
      <c r="AD153">
        <f>COUNTIF(סקר!$AT$11:$AT$880,P153)</f>
        <v>0</v>
      </c>
      <c r="AF153">
        <f t="shared" si="17"/>
        <v>0</v>
      </c>
      <c r="AY153" s="47" t="s">
        <v>369</v>
      </c>
      <c r="AZ153" s="106">
        <v>0.63</v>
      </c>
      <c r="BA153" s="106">
        <v>0.63</v>
      </c>
      <c r="BC153">
        <f t="shared" si="15"/>
        <v>0</v>
      </c>
      <c r="BD153" s="92">
        <v>3</v>
      </c>
    </row>
    <row r="154" spans="16:56" ht="63">
      <c r="P154" s="163" t="s">
        <v>534</v>
      </c>
      <c r="Q154" s="169" t="s">
        <v>69</v>
      </c>
      <c r="R154" s="174">
        <v>0.45</v>
      </c>
      <c r="S154" s="174">
        <v>0.45</v>
      </c>
      <c r="U154" t="str">
        <f t="shared" si="16"/>
        <v>אפרסמון יפני (זנים שונים)</v>
      </c>
      <c r="V154" s="175">
        <v>2</v>
      </c>
      <c r="AD154">
        <f>COUNTIF(סקר!$AT$11:$AT$880,P154)</f>
        <v>0</v>
      </c>
      <c r="AF154">
        <f t="shared" si="17"/>
        <v>0</v>
      </c>
      <c r="AY154" s="47" t="s">
        <v>158</v>
      </c>
      <c r="AZ154" s="106">
        <v>0.75</v>
      </c>
      <c r="BA154" s="106">
        <v>0.75</v>
      </c>
      <c r="BC154">
        <f t="shared" si="15"/>
        <v>0</v>
      </c>
      <c r="BD154" s="92">
        <v>4</v>
      </c>
    </row>
    <row r="155" spans="16:56" ht="31.5">
      <c r="P155" s="163" t="s">
        <v>958</v>
      </c>
      <c r="Q155" s="169" t="s">
        <v>1188</v>
      </c>
      <c r="R155" s="174">
        <v>0.4</v>
      </c>
      <c r="S155" s="174">
        <v>0.4</v>
      </c>
      <c r="U155" t="str">
        <f t="shared" si="16"/>
        <v>אפרסק מצוי</v>
      </c>
      <c r="V155" s="175">
        <v>2</v>
      </c>
      <c r="AD155">
        <f>COUNTIF(סקר!$AT$11:$AT$880,P155)</f>
        <v>0</v>
      </c>
      <c r="AF155">
        <f t="shared" si="17"/>
        <v>0</v>
      </c>
      <c r="AY155" s="47" t="s">
        <v>371</v>
      </c>
      <c r="AZ155" s="106">
        <v>0.55000000000000004</v>
      </c>
      <c r="BA155" s="106">
        <v>0.55000000000000004</v>
      </c>
      <c r="BC155">
        <f t="shared" si="15"/>
        <v>0</v>
      </c>
      <c r="BD155" s="92">
        <v>3</v>
      </c>
    </row>
    <row r="156" spans="16:56" ht="63">
      <c r="P156" s="163" t="s">
        <v>536</v>
      </c>
      <c r="Q156" s="169" t="s">
        <v>649</v>
      </c>
      <c r="R156" s="174">
        <v>0.38</v>
      </c>
      <c r="S156" s="174">
        <v>0.38</v>
      </c>
      <c r="U156" t="str">
        <f t="shared" si="16"/>
        <v>אקמנה סמיטי</v>
      </c>
      <c r="V156" s="175">
        <v>2</v>
      </c>
      <c r="AD156">
        <f>COUNTIF(סקר!$AT$11:$AT$880,P156)</f>
        <v>0</v>
      </c>
      <c r="AF156">
        <f t="shared" si="17"/>
        <v>0</v>
      </c>
      <c r="AY156" s="47" t="s">
        <v>373</v>
      </c>
      <c r="AZ156" s="106">
        <v>0.69</v>
      </c>
      <c r="BA156" s="106">
        <v>0.69</v>
      </c>
      <c r="BC156">
        <f t="shared" si="15"/>
        <v>0</v>
      </c>
      <c r="BD156" s="92">
        <v>3</v>
      </c>
    </row>
    <row r="157" spans="16:56" ht="63">
      <c r="P157" s="163" t="s">
        <v>77</v>
      </c>
      <c r="Q157" s="169" t="s">
        <v>299</v>
      </c>
      <c r="R157" s="174">
        <v>0.73</v>
      </c>
      <c r="S157" s="174">
        <v>0.73</v>
      </c>
      <c r="U157" t="str">
        <f t="shared" si="16"/>
        <v>אראוקריה רמה</v>
      </c>
      <c r="V157" s="175">
        <v>4</v>
      </c>
      <c r="AD157">
        <f>COUNTIF(סקר!$AT$11:$AT$880,P157)</f>
        <v>0</v>
      </c>
      <c r="AF157">
        <f t="shared" si="17"/>
        <v>0</v>
      </c>
      <c r="AY157" s="47" t="s">
        <v>375</v>
      </c>
      <c r="AZ157" s="106">
        <v>0.77</v>
      </c>
      <c r="BA157" s="106">
        <v>0.77</v>
      </c>
      <c r="BC157">
        <f t="shared" si="15"/>
        <v>0</v>
      </c>
      <c r="BD157" s="92">
        <v>4</v>
      </c>
    </row>
    <row r="158" spans="16:56" ht="63">
      <c r="P158" s="163" t="s">
        <v>537</v>
      </c>
      <c r="Q158" s="169" t="s">
        <v>298</v>
      </c>
      <c r="R158" s="174">
        <v>0.74</v>
      </c>
      <c r="S158" s="174">
        <v>0.74</v>
      </c>
      <c r="U158" t="str">
        <f t="shared" si="16"/>
        <v>אראוקריית בידוויל</v>
      </c>
      <c r="V158" s="175">
        <v>4</v>
      </c>
      <c r="AD158">
        <f>COUNTIF(סקר!$AT$11:$AT$880,P158)</f>
        <v>0</v>
      </c>
      <c r="AF158">
        <f t="shared" si="17"/>
        <v>0</v>
      </c>
      <c r="AY158" s="47" t="s">
        <v>160</v>
      </c>
      <c r="AZ158" s="106">
        <v>0.65</v>
      </c>
      <c r="BA158" s="106">
        <v>0.65</v>
      </c>
      <c r="BC158">
        <f t="shared" si="15"/>
        <v>0</v>
      </c>
      <c r="BD158" s="92">
        <v>3</v>
      </c>
    </row>
    <row r="159" spans="16:56" ht="31.5">
      <c r="P159" s="163" t="s">
        <v>79</v>
      </c>
      <c r="Q159" s="169" t="s">
        <v>80</v>
      </c>
      <c r="R159" s="174">
        <v>0.94</v>
      </c>
      <c r="S159" s="174">
        <v>0.94</v>
      </c>
      <c r="U159" t="str">
        <f t="shared" si="16"/>
        <v>ארז אטלנטי</v>
      </c>
      <c r="V159" s="175">
        <v>5</v>
      </c>
      <c r="AD159">
        <f>COUNTIF(סקר!$AT$11:$AT$880,P159)</f>
        <v>0</v>
      </c>
      <c r="AF159">
        <f t="shared" si="17"/>
        <v>0</v>
      </c>
      <c r="AY159" s="47" t="s">
        <v>376</v>
      </c>
      <c r="AZ159" s="106">
        <v>0.73</v>
      </c>
      <c r="BA159" s="106">
        <v>0.73</v>
      </c>
      <c r="BC159">
        <f t="shared" si="15"/>
        <v>0</v>
      </c>
      <c r="BD159" s="92">
        <v>4</v>
      </c>
    </row>
    <row r="160" spans="16:56" ht="31.5">
      <c r="P160" s="163" t="s">
        <v>81</v>
      </c>
      <c r="Q160" s="169" t="s">
        <v>300</v>
      </c>
      <c r="R160" s="174">
        <v>0.95</v>
      </c>
      <c r="S160" s="174">
        <v>0.95</v>
      </c>
      <c r="U160" t="str">
        <f t="shared" si="16"/>
        <v>ארז הימלאי</v>
      </c>
      <c r="V160" s="175">
        <v>5</v>
      </c>
      <c r="AD160">
        <f>COUNTIF(סקר!$AT$11:$AT$880,P160)</f>
        <v>0</v>
      </c>
      <c r="AF160">
        <f t="shared" si="17"/>
        <v>0</v>
      </c>
      <c r="AY160" s="47" t="s">
        <v>377</v>
      </c>
      <c r="AZ160" s="106">
        <v>0.64</v>
      </c>
      <c r="BA160" s="106">
        <v>0.64</v>
      </c>
      <c r="BC160">
        <f t="shared" si="15"/>
        <v>0</v>
      </c>
      <c r="BD160" s="92">
        <v>3</v>
      </c>
    </row>
    <row r="161" spans="16:56" ht="31.5">
      <c r="P161" s="163" t="s">
        <v>301</v>
      </c>
      <c r="Q161" s="169" t="s">
        <v>302</v>
      </c>
      <c r="R161" s="174">
        <v>0.92</v>
      </c>
      <c r="S161" s="174">
        <v>0.92</v>
      </c>
      <c r="U161" t="str">
        <f t="shared" si="16"/>
        <v>ארז הלבנון</v>
      </c>
      <c r="V161" s="175">
        <v>5</v>
      </c>
      <c r="AD161">
        <f>COUNTIF(סקר!$AT$11:$AT$880,P161)</f>
        <v>0</v>
      </c>
      <c r="AF161">
        <f t="shared" si="17"/>
        <v>0</v>
      </c>
      <c r="AY161" s="47" t="s">
        <v>378</v>
      </c>
      <c r="AZ161" s="106">
        <v>0.81</v>
      </c>
      <c r="BA161" s="106">
        <v>0.81</v>
      </c>
      <c r="BC161">
        <f t="shared" si="15"/>
        <v>0</v>
      </c>
      <c r="BD161" s="92">
        <v>4</v>
      </c>
    </row>
    <row r="162" spans="16:56" ht="63">
      <c r="P162" s="163" t="s">
        <v>772</v>
      </c>
      <c r="Q162" s="169" t="s">
        <v>84</v>
      </c>
      <c r="R162" s="174">
        <v>0.6</v>
      </c>
      <c r="S162" s="174">
        <v>0.6</v>
      </c>
      <c r="U162" t="str">
        <f t="shared" si="16"/>
        <v>ארכי-תמר אלכסנדרה</v>
      </c>
      <c r="V162" s="175">
        <v>3</v>
      </c>
      <c r="AD162">
        <f>COUNTIF(סקר!$AT$11:$AT$880,P162)</f>
        <v>0</v>
      </c>
      <c r="AF162">
        <f t="shared" si="17"/>
        <v>0</v>
      </c>
      <c r="AY162" s="47" t="s">
        <v>166</v>
      </c>
      <c r="AZ162" s="106">
        <v>0.77</v>
      </c>
      <c r="BA162" s="106">
        <v>0.77</v>
      </c>
      <c r="BC162">
        <f t="shared" si="15"/>
        <v>0</v>
      </c>
      <c r="BD162" s="92">
        <v>4</v>
      </c>
    </row>
    <row r="163" spans="16:56" ht="31.5">
      <c r="P163" s="164" t="s">
        <v>959</v>
      </c>
      <c r="Q163" s="170" t="s">
        <v>1189</v>
      </c>
      <c r="R163" s="174">
        <v>0.45</v>
      </c>
      <c r="S163" s="174">
        <v>0.45</v>
      </c>
      <c r="U163" t="str">
        <f t="shared" si="16"/>
        <v>אשחר ארץ-ישראלי</v>
      </c>
      <c r="V163" s="176">
        <v>3.5</v>
      </c>
      <c r="AD163">
        <f>COUNTIF(סקר!$AT$11:$AT$880,P163)</f>
        <v>0</v>
      </c>
      <c r="AF163">
        <f t="shared" si="17"/>
        <v>0</v>
      </c>
      <c r="AY163" s="47" t="s">
        <v>680</v>
      </c>
      <c r="AZ163" s="106">
        <v>0.68</v>
      </c>
      <c r="BA163" s="106">
        <v>0.68</v>
      </c>
      <c r="BC163">
        <f t="shared" si="15"/>
        <v>0</v>
      </c>
      <c r="BD163" s="92">
        <v>3</v>
      </c>
    </row>
    <row r="164" spans="16:56" ht="47.25">
      <c r="P164" s="163" t="s">
        <v>538</v>
      </c>
      <c r="Q164" s="169" t="s">
        <v>303</v>
      </c>
      <c r="R164" s="174">
        <v>0.34</v>
      </c>
      <c r="S164" s="174">
        <v>0.34</v>
      </c>
      <c r="U164" t="str">
        <f t="shared" si="16"/>
        <v>אשחר רחב-עלים</v>
      </c>
      <c r="V164" s="175">
        <v>2</v>
      </c>
      <c r="AD164">
        <f>COUNTIF(סקר!$AT$11:$AT$880,P164)</f>
        <v>0</v>
      </c>
      <c r="AF164">
        <f t="shared" si="17"/>
        <v>0</v>
      </c>
      <c r="AY164" s="47" t="s">
        <v>168</v>
      </c>
      <c r="AZ164" s="106">
        <v>0.82</v>
      </c>
      <c r="BA164" s="106">
        <v>0.82</v>
      </c>
      <c r="BC164">
        <f t="shared" si="15"/>
        <v>0</v>
      </c>
      <c r="BD164" s="92">
        <v>4</v>
      </c>
    </row>
    <row r="165" spans="16:56" ht="31.5">
      <c r="P165" s="164" t="s">
        <v>960</v>
      </c>
      <c r="Q165" s="168" t="s">
        <v>1190</v>
      </c>
      <c r="R165" s="174">
        <v>0.59</v>
      </c>
      <c r="S165" s="174">
        <v>0.59</v>
      </c>
      <c r="U165" t="str">
        <f t="shared" si="16"/>
        <v>אשל החוף</v>
      </c>
      <c r="V165" s="176">
        <v>3</v>
      </c>
      <c r="AD165">
        <f>COUNTIF(סקר!$AT$11:$AT$880,P165)</f>
        <v>0</v>
      </c>
      <c r="AF165">
        <f t="shared" si="17"/>
        <v>0</v>
      </c>
      <c r="AY165" s="47" t="s">
        <v>170</v>
      </c>
      <c r="AZ165" s="106">
        <v>0.88</v>
      </c>
      <c r="BA165" s="106">
        <v>0.88</v>
      </c>
      <c r="BC165">
        <f t="shared" si="15"/>
        <v>0</v>
      </c>
      <c r="BD165" s="92">
        <v>4</v>
      </c>
    </row>
    <row r="166" spans="16:56" ht="31.5">
      <c r="P166" s="164" t="s">
        <v>961</v>
      </c>
      <c r="Q166" s="168" t="s">
        <v>1191</v>
      </c>
      <c r="R166" s="174">
        <v>0.6</v>
      </c>
      <c r="S166" s="174">
        <v>0.6</v>
      </c>
      <c r="U166" t="str">
        <f t="shared" si="16"/>
        <v>אשל הירדן</v>
      </c>
      <c r="V166" s="176">
        <v>3</v>
      </c>
      <c r="AD166">
        <f>COUNTIF(סקר!$AT$11:$AT$880,P166)</f>
        <v>0</v>
      </c>
      <c r="AF166">
        <f t="shared" si="17"/>
        <v>0</v>
      </c>
      <c r="AY166" s="47" t="s">
        <v>681</v>
      </c>
      <c r="AZ166" s="106">
        <v>0.67</v>
      </c>
      <c r="BA166" s="106">
        <v>0.67</v>
      </c>
      <c r="BC166">
        <f t="shared" si="15"/>
        <v>0</v>
      </c>
      <c r="BD166" s="92">
        <v>3</v>
      </c>
    </row>
    <row r="167" spans="16:56" ht="31.5">
      <c r="P167" s="163" t="s">
        <v>87</v>
      </c>
      <c r="Q167" s="169" t="s">
        <v>304</v>
      </c>
      <c r="R167" s="174">
        <v>0.6</v>
      </c>
      <c r="S167" s="174">
        <v>0.6</v>
      </c>
      <c r="U167" t="str">
        <f t="shared" si="16"/>
        <v>אשל הפרקים</v>
      </c>
      <c r="V167" s="175">
        <v>3</v>
      </c>
      <c r="AD167">
        <f>COUNTIF(סקר!$AT$11:$AT$880,P167)</f>
        <v>0</v>
      </c>
      <c r="AF167">
        <f t="shared" si="17"/>
        <v>0</v>
      </c>
      <c r="AY167" s="47" t="s">
        <v>172</v>
      </c>
      <c r="AZ167" s="106">
        <v>0.67</v>
      </c>
      <c r="BA167" s="106">
        <v>0.67</v>
      </c>
      <c r="BC167">
        <f t="shared" si="15"/>
        <v>0</v>
      </c>
      <c r="BD167" s="92">
        <v>3</v>
      </c>
    </row>
    <row r="168" spans="16:56" ht="31.5">
      <c r="P168" s="163" t="s">
        <v>539</v>
      </c>
      <c r="Q168" s="169" t="s">
        <v>650</v>
      </c>
      <c r="R168" s="174">
        <v>0.48</v>
      </c>
      <c r="S168" s="174">
        <v>0.48</v>
      </c>
      <c r="U168" t="str">
        <f t="shared" si="16"/>
        <v>אשל סיני</v>
      </c>
      <c r="V168" s="175">
        <v>2</v>
      </c>
      <c r="AD168">
        <f>COUNTIF(סקר!$AT$11:$AT$880,P168)</f>
        <v>0</v>
      </c>
      <c r="AF168">
        <f t="shared" si="17"/>
        <v>0</v>
      </c>
      <c r="AY168" s="47" t="s">
        <v>682</v>
      </c>
      <c r="AZ168" s="106">
        <v>0.61</v>
      </c>
      <c r="BA168" s="106">
        <v>0.61</v>
      </c>
      <c r="BC168">
        <f t="shared" si="15"/>
        <v>0</v>
      </c>
      <c r="BD168" s="92">
        <v>3</v>
      </c>
    </row>
    <row r="169" spans="16:56" ht="31.5">
      <c r="P169" s="164" t="s">
        <v>962</v>
      </c>
      <c r="Q169" s="168" t="s">
        <v>1192</v>
      </c>
      <c r="R169" s="174">
        <v>0.6</v>
      </c>
      <c r="S169" s="174">
        <v>0.6</v>
      </c>
      <c r="U169" t="str">
        <f t="shared" si="16"/>
        <v>אשל צרפתי</v>
      </c>
      <c r="V169" s="176">
        <v>3</v>
      </c>
      <c r="AD169">
        <f>COUNTIF(סקר!$AT$11:$AT$880,P169)</f>
        <v>0</v>
      </c>
      <c r="AF169">
        <f t="shared" si="17"/>
        <v>0</v>
      </c>
      <c r="AY169" s="47" t="s">
        <v>381</v>
      </c>
      <c r="AZ169" s="106">
        <v>0.62</v>
      </c>
      <c r="BA169" s="106">
        <v>0.62</v>
      </c>
      <c r="BC169">
        <f t="shared" si="15"/>
        <v>0</v>
      </c>
      <c r="BD169" s="92">
        <v>3</v>
      </c>
    </row>
    <row r="170" spans="16:56" ht="63">
      <c r="P170" s="164" t="s">
        <v>963</v>
      </c>
      <c r="Q170" s="168" t="s">
        <v>1193</v>
      </c>
      <c r="R170" s="174">
        <v>0.62</v>
      </c>
      <c r="S170" s="174">
        <v>0.62</v>
      </c>
      <c r="U170" t="str">
        <f t="shared" si="16"/>
        <v>אשל קטן-פרחים</v>
      </c>
      <c r="V170" s="176">
        <v>3</v>
      </c>
      <c r="AD170">
        <f>COUNTIF(סקר!$AT$11:$AT$880,P170)</f>
        <v>0</v>
      </c>
      <c r="AF170">
        <f t="shared" si="17"/>
        <v>0</v>
      </c>
      <c r="AY170" s="47" t="s">
        <v>383</v>
      </c>
      <c r="AZ170" s="106">
        <v>0.59</v>
      </c>
      <c r="BA170" s="106">
        <v>0.59</v>
      </c>
      <c r="BC170">
        <f t="shared" si="15"/>
        <v>0</v>
      </c>
      <c r="BD170" s="92">
        <v>3</v>
      </c>
    </row>
    <row r="171" spans="16:56" ht="47.25">
      <c r="P171" s="164" t="s">
        <v>964</v>
      </c>
      <c r="Q171" s="168" t="s">
        <v>1194</v>
      </c>
      <c r="R171" s="174">
        <v>0.57999999999999996</v>
      </c>
      <c r="S171" s="174">
        <v>0.57999999999999996</v>
      </c>
      <c r="U171" t="str">
        <f t="shared" si="16"/>
        <v>בוהיניה ארגמנית</v>
      </c>
      <c r="V171" s="176">
        <v>3</v>
      </c>
      <c r="AD171">
        <f>COUNTIF(סקר!$AT$11:$AT$880,P171)</f>
        <v>0</v>
      </c>
      <c r="AF171">
        <f t="shared" si="17"/>
        <v>0</v>
      </c>
      <c r="AY171" s="47" t="s">
        <v>384</v>
      </c>
      <c r="AZ171" s="106">
        <v>0.76</v>
      </c>
      <c r="BA171" s="106">
        <v>0.76</v>
      </c>
      <c r="BC171">
        <f t="shared" si="15"/>
        <v>0</v>
      </c>
      <c r="BD171" s="92">
        <v>4</v>
      </c>
    </row>
    <row r="172" spans="16:56" ht="31.5">
      <c r="P172" s="164" t="s">
        <v>965</v>
      </c>
      <c r="Q172" s="168" t="s">
        <v>1195</v>
      </c>
      <c r="R172" s="174">
        <v>0.56999999999999995</v>
      </c>
      <c r="S172" s="174">
        <v>0.56999999999999995</v>
      </c>
      <c r="U172" t="str">
        <f t="shared" si="16"/>
        <v>בוהיניה טורטיקטה</v>
      </c>
      <c r="V172" s="176">
        <v>3</v>
      </c>
      <c r="AD172">
        <f>COUNTIF(סקר!$AT$11:$AT$880,P172)</f>
        <v>0</v>
      </c>
      <c r="AF172">
        <f t="shared" si="17"/>
        <v>0</v>
      </c>
      <c r="AY172" s="47" t="s">
        <v>683</v>
      </c>
      <c r="AZ172" s="106">
        <v>0.45</v>
      </c>
      <c r="BA172" s="106">
        <v>0.45</v>
      </c>
      <c r="BC172">
        <f t="shared" si="15"/>
        <v>0</v>
      </c>
      <c r="BD172" s="92">
        <v>2</v>
      </c>
    </row>
    <row r="173" spans="16:56" ht="63">
      <c r="P173" s="164" t="s">
        <v>966</v>
      </c>
      <c r="Q173" s="168" t="s">
        <v>1196</v>
      </c>
      <c r="R173" s="174">
        <v>0.55000000000000004</v>
      </c>
      <c r="S173" s="174">
        <v>0.55000000000000004</v>
      </c>
      <c r="U173" t="str">
        <f t="shared" si="16"/>
        <v>בוהיניה יחידת-מאבק</v>
      </c>
      <c r="V173" s="176">
        <v>3</v>
      </c>
      <c r="AD173">
        <f>COUNTIF(סקר!$AT$11:$AT$880,P173)</f>
        <v>0</v>
      </c>
      <c r="AF173">
        <f t="shared" si="17"/>
        <v>0</v>
      </c>
      <c r="AY173" s="47" t="s">
        <v>385</v>
      </c>
      <c r="AZ173" s="106">
        <v>0.57999999999999996</v>
      </c>
      <c r="BA173" s="106">
        <v>0.57999999999999996</v>
      </c>
      <c r="BC173">
        <f t="shared" si="15"/>
        <v>0</v>
      </c>
      <c r="BD173" s="92">
        <v>3</v>
      </c>
    </row>
    <row r="174" spans="16:56" ht="47.25">
      <c r="P174" s="163" t="s">
        <v>88</v>
      </c>
      <c r="Q174" s="169" t="s">
        <v>305</v>
      </c>
      <c r="R174" s="174">
        <v>0.59</v>
      </c>
      <c r="S174" s="174">
        <v>0.59</v>
      </c>
      <c r="U174" t="str">
        <f t="shared" si="16"/>
        <v>בוהיניה מגוונת</v>
      </c>
      <c r="V174" s="175">
        <v>3</v>
      </c>
      <c r="AD174">
        <f>COUNTIF(סקר!$AT$11:$AT$880,P174)</f>
        <v>0</v>
      </c>
      <c r="AF174">
        <f t="shared" si="17"/>
        <v>0</v>
      </c>
      <c r="AY174" s="47" t="s">
        <v>684</v>
      </c>
      <c r="AZ174" s="106">
        <v>0.5</v>
      </c>
      <c r="BA174" s="106">
        <v>0.5</v>
      </c>
      <c r="BC174">
        <f t="shared" si="15"/>
        <v>0</v>
      </c>
      <c r="BD174" s="72"/>
    </row>
    <row r="175" spans="16:56" ht="63">
      <c r="P175" s="164" t="s">
        <v>967</v>
      </c>
      <c r="Q175" s="168" t="s">
        <v>1197</v>
      </c>
      <c r="R175" s="174">
        <v>0.55000000000000004</v>
      </c>
      <c r="S175" s="174">
        <v>0.55000000000000004</v>
      </c>
      <c r="U175" t="str">
        <f t="shared" si="16"/>
        <v>בוהיניית בלק</v>
      </c>
      <c r="V175" s="176">
        <v>3</v>
      </c>
      <c r="AD175">
        <f>COUNTIF(סקר!$AT$11:$AT$880,P175)</f>
        <v>0</v>
      </c>
      <c r="AF175">
        <f t="shared" si="17"/>
        <v>0</v>
      </c>
      <c r="AY175" s="47" t="s">
        <v>685</v>
      </c>
      <c r="AZ175" s="106">
        <v>0.33</v>
      </c>
      <c r="BA175" s="106">
        <v>0.33</v>
      </c>
      <c r="BC175">
        <f t="shared" si="15"/>
        <v>0</v>
      </c>
      <c r="BD175" s="92">
        <v>2</v>
      </c>
    </row>
    <row r="176" spans="16:56" ht="47.25">
      <c r="P176" s="164" t="s">
        <v>968</v>
      </c>
      <c r="Q176" s="168" t="s">
        <v>1198</v>
      </c>
      <c r="R176" s="174">
        <v>0.56999999999999995</v>
      </c>
      <c r="S176" s="174">
        <v>0.56999999999999995</v>
      </c>
      <c r="U176" t="str">
        <f t="shared" si="16"/>
        <v>בוהיניית קרון</v>
      </c>
      <c r="V176" s="176">
        <v>3</v>
      </c>
      <c r="AD176">
        <f>COUNTIF(סקר!$AT$11:$AT$880,P176)</f>
        <v>0</v>
      </c>
      <c r="AF176">
        <f t="shared" si="17"/>
        <v>0</v>
      </c>
      <c r="AY176" s="47" t="s">
        <v>686</v>
      </c>
      <c r="AZ176" s="106">
        <v>0.65</v>
      </c>
      <c r="BA176" s="106">
        <v>0.65</v>
      </c>
      <c r="BC176">
        <f t="shared" si="15"/>
        <v>0</v>
      </c>
      <c r="BD176" s="92">
        <v>3</v>
      </c>
    </row>
    <row r="177" spans="16:56" ht="31.5">
      <c r="P177" s="163" t="s">
        <v>773</v>
      </c>
      <c r="Q177" s="169" t="s">
        <v>774</v>
      </c>
      <c r="R177" s="174">
        <v>0.62</v>
      </c>
      <c r="S177" s="174">
        <v>0.62</v>
      </c>
      <c r="U177" t="str">
        <f t="shared" si="16"/>
        <v>בוטיה דרומית</v>
      </c>
      <c r="V177" s="175">
        <v>3</v>
      </c>
      <c r="AD177">
        <f>COUNTIF(סקר!$AT$11:$AT$880,P177)</f>
        <v>0</v>
      </c>
      <c r="AF177">
        <f t="shared" si="17"/>
        <v>0</v>
      </c>
      <c r="AY177" s="47" t="s">
        <v>687</v>
      </c>
      <c r="AZ177" s="106">
        <v>0.7</v>
      </c>
      <c r="BA177" s="106">
        <v>0.7</v>
      </c>
      <c r="BC177">
        <f t="shared" si="15"/>
        <v>0</v>
      </c>
      <c r="BD177" s="92">
        <v>4</v>
      </c>
    </row>
    <row r="178" spans="16:56" ht="63">
      <c r="P178" s="163" t="s">
        <v>90</v>
      </c>
      <c r="Q178" s="169" t="s">
        <v>306</v>
      </c>
      <c r="R178" s="174">
        <v>0.7</v>
      </c>
      <c r="S178" s="174">
        <v>0.7</v>
      </c>
      <c r="U178" t="str">
        <f t="shared" si="16"/>
        <v>בולוסנתוס נאה</v>
      </c>
      <c r="V178" s="175">
        <v>4</v>
      </c>
      <c r="AD178">
        <f>COUNTIF(סקר!$AT$11:$AT$880,P178)</f>
        <v>0</v>
      </c>
      <c r="AF178">
        <f t="shared" si="17"/>
        <v>0</v>
      </c>
      <c r="AY178" s="47" t="s">
        <v>386</v>
      </c>
      <c r="AZ178" s="106">
        <v>0.76</v>
      </c>
      <c r="BA178" s="106">
        <v>0.76</v>
      </c>
      <c r="BC178">
        <f t="shared" si="15"/>
        <v>0</v>
      </c>
      <c r="BD178" s="92">
        <v>4</v>
      </c>
    </row>
    <row r="179" spans="16:56" ht="31.5">
      <c r="P179" s="163" t="s">
        <v>540</v>
      </c>
      <c r="Q179" s="169" t="s">
        <v>93</v>
      </c>
      <c r="R179" s="174">
        <v>0.68</v>
      </c>
      <c r="S179" s="174">
        <v>0.68</v>
      </c>
      <c r="U179" t="str">
        <f t="shared" si="16"/>
        <v>בומבק צייבה</v>
      </c>
      <c r="V179" s="175">
        <v>3</v>
      </c>
      <c r="AD179">
        <f>COUNTIF(סקר!$AT$11:$AT$880,P179)</f>
        <v>0</v>
      </c>
      <c r="AF179">
        <f t="shared" si="17"/>
        <v>0</v>
      </c>
      <c r="AY179" s="47" t="s">
        <v>388</v>
      </c>
      <c r="AZ179" s="106">
        <v>0.56000000000000005</v>
      </c>
      <c r="BA179" s="106">
        <v>0.56000000000000005</v>
      </c>
      <c r="BC179">
        <f t="shared" si="15"/>
        <v>0</v>
      </c>
      <c r="BD179" s="92">
        <v>3</v>
      </c>
    </row>
    <row r="180" spans="16:56" ht="63">
      <c r="P180" s="163" t="s">
        <v>541</v>
      </c>
      <c r="Q180" s="169" t="s">
        <v>651</v>
      </c>
      <c r="R180" s="174">
        <v>0.49</v>
      </c>
      <c r="S180" s="174">
        <v>0.49</v>
      </c>
      <c r="U180" t="str">
        <f t="shared" si="16"/>
        <v>בוקיצה אמריקנית</v>
      </c>
      <c r="V180" s="175">
        <v>2</v>
      </c>
      <c r="AD180">
        <f>COUNTIF(סקר!$AT$11:$AT$880,P180)</f>
        <v>0</v>
      </c>
      <c r="AF180">
        <f t="shared" si="17"/>
        <v>0</v>
      </c>
      <c r="AY180" s="47" t="s">
        <v>390</v>
      </c>
      <c r="AZ180" s="106">
        <v>0.55000000000000004</v>
      </c>
      <c r="BA180" s="106">
        <v>0.55000000000000004</v>
      </c>
      <c r="BC180">
        <f t="shared" si="15"/>
        <v>0</v>
      </c>
      <c r="BD180" s="92">
        <v>3</v>
      </c>
    </row>
    <row r="181" spans="16:56" ht="63">
      <c r="P181" s="163" t="s">
        <v>542</v>
      </c>
      <c r="Q181" s="169" t="s">
        <v>307</v>
      </c>
      <c r="R181" s="174">
        <v>0.42</v>
      </c>
      <c r="S181" s="174">
        <v>0.42</v>
      </c>
      <c r="U181" t="str">
        <f t="shared" si="16"/>
        <v>בוקיצה נמוכה</v>
      </c>
      <c r="V181" s="175">
        <v>2</v>
      </c>
      <c r="AD181">
        <f>COUNTIF(סקר!$AT$11:$AT$880,P181)</f>
        <v>0</v>
      </c>
      <c r="AF181">
        <f t="shared" si="17"/>
        <v>0</v>
      </c>
      <c r="AY181" s="47" t="s">
        <v>392</v>
      </c>
      <c r="AZ181" s="106">
        <v>0.54</v>
      </c>
      <c r="BA181" s="106">
        <v>0.54</v>
      </c>
      <c r="BC181">
        <f t="shared" si="15"/>
        <v>0</v>
      </c>
      <c r="BD181" s="92">
        <v>3</v>
      </c>
    </row>
    <row r="182" spans="16:56" ht="31.5">
      <c r="P182" s="163" t="s">
        <v>543</v>
      </c>
      <c r="Q182" s="169" t="s">
        <v>27</v>
      </c>
      <c r="R182" s="174">
        <v>0.65</v>
      </c>
      <c r="S182" s="174">
        <v>0.65</v>
      </c>
      <c r="U182" t="str">
        <f t="shared" si="16"/>
        <v>בוקיצה קטנת-עלים</v>
      </c>
      <c r="V182" s="175">
        <v>3</v>
      </c>
      <c r="AD182">
        <f>COUNTIF(סקר!$AT$11:$AT$880,P182)</f>
        <v>0</v>
      </c>
      <c r="AF182">
        <f t="shared" si="17"/>
        <v>0</v>
      </c>
      <c r="AY182" s="47" t="s">
        <v>393</v>
      </c>
      <c r="AZ182" s="106">
        <v>0.76</v>
      </c>
      <c r="BA182" s="106">
        <v>0.76</v>
      </c>
      <c r="BC182">
        <f t="shared" si="15"/>
        <v>0</v>
      </c>
      <c r="BD182" s="92">
        <v>4</v>
      </c>
    </row>
    <row r="183" spans="16:56" ht="47.25">
      <c r="P183" s="163" t="s">
        <v>544</v>
      </c>
      <c r="Q183" s="169" t="s">
        <v>652</v>
      </c>
      <c r="R183" s="174">
        <v>0.62</v>
      </c>
      <c r="S183" s="174">
        <v>0.62</v>
      </c>
      <c r="U183" t="str">
        <f t="shared" si="16"/>
        <v>בוקיצה שעירה</v>
      </c>
      <c r="V183" s="175">
        <v>3</v>
      </c>
      <c r="AD183">
        <f>COUNTIF(סקר!$AT$11:$AT$880,P183)</f>
        <v>0</v>
      </c>
      <c r="AF183">
        <f t="shared" si="17"/>
        <v>0</v>
      </c>
      <c r="AY183" s="47" t="s">
        <v>187</v>
      </c>
      <c r="AZ183" s="106">
        <v>0.73</v>
      </c>
      <c r="BA183" s="106">
        <v>0.73</v>
      </c>
      <c r="BC183">
        <f t="shared" si="15"/>
        <v>0</v>
      </c>
      <c r="BD183" s="92">
        <v>4</v>
      </c>
    </row>
    <row r="184" spans="16:56" ht="47.25">
      <c r="P184" s="163" t="s">
        <v>775</v>
      </c>
      <c r="Q184" s="169" t="s">
        <v>776</v>
      </c>
      <c r="R184" s="174">
        <v>0.62</v>
      </c>
      <c r="S184" s="174">
        <v>0.62</v>
      </c>
      <c r="U184" t="str">
        <f t="shared" si="16"/>
        <v>ביסמרקיה אצילה</v>
      </c>
      <c r="V184" s="175">
        <v>3</v>
      </c>
      <c r="AD184">
        <f>COUNTIF(סקר!$AT$11:$AT$880,P184)</f>
        <v>0</v>
      </c>
      <c r="AF184">
        <f t="shared" si="17"/>
        <v>0</v>
      </c>
      <c r="AY184" s="47" t="s">
        <v>394</v>
      </c>
      <c r="AZ184" s="106">
        <v>0.81</v>
      </c>
      <c r="BA184" s="106">
        <v>0.81</v>
      </c>
      <c r="BC184">
        <f t="shared" si="15"/>
        <v>0</v>
      </c>
      <c r="BD184" s="92">
        <v>4</v>
      </c>
    </row>
    <row r="185" spans="16:56" ht="47.25">
      <c r="P185" s="164" t="s">
        <v>969</v>
      </c>
      <c r="Q185" s="168" t="s">
        <v>1199</v>
      </c>
      <c r="R185" s="174">
        <v>0.6</v>
      </c>
      <c r="S185" s="174">
        <v>0.6</v>
      </c>
      <c r="U185" t="str">
        <f t="shared" si="16"/>
        <v>בירנית מפושקת</v>
      </c>
      <c r="V185" s="176">
        <v>3</v>
      </c>
      <c r="AD185">
        <f>COUNTIF(סקר!$AT$11:$AT$880,P185)</f>
        <v>0</v>
      </c>
      <c r="AF185">
        <f t="shared" si="17"/>
        <v>0</v>
      </c>
      <c r="AY185" s="47" t="s">
        <v>396</v>
      </c>
      <c r="AZ185" s="106">
        <v>0.81</v>
      </c>
      <c r="BA185" s="106">
        <v>0.81</v>
      </c>
      <c r="BC185">
        <f t="shared" si="15"/>
        <v>0</v>
      </c>
      <c r="BD185" s="92">
        <v>4</v>
      </c>
    </row>
    <row r="186" spans="16:56" ht="31.5">
      <c r="P186" s="164" t="s">
        <v>970</v>
      </c>
      <c r="Q186" s="168" t="s">
        <v>1200</v>
      </c>
      <c r="R186" s="174">
        <v>0.4</v>
      </c>
      <c r="S186" s="174">
        <v>0.4</v>
      </c>
      <c r="U186" t="str">
        <f t="shared" si="16"/>
        <v>בן עוזרר דלקורי</v>
      </c>
      <c r="V186" s="176">
        <v>2</v>
      </c>
      <c r="AD186">
        <f>COUNTIF(סקר!$AT$11:$AT$880,P186)</f>
        <v>0</v>
      </c>
      <c r="AF186">
        <f t="shared" si="17"/>
        <v>0</v>
      </c>
      <c r="AY186" s="47" t="s">
        <v>688</v>
      </c>
      <c r="AZ186" s="106">
        <v>0.72</v>
      </c>
      <c r="BA186" s="106">
        <v>0.72</v>
      </c>
      <c r="BC186">
        <f t="shared" si="15"/>
        <v>0</v>
      </c>
      <c r="BD186" s="92">
        <v>4</v>
      </c>
    </row>
    <row r="187" spans="16:56" ht="31.5">
      <c r="P187" s="163" t="s">
        <v>545</v>
      </c>
      <c r="Q187" s="169" t="s">
        <v>321</v>
      </c>
      <c r="R187" s="174">
        <v>0.59</v>
      </c>
      <c r="S187" s="174">
        <v>0.59</v>
      </c>
      <c r="U187" t="str">
        <f t="shared" si="16"/>
        <v>בר-זית בינוני</v>
      </c>
      <c r="V187" s="175">
        <v>3</v>
      </c>
      <c r="AD187">
        <f>COUNTIF(סקר!$AT$11:$AT$880,P187)</f>
        <v>0</v>
      </c>
      <c r="AF187">
        <f t="shared" si="17"/>
        <v>0</v>
      </c>
      <c r="AY187" s="47" t="s">
        <v>397</v>
      </c>
      <c r="AZ187" s="106">
        <v>0.78</v>
      </c>
      <c r="BA187" s="106">
        <v>0.78</v>
      </c>
      <c r="BC187">
        <f t="shared" si="15"/>
        <v>0</v>
      </c>
      <c r="BD187" s="92">
        <v>4</v>
      </c>
    </row>
    <row r="188" spans="16:56" ht="47.25">
      <c r="P188" s="163" t="s">
        <v>546</v>
      </c>
      <c r="Q188" s="169" t="s">
        <v>308</v>
      </c>
      <c r="R188" s="174">
        <v>0.76</v>
      </c>
      <c r="S188" s="174">
        <v>0.76</v>
      </c>
      <c r="U188" t="str">
        <f t="shared" si="16"/>
        <v>ברוש אריזוני</v>
      </c>
      <c r="V188" s="175">
        <v>4</v>
      </c>
      <c r="AD188">
        <f>COUNTIF(סקר!$AT$11:$AT$880,P188)</f>
        <v>0</v>
      </c>
      <c r="AF188">
        <f t="shared" si="17"/>
        <v>0</v>
      </c>
      <c r="AY188" s="47" t="s">
        <v>689</v>
      </c>
      <c r="AZ188" s="106">
        <v>0.56999999999999995</v>
      </c>
      <c r="BA188" s="106">
        <v>0.56999999999999995</v>
      </c>
      <c r="BC188">
        <f t="shared" si="15"/>
        <v>0</v>
      </c>
      <c r="BD188" s="92">
        <v>3</v>
      </c>
    </row>
    <row r="189" spans="16:56" ht="47.25">
      <c r="P189" s="164" t="s">
        <v>971</v>
      </c>
      <c r="Q189" s="168" t="s">
        <v>1201</v>
      </c>
      <c r="R189" s="174">
        <v>0.65</v>
      </c>
      <c r="S189" s="174">
        <v>0.65</v>
      </c>
      <c r="U189" t="str">
        <f t="shared" si="16"/>
        <v>ברוש בייקר</v>
      </c>
      <c r="V189" s="176">
        <v>4</v>
      </c>
      <c r="AD189">
        <f>COUNTIF(סקר!$AT$11:$AT$880,P189)</f>
        <v>0</v>
      </c>
      <c r="AF189">
        <f t="shared" si="17"/>
        <v>0</v>
      </c>
      <c r="AY189" s="47" t="s">
        <v>690</v>
      </c>
      <c r="AZ189" s="106">
        <v>0.4</v>
      </c>
      <c r="BA189" s="106">
        <v>0.4</v>
      </c>
      <c r="BC189">
        <f t="shared" si="15"/>
        <v>0</v>
      </c>
      <c r="BD189" s="92">
        <v>2</v>
      </c>
    </row>
    <row r="190" spans="16:56" ht="47.25">
      <c r="P190" s="163" t="s">
        <v>309</v>
      </c>
      <c r="Q190" s="169" t="s">
        <v>310</v>
      </c>
      <c r="R190" s="174">
        <v>0.78</v>
      </c>
      <c r="S190" s="174">
        <v>0.78</v>
      </c>
      <c r="U190" t="str">
        <f t="shared" si="16"/>
        <v>ברוש בכות</v>
      </c>
      <c r="V190" s="175">
        <v>4</v>
      </c>
      <c r="AD190">
        <f>COUNTIF(סקר!$AT$11:$AT$880,P190)</f>
        <v>0</v>
      </c>
      <c r="AF190">
        <f t="shared" si="17"/>
        <v>0</v>
      </c>
      <c r="AY190" s="47" t="s">
        <v>193</v>
      </c>
      <c r="AZ190" s="106">
        <v>0.54</v>
      </c>
      <c r="BA190" s="106">
        <v>0.54</v>
      </c>
      <c r="BC190">
        <f t="shared" si="15"/>
        <v>0</v>
      </c>
      <c r="BD190" s="92">
        <v>3</v>
      </c>
    </row>
    <row r="191" spans="16:56" ht="31.5">
      <c r="P191" s="163" t="s">
        <v>547</v>
      </c>
      <c r="Q191" s="169" t="s">
        <v>311</v>
      </c>
      <c r="R191" s="174">
        <v>0.48</v>
      </c>
      <c r="S191" s="174">
        <v>0.48</v>
      </c>
      <c r="U191" t="str">
        <f t="shared" si="16"/>
        <v>ברוש גדול-פירות</v>
      </c>
      <c r="V191" s="175">
        <v>2</v>
      </c>
      <c r="AD191">
        <f>COUNTIF(סקר!$AT$11:$AT$880,P191)</f>
        <v>0</v>
      </c>
      <c r="AF191">
        <f t="shared" si="17"/>
        <v>0</v>
      </c>
      <c r="AY191" s="47" t="s">
        <v>399</v>
      </c>
      <c r="AZ191" s="106">
        <v>0.72</v>
      </c>
      <c r="BA191" s="106">
        <v>0.72</v>
      </c>
      <c r="BC191">
        <f t="shared" si="15"/>
        <v>0</v>
      </c>
      <c r="BD191" s="92">
        <v>4</v>
      </c>
    </row>
    <row r="192" spans="16:56" ht="31.5">
      <c r="P192" s="164" t="s">
        <v>972</v>
      </c>
      <c r="Q192" s="168" t="s">
        <v>1202</v>
      </c>
      <c r="R192" s="174">
        <v>0.4</v>
      </c>
      <c r="S192" s="174">
        <v>0.4</v>
      </c>
      <c r="U192" t="str">
        <f t="shared" si="16"/>
        <v>ברוש הדור</v>
      </c>
      <c r="V192" s="176">
        <v>4</v>
      </c>
      <c r="AD192">
        <f>COUNTIF(סקר!$AT$11:$AT$880,P192)</f>
        <v>0</v>
      </c>
      <c r="AF192">
        <f t="shared" si="17"/>
        <v>0</v>
      </c>
      <c r="AY192" s="47" t="s">
        <v>691</v>
      </c>
      <c r="AZ192" s="106">
        <v>0.65</v>
      </c>
      <c r="BA192" s="106">
        <v>0.65</v>
      </c>
      <c r="BC192">
        <f t="shared" si="15"/>
        <v>0</v>
      </c>
      <c r="BD192" s="92">
        <v>3</v>
      </c>
    </row>
    <row r="193" spans="16:56" ht="47.25">
      <c r="P193" s="163" t="s">
        <v>548</v>
      </c>
      <c r="Q193" s="169" t="s">
        <v>95</v>
      </c>
      <c r="R193" s="174">
        <v>0.84</v>
      </c>
      <c r="S193" s="174">
        <v>0.84</v>
      </c>
      <c r="U193" t="str">
        <f t="shared" si="16"/>
        <v>ברוש מצוי</v>
      </c>
      <c r="V193" s="175">
        <v>4</v>
      </c>
      <c r="AD193">
        <f>COUNTIF(סקר!$AT$11:$AT$880,P193)</f>
        <v>0</v>
      </c>
      <c r="AF193">
        <f t="shared" si="17"/>
        <v>0</v>
      </c>
      <c r="AY193" s="47" t="s">
        <v>401</v>
      </c>
      <c r="AZ193" s="106">
        <v>0.72</v>
      </c>
      <c r="BA193" s="106">
        <v>0.72</v>
      </c>
      <c r="BC193">
        <f t="shared" si="15"/>
        <v>0</v>
      </c>
      <c r="BD193" s="92">
        <v>4</v>
      </c>
    </row>
    <row r="194" spans="16:56" ht="63">
      <c r="P194" s="163" t="s">
        <v>312</v>
      </c>
      <c r="Q194" s="169" t="s">
        <v>313</v>
      </c>
      <c r="R194" s="174">
        <v>0.79</v>
      </c>
      <c r="S194" s="174">
        <v>0.79</v>
      </c>
      <c r="U194" t="str">
        <f t="shared" si="16"/>
        <v>ברוש פורטוגלי</v>
      </c>
      <c r="V194" s="175">
        <v>4</v>
      </c>
      <c r="AD194">
        <f>COUNTIF(סקר!$AT$11:$AT$880,P194)</f>
        <v>0</v>
      </c>
      <c r="AF194">
        <f t="shared" si="17"/>
        <v>0</v>
      </c>
      <c r="AY194" s="47" t="s">
        <v>403</v>
      </c>
      <c r="AZ194" s="106">
        <v>0.75</v>
      </c>
      <c r="BA194" s="106">
        <v>0.75</v>
      </c>
      <c r="BC194">
        <f t="shared" si="15"/>
        <v>0</v>
      </c>
      <c r="BD194" s="92">
        <v>4</v>
      </c>
    </row>
    <row r="195" spans="16:56" ht="47.25">
      <c r="P195" s="163" t="s">
        <v>549</v>
      </c>
      <c r="Q195" s="169" t="s">
        <v>653</v>
      </c>
      <c r="R195" s="174">
        <v>0.73</v>
      </c>
      <c r="S195" s="174">
        <v>0.73</v>
      </c>
      <c r="U195" t="str">
        <f t="shared" si="16"/>
        <v>ברוש קירח</v>
      </c>
      <c r="V195" s="175">
        <v>4</v>
      </c>
      <c r="AD195">
        <f>COUNTIF(סקר!$AT$11:$AT$880,P195)</f>
        <v>0</v>
      </c>
      <c r="AF195">
        <f t="shared" si="17"/>
        <v>0</v>
      </c>
      <c r="AY195" s="47" t="s">
        <v>405</v>
      </c>
      <c r="AZ195" s="106">
        <v>0.75</v>
      </c>
      <c r="BA195" s="106">
        <v>0.75</v>
      </c>
      <c r="BC195">
        <f t="shared" si="15"/>
        <v>0</v>
      </c>
      <c r="BD195" s="92">
        <v>4</v>
      </c>
    </row>
    <row r="196" spans="16:56" ht="47.25">
      <c r="P196" s="163" t="s">
        <v>550</v>
      </c>
      <c r="Q196" s="169" t="s">
        <v>314</v>
      </c>
      <c r="R196" s="174">
        <v>0.8</v>
      </c>
      <c r="S196" s="174">
        <v>0.8</v>
      </c>
      <c r="U196" t="str">
        <f t="shared" si="16"/>
        <v>ברוש קשמירי</v>
      </c>
      <c r="V196" s="175">
        <v>4</v>
      </c>
      <c r="AD196">
        <f>COUNTIF(סקר!$AT$11:$AT$880,P196)</f>
        <v>0</v>
      </c>
      <c r="AF196">
        <f t="shared" si="17"/>
        <v>0</v>
      </c>
      <c r="AY196" s="47" t="s">
        <v>407</v>
      </c>
      <c r="AZ196" s="106">
        <v>0.41</v>
      </c>
      <c r="BA196" s="106">
        <v>0.41</v>
      </c>
      <c r="BC196">
        <f t="shared" ref="BC196:BC259" si="18">AX196</f>
        <v>0</v>
      </c>
      <c r="BD196" s="92">
        <v>2</v>
      </c>
    </row>
    <row r="197" spans="16:56" ht="31.5">
      <c r="P197" s="163" t="s">
        <v>315</v>
      </c>
      <c r="Q197" s="169" t="s">
        <v>316</v>
      </c>
      <c r="R197" s="174">
        <v>0.65</v>
      </c>
      <c r="S197" s="174">
        <v>0.65</v>
      </c>
      <c r="U197" t="str">
        <f t="shared" si="16"/>
        <v>ברזילי הדור</v>
      </c>
      <c r="V197" s="175">
        <v>3</v>
      </c>
      <c r="AD197">
        <f>COUNTIF(סקר!$AT$11:$AT$880,P197)</f>
        <v>0</v>
      </c>
      <c r="AF197">
        <f t="shared" ref="AF197:AF261" si="19">IF(AD197&gt;0,U197,0)</f>
        <v>0</v>
      </c>
      <c r="AY197" s="47" t="s">
        <v>409</v>
      </c>
      <c r="AZ197" s="106">
        <v>0.55000000000000004</v>
      </c>
      <c r="BA197" s="106">
        <v>0.55000000000000004</v>
      </c>
      <c r="BC197">
        <f t="shared" si="18"/>
        <v>0</v>
      </c>
      <c r="BD197" s="92">
        <v>3</v>
      </c>
    </row>
    <row r="198" spans="16:56" ht="63">
      <c r="P198" s="163" t="s">
        <v>317</v>
      </c>
      <c r="Q198" s="169" t="s">
        <v>654</v>
      </c>
      <c r="R198" s="174">
        <v>0.56000000000000005</v>
      </c>
      <c r="S198" s="174">
        <v>0.56000000000000005</v>
      </c>
      <c r="U198" t="str">
        <f t="shared" ref="U198:U262" si="20">P198</f>
        <v>ברכיכיטון אדרי</v>
      </c>
      <c r="V198" s="175">
        <v>3</v>
      </c>
      <c r="AD198">
        <f>COUNTIF(סקר!$AT$11:$AT$880,P198)</f>
        <v>0</v>
      </c>
      <c r="AF198">
        <f t="shared" si="19"/>
        <v>0</v>
      </c>
      <c r="AY198" s="47" t="s">
        <v>411</v>
      </c>
      <c r="AZ198" s="106">
        <v>0.57999999999999996</v>
      </c>
      <c r="BA198" s="106">
        <v>0.57999999999999996</v>
      </c>
      <c r="BC198">
        <f t="shared" si="18"/>
        <v>0</v>
      </c>
      <c r="BD198" s="92">
        <v>3</v>
      </c>
    </row>
    <row r="199" spans="16:56" ht="47.25">
      <c r="P199" s="163" t="s">
        <v>319</v>
      </c>
      <c r="Q199" s="169" t="s">
        <v>318</v>
      </c>
      <c r="R199" s="174">
        <v>0.55000000000000004</v>
      </c>
      <c r="S199" s="174">
        <v>0.55000000000000004</v>
      </c>
      <c r="U199" t="str">
        <f t="shared" si="20"/>
        <v>ברכיכיטון אוסטרלי</v>
      </c>
      <c r="V199" s="175">
        <v>3</v>
      </c>
      <c r="AD199">
        <f>COUNTIF(סקר!$AT$11:$AT$880,P199)</f>
        <v>0</v>
      </c>
      <c r="AF199">
        <f t="shared" si="19"/>
        <v>0</v>
      </c>
      <c r="AY199" s="47" t="s">
        <v>692</v>
      </c>
      <c r="AZ199" s="106">
        <v>0.62</v>
      </c>
      <c r="BA199" s="106">
        <v>0.62</v>
      </c>
      <c r="BC199">
        <f t="shared" si="18"/>
        <v>0</v>
      </c>
      <c r="BD199" s="92">
        <v>3</v>
      </c>
    </row>
    <row r="200" spans="16:56" ht="31.5">
      <c r="P200" s="163" t="s">
        <v>551</v>
      </c>
      <c r="Q200" s="169" t="s">
        <v>655</v>
      </c>
      <c r="R200" s="174">
        <v>0.5</v>
      </c>
      <c r="S200" s="174">
        <v>0.5</v>
      </c>
      <c r="U200" t="str">
        <f t="shared" si="20"/>
        <v>ברכיכיטון בידוויל</v>
      </c>
      <c r="V200" s="175">
        <v>3</v>
      </c>
      <c r="AD200">
        <f>COUNTIF(סקר!$AT$11:$AT$880,P200)</f>
        <v>0</v>
      </c>
      <c r="AF200">
        <f t="shared" si="19"/>
        <v>0</v>
      </c>
      <c r="AY200" s="47" t="s">
        <v>413</v>
      </c>
      <c r="AZ200" s="106">
        <v>0.75</v>
      </c>
      <c r="BA200" s="106">
        <v>0.75</v>
      </c>
      <c r="BC200">
        <f t="shared" si="18"/>
        <v>0</v>
      </c>
      <c r="BD200" s="92">
        <v>4</v>
      </c>
    </row>
    <row r="201" spans="16:56" ht="63">
      <c r="P201" s="164" t="s">
        <v>973</v>
      </c>
      <c r="Q201" s="168" t="s">
        <v>1203</v>
      </c>
      <c r="R201" s="174">
        <v>0.5</v>
      </c>
      <c r="S201" s="174">
        <v>0.5</v>
      </c>
      <c r="U201" t="str">
        <f t="shared" si="20"/>
        <v>ברכיכיטון גרגור</v>
      </c>
      <c r="V201" s="176">
        <v>3</v>
      </c>
      <c r="AD201">
        <f>COUNTIF(סקר!$AT$11:$AT$880,P201)</f>
        <v>0</v>
      </c>
      <c r="AF201">
        <f t="shared" si="19"/>
        <v>0</v>
      </c>
      <c r="AY201" s="47" t="s">
        <v>414</v>
      </c>
      <c r="AZ201" s="106">
        <v>0.78</v>
      </c>
      <c r="BA201" s="106">
        <v>0.78</v>
      </c>
      <c r="BC201">
        <f t="shared" si="18"/>
        <v>0</v>
      </c>
      <c r="BD201" s="92">
        <v>4</v>
      </c>
    </row>
    <row r="202" spans="16:56" ht="47.25">
      <c r="P202" s="163" t="s">
        <v>974</v>
      </c>
      <c r="Q202" s="169" t="s">
        <v>101</v>
      </c>
      <c r="R202" s="174">
        <v>0.56000000000000005</v>
      </c>
      <c r="S202" s="174">
        <v>0.56000000000000005</v>
      </c>
      <c r="U202" t="str">
        <f t="shared" si="20"/>
        <v>ברכיכיטון דו-גוני</v>
      </c>
      <c r="V202" s="175">
        <v>3</v>
      </c>
      <c r="AD202">
        <f>COUNTIF(סקר!$AT$11:$AT$880,P202)</f>
        <v>0</v>
      </c>
      <c r="AF202">
        <f t="shared" si="19"/>
        <v>0</v>
      </c>
      <c r="AY202" s="47" t="s">
        <v>693</v>
      </c>
      <c r="AZ202" s="106">
        <v>0.7</v>
      </c>
      <c r="BA202" s="106">
        <v>0.7</v>
      </c>
      <c r="BC202">
        <f t="shared" si="18"/>
        <v>0</v>
      </c>
      <c r="BD202" s="92">
        <v>4</v>
      </c>
    </row>
    <row r="203" spans="16:56" ht="47.25">
      <c r="P203" s="163" t="s">
        <v>552</v>
      </c>
      <c r="Q203" s="169" t="s">
        <v>103</v>
      </c>
      <c r="R203" s="174">
        <v>0.67</v>
      </c>
      <c r="S203" s="174">
        <v>0.67</v>
      </c>
      <c r="U203" t="str">
        <f t="shared" si="20"/>
        <v>ברכיכיטון הסלעים</v>
      </c>
      <c r="V203" s="175">
        <v>3</v>
      </c>
      <c r="AD203">
        <f>COUNTIF(סקר!$AT$11:$AT$880,P203)</f>
        <v>0</v>
      </c>
      <c r="AF203">
        <f t="shared" si="19"/>
        <v>0</v>
      </c>
      <c r="AY203" s="47" t="s">
        <v>416</v>
      </c>
      <c r="AZ203" s="106">
        <v>0.56999999999999995</v>
      </c>
      <c r="BA203" s="106">
        <v>0.56999999999999995</v>
      </c>
      <c r="BC203">
        <f t="shared" si="18"/>
        <v>0</v>
      </c>
      <c r="BD203" s="92">
        <v>3</v>
      </c>
    </row>
    <row r="204" spans="16:56" ht="47.25">
      <c r="P204" s="163" t="s">
        <v>553</v>
      </c>
      <c r="Q204" s="169" t="s">
        <v>320</v>
      </c>
      <c r="R204" s="174">
        <v>0.68</v>
      </c>
      <c r="S204" s="174">
        <v>0.68</v>
      </c>
      <c r="U204" t="str">
        <f t="shared" si="20"/>
        <v>ברכיכיטון צפצפתי</v>
      </c>
      <c r="V204" s="175">
        <v>3</v>
      </c>
      <c r="AD204">
        <f>COUNTIF(סקר!$AT$11:$AT$880,P204)</f>
        <v>0</v>
      </c>
      <c r="AF204">
        <f t="shared" si="19"/>
        <v>0</v>
      </c>
      <c r="AY204" s="47" t="s">
        <v>417</v>
      </c>
      <c r="AZ204" s="106">
        <v>0.71</v>
      </c>
      <c r="BA204" s="106">
        <v>0.71</v>
      </c>
      <c r="BC204">
        <f t="shared" si="18"/>
        <v>0</v>
      </c>
      <c r="BD204" s="92">
        <v>4</v>
      </c>
    </row>
    <row r="205" spans="16:56" ht="47.25">
      <c r="P205" s="163" t="s">
        <v>975</v>
      </c>
      <c r="Q205" s="169" t="s">
        <v>1204</v>
      </c>
      <c r="R205" s="174">
        <v>0.43</v>
      </c>
      <c r="S205" s="174">
        <v>0.43</v>
      </c>
      <c r="U205" t="str">
        <f t="shared" si="20"/>
        <v>גויאבה מצויה (זנים שונים)</v>
      </c>
      <c r="V205" s="175">
        <v>2</v>
      </c>
      <c r="AD205">
        <f>COUNTIF(סקר!$AT$11:$AT$880,P205)</f>
        <v>0</v>
      </c>
      <c r="AF205">
        <f t="shared" si="19"/>
        <v>0</v>
      </c>
      <c r="AY205" s="47" t="s">
        <v>200</v>
      </c>
      <c r="AZ205" s="106">
        <v>0.6</v>
      </c>
      <c r="BA205" s="106">
        <v>0.6</v>
      </c>
      <c r="BC205">
        <f t="shared" si="18"/>
        <v>0</v>
      </c>
      <c r="BD205" s="92">
        <v>3</v>
      </c>
    </row>
    <row r="206" spans="16:56" ht="31.5">
      <c r="P206" s="163" t="s">
        <v>976</v>
      </c>
      <c r="Q206" s="169" t="s">
        <v>657</v>
      </c>
      <c r="R206" s="174">
        <v>0.4</v>
      </c>
      <c r="S206" s="174">
        <v>0.4</v>
      </c>
      <c r="U206" t="str">
        <f t="shared" si="20"/>
        <v>גויאבה תותית (זנים שונים)</v>
      </c>
      <c r="V206" s="175">
        <v>2</v>
      </c>
      <c r="AD206">
        <f>COUNTIF(סקר!$AT$11:$AT$880,P206)</f>
        <v>0</v>
      </c>
      <c r="AF206">
        <f t="shared" si="19"/>
        <v>0</v>
      </c>
      <c r="AY206" s="47" t="s">
        <v>418</v>
      </c>
      <c r="AZ206" s="106">
        <v>0.65</v>
      </c>
      <c r="BA206" s="106">
        <v>0.65</v>
      </c>
      <c r="BC206">
        <f t="shared" si="18"/>
        <v>0</v>
      </c>
      <c r="BD206" s="92">
        <v>3</v>
      </c>
    </row>
    <row r="207" spans="16:56" ht="47.25">
      <c r="P207" s="163" t="s">
        <v>977</v>
      </c>
      <c r="Q207" s="169" t="s">
        <v>691</v>
      </c>
      <c r="R207" s="174">
        <v>0.65</v>
      </c>
      <c r="S207" s="174">
        <v>0.65</v>
      </c>
      <c r="U207" t="str">
        <f t="shared" si="20"/>
        <v>גופנן המדבר</v>
      </c>
      <c r="V207" s="175">
        <v>3</v>
      </c>
      <c r="AD207">
        <f>COUNTIF(סקר!$AT$11:$AT$880,P207)</f>
        <v>0</v>
      </c>
      <c r="AF207">
        <f t="shared" si="19"/>
        <v>0</v>
      </c>
      <c r="AY207" s="47" t="s">
        <v>419</v>
      </c>
      <c r="AZ207" s="106">
        <v>0.73</v>
      </c>
      <c r="BA207" s="106">
        <v>0.73</v>
      </c>
      <c r="BC207">
        <f t="shared" si="18"/>
        <v>0</v>
      </c>
      <c r="BD207" s="92">
        <v>4</v>
      </c>
    </row>
    <row r="208" spans="16:56" ht="47.25">
      <c r="P208" s="163" t="s">
        <v>322</v>
      </c>
      <c r="Q208" s="169" t="s">
        <v>323</v>
      </c>
      <c r="R208" s="174">
        <v>0.85</v>
      </c>
      <c r="S208" s="174">
        <v>0.85</v>
      </c>
      <c r="U208" t="str">
        <f t="shared" si="20"/>
        <v>גינקו דו-אונתי</v>
      </c>
      <c r="V208" s="175">
        <v>4</v>
      </c>
      <c r="AD208">
        <f>COUNTIF(סקר!$AT$11:$AT$880,P208)</f>
        <v>0</v>
      </c>
      <c r="AF208">
        <f t="shared" si="19"/>
        <v>0</v>
      </c>
      <c r="AY208" s="47" t="s">
        <v>694</v>
      </c>
      <c r="AZ208" s="106">
        <v>0.85</v>
      </c>
      <c r="BA208" s="106">
        <v>0.85</v>
      </c>
      <c r="BC208">
        <f t="shared" si="18"/>
        <v>0</v>
      </c>
      <c r="BD208" s="92">
        <v>4</v>
      </c>
    </row>
    <row r="209" spans="16:56" ht="31.5">
      <c r="P209" s="163" t="s">
        <v>556</v>
      </c>
      <c r="Q209" s="169" t="s">
        <v>324</v>
      </c>
      <c r="R209" s="174">
        <v>0.61</v>
      </c>
      <c r="S209" s="174">
        <v>0.61</v>
      </c>
      <c r="U209" t="str">
        <f t="shared" si="20"/>
        <v>גלדיצייה תלת-קוצית</v>
      </c>
      <c r="V209" s="175">
        <v>3</v>
      </c>
      <c r="AD209">
        <f>COUNTIF(סקר!$AT$11:$AT$880,P209)</f>
        <v>0</v>
      </c>
      <c r="AF209">
        <f t="shared" si="19"/>
        <v>0</v>
      </c>
      <c r="AY209" s="47" t="s">
        <v>420</v>
      </c>
      <c r="AZ209" s="106">
        <v>0.68</v>
      </c>
      <c r="BA209" s="106">
        <v>0.68</v>
      </c>
      <c r="BC209">
        <f t="shared" si="18"/>
        <v>0</v>
      </c>
      <c r="BD209" s="92">
        <v>3</v>
      </c>
    </row>
    <row r="210" spans="16:56" ht="47.25">
      <c r="P210" s="163" t="s">
        <v>108</v>
      </c>
      <c r="Q210" s="169" t="s">
        <v>325</v>
      </c>
      <c r="R210" s="174">
        <v>0.63</v>
      </c>
      <c r="S210" s="174">
        <v>0.63</v>
      </c>
      <c r="U210" t="str">
        <f t="shared" si="20"/>
        <v>גרווילאה חסונה</v>
      </c>
      <c r="V210" s="175">
        <v>3</v>
      </c>
      <c r="AD210">
        <f>COUNTIF(סקר!$AT$11:$AT$880,P210)</f>
        <v>0</v>
      </c>
      <c r="AF210">
        <f t="shared" si="19"/>
        <v>0</v>
      </c>
      <c r="AY210" s="47" t="s">
        <v>209</v>
      </c>
      <c r="AZ210" s="106">
        <v>0.68</v>
      </c>
      <c r="BA210" s="106">
        <v>0.68</v>
      </c>
      <c r="BC210">
        <f t="shared" si="18"/>
        <v>0</v>
      </c>
      <c r="BD210" s="92">
        <v>3</v>
      </c>
    </row>
    <row r="211" spans="16:56" ht="31.5">
      <c r="P211" s="164" t="s">
        <v>978</v>
      </c>
      <c r="Q211" s="168" t="s">
        <v>1205</v>
      </c>
      <c r="R211" s="174">
        <v>0.44</v>
      </c>
      <c r="S211" s="174">
        <v>0.44</v>
      </c>
      <c r="U211" t="str">
        <f t="shared" si="20"/>
        <v>דובדבן חמוץ</v>
      </c>
      <c r="V211" s="176">
        <v>3</v>
      </c>
      <c r="AD211">
        <f>COUNTIF(סקר!$AT$11:$AT$880,P211)</f>
        <v>0</v>
      </c>
      <c r="AF211">
        <f t="shared" si="19"/>
        <v>0</v>
      </c>
      <c r="AY211" s="47" t="s">
        <v>422</v>
      </c>
      <c r="AZ211" s="106">
        <v>0.59</v>
      </c>
      <c r="BA211" s="106">
        <v>0.59</v>
      </c>
      <c r="BC211">
        <f t="shared" si="18"/>
        <v>0</v>
      </c>
      <c r="BD211" s="92">
        <v>3</v>
      </c>
    </row>
    <row r="212" spans="16:56" ht="31.5">
      <c r="P212" s="164" t="s">
        <v>979</v>
      </c>
      <c r="Q212" s="168" t="s">
        <v>1206</v>
      </c>
      <c r="R212" s="174">
        <v>0.47</v>
      </c>
      <c r="S212" s="174">
        <v>0.47</v>
      </c>
      <c r="U212" t="str">
        <f t="shared" si="20"/>
        <v>דובדבן יפני</v>
      </c>
      <c r="V212" s="176">
        <v>3</v>
      </c>
      <c r="AD212">
        <f>COUNTIF(סקר!$AT$11:$AT$880,P212)</f>
        <v>0</v>
      </c>
      <c r="AF212">
        <f t="shared" si="19"/>
        <v>0</v>
      </c>
      <c r="AY212" s="47" t="s">
        <v>423</v>
      </c>
      <c r="AZ212" s="106">
        <v>0.77</v>
      </c>
      <c r="BA212" s="106">
        <v>0.77</v>
      </c>
      <c r="BC212">
        <f t="shared" si="18"/>
        <v>0</v>
      </c>
      <c r="BD212" s="92">
        <v>4</v>
      </c>
    </row>
    <row r="213" spans="16:56" ht="47.25">
      <c r="P213" s="164" t="s">
        <v>980</v>
      </c>
      <c r="Q213" s="168" t="s">
        <v>1207</v>
      </c>
      <c r="R213" s="174">
        <v>0.4</v>
      </c>
      <c r="S213" s="174">
        <v>0.4</v>
      </c>
      <c r="U213" t="str">
        <f t="shared" si="20"/>
        <v>דובדבן מהלב</v>
      </c>
      <c r="V213" s="176">
        <v>3</v>
      </c>
      <c r="AD213">
        <f>COUNTIF(סקר!$AT$11:$AT$880,P213)</f>
        <v>0</v>
      </c>
      <c r="AF213">
        <f t="shared" si="19"/>
        <v>0</v>
      </c>
      <c r="AY213" s="47" t="s">
        <v>425</v>
      </c>
      <c r="AZ213" s="106">
        <v>0.57999999999999996</v>
      </c>
      <c r="BA213" s="106">
        <v>0.57999999999999996</v>
      </c>
      <c r="BC213">
        <f t="shared" si="18"/>
        <v>0</v>
      </c>
      <c r="BD213" s="92">
        <v>3</v>
      </c>
    </row>
    <row r="214" spans="16:56" ht="31.5">
      <c r="P214" s="164" t="s">
        <v>981</v>
      </c>
      <c r="Q214" s="168" t="s">
        <v>1208</v>
      </c>
      <c r="R214" s="174">
        <v>0.45</v>
      </c>
      <c r="S214" s="174">
        <v>0.45</v>
      </c>
      <c r="U214" t="str">
        <f t="shared" si="20"/>
        <v>דובדבן מתוק</v>
      </c>
      <c r="V214" s="176">
        <v>3</v>
      </c>
      <c r="AD214">
        <f>COUNTIF(סקר!$AT$11:$AT$880,P214)</f>
        <v>0</v>
      </c>
      <c r="AF214">
        <f t="shared" si="19"/>
        <v>0</v>
      </c>
      <c r="AY214" s="47" t="s">
        <v>215</v>
      </c>
      <c r="AZ214" s="106">
        <v>0.59</v>
      </c>
      <c r="BA214" s="106">
        <v>0.59</v>
      </c>
      <c r="BC214">
        <f t="shared" si="18"/>
        <v>0</v>
      </c>
      <c r="BD214" s="92">
        <v>3</v>
      </c>
    </row>
    <row r="215" spans="16:56" ht="31.5">
      <c r="P215" s="163" t="s">
        <v>326</v>
      </c>
      <c r="Q215" s="169" t="s">
        <v>327</v>
      </c>
      <c r="R215" s="174">
        <v>0.52</v>
      </c>
      <c r="S215" s="174">
        <v>0.52</v>
      </c>
      <c r="U215" t="str">
        <f t="shared" si="20"/>
        <v>דולב אדרי</v>
      </c>
      <c r="V215" s="175">
        <v>3</v>
      </c>
      <c r="AD215">
        <f>COUNTIF(סקר!$AT$11:$AT$880,P215)</f>
        <v>0</v>
      </c>
      <c r="AF215">
        <f t="shared" si="19"/>
        <v>0</v>
      </c>
      <c r="AY215" s="47" t="s">
        <v>427</v>
      </c>
      <c r="AZ215" s="106">
        <v>0.71</v>
      </c>
      <c r="BA215" s="106">
        <v>0.71</v>
      </c>
      <c r="BC215">
        <f t="shared" si="18"/>
        <v>0</v>
      </c>
      <c r="BD215" s="92">
        <v>4</v>
      </c>
    </row>
    <row r="216" spans="16:56" ht="31.5">
      <c r="P216" s="163" t="s">
        <v>110</v>
      </c>
      <c r="Q216" s="169" t="s">
        <v>328</v>
      </c>
      <c r="R216" s="174">
        <v>0.78</v>
      </c>
      <c r="S216" s="174">
        <v>0.78</v>
      </c>
      <c r="U216" t="str">
        <f t="shared" si="20"/>
        <v>דולב מזרחי</v>
      </c>
      <c r="V216" s="175">
        <v>4</v>
      </c>
      <c r="AD216">
        <f>COUNTIF(סקר!$AT$11:$AT$880,P216)</f>
        <v>0</v>
      </c>
      <c r="AF216">
        <f t="shared" si="19"/>
        <v>0</v>
      </c>
      <c r="AY216" s="47" t="s">
        <v>428</v>
      </c>
      <c r="AZ216" s="106">
        <v>0.66</v>
      </c>
      <c r="BA216" s="106">
        <v>0.66</v>
      </c>
      <c r="BC216">
        <f t="shared" si="18"/>
        <v>0</v>
      </c>
      <c r="BD216" s="92">
        <v>3</v>
      </c>
    </row>
    <row r="217" spans="16:56" ht="31.5">
      <c r="P217" s="163" t="s">
        <v>558</v>
      </c>
      <c r="Q217" s="169" t="s">
        <v>659</v>
      </c>
      <c r="R217" s="174">
        <v>0.7</v>
      </c>
      <c r="S217" s="174">
        <v>0.7</v>
      </c>
      <c r="U217" t="str">
        <f t="shared" si="20"/>
        <v>דולב מכסיקני</v>
      </c>
      <c r="V217" s="175">
        <v>4</v>
      </c>
      <c r="AD217">
        <f>COUNTIF(סקר!$AT$11:$AT$880,P217)</f>
        <v>0</v>
      </c>
      <c r="AF217">
        <f t="shared" si="19"/>
        <v>0</v>
      </c>
      <c r="AY217" s="47" t="s">
        <v>218</v>
      </c>
      <c r="AZ217" s="106">
        <v>0.5</v>
      </c>
      <c r="BA217" s="106">
        <v>0.5</v>
      </c>
      <c r="BC217">
        <f t="shared" si="18"/>
        <v>0</v>
      </c>
      <c r="BD217" s="92">
        <v>3</v>
      </c>
    </row>
    <row r="218" spans="16:56" ht="47.25">
      <c r="P218" s="163" t="s">
        <v>329</v>
      </c>
      <c r="Q218" s="169" t="s">
        <v>330</v>
      </c>
      <c r="R218" s="174">
        <v>0.68</v>
      </c>
      <c r="S218" s="174">
        <v>0.68</v>
      </c>
      <c r="U218" t="str">
        <f t="shared" si="20"/>
        <v>דולב קליפורני</v>
      </c>
      <c r="V218" s="175">
        <v>3</v>
      </c>
      <c r="AD218">
        <f>COUNTIF(סקר!$AT$11:$AT$880,P218)</f>
        <v>0</v>
      </c>
      <c r="AF218">
        <f t="shared" si="19"/>
        <v>0</v>
      </c>
      <c r="AY218" s="47" t="s">
        <v>429</v>
      </c>
      <c r="AZ218" s="106">
        <v>0.41</v>
      </c>
      <c r="BA218" s="106">
        <v>0.41</v>
      </c>
      <c r="BC218">
        <f t="shared" si="18"/>
        <v>0</v>
      </c>
      <c r="BD218" s="92">
        <v>2</v>
      </c>
    </row>
    <row r="219" spans="16:56" ht="63">
      <c r="P219" s="163" t="s">
        <v>777</v>
      </c>
      <c r="Q219" s="169" t="s">
        <v>778</v>
      </c>
      <c r="R219" s="174">
        <v>0.76</v>
      </c>
      <c r="S219" s="174">
        <v>0.76</v>
      </c>
      <c r="U219" t="str">
        <f t="shared" si="20"/>
        <v>דום מצרי</v>
      </c>
      <c r="V219" s="175">
        <v>4</v>
      </c>
      <c r="AD219">
        <f>COUNTIF(סקר!$AT$11:$AT$880,P219)</f>
        <v>0</v>
      </c>
      <c r="AF219">
        <f t="shared" si="19"/>
        <v>0</v>
      </c>
      <c r="AY219" s="47" t="s">
        <v>431</v>
      </c>
      <c r="AZ219" s="106">
        <v>0.69</v>
      </c>
      <c r="BA219" s="106">
        <v>0.69</v>
      </c>
      <c r="BC219">
        <f t="shared" si="18"/>
        <v>0</v>
      </c>
      <c r="BD219" s="92">
        <v>3</v>
      </c>
    </row>
    <row r="220" spans="16:56" ht="63">
      <c r="P220" s="164" t="s">
        <v>982</v>
      </c>
      <c r="Q220" s="168" t="s">
        <v>1209</v>
      </c>
      <c r="R220" s="174">
        <v>0.5</v>
      </c>
      <c r="S220" s="174">
        <v>0.5</v>
      </c>
      <c r="U220" t="str">
        <f t="shared" si="20"/>
        <v>דומביאה וליך</v>
      </c>
      <c r="V220" s="176">
        <v>4</v>
      </c>
      <c r="AD220">
        <f>COUNTIF(סקר!$AT$11:$AT$880,P220)</f>
        <v>0</v>
      </c>
      <c r="AF220">
        <f t="shared" si="19"/>
        <v>0</v>
      </c>
      <c r="AY220" s="47" t="s">
        <v>433</v>
      </c>
      <c r="AZ220" s="106">
        <v>0.6</v>
      </c>
      <c r="BA220" s="106">
        <v>0.6</v>
      </c>
      <c r="BC220">
        <f t="shared" si="18"/>
        <v>0</v>
      </c>
      <c r="BD220" s="92">
        <v>3</v>
      </c>
    </row>
    <row r="221" spans="16:56" ht="15.75">
      <c r="P221" s="163" t="s">
        <v>559</v>
      </c>
      <c r="Q221" s="169" t="s">
        <v>660</v>
      </c>
      <c r="R221" s="174">
        <v>0.51</v>
      </c>
      <c r="S221" s="174">
        <v>0.51</v>
      </c>
      <c r="U221" t="str">
        <f t="shared" si="20"/>
        <v>דומביאה עגולת-עלים</v>
      </c>
      <c r="V221" s="175">
        <v>3</v>
      </c>
      <c r="AD221">
        <f>COUNTIF(סקר!$AT$11:$AT$880,P221)</f>
        <v>0</v>
      </c>
      <c r="AF221">
        <f t="shared" si="19"/>
        <v>0</v>
      </c>
      <c r="AY221" s="49" t="s">
        <v>695</v>
      </c>
      <c r="AZ221" s="106">
        <v>0.35</v>
      </c>
      <c r="BA221" s="106">
        <v>0.35</v>
      </c>
      <c r="BC221">
        <f t="shared" si="18"/>
        <v>0</v>
      </c>
      <c r="BD221" s="92">
        <v>2</v>
      </c>
    </row>
    <row r="222" spans="16:56" ht="47.25">
      <c r="P222" s="163" t="s">
        <v>1348</v>
      </c>
      <c r="Q222" s="169" t="s">
        <v>1210</v>
      </c>
      <c r="R222" s="174">
        <v>0.5</v>
      </c>
      <c r="S222" s="174">
        <v>0.5</v>
      </c>
      <c r="U222" t="str">
        <f t="shared" si="20"/>
        <v>דיפסיס משולש</v>
      </c>
      <c r="V222" s="175">
        <v>1</v>
      </c>
      <c r="AD222">
        <f>COUNTIF(סקר!$AT$11:$AT$880,P222)</f>
        <v>0</v>
      </c>
      <c r="AF222">
        <f t="shared" si="19"/>
        <v>0</v>
      </c>
      <c r="AY222" s="47" t="s">
        <v>696</v>
      </c>
      <c r="AZ222" s="106">
        <v>0</v>
      </c>
      <c r="BA222" s="106">
        <v>0</v>
      </c>
      <c r="BC222">
        <f t="shared" si="18"/>
        <v>0</v>
      </c>
      <c r="BD222" s="92">
        <v>0</v>
      </c>
    </row>
    <row r="223" spans="16:56" ht="31.5">
      <c r="P223" s="163" t="s">
        <v>831</v>
      </c>
      <c r="Q223" s="169" t="s">
        <v>1211</v>
      </c>
      <c r="R223" s="174">
        <v>0.53</v>
      </c>
      <c r="S223" s="174">
        <v>0.53</v>
      </c>
      <c r="U223" t="str">
        <f t="shared" si="20"/>
        <v>דיפסיס לוטסנס</v>
      </c>
      <c r="V223" s="175">
        <v>3</v>
      </c>
      <c r="AD223">
        <f>COUNTIF(סקר!$AT$11:$AT$880,P223)</f>
        <v>0</v>
      </c>
      <c r="AF223">
        <f t="shared" si="19"/>
        <v>0</v>
      </c>
      <c r="AY223" s="47" t="s">
        <v>434</v>
      </c>
      <c r="AZ223" s="106">
        <v>0.79</v>
      </c>
      <c r="BA223" s="106">
        <v>0.79</v>
      </c>
      <c r="BC223">
        <f t="shared" si="18"/>
        <v>0</v>
      </c>
      <c r="BD223" s="92">
        <v>4</v>
      </c>
    </row>
    <row r="224" spans="16:56" ht="63">
      <c r="P224" s="163" t="s">
        <v>560</v>
      </c>
      <c r="Q224" s="169" t="s">
        <v>661</v>
      </c>
      <c r="R224" s="174">
        <v>0.43</v>
      </c>
      <c r="S224" s="174">
        <v>0.43</v>
      </c>
      <c r="U224" t="str">
        <f t="shared" si="20"/>
        <v>דק-פרי זקוף</v>
      </c>
      <c r="V224" s="175">
        <v>2</v>
      </c>
      <c r="AD224">
        <f>COUNTIF(סקר!$AT$11:$AT$880,P224)</f>
        <v>0</v>
      </c>
      <c r="AF224">
        <f t="shared" si="19"/>
        <v>0</v>
      </c>
      <c r="AY224" s="47" t="s">
        <v>697</v>
      </c>
      <c r="AZ224" s="106">
        <v>0</v>
      </c>
      <c r="BA224" s="106">
        <v>0</v>
      </c>
      <c r="BC224">
        <f t="shared" si="18"/>
        <v>0</v>
      </c>
      <c r="BD224" s="92">
        <v>0</v>
      </c>
    </row>
    <row r="225" spans="16:56" ht="47.25">
      <c r="P225" s="163" t="s">
        <v>561</v>
      </c>
      <c r="Q225" s="169" t="s">
        <v>331</v>
      </c>
      <c r="R225" s="174">
        <v>0.51</v>
      </c>
      <c r="S225" s="174">
        <v>0.51</v>
      </c>
      <c r="U225" t="str">
        <f t="shared" si="20"/>
        <v>דק-פרי ערמוני</v>
      </c>
      <c r="V225" s="175">
        <v>3</v>
      </c>
      <c r="AD225">
        <f>COUNTIF(סקר!$AT$11:$AT$880,P225)</f>
        <v>0</v>
      </c>
      <c r="AF225">
        <f t="shared" si="19"/>
        <v>0</v>
      </c>
      <c r="AY225" s="47" t="s">
        <v>698</v>
      </c>
      <c r="AZ225" s="106">
        <v>0.78</v>
      </c>
      <c r="BA225" s="106">
        <v>0.78</v>
      </c>
      <c r="BC225">
        <f t="shared" si="18"/>
        <v>0</v>
      </c>
      <c r="BD225" s="92">
        <v>4</v>
      </c>
    </row>
    <row r="226" spans="16:56" ht="31.5">
      <c r="P226" s="163" t="s">
        <v>781</v>
      </c>
      <c r="Q226" s="169" t="s">
        <v>782</v>
      </c>
      <c r="R226" s="174">
        <v>0.54</v>
      </c>
      <c r="S226" s="174">
        <v>0.54</v>
      </c>
      <c r="U226" t="str">
        <f t="shared" si="20"/>
        <v>דקל זנב השועל</v>
      </c>
      <c r="V226" s="175">
        <v>3</v>
      </c>
      <c r="AD226">
        <f>COUNTIF(סקר!$AT$11:$AT$880,P226)</f>
        <v>0</v>
      </c>
      <c r="AF226">
        <f t="shared" si="19"/>
        <v>0</v>
      </c>
      <c r="AY226" s="47" t="s">
        <v>699</v>
      </c>
      <c r="AZ226" s="106">
        <v>0.63</v>
      </c>
      <c r="BA226" s="106">
        <v>0.63</v>
      </c>
      <c r="BC226">
        <f t="shared" si="18"/>
        <v>0</v>
      </c>
      <c r="BD226" s="92">
        <v>3</v>
      </c>
    </row>
    <row r="227" spans="16:56" ht="31.5">
      <c r="P227" s="164" t="s">
        <v>983</v>
      </c>
      <c r="Q227" s="168" t="s">
        <v>1212</v>
      </c>
      <c r="R227" s="174">
        <v>0.3</v>
      </c>
      <c r="S227" s="174">
        <v>0.3</v>
      </c>
      <c r="U227" t="str">
        <f t="shared" si="20"/>
        <v>דקל רובליני</v>
      </c>
      <c r="V227" s="176">
        <v>4</v>
      </c>
      <c r="AD227">
        <f>COUNTIF(סקר!$AT$11:$AT$880,P227)</f>
        <v>0</v>
      </c>
      <c r="AF227">
        <f t="shared" si="19"/>
        <v>0</v>
      </c>
      <c r="AY227" s="47" t="s">
        <v>227</v>
      </c>
      <c r="AZ227" s="106">
        <v>0.53</v>
      </c>
      <c r="BA227" s="106">
        <v>0.53</v>
      </c>
      <c r="BC227">
        <f t="shared" si="18"/>
        <v>0</v>
      </c>
      <c r="BD227" s="92">
        <v>3</v>
      </c>
    </row>
    <row r="228" spans="16:56" ht="31.5">
      <c r="P228" s="163" t="s">
        <v>984</v>
      </c>
      <c r="Q228" s="169" t="s">
        <v>794</v>
      </c>
      <c r="R228" s="174">
        <v>0.45</v>
      </c>
      <c r="S228" s="174">
        <v>0.45</v>
      </c>
      <c r="U228" t="str">
        <f t="shared" si="20"/>
        <v>דקל רווניאת הפלגים</v>
      </c>
      <c r="V228" s="175">
        <v>2</v>
      </c>
      <c r="AD228">
        <f>COUNTIF(סקר!$AT$11:$AT$880,P228)</f>
        <v>0</v>
      </c>
      <c r="AF228">
        <f t="shared" si="19"/>
        <v>0</v>
      </c>
      <c r="AY228" s="47" t="s">
        <v>436</v>
      </c>
      <c r="AZ228" s="106">
        <v>0.54</v>
      </c>
      <c r="BA228" s="106">
        <v>0.54</v>
      </c>
      <c r="BC228">
        <f t="shared" si="18"/>
        <v>0</v>
      </c>
      <c r="BD228" s="92">
        <v>3</v>
      </c>
    </row>
    <row r="229" spans="16:56" ht="47.25">
      <c r="P229" s="163" t="s">
        <v>116</v>
      </c>
      <c r="Q229" s="169" t="s">
        <v>117</v>
      </c>
      <c r="R229" s="174">
        <v>0.8</v>
      </c>
      <c r="S229" s="174">
        <v>0.8</v>
      </c>
      <c r="U229" t="str">
        <f t="shared" si="20"/>
        <v>דרקונית קנרית</v>
      </c>
      <c r="V229" s="175">
        <v>4</v>
      </c>
      <c r="AD229">
        <f>COUNTIF(סקר!$AT$11:$AT$880,P229)</f>
        <v>0</v>
      </c>
      <c r="AF229">
        <f t="shared" si="19"/>
        <v>0</v>
      </c>
      <c r="AY229" s="47" t="s">
        <v>438</v>
      </c>
      <c r="AZ229" s="106">
        <v>0.55000000000000004</v>
      </c>
      <c r="BA229" s="106">
        <v>0.55000000000000004</v>
      </c>
      <c r="BC229">
        <f t="shared" si="18"/>
        <v>0</v>
      </c>
      <c r="BD229" s="92">
        <v>3</v>
      </c>
    </row>
    <row r="230" spans="16:56" ht="47.25">
      <c r="P230" s="163" t="s">
        <v>562</v>
      </c>
      <c r="Q230" s="169" t="s">
        <v>662</v>
      </c>
      <c r="R230" s="174">
        <v>0.44</v>
      </c>
      <c r="S230" s="174">
        <v>0.44</v>
      </c>
      <c r="U230" t="str">
        <f t="shared" si="20"/>
        <v xml:space="preserve">הדר האשכולית </v>
      </c>
      <c r="V230" s="175">
        <v>2</v>
      </c>
      <c r="AD230">
        <f>COUNTIF(סקר!$AT$11:$AT$880,P230)</f>
        <v>0</v>
      </c>
      <c r="AF230">
        <f t="shared" si="19"/>
        <v>0</v>
      </c>
      <c r="AY230" s="47" t="s">
        <v>440</v>
      </c>
      <c r="AZ230" s="106">
        <v>0.77</v>
      </c>
      <c r="BA230" s="106">
        <v>0.77</v>
      </c>
      <c r="BC230">
        <f t="shared" si="18"/>
        <v>0</v>
      </c>
      <c r="BD230" s="92">
        <v>4</v>
      </c>
    </row>
    <row r="231" spans="16:56" ht="47.25">
      <c r="P231" s="163" t="s">
        <v>563</v>
      </c>
      <c r="Q231" s="169" t="s">
        <v>663</v>
      </c>
      <c r="R231" s="174">
        <v>0.46</v>
      </c>
      <c r="S231" s="174">
        <v>0.46</v>
      </c>
      <c r="U231" t="str">
        <f t="shared" si="20"/>
        <v xml:space="preserve">הדר האתרוג </v>
      </c>
      <c r="V231" s="175">
        <v>2</v>
      </c>
      <c r="AD231">
        <f>COUNTIF(סקר!$AT$11:$AT$880,P231)</f>
        <v>0</v>
      </c>
      <c r="AF231">
        <f t="shared" si="19"/>
        <v>0</v>
      </c>
      <c r="AY231" s="47" t="s">
        <v>700</v>
      </c>
      <c r="AZ231" s="106">
        <v>0.52</v>
      </c>
      <c r="BA231" s="106">
        <v>0.52</v>
      </c>
      <c r="BC231">
        <f t="shared" si="18"/>
        <v>0</v>
      </c>
      <c r="BD231" s="92">
        <v>3</v>
      </c>
    </row>
    <row r="232" spans="16:56" ht="63">
      <c r="P232" s="163" t="s">
        <v>332</v>
      </c>
      <c r="Q232" s="169" t="s">
        <v>333</v>
      </c>
      <c r="R232" s="174">
        <v>0.5</v>
      </c>
      <c r="S232" s="174">
        <v>0.5</v>
      </c>
      <c r="U232" t="str">
        <f t="shared" si="20"/>
        <v>הדר החושחש</v>
      </c>
      <c r="V232" s="175">
        <v>3</v>
      </c>
      <c r="AD232">
        <f>COUNTIF(סקר!$AT$11:$AT$880,P232)</f>
        <v>0</v>
      </c>
      <c r="AF232">
        <f t="shared" si="19"/>
        <v>0</v>
      </c>
      <c r="AY232" s="47" t="s">
        <v>701</v>
      </c>
      <c r="AZ232" s="106">
        <v>0.53</v>
      </c>
      <c r="BA232" s="106">
        <v>0.53</v>
      </c>
      <c r="BC232">
        <f t="shared" si="18"/>
        <v>0</v>
      </c>
      <c r="BD232" s="92">
        <v>3</v>
      </c>
    </row>
    <row r="233" spans="16:56" ht="31.5">
      <c r="P233" s="164" t="s">
        <v>985</v>
      </c>
      <c r="Q233" s="168" t="s">
        <v>1213</v>
      </c>
      <c r="R233" s="174">
        <v>0.5</v>
      </c>
      <c r="S233" s="174">
        <v>0.5</v>
      </c>
      <c r="U233" t="str">
        <f t="shared" si="20"/>
        <v>הדר הלימה</v>
      </c>
      <c r="V233" s="176">
        <v>3</v>
      </c>
      <c r="AD233">
        <f>COUNTIF(סקר!$AT$11:$AT$880,P233)</f>
        <v>0</v>
      </c>
      <c r="AF233">
        <f t="shared" si="19"/>
        <v>0</v>
      </c>
      <c r="AY233" s="47" t="s">
        <v>702</v>
      </c>
      <c r="AZ233" s="106">
        <v>0.66</v>
      </c>
      <c r="BA233" s="106">
        <v>0.66</v>
      </c>
      <c r="BC233">
        <f t="shared" si="18"/>
        <v>0</v>
      </c>
      <c r="BD233" s="92">
        <v>3</v>
      </c>
    </row>
    <row r="234" spans="16:56" ht="63">
      <c r="P234" s="163" t="s">
        <v>829</v>
      </c>
      <c r="Q234" s="169" t="s">
        <v>664</v>
      </c>
      <c r="R234" s="174">
        <v>0.56000000000000005</v>
      </c>
      <c r="S234" s="174">
        <v>0.56000000000000005</v>
      </c>
      <c r="U234" t="str">
        <f t="shared" si="20"/>
        <v>הדר הלימון</v>
      </c>
      <c r="V234" s="175">
        <v>3</v>
      </c>
      <c r="AD234">
        <f>COUNTIF(סקר!$AT$11:$AT$880,P234)</f>
        <v>0</v>
      </c>
      <c r="AF234">
        <f t="shared" si="19"/>
        <v>0</v>
      </c>
      <c r="AY234" s="47" t="s">
        <v>441</v>
      </c>
      <c r="AZ234" s="106">
        <v>0.57999999999999996</v>
      </c>
      <c r="BA234" s="106">
        <v>0.57999999999999996</v>
      </c>
      <c r="BC234">
        <f t="shared" si="18"/>
        <v>0</v>
      </c>
      <c r="BD234" s="93">
        <v>3</v>
      </c>
    </row>
    <row r="235" spans="16:56" ht="63">
      <c r="P235" s="164" t="s">
        <v>986</v>
      </c>
      <c r="Q235" s="168" t="s">
        <v>1214</v>
      </c>
      <c r="R235" s="174">
        <v>0.5</v>
      </c>
      <c r="S235" s="174">
        <v>0.5</v>
      </c>
      <c r="U235" t="str">
        <f t="shared" si="20"/>
        <v>הדר הלימונית</v>
      </c>
      <c r="V235" s="176">
        <v>2</v>
      </c>
      <c r="AD235">
        <f>COUNTIF(סקר!$AT$11:$AT$880,P235)</f>
        <v>0</v>
      </c>
      <c r="AF235">
        <f t="shared" si="19"/>
        <v>0</v>
      </c>
      <c r="AY235" s="47" t="s">
        <v>442</v>
      </c>
      <c r="AZ235" s="106">
        <v>0.63</v>
      </c>
      <c r="BA235" s="106">
        <v>0.63</v>
      </c>
      <c r="BC235">
        <f t="shared" si="18"/>
        <v>0</v>
      </c>
      <c r="BD235" s="92">
        <v>3</v>
      </c>
    </row>
    <row r="236" spans="16:56" ht="94.5">
      <c r="P236" s="163" t="s">
        <v>565</v>
      </c>
      <c r="Q236" s="169" t="s">
        <v>665</v>
      </c>
      <c r="R236" s="174">
        <v>0.45</v>
      </c>
      <c r="S236" s="174">
        <v>0.45</v>
      </c>
      <c r="U236" t="str">
        <f t="shared" si="20"/>
        <v>הדר המנדרין</v>
      </c>
      <c r="V236" s="175">
        <v>2</v>
      </c>
      <c r="AD236">
        <f>COUNTIF(סקר!$AT$11:$AT$880,P236)</f>
        <v>0</v>
      </c>
      <c r="AF236">
        <f t="shared" si="19"/>
        <v>0</v>
      </c>
      <c r="AY236" s="47" t="s">
        <v>443</v>
      </c>
      <c r="AZ236" s="106">
        <v>0.74</v>
      </c>
      <c r="BA236" s="106">
        <v>0.74</v>
      </c>
      <c r="BC236">
        <f t="shared" si="18"/>
        <v>0</v>
      </c>
      <c r="BD236" s="92">
        <v>4</v>
      </c>
    </row>
    <row r="237" spans="16:56" ht="47.25">
      <c r="P237" s="163" t="s">
        <v>566</v>
      </c>
      <c r="Q237" s="169" t="s">
        <v>666</v>
      </c>
      <c r="R237" s="174">
        <v>0.45</v>
      </c>
      <c r="S237" s="174">
        <v>0.45</v>
      </c>
      <c r="U237" t="str">
        <f t="shared" si="20"/>
        <v xml:space="preserve">הדר הפומלו </v>
      </c>
      <c r="V237" s="175">
        <v>2</v>
      </c>
      <c r="AD237">
        <f>COUNTIF(סקר!$AT$11:$AT$880,P237)</f>
        <v>0</v>
      </c>
      <c r="AF237">
        <f t="shared" si="19"/>
        <v>0</v>
      </c>
      <c r="AY237" s="47" t="s">
        <v>445</v>
      </c>
      <c r="AZ237" s="106">
        <v>0.67</v>
      </c>
      <c r="BA237" s="106">
        <v>0.67</v>
      </c>
      <c r="BC237">
        <f t="shared" si="18"/>
        <v>0</v>
      </c>
      <c r="BD237" s="92">
        <v>3</v>
      </c>
    </row>
    <row r="238" spans="16:56" ht="31.5">
      <c r="P238" s="163" t="s">
        <v>987</v>
      </c>
      <c r="Q238" s="169" t="s">
        <v>1215</v>
      </c>
      <c r="R238" s="174">
        <v>0.56999999999999995</v>
      </c>
      <c r="S238" s="174">
        <v>0.56999999999999995</v>
      </c>
      <c r="U238" t="str">
        <f t="shared" si="20"/>
        <v>הדר הקלמנטינה</v>
      </c>
      <c r="V238" s="175">
        <v>2</v>
      </c>
      <c r="AD238">
        <f>COUNTIF(סקר!$AT$11:$AT$880,P238)</f>
        <v>0</v>
      </c>
      <c r="AF238">
        <f t="shared" si="19"/>
        <v>0</v>
      </c>
      <c r="AY238" s="47" t="s">
        <v>703</v>
      </c>
      <c r="AZ238" s="106">
        <v>0.56000000000000005</v>
      </c>
      <c r="BA238" s="106">
        <v>0.56000000000000005</v>
      </c>
      <c r="BC238">
        <f t="shared" si="18"/>
        <v>0</v>
      </c>
      <c r="BD238" s="92">
        <v>3</v>
      </c>
    </row>
    <row r="239" spans="16:56" ht="63">
      <c r="P239" s="163" t="s">
        <v>567</v>
      </c>
      <c r="Q239" s="169" t="s">
        <v>667</v>
      </c>
      <c r="R239" s="174">
        <v>0.47</v>
      </c>
      <c r="S239" s="174">
        <v>0.47</v>
      </c>
      <c r="U239" t="str">
        <f t="shared" si="20"/>
        <v xml:space="preserve">הדר התפוז </v>
      </c>
      <c r="V239" s="175">
        <v>2</v>
      </c>
      <c r="AD239">
        <f>COUNTIF(סקר!$AT$11:$AT$880,P239)</f>
        <v>0</v>
      </c>
      <c r="AF239">
        <f t="shared" si="19"/>
        <v>0</v>
      </c>
      <c r="AY239" s="47" t="s">
        <v>447</v>
      </c>
      <c r="AZ239" s="106">
        <v>0.54</v>
      </c>
      <c r="BA239" s="106">
        <v>0.54</v>
      </c>
      <c r="BC239">
        <f t="shared" si="18"/>
        <v>0</v>
      </c>
      <c r="BD239" s="92">
        <v>3</v>
      </c>
    </row>
    <row r="240" spans="16:56" ht="47.25">
      <c r="P240" s="163" t="s">
        <v>988</v>
      </c>
      <c r="Q240" s="169" t="s">
        <v>120</v>
      </c>
      <c r="R240" s="174">
        <v>0.52</v>
      </c>
      <c r="S240" s="174">
        <v>0.52</v>
      </c>
      <c r="U240" t="str">
        <f t="shared" si="20"/>
        <v>הווניה מתוקה</v>
      </c>
      <c r="V240" s="175">
        <v>3</v>
      </c>
      <c r="AD240">
        <f>COUNTIF(סקר!$AT$11:$AT$880,P240)</f>
        <v>0</v>
      </c>
      <c r="AF240">
        <f t="shared" si="19"/>
        <v>0</v>
      </c>
      <c r="AY240" s="47" t="s">
        <v>233</v>
      </c>
      <c r="AZ240" s="106">
        <v>0.94</v>
      </c>
      <c r="BA240" s="106">
        <v>0.94</v>
      </c>
      <c r="BC240">
        <f t="shared" si="18"/>
        <v>0</v>
      </c>
      <c r="BD240" s="92">
        <v>5</v>
      </c>
    </row>
    <row r="241" spans="16:56" ht="31.5">
      <c r="P241" s="163" t="s">
        <v>568</v>
      </c>
      <c r="Q241" s="169" t="s">
        <v>668</v>
      </c>
      <c r="R241" s="174">
        <v>0.48</v>
      </c>
      <c r="S241" s="174">
        <v>0.48</v>
      </c>
      <c r="U241" t="str">
        <f t="shared" si="20"/>
        <v>הומלנתוס צפצפתי</v>
      </c>
      <c r="V241" s="175">
        <v>2</v>
      </c>
      <c r="AD241">
        <f>COUNTIF(סקר!$AT$11:$AT$880,P241)</f>
        <v>0</v>
      </c>
      <c r="AF241">
        <f t="shared" si="19"/>
        <v>0</v>
      </c>
      <c r="AY241" s="47" t="s">
        <v>448</v>
      </c>
      <c r="AZ241" s="106">
        <v>0.79</v>
      </c>
      <c r="BA241" s="106">
        <v>0.79</v>
      </c>
      <c r="BC241">
        <f t="shared" si="18"/>
        <v>0</v>
      </c>
      <c r="BD241" s="92">
        <v>4</v>
      </c>
    </row>
    <row r="242" spans="16:56" ht="47.25">
      <c r="P242" s="163" t="s">
        <v>334</v>
      </c>
      <c r="Q242" s="169" t="s">
        <v>335</v>
      </c>
      <c r="R242" s="174">
        <v>0.64</v>
      </c>
      <c r="S242" s="174">
        <v>0.64</v>
      </c>
      <c r="U242" t="str">
        <f t="shared" si="20"/>
        <v>הטרומלס קטלבי</v>
      </c>
      <c r="V242" s="175">
        <v>3</v>
      </c>
      <c r="AD242">
        <f>COUNTIF(סקר!$AT$11:$AT$880,P242)</f>
        <v>0</v>
      </c>
      <c r="AF242">
        <f t="shared" si="19"/>
        <v>0</v>
      </c>
      <c r="AY242" s="47" t="s">
        <v>450</v>
      </c>
      <c r="AZ242" s="106">
        <v>0.56999999999999995</v>
      </c>
      <c r="BA242" s="106">
        <v>0.56999999999999995</v>
      </c>
      <c r="BC242">
        <f t="shared" si="18"/>
        <v>0</v>
      </c>
      <c r="BD242" s="92">
        <v>3</v>
      </c>
    </row>
    <row r="243" spans="16:56" ht="32.25" thickBot="1">
      <c r="P243" s="165" t="s">
        <v>989</v>
      </c>
      <c r="Q243" s="171" t="s">
        <v>1216</v>
      </c>
      <c r="R243" s="174">
        <v>0.4</v>
      </c>
      <c r="S243" s="174">
        <v>0.4</v>
      </c>
      <c r="U243" t="str">
        <f t="shared" si="20"/>
        <v>היביסקוס חליף</v>
      </c>
      <c r="V243" s="177">
        <v>3</v>
      </c>
      <c r="AD243">
        <f>COUNTIF(סקר!$AT$11:$AT$880,P243)</f>
        <v>0</v>
      </c>
      <c r="AF243">
        <f t="shared" si="19"/>
        <v>0</v>
      </c>
      <c r="AY243" s="47" t="s">
        <v>235</v>
      </c>
      <c r="AZ243" s="106">
        <v>0.74</v>
      </c>
      <c r="BA243" s="106">
        <v>0.74</v>
      </c>
      <c r="BC243">
        <f t="shared" si="18"/>
        <v>0</v>
      </c>
      <c r="BD243" s="92">
        <v>4</v>
      </c>
    </row>
    <row r="244" spans="16:56" ht="63">
      <c r="P244" s="166" t="s">
        <v>990</v>
      </c>
      <c r="Q244" s="166" t="s">
        <v>1217</v>
      </c>
      <c r="R244" s="174">
        <v>0.4</v>
      </c>
      <c r="S244" s="174">
        <v>0.4</v>
      </c>
      <c r="U244" t="str">
        <f t="shared" si="20"/>
        <v>היביסקוס טילייתי ('סתריה')</v>
      </c>
      <c r="V244" s="178">
        <v>3</v>
      </c>
      <c r="AD244">
        <f>COUNTIF(סקר!$AT$11:$AT$880,P244)</f>
        <v>0</v>
      </c>
      <c r="AF244">
        <f t="shared" si="19"/>
        <v>0</v>
      </c>
      <c r="AY244" s="47" t="s">
        <v>452</v>
      </c>
      <c r="AZ244" s="106">
        <v>0.77</v>
      </c>
      <c r="BA244" s="106">
        <v>0.77</v>
      </c>
      <c r="BC244">
        <f t="shared" si="18"/>
        <v>0</v>
      </c>
      <c r="BD244" s="92">
        <v>4</v>
      </c>
    </row>
    <row r="245" spans="16:56" ht="15.75">
      <c r="P245" s="167" t="s">
        <v>336</v>
      </c>
      <c r="Q245" s="169" t="s">
        <v>337</v>
      </c>
      <c r="R245" s="174">
        <v>0.46</v>
      </c>
      <c r="S245" s="174">
        <v>0.46</v>
      </c>
      <c r="U245" t="str">
        <f t="shared" si="20"/>
        <v>היביסקוס רם</v>
      </c>
      <c r="V245" s="179">
        <v>2</v>
      </c>
      <c r="AD245">
        <f>COUNTIF(סקר!$AT$11:$AT$880,P245)</f>
        <v>0</v>
      </c>
      <c r="AF245">
        <f t="shared" si="19"/>
        <v>0</v>
      </c>
      <c r="AY245" s="47"/>
      <c r="AZ245" s="106">
        <v>0.81</v>
      </c>
      <c r="BA245" s="106">
        <v>0.81</v>
      </c>
      <c r="BC245">
        <f t="shared" si="18"/>
        <v>0</v>
      </c>
      <c r="BD245" s="92">
        <v>4</v>
      </c>
    </row>
    <row r="246" spans="16:56" ht="47.25">
      <c r="P246" s="167" t="s">
        <v>338</v>
      </c>
      <c r="Q246" s="169" t="s">
        <v>339</v>
      </c>
      <c r="R246" s="174">
        <v>0.65</v>
      </c>
      <c r="S246" s="174">
        <v>0.65</v>
      </c>
      <c r="U246" t="str">
        <f t="shared" si="20"/>
        <v>הינומית צהובה</v>
      </c>
      <c r="V246" s="179">
        <v>3</v>
      </c>
      <c r="AD246">
        <f>COUNTIF(סקר!$AT$11:$AT$880,P246)</f>
        <v>0</v>
      </c>
      <c r="AF246">
        <f t="shared" si="19"/>
        <v>0</v>
      </c>
      <c r="AY246" s="47" t="s">
        <v>454</v>
      </c>
      <c r="AZ246" s="106">
        <v>0.66</v>
      </c>
      <c r="BA246" s="106">
        <v>0.66</v>
      </c>
      <c r="BC246">
        <f t="shared" si="18"/>
        <v>0</v>
      </c>
      <c r="BD246" s="92">
        <v>3</v>
      </c>
    </row>
    <row r="247" spans="16:56" ht="63">
      <c r="P247" s="167" t="s">
        <v>123</v>
      </c>
      <c r="Q247" s="169" t="s">
        <v>124</v>
      </c>
      <c r="R247" s="174">
        <v>0.5</v>
      </c>
      <c r="S247" s="174">
        <v>0.5</v>
      </c>
      <c r="U247" t="str">
        <f t="shared" si="20"/>
        <v>וושינגטוניה חוטית</v>
      </c>
      <c r="V247" s="179">
        <v>3</v>
      </c>
      <c r="AD247">
        <f>COUNTIF(סקר!$AT$11:$AT$880,P247)</f>
        <v>0</v>
      </c>
      <c r="AF247">
        <f t="shared" si="19"/>
        <v>0</v>
      </c>
      <c r="AY247" s="47" t="s">
        <v>455</v>
      </c>
      <c r="AZ247" s="106">
        <v>0.64</v>
      </c>
      <c r="BA247" s="106">
        <v>0.64</v>
      </c>
      <c r="BC247">
        <f t="shared" si="18"/>
        <v>0</v>
      </c>
      <c r="BD247" s="92">
        <v>3</v>
      </c>
    </row>
    <row r="248" spans="16:56" ht="47.25">
      <c r="P248" s="167" t="s">
        <v>125</v>
      </c>
      <c r="Q248" s="169" t="s">
        <v>783</v>
      </c>
      <c r="R248" s="174">
        <v>0.35</v>
      </c>
      <c r="S248" s="174">
        <v>0.35</v>
      </c>
      <c r="U248" t="str">
        <f t="shared" si="20"/>
        <v>וושינגטוניה חסונה</v>
      </c>
      <c r="V248" s="180">
        <v>2</v>
      </c>
      <c r="AD248">
        <f>COUNTIF(סקר!$AT$11:$AT$880,P248)</f>
        <v>0</v>
      </c>
      <c r="AF248">
        <f t="shared" si="19"/>
        <v>0</v>
      </c>
      <c r="AY248" s="47" t="s">
        <v>456</v>
      </c>
      <c r="AZ248" s="106">
        <v>0.63</v>
      </c>
      <c r="BA248" s="106">
        <v>0.63</v>
      </c>
      <c r="BC248">
        <f t="shared" si="18"/>
        <v>0</v>
      </c>
      <c r="BD248" s="92">
        <v>3</v>
      </c>
    </row>
    <row r="249" spans="16:56" ht="47.25">
      <c r="P249" s="167" t="s">
        <v>127</v>
      </c>
      <c r="Q249" s="169" t="s">
        <v>669</v>
      </c>
      <c r="R249" s="174">
        <v>0.85</v>
      </c>
      <c r="S249" s="174">
        <v>0.85</v>
      </c>
      <c r="U249" t="str">
        <f t="shared" si="20"/>
        <v>זית אירופי</v>
      </c>
      <c r="V249" s="179">
        <v>4</v>
      </c>
      <c r="AD249">
        <f>COUNTIF(סקר!$AT$11:$AT$880,P249)</f>
        <v>0</v>
      </c>
      <c r="AF249">
        <f t="shared" si="19"/>
        <v>0</v>
      </c>
      <c r="AY249" s="47" t="s">
        <v>704</v>
      </c>
      <c r="AZ249" s="106">
        <v>0.6</v>
      </c>
      <c r="BA249" s="106">
        <v>0.6</v>
      </c>
      <c r="BC249">
        <f t="shared" si="18"/>
        <v>0</v>
      </c>
      <c r="BD249" s="92">
        <v>3</v>
      </c>
    </row>
    <row r="250" spans="16:56" ht="47.25">
      <c r="P250" s="167" t="s">
        <v>340</v>
      </c>
      <c r="Q250" s="169" t="s">
        <v>341</v>
      </c>
      <c r="R250" s="174">
        <v>0.76</v>
      </c>
      <c r="S250" s="174">
        <v>0.76</v>
      </c>
      <c r="U250" t="str">
        <f t="shared" si="20"/>
        <v>זלקובה משורית</v>
      </c>
      <c r="V250" s="179">
        <v>4</v>
      </c>
      <c r="AD250">
        <f>COUNTIF(סקר!$AT$11:$AT$880,P250)</f>
        <v>0</v>
      </c>
      <c r="AF250">
        <f t="shared" si="19"/>
        <v>0</v>
      </c>
      <c r="AY250" s="47" t="s">
        <v>457</v>
      </c>
      <c r="AZ250" s="106">
        <v>0.62</v>
      </c>
      <c r="BA250" s="106">
        <v>0.62</v>
      </c>
      <c r="BC250">
        <f t="shared" si="18"/>
        <v>0</v>
      </c>
      <c r="BD250" s="92">
        <v>3</v>
      </c>
    </row>
    <row r="251" spans="16:56" ht="63">
      <c r="P251" s="167" t="s">
        <v>342</v>
      </c>
      <c r="Q251" s="169" t="s">
        <v>343</v>
      </c>
      <c r="R251" s="174">
        <v>0.75</v>
      </c>
      <c r="S251" s="174">
        <v>0.75</v>
      </c>
      <c r="U251" t="str">
        <f t="shared" si="20"/>
        <v>זקום מצרי</v>
      </c>
      <c r="V251" s="179">
        <v>4</v>
      </c>
      <c r="AD251">
        <f>COUNTIF(סקר!$AT$11:$AT$880,P251)</f>
        <v>0</v>
      </c>
      <c r="AF251">
        <f t="shared" si="19"/>
        <v>0</v>
      </c>
      <c r="AY251" s="47" t="s">
        <v>458</v>
      </c>
      <c r="AZ251" s="106">
        <v>0.72</v>
      </c>
      <c r="BA251" s="106">
        <v>0.72</v>
      </c>
      <c r="BC251">
        <f t="shared" si="18"/>
        <v>0</v>
      </c>
      <c r="BD251" s="92">
        <v>4</v>
      </c>
    </row>
    <row r="252" spans="16:56" ht="47.25">
      <c r="P252" s="168" t="s">
        <v>991</v>
      </c>
      <c r="Q252" s="168" t="s">
        <v>1218</v>
      </c>
      <c r="R252" s="174">
        <v>0.3</v>
      </c>
      <c r="S252" s="174">
        <v>0.3</v>
      </c>
      <c r="U252" t="str">
        <f t="shared" si="20"/>
        <v>זקיניה דוקרנית</v>
      </c>
      <c r="V252" s="181">
        <v>2</v>
      </c>
      <c r="AD252">
        <f>COUNTIF(סקר!$AT$11:$AT$880,P252)</f>
        <v>0</v>
      </c>
      <c r="AF252">
        <f t="shared" si="19"/>
        <v>0</v>
      </c>
      <c r="AY252" s="47" t="s">
        <v>459</v>
      </c>
      <c r="AZ252" s="106">
        <v>0.56999999999999995</v>
      </c>
      <c r="BA252" s="106">
        <v>0.56999999999999995</v>
      </c>
      <c r="BC252">
        <f t="shared" si="18"/>
        <v>0</v>
      </c>
      <c r="BD252" s="92">
        <v>3</v>
      </c>
    </row>
    <row r="253" spans="16:56" ht="63">
      <c r="P253" s="167" t="s">
        <v>569</v>
      </c>
      <c r="Q253" s="169" t="s">
        <v>346</v>
      </c>
      <c r="R253" s="174">
        <v>0.57999999999999996</v>
      </c>
      <c r="S253" s="174">
        <v>0.57999999999999996</v>
      </c>
      <c r="U253" t="str">
        <f t="shared" si="20"/>
        <v>חאיה ניאסית</v>
      </c>
      <c r="V253" s="179">
        <v>3</v>
      </c>
      <c r="AD253">
        <f>COUNTIF(סקר!$AT$11:$AT$880,P253)</f>
        <v>0</v>
      </c>
      <c r="AF253">
        <f t="shared" si="19"/>
        <v>0</v>
      </c>
      <c r="AY253" s="47" t="s">
        <v>460</v>
      </c>
      <c r="AZ253" s="106">
        <v>0.55000000000000004</v>
      </c>
      <c r="BA253" s="106">
        <v>0.55000000000000004</v>
      </c>
      <c r="BC253">
        <f t="shared" si="18"/>
        <v>0</v>
      </c>
      <c r="BD253" s="92">
        <v>3</v>
      </c>
    </row>
    <row r="254" spans="16:56" ht="47.25">
      <c r="P254" s="167" t="s">
        <v>830</v>
      </c>
      <c r="Q254" s="169" t="s">
        <v>670</v>
      </c>
      <c r="R254" s="174">
        <v>0.44</v>
      </c>
      <c r="S254" s="174">
        <v>0.44</v>
      </c>
      <c r="U254" t="str">
        <f t="shared" si="20"/>
        <v>חבוש מוארך</v>
      </c>
      <c r="V254" s="179">
        <v>2</v>
      </c>
      <c r="AD254">
        <f>COUNTIF(סקר!$AT$11:$AT$880,P254)</f>
        <v>0</v>
      </c>
      <c r="AF254">
        <f t="shared" si="19"/>
        <v>0</v>
      </c>
      <c r="AY254" s="47" t="s">
        <v>461</v>
      </c>
      <c r="AZ254" s="106">
        <v>0.36</v>
      </c>
      <c r="BA254" s="106">
        <v>0.36</v>
      </c>
      <c r="BC254">
        <f t="shared" si="18"/>
        <v>0</v>
      </c>
      <c r="BD254" s="92">
        <v>2</v>
      </c>
    </row>
    <row r="255" spans="16:56" ht="42.75" customHeight="1">
      <c r="P255" s="167" t="s">
        <v>344</v>
      </c>
      <c r="Q255" s="169" t="s">
        <v>345</v>
      </c>
      <c r="R255" s="174">
        <v>0.82</v>
      </c>
      <c r="S255" s="174">
        <v>0.82</v>
      </c>
      <c r="U255" t="str">
        <f t="shared" si="20"/>
        <v>חוזרר החורש</v>
      </c>
      <c r="V255" s="179">
        <v>4</v>
      </c>
      <c r="AD255">
        <f>COUNTIF(סקר!$AT$11:$AT$880,P255)</f>
        <v>0</v>
      </c>
      <c r="AF255">
        <f t="shared" si="19"/>
        <v>0</v>
      </c>
      <c r="AY255" s="47" t="s">
        <v>463</v>
      </c>
      <c r="AZ255" s="106">
        <v>0.69</v>
      </c>
      <c r="BA255" s="106">
        <v>0.69</v>
      </c>
      <c r="BC255">
        <f t="shared" si="18"/>
        <v>0</v>
      </c>
      <c r="BD255" s="93">
        <v>3</v>
      </c>
    </row>
    <row r="256" spans="16:56" ht="47.25">
      <c r="P256" s="167" t="s">
        <v>571</v>
      </c>
      <c r="Q256" s="169" t="s">
        <v>671</v>
      </c>
      <c r="R256" s="174">
        <v>0.38</v>
      </c>
      <c r="S256" s="174">
        <v>0.38</v>
      </c>
      <c r="U256" t="str">
        <f t="shared" si="20"/>
        <v>חלבלוב דמוי-קוטינוס</v>
      </c>
      <c r="V256" s="179">
        <v>2</v>
      </c>
      <c r="AD256">
        <f>COUNTIF(סקר!$AT$11:$AT$880,P256)</f>
        <v>0</v>
      </c>
      <c r="AF256">
        <f t="shared" si="19"/>
        <v>0</v>
      </c>
      <c r="AY256" s="47" t="s">
        <v>464</v>
      </c>
      <c r="AZ256" s="106">
        <v>0.55000000000000004</v>
      </c>
      <c r="BA256" s="106">
        <v>0.55000000000000004</v>
      </c>
      <c r="BC256">
        <f t="shared" si="18"/>
        <v>0</v>
      </c>
      <c r="BD256" s="92">
        <v>3</v>
      </c>
    </row>
    <row r="257" spans="16:56" ht="31.5">
      <c r="P257" s="167" t="s">
        <v>572</v>
      </c>
      <c r="Q257" s="169" t="s">
        <v>672</v>
      </c>
      <c r="R257" s="174">
        <v>0.38</v>
      </c>
      <c r="S257" s="174">
        <v>0.38</v>
      </c>
      <c r="U257" t="str">
        <f t="shared" si="20"/>
        <v>חלבלוב רותמי</v>
      </c>
      <c r="V257" s="180">
        <v>2</v>
      </c>
      <c r="AD257">
        <f>COUNTIF(סקר!$AT$11:$AT$880,P257)</f>
        <v>0</v>
      </c>
      <c r="AF257">
        <f t="shared" si="19"/>
        <v>0</v>
      </c>
      <c r="AY257" s="47" t="s">
        <v>466</v>
      </c>
      <c r="AZ257" s="106">
        <v>0.6</v>
      </c>
      <c r="BA257" s="106">
        <v>0.6</v>
      </c>
      <c r="BC257">
        <f t="shared" si="18"/>
        <v>0</v>
      </c>
      <c r="BD257" s="92">
        <v>3</v>
      </c>
    </row>
    <row r="258" spans="16:56" ht="31.5">
      <c r="P258" s="167" t="s">
        <v>128</v>
      </c>
      <c r="Q258" s="169" t="s">
        <v>347</v>
      </c>
      <c r="R258" s="174">
        <v>0.76</v>
      </c>
      <c r="S258" s="174">
        <v>0.76</v>
      </c>
      <c r="U258" t="str">
        <f t="shared" si="20"/>
        <v>חרוב מצוי</v>
      </c>
      <c r="V258" s="180">
        <v>4</v>
      </c>
      <c r="AD258">
        <f>COUNTIF(סקר!$AT$11:$AT$880,P258)</f>
        <v>0</v>
      </c>
      <c r="AF258">
        <f t="shared" si="19"/>
        <v>0</v>
      </c>
      <c r="AY258" s="47" t="s">
        <v>467</v>
      </c>
      <c r="AZ258" s="106">
        <v>0.64</v>
      </c>
      <c r="BA258" s="106">
        <v>0.64</v>
      </c>
      <c r="BC258">
        <f t="shared" si="18"/>
        <v>0</v>
      </c>
      <c r="BD258" s="92">
        <v>3</v>
      </c>
    </row>
    <row r="259" spans="16:56" ht="94.5">
      <c r="P259" s="167" t="s">
        <v>129</v>
      </c>
      <c r="Q259" s="169" t="s">
        <v>348</v>
      </c>
      <c r="R259" s="174">
        <v>0.73</v>
      </c>
      <c r="S259" s="174">
        <v>0.73</v>
      </c>
      <c r="U259" t="str">
        <f t="shared" si="20"/>
        <v>טבבויה איפה</v>
      </c>
      <c r="V259" s="179">
        <v>4</v>
      </c>
      <c r="AD259">
        <f>COUNTIF(סקר!$AT$11:$AT$880,P259)</f>
        <v>0</v>
      </c>
      <c r="AF259">
        <f t="shared" si="19"/>
        <v>0</v>
      </c>
      <c r="AY259" s="47" t="s">
        <v>705</v>
      </c>
      <c r="AZ259" s="106">
        <v>0.54</v>
      </c>
      <c r="BA259" s="106">
        <v>0.54</v>
      </c>
      <c r="BC259">
        <f t="shared" si="18"/>
        <v>0</v>
      </c>
      <c r="BD259" s="92">
        <v>3</v>
      </c>
    </row>
    <row r="260" spans="16:56" ht="31.5">
      <c r="P260" s="167" t="s">
        <v>131</v>
      </c>
      <c r="Q260" s="169" t="s">
        <v>673</v>
      </c>
      <c r="R260" s="174">
        <v>0.57999999999999996</v>
      </c>
      <c r="S260" s="174">
        <v>0.57999999999999996</v>
      </c>
      <c r="U260" t="str">
        <f t="shared" si="20"/>
        <v>טבבויה צהובה</v>
      </c>
      <c r="V260" s="179">
        <v>3</v>
      </c>
      <c r="AD260">
        <f>COUNTIF(סקר!$AT$11:$AT$880,P260)</f>
        <v>0</v>
      </c>
      <c r="AF260">
        <f t="shared" si="19"/>
        <v>0</v>
      </c>
      <c r="AY260" s="47" t="s">
        <v>706</v>
      </c>
      <c r="AZ260" s="106">
        <v>0.47</v>
      </c>
      <c r="BA260" s="106">
        <v>0.47</v>
      </c>
      <c r="BC260">
        <f t="shared" ref="BC260:BC282" si="21">AX260</f>
        <v>0</v>
      </c>
      <c r="BD260" s="92">
        <v>2</v>
      </c>
    </row>
    <row r="261" spans="16:56" ht="47.25">
      <c r="P261" s="167" t="s">
        <v>573</v>
      </c>
      <c r="Q261" s="169" t="s">
        <v>349</v>
      </c>
      <c r="R261" s="174">
        <v>0.55000000000000004</v>
      </c>
      <c r="S261" s="174">
        <v>0.55000000000000004</v>
      </c>
      <c r="U261" t="str">
        <f t="shared" si="20"/>
        <v>טטרקליניס מפריק</v>
      </c>
      <c r="V261" s="179">
        <v>3</v>
      </c>
      <c r="AD261">
        <f>COUNTIF(סקר!$AT$11:$AT$880,P261)</f>
        <v>0</v>
      </c>
      <c r="AF261">
        <f t="shared" si="19"/>
        <v>0</v>
      </c>
      <c r="AY261" s="47" t="s">
        <v>469</v>
      </c>
      <c r="AZ261" s="106">
        <v>0.57999999999999996</v>
      </c>
      <c r="BA261" s="106">
        <v>0.57999999999999996</v>
      </c>
      <c r="BC261">
        <f t="shared" si="21"/>
        <v>0</v>
      </c>
      <c r="BD261" s="92">
        <v>3</v>
      </c>
    </row>
    <row r="262" spans="16:56" ht="47.25">
      <c r="P262" s="167" t="s">
        <v>992</v>
      </c>
      <c r="Q262" s="169" t="s">
        <v>1219</v>
      </c>
      <c r="R262" s="174">
        <v>0.56999999999999995</v>
      </c>
      <c r="S262" s="174">
        <v>0.56999999999999995</v>
      </c>
      <c r="U262" t="str">
        <f t="shared" si="20"/>
        <v>טיליה רחבת-עלים</v>
      </c>
      <c r="V262" s="179">
        <v>3</v>
      </c>
      <c r="AD262">
        <f>COUNTIF(סקר!$AT$11:$AT$880,P262)</f>
        <v>0</v>
      </c>
      <c r="AF262">
        <f t="shared" ref="AF262:AF282" si="22">IF(AD262&gt;0,U262,0)</f>
        <v>0</v>
      </c>
      <c r="AY262" s="47" t="s">
        <v>470</v>
      </c>
      <c r="AZ262" s="106">
        <v>0.8</v>
      </c>
      <c r="BA262" s="106">
        <v>0.8</v>
      </c>
      <c r="BC262">
        <f t="shared" si="21"/>
        <v>0</v>
      </c>
      <c r="BD262" s="92">
        <v>4</v>
      </c>
    </row>
    <row r="263" spans="16:56" ht="31.5">
      <c r="P263" s="167" t="s">
        <v>350</v>
      </c>
      <c r="Q263" s="169" t="s">
        <v>134</v>
      </c>
      <c r="R263" s="174">
        <v>0.8</v>
      </c>
      <c r="S263" s="174">
        <v>0.8</v>
      </c>
      <c r="U263" t="str">
        <f t="shared" ref="U263:U304" si="23">P263</f>
        <v>טכסודיון דו-טורי</v>
      </c>
      <c r="V263" s="179">
        <v>4</v>
      </c>
      <c r="AD263">
        <f>COUNTIF(סקר!$AT$11:$AT$880,P263)</f>
        <v>0</v>
      </c>
      <c r="AF263">
        <f t="shared" si="22"/>
        <v>0</v>
      </c>
      <c r="AY263" s="47" t="s">
        <v>477</v>
      </c>
      <c r="AZ263" s="106">
        <v>0</v>
      </c>
      <c r="BA263" s="106">
        <v>0</v>
      </c>
      <c r="BC263">
        <f t="shared" si="21"/>
        <v>0</v>
      </c>
      <c r="BD263" s="92">
        <v>0</v>
      </c>
    </row>
    <row r="264" spans="16:56" ht="31.5">
      <c r="P264" s="167" t="s">
        <v>351</v>
      </c>
      <c r="Q264" s="169" t="s">
        <v>352</v>
      </c>
      <c r="R264" s="174">
        <v>0.55000000000000004</v>
      </c>
      <c r="S264" s="174">
        <v>0.55000000000000004</v>
      </c>
      <c r="U264" t="str">
        <f t="shared" si="23"/>
        <v>טקומן סיני</v>
      </c>
      <c r="V264" s="179">
        <v>3</v>
      </c>
      <c r="AD264">
        <f>COUNTIF(סקר!$AT$11:$AT$880,P264)</f>
        <v>0</v>
      </c>
      <c r="AF264">
        <f t="shared" si="22"/>
        <v>0</v>
      </c>
      <c r="AY264" s="47" t="s">
        <v>707</v>
      </c>
      <c r="AZ264" s="106">
        <v>0.84</v>
      </c>
      <c r="BA264" s="106">
        <v>0.84</v>
      </c>
      <c r="BC264">
        <f t="shared" si="21"/>
        <v>0</v>
      </c>
      <c r="BD264" s="92">
        <v>4</v>
      </c>
    </row>
    <row r="265" spans="16:56" ht="31.5">
      <c r="P265" s="168" t="s">
        <v>993</v>
      </c>
      <c r="Q265" s="168" t="s">
        <v>1220</v>
      </c>
      <c r="R265" s="174">
        <v>0.52</v>
      </c>
      <c r="S265" s="174">
        <v>0.52</v>
      </c>
      <c r="U265" t="str">
        <f t="shared" si="23"/>
        <v>טקסוס מעונב</v>
      </c>
      <c r="V265" s="178">
        <v>4</v>
      </c>
      <c r="AD265">
        <f>COUNTIF(סקר!$AT$11:$AT$880,P265)</f>
        <v>0</v>
      </c>
      <c r="AF265">
        <f t="shared" si="22"/>
        <v>0</v>
      </c>
      <c r="AY265" s="47" t="s">
        <v>471</v>
      </c>
      <c r="AZ265" s="106">
        <v>0.5</v>
      </c>
      <c r="BA265" s="106">
        <v>0.5</v>
      </c>
      <c r="BC265">
        <f t="shared" si="21"/>
        <v>0</v>
      </c>
      <c r="BD265" s="92">
        <v>3</v>
      </c>
    </row>
    <row r="266" spans="16:56" ht="31.5">
      <c r="P266" s="167" t="s">
        <v>784</v>
      </c>
      <c r="Q266" s="169" t="s">
        <v>785</v>
      </c>
      <c r="R266" s="174">
        <v>0.57999999999999996</v>
      </c>
      <c r="S266" s="174">
        <v>0.57999999999999996</v>
      </c>
      <c r="U266" t="str">
        <f t="shared" si="23"/>
        <v>טרכיקרפוס פורטון</v>
      </c>
      <c r="V266" s="179">
        <v>4</v>
      </c>
      <c r="AD266">
        <f>COUNTIF(סקר!$AT$11:$AT$880,P266)</f>
        <v>0</v>
      </c>
      <c r="AF266">
        <f t="shared" si="22"/>
        <v>0</v>
      </c>
      <c r="AY266" s="47" t="s">
        <v>481</v>
      </c>
      <c r="AZ266" s="106">
        <v>0.81</v>
      </c>
      <c r="BA266" s="106">
        <v>0.81</v>
      </c>
      <c r="BC266">
        <f t="shared" si="21"/>
        <v>0</v>
      </c>
      <c r="BD266" s="92">
        <v>4</v>
      </c>
    </row>
    <row r="267" spans="16:56" ht="31.5">
      <c r="P267" s="167" t="s">
        <v>574</v>
      </c>
      <c r="Q267" s="169" t="s">
        <v>674</v>
      </c>
      <c r="R267" s="174">
        <v>0.66</v>
      </c>
      <c r="S267" s="174">
        <v>0.66</v>
      </c>
      <c r="U267" t="str">
        <f t="shared" si="23"/>
        <v>טרמינליה הודית</v>
      </c>
      <c r="V267" s="179">
        <v>3</v>
      </c>
      <c r="AD267">
        <f>COUNTIF(סקר!$AT$11:$AT$880,P267)</f>
        <v>0</v>
      </c>
      <c r="AF267">
        <f t="shared" si="22"/>
        <v>0</v>
      </c>
      <c r="AY267" s="47" t="s">
        <v>479</v>
      </c>
      <c r="AZ267" s="106">
        <v>0.82</v>
      </c>
      <c r="BA267" s="106">
        <v>0.82</v>
      </c>
      <c r="BC267">
        <f t="shared" si="21"/>
        <v>0</v>
      </c>
      <c r="BD267" s="92">
        <v>4</v>
      </c>
    </row>
    <row r="268" spans="16:56" ht="63">
      <c r="P268" s="168" t="s">
        <v>996</v>
      </c>
      <c r="Q268" s="168" t="s">
        <v>1221</v>
      </c>
      <c r="R268" s="174">
        <v>0.2</v>
      </c>
      <c r="S268" s="174">
        <v>0.2</v>
      </c>
      <c r="U268" t="str">
        <f t="shared" si="23"/>
        <v>יטרופית מחולקת</v>
      </c>
      <c r="V268" s="178">
        <v>2</v>
      </c>
      <c r="AD268">
        <f>COUNTIF(סקר!$AT$11:$AT$880,P268)</f>
        <v>0</v>
      </c>
      <c r="AF268">
        <f t="shared" si="22"/>
        <v>0</v>
      </c>
      <c r="AY268" s="47" t="s">
        <v>475</v>
      </c>
      <c r="AZ268" s="106">
        <v>0.18</v>
      </c>
      <c r="BA268" s="106">
        <v>0.18</v>
      </c>
      <c r="BC268">
        <f t="shared" si="21"/>
        <v>0</v>
      </c>
      <c r="BD268" s="92">
        <v>1</v>
      </c>
    </row>
    <row r="269" spans="16:56" ht="47.25">
      <c r="P269" s="168" t="s">
        <v>997</v>
      </c>
      <c r="Q269" s="168" t="s">
        <v>1222</v>
      </c>
      <c r="R269" s="174">
        <v>0.2</v>
      </c>
      <c r="S269" s="174">
        <v>0.2</v>
      </c>
      <c r="U269" t="str">
        <f t="shared" si="23"/>
        <v>יטרופית קצרת-אונות</v>
      </c>
      <c r="V269" s="178">
        <v>2</v>
      </c>
      <c r="AD269">
        <f>COUNTIF(סקר!$AT$11:$AT$880,P269)</f>
        <v>0</v>
      </c>
      <c r="AF269">
        <f t="shared" si="22"/>
        <v>0</v>
      </c>
      <c r="AY269" s="47" t="s">
        <v>473</v>
      </c>
      <c r="AZ269" s="106">
        <v>0.92</v>
      </c>
      <c r="BA269" s="106">
        <v>0.92</v>
      </c>
      <c r="BC269">
        <f t="shared" si="21"/>
        <v>0</v>
      </c>
      <c r="BD269" s="92">
        <v>5</v>
      </c>
    </row>
    <row r="270" spans="16:56" ht="31.5">
      <c r="P270" s="167" t="s">
        <v>998</v>
      </c>
      <c r="Q270" s="169" t="s">
        <v>676</v>
      </c>
      <c r="R270" s="174">
        <v>0.43</v>
      </c>
      <c r="S270" s="174">
        <v>0.43</v>
      </c>
      <c r="U270" t="str">
        <f t="shared" si="23"/>
        <v>יטרופית תמימה</v>
      </c>
      <c r="V270" s="179">
        <v>2</v>
      </c>
      <c r="AD270">
        <f>COUNTIF(סקר!$AT$11:$AT$880,P270)</f>
        <v>0</v>
      </c>
      <c r="AF270">
        <f t="shared" si="22"/>
        <v>0</v>
      </c>
      <c r="AY270" s="47" t="s">
        <v>708</v>
      </c>
      <c r="AZ270" s="106">
        <v>0</v>
      </c>
      <c r="BA270" s="106">
        <v>0</v>
      </c>
      <c r="BC270">
        <f t="shared" si="21"/>
        <v>0</v>
      </c>
      <c r="BD270" s="92">
        <v>0</v>
      </c>
    </row>
    <row r="271" spans="16:56" ht="63">
      <c r="P271" s="167" t="s">
        <v>353</v>
      </c>
      <c r="Q271" s="169" t="s">
        <v>354</v>
      </c>
      <c r="R271" s="174">
        <v>0.35</v>
      </c>
      <c r="S271" s="174">
        <v>0.35</v>
      </c>
      <c r="U271" t="str">
        <f t="shared" si="23"/>
        <v>ינבוט המסקיטו</v>
      </c>
      <c r="V271" s="179">
        <v>2</v>
      </c>
      <c r="AD271">
        <f>COUNTIF(סקר!$AT$11:$AT$880,P271)</f>
        <v>0</v>
      </c>
      <c r="AF271">
        <f t="shared" si="22"/>
        <v>0</v>
      </c>
      <c r="AY271" s="47" t="s">
        <v>709</v>
      </c>
      <c r="AZ271" s="106">
        <v>0.67</v>
      </c>
      <c r="BA271" s="106">
        <v>0.67</v>
      </c>
      <c r="BC271">
        <f t="shared" si="21"/>
        <v>0</v>
      </c>
      <c r="BD271" s="92">
        <v>3</v>
      </c>
    </row>
    <row r="272" spans="16:56" ht="47.25">
      <c r="P272" s="167" t="s">
        <v>137</v>
      </c>
      <c r="Q272" s="169" t="s">
        <v>138</v>
      </c>
      <c r="R272" s="174">
        <v>0.53</v>
      </c>
      <c r="S272" s="174">
        <v>0.53</v>
      </c>
      <c r="U272" t="str">
        <f t="shared" si="23"/>
        <v>ינבוט לבן</v>
      </c>
      <c r="V272" s="179">
        <v>3</v>
      </c>
      <c r="AD272">
        <f>COUNTIF(סקר!$AT$11:$AT$880,P272)</f>
        <v>0</v>
      </c>
      <c r="AF272">
        <f t="shared" si="22"/>
        <v>0</v>
      </c>
      <c r="AY272" s="47" t="s">
        <v>252</v>
      </c>
      <c r="AZ272" s="106">
        <v>0.64</v>
      </c>
      <c r="BA272" s="106">
        <v>0.64</v>
      </c>
      <c r="BC272">
        <f t="shared" si="21"/>
        <v>0</v>
      </c>
      <c r="BD272" s="92">
        <v>3</v>
      </c>
    </row>
    <row r="273" spans="12:56" ht="63">
      <c r="P273" s="167" t="s">
        <v>355</v>
      </c>
      <c r="Q273" s="169" t="s">
        <v>356</v>
      </c>
      <c r="R273" s="174">
        <v>0.56000000000000005</v>
      </c>
      <c r="S273" s="174">
        <v>0.56000000000000005</v>
      </c>
      <c r="U273" t="str">
        <f t="shared" si="23"/>
        <v>יצהרון מכסיף</v>
      </c>
      <c r="V273" s="179">
        <v>3</v>
      </c>
      <c r="AD273">
        <f>COUNTIF(סקר!$AT$11:$AT$880,P273)</f>
        <v>0</v>
      </c>
      <c r="AF273">
        <f t="shared" si="22"/>
        <v>0</v>
      </c>
      <c r="AY273" s="47" t="s">
        <v>483</v>
      </c>
      <c r="AZ273" s="106">
        <v>0.57999999999999996</v>
      </c>
      <c r="BA273" s="106">
        <v>0.57999999999999996</v>
      </c>
      <c r="BC273">
        <f t="shared" si="21"/>
        <v>0</v>
      </c>
      <c r="BD273" s="92">
        <v>3</v>
      </c>
    </row>
    <row r="274" spans="12:56" ht="47.25">
      <c r="P274" s="167" t="s">
        <v>139</v>
      </c>
      <c r="Q274" s="169" t="s">
        <v>140</v>
      </c>
      <c r="R274" s="174">
        <v>0.69</v>
      </c>
      <c r="S274" s="174">
        <v>0.69</v>
      </c>
      <c r="U274" t="str">
        <f t="shared" si="23"/>
        <v>כוריזיה בקבוקית</v>
      </c>
      <c r="V274" s="179">
        <v>3</v>
      </c>
      <c r="AD274">
        <f>COUNTIF(סקר!$AT$11:$AT$880,P274)</f>
        <v>0</v>
      </c>
      <c r="AF274">
        <f t="shared" si="22"/>
        <v>0</v>
      </c>
      <c r="AY274" s="47" t="s">
        <v>485</v>
      </c>
      <c r="AZ274" s="106">
        <v>0.5</v>
      </c>
      <c r="BA274" s="106">
        <v>0.5</v>
      </c>
      <c r="BC274">
        <f t="shared" si="21"/>
        <v>0</v>
      </c>
      <c r="BD274" s="92">
        <v>3</v>
      </c>
    </row>
    <row r="275" spans="12:56" ht="15.75">
      <c r="P275" s="167" t="s">
        <v>141</v>
      </c>
      <c r="Q275" s="169" t="s">
        <v>142</v>
      </c>
      <c r="R275" s="174">
        <v>0.73</v>
      </c>
      <c r="S275" s="174">
        <v>0.73</v>
      </c>
      <c r="U275" t="str">
        <f t="shared" si="23"/>
        <v>כוריזיה הדורה</v>
      </c>
      <c r="V275" s="179">
        <v>4</v>
      </c>
      <c r="AD275">
        <f>COUNTIF(סקר!$AT$11:$AT$880,P275)</f>
        <v>0</v>
      </c>
      <c r="AF275">
        <f t="shared" si="22"/>
        <v>0</v>
      </c>
      <c r="AY275" s="47"/>
      <c r="AZ275" s="106">
        <v>0.4</v>
      </c>
      <c r="BA275" s="106">
        <v>0.4</v>
      </c>
      <c r="BC275">
        <f t="shared" si="21"/>
        <v>0</v>
      </c>
      <c r="BD275" s="92">
        <v>2</v>
      </c>
    </row>
    <row r="276" spans="12:56" ht="63">
      <c r="P276" s="167" t="s">
        <v>999</v>
      </c>
      <c r="Q276" s="169" t="s">
        <v>358</v>
      </c>
      <c r="R276" s="174">
        <v>0.59</v>
      </c>
      <c r="S276" s="174">
        <v>0.59</v>
      </c>
      <c r="U276" t="str">
        <f t="shared" si="23"/>
        <v>כיטלפת טשקנט</v>
      </c>
      <c r="V276" s="179">
        <v>3</v>
      </c>
      <c r="AD276">
        <f>COUNTIF(סקר!$AT$11:$AT$880,P276)</f>
        <v>0</v>
      </c>
      <c r="AF276">
        <f t="shared" si="22"/>
        <v>0</v>
      </c>
      <c r="AY276" s="47" t="s">
        <v>710</v>
      </c>
      <c r="AZ276" s="106">
        <v>0.66</v>
      </c>
      <c r="BA276" s="106">
        <v>0.66</v>
      </c>
      <c r="BC276">
        <f t="shared" si="21"/>
        <v>0</v>
      </c>
      <c r="BD276" s="92">
        <v>3</v>
      </c>
    </row>
    <row r="277" spans="12:56" ht="31.5">
      <c r="P277" s="167" t="s">
        <v>577</v>
      </c>
      <c r="Q277" s="169" t="s">
        <v>677</v>
      </c>
      <c r="R277" s="174">
        <v>0.53</v>
      </c>
      <c r="S277" s="174">
        <v>0.53</v>
      </c>
      <c r="U277" t="str">
        <f t="shared" si="23"/>
        <v>כילופסיס סרגלי</v>
      </c>
      <c r="V277" s="179">
        <v>3</v>
      </c>
      <c r="AD277">
        <f>COUNTIF(סקר!$AT$11:$AT$880,P277)</f>
        <v>0</v>
      </c>
      <c r="AF277">
        <f t="shared" si="22"/>
        <v>0</v>
      </c>
      <c r="AY277" s="47" t="s">
        <v>711</v>
      </c>
      <c r="AZ277" s="106">
        <v>0.63</v>
      </c>
      <c r="BA277" s="106">
        <v>0.63</v>
      </c>
      <c r="BC277">
        <f t="shared" si="21"/>
        <v>0</v>
      </c>
      <c r="BD277" s="92">
        <v>3</v>
      </c>
    </row>
    <row r="278" spans="12:56" ht="31.5">
      <c r="P278" s="167" t="s">
        <v>143</v>
      </c>
      <c r="Q278" s="169" t="s">
        <v>359</v>
      </c>
      <c r="R278" s="174">
        <v>0.79</v>
      </c>
      <c r="S278" s="174">
        <v>0.79</v>
      </c>
      <c r="U278" t="str">
        <f t="shared" si="23"/>
        <v>כליל החורש</v>
      </c>
      <c r="V278" s="179">
        <v>4</v>
      </c>
      <c r="AD278">
        <f>COUNTIF(סקר!$AT$11:$AT$880,P278)</f>
        <v>0</v>
      </c>
      <c r="AF278">
        <f t="shared" si="22"/>
        <v>0</v>
      </c>
      <c r="AY278" s="47" t="s">
        <v>487</v>
      </c>
      <c r="AZ278" s="106">
        <v>0.69</v>
      </c>
      <c r="BA278" s="106">
        <v>0.69</v>
      </c>
      <c r="BC278">
        <f t="shared" si="21"/>
        <v>0</v>
      </c>
      <c r="BD278" s="92">
        <v>3</v>
      </c>
    </row>
    <row r="279" spans="12:56" ht="31.5">
      <c r="P279" s="167" t="s">
        <v>578</v>
      </c>
      <c r="Q279" s="169" t="s">
        <v>678</v>
      </c>
      <c r="R279" s="174">
        <v>0.56999999999999995</v>
      </c>
      <c r="S279" s="174">
        <v>0.56999999999999995</v>
      </c>
      <c r="U279" t="str">
        <f t="shared" si="23"/>
        <v>כליל קנדי</v>
      </c>
      <c r="V279" s="179">
        <v>3</v>
      </c>
      <c r="AD279">
        <f>COUNTIF(סקר!$AT$11:$AT$880,P279)</f>
        <v>0</v>
      </c>
      <c r="AF279">
        <f t="shared" si="22"/>
        <v>0</v>
      </c>
      <c r="AY279" s="47" t="s">
        <v>712</v>
      </c>
      <c r="AZ279" s="106">
        <v>0.7</v>
      </c>
      <c r="BA279" s="106">
        <v>0.7</v>
      </c>
      <c r="BC279">
        <f t="shared" si="21"/>
        <v>0</v>
      </c>
      <c r="BD279" s="92">
        <v>4</v>
      </c>
    </row>
    <row r="280" spans="12:56" ht="47.25">
      <c r="P280" s="167" t="s">
        <v>786</v>
      </c>
      <c r="Q280" s="169" t="s">
        <v>787</v>
      </c>
      <c r="R280" s="174">
        <v>0.69</v>
      </c>
      <c r="S280" s="174">
        <v>0.69</v>
      </c>
      <c r="U280" t="str">
        <f t="shared" si="23"/>
        <v>כמרופס נמוך</v>
      </c>
      <c r="V280" s="179">
        <v>5</v>
      </c>
      <c r="AD280">
        <f>COUNTIF(סקר!$AT$11:$AT$880,P280)</f>
        <v>0</v>
      </c>
      <c r="AF280">
        <f t="shared" si="22"/>
        <v>0</v>
      </c>
      <c r="AY280" s="47" t="s">
        <v>489</v>
      </c>
      <c r="AZ280" s="106">
        <v>0.72</v>
      </c>
      <c r="BA280" s="106">
        <v>0.72</v>
      </c>
      <c r="BC280">
        <f t="shared" si="21"/>
        <v>0</v>
      </c>
      <c r="BD280" s="92">
        <v>4</v>
      </c>
    </row>
    <row r="281" spans="12:56" ht="63">
      <c r="P281" s="167" t="s">
        <v>1000</v>
      </c>
      <c r="Q281" s="169" t="s">
        <v>361</v>
      </c>
      <c r="R281" s="174">
        <v>0.73</v>
      </c>
      <c r="S281" s="174">
        <v>0.73</v>
      </c>
      <c r="U281" t="str">
        <f t="shared" si="23"/>
        <v>כנף-זרע אדרי</v>
      </c>
      <c r="V281" s="179">
        <v>4</v>
      </c>
      <c r="AD281">
        <f>COUNTIF(סקר!$AT$11:$AT$880,P281)</f>
        <v>0</v>
      </c>
      <c r="AF281">
        <f t="shared" si="22"/>
        <v>0</v>
      </c>
      <c r="AY281" s="47" t="s">
        <v>490</v>
      </c>
      <c r="AZ281" s="106">
        <v>0.54</v>
      </c>
      <c r="BA281" s="106">
        <v>0.54</v>
      </c>
      <c r="BC281">
        <f t="shared" si="21"/>
        <v>0</v>
      </c>
      <c r="BD281" s="92">
        <v>3</v>
      </c>
    </row>
    <row r="282" spans="12:56" ht="15.75">
      <c r="P282" s="167" t="s">
        <v>144</v>
      </c>
      <c r="Q282" s="169" t="s">
        <v>362</v>
      </c>
      <c r="R282" s="174">
        <v>0.6</v>
      </c>
      <c r="S282" s="174">
        <v>0.6</v>
      </c>
      <c r="U282" t="str">
        <f t="shared" si="23"/>
        <v>כסיית האבוב</v>
      </c>
      <c r="V282" s="179">
        <v>3</v>
      </c>
      <c r="AD282">
        <f>COUNTIF(סקר!$AT$11:$AT$880,P282)</f>
        <v>0</v>
      </c>
      <c r="AF282">
        <f t="shared" si="22"/>
        <v>0</v>
      </c>
      <c r="AY282" s="47" t="s">
        <v>808</v>
      </c>
      <c r="AZ282" s="106">
        <v>0.6</v>
      </c>
      <c r="BA282" s="106">
        <v>0.6</v>
      </c>
      <c r="BC282">
        <f t="shared" si="21"/>
        <v>0</v>
      </c>
      <c r="BD282" s="92">
        <v>3</v>
      </c>
    </row>
    <row r="283" spans="12:56" ht="14.25">
      <c r="L283" s="111"/>
      <c r="M283" s="111"/>
      <c r="N283" s="111"/>
      <c r="O283" s="111"/>
      <c r="P283" s="167" t="s">
        <v>145</v>
      </c>
      <c r="Q283" s="169" t="s">
        <v>146</v>
      </c>
      <c r="R283" s="174">
        <v>0.59</v>
      </c>
      <c r="S283" s="174">
        <v>0.59</v>
      </c>
      <c r="U283" t="str">
        <f t="shared" ref="U283" si="24">P283</f>
        <v>כרבל לביד</v>
      </c>
      <c r="V283" s="179">
        <v>3</v>
      </c>
      <c r="AD283">
        <f>COUNTIF(סקר!$AT$11:$AT$880,P283)</f>
        <v>0</v>
      </c>
      <c r="AF283">
        <f t="shared" ref="AF283" si="25">IF(AD283&gt;0,U283,0)</f>
        <v>0</v>
      </c>
      <c r="AY283" s="115"/>
      <c r="AZ283" s="115"/>
      <c r="BA283" s="115"/>
      <c r="BB283" s="111"/>
      <c r="BC283" s="111"/>
      <c r="BD283" s="115"/>
    </row>
    <row r="284" spans="12:56" ht="45" customHeight="1">
      <c r="P284" s="167" t="s">
        <v>1001</v>
      </c>
      <c r="Q284" s="168" t="s">
        <v>1223</v>
      </c>
      <c r="R284" s="174">
        <v>0.22</v>
      </c>
      <c r="S284" s="174">
        <v>0.22</v>
      </c>
      <c r="U284" t="str">
        <f t="shared" si="23"/>
        <v>לבן- עלה שיחני גרין קלאוד</v>
      </c>
      <c r="V284" s="178">
        <v>3</v>
      </c>
      <c r="AD284">
        <f>COUNTIF(סקר!$AT$11:$AT$880,P284)</f>
        <v>0</v>
      </c>
      <c r="AF284">
        <f t="shared" ref="AF284:AF305" si="26">IF(AD284&gt;0,U284,0)</f>
        <v>0</v>
      </c>
      <c r="AY284" s="48" t="s">
        <v>84</v>
      </c>
      <c r="AZ284" s="116">
        <v>0.6</v>
      </c>
      <c r="BA284" s="116">
        <v>0</v>
      </c>
      <c r="BC284">
        <f t="shared" ref="BC284:BC305" si="27">AX284</f>
        <v>0</v>
      </c>
      <c r="BD284" s="92">
        <v>3</v>
      </c>
    </row>
    <row r="285" spans="12:56" ht="15.75">
      <c r="P285" s="167" t="s">
        <v>579</v>
      </c>
      <c r="Q285" s="169" t="s">
        <v>363</v>
      </c>
      <c r="R285" s="174">
        <v>0.76</v>
      </c>
      <c r="S285" s="174">
        <v>0.76</v>
      </c>
      <c r="U285" t="str">
        <f t="shared" si="23"/>
        <v>לבנה רפואי</v>
      </c>
      <c r="V285" s="179">
        <v>4</v>
      </c>
      <c r="AD285">
        <f>COUNTIF(סקר!$AT$11:$AT$880,P285)</f>
        <v>0</v>
      </c>
      <c r="AF285">
        <f t="shared" si="26"/>
        <v>0</v>
      </c>
      <c r="AY285" s="48" t="s">
        <v>774</v>
      </c>
      <c r="AZ285" s="81">
        <v>0.62</v>
      </c>
      <c r="BA285" s="81">
        <v>0</v>
      </c>
      <c r="BC285">
        <f t="shared" si="27"/>
        <v>0</v>
      </c>
      <c r="BD285" s="92">
        <v>3</v>
      </c>
    </row>
    <row r="286" spans="12:56" ht="15.75">
      <c r="P286" s="167" t="s">
        <v>580</v>
      </c>
      <c r="Q286" s="169" t="s">
        <v>364</v>
      </c>
      <c r="R286" s="174">
        <v>0.59</v>
      </c>
      <c r="S286" s="174">
        <v>0.59</v>
      </c>
      <c r="U286" t="str">
        <f t="shared" si="23"/>
        <v>לגונריית פטרסון</v>
      </c>
      <c r="V286" s="179">
        <v>3</v>
      </c>
      <c r="AD286">
        <f>COUNTIF(סקר!$AT$11:$AT$880,P286)</f>
        <v>0</v>
      </c>
      <c r="AF286">
        <f t="shared" si="26"/>
        <v>0</v>
      </c>
      <c r="AY286" s="48" t="s">
        <v>776</v>
      </c>
      <c r="AZ286" s="116">
        <v>0.62</v>
      </c>
      <c r="BA286" s="116">
        <v>0</v>
      </c>
      <c r="BC286">
        <f t="shared" si="27"/>
        <v>0</v>
      </c>
      <c r="BD286" s="92">
        <v>3</v>
      </c>
    </row>
    <row r="287" spans="12:56" ht="15.75">
      <c r="P287" s="167" t="s">
        <v>149</v>
      </c>
      <c r="Q287" s="169" t="s">
        <v>679</v>
      </c>
      <c r="R287" s="174">
        <v>0.61</v>
      </c>
      <c r="S287" s="174">
        <v>0.61</v>
      </c>
      <c r="U287" t="str">
        <f t="shared" si="23"/>
        <v>לגרסטרמיה הודית</v>
      </c>
      <c r="V287" s="179">
        <v>3</v>
      </c>
      <c r="AD287">
        <f>COUNTIF(סקר!$AT$11:$AT$880,P287)</f>
        <v>0</v>
      </c>
      <c r="AF287">
        <f t="shared" si="26"/>
        <v>0</v>
      </c>
      <c r="AY287" s="82" t="s">
        <v>778</v>
      </c>
      <c r="AZ287" s="81">
        <v>0.76</v>
      </c>
      <c r="BA287" s="81">
        <v>0.76</v>
      </c>
      <c r="BC287">
        <f t="shared" si="27"/>
        <v>0</v>
      </c>
      <c r="BD287" s="92">
        <v>4</v>
      </c>
    </row>
    <row r="288" spans="12:56" ht="15.75">
      <c r="P288" s="167" t="s">
        <v>581</v>
      </c>
      <c r="Q288" s="169" t="s">
        <v>365</v>
      </c>
      <c r="R288" s="174">
        <v>0.68</v>
      </c>
      <c r="S288" s="174">
        <v>0.68</v>
      </c>
      <c r="U288" t="str">
        <f t="shared" si="23"/>
        <v>ליגוסטרום יפני</v>
      </c>
      <c r="V288" s="179">
        <v>3</v>
      </c>
      <c r="AD288">
        <f>COUNTIF(סקר!$AT$11:$AT$880,P288)</f>
        <v>0</v>
      </c>
      <c r="AF288">
        <f t="shared" si="26"/>
        <v>0</v>
      </c>
      <c r="AY288" s="48" t="s">
        <v>779</v>
      </c>
      <c r="AZ288" s="116">
        <v>0.53</v>
      </c>
      <c r="BA288" s="116">
        <v>0</v>
      </c>
      <c r="BC288">
        <f t="shared" si="27"/>
        <v>0</v>
      </c>
      <c r="BD288" s="92">
        <v>3</v>
      </c>
    </row>
    <row r="289" spans="16:56" ht="15.75">
      <c r="P289" s="168" t="s">
        <v>151</v>
      </c>
      <c r="Q289" s="168" t="s">
        <v>152</v>
      </c>
      <c r="R289" s="174">
        <v>0.6</v>
      </c>
      <c r="S289" s="174">
        <v>0.6</v>
      </c>
      <c r="U289" t="str">
        <f t="shared" si="23"/>
        <v>ליוויסטונה סינית</v>
      </c>
      <c r="V289" s="178">
        <v>4</v>
      </c>
      <c r="AD289">
        <f>COUNTIF(סקר!$AT$11:$AT$880,P289)</f>
        <v>0</v>
      </c>
      <c r="AF289">
        <f t="shared" si="26"/>
        <v>0</v>
      </c>
      <c r="AY289" s="48" t="s">
        <v>780</v>
      </c>
      <c r="AZ289" s="81">
        <v>0.5</v>
      </c>
      <c r="BA289" s="81">
        <v>0</v>
      </c>
      <c r="BC289">
        <f t="shared" si="27"/>
        <v>0</v>
      </c>
      <c r="BD289" s="92">
        <v>3</v>
      </c>
    </row>
    <row r="290" spans="16:56" ht="15.75">
      <c r="P290" s="168" t="s">
        <v>1349</v>
      </c>
      <c r="Q290" s="168" t="s">
        <v>1350</v>
      </c>
      <c r="R290" s="174">
        <v>0.55000000000000004</v>
      </c>
      <c r="S290" s="174">
        <v>0.55000000000000004</v>
      </c>
      <c r="U290" t="str">
        <f t="shared" si="23"/>
        <v>ליצ'י</v>
      </c>
      <c r="V290" s="178">
        <v>3</v>
      </c>
      <c r="AD290">
        <f>COUNTIF(סקר!$AT$11:$AT$880,P290)</f>
        <v>0</v>
      </c>
      <c r="AF290">
        <f t="shared" si="26"/>
        <v>0</v>
      </c>
      <c r="AY290" s="48" t="s">
        <v>782</v>
      </c>
      <c r="AZ290" s="116">
        <v>0.54</v>
      </c>
      <c r="BA290" s="116">
        <v>0</v>
      </c>
      <c r="BC290">
        <f t="shared" si="27"/>
        <v>0</v>
      </c>
      <c r="BD290" s="92">
        <v>3</v>
      </c>
    </row>
    <row r="291" spans="16:56" ht="15.75">
      <c r="P291" s="167" t="s">
        <v>366</v>
      </c>
      <c r="Q291" s="169" t="s">
        <v>367</v>
      </c>
      <c r="R291" s="174">
        <v>0.64</v>
      </c>
      <c r="S291" s="174">
        <v>0.64</v>
      </c>
      <c r="U291" t="str">
        <f t="shared" si="23"/>
        <v>ליקווידמבר לבני</v>
      </c>
      <c r="V291" s="179">
        <v>3</v>
      </c>
      <c r="AD291">
        <f>COUNTIF(סקר!$AT$11:$AT$880,P291)</f>
        <v>0</v>
      </c>
      <c r="AF291">
        <f t="shared" si="26"/>
        <v>0</v>
      </c>
      <c r="AY291" s="48" t="s">
        <v>124</v>
      </c>
      <c r="AZ291" s="81">
        <v>0.5</v>
      </c>
      <c r="BA291" s="81">
        <v>0</v>
      </c>
      <c r="BC291">
        <f t="shared" si="27"/>
        <v>0</v>
      </c>
      <c r="BD291" s="92">
        <v>3</v>
      </c>
    </row>
    <row r="292" spans="16:56" ht="15.75">
      <c r="P292" s="167" t="s">
        <v>368</v>
      </c>
      <c r="Q292" s="169" t="s">
        <v>369</v>
      </c>
      <c r="R292" s="174">
        <v>0.63</v>
      </c>
      <c r="S292" s="174">
        <v>0.63</v>
      </c>
      <c r="U292" t="str">
        <f t="shared" si="23"/>
        <v>מגלון אפריקני</v>
      </c>
      <c r="V292" s="179">
        <v>3</v>
      </c>
      <c r="AD292">
        <f>COUNTIF(סקר!$AT$11:$AT$880,P292)</f>
        <v>0</v>
      </c>
      <c r="AF292">
        <f t="shared" si="26"/>
        <v>0</v>
      </c>
      <c r="AY292" s="48" t="s">
        <v>783</v>
      </c>
      <c r="AZ292" s="116">
        <v>0.42</v>
      </c>
      <c r="BA292" s="116">
        <v>0</v>
      </c>
      <c r="BC292">
        <f t="shared" si="27"/>
        <v>0</v>
      </c>
      <c r="BD292" s="92">
        <v>2</v>
      </c>
    </row>
    <row r="293" spans="16:56" ht="15.75">
      <c r="P293" s="167" t="s">
        <v>582</v>
      </c>
      <c r="Q293" s="169" t="s">
        <v>158</v>
      </c>
      <c r="R293" s="174">
        <v>0.75</v>
      </c>
      <c r="S293" s="174">
        <v>0.75</v>
      </c>
      <c r="U293" t="str">
        <f t="shared" si="23"/>
        <v>מגנוליה גדולת-פרחים</v>
      </c>
      <c r="V293" s="179">
        <v>4</v>
      </c>
      <c r="AD293">
        <f>COUNTIF(סקר!$AT$11:$AT$880,P293)</f>
        <v>0</v>
      </c>
      <c r="AF293">
        <f t="shared" si="26"/>
        <v>0</v>
      </c>
      <c r="AY293" s="48" t="s">
        <v>785</v>
      </c>
      <c r="AZ293" s="81">
        <v>0.57999999999999996</v>
      </c>
      <c r="BA293" s="81">
        <v>0</v>
      </c>
      <c r="BC293">
        <f t="shared" si="27"/>
        <v>0</v>
      </c>
      <c r="BD293" s="92">
        <v>3</v>
      </c>
    </row>
    <row r="294" spans="16:56" ht="15.75">
      <c r="P294" s="167" t="s">
        <v>370</v>
      </c>
      <c r="Q294" s="169" t="s">
        <v>371</v>
      </c>
      <c r="R294" s="174">
        <v>0.55000000000000004</v>
      </c>
      <c r="S294" s="174">
        <v>0.55000000000000004</v>
      </c>
      <c r="U294" t="str">
        <f t="shared" si="23"/>
        <v>מורינגה מכונפת</v>
      </c>
      <c r="V294" s="179">
        <v>3</v>
      </c>
      <c r="AD294">
        <f>COUNTIF(סקר!$AT$11:$AT$880,P294)</f>
        <v>0</v>
      </c>
      <c r="AF294">
        <f t="shared" si="26"/>
        <v>0</v>
      </c>
      <c r="AY294" s="48" t="s">
        <v>787</v>
      </c>
      <c r="AZ294" s="116">
        <v>0.69</v>
      </c>
      <c r="BA294" s="116">
        <v>0</v>
      </c>
      <c r="BC294">
        <f t="shared" si="27"/>
        <v>0</v>
      </c>
      <c r="BD294" s="92">
        <v>3</v>
      </c>
    </row>
    <row r="295" spans="16:56" ht="15.75">
      <c r="P295" s="167" t="s">
        <v>372</v>
      </c>
      <c r="Q295" s="169" t="s">
        <v>373</v>
      </c>
      <c r="R295" s="174">
        <v>0.69</v>
      </c>
      <c r="S295" s="174">
        <v>0.69</v>
      </c>
      <c r="U295" t="str">
        <f t="shared" si="23"/>
        <v>מורינגה רותמית</v>
      </c>
      <c r="V295" s="179">
        <v>3</v>
      </c>
      <c r="AD295">
        <f>COUNTIF(סקר!$AT$11:$AT$880,P295)</f>
        <v>0</v>
      </c>
      <c r="AF295">
        <f t="shared" si="26"/>
        <v>0</v>
      </c>
      <c r="AY295" s="48" t="s">
        <v>788</v>
      </c>
      <c r="AZ295" s="81">
        <v>0.6</v>
      </c>
      <c r="BA295" s="81">
        <v>0</v>
      </c>
      <c r="BC295">
        <f t="shared" si="27"/>
        <v>0</v>
      </c>
      <c r="BD295" s="92">
        <v>3</v>
      </c>
    </row>
    <row r="296" spans="16:56" ht="15.75">
      <c r="P296" s="167" t="s">
        <v>1002</v>
      </c>
      <c r="Q296" s="169" t="s">
        <v>1224</v>
      </c>
      <c r="R296" s="174">
        <v>0.25</v>
      </c>
      <c r="S296" s="174">
        <v>0.25</v>
      </c>
      <c r="U296" t="str">
        <f t="shared" si="23"/>
        <v>מורן החורש</v>
      </c>
      <c r="V296" s="179">
        <v>1</v>
      </c>
      <c r="AD296">
        <f>COUNTIF(סקר!$AT$11:$AT$880,P296)</f>
        <v>0</v>
      </c>
      <c r="AF296">
        <f t="shared" si="26"/>
        <v>0</v>
      </c>
      <c r="AY296" s="48" t="s">
        <v>175</v>
      </c>
      <c r="AZ296" s="116">
        <v>0.61</v>
      </c>
      <c r="BA296" s="116">
        <v>0</v>
      </c>
      <c r="BC296">
        <f t="shared" si="27"/>
        <v>0</v>
      </c>
      <c r="BD296" s="92">
        <v>3</v>
      </c>
    </row>
    <row r="297" spans="16:56" ht="15.75">
      <c r="P297" s="167" t="s">
        <v>374</v>
      </c>
      <c r="Q297" s="169" t="s">
        <v>375</v>
      </c>
      <c r="R297" s="174">
        <v>0.77</v>
      </c>
      <c r="S297" s="174">
        <v>0.77</v>
      </c>
      <c r="U297" t="str">
        <f t="shared" si="23"/>
        <v>מטאסקוויה סינית</v>
      </c>
      <c r="V297" s="179">
        <v>4</v>
      </c>
      <c r="AD297">
        <f>COUNTIF(סקר!$AT$11:$AT$880,P297)</f>
        <v>0</v>
      </c>
      <c r="AF297">
        <f t="shared" si="26"/>
        <v>0</v>
      </c>
      <c r="AY297" s="48" t="s">
        <v>179</v>
      </c>
      <c r="AZ297" s="81">
        <v>0.42</v>
      </c>
      <c r="BA297" s="81">
        <v>0</v>
      </c>
      <c r="BC297">
        <f t="shared" si="27"/>
        <v>0</v>
      </c>
      <c r="BD297" s="92">
        <v>2</v>
      </c>
    </row>
    <row r="298" spans="16:56" ht="15.75">
      <c r="P298" s="168" t="s">
        <v>1003</v>
      </c>
      <c r="Q298" s="168" t="s">
        <v>1225</v>
      </c>
      <c r="R298" s="174">
        <v>0.8</v>
      </c>
      <c r="S298" s="174">
        <v>0.8</v>
      </c>
      <c r="U298" t="str">
        <f t="shared" si="23"/>
        <v>מייש</v>
      </c>
      <c r="V298" s="178">
        <v>4</v>
      </c>
      <c r="AD298">
        <f>COUNTIF(סקר!$AT$11:$AT$880,P298)</f>
        <v>0</v>
      </c>
      <c r="AF298">
        <f t="shared" si="26"/>
        <v>0</v>
      </c>
      <c r="AY298" s="48" t="s">
        <v>791</v>
      </c>
      <c r="AZ298" s="81">
        <v>0.56000000000000005</v>
      </c>
      <c r="BA298" s="81">
        <v>0</v>
      </c>
      <c r="BC298">
        <f t="shared" si="27"/>
        <v>0</v>
      </c>
      <c r="BD298" s="92">
        <v>3</v>
      </c>
    </row>
    <row r="299" spans="16:56" ht="15.75">
      <c r="P299" s="167" t="s">
        <v>1004</v>
      </c>
      <c r="Q299" s="169" t="s">
        <v>680</v>
      </c>
      <c r="R299" s="174">
        <v>0.68</v>
      </c>
      <c r="S299" s="174">
        <v>0.68</v>
      </c>
      <c r="U299" t="str">
        <f t="shared" si="23"/>
        <v>מייש אפריקני</v>
      </c>
      <c r="V299" s="179">
        <v>3</v>
      </c>
      <c r="AD299">
        <f>COUNTIF(סקר!$AT$11:$AT$880,P299)</f>
        <v>0</v>
      </c>
      <c r="AF299">
        <f t="shared" si="26"/>
        <v>0</v>
      </c>
      <c r="AY299" s="48" t="s">
        <v>793</v>
      </c>
      <c r="AZ299" s="116">
        <v>0.52</v>
      </c>
      <c r="BA299" s="116">
        <v>0</v>
      </c>
      <c r="BC299">
        <f t="shared" si="27"/>
        <v>0</v>
      </c>
      <c r="BD299" s="92">
        <v>3</v>
      </c>
    </row>
    <row r="300" spans="16:56" ht="15.75">
      <c r="P300" s="167" t="s">
        <v>1005</v>
      </c>
      <c r="Q300" s="169" t="s">
        <v>168</v>
      </c>
      <c r="R300" s="174">
        <v>0.82</v>
      </c>
      <c r="S300" s="174">
        <v>0.82</v>
      </c>
      <c r="U300" t="str">
        <f t="shared" si="23"/>
        <v>מייש בונגה</v>
      </c>
      <c r="V300" s="179">
        <v>4</v>
      </c>
      <c r="AD300">
        <f>COUNTIF(סקר!$AT$11:$AT$880,P300)</f>
        <v>0</v>
      </c>
      <c r="AF300">
        <f t="shared" si="26"/>
        <v>0</v>
      </c>
      <c r="AY300" s="49" t="s">
        <v>794</v>
      </c>
      <c r="AZ300" s="81">
        <v>0.46</v>
      </c>
      <c r="BA300" s="81">
        <v>0</v>
      </c>
      <c r="BC300">
        <f t="shared" si="27"/>
        <v>0</v>
      </c>
      <c r="BD300" s="92">
        <v>2</v>
      </c>
    </row>
    <row r="301" spans="16:56" ht="15.75">
      <c r="P301" s="167" t="s">
        <v>1006</v>
      </c>
      <c r="Q301" s="169" t="s">
        <v>170</v>
      </c>
      <c r="R301" s="174">
        <v>0.88</v>
      </c>
      <c r="S301" s="174">
        <v>0.88</v>
      </c>
      <c r="U301" t="str">
        <f t="shared" si="23"/>
        <v>מייש דרומי</v>
      </c>
      <c r="V301" s="179">
        <v>4</v>
      </c>
      <c r="AD301">
        <f>COUNTIF(סקר!$AT$11:$AT$880,P301)</f>
        <v>0</v>
      </c>
      <c r="AF301">
        <f t="shared" si="26"/>
        <v>0</v>
      </c>
      <c r="AY301" s="48" t="s">
        <v>796</v>
      </c>
      <c r="AZ301" s="116">
        <v>0.57999999999999996</v>
      </c>
      <c r="BA301" s="116">
        <v>0</v>
      </c>
      <c r="BC301">
        <f t="shared" si="27"/>
        <v>0</v>
      </c>
      <c r="BD301" s="92">
        <v>3</v>
      </c>
    </row>
    <row r="302" spans="16:56" ht="15.75">
      <c r="P302" s="168" t="s">
        <v>1007</v>
      </c>
      <c r="Q302" s="168" t="s">
        <v>1226</v>
      </c>
      <c r="R302" s="174">
        <v>0.75</v>
      </c>
      <c r="S302" s="174">
        <v>0.75</v>
      </c>
      <c r="U302" t="str">
        <f t="shared" si="23"/>
        <v>מייש הכף</v>
      </c>
      <c r="V302" s="178">
        <v>4</v>
      </c>
      <c r="AD302">
        <f>COUNTIF(סקר!$AT$11:$AT$880,P302)</f>
        <v>0</v>
      </c>
      <c r="AF302">
        <f t="shared" si="26"/>
        <v>0</v>
      </c>
      <c r="AY302" s="49" t="s">
        <v>798</v>
      </c>
      <c r="AZ302" s="81">
        <v>0.44</v>
      </c>
      <c r="BA302" s="81">
        <v>0</v>
      </c>
      <c r="BC302">
        <f t="shared" si="27"/>
        <v>0</v>
      </c>
      <c r="BD302" s="92">
        <v>2</v>
      </c>
    </row>
    <row r="303" spans="16:56" ht="15.75">
      <c r="P303" s="168" t="s">
        <v>1008</v>
      </c>
      <c r="Q303" s="168" t="s">
        <v>1227</v>
      </c>
      <c r="R303" s="174">
        <v>0.82</v>
      </c>
      <c r="S303" s="174">
        <v>0.82</v>
      </c>
      <c r="U303" t="str">
        <f t="shared" si="23"/>
        <v>מייש חלק</v>
      </c>
      <c r="V303" s="178">
        <v>4</v>
      </c>
      <c r="AD303">
        <f>COUNTIF(סקר!$AT$11:$AT$880,P303)</f>
        <v>0</v>
      </c>
      <c r="AF303">
        <f t="shared" si="26"/>
        <v>0</v>
      </c>
      <c r="AY303" s="48" t="s">
        <v>265</v>
      </c>
      <c r="AZ303" s="116">
        <v>0.71</v>
      </c>
      <c r="BA303" s="116">
        <v>0</v>
      </c>
      <c r="BC303">
        <f t="shared" si="27"/>
        <v>0</v>
      </c>
      <c r="BD303" s="92">
        <v>4</v>
      </c>
    </row>
    <row r="304" spans="16:56" ht="15.75">
      <c r="P304" s="168" t="s">
        <v>1009</v>
      </c>
      <c r="Q304" s="168" t="s">
        <v>1228</v>
      </c>
      <c r="R304" s="174">
        <v>0.84</v>
      </c>
      <c r="S304" s="174">
        <v>0.84</v>
      </c>
      <c r="U304" t="str">
        <f t="shared" si="23"/>
        <v>מייש מערבי</v>
      </c>
      <c r="V304" s="178">
        <v>4</v>
      </c>
      <c r="AD304">
        <f>COUNTIF(סקר!$AT$11:$AT$880,P304)</f>
        <v>0</v>
      </c>
      <c r="AF304">
        <f t="shared" si="26"/>
        <v>0</v>
      </c>
      <c r="AY304" s="48" t="s">
        <v>800</v>
      </c>
      <c r="AZ304" s="81">
        <v>0.6</v>
      </c>
      <c r="BA304" s="81">
        <v>0</v>
      </c>
      <c r="BC304">
        <f t="shared" si="27"/>
        <v>0</v>
      </c>
      <c r="BD304" s="92">
        <v>3</v>
      </c>
    </row>
    <row r="305" spans="16:56" ht="15.75">
      <c r="P305" s="168" t="s">
        <v>1010</v>
      </c>
      <c r="Q305" s="168" t="s">
        <v>1229</v>
      </c>
      <c r="R305" s="174">
        <v>0.78</v>
      </c>
      <c r="S305" s="174">
        <v>0.78</v>
      </c>
      <c r="U305" s="160" t="str">
        <f>P305</f>
        <v>מייש מרובע</v>
      </c>
      <c r="V305" s="178">
        <v>4</v>
      </c>
      <c r="AD305">
        <f>COUNTIF(סקר!$AT$11:$AT$880,P305)</f>
        <v>0</v>
      </c>
      <c r="AF305">
        <f t="shared" si="26"/>
        <v>0</v>
      </c>
      <c r="AY305" s="48" t="s">
        <v>267</v>
      </c>
      <c r="AZ305" s="81">
        <v>0.42</v>
      </c>
      <c r="BA305" s="81">
        <v>0</v>
      </c>
      <c r="BC305">
        <f t="shared" si="27"/>
        <v>0</v>
      </c>
      <c r="BD305" s="92">
        <v>2</v>
      </c>
    </row>
    <row r="306" spans="16:56" ht="14.25">
      <c r="P306" s="168" t="s">
        <v>1011</v>
      </c>
      <c r="Q306" s="168" t="s">
        <v>1230</v>
      </c>
      <c r="R306" s="174">
        <v>0.75</v>
      </c>
      <c r="S306" s="174">
        <v>0.75</v>
      </c>
      <c r="U306" s="160" t="str">
        <f t="shared" ref="U306:U369" si="28">P306</f>
        <v>מייש מרושת</v>
      </c>
      <c r="V306" s="178">
        <v>4</v>
      </c>
      <c r="AD306">
        <f>COUNTIF(סקר!$AT$11:$AT$880,P306)</f>
        <v>0</v>
      </c>
      <c r="AF306">
        <f t="shared" ref="AF306:AF369" si="29">IF(AD306&gt;0,U306,0)</f>
        <v>0</v>
      </c>
    </row>
    <row r="307" spans="16:56" ht="14.25">
      <c r="P307" s="167" t="s">
        <v>1012</v>
      </c>
      <c r="Q307" s="169" t="s">
        <v>681</v>
      </c>
      <c r="R307" s="174">
        <v>0.67</v>
      </c>
      <c r="S307" s="174">
        <v>0.67</v>
      </c>
      <c r="U307" s="160" t="str">
        <f t="shared" si="28"/>
        <v>מייש סיני</v>
      </c>
      <c r="V307" s="179">
        <v>3</v>
      </c>
      <c r="AD307">
        <f>COUNTIF(סקר!$AT$11:$AT$880,P307)</f>
        <v>0</v>
      </c>
      <c r="AF307">
        <f t="shared" si="29"/>
        <v>0</v>
      </c>
    </row>
    <row r="308" spans="16:56" ht="14.25">
      <c r="P308" s="168" t="s">
        <v>1013</v>
      </c>
      <c r="Q308" s="168" t="s">
        <v>1231</v>
      </c>
      <c r="R308" s="174">
        <v>0.82</v>
      </c>
      <c r="S308" s="174">
        <v>0.82</v>
      </c>
      <c r="U308" s="160" t="str">
        <f t="shared" si="28"/>
        <v>מייש קווקזי</v>
      </c>
      <c r="V308" s="178">
        <v>4</v>
      </c>
      <c r="AD308">
        <f>COUNTIF(סקר!$AT$11:$AT$880,P308)</f>
        <v>0</v>
      </c>
      <c r="AF308">
        <f t="shared" si="29"/>
        <v>0</v>
      </c>
    </row>
    <row r="309" spans="16:56" ht="14.25">
      <c r="P309" s="168" t="s">
        <v>1014</v>
      </c>
      <c r="Q309" s="168" t="s">
        <v>1232</v>
      </c>
      <c r="R309" s="174">
        <v>0.67</v>
      </c>
      <c r="S309" s="174">
        <v>0.67</v>
      </c>
      <c r="U309" s="160" t="str">
        <f t="shared" si="28"/>
        <v>מייש קוצני</v>
      </c>
      <c r="V309" s="178">
        <v>4</v>
      </c>
      <c r="AD309">
        <f>COUNTIF(סקר!$AT$11:$AT$880,P309)</f>
        <v>0</v>
      </c>
      <c r="AF309">
        <f t="shared" si="29"/>
        <v>0</v>
      </c>
    </row>
    <row r="310" spans="16:56" ht="14.25">
      <c r="P310" s="167" t="s">
        <v>159</v>
      </c>
      <c r="Q310" s="169" t="s">
        <v>160</v>
      </c>
      <c r="R310" s="174">
        <v>0.65</v>
      </c>
      <c r="S310" s="174">
        <v>0.65</v>
      </c>
      <c r="U310" s="160" t="str">
        <f t="shared" si="28"/>
        <v>מילה אמריקנית</v>
      </c>
      <c r="V310" s="179">
        <v>3</v>
      </c>
      <c r="AD310">
        <f>COUNTIF(סקר!$AT$11:$AT$880,P310)</f>
        <v>0</v>
      </c>
      <c r="AF310">
        <f t="shared" si="29"/>
        <v>0</v>
      </c>
    </row>
    <row r="311" spans="16:56" ht="14.25">
      <c r="P311" s="167" t="s">
        <v>583</v>
      </c>
      <c r="Q311" s="169" t="s">
        <v>376</v>
      </c>
      <c r="R311" s="174">
        <v>0.73</v>
      </c>
      <c r="S311" s="174">
        <v>0.73</v>
      </c>
      <c r="U311" s="160" t="str">
        <f t="shared" si="28"/>
        <v>מילה ירוקת-עד</v>
      </c>
      <c r="V311" s="179">
        <v>4</v>
      </c>
      <c r="AD311">
        <f>COUNTIF(סקר!$AT$11:$AT$880,P311)</f>
        <v>0</v>
      </c>
      <c r="AF311">
        <f t="shared" si="29"/>
        <v>0</v>
      </c>
    </row>
    <row r="312" spans="16:56" ht="14.25">
      <c r="P312" s="167" t="s">
        <v>584</v>
      </c>
      <c r="Q312" s="169" t="s">
        <v>377</v>
      </c>
      <c r="R312" s="174">
        <v>0.64</v>
      </c>
      <c r="S312" s="174">
        <v>0.64</v>
      </c>
      <c r="U312" s="160" t="str">
        <f t="shared" si="28"/>
        <v>מילה לבנת-פרחים</v>
      </c>
      <c r="V312" s="179">
        <v>3</v>
      </c>
      <c r="AD312">
        <f>COUNTIF(סקר!$AT$11:$AT$880,P312)</f>
        <v>0</v>
      </c>
      <c r="AF312">
        <f t="shared" si="29"/>
        <v>0</v>
      </c>
    </row>
    <row r="313" spans="16:56" ht="14.25">
      <c r="P313" s="167" t="s">
        <v>163</v>
      </c>
      <c r="Q313" s="169" t="s">
        <v>378</v>
      </c>
      <c r="R313" s="174">
        <v>0.81</v>
      </c>
      <c r="S313" s="174">
        <v>0.81</v>
      </c>
      <c r="U313" s="160" t="str">
        <f t="shared" si="28"/>
        <v>מילה סורית</v>
      </c>
      <c r="V313" s="179">
        <v>4</v>
      </c>
      <c r="AD313">
        <f>COUNTIF(סקר!$AT$11:$AT$880,P313)</f>
        <v>0</v>
      </c>
      <c r="AF313">
        <f t="shared" si="29"/>
        <v>0</v>
      </c>
    </row>
    <row r="314" spans="16:56" ht="14.25">
      <c r="P314" s="167" t="s">
        <v>165</v>
      </c>
      <c r="Q314" s="169" t="s">
        <v>166</v>
      </c>
      <c r="R314" s="174">
        <v>0.77</v>
      </c>
      <c r="S314" s="174">
        <v>0.77</v>
      </c>
      <c r="U314" s="160" t="str">
        <f t="shared" si="28"/>
        <v>מילה פנסילוונית</v>
      </c>
      <c r="V314" s="179">
        <v>4</v>
      </c>
      <c r="AD314">
        <f>COUNTIF(סקר!$AT$11:$AT$880,P314)</f>
        <v>0</v>
      </c>
      <c r="AF314">
        <f t="shared" si="29"/>
        <v>0</v>
      </c>
    </row>
    <row r="315" spans="16:56" ht="14.25">
      <c r="P315" s="168" t="s">
        <v>1015</v>
      </c>
      <c r="Q315" s="168" t="s">
        <v>1233</v>
      </c>
      <c r="R315" s="174">
        <v>0.24</v>
      </c>
      <c r="S315" s="174">
        <v>0.24</v>
      </c>
      <c r="U315" s="160" t="str">
        <f t="shared" si="28"/>
        <v>מירסיאנתוס ריחני</v>
      </c>
      <c r="V315" s="178">
        <v>2</v>
      </c>
      <c r="AD315">
        <f>COUNTIF(סקר!$AT$11:$AT$880,P315)</f>
        <v>0</v>
      </c>
      <c r="AF315">
        <f t="shared" si="29"/>
        <v>0</v>
      </c>
    </row>
    <row r="316" spans="16:56" ht="14.25">
      <c r="P316" s="167" t="s">
        <v>171</v>
      </c>
      <c r="Q316" s="169" t="s">
        <v>172</v>
      </c>
      <c r="R316" s="174">
        <v>0.67</v>
      </c>
      <c r="S316" s="174">
        <v>0.67</v>
      </c>
      <c r="U316" s="160" t="str">
        <f t="shared" si="28"/>
        <v>מכנף נאה</v>
      </c>
      <c r="V316" s="179">
        <v>3</v>
      </c>
      <c r="AD316">
        <f>COUNTIF(סקר!$AT$11:$AT$880,P316)</f>
        <v>0</v>
      </c>
      <c r="AF316">
        <f t="shared" si="29"/>
        <v>0</v>
      </c>
    </row>
    <row r="317" spans="16:56" ht="14.25">
      <c r="P317" s="168" t="s">
        <v>1016</v>
      </c>
      <c r="Q317" s="168" t="s">
        <v>1234</v>
      </c>
      <c r="R317" s="174">
        <v>0.61</v>
      </c>
      <c r="S317" s="174">
        <v>0.61</v>
      </c>
      <c r="U317" s="160" t="str">
        <f t="shared" si="28"/>
        <v>מללויקה דקת-קליפה</v>
      </c>
      <c r="V317" s="178">
        <v>3</v>
      </c>
      <c r="AD317">
        <f>COUNTIF(סקר!$AT$11:$AT$880,P317)</f>
        <v>0</v>
      </c>
      <c r="AF317">
        <f t="shared" si="29"/>
        <v>0</v>
      </c>
    </row>
    <row r="318" spans="16:56" ht="14.25">
      <c r="P318" s="168" t="s">
        <v>1017</v>
      </c>
      <c r="Q318" s="168" t="s">
        <v>1235</v>
      </c>
      <c r="R318" s="174">
        <v>0.61</v>
      </c>
      <c r="S318" s="174">
        <v>0.61</v>
      </c>
      <c r="U318" s="160" t="str">
        <f t="shared" si="28"/>
        <v>מללויקה ירוקת-פרחים</v>
      </c>
      <c r="V318" s="178">
        <v>3</v>
      </c>
      <c r="AD318">
        <f>COUNTIF(סקר!$AT$11:$AT$880,P318)</f>
        <v>0</v>
      </c>
      <c r="AF318">
        <f t="shared" si="29"/>
        <v>0</v>
      </c>
    </row>
    <row r="319" spans="16:56" ht="14.25">
      <c r="P319" s="168" t="s">
        <v>1018</v>
      </c>
      <c r="Q319" s="168" t="s">
        <v>1236</v>
      </c>
      <c r="R319" s="174">
        <v>0.61</v>
      </c>
      <c r="S319" s="174">
        <v>0.61</v>
      </c>
      <c r="U319" s="160" t="str">
        <f t="shared" si="28"/>
        <v>מללויקה לבנת-קליפה</v>
      </c>
      <c r="V319" s="178">
        <v>3</v>
      </c>
      <c r="AD319">
        <f>COUNTIF(סקר!$AT$11:$AT$880,P319)</f>
        <v>0</v>
      </c>
      <c r="AF319">
        <f t="shared" si="29"/>
        <v>0</v>
      </c>
    </row>
    <row r="320" spans="16:56" ht="14.25">
      <c r="P320" s="168" t="s">
        <v>1019</v>
      </c>
      <c r="Q320" s="168" t="s">
        <v>1237</v>
      </c>
      <c r="R320" s="174">
        <v>0.61</v>
      </c>
      <c r="S320" s="174">
        <v>0.61</v>
      </c>
      <c r="U320" s="160" t="str">
        <f t="shared" si="28"/>
        <v>מללויקה מאפירה</v>
      </c>
      <c r="V320" s="178">
        <v>3</v>
      </c>
      <c r="AD320">
        <f>COUNTIF(סקר!$AT$11:$AT$880,P320)</f>
        <v>0</v>
      </c>
      <c r="AF320">
        <f t="shared" si="29"/>
        <v>0</v>
      </c>
    </row>
    <row r="321" spans="16:32" ht="14.25">
      <c r="P321" s="168" t="s">
        <v>1020</v>
      </c>
      <c r="Q321" s="168" t="s">
        <v>1238</v>
      </c>
      <c r="R321" s="174">
        <v>0.61</v>
      </c>
      <c r="S321" s="174">
        <v>0.61</v>
      </c>
      <c r="U321" s="160" t="str">
        <f t="shared" si="28"/>
        <v>מללויקה מחפה</v>
      </c>
      <c r="V321" s="178">
        <v>3</v>
      </c>
      <c r="AD321">
        <f>COUNTIF(סקר!$AT$11:$AT$880,P321)</f>
        <v>0</v>
      </c>
      <c r="AF321">
        <f t="shared" si="29"/>
        <v>0</v>
      </c>
    </row>
    <row r="322" spans="16:32" ht="14.25">
      <c r="P322" s="168" t="s">
        <v>1021</v>
      </c>
      <c r="Q322" s="168" t="s">
        <v>1239</v>
      </c>
      <c r="R322" s="174">
        <v>0.61</v>
      </c>
      <c r="S322" s="174">
        <v>0.61</v>
      </c>
      <c r="U322" s="160" t="str">
        <f t="shared" si="28"/>
        <v>מללויקה מכסיפה</v>
      </c>
      <c r="V322" s="178">
        <v>3</v>
      </c>
      <c r="AD322">
        <f>COUNTIF(סקר!$AT$11:$AT$880,P322)</f>
        <v>0</v>
      </c>
      <c r="AF322">
        <f t="shared" si="29"/>
        <v>0</v>
      </c>
    </row>
    <row r="323" spans="16:32" ht="14.25">
      <c r="P323" s="168" t="s">
        <v>1022</v>
      </c>
      <c r="Q323" s="168" t="s">
        <v>1240</v>
      </c>
      <c r="R323" s="174">
        <v>0.61</v>
      </c>
      <c r="S323" s="174">
        <v>0.61</v>
      </c>
      <c r="U323" s="160" t="str">
        <f t="shared" si="28"/>
        <v>מללויקה מצומדת</v>
      </c>
      <c r="V323" s="178">
        <v>3</v>
      </c>
      <c r="AD323">
        <f>COUNTIF(סקר!$AT$11:$AT$880,P323)</f>
        <v>0</v>
      </c>
      <c r="AF323">
        <f t="shared" si="29"/>
        <v>0</v>
      </c>
    </row>
    <row r="324" spans="16:32" ht="14.25">
      <c r="P324" s="168" t="s">
        <v>1023</v>
      </c>
      <c r="Q324" s="168" t="s">
        <v>1241</v>
      </c>
      <c r="R324" s="174">
        <v>0.61</v>
      </c>
      <c r="S324" s="174">
        <v>0.61</v>
      </c>
      <c r="U324" s="160" t="str">
        <f t="shared" si="28"/>
        <v>מללויקה מתקלפת</v>
      </c>
      <c r="V324" s="178">
        <v>3</v>
      </c>
      <c r="AD324">
        <f>COUNTIF(סקר!$AT$11:$AT$880,P324)</f>
        <v>0</v>
      </c>
      <c r="AF324">
        <f t="shared" si="29"/>
        <v>0</v>
      </c>
    </row>
    <row r="325" spans="16:32" ht="14.25">
      <c r="P325" s="168" t="s">
        <v>1024</v>
      </c>
      <c r="Q325" s="168" t="s">
        <v>1242</v>
      </c>
      <c r="R325" s="174">
        <v>0.61</v>
      </c>
      <c r="S325" s="174">
        <v>0.61</v>
      </c>
      <c r="U325" s="160" t="str">
        <f t="shared" si="28"/>
        <v>מללויקה קטנת-פרחים</v>
      </c>
      <c r="V325" s="178">
        <v>3</v>
      </c>
      <c r="AD325">
        <f>COUNTIF(סקר!$AT$11:$AT$880,P325)</f>
        <v>0</v>
      </c>
      <c r="AF325">
        <f t="shared" si="29"/>
        <v>0</v>
      </c>
    </row>
    <row r="326" spans="16:32" ht="14.25">
      <c r="P326" s="168" t="s">
        <v>1025</v>
      </c>
      <c r="Q326" s="168" t="s">
        <v>1243</v>
      </c>
      <c r="R326" s="174">
        <v>0.61</v>
      </c>
      <c r="S326" s="174">
        <v>0.61</v>
      </c>
      <c r="U326" s="160" t="str">
        <f t="shared" si="28"/>
        <v>מללויקה רותמית</v>
      </c>
      <c r="V326" s="178">
        <v>3</v>
      </c>
      <c r="AD326">
        <f>COUNTIF(סקר!$AT$11:$AT$880,P326)</f>
        <v>0</v>
      </c>
      <c r="AF326">
        <f t="shared" si="29"/>
        <v>0</v>
      </c>
    </row>
    <row r="327" spans="16:32" ht="14.25">
      <c r="P327" s="168" t="s">
        <v>1026</v>
      </c>
      <c r="Q327" s="168" t="s">
        <v>1244</v>
      </c>
      <c r="R327" s="174">
        <v>0.61</v>
      </c>
      <c r="S327" s="174">
        <v>0.61</v>
      </c>
      <c r="U327" s="160" t="str">
        <f t="shared" si="28"/>
        <v>מללויקה רחבת-עלים</v>
      </c>
      <c r="V327" s="178">
        <v>3</v>
      </c>
      <c r="AD327">
        <f>COUNTIF(סקר!$AT$11:$AT$880,P327)</f>
        <v>0</v>
      </c>
      <c r="AF327">
        <f t="shared" si="29"/>
        <v>0</v>
      </c>
    </row>
    <row r="328" spans="16:32" ht="14.25">
      <c r="P328" s="168" t="s">
        <v>1027</v>
      </c>
      <c r="Q328" s="168" t="s">
        <v>1245</v>
      </c>
      <c r="R328" s="174">
        <v>0.61</v>
      </c>
      <c r="S328" s="174">
        <v>0.61</v>
      </c>
      <c r="U328" s="160" t="str">
        <f t="shared" si="28"/>
        <v>מללויקת כלאיים</v>
      </c>
      <c r="V328" s="178">
        <v>3</v>
      </c>
      <c r="AD328">
        <f>COUNTIF(סקר!$AT$11:$AT$880,P328)</f>
        <v>0</v>
      </c>
      <c r="AF328">
        <f t="shared" si="29"/>
        <v>0</v>
      </c>
    </row>
    <row r="329" spans="16:32" ht="14.25">
      <c r="P329" s="167" t="s">
        <v>380</v>
      </c>
      <c r="Q329" s="169" t="s">
        <v>381</v>
      </c>
      <c r="R329" s="174">
        <v>0.62</v>
      </c>
      <c r="S329" s="174">
        <v>0.62</v>
      </c>
      <c r="U329" s="160" t="str">
        <f t="shared" si="28"/>
        <v>מנגו הודי</v>
      </c>
      <c r="V329" s="179">
        <v>3</v>
      </c>
      <c r="AD329">
        <f>COUNTIF(סקר!$AT$11:$AT$880,P329)</f>
        <v>0</v>
      </c>
      <c r="AF329">
        <f t="shared" si="29"/>
        <v>0</v>
      </c>
    </row>
    <row r="330" spans="16:32" ht="14.25">
      <c r="P330" s="167" t="s">
        <v>382</v>
      </c>
      <c r="Q330" s="169" t="s">
        <v>383</v>
      </c>
      <c r="R330" s="174">
        <v>0.59</v>
      </c>
      <c r="S330" s="174">
        <v>0.59</v>
      </c>
      <c r="U330" s="160" t="str">
        <f t="shared" si="28"/>
        <v>מקדמיה רבועה</v>
      </c>
      <c r="V330" s="179">
        <v>3</v>
      </c>
      <c r="AD330">
        <f>COUNTIF(סקר!$AT$11:$AT$880,P330)</f>
        <v>0</v>
      </c>
      <c r="AF330">
        <f t="shared" si="29"/>
        <v>0</v>
      </c>
    </row>
    <row r="331" spans="16:32" ht="14.25">
      <c r="P331" s="168" t="s">
        <v>1028</v>
      </c>
      <c r="Q331" s="168" t="s">
        <v>1246</v>
      </c>
      <c r="R331" s="174">
        <v>0.38</v>
      </c>
      <c r="S331" s="174">
        <v>0.38</v>
      </c>
      <c r="U331" s="160" t="str">
        <f t="shared" si="28"/>
        <v>מקלורה זהובה</v>
      </c>
      <c r="V331" s="178">
        <v>3.5</v>
      </c>
      <c r="AD331">
        <f>COUNTIF(סקר!$AT$11:$AT$880,P331)</f>
        <v>0</v>
      </c>
      <c r="AF331">
        <f t="shared" si="29"/>
        <v>0</v>
      </c>
    </row>
    <row r="332" spans="16:32" ht="14.25">
      <c r="P332" s="167" t="s">
        <v>587</v>
      </c>
      <c r="Q332" s="169" t="s">
        <v>384</v>
      </c>
      <c r="R332" s="174">
        <v>0.76</v>
      </c>
      <c r="S332" s="174">
        <v>0.76</v>
      </c>
      <c r="U332" s="160" t="str">
        <f t="shared" si="28"/>
        <v>מרואה עבת-עלים</v>
      </c>
      <c r="V332" s="179">
        <v>4</v>
      </c>
      <c r="AD332">
        <f>COUNTIF(סקר!$AT$11:$AT$880,P332)</f>
        <v>0</v>
      </c>
      <c r="AF332">
        <f t="shared" si="29"/>
        <v>0</v>
      </c>
    </row>
    <row r="333" spans="16:32" ht="14.25">
      <c r="P333" s="167" t="s">
        <v>588</v>
      </c>
      <c r="Q333" s="169" t="s">
        <v>683</v>
      </c>
      <c r="R333" s="174">
        <v>0.45</v>
      </c>
      <c r="S333" s="174">
        <v>0.45</v>
      </c>
      <c r="U333" s="160" t="str">
        <f t="shared" si="28"/>
        <v>מרקמיה צהובה</v>
      </c>
      <c r="V333" s="179">
        <v>2</v>
      </c>
      <c r="AD333">
        <f>COUNTIF(סקר!$AT$11:$AT$880,P333)</f>
        <v>0</v>
      </c>
      <c r="AF333">
        <f t="shared" si="29"/>
        <v>0</v>
      </c>
    </row>
    <row r="334" spans="16:32" ht="14.25">
      <c r="P334" s="167" t="s">
        <v>1351</v>
      </c>
      <c r="Q334" s="169" t="s">
        <v>1352</v>
      </c>
      <c r="R334" s="174">
        <v>0.48</v>
      </c>
      <c r="S334" s="174">
        <v>0.48</v>
      </c>
      <c r="U334" s="160" t="str">
        <f t="shared" si="28"/>
        <v>משמש</v>
      </c>
      <c r="V334" s="179">
        <v>3</v>
      </c>
      <c r="AD334">
        <f>COUNTIF(סקר!$AT$11:$AT$880,P334)</f>
        <v>0</v>
      </c>
      <c r="AF334">
        <f t="shared" si="29"/>
        <v>0</v>
      </c>
    </row>
    <row r="335" spans="16:32" ht="14.25">
      <c r="P335" s="167" t="s">
        <v>589</v>
      </c>
      <c r="Q335" s="169" t="s">
        <v>385</v>
      </c>
      <c r="R335" s="174">
        <v>0.57999999999999996</v>
      </c>
      <c r="S335" s="174">
        <v>0.57999999999999996</v>
      </c>
      <c r="U335" s="160" t="str">
        <f t="shared" si="28"/>
        <v>מתחלית פעמונית</v>
      </c>
      <c r="V335" s="179">
        <v>3</v>
      </c>
      <c r="AD335">
        <f>COUNTIF(סקר!$AT$11:$AT$880,P335)</f>
        <v>0</v>
      </c>
      <c r="AF335">
        <f t="shared" si="29"/>
        <v>0</v>
      </c>
    </row>
    <row r="336" spans="16:32" ht="14.25">
      <c r="P336" s="167" t="s">
        <v>1353</v>
      </c>
      <c r="Q336" s="169" t="s">
        <v>1354</v>
      </c>
      <c r="R336" s="174">
        <v>0.48</v>
      </c>
      <c r="S336" s="174">
        <v>0.48</v>
      </c>
      <c r="U336" s="160" t="str">
        <f t="shared" si="28"/>
        <v>נקטרינה</v>
      </c>
      <c r="V336" s="179">
        <v>3</v>
      </c>
      <c r="AD336">
        <f>COUNTIF(סקר!$AT$11:$AT$880,P336)</f>
        <v>0</v>
      </c>
      <c r="AF336">
        <f t="shared" si="29"/>
        <v>0</v>
      </c>
    </row>
    <row r="337" spans="16:32" ht="14.25">
      <c r="P337" s="167" t="s">
        <v>174</v>
      </c>
      <c r="Q337" s="169" t="s">
        <v>175</v>
      </c>
      <c r="R337" s="174">
        <v>0.61</v>
      </c>
      <c r="S337" s="174">
        <v>0.61</v>
      </c>
      <c r="U337" s="160" t="str">
        <f t="shared" si="28"/>
        <v>סבל פלמטו</v>
      </c>
      <c r="V337" s="179">
        <v>3</v>
      </c>
      <c r="AD337">
        <f>COUNTIF(סקר!$AT$11:$AT$880,P337)</f>
        <v>0</v>
      </c>
      <c r="AF337">
        <f t="shared" si="29"/>
        <v>0</v>
      </c>
    </row>
    <row r="338" spans="16:32" ht="14.25">
      <c r="P338" s="168" t="s">
        <v>1029</v>
      </c>
      <c r="Q338" s="168" t="s">
        <v>1247</v>
      </c>
      <c r="R338" s="174">
        <v>0.4</v>
      </c>
      <c r="S338" s="174">
        <v>0.4</v>
      </c>
      <c r="U338" s="160" t="str">
        <f t="shared" si="28"/>
        <v>סהרון קשה עלים</v>
      </c>
      <c r="V338" s="178">
        <v>3</v>
      </c>
      <c r="AD338">
        <f>COUNTIF(סקר!$AT$11:$AT$880,P338)</f>
        <v>0</v>
      </c>
      <c r="AF338">
        <f t="shared" si="29"/>
        <v>0</v>
      </c>
    </row>
    <row r="339" spans="16:32" ht="14.25">
      <c r="P339" s="167" t="s">
        <v>591</v>
      </c>
      <c r="Q339" s="169" t="s">
        <v>685</v>
      </c>
      <c r="R339" s="174">
        <v>0.33</v>
      </c>
      <c r="S339" s="174">
        <v>0.33</v>
      </c>
      <c r="U339" s="160" t="str">
        <f t="shared" si="28"/>
        <v>סולנום גדול</v>
      </c>
      <c r="V339" s="179">
        <v>2</v>
      </c>
      <c r="AD339">
        <f>COUNTIF(סקר!$AT$11:$AT$880,P339)</f>
        <v>0</v>
      </c>
      <c r="AF339">
        <f t="shared" si="29"/>
        <v>0</v>
      </c>
    </row>
    <row r="340" spans="16:32" ht="14.25">
      <c r="P340" s="167" t="s">
        <v>592</v>
      </c>
      <c r="Q340" s="169" t="s">
        <v>686</v>
      </c>
      <c r="R340" s="174">
        <v>0.65</v>
      </c>
      <c r="S340" s="174">
        <v>0.65</v>
      </c>
      <c r="U340" s="160" t="str">
        <f t="shared" si="28"/>
        <v>סופורה אמריקנית</v>
      </c>
      <c r="V340" s="179">
        <v>3</v>
      </c>
      <c r="AD340">
        <f>COUNTIF(סקר!$AT$11:$AT$880,P340)</f>
        <v>0</v>
      </c>
      <c r="AF340">
        <f t="shared" si="29"/>
        <v>0</v>
      </c>
    </row>
    <row r="341" spans="16:32" ht="14.25">
      <c r="P341" s="167" t="s">
        <v>176</v>
      </c>
      <c r="Q341" s="169" t="s">
        <v>177</v>
      </c>
      <c r="R341" s="174">
        <v>0.7</v>
      </c>
      <c r="S341" s="174">
        <v>0.7</v>
      </c>
      <c r="U341" s="160" t="str">
        <f t="shared" si="28"/>
        <v>סופורה יפנית</v>
      </c>
      <c r="V341" s="179">
        <v>4</v>
      </c>
      <c r="AD341">
        <f>COUNTIF(סקר!$AT$11:$AT$880,P341)</f>
        <v>0</v>
      </c>
      <c r="AF341">
        <f t="shared" si="29"/>
        <v>0</v>
      </c>
    </row>
    <row r="342" spans="16:32" ht="14.25">
      <c r="P342" s="168" t="s">
        <v>1030</v>
      </c>
      <c r="Q342" s="168" t="s">
        <v>1248</v>
      </c>
      <c r="R342" s="174">
        <v>0.25</v>
      </c>
      <c r="S342" s="174">
        <v>0.25</v>
      </c>
      <c r="U342" s="160" t="str">
        <f t="shared" si="28"/>
        <v>סטיפנולוביום יפני</v>
      </c>
      <c r="V342" s="178">
        <v>4</v>
      </c>
      <c r="AD342">
        <f>COUNTIF(סקר!$AT$11:$AT$880,P342)</f>
        <v>0</v>
      </c>
      <c r="AF342">
        <f t="shared" si="29"/>
        <v>0</v>
      </c>
    </row>
    <row r="343" spans="16:32" ht="14.25">
      <c r="P343" s="167" t="s">
        <v>1031</v>
      </c>
      <c r="Q343" s="169" t="s">
        <v>1249</v>
      </c>
      <c r="R343" s="174">
        <v>0.3</v>
      </c>
      <c r="S343" s="174">
        <v>0.3</v>
      </c>
      <c r="U343" s="160" t="str">
        <f t="shared" si="28"/>
        <v>סטנוקרפוס הגלגלים</v>
      </c>
      <c r="V343" s="180">
        <v>2</v>
      </c>
      <c r="AD343">
        <f>COUNTIF(סקר!$AT$11:$AT$880,P343)</f>
        <v>0</v>
      </c>
      <c r="AF343">
        <f t="shared" si="29"/>
        <v>0</v>
      </c>
    </row>
    <row r="344" spans="16:32" ht="14.25">
      <c r="P344" s="167" t="s">
        <v>593</v>
      </c>
      <c r="Q344" s="169" t="s">
        <v>386</v>
      </c>
      <c r="R344" s="174">
        <v>0.76</v>
      </c>
      <c r="S344" s="174">
        <v>0.76</v>
      </c>
      <c r="U344" s="160" t="str">
        <f t="shared" si="28"/>
        <v>סיגלון עלי-מימוסה</v>
      </c>
      <c r="V344" s="180">
        <v>4</v>
      </c>
      <c r="AD344">
        <f>COUNTIF(סקר!$AT$11:$AT$880,P344)</f>
        <v>0</v>
      </c>
      <c r="AF344">
        <f t="shared" si="29"/>
        <v>0</v>
      </c>
    </row>
    <row r="345" spans="16:32" ht="14.25">
      <c r="P345" s="167" t="s">
        <v>387</v>
      </c>
      <c r="Q345" s="169" t="s">
        <v>388</v>
      </c>
      <c r="R345" s="174">
        <v>0.56000000000000005</v>
      </c>
      <c r="S345" s="174">
        <v>0.56000000000000005</v>
      </c>
      <c r="U345" s="160" t="str">
        <f t="shared" si="28"/>
        <v>סיזיגיון אוסטרלי</v>
      </c>
      <c r="V345" s="179">
        <v>3</v>
      </c>
      <c r="AD345">
        <f>COUNTIF(סקר!$AT$11:$AT$880,P345)</f>
        <v>0</v>
      </c>
      <c r="AF345">
        <f t="shared" si="29"/>
        <v>0</v>
      </c>
    </row>
    <row r="346" spans="16:32" ht="14.25">
      <c r="P346" s="167" t="s">
        <v>389</v>
      </c>
      <c r="Q346" s="169" t="s">
        <v>390</v>
      </c>
      <c r="R346" s="174">
        <v>0.55000000000000004</v>
      </c>
      <c r="S346" s="174">
        <v>0.55000000000000004</v>
      </c>
      <c r="U346" s="160" t="str">
        <f t="shared" si="28"/>
        <v>סיזיגיון ימבולן</v>
      </c>
      <c r="V346" s="179">
        <v>3</v>
      </c>
      <c r="AD346">
        <f>COUNTIF(סקר!$AT$11:$AT$880,P346)</f>
        <v>0</v>
      </c>
      <c r="AF346">
        <f t="shared" si="29"/>
        <v>0</v>
      </c>
    </row>
    <row r="347" spans="16:32" ht="14.25">
      <c r="P347" s="167" t="s">
        <v>391</v>
      </c>
      <c r="Q347" s="169" t="s">
        <v>392</v>
      </c>
      <c r="R347" s="174">
        <v>0.54</v>
      </c>
      <c r="S347" s="174">
        <v>0.54</v>
      </c>
      <c r="U347" s="160" t="str">
        <f t="shared" si="28"/>
        <v>סיזיגיון מכבדי</v>
      </c>
      <c r="V347" s="179">
        <v>3</v>
      </c>
      <c r="AD347">
        <f>COUNTIF(סקר!$AT$11:$AT$880,P347)</f>
        <v>0</v>
      </c>
      <c r="AF347">
        <f t="shared" si="29"/>
        <v>0</v>
      </c>
    </row>
    <row r="348" spans="16:32" ht="14.25">
      <c r="P348" s="167" t="s">
        <v>789</v>
      </c>
      <c r="Q348" s="169" t="s">
        <v>179</v>
      </c>
      <c r="R348" s="174">
        <v>0.42</v>
      </c>
      <c r="S348" s="174">
        <v>0.42</v>
      </c>
      <c r="U348" s="160" t="str">
        <f t="shared" si="28"/>
        <v>סייגרוס רומנזוף</v>
      </c>
      <c r="V348" s="179">
        <v>2</v>
      </c>
      <c r="AD348">
        <f>COUNTIF(סקר!$AT$11:$AT$880,P348)</f>
        <v>0</v>
      </c>
      <c r="AF348">
        <f t="shared" si="29"/>
        <v>0</v>
      </c>
    </row>
    <row r="349" spans="16:32" ht="14.25">
      <c r="P349" s="167" t="s">
        <v>184</v>
      </c>
      <c r="Q349" s="169" t="s">
        <v>393</v>
      </c>
      <c r="R349" s="174">
        <v>0.76</v>
      </c>
      <c r="S349" s="174">
        <v>0.76</v>
      </c>
      <c r="U349" s="160" t="str">
        <f t="shared" si="28"/>
        <v>סיסם הודי</v>
      </c>
      <c r="V349" s="179">
        <v>4</v>
      </c>
      <c r="AD349">
        <f>COUNTIF(סקר!$AT$11:$AT$880,P349)</f>
        <v>0</v>
      </c>
      <c r="AF349">
        <f t="shared" si="29"/>
        <v>0</v>
      </c>
    </row>
    <row r="350" spans="16:32" ht="14.25">
      <c r="P350" s="167" t="s">
        <v>594</v>
      </c>
      <c r="Q350" s="169" t="s">
        <v>187</v>
      </c>
      <c r="R350" s="174">
        <v>0.73</v>
      </c>
      <c r="S350" s="174">
        <v>0.73</v>
      </c>
      <c r="U350" s="160" t="str">
        <f t="shared" si="28"/>
        <v>ספיון השעוה</v>
      </c>
      <c r="V350" s="179">
        <v>4</v>
      </c>
      <c r="AD350">
        <f>COUNTIF(סקר!$AT$11:$AT$880,P350)</f>
        <v>0</v>
      </c>
      <c r="AF350">
        <f t="shared" si="29"/>
        <v>0</v>
      </c>
    </row>
    <row r="351" spans="16:32" ht="14.25">
      <c r="P351" s="167" t="s">
        <v>595</v>
      </c>
      <c r="Q351" s="169" t="s">
        <v>394</v>
      </c>
      <c r="R351" s="174">
        <v>0.81</v>
      </c>
      <c r="S351" s="174">
        <v>0.81</v>
      </c>
      <c r="U351" s="160" t="str">
        <f t="shared" si="28"/>
        <v>סקויה נאה</v>
      </c>
      <c r="V351" s="179">
        <v>4</v>
      </c>
      <c r="AD351">
        <f>COUNTIF(סקר!$AT$11:$AT$880,P351)</f>
        <v>0</v>
      </c>
      <c r="AF351">
        <f t="shared" si="29"/>
        <v>0</v>
      </c>
    </row>
    <row r="352" spans="16:32" ht="14.25">
      <c r="P352" s="167" t="s">
        <v>395</v>
      </c>
      <c r="Q352" s="169" t="s">
        <v>396</v>
      </c>
      <c r="R352" s="174">
        <v>0.81</v>
      </c>
      <c r="S352" s="174">
        <v>0.81</v>
      </c>
      <c r="U352" s="160" t="str">
        <f t="shared" si="28"/>
        <v>עוזרר אדום</v>
      </c>
      <c r="V352" s="179">
        <v>4</v>
      </c>
      <c r="AD352">
        <f>COUNTIF(סקר!$AT$11:$AT$880,P352)</f>
        <v>0</v>
      </c>
      <c r="AF352">
        <f t="shared" si="29"/>
        <v>0</v>
      </c>
    </row>
    <row r="353" spans="16:32" ht="14.25">
      <c r="P353" s="167" t="s">
        <v>596</v>
      </c>
      <c r="Q353" s="169" t="s">
        <v>688</v>
      </c>
      <c r="R353" s="174">
        <v>0.72</v>
      </c>
      <c r="S353" s="174">
        <v>0.72</v>
      </c>
      <c r="U353" s="160" t="str">
        <f t="shared" si="28"/>
        <v>עוזרר קוצני</v>
      </c>
      <c r="V353" s="179">
        <v>4</v>
      </c>
      <c r="AD353">
        <f>COUNTIF(סקר!$AT$11:$AT$880,P353)</f>
        <v>0</v>
      </c>
      <c r="AF353">
        <f t="shared" si="29"/>
        <v>0</v>
      </c>
    </row>
    <row r="354" spans="16:32" ht="14.25">
      <c r="P354" s="167" t="s">
        <v>191</v>
      </c>
      <c r="Q354" s="169" t="s">
        <v>397</v>
      </c>
      <c r="R354" s="174">
        <v>0.78</v>
      </c>
      <c r="S354" s="174">
        <v>0.78</v>
      </c>
      <c r="U354" s="160" t="str">
        <f t="shared" si="28"/>
        <v>ער אציל</v>
      </c>
      <c r="V354" s="180">
        <v>4</v>
      </c>
      <c r="AD354">
        <f>COUNTIF(סקר!$AT$11:$AT$880,P354)</f>
        <v>0</v>
      </c>
      <c r="AF354">
        <f t="shared" si="29"/>
        <v>0</v>
      </c>
    </row>
    <row r="355" spans="16:32" ht="14.25">
      <c r="P355" s="168" t="s">
        <v>1032</v>
      </c>
      <c r="Q355" s="168" t="s">
        <v>1250</v>
      </c>
      <c r="R355" s="174">
        <v>0.75</v>
      </c>
      <c r="S355" s="174">
        <v>0.75</v>
      </c>
      <c r="U355" s="160" t="str">
        <f t="shared" si="28"/>
        <v>ער קנרי</v>
      </c>
      <c r="V355" s="181">
        <v>4</v>
      </c>
      <c r="AD355">
        <f>COUNTIF(סקר!$AT$11:$AT$880,P355)</f>
        <v>0</v>
      </c>
      <c r="AF355">
        <f t="shared" si="29"/>
        <v>0</v>
      </c>
    </row>
    <row r="356" spans="16:32" ht="14.25">
      <c r="P356" s="167" t="s">
        <v>194</v>
      </c>
      <c r="Q356" s="169" t="s">
        <v>689</v>
      </c>
      <c r="R356" s="174">
        <v>0.56999999999999995</v>
      </c>
      <c r="S356" s="174">
        <v>0.56999999999999995</v>
      </c>
      <c r="U356" s="160" t="str">
        <f t="shared" si="28"/>
        <v>ערבה מחודדת</v>
      </c>
      <c r="V356" s="179">
        <v>3</v>
      </c>
      <c r="AD356">
        <f>COUNTIF(סקר!$AT$11:$AT$880,P356)</f>
        <v>0</v>
      </c>
      <c r="AF356">
        <f t="shared" si="29"/>
        <v>0</v>
      </c>
    </row>
    <row r="357" spans="16:32" ht="14.25">
      <c r="P357" s="168" t="s">
        <v>1033</v>
      </c>
      <c r="Q357" s="168" t="s">
        <v>1251</v>
      </c>
      <c r="R357" s="174">
        <v>0.55000000000000004</v>
      </c>
      <c r="S357" s="174">
        <v>0.55000000000000004</v>
      </c>
      <c r="U357" s="160" t="str">
        <f t="shared" si="28"/>
        <v>ערבה מצודנה</v>
      </c>
      <c r="V357" s="178">
        <v>3</v>
      </c>
      <c r="AD357">
        <f>COUNTIF(סקר!$AT$11:$AT$880,P357)</f>
        <v>0</v>
      </c>
      <c r="AF357">
        <f t="shared" si="29"/>
        <v>0</v>
      </c>
    </row>
    <row r="358" spans="16:32" ht="14.25">
      <c r="P358" s="167" t="s">
        <v>597</v>
      </c>
      <c r="Q358" s="169" t="s">
        <v>690</v>
      </c>
      <c r="R358" s="174">
        <v>0.4</v>
      </c>
      <c r="S358" s="174">
        <v>0.4</v>
      </c>
      <c r="U358" s="160" t="str">
        <f t="shared" si="28"/>
        <v xml:space="preserve">ערבה צריפית </v>
      </c>
      <c r="V358" s="179">
        <v>2</v>
      </c>
      <c r="AD358">
        <f>COUNTIF(סקר!$AT$11:$AT$880,P358)</f>
        <v>0</v>
      </c>
      <c r="AF358">
        <f t="shared" si="29"/>
        <v>0</v>
      </c>
    </row>
    <row r="359" spans="16:32" ht="14.25">
      <c r="P359" s="168" t="s">
        <v>1034</v>
      </c>
      <c r="Q359" s="168" t="s">
        <v>1252</v>
      </c>
      <c r="R359" s="174">
        <v>0.59</v>
      </c>
      <c r="S359" s="174">
        <v>0.59</v>
      </c>
      <c r="U359" s="160" t="str">
        <f t="shared" si="28"/>
        <v>ערבה רותמית</v>
      </c>
      <c r="V359" s="178">
        <v>3</v>
      </c>
      <c r="AD359">
        <f>COUNTIF(סקר!$AT$11:$AT$880,P359)</f>
        <v>0</v>
      </c>
      <c r="AF359">
        <f t="shared" si="29"/>
        <v>0</v>
      </c>
    </row>
    <row r="360" spans="16:32" ht="14.25">
      <c r="P360" s="168" t="s">
        <v>1035</v>
      </c>
      <c r="Q360" s="168" t="s">
        <v>1253</v>
      </c>
      <c r="R360" s="174">
        <v>0.45</v>
      </c>
      <c r="S360" s="174">
        <v>0.45</v>
      </c>
      <c r="U360" s="160" t="str">
        <f t="shared" si="28"/>
        <v>ערבה שבירה</v>
      </c>
      <c r="V360" s="178">
        <v>3</v>
      </c>
      <c r="AD360">
        <f>COUNTIF(סקר!$AT$11:$AT$880,P360)</f>
        <v>0</v>
      </c>
      <c r="AF360">
        <f t="shared" si="29"/>
        <v>0</v>
      </c>
    </row>
    <row r="361" spans="16:32" ht="14.25">
      <c r="P361" s="167" t="s">
        <v>192</v>
      </c>
      <c r="Q361" s="169" t="s">
        <v>193</v>
      </c>
      <c r="R361" s="174">
        <v>0.54</v>
      </c>
      <c r="S361" s="174">
        <v>0.54</v>
      </c>
      <c r="U361" s="160" t="str">
        <f t="shared" si="28"/>
        <v>ערבת בבל</v>
      </c>
      <c r="V361" s="179">
        <v>3</v>
      </c>
      <c r="AD361">
        <f>COUNTIF(סקר!$AT$11:$AT$880,P361)</f>
        <v>0</v>
      </c>
      <c r="AF361">
        <f t="shared" si="29"/>
        <v>0</v>
      </c>
    </row>
    <row r="362" spans="16:32" ht="14.25">
      <c r="P362" s="168" t="s">
        <v>1036</v>
      </c>
      <c r="Q362" s="168" t="s">
        <v>1254</v>
      </c>
      <c r="R362" s="174">
        <v>0.65</v>
      </c>
      <c r="S362" s="174">
        <v>0.65</v>
      </c>
      <c r="U362" s="160" t="str">
        <f t="shared" si="28"/>
        <v>ערמונית הסוסים</v>
      </c>
      <c r="V362" s="178">
        <v>4</v>
      </c>
      <c r="AD362">
        <f>COUNTIF(סקר!$AT$11:$AT$880,P362)</f>
        <v>0</v>
      </c>
      <c r="AF362">
        <f t="shared" si="29"/>
        <v>0</v>
      </c>
    </row>
    <row r="363" spans="16:32" ht="14.25">
      <c r="P363" s="168" t="s">
        <v>1037</v>
      </c>
      <c r="Q363" s="168" t="s">
        <v>1255</v>
      </c>
      <c r="R363" s="174">
        <v>0.57999999999999996</v>
      </c>
      <c r="S363" s="174">
        <v>0.57999999999999996</v>
      </c>
      <c r="U363" s="160" t="str">
        <f t="shared" si="28"/>
        <v>ערער אדום</v>
      </c>
      <c r="V363" s="181">
        <v>4</v>
      </c>
      <c r="AD363">
        <f>COUNTIF(סקר!$AT$11:$AT$880,P363)</f>
        <v>0</v>
      </c>
      <c r="AF363">
        <f t="shared" si="29"/>
        <v>0</v>
      </c>
    </row>
    <row r="364" spans="16:32" ht="14.25">
      <c r="P364" s="168" t="s">
        <v>1038</v>
      </c>
      <c r="Q364" s="168" t="s">
        <v>1256</v>
      </c>
      <c r="R364" s="174">
        <v>0.55000000000000004</v>
      </c>
      <c r="S364" s="174">
        <v>0.55000000000000004</v>
      </c>
      <c r="U364" s="160" t="str">
        <f t="shared" si="28"/>
        <v>ערער ארזני</v>
      </c>
      <c r="V364" s="181">
        <v>4</v>
      </c>
      <c r="AD364">
        <f>COUNTIF(סקר!$AT$11:$AT$880,P364)</f>
        <v>0</v>
      </c>
      <c r="AF364">
        <f t="shared" si="29"/>
        <v>0</v>
      </c>
    </row>
    <row r="365" spans="16:32" ht="14.25">
      <c r="P365" s="168" t="s">
        <v>1039</v>
      </c>
      <c r="Q365" s="168" t="s">
        <v>1257</v>
      </c>
      <c r="R365" s="174">
        <v>0.52</v>
      </c>
      <c r="S365" s="174">
        <v>0.52</v>
      </c>
      <c r="U365" s="160" t="str">
        <f t="shared" si="28"/>
        <v>ערער ברמודי</v>
      </c>
      <c r="V365" s="178">
        <v>4</v>
      </c>
      <c r="AD365">
        <f>COUNTIF(סקר!$AT$11:$AT$880,P365)</f>
        <v>0</v>
      </c>
      <c r="AF365">
        <f t="shared" si="29"/>
        <v>0</v>
      </c>
    </row>
    <row r="366" spans="16:32" ht="14.25">
      <c r="P366" s="168" t="s">
        <v>1040</v>
      </c>
      <c r="Q366" s="168" t="s">
        <v>1258</v>
      </c>
      <c r="R366" s="174">
        <v>0.56999999999999995</v>
      </c>
      <c r="S366" s="174">
        <v>0.56999999999999995</v>
      </c>
      <c r="U366" s="160" t="str">
        <f t="shared" si="28"/>
        <v>ערער הגלעין</v>
      </c>
      <c r="V366" s="178">
        <v>4</v>
      </c>
      <c r="AD366">
        <f>COUNTIF(סקר!$AT$11:$AT$880,P366)</f>
        <v>0</v>
      </c>
      <c r="AF366">
        <f t="shared" si="29"/>
        <v>0</v>
      </c>
    </row>
    <row r="367" spans="16:32" ht="14.25">
      <c r="P367" s="168" t="s">
        <v>1041</v>
      </c>
      <c r="Q367" s="168" t="s">
        <v>1259</v>
      </c>
      <c r="R367" s="174">
        <v>0.5</v>
      </c>
      <c r="S367" s="174">
        <v>0.5</v>
      </c>
      <c r="U367" s="160" t="str">
        <f t="shared" si="28"/>
        <v>ערער המצוקים</v>
      </c>
      <c r="V367" s="178">
        <v>4</v>
      </c>
      <c r="AD367">
        <f>COUNTIF(סקר!$AT$11:$AT$880,P367)</f>
        <v>0</v>
      </c>
      <c r="AF367">
        <f t="shared" si="29"/>
        <v>0</v>
      </c>
    </row>
    <row r="368" spans="16:32" ht="14.25">
      <c r="P368" s="168" t="s">
        <v>1042</v>
      </c>
      <c r="Q368" s="168" t="s">
        <v>1260</v>
      </c>
      <c r="R368" s="174">
        <v>0.5</v>
      </c>
      <c r="S368" s="174">
        <v>0.5</v>
      </c>
      <c r="U368" s="160" t="str">
        <f t="shared" si="28"/>
        <v>ערער וירגיני</v>
      </c>
      <c r="V368" s="181">
        <v>4</v>
      </c>
      <c r="AD368">
        <f>COUNTIF(סקר!$AT$11:$AT$880,P368)</f>
        <v>0</v>
      </c>
      <c r="AF368">
        <f t="shared" si="29"/>
        <v>0</v>
      </c>
    </row>
    <row r="369" spans="16:32" ht="14.25">
      <c r="P369" s="168" t="s">
        <v>1043</v>
      </c>
      <c r="Q369" s="168" t="s">
        <v>1261</v>
      </c>
      <c r="R369" s="174">
        <v>0.52</v>
      </c>
      <c r="S369" s="174">
        <v>0.52</v>
      </c>
      <c r="U369" s="160" t="str">
        <f t="shared" si="28"/>
        <v>ערער חד-זרעי</v>
      </c>
      <c r="V369" s="181">
        <v>4</v>
      </c>
      <c r="AD369">
        <f>COUNTIF(סקר!$AT$11:$AT$880,P369)</f>
        <v>0</v>
      </c>
      <c r="AF369">
        <f t="shared" si="29"/>
        <v>0</v>
      </c>
    </row>
    <row r="370" spans="16:32" ht="14.25">
      <c r="P370" s="168" t="s">
        <v>1044</v>
      </c>
      <c r="Q370" s="168" t="s">
        <v>1262</v>
      </c>
      <c r="R370" s="174">
        <v>0.54</v>
      </c>
      <c r="S370" s="174">
        <v>0.54</v>
      </c>
      <c r="U370" s="160" t="str">
        <f t="shared" ref="U370:U433" si="30">P370</f>
        <v>ערער לוקייני</v>
      </c>
      <c r="V370" s="178">
        <v>4</v>
      </c>
      <c r="AD370">
        <f>COUNTIF(סקר!$AT$11:$AT$880,P370)</f>
        <v>0</v>
      </c>
      <c r="AF370">
        <f t="shared" ref="AF370:AF433" si="31">IF(AD370&gt;0,U370,0)</f>
        <v>0</v>
      </c>
    </row>
    <row r="371" spans="16:32" ht="14.25">
      <c r="P371" s="168" t="s">
        <v>1045</v>
      </c>
      <c r="Q371" s="168" t="s">
        <v>1263</v>
      </c>
      <c r="R371" s="174">
        <v>0.57999999999999996</v>
      </c>
      <c r="S371" s="174">
        <v>0.57999999999999996</v>
      </c>
      <c r="U371" s="160" t="str">
        <f t="shared" si="30"/>
        <v>ערער מצוי</v>
      </c>
      <c r="V371" s="181">
        <v>4</v>
      </c>
      <c r="AD371">
        <f>COUNTIF(סקר!$AT$11:$AT$880,P371)</f>
        <v>0</v>
      </c>
      <c r="AF371">
        <f t="shared" si="31"/>
        <v>0</v>
      </c>
    </row>
    <row r="372" spans="16:32" ht="14.25">
      <c r="P372" s="168" t="s">
        <v>1046</v>
      </c>
      <c r="Q372" s="168" t="s">
        <v>1264</v>
      </c>
      <c r="R372" s="174">
        <v>0.52</v>
      </c>
      <c r="S372" s="174">
        <v>0.52</v>
      </c>
      <c r="U372" s="160" t="str">
        <f t="shared" si="30"/>
        <v>ערער סיני</v>
      </c>
      <c r="V372" s="181">
        <v>3.5</v>
      </c>
      <c r="AD372">
        <f>COUNTIF(סקר!$AT$11:$AT$880,P372)</f>
        <v>0</v>
      </c>
      <c r="AF372">
        <f t="shared" si="31"/>
        <v>0</v>
      </c>
    </row>
    <row r="373" spans="16:32" ht="14.25">
      <c r="P373" s="168" t="s">
        <v>1047</v>
      </c>
      <c r="Q373" s="168" t="s">
        <v>1265</v>
      </c>
      <c r="R373" s="174">
        <v>0.55000000000000004</v>
      </c>
      <c r="S373" s="174">
        <v>0.55000000000000004</v>
      </c>
      <c r="U373" s="160" t="str">
        <f t="shared" si="30"/>
        <v>ערער ספרדי</v>
      </c>
      <c r="V373" s="178">
        <v>4</v>
      </c>
      <c r="AD373">
        <f>COUNTIF(סקר!$AT$11:$AT$880,P373)</f>
        <v>0</v>
      </c>
      <c r="AF373">
        <f t="shared" si="31"/>
        <v>0</v>
      </c>
    </row>
    <row r="374" spans="16:32" ht="14.25">
      <c r="P374" s="168" t="s">
        <v>1048</v>
      </c>
      <c r="Q374" s="168" t="s">
        <v>1266</v>
      </c>
      <c r="R374" s="174">
        <v>0.5</v>
      </c>
      <c r="S374" s="174">
        <v>0.5</v>
      </c>
      <c r="U374" s="160" t="str">
        <f t="shared" si="30"/>
        <v>ערער רד-פנסיל</v>
      </c>
      <c r="V374" s="178">
        <v>4</v>
      </c>
      <c r="AD374">
        <f>COUNTIF(סקר!$AT$11:$AT$880,P374)</f>
        <v>0</v>
      </c>
      <c r="AF374">
        <f t="shared" si="31"/>
        <v>0</v>
      </c>
    </row>
    <row r="375" spans="16:32" ht="14.25">
      <c r="P375" s="167" t="s">
        <v>398</v>
      </c>
      <c r="Q375" s="169" t="s">
        <v>399</v>
      </c>
      <c r="R375" s="174">
        <v>0.72</v>
      </c>
      <c r="S375" s="174">
        <v>0.72</v>
      </c>
      <c r="U375" s="160" t="str">
        <f t="shared" si="30"/>
        <v>ערער רם</v>
      </c>
      <c r="V375" s="179">
        <v>4</v>
      </c>
      <c r="AD375">
        <f>COUNTIF(סקר!$AT$11:$AT$880,P375)</f>
        <v>0</v>
      </c>
      <c r="AF375">
        <f t="shared" si="31"/>
        <v>0</v>
      </c>
    </row>
    <row r="376" spans="16:32" ht="14.25">
      <c r="P376" s="167" t="s">
        <v>400</v>
      </c>
      <c r="Q376" s="169" t="s">
        <v>401</v>
      </c>
      <c r="R376" s="174">
        <v>0.72</v>
      </c>
      <c r="S376" s="174">
        <v>0.72</v>
      </c>
      <c r="U376" s="160" t="str">
        <f t="shared" si="30"/>
        <v>פארון הכף</v>
      </c>
      <c r="V376" s="179">
        <v>4</v>
      </c>
      <c r="AD376">
        <f>COUNTIF(סקר!$AT$11:$AT$880,P376)</f>
        <v>0</v>
      </c>
      <c r="AF376">
        <f t="shared" si="31"/>
        <v>0</v>
      </c>
    </row>
    <row r="377" spans="16:32" ht="14.25">
      <c r="P377" s="167" t="s">
        <v>402</v>
      </c>
      <c r="Q377" s="169" t="s">
        <v>1267</v>
      </c>
      <c r="R377" s="174">
        <v>0.75</v>
      </c>
      <c r="S377" s="174">
        <v>0.75</v>
      </c>
      <c r="U377" s="160" t="str">
        <f t="shared" si="30"/>
        <v>פודוקרפוס גדול-עלים</v>
      </c>
      <c r="V377" s="180">
        <v>4</v>
      </c>
      <c r="AD377">
        <f>COUNTIF(סקר!$AT$11:$AT$880,P377)</f>
        <v>0</v>
      </c>
      <c r="AF377">
        <f t="shared" si="31"/>
        <v>0</v>
      </c>
    </row>
    <row r="378" spans="16:32" ht="14.25">
      <c r="P378" s="167" t="s">
        <v>404</v>
      </c>
      <c r="Q378" s="169" t="s">
        <v>405</v>
      </c>
      <c r="R378" s="174">
        <v>0.75</v>
      </c>
      <c r="S378" s="174">
        <v>0.75</v>
      </c>
      <c r="U378" s="160" t="str">
        <f t="shared" si="30"/>
        <v>פודוקרפוס מגלי</v>
      </c>
      <c r="V378" s="179">
        <v>4</v>
      </c>
      <c r="AD378">
        <f>COUNTIF(סקר!$AT$11:$AT$880,P378)</f>
        <v>0</v>
      </c>
      <c r="AF378">
        <f t="shared" si="31"/>
        <v>0</v>
      </c>
    </row>
    <row r="379" spans="16:32" ht="14.25">
      <c r="P379" s="167" t="s">
        <v>406</v>
      </c>
      <c r="Q379" s="169" t="s">
        <v>407</v>
      </c>
      <c r="R379" s="174">
        <v>0.41</v>
      </c>
      <c r="S379" s="174">
        <v>0.41</v>
      </c>
      <c r="U379" s="160" t="str">
        <f t="shared" si="30"/>
        <v>פולובניית פרוטון</v>
      </c>
      <c r="V379" s="179">
        <v>2</v>
      </c>
      <c r="AD379">
        <f>COUNTIF(סקר!$AT$11:$AT$880,P379)</f>
        <v>0</v>
      </c>
      <c r="AF379">
        <f t="shared" si="31"/>
        <v>0</v>
      </c>
    </row>
    <row r="380" spans="16:32" ht="14.25">
      <c r="P380" s="167" t="s">
        <v>408</v>
      </c>
      <c r="Q380" s="169" t="s">
        <v>409</v>
      </c>
      <c r="R380" s="174">
        <v>0.55000000000000004</v>
      </c>
      <c r="S380" s="174">
        <v>0.55000000000000004</v>
      </c>
      <c r="U380" s="160" t="str">
        <f t="shared" si="30"/>
        <v>פונגמיה מנוצה</v>
      </c>
      <c r="V380" s="179">
        <v>3</v>
      </c>
      <c r="AD380">
        <f>COUNTIF(סקר!$AT$11:$AT$880,P380)</f>
        <v>0</v>
      </c>
      <c r="AF380">
        <f t="shared" si="31"/>
        <v>0</v>
      </c>
    </row>
    <row r="381" spans="16:32" ht="14.25">
      <c r="P381" s="167" t="s">
        <v>410</v>
      </c>
      <c r="Q381" s="169" t="s">
        <v>411</v>
      </c>
      <c r="R381" s="174">
        <v>0.57999999999999996</v>
      </c>
      <c r="S381" s="174">
        <v>0.57999999999999996</v>
      </c>
      <c r="U381" s="160" t="str">
        <f t="shared" si="30"/>
        <v>פטרוקריה מיילנית</v>
      </c>
      <c r="V381" s="179">
        <v>3</v>
      </c>
      <c r="AD381">
        <f>COUNTIF(סקר!$AT$11:$AT$880,P381)</f>
        <v>0</v>
      </c>
      <c r="AF381">
        <f t="shared" si="31"/>
        <v>0</v>
      </c>
    </row>
    <row r="382" spans="16:32" ht="14.25">
      <c r="P382" s="167" t="s">
        <v>195</v>
      </c>
      <c r="Q382" s="169" t="s">
        <v>692</v>
      </c>
      <c r="R382" s="174">
        <v>0.62</v>
      </c>
      <c r="S382" s="174">
        <v>0.62</v>
      </c>
      <c r="U382" s="160" t="str">
        <f t="shared" si="30"/>
        <v>פיג'ואה תרבותית</v>
      </c>
      <c r="V382" s="179">
        <v>3</v>
      </c>
      <c r="AD382">
        <f>COUNTIF(סקר!$AT$11:$AT$880,P382)</f>
        <v>0</v>
      </c>
      <c r="AF382">
        <f t="shared" si="31"/>
        <v>0</v>
      </c>
    </row>
    <row r="383" spans="16:32" ht="14.25">
      <c r="P383" s="167" t="s">
        <v>412</v>
      </c>
      <c r="Q383" s="169" t="s">
        <v>413</v>
      </c>
      <c r="R383" s="174">
        <v>0.75</v>
      </c>
      <c r="S383" s="174">
        <v>0.75</v>
      </c>
      <c r="U383" s="160" t="str">
        <f t="shared" si="30"/>
        <v>פיטולקה דו-ביתית</v>
      </c>
      <c r="V383" s="179">
        <v>4</v>
      </c>
      <c r="AD383">
        <f>COUNTIF(סקר!$AT$11:$AT$880,P383)</f>
        <v>0</v>
      </c>
      <c r="AF383">
        <f t="shared" si="31"/>
        <v>0</v>
      </c>
    </row>
    <row r="384" spans="16:32" ht="14.25">
      <c r="P384" s="167" t="s">
        <v>197</v>
      </c>
      <c r="Q384" s="169" t="s">
        <v>414</v>
      </c>
      <c r="R384" s="174">
        <v>0.78</v>
      </c>
      <c r="S384" s="174">
        <v>0.78</v>
      </c>
      <c r="U384" s="160" t="str">
        <f t="shared" si="30"/>
        <v>פיטוספורום גלוני</v>
      </c>
      <c r="V384" s="179">
        <v>4</v>
      </c>
      <c r="AD384">
        <f>COUNTIF(סקר!$AT$11:$AT$880,P384)</f>
        <v>0</v>
      </c>
      <c r="AF384">
        <f t="shared" si="31"/>
        <v>0</v>
      </c>
    </row>
    <row r="385" spans="16:32" ht="14.25">
      <c r="P385" s="167" t="s">
        <v>599</v>
      </c>
      <c r="Q385" s="169" t="s">
        <v>693</v>
      </c>
      <c r="R385" s="174">
        <v>0.7</v>
      </c>
      <c r="S385" s="174">
        <v>0.7</v>
      </c>
      <c r="U385" s="160" t="str">
        <f t="shared" si="30"/>
        <v>פיטוספורום יפני</v>
      </c>
      <c r="V385" s="179">
        <v>4</v>
      </c>
      <c r="AD385">
        <f>COUNTIF(סקר!$AT$11:$AT$880,P385)</f>
        <v>0</v>
      </c>
      <c r="AF385">
        <f t="shared" si="31"/>
        <v>0</v>
      </c>
    </row>
    <row r="386" spans="16:32" ht="14.25">
      <c r="P386" s="167" t="s">
        <v>415</v>
      </c>
      <c r="Q386" s="169" t="s">
        <v>416</v>
      </c>
      <c r="R386" s="174">
        <v>0.56999999999999995</v>
      </c>
      <c r="S386" s="174">
        <v>0.56999999999999995</v>
      </c>
      <c r="U386" s="160" t="str">
        <f t="shared" si="30"/>
        <v>פיקוס אוזני</v>
      </c>
      <c r="V386" s="179">
        <v>3</v>
      </c>
      <c r="AD386">
        <f>COUNTIF(סקר!$AT$11:$AT$880,P386)</f>
        <v>0</v>
      </c>
      <c r="AF386">
        <f t="shared" si="31"/>
        <v>0</v>
      </c>
    </row>
    <row r="387" spans="16:32" ht="14.25">
      <c r="P387" s="167" t="s">
        <v>198</v>
      </c>
      <c r="Q387" s="169" t="s">
        <v>417</v>
      </c>
      <c r="R387" s="174">
        <v>0.71</v>
      </c>
      <c r="S387" s="174">
        <v>0.71</v>
      </c>
      <c r="U387" s="160" t="str">
        <f t="shared" si="30"/>
        <v>פיקוס בנגלי</v>
      </c>
      <c r="V387" s="180">
        <v>4</v>
      </c>
      <c r="AD387">
        <f>COUNTIF(סקר!$AT$11:$AT$880,P387)</f>
        <v>0</v>
      </c>
      <c r="AF387">
        <f t="shared" si="31"/>
        <v>0</v>
      </c>
    </row>
    <row r="388" spans="16:32" ht="14.25">
      <c r="P388" s="167" t="s">
        <v>199</v>
      </c>
      <c r="Q388" s="169" t="s">
        <v>200</v>
      </c>
      <c r="R388" s="174">
        <v>0.6</v>
      </c>
      <c r="S388" s="174">
        <v>0.6</v>
      </c>
      <c r="U388" s="160" t="str">
        <f t="shared" si="30"/>
        <v>פיקוס בנימינה</v>
      </c>
      <c r="V388" s="179">
        <v>3</v>
      </c>
      <c r="AD388">
        <f>COUNTIF(סקר!$AT$11:$AT$880,P388)</f>
        <v>0</v>
      </c>
      <c r="AF388">
        <f t="shared" si="31"/>
        <v>0</v>
      </c>
    </row>
    <row r="389" spans="16:32" ht="14.25">
      <c r="P389" s="168" t="s">
        <v>1049</v>
      </c>
      <c r="Q389" s="168" t="s">
        <v>1268</v>
      </c>
      <c r="R389" s="174">
        <v>0.72</v>
      </c>
      <c r="S389" s="174">
        <v>0.72</v>
      </c>
      <c r="U389" s="160" t="str">
        <f t="shared" si="30"/>
        <v>פיקוס בת-שקמה</v>
      </c>
      <c r="V389" s="178">
        <v>4</v>
      </c>
      <c r="AD389">
        <f>COUNTIF(סקר!$AT$11:$AT$880,P389)</f>
        <v>0</v>
      </c>
      <c r="AF389">
        <f t="shared" si="31"/>
        <v>0</v>
      </c>
    </row>
    <row r="390" spans="16:32" ht="14.25">
      <c r="P390" s="167" t="s">
        <v>201</v>
      </c>
      <c r="Q390" s="169" t="s">
        <v>418</v>
      </c>
      <c r="R390" s="174">
        <v>0.65</v>
      </c>
      <c r="S390" s="174">
        <v>0.65</v>
      </c>
      <c r="U390" s="160" t="str">
        <f t="shared" si="30"/>
        <v>פיקוס הגומי</v>
      </c>
      <c r="V390" s="179">
        <v>3</v>
      </c>
      <c r="AD390">
        <f>COUNTIF(סקר!$AT$11:$AT$880,P390)</f>
        <v>0</v>
      </c>
      <c r="AF390">
        <f t="shared" si="31"/>
        <v>0</v>
      </c>
    </row>
    <row r="391" spans="16:32" ht="14.25">
      <c r="P391" s="167" t="s">
        <v>202</v>
      </c>
      <c r="Q391" s="169" t="s">
        <v>1269</v>
      </c>
      <c r="R391" s="174">
        <v>0.73</v>
      </c>
      <c r="S391" s="174">
        <v>0.73</v>
      </c>
      <c r="U391" s="160" t="str">
        <f t="shared" si="30"/>
        <v>פיקוס השדרות</v>
      </c>
      <c r="V391" s="179">
        <v>4</v>
      </c>
      <c r="AD391">
        <f>COUNTIF(סקר!$AT$11:$AT$880,P391)</f>
        <v>0</v>
      </c>
      <c r="AF391">
        <f t="shared" si="31"/>
        <v>0</v>
      </c>
    </row>
    <row r="392" spans="16:32" ht="14.25">
      <c r="P392" s="167" t="s">
        <v>600</v>
      </c>
      <c r="Q392" s="169" t="s">
        <v>205</v>
      </c>
      <c r="R392" s="174">
        <v>0.85</v>
      </c>
      <c r="S392" s="174">
        <v>0.85</v>
      </c>
      <c r="U392" s="160" t="str">
        <f t="shared" si="30"/>
        <v xml:space="preserve">פיקוס השקמה </v>
      </c>
      <c r="V392" s="179">
        <v>4</v>
      </c>
      <c r="AD392">
        <f>COUNTIF(סקר!$AT$11:$AT$880,P392)</f>
        <v>0</v>
      </c>
      <c r="AF392">
        <f t="shared" si="31"/>
        <v>0</v>
      </c>
    </row>
    <row r="393" spans="16:32" ht="14.25">
      <c r="P393" s="167" t="s">
        <v>206</v>
      </c>
      <c r="Q393" s="169" t="s">
        <v>420</v>
      </c>
      <c r="R393" s="174">
        <v>0.68</v>
      </c>
      <c r="S393" s="174">
        <v>0.68</v>
      </c>
      <c r="U393" s="160" t="str">
        <f t="shared" si="30"/>
        <v>פיקוס התאנה</v>
      </c>
      <c r="V393" s="179">
        <v>3</v>
      </c>
      <c r="AD393">
        <f>COUNTIF(סקר!$AT$11:$AT$880,P393)</f>
        <v>0</v>
      </c>
      <c r="AF393">
        <f t="shared" si="31"/>
        <v>0</v>
      </c>
    </row>
    <row r="394" spans="16:32" ht="14.25">
      <c r="P394" s="167" t="s">
        <v>208</v>
      </c>
      <c r="Q394" s="169" t="s">
        <v>209</v>
      </c>
      <c r="R394" s="174">
        <v>0.68</v>
      </c>
      <c r="S394" s="174">
        <v>0.68</v>
      </c>
      <c r="U394" s="160" t="str">
        <f t="shared" si="30"/>
        <v>פיקוס חלוד</v>
      </c>
      <c r="V394" s="179">
        <v>3</v>
      </c>
      <c r="AD394">
        <f>COUNTIF(סקר!$AT$11:$AT$880,P394)</f>
        <v>0</v>
      </c>
      <c r="AF394">
        <f t="shared" si="31"/>
        <v>0</v>
      </c>
    </row>
    <row r="395" spans="16:32" ht="14.25">
      <c r="P395" s="167" t="s">
        <v>421</v>
      </c>
      <c r="Q395" s="169" t="s">
        <v>422</v>
      </c>
      <c r="R395" s="174">
        <v>0.59</v>
      </c>
      <c r="S395" s="174">
        <v>0.59</v>
      </c>
      <c r="U395" s="160" t="str">
        <f t="shared" si="30"/>
        <v>פיקוס כינורי</v>
      </c>
      <c r="V395" s="179">
        <v>3</v>
      </c>
      <c r="AD395">
        <f>COUNTIF(סקר!$AT$11:$AT$880,P395)</f>
        <v>0</v>
      </c>
      <c r="AF395">
        <f t="shared" si="31"/>
        <v>0</v>
      </c>
    </row>
    <row r="396" spans="16:32" ht="14.25">
      <c r="P396" s="167" t="s">
        <v>210</v>
      </c>
      <c r="Q396" s="169" t="s">
        <v>423</v>
      </c>
      <c r="R396" s="174">
        <v>0.77</v>
      </c>
      <c r="S396" s="174">
        <v>0.77</v>
      </c>
      <c r="U396" s="160" t="str">
        <f t="shared" si="30"/>
        <v>פיקוס מעוקם</v>
      </c>
      <c r="V396" s="179">
        <v>4</v>
      </c>
      <c r="AD396">
        <f>COUNTIF(סקר!$AT$11:$AT$880,P396)</f>
        <v>0</v>
      </c>
      <c r="AF396">
        <f t="shared" si="31"/>
        <v>0</v>
      </c>
    </row>
    <row r="397" spans="16:32" ht="14.25">
      <c r="P397" s="167" t="s">
        <v>424</v>
      </c>
      <c r="Q397" s="169" t="s">
        <v>425</v>
      </c>
      <c r="R397" s="174">
        <v>0.57999999999999996</v>
      </c>
      <c r="S397" s="174">
        <v>0.57999999999999996</v>
      </c>
      <c r="U397" s="160" t="str">
        <f t="shared" si="30"/>
        <v>פיקוס צר-עלים</v>
      </c>
      <c r="V397" s="179">
        <v>3</v>
      </c>
      <c r="AD397">
        <f>COUNTIF(סקר!$AT$11:$AT$880,P397)</f>
        <v>0</v>
      </c>
      <c r="AF397">
        <f t="shared" si="31"/>
        <v>0</v>
      </c>
    </row>
    <row r="398" spans="16:32" ht="14.25">
      <c r="P398" s="167" t="s">
        <v>601</v>
      </c>
      <c r="Q398" s="169" t="s">
        <v>215</v>
      </c>
      <c r="R398" s="174">
        <v>0.59</v>
      </c>
      <c r="S398" s="174">
        <v>0.59</v>
      </c>
      <c r="U398" s="160" t="str">
        <f t="shared" si="30"/>
        <v>פיקוס קדוש</v>
      </c>
      <c r="V398" s="179">
        <v>3</v>
      </c>
      <c r="AD398">
        <f>COUNTIF(סקר!$AT$11:$AT$880,P398)</f>
        <v>0</v>
      </c>
      <c r="AF398">
        <f t="shared" si="31"/>
        <v>0</v>
      </c>
    </row>
    <row r="399" spans="16:32" ht="14.25">
      <c r="P399" s="167" t="s">
        <v>426</v>
      </c>
      <c r="Q399" s="169" t="s">
        <v>1270</v>
      </c>
      <c r="R399" s="174">
        <v>0.71</v>
      </c>
      <c r="S399" s="174">
        <v>0.71</v>
      </c>
      <c r="U399" s="160" t="str">
        <f t="shared" si="30"/>
        <v>פירמיאנה פשוטה</v>
      </c>
      <c r="V399" s="179">
        <v>4</v>
      </c>
      <c r="AD399">
        <f>COUNTIF(סקר!$AT$11:$AT$880,P399)</f>
        <v>0</v>
      </c>
      <c r="AF399">
        <f t="shared" si="31"/>
        <v>0</v>
      </c>
    </row>
    <row r="400" spans="16:32" ht="14.25">
      <c r="P400" s="167" t="s">
        <v>216</v>
      </c>
      <c r="Q400" s="169" t="s">
        <v>428</v>
      </c>
      <c r="R400" s="174">
        <v>0.66</v>
      </c>
      <c r="S400" s="174">
        <v>0.66</v>
      </c>
      <c r="U400" s="160" t="str">
        <f t="shared" si="30"/>
        <v>פלומריה ריחנית</v>
      </c>
      <c r="V400" s="180">
        <v>3</v>
      </c>
      <c r="AD400">
        <f>COUNTIF(סקר!$AT$11:$AT$880,P400)</f>
        <v>0</v>
      </c>
      <c r="AF400">
        <f t="shared" si="31"/>
        <v>0</v>
      </c>
    </row>
    <row r="401" spans="16:32" ht="14.25">
      <c r="P401" s="167" t="s">
        <v>217</v>
      </c>
      <c r="Q401" s="169" t="s">
        <v>218</v>
      </c>
      <c r="R401" s="174">
        <v>0.5</v>
      </c>
      <c r="S401" s="174">
        <v>0.5</v>
      </c>
      <c r="U401" s="160" t="str">
        <f t="shared" si="30"/>
        <v>פלפלון בכות</v>
      </c>
      <c r="V401" s="180">
        <v>3</v>
      </c>
      <c r="AD401">
        <f>COUNTIF(סקר!$AT$11:$AT$880,P401)</f>
        <v>0</v>
      </c>
      <c r="AF401">
        <f t="shared" si="31"/>
        <v>0</v>
      </c>
    </row>
    <row r="402" spans="16:32" ht="14.25">
      <c r="P402" s="167" t="s">
        <v>602</v>
      </c>
      <c r="Q402" s="169" t="s">
        <v>429</v>
      </c>
      <c r="R402" s="174">
        <v>0.41</v>
      </c>
      <c r="S402" s="174">
        <v>0.41</v>
      </c>
      <c r="U402" s="160" t="str">
        <f t="shared" si="30"/>
        <v>פלפלון דמוי-אלה</v>
      </c>
      <c r="V402" s="180">
        <v>2</v>
      </c>
      <c r="AD402">
        <f>COUNTIF(סקר!$AT$11:$AT$880,P402)</f>
        <v>0</v>
      </c>
      <c r="AF402">
        <f t="shared" si="31"/>
        <v>0</v>
      </c>
    </row>
    <row r="403" spans="16:32" ht="14.25">
      <c r="P403" s="167" t="s">
        <v>430</v>
      </c>
      <c r="Q403" s="169" t="s">
        <v>431</v>
      </c>
      <c r="R403" s="174">
        <v>0.69</v>
      </c>
      <c r="S403" s="174">
        <v>0.69</v>
      </c>
      <c r="U403" s="160" t="str">
        <f t="shared" si="30"/>
        <v>פנסית דו-נוצתית</v>
      </c>
      <c r="V403" s="179">
        <v>3</v>
      </c>
      <c r="AD403">
        <f>COUNTIF(סקר!$AT$11:$AT$880,P403)</f>
        <v>0</v>
      </c>
      <c r="AF403">
        <f t="shared" si="31"/>
        <v>0</v>
      </c>
    </row>
    <row r="404" spans="16:32" ht="14.25">
      <c r="P404" s="167" t="s">
        <v>432</v>
      </c>
      <c r="Q404" s="169" t="s">
        <v>433</v>
      </c>
      <c r="R404" s="174">
        <v>0.6</v>
      </c>
      <c r="S404" s="174">
        <v>0.6</v>
      </c>
      <c r="U404" s="160" t="str">
        <f t="shared" si="30"/>
        <v>פנסית מכבדית</v>
      </c>
      <c r="V404" s="179">
        <v>3</v>
      </c>
      <c r="AD404">
        <f>COUNTIF(סקר!$AT$11:$AT$880,P404)</f>
        <v>0</v>
      </c>
      <c r="AF404">
        <f t="shared" si="31"/>
        <v>0</v>
      </c>
    </row>
    <row r="405" spans="16:32" ht="14.25">
      <c r="P405" s="167" t="s">
        <v>603</v>
      </c>
      <c r="Q405" s="169" t="s">
        <v>695</v>
      </c>
      <c r="R405" s="174">
        <v>0.35</v>
      </c>
      <c r="S405" s="174">
        <v>0.35</v>
      </c>
      <c r="U405" s="160" t="str">
        <f t="shared" si="30"/>
        <v>פפיה מצויה</v>
      </c>
      <c r="V405" s="179">
        <v>2</v>
      </c>
      <c r="AD405">
        <f>COUNTIF(סקר!$AT$11:$AT$880,P405)</f>
        <v>0</v>
      </c>
      <c r="AF405">
        <f t="shared" si="31"/>
        <v>0</v>
      </c>
    </row>
    <row r="406" spans="16:32" ht="14.25">
      <c r="P406" s="167" t="s">
        <v>604</v>
      </c>
      <c r="Q406" s="169" t="s">
        <v>696</v>
      </c>
      <c r="R406" s="174">
        <v>0</v>
      </c>
      <c r="S406" s="174">
        <v>0</v>
      </c>
      <c r="U406" s="160" t="str">
        <f t="shared" si="30"/>
        <v>פרקינסוניה שיכנית</v>
      </c>
      <c r="V406" s="179">
        <v>0</v>
      </c>
      <c r="AD406">
        <f>COUNTIF(סקר!$AT$11:$AT$880,P406)</f>
        <v>0</v>
      </c>
      <c r="AF406">
        <f t="shared" si="31"/>
        <v>0</v>
      </c>
    </row>
    <row r="407" spans="16:32" ht="14.25">
      <c r="P407" s="167" t="s">
        <v>223</v>
      </c>
      <c r="Q407" s="169" t="s">
        <v>434</v>
      </c>
      <c r="R407" s="174">
        <v>0.79</v>
      </c>
      <c r="S407" s="174">
        <v>0.79</v>
      </c>
      <c r="U407" s="160" t="str">
        <f t="shared" si="30"/>
        <v>צאלון נאה</v>
      </c>
      <c r="V407" s="180">
        <v>4</v>
      </c>
      <c r="AD407">
        <f>COUNTIF(סקר!$AT$11:$AT$880,P407)</f>
        <v>0</v>
      </c>
      <c r="AF407">
        <f t="shared" si="31"/>
        <v>0</v>
      </c>
    </row>
    <row r="408" spans="16:32" ht="14.25">
      <c r="P408" s="167" t="s">
        <v>605</v>
      </c>
      <c r="Q408" s="169" t="s">
        <v>697</v>
      </c>
      <c r="R408" s="174">
        <v>0</v>
      </c>
      <c r="S408" s="174">
        <v>0</v>
      </c>
      <c r="U408" s="160" t="str">
        <f t="shared" si="30"/>
        <v>צחר כחלחל</v>
      </c>
      <c r="V408" s="179">
        <v>0</v>
      </c>
      <c r="AD408">
        <f>COUNTIF(סקר!$AT$11:$AT$880,P408)</f>
        <v>0</v>
      </c>
      <c r="AF408">
        <f t="shared" si="31"/>
        <v>0</v>
      </c>
    </row>
    <row r="409" spans="16:32" ht="14.25">
      <c r="P409" s="167" t="s">
        <v>606</v>
      </c>
      <c r="Q409" s="169" t="s">
        <v>698</v>
      </c>
      <c r="R409" s="174">
        <v>0.78</v>
      </c>
      <c r="S409" s="174">
        <v>0.78</v>
      </c>
      <c r="U409" s="160" t="str">
        <f t="shared" si="30"/>
        <v>צייבה מחומשת</v>
      </c>
      <c r="V409" s="179">
        <v>4</v>
      </c>
      <c r="AD409">
        <f>COUNTIF(סקר!$AT$11:$AT$880,P409)</f>
        <v>0</v>
      </c>
      <c r="AF409">
        <f t="shared" si="31"/>
        <v>0</v>
      </c>
    </row>
    <row r="410" spans="16:32" ht="14.25">
      <c r="P410" s="167" t="s">
        <v>607</v>
      </c>
      <c r="Q410" s="169" t="s">
        <v>699</v>
      </c>
      <c r="R410" s="174">
        <v>0.63</v>
      </c>
      <c r="S410" s="174">
        <v>0.63</v>
      </c>
      <c r="U410" s="160" t="str">
        <f t="shared" si="30"/>
        <v>צינית מקרינה</v>
      </c>
      <c r="V410" s="179">
        <v>3</v>
      </c>
      <c r="AD410">
        <f>COUNTIF(סקר!$AT$11:$AT$880,P410)</f>
        <v>0</v>
      </c>
      <c r="AF410">
        <f t="shared" si="31"/>
        <v>0</v>
      </c>
    </row>
    <row r="411" spans="16:32" ht="14.25">
      <c r="P411" s="168" t="s">
        <v>1050</v>
      </c>
      <c r="Q411" s="168" t="s">
        <v>1271</v>
      </c>
      <c r="R411" s="174">
        <v>0.45</v>
      </c>
      <c r="S411" s="174">
        <v>0.45</v>
      </c>
      <c r="U411" s="160" t="str">
        <f t="shared" si="30"/>
        <v>צינית קרולינית וויל פלמינג</v>
      </c>
      <c r="V411" s="178">
        <v>2</v>
      </c>
      <c r="AD411">
        <f>COUNTIF(סקר!$AT$11:$AT$880,P411)</f>
        <v>0</v>
      </c>
      <c r="AF411">
        <f t="shared" si="31"/>
        <v>0</v>
      </c>
    </row>
    <row r="412" spans="16:32" ht="14.25">
      <c r="P412" s="168" t="s">
        <v>1051</v>
      </c>
      <c r="Q412" s="168" t="s">
        <v>1272</v>
      </c>
      <c r="R412" s="174">
        <v>0.44</v>
      </c>
      <c r="S412" s="174">
        <v>0.44</v>
      </c>
      <c r="U412" s="160" t="str">
        <f t="shared" si="30"/>
        <v>צינית קרולינית פריד אוף יוסטון</v>
      </c>
      <c r="V412" s="178">
        <v>2</v>
      </c>
      <c r="AD412">
        <f>COUNTIF(סקר!$AT$11:$AT$880,P412)</f>
        <v>0</v>
      </c>
      <c r="AF412">
        <f t="shared" si="31"/>
        <v>0</v>
      </c>
    </row>
    <row r="413" spans="16:32" ht="14.25">
      <c r="P413" s="168" t="s">
        <v>1052</v>
      </c>
      <c r="Q413" s="168" t="s">
        <v>1273</v>
      </c>
      <c r="R413" s="174">
        <v>0.2</v>
      </c>
      <c r="S413" s="174">
        <v>0.2</v>
      </c>
      <c r="U413" s="160" t="str">
        <f t="shared" si="30"/>
        <v>ציקס מופשל</v>
      </c>
      <c r="V413" s="178">
        <v>5</v>
      </c>
      <c r="AD413">
        <f>COUNTIF(סקר!$AT$11:$AT$880,P413)</f>
        <v>0</v>
      </c>
      <c r="AF413">
        <f t="shared" si="31"/>
        <v>0</v>
      </c>
    </row>
    <row r="414" spans="16:32" ht="14.25">
      <c r="P414" s="167" t="s">
        <v>226</v>
      </c>
      <c r="Q414" s="169" t="s">
        <v>227</v>
      </c>
      <c r="R414" s="174">
        <v>0.53</v>
      </c>
      <c r="S414" s="174">
        <v>0.53</v>
      </c>
      <c r="U414" s="160" t="str">
        <f t="shared" si="30"/>
        <v>צפצפה מכסיפה</v>
      </c>
      <c r="V414" s="179">
        <v>3</v>
      </c>
      <c r="AD414">
        <f>COUNTIF(סקר!$AT$11:$AT$880,P414)</f>
        <v>0</v>
      </c>
      <c r="AF414">
        <f t="shared" si="31"/>
        <v>0</v>
      </c>
    </row>
    <row r="415" spans="16:32" ht="14.25">
      <c r="P415" s="167" t="s">
        <v>435</v>
      </c>
      <c r="Q415" s="169" t="s">
        <v>436</v>
      </c>
      <c r="R415" s="174">
        <v>0.54</v>
      </c>
      <c r="S415" s="174">
        <v>0.54</v>
      </c>
      <c r="U415" s="160" t="str">
        <f t="shared" si="30"/>
        <v>צפצפה מקוצעת</v>
      </c>
      <c r="V415" s="179">
        <v>3</v>
      </c>
      <c r="AD415">
        <f>COUNTIF(סקר!$AT$11:$AT$880,P415)</f>
        <v>0</v>
      </c>
      <c r="AF415">
        <f t="shared" si="31"/>
        <v>0</v>
      </c>
    </row>
    <row r="416" spans="16:32" ht="14.25">
      <c r="P416" s="167" t="s">
        <v>1053</v>
      </c>
      <c r="Q416" s="169" t="s">
        <v>1274</v>
      </c>
      <c r="R416" s="174">
        <v>0.55000000000000004</v>
      </c>
      <c r="S416" s="174">
        <v>0.55000000000000004</v>
      </c>
      <c r="U416" s="160" t="str">
        <f t="shared" si="30"/>
        <v>צפצפה שחורה</v>
      </c>
      <c r="V416" s="179">
        <v>3</v>
      </c>
      <c r="AD416">
        <f>COUNTIF(סקר!$AT$11:$AT$880,P416)</f>
        <v>0</v>
      </c>
      <c r="AF416">
        <f t="shared" si="31"/>
        <v>0</v>
      </c>
    </row>
    <row r="417" spans="16:32" ht="14.25">
      <c r="P417" s="167" t="s">
        <v>439</v>
      </c>
      <c r="Q417" s="169" t="s">
        <v>440</v>
      </c>
      <c r="R417" s="174">
        <v>0.77</v>
      </c>
      <c r="S417" s="174">
        <v>0.77</v>
      </c>
      <c r="U417" s="160" t="str">
        <f t="shared" si="30"/>
        <v>צפצפת הפרת</v>
      </c>
      <c r="V417" s="179">
        <v>4</v>
      </c>
      <c r="AD417">
        <f>COUNTIF(סקר!$AT$11:$AT$880,P417)</f>
        <v>0</v>
      </c>
      <c r="AF417">
        <f t="shared" si="31"/>
        <v>0</v>
      </c>
    </row>
    <row r="418" spans="16:32" ht="14.25">
      <c r="P418" s="167" t="s">
        <v>608</v>
      </c>
      <c r="Q418" s="169" t="s">
        <v>700</v>
      </c>
      <c r="R418" s="174">
        <v>0.52</v>
      </c>
      <c r="S418" s="174">
        <v>0.52</v>
      </c>
      <c r="U418" s="160" t="str">
        <f t="shared" si="30"/>
        <v>קוטינוס מזרחי</v>
      </c>
      <c r="V418" s="179">
        <v>3</v>
      </c>
      <c r="AD418">
        <f>COUNTIF(סקר!$AT$11:$AT$880,P418)</f>
        <v>0</v>
      </c>
      <c r="AF418">
        <f t="shared" si="31"/>
        <v>0</v>
      </c>
    </row>
    <row r="419" spans="16:32" ht="14.25">
      <c r="P419" s="167" t="s">
        <v>609</v>
      </c>
      <c r="Q419" s="169" t="s">
        <v>701</v>
      </c>
      <c r="R419" s="174">
        <v>0.53</v>
      </c>
      <c r="S419" s="174">
        <v>0.53</v>
      </c>
      <c r="U419" s="160" t="str">
        <f t="shared" si="30"/>
        <v>קולווילאה אשכולית</v>
      </c>
      <c r="V419" s="179">
        <v>3</v>
      </c>
      <c r="AD419">
        <f>COUNTIF(סקר!$AT$11:$AT$880,P419)</f>
        <v>0</v>
      </c>
      <c r="AF419">
        <f t="shared" si="31"/>
        <v>0</v>
      </c>
    </row>
    <row r="420" spans="16:32" ht="14.25">
      <c r="P420" s="167" t="s">
        <v>610</v>
      </c>
      <c r="Q420" s="169" t="s">
        <v>702</v>
      </c>
      <c r="R420" s="174">
        <v>0.66</v>
      </c>
      <c r="S420" s="174">
        <v>0.66</v>
      </c>
      <c r="U420" s="160" t="str">
        <f t="shared" si="30"/>
        <v>קוסוניה משובלת</v>
      </c>
      <c r="V420" s="179">
        <v>3</v>
      </c>
      <c r="AD420">
        <f>COUNTIF(סקר!$AT$11:$AT$880,P420)</f>
        <v>0</v>
      </c>
      <c r="AF420">
        <f t="shared" si="31"/>
        <v>0</v>
      </c>
    </row>
    <row r="421" spans="16:32" ht="14.25">
      <c r="P421" s="167" t="s">
        <v>611</v>
      </c>
      <c r="Q421" s="169" t="s">
        <v>441</v>
      </c>
      <c r="R421" s="174">
        <v>0.57999999999999996</v>
      </c>
      <c r="S421" s="174">
        <v>0.57999999999999996</v>
      </c>
      <c r="U421" s="160" t="str">
        <f t="shared" si="30"/>
        <v>קופניון אנקרדי</v>
      </c>
      <c r="V421" s="180">
        <v>3</v>
      </c>
      <c r="AD421">
        <f>COUNTIF(סקר!$AT$11:$AT$880,P421)</f>
        <v>0</v>
      </c>
      <c r="AF421">
        <f t="shared" si="31"/>
        <v>0</v>
      </c>
    </row>
    <row r="422" spans="16:32" ht="14.25">
      <c r="P422" s="167" t="s">
        <v>614</v>
      </c>
      <c r="Q422" s="169" t="s">
        <v>1275</v>
      </c>
      <c r="R422" s="174">
        <v>0.56000000000000005</v>
      </c>
      <c r="S422" s="174">
        <v>0.56000000000000005</v>
      </c>
      <c r="U422" s="160" t="str">
        <f t="shared" si="30"/>
        <v>קזוארינה אשונה</v>
      </c>
      <c r="V422" s="180">
        <v>3</v>
      </c>
      <c r="AD422">
        <f>COUNTIF(סקר!$AT$11:$AT$880,P422)</f>
        <v>0</v>
      </c>
      <c r="AF422">
        <f t="shared" si="31"/>
        <v>0</v>
      </c>
    </row>
    <row r="423" spans="16:32" ht="14.25">
      <c r="P423" s="168" t="s">
        <v>1054</v>
      </c>
      <c r="Q423" s="168" t="s">
        <v>1276</v>
      </c>
      <c r="R423" s="174">
        <v>0.56999999999999995</v>
      </c>
      <c r="S423" s="174">
        <v>0.56999999999999995</v>
      </c>
      <c r="U423" s="160" t="str">
        <f t="shared" si="30"/>
        <v>קזוארינה סיבית</v>
      </c>
      <c r="V423" s="181">
        <v>3</v>
      </c>
      <c r="AD423">
        <f>COUNTIF(סקר!$AT$11:$AT$880,P423)</f>
        <v>0</v>
      </c>
      <c r="AF423">
        <f t="shared" si="31"/>
        <v>0</v>
      </c>
    </row>
    <row r="424" spans="16:32" ht="14.25">
      <c r="P424" s="167" t="s">
        <v>446</v>
      </c>
      <c r="Q424" s="169" t="s">
        <v>447</v>
      </c>
      <c r="R424" s="174">
        <v>0.54</v>
      </c>
      <c r="S424" s="174">
        <v>0.54</v>
      </c>
      <c r="U424" s="160" t="str">
        <f t="shared" si="30"/>
        <v>קזוארינה שבטבטית</v>
      </c>
      <c r="V424" s="180">
        <v>3</v>
      </c>
      <c r="AD424">
        <f>COUNTIF(סקר!$AT$11:$AT$880,P424)</f>
        <v>0</v>
      </c>
      <c r="AF424">
        <f t="shared" si="31"/>
        <v>0</v>
      </c>
    </row>
    <row r="425" spans="16:32" ht="14.25">
      <c r="P425" s="167" t="s">
        <v>232</v>
      </c>
      <c r="Q425" s="169" t="s">
        <v>233</v>
      </c>
      <c r="R425" s="174">
        <v>0.94</v>
      </c>
      <c r="S425" s="174">
        <v>0.94</v>
      </c>
      <c r="U425" s="160" t="str">
        <f t="shared" si="30"/>
        <v>קטלב מצוי</v>
      </c>
      <c r="V425" s="180">
        <v>5</v>
      </c>
      <c r="AD425">
        <f>COUNTIF(סקר!$AT$11:$AT$880,P425)</f>
        <v>0</v>
      </c>
      <c r="AF425">
        <f t="shared" si="31"/>
        <v>0</v>
      </c>
    </row>
    <row r="426" spans="16:32" ht="14.25">
      <c r="P426" s="167" t="s">
        <v>615</v>
      </c>
      <c r="Q426" s="169" t="s">
        <v>448</v>
      </c>
      <c r="R426" s="174">
        <v>0.79</v>
      </c>
      <c r="S426" s="174">
        <v>0.79</v>
      </c>
      <c r="U426" s="160" t="str">
        <f t="shared" si="30"/>
        <v>קטלב משונן</v>
      </c>
      <c r="V426" s="180">
        <v>4</v>
      </c>
      <c r="AD426">
        <f>COUNTIF(סקר!$AT$11:$AT$880,P426)</f>
        <v>0</v>
      </c>
      <c r="AF426">
        <f t="shared" si="31"/>
        <v>0</v>
      </c>
    </row>
    <row r="427" spans="16:32" ht="14.25">
      <c r="P427" s="167" t="s">
        <v>449</v>
      </c>
      <c r="Q427" s="169" t="s">
        <v>450</v>
      </c>
      <c r="R427" s="174">
        <v>0.56999999999999995</v>
      </c>
      <c r="S427" s="174">
        <v>0.56999999999999995</v>
      </c>
      <c r="U427" s="160" t="str">
        <f t="shared" si="30"/>
        <v>קטלפה ביגנונית</v>
      </c>
      <c r="V427" s="180">
        <v>3</v>
      </c>
      <c r="AD427">
        <f>COUNTIF(סקר!$AT$11:$AT$880,P427)</f>
        <v>0</v>
      </c>
      <c r="AF427">
        <f t="shared" si="31"/>
        <v>0</v>
      </c>
    </row>
    <row r="428" spans="16:32" ht="14.25">
      <c r="P428" s="167" t="s">
        <v>234</v>
      </c>
      <c r="Q428" s="169" t="s">
        <v>235</v>
      </c>
      <c r="R428" s="174">
        <v>0.74</v>
      </c>
      <c r="S428" s="174">
        <v>0.74</v>
      </c>
      <c r="U428" s="160" t="str">
        <f t="shared" si="30"/>
        <v>קיגליה מנוצה</v>
      </c>
      <c r="V428" s="180">
        <v>4</v>
      </c>
      <c r="AD428">
        <f>COUNTIF(סקר!$AT$11:$AT$880,P428)</f>
        <v>0</v>
      </c>
      <c r="AF428">
        <f t="shared" si="31"/>
        <v>0</v>
      </c>
    </row>
    <row r="429" spans="16:32" ht="14.25">
      <c r="P429" s="167" t="s">
        <v>451</v>
      </c>
      <c r="Q429" s="169" t="s">
        <v>452</v>
      </c>
      <c r="R429" s="174">
        <v>0.77</v>
      </c>
      <c r="S429" s="174">
        <v>0.77</v>
      </c>
      <c r="U429" s="160" t="str">
        <f t="shared" si="30"/>
        <v>קינמון קמפורי</v>
      </c>
      <c r="V429" s="180">
        <v>4</v>
      </c>
      <c r="AD429">
        <f>COUNTIF(סקר!$AT$11:$AT$880,P429)</f>
        <v>0</v>
      </c>
      <c r="AF429">
        <f t="shared" si="31"/>
        <v>0</v>
      </c>
    </row>
    <row r="430" spans="16:32" ht="14.25">
      <c r="P430" s="168" t="s">
        <v>1055</v>
      </c>
      <c r="Q430" s="168" t="s">
        <v>1277</v>
      </c>
      <c r="R430" s="174">
        <v>0.45</v>
      </c>
      <c r="S430" s="174">
        <v>0.45</v>
      </c>
      <c r="U430" s="160" t="str">
        <f t="shared" si="30"/>
        <v>קליאנדרה אדומת-פרי</v>
      </c>
      <c r="V430" s="181">
        <v>3</v>
      </c>
      <c r="AD430">
        <f>COUNTIF(סקר!$AT$11:$AT$880,P430)</f>
        <v>0</v>
      </c>
      <c r="AF430">
        <f t="shared" si="31"/>
        <v>0</v>
      </c>
    </row>
    <row r="431" spans="16:32" ht="14.25">
      <c r="P431" s="168" t="s">
        <v>1056</v>
      </c>
      <c r="Q431" s="168" t="s">
        <v>1278</v>
      </c>
      <c r="R431" s="174">
        <v>0.47</v>
      </c>
      <c r="S431" s="174">
        <v>0.47</v>
      </c>
      <c r="U431" s="160" t="str">
        <f t="shared" si="30"/>
        <v>קליאנדרה ורודת-קרקפות</v>
      </c>
      <c r="V431" s="178">
        <v>3</v>
      </c>
      <c r="AD431">
        <f>COUNTIF(סקר!$AT$11:$AT$880,P431)</f>
        <v>0</v>
      </c>
      <c r="AF431">
        <f t="shared" si="31"/>
        <v>0</v>
      </c>
    </row>
    <row r="432" spans="16:32" ht="14.25">
      <c r="P432" s="168" t="s">
        <v>1057</v>
      </c>
      <c r="Q432" s="168" t="s">
        <v>1279</v>
      </c>
      <c r="R432" s="174">
        <v>0.47</v>
      </c>
      <c r="S432" s="174">
        <v>0.47</v>
      </c>
      <c r="U432" s="160" t="str">
        <f t="shared" si="30"/>
        <v>קליאנדרה לבנת-קרקפת (ALBA)</v>
      </c>
      <c r="V432" s="178">
        <v>3</v>
      </c>
      <c r="AD432">
        <f>COUNTIF(סקר!$AT$11:$AT$880,P432)</f>
        <v>0</v>
      </c>
      <c r="AF432">
        <f t="shared" si="31"/>
        <v>0</v>
      </c>
    </row>
    <row r="433" spans="16:32" ht="14.25">
      <c r="P433" s="168" t="s">
        <v>1058</v>
      </c>
      <c r="Q433" s="168" t="s">
        <v>1280</v>
      </c>
      <c r="R433" s="174">
        <v>0.44</v>
      </c>
      <c r="S433" s="174">
        <v>0.44</v>
      </c>
      <c r="U433" s="160" t="str">
        <f t="shared" si="30"/>
        <v>קליאנדרה קליפורנית</v>
      </c>
      <c r="V433" s="178">
        <v>3</v>
      </c>
      <c r="AD433">
        <f>COUNTIF(סקר!$AT$11:$AT$880,P433)</f>
        <v>0</v>
      </c>
      <c r="AF433">
        <f t="shared" si="31"/>
        <v>0</v>
      </c>
    </row>
    <row r="434" spans="16:32" ht="14.25">
      <c r="P434" s="168" t="s">
        <v>1059</v>
      </c>
      <c r="Q434" s="168" t="s">
        <v>1281</v>
      </c>
      <c r="R434" s="174">
        <v>0.45</v>
      </c>
      <c r="S434" s="174">
        <v>0.45</v>
      </c>
      <c r="U434" s="160" t="str">
        <f t="shared" ref="U434:U497" si="32">P434</f>
        <v>קליאנדרת שולץ</v>
      </c>
      <c r="V434" s="178">
        <v>3</v>
      </c>
      <c r="AD434">
        <f>COUNTIF(סקר!$AT$11:$AT$880,P434)</f>
        <v>0</v>
      </c>
      <c r="AF434">
        <f t="shared" ref="AF434:AF497" si="33">IF(AD434&gt;0,U434,0)</f>
        <v>0</v>
      </c>
    </row>
    <row r="435" spans="16:32" ht="14.25">
      <c r="P435" s="167" t="s">
        <v>453</v>
      </c>
      <c r="Q435" s="169" t="s">
        <v>454</v>
      </c>
      <c r="R435" s="174">
        <v>0.66</v>
      </c>
      <c r="S435" s="174">
        <v>0.66</v>
      </c>
      <c r="U435" s="160" t="str">
        <f t="shared" si="32"/>
        <v>קליטריס כחלחל</v>
      </c>
      <c r="V435" s="179">
        <v>3</v>
      </c>
      <c r="AD435">
        <f>COUNTIF(סקר!$AT$11:$AT$880,P435)</f>
        <v>0</v>
      </c>
      <c r="AF435">
        <f t="shared" si="33"/>
        <v>0</v>
      </c>
    </row>
    <row r="436" spans="16:32" ht="14.25">
      <c r="P436" s="168" t="s">
        <v>1060</v>
      </c>
      <c r="Q436" s="168" t="s">
        <v>1282</v>
      </c>
      <c r="R436" s="174">
        <v>0.6</v>
      </c>
      <c r="S436" s="174">
        <v>0.6</v>
      </c>
      <c r="U436" s="160" t="str">
        <f t="shared" si="32"/>
        <v>קליטריס מיובל</v>
      </c>
      <c r="V436" s="178">
        <v>3.3</v>
      </c>
      <c r="AD436">
        <f>COUNTIF(סקר!$AT$11:$AT$880,P436)</f>
        <v>0</v>
      </c>
      <c r="AF436">
        <f t="shared" si="33"/>
        <v>0</v>
      </c>
    </row>
    <row r="437" spans="16:32" ht="14.25">
      <c r="P437" s="167" t="s">
        <v>617</v>
      </c>
      <c r="Q437" s="169" t="s">
        <v>455</v>
      </c>
      <c r="R437" s="174">
        <v>0.64</v>
      </c>
      <c r="S437" s="174">
        <v>0.64</v>
      </c>
      <c r="U437" s="160" t="str">
        <f t="shared" si="32"/>
        <v>קליסטמון אדום</v>
      </c>
      <c r="V437" s="179">
        <v>3</v>
      </c>
      <c r="AD437">
        <f>COUNTIF(סקר!$AT$11:$AT$880,P437)</f>
        <v>0</v>
      </c>
      <c r="AF437">
        <f t="shared" si="33"/>
        <v>0</v>
      </c>
    </row>
    <row r="438" spans="16:32" ht="14.25">
      <c r="P438" s="167" t="s">
        <v>618</v>
      </c>
      <c r="Q438" s="169" t="s">
        <v>456</v>
      </c>
      <c r="R438" s="174">
        <v>0.63</v>
      </c>
      <c r="S438" s="174">
        <v>0.63</v>
      </c>
      <c r="U438" s="160" t="str">
        <f t="shared" si="32"/>
        <v>קליסטמון הנצרים</v>
      </c>
      <c r="V438" s="179">
        <v>3</v>
      </c>
      <c r="AD438">
        <f>COUNTIF(סקר!$AT$11:$AT$880,P438)</f>
        <v>0</v>
      </c>
      <c r="AF438">
        <f t="shared" si="33"/>
        <v>0</v>
      </c>
    </row>
    <row r="439" spans="16:32" ht="14.25">
      <c r="P439" s="167" t="s">
        <v>619</v>
      </c>
      <c r="Q439" s="169" t="s">
        <v>457</v>
      </c>
      <c r="R439" s="174">
        <v>0.62</v>
      </c>
      <c r="S439" s="174">
        <v>0.62</v>
      </c>
      <c r="U439" s="160" t="str">
        <f t="shared" si="32"/>
        <v>קליסטמון תרוג</v>
      </c>
      <c r="V439" s="179">
        <v>3</v>
      </c>
      <c r="AD439">
        <f>COUNTIF(סקר!$AT$11:$AT$880,P439)</f>
        <v>0</v>
      </c>
      <c r="AF439">
        <f t="shared" si="33"/>
        <v>0</v>
      </c>
    </row>
    <row r="440" spans="16:32" ht="14.25">
      <c r="P440" s="167" t="s">
        <v>790</v>
      </c>
      <c r="Q440" s="169" t="s">
        <v>791</v>
      </c>
      <c r="R440" s="174">
        <v>0.56000000000000005</v>
      </c>
      <c r="S440" s="174">
        <v>0.56000000000000005</v>
      </c>
      <c r="U440" s="160" t="str">
        <f t="shared" si="32"/>
        <v>קנטיה פורסטר</v>
      </c>
      <c r="V440" s="179">
        <v>3</v>
      </c>
      <c r="AD440">
        <f>COUNTIF(סקר!$AT$11:$AT$880,P440)</f>
        <v>0</v>
      </c>
      <c r="AF440">
        <f t="shared" si="33"/>
        <v>0</v>
      </c>
    </row>
    <row r="441" spans="16:32" ht="14.25">
      <c r="P441" s="168" t="s">
        <v>1061</v>
      </c>
      <c r="Q441" s="168" t="s">
        <v>1283</v>
      </c>
      <c r="R441" s="174">
        <v>0.44</v>
      </c>
      <c r="S441" s="174">
        <v>0.44</v>
      </c>
      <c r="U441" s="160" t="str">
        <f t="shared" si="32"/>
        <v xml:space="preserve">קסאלפיניה יפהפייה </v>
      </c>
      <c r="V441" s="178">
        <v>3</v>
      </c>
      <c r="AD441">
        <f>COUNTIF(סקר!$AT$11:$AT$880,P441)</f>
        <v>0</v>
      </c>
      <c r="AF441">
        <f t="shared" si="33"/>
        <v>0</v>
      </c>
    </row>
    <row r="442" spans="16:32" ht="14.25">
      <c r="P442" s="167" t="s">
        <v>620</v>
      </c>
      <c r="Q442" s="169" t="s">
        <v>458</v>
      </c>
      <c r="R442" s="174">
        <v>0.72</v>
      </c>
      <c r="S442" s="174">
        <v>0.72</v>
      </c>
      <c r="U442" s="160" t="str">
        <f t="shared" si="32"/>
        <v>קסילוסמת זלצמן</v>
      </c>
      <c r="V442" s="179">
        <v>4</v>
      </c>
      <c r="AD442">
        <f>COUNTIF(סקר!$AT$11:$AT$880,P442)</f>
        <v>0</v>
      </c>
      <c r="AF442">
        <f t="shared" si="33"/>
        <v>0</v>
      </c>
    </row>
    <row r="443" spans="16:32" ht="14.25">
      <c r="P443" s="167" t="s">
        <v>792</v>
      </c>
      <c r="Q443" s="169" t="s">
        <v>793</v>
      </c>
      <c r="R443" s="174">
        <v>0.52</v>
      </c>
      <c r="S443" s="174">
        <v>0.52</v>
      </c>
      <c r="U443" s="160" t="str">
        <f t="shared" si="32"/>
        <v>קריוטה נאה</v>
      </c>
      <c r="V443" s="179">
        <v>3</v>
      </c>
      <c r="AD443">
        <f>COUNTIF(סקר!$AT$11:$AT$880,P443)</f>
        <v>0</v>
      </c>
      <c r="AF443">
        <f t="shared" si="33"/>
        <v>0</v>
      </c>
    </row>
    <row r="444" spans="16:32" ht="14.25">
      <c r="P444" s="167" t="s">
        <v>621</v>
      </c>
      <c r="Q444" s="169" t="s">
        <v>459</v>
      </c>
      <c r="R444" s="174">
        <v>0.56999999999999995</v>
      </c>
      <c r="S444" s="174">
        <v>0.56999999999999995</v>
      </c>
      <c r="U444" s="160" t="str">
        <f t="shared" si="32"/>
        <v>קריית הפקן</v>
      </c>
      <c r="V444" s="179">
        <v>3</v>
      </c>
      <c r="AD444">
        <f>COUNTIF(סקר!$AT$11:$AT$880,P444)</f>
        <v>0</v>
      </c>
      <c r="AF444">
        <f t="shared" si="33"/>
        <v>0</v>
      </c>
    </row>
    <row r="445" spans="16:32" ht="14.25">
      <c r="P445" s="167" t="s">
        <v>239</v>
      </c>
      <c r="Q445" s="169" t="s">
        <v>460</v>
      </c>
      <c r="R445" s="174">
        <v>0.55000000000000004</v>
      </c>
      <c r="S445" s="174">
        <v>0.55000000000000004</v>
      </c>
      <c r="U445" s="160" t="str">
        <f t="shared" si="32"/>
        <v>קתרוסית מרובעת</v>
      </c>
      <c r="V445" s="179">
        <v>3</v>
      </c>
      <c r="AD445">
        <f>COUNTIF(סקר!$AT$11:$AT$880,P445)</f>
        <v>0</v>
      </c>
      <c r="AF445">
        <f t="shared" si="33"/>
        <v>0</v>
      </c>
    </row>
    <row r="446" spans="16:32" ht="14.25">
      <c r="P446" s="167" t="s">
        <v>1062</v>
      </c>
      <c r="Q446" s="172" t="s">
        <v>1284</v>
      </c>
      <c r="R446" s="174">
        <v>0.3</v>
      </c>
      <c r="S446" s="174">
        <v>0.3</v>
      </c>
      <c r="U446" s="160" t="str">
        <f t="shared" si="32"/>
        <v>רואיסטוניה רג'ה- דקל המלך (דקל קוקוס)</v>
      </c>
      <c r="V446" s="179">
        <v>2</v>
      </c>
      <c r="AD446">
        <f>COUNTIF(סקר!$AT$11:$AT$880,P446)</f>
        <v>0</v>
      </c>
      <c r="AF446">
        <f t="shared" si="33"/>
        <v>0</v>
      </c>
    </row>
    <row r="447" spans="16:32" ht="14.25">
      <c r="P447" s="167" t="s">
        <v>622</v>
      </c>
      <c r="Q447" s="169" t="s">
        <v>461</v>
      </c>
      <c r="R447" s="174">
        <v>0.36</v>
      </c>
      <c r="S447" s="174">
        <v>0.36</v>
      </c>
      <c r="U447" s="160" t="str">
        <f t="shared" si="32"/>
        <v>רוביניה בת-שיטה</v>
      </c>
      <c r="V447" s="179">
        <v>2</v>
      </c>
      <c r="AD447">
        <f>COUNTIF(סקר!$AT$11:$AT$880,P447)</f>
        <v>0</v>
      </c>
      <c r="AF447">
        <f t="shared" si="33"/>
        <v>0</v>
      </c>
    </row>
    <row r="448" spans="16:32" ht="14.25">
      <c r="P448" s="167" t="s">
        <v>462</v>
      </c>
      <c r="Q448" s="169" t="s">
        <v>463</v>
      </c>
      <c r="R448" s="174">
        <v>0.69</v>
      </c>
      <c r="S448" s="174">
        <v>0.69</v>
      </c>
      <c r="U448" s="160" t="str">
        <f t="shared" si="32"/>
        <v>רוולנה מדגסקרית</v>
      </c>
      <c r="V448" s="179">
        <v>3</v>
      </c>
      <c r="AD448">
        <f>COUNTIF(סקר!$AT$11:$AT$880,P448)</f>
        <v>0</v>
      </c>
      <c r="AF448">
        <f t="shared" si="33"/>
        <v>0</v>
      </c>
    </row>
    <row r="449" spans="16:32" ht="14.25">
      <c r="P449" s="167" t="s">
        <v>795</v>
      </c>
      <c r="Q449" s="169" t="s">
        <v>796</v>
      </c>
      <c r="R449" s="174">
        <v>0.57999999999999996</v>
      </c>
      <c r="S449" s="174">
        <v>0.57999999999999996</v>
      </c>
      <c r="U449" s="160" t="str">
        <f t="shared" si="32"/>
        <v>רומם מלכותי</v>
      </c>
      <c r="V449" s="179">
        <v>3</v>
      </c>
      <c r="AD449">
        <f>COUNTIF(סקר!$AT$11:$AT$880,P449)</f>
        <v>0</v>
      </c>
      <c r="AF449">
        <f t="shared" si="33"/>
        <v>0</v>
      </c>
    </row>
    <row r="450" spans="16:32" ht="14.25">
      <c r="P450" s="167" t="s">
        <v>241</v>
      </c>
      <c r="Q450" s="169" t="s">
        <v>464</v>
      </c>
      <c r="R450" s="174">
        <v>0.55000000000000004</v>
      </c>
      <c r="S450" s="174">
        <v>0.55000000000000004</v>
      </c>
      <c r="U450" s="160" t="str">
        <f t="shared" si="32"/>
        <v>רימון מצוי</v>
      </c>
      <c r="V450" s="179">
        <v>3</v>
      </c>
      <c r="AD450">
        <f>COUNTIF(סקר!$AT$11:$AT$880,P450)</f>
        <v>0</v>
      </c>
      <c r="AF450">
        <f t="shared" si="33"/>
        <v>0</v>
      </c>
    </row>
    <row r="451" spans="16:32" ht="14.25">
      <c r="P451" s="167" t="s">
        <v>797</v>
      </c>
      <c r="Q451" s="169" t="s">
        <v>798</v>
      </c>
      <c r="R451" s="174">
        <v>0.44</v>
      </c>
      <c r="S451" s="174">
        <v>0.44</v>
      </c>
      <c r="U451" s="160" t="str">
        <f t="shared" si="32"/>
        <v>רפיס רם</v>
      </c>
      <c r="V451" s="179">
        <v>2</v>
      </c>
      <c r="AD451">
        <f>COUNTIF(סקר!$AT$11:$AT$880,P451)</f>
        <v>0</v>
      </c>
      <c r="AF451">
        <f t="shared" si="33"/>
        <v>0</v>
      </c>
    </row>
    <row r="452" spans="16:32" ht="14.25">
      <c r="P452" s="167" t="s">
        <v>465</v>
      </c>
      <c r="Q452" s="169" t="s">
        <v>466</v>
      </c>
      <c r="R452" s="174">
        <v>0.6</v>
      </c>
      <c r="S452" s="174">
        <v>0.6</v>
      </c>
      <c r="U452" s="160" t="str">
        <f t="shared" si="32"/>
        <v>שדר משתלשל</v>
      </c>
      <c r="V452" s="179">
        <v>3</v>
      </c>
      <c r="AD452">
        <f>COUNTIF(סקר!$AT$11:$AT$880,P452)</f>
        <v>0</v>
      </c>
      <c r="AF452">
        <f t="shared" si="33"/>
        <v>0</v>
      </c>
    </row>
    <row r="453" spans="16:32" ht="14.25">
      <c r="P453" s="167" t="s">
        <v>623</v>
      </c>
      <c r="Q453" s="169" t="s">
        <v>467</v>
      </c>
      <c r="R453" s="174">
        <v>0.64</v>
      </c>
      <c r="S453" s="174">
        <v>0.64</v>
      </c>
      <c r="U453" s="160" t="str">
        <f t="shared" si="32"/>
        <v>שוטיה רחבת-עלים</v>
      </c>
      <c r="V453" s="179">
        <v>3</v>
      </c>
      <c r="AD453">
        <f>COUNTIF(סקר!$AT$11:$AT$880,P453)</f>
        <v>0</v>
      </c>
      <c r="AF453">
        <f t="shared" si="33"/>
        <v>0</v>
      </c>
    </row>
    <row r="454" spans="16:32" ht="14.25">
      <c r="P454" s="167" t="s">
        <v>624</v>
      </c>
      <c r="Q454" s="169" t="s">
        <v>705</v>
      </c>
      <c r="R454" s="174">
        <v>0.54</v>
      </c>
      <c r="S454" s="174">
        <v>0.54</v>
      </c>
      <c r="U454" s="160" t="str">
        <f t="shared" si="32"/>
        <v>שזיף דובדבני 'אדום'/'שחור'</v>
      </c>
      <c r="V454" s="179">
        <v>3</v>
      </c>
      <c r="AD454">
        <f>COUNTIF(סקר!$AT$11:$AT$880,P454)</f>
        <v>0</v>
      </c>
      <c r="AF454">
        <f t="shared" si="33"/>
        <v>0</v>
      </c>
    </row>
    <row r="455" spans="16:32" ht="14.25">
      <c r="P455" s="167" t="s">
        <v>486</v>
      </c>
      <c r="Q455" s="169" t="s">
        <v>1285</v>
      </c>
      <c r="R455" s="174">
        <v>0.47</v>
      </c>
      <c r="S455" s="174">
        <v>0.47</v>
      </c>
      <c r="U455" s="160" t="str">
        <f t="shared" si="32"/>
        <v>שזיף מינים שונים</v>
      </c>
      <c r="V455" s="179">
        <v>2</v>
      </c>
      <c r="AD455">
        <f>COUNTIF(סקר!$AT$11:$AT$880,P455)</f>
        <v>0</v>
      </c>
      <c r="AF455">
        <f t="shared" si="33"/>
        <v>0</v>
      </c>
    </row>
    <row r="456" spans="16:32" ht="14.25">
      <c r="P456" s="167" t="s">
        <v>468</v>
      </c>
      <c r="Q456" s="169" t="s">
        <v>469</v>
      </c>
      <c r="R456" s="174">
        <v>0.57999999999999996</v>
      </c>
      <c r="S456" s="174">
        <v>0.57999999999999996</v>
      </c>
      <c r="U456" s="160" t="str">
        <f t="shared" si="32"/>
        <v>שזיף פעמוני</v>
      </c>
      <c r="V456" s="179">
        <v>3</v>
      </c>
      <c r="AD456">
        <f>COUNTIF(סקר!$AT$11:$AT$880,P456)</f>
        <v>0</v>
      </c>
      <c r="AF456">
        <f t="shared" si="33"/>
        <v>0</v>
      </c>
    </row>
    <row r="457" spans="16:32" ht="14.25">
      <c r="P457" s="167" t="s">
        <v>244</v>
      </c>
      <c r="Q457" s="169" t="s">
        <v>470</v>
      </c>
      <c r="R457" s="174">
        <v>0.8</v>
      </c>
      <c r="S457" s="174">
        <v>0.8</v>
      </c>
      <c r="U457" s="160" t="str">
        <f t="shared" si="32"/>
        <v>שיזף מצוי</v>
      </c>
      <c r="V457" s="179">
        <v>4</v>
      </c>
      <c r="AD457">
        <f>COUNTIF(סקר!$AT$11:$AT$880,P457)</f>
        <v>0</v>
      </c>
      <c r="AF457">
        <f t="shared" si="33"/>
        <v>0</v>
      </c>
    </row>
    <row r="458" spans="16:32" ht="14.25">
      <c r="P458" s="168" t="s">
        <v>1063</v>
      </c>
      <c r="Q458" s="168" t="s">
        <v>1286</v>
      </c>
      <c r="R458" s="174">
        <v>0.2</v>
      </c>
      <c r="S458" s="174">
        <v>0.2</v>
      </c>
      <c r="U458" s="160" t="str">
        <f t="shared" si="32"/>
        <v>שיטה גלדנית</v>
      </c>
      <c r="V458" s="178">
        <v>2</v>
      </c>
      <c r="AD458">
        <f>COUNTIF(סקר!$AT$11:$AT$880,P458)</f>
        <v>0</v>
      </c>
      <c r="AF458">
        <f t="shared" si="33"/>
        <v>0</v>
      </c>
    </row>
    <row r="459" spans="16:32" ht="14.25">
      <c r="P459" s="167" t="s">
        <v>1064</v>
      </c>
      <c r="Q459" s="169" t="s">
        <v>1287</v>
      </c>
      <c r="R459" s="174">
        <v>0</v>
      </c>
      <c r="S459" s="174">
        <v>0</v>
      </c>
      <c r="U459" s="160" t="str">
        <f t="shared" si="32"/>
        <v>שיטה דוקרנית</v>
      </c>
      <c r="V459" s="179">
        <v>0</v>
      </c>
      <c r="AD459">
        <f>COUNTIF(סקר!$AT$11:$AT$880,P459)</f>
        <v>0</v>
      </c>
      <c r="AF459">
        <f t="shared" si="33"/>
        <v>0</v>
      </c>
    </row>
    <row r="460" spans="16:32" ht="14.25">
      <c r="P460" s="168" t="s">
        <v>1065</v>
      </c>
      <c r="Q460" s="168" t="s">
        <v>1288</v>
      </c>
      <c r="R460" s="174">
        <v>0.2</v>
      </c>
      <c r="S460" s="174">
        <v>0.2</v>
      </c>
      <c r="U460" s="160" t="str">
        <f t="shared" si="32"/>
        <v>שיטה דורית</v>
      </c>
      <c r="V460" s="178">
        <v>2</v>
      </c>
      <c r="AD460">
        <f>COUNTIF(סקר!$AT$11:$AT$880,P460)</f>
        <v>0</v>
      </c>
      <c r="AF460">
        <f t="shared" si="33"/>
        <v>0</v>
      </c>
    </row>
    <row r="461" spans="16:32" ht="14.25">
      <c r="P461" s="168" t="s">
        <v>1066</v>
      </c>
      <c r="Q461" s="168" t="s">
        <v>1289</v>
      </c>
      <c r="R461" s="174">
        <v>0.2</v>
      </c>
      <c r="S461" s="174">
        <v>0.2</v>
      </c>
      <c r="U461" s="160" t="str">
        <f t="shared" si="32"/>
        <v>שיטה דמוית-פלפלון</v>
      </c>
      <c r="V461" s="178">
        <v>2</v>
      </c>
      <c r="AD461">
        <f>COUNTIF(סקר!$AT$11:$AT$880,P461)</f>
        <v>0</v>
      </c>
      <c r="AF461">
        <f t="shared" si="33"/>
        <v>0</v>
      </c>
    </row>
    <row r="462" spans="16:32" ht="14.25">
      <c r="P462" s="168" t="s">
        <v>1067</v>
      </c>
      <c r="Q462" s="168" t="s">
        <v>1290</v>
      </c>
      <c r="R462" s="174">
        <v>0.2</v>
      </c>
      <c r="S462" s="174">
        <v>0.2</v>
      </c>
      <c r="U462" s="160" t="str">
        <f t="shared" si="32"/>
        <v>שיטה הקיאית</v>
      </c>
      <c r="V462" s="178">
        <v>2</v>
      </c>
      <c r="AD462">
        <f>COUNTIF(סקר!$AT$11:$AT$880,P462)</f>
        <v>0</v>
      </c>
      <c r="AF462">
        <f t="shared" si="33"/>
        <v>0</v>
      </c>
    </row>
    <row r="463" spans="16:32" ht="14.25">
      <c r="P463" s="168" t="s">
        <v>1068</v>
      </c>
      <c r="Q463" s="168" t="s">
        <v>1291</v>
      </c>
      <c r="R463" s="174">
        <v>0.2</v>
      </c>
      <c r="S463" s="174">
        <v>0.2</v>
      </c>
      <c r="U463" s="160" t="str">
        <f t="shared" si="32"/>
        <v>שיטה הרדופית</v>
      </c>
      <c r="V463" s="178">
        <v>2</v>
      </c>
      <c r="AD463">
        <f>COUNTIF(סקר!$AT$11:$AT$880,P463)</f>
        <v>0</v>
      </c>
      <c r="AF463">
        <f t="shared" si="33"/>
        <v>0</v>
      </c>
    </row>
    <row r="464" spans="16:32" ht="14.25">
      <c r="P464" s="168" t="s">
        <v>1069</v>
      </c>
      <c r="Q464" s="168" t="s">
        <v>1292</v>
      </c>
      <c r="R464" s="174">
        <v>0.2</v>
      </c>
      <c r="S464" s="174">
        <v>0.2</v>
      </c>
      <c r="U464" s="160" t="str">
        <f t="shared" si="32"/>
        <v>שיטה חד-קרנית</v>
      </c>
      <c r="V464" s="178">
        <v>2</v>
      </c>
      <c r="AD464">
        <f>COUNTIF(סקר!$AT$11:$AT$880,P464)</f>
        <v>0</v>
      </c>
      <c r="AF464">
        <f t="shared" si="33"/>
        <v>0</v>
      </c>
    </row>
    <row r="465" spans="16:32" ht="14.25">
      <c r="P465" s="167" t="s">
        <v>625</v>
      </c>
      <c r="Q465" s="169" t="s">
        <v>477</v>
      </c>
      <c r="R465" s="174">
        <v>0</v>
      </c>
      <c r="S465" s="174">
        <v>0</v>
      </c>
      <c r="U465" s="160" t="str">
        <f t="shared" si="32"/>
        <v>שיטה כחלחלה</v>
      </c>
      <c r="V465" s="179">
        <v>0</v>
      </c>
      <c r="AD465">
        <f>COUNTIF(סקר!$AT$11:$AT$880,P465)</f>
        <v>0</v>
      </c>
      <c r="AF465">
        <f t="shared" si="33"/>
        <v>0</v>
      </c>
    </row>
    <row r="466" spans="16:32" ht="14.25">
      <c r="P466" s="168" t="s">
        <v>1070</v>
      </c>
      <c r="Q466" s="168" t="s">
        <v>1293</v>
      </c>
      <c r="R466" s="174">
        <v>0.2</v>
      </c>
      <c r="S466" s="174">
        <v>0.2</v>
      </c>
      <c r="U466" s="160" t="str">
        <f t="shared" si="32"/>
        <v>שיטה לשונית</v>
      </c>
      <c r="V466" s="178">
        <v>2</v>
      </c>
      <c r="AD466">
        <f>COUNTIF(סקר!$AT$11:$AT$880,P466)</f>
        <v>0</v>
      </c>
      <c r="AF466">
        <f t="shared" si="33"/>
        <v>0</v>
      </c>
    </row>
    <row r="467" spans="16:32" ht="14.25">
      <c r="P467" s="168" t="s">
        <v>1071</v>
      </c>
      <c r="Q467" s="168" t="s">
        <v>1294</v>
      </c>
      <c r="R467" s="174">
        <v>0.25</v>
      </c>
      <c r="S467" s="174">
        <v>0.25</v>
      </c>
      <c r="U467" s="160" t="str">
        <f t="shared" si="32"/>
        <v>שיטה מחוספסת-גביע</v>
      </c>
      <c r="V467" s="178">
        <v>2</v>
      </c>
      <c r="AD467">
        <f>COUNTIF(סקר!$AT$11:$AT$880,P467)</f>
        <v>0</v>
      </c>
      <c r="AF467">
        <f t="shared" si="33"/>
        <v>0</v>
      </c>
    </row>
    <row r="468" spans="16:32" ht="14.25">
      <c r="P468" s="168" t="s">
        <v>1072</v>
      </c>
      <c r="Q468" s="168" t="s">
        <v>1295</v>
      </c>
      <c r="R468" s="174">
        <v>0.2</v>
      </c>
      <c r="S468" s="174">
        <v>0.2</v>
      </c>
      <c r="U468" s="160" t="str">
        <f t="shared" si="32"/>
        <v>שיטה מחורצת</v>
      </c>
      <c r="V468" s="178">
        <v>2</v>
      </c>
      <c r="AD468">
        <f>COUNTIF(סקר!$AT$11:$AT$880,P468)</f>
        <v>0</v>
      </c>
      <c r="AF468">
        <f t="shared" si="33"/>
        <v>0</v>
      </c>
    </row>
    <row r="469" spans="16:32" ht="14.25">
      <c r="P469" s="167" t="s">
        <v>476</v>
      </c>
      <c r="Q469" s="169" t="s">
        <v>707</v>
      </c>
      <c r="R469" s="174">
        <v>0.84</v>
      </c>
      <c r="S469" s="174">
        <v>0.84</v>
      </c>
      <c r="U469" s="160" t="str">
        <f t="shared" si="32"/>
        <v>שיטה מלבינה</v>
      </c>
      <c r="V469" s="179">
        <v>4</v>
      </c>
      <c r="AD469">
        <f>COUNTIF(סקר!$AT$11:$AT$880,P469)</f>
        <v>0</v>
      </c>
      <c r="AF469">
        <f t="shared" si="33"/>
        <v>0</v>
      </c>
    </row>
    <row r="470" spans="16:32" ht="14.25">
      <c r="P470" s="167" t="s">
        <v>626</v>
      </c>
      <c r="Q470" s="169" t="s">
        <v>471</v>
      </c>
      <c r="R470" s="174">
        <v>0.5</v>
      </c>
      <c r="S470" s="174">
        <v>0.5</v>
      </c>
      <c r="U470" s="160" t="str">
        <f t="shared" si="32"/>
        <v>שיטה משתלשלת</v>
      </c>
      <c r="V470" s="179">
        <v>3</v>
      </c>
      <c r="AD470">
        <f>COUNTIF(סקר!$AT$11:$AT$880,P470)</f>
        <v>0</v>
      </c>
      <c r="AF470">
        <f t="shared" si="33"/>
        <v>0</v>
      </c>
    </row>
    <row r="471" spans="16:32" ht="14.25">
      <c r="P471" s="168" t="s">
        <v>1073</v>
      </c>
      <c r="Q471" s="168" t="s">
        <v>1296</v>
      </c>
      <c r="R471" s="174">
        <v>0.55000000000000004</v>
      </c>
      <c r="S471" s="174">
        <v>0.55000000000000004</v>
      </c>
      <c r="U471" s="160" t="str">
        <f t="shared" si="32"/>
        <v>שיטה נאה</v>
      </c>
      <c r="V471" s="178">
        <v>2</v>
      </c>
      <c r="AD471">
        <f>COUNTIF(סקר!$AT$11:$AT$880,P471)</f>
        <v>0</v>
      </c>
      <c r="AF471">
        <f t="shared" si="33"/>
        <v>0</v>
      </c>
    </row>
    <row r="472" spans="16:32" ht="14.25">
      <c r="P472" s="168" t="s">
        <v>1074</v>
      </c>
      <c r="Q472" s="168" t="s">
        <v>1297</v>
      </c>
      <c r="R472" s="174">
        <v>0.25</v>
      </c>
      <c r="S472" s="174">
        <v>0.25</v>
      </c>
      <c r="U472" s="160" t="str">
        <f t="shared" si="32"/>
        <v>שיטה נודעת</v>
      </c>
      <c r="V472" s="178">
        <v>2</v>
      </c>
      <c r="AD472">
        <f>COUNTIF(סקר!$AT$11:$AT$880,P472)</f>
        <v>0</v>
      </c>
      <c r="AF472">
        <f t="shared" si="33"/>
        <v>0</v>
      </c>
    </row>
    <row r="473" spans="16:32" ht="14.25">
      <c r="P473" s="168" t="s">
        <v>1075</v>
      </c>
      <c r="Q473" s="168" t="s">
        <v>1298</v>
      </c>
      <c r="R473" s="174">
        <v>0.2</v>
      </c>
      <c r="S473" s="174">
        <v>0.2</v>
      </c>
      <c r="U473" s="160" t="str">
        <f t="shared" si="32"/>
        <v>שיטה נפוצה</v>
      </c>
      <c r="V473" s="178">
        <v>2</v>
      </c>
      <c r="AD473">
        <f>COUNTIF(סקר!$AT$11:$AT$880,P473)</f>
        <v>0</v>
      </c>
      <c r="AF473">
        <f t="shared" si="33"/>
        <v>0</v>
      </c>
    </row>
    <row r="474" spans="16:32" ht="14.25">
      <c r="P474" s="168" t="s">
        <v>480</v>
      </c>
      <c r="Q474" s="168" t="s">
        <v>481</v>
      </c>
      <c r="R474" s="174">
        <v>0.81</v>
      </c>
      <c r="S474" s="174">
        <v>0.81</v>
      </c>
      <c r="U474" s="160" t="str">
        <f t="shared" si="32"/>
        <v>שיטה סוככנית</v>
      </c>
      <c r="V474" s="178">
        <v>4</v>
      </c>
      <c r="AD474">
        <f>COUNTIF(סקר!$AT$11:$AT$880,P474)</f>
        <v>0</v>
      </c>
      <c r="AF474">
        <f t="shared" si="33"/>
        <v>0</v>
      </c>
    </row>
    <row r="475" spans="16:32" ht="14.25">
      <c r="P475" s="168" t="s">
        <v>1076</v>
      </c>
      <c r="Q475" s="168" t="s">
        <v>1299</v>
      </c>
      <c r="R475" s="174">
        <v>0.2</v>
      </c>
      <c r="S475" s="174">
        <v>0.2</v>
      </c>
      <c r="U475" s="160" t="str">
        <f t="shared" si="32"/>
        <v>שיטה סיבית</v>
      </c>
      <c r="V475" s="178">
        <v>2</v>
      </c>
      <c r="AD475">
        <f>COUNTIF(סקר!$AT$11:$AT$880,P475)</f>
        <v>0</v>
      </c>
      <c r="AF475">
        <f t="shared" si="33"/>
        <v>0</v>
      </c>
    </row>
    <row r="476" spans="16:32" ht="14.25">
      <c r="P476" s="167" t="s">
        <v>478</v>
      </c>
      <c r="Q476" s="169" t="s">
        <v>479</v>
      </c>
      <c r="R476" s="174">
        <v>0.82</v>
      </c>
      <c r="S476" s="174">
        <v>0.82</v>
      </c>
      <c r="U476" s="160" t="str">
        <f t="shared" si="32"/>
        <v>שיטה סלילנית</v>
      </c>
      <c r="V476" s="179">
        <v>4</v>
      </c>
      <c r="AD476">
        <f>COUNTIF(סקר!$AT$11:$AT$880,P476)</f>
        <v>0</v>
      </c>
      <c r="AF476">
        <f t="shared" si="33"/>
        <v>0</v>
      </c>
    </row>
    <row r="477" spans="16:32" ht="14.25">
      <c r="P477" s="168" t="s">
        <v>1077</v>
      </c>
      <c r="Q477" s="168" t="s">
        <v>1300</v>
      </c>
      <c r="R477" s="174">
        <v>0.2</v>
      </c>
      <c r="S477" s="174">
        <v>0.2</v>
      </c>
      <c r="U477" s="160" t="str">
        <f t="shared" si="32"/>
        <v>שיטה סנגלית</v>
      </c>
      <c r="V477" s="178">
        <v>2</v>
      </c>
      <c r="AD477">
        <f>COUNTIF(סקר!$AT$11:$AT$880,P477)</f>
        <v>0</v>
      </c>
      <c r="AF477">
        <f t="shared" si="33"/>
        <v>0</v>
      </c>
    </row>
    <row r="478" spans="16:32" ht="14.25">
      <c r="P478" s="167" t="s">
        <v>1355</v>
      </c>
      <c r="Q478" s="169" t="s">
        <v>1301</v>
      </c>
      <c r="R478" s="174">
        <v>0</v>
      </c>
      <c r="S478" s="174">
        <v>0</v>
      </c>
      <c r="U478" s="160" t="str">
        <f t="shared" si="32"/>
        <v>שיטה עגולת הזרעים</v>
      </c>
      <c r="V478" s="179">
        <v>0</v>
      </c>
      <c r="AD478">
        <f>COUNTIF(סקר!$AT$11:$AT$880,P478)</f>
        <v>0</v>
      </c>
      <c r="AF478">
        <f t="shared" si="33"/>
        <v>0</v>
      </c>
    </row>
    <row r="479" spans="16:32" ht="14.25">
      <c r="P479" s="168" t="s">
        <v>1078</v>
      </c>
      <c r="Q479" s="168" t="s">
        <v>1302</v>
      </c>
      <c r="R479" s="174">
        <v>0.2</v>
      </c>
      <c r="S479" s="174">
        <v>0.2</v>
      </c>
      <c r="U479" s="160" t="str">
        <f t="shared" si="32"/>
        <v>שיטה צרת-עלים</v>
      </c>
      <c r="V479" s="178">
        <v>2</v>
      </c>
      <c r="AD479">
        <f>COUNTIF(סקר!$AT$11:$AT$880,P479)</f>
        <v>0</v>
      </c>
      <c r="AF479">
        <f t="shared" si="33"/>
        <v>0</v>
      </c>
    </row>
    <row r="480" spans="16:32" ht="14.25">
      <c r="P480" s="168" t="s">
        <v>1079</v>
      </c>
      <c r="Q480" s="168" t="s">
        <v>1303</v>
      </c>
      <c r="R480" s="174">
        <v>0.2</v>
      </c>
      <c r="S480" s="174">
        <v>0.2</v>
      </c>
      <c r="U480" s="160" t="str">
        <f t="shared" si="32"/>
        <v>שיטה קוון</v>
      </c>
      <c r="V480" s="178">
        <v>2</v>
      </c>
      <c r="AD480">
        <f>COUNTIF(סקר!$AT$11:$AT$880,P480)</f>
        <v>0</v>
      </c>
      <c r="AF480">
        <f t="shared" si="33"/>
        <v>0</v>
      </c>
    </row>
    <row r="481" spans="16:32" ht="14.25">
      <c r="P481" s="168" t="s">
        <v>1080</v>
      </c>
      <c r="Q481" s="168" t="s">
        <v>1304</v>
      </c>
      <c r="R481" s="174">
        <v>0.2</v>
      </c>
      <c r="S481" s="174">
        <v>0.2</v>
      </c>
      <c r="U481" s="160" t="str">
        <f t="shared" si="32"/>
        <v>שיטה קטכו</v>
      </c>
      <c r="V481" s="178">
        <v>2</v>
      </c>
      <c r="AD481">
        <f>COUNTIF(סקר!$AT$11:$AT$880,P481)</f>
        <v>0</v>
      </c>
      <c r="AF481">
        <f t="shared" si="33"/>
        <v>0</v>
      </c>
    </row>
    <row r="482" spans="16:32" ht="14.25">
      <c r="P482" s="168" t="s">
        <v>1081</v>
      </c>
      <c r="Q482" s="168" t="s">
        <v>1305</v>
      </c>
      <c r="R482" s="174">
        <v>0.2</v>
      </c>
      <c r="S482" s="174">
        <v>0.2</v>
      </c>
      <c r="U482" s="160" t="str">
        <f t="shared" si="32"/>
        <v>שיטה קטנת-עלים</v>
      </c>
      <c r="V482" s="178">
        <v>2</v>
      </c>
      <c r="AD482">
        <f>COUNTIF(סקר!$AT$11:$AT$880,P482)</f>
        <v>0</v>
      </c>
      <c r="AF482">
        <f t="shared" si="33"/>
        <v>0</v>
      </c>
    </row>
    <row r="483" spans="16:32" ht="14.25">
      <c r="P483" s="168" t="s">
        <v>1082</v>
      </c>
      <c r="Q483" s="168" t="s">
        <v>1306</v>
      </c>
      <c r="R483" s="174">
        <v>0.2</v>
      </c>
      <c r="S483" s="174">
        <v>0.2</v>
      </c>
      <c r="U483" s="160" t="str">
        <f t="shared" si="32"/>
        <v>שיטה קטנת-שינון</v>
      </c>
      <c r="V483" s="178">
        <v>2</v>
      </c>
      <c r="AD483">
        <f>COUNTIF(סקר!$AT$11:$AT$880,P483)</f>
        <v>0</v>
      </c>
      <c r="AF483">
        <f t="shared" si="33"/>
        <v>0</v>
      </c>
    </row>
    <row r="484" spans="16:32" ht="14.25">
      <c r="P484" s="168" t="s">
        <v>1083</v>
      </c>
      <c r="Q484" s="168" t="s">
        <v>1307</v>
      </c>
      <c r="R484" s="174">
        <v>0</v>
      </c>
      <c r="S484" s="174">
        <v>0</v>
      </c>
      <c r="U484" s="160" t="str">
        <f t="shared" si="32"/>
        <v>שיטה רבת-פרחים</v>
      </c>
      <c r="V484" s="178">
        <v>0</v>
      </c>
      <c r="AD484">
        <f>COUNTIF(סקר!$AT$11:$AT$880,P484)</f>
        <v>0</v>
      </c>
      <c r="AF484">
        <f t="shared" si="33"/>
        <v>0</v>
      </c>
    </row>
    <row r="485" spans="16:32" ht="14.25">
      <c r="P485" s="168" t="s">
        <v>1084</v>
      </c>
      <c r="Q485" s="168" t="s">
        <v>708</v>
      </c>
      <c r="R485" s="174">
        <v>0</v>
      </c>
      <c r="S485" s="174">
        <v>0</v>
      </c>
      <c r="U485" s="160" t="str">
        <f t="shared" si="32"/>
        <v>שיטה ריסנית</v>
      </c>
      <c r="V485" s="178">
        <v>2</v>
      </c>
      <c r="AD485">
        <f>COUNTIF(סקר!$AT$11:$AT$880,P485)</f>
        <v>0</v>
      </c>
      <c r="AF485">
        <f t="shared" si="33"/>
        <v>0</v>
      </c>
    </row>
    <row r="486" spans="16:32" ht="14.25">
      <c r="P486" s="168" t="s">
        <v>245</v>
      </c>
      <c r="Q486" s="168" t="s">
        <v>1308</v>
      </c>
      <c r="R486" s="174">
        <v>0.84</v>
      </c>
      <c r="S486" s="174">
        <v>0.84</v>
      </c>
      <c r="U486" s="160" t="str">
        <f t="shared" si="32"/>
        <v>שיטה רכה</v>
      </c>
      <c r="V486" s="178">
        <v>2</v>
      </c>
      <c r="AD486">
        <f>COUNTIF(סקר!$AT$11:$AT$880,P486)</f>
        <v>0</v>
      </c>
      <c r="AF486">
        <f t="shared" si="33"/>
        <v>0</v>
      </c>
    </row>
    <row r="487" spans="16:32" ht="14.25">
      <c r="P487" s="168" t="s">
        <v>1085</v>
      </c>
      <c r="Q487" s="168" t="s">
        <v>1309</v>
      </c>
      <c r="R487" s="174">
        <v>0.25</v>
      </c>
      <c r="S487" s="174">
        <v>0.25</v>
      </c>
      <c r="U487" s="160" t="str">
        <f t="shared" si="32"/>
        <v>שיטה שחורת-עצה</v>
      </c>
      <c r="V487" s="178">
        <v>2</v>
      </c>
      <c r="AD487">
        <f>COUNTIF(סקר!$AT$11:$AT$880,P487)</f>
        <v>0</v>
      </c>
      <c r="AF487">
        <f t="shared" si="33"/>
        <v>0</v>
      </c>
    </row>
    <row r="488" spans="16:32" ht="14.25">
      <c r="P488" s="168" t="s">
        <v>249</v>
      </c>
      <c r="Q488" s="168" t="s">
        <v>1310</v>
      </c>
      <c r="R488" s="174">
        <v>0.2</v>
      </c>
      <c r="S488" s="174">
        <v>0.2</v>
      </c>
      <c r="U488" s="160" t="str">
        <f t="shared" si="32"/>
        <v>שיטת ביילי</v>
      </c>
      <c r="V488" s="178">
        <v>2</v>
      </c>
      <c r="AD488">
        <f>COUNTIF(סקר!$AT$11:$AT$880,P488)</f>
        <v>0</v>
      </c>
      <c r="AF488">
        <f t="shared" si="33"/>
        <v>0</v>
      </c>
    </row>
    <row r="489" spans="16:32" ht="14.25">
      <c r="P489" s="168" t="s">
        <v>1086</v>
      </c>
      <c r="Q489" s="168" t="s">
        <v>1311</v>
      </c>
      <c r="R489" s="174">
        <v>0.2</v>
      </c>
      <c r="S489" s="174">
        <v>0.2</v>
      </c>
      <c r="U489" s="160" t="str">
        <f t="shared" si="32"/>
        <v>שיטת הוויט</v>
      </c>
      <c r="V489" s="178">
        <v>2</v>
      </c>
      <c r="AD489">
        <f>COUNTIF(סקר!$AT$11:$AT$880,P489)</f>
        <v>0</v>
      </c>
      <c r="AF489">
        <f t="shared" si="33"/>
        <v>0</v>
      </c>
    </row>
    <row r="490" spans="16:32" ht="14.25">
      <c r="P490" s="168" t="s">
        <v>1087</v>
      </c>
      <c r="Q490" s="168" t="s">
        <v>1312</v>
      </c>
      <c r="R490" s="174">
        <v>0.2</v>
      </c>
      <c r="S490" s="174">
        <v>0.2</v>
      </c>
      <c r="U490" s="160" t="str">
        <f t="shared" si="32"/>
        <v>שיטת המולגה</v>
      </c>
      <c r="V490" s="178">
        <v>2</v>
      </c>
      <c r="AD490">
        <f>COUNTIF(סקר!$AT$11:$AT$880,P490)</f>
        <v>0</v>
      </c>
      <c r="AF490">
        <f t="shared" si="33"/>
        <v>0</v>
      </c>
    </row>
    <row r="491" spans="16:32" ht="14.25">
      <c r="P491" s="168" t="s">
        <v>1088</v>
      </c>
      <c r="Q491" s="168" t="s">
        <v>1313</v>
      </c>
      <c r="R491" s="174">
        <v>0.25</v>
      </c>
      <c r="S491" s="174">
        <v>0.25</v>
      </c>
      <c r="U491" s="160" t="str">
        <f t="shared" si="32"/>
        <v>שיטת המקור</v>
      </c>
      <c r="V491" s="178">
        <v>2</v>
      </c>
      <c r="AD491">
        <f>COUNTIF(סקר!$AT$11:$AT$880,P491)</f>
        <v>0</v>
      </c>
      <c r="AF491">
        <f t="shared" si="33"/>
        <v>0</v>
      </c>
    </row>
    <row r="492" spans="16:32" ht="14.25">
      <c r="P492" s="167" t="s">
        <v>474</v>
      </c>
      <c r="Q492" s="169" t="s">
        <v>475</v>
      </c>
      <c r="R492" s="174">
        <v>0.18</v>
      </c>
      <c r="S492" s="174">
        <v>0.18</v>
      </c>
      <c r="U492" s="160" t="str">
        <f t="shared" si="32"/>
        <v>שיטת המשוכות</v>
      </c>
      <c r="V492" s="179">
        <v>1</v>
      </c>
      <c r="AD492">
        <f>COUNTIF(סקר!$AT$11:$AT$880,P492)</f>
        <v>0</v>
      </c>
      <c r="AF492">
        <f t="shared" si="33"/>
        <v>0</v>
      </c>
    </row>
    <row r="493" spans="16:32" ht="14.25">
      <c r="P493" s="167" t="s">
        <v>472</v>
      </c>
      <c r="Q493" s="169" t="s">
        <v>473</v>
      </c>
      <c r="R493" s="174">
        <v>0.92</v>
      </c>
      <c r="S493" s="174">
        <v>0.92</v>
      </c>
      <c r="U493" s="160" t="str">
        <f t="shared" si="32"/>
        <v>שיטת הנגב</v>
      </c>
      <c r="V493" s="179">
        <v>5</v>
      </c>
      <c r="AD493">
        <f>COUNTIF(סקר!$AT$11:$AT$880,P493)</f>
        <v>0</v>
      </c>
      <c r="AF493">
        <f t="shared" si="33"/>
        <v>0</v>
      </c>
    </row>
    <row r="494" spans="16:32" ht="14.25">
      <c r="P494" s="168" t="s">
        <v>1089</v>
      </c>
      <c r="Q494" s="168" t="s">
        <v>1314</v>
      </c>
      <c r="R494" s="174">
        <v>0</v>
      </c>
      <c r="S494" s="174">
        <v>0</v>
      </c>
      <c r="U494" s="160" t="str">
        <f t="shared" si="32"/>
        <v>שיטת ויקטוריה</v>
      </c>
      <c r="V494" s="178">
        <v>0</v>
      </c>
      <c r="AD494">
        <f>COUNTIF(סקר!$AT$11:$AT$880,P494)</f>
        <v>0</v>
      </c>
      <c r="AF494">
        <f t="shared" si="33"/>
        <v>0</v>
      </c>
    </row>
    <row r="495" spans="16:32" ht="14.25">
      <c r="P495" s="168" t="s">
        <v>1356</v>
      </c>
      <c r="Q495" s="168" t="s">
        <v>708</v>
      </c>
      <c r="R495" s="174">
        <v>0</v>
      </c>
      <c r="S495" s="174">
        <v>0</v>
      </c>
      <c r="U495" s="160" t="str">
        <f t="shared" si="32"/>
        <v>שיטת עלי ערבה</v>
      </c>
      <c r="V495" s="178">
        <v>0</v>
      </c>
      <c r="AD495">
        <f>COUNTIF(סקר!$AT$11:$AT$880,P495)</f>
        <v>0</v>
      </c>
      <c r="AF495">
        <f t="shared" si="33"/>
        <v>0</v>
      </c>
    </row>
    <row r="496" spans="16:32" ht="14.25">
      <c r="P496" s="167" t="s">
        <v>628</v>
      </c>
      <c r="Q496" s="169" t="s">
        <v>709</v>
      </c>
      <c r="R496" s="174">
        <v>0.67</v>
      </c>
      <c r="S496" s="174">
        <v>0.67</v>
      </c>
      <c r="U496" s="160" t="str">
        <f t="shared" si="32"/>
        <v>שלטית אפריקנית</v>
      </c>
      <c r="V496" s="179">
        <v>3</v>
      </c>
      <c r="AD496">
        <f>COUNTIF(סקר!$AT$11:$AT$880,P496)</f>
        <v>0</v>
      </c>
      <c r="AF496">
        <f t="shared" si="33"/>
        <v>0</v>
      </c>
    </row>
    <row r="497" spans="16:32" ht="14.25">
      <c r="P497" s="167" t="s">
        <v>251</v>
      </c>
      <c r="Q497" s="169" t="s">
        <v>252</v>
      </c>
      <c r="R497" s="174">
        <v>0.64</v>
      </c>
      <c r="S497" s="174">
        <v>0.64</v>
      </c>
      <c r="U497" s="160" t="str">
        <f t="shared" si="32"/>
        <v>שלטית מקומטת</v>
      </c>
      <c r="V497" s="179">
        <v>3</v>
      </c>
      <c r="AD497">
        <f>COUNTIF(סקר!$AT$11:$AT$880,P497)</f>
        <v>0</v>
      </c>
      <c r="AF497">
        <f t="shared" si="33"/>
        <v>0</v>
      </c>
    </row>
    <row r="498" spans="16:32" ht="14.25">
      <c r="P498" s="167" t="s">
        <v>482</v>
      </c>
      <c r="Q498" s="169" t="s">
        <v>483</v>
      </c>
      <c r="R498" s="174">
        <v>0.57999999999999996</v>
      </c>
      <c r="S498" s="174">
        <v>0.57999999999999996</v>
      </c>
      <c r="U498" s="160" t="str">
        <f t="shared" ref="U498:U509" si="34">P498</f>
        <v>שסע פרהיבי</v>
      </c>
      <c r="V498" s="179">
        <v>3</v>
      </c>
      <c r="AD498">
        <f>COUNTIF(סקר!$AT$11:$AT$880,P498)</f>
        <v>0</v>
      </c>
      <c r="AF498">
        <f t="shared" ref="AF498:AF509" si="35">IF(AD498&gt;0,U498,0)</f>
        <v>0</v>
      </c>
    </row>
    <row r="499" spans="16:32" ht="14.25">
      <c r="P499" s="167" t="s">
        <v>484</v>
      </c>
      <c r="Q499" s="169" t="s">
        <v>485</v>
      </c>
      <c r="R499" s="174">
        <v>0.5</v>
      </c>
      <c r="S499" s="174">
        <v>0.5</v>
      </c>
      <c r="U499" s="160" t="str">
        <f t="shared" si="34"/>
        <v>שסק יפני</v>
      </c>
      <c r="V499" s="179">
        <v>3</v>
      </c>
      <c r="AD499">
        <f>COUNTIF(סקר!$AT$11:$AT$880,P499)</f>
        <v>0</v>
      </c>
      <c r="AF499">
        <f t="shared" si="35"/>
        <v>0</v>
      </c>
    </row>
    <row r="500" spans="16:32" ht="14.25">
      <c r="P500" s="167" t="s">
        <v>254</v>
      </c>
      <c r="Q500" s="169" t="s">
        <v>710</v>
      </c>
      <c r="R500" s="174">
        <v>0.66</v>
      </c>
      <c r="S500" s="174">
        <v>0.66</v>
      </c>
      <c r="U500" s="160" t="str">
        <f t="shared" si="34"/>
        <v>שקד מצוי</v>
      </c>
      <c r="V500" s="179">
        <v>3</v>
      </c>
      <c r="AD500">
        <f>COUNTIF(סקר!$AT$11:$AT$880,P500)</f>
        <v>0</v>
      </c>
      <c r="AF500">
        <f t="shared" si="35"/>
        <v>0</v>
      </c>
    </row>
    <row r="501" spans="16:32" ht="14.25">
      <c r="P501" s="167" t="s">
        <v>629</v>
      </c>
      <c r="Q501" s="169" t="s">
        <v>1315</v>
      </c>
      <c r="R501" s="174">
        <v>0.63</v>
      </c>
      <c r="S501" s="174">
        <v>0.63</v>
      </c>
      <c r="U501" s="160" t="str">
        <f t="shared" si="34"/>
        <v>תויה מינים שונים</v>
      </c>
      <c r="V501" s="179">
        <v>3</v>
      </c>
      <c r="AD501">
        <f>COUNTIF(סקר!$AT$11:$AT$880,P501)</f>
        <v>0</v>
      </c>
      <c r="AF501">
        <f t="shared" si="35"/>
        <v>0</v>
      </c>
    </row>
    <row r="502" spans="16:32" ht="14.25">
      <c r="P502" s="167" t="s">
        <v>257</v>
      </c>
      <c r="Q502" s="169" t="s">
        <v>258</v>
      </c>
      <c r="R502" s="174">
        <v>0.69</v>
      </c>
      <c r="S502" s="174">
        <v>0.69</v>
      </c>
      <c r="U502" s="160" t="str">
        <f t="shared" si="34"/>
        <v>תות לבן</v>
      </c>
      <c r="V502" s="179">
        <v>3</v>
      </c>
      <c r="AD502">
        <f>COUNTIF(סקר!$AT$11:$AT$880,P502)</f>
        <v>0</v>
      </c>
      <c r="AF502">
        <f t="shared" si="35"/>
        <v>0</v>
      </c>
    </row>
    <row r="503" spans="16:32" ht="14.25">
      <c r="P503" s="167" t="s">
        <v>630</v>
      </c>
      <c r="Q503" s="169" t="s">
        <v>1316</v>
      </c>
      <c r="R503" s="174">
        <v>0.7</v>
      </c>
      <c r="S503" s="174">
        <v>0.7</v>
      </c>
      <c r="U503" s="160" t="str">
        <f t="shared" si="34"/>
        <v>תות שחור</v>
      </c>
      <c r="V503" s="179">
        <v>4</v>
      </c>
      <c r="AD503">
        <f>COUNTIF(סקר!$AT$11:$AT$880,P503)</f>
        <v>0</v>
      </c>
      <c r="AF503">
        <f t="shared" si="35"/>
        <v>0</v>
      </c>
    </row>
    <row r="504" spans="16:32" ht="14.25">
      <c r="P504" s="167" t="s">
        <v>264</v>
      </c>
      <c r="Q504" s="169" t="s">
        <v>1317</v>
      </c>
      <c r="R504" s="174">
        <v>0.71</v>
      </c>
      <c r="S504" s="174">
        <v>0.71</v>
      </c>
      <c r="U504" s="160" t="str">
        <f t="shared" si="34"/>
        <v>תמר מצוי</v>
      </c>
      <c r="V504" s="179">
        <v>4</v>
      </c>
      <c r="AD504">
        <f>COUNTIF(סקר!$AT$11:$AT$880,P504)</f>
        <v>0</v>
      </c>
      <c r="AF504">
        <f t="shared" si="35"/>
        <v>0</v>
      </c>
    </row>
    <row r="505" spans="16:32" ht="14.25">
      <c r="P505" s="167" t="s">
        <v>799</v>
      </c>
      <c r="Q505" s="169" t="s">
        <v>800</v>
      </c>
      <c r="R505" s="174">
        <v>0.6</v>
      </c>
      <c r="S505" s="174">
        <v>0.6</v>
      </c>
      <c r="U505" s="160" t="str">
        <f t="shared" si="34"/>
        <v>תמר נטוי</v>
      </c>
      <c r="V505" s="179">
        <v>3</v>
      </c>
      <c r="AD505">
        <f>COUNTIF(סקר!$AT$11:$AT$880,P505)</f>
        <v>0</v>
      </c>
      <c r="AF505">
        <f t="shared" si="35"/>
        <v>0</v>
      </c>
    </row>
    <row r="506" spans="16:32" ht="14.25">
      <c r="P506" s="167" t="s">
        <v>801</v>
      </c>
      <c r="Q506" s="169" t="s">
        <v>267</v>
      </c>
      <c r="R506" s="174">
        <v>0.42</v>
      </c>
      <c r="S506" s="174">
        <v>0.42</v>
      </c>
      <c r="U506" s="160" t="str">
        <f t="shared" si="34"/>
        <v>תמר קנרי</v>
      </c>
      <c r="V506" s="179">
        <v>2</v>
      </c>
      <c r="AD506">
        <f>COUNTIF(סקר!$AT$11:$AT$880,P506)</f>
        <v>0</v>
      </c>
      <c r="AF506">
        <f t="shared" si="35"/>
        <v>0</v>
      </c>
    </row>
    <row r="507" spans="16:32" ht="14.25">
      <c r="P507" s="167" t="s">
        <v>488</v>
      </c>
      <c r="Q507" s="169" t="s">
        <v>489</v>
      </c>
      <c r="R507" s="174">
        <v>0.72</v>
      </c>
      <c r="S507" s="174">
        <v>0.72</v>
      </c>
      <c r="U507" s="160" t="str">
        <f t="shared" si="34"/>
        <v>תמרינד הודי</v>
      </c>
      <c r="V507" s="179">
        <v>4</v>
      </c>
      <c r="AD507">
        <f>COUNTIF(סקר!$AT$11:$AT$880,P507)</f>
        <v>0</v>
      </c>
      <c r="AF507">
        <f t="shared" si="35"/>
        <v>0</v>
      </c>
    </row>
    <row r="508" spans="16:32" ht="14.25">
      <c r="P508" s="167" t="s">
        <v>631</v>
      </c>
      <c r="Q508" s="169" t="s">
        <v>490</v>
      </c>
      <c r="R508" s="174">
        <v>0.54</v>
      </c>
      <c r="S508" s="174">
        <v>0.54</v>
      </c>
      <c r="U508" s="160" t="str">
        <f t="shared" si="34"/>
        <v>תספזיה צפצפתית</v>
      </c>
      <c r="V508" s="179">
        <v>3</v>
      </c>
      <c r="AD508">
        <f>COUNTIF(סקר!$AT$11:$AT$880,P508)</f>
        <v>0</v>
      </c>
      <c r="AF508">
        <f t="shared" si="35"/>
        <v>0</v>
      </c>
    </row>
    <row r="509" spans="16:32" ht="14.25">
      <c r="P509" s="167" t="s">
        <v>1357</v>
      </c>
      <c r="Q509" s="169" t="s">
        <v>1358</v>
      </c>
      <c r="R509" s="174">
        <v>0.48</v>
      </c>
      <c r="S509" s="174">
        <v>0.48</v>
      </c>
      <c r="U509" s="160" t="str">
        <f t="shared" si="34"/>
        <v>תפוח עץ</v>
      </c>
      <c r="V509" s="175">
        <v>3</v>
      </c>
      <c r="AD509">
        <f>COUNTIF(סקר!$AT$11:$AT$880,P509)</f>
        <v>0</v>
      </c>
      <c r="AF509">
        <f t="shared" si="35"/>
        <v>0</v>
      </c>
    </row>
  </sheetData>
  <sortState xmlns:xlrd2="http://schemas.microsoft.com/office/spreadsheetml/2017/richdata2" ref="Y4:Y18">
    <sortCondition ref="Y4:Y18"/>
  </sortState>
  <mergeCells count="9">
    <mergeCell ref="AG8:AG34"/>
    <mergeCell ref="AJ1:AM1"/>
    <mergeCell ref="AJ6:AL6"/>
    <mergeCell ref="AG2:AG7"/>
    <mergeCell ref="AJ2:AL2"/>
    <mergeCell ref="AJ4:AL4"/>
    <mergeCell ref="AJ5:AL5"/>
    <mergeCell ref="AJ3:AL3"/>
    <mergeCell ref="AJ7:AL7"/>
  </mergeCells>
  <phoneticPr fontId="1" type="noConversion"/>
  <conditionalFormatting sqref="P284:Q286 P288:Q304">
    <cfRule type="colorScale" priority="8">
      <colorScale>
        <cfvo type="min"/>
        <cfvo type="max"/>
        <color rgb="FFFCFCFF"/>
        <color rgb="FF63BE7B"/>
      </colorScale>
    </cfRule>
  </conditionalFormatting>
  <conditionalFormatting sqref="AH9:AH27">
    <cfRule type="colorScale" priority="4">
      <colorScale>
        <cfvo type="min"/>
        <cfvo type="max"/>
        <color rgb="FFFCFCFF"/>
        <color rgb="FF63BE7B"/>
      </colorScale>
    </cfRule>
  </conditionalFormatting>
  <conditionalFormatting sqref="AM2:AM6">
    <cfRule type="containsText" dxfId="9" priority="6" operator="containsText" text="כן">
      <formula>NOT(ISERROR(SEARCH("כן",AM2)))</formula>
    </cfRule>
    <cfRule type="containsText" dxfId="8" priority="7" operator="containsText" text="לא">
      <formula>NOT(ISERROR(SEARCH("לא",AM2)))</formula>
    </cfRule>
  </conditionalFormatting>
  <conditionalFormatting sqref="AY284:AY286 AY288:AY304">
    <cfRule type="colorScale" priority="3">
      <colorScale>
        <cfvo type="min"/>
        <cfvo type="max"/>
        <color rgb="FFFCFCFF"/>
        <color rgb="FF63BE7B"/>
      </colorScale>
    </cfRule>
  </conditionalFormatting>
  <conditionalFormatting sqref="AM7">
    <cfRule type="containsText" dxfId="7" priority="1" operator="containsText" text="כן">
      <formula>NOT(ISERROR(SEARCH("כן",AM7)))</formula>
    </cfRule>
    <cfRule type="containsText" dxfId="6" priority="2" operator="containsText" text="לא">
      <formula>NOT(ISERROR(SEARCH("לא",AM7)))</formula>
    </cfRule>
  </conditionalFormatting>
  <dataValidations count="5">
    <dataValidation type="list" allowBlank="1" showInputMessage="1" showErrorMessage="1" errorTitle="1" error="ערך לא קיים_x000a_בחר ערך אחר" promptTitle="מצב עץ" prompt="בחר ערך מתאים" sqref="H10" xr:uid="{00000000-0002-0000-0000-000000000000}">
      <formula1>$N$11:$N$16</formula1>
    </dataValidation>
    <dataValidation type="list" allowBlank="1" showInputMessage="1" showErrorMessage="1" errorTitle="1" error="ערך לא קיים_x000a_בחר ערך אחר" promptTitle="מיקום עץ" prompt="בחר ערך מתאים" sqref="J10" xr:uid="{00000000-0002-0000-0000-000001000000}">
      <formula1>$N$11:$N$16</formula1>
    </dataValidation>
    <dataValidation type="decimal" allowBlank="1" showInputMessage="1" showErrorMessage="1" errorTitle="בעיה בהזנת המידע- " error="עץ לא מהרשימה" promptTitle="שם העץ" prompt="נמצא" sqref="P4 P305 P284 AH28" xr:uid="{00000000-0002-0000-0000-000002000000}">
      <formula1>0</formula1>
      <formula2>1</formula2>
    </dataValidation>
    <dataValidation type="list" allowBlank="1" showInputMessage="1" showErrorMessage="1" error="לא מופיע ברשימת העצים_x000a_" promptTitle="שם העץ" sqref="F12" xr:uid="{00000000-0002-0000-0000-000003000000}">
      <formula1>$P$4:$P$281</formula1>
    </dataValidation>
    <dataValidation type="list" allowBlank="1" showInputMessage="1" showErrorMessage="1" sqref="AM2:AM7" xr:uid="{019FA61E-2EB9-4FC6-9D54-B682844D3BA7}">
      <formula1>$AP$2:$AP$3</formula1>
    </dataValidation>
  </dataValidations>
  <pageMargins left="0.75" right="0.75" top="1" bottom="1" header="0.5" footer="0.5"/>
  <pageSetup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4"/>
  <dimension ref="B3:S29"/>
  <sheetViews>
    <sheetView showGridLines="0" rightToLeft="1" topLeftCell="A2" workbookViewId="0">
      <selection activeCell="M9" sqref="M9"/>
    </sheetView>
  </sheetViews>
  <sheetFormatPr defaultRowHeight="12.75"/>
  <cols>
    <col min="1" max="1" width="6.28515625" customWidth="1"/>
    <col min="2" max="2" width="3.85546875" customWidth="1"/>
    <col min="7" max="7" width="16.42578125" customWidth="1"/>
    <col min="8" max="8" width="8" customWidth="1"/>
    <col min="12" max="12" width="7" customWidth="1"/>
    <col min="13" max="13" width="16" customWidth="1"/>
    <col min="16" max="16" width="0" hidden="1" customWidth="1"/>
  </cols>
  <sheetData>
    <row r="3" spans="2:19" ht="26.25">
      <c r="D3" s="8" t="s">
        <v>9</v>
      </c>
    </row>
    <row r="6" spans="2:19" ht="15.75" thickBot="1">
      <c r="C6" s="7" t="s">
        <v>5</v>
      </c>
      <c r="D6" s="7" t="s">
        <v>7</v>
      </c>
      <c r="E6" s="7" t="s">
        <v>8</v>
      </c>
      <c r="F6" s="1"/>
    </row>
    <row r="7" spans="2:19" ht="13.5" thickBot="1">
      <c r="C7" s="15">
        <v>20</v>
      </c>
      <c r="D7" s="17"/>
      <c r="E7" s="15"/>
      <c r="F7" s="2"/>
      <c r="M7" s="10"/>
    </row>
    <row r="8" spans="2:19" ht="21" thickTop="1">
      <c r="B8" s="3"/>
      <c r="D8" s="9" t="s">
        <v>4</v>
      </c>
      <c r="E8" s="9"/>
      <c r="F8" s="1"/>
      <c r="G8" s="9" t="s">
        <v>0</v>
      </c>
      <c r="H8" s="1"/>
      <c r="I8" s="9" t="s">
        <v>1</v>
      </c>
      <c r="J8" s="1"/>
      <c r="K8" s="9" t="s">
        <v>2</v>
      </c>
      <c r="L8" s="11"/>
      <c r="M8" s="13" t="s">
        <v>3</v>
      </c>
    </row>
    <row r="9" spans="2:19" ht="21" thickBot="1">
      <c r="B9" s="1"/>
      <c r="C9" s="4">
        <f>3.14*((C7/2)^2)</f>
        <v>314</v>
      </c>
      <c r="D9" s="4">
        <f>(3.14*((D7/2)^2))/2</f>
        <v>0</v>
      </c>
      <c r="E9" s="4">
        <f>(3.14*((E7/2)^2))/2</f>
        <v>0</v>
      </c>
      <c r="F9" s="6"/>
      <c r="G9" s="22">
        <v>0.6</v>
      </c>
      <c r="H9" s="6"/>
      <c r="I9" s="16">
        <v>1</v>
      </c>
      <c r="J9" s="6"/>
      <c r="K9" s="16">
        <v>1</v>
      </c>
      <c r="L9" s="11"/>
      <c r="M9" s="12">
        <f>G9*(C9+D9+E9)*I9*K9*20</f>
        <v>3768</v>
      </c>
    </row>
    <row r="10" spans="2:19" ht="21" thickTop="1">
      <c r="B10" s="1"/>
      <c r="G10" s="9" t="s">
        <v>491</v>
      </c>
      <c r="H10" s="21"/>
      <c r="I10" s="1"/>
      <c r="J10" s="1"/>
      <c r="K10" s="1"/>
    </row>
    <row r="11" spans="2:19" ht="15">
      <c r="B11" s="1"/>
      <c r="F11" s="23" t="s">
        <v>492</v>
      </c>
      <c r="G11" s="24" t="s">
        <v>614</v>
      </c>
      <c r="H11" s="1"/>
      <c r="I11" s="1"/>
      <c r="J11" s="1"/>
      <c r="K11" s="1"/>
      <c r="O11" s="69"/>
      <c r="P11" s="70">
        <v>0</v>
      </c>
      <c r="Q11" s="69"/>
      <c r="R11" s="69"/>
      <c r="S11" s="69"/>
    </row>
    <row r="12" spans="2:19">
      <c r="B12" s="1"/>
      <c r="C12" s="1"/>
      <c r="D12" s="1"/>
      <c r="E12" s="1"/>
      <c r="G12" s="1">
        <v>2018</v>
      </c>
      <c r="H12" s="1"/>
      <c r="I12" s="1"/>
      <c r="J12" s="1"/>
      <c r="K12" s="1"/>
      <c r="O12" s="69"/>
      <c r="P12" s="70">
        <v>0.2</v>
      </c>
      <c r="Q12" s="69"/>
      <c r="R12" s="69"/>
      <c r="S12" s="69"/>
    </row>
    <row r="13" spans="2:19">
      <c r="B13" s="1"/>
      <c r="C13" s="1"/>
      <c r="D13" s="1"/>
      <c r="E13" s="1"/>
      <c r="H13" s="1"/>
      <c r="I13" s="1"/>
      <c r="J13" s="1"/>
      <c r="K13" s="1"/>
      <c r="O13" s="69"/>
      <c r="P13" s="70">
        <v>0.4</v>
      </c>
      <c r="Q13" s="69"/>
      <c r="R13" s="69"/>
      <c r="S13" s="69"/>
    </row>
    <row r="14" spans="2:19">
      <c r="B14" s="1"/>
      <c r="C14" s="1"/>
      <c r="D14" s="1"/>
      <c r="E14" s="1"/>
      <c r="F14" s="1"/>
      <c r="G14" s="1"/>
      <c r="H14" s="1"/>
      <c r="I14" s="1"/>
      <c r="J14" s="1"/>
      <c r="K14" s="1"/>
      <c r="O14" s="69"/>
      <c r="P14" s="70">
        <v>0.6</v>
      </c>
      <c r="Q14" s="69"/>
      <c r="R14" s="69"/>
      <c r="S14" s="69"/>
    </row>
    <row r="15" spans="2:19">
      <c r="B15" s="1"/>
      <c r="C15" s="1"/>
      <c r="D15" s="1"/>
      <c r="E15" s="1"/>
      <c r="F15" s="1"/>
      <c r="G15" s="5"/>
      <c r="H15" s="1"/>
      <c r="I15" s="1"/>
      <c r="J15" s="1"/>
      <c r="K15" s="1"/>
      <c r="O15" s="69"/>
      <c r="P15" s="70">
        <v>0.8</v>
      </c>
      <c r="Q15" s="69"/>
      <c r="R15" s="69"/>
      <c r="S15" s="69"/>
    </row>
    <row r="16" spans="2:19">
      <c r="B16" s="1"/>
      <c r="C16" s="1"/>
      <c r="D16" s="1"/>
      <c r="E16" s="1"/>
      <c r="F16" s="1"/>
      <c r="G16" s="1"/>
      <c r="H16" s="1"/>
      <c r="I16" s="1"/>
      <c r="J16" s="1"/>
      <c r="K16" s="1"/>
      <c r="O16" s="69"/>
      <c r="P16" s="70">
        <v>1</v>
      </c>
      <c r="Q16" s="69"/>
      <c r="R16" s="69"/>
      <c r="S16" s="69"/>
    </row>
    <row r="17" spans="2:19">
      <c r="B17" s="1"/>
      <c r="C17" s="1"/>
      <c r="D17" s="1"/>
      <c r="E17" s="1"/>
      <c r="F17" s="1"/>
      <c r="G17" s="1"/>
      <c r="H17" s="1"/>
      <c r="I17" s="1"/>
      <c r="J17" s="1"/>
      <c r="K17" s="1"/>
      <c r="O17" s="69"/>
      <c r="P17" s="69"/>
      <c r="Q17" s="69"/>
      <c r="R17" s="69"/>
      <c r="S17" s="69"/>
    </row>
    <row r="18" spans="2:19">
      <c r="B18" s="1"/>
      <c r="C18" s="1"/>
      <c r="D18" s="1"/>
      <c r="E18" s="1"/>
      <c r="F18" s="1"/>
      <c r="G18" s="1"/>
      <c r="H18" s="1"/>
      <c r="I18" s="1"/>
      <c r="J18" s="1"/>
      <c r="K18" s="1"/>
      <c r="O18" s="69"/>
      <c r="P18" s="69"/>
      <c r="Q18" s="69"/>
      <c r="R18" s="69"/>
      <c r="S18" s="69"/>
    </row>
    <row r="19" spans="2:19">
      <c r="B19" s="1"/>
      <c r="C19" s="1"/>
      <c r="D19" s="1"/>
      <c r="E19" s="1"/>
      <c r="F19" s="1"/>
      <c r="G19" s="1"/>
      <c r="H19" s="1"/>
      <c r="I19" s="1"/>
      <c r="J19" s="1"/>
      <c r="K19" s="1"/>
      <c r="O19" s="69"/>
      <c r="P19" s="69"/>
      <c r="Q19" s="69"/>
      <c r="R19" s="69"/>
      <c r="S19" s="69"/>
    </row>
    <row r="20" spans="2:19">
      <c r="O20" s="69"/>
      <c r="P20" s="69"/>
      <c r="Q20" s="69"/>
      <c r="R20" s="69"/>
      <c r="S20" s="69"/>
    </row>
    <row r="21" spans="2:19">
      <c r="O21" s="69"/>
      <c r="P21" s="69"/>
      <c r="Q21" s="69"/>
      <c r="R21" s="69"/>
      <c r="S21" s="69"/>
    </row>
    <row r="22" spans="2:19">
      <c r="O22" s="69"/>
      <c r="P22" s="69"/>
      <c r="Q22" s="69"/>
      <c r="R22" s="69"/>
      <c r="S22" s="69"/>
    </row>
    <row r="23" spans="2:19">
      <c r="O23" s="69"/>
      <c r="P23" s="69"/>
      <c r="Q23" s="69"/>
      <c r="R23" s="69"/>
      <c r="S23" s="69"/>
    </row>
    <row r="24" spans="2:19">
      <c r="O24" s="69"/>
      <c r="P24" s="69"/>
      <c r="Q24" s="69"/>
      <c r="R24" s="69"/>
      <c r="S24" s="69"/>
    </row>
    <row r="25" spans="2:19">
      <c r="O25" s="69"/>
      <c r="P25" s="69"/>
      <c r="Q25" s="69"/>
      <c r="R25" s="69"/>
      <c r="S25" s="69"/>
    </row>
    <row r="26" spans="2:19">
      <c r="O26" s="69"/>
      <c r="P26" s="69"/>
      <c r="Q26" s="69"/>
      <c r="R26" s="69"/>
      <c r="S26" s="69"/>
    </row>
    <row r="27" spans="2:19">
      <c r="O27" s="69"/>
      <c r="P27" s="69"/>
      <c r="Q27" s="69"/>
      <c r="R27" s="69"/>
      <c r="S27" s="69"/>
    </row>
    <row r="28" spans="2:19">
      <c r="O28" s="69"/>
      <c r="P28" s="69"/>
      <c r="Q28" s="69"/>
      <c r="R28" s="69"/>
      <c r="S28" s="69"/>
    </row>
    <row r="29" spans="2:19">
      <c r="O29" s="69"/>
      <c r="P29" s="69"/>
      <c r="Q29" s="69"/>
      <c r="R29" s="69"/>
      <c r="S29" s="69"/>
    </row>
  </sheetData>
  <phoneticPr fontId="1" type="noConversion"/>
  <dataValidations count="1">
    <dataValidation type="list" allowBlank="1" showInputMessage="1" showErrorMessage="1" sqref="I9 K9" xr:uid="{00000000-0002-0000-0100-000000000000}">
      <formula1>$P$11:$P$16</formula1>
    </dataValidation>
  </dataValidations>
  <pageMargins left="0.75" right="0.75" top="1" bottom="1" header="0.5" footer="0.5"/>
  <pageSetup orientation="landscape"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5"/>
  <dimension ref="A1:B10"/>
  <sheetViews>
    <sheetView rightToLeft="1" workbookViewId="0">
      <selection activeCell="B21" sqref="B21"/>
    </sheetView>
  </sheetViews>
  <sheetFormatPr defaultRowHeight="12.75"/>
  <cols>
    <col min="1" max="1" width="64.5703125" customWidth="1"/>
    <col min="2" max="2" width="50.85546875" customWidth="1"/>
  </cols>
  <sheetData>
    <row r="1" spans="1:2" ht="15">
      <c r="A1" s="64" t="s">
        <v>714</v>
      </c>
      <c r="B1" s="64" t="s">
        <v>715</v>
      </c>
    </row>
    <row r="2" spans="1:2" ht="15.75">
      <c r="A2" s="65" t="s">
        <v>716</v>
      </c>
      <c r="B2" s="65">
        <v>0</v>
      </c>
    </row>
    <row r="3" spans="1:2" ht="35.25" customHeight="1">
      <c r="A3" s="65" t="s">
        <v>717</v>
      </c>
      <c r="B3" s="65">
        <v>0.2</v>
      </c>
    </row>
    <row r="4" spans="1:2" ht="35.25" customHeight="1">
      <c r="A4" s="65" t="s">
        <v>718</v>
      </c>
      <c r="B4" s="65">
        <v>0.4</v>
      </c>
    </row>
    <row r="5" spans="1:2" ht="33" customHeight="1">
      <c r="A5" s="259" t="s">
        <v>722</v>
      </c>
      <c r="B5" s="259">
        <v>0.6</v>
      </c>
    </row>
    <row r="6" spans="1:2" ht="30.75" customHeight="1">
      <c r="A6" s="259"/>
      <c r="B6" s="259"/>
    </row>
    <row r="7" spans="1:2" ht="31.5">
      <c r="A7" s="65" t="s">
        <v>719</v>
      </c>
      <c r="B7" s="259">
        <v>0.8</v>
      </c>
    </row>
    <row r="8" spans="1:2" ht="15.75">
      <c r="A8" s="65" t="s">
        <v>720</v>
      </c>
      <c r="B8" s="259"/>
    </row>
    <row r="9" spans="1:2" ht="35.25" customHeight="1">
      <c r="A9" s="259" t="s">
        <v>721</v>
      </c>
      <c r="B9" s="259">
        <v>1</v>
      </c>
    </row>
    <row r="10" spans="1:2" ht="6.75" customHeight="1">
      <c r="A10" s="259"/>
      <c r="B10" s="259"/>
    </row>
  </sheetData>
  <mergeCells count="5">
    <mergeCell ref="B5:B6"/>
    <mergeCell ref="B7:B8"/>
    <mergeCell ref="B9:B10"/>
    <mergeCell ref="A9:A10"/>
    <mergeCell ref="A5:A6"/>
  </mergeCell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6"/>
  <dimension ref="A1:C11"/>
  <sheetViews>
    <sheetView rightToLeft="1" workbookViewId="0">
      <selection activeCell="A3" sqref="A3:B3"/>
    </sheetView>
  </sheetViews>
  <sheetFormatPr defaultColWidth="9.140625" defaultRowHeight="15"/>
  <cols>
    <col min="1" max="1" width="24.140625" style="61" customWidth="1"/>
    <col min="2" max="2" width="54.42578125" style="61" customWidth="1"/>
    <col min="3" max="3" width="30" style="61" customWidth="1"/>
    <col min="4" max="16384" width="9.140625" style="61"/>
  </cols>
  <sheetData>
    <row r="1" spans="1:3" ht="25.5" customHeight="1">
      <c r="A1" s="260" t="s">
        <v>723</v>
      </c>
      <c r="B1" s="260"/>
      <c r="C1" s="62" t="s">
        <v>724</v>
      </c>
    </row>
    <row r="2" spans="1:3" ht="35.25" customHeight="1">
      <c r="A2" s="261" t="s">
        <v>725</v>
      </c>
      <c r="B2" s="261"/>
      <c r="C2" s="63">
        <v>0.6</v>
      </c>
    </row>
    <row r="3" spans="1:3" ht="35.25" customHeight="1">
      <c r="A3" s="261" t="s">
        <v>726</v>
      </c>
      <c r="B3" s="261"/>
      <c r="C3" s="63">
        <v>0.8</v>
      </c>
    </row>
    <row r="4" spans="1:3" ht="38.25" customHeight="1">
      <c r="A4" s="261" t="s">
        <v>727</v>
      </c>
      <c r="B4" s="261"/>
      <c r="C4" s="63">
        <v>1</v>
      </c>
    </row>
    <row r="5" spans="1:3" ht="15.75">
      <c r="A5" s="260" t="s">
        <v>728</v>
      </c>
      <c r="B5" s="260"/>
      <c r="C5" s="62" t="s">
        <v>724</v>
      </c>
    </row>
    <row r="6" spans="1:3" ht="15.75">
      <c r="A6" s="67" t="s">
        <v>729</v>
      </c>
      <c r="B6" s="67" t="s">
        <v>730</v>
      </c>
      <c r="C6" s="63"/>
    </row>
    <row r="7" spans="1:3" ht="15.75">
      <c r="A7" s="63" t="s">
        <v>731</v>
      </c>
      <c r="B7" s="66" t="s">
        <v>732</v>
      </c>
      <c r="C7" s="63">
        <v>0.2</v>
      </c>
    </row>
    <row r="8" spans="1:3" ht="15.75">
      <c r="A8" s="63" t="s">
        <v>731</v>
      </c>
      <c r="B8" s="66" t="s">
        <v>733</v>
      </c>
      <c r="C8" s="63">
        <v>0.4</v>
      </c>
    </row>
    <row r="9" spans="1:3" ht="15.75">
      <c r="A9" s="63" t="s">
        <v>731</v>
      </c>
      <c r="B9" s="66" t="s">
        <v>734</v>
      </c>
      <c r="C9" s="63">
        <v>0.6</v>
      </c>
    </row>
    <row r="10" spans="1:3" ht="15.75">
      <c r="A10" s="66" t="s">
        <v>735</v>
      </c>
      <c r="B10" s="63" t="s">
        <v>731</v>
      </c>
      <c r="C10" s="63">
        <v>0.8</v>
      </c>
    </row>
    <row r="11" spans="1:3" ht="31.5">
      <c r="A11" s="68" t="s">
        <v>736</v>
      </c>
      <c r="B11" s="66" t="s">
        <v>737</v>
      </c>
      <c r="C11" s="63">
        <v>1</v>
      </c>
    </row>
  </sheetData>
  <mergeCells count="5">
    <mergeCell ref="A1:B1"/>
    <mergeCell ref="A2:B2"/>
    <mergeCell ref="A3:B3"/>
    <mergeCell ref="A4:B4"/>
    <mergeCell ref="A5:B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7"/>
  <dimension ref="A2:H15"/>
  <sheetViews>
    <sheetView rightToLeft="1" workbookViewId="0">
      <selection activeCell="C21" sqref="C21"/>
    </sheetView>
  </sheetViews>
  <sheetFormatPr defaultRowHeight="12.75"/>
  <sheetData>
    <row r="2" spans="1:8">
      <c r="D2" s="14" t="s">
        <v>268</v>
      </c>
      <c r="F2" t="s">
        <v>10</v>
      </c>
      <c r="H2" t="s">
        <v>11</v>
      </c>
    </row>
    <row r="4" spans="1:8" ht="20.25">
      <c r="A4" s="3"/>
      <c r="B4" s="9"/>
      <c r="C4" s="1"/>
      <c r="D4" s="9" t="s">
        <v>269</v>
      </c>
      <c r="E4" s="1"/>
      <c r="F4" s="9" t="s">
        <v>1</v>
      </c>
      <c r="G4" s="1"/>
      <c r="H4" s="9" t="s">
        <v>2</v>
      </c>
    </row>
    <row r="5" spans="1:8" ht="18">
      <c r="A5" s="1"/>
      <c r="B5" s="4"/>
      <c r="C5" s="6"/>
      <c r="D5" s="4"/>
      <c r="E5" s="6"/>
      <c r="F5" s="4"/>
      <c r="G5" s="6"/>
      <c r="H5" s="4"/>
    </row>
    <row r="6" spans="1:8">
      <c r="A6" s="1"/>
      <c r="D6" s="1"/>
      <c r="E6" s="1"/>
      <c r="F6" s="1">
        <v>0.1</v>
      </c>
      <c r="G6" s="1"/>
      <c r="H6" s="1">
        <v>0.1</v>
      </c>
    </row>
    <row r="7" spans="1:8">
      <c r="A7" s="1"/>
      <c r="D7" s="1"/>
      <c r="E7" s="1"/>
      <c r="F7" s="1">
        <v>0.2</v>
      </c>
      <c r="G7" s="1"/>
      <c r="H7" s="1">
        <v>0.2</v>
      </c>
    </row>
    <row r="8" spans="1:8">
      <c r="A8" s="1"/>
      <c r="B8" s="1"/>
      <c r="C8" s="1"/>
      <c r="D8" s="1"/>
      <c r="E8" s="1"/>
      <c r="F8" s="1">
        <v>0.3</v>
      </c>
      <c r="G8" s="1"/>
      <c r="H8" s="1">
        <v>0.3</v>
      </c>
    </row>
    <row r="9" spans="1:8">
      <c r="A9" s="1"/>
      <c r="B9" s="1"/>
      <c r="C9" s="1"/>
      <c r="D9" s="1"/>
      <c r="E9" s="1"/>
      <c r="F9" s="1">
        <v>0.4</v>
      </c>
      <c r="G9" s="1"/>
      <c r="H9" s="1">
        <v>0.4</v>
      </c>
    </row>
    <row r="10" spans="1:8">
      <c r="A10" s="1"/>
      <c r="B10" s="1"/>
      <c r="C10" s="1"/>
      <c r="D10" s="1"/>
      <c r="E10" s="1"/>
      <c r="F10" s="1">
        <v>0.5</v>
      </c>
      <c r="G10" s="1"/>
      <c r="H10" s="1">
        <v>0.5</v>
      </c>
    </row>
    <row r="11" spans="1:8">
      <c r="A11" s="1"/>
      <c r="B11" s="1"/>
      <c r="C11" s="1"/>
      <c r="D11" s="5"/>
      <c r="E11" s="1"/>
      <c r="F11" s="1">
        <v>0.6</v>
      </c>
      <c r="G11" s="1"/>
      <c r="H11" s="1">
        <v>0.6</v>
      </c>
    </row>
    <row r="12" spans="1:8">
      <c r="A12" s="1"/>
      <c r="B12" s="1"/>
      <c r="C12" s="1"/>
      <c r="D12" s="1"/>
      <c r="E12" s="1"/>
      <c r="F12" s="1">
        <v>0.7</v>
      </c>
      <c r="G12" s="1"/>
      <c r="H12" s="1">
        <v>0.7</v>
      </c>
    </row>
    <row r="13" spans="1:8">
      <c r="A13" s="1"/>
      <c r="B13" s="1"/>
      <c r="C13" s="1"/>
      <c r="D13" s="1"/>
      <c r="E13" s="1"/>
      <c r="F13" s="1">
        <v>0.8</v>
      </c>
      <c r="G13" s="1"/>
      <c r="H13" s="1">
        <v>0.8</v>
      </c>
    </row>
    <row r="14" spans="1:8">
      <c r="A14" s="1"/>
      <c r="B14" s="1"/>
      <c r="C14" s="1"/>
      <c r="D14" s="1"/>
      <c r="E14" s="1"/>
      <c r="F14" s="1">
        <v>0.9</v>
      </c>
      <c r="G14" s="1"/>
      <c r="H14" s="1">
        <v>0.9</v>
      </c>
    </row>
    <row r="15" spans="1:8">
      <c r="A15" s="1"/>
      <c r="B15" s="1"/>
      <c r="C15" s="1"/>
      <c r="D15" s="1"/>
      <c r="E15" s="1"/>
      <c r="F15" s="1">
        <v>1</v>
      </c>
      <c r="G15" s="1"/>
      <c r="H15" s="1">
        <v>1</v>
      </c>
    </row>
  </sheetData>
  <phoneticPr fontId="1"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8"/>
  <dimension ref="A1:F146"/>
  <sheetViews>
    <sheetView rightToLeft="1" workbookViewId="0">
      <selection activeCell="C2" sqref="C2"/>
    </sheetView>
  </sheetViews>
  <sheetFormatPr defaultRowHeight="12.75"/>
  <cols>
    <col min="1" max="1" width="23.28515625" bestFit="1" customWidth="1"/>
    <col min="2" max="2" width="27.42578125" bestFit="1" customWidth="1"/>
    <col min="3" max="3" width="7.7109375" bestFit="1" customWidth="1"/>
  </cols>
  <sheetData>
    <row r="1" spans="1:6">
      <c r="A1" t="s">
        <v>12</v>
      </c>
      <c r="B1" t="s">
        <v>13</v>
      </c>
      <c r="C1" t="s">
        <v>0</v>
      </c>
    </row>
    <row r="2" spans="1:6">
      <c r="A2" t="s">
        <v>14</v>
      </c>
      <c r="B2" t="s">
        <v>15</v>
      </c>
      <c r="C2">
        <v>0.46100000000000002</v>
      </c>
    </row>
    <row r="3" spans="1:6">
      <c r="A3" t="s">
        <v>16</v>
      </c>
      <c r="B3" t="s">
        <v>17</v>
      </c>
      <c r="C3">
        <v>0.61899999999999999</v>
      </c>
    </row>
    <row r="4" spans="1:6">
      <c r="A4" t="s">
        <v>18</v>
      </c>
      <c r="B4" t="s">
        <v>19</v>
      </c>
      <c r="C4">
        <v>0.66700000000000004</v>
      </c>
    </row>
    <row r="5" spans="1:6">
      <c r="A5" t="s">
        <v>20</v>
      </c>
      <c r="B5" t="s">
        <v>21</v>
      </c>
      <c r="C5">
        <v>0.49</v>
      </c>
      <c r="F5" s="14"/>
    </row>
    <row r="6" spans="1:6">
      <c r="A6" t="s">
        <v>22</v>
      </c>
      <c r="B6" t="s">
        <v>23</v>
      </c>
      <c r="C6">
        <v>0.85499999999999998</v>
      </c>
    </row>
    <row r="7" spans="1:6">
      <c r="A7" t="s">
        <v>24</v>
      </c>
      <c r="B7" t="s">
        <v>25</v>
      </c>
      <c r="C7">
        <v>0.36</v>
      </c>
    </row>
    <row r="8" spans="1:6">
      <c r="A8" t="s">
        <v>26</v>
      </c>
      <c r="B8" t="s">
        <v>27</v>
      </c>
      <c r="C8">
        <v>0.6</v>
      </c>
    </row>
    <row r="9" spans="1:6">
      <c r="A9" t="s">
        <v>28</v>
      </c>
      <c r="B9" t="s">
        <v>29</v>
      </c>
      <c r="C9">
        <v>0.52500000000000002</v>
      </c>
    </row>
    <row r="10" spans="1:6">
      <c r="A10" t="s">
        <v>30</v>
      </c>
      <c r="B10" t="s">
        <v>31</v>
      </c>
      <c r="C10">
        <v>0.62</v>
      </c>
    </row>
    <row r="11" spans="1:6">
      <c r="A11" t="s">
        <v>32</v>
      </c>
      <c r="B11" t="s">
        <v>33</v>
      </c>
      <c r="C11">
        <v>0.72</v>
      </c>
    </row>
    <row r="12" spans="1:6">
      <c r="A12" t="s">
        <v>34</v>
      </c>
      <c r="C12">
        <v>0.4</v>
      </c>
    </row>
    <row r="13" spans="1:6">
      <c r="A13" t="s">
        <v>35</v>
      </c>
      <c r="B13" t="s">
        <v>36</v>
      </c>
      <c r="C13">
        <v>0.22</v>
      </c>
    </row>
    <row r="14" spans="1:6">
      <c r="A14" t="s">
        <v>37</v>
      </c>
      <c r="B14" t="s">
        <v>38</v>
      </c>
      <c r="C14">
        <v>0.67</v>
      </c>
    </row>
    <row r="15" spans="1:6">
      <c r="A15" t="s">
        <v>39</v>
      </c>
      <c r="B15" t="s">
        <v>40</v>
      </c>
      <c r="C15">
        <v>0.57800000000000007</v>
      </c>
    </row>
    <row r="16" spans="1:6">
      <c r="A16" t="s">
        <v>41</v>
      </c>
      <c r="C16">
        <v>0.7</v>
      </c>
    </row>
    <row r="17" spans="1:3">
      <c r="A17" t="s">
        <v>42</v>
      </c>
      <c r="B17" t="s">
        <v>43</v>
      </c>
      <c r="C17">
        <v>0.95</v>
      </c>
    </row>
    <row r="18" spans="1:3">
      <c r="A18" t="s">
        <v>44</v>
      </c>
      <c r="B18" t="s">
        <v>45</v>
      </c>
      <c r="C18">
        <v>0.77500000000000002</v>
      </c>
    </row>
    <row r="19" spans="1:3">
      <c r="A19" t="s">
        <v>46</v>
      </c>
      <c r="B19" t="s">
        <v>47</v>
      </c>
      <c r="C19">
        <v>0.82499999999999996</v>
      </c>
    </row>
    <row r="20" spans="1:3">
      <c r="A20" t="s">
        <v>48</v>
      </c>
      <c r="B20" t="s">
        <v>49</v>
      </c>
      <c r="C20">
        <v>0.82799999999999996</v>
      </c>
    </row>
    <row r="21" spans="1:3">
      <c r="A21" t="s">
        <v>50</v>
      </c>
      <c r="B21" t="s">
        <v>51</v>
      </c>
      <c r="C21">
        <v>0.85</v>
      </c>
    </row>
    <row r="22" spans="1:3">
      <c r="A22" t="s">
        <v>52</v>
      </c>
      <c r="B22" t="s">
        <v>53</v>
      </c>
      <c r="C22">
        <v>0.85499999999999998</v>
      </c>
    </row>
    <row r="23" spans="1:3">
      <c r="A23" t="s">
        <v>54</v>
      </c>
      <c r="B23" t="s">
        <v>55</v>
      </c>
      <c r="C23">
        <v>0.88</v>
      </c>
    </row>
    <row r="24" spans="1:3">
      <c r="A24" t="s">
        <v>56</v>
      </c>
      <c r="B24" t="s">
        <v>57</v>
      </c>
      <c r="C24">
        <v>0.88</v>
      </c>
    </row>
    <row r="25" spans="1:3">
      <c r="A25" t="s">
        <v>58</v>
      </c>
      <c r="B25" t="s">
        <v>59</v>
      </c>
      <c r="C25">
        <v>0.85600000000000009</v>
      </c>
    </row>
    <row r="26" spans="1:3">
      <c r="A26" t="s">
        <v>60</v>
      </c>
      <c r="B26" t="s">
        <v>61</v>
      </c>
      <c r="C26">
        <v>0.83299999999999996</v>
      </c>
    </row>
    <row r="27" spans="1:3">
      <c r="A27" t="s">
        <v>62</v>
      </c>
      <c r="B27" t="s">
        <v>63</v>
      </c>
      <c r="C27">
        <v>0.88</v>
      </c>
    </row>
    <row r="28" spans="1:3">
      <c r="A28" t="s">
        <v>64</v>
      </c>
      <c r="B28" t="s">
        <v>65</v>
      </c>
      <c r="C28">
        <v>0.68500000000000005</v>
      </c>
    </row>
    <row r="29" spans="1:3">
      <c r="A29" t="s">
        <v>66</v>
      </c>
      <c r="B29" t="s">
        <v>67</v>
      </c>
      <c r="C29">
        <v>0.65800000000000003</v>
      </c>
    </row>
    <row r="30" spans="1:3">
      <c r="A30" t="s">
        <v>68</v>
      </c>
      <c r="B30" t="s">
        <v>69</v>
      </c>
      <c r="C30">
        <v>0.67800000000000005</v>
      </c>
    </row>
    <row r="31" spans="1:3">
      <c r="A31" t="s">
        <v>70</v>
      </c>
      <c r="B31" t="s">
        <v>71</v>
      </c>
      <c r="C31">
        <v>0.66900000000000004</v>
      </c>
    </row>
    <row r="32" spans="1:3">
      <c r="A32" t="s">
        <v>72</v>
      </c>
      <c r="C32">
        <v>0.6</v>
      </c>
    </row>
    <row r="33" spans="1:3">
      <c r="A33" t="s">
        <v>73</v>
      </c>
      <c r="B33" t="s">
        <v>74</v>
      </c>
      <c r="C33">
        <v>0.63600000000000001</v>
      </c>
    </row>
    <row r="34" spans="1:3">
      <c r="A34" t="s">
        <v>75</v>
      </c>
      <c r="B34" t="s">
        <v>76</v>
      </c>
      <c r="C34">
        <v>0.73899999999999999</v>
      </c>
    </row>
    <row r="35" spans="1:3">
      <c r="A35" t="s">
        <v>77</v>
      </c>
      <c r="B35" t="s">
        <v>78</v>
      </c>
      <c r="C35">
        <v>0.72</v>
      </c>
    </row>
    <row r="36" spans="1:3">
      <c r="A36" t="s">
        <v>79</v>
      </c>
      <c r="B36" t="s">
        <v>80</v>
      </c>
      <c r="C36">
        <v>0.96</v>
      </c>
    </row>
    <row r="37" spans="1:3">
      <c r="A37" t="s">
        <v>81</v>
      </c>
      <c r="B37" t="s">
        <v>82</v>
      </c>
      <c r="C37">
        <v>0.93</v>
      </c>
    </row>
    <row r="38" spans="1:3">
      <c r="A38" t="s">
        <v>83</v>
      </c>
      <c r="B38" t="s">
        <v>84</v>
      </c>
      <c r="C38">
        <v>0.78800000000000003</v>
      </c>
    </row>
    <row r="39" spans="1:3">
      <c r="A39" t="s">
        <v>85</v>
      </c>
      <c r="B39" t="s">
        <v>86</v>
      </c>
      <c r="C39">
        <v>0.8</v>
      </c>
    </row>
    <row r="40" spans="1:3">
      <c r="A40" t="s">
        <v>87</v>
      </c>
      <c r="C40">
        <v>0.55000000000000004</v>
      </c>
    </row>
    <row r="41" spans="1:3">
      <c r="A41" t="s">
        <v>88</v>
      </c>
      <c r="B41" t="s">
        <v>89</v>
      </c>
      <c r="C41">
        <v>0.59499999999999997</v>
      </c>
    </row>
    <row r="42" spans="1:3">
      <c r="A42" t="s">
        <v>90</v>
      </c>
      <c r="B42" t="s">
        <v>91</v>
      </c>
      <c r="C42">
        <v>0.7</v>
      </c>
    </row>
    <row r="43" spans="1:3">
      <c r="A43" t="s">
        <v>92</v>
      </c>
      <c r="B43" t="s">
        <v>93</v>
      </c>
      <c r="C43">
        <v>0.82</v>
      </c>
    </row>
    <row r="44" spans="1:3">
      <c r="A44" t="s">
        <v>94</v>
      </c>
      <c r="B44" t="s">
        <v>95</v>
      </c>
      <c r="C44">
        <v>0.75</v>
      </c>
    </row>
    <row r="45" spans="1:3">
      <c r="A45" t="s">
        <v>96</v>
      </c>
      <c r="B45" t="s">
        <v>97</v>
      </c>
      <c r="C45">
        <v>0.72499999999999998</v>
      </c>
    </row>
    <row r="46" spans="1:3">
      <c r="A46" t="s">
        <v>98</v>
      </c>
      <c r="B46" t="s">
        <v>99</v>
      </c>
      <c r="C46">
        <v>0.69499999999999995</v>
      </c>
    </row>
    <row r="47" spans="1:3">
      <c r="A47" t="s">
        <v>100</v>
      </c>
      <c r="B47" t="s">
        <v>101</v>
      </c>
      <c r="C47">
        <v>0.73299999999999998</v>
      </c>
    </row>
    <row r="48" spans="1:3">
      <c r="A48" t="s">
        <v>102</v>
      </c>
      <c r="B48" t="s">
        <v>103</v>
      </c>
      <c r="C48">
        <v>0.80600000000000005</v>
      </c>
    </row>
    <row r="49" spans="1:3">
      <c r="A49" t="s">
        <v>104</v>
      </c>
      <c r="B49" t="s">
        <v>105</v>
      </c>
      <c r="C49">
        <v>0.71499999999999997</v>
      </c>
    </row>
    <row r="50" spans="1:3">
      <c r="A50" t="s">
        <v>106</v>
      </c>
      <c r="B50" t="s">
        <v>107</v>
      </c>
      <c r="C50">
        <v>0.69199999999999995</v>
      </c>
    </row>
    <row r="51" spans="1:3">
      <c r="A51" t="s">
        <v>108</v>
      </c>
      <c r="B51" t="s">
        <v>109</v>
      </c>
      <c r="C51">
        <v>0.54</v>
      </c>
    </row>
    <row r="52" spans="1:3">
      <c r="A52" t="s">
        <v>110</v>
      </c>
      <c r="B52" t="s">
        <v>111</v>
      </c>
      <c r="C52">
        <v>0.84</v>
      </c>
    </row>
    <row r="53" spans="1:3">
      <c r="A53" t="s">
        <v>112</v>
      </c>
      <c r="B53" t="s">
        <v>113</v>
      </c>
      <c r="C53">
        <v>0.75</v>
      </c>
    </row>
    <row r="54" spans="1:3">
      <c r="A54" t="s">
        <v>114</v>
      </c>
      <c r="B54" t="s">
        <v>115</v>
      </c>
      <c r="C54">
        <v>0.84</v>
      </c>
    </row>
    <row r="55" spans="1:3">
      <c r="A55" t="s">
        <v>116</v>
      </c>
      <c r="B55" t="s">
        <v>117</v>
      </c>
      <c r="C55">
        <v>0.74</v>
      </c>
    </row>
    <row r="56" spans="1:3">
      <c r="A56" t="s">
        <v>118</v>
      </c>
      <c r="C56">
        <v>0.6</v>
      </c>
    </row>
    <row r="57" spans="1:3">
      <c r="A57" t="s">
        <v>119</v>
      </c>
      <c r="B57" t="s">
        <v>120</v>
      </c>
      <c r="C57">
        <v>0.6</v>
      </c>
    </row>
    <row r="58" spans="1:3">
      <c r="A58" t="s">
        <v>121</v>
      </c>
      <c r="B58" t="s">
        <v>122</v>
      </c>
      <c r="C58">
        <v>0.76400000000000001</v>
      </c>
    </row>
    <row r="59" spans="1:3">
      <c r="A59" t="s">
        <v>123</v>
      </c>
      <c r="B59" t="s">
        <v>124</v>
      </c>
      <c r="C59">
        <v>0.75600000000000001</v>
      </c>
    </row>
    <row r="60" spans="1:3">
      <c r="A60" t="s">
        <v>125</v>
      </c>
      <c r="B60" t="s">
        <v>126</v>
      </c>
      <c r="C60">
        <v>0.71</v>
      </c>
    </row>
    <row r="61" spans="1:3">
      <c r="A61" t="s">
        <v>127</v>
      </c>
      <c r="C61">
        <v>0.9</v>
      </c>
    </row>
    <row r="62" spans="1:3">
      <c r="A62" t="s">
        <v>128</v>
      </c>
      <c r="C62">
        <v>0.75</v>
      </c>
    </row>
    <row r="63" spans="1:3">
      <c r="A63" t="s">
        <v>129</v>
      </c>
      <c r="B63" t="s">
        <v>130</v>
      </c>
      <c r="C63">
        <v>0.76</v>
      </c>
    </row>
    <row r="64" spans="1:3">
      <c r="A64" t="s">
        <v>131</v>
      </c>
      <c r="B64" t="s">
        <v>132</v>
      </c>
      <c r="C64">
        <v>0.5</v>
      </c>
    </row>
    <row r="65" spans="1:3">
      <c r="A65" t="s">
        <v>133</v>
      </c>
      <c r="B65" t="s">
        <v>134</v>
      </c>
      <c r="C65">
        <v>0.75</v>
      </c>
    </row>
    <row r="66" spans="1:3">
      <c r="A66" t="s">
        <v>135</v>
      </c>
      <c r="B66" t="s">
        <v>136</v>
      </c>
      <c r="C66">
        <v>0.78800000000000003</v>
      </c>
    </row>
    <row r="67" spans="1:3">
      <c r="A67" t="s">
        <v>137</v>
      </c>
      <c r="B67" t="s">
        <v>138</v>
      </c>
      <c r="C67">
        <v>0.68500000000000005</v>
      </c>
    </row>
    <row r="68" spans="1:3">
      <c r="A68" t="s">
        <v>139</v>
      </c>
      <c r="B68" t="s">
        <v>140</v>
      </c>
      <c r="C68">
        <v>0.80500000000000005</v>
      </c>
    </row>
    <row r="69" spans="1:3">
      <c r="A69" t="s">
        <v>141</v>
      </c>
      <c r="B69" t="s">
        <v>142</v>
      </c>
      <c r="C69">
        <v>0.78500000000000003</v>
      </c>
    </row>
    <row r="70" spans="1:3">
      <c r="A70" t="s">
        <v>143</v>
      </c>
      <c r="C70">
        <v>0.8</v>
      </c>
    </row>
    <row r="71" spans="1:3">
      <c r="A71" t="s">
        <v>144</v>
      </c>
      <c r="C71">
        <v>0.75</v>
      </c>
    </row>
    <row r="72" spans="1:3">
      <c r="A72" t="s">
        <v>145</v>
      </c>
      <c r="B72" t="s">
        <v>146</v>
      </c>
      <c r="C72">
        <v>0.76100000000000001</v>
      </c>
    </row>
    <row r="73" spans="1:3">
      <c r="A73" t="s">
        <v>147</v>
      </c>
      <c r="B73" t="s">
        <v>148</v>
      </c>
      <c r="C73">
        <v>0.53</v>
      </c>
    </row>
    <row r="74" spans="1:3">
      <c r="A74" t="s">
        <v>149</v>
      </c>
      <c r="C74">
        <v>0.7</v>
      </c>
    </row>
    <row r="75" spans="1:3">
      <c r="A75" t="s">
        <v>150</v>
      </c>
      <c r="C75">
        <v>0.8</v>
      </c>
    </row>
    <row r="76" spans="1:3">
      <c r="A76" t="s">
        <v>151</v>
      </c>
      <c r="B76" t="s">
        <v>152</v>
      </c>
      <c r="C76">
        <v>0.78800000000000003</v>
      </c>
    </row>
    <row r="77" spans="1:3">
      <c r="A77" t="s">
        <v>153</v>
      </c>
      <c r="B77" t="s">
        <v>154</v>
      </c>
      <c r="C77">
        <v>0.65</v>
      </c>
    </row>
    <row r="78" spans="1:3">
      <c r="A78" t="s">
        <v>155</v>
      </c>
      <c r="B78" t="s">
        <v>156</v>
      </c>
      <c r="C78">
        <v>0.6</v>
      </c>
    </row>
    <row r="79" spans="1:3">
      <c r="A79" t="s">
        <v>157</v>
      </c>
      <c r="B79" t="s">
        <v>158</v>
      </c>
      <c r="C79">
        <v>0.75</v>
      </c>
    </row>
    <row r="80" spans="1:3">
      <c r="A80" t="s">
        <v>159</v>
      </c>
      <c r="B80" t="s">
        <v>160</v>
      </c>
      <c r="C80">
        <v>0.71299999999999997</v>
      </c>
    </row>
    <row r="81" spans="1:3">
      <c r="A81" t="s">
        <v>161</v>
      </c>
      <c r="B81" t="s">
        <v>162</v>
      </c>
      <c r="C81">
        <v>0.68500000000000005</v>
      </c>
    </row>
    <row r="82" spans="1:3">
      <c r="A82" t="s">
        <v>163</v>
      </c>
      <c r="B82" t="s">
        <v>164</v>
      </c>
      <c r="C82">
        <v>0.74</v>
      </c>
    </row>
    <row r="83" spans="1:3">
      <c r="A83" t="s">
        <v>165</v>
      </c>
      <c r="B83" t="s">
        <v>166</v>
      </c>
      <c r="C83">
        <v>0.74</v>
      </c>
    </row>
    <row r="84" spans="1:3">
      <c r="A84" t="s">
        <v>167</v>
      </c>
      <c r="B84" t="s">
        <v>168</v>
      </c>
      <c r="C84">
        <v>0.8</v>
      </c>
    </row>
    <row r="85" spans="1:3">
      <c r="A85" t="s">
        <v>169</v>
      </c>
      <c r="B85" t="s">
        <v>170</v>
      </c>
      <c r="C85">
        <v>0.85</v>
      </c>
    </row>
    <row r="86" spans="1:3">
      <c r="A86" t="s">
        <v>171</v>
      </c>
      <c r="B86" t="s">
        <v>172</v>
      </c>
      <c r="C86">
        <v>0.57999999999999996</v>
      </c>
    </row>
    <row r="87" spans="1:3">
      <c r="A87" t="s">
        <v>173</v>
      </c>
      <c r="C87">
        <v>0.6</v>
      </c>
    </row>
    <row r="88" spans="1:3">
      <c r="A88" t="s">
        <v>174</v>
      </c>
      <c r="B88" t="s">
        <v>175</v>
      </c>
      <c r="C88">
        <v>0.75600000000000001</v>
      </c>
    </row>
    <row r="89" spans="1:3">
      <c r="A89" t="s">
        <v>176</v>
      </c>
      <c r="B89" t="s">
        <v>177</v>
      </c>
      <c r="C89">
        <v>0.59400000000000008</v>
      </c>
    </row>
    <row r="90" spans="1:3">
      <c r="A90" t="s">
        <v>178</v>
      </c>
      <c r="B90" t="s">
        <v>179</v>
      </c>
      <c r="C90">
        <v>0.64300000000000002</v>
      </c>
    </row>
    <row r="91" spans="1:3">
      <c r="A91" t="s">
        <v>180</v>
      </c>
      <c r="B91" t="s">
        <v>181</v>
      </c>
      <c r="C91">
        <v>0.7</v>
      </c>
    </row>
    <row r="92" spans="1:3">
      <c r="A92" t="s">
        <v>182</v>
      </c>
      <c r="B92" t="s">
        <v>183</v>
      </c>
      <c r="C92">
        <v>0.78300000000000003</v>
      </c>
    </row>
    <row r="93" spans="1:3">
      <c r="A93" t="s">
        <v>184</v>
      </c>
      <c r="B93" t="s">
        <v>185</v>
      </c>
      <c r="C93">
        <v>0.55000000000000004</v>
      </c>
    </row>
    <row r="94" spans="1:3">
      <c r="A94" t="s">
        <v>186</v>
      </c>
      <c r="B94" t="s">
        <v>187</v>
      </c>
      <c r="C94">
        <v>0.7</v>
      </c>
    </row>
    <row r="95" spans="1:3">
      <c r="A95" t="s">
        <v>188</v>
      </c>
      <c r="C95">
        <v>0.7</v>
      </c>
    </row>
    <row r="96" spans="1:3">
      <c r="A96" t="s">
        <v>189</v>
      </c>
      <c r="B96" t="s">
        <v>190</v>
      </c>
      <c r="C96">
        <v>0.48499999999999999</v>
      </c>
    </row>
    <row r="97" spans="1:3">
      <c r="A97" t="s">
        <v>191</v>
      </c>
      <c r="C97">
        <v>0.65</v>
      </c>
    </row>
    <row r="98" spans="1:3">
      <c r="A98" t="s">
        <v>192</v>
      </c>
      <c r="B98" t="s">
        <v>193</v>
      </c>
      <c r="C98">
        <v>0.55000000000000004</v>
      </c>
    </row>
    <row r="99" spans="1:3">
      <c r="A99" t="s">
        <v>194</v>
      </c>
      <c r="C99">
        <v>0.5</v>
      </c>
    </row>
    <row r="100" spans="1:3">
      <c r="A100" t="s">
        <v>195</v>
      </c>
      <c r="C100">
        <v>0.7</v>
      </c>
    </row>
    <row r="101" spans="1:3">
      <c r="A101" t="s">
        <v>196</v>
      </c>
      <c r="C101">
        <v>0.7</v>
      </c>
    </row>
    <row r="102" spans="1:3">
      <c r="A102" t="s">
        <v>197</v>
      </c>
      <c r="C102">
        <v>0.8</v>
      </c>
    </row>
    <row r="103" spans="1:3">
      <c r="A103" t="s">
        <v>198</v>
      </c>
      <c r="C103">
        <v>0.9</v>
      </c>
    </row>
    <row r="104" spans="1:3">
      <c r="A104" t="s">
        <v>199</v>
      </c>
      <c r="B104" t="s">
        <v>200</v>
      </c>
      <c r="C104">
        <v>0.64500000000000002</v>
      </c>
    </row>
    <row r="105" spans="1:3">
      <c r="A105" t="s">
        <v>201</v>
      </c>
      <c r="C105">
        <v>0.65</v>
      </c>
    </row>
    <row r="106" spans="1:3">
      <c r="A106" t="s">
        <v>202</v>
      </c>
      <c r="B106" t="s">
        <v>203</v>
      </c>
      <c r="C106">
        <v>0.7</v>
      </c>
    </row>
    <row r="107" spans="1:3">
      <c r="A107" t="s">
        <v>204</v>
      </c>
      <c r="B107" t="s">
        <v>205</v>
      </c>
      <c r="C107">
        <v>0.755</v>
      </c>
    </row>
    <row r="108" spans="1:3">
      <c r="A108" t="s">
        <v>206</v>
      </c>
      <c r="B108" t="s">
        <v>207</v>
      </c>
      <c r="C108">
        <v>0.71499999999999997</v>
      </c>
    </row>
    <row r="109" spans="1:3">
      <c r="A109" t="s">
        <v>208</v>
      </c>
      <c r="B109" t="s">
        <v>209</v>
      </c>
      <c r="C109">
        <v>0.77</v>
      </c>
    </row>
    <row r="110" spans="1:3">
      <c r="A110" t="s">
        <v>210</v>
      </c>
      <c r="B110" t="s">
        <v>211</v>
      </c>
      <c r="C110">
        <v>0.745</v>
      </c>
    </row>
    <row r="111" spans="1:3">
      <c r="A111" t="s">
        <v>212</v>
      </c>
      <c r="B111" t="s">
        <v>213</v>
      </c>
      <c r="C111">
        <v>0.66300000000000003</v>
      </c>
    </row>
    <row r="112" spans="1:3">
      <c r="A112" t="s">
        <v>214</v>
      </c>
      <c r="B112" t="s">
        <v>215</v>
      </c>
      <c r="C112">
        <v>0.61</v>
      </c>
    </row>
    <row r="113" spans="1:3">
      <c r="A113" t="s">
        <v>216</v>
      </c>
      <c r="C113">
        <v>0.75</v>
      </c>
    </row>
    <row r="114" spans="1:3">
      <c r="A114" t="s">
        <v>217</v>
      </c>
      <c r="B114" t="s">
        <v>218</v>
      </c>
      <c r="C114">
        <v>0.435</v>
      </c>
    </row>
    <row r="115" spans="1:3">
      <c r="A115" t="s">
        <v>219</v>
      </c>
      <c r="B115" t="s">
        <v>220</v>
      </c>
      <c r="C115">
        <v>0.7</v>
      </c>
    </row>
    <row r="116" spans="1:3">
      <c r="A116" t="s">
        <v>221</v>
      </c>
      <c r="B116" t="s">
        <v>222</v>
      </c>
      <c r="C116">
        <v>0.63</v>
      </c>
    </row>
    <row r="117" spans="1:3">
      <c r="A117" t="s">
        <v>223</v>
      </c>
      <c r="B117" t="s">
        <v>224</v>
      </c>
      <c r="C117">
        <v>0.79500000000000004</v>
      </c>
    </row>
    <row r="118" spans="1:3">
      <c r="A118" t="s">
        <v>225</v>
      </c>
      <c r="C118">
        <v>0.4</v>
      </c>
    </row>
    <row r="119" spans="1:3">
      <c r="A119" t="s">
        <v>226</v>
      </c>
      <c r="B119" t="s">
        <v>227</v>
      </c>
      <c r="C119">
        <v>0.62</v>
      </c>
    </row>
    <row r="120" spans="1:3">
      <c r="A120" t="s">
        <v>228</v>
      </c>
      <c r="B120" t="s">
        <v>229</v>
      </c>
      <c r="C120">
        <v>0.68099999999999994</v>
      </c>
    </row>
    <row r="121" spans="1:3">
      <c r="A121" t="s">
        <v>230</v>
      </c>
      <c r="B121" t="s">
        <v>231</v>
      </c>
      <c r="C121">
        <v>0.50600000000000001</v>
      </c>
    </row>
    <row r="122" spans="1:3">
      <c r="A122" t="s">
        <v>232</v>
      </c>
      <c r="B122" t="s">
        <v>233</v>
      </c>
      <c r="C122">
        <v>0.92</v>
      </c>
    </row>
    <row r="123" spans="1:3">
      <c r="A123" t="s">
        <v>234</v>
      </c>
      <c r="B123" t="s">
        <v>235</v>
      </c>
      <c r="C123">
        <v>0.76400000000000001</v>
      </c>
    </row>
    <row r="124" spans="1:3">
      <c r="A124" t="s">
        <v>236</v>
      </c>
      <c r="C124">
        <v>0.7</v>
      </c>
    </row>
    <row r="125" spans="1:3">
      <c r="A125" t="s">
        <v>237</v>
      </c>
      <c r="C125">
        <v>0.62</v>
      </c>
    </row>
    <row r="126" spans="1:3">
      <c r="A126" t="s">
        <v>238</v>
      </c>
      <c r="C126">
        <v>0.5</v>
      </c>
    </row>
    <row r="127" spans="1:3">
      <c r="A127" t="s">
        <v>239</v>
      </c>
      <c r="C127">
        <v>0.55000000000000004</v>
      </c>
    </row>
    <row r="128" spans="1:3">
      <c r="A128" t="s">
        <v>240</v>
      </c>
      <c r="C128">
        <v>0.6</v>
      </c>
    </row>
    <row r="129" spans="1:3">
      <c r="A129" t="s">
        <v>241</v>
      </c>
      <c r="C129">
        <v>0.7</v>
      </c>
    </row>
    <row r="130" spans="1:3">
      <c r="A130" t="s">
        <v>242</v>
      </c>
      <c r="B130" t="s">
        <v>243</v>
      </c>
      <c r="C130">
        <v>0.68</v>
      </c>
    </row>
    <row r="131" spans="1:3">
      <c r="A131" t="s">
        <v>244</v>
      </c>
      <c r="C131">
        <v>0.85</v>
      </c>
    </row>
    <row r="132" spans="1:3">
      <c r="A132" t="s">
        <v>245</v>
      </c>
      <c r="B132" t="s">
        <v>246</v>
      </c>
      <c r="C132">
        <v>0.56399999999999995</v>
      </c>
    </row>
    <row r="133" spans="1:3">
      <c r="A133" t="s">
        <v>247</v>
      </c>
      <c r="C133">
        <v>0.1</v>
      </c>
    </row>
    <row r="134" spans="1:3">
      <c r="A134" t="s">
        <v>248</v>
      </c>
      <c r="C134">
        <v>0.9</v>
      </c>
    </row>
    <row r="135" spans="1:3">
      <c r="A135" t="s">
        <v>249</v>
      </c>
      <c r="B135" t="s">
        <v>250</v>
      </c>
      <c r="C135">
        <v>0.60599999999999998</v>
      </c>
    </row>
    <row r="136" spans="1:3">
      <c r="A136" t="s">
        <v>251</v>
      </c>
      <c r="B136" t="s">
        <v>252</v>
      </c>
      <c r="C136">
        <v>0.7</v>
      </c>
    </row>
    <row r="137" spans="1:3">
      <c r="A137" t="s">
        <v>253</v>
      </c>
      <c r="C137">
        <v>0.7</v>
      </c>
    </row>
    <row r="138" spans="1:3">
      <c r="A138" t="s">
        <v>254</v>
      </c>
      <c r="C138">
        <v>0.5</v>
      </c>
    </row>
    <row r="139" spans="1:3">
      <c r="A139" t="s">
        <v>255</v>
      </c>
      <c r="C139">
        <v>0.65</v>
      </c>
    </row>
    <row r="140" spans="1:3">
      <c r="A140" t="s">
        <v>256</v>
      </c>
      <c r="C140">
        <v>0.75</v>
      </c>
    </row>
    <row r="141" spans="1:3">
      <c r="A141" t="s">
        <v>257</v>
      </c>
      <c r="B141" t="s">
        <v>258</v>
      </c>
      <c r="C141">
        <v>0.56499999999999995</v>
      </c>
    </row>
    <row r="142" spans="1:3">
      <c r="A142" t="s">
        <v>259</v>
      </c>
      <c r="B142" t="s">
        <v>260</v>
      </c>
      <c r="C142">
        <v>0.67</v>
      </c>
    </row>
    <row r="143" spans="1:3">
      <c r="A143" t="s">
        <v>261</v>
      </c>
      <c r="B143" t="s">
        <v>262</v>
      </c>
      <c r="C143">
        <v>0.7</v>
      </c>
    </row>
    <row r="144" spans="1:3">
      <c r="A144" t="s">
        <v>263</v>
      </c>
      <c r="C144">
        <v>0.5</v>
      </c>
    </row>
    <row r="145" spans="1:3">
      <c r="A145" t="s">
        <v>264</v>
      </c>
      <c r="B145" t="s">
        <v>265</v>
      </c>
      <c r="C145">
        <v>0.77500000000000002</v>
      </c>
    </row>
    <row r="146" spans="1:3">
      <c r="A146" t="s">
        <v>266</v>
      </c>
      <c r="B146" t="s">
        <v>267</v>
      </c>
      <c r="C146">
        <v>0.78500000000000003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9"/>
  <dimension ref="A1"/>
  <sheetViews>
    <sheetView rightToLeft="1" workbookViewId="0"/>
  </sheetViews>
  <sheetFormatPr defaultRowHeight="12.7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10"/>
  <dimension ref="A1:C274"/>
  <sheetViews>
    <sheetView rightToLeft="1" topLeftCell="A252" workbookViewId="0">
      <selection activeCell="A262" sqref="A262"/>
    </sheetView>
  </sheetViews>
  <sheetFormatPr defaultRowHeight="12.75"/>
  <cols>
    <col min="1" max="1" width="30.7109375" bestFit="1" customWidth="1"/>
    <col min="2" max="2" width="43.28515625" bestFit="1" customWidth="1"/>
    <col min="3" max="3" width="11.7109375" customWidth="1"/>
  </cols>
  <sheetData>
    <row r="1" spans="1:3" ht="13.5" thickBot="1">
      <c r="C1">
        <v>3</v>
      </c>
    </row>
    <row r="2" spans="1:3" ht="38.25" thickBot="1">
      <c r="A2" s="18" t="s">
        <v>12</v>
      </c>
      <c r="B2" s="19" t="s">
        <v>270</v>
      </c>
      <c r="C2" s="20" t="s">
        <v>713</v>
      </c>
    </row>
    <row r="3" spans="1:3" ht="15.75">
      <c r="A3" s="50" t="s">
        <v>507</v>
      </c>
      <c r="B3" s="51" t="s">
        <v>632</v>
      </c>
      <c r="C3" s="52">
        <v>0.55000000000000004</v>
      </c>
    </row>
    <row r="4" spans="1:3" ht="15.75">
      <c r="A4" s="53" t="s">
        <v>508</v>
      </c>
      <c r="B4" s="47" t="s">
        <v>271</v>
      </c>
      <c r="C4" s="54">
        <v>0.6</v>
      </c>
    </row>
    <row r="5" spans="1:3" ht="15.75">
      <c r="A5" s="53" t="s">
        <v>16</v>
      </c>
      <c r="B5" s="47" t="s">
        <v>17</v>
      </c>
      <c r="C5" s="54">
        <v>0.6</v>
      </c>
    </row>
    <row r="6" spans="1:3" ht="15.75">
      <c r="A6" s="55" t="s">
        <v>14</v>
      </c>
      <c r="B6" s="47" t="s">
        <v>15</v>
      </c>
      <c r="C6" s="54">
        <v>0.5</v>
      </c>
    </row>
    <row r="7" spans="1:3" ht="15.75">
      <c r="A7" s="53" t="s">
        <v>509</v>
      </c>
      <c r="B7" s="47" t="s">
        <v>272</v>
      </c>
      <c r="C7" s="54">
        <v>0.55000000000000004</v>
      </c>
    </row>
    <row r="8" spans="1:3" ht="15.75">
      <c r="A8" s="53" t="s">
        <v>510</v>
      </c>
      <c r="B8" s="47" t="s">
        <v>19</v>
      </c>
      <c r="C8" s="54">
        <v>0.55000000000000004</v>
      </c>
    </row>
    <row r="9" spans="1:3" ht="15.75">
      <c r="A9" s="53" t="s">
        <v>273</v>
      </c>
      <c r="B9" s="47" t="s">
        <v>274</v>
      </c>
      <c r="C9" s="54">
        <v>0.45</v>
      </c>
    </row>
    <row r="10" spans="1:3" ht="15.75">
      <c r="A10" s="53" t="s">
        <v>275</v>
      </c>
      <c r="B10" s="47" t="s">
        <v>276</v>
      </c>
      <c r="C10" s="54">
        <v>0.85</v>
      </c>
    </row>
    <row r="11" spans="1:3" ht="15.75">
      <c r="A11" s="53" t="s">
        <v>511</v>
      </c>
      <c r="B11" s="47" t="s">
        <v>633</v>
      </c>
      <c r="C11" s="54">
        <v>0.6</v>
      </c>
    </row>
    <row r="12" spans="1:3" ht="15.75">
      <c r="A12" s="53" t="s">
        <v>512</v>
      </c>
      <c r="B12" s="47" t="s">
        <v>634</v>
      </c>
      <c r="C12" s="54">
        <v>0.45</v>
      </c>
    </row>
    <row r="13" spans="1:3" ht="15.75">
      <c r="A13" s="53" t="s">
        <v>20</v>
      </c>
      <c r="B13" s="47" t="s">
        <v>21</v>
      </c>
      <c r="C13" s="54">
        <v>0.45</v>
      </c>
    </row>
    <row r="14" spans="1:3" ht="15.75">
      <c r="A14" s="53" t="s">
        <v>513</v>
      </c>
      <c r="B14" s="47" t="s">
        <v>635</v>
      </c>
      <c r="C14" s="54">
        <v>0.7</v>
      </c>
    </row>
    <row r="15" spans="1:3" ht="15.75">
      <c r="A15" s="53" t="s">
        <v>22</v>
      </c>
      <c r="B15" s="47" t="s">
        <v>23</v>
      </c>
      <c r="C15" s="54">
        <v>0.85</v>
      </c>
    </row>
    <row r="16" spans="1:3" ht="15.75">
      <c r="A16" s="53" t="s">
        <v>514</v>
      </c>
      <c r="B16" s="47" t="s">
        <v>277</v>
      </c>
      <c r="C16" s="54">
        <v>0.65</v>
      </c>
    </row>
    <row r="17" spans="1:3" ht="15.75">
      <c r="A17" s="56" t="s">
        <v>515</v>
      </c>
      <c r="B17" s="47" t="s">
        <v>636</v>
      </c>
      <c r="C17" s="54">
        <v>0.6</v>
      </c>
    </row>
    <row r="18" spans="1:3" ht="15.75">
      <c r="A18" s="53" t="s">
        <v>516</v>
      </c>
      <c r="B18" s="47" t="s">
        <v>637</v>
      </c>
      <c r="C18" s="54">
        <v>0.5</v>
      </c>
    </row>
    <row r="19" spans="1:3" ht="15.75">
      <c r="A19" s="53" t="s">
        <v>517</v>
      </c>
      <c r="B19" s="47" t="s">
        <v>638</v>
      </c>
      <c r="C19" s="54">
        <v>0.55000000000000004</v>
      </c>
    </row>
    <row r="20" spans="1:3" ht="15.75">
      <c r="A20" s="53" t="s">
        <v>518</v>
      </c>
      <c r="B20" s="47" t="s">
        <v>639</v>
      </c>
      <c r="C20" s="54">
        <v>0.5</v>
      </c>
    </row>
    <row r="21" spans="1:3" ht="15.75">
      <c r="A21" s="53" t="s">
        <v>519</v>
      </c>
      <c r="B21" s="47" t="s">
        <v>278</v>
      </c>
      <c r="C21" s="54">
        <v>0.7</v>
      </c>
    </row>
    <row r="22" spans="1:3" ht="12.75" customHeight="1">
      <c r="A22" s="53" t="s">
        <v>520</v>
      </c>
      <c r="B22" s="47" t="s">
        <v>279</v>
      </c>
      <c r="C22" s="54">
        <v>0.8</v>
      </c>
    </row>
    <row r="23" spans="1:3" ht="13.5" customHeight="1">
      <c r="A23" s="53" t="s">
        <v>521</v>
      </c>
      <c r="B23" s="47" t="s">
        <v>640</v>
      </c>
      <c r="C23" s="54">
        <v>0.6</v>
      </c>
    </row>
    <row r="24" spans="1:3" ht="15.75">
      <c r="A24" s="53" t="s">
        <v>28</v>
      </c>
      <c r="B24" s="47" t="s">
        <v>29</v>
      </c>
      <c r="C24" s="54">
        <v>0.5</v>
      </c>
    </row>
    <row r="25" spans="1:3" ht="15.75">
      <c r="A25" s="53" t="s">
        <v>522</v>
      </c>
      <c r="B25" s="47" t="s">
        <v>31</v>
      </c>
      <c r="C25" s="54">
        <v>0.65</v>
      </c>
    </row>
    <row r="26" spans="1:3" ht="15.75">
      <c r="A26" s="53" t="s">
        <v>32</v>
      </c>
      <c r="B26" s="47" t="s">
        <v>280</v>
      </c>
      <c r="C26" s="54">
        <v>0.65</v>
      </c>
    </row>
    <row r="27" spans="1:3" ht="15.75">
      <c r="A27" s="53" t="s">
        <v>34</v>
      </c>
      <c r="B27" s="47" t="s">
        <v>281</v>
      </c>
      <c r="C27" s="54">
        <v>0.5</v>
      </c>
    </row>
    <row r="28" spans="1:3" ht="15.75">
      <c r="A28" s="53" t="s">
        <v>35</v>
      </c>
      <c r="B28" s="47" t="s">
        <v>36</v>
      </c>
      <c r="C28" s="54">
        <v>0.1</v>
      </c>
    </row>
    <row r="29" spans="1:3" ht="15.75">
      <c r="A29" s="53" t="s">
        <v>282</v>
      </c>
      <c r="B29" s="47" t="s">
        <v>283</v>
      </c>
      <c r="C29" s="54">
        <v>0.5</v>
      </c>
    </row>
    <row r="30" spans="1:3" ht="15.75">
      <c r="A30" s="53" t="s">
        <v>523</v>
      </c>
      <c r="B30" s="48" t="s">
        <v>641</v>
      </c>
      <c r="C30" s="54">
        <v>0.65</v>
      </c>
    </row>
    <row r="31" spans="1:3" ht="15.75">
      <c r="A31" s="53" t="s">
        <v>524</v>
      </c>
      <c r="B31" s="47" t="s">
        <v>284</v>
      </c>
      <c r="C31" s="54">
        <v>0.55000000000000004</v>
      </c>
    </row>
    <row r="32" spans="1:3" ht="15.75">
      <c r="A32" s="53" t="s">
        <v>525</v>
      </c>
      <c r="B32" s="47" t="s">
        <v>297</v>
      </c>
      <c r="C32" s="54">
        <v>0.7</v>
      </c>
    </row>
    <row r="33" spans="1:3" ht="15.75">
      <c r="A33" s="53" t="s">
        <v>526</v>
      </c>
      <c r="B33" s="48" t="s">
        <v>642</v>
      </c>
      <c r="C33" s="54">
        <v>0.6</v>
      </c>
    </row>
    <row r="34" spans="1:3" ht="15.75">
      <c r="A34" s="53" t="s">
        <v>37</v>
      </c>
      <c r="B34" s="47" t="s">
        <v>285</v>
      </c>
      <c r="C34" s="54">
        <v>0.6</v>
      </c>
    </row>
    <row r="35" spans="1:3" ht="15.75">
      <c r="A35" s="53" t="s">
        <v>39</v>
      </c>
      <c r="B35" s="47" t="s">
        <v>286</v>
      </c>
      <c r="C35" s="54">
        <v>0.6</v>
      </c>
    </row>
    <row r="36" spans="1:3" ht="15.75">
      <c r="A36" s="53" t="s">
        <v>42</v>
      </c>
      <c r="B36" s="47" t="s">
        <v>43</v>
      </c>
      <c r="C36" s="54">
        <v>0.95</v>
      </c>
    </row>
    <row r="37" spans="1:3" ht="15.75">
      <c r="A37" s="55" t="s">
        <v>527</v>
      </c>
      <c r="B37" s="47" t="s">
        <v>643</v>
      </c>
      <c r="C37" s="54">
        <v>0.85</v>
      </c>
    </row>
    <row r="38" spans="1:3" ht="15.75">
      <c r="A38" s="53" t="s">
        <v>44</v>
      </c>
      <c r="B38" s="47" t="s">
        <v>45</v>
      </c>
      <c r="C38" s="54">
        <v>0.7</v>
      </c>
    </row>
    <row r="39" spans="1:3" ht="15.75">
      <c r="A39" s="53" t="s">
        <v>48</v>
      </c>
      <c r="B39" s="47" t="s">
        <v>49</v>
      </c>
      <c r="C39" s="54">
        <v>0.8</v>
      </c>
    </row>
    <row r="40" spans="1:3" ht="15.75">
      <c r="A40" s="53" t="s">
        <v>528</v>
      </c>
      <c r="B40" s="47" t="s">
        <v>51</v>
      </c>
      <c r="C40" s="54">
        <v>0.8</v>
      </c>
    </row>
    <row r="41" spans="1:3" ht="15.75">
      <c r="A41" s="53" t="s">
        <v>52</v>
      </c>
      <c r="B41" s="47" t="s">
        <v>53</v>
      </c>
      <c r="C41" s="54">
        <v>0.9</v>
      </c>
    </row>
    <row r="42" spans="1:3" ht="15.75">
      <c r="A42" s="53" t="s">
        <v>529</v>
      </c>
      <c r="B42" s="47" t="s">
        <v>644</v>
      </c>
      <c r="C42" s="54">
        <v>0.9</v>
      </c>
    </row>
    <row r="43" spans="1:3" ht="15.75">
      <c r="A43" s="53" t="s">
        <v>54</v>
      </c>
      <c r="B43" s="47" t="s">
        <v>55</v>
      </c>
      <c r="C43" s="54">
        <v>0.9</v>
      </c>
    </row>
    <row r="44" spans="1:3" ht="15.75">
      <c r="A44" s="53" t="s">
        <v>56</v>
      </c>
      <c r="B44" s="47" t="s">
        <v>57</v>
      </c>
      <c r="C44" s="54">
        <v>1</v>
      </c>
    </row>
    <row r="45" spans="1:3" ht="15.75">
      <c r="A45" s="53" t="s">
        <v>58</v>
      </c>
      <c r="B45" s="47" t="s">
        <v>59</v>
      </c>
      <c r="C45" s="54">
        <v>0.95</v>
      </c>
    </row>
    <row r="46" spans="1:3" ht="15.75">
      <c r="A46" s="53" t="s">
        <v>62</v>
      </c>
      <c r="B46" s="47" t="s">
        <v>645</v>
      </c>
      <c r="C46" s="54">
        <v>0.95</v>
      </c>
    </row>
    <row r="47" spans="1:3" ht="15.75">
      <c r="A47" s="53" t="s">
        <v>287</v>
      </c>
      <c r="B47" s="47" t="s">
        <v>288</v>
      </c>
      <c r="C47" s="54">
        <v>0.85</v>
      </c>
    </row>
    <row r="48" spans="1:3" ht="15.75">
      <c r="A48" s="55" t="s">
        <v>530</v>
      </c>
      <c r="B48" s="47" t="s">
        <v>646</v>
      </c>
      <c r="C48" s="54">
        <v>0.5</v>
      </c>
    </row>
    <row r="49" spans="1:3" ht="15.75">
      <c r="A49" s="53" t="s">
        <v>289</v>
      </c>
      <c r="B49" s="47" t="s">
        <v>290</v>
      </c>
      <c r="C49" s="54">
        <v>0.5</v>
      </c>
    </row>
    <row r="50" spans="1:3" ht="15.75">
      <c r="A50" s="53" t="s">
        <v>291</v>
      </c>
      <c r="B50" s="47" t="s">
        <v>292</v>
      </c>
      <c r="C50" s="54">
        <v>0.6</v>
      </c>
    </row>
    <row r="51" spans="1:3" ht="15.75">
      <c r="A51" s="53" t="s">
        <v>531</v>
      </c>
      <c r="B51" s="47" t="s">
        <v>293</v>
      </c>
      <c r="C51" s="54">
        <v>0.65</v>
      </c>
    </row>
    <row r="52" spans="1:3" ht="15.75">
      <c r="A52" s="53" t="s">
        <v>532</v>
      </c>
      <c r="B52" s="47" t="s">
        <v>647</v>
      </c>
      <c r="C52" s="54">
        <v>0.75</v>
      </c>
    </row>
    <row r="53" spans="1:3" ht="15.75">
      <c r="A53" s="53" t="s">
        <v>533</v>
      </c>
      <c r="B53" s="47" t="s">
        <v>294</v>
      </c>
      <c r="C53" s="54">
        <v>0.65</v>
      </c>
    </row>
    <row r="54" spans="1:3" ht="15.75">
      <c r="A54" s="53" t="s">
        <v>295</v>
      </c>
      <c r="B54" s="47" t="s">
        <v>296</v>
      </c>
      <c r="C54" s="54">
        <v>0.55000000000000004</v>
      </c>
    </row>
    <row r="55" spans="1:3" ht="15.75">
      <c r="A55" s="53" t="s">
        <v>534</v>
      </c>
      <c r="B55" s="47" t="s">
        <v>69</v>
      </c>
      <c r="C55" s="54">
        <v>0.45</v>
      </c>
    </row>
    <row r="56" spans="1:3" ht="15.75">
      <c r="A56" s="53" t="s">
        <v>535</v>
      </c>
      <c r="B56" s="49" t="s">
        <v>648</v>
      </c>
      <c r="C56" s="54">
        <v>0.4</v>
      </c>
    </row>
    <row r="57" spans="1:3" ht="15.75">
      <c r="A57" s="53" t="s">
        <v>536</v>
      </c>
      <c r="B57" s="47" t="s">
        <v>649</v>
      </c>
      <c r="C57" s="54">
        <v>0.4</v>
      </c>
    </row>
    <row r="58" spans="1:3" ht="15.75">
      <c r="A58" s="53" t="s">
        <v>77</v>
      </c>
      <c r="B58" s="47" t="s">
        <v>299</v>
      </c>
      <c r="C58" s="54">
        <v>0.75</v>
      </c>
    </row>
    <row r="59" spans="1:3" ht="15.75">
      <c r="A59" s="53" t="s">
        <v>537</v>
      </c>
      <c r="B59" s="47" t="s">
        <v>298</v>
      </c>
      <c r="C59" s="54">
        <v>0.75</v>
      </c>
    </row>
    <row r="60" spans="1:3" ht="15.75">
      <c r="A60" s="53" t="s">
        <v>79</v>
      </c>
      <c r="B60" s="47" t="s">
        <v>80</v>
      </c>
      <c r="C60" s="54">
        <v>0.95</v>
      </c>
    </row>
    <row r="61" spans="1:3" ht="15.75">
      <c r="A61" s="53" t="s">
        <v>81</v>
      </c>
      <c r="B61" s="47" t="s">
        <v>300</v>
      </c>
      <c r="C61" s="54">
        <v>0.95</v>
      </c>
    </row>
    <row r="62" spans="1:3" ht="15.75">
      <c r="A62" s="53" t="s">
        <v>301</v>
      </c>
      <c r="B62" s="47" t="s">
        <v>302</v>
      </c>
      <c r="C62" s="54">
        <v>0.9</v>
      </c>
    </row>
    <row r="63" spans="1:3" ht="15.75">
      <c r="A63" s="53" t="s">
        <v>538</v>
      </c>
      <c r="B63" s="47" t="s">
        <v>303</v>
      </c>
      <c r="C63" s="54">
        <v>0.35</v>
      </c>
    </row>
    <row r="64" spans="1:3" ht="15.75">
      <c r="A64" s="53" t="s">
        <v>87</v>
      </c>
      <c r="B64" s="47" t="s">
        <v>304</v>
      </c>
      <c r="C64" s="54">
        <v>0.6</v>
      </c>
    </row>
    <row r="65" spans="1:3" ht="15.75">
      <c r="A65" s="53" t="s">
        <v>539</v>
      </c>
      <c r="B65" s="47" t="s">
        <v>650</v>
      </c>
      <c r="C65" s="54">
        <v>0.5</v>
      </c>
    </row>
    <row r="66" spans="1:3" ht="15.75">
      <c r="A66" s="53" t="s">
        <v>88</v>
      </c>
      <c r="B66" s="47" t="s">
        <v>305</v>
      </c>
      <c r="C66" s="54">
        <v>0.6</v>
      </c>
    </row>
    <row r="67" spans="1:3" ht="15.75">
      <c r="A67" s="53" t="s">
        <v>90</v>
      </c>
      <c r="B67" s="47" t="s">
        <v>306</v>
      </c>
      <c r="C67" s="54">
        <v>0.7</v>
      </c>
    </row>
    <row r="68" spans="1:3" ht="15.75">
      <c r="A68" s="53" t="s">
        <v>540</v>
      </c>
      <c r="B68" s="47" t="s">
        <v>93</v>
      </c>
      <c r="C68" s="54">
        <v>0.7</v>
      </c>
    </row>
    <row r="69" spans="1:3" ht="15.75">
      <c r="A69" s="53" t="s">
        <v>541</v>
      </c>
      <c r="B69" s="47" t="s">
        <v>651</v>
      </c>
      <c r="C69" s="54">
        <v>0.5</v>
      </c>
    </row>
    <row r="70" spans="1:3" ht="15.75">
      <c r="A70" s="53" t="s">
        <v>542</v>
      </c>
      <c r="B70" s="47" t="s">
        <v>307</v>
      </c>
      <c r="C70" s="54">
        <v>0.4</v>
      </c>
    </row>
    <row r="71" spans="1:3" ht="15.75">
      <c r="A71" s="53" t="s">
        <v>543</v>
      </c>
      <c r="B71" s="47" t="s">
        <v>27</v>
      </c>
      <c r="C71" s="54">
        <v>0.65</v>
      </c>
    </row>
    <row r="72" spans="1:3" ht="15.75">
      <c r="A72" s="53" t="s">
        <v>544</v>
      </c>
      <c r="B72" s="47" t="s">
        <v>652</v>
      </c>
      <c r="C72" s="54">
        <v>0.65</v>
      </c>
    </row>
    <row r="73" spans="1:3" ht="15.75">
      <c r="A73" s="53" t="s">
        <v>545</v>
      </c>
      <c r="B73" s="47" t="s">
        <v>321</v>
      </c>
      <c r="C73" s="54">
        <v>0.6</v>
      </c>
    </row>
    <row r="74" spans="1:3" ht="15.75">
      <c r="A74" s="53" t="s">
        <v>546</v>
      </c>
      <c r="B74" s="47" t="s">
        <v>308</v>
      </c>
      <c r="C74" s="54">
        <v>0.75</v>
      </c>
    </row>
    <row r="75" spans="1:3" ht="15.75">
      <c r="A75" s="53" t="s">
        <v>309</v>
      </c>
      <c r="B75" s="47" t="s">
        <v>310</v>
      </c>
      <c r="C75" s="54">
        <v>0.8</v>
      </c>
    </row>
    <row r="76" spans="1:3" ht="15.75">
      <c r="A76" s="53" t="s">
        <v>547</v>
      </c>
      <c r="B76" s="47" t="s">
        <v>311</v>
      </c>
      <c r="C76" s="54">
        <v>0.5</v>
      </c>
    </row>
    <row r="77" spans="1:3" ht="15.75">
      <c r="A77" s="53" t="s">
        <v>548</v>
      </c>
      <c r="B77" s="47" t="s">
        <v>95</v>
      </c>
      <c r="C77" s="54">
        <v>0.85</v>
      </c>
    </row>
    <row r="78" spans="1:3" ht="15.75">
      <c r="A78" s="53" t="s">
        <v>312</v>
      </c>
      <c r="B78" s="47" t="s">
        <v>313</v>
      </c>
      <c r="C78" s="54">
        <v>0.8</v>
      </c>
    </row>
    <row r="79" spans="1:3" ht="15.75">
      <c r="A79" s="53" t="s">
        <v>549</v>
      </c>
      <c r="B79" s="47" t="s">
        <v>653</v>
      </c>
      <c r="C79" s="54">
        <v>0.75</v>
      </c>
    </row>
    <row r="80" spans="1:3" ht="15.75">
      <c r="A80" s="53" t="s">
        <v>550</v>
      </c>
      <c r="B80" s="47" t="s">
        <v>314</v>
      </c>
      <c r="C80" s="54">
        <v>0.8</v>
      </c>
    </row>
    <row r="81" spans="1:3" ht="15.75">
      <c r="A81" s="57" t="s">
        <v>315</v>
      </c>
      <c r="B81" s="47" t="s">
        <v>316</v>
      </c>
      <c r="C81" s="54">
        <v>0.65</v>
      </c>
    </row>
    <row r="82" spans="1:3" ht="15.75">
      <c r="A82" s="53" t="s">
        <v>100</v>
      </c>
      <c r="B82" s="47" t="s">
        <v>101</v>
      </c>
      <c r="C82" s="54">
        <v>0.55000000000000004</v>
      </c>
    </row>
    <row r="83" spans="1:3" ht="15.75">
      <c r="A83" s="53" t="s">
        <v>317</v>
      </c>
      <c r="B83" s="47" t="s">
        <v>654</v>
      </c>
      <c r="C83" s="54">
        <v>0.55000000000000004</v>
      </c>
    </row>
    <row r="84" spans="1:3" ht="15.75">
      <c r="A84" s="53" t="s">
        <v>319</v>
      </c>
      <c r="B84" s="47" t="s">
        <v>318</v>
      </c>
      <c r="C84" s="54">
        <v>0.55000000000000004</v>
      </c>
    </row>
    <row r="85" spans="1:3" ht="15.75">
      <c r="A85" s="53" t="s">
        <v>551</v>
      </c>
      <c r="B85" s="47" t="s">
        <v>655</v>
      </c>
      <c r="C85" s="54">
        <v>0.5</v>
      </c>
    </row>
    <row r="86" spans="1:3" ht="15.75">
      <c r="A86" s="53" t="s">
        <v>552</v>
      </c>
      <c r="B86" s="47" t="s">
        <v>103</v>
      </c>
      <c r="C86" s="54">
        <v>0.65</v>
      </c>
    </row>
    <row r="87" spans="1:3" ht="15.75">
      <c r="A87" s="53" t="s">
        <v>553</v>
      </c>
      <c r="B87" s="47" t="s">
        <v>320</v>
      </c>
      <c r="C87" s="54">
        <v>0.7</v>
      </c>
    </row>
    <row r="88" spans="1:3" ht="15.75">
      <c r="A88" s="53" t="s">
        <v>554</v>
      </c>
      <c r="B88" s="49" t="s">
        <v>656</v>
      </c>
      <c r="C88" s="54">
        <v>0.45</v>
      </c>
    </row>
    <row r="89" spans="1:3" ht="15.75">
      <c r="A89" s="53" t="s">
        <v>555</v>
      </c>
      <c r="B89" s="49" t="s">
        <v>657</v>
      </c>
      <c r="C89" s="54">
        <v>0.4</v>
      </c>
    </row>
    <row r="90" spans="1:3" ht="15.75">
      <c r="A90" s="53" t="s">
        <v>322</v>
      </c>
      <c r="B90" s="47" t="s">
        <v>323</v>
      </c>
      <c r="C90" s="54">
        <v>0.85</v>
      </c>
    </row>
    <row r="91" spans="1:3" ht="15.75">
      <c r="A91" s="53" t="s">
        <v>556</v>
      </c>
      <c r="B91" s="47" t="s">
        <v>324</v>
      </c>
      <c r="C91" s="54">
        <v>0.6</v>
      </c>
    </row>
    <row r="92" spans="1:3" ht="15.75">
      <c r="A92" s="53" t="s">
        <v>108</v>
      </c>
      <c r="B92" s="47" t="s">
        <v>325</v>
      </c>
      <c r="C92" s="54">
        <v>0.65</v>
      </c>
    </row>
    <row r="93" spans="1:3" ht="15.75">
      <c r="A93" s="53" t="s">
        <v>557</v>
      </c>
      <c r="B93" s="47" t="s">
        <v>658</v>
      </c>
      <c r="C93" s="54">
        <v>0.55000000000000004</v>
      </c>
    </row>
    <row r="94" spans="1:3" ht="15.75">
      <c r="A94" s="53" t="s">
        <v>326</v>
      </c>
      <c r="B94" s="47" t="s">
        <v>327</v>
      </c>
      <c r="C94" s="54">
        <v>0.5</v>
      </c>
    </row>
    <row r="95" spans="1:3" ht="15.75">
      <c r="A95" s="53" t="s">
        <v>110</v>
      </c>
      <c r="B95" s="47" t="s">
        <v>328</v>
      </c>
      <c r="C95" s="54">
        <v>0.8</v>
      </c>
    </row>
    <row r="96" spans="1:3" ht="15.75">
      <c r="A96" s="53" t="s">
        <v>558</v>
      </c>
      <c r="B96" s="47" t="s">
        <v>659</v>
      </c>
      <c r="C96" s="54">
        <v>0.7</v>
      </c>
    </row>
    <row r="97" spans="1:3" ht="15.75">
      <c r="A97" s="53" t="s">
        <v>329</v>
      </c>
      <c r="B97" s="47" t="s">
        <v>330</v>
      </c>
      <c r="C97" s="54">
        <v>0.7</v>
      </c>
    </row>
    <row r="98" spans="1:3" ht="15.75">
      <c r="A98" s="53" t="s">
        <v>559</v>
      </c>
      <c r="B98" s="47" t="s">
        <v>660</v>
      </c>
      <c r="C98" s="54">
        <v>0.5</v>
      </c>
    </row>
    <row r="99" spans="1:3" ht="15.75">
      <c r="A99" s="57" t="s">
        <v>560</v>
      </c>
      <c r="B99" s="47" t="s">
        <v>661</v>
      </c>
      <c r="C99" s="54">
        <v>0.45</v>
      </c>
    </row>
    <row r="100" spans="1:3" ht="15.75">
      <c r="A100" s="57" t="s">
        <v>561</v>
      </c>
      <c r="B100" s="47" t="s">
        <v>331</v>
      </c>
      <c r="C100" s="54">
        <v>0.5</v>
      </c>
    </row>
    <row r="101" spans="1:3" ht="15.75">
      <c r="A101" s="57" t="s">
        <v>116</v>
      </c>
      <c r="B101" s="47" t="s">
        <v>117</v>
      </c>
      <c r="C101" s="54">
        <v>0.8</v>
      </c>
    </row>
    <row r="102" spans="1:3" ht="15.75">
      <c r="A102" s="53" t="s">
        <v>562</v>
      </c>
      <c r="B102" s="49" t="s">
        <v>662</v>
      </c>
      <c r="C102" s="54">
        <v>0.45</v>
      </c>
    </row>
    <row r="103" spans="1:3" ht="15.75">
      <c r="A103" s="53" t="s">
        <v>563</v>
      </c>
      <c r="B103" s="49" t="s">
        <v>663</v>
      </c>
      <c r="C103" s="54">
        <v>0.45</v>
      </c>
    </row>
    <row r="104" spans="1:3" ht="15.75">
      <c r="A104" s="53" t="s">
        <v>332</v>
      </c>
      <c r="B104" s="47" t="s">
        <v>333</v>
      </c>
      <c r="C104" s="54">
        <v>0.5</v>
      </c>
    </row>
    <row r="105" spans="1:3" ht="15.75">
      <c r="A105" s="53" t="s">
        <v>564</v>
      </c>
      <c r="B105" s="49" t="s">
        <v>664</v>
      </c>
      <c r="C105" s="54">
        <v>0.55000000000000004</v>
      </c>
    </row>
    <row r="106" spans="1:3" ht="15.75">
      <c r="A106" s="53" t="s">
        <v>565</v>
      </c>
      <c r="B106" s="49" t="s">
        <v>665</v>
      </c>
      <c r="C106" s="54">
        <v>0.45</v>
      </c>
    </row>
    <row r="107" spans="1:3" ht="15.75">
      <c r="A107" s="53" t="s">
        <v>566</v>
      </c>
      <c r="B107" s="49" t="s">
        <v>666</v>
      </c>
      <c r="C107" s="54">
        <v>0.45</v>
      </c>
    </row>
    <row r="108" spans="1:3" ht="15.75">
      <c r="A108" s="53" t="s">
        <v>567</v>
      </c>
      <c r="B108" s="49" t="s">
        <v>667</v>
      </c>
      <c r="C108" s="54">
        <v>0.5</v>
      </c>
    </row>
    <row r="109" spans="1:3" ht="15.75">
      <c r="A109" s="55" t="s">
        <v>119</v>
      </c>
      <c r="B109" s="47" t="s">
        <v>120</v>
      </c>
      <c r="C109" s="54">
        <v>0.55000000000000004</v>
      </c>
    </row>
    <row r="110" spans="1:3" ht="15.75">
      <c r="A110" s="55" t="s">
        <v>568</v>
      </c>
      <c r="B110" s="47" t="s">
        <v>668</v>
      </c>
      <c r="C110" s="54">
        <v>0.5</v>
      </c>
    </row>
    <row r="111" spans="1:3" ht="15.75">
      <c r="A111" s="57" t="s">
        <v>334</v>
      </c>
      <c r="B111" s="47" t="s">
        <v>335</v>
      </c>
      <c r="C111" s="54">
        <v>0.65</v>
      </c>
    </row>
    <row r="112" spans="1:3" ht="15.75">
      <c r="A112" s="57" t="s">
        <v>336</v>
      </c>
      <c r="B112" s="47" t="s">
        <v>337</v>
      </c>
      <c r="C112" s="54">
        <v>0.45</v>
      </c>
    </row>
    <row r="113" spans="1:3" ht="15.75">
      <c r="A113" s="53" t="s">
        <v>338</v>
      </c>
      <c r="B113" s="47" t="s">
        <v>339</v>
      </c>
      <c r="C113" s="54">
        <v>0.65</v>
      </c>
    </row>
    <row r="114" spans="1:3" ht="15.75">
      <c r="A114" s="53" t="s">
        <v>127</v>
      </c>
      <c r="B114" s="47" t="s">
        <v>669</v>
      </c>
      <c r="C114" s="54">
        <v>0.85</v>
      </c>
    </row>
    <row r="115" spans="1:3" ht="15.75">
      <c r="A115" s="53" t="s">
        <v>340</v>
      </c>
      <c r="B115" s="47" t="s">
        <v>341</v>
      </c>
      <c r="C115" s="54">
        <v>0.75</v>
      </c>
    </row>
    <row r="116" spans="1:3" ht="15.75">
      <c r="A116" s="53" t="s">
        <v>342</v>
      </c>
      <c r="B116" s="47" t="s">
        <v>343</v>
      </c>
      <c r="C116" s="54">
        <v>0.75</v>
      </c>
    </row>
    <row r="117" spans="1:3" ht="15.75">
      <c r="A117" s="53" t="s">
        <v>569</v>
      </c>
      <c r="B117" s="47" t="s">
        <v>346</v>
      </c>
      <c r="C117" s="54">
        <v>0.6</v>
      </c>
    </row>
    <row r="118" spans="1:3" ht="15.75">
      <c r="A118" s="53" t="s">
        <v>570</v>
      </c>
      <c r="B118" s="49" t="s">
        <v>670</v>
      </c>
      <c r="C118" s="54">
        <v>0.45</v>
      </c>
    </row>
    <row r="119" spans="1:3" ht="15.75">
      <c r="A119" s="53" t="s">
        <v>344</v>
      </c>
      <c r="B119" s="47" t="s">
        <v>345</v>
      </c>
      <c r="C119" s="54">
        <v>0.85</v>
      </c>
    </row>
    <row r="120" spans="1:3" ht="15.75">
      <c r="A120" s="57" t="s">
        <v>571</v>
      </c>
      <c r="B120" s="47" t="s">
        <v>671</v>
      </c>
      <c r="C120" s="54">
        <v>0.4</v>
      </c>
    </row>
    <row r="121" spans="1:3" ht="15.75">
      <c r="A121" s="57" t="s">
        <v>572</v>
      </c>
      <c r="B121" s="47" t="s">
        <v>672</v>
      </c>
      <c r="C121" s="54">
        <v>0.4</v>
      </c>
    </row>
    <row r="122" spans="1:3" ht="15.75">
      <c r="A122" s="53" t="s">
        <v>128</v>
      </c>
      <c r="B122" s="47" t="s">
        <v>347</v>
      </c>
      <c r="C122" s="54">
        <v>0.75</v>
      </c>
    </row>
    <row r="123" spans="1:3" ht="15.75">
      <c r="A123" s="53" t="s">
        <v>129</v>
      </c>
      <c r="B123" s="47" t="s">
        <v>348</v>
      </c>
      <c r="C123" s="54">
        <v>0.75</v>
      </c>
    </row>
    <row r="124" spans="1:3" ht="15.75">
      <c r="A124" s="53" t="s">
        <v>131</v>
      </c>
      <c r="B124" s="47" t="s">
        <v>673</v>
      </c>
      <c r="C124" s="54">
        <v>0.6</v>
      </c>
    </row>
    <row r="125" spans="1:3" ht="15.75">
      <c r="A125" s="53" t="s">
        <v>573</v>
      </c>
      <c r="B125" s="47" t="s">
        <v>349</v>
      </c>
      <c r="C125" s="54">
        <v>0.55000000000000004</v>
      </c>
    </row>
    <row r="126" spans="1:3" ht="15.75">
      <c r="A126" s="53" t="s">
        <v>350</v>
      </c>
      <c r="B126" s="47" t="s">
        <v>134</v>
      </c>
      <c r="C126" s="54">
        <v>0.8</v>
      </c>
    </row>
    <row r="127" spans="1:3" ht="15.75">
      <c r="A127" s="53" t="s">
        <v>351</v>
      </c>
      <c r="B127" s="47" t="s">
        <v>352</v>
      </c>
      <c r="C127" s="54">
        <v>0.55000000000000004</v>
      </c>
    </row>
    <row r="128" spans="1:3" ht="15.75">
      <c r="A128" s="53" t="s">
        <v>574</v>
      </c>
      <c r="B128" s="47" t="s">
        <v>674</v>
      </c>
      <c r="C128" s="54">
        <v>0.65</v>
      </c>
    </row>
    <row r="129" spans="1:3" ht="15.75">
      <c r="A129" s="57" t="s">
        <v>575</v>
      </c>
      <c r="B129" s="47" t="s">
        <v>675</v>
      </c>
      <c r="C129" s="54">
        <v>0.55000000000000004</v>
      </c>
    </row>
    <row r="130" spans="1:3" ht="15.75">
      <c r="A130" s="53" t="s">
        <v>353</v>
      </c>
      <c r="B130" s="47" t="s">
        <v>354</v>
      </c>
      <c r="C130" s="54">
        <v>0.35</v>
      </c>
    </row>
    <row r="131" spans="1:3" ht="15.75">
      <c r="A131" s="53" t="s">
        <v>137</v>
      </c>
      <c r="B131" s="47" t="s">
        <v>138</v>
      </c>
      <c r="C131" s="54">
        <v>0.55000000000000004</v>
      </c>
    </row>
    <row r="132" spans="1:3" ht="15.75">
      <c r="A132" s="57" t="s">
        <v>355</v>
      </c>
      <c r="B132" s="47" t="s">
        <v>356</v>
      </c>
      <c r="C132" s="54">
        <v>0.55000000000000004</v>
      </c>
    </row>
    <row r="133" spans="1:3" ht="15.75">
      <c r="A133" s="57" t="s">
        <v>576</v>
      </c>
      <c r="B133" s="47" t="s">
        <v>676</v>
      </c>
      <c r="C133" s="54">
        <v>0.45</v>
      </c>
    </row>
    <row r="134" spans="1:3" ht="15.75">
      <c r="A134" s="53" t="s">
        <v>139</v>
      </c>
      <c r="B134" s="47" t="s">
        <v>140</v>
      </c>
      <c r="C134" s="54">
        <v>0.7</v>
      </c>
    </row>
    <row r="135" spans="1:3" ht="15.75">
      <c r="A135" s="53" t="s">
        <v>141</v>
      </c>
      <c r="B135" s="47" t="s">
        <v>142</v>
      </c>
      <c r="C135" s="54">
        <v>0.75</v>
      </c>
    </row>
    <row r="136" spans="1:3" ht="15.75">
      <c r="A136" s="55" t="s">
        <v>357</v>
      </c>
      <c r="B136" s="47" t="s">
        <v>358</v>
      </c>
      <c r="C136" s="54">
        <v>0.6</v>
      </c>
    </row>
    <row r="137" spans="1:3" ht="15.75">
      <c r="A137" s="55" t="s">
        <v>577</v>
      </c>
      <c r="B137" s="47" t="s">
        <v>677</v>
      </c>
      <c r="C137" s="54">
        <v>0.55000000000000004</v>
      </c>
    </row>
    <row r="138" spans="1:3" ht="15.75">
      <c r="A138" s="53" t="s">
        <v>143</v>
      </c>
      <c r="B138" s="47" t="s">
        <v>359</v>
      </c>
      <c r="C138" s="54">
        <v>0.8</v>
      </c>
    </row>
    <row r="139" spans="1:3" ht="15.75">
      <c r="A139" s="53" t="s">
        <v>578</v>
      </c>
      <c r="B139" s="47" t="s">
        <v>678</v>
      </c>
      <c r="C139" s="54">
        <v>0.6</v>
      </c>
    </row>
    <row r="140" spans="1:3" ht="15.75">
      <c r="A140" s="53" t="s">
        <v>360</v>
      </c>
      <c r="B140" s="47" t="s">
        <v>361</v>
      </c>
      <c r="C140" s="54">
        <v>0.75</v>
      </c>
    </row>
    <row r="141" spans="1:3" ht="15.75">
      <c r="A141" s="53" t="s">
        <v>144</v>
      </c>
      <c r="B141" s="47" t="s">
        <v>362</v>
      </c>
      <c r="C141" s="54">
        <v>0.6</v>
      </c>
    </row>
    <row r="142" spans="1:3" ht="15.75">
      <c r="A142" s="53" t="s">
        <v>145</v>
      </c>
      <c r="B142" s="47" t="s">
        <v>146</v>
      </c>
      <c r="C142" s="54">
        <v>0.6</v>
      </c>
    </row>
    <row r="143" spans="1:3" ht="15.75">
      <c r="A143" s="53" t="s">
        <v>579</v>
      </c>
      <c r="B143" s="47" t="s">
        <v>363</v>
      </c>
      <c r="C143" s="54">
        <v>0.75</v>
      </c>
    </row>
    <row r="144" spans="1:3" ht="15.75">
      <c r="A144" s="53" t="s">
        <v>580</v>
      </c>
      <c r="B144" s="47" t="s">
        <v>364</v>
      </c>
      <c r="C144" s="54">
        <v>0.6</v>
      </c>
    </row>
    <row r="145" spans="1:3" ht="15.75">
      <c r="A145" s="53" t="s">
        <v>149</v>
      </c>
      <c r="B145" s="47" t="s">
        <v>679</v>
      </c>
      <c r="C145" s="54">
        <v>0.6</v>
      </c>
    </row>
    <row r="146" spans="1:3" ht="15.75">
      <c r="A146" s="53" t="s">
        <v>581</v>
      </c>
      <c r="B146" s="47" t="s">
        <v>365</v>
      </c>
      <c r="C146" s="54">
        <v>0.7</v>
      </c>
    </row>
    <row r="147" spans="1:3" ht="15.75">
      <c r="A147" s="53" t="s">
        <v>366</v>
      </c>
      <c r="B147" s="47" t="s">
        <v>367</v>
      </c>
      <c r="C147" s="54">
        <v>0.65</v>
      </c>
    </row>
    <row r="148" spans="1:3" ht="15.75">
      <c r="A148" s="53" t="s">
        <v>368</v>
      </c>
      <c r="B148" s="47" t="s">
        <v>369</v>
      </c>
      <c r="C148" s="54">
        <v>0.65</v>
      </c>
    </row>
    <row r="149" spans="1:3" ht="15.75">
      <c r="A149" s="53" t="s">
        <v>582</v>
      </c>
      <c r="B149" s="47" t="s">
        <v>158</v>
      </c>
      <c r="C149" s="54">
        <v>0.75</v>
      </c>
    </row>
    <row r="150" spans="1:3" ht="15.75">
      <c r="A150" s="53" t="s">
        <v>370</v>
      </c>
      <c r="B150" s="47" t="s">
        <v>371</v>
      </c>
      <c r="C150" s="54">
        <v>0.55000000000000004</v>
      </c>
    </row>
    <row r="151" spans="1:3" ht="15.75">
      <c r="A151" s="53" t="s">
        <v>372</v>
      </c>
      <c r="B151" s="47" t="s">
        <v>373</v>
      </c>
      <c r="C151" s="54">
        <v>0.7</v>
      </c>
    </row>
    <row r="152" spans="1:3" ht="15.75">
      <c r="A152" s="53" t="s">
        <v>374</v>
      </c>
      <c r="B152" s="47" t="s">
        <v>375</v>
      </c>
      <c r="C152" s="54">
        <v>0.8</v>
      </c>
    </row>
    <row r="153" spans="1:3" ht="15.75">
      <c r="A153" s="53" t="s">
        <v>159</v>
      </c>
      <c r="B153" s="47" t="s">
        <v>160</v>
      </c>
      <c r="C153" s="54">
        <v>0.65</v>
      </c>
    </row>
    <row r="154" spans="1:3" ht="15.75">
      <c r="A154" s="53" t="s">
        <v>583</v>
      </c>
      <c r="B154" s="47" t="s">
        <v>376</v>
      </c>
      <c r="C154" s="54">
        <v>0.75</v>
      </c>
    </row>
    <row r="155" spans="1:3" ht="15.75">
      <c r="A155" s="53" t="s">
        <v>584</v>
      </c>
      <c r="B155" s="47" t="s">
        <v>377</v>
      </c>
      <c r="C155" s="54">
        <v>0.65</v>
      </c>
    </row>
    <row r="156" spans="1:3" ht="15.75">
      <c r="A156" s="53" t="s">
        <v>163</v>
      </c>
      <c r="B156" s="47" t="s">
        <v>378</v>
      </c>
      <c r="C156" s="54">
        <v>0.8</v>
      </c>
    </row>
    <row r="157" spans="1:3" ht="15.75">
      <c r="A157" s="53" t="s">
        <v>165</v>
      </c>
      <c r="B157" s="47" t="s">
        <v>166</v>
      </c>
      <c r="C157" s="54">
        <v>0.8</v>
      </c>
    </row>
    <row r="158" spans="1:3" ht="15.75">
      <c r="A158" s="53" t="s">
        <v>585</v>
      </c>
      <c r="B158" s="47" t="s">
        <v>680</v>
      </c>
      <c r="C158" s="54">
        <v>0.7</v>
      </c>
    </row>
    <row r="159" spans="1:3" ht="15.75">
      <c r="A159" s="53" t="s">
        <v>167</v>
      </c>
      <c r="B159" s="47" t="s">
        <v>168</v>
      </c>
      <c r="C159" s="54">
        <v>0.8</v>
      </c>
    </row>
    <row r="160" spans="1:3" ht="15.75">
      <c r="A160" s="53" t="s">
        <v>169</v>
      </c>
      <c r="B160" s="47" t="s">
        <v>170</v>
      </c>
      <c r="C160" s="54">
        <v>0.9</v>
      </c>
    </row>
    <row r="161" spans="1:3" ht="15.75">
      <c r="A161" s="53" t="s">
        <v>586</v>
      </c>
      <c r="B161" s="47" t="s">
        <v>681</v>
      </c>
      <c r="C161" s="54">
        <v>0.7</v>
      </c>
    </row>
    <row r="162" spans="1:3" ht="15.75">
      <c r="A162" s="53" t="s">
        <v>171</v>
      </c>
      <c r="B162" s="47" t="s">
        <v>172</v>
      </c>
      <c r="C162" s="54">
        <v>0.7</v>
      </c>
    </row>
    <row r="163" spans="1:3" ht="15.75">
      <c r="A163" s="53" t="s">
        <v>379</v>
      </c>
      <c r="B163" s="47" t="s">
        <v>682</v>
      </c>
      <c r="C163" s="54">
        <v>0.6</v>
      </c>
    </row>
    <row r="164" spans="1:3" ht="15.75">
      <c r="A164" s="53" t="s">
        <v>380</v>
      </c>
      <c r="B164" s="47" t="s">
        <v>381</v>
      </c>
      <c r="C164" s="54">
        <v>0.6</v>
      </c>
    </row>
    <row r="165" spans="1:3" ht="15.75">
      <c r="A165" s="53" t="s">
        <v>382</v>
      </c>
      <c r="B165" s="47" t="s">
        <v>383</v>
      </c>
      <c r="C165" s="54">
        <v>0.75</v>
      </c>
    </row>
    <row r="166" spans="1:3" ht="15.75">
      <c r="A166" s="53" t="s">
        <v>587</v>
      </c>
      <c r="B166" s="47" t="s">
        <v>384</v>
      </c>
      <c r="C166" s="54">
        <v>0.75</v>
      </c>
    </row>
    <row r="167" spans="1:3" ht="15.75">
      <c r="A167" s="53" t="s">
        <v>588</v>
      </c>
      <c r="B167" s="47" t="s">
        <v>683</v>
      </c>
      <c r="C167" s="54">
        <v>0.45</v>
      </c>
    </row>
    <row r="168" spans="1:3" ht="15.75">
      <c r="A168" s="53" t="s">
        <v>589</v>
      </c>
      <c r="B168" s="47" t="s">
        <v>385</v>
      </c>
      <c r="C168" s="54">
        <v>0.6</v>
      </c>
    </row>
    <row r="169" spans="1:3" ht="15.75">
      <c r="A169" s="57" t="s">
        <v>590</v>
      </c>
      <c r="B169" s="47" t="s">
        <v>684</v>
      </c>
      <c r="C169" s="54">
        <v>0.5</v>
      </c>
    </row>
    <row r="170" spans="1:3" ht="15.75">
      <c r="A170" s="57" t="s">
        <v>591</v>
      </c>
      <c r="B170" s="47" t="s">
        <v>685</v>
      </c>
      <c r="C170" s="54">
        <v>0.35</v>
      </c>
    </row>
    <row r="171" spans="1:3" ht="15.75">
      <c r="A171" s="53" t="s">
        <v>592</v>
      </c>
      <c r="B171" s="47" t="s">
        <v>686</v>
      </c>
      <c r="C171" s="54">
        <v>0.65</v>
      </c>
    </row>
    <row r="172" spans="1:3" ht="15.75">
      <c r="A172" s="53" t="s">
        <v>176</v>
      </c>
      <c r="B172" s="47" t="s">
        <v>687</v>
      </c>
      <c r="C172" s="54">
        <v>0.7</v>
      </c>
    </row>
    <row r="173" spans="1:3" ht="15.75">
      <c r="A173" s="53" t="s">
        <v>593</v>
      </c>
      <c r="B173" s="47" t="s">
        <v>386</v>
      </c>
      <c r="C173" s="54">
        <v>0.75</v>
      </c>
    </row>
    <row r="174" spans="1:3" ht="15.75">
      <c r="A174" s="53" t="s">
        <v>387</v>
      </c>
      <c r="B174" s="47" t="s">
        <v>388</v>
      </c>
      <c r="C174" s="54">
        <v>0.55000000000000004</v>
      </c>
    </row>
    <row r="175" spans="1:3" ht="15.75">
      <c r="A175" s="53" t="s">
        <v>389</v>
      </c>
      <c r="B175" s="47" t="s">
        <v>390</v>
      </c>
      <c r="C175" s="54">
        <v>0.55000000000000004</v>
      </c>
    </row>
    <row r="176" spans="1:3" ht="15.75">
      <c r="A176" s="53" t="s">
        <v>391</v>
      </c>
      <c r="B176" s="47" t="s">
        <v>392</v>
      </c>
      <c r="C176" s="54">
        <v>0.55000000000000004</v>
      </c>
    </row>
    <row r="177" spans="1:3" ht="15.75">
      <c r="A177" s="53" t="s">
        <v>184</v>
      </c>
      <c r="B177" s="47" t="s">
        <v>393</v>
      </c>
      <c r="C177" s="54">
        <v>0.75</v>
      </c>
    </row>
    <row r="178" spans="1:3" ht="15.75">
      <c r="A178" s="53" t="s">
        <v>594</v>
      </c>
      <c r="B178" s="47" t="s">
        <v>187</v>
      </c>
      <c r="C178" s="54">
        <v>0.75</v>
      </c>
    </row>
    <row r="179" spans="1:3" ht="15.75">
      <c r="A179" s="53" t="s">
        <v>595</v>
      </c>
      <c r="B179" s="47" t="s">
        <v>394</v>
      </c>
      <c r="C179" s="54">
        <v>0.8</v>
      </c>
    </row>
    <row r="180" spans="1:3" ht="15.75">
      <c r="A180" s="53" t="s">
        <v>395</v>
      </c>
      <c r="B180" s="47" t="s">
        <v>396</v>
      </c>
      <c r="C180" s="54">
        <v>0.8</v>
      </c>
    </row>
    <row r="181" spans="1:3" ht="15.75">
      <c r="A181" s="53" t="s">
        <v>596</v>
      </c>
      <c r="B181" s="47" t="s">
        <v>688</v>
      </c>
      <c r="C181" s="54">
        <v>0.75</v>
      </c>
    </row>
    <row r="182" spans="1:3" ht="15.75">
      <c r="A182" s="53" t="s">
        <v>191</v>
      </c>
      <c r="B182" s="47" t="s">
        <v>397</v>
      </c>
      <c r="C182" s="54">
        <v>0.8</v>
      </c>
    </row>
    <row r="183" spans="1:3" ht="15.75">
      <c r="A183" s="53" t="s">
        <v>194</v>
      </c>
      <c r="B183" s="47" t="s">
        <v>689</v>
      </c>
      <c r="C183" s="54">
        <v>0.6</v>
      </c>
    </row>
    <row r="184" spans="1:3" ht="15.75">
      <c r="A184" s="53" t="s">
        <v>597</v>
      </c>
      <c r="B184" s="47" t="s">
        <v>690</v>
      </c>
      <c r="C184" s="54">
        <v>0.4</v>
      </c>
    </row>
    <row r="185" spans="1:3" ht="15.75">
      <c r="A185" s="53" t="s">
        <v>192</v>
      </c>
      <c r="B185" s="47" t="s">
        <v>193</v>
      </c>
      <c r="C185" s="54">
        <v>0.55000000000000004</v>
      </c>
    </row>
    <row r="186" spans="1:3" ht="15.75">
      <c r="A186" s="53" t="s">
        <v>398</v>
      </c>
      <c r="B186" s="47" t="s">
        <v>399</v>
      </c>
      <c r="C186" s="54">
        <v>0.7</v>
      </c>
    </row>
    <row r="187" spans="1:3" ht="32.25" customHeight="1">
      <c r="A187" s="55" t="s">
        <v>598</v>
      </c>
      <c r="B187" s="47" t="s">
        <v>691</v>
      </c>
      <c r="C187" s="54">
        <v>0.65</v>
      </c>
    </row>
    <row r="188" spans="1:3" ht="15.75">
      <c r="A188" s="53" t="s">
        <v>400</v>
      </c>
      <c r="B188" s="47" t="s">
        <v>401</v>
      </c>
      <c r="C188" s="54">
        <v>0.7</v>
      </c>
    </row>
    <row r="189" spans="1:3" ht="15.75">
      <c r="A189" s="55" t="s">
        <v>402</v>
      </c>
      <c r="B189" s="47" t="s">
        <v>403</v>
      </c>
      <c r="C189" s="54">
        <v>0.75</v>
      </c>
    </row>
    <row r="190" spans="1:3" ht="15.75">
      <c r="A190" s="55" t="s">
        <v>404</v>
      </c>
      <c r="B190" s="47" t="s">
        <v>405</v>
      </c>
      <c r="C190" s="54">
        <v>0.75</v>
      </c>
    </row>
    <row r="191" spans="1:3" ht="15.75">
      <c r="A191" s="55" t="s">
        <v>406</v>
      </c>
      <c r="B191" s="47" t="s">
        <v>407</v>
      </c>
      <c r="C191" s="54">
        <v>0.4</v>
      </c>
    </row>
    <row r="192" spans="1:3" ht="15.75">
      <c r="A192" s="53" t="s">
        <v>408</v>
      </c>
      <c r="B192" s="47" t="s">
        <v>409</v>
      </c>
      <c r="C192" s="54">
        <v>0.55000000000000004</v>
      </c>
    </row>
    <row r="193" spans="1:3" ht="15.75">
      <c r="A193" s="53" t="s">
        <v>410</v>
      </c>
      <c r="B193" s="47" t="s">
        <v>411</v>
      </c>
      <c r="C193" s="54">
        <v>0.6</v>
      </c>
    </row>
    <row r="194" spans="1:3" ht="15.75">
      <c r="A194" s="53" t="s">
        <v>195</v>
      </c>
      <c r="B194" s="47" t="s">
        <v>692</v>
      </c>
      <c r="C194" s="54">
        <v>0.6</v>
      </c>
    </row>
    <row r="195" spans="1:3" ht="15.75">
      <c r="A195" s="53" t="s">
        <v>412</v>
      </c>
      <c r="B195" s="47" t="s">
        <v>413</v>
      </c>
      <c r="C195" s="54">
        <v>0.75</v>
      </c>
    </row>
    <row r="196" spans="1:3" ht="15.75">
      <c r="A196" s="53" t="s">
        <v>197</v>
      </c>
      <c r="B196" s="47" t="s">
        <v>414</v>
      </c>
      <c r="C196" s="54">
        <v>0.8</v>
      </c>
    </row>
    <row r="197" spans="1:3" ht="15.75">
      <c r="A197" s="53" t="s">
        <v>599</v>
      </c>
      <c r="B197" s="47" t="s">
        <v>693</v>
      </c>
      <c r="C197" s="54">
        <v>0.7</v>
      </c>
    </row>
    <row r="198" spans="1:3" ht="15.75">
      <c r="A198" s="53" t="s">
        <v>415</v>
      </c>
      <c r="B198" s="47" t="s">
        <v>416</v>
      </c>
      <c r="C198" s="54">
        <v>0.6</v>
      </c>
    </row>
    <row r="199" spans="1:3" ht="15.75">
      <c r="A199" s="53" t="s">
        <v>198</v>
      </c>
      <c r="B199" s="47" t="s">
        <v>417</v>
      </c>
      <c r="C199" s="54">
        <v>0.7</v>
      </c>
    </row>
    <row r="200" spans="1:3" ht="15.75">
      <c r="A200" s="53" t="s">
        <v>199</v>
      </c>
      <c r="B200" s="47" t="s">
        <v>200</v>
      </c>
      <c r="C200" s="54">
        <v>0.6</v>
      </c>
    </row>
    <row r="201" spans="1:3" ht="15.75">
      <c r="A201" s="53" t="s">
        <v>201</v>
      </c>
      <c r="B201" s="47" t="s">
        <v>418</v>
      </c>
      <c r="C201" s="54">
        <v>0.65</v>
      </c>
    </row>
    <row r="202" spans="1:3" ht="15.75">
      <c r="A202" s="53" t="s">
        <v>202</v>
      </c>
      <c r="B202" s="47" t="s">
        <v>419</v>
      </c>
      <c r="C202" s="54">
        <v>0.75</v>
      </c>
    </row>
    <row r="203" spans="1:3" ht="15.75">
      <c r="A203" s="55" t="s">
        <v>600</v>
      </c>
      <c r="B203" s="47" t="s">
        <v>694</v>
      </c>
      <c r="C203" s="54">
        <v>0.85</v>
      </c>
    </row>
    <row r="204" spans="1:3" ht="15.75">
      <c r="A204" s="53" t="s">
        <v>206</v>
      </c>
      <c r="B204" s="47" t="s">
        <v>420</v>
      </c>
      <c r="C204" s="54">
        <v>0.7</v>
      </c>
    </row>
    <row r="205" spans="1:3" ht="15.75">
      <c r="A205" s="53" t="s">
        <v>208</v>
      </c>
      <c r="B205" s="47" t="s">
        <v>209</v>
      </c>
      <c r="C205" s="54">
        <v>0.7</v>
      </c>
    </row>
    <row r="206" spans="1:3" ht="15.75">
      <c r="A206" s="53" t="s">
        <v>421</v>
      </c>
      <c r="B206" s="47" t="s">
        <v>422</v>
      </c>
      <c r="C206" s="54">
        <v>0.6</v>
      </c>
    </row>
    <row r="207" spans="1:3" ht="15.75">
      <c r="A207" s="53" t="s">
        <v>210</v>
      </c>
      <c r="B207" s="47" t="s">
        <v>423</v>
      </c>
      <c r="C207" s="54">
        <v>0.75</v>
      </c>
    </row>
    <row r="208" spans="1:3" ht="15.75">
      <c r="A208" s="53" t="s">
        <v>424</v>
      </c>
      <c r="B208" s="47" t="s">
        <v>425</v>
      </c>
      <c r="C208" s="54">
        <v>0.6</v>
      </c>
    </row>
    <row r="209" spans="1:3" ht="15.75">
      <c r="A209" s="53" t="s">
        <v>601</v>
      </c>
      <c r="B209" s="47" t="s">
        <v>215</v>
      </c>
      <c r="C209" s="54">
        <v>0.6</v>
      </c>
    </row>
    <row r="210" spans="1:3" ht="15.75">
      <c r="A210" s="53" t="s">
        <v>426</v>
      </c>
      <c r="B210" s="47" t="s">
        <v>427</v>
      </c>
      <c r="C210" s="54">
        <v>0.7</v>
      </c>
    </row>
    <row r="211" spans="1:3" ht="15.75">
      <c r="A211" s="53" t="s">
        <v>216</v>
      </c>
      <c r="B211" s="47" t="s">
        <v>428</v>
      </c>
      <c r="C211" s="54">
        <v>0.65</v>
      </c>
    </row>
    <row r="212" spans="1:3" ht="15.75">
      <c r="A212" s="53" t="s">
        <v>217</v>
      </c>
      <c r="B212" s="47" t="s">
        <v>218</v>
      </c>
      <c r="C212" s="54">
        <v>0.5</v>
      </c>
    </row>
    <row r="213" spans="1:3" ht="15.75">
      <c r="A213" s="53" t="s">
        <v>602</v>
      </c>
      <c r="B213" s="47" t="s">
        <v>429</v>
      </c>
      <c r="C213" s="54">
        <v>0.4</v>
      </c>
    </row>
    <row r="214" spans="1:3" ht="15.75">
      <c r="A214" s="53" t="s">
        <v>430</v>
      </c>
      <c r="B214" s="47" t="s">
        <v>431</v>
      </c>
      <c r="C214" s="54">
        <v>0.7</v>
      </c>
    </row>
    <row r="215" spans="1:3" ht="15.75">
      <c r="A215" s="53" t="s">
        <v>432</v>
      </c>
      <c r="B215" s="47" t="s">
        <v>433</v>
      </c>
      <c r="C215" s="54">
        <v>0.6</v>
      </c>
    </row>
    <row r="216" spans="1:3" ht="15.75">
      <c r="A216" s="53" t="s">
        <v>603</v>
      </c>
      <c r="B216" s="49" t="s">
        <v>695</v>
      </c>
      <c r="C216" s="54">
        <v>0.35</v>
      </c>
    </row>
    <row r="217" spans="1:3" ht="15.75">
      <c r="A217" s="53" t="s">
        <v>604</v>
      </c>
      <c r="B217" s="47" t="s">
        <v>696</v>
      </c>
      <c r="C217" s="54">
        <v>0</v>
      </c>
    </row>
    <row r="218" spans="1:3" ht="15.75">
      <c r="A218" s="53" t="s">
        <v>223</v>
      </c>
      <c r="B218" s="47" t="s">
        <v>434</v>
      </c>
      <c r="C218" s="54">
        <v>0.8</v>
      </c>
    </row>
    <row r="219" spans="1:3" ht="15.75">
      <c r="A219" s="53" t="s">
        <v>605</v>
      </c>
      <c r="B219" s="47" t="s">
        <v>697</v>
      </c>
      <c r="C219" s="54">
        <v>0</v>
      </c>
    </row>
    <row r="220" spans="1:3" ht="15.75">
      <c r="A220" s="53" t="s">
        <v>606</v>
      </c>
      <c r="B220" s="47" t="s">
        <v>698</v>
      </c>
      <c r="C220" s="54">
        <v>0.8</v>
      </c>
    </row>
    <row r="221" spans="1:3" ht="15.75">
      <c r="A221" s="53" t="s">
        <v>607</v>
      </c>
      <c r="B221" s="47" t="s">
        <v>699</v>
      </c>
      <c r="C221" s="54">
        <v>0.65</v>
      </c>
    </row>
    <row r="222" spans="1:3" ht="15.75">
      <c r="A222" s="55" t="s">
        <v>226</v>
      </c>
      <c r="B222" s="47" t="s">
        <v>227</v>
      </c>
      <c r="C222" s="54">
        <v>0.55000000000000004</v>
      </c>
    </row>
    <row r="223" spans="1:3" ht="15.75">
      <c r="A223" s="55" t="s">
        <v>435</v>
      </c>
      <c r="B223" s="47" t="s">
        <v>436</v>
      </c>
      <c r="C223" s="54">
        <v>0.55000000000000004</v>
      </c>
    </row>
    <row r="224" spans="1:3" ht="15.75">
      <c r="A224" s="53" t="s">
        <v>437</v>
      </c>
      <c r="B224" s="47" t="s">
        <v>438</v>
      </c>
      <c r="C224" s="54">
        <v>0.55000000000000004</v>
      </c>
    </row>
    <row r="225" spans="1:3" ht="15.75">
      <c r="A225" s="53" t="s">
        <v>439</v>
      </c>
      <c r="B225" s="47" t="s">
        <v>440</v>
      </c>
      <c r="C225" s="54">
        <v>0.75</v>
      </c>
    </row>
    <row r="226" spans="1:3" ht="15.75">
      <c r="A226" s="53" t="s">
        <v>608</v>
      </c>
      <c r="B226" s="47" t="s">
        <v>700</v>
      </c>
      <c r="C226" s="54">
        <v>0.55000000000000004</v>
      </c>
    </row>
    <row r="227" spans="1:3" ht="15.75">
      <c r="A227" s="53" t="s">
        <v>609</v>
      </c>
      <c r="B227" s="47" t="s">
        <v>701</v>
      </c>
      <c r="C227" s="54">
        <v>0.55000000000000004</v>
      </c>
    </row>
    <row r="228" spans="1:3" ht="15.75">
      <c r="A228" s="53" t="s">
        <v>610</v>
      </c>
      <c r="B228" s="47" t="s">
        <v>702</v>
      </c>
      <c r="C228" s="54">
        <v>0.65</v>
      </c>
    </row>
    <row r="229" spans="1:3" ht="15.75">
      <c r="A229" s="53" t="s">
        <v>611</v>
      </c>
      <c r="B229" s="47" t="s">
        <v>441</v>
      </c>
      <c r="C229" s="54">
        <v>0.6</v>
      </c>
    </row>
    <row r="230" spans="1:3" ht="15.75">
      <c r="A230" s="53" t="s">
        <v>612</v>
      </c>
      <c r="B230" s="47" t="s">
        <v>442</v>
      </c>
      <c r="C230" s="54">
        <v>0.65</v>
      </c>
    </row>
    <row r="231" spans="1:3" ht="15.75">
      <c r="A231" s="53" t="s">
        <v>613</v>
      </c>
      <c r="B231" s="47" t="s">
        <v>443</v>
      </c>
      <c r="C231" s="54">
        <v>0.75</v>
      </c>
    </row>
    <row r="232" spans="1:3" ht="15.75">
      <c r="A232" s="53" t="s">
        <v>444</v>
      </c>
      <c r="B232" s="47" t="s">
        <v>445</v>
      </c>
      <c r="C232" s="54">
        <v>0.55000000000000004</v>
      </c>
    </row>
    <row r="233" spans="1:3" ht="15.75">
      <c r="A233" s="53" t="s">
        <v>614</v>
      </c>
      <c r="B233" s="47" t="s">
        <v>703</v>
      </c>
      <c r="C233" s="54">
        <v>0.55000000000000004</v>
      </c>
    </row>
    <row r="234" spans="1:3" ht="15.75">
      <c r="A234" s="53" t="s">
        <v>446</v>
      </c>
      <c r="B234" s="47" t="s">
        <v>447</v>
      </c>
      <c r="C234" s="54">
        <v>0.55000000000000004</v>
      </c>
    </row>
    <row r="235" spans="1:3" ht="15.75">
      <c r="A235" s="53" t="s">
        <v>232</v>
      </c>
      <c r="B235" s="47" t="s">
        <v>233</v>
      </c>
      <c r="C235" s="54">
        <v>0.95</v>
      </c>
    </row>
    <row r="236" spans="1:3" ht="15.75">
      <c r="A236" s="53" t="s">
        <v>615</v>
      </c>
      <c r="B236" s="47" t="s">
        <v>448</v>
      </c>
      <c r="C236" s="54">
        <v>0.8</v>
      </c>
    </row>
    <row r="237" spans="1:3" ht="15.75">
      <c r="A237" s="53" t="s">
        <v>449</v>
      </c>
      <c r="B237" s="47" t="s">
        <v>450</v>
      </c>
      <c r="C237" s="54">
        <v>0.55000000000000004</v>
      </c>
    </row>
    <row r="238" spans="1:3" ht="15.75">
      <c r="A238" s="53" t="s">
        <v>616</v>
      </c>
      <c r="B238" s="47" t="s">
        <v>235</v>
      </c>
      <c r="C238" s="54">
        <v>0.75</v>
      </c>
    </row>
    <row r="239" spans="1:3" ht="15.75">
      <c r="A239" s="53" t="s">
        <v>451</v>
      </c>
      <c r="B239" s="47" t="s">
        <v>452</v>
      </c>
      <c r="C239" s="54">
        <v>0.8</v>
      </c>
    </row>
    <row r="240" spans="1:3" ht="15.75">
      <c r="A240" s="53" t="s">
        <v>453</v>
      </c>
      <c r="B240" s="47" t="s">
        <v>454</v>
      </c>
      <c r="C240" s="54">
        <v>0.65</v>
      </c>
    </row>
    <row r="241" spans="1:3" ht="15.75">
      <c r="A241" s="53" t="s">
        <v>617</v>
      </c>
      <c r="B241" s="47" t="s">
        <v>455</v>
      </c>
      <c r="C241" s="54">
        <v>0.65</v>
      </c>
    </row>
    <row r="242" spans="1:3" ht="15.75">
      <c r="A242" s="53" t="s">
        <v>618</v>
      </c>
      <c r="B242" s="47" t="s">
        <v>456</v>
      </c>
      <c r="C242" s="54">
        <v>0.65</v>
      </c>
    </row>
    <row r="243" spans="1:3" ht="15.75">
      <c r="A243" s="53" t="s">
        <v>237</v>
      </c>
      <c r="B243" s="47" t="s">
        <v>704</v>
      </c>
      <c r="C243" s="54">
        <v>0.6</v>
      </c>
    </row>
    <row r="244" spans="1:3" ht="15.75">
      <c r="A244" s="53" t="s">
        <v>619</v>
      </c>
      <c r="B244" s="47" t="s">
        <v>457</v>
      </c>
      <c r="C244" s="54">
        <v>0.6</v>
      </c>
    </row>
    <row r="245" spans="1:3" ht="15.75">
      <c r="A245" s="53" t="s">
        <v>620</v>
      </c>
      <c r="B245" s="47" t="s">
        <v>458</v>
      </c>
      <c r="C245" s="54">
        <v>0.75</v>
      </c>
    </row>
    <row r="246" spans="1:3" ht="15.75">
      <c r="A246" s="53" t="s">
        <v>621</v>
      </c>
      <c r="B246" s="47" t="s">
        <v>459</v>
      </c>
      <c r="C246" s="54">
        <v>0.6</v>
      </c>
    </row>
    <row r="247" spans="1:3" ht="15.75">
      <c r="A247" s="53" t="s">
        <v>239</v>
      </c>
      <c r="B247" s="47" t="s">
        <v>460</v>
      </c>
      <c r="C247" s="54">
        <v>0.55000000000000004</v>
      </c>
    </row>
    <row r="248" spans="1:3" ht="15.75">
      <c r="A248" s="53" t="s">
        <v>622</v>
      </c>
      <c r="B248" s="47" t="s">
        <v>461</v>
      </c>
      <c r="C248" s="54">
        <v>0.35</v>
      </c>
    </row>
    <row r="249" spans="1:3" ht="15.75">
      <c r="A249" s="57" t="s">
        <v>462</v>
      </c>
      <c r="B249" s="47" t="s">
        <v>463</v>
      </c>
      <c r="C249" s="54">
        <v>0.7</v>
      </c>
    </row>
    <row r="250" spans="1:3" ht="15.75">
      <c r="A250" s="53" t="s">
        <v>241</v>
      </c>
      <c r="B250" s="47" t="s">
        <v>464</v>
      </c>
      <c r="C250" s="54">
        <v>0.55000000000000004</v>
      </c>
    </row>
    <row r="251" spans="1:3" ht="15.75">
      <c r="A251" s="53" t="s">
        <v>465</v>
      </c>
      <c r="B251" s="47" t="s">
        <v>466</v>
      </c>
      <c r="C251" s="54">
        <v>0.6</v>
      </c>
    </row>
    <row r="252" spans="1:3" ht="15.75">
      <c r="A252" s="53" t="s">
        <v>623</v>
      </c>
      <c r="B252" s="47" t="s">
        <v>467</v>
      </c>
      <c r="C252" s="54">
        <v>0.65</v>
      </c>
    </row>
    <row r="253" spans="1:3" ht="15.75">
      <c r="A253" s="55" t="s">
        <v>624</v>
      </c>
      <c r="B253" s="47" t="s">
        <v>705</v>
      </c>
      <c r="C253" s="54">
        <v>0.55000000000000004</v>
      </c>
    </row>
    <row r="254" spans="1:3" ht="15.75">
      <c r="A254" s="53" t="s">
        <v>486</v>
      </c>
      <c r="B254" s="47" t="s">
        <v>706</v>
      </c>
      <c r="C254" s="54">
        <v>0.45</v>
      </c>
    </row>
    <row r="255" spans="1:3" ht="15.75">
      <c r="A255" s="53" t="s">
        <v>468</v>
      </c>
      <c r="B255" s="47" t="s">
        <v>469</v>
      </c>
      <c r="C255" s="54">
        <v>0.6</v>
      </c>
    </row>
    <row r="256" spans="1:3" ht="15.75">
      <c r="A256" s="55" t="s">
        <v>244</v>
      </c>
      <c r="B256" s="47" t="s">
        <v>470</v>
      </c>
      <c r="C256" s="54">
        <v>0.8</v>
      </c>
    </row>
    <row r="257" spans="1:3" ht="15.75">
      <c r="A257" s="53" t="s">
        <v>625</v>
      </c>
      <c r="B257" s="47" t="s">
        <v>477</v>
      </c>
      <c r="C257" s="54">
        <v>0</v>
      </c>
    </row>
    <row r="258" spans="1:3" ht="15.75">
      <c r="A258" s="53" t="s">
        <v>476</v>
      </c>
      <c r="B258" s="47" t="s">
        <v>707</v>
      </c>
      <c r="C258" s="54">
        <v>0.85</v>
      </c>
    </row>
    <row r="259" spans="1:3" ht="15.75">
      <c r="A259" s="53" t="s">
        <v>626</v>
      </c>
      <c r="B259" s="47" t="s">
        <v>471</v>
      </c>
      <c r="C259" s="54">
        <v>0.5</v>
      </c>
    </row>
    <row r="260" spans="1:3" ht="15.75">
      <c r="A260" s="53" t="s">
        <v>480</v>
      </c>
      <c r="B260" s="47" t="s">
        <v>481</v>
      </c>
      <c r="C260" s="54">
        <v>0.8</v>
      </c>
    </row>
    <row r="261" spans="1:3" ht="15.75">
      <c r="A261" s="53" t="s">
        <v>478</v>
      </c>
      <c r="B261" s="47" t="s">
        <v>479</v>
      </c>
      <c r="C261" s="54">
        <v>0.8</v>
      </c>
    </row>
    <row r="262" spans="1:3" ht="15.75">
      <c r="A262" s="53" t="s">
        <v>474</v>
      </c>
      <c r="B262" s="47" t="s">
        <v>475</v>
      </c>
      <c r="C262" s="54">
        <v>0.2</v>
      </c>
    </row>
    <row r="263" spans="1:3" ht="15.75">
      <c r="A263" s="53" t="s">
        <v>472</v>
      </c>
      <c r="B263" s="47" t="s">
        <v>473</v>
      </c>
      <c r="C263" s="54">
        <v>0.9</v>
      </c>
    </row>
    <row r="264" spans="1:3" ht="15.75">
      <c r="A264" s="53" t="s">
        <v>627</v>
      </c>
      <c r="B264" s="47" t="s">
        <v>708</v>
      </c>
      <c r="C264" s="54">
        <v>0</v>
      </c>
    </row>
    <row r="265" spans="1:3" ht="15.75">
      <c r="A265" s="53" t="s">
        <v>628</v>
      </c>
      <c r="B265" s="47" t="s">
        <v>709</v>
      </c>
      <c r="C265" s="54">
        <v>0.7</v>
      </c>
    </row>
    <row r="266" spans="1:3" ht="15.75">
      <c r="A266" s="53" t="s">
        <v>251</v>
      </c>
      <c r="B266" s="47" t="s">
        <v>252</v>
      </c>
      <c r="C266" s="54">
        <v>0.65</v>
      </c>
    </row>
    <row r="267" spans="1:3" ht="15.75">
      <c r="A267" s="53" t="s">
        <v>482</v>
      </c>
      <c r="B267" s="47" t="s">
        <v>483</v>
      </c>
      <c r="C267" s="54">
        <v>0.6</v>
      </c>
    </row>
    <row r="268" spans="1:3" ht="15.75">
      <c r="A268" s="53" t="s">
        <v>484</v>
      </c>
      <c r="B268" s="47" t="s">
        <v>485</v>
      </c>
      <c r="C268" s="54">
        <v>0.5</v>
      </c>
    </row>
    <row r="269" spans="1:3" ht="15.75">
      <c r="A269" s="53" t="s">
        <v>254</v>
      </c>
      <c r="B269" s="47" t="s">
        <v>710</v>
      </c>
      <c r="C269" s="54">
        <v>0.7</v>
      </c>
    </row>
    <row r="270" spans="1:3" ht="15.75">
      <c r="A270" s="53" t="s">
        <v>629</v>
      </c>
      <c r="B270" s="47" t="s">
        <v>711</v>
      </c>
      <c r="C270" s="54">
        <v>0.65</v>
      </c>
    </row>
    <row r="271" spans="1:3" ht="15.75">
      <c r="A271" s="53" t="s">
        <v>257</v>
      </c>
      <c r="B271" s="47" t="s">
        <v>487</v>
      </c>
      <c r="C271" s="54">
        <v>0.7</v>
      </c>
    </row>
    <row r="272" spans="1:3" ht="15.75">
      <c r="A272" s="55" t="s">
        <v>630</v>
      </c>
      <c r="B272" s="47" t="s">
        <v>712</v>
      </c>
      <c r="C272" s="54">
        <v>0.7</v>
      </c>
    </row>
    <row r="273" spans="1:3" ht="15.75">
      <c r="A273" s="55" t="s">
        <v>488</v>
      </c>
      <c r="B273" s="47" t="s">
        <v>489</v>
      </c>
      <c r="C273" s="54">
        <v>0.75</v>
      </c>
    </row>
    <row r="274" spans="1:3" ht="16.5" thickBot="1">
      <c r="A274" s="58" t="s">
        <v>631</v>
      </c>
      <c r="B274" s="59" t="s">
        <v>490</v>
      </c>
      <c r="C274" s="60">
        <v>0.55000000000000004</v>
      </c>
    </row>
  </sheetData>
  <dataValidations count="1">
    <dataValidation type="decimal" allowBlank="1" showInputMessage="1" showErrorMessage="1" errorTitle="בעיה בהזנת המידע- " error="עץ לא מהרשימה" promptTitle="שם העץ" prompt="נמצא" sqref="A3" xr:uid="{00000000-0002-0000-0500-000000000000}">
      <formula1>0</formula1>
      <formula2>1</formula2>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גיליון11"/>
  <dimension ref="B1:F19"/>
  <sheetViews>
    <sheetView showGridLines="0" rightToLeft="1" workbookViewId="0"/>
  </sheetViews>
  <sheetFormatPr defaultRowHeight="12.75"/>
  <cols>
    <col min="1" max="1" width="1.140625" customWidth="1"/>
    <col min="2" max="2" width="64.42578125" customWidth="1"/>
    <col min="3" max="3" width="1.5703125" customWidth="1"/>
    <col min="4" max="4" width="5.5703125" customWidth="1"/>
    <col min="5" max="6" width="16" customWidth="1"/>
  </cols>
  <sheetData>
    <row r="1" spans="2:6">
      <c r="B1" s="27" t="s">
        <v>493</v>
      </c>
      <c r="C1" s="27"/>
      <c r="D1" s="36"/>
      <c r="E1" s="36"/>
      <c r="F1" s="36"/>
    </row>
    <row r="2" spans="2:6">
      <c r="B2" s="27" t="s">
        <v>494</v>
      </c>
      <c r="C2" s="27"/>
      <c r="D2" s="36"/>
      <c r="E2" s="36"/>
      <c r="F2" s="36"/>
    </row>
    <row r="3" spans="2:6">
      <c r="B3" s="28"/>
      <c r="C3" s="28"/>
      <c r="D3" s="37"/>
      <c r="E3" s="37"/>
      <c r="F3" s="37"/>
    </row>
    <row r="4" spans="2:6" ht="38.25">
      <c r="B4" s="28" t="s">
        <v>495</v>
      </c>
      <c r="C4" s="28"/>
      <c r="D4" s="37"/>
      <c r="E4" s="37"/>
      <c r="F4" s="37"/>
    </row>
    <row r="5" spans="2:6">
      <c r="B5" s="28"/>
      <c r="C5" s="28"/>
      <c r="D5" s="37"/>
      <c r="E5" s="37"/>
      <c r="F5" s="37"/>
    </row>
    <row r="6" spans="2:6">
      <c r="B6" s="27" t="s">
        <v>496</v>
      </c>
      <c r="C6" s="27"/>
      <c r="D6" s="36"/>
      <c r="E6" s="36" t="s">
        <v>497</v>
      </c>
      <c r="F6" s="36" t="s">
        <v>498</v>
      </c>
    </row>
    <row r="7" spans="2:6" ht="13.5" thickBot="1">
      <c r="B7" s="28"/>
      <c r="C7" s="28"/>
      <c r="D7" s="37"/>
      <c r="E7" s="37"/>
      <c r="F7" s="37"/>
    </row>
    <row r="8" spans="2:6" ht="25.5">
      <c r="B8" s="29" t="s">
        <v>499</v>
      </c>
      <c r="C8" s="30"/>
      <c r="D8" s="38"/>
      <c r="E8" s="38">
        <v>2</v>
      </c>
      <c r="F8" s="39"/>
    </row>
    <row r="9" spans="2:6">
      <c r="B9" s="31"/>
      <c r="C9" s="28"/>
      <c r="D9" s="37"/>
      <c r="E9" s="40" t="s">
        <v>500</v>
      </c>
      <c r="F9" s="41" t="s">
        <v>501</v>
      </c>
    </row>
    <row r="10" spans="2:6" ht="13.5" thickBot="1">
      <c r="B10" s="32"/>
      <c r="C10" s="33"/>
      <c r="D10" s="42"/>
      <c r="E10" s="43" t="s">
        <v>502</v>
      </c>
      <c r="F10" s="44" t="s">
        <v>501</v>
      </c>
    </row>
    <row r="11" spans="2:6" ht="13.5" thickBot="1">
      <c r="B11" s="28"/>
      <c r="C11" s="28"/>
      <c r="D11" s="37"/>
      <c r="E11" s="37"/>
      <c r="F11" s="37"/>
    </row>
    <row r="12" spans="2:6" ht="25.5">
      <c r="B12" s="29" t="s">
        <v>503</v>
      </c>
      <c r="C12" s="30"/>
      <c r="D12" s="38"/>
      <c r="E12" s="38">
        <v>1</v>
      </c>
      <c r="F12" s="39"/>
    </row>
    <row r="13" spans="2:6" ht="13.5" thickBot="1">
      <c r="B13" s="32"/>
      <c r="C13" s="33"/>
      <c r="D13" s="42"/>
      <c r="E13" s="43" t="s">
        <v>504</v>
      </c>
      <c r="F13" s="44" t="s">
        <v>501</v>
      </c>
    </row>
    <row r="14" spans="2:6">
      <c r="B14" s="28"/>
      <c r="C14" s="28"/>
      <c r="D14" s="37"/>
      <c r="E14" s="37"/>
      <c r="F14" s="37"/>
    </row>
    <row r="15" spans="2:6">
      <c r="B15" s="28"/>
      <c r="C15" s="28"/>
      <c r="D15" s="37"/>
      <c r="E15" s="37"/>
      <c r="F15" s="37"/>
    </row>
    <row r="16" spans="2:6">
      <c r="B16" s="27" t="s">
        <v>505</v>
      </c>
      <c r="C16" s="27"/>
      <c r="D16" s="36"/>
      <c r="E16" s="36"/>
      <c r="F16" s="36"/>
    </row>
    <row r="17" spans="2:6" ht="13.5" thickBot="1">
      <c r="B17" s="28"/>
      <c r="C17" s="28"/>
      <c r="D17" s="37"/>
      <c r="E17" s="37"/>
      <c r="F17" s="37"/>
    </row>
    <row r="18" spans="2:6" ht="26.25" thickBot="1">
      <c r="B18" s="34" t="s">
        <v>506</v>
      </c>
      <c r="C18" s="35"/>
      <c r="D18" s="45"/>
      <c r="E18" s="45">
        <v>4</v>
      </c>
      <c r="F18" s="46" t="s">
        <v>501</v>
      </c>
    </row>
    <row r="19" spans="2:6">
      <c r="B19" s="28"/>
      <c r="C19" s="28"/>
      <c r="D19" s="37"/>
      <c r="E19" s="37"/>
      <c r="F19" s="37"/>
    </row>
  </sheetData>
  <hyperlinks>
    <hyperlink ref="E9" location="'חד גזעי'!C1:R237" display="C1:R237!&quot;חד גזעי&quot;" xr:uid="{00000000-0004-0000-0600-000000000000}"/>
    <hyperlink ref="E10" location="'רב גזעי'!B3:M19" display="B3:M19!&quot;רב גזעי&quot;" xr:uid="{00000000-0004-0000-0600-000001000000}"/>
    <hyperlink ref="E13" location="'חד גזעי'!F11" display="F11!&quot;חד גזעי&quot;" xr:uid="{00000000-0004-0000-0600-000002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46656d4-8850-49b3-aebd-68bd05f7f43d">
      <Value>587</Value>
      <Value>599</Value>
      <Value>708</Value>
      <Value>693</Value>
    </TaxCatchAll>
    <n612d9597dc7466f957352ce79be86f3 xmlns="a46656d4-8850-49b3-aebd-68bd05f7f43d">
      <Terms xmlns="http://schemas.microsoft.com/office/infopath/2007/PartnerControls">
        <TermInfo xmlns="http://schemas.microsoft.com/office/infopath/2007/PartnerControls">
          <TermName xmlns="http://schemas.microsoft.com/office/infopath/2007/PartnerControls">יער ואילנות (פקיד היערות)</TermName>
          <TermId xmlns="http://schemas.microsoft.com/office/infopath/2007/PartnerControls">3b39c19f-2138-4f05-8be3-e9e65b13dff3</TermId>
        </TermInfo>
      </Terms>
    </n612d9597dc7466f957352ce79be86f3>
    <de843369fd944e548617ff527ab20376 xmlns="a46656d4-8850-49b3-aebd-68bd05f7f43d">
      <Terms xmlns="http://schemas.microsoft.com/office/infopath/2007/PartnerControls">
        <TermInfo xmlns="http://schemas.microsoft.com/office/infopath/2007/PartnerControls">
          <TermName xmlns="http://schemas.microsoft.com/office/infopath/2007/PartnerControls">עצים</TermName>
          <TermId xmlns="http://schemas.microsoft.com/office/infopath/2007/PartnerControls">5201155a-e684-4427-a3a0-49b11ba8e09c</TermId>
        </TermInfo>
        <TermInfo xmlns="http://schemas.microsoft.com/office/infopath/2007/PartnerControls">
          <TermName xmlns="http://schemas.microsoft.com/office/infopath/2007/PartnerControls">עצים בוגרים</TermName>
          <TermId xmlns="http://schemas.microsoft.com/office/infopath/2007/PartnerControls">1db15947-d1d3-4c2d-80a3-cfd3e79fe5c9</TermId>
        </TermInfo>
      </Terms>
    </de843369fd944e548617ff527ab20376>
    <aa1c885e8039426686f6c49672b09953 xmlns="a46656d4-8850-49b3-aebd-68bd05f7f43d">
      <Terms xmlns="http://schemas.microsoft.com/office/infopath/2007/PartnerControls">
        <TermInfo xmlns="http://schemas.microsoft.com/office/infopath/2007/PartnerControls">
          <TermName xmlns="http://schemas.microsoft.com/office/infopath/2007/PartnerControls">פרסומים</TermName>
          <TermId xmlns="http://schemas.microsoft.com/office/infopath/2007/PartnerControls">c87efed2-5b07-4e21-98b7-f3ecd88d7a47</TermId>
        </TermInfo>
      </Terms>
    </aa1c885e8039426686f6c49672b09953>
    <e09eddfac2354f9ab04a226e27f86f1f xmlns="a46656d4-8850-49b3-aebd-68bd05f7f43d">
      <Terms xmlns="http://schemas.microsoft.com/office/infopath/2007/PartnerControls"/>
    </e09eddfac2354f9ab04a226e27f86f1f>
    <PublishingExpirationDate xmlns="http://schemas.microsoft.com/sharepoint/v3" xsi:nil="true"/>
    <PublishingStartDate xmlns="http://schemas.microsoft.com/sharepoint/v3" xsi:nil="true"/>
    <k78432f343bf4d9084fde36c1a7823b0 xmlns="a46656d4-8850-49b3-aebd-68bd05f7f43d">
      <Terms xmlns="http://schemas.microsoft.com/office/infopath/2007/PartnerControls">
        <TermInfo xmlns="http://schemas.microsoft.com/office/infopath/2007/PartnerControls">
          <TermName xmlns="http://schemas.microsoft.com/office/infopath/2007/PartnerControls">פרסומים</TermName>
          <TermId xmlns="http://schemas.microsoft.com/office/infopath/2007/PartnerControls">c87efed2-5b07-4e21-98b7-f3ecd88d7a47</TermId>
        </TermInfo>
      </Terms>
    </k78432f343bf4d9084fde36c1a7823b0>
  </documentManagement>
</p:properties>
</file>

<file path=customXml/item2.xml><?xml version="1.0" encoding="utf-8"?>
<ct:contentTypeSchema xmlns:ct="http://schemas.microsoft.com/office/2006/metadata/contentType" xmlns:ma="http://schemas.microsoft.com/office/2006/metadata/properties/metaAttributes" ct:_="" ma:_="" ma:contentTypeName="מסמך" ma:contentTypeID="0x010100355561722310454CA993E1BE9C4F4156" ma:contentTypeVersion="1" ma:contentTypeDescription="צור מסמך חדש." ma:contentTypeScope="" ma:versionID="13e7efac6cf4a66fbb96bdf73c97f0de">
  <xsd:schema xmlns:xsd="http://www.w3.org/2001/XMLSchema" xmlns:xs="http://www.w3.org/2001/XMLSchema" xmlns:p="http://schemas.microsoft.com/office/2006/metadata/properties" xmlns:ns1="http://schemas.microsoft.com/sharepoint/v3" xmlns:ns2="a46656d4-8850-49b3-aebd-68bd05f7f43d" targetNamespace="http://schemas.microsoft.com/office/2006/metadata/properties" ma:root="true" ma:fieldsID="e3fef76a14e61d3ac135b8be0e1e6251" ns1:_="" ns2:_="">
    <xsd:import namespace="http://schemas.microsoft.com/sharepoint/v3"/>
    <xsd:import namespace="a46656d4-8850-49b3-aebd-68bd05f7f43d"/>
    <xsd:element name="properties">
      <xsd:complexType>
        <xsd:sequence>
          <xsd:element name="documentManagement">
            <xsd:complexType>
              <xsd:all>
                <xsd:element ref="ns2:aa1c885e8039426686f6c49672b09953" minOccurs="0"/>
                <xsd:element ref="ns2:TaxCatchAll" minOccurs="0"/>
                <xsd:element ref="ns2:TaxCatchAllLabel" minOccurs="0"/>
                <xsd:element ref="ns2:n612d9597dc7466f957352ce79be86f3" minOccurs="0"/>
                <xsd:element ref="ns2:e09eddfac2354f9ab04a226e27f86f1f" minOccurs="0"/>
                <xsd:element ref="ns2:de843369fd944e548617ff527ab20376" minOccurs="0"/>
                <xsd:element ref="ns2:k78432f343bf4d9084fde36c1a7823b0" minOccurs="0"/>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20" nillable="true" ma:displayName="מתזמן תאריך התחלה" ma:description="'מתזמן תאריך התחלה' הוא עמודת אתר שיוצרת תכונת הפרסום. היא משמשת לציון התאריך והשעה שבהם יופיע הדף לראשונה בפני מבקרי האתר." ma:hidden="true" ma:internalName="PublishingStartDate">
      <xsd:simpleType>
        <xsd:restriction base="dms:Unknown"/>
      </xsd:simpleType>
    </xsd:element>
    <xsd:element name="PublishingExpirationDate" ma:index="21" nillable="true" ma:displayName="מתזמן תאריך סיום" ma:description="'תזמון תאריך הסיום' הוא עמודת אתר שיוצרת תכונת הפרסום. היא משמשת לציון התאריך והשעה שבהם הדף לא יופיע עוד בפני מבקרי האתר."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46656d4-8850-49b3-aebd-68bd05f7f43d" elementFormDefault="qualified">
    <xsd:import namespace="http://schemas.microsoft.com/office/2006/documentManagement/types"/>
    <xsd:import namespace="http://schemas.microsoft.com/office/infopath/2007/PartnerControls"/>
    <xsd:element name="aa1c885e8039426686f6c49672b09953" ma:index="8" nillable="true" ma:taxonomy="true" ma:internalName="aa1c885e8039426686f6c49672b09953" ma:taxonomyFieldName="MMDTypes" ma:displayName="MMDTypes" ma:readOnly="false" ma:default="" ma:fieldId="{aa1c885e-8039-4266-86f6-c49672b09953}" ma:taxonomyMulti="true" ma:sspId="ac01c670-05d9-4ab2-9443-169f022c96e4" ma:termSetId="5864acac-1c58-40cd-a367-8df1f1ae8708" ma:anchorId="00000000-0000-0000-0000-000000000000" ma:open="false" ma:isKeyword="false">
      <xsd:complexType>
        <xsd:sequence>
          <xsd:element ref="pc:Terms" minOccurs="0" maxOccurs="1"/>
        </xsd:sequence>
      </xsd:complexType>
    </xsd:element>
    <xsd:element name="TaxCatchAll" ma:index="9" nillable="true" ma:displayName="עמודת 'תפוס הכל' של טקסונומיה" ma:description="" ma:hidden="true" ma:list="{e12108e9-b676-4047-af95-0a4967b3603a}" ma:internalName="TaxCatchAll" ma:showField="CatchAllData" ma:web="a46656d4-8850-49b3-aebd-68bd05f7f43d">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עמודת 'תפוס הכל' של טקסונומיה1" ma:description="" ma:hidden="true" ma:list="{e12108e9-b676-4047-af95-0a4967b3603a}" ma:internalName="TaxCatchAllLabel" ma:readOnly="true" ma:showField="CatchAllDataLabel" ma:web="a46656d4-8850-49b3-aebd-68bd05f7f43d">
      <xsd:complexType>
        <xsd:complexContent>
          <xsd:extension base="dms:MultiChoiceLookup">
            <xsd:sequence>
              <xsd:element name="Value" type="dms:Lookup" maxOccurs="unbounded" minOccurs="0" nillable="true"/>
            </xsd:sequence>
          </xsd:extension>
        </xsd:complexContent>
      </xsd:complexType>
    </xsd:element>
    <xsd:element name="n612d9597dc7466f957352ce79be86f3" ma:index="12" nillable="true" ma:taxonomy="true" ma:internalName="n612d9597dc7466f957352ce79be86f3" ma:taxonomyFieldName="MMDUnitsName" ma:displayName="יחידה" ma:default="" ma:fieldId="{7612d959-7dc7-466f-9573-52ce79be86f3}" ma:taxonomyMulti="true" ma:sspId="ac01c670-05d9-4ab2-9443-169f022c96e4" ma:termSetId="8d015b60-5fb6-4900-a742-341cb589e63e" ma:anchorId="00000000-0000-0000-0000-000000000000" ma:open="false" ma:isKeyword="false">
      <xsd:complexType>
        <xsd:sequence>
          <xsd:element ref="pc:Terms" minOccurs="0" maxOccurs="1"/>
        </xsd:sequence>
      </xsd:complexType>
    </xsd:element>
    <xsd:element name="e09eddfac2354f9ab04a226e27f86f1f" ma:index="14" nillable="true" ma:taxonomy="true" ma:internalName="e09eddfac2354f9ab04a226e27f86f1f" ma:taxonomyFieldName="MMDSubjects" ma:displayName="MMDSubjects" ma:default="" ma:fieldId="{e09eddfa-c235-4f9a-b04a-226e27f86f1f}" ma:taxonomyMulti="true" ma:sspId="ac01c670-05d9-4ab2-9443-169f022c96e4" ma:termSetId="fa0b6615-892a-42b6-af30-af7f077f9772" ma:anchorId="00000000-0000-0000-0000-000000000000" ma:open="false" ma:isKeyword="false">
      <xsd:complexType>
        <xsd:sequence>
          <xsd:element ref="pc:Terms" minOccurs="0" maxOccurs="1"/>
        </xsd:sequence>
      </xsd:complexType>
    </xsd:element>
    <xsd:element name="de843369fd944e548617ff527ab20376" ma:index="16" nillable="true" ma:taxonomy="true" ma:internalName="de843369fd944e548617ff527ab20376" ma:taxonomyFieldName="MMDFields" ma:displayName="MMDFields" ma:default="" ma:fieldId="{de843369-fd94-4e54-8617-ff527ab20376}" ma:taxonomyMulti="true" ma:sspId="ac01c670-05d9-4ab2-9443-169f022c96e4" ma:termSetId="39c8db6d-4b7a-4291-93f2-f7cfbb565f28" ma:anchorId="00000000-0000-0000-0000-000000000000" ma:open="false" ma:isKeyword="false">
      <xsd:complexType>
        <xsd:sequence>
          <xsd:element ref="pc:Terms" minOccurs="0" maxOccurs="1"/>
        </xsd:sequence>
      </xsd:complexType>
    </xsd:element>
    <xsd:element name="k78432f343bf4d9084fde36c1a7823b0" ma:index="18" nillable="true" ma:taxonomy="true" ma:internalName="k78432f343bf4d9084fde36c1a7823b0" ma:taxonomyFieldName="MMDPageTypes" ma:displayName="סוגי דפים" ma:default="" ma:fieldId="{478432f3-43bf-4d90-84fd-e36c1a7823b0}" ma:sspId="ac01c670-05d9-4ab2-9443-169f022c96e4" ma:termSetId="5864acac-1c58-40cd-a367-8df1f1ae8708"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42F9616-09CA-45E2-B2BA-55C497AADE52}">
  <ds:schemaRefs>
    <ds:schemaRef ds:uri="http://schemas.microsoft.com/office/2006/metadata/properties"/>
    <ds:schemaRef ds:uri="http://www.w3.org/2000/xmlns/"/>
    <ds:schemaRef ds:uri="a46656d4-8850-49b3-aebd-68bd05f7f43d"/>
    <ds:schemaRef ds:uri="http://schemas.microsoft.com/office/infopath/2007/PartnerControls"/>
    <ds:schemaRef ds:uri="http://schemas.microsoft.com/sharepoint/v3"/>
    <ds:schemaRef ds:uri="http://www.w3.org/2001/XMLSchema-instance"/>
  </ds:schemaRefs>
</ds:datastoreItem>
</file>

<file path=customXml/itemProps2.xml><?xml version="1.0" encoding="utf-8"?>
<ds:datastoreItem xmlns:ds="http://schemas.openxmlformats.org/officeDocument/2006/customXml" ds:itemID="{E369C4A4-3950-4DAA-93DC-1DF2657D3F99}">
  <ds:schemaRefs>
    <ds:schemaRef ds:uri="http://schemas.microsoft.com/office/2006/metadata/contentType"/>
    <ds:schemaRef ds:uri="http://schemas.microsoft.com/office/2006/metadata/properties/metaAttributes"/>
    <ds:schemaRef ds:uri="http://www.w3.org/2000/xmlns/"/>
    <ds:schemaRef ds:uri="http://www.w3.org/2001/XMLSchema"/>
    <ds:schemaRef ds:uri="http://schemas.microsoft.com/sharepoint/v3"/>
    <ds:schemaRef ds:uri="a46656d4-8850-49b3-aebd-68bd05f7f43d"/>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BF4A75E-7ABE-405B-B2A1-2F3DC6F4BC29}">
  <ds:schemaRefs>
    <ds:schemaRef ds:uri="http://schemas.microsoft.com/office/2006/metadata/longProperties"/>
  </ds:schemaRefs>
</ds:datastoreItem>
</file>

<file path=customXml/itemProps4.xml><?xml version="1.0" encoding="utf-8"?>
<ds:datastoreItem xmlns:ds="http://schemas.openxmlformats.org/officeDocument/2006/customXml" ds:itemID="{5CD4A14C-3197-4D6A-B0B8-A38C4B1824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12</vt:i4>
      </vt:variant>
      <vt:variant>
        <vt:lpstr>טווחים בעלי שם</vt:lpstr>
      </vt:variant>
      <vt:variant>
        <vt:i4>7</vt:i4>
      </vt:variant>
    </vt:vector>
  </HeadingPairs>
  <TitlesOfParts>
    <vt:vector size="19" baseType="lpstr">
      <vt:lpstr>סקר</vt:lpstr>
      <vt:lpstr>טעינת עצים</vt:lpstr>
      <vt:lpstr>פוליגון</vt:lpstr>
      <vt:lpstr>חד גזעי</vt:lpstr>
      <vt:lpstr>רב גזעי</vt:lpstr>
      <vt:lpstr>ערכים לבריאות העץ</vt:lpstr>
      <vt:lpstr>ערכים למיקום העץ</vt:lpstr>
      <vt:lpstr>פרמטרים</vt:lpstr>
      <vt:lpstr>Species</vt:lpstr>
      <vt:lpstr>גיליון2</vt:lpstr>
      <vt:lpstr>ערך מין העץ 2018</vt:lpstr>
      <vt:lpstr>דוח תאימות</vt:lpstr>
      <vt:lpstr>SpeciesTable</vt:lpstr>
      <vt:lpstr>SpeciesValue</vt:lpstr>
      <vt:lpstr>TreePlace</vt:lpstr>
      <vt:lpstr>TreeStatus</vt:lpstr>
      <vt:lpstr>בומבק_ציבה__הודי</vt:lpstr>
      <vt:lpstr>'ערך מין העץ 2018'!עץ</vt:lpstr>
      <vt:lpstr>פיקוס_השקמה</vt:lpstr>
    </vt:vector>
  </TitlesOfParts>
  <Company>kkl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חישוב ערך חלופי לעצים</dc:title>
  <dc:creator>ori aygner</dc:creator>
  <cp:lastModifiedBy>ori aygner</cp:lastModifiedBy>
  <cp:lastPrinted>2026-04-13T15:17:53Z</cp:lastPrinted>
  <dcterms:created xsi:type="dcterms:W3CDTF">2009-06-09T11:05:00Z</dcterms:created>
  <dcterms:modified xsi:type="dcterms:W3CDTF">2026-05-25T15:58:40Z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MDPageTypes">
    <vt:lpwstr>587;#פרסומים|c87efed2-5b07-4e21-98b7-f3ecd88d7a47</vt:lpwstr>
  </property>
  <property fmtid="{D5CDD505-2E9C-101B-9397-08002B2CF9AE}" pid="3" name="MMDFields">
    <vt:lpwstr>693;#עצים|5201155a-e684-4427-a3a0-49b11ba8e09c;#708;#עצים בוגרים|1db15947-d1d3-4c2d-80a3-cfd3e79fe5c9</vt:lpwstr>
  </property>
  <property fmtid="{D5CDD505-2E9C-101B-9397-08002B2CF9AE}" pid="4" name="MMDTypes">
    <vt:lpwstr>587;#פרסומים|c87efed2-5b07-4e21-98b7-f3ecd88d7a47</vt:lpwstr>
  </property>
  <property fmtid="{D5CDD505-2E9C-101B-9397-08002B2CF9AE}" pid="5" name="MMDUnitsName">
    <vt:lpwstr>599;#יער ואילנות (פקיד היערות)|3b39c19f-2138-4f05-8be3-e9e65b13dff3</vt:lpwstr>
  </property>
  <property fmtid="{D5CDD505-2E9C-101B-9397-08002B2CF9AE}" pid="6" name="MMDSubjects">
    <vt:lpwstr/>
  </property>
  <property fmtid="{D5CDD505-2E9C-101B-9397-08002B2CF9AE}" pid="7" name="ContentTypeId">
    <vt:lpwstr>0x010100355561722310454CA993E1BE9C4F4156</vt:lpwstr>
  </property>
</Properties>
</file>