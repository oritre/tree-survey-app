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tiff" ContentType="image/tiff"/>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חוברת_עבודה_זו" defaultThemeVersion="166925"/>
  <mc:AlternateContent xmlns:mc="http://schemas.openxmlformats.org/markup-compatibility/2006">
    <mc:Choice Requires="x15">
      <x15ac:absPath xmlns:x15ac="http://schemas.microsoft.com/office/spreadsheetml/2010/11/ac" url="C:\Users\origr\OneDrive\מסמכים\‫תבניות מותאמות אישית של Office‬\"/>
    </mc:Choice>
  </mc:AlternateContent>
  <xr:revisionPtr revIDLastSave="0" documentId="8_{7B925B6D-B1D4-4E6F-BBD9-76A9B35AB4C5}" xr6:coauthVersionLast="47" xr6:coauthVersionMax="47" xr10:uidLastSave="{00000000-0000-0000-0000-000000000000}"/>
  <bookViews>
    <workbookView xWindow="-120" yWindow="-120" windowWidth="29040" windowHeight="15720" xr2:uid="{81DD6A25-B852-4357-A34A-4E1AE93F0C02}"/>
  </bookViews>
  <sheets>
    <sheet name="גיליון1" sheetId="1" r:id="rId1"/>
  </sheets>
  <definedNames>
    <definedName name="_xleta.IF" hidden="1" xlm="1">#NAME?</definedName>
    <definedName name="_xleta.N" hidden="1" xlm="1">#NAME?</definedName>
    <definedName name="_xlnm.Print_Area" localSheetId="0">'גיליון1'!$A$1:$I$278,'גיליון1'!$K$1:$N$278</definedName>
  </definedNames>
  <calcPr calcId="191028" fullCalcOnLoad="1" iterate="1" iterateCount="1"/>
  <customWorkbookViews>
    <customWorkbookView name="א1" guid="{61984D74-FB1A-431B-A485-2C7520214577}" maximized="1" xWindow="-8" yWindow="-8" windowWidth="1382" windowHeight="744"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<sst xmlns="http://schemas.openxmlformats.org/spreadsheetml/2006/main" count="33" uniqueCount="25">
  <si>
    <t>מין עץ</t>
  </si>
  <si>
    <t>הערות וטיפול מומלץ</t>
  </si>
  <si>
    <t>השורש הגזע המרכזי וענפי העץ במטרה לאבחן סיכונים אפשריים של כשל של כל העץ או חלקים ממנו.</t>
  </si>
  <si>
    <t>העצים באתר נמצאו בריאים, וכרגע אין סכנה מיידית הנשקפת לעין שצורכת טיפול מיידי,</t>
  </si>
  <si>
    <t>ואין כל מניעה משהות בכל שטחי האתר</t>
  </si>
  <si>
    <t>עם זאת ישנן עבודות גיזום הנדרשות לביצוע על מנת להקטין את הסיכוי של כשל ענפי העץ ו/או העץ בשלמותו.</t>
  </si>
  <si>
    <t>להלן פירוט העצים שנמצאו בשטח ומטרות הגיזום:</t>
  </si>
  <si>
    <t xml:space="preserve">דחיפות </t>
  </si>
  <si>
    <t>מומלץ כי את עבודות הגיזום יבצע בעל מקצוע אשר ברשותו תעודת "גוזם מומחה", אשמח להנחותו במידת הצורך.</t>
  </si>
  <si>
    <t>ממצאי הבדיקה נכונים לזמן הבדיקה בלבד</t>
  </si>
  <si>
    <t>בס"ד</t>
  </si>
  <si>
    <t>תאריך:</t>
  </si>
  <si>
    <t xml:space="preserve">בתאריך </t>
  </si>
  <si>
    <t xml:space="preserve">בוצע סיור רגלי בו נבחנו באופן ויזואלי כל העצים במתחם. כל עץ עבר בדיקה ויזואלית של אזור צוואר </t>
  </si>
  <si>
    <t>מספר העץ</t>
  </si>
  <si>
    <t xml:space="preserve">סקר בטיחות עצים </t>
  </si>
  <si>
    <t>נספח תמונות</t>
  </si>
  <si>
    <t>הסימונים על גבי התמונות הנם בגדר הצעת גיזום בלבד</t>
  </si>
  <si>
    <r>
      <rPr>
        <b/>
        <sz val="11"/>
        <color theme="1"/>
        <rFont val="Arial"/>
        <family val="2"/>
      </rPr>
      <t>מקרא דחיפויות</t>
    </r>
    <r>
      <rPr>
        <sz val="11"/>
        <color theme="1"/>
        <rFont val="Arial"/>
        <family val="2"/>
      </rPr>
      <t>: כ-  כריתה.  1- לטיפול מיידי.    2- טיפול בתוך 6 חודשים</t>
    </r>
  </si>
  <si>
    <t>מומלץ לבצע כריתה של עצי שיטה מכחילה, אילנטה בלוטית ופרקינסוניה שיכנית בכלל המוסדות. לא נדרש רישיון כריתה.</t>
  </si>
  <si>
    <t>מומלץ לבצע הדברה כנגד חדקונית הדקל וקרנפית התמר בכלל עצי הדקל במתחם (מדי 3 חודשים)</t>
  </si>
  <si>
    <t>וכן הדברה כנגד תהלוכן האורן בופן חד שנתי בחודשים 11/12</t>
  </si>
  <si>
    <r>
      <t xml:space="preserve">בברכה, אגרונום </t>
    </r>
    <r>
      <rPr>
        <sz val="11"/>
        <color theme="1"/>
        <rFont val="Calibri"/>
        <family val="2"/>
      </rPr>
      <t>B.Sc.Agr יערן עירוני וגוזם מומחה, אורי אייגנר</t>
    </r>
  </si>
  <si>
    <t>סמל מוסד:</t>
  </si>
  <si>
    <t>מנהל/ת:</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</si>
</sst>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
  </numFmts>
  <fonts count="7" x14ac:knownFonts="1">
    <font>
      <sz val="11"/>
      <color theme="1"/>
      <name val="Arial"/>
      <family val="2"/>
      <charset val="177"/>
      <scheme val="minor"/>
    </font>
    <font>
      <sz val="11"/>
      <color theme="1"/>
      <name val="Calibri"/>
      <family val="2"/>
    </font>
    <font>
      <sz val="11"/>
      <color theme="1"/>
      <name val="Arial"/>
      <family val="2"/>
    </font>
    <font>
      <b/>
      <sz val="18"/>
      <color theme="1"/>
      <name val="Arial"/>
      <family val="2"/>
    </font>
    <font>
      <b/>
      <sz val="12"/>
      <color theme="1"/>
      <name val="Arial"/>
      <family val="2"/>
    </font>
    <font>
      <b/>
      <sz val="11"/>
      <color theme="1"/>
      <name val="Arial"/>
      <family val="2"/>
    </font>
    <font>
      <sz val="8"/>
      <name val="Arial"/>
      <family val="2"/>
      <charset val="177"/>
      <scheme val="minor"/>
    </font>
  </fonts>
  <fills count="3">
    <fill>
      <patternFill patternType="none"/>
    </fill>
    <fill>
      <patternFill patternType="gray125"/>
    </fill>
    <fill>
      <patternFill patternType="solid">
        <fgColor rgb="FFFFFF0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s>
  <cellStyleXfs count="1">
    <xf numFmtId="0" fontId="0" fillId="0" borderId="0"/>
  </cellStyleXfs>
  <cellXfs count="47">
    <xf numFmtId="0" fontId="0" fillId="0" borderId="0" xfId="0"/>
    <xf numFmtId="0" fontId="4" fillId="0" borderId="0" xfId="0" applyFont="1" applyAlignment="1">
      <alignment horizontal="center" vertical="center" readingOrder="2"/>
    </xf>
    <xf numFmtId="0" fontId="2" fillId="0" borderId="0" xfId="0" applyFont="1" applyAlignment="1">
      <alignment horizontal="center" vertical="center" readingOrder="2"/>
    </xf>
    <xf numFmtId="0" fontId="0" fillId="0" borderId="1" xfId="0" applyBorder="1"/>
    <xf numFmtId="14" fontId="0" fillId="0" borderId="0" xfId="0" applyNumberFormat="1"/>
    <xf numFmtId="0" fontId="0" fillId="0" borderId="2" xfId="0" applyBorder="1"/>
    <xf numFmtId="0" fontId="0" fillId="0" borderId="3" xfId="0" applyBorder="1"/>
    <xf numFmtId="0" fontId="0" fillId="0" borderId="5" xfId="0" applyBorder="1"/>
    <xf numFmtId="0" fontId="0" fillId="0" borderId="2" xfId="0" applyBorder="1" applyAlignment="1">
      <alignment horizontal="right"/>
    </xf>
    <xf numFmtId="0" fontId="0" fillId="0" borderId="1" xfId="0" applyBorder="1" applyAlignment="1">
      <alignment horizontal="right"/>
    </xf>
    <xf numFmtId="0" fontId="0" fillId="0" borderId="0" xfId="0" applyAlignment="1">
      <alignment horizontal="right"/>
    </xf>
    <xf numFmtId="0" fontId="0" fillId="2" borderId="1" xfId="0" applyFill="1" applyBorder="1"/>
    <xf numFmtId="0" fontId="0" fillId="2" borderId="1" xfId="0" applyFill="1" applyBorder="1" applyAlignment="1">
      <alignment horizontal="right"/>
    </xf>
    <xf numFmtId="0" fontId="0" fillId="2" borderId="1" xfId="0" applyFill="1" applyBorder="1" applyAlignment="1">
      <alignment horizontal="center"/>
    </xf>
    <xf numFmtId="0" fontId="0" fillId="2" borderId="0" xfId="0" applyFill="1" applyAlignment="1">
      <alignment horizontal="right"/>
    </xf>
    <xf numFmtId="0" fontId="0" fillId="2" borderId="0" xfId="0" applyFill="1" applyAlignment="1">
      <alignment horizontal="center"/>
    </xf>
    <xf numFmtId="0" fontId="0" fillId="2" borderId="0" xfId="0" applyFill="1"/>
    <xf numFmtId="0" fontId="3" fillId="2" borderId="0" xfId="0" applyFont="1" applyFill="1" applyAlignment="1">
      <alignment horizontal="center" vertical="center" readingOrder="2"/>
    </xf>
    <xf numFmtId="0" fontId="0" fillId="0" borderId="14" xfId="0" applyBorder="1"/>
    <xf numFmtId="0" fontId="0" fillId="0" borderId="16" xfId="0" applyBorder="1"/>
    <xf numFmtId="165" fontId="0" fillId="0" borderId="1" xfId="0" applyNumberFormat="1" applyBorder="1" applyAlignment="1">
      <alignment horizontal="right"/>
    </xf>
    <xf numFmtId="165" fontId="0" fillId="0" borderId="1" xfId="0" applyNumberFormat="1" applyBorder="1" applyAlignment="1">
      <alignment horizontal="right"/>
    </xf>
    <xf numFmtId="164" fontId="0" fillId="0" borderId="1" xfId="0" applyNumberFormat="1" applyBorder="1" applyAlignment="1">
      <alignment horizontal="center"/>
    </xf>
    <xf numFmtId="164" fontId="0" fillId="0" borderId="7" xfId="0" applyNumberFormat="1" applyBorder="1" applyAlignment="1">
      <alignment horizontal="center"/>
    </xf>
    <xf numFmtId="164" fontId="0" fillId="0" borderId="13" xfId="0" applyNumberFormat="1" applyBorder="1" applyAlignment="1">
      <alignment horizontal="center"/>
    </xf>
    <xf numFmtId="164" fontId="0" fillId="0" borderId="2" xfId="0" applyNumberFormat="1" applyBorder="1" applyAlignment="1">
      <alignment horizontal="center"/>
    </xf>
    <xf numFmtId="0" fontId="0" fillId="0" borderId="1" xfId="0" applyBorder="1" applyAlignment="1">
      <alignment horizontal="center"/>
    </xf>
    <xf numFmtId="0" fontId="0" fillId="0" borderId="15" xfId="0" applyBorder="1" applyAlignment="1">
      <alignment horizontal="center"/>
    </xf>
    <xf numFmtId="0" fontId="0" fillId="0" borderId="1" xfId="0" applyBorder="1" applyAlignment="1">
      <alignment horizontal="right"/>
    </xf>
    <xf numFmtId="0" fontId="0" fillId="0" borderId="8" xfId="0" applyBorder="1" applyAlignment="1">
      <alignment horizontal="center"/>
    </xf>
    <xf numFmtId="0" fontId="0" fillId="0" borderId="9" xfId="0" applyBorder="1" applyAlignment="1">
      <alignment horizontal="center"/>
    </xf>
    <xf numFmtId="0" fontId="0" fillId="0" borderId="6" xfId="0" applyBorder="1" applyAlignment="1">
      <alignment horizontal="center"/>
    </xf>
    <xf numFmtId="0" fontId="3" fillId="0" borderId="0" xfId="0" applyFont="1" applyAlignment="1">
      <alignment horizontal="center" vertical="center" readingOrder="2"/>
    </xf>
    <xf numFmtId="0" fontId="3" fillId="0" borderId="0" xfId="0" applyFont="1" applyAlignment="1">
      <alignment horizontal="left" vertical="center" readingOrder="2"/>
    </xf>
    <xf numFmtId="0" fontId="0" fillId="0" borderId="4"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3" fillId="0" borderId="0" xfId="0" applyFont="1" applyAlignment="1">
      <alignment horizontal="right" vertical="center" wrapText="1" readingOrder="2"/>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2" fillId="0" borderId="0" xfId="0" applyFont="1" applyAlignment="1">
      <alignment horizontal="center" vertical="center" readingOrder="2"/>
    </xf>
    <xf numFmtId="0" fontId="2" fillId="0" borderId="17" xfId="0" applyFont="1" applyBorder="1" applyAlignment="1">
      <alignment horizontal="center" vertical="center" readingOrder="2"/>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vertical="center"/>
    </xf>
  </cellXfs>
  <cellStyles count="1">
    <cellStyle name="Normal" xfId="0" builtinId="0"/>
  </cellStyles>
  <dxfs count="1">
    <dxf>
      <font>
        <b/>
        <color rgb="FF9C0006"/>
      </font>
      <fill>
        <patternFill>
          <bgColor rgb="FFFFC7CE"/>
        </patternFill>
      </fill>
    </dxf>
  </dxfs>
  <tableStyles count="0" defaultTableStyle="TableStyleMedium2" defaultPivotStyle="PivotStyleLight16"/>
  <colors>
    <mruColors>
      <color rgb="FF33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tiff"/></Relationships>
</file>

<file path=xl/drawings/drawing1.xml><?xml version="1.0" encoding="utf-8"?>
<xdr:wsDr xmlns:xdr="http://schemas.openxmlformats.org/drawingml/2006/spreadsheetDrawing" xmlns:a="http://schemas.openxmlformats.org/drawingml/2006/main">
  <xdr:twoCellAnchor editAs="oneCell">
    <xdr:from>
      <xdr:col>8</xdr:col>
      <xdr:colOff>147919</xdr:colOff>
      <xdr:row>49</xdr:row>
      <xdr:rowOff>16180</xdr:rowOff>
    </xdr:from>
    <xdr:to>
      <xdr:col>9</xdr:col>
      <xdr:colOff>224678</xdr:colOff>
      <xdr:row>52</xdr:row>
      <xdr:rowOff>140296</xdr:rowOff>
    </xdr:to>
    <xdr:pic>
      <xdr:nvPicPr>
        <xdr:cNvPr id="5" name="תמונה 4">
          <a:extLst>
            <a:ext uri="{FF2B5EF4-FFF2-40B4-BE49-F238E27FC236}">
              <a16:creationId xmlns:a16="http://schemas.microsoft.com/office/drawing/2014/main" id="{FEE618F5-15BA-476C-9862-A1B49BCFF26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198967763" y="8129239"/>
          <a:ext cx="760318" cy="684410"/>
        </a:xfrm>
        <a:prstGeom prst="rect">
          <a:avLst/>
        </a:prstGeom>
      </xdr:spPr>
    </xdr:pic>
    <xdr:clientData/>
  </xdr:twoCellAnchor>
</xdr:wsDr>
</file>

<file path=xl/theme/theme1.xml><?xml version="1.0" encoding="utf-8"?>
<a:theme xmlns:a="http://schemas.openxmlformats.org/drawingml/2006/main" name="ערכת נושא של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http://schemas.microsoft.com/office/spreadsheetml/2009/9/main" xmlns:xdr="http://schemas.openxmlformats.org/drawingml/2006/spreadsheetDrawing"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D28CAF-8D06-445E-8B3F-73DAE7695146}">
  <sheetPr codeName="גיליון1"/>
  <dimension ref="A1:BI278"/>
  <sheetViews>
    <sheetView rightToLeft="1" tabSelected="1" zoomScale="85" zoomScaleNormal="85" workbookViewId="0">
      <selection activeCell="F9" sqref="F9:J9"/>
    </sheetView>
  </sheetViews>
  <sheetFormatPr defaultRowHeight="14.25" x14ac:dyDescent="0.2"/>
  <cols>
    <col min="2" max="2" width="9.875" bestFit="1" customWidth="1"/>
    <col min="4" max="4" width="8.875" customWidth="1"/>
    <col min="6" max="6" width="10.25" customWidth="1"/>
    <col min="7" max="7" width="9.875" bestFit="1" customWidth="1"/>
    <col min="10" max="10" width="14" customWidth="1"/>
    <col min="11" max="14" width="22.75" customWidth="1"/>
    <col min="15" max="22" width="22.75" hidden="1" customWidth="1"/>
    <col min="23" max="23" width="22.75" customWidth="1"/>
    <col min="24" max="61" width="10" hidden="1" customWidth="1"/>
  </cols>
  <sheetData>
    <row r="1" x14ac:dyDescent="0.2">
      <c r="A1" t="s">
        <v>10</v>
      </c>
      <c r="X1">
        <f>IF(A23&gt;0,A23,B23)</f>
      </c>
      <c r="Z1">
        <f>SUBSTITUTE(SUBSTITUTE(SUBSTITUTE(SUBSTITUTE(A23&amp;"","–","-"),"--","-"),"--","-")," ","")</f>
      </c>
      <c r="AA1">
        <f>TRIM(MID(SUBSTITUTE(Z1,",",REPT(" ",100)),1,100))</f>
      </c>
      <c r="AB1">
        <f>TRIM(MID(SUBSTITUTE(Z1,",",REPT(" ",100)),101,100))</f>
      </c>
      <c r="AC1">
        <f>TRIM(MID(SUBSTITUTE(Z1,",",REPT(" ",100)),201,100))</f>
      </c>
      <c r="AD1">
        <f>TRIM(MID(SUBSTITUTE(Z1,",",REPT(" ",100)),301,100))</f>
      </c>
      <c r="AE1">
        <f>TRIM(MID(SUBSTITUTE(Z1,",",REPT(" ",100)),401,100))</f>
      </c>
      <c r="AF1">
        <f>TRIM(MID(SUBSTITUTE(Z1,",",REPT(" ",100)),501,100))</f>
      </c>
      <c r="AG1">
        <f>IF(AA1="",0,IFERROR(VALUE(LEFT(AA1,FIND("-",AA1&amp;"-")-1)),-1))</f>
      </c>
      <c r="AH1">
        <f>IF(AB1="",0,IFERROR(VALUE(LEFT(AB1,FIND("-",AB1&amp;"-")-1)),-1))</f>
      </c>
      <c r="AI1">
        <f>IF(AC1="",0,IFERROR(VALUE(LEFT(AC1,FIND("-",AC1&amp;"-")-1)),-1))</f>
      </c>
      <c r="AJ1">
        <f>IF(AD1="",0,IFERROR(VALUE(LEFT(AD1,FIND("-",AD1&amp;"-")-1)),-1))</f>
      </c>
      <c r="AK1">
        <f>IF(AE1="",0,IFERROR(VALUE(LEFT(AE1,FIND("-",AE1&amp;"-")-1)),-1))</f>
      </c>
      <c r="AL1">
        <f>IF(AF1="",0,IFERROR(VALUE(LEFT(AF1,FIND("-",AF1&amp;"-")-1)),-1))</f>
      </c>
      <c r="AM1">
        <f>IF(AG1&lt;=0,0,IFERROR(IF(ISNUMBER(FIND("-",AA1)),MAX(1,VALUE(MID(AA1,FIND("-",AA1)+1,99))-AG1+1),1),1))</f>
      </c>
      <c r="AN1">
        <f>IF(AH1&lt;=0,0,IFERROR(IF(ISNUMBER(FIND("-",AB1)),MAX(1,VALUE(MID(AB1,FIND("-",AB1)+1,99))-AH1+1),1),1))</f>
      </c>
      <c r="AO1">
        <f>IF(AI1&lt;=0,0,IFERROR(IF(ISNUMBER(FIND("-",AC1)),MAX(1,VALUE(MID(AC1,FIND("-",AC1)+1,99))-AI1+1),1),1))</f>
      </c>
      <c r="AP1">
        <f>IF(AJ1&lt;=0,0,IFERROR(IF(ISNUMBER(FIND("-",AD1)),MAX(1,VALUE(MID(AD1,FIND("-",AD1)+1,99))-AJ1+1),1),1))</f>
      </c>
      <c r="AQ1">
        <f>IF(AK1&lt;=0,0,IFERROR(IF(ISNUMBER(FIND("-",AE1)),MAX(1,VALUE(MID(AE1,FIND("-",AE1)+1,99))-AK1+1),1),1))</f>
      </c>
      <c r="AR1">
        <f>IF(AL1&lt;=0,0,IFERROR(IF(ISNUMBER(FIND("-",AF1)),MAX(1,VALUE(MID(AF1,FIND("-",AF1)+1,99))-AL1+1),1),1))</f>
      </c>
      <c r="AS1">
        <f>SUM($AM1:AM1)</f>
      </c>
      <c r="AT1">
        <f>SUM($AM1:AN1)</f>
      </c>
      <c r="AU1">
        <f>SUM($AM1:AO1)</f>
      </c>
      <c r="AV1">
        <f>SUM($AM1:AP1)</f>
      </c>
      <c r="AW1">
        <f>SUM($AM1:AQ1)</f>
      </c>
      <c r="AX1">
        <f>SUM($AM1:AR1)</f>
      </c>
      <c r="AY1">
        <f>AND(ISNUMBER(SEARCH("פ",J23&amp;"")),AX1&gt;0,COUNTIF(AG1:AL1,-1)=0)</f>
      </c>
      <c r="AZ1">
        <f>IF(X1=0,0,IF(AY1,MIN(AX1,72),1))</f>
      </c>
      <c r="BA1">
        <f>SUM($AZ$1:AZ1)</f>
      </c>
      <c r="BB1">
        <f>COUNTIF($BA$1:$BA$72,"&lt;"&amp;1)+1</f>
      </c>
      <c r="BC1">
        <f>IF(BB1&gt;72,0,1-IF(BB1=1,0,INDEX($BA$1:$BA$72,BB1-1)))</f>
      </c>
      <c r="BD1">
        <f>IF(1&gt;$BA$72,0,IF(INDEX($AY$1:$AY$72,BB1),INDEX($AG$1:$AL$72,BB1,(COUNTIF(INDEX($AS$1:$AX$72,BB1,0),"&lt;"&amp;BC1)+1))+BC1-1-IF((COUNTIF(INDEX($AS$1:$AX$72,BB1,0),"&lt;"&amp;BC1)+1)=1,0,INDEX($AS$1:$AX$72,BB1,(COUNTIF(INDEX($AS$1:$AX$72,BB1,0),"&lt;"&amp;BC1)+1)-1)),INDEX($X$1:$X$72,BB1)))</f>
      </c>
      <c r="BE1">
        <f>" "&amp;TRIM(SUBSTITUTE(SUBSTITUTE(SUBSTITUTE(SUBSTITUTE(SUBSTITUTE(B23&amp;"","ו",""),"י",""),"ן","נ"),"-"," "),","," "))</f>
      </c>
      <c r="BF1">
        <f>IF(OR(ISNUMBER(SEARCH(" ארנ",BE1)),ISNUMBER(SEARCH(" הארנ",BE1)),ISNUMBER(SEARCH(" אארנ",BE1)),ISNUMBER(SEARCH(" אנרנ",BE1)),ISNUMBER(SEARCH(" האנרנ",BE1))),1,0)</f>
      </c>
      <c r="BG1">
        <f>IF(AND(BF1=1,ISNUMBER(BI1)),BI1,0)</f>
      </c>
      <c r="BH1">
        <f>IF(AND(BF1=1,NOT(ISNUMBER(BI1))),1,0)</f>
      </c>
      <c r="BI1">
        <f>IF(ISNUMBER(J23),J23,IFERROR(--TRIM(SUBSTITUTE(SUBSTITUTE(J23&amp;"","פצל",""),"פ","")),""))</f>
      </c>
    </row>
    <row r="2" x14ac:dyDescent="0.2">
      <c r="E2" t="s">
        <v>11</v>
      </c>
      <c r="F2" s="4" t="str">
        <f ca="1">IF(F9&lt;&gt;"",IF(F2="",NOW(),F2),"")</f>
        <v/>
      </c>
      <c r="G2" s="4"/>
      <c r="X2">
        <f>IF(A24&gt;0,A24,B24)</f>
      </c>
      <c r="Z2">
        <f>SUBSTITUTE(SUBSTITUTE(SUBSTITUTE(SUBSTITUTE(A24&amp;"","–","-"),"--","-"),"--","-")," ","")</f>
      </c>
      <c r="AA2">
        <f>TRIM(MID(SUBSTITUTE(Z2,",",REPT(" ",100)),1,100))</f>
      </c>
      <c r="AB2">
        <f>TRIM(MID(SUBSTITUTE(Z2,",",REPT(" ",100)),101,100))</f>
      </c>
      <c r="AC2">
        <f>TRIM(MID(SUBSTITUTE(Z2,",",REPT(" ",100)),201,100))</f>
      </c>
      <c r="AD2">
        <f>TRIM(MID(SUBSTITUTE(Z2,",",REPT(" ",100)),301,100))</f>
      </c>
      <c r="AE2">
        <f>TRIM(MID(SUBSTITUTE(Z2,",",REPT(" ",100)),401,100))</f>
      </c>
      <c r="AF2">
        <f>TRIM(MID(SUBSTITUTE(Z2,",",REPT(" ",100)),501,100))</f>
      </c>
      <c r="AG2">
        <f>IF(AA2="",0,IFERROR(VALUE(LEFT(AA2,FIND("-",AA2&amp;"-")-1)),-1))</f>
      </c>
      <c r="AH2">
        <f>IF(AB2="",0,IFERROR(VALUE(LEFT(AB2,FIND("-",AB2&amp;"-")-1)),-1))</f>
      </c>
      <c r="AI2">
        <f>IF(AC2="",0,IFERROR(VALUE(LEFT(AC2,FIND("-",AC2&amp;"-")-1)),-1))</f>
      </c>
      <c r="AJ2">
        <f>IF(AD2="",0,IFERROR(VALUE(LEFT(AD2,FIND("-",AD2&amp;"-")-1)),-1))</f>
      </c>
      <c r="AK2">
        <f>IF(AE2="",0,IFERROR(VALUE(LEFT(AE2,FIND("-",AE2&amp;"-")-1)),-1))</f>
      </c>
      <c r="AL2">
        <f>IF(AF2="",0,IFERROR(VALUE(LEFT(AF2,FIND("-",AF2&amp;"-")-1)),-1))</f>
      </c>
      <c r="AM2">
        <f>IF(AG2&lt;=0,0,IFERROR(IF(ISNUMBER(FIND("-",AA2)),MAX(1,VALUE(MID(AA2,FIND("-",AA2)+1,99))-AG2+1),1),1))</f>
      </c>
      <c r="AN2">
        <f>IF(AH2&lt;=0,0,IFERROR(IF(ISNUMBER(FIND("-",AB2)),MAX(1,VALUE(MID(AB2,FIND("-",AB2)+1,99))-AH2+1),1),1))</f>
      </c>
      <c r="AO2">
        <f>IF(AI2&lt;=0,0,IFERROR(IF(ISNUMBER(FIND("-",AC2)),MAX(1,VALUE(MID(AC2,FIND("-",AC2)+1,99))-AI2+1),1),1))</f>
      </c>
      <c r="AP2">
        <f>IF(AJ2&lt;=0,0,IFERROR(IF(ISNUMBER(FIND("-",AD2)),MAX(1,VALUE(MID(AD2,FIND("-",AD2)+1,99))-AJ2+1),1),1))</f>
      </c>
      <c r="AQ2">
        <f>IF(AK2&lt;=0,0,IFERROR(IF(ISNUMBER(FIND("-",AE2)),MAX(1,VALUE(MID(AE2,FIND("-",AE2)+1,99))-AK2+1),1),1))</f>
      </c>
      <c r="AR2">
        <f>IF(AL2&lt;=0,0,IFERROR(IF(ISNUMBER(FIND("-",AF2)),MAX(1,VALUE(MID(AF2,FIND("-",AF2)+1,99))-AL2+1),1),1))</f>
      </c>
      <c r="AS2">
        <f>SUM($AM2:AM2)</f>
      </c>
      <c r="AT2">
        <f>SUM($AM2:AN2)</f>
      </c>
      <c r="AU2">
        <f>SUM($AM2:AO2)</f>
      </c>
      <c r="AV2">
        <f>SUM($AM2:AP2)</f>
      </c>
      <c r="AW2">
        <f>SUM($AM2:AQ2)</f>
      </c>
      <c r="AX2">
        <f>SUM($AM2:AR2)</f>
      </c>
      <c r="AY2">
        <f>AND(ISNUMBER(SEARCH("פ",J24&amp;"")),AX2&gt;0,COUNTIF(AG2:AL2,-1)=0)</f>
      </c>
      <c r="AZ2">
        <f>IF(X2=0,0,IF(AY2,MIN(AX2,72),1))</f>
      </c>
      <c r="BA2">
        <f>SUM($AZ$1:AZ2)</f>
      </c>
      <c r="BB2">
        <f>COUNTIF($BA$1:$BA$72,"&lt;"&amp;2)+1</f>
      </c>
      <c r="BC2">
        <f>IF(BB2&gt;72,0,2-IF(BB2=1,0,INDEX($BA$1:$BA$72,BB2-1)))</f>
      </c>
      <c r="BD2">
        <f>IF(2&gt;$BA$72,0,IF(INDEX($AY$1:$AY$72,BB2),INDEX($AG$1:$AL$72,BB2,(COUNTIF(INDEX($AS$1:$AX$72,BB2,0),"&lt;"&amp;BC2)+1))+BC2-1-IF((COUNTIF(INDEX($AS$1:$AX$72,BB2,0),"&lt;"&amp;BC2)+1)=1,0,INDEX($AS$1:$AX$72,BB2,(COUNTIF(INDEX($AS$1:$AX$72,BB2,0),"&lt;"&amp;BC2)+1)-1)),INDEX($X$1:$X$72,BB2)))</f>
      </c>
      <c r="BE2">
        <f>" "&amp;TRIM(SUBSTITUTE(SUBSTITUTE(SUBSTITUTE(SUBSTITUTE(SUBSTITUTE(B24&amp;"","ו",""),"י",""),"ן","נ"),"-"," "),","," "))</f>
      </c>
      <c r="BF2">
        <f>IF(OR(ISNUMBER(SEARCH(" ארנ",BE2)),ISNUMBER(SEARCH(" הארנ",BE2)),ISNUMBER(SEARCH(" אארנ",BE2)),ISNUMBER(SEARCH(" אנרנ",BE2)),ISNUMBER(SEARCH(" האנרנ",BE2))),1,0)</f>
      </c>
      <c r="BG2">
        <f>IF(AND(BF2=1,ISNUMBER(BI2)),BI2,0)</f>
      </c>
      <c r="BH2">
        <f>IF(AND(BF2=1,NOT(ISNUMBER(BI2))),1,0)</f>
      </c>
      <c r="BI2">
        <f>IF(ISNUMBER(J24),J24,IFERROR(--TRIM(SUBSTITUTE(SUBSTITUTE(J24&amp;"","פצל",""),"פ","")),""))</f>
      </c>
    </row>
    <row r="3">
      <c r="X3">
        <f>IF(A25&gt;0,A25,B25)</f>
      </c>
      <c r="Z3">
        <f>SUBSTITUTE(SUBSTITUTE(SUBSTITUTE(SUBSTITUTE(A25&amp;"","–","-"),"--","-"),"--","-")," ","")</f>
      </c>
      <c r="AA3">
        <f>TRIM(MID(SUBSTITUTE(Z3,",",REPT(" ",100)),1,100))</f>
      </c>
      <c r="AB3">
        <f>TRIM(MID(SUBSTITUTE(Z3,",",REPT(" ",100)),101,100))</f>
      </c>
      <c r="AC3">
        <f>TRIM(MID(SUBSTITUTE(Z3,",",REPT(" ",100)),201,100))</f>
      </c>
      <c r="AD3">
        <f>TRIM(MID(SUBSTITUTE(Z3,",",REPT(" ",100)),301,100))</f>
      </c>
      <c r="AE3">
        <f>TRIM(MID(SUBSTITUTE(Z3,",",REPT(" ",100)),401,100))</f>
      </c>
      <c r="AF3">
        <f>TRIM(MID(SUBSTITUTE(Z3,",",REPT(" ",100)),501,100))</f>
      </c>
      <c r="AG3">
        <f>IF(AA3="",0,IFERROR(VALUE(LEFT(AA3,FIND("-",AA3&amp;"-")-1)),-1))</f>
      </c>
      <c r="AH3">
        <f>IF(AB3="",0,IFERROR(VALUE(LEFT(AB3,FIND("-",AB3&amp;"-")-1)),-1))</f>
      </c>
      <c r="AI3">
        <f>IF(AC3="",0,IFERROR(VALUE(LEFT(AC3,FIND("-",AC3&amp;"-")-1)),-1))</f>
      </c>
      <c r="AJ3">
        <f>IF(AD3="",0,IFERROR(VALUE(LEFT(AD3,FIND("-",AD3&amp;"-")-1)),-1))</f>
      </c>
      <c r="AK3">
        <f>IF(AE3="",0,IFERROR(VALUE(LEFT(AE3,FIND("-",AE3&amp;"-")-1)),-1))</f>
      </c>
      <c r="AL3">
        <f>IF(AF3="",0,IFERROR(VALUE(LEFT(AF3,FIND("-",AF3&amp;"-")-1)),-1))</f>
      </c>
      <c r="AM3">
        <f>IF(AG3&lt;=0,0,IFERROR(IF(ISNUMBER(FIND("-",AA3)),MAX(1,VALUE(MID(AA3,FIND("-",AA3)+1,99))-AG3+1),1),1))</f>
      </c>
      <c r="AN3">
        <f>IF(AH3&lt;=0,0,IFERROR(IF(ISNUMBER(FIND("-",AB3)),MAX(1,VALUE(MID(AB3,FIND("-",AB3)+1,99))-AH3+1),1),1))</f>
      </c>
      <c r="AO3">
        <f>IF(AI3&lt;=0,0,IFERROR(IF(ISNUMBER(FIND("-",AC3)),MAX(1,VALUE(MID(AC3,FIND("-",AC3)+1,99))-AI3+1),1),1))</f>
      </c>
      <c r="AP3">
        <f>IF(AJ3&lt;=0,0,IFERROR(IF(ISNUMBER(FIND("-",AD3)),MAX(1,VALUE(MID(AD3,FIND("-",AD3)+1,99))-AJ3+1),1),1))</f>
      </c>
      <c r="AQ3">
        <f>IF(AK3&lt;=0,0,IFERROR(IF(ISNUMBER(FIND("-",AE3)),MAX(1,VALUE(MID(AE3,FIND("-",AE3)+1,99))-AK3+1),1),1))</f>
      </c>
      <c r="AR3">
        <f>IF(AL3&lt;=0,0,IFERROR(IF(ISNUMBER(FIND("-",AF3)),MAX(1,VALUE(MID(AF3,FIND("-",AF3)+1,99))-AL3+1),1),1))</f>
      </c>
      <c r="AS3">
        <f>SUM($AM3:AM3)</f>
      </c>
      <c r="AT3">
        <f>SUM($AM3:AN3)</f>
      </c>
      <c r="AU3">
        <f>SUM($AM3:AO3)</f>
      </c>
      <c r="AV3">
        <f>SUM($AM3:AP3)</f>
      </c>
      <c r="AW3">
        <f>SUM($AM3:AQ3)</f>
      </c>
      <c r="AX3">
        <f>SUM($AM3:AR3)</f>
      </c>
      <c r="AY3">
        <f>AND(ISNUMBER(SEARCH("פ",J25&amp;"")),AX3&gt;0,COUNTIF(AG3:AL3,-1)=0)</f>
      </c>
      <c r="AZ3">
        <f>IF(X3=0,0,IF(AY3,MIN(AX3,72),1))</f>
      </c>
      <c r="BA3">
        <f>SUM($AZ$1:AZ3)</f>
      </c>
      <c r="BB3">
        <f>COUNTIF($BA$1:$BA$72,"&lt;"&amp;3)+1</f>
      </c>
      <c r="BC3">
        <f>IF(BB3&gt;72,0,3-IF(BB3=1,0,INDEX($BA$1:$BA$72,BB3-1)))</f>
      </c>
      <c r="BD3">
        <f>IF(3&gt;$BA$72,0,IF(INDEX($AY$1:$AY$72,BB3),INDEX($AG$1:$AL$72,BB3,(COUNTIF(INDEX($AS$1:$AX$72,BB3,0),"&lt;"&amp;BC3)+1))+BC3-1-IF((COUNTIF(INDEX($AS$1:$AX$72,BB3,0),"&lt;"&amp;BC3)+1)=1,0,INDEX($AS$1:$AX$72,BB3,(COUNTIF(INDEX($AS$1:$AX$72,BB3,0),"&lt;"&amp;BC3)+1)-1)),INDEX($X$1:$X$72,BB3)))</f>
      </c>
      <c r="BE3">
        <f>" "&amp;TRIM(SUBSTITUTE(SUBSTITUTE(SUBSTITUTE(SUBSTITUTE(SUBSTITUTE(B25&amp;"","ו",""),"י",""),"ן","נ"),"-"," "),","," "))</f>
      </c>
      <c r="BF3">
        <f>IF(OR(ISNUMBER(SEARCH(" ארנ",BE3)),ISNUMBER(SEARCH(" הארנ",BE3)),ISNUMBER(SEARCH(" אארנ",BE3)),ISNUMBER(SEARCH(" אנרנ",BE3)),ISNUMBER(SEARCH(" האנרנ",BE3))),1,0)</f>
      </c>
      <c r="BG3">
        <f>IF(AND(BF3=1,ISNUMBER(BI3)),BI3,0)</f>
      </c>
      <c r="BH3">
        <f>IF(AND(BF3=1,NOT(ISNUMBER(BI3))),1,0)</f>
      </c>
      <c r="BI3">
        <f>IF(ISNUMBER(J25),J25,IFERROR(--TRIM(SUBSTITUTE(SUBSTITUTE(J25&amp;"","פצל",""),"פ","")),""))</f>
      </c>
    </row>
    <row r="4">
      <c r="X4">
        <f>IF(A26&gt;0,A26,B26)</f>
      </c>
      <c r="Z4">
        <f>SUBSTITUTE(SUBSTITUTE(SUBSTITUTE(SUBSTITUTE(A26&amp;"","–","-"),"--","-"),"--","-")," ","")</f>
      </c>
      <c r="AA4">
        <f>TRIM(MID(SUBSTITUTE(Z4,",",REPT(" ",100)),1,100))</f>
      </c>
      <c r="AB4">
        <f>TRIM(MID(SUBSTITUTE(Z4,",",REPT(" ",100)),101,100))</f>
      </c>
      <c r="AC4">
        <f>TRIM(MID(SUBSTITUTE(Z4,",",REPT(" ",100)),201,100))</f>
      </c>
      <c r="AD4">
        <f>TRIM(MID(SUBSTITUTE(Z4,",",REPT(" ",100)),301,100))</f>
      </c>
      <c r="AE4">
        <f>TRIM(MID(SUBSTITUTE(Z4,",",REPT(" ",100)),401,100))</f>
      </c>
      <c r="AF4">
        <f>TRIM(MID(SUBSTITUTE(Z4,",",REPT(" ",100)),501,100))</f>
      </c>
      <c r="AG4">
        <f>IF(AA4="",0,IFERROR(VALUE(LEFT(AA4,FIND("-",AA4&amp;"-")-1)),-1))</f>
      </c>
      <c r="AH4">
        <f>IF(AB4="",0,IFERROR(VALUE(LEFT(AB4,FIND("-",AB4&amp;"-")-1)),-1))</f>
      </c>
      <c r="AI4">
        <f>IF(AC4="",0,IFERROR(VALUE(LEFT(AC4,FIND("-",AC4&amp;"-")-1)),-1))</f>
      </c>
      <c r="AJ4">
        <f>IF(AD4="",0,IFERROR(VALUE(LEFT(AD4,FIND("-",AD4&amp;"-")-1)),-1))</f>
      </c>
      <c r="AK4">
        <f>IF(AE4="",0,IFERROR(VALUE(LEFT(AE4,FIND("-",AE4&amp;"-")-1)),-1))</f>
      </c>
      <c r="AL4">
        <f>IF(AF4="",0,IFERROR(VALUE(LEFT(AF4,FIND("-",AF4&amp;"-")-1)),-1))</f>
      </c>
      <c r="AM4">
        <f>IF(AG4&lt;=0,0,IFERROR(IF(ISNUMBER(FIND("-",AA4)),MAX(1,VALUE(MID(AA4,FIND("-",AA4)+1,99))-AG4+1),1),1))</f>
      </c>
      <c r="AN4">
        <f>IF(AH4&lt;=0,0,IFERROR(IF(ISNUMBER(FIND("-",AB4)),MAX(1,VALUE(MID(AB4,FIND("-",AB4)+1,99))-AH4+1),1),1))</f>
      </c>
      <c r="AO4">
        <f>IF(AI4&lt;=0,0,IFERROR(IF(ISNUMBER(FIND("-",AC4)),MAX(1,VALUE(MID(AC4,FIND("-",AC4)+1,99))-AI4+1),1),1))</f>
      </c>
      <c r="AP4">
        <f>IF(AJ4&lt;=0,0,IFERROR(IF(ISNUMBER(FIND("-",AD4)),MAX(1,VALUE(MID(AD4,FIND("-",AD4)+1,99))-AJ4+1),1),1))</f>
      </c>
      <c r="AQ4">
        <f>IF(AK4&lt;=0,0,IFERROR(IF(ISNUMBER(FIND("-",AE4)),MAX(1,VALUE(MID(AE4,FIND("-",AE4)+1,99))-AK4+1),1),1))</f>
      </c>
      <c r="AR4">
        <f>IF(AL4&lt;=0,0,IFERROR(IF(ISNUMBER(FIND("-",AF4)),MAX(1,VALUE(MID(AF4,FIND("-",AF4)+1,99))-AL4+1),1),1))</f>
      </c>
      <c r="AS4">
        <f>SUM($AM4:AM4)</f>
      </c>
      <c r="AT4">
        <f>SUM($AM4:AN4)</f>
      </c>
      <c r="AU4">
        <f>SUM($AM4:AO4)</f>
      </c>
      <c r="AV4">
        <f>SUM($AM4:AP4)</f>
      </c>
      <c r="AW4">
        <f>SUM($AM4:AQ4)</f>
      </c>
      <c r="AX4">
        <f>SUM($AM4:AR4)</f>
      </c>
      <c r="AY4">
        <f>AND(ISNUMBER(SEARCH("פ",J26&amp;"")),AX4&gt;0,COUNTIF(AG4:AL4,-1)=0)</f>
      </c>
      <c r="AZ4">
        <f>IF(X4=0,0,IF(AY4,MIN(AX4,72),1))</f>
      </c>
      <c r="BA4">
        <f>SUM($AZ$1:AZ4)</f>
      </c>
      <c r="BB4">
        <f>COUNTIF($BA$1:$BA$72,"&lt;"&amp;4)+1</f>
      </c>
      <c r="BC4">
        <f>IF(BB4&gt;72,0,4-IF(BB4=1,0,INDEX($BA$1:$BA$72,BB4-1)))</f>
      </c>
      <c r="BD4">
        <f>IF(4&gt;$BA$72,0,IF(INDEX($AY$1:$AY$72,BB4),INDEX($AG$1:$AL$72,BB4,(COUNTIF(INDEX($AS$1:$AX$72,BB4,0),"&lt;"&amp;BC4)+1))+BC4-1-IF((COUNTIF(INDEX($AS$1:$AX$72,BB4,0),"&lt;"&amp;BC4)+1)=1,0,INDEX($AS$1:$AX$72,BB4,(COUNTIF(INDEX($AS$1:$AX$72,BB4,0),"&lt;"&amp;BC4)+1)-1)),INDEX($X$1:$X$72,BB4)))</f>
      </c>
      <c r="BE4">
        <f>" "&amp;TRIM(SUBSTITUTE(SUBSTITUTE(SUBSTITUTE(SUBSTITUTE(SUBSTITUTE(B26&amp;"","ו",""),"י",""),"ן","נ"),"-"," "),","," "))</f>
      </c>
      <c r="BF4">
        <f>IF(OR(ISNUMBER(SEARCH(" ארנ",BE4)),ISNUMBER(SEARCH(" הארנ",BE4)),ISNUMBER(SEARCH(" אארנ",BE4)),ISNUMBER(SEARCH(" אנרנ",BE4)),ISNUMBER(SEARCH(" האנרנ",BE4))),1,0)</f>
      </c>
      <c r="BG4">
        <f>IF(AND(BF4=1,ISNUMBER(BI4)),BI4,0)</f>
      </c>
      <c r="BH4">
        <f>IF(AND(BF4=1,NOT(ISNUMBER(BI4))),1,0)</f>
      </c>
      <c r="BI4">
        <f>IF(ISNUMBER(J26),J26,IFERROR(--TRIM(SUBSTITUTE(SUBSTITUTE(J26&amp;"","פצל",""),"פ","")),""))</f>
      </c>
    </row>
    <row r="5" x14ac:dyDescent="0.2">
      <c r="A5" t="s">
        <v>23</v>
      </c>
      <c r="X5">
        <f>IF(A27&gt;0,A27,B27)</f>
      </c>
      <c r="Z5">
        <f>SUBSTITUTE(SUBSTITUTE(SUBSTITUTE(SUBSTITUTE(A27&amp;"","–","-"),"--","-"),"--","-")," ","")</f>
      </c>
      <c r="AA5">
        <f>TRIM(MID(SUBSTITUTE(Z5,",",REPT(" ",100)),1,100))</f>
      </c>
      <c r="AB5">
        <f>TRIM(MID(SUBSTITUTE(Z5,",",REPT(" ",100)),101,100))</f>
      </c>
      <c r="AC5">
        <f>TRIM(MID(SUBSTITUTE(Z5,",",REPT(" ",100)),201,100))</f>
      </c>
      <c r="AD5">
        <f>TRIM(MID(SUBSTITUTE(Z5,",",REPT(" ",100)),301,100))</f>
      </c>
      <c r="AE5">
        <f>TRIM(MID(SUBSTITUTE(Z5,",",REPT(" ",100)),401,100))</f>
      </c>
      <c r="AF5">
        <f>TRIM(MID(SUBSTITUTE(Z5,",",REPT(" ",100)),501,100))</f>
      </c>
      <c r="AG5">
        <f>IF(AA5="",0,IFERROR(VALUE(LEFT(AA5,FIND("-",AA5&amp;"-")-1)),-1))</f>
      </c>
      <c r="AH5">
        <f>IF(AB5="",0,IFERROR(VALUE(LEFT(AB5,FIND("-",AB5&amp;"-")-1)),-1))</f>
      </c>
      <c r="AI5">
        <f>IF(AC5="",0,IFERROR(VALUE(LEFT(AC5,FIND("-",AC5&amp;"-")-1)),-1))</f>
      </c>
      <c r="AJ5">
        <f>IF(AD5="",0,IFERROR(VALUE(LEFT(AD5,FIND("-",AD5&amp;"-")-1)),-1))</f>
      </c>
      <c r="AK5">
        <f>IF(AE5="",0,IFERROR(VALUE(LEFT(AE5,FIND("-",AE5&amp;"-")-1)),-1))</f>
      </c>
      <c r="AL5">
        <f>IF(AF5="",0,IFERROR(VALUE(LEFT(AF5,FIND("-",AF5&amp;"-")-1)),-1))</f>
      </c>
      <c r="AM5">
        <f>IF(AG5&lt;=0,0,IFERROR(IF(ISNUMBER(FIND("-",AA5)),MAX(1,VALUE(MID(AA5,FIND("-",AA5)+1,99))-AG5+1),1),1))</f>
      </c>
      <c r="AN5">
        <f>IF(AH5&lt;=0,0,IFERROR(IF(ISNUMBER(FIND("-",AB5)),MAX(1,VALUE(MID(AB5,FIND("-",AB5)+1,99))-AH5+1),1),1))</f>
      </c>
      <c r="AO5">
        <f>IF(AI5&lt;=0,0,IFERROR(IF(ISNUMBER(FIND("-",AC5)),MAX(1,VALUE(MID(AC5,FIND("-",AC5)+1,99))-AI5+1),1),1))</f>
      </c>
      <c r="AP5">
        <f>IF(AJ5&lt;=0,0,IFERROR(IF(ISNUMBER(FIND("-",AD5)),MAX(1,VALUE(MID(AD5,FIND("-",AD5)+1,99))-AJ5+1),1),1))</f>
      </c>
      <c r="AQ5">
        <f>IF(AK5&lt;=0,0,IFERROR(IF(ISNUMBER(FIND("-",AE5)),MAX(1,VALUE(MID(AE5,FIND("-",AE5)+1,99))-AK5+1),1),1))</f>
      </c>
      <c r="AR5">
        <f>IF(AL5&lt;=0,0,IFERROR(IF(ISNUMBER(FIND("-",AF5)),MAX(1,VALUE(MID(AF5,FIND("-",AF5)+1,99))-AL5+1),1),1))</f>
      </c>
      <c r="AS5">
        <f>SUM($AM5:AM5)</f>
      </c>
      <c r="AT5">
        <f>SUM($AM5:AN5)</f>
      </c>
      <c r="AU5">
        <f>SUM($AM5:AO5)</f>
      </c>
      <c r="AV5">
        <f>SUM($AM5:AP5)</f>
      </c>
      <c r="AW5">
        <f>SUM($AM5:AQ5)</f>
      </c>
      <c r="AX5">
        <f>SUM($AM5:AR5)</f>
      </c>
      <c r="AY5">
        <f>AND(ISNUMBER(SEARCH("פ",J27&amp;"")),AX5&gt;0,COUNTIF(AG5:AL5,-1)=0)</f>
      </c>
      <c r="AZ5">
        <f>IF(X5=0,0,IF(AY5,MIN(AX5,72),1))</f>
      </c>
      <c r="BA5">
        <f>SUM($AZ$1:AZ5)</f>
      </c>
      <c r="BB5">
        <f>COUNTIF($BA$1:$BA$72,"&lt;"&amp;5)+1</f>
      </c>
      <c r="BC5">
        <f>IF(BB5&gt;72,0,5-IF(BB5=1,0,INDEX($BA$1:$BA$72,BB5-1)))</f>
      </c>
      <c r="BD5">
        <f>IF(5&gt;$BA$72,0,IF(INDEX($AY$1:$AY$72,BB5),INDEX($AG$1:$AL$72,BB5,(COUNTIF(INDEX($AS$1:$AX$72,BB5,0),"&lt;"&amp;BC5)+1))+BC5-1-IF((COUNTIF(INDEX($AS$1:$AX$72,BB5,0),"&lt;"&amp;BC5)+1)=1,0,INDEX($AS$1:$AX$72,BB5,(COUNTIF(INDEX($AS$1:$AX$72,BB5,0),"&lt;"&amp;BC5)+1)-1)),INDEX($X$1:$X$72,BB5)))</f>
      </c>
      <c r="BE5">
        <f>" "&amp;TRIM(SUBSTITUTE(SUBSTITUTE(SUBSTITUTE(SUBSTITUTE(SUBSTITUTE(B27&amp;"","ו",""),"י",""),"ן","נ"),"-"," "),","," "))</f>
      </c>
      <c r="BF5">
        <f>IF(OR(ISNUMBER(SEARCH(" ארנ",BE5)),ISNUMBER(SEARCH(" הארנ",BE5)),ISNUMBER(SEARCH(" אארנ",BE5)),ISNUMBER(SEARCH(" אנרנ",BE5)),ISNUMBER(SEARCH(" האנרנ",BE5))),1,0)</f>
      </c>
      <c r="BG5">
        <f>IF(AND(BF5=1,ISNUMBER(BI5)),BI5,0)</f>
      </c>
      <c r="BH5">
        <f>IF(AND(BF5=1,NOT(ISNUMBER(BI5))),1,0)</f>
      </c>
      <c r="BI5">
        <f>IF(ISNUMBER(J27),J27,IFERROR(--TRIM(SUBSTITUTE(SUBSTITUTE(J27&amp;"","פצל",""),"פ","")),""))</f>
      </c>
    </row>
    <row r="6" x14ac:dyDescent="0.2">
      <c r="A6" t="s">
        <v>24</v>
      </c>
      <c r="X6">
        <f>IF(A28&gt;0,A28,B28)</f>
      </c>
      <c r="Z6">
        <f>SUBSTITUTE(SUBSTITUTE(SUBSTITUTE(SUBSTITUTE(A28&amp;"","–","-"),"--","-"),"--","-")," ","")</f>
      </c>
      <c r="AA6">
        <f>TRIM(MID(SUBSTITUTE(Z6,",",REPT(" ",100)),1,100))</f>
      </c>
      <c r="AB6">
        <f>TRIM(MID(SUBSTITUTE(Z6,",",REPT(" ",100)),101,100))</f>
      </c>
      <c r="AC6">
        <f>TRIM(MID(SUBSTITUTE(Z6,",",REPT(" ",100)),201,100))</f>
      </c>
      <c r="AD6">
        <f>TRIM(MID(SUBSTITUTE(Z6,",",REPT(" ",100)),301,100))</f>
      </c>
      <c r="AE6">
        <f>TRIM(MID(SUBSTITUTE(Z6,",",REPT(" ",100)),401,100))</f>
      </c>
      <c r="AF6">
        <f>TRIM(MID(SUBSTITUTE(Z6,",",REPT(" ",100)),501,100))</f>
      </c>
      <c r="AG6">
        <f>IF(AA6="",0,IFERROR(VALUE(LEFT(AA6,FIND("-",AA6&amp;"-")-1)),-1))</f>
      </c>
      <c r="AH6">
        <f>IF(AB6="",0,IFERROR(VALUE(LEFT(AB6,FIND("-",AB6&amp;"-")-1)),-1))</f>
      </c>
      <c r="AI6">
        <f>IF(AC6="",0,IFERROR(VALUE(LEFT(AC6,FIND("-",AC6&amp;"-")-1)),-1))</f>
      </c>
      <c r="AJ6">
        <f>IF(AD6="",0,IFERROR(VALUE(LEFT(AD6,FIND("-",AD6&amp;"-")-1)),-1))</f>
      </c>
      <c r="AK6">
        <f>IF(AE6="",0,IFERROR(VALUE(LEFT(AE6,FIND("-",AE6&amp;"-")-1)),-1))</f>
      </c>
      <c r="AL6">
        <f>IF(AF6="",0,IFERROR(VALUE(LEFT(AF6,FIND("-",AF6&amp;"-")-1)),-1))</f>
      </c>
      <c r="AM6">
        <f>IF(AG6&lt;=0,0,IFERROR(IF(ISNUMBER(FIND("-",AA6)),MAX(1,VALUE(MID(AA6,FIND("-",AA6)+1,99))-AG6+1),1),1))</f>
      </c>
      <c r="AN6">
        <f>IF(AH6&lt;=0,0,IFERROR(IF(ISNUMBER(FIND("-",AB6)),MAX(1,VALUE(MID(AB6,FIND("-",AB6)+1,99))-AH6+1),1),1))</f>
      </c>
      <c r="AO6">
        <f>IF(AI6&lt;=0,0,IFERROR(IF(ISNUMBER(FIND("-",AC6)),MAX(1,VALUE(MID(AC6,FIND("-",AC6)+1,99))-AI6+1),1),1))</f>
      </c>
      <c r="AP6">
        <f>IF(AJ6&lt;=0,0,IFERROR(IF(ISNUMBER(FIND("-",AD6)),MAX(1,VALUE(MID(AD6,FIND("-",AD6)+1,99))-AJ6+1),1),1))</f>
      </c>
      <c r="AQ6">
        <f>IF(AK6&lt;=0,0,IFERROR(IF(ISNUMBER(FIND("-",AE6)),MAX(1,VALUE(MID(AE6,FIND("-",AE6)+1,99))-AK6+1),1),1))</f>
      </c>
      <c r="AR6">
        <f>IF(AL6&lt;=0,0,IFERROR(IF(ISNUMBER(FIND("-",AF6)),MAX(1,VALUE(MID(AF6,FIND("-",AF6)+1,99))-AL6+1),1),1))</f>
      </c>
      <c r="AS6">
        <f>SUM($AM6:AM6)</f>
      </c>
      <c r="AT6">
        <f>SUM($AM6:AN6)</f>
      </c>
      <c r="AU6">
        <f>SUM($AM6:AO6)</f>
      </c>
      <c r="AV6">
        <f>SUM($AM6:AP6)</f>
      </c>
      <c r="AW6">
        <f>SUM($AM6:AQ6)</f>
      </c>
      <c r="AX6">
        <f>SUM($AM6:AR6)</f>
      </c>
      <c r="AY6">
        <f>AND(ISNUMBER(SEARCH("פ",J28&amp;"")),AX6&gt;0,COUNTIF(AG6:AL6,-1)=0)</f>
      </c>
      <c r="AZ6">
        <f>IF(X6=0,0,IF(AY6,MIN(AX6,72),1))</f>
      </c>
      <c r="BA6">
        <f>SUM($AZ$1:AZ6)</f>
      </c>
      <c r="BB6">
        <f>COUNTIF($BA$1:$BA$72,"&lt;"&amp;6)+1</f>
      </c>
      <c r="BC6">
        <f>IF(BB6&gt;72,0,6-IF(BB6=1,0,INDEX($BA$1:$BA$72,BB6-1)))</f>
      </c>
      <c r="BD6">
        <f>IF(6&gt;$BA$72,0,IF(INDEX($AY$1:$AY$72,BB6),INDEX($AG$1:$AL$72,BB6,(COUNTIF(INDEX($AS$1:$AX$72,BB6,0),"&lt;"&amp;BC6)+1))+BC6-1-IF((COUNTIF(INDEX($AS$1:$AX$72,BB6,0),"&lt;"&amp;BC6)+1)=1,0,INDEX($AS$1:$AX$72,BB6,(COUNTIF(INDEX($AS$1:$AX$72,BB6,0),"&lt;"&amp;BC6)+1)-1)),INDEX($X$1:$X$72,BB6)))</f>
      </c>
      <c r="BE6">
        <f>" "&amp;TRIM(SUBSTITUTE(SUBSTITUTE(SUBSTITUTE(SUBSTITUTE(SUBSTITUTE(B28&amp;"","ו",""),"י",""),"ן","נ"),"-"," "),","," "))</f>
      </c>
      <c r="BF6">
        <f>IF(OR(ISNUMBER(SEARCH(" ארנ",BE6)),ISNUMBER(SEARCH(" הארנ",BE6)),ISNUMBER(SEARCH(" אארנ",BE6)),ISNUMBER(SEARCH(" אנרנ",BE6)),ISNUMBER(SEARCH(" האנרנ",BE6))),1,0)</f>
      </c>
      <c r="BG6">
        <f>IF(AND(BF6=1,ISNUMBER(BI6)),BI6,0)</f>
      </c>
      <c r="BH6">
        <f>IF(AND(BF6=1,NOT(ISNUMBER(BI6))),1,0)</f>
      </c>
      <c r="BI6">
        <f>IF(ISNUMBER(J28),J28,IFERROR(--TRIM(SUBSTITUTE(SUBSTITUTE(J28&amp;"","פצל",""),"פ","")),""))</f>
      </c>
    </row>
    <row r="7">
      <c r="X7">
        <f>IF(A29&gt;0,A29,B29)</f>
      </c>
      <c r="Z7">
        <f>SUBSTITUTE(SUBSTITUTE(SUBSTITUTE(SUBSTITUTE(A29&amp;"","–","-"),"--","-"),"--","-")," ","")</f>
      </c>
      <c r="AA7">
        <f>TRIM(MID(SUBSTITUTE(Z7,",",REPT(" ",100)),1,100))</f>
      </c>
      <c r="AB7">
        <f>TRIM(MID(SUBSTITUTE(Z7,",",REPT(" ",100)),101,100))</f>
      </c>
      <c r="AC7">
        <f>TRIM(MID(SUBSTITUTE(Z7,",",REPT(" ",100)),201,100))</f>
      </c>
      <c r="AD7">
        <f>TRIM(MID(SUBSTITUTE(Z7,",",REPT(" ",100)),301,100))</f>
      </c>
      <c r="AE7">
        <f>TRIM(MID(SUBSTITUTE(Z7,",",REPT(" ",100)),401,100))</f>
      </c>
      <c r="AF7">
        <f>TRIM(MID(SUBSTITUTE(Z7,",",REPT(" ",100)),501,100))</f>
      </c>
      <c r="AG7">
        <f>IF(AA7="",0,IFERROR(VALUE(LEFT(AA7,FIND("-",AA7&amp;"-")-1)),-1))</f>
      </c>
      <c r="AH7">
        <f>IF(AB7="",0,IFERROR(VALUE(LEFT(AB7,FIND("-",AB7&amp;"-")-1)),-1))</f>
      </c>
      <c r="AI7">
        <f>IF(AC7="",0,IFERROR(VALUE(LEFT(AC7,FIND("-",AC7&amp;"-")-1)),-1))</f>
      </c>
      <c r="AJ7">
        <f>IF(AD7="",0,IFERROR(VALUE(LEFT(AD7,FIND("-",AD7&amp;"-")-1)),-1))</f>
      </c>
      <c r="AK7">
        <f>IF(AE7="",0,IFERROR(VALUE(LEFT(AE7,FIND("-",AE7&amp;"-")-1)),-1))</f>
      </c>
      <c r="AL7">
        <f>IF(AF7="",0,IFERROR(VALUE(LEFT(AF7,FIND("-",AF7&amp;"-")-1)),-1))</f>
      </c>
      <c r="AM7">
        <f>IF(AG7&lt;=0,0,IFERROR(IF(ISNUMBER(FIND("-",AA7)),MAX(1,VALUE(MID(AA7,FIND("-",AA7)+1,99))-AG7+1),1),1))</f>
      </c>
      <c r="AN7">
        <f>IF(AH7&lt;=0,0,IFERROR(IF(ISNUMBER(FIND("-",AB7)),MAX(1,VALUE(MID(AB7,FIND("-",AB7)+1,99))-AH7+1),1),1))</f>
      </c>
      <c r="AO7">
        <f>IF(AI7&lt;=0,0,IFERROR(IF(ISNUMBER(FIND("-",AC7)),MAX(1,VALUE(MID(AC7,FIND("-",AC7)+1,99))-AI7+1),1),1))</f>
      </c>
      <c r="AP7">
        <f>IF(AJ7&lt;=0,0,IFERROR(IF(ISNUMBER(FIND("-",AD7)),MAX(1,VALUE(MID(AD7,FIND("-",AD7)+1,99))-AJ7+1),1),1))</f>
      </c>
      <c r="AQ7">
        <f>IF(AK7&lt;=0,0,IFERROR(IF(ISNUMBER(FIND("-",AE7)),MAX(1,VALUE(MID(AE7,FIND("-",AE7)+1,99))-AK7+1),1),1))</f>
      </c>
      <c r="AR7">
        <f>IF(AL7&lt;=0,0,IFERROR(IF(ISNUMBER(FIND("-",AF7)),MAX(1,VALUE(MID(AF7,FIND("-",AF7)+1,99))-AL7+1),1),1))</f>
      </c>
      <c r="AS7">
        <f>SUM($AM7:AM7)</f>
      </c>
      <c r="AT7">
        <f>SUM($AM7:AN7)</f>
      </c>
      <c r="AU7">
        <f>SUM($AM7:AO7)</f>
      </c>
      <c r="AV7">
        <f>SUM($AM7:AP7)</f>
      </c>
      <c r="AW7">
        <f>SUM($AM7:AQ7)</f>
      </c>
      <c r="AX7">
        <f>SUM($AM7:AR7)</f>
      </c>
      <c r="AY7">
        <f>AND(ISNUMBER(SEARCH("פ",J29&amp;"")),AX7&gt;0,COUNTIF(AG7:AL7,-1)=0)</f>
      </c>
      <c r="AZ7">
        <f>IF(X7=0,0,IF(AY7,MIN(AX7,72),1))</f>
      </c>
      <c r="BA7">
        <f>SUM($AZ$1:AZ7)</f>
      </c>
      <c r="BB7">
        <f>COUNTIF($BA$1:$BA$72,"&lt;"&amp;7)+1</f>
      </c>
      <c r="BC7">
        <f>IF(BB7&gt;72,0,7-IF(BB7=1,0,INDEX($BA$1:$BA$72,BB7-1)))</f>
      </c>
      <c r="BD7">
        <f>IF(7&gt;$BA$72,0,IF(INDEX($AY$1:$AY$72,BB7),INDEX($AG$1:$AL$72,BB7,(COUNTIF(INDEX($AS$1:$AX$72,BB7,0),"&lt;"&amp;BC7)+1))+BC7-1-IF((COUNTIF(INDEX($AS$1:$AX$72,BB7,0),"&lt;"&amp;BC7)+1)=1,0,INDEX($AS$1:$AX$72,BB7,(COUNTIF(INDEX($AS$1:$AX$72,BB7,0),"&lt;"&amp;BC7)+1)-1)),INDEX($X$1:$X$72,BB7)))</f>
      </c>
      <c r="BE7">
        <f>" "&amp;TRIM(SUBSTITUTE(SUBSTITUTE(SUBSTITUTE(SUBSTITUTE(SUBSTITUTE(B29&amp;"","ו",""),"י",""),"ן","נ"),"-"," "),","," "))</f>
      </c>
      <c r="BF7">
        <f>IF(OR(ISNUMBER(SEARCH(" ארנ",BE7)),ISNUMBER(SEARCH(" הארנ",BE7)),ISNUMBER(SEARCH(" אארנ",BE7)),ISNUMBER(SEARCH(" אנרנ",BE7)),ISNUMBER(SEARCH(" האנרנ",BE7))),1,0)</f>
      </c>
      <c r="BG7">
        <f>IF(AND(BF7=1,ISNUMBER(BI7)),BI7,0)</f>
      </c>
      <c r="BH7">
        <f>IF(AND(BF7=1,NOT(ISNUMBER(BI7))),1,0)</f>
      </c>
      <c r="BI7">
        <f>IF(ISNUMBER(J29),J29,IFERROR(--TRIM(SUBSTITUTE(SUBSTITUTE(J29&amp;"","פצל",""),"פ","")),""))</f>
      </c>
    </row>
    <row r="8">
      <c r="X8">
        <f>IF(A30&gt;0,A30,B30)</f>
      </c>
      <c r="Z8">
        <f>SUBSTITUTE(SUBSTITUTE(SUBSTITUTE(SUBSTITUTE(A30&amp;"","–","-"),"--","-"),"--","-")," ","")</f>
      </c>
      <c r="AA8">
        <f>TRIM(MID(SUBSTITUTE(Z8,",",REPT(" ",100)),1,100))</f>
      </c>
      <c r="AB8">
        <f>TRIM(MID(SUBSTITUTE(Z8,",",REPT(" ",100)),101,100))</f>
      </c>
      <c r="AC8">
        <f>TRIM(MID(SUBSTITUTE(Z8,",",REPT(" ",100)),201,100))</f>
      </c>
      <c r="AD8">
        <f>TRIM(MID(SUBSTITUTE(Z8,",",REPT(" ",100)),301,100))</f>
      </c>
      <c r="AE8">
        <f>TRIM(MID(SUBSTITUTE(Z8,",",REPT(" ",100)),401,100))</f>
      </c>
      <c r="AF8">
        <f>TRIM(MID(SUBSTITUTE(Z8,",",REPT(" ",100)),501,100))</f>
      </c>
      <c r="AG8">
        <f>IF(AA8="",0,IFERROR(VALUE(LEFT(AA8,FIND("-",AA8&amp;"-")-1)),-1))</f>
      </c>
      <c r="AH8">
        <f>IF(AB8="",0,IFERROR(VALUE(LEFT(AB8,FIND("-",AB8&amp;"-")-1)),-1))</f>
      </c>
      <c r="AI8">
        <f>IF(AC8="",0,IFERROR(VALUE(LEFT(AC8,FIND("-",AC8&amp;"-")-1)),-1))</f>
      </c>
      <c r="AJ8">
        <f>IF(AD8="",0,IFERROR(VALUE(LEFT(AD8,FIND("-",AD8&amp;"-")-1)),-1))</f>
      </c>
      <c r="AK8">
        <f>IF(AE8="",0,IFERROR(VALUE(LEFT(AE8,FIND("-",AE8&amp;"-")-1)),-1))</f>
      </c>
      <c r="AL8">
        <f>IF(AF8="",0,IFERROR(VALUE(LEFT(AF8,FIND("-",AF8&amp;"-")-1)),-1))</f>
      </c>
      <c r="AM8">
        <f>IF(AG8&lt;=0,0,IFERROR(IF(ISNUMBER(FIND("-",AA8)),MAX(1,VALUE(MID(AA8,FIND("-",AA8)+1,99))-AG8+1),1),1))</f>
      </c>
      <c r="AN8">
        <f>IF(AH8&lt;=0,0,IFERROR(IF(ISNUMBER(FIND("-",AB8)),MAX(1,VALUE(MID(AB8,FIND("-",AB8)+1,99))-AH8+1),1),1))</f>
      </c>
      <c r="AO8">
        <f>IF(AI8&lt;=0,0,IFERROR(IF(ISNUMBER(FIND("-",AC8)),MAX(1,VALUE(MID(AC8,FIND("-",AC8)+1,99))-AI8+1),1),1))</f>
      </c>
      <c r="AP8">
        <f>IF(AJ8&lt;=0,0,IFERROR(IF(ISNUMBER(FIND("-",AD8)),MAX(1,VALUE(MID(AD8,FIND("-",AD8)+1,99))-AJ8+1),1),1))</f>
      </c>
      <c r="AQ8">
        <f>IF(AK8&lt;=0,0,IFERROR(IF(ISNUMBER(FIND("-",AE8)),MAX(1,VALUE(MID(AE8,FIND("-",AE8)+1,99))-AK8+1),1),1))</f>
      </c>
      <c r="AR8">
        <f>IF(AL8&lt;=0,0,IFERROR(IF(ISNUMBER(FIND("-",AF8)),MAX(1,VALUE(MID(AF8,FIND("-",AF8)+1,99))-AL8+1),1),1))</f>
      </c>
      <c r="AS8">
        <f>SUM($AM8:AM8)</f>
      </c>
      <c r="AT8">
        <f>SUM($AM8:AN8)</f>
      </c>
      <c r="AU8">
        <f>SUM($AM8:AO8)</f>
      </c>
      <c r="AV8">
        <f>SUM($AM8:AP8)</f>
      </c>
      <c r="AW8">
        <f>SUM($AM8:AQ8)</f>
      </c>
      <c r="AX8">
        <f>SUM($AM8:AR8)</f>
      </c>
      <c r="AY8">
        <f>AND(ISNUMBER(SEARCH("פ",J30&amp;"")),AX8&gt;0,COUNTIF(AG8:AL8,-1)=0)</f>
      </c>
      <c r="AZ8">
        <f>IF(X8=0,0,IF(AY8,MIN(AX8,72),1))</f>
      </c>
      <c r="BA8">
        <f>SUM($AZ$1:AZ8)</f>
      </c>
      <c r="BB8">
        <f>COUNTIF($BA$1:$BA$72,"&lt;"&amp;8)+1</f>
      </c>
      <c r="BC8">
        <f>IF(BB8&gt;72,0,8-IF(BB8=1,0,INDEX($BA$1:$BA$72,BB8-1)))</f>
      </c>
      <c r="BD8">
        <f>IF(8&gt;$BA$72,0,IF(INDEX($AY$1:$AY$72,BB8),INDEX($AG$1:$AL$72,BB8,(COUNTIF(INDEX($AS$1:$AX$72,BB8,0),"&lt;"&amp;BC8)+1))+BC8-1-IF((COUNTIF(INDEX($AS$1:$AX$72,BB8,0),"&lt;"&amp;BC8)+1)=1,0,INDEX($AS$1:$AX$72,BB8,(COUNTIF(INDEX($AS$1:$AX$72,BB8,0),"&lt;"&amp;BC8)+1)-1)),INDEX($X$1:$X$72,BB8)))</f>
      </c>
      <c r="BE8">
        <f>" "&amp;TRIM(SUBSTITUTE(SUBSTITUTE(SUBSTITUTE(SUBSTITUTE(SUBSTITUTE(B30&amp;"","ו",""),"י",""),"ן","נ"),"-"," "),","," "))</f>
      </c>
      <c r="BF8">
        <f>IF(OR(ISNUMBER(SEARCH(" ארנ",BE8)),ISNUMBER(SEARCH(" הארנ",BE8)),ISNUMBER(SEARCH(" אארנ",BE8)),ISNUMBER(SEARCH(" אנרנ",BE8)),ISNUMBER(SEARCH(" האנרנ",BE8))),1,0)</f>
      </c>
      <c r="BG8">
        <f>IF(AND(BF8=1,ISNUMBER(BI8)),BI8,0)</f>
      </c>
      <c r="BH8">
        <f>IF(AND(BF8=1,NOT(ISNUMBER(BI8))),1,0)</f>
      </c>
      <c r="BI8">
        <f>IF(ISNUMBER(J30),J30,IFERROR(--TRIM(SUBSTITUTE(SUBSTITUTE(J30&amp;"","פצל",""),"פ","")),""))</f>
      </c>
    </row>
    <row r="9" ht="23.25" customHeight="1" x14ac:dyDescent="0.2">
      <c r="C9" s="33" t="s">
        <v>15</v>
      </c>
      <c r="D9" s="33"/>
      <c r="E9" s="33"/>
      <c r="F9" s="38"/>
      <c r="G9" s="38"/>
      <c r="H9" s="38"/>
      <c r="I9" s="38"/>
      <c r="J9" s="38"/>
      <c r="K9" s="32" t="s">
        <v>16</v>
      </c>
      <c r="L9" s="32"/>
      <c r="M9" s="32"/>
      <c r="N9" s="32"/>
      <c r="X9">
        <f>IF(A31&gt;0,A31,B31)</f>
      </c>
      <c r="Z9">
        <f>SUBSTITUTE(SUBSTITUTE(SUBSTITUTE(SUBSTITUTE(A31&amp;"","–","-"),"--","-"),"--","-")," ","")</f>
      </c>
      <c r="AA9">
        <f>TRIM(MID(SUBSTITUTE(Z9,",",REPT(" ",100)),1,100))</f>
      </c>
      <c r="AB9">
        <f>TRIM(MID(SUBSTITUTE(Z9,",",REPT(" ",100)),101,100))</f>
      </c>
      <c r="AC9">
        <f>TRIM(MID(SUBSTITUTE(Z9,",",REPT(" ",100)),201,100))</f>
      </c>
      <c r="AD9">
        <f>TRIM(MID(SUBSTITUTE(Z9,",",REPT(" ",100)),301,100))</f>
      </c>
      <c r="AE9">
        <f>TRIM(MID(SUBSTITUTE(Z9,",",REPT(" ",100)),401,100))</f>
      </c>
      <c r="AF9">
        <f>TRIM(MID(SUBSTITUTE(Z9,",",REPT(" ",100)),501,100))</f>
      </c>
      <c r="AG9">
        <f>IF(AA9="",0,IFERROR(VALUE(LEFT(AA9,FIND("-",AA9&amp;"-")-1)),-1))</f>
      </c>
      <c r="AH9">
        <f>IF(AB9="",0,IFERROR(VALUE(LEFT(AB9,FIND("-",AB9&amp;"-")-1)),-1))</f>
      </c>
      <c r="AI9">
        <f>IF(AC9="",0,IFERROR(VALUE(LEFT(AC9,FIND("-",AC9&amp;"-")-1)),-1))</f>
      </c>
      <c r="AJ9">
        <f>IF(AD9="",0,IFERROR(VALUE(LEFT(AD9,FIND("-",AD9&amp;"-")-1)),-1))</f>
      </c>
      <c r="AK9">
        <f>IF(AE9="",0,IFERROR(VALUE(LEFT(AE9,FIND("-",AE9&amp;"-")-1)),-1))</f>
      </c>
      <c r="AL9">
        <f>IF(AF9="",0,IFERROR(VALUE(LEFT(AF9,FIND("-",AF9&amp;"-")-1)),-1))</f>
      </c>
      <c r="AM9">
        <f>IF(AG9&lt;=0,0,IFERROR(IF(ISNUMBER(FIND("-",AA9)),MAX(1,VALUE(MID(AA9,FIND("-",AA9)+1,99))-AG9+1),1),1))</f>
      </c>
      <c r="AN9">
        <f>IF(AH9&lt;=0,0,IFERROR(IF(ISNUMBER(FIND("-",AB9)),MAX(1,VALUE(MID(AB9,FIND("-",AB9)+1,99))-AH9+1),1),1))</f>
      </c>
      <c r="AO9">
        <f>IF(AI9&lt;=0,0,IFERROR(IF(ISNUMBER(FIND("-",AC9)),MAX(1,VALUE(MID(AC9,FIND("-",AC9)+1,99))-AI9+1),1),1))</f>
      </c>
      <c r="AP9">
        <f>IF(AJ9&lt;=0,0,IFERROR(IF(ISNUMBER(FIND("-",AD9)),MAX(1,VALUE(MID(AD9,FIND("-",AD9)+1,99))-AJ9+1),1),1))</f>
      </c>
      <c r="AQ9">
        <f>IF(AK9&lt;=0,0,IFERROR(IF(ISNUMBER(FIND("-",AE9)),MAX(1,VALUE(MID(AE9,FIND("-",AE9)+1,99))-AK9+1),1),1))</f>
      </c>
      <c r="AR9">
        <f>IF(AL9&lt;=0,0,IFERROR(IF(ISNUMBER(FIND("-",AF9)),MAX(1,VALUE(MID(AF9,FIND("-",AF9)+1,99))-AL9+1),1),1))</f>
      </c>
      <c r="AS9">
        <f>SUM($AM9:AM9)</f>
      </c>
      <c r="AT9">
        <f>SUM($AM9:AN9)</f>
      </c>
      <c r="AU9">
        <f>SUM($AM9:AO9)</f>
      </c>
      <c r="AV9">
        <f>SUM($AM9:AP9)</f>
      </c>
      <c r="AW9">
        <f>SUM($AM9:AQ9)</f>
      </c>
      <c r="AX9">
        <f>SUM($AM9:AR9)</f>
      </c>
      <c r="AY9">
        <f>AND(ISNUMBER(SEARCH("פ",J31&amp;"")),AX9&gt;0,COUNTIF(AG9:AL9,-1)=0)</f>
      </c>
      <c r="AZ9">
        <f>IF(X9=0,0,IF(AY9,MIN(AX9,72),1))</f>
      </c>
      <c r="BA9">
        <f>SUM($AZ$1:AZ9)</f>
      </c>
      <c r="BB9">
        <f>COUNTIF($BA$1:$BA$72,"&lt;"&amp;9)+1</f>
      </c>
      <c r="BC9">
        <f>IF(BB9&gt;72,0,9-IF(BB9=1,0,INDEX($BA$1:$BA$72,BB9-1)))</f>
      </c>
      <c r="BD9">
        <f>IF(9&gt;$BA$72,0,IF(INDEX($AY$1:$AY$72,BB9),INDEX($AG$1:$AL$72,BB9,(COUNTIF(INDEX($AS$1:$AX$72,BB9,0),"&lt;"&amp;BC9)+1))+BC9-1-IF((COUNTIF(INDEX($AS$1:$AX$72,BB9,0),"&lt;"&amp;BC9)+1)=1,0,INDEX($AS$1:$AX$72,BB9,(COUNTIF(INDEX($AS$1:$AX$72,BB9,0),"&lt;"&amp;BC9)+1)-1)),INDEX($X$1:$X$72,BB9)))</f>
      </c>
      <c r="BE9">
        <f>" "&amp;TRIM(SUBSTITUTE(SUBSTITUTE(SUBSTITUTE(SUBSTITUTE(SUBSTITUTE(B31&amp;"","ו",""),"י",""),"ן","נ"),"-"," "),","," "))</f>
      </c>
      <c r="BF9">
        <f>IF(OR(ISNUMBER(SEARCH(" ארנ",BE9)),ISNUMBER(SEARCH(" הארנ",BE9)),ISNUMBER(SEARCH(" אארנ",BE9)),ISNUMBER(SEARCH(" אנרנ",BE9)),ISNUMBER(SEARCH(" האנרנ",BE9))),1,0)</f>
      </c>
      <c r="BG9">
        <f>IF(AND(BF9=1,ISNUMBER(BI9)),BI9,0)</f>
      </c>
      <c r="BH9">
        <f>IF(AND(BF9=1,NOT(ISNUMBER(BI9))),1,0)</f>
      </c>
      <c r="BI9">
        <f>IF(ISNUMBER(J31),J31,IFERROR(--TRIM(SUBSTITUTE(SUBSTITUTE(J31&amp;"","פצל",""),"פ","")),""))</f>
      </c>
    </row>
    <row r="10" ht="30.75" customHeight="1" x14ac:dyDescent="0.2">
      <c r="D10" s="32"/>
      <c r="E10" s="32"/>
      <c r="F10" s="32"/>
      <c r="G10" s="32"/>
      <c r="K10" s="20">
        <f>$BD$1</f>
      </c>
      <c r="L10" s="20">
        <f>$BD$2</f>
      </c>
      <c r="M10" s="20">
        <f>$BD$3</f>
      </c>
      <c r="N10" s="20">
        <f>$BD$4</f>
      </c>
      <c r="O10" s="20">
        <f>IF(K62=0,$BD$9,IF(K116=0,IF($K$62&gt;0,$BD$17),$BD$25))</f>
      </c>
      <c r="P10" s="20">
        <f>IF($K$62=0,$BD$10,IF($K$116=0,IF($K$62&gt;0,$BD$18),$BD$26))</f>
      </c>
      <c r="Q10" s="20">
        <f>IF($K$62=0,$BD$11,IF($K$116=0,IF($K$62&gt;0,$BD$19),$BD$27))</f>
      </c>
      <c r="R10" s="20">
        <f>IF($K$62=0,$BD$12,IF($K$116=0,IF($K$62&gt;0,$BD$20),$BD$28))</f>
      </c>
      <c r="S10" s="20">
        <f>IF($K$62=0,$BD$17,IF($K$116=0,IF($K$62&gt;0,$BD$33),$BD$49))</f>
      </c>
      <c r="T10" s="20">
        <f>IF($K$62=0,$BD$18,IF($K$116=0,IF($K$62&gt;0,$BD$34),$BD$50))</f>
      </c>
      <c r="U10" s="20">
        <f>IF($K$62=0,$BD$19,IF($K$116=0,IF($K$62&gt;0,$BD$35),$BD$51))</f>
      </c>
      <c r="V10" s="20">
        <f>IF($K$62=0,$BD$20,IF($K$116=0,IF($K$62&gt;0,$BD$36),$BD$52))</f>
      </c>
      <c r="X10">
        <f>IF(A32&gt;0,A32,B32)</f>
      </c>
      <c r="Z10">
        <f>SUBSTITUTE(SUBSTITUTE(SUBSTITUTE(SUBSTITUTE(A32&amp;"","–","-"),"--","-"),"--","-")," ","")</f>
      </c>
      <c r="AA10">
        <f>TRIM(MID(SUBSTITUTE(Z10,",",REPT(" ",100)),1,100))</f>
      </c>
      <c r="AB10">
        <f>TRIM(MID(SUBSTITUTE(Z10,",",REPT(" ",100)),101,100))</f>
      </c>
      <c r="AC10">
        <f>TRIM(MID(SUBSTITUTE(Z10,",",REPT(" ",100)),201,100))</f>
      </c>
      <c r="AD10">
        <f>TRIM(MID(SUBSTITUTE(Z10,",",REPT(" ",100)),301,100))</f>
      </c>
      <c r="AE10">
        <f>TRIM(MID(SUBSTITUTE(Z10,",",REPT(" ",100)),401,100))</f>
      </c>
      <c r="AF10">
        <f>TRIM(MID(SUBSTITUTE(Z10,",",REPT(" ",100)),501,100))</f>
      </c>
      <c r="AG10">
        <f>IF(AA10="",0,IFERROR(VALUE(LEFT(AA10,FIND("-",AA10&amp;"-")-1)),-1))</f>
      </c>
      <c r="AH10">
        <f>IF(AB10="",0,IFERROR(VALUE(LEFT(AB10,FIND("-",AB10&amp;"-")-1)),-1))</f>
      </c>
      <c r="AI10">
        <f>IF(AC10="",0,IFERROR(VALUE(LEFT(AC10,FIND("-",AC10&amp;"-")-1)),-1))</f>
      </c>
      <c r="AJ10">
        <f>IF(AD10="",0,IFERROR(VALUE(LEFT(AD10,FIND("-",AD10&amp;"-")-1)),-1))</f>
      </c>
      <c r="AK10">
        <f>IF(AE10="",0,IFERROR(VALUE(LEFT(AE10,FIND("-",AE10&amp;"-")-1)),-1))</f>
      </c>
      <c r="AL10">
        <f>IF(AF10="",0,IFERROR(VALUE(LEFT(AF10,FIND("-",AF10&amp;"-")-1)),-1))</f>
      </c>
      <c r="AM10">
        <f>IF(AG10&lt;=0,0,IFERROR(IF(ISNUMBER(FIND("-",AA10)),MAX(1,VALUE(MID(AA10,FIND("-",AA10)+1,99))-AG10+1),1),1))</f>
      </c>
      <c r="AN10">
        <f>IF(AH10&lt;=0,0,IFERROR(IF(ISNUMBER(FIND("-",AB10)),MAX(1,VALUE(MID(AB10,FIND("-",AB10)+1,99))-AH10+1),1),1))</f>
      </c>
      <c r="AO10">
        <f>IF(AI10&lt;=0,0,IFERROR(IF(ISNUMBER(FIND("-",AC10)),MAX(1,VALUE(MID(AC10,FIND("-",AC10)+1,99))-AI10+1),1),1))</f>
      </c>
      <c r="AP10">
        <f>IF(AJ10&lt;=0,0,IFERROR(IF(ISNUMBER(FIND("-",AD10)),MAX(1,VALUE(MID(AD10,FIND("-",AD10)+1,99))-AJ10+1),1),1))</f>
      </c>
      <c r="AQ10">
        <f>IF(AK10&lt;=0,0,IFERROR(IF(ISNUMBER(FIND("-",AE10)),MAX(1,VALUE(MID(AE10,FIND("-",AE10)+1,99))-AK10+1),1),1))</f>
      </c>
      <c r="AR10">
        <f>IF(AL10&lt;=0,0,IFERROR(IF(ISNUMBER(FIND("-",AF10)),MAX(1,VALUE(MID(AF10,FIND("-",AF10)+1,99))-AL10+1),1),1))</f>
      </c>
      <c r="AS10">
        <f>SUM($AM10:AM10)</f>
      </c>
      <c r="AT10">
        <f>SUM($AM10:AN10)</f>
      </c>
      <c r="AU10">
        <f>SUM($AM10:AO10)</f>
      </c>
      <c r="AV10">
        <f>SUM($AM10:AP10)</f>
      </c>
      <c r="AW10">
        <f>SUM($AM10:AQ10)</f>
      </c>
      <c r="AX10">
        <f>SUM($AM10:AR10)</f>
      </c>
      <c r="AY10">
        <f>AND(ISNUMBER(SEARCH("פ",J32&amp;"")),AX10&gt;0,COUNTIF(AG10:AL10,-1)=0)</f>
      </c>
      <c r="AZ10">
        <f>IF(X10=0,0,IF(AY10,MIN(AX10,72),1))</f>
      </c>
      <c r="BA10">
        <f>SUM($AZ$1:AZ10)</f>
      </c>
      <c r="BB10">
        <f>COUNTIF($BA$1:$BA$72,"&lt;"&amp;10)+1</f>
      </c>
      <c r="BC10">
        <f>IF(BB10&gt;72,0,10-IF(BB10=1,0,INDEX($BA$1:$BA$72,BB10-1)))</f>
      </c>
      <c r="BD10">
        <f>IF(10&gt;$BA$72,0,IF(INDEX($AY$1:$AY$72,BB10),INDEX($AG$1:$AL$72,BB10,(COUNTIF(INDEX($AS$1:$AX$72,BB10,0),"&lt;"&amp;BC10)+1))+BC10-1-IF((COUNTIF(INDEX($AS$1:$AX$72,BB10,0),"&lt;"&amp;BC10)+1)=1,0,INDEX($AS$1:$AX$72,BB10,(COUNTIF(INDEX($AS$1:$AX$72,BB10,0),"&lt;"&amp;BC10)+1)-1)),INDEX($X$1:$X$72,BB10)))</f>
      </c>
      <c r="BE10">
        <f>" "&amp;TRIM(SUBSTITUTE(SUBSTITUTE(SUBSTITUTE(SUBSTITUTE(SUBSTITUTE(B32&amp;"","ו",""),"י",""),"ן","נ"),"-"," "),","," "))</f>
      </c>
      <c r="BF10">
        <f>IF(OR(ISNUMBER(SEARCH(" ארנ",BE10)),ISNUMBER(SEARCH(" הארנ",BE10)),ISNUMBER(SEARCH(" אארנ",BE10)),ISNUMBER(SEARCH(" אנרנ",BE10)),ISNUMBER(SEARCH(" האנרנ",BE10))),1,0)</f>
      </c>
      <c r="BG10">
        <f>IF(AND(BF10=1,ISNUMBER(BI10)),BI10,0)</f>
      </c>
      <c r="BH10">
        <f>IF(AND(BF10=1,NOT(ISNUMBER(BI10))),1,0)</f>
      </c>
      <c r="BI10">
        <f>IF(ISNUMBER(J32),J32,IFERROR(--TRIM(SUBSTITUTE(SUBSTITUTE(J32&amp;"","פצל",""),"פ","")),""))</f>
      </c>
    </row>
    <row r="11" ht="30.75" hidden="1" customHeight="1" x14ac:dyDescent="0.2">
      <c r="A11" s="16"/>
      <c r="B11" s="16"/>
      <c r="C11" s="16"/>
      <c r="D11" s="17"/>
      <c r="E11" s="17"/>
      <c r="F11" s="17"/>
      <c r="G11" s="17"/>
      <c r="H11" s="16"/>
      <c r="I11" s="16"/>
      <c r="J11" s="16"/>
      <c r="K11" s="11">
        <f>IF(K10&gt;0,IF(IFERROR(VALUE(TRIM(_xlfn.TEXTBEFORE(K10&amp;"-",{"-",","}))),0)=0,J10+1,IFERROR(VALUE(TRIM(_xlfn.TEXTBEFORE(K10&amp;"-",{"-",","}))),0)))</f>
      </c>
      <c r="L11" s="11" t="b">
        <f>IF(L10&gt;0,2)</f>
      </c>
      <c r="M11" s="11" t="b">
        <f t="shared" ref="M11:N11" si="0">IF(M10&gt;0,L11+1)</f>
      </c>
      <c r="N11" s="11" t="b">
        <f t="shared" si="0"/>
      </c>
      <c r="O11" s="11">
        <f>IF(N142=FALSE,IF(N87=FALSE,N34+1,N87+1),N142+1)</f>
      </c>
      <c r="P11" s="11" t="b">
        <f>IF(P10&gt;0,O11+1)</f>
      </c>
      <c r="Q11" s="11" t="b">
        <f t="shared" ref="Q11:R11" si="1">IF(Q10&gt;0,P11+1)</f>
      </c>
      <c r="R11" s="11" t="b">
        <f t="shared" si="1"/>
      </c>
      <c r="S11" s="11">
        <f>IF(R142=FALSE,IF(R87=FALSE,R34+1,R87+1),R142+1)</f>
      </c>
      <c r="T11" s="11" t="b">
        <f>IF(T10&gt;0,S11+1)</f>
      </c>
      <c r="U11" s="11" t="b">
        <f t="shared" ref="U11:V11" si="2">IF(U10&gt;0,T11+1)</f>
      </c>
      <c r="V11" s="11" t="b">
        <f t="shared" si="2"/>
      </c>
      <c r="X11">
        <f>IF(A33&gt;0,A33,B33)</f>
      </c>
      <c r="Z11">
        <f>SUBSTITUTE(SUBSTITUTE(SUBSTITUTE(SUBSTITUTE(A33&amp;"","–","-"),"--","-"),"--","-")," ","")</f>
      </c>
      <c r="AA11">
        <f>TRIM(MID(SUBSTITUTE(Z11,",",REPT(" ",100)),1,100))</f>
      </c>
      <c r="AB11">
        <f>TRIM(MID(SUBSTITUTE(Z11,",",REPT(" ",100)),101,100))</f>
      </c>
      <c r="AC11">
        <f>TRIM(MID(SUBSTITUTE(Z11,",",REPT(" ",100)),201,100))</f>
      </c>
      <c r="AD11">
        <f>TRIM(MID(SUBSTITUTE(Z11,",",REPT(" ",100)),301,100))</f>
      </c>
      <c r="AE11">
        <f>TRIM(MID(SUBSTITUTE(Z11,",",REPT(" ",100)),401,100))</f>
      </c>
      <c r="AF11">
        <f>TRIM(MID(SUBSTITUTE(Z11,",",REPT(" ",100)),501,100))</f>
      </c>
      <c r="AG11">
        <f>IF(AA11="",0,IFERROR(VALUE(LEFT(AA11,FIND("-",AA11&amp;"-")-1)),-1))</f>
      </c>
      <c r="AH11">
        <f>IF(AB11="",0,IFERROR(VALUE(LEFT(AB11,FIND("-",AB11&amp;"-")-1)),-1))</f>
      </c>
      <c r="AI11">
        <f>IF(AC11="",0,IFERROR(VALUE(LEFT(AC11,FIND("-",AC11&amp;"-")-1)),-1))</f>
      </c>
      <c r="AJ11">
        <f>IF(AD11="",0,IFERROR(VALUE(LEFT(AD11,FIND("-",AD11&amp;"-")-1)),-1))</f>
      </c>
      <c r="AK11">
        <f>IF(AE11="",0,IFERROR(VALUE(LEFT(AE11,FIND("-",AE11&amp;"-")-1)),-1))</f>
      </c>
      <c r="AL11">
        <f>IF(AF11="",0,IFERROR(VALUE(LEFT(AF11,FIND("-",AF11&amp;"-")-1)),-1))</f>
      </c>
      <c r="AM11">
        <f>IF(AG11&lt;=0,0,IFERROR(IF(ISNUMBER(FIND("-",AA11)),MAX(1,VALUE(MID(AA11,FIND("-",AA11)+1,99))-AG11+1),1),1))</f>
      </c>
      <c r="AN11">
        <f>IF(AH11&lt;=0,0,IFERROR(IF(ISNUMBER(FIND("-",AB11)),MAX(1,VALUE(MID(AB11,FIND("-",AB11)+1,99))-AH11+1),1),1))</f>
      </c>
      <c r="AO11">
        <f>IF(AI11&lt;=0,0,IFERROR(IF(ISNUMBER(FIND("-",AC11)),MAX(1,VALUE(MID(AC11,FIND("-",AC11)+1,99))-AI11+1),1),1))</f>
      </c>
      <c r="AP11">
        <f>IF(AJ11&lt;=0,0,IFERROR(IF(ISNUMBER(FIND("-",AD11)),MAX(1,VALUE(MID(AD11,FIND("-",AD11)+1,99))-AJ11+1),1),1))</f>
      </c>
      <c r="AQ11">
        <f>IF(AK11&lt;=0,0,IFERROR(IF(ISNUMBER(FIND("-",AE11)),MAX(1,VALUE(MID(AE11,FIND("-",AE11)+1,99))-AK11+1),1),1))</f>
      </c>
      <c r="AR11">
        <f>IF(AL11&lt;=0,0,IFERROR(IF(ISNUMBER(FIND("-",AF11)),MAX(1,VALUE(MID(AF11,FIND("-",AF11)+1,99))-AL11+1),1),1))</f>
      </c>
      <c r="AS11">
        <f>SUM($AM11:AM11)</f>
      </c>
      <c r="AT11">
        <f>SUM($AM11:AN11)</f>
      </c>
      <c r="AU11">
        <f>SUM($AM11:AO11)</f>
      </c>
      <c r="AV11">
        <f>SUM($AM11:AP11)</f>
      </c>
      <c r="AW11">
        <f>SUM($AM11:AQ11)</f>
      </c>
      <c r="AX11">
        <f>SUM($AM11:AR11)</f>
      </c>
      <c r="AY11">
        <f>AND(ISNUMBER(SEARCH("פ",J33&amp;"")),AX11&gt;0,COUNTIF(AG11:AL11,-1)=0)</f>
      </c>
      <c r="AZ11">
        <f>IF(X11=0,0,IF(AY11,MIN(AX11,72),1))</f>
      </c>
      <c r="BA11">
        <f>SUM($AZ$1:AZ11)</f>
      </c>
      <c r="BB11">
        <f>COUNTIF($BA$1:$BA$72,"&lt;"&amp;11)+1</f>
      </c>
      <c r="BC11">
        <f>IF(BB11&gt;72,0,11-IF(BB11=1,0,INDEX($BA$1:$BA$72,BB11-1)))</f>
      </c>
      <c r="BD11">
        <f>IF(11&gt;$BA$72,0,IF(INDEX($AY$1:$AY$72,BB11),INDEX($AG$1:$AL$72,BB11,(COUNTIF(INDEX($AS$1:$AX$72,BB11,0),"&lt;"&amp;BC11)+1))+BC11-1-IF((COUNTIF(INDEX($AS$1:$AX$72,BB11,0),"&lt;"&amp;BC11)+1)=1,0,INDEX($AS$1:$AX$72,BB11,(COUNTIF(INDEX($AS$1:$AX$72,BB11,0),"&lt;"&amp;BC11)+1)-1)),INDEX($X$1:$X$72,BB11)))</f>
      </c>
      <c r="BE11">
        <f>" "&amp;TRIM(SUBSTITUTE(SUBSTITUTE(SUBSTITUTE(SUBSTITUTE(SUBSTITUTE(B33&amp;"","ו",""),"י",""),"ן","נ"),"-"," "),","," "))</f>
      </c>
      <c r="BF11">
        <f>IF(OR(ISNUMBER(SEARCH(" ארנ",BE11)),ISNUMBER(SEARCH(" הארנ",BE11)),ISNUMBER(SEARCH(" אארנ",BE11)),ISNUMBER(SEARCH(" אנרנ",BE11)),ISNUMBER(SEARCH(" האנרנ",BE11))),1,0)</f>
      </c>
      <c r="BG11">
        <f>IF(AND(BF11=1,ISNUMBER(BI11)),BI11,0)</f>
      </c>
      <c r="BH11">
        <f>IF(AND(BF11=1,NOT(ISNUMBER(BI11))),1,0)</f>
      </c>
      <c r="BI11">
        <f>IF(ISNUMBER(J33),J33,IFERROR(--TRIM(SUBSTITUTE(SUBSTITUTE(J33&amp;"","פצל",""),"פ","")),""))</f>
      </c>
    </row>
    <row r="12" ht="30.75" hidden="1" customHeight="1" x14ac:dyDescent="0.2">
      <c r="A12" s="16"/>
      <c r="B12" s="16"/>
      <c r="C12" s="16"/>
      <c r="D12" s="17"/>
      <c r="E12" s="17"/>
      <c r="F12" s="17"/>
      <c r="G12" s="17"/>
      <c r="H12" s="16"/>
      <c r="I12" s="16"/>
      <c r="J12" s="16"/>
      <c r="K12" s="11" t="str">
        <f>"C:\Users\origr\Pictures\"&amp;1&amp;".jpg"</f>
      </c>
      <c r="L12" s="11" t="str">
        <f t="shared" ref="L12:V12" si="3">"C:\Users\origr\Pictures\"&amp;L11&amp;".jpg"</f>
      </c>
      <c r="M12" s="11" t="str">
        <f t="shared" si="3"/>
      </c>
      <c r="N12" s="11" t="str">
        <f t="shared" si="3"/>
      </c>
      <c r="O12" s="11" t="str">
        <f t="shared" si="3"/>
      </c>
      <c r="P12" s="11" t="str">
        <f t="shared" si="3"/>
      </c>
      <c r="Q12" s="11" t="str">
        <f t="shared" si="3"/>
      </c>
      <c r="R12" s="11" t="str">
        <f t="shared" si="3"/>
      </c>
      <c r="S12" s="11" t="str">
        <f t="shared" si="3"/>
      </c>
      <c r="T12" s="11" t="str">
        <f t="shared" si="3"/>
      </c>
      <c r="U12" s="11" t="str">
        <f t="shared" si="3"/>
      </c>
      <c r="V12" s="11" t="str">
        <f t="shared" si="3"/>
      </c>
      <c r="X12">
        <f>IF(A37&gt;0,A37,B37)</f>
      </c>
      <c r="Z12">
        <f>SUBSTITUTE(SUBSTITUTE(SUBSTITUTE(SUBSTITUTE(A37&amp;"","–","-"),"--","-"),"--","-")," ","")</f>
      </c>
      <c r="AA12">
        <f>TRIM(MID(SUBSTITUTE(Z12,",",REPT(" ",100)),1,100))</f>
      </c>
      <c r="AB12">
        <f>TRIM(MID(SUBSTITUTE(Z12,",",REPT(" ",100)),101,100))</f>
      </c>
      <c r="AC12">
        <f>TRIM(MID(SUBSTITUTE(Z12,",",REPT(" ",100)),201,100))</f>
      </c>
      <c r="AD12">
        <f>TRIM(MID(SUBSTITUTE(Z12,",",REPT(" ",100)),301,100))</f>
      </c>
      <c r="AE12">
        <f>TRIM(MID(SUBSTITUTE(Z12,",",REPT(" ",100)),401,100))</f>
      </c>
      <c r="AF12">
        <f>TRIM(MID(SUBSTITUTE(Z12,",",REPT(" ",100)),501,100))</f>
      </c>
      <c r="AG12">
        <f>IF(AA12="",0,IFERROR(VALUE(LEFT(AA12,FIND("-",AA12&amp;"-")-1)),-1))</f>
      </c>
      <c r="AH12">
        <f>IF(AB12="",0,IFERROR(VALUE(LEFT(AB12,FIND("-",AB12&amp;"-")-1)),-1))</f>
      </c>
      <c r="AI12">
        <f>IF(AC12="",0,IFERROR(VALUE(LEFT(AC12,FIND("-",AC12&amp;"-")-1)),-1))</f>
      </c>
      <c r="AJ12">
        <f>IF(AD12="",0,IFERROR(VALUE(LEFT(AD12,FIND("-",AD12&amp;"-")-1)),-1))</f>
      </c>
      <c r="AK12">
        <f>IF(AE12="",0,IFERROR(VALUE(LEFT(AE12,FIND("-",AE12&amp;"-")-1)),-1))</f>
      </c>
      <c r="AL12">
        <f>IF(AF12="",0,IFERROR(VALUE(LEFT(AF12,FIND("-",AF12&amp;"-")-1)),-1))</f>
      </c>
      <c r="AM12">
        <f>IF(AG12&lt;=0,0,IFERROR(IF(ISNUMBER(FIND("-",AA12)),MAX(1,VALUE(MID(AA12,FIND("-",AA12)+1,99))-AG12+1),1),1))</f>
      </c>
      <c r="AN12">
        <f>IF(AH12&lt;=0,0,IFERROR(IF(ISNUMBER(FIND("-",AB12)),MAX(1,VALUE(MID(AB12,FIND("-",AB12)+1,99))-AH12+1),1),1))</f>
      </c>
      <c r="AO12">
        <f>IF(AI12&lt;=0,0,IFERROR(IF(ISNUMBER(FIND("-",AC12)),MAX(1,VALUE(MID(AC12,FIND("-",AC12)+1,99))-AI12+1),1),1))</f>
      </c>
      <c r="AP12">
        <f>IF(AJ12&lt;=0,0,IFERROR(IF(ISNUMBER(FIND("-",AD12)),MAX(1,VALUE(MID(AD12,FIND("-",AD12)+1,99))-AJ12+1),1),1))</f>
      </c>
      <c r="AQ12">
        <f>IF(AK12&lt;=0,0,IFERROR(IF(ISNUMBER(FIND("-",AE12)),MAX(1,VALUE(MID(AE12,FIND("-",AE12)+1,99))-AK12+1),1),1))</f>
      </c>
      <c r="AR12">
        <f>IF(AL12&lt;=0,0,IFERROR(IF(ISNUMBER(FIND("-",AF12)),MAX(1,VALUE(MID(AF12,FIND("-",AF12)+1,99))-AL12+1),1),1))</f>
      </c>
      <c r="AS12">
        <f>SUM($AM12:AM12)</f>
      </c>
      <c r="AT12">
        <f>SUM($AM12:AN12)</f>
      </c>
      <c r="AU12">
        <f>SUM($AM12:AO12)</f>
      </c>
      <c r="AV12">
        <f>SUM($AM12:AP12)</f>
      </c>
      <c r="AW12">
        <f>SUM($AM12:AQ12)</f>
      </c>
      <c r="AX12">
        <f>SUM($AM12:AR12)</f>
      </c>
      <c r="AY12">
        <f>AND(ISNUMBER(SEARCH("פ",J37&amp;"")),AX12&gt;0,COUNTIF(AG12:AL12,-1)=0)</f>
      </c>
      <c r="AZ12">
        <f>IF(X12=0,0,IF(AY12,MIN(AX12,72),1))</f>
      </c>
      <c r="BA12">
        <f>SUM($AZ$1:AZ12)</f>
      </c>
      <c r="BB12">
        <f>COUNTIF($BA$1:$BA$72,"&lt;"&amp;12)+1</f>
      </c>
      <c r="BC12">
        <f>IF(BB12&gt;72,0,12-IF(BB12=1,0,INDEX($BA$1:$BA$72,BB12-1)))</f>
      </c>
      <c r="BD12">
        <f>IF(12&gt;$BA$72,0,IF(INDEX($AY$1:$AY$72,BB12),INDEX($AG$1:$AL$72,BB12,(COUNTIF(INDEX($AS$1:$AX$72,BB12,0),"&lt;"&amp;BC12)+1))+BC12-1-IF((COUNTIF(INDEX($AS$1:$AX$72,BB12,0),"&lt;"&amp;BC12)+1)=1,0,INDEX($AS$1:$AX$72,BB12,(COUNTIF(INDEX($AS$1:$AX$72,BB12,0),"&lt;"&amp;BC12)+1)-1)),INDEX($X$1:$X$72,BB12)))</f>
      </c>
      <c r="BE12">
        <f>" "&amp;TRIM(SUBSTITUTE(SUBSTITUTE(SUBSTITUTE(SUBSTITUTE(SUBSTITUTE(B37&amp;"","ו",""),"י",""),"ן","נ"),"-"," "),","," "))</f>
      </c>
      <c r="BF12">
        <f>IF(OR(ISNUMBER(SEARCH(" ארנ",BE12)),ISNUMBER(SEARCH(" הארנ",BE12)),ISNUMBER(SEARCH(" אארנ",BE12)),ISNUMBER(SEARCH(" אנרנ",BE12)),ISNUMBER(SEARCH(" האנרנ",BE12))),1,0)</f>
      </c>
      <c r="BG12">
        <f>IF(AND(BF12=1,ISNUMBER(BI12)),BI12,0)</f>
      </c>
      <c r="BH12">
        <f>IF(AND(BF12=1,NOT(ISNUMBER(BI12))),1,0)</f>
      </c>
      <c r="BI12">
        <f>IF(ISNUMBER(J37),J37,IFERROR(--TRIM(SUBSTITUTE(SUBSTITUTE(J37&amp;"","פצל",""),"פ","")),""))</f>
      </c>
    </row>
    <row r="13" ht="30.75" customHeight="1" x14ac:dyDescent="0.2">
      <c r="A13" s="16"/>
      <c r="B13" s="16"/>
      <c r="C13" s="16"/>
      <c r="D13" s="17"/>
      <c r="E13" s="17"/>
      <c r="F13" s="17"/>
      <c r="G13" s="17"/>
      <c r="H13" s="16"/>
      <c r="I13" s="16"/>
      <c r="J13" s="16"/>
      <c r="K13" s="11" t="str">
        <f t="shared" ref="K13:V14" si="4">K12</f>
      </c>
      <c r="L13" s="11" t="str">
        <f t="shared" si="4"/>
      </c>
      <c r="M13" s="11" t="str">
        <f t="shared" si="4"/>
      </c>
      <c r="N13" s="11" t="str">
        <f t="shared" si="4"/>
      </c>
      <c r="O13" s="11" t="str">
        <f t="shared" si="4"/>
      </c>
      <c r="P13" s="11" t="str">
        <f t="shared" si="4"/>
      </c>
      <c r="Q13" s="11" t="str">
        <f t="shared" si="4"/>
      </c>
      <c r="R13" s="11" t="str">
        <f t="shared" si="4"/>
      </c>
      <c r="S13" s="11" t="str">
        <f t="shared" si="4"/>
      </c>
      <c r="T13" s="11" t="str">
        <f t="shared" si="4"/>
      </c>
      <c r="U13" s="11" t="str">
        <f t="shared" si="4"/>
      </c>
      <c r="V13" s="11" t="str">
        <f t="shared" si="4"/>
      </c>
      <c r="X13">
        <f>IF(A38&gt;0,A38,B38)</f>
      </c>
      <c r="Z13">
        <f>SUBSTITUTE(SUBSTITUTE(SUBSTITUTE(SUBSTITUTE(A38&amp;"","–","-"),"--","-"),"--","-")," ","")</f>
      </c>
      <c r="AA13">
        <f>TRIM(MID(SUBSTITUTE(Z13,",",REPT(" ",100)),1,100))</f>
      </c>
      <c r="AB13">
        <f>TRIM(MID(SUBSTITUTE(Z13,",",REPT(" ",100)),101,100))</f>
      </c>
      <c r="AC13">
        <f>TRIM(MID(SUBSTITUTE(Z13,",",REPT(" ",100)),201,100))</f>
      </c>
      <c r="AD13">
        <f>TRIM(MID(SUBSTITUTE(Z13,",",REPT(" ",100)),301,100))</f>
      </c>
      <c r="AE13">
        <f>TRIM(MID(SUBSTITUTE(Z13,",",REPT(" ",100)),401,100))</f>
      </c>
      <c r="AF13">
        <f>TRIM(MID(SUBSTITUTE(Z13,",",REPT(" ",100)),501,100))</f>
      </c>
      <c r="AG13">
        <f>IF(AA13="",0,IFERROR(VALUE(LEFT(AA13,FIND("-",AA13&amp;"-")-1)),-1))</f>
      </c>
      <c r="AH13">
        <f>IF(AB13="",0,IFERROR(VALUE(LEFT(AB13,FIND("-",AB13&amp;"-")-1)),-1))</f>
      </c>
      <c r="AI13">
        <f>IF(AC13="",0,IFERROR(VALUE(LEFT(AC13,FIND("-",AC13&amp;"-")-1)),-1))</f>
      </c>
      <c r="AJ13">
        <f>IF(AD13="",0,IFERROR(VALUE(LEFT(AD13,FIND("-",AD13&amp;"-")-1)),-1))</f>
      </c>
      <c r="AK13">
        <f>IF(AE13="",0,IFERROR(VALUE(LEFT(AE13,FIND("-",AE13&amp;"-")-1)),-1))</f>
      </c>
      <c r="AL13">
        <f>IF(AF13="",0,IFERROR(VALUE(LEFT(AF13,FIND("-",AF13&amp;"-")-1)),-1))</f>
      </c>
      <c r="AM13">
        <f>IF(AG13&lt;=0,0,IFERROR(IF(ISNUMBER(FIND("-",AA13)),MAX(1,VALUE(MID(AA13,FIND("-",AA13)+1,99))-AG13+1),1),1))</f>
      </c>
      <c r="AN13">
        <f>IF(AH13&lt;=0,0,IFERROR(IF(ISNUMBER(FIND("-",AB13)),MAX(1,VALUE(MID(AB13,FIND("-",AB13)+1,99))-AH13+1),1),1))</f>
      </c>
      <c r="AO13">
        <f>IF(AI13&lt;=0,0,IFERROR(IF(ISNUMBER(FIND("-",AC13)),MAX(1,VALUE(MID(AC13,FIND("-",AC13)+1,99))-AI13+1),1),1))</f>
      </c>
      <c r="AP13">
        <f>IF(AJ13&lt;=0,0,IFERROR(IF(ISNUMBER(FIND("-",AD13)),MAX(1,VALUE(MID(AD13,FIND("-",AD13)+1,99))-AJ13+1),1),1))</f>
      </c>
      <c r="AQ13">
        <f>IF(AK13&lt;=0,0,IFERROR(IF(ISNUMBER(FIND("-",AE13)),MAX(1,VALUE(MID(AE13,FIND("-",AE13)+1,99))-AK13+1),1),1))</f>
      </c>
      <c r="AR13">
        <f>IF(AL13&lt;=0,0,IFERROR(IF(ISNUMBER(FIND("-",AF13)),MAX(1,VALUE(MID(AF13,FIND("-",AF13)+1,99))-AL13+1),1),1))</f>
      </c>
      <c r="AS13">
        <f>SUM($AM13:AM13)</f>
      </c>
      <c r="AT13">
        <f>SUM($AM13:AN13)</f>
      </c>
      <c r="AU13">
        <f>SUM($AM13:AO13)</f>
      </c>
      <c r="AV13">
        <f>SUM($AM13:AP13)</f>
      </c>
      <c r="AW13">
        <f>SUM($AM13:AQ13)</f>
      </c>
      <c r="AX13">
        <f>SUM($AM13:AR13)</f>
      </c>
      <c r="AY13">
        <f>AND(ISNUMBER(SEARCH("פ",J38&amp;"")),AX13&gt;0,COUNTIF(AG13:AL13,-1)=0)</f>
      </c>
      <c r="AZ13">
        <f>IF(X13=0,0,IF(AY13,MIN(AX13,72),1))</f>
      </c>
      <c r="BA13">
        <f>SUM($AZ$1:AZ13)</f>
      </c>
      <c r="BB13">
        <f>COUNTIF($BA$1:$BA$72,"&lt;"&amp;13)+1</f>
      </c>
      <c r="BC13">
        <f>IF(BB13&gt;72,0,13-IF(BB13=1,0,INDEX($BA$1:$BA$72,BB13-1)))</f>
      </c>
      <c r="BD13">
        <f>IF(13&gt;$BA$72,0,IF(INDEX($AY$1:$AY$72,BB13),INDEX($AG$1:$AL$72,BB13,(COUNTIF(INDEX($AS$1:$AX$72,BB13,0),"&lt;"&amp;BC13)+1))+BC13-1-IF((COUNTIF(INDEX($AS$1:$AX$72,BB13,0),"&lt;"&amp;BC13)+1)=1,0,INDEX($AS$1:$AX$72,BB13,(COUNTIF(INDEX($AS$1:$AX$72,BB13,0),"&lt;"&amp;BC13)+1)-1)),INDEX($X$1:$X$72,BB13)))</f>
      </c>
      <c r="BE13">
        <f>" "&amp;TRIM(SUBSTITUTE(SUBSTITUTE(SUBSTITUTE(SUBSTITUTE(SUBSTITUTE(B38&amp;"","ו",""),"י",""),"ן","נ"),"-"," "),","," "))</f>
      </c>
      <c r="BF13">
        <f>IF(OR(ISNUMBER(SEARCH(" ארנ",BE13)),ISNUMBER(SEARCH(" הארנ",BE13)),ISNUMBER(SEARCH(" אארנ",BE13)),ISNUMBER(SEARCH(" אנרנ",BE13)),ISNUMBER(SEARCH(" האנרנ",BE13))),1,0)</f>
      </c>
      <c r="BG13">
        <f>IF(AND(BF13=1,ISNUMBER(BI13)),BI13,0)</f>
      </c>
      <c r="BH13">
        <f>IF(AND(BF13=1,NOT(ISNUMBER(BI13))),1,0)</f>
      </c>
      <c r="BI13">
        <f>IF(ISNUMBER(J38),J38,IFERROR(--TRIM(SUBSTITUTE(SUBSTITUTE(J38&amp;"","פצל",""),"פ","")),""))</f>
      </c>
    </row>
    <row r="14" x14ac:dyDescent="0.2">
      <c r="A14" t="s">
        <v>12</v>
      </c>
      <c r="B14" s="4" t="str">
        <f ca="1">F2</f>
        <v/>
      </c>
      <c r="C14" t="s">
        <v>13</v>
      </c>
      <c r="K14" s="22" t="str">
        <f t="shared" ref="K14" si="5">K13</f>
      </c>
      <c r="L14" s="22" t="str">
        <f t="shared" si="4"/>
      </c>
      <c r="M14" s="22" t="str">
        <f t="shared" si="4"/>
      </c>
      <c r="N14" s="22" t="str">
        <f t="shared" si="4"/>
      </c>
      <c r="O14" s="22" t="str">
        <f t="shared" si="4"/>
      </c>
      <c r="P14" s="22" t="str">
        <f t="shared" si="4"/>
      </c>
      <c r="Q14" s="22" t="str">
        <f t="shared" si="4"/>
      </c>
      <c r="R14" s="22" t="str">
        <f t="shared" si="4"/>
      </c>
      <c r="S14" s="22" t="str">
        <f t="shared" si="4"/>
      </c>
      <c r="T14" s="22" t="str">
        <f t="shared" si="4"/>
      </c>
      <c r="U14" s="22" t="str">
        <f t="shared" si="4"/>
      </c>
      <c r="V14" s="22" t="str">
        <f t="shared" si="4"/>
      </c>
      <c r="X14">
        <f>IF(A39&gt;0,A39,B39)</f>
      </c>
      <c r="Z14">
        <f>SUBSTITUTE(SUBSTITUTE(SUBSTITUTE(SUBSTITUTE(A39&amp;"","–","-"),"--","-"),"--","-")," ","")</f>
      </c>
      <c r="AA14">
        <f>TRIM(MID(SUBSTITUTE(Z14,",",REPT(" ",100)),1,100))</f>
      </c>
      <c r="AB14">
        <f>TRIM(MID(SUBSTITUTE(Z14,",",REPT(" ",100)),101,100))</f>
      </c>
      <c r="AC14">
        <f>TRIM(MID(SUBSTITUTE(Z14,",",REPT(" ",100)),201,100))</f>
      </c>
      <c r="AD14">
        <f>TRIM(MID(SUBSTITUTE(Z14,",",REPT(" ",100)),301,100))</f>
      </c>
      <c r="AE14">
        <f>TRIM(MID(SUBSTITUTE(Z14,",",REPT(" ",100)),401,100))</f>
      </c>
      <c r="AF14">
        <f>TRIM(MID(SUBSTITUTE(Z14,",",REPT(" ",100)),501,100))</f>
      </c>
      <c r="AG14">
        <f>IF(AA14="",0,IFERROR(VALUE(LEFT(AA14,FIND("-",AA14&amp;"-")-1)),-1))</f>
      </c>
      <c r="AH14">
        <f>IF(AB14="",0,IFERROR(VALUE(LEFT(AB14,FIND("-",AB14&amp;"-")-1)),-1))</f>
      </c>
      <c r="AI14">
        <f>IF(AC14="",0,IFERROR(VALUE(LEFT(AC14,FIND("-",AC14&amp;"-")-1)),-1))</f>
      </c>
      <c r="AJ14">
        <f>IF(AD14="",0,IFERROR(VALUE(LEFT(AD14,FIND("-",AD14&amp;"-")-1)),-1))</f>
      </c>
      <c r="AK14">
        <f>IF(AE14="",0,IFERROR(VALUE(LEFT(AE14,FIND("-",AE14&amp;"-")-1)),-1))</f>
      </c>
      <c r="AL14">
        <f>IF(AF14="",0,IFERROR(VALUE(LEFT(AF14,FIND("-",AF14&amp;"-")-1)),-1))</f>
      </c>
      <c r="AM14">
        <f>IF(AG14&lt;=0,0,IFERROR(IF(ISNUMBER(FIND("-",AA14)),MAX(1,VALUE(MID(AA14,FIND("-",AA14)+1,99))-AG14+1),1),1))</f>
      </c>
      <c r="AN14">
        <f>IF(AH14&lt;=0,0,IFERROR(IF(ISNUMBER(FIND("-",AB14)),MAX(1,VALUE(MID(AB14,FIND("-",AB14)+1,99))-AH14+1),1),1))</f>
      </c>
      <c r="AO14">
        <f>IF(AI14&lt;=0,0,IFERROR(IF(ISNUMBER(FIND("-",AC14)),MAX(1,VALUE(MID(AC14,FIND("-",AC14)+1,99))-AI14+1),1),1))</f>
      </c>
      <c r="AP14">
        <f>IF(AJ14&lt;=0,0,IFERROR(IF(ISNUMBER(FIND("-",AD14)),MAX(1,VALUE(MID(AD14,FIND("-",AD14)+1,99))-AJ14+1),1),1))</f>
      </c>
      <c r="AQ14">
        <f>IF(AK14&lt;=0,0,IFERROR(IF(ISNUMBER(FIND("-",AE14)),MAX(1,VALUE(MID(AE14,FIND("-",AE14)+1,99))-AK14+1),1),1))</f>
      </c>
      <c r="AR14">
        <f>IF(AL14&lt;=0,0,IFERROR(IF(ISNUMBER(FIND("-",AF14)),MAX(1,VALUE(MID(AF14,FIND("-",AF14)+1,99))-AL14+1),1),1))</f>
      </c>
      <c r="AS14">
        <f>SUM($AM14:AM14)</f>
      </c>
      <c r="AT14">
        <f>SUM($AM14:AN14)</f>
      </c>
      <c r="AU14">
        <f>SUM($AM14:AO14)</f>
      </c>
      <c r="AV14">
        <f>SUM($AM14:AP14)</f>
      </c>
      <c r="AW14">
        <f>SUM($AM14:AQ14)</f>
      </c>
      <c r="AX14">
        <f>SUM($AM14:AR14)</f>
      </c>
      <c r="AY14">
        <f>AND(ISNUMBER(SEARCH("פ",J39&amp;"")),AX14&gt;0,COUNTIF(AG14:AL14,-1)=0)</f>
      </c>
      <c r="AZ14">
        <f>IF(X14=0,0,IF(AY14,MIN(AX14,72),1))</f>
      </c>
      <c r="BA14">
        <f>SUM($AZ$1:AZ14)</f>
      </c>
      <c r="BB14">
        <f>COUNTIF($BA$1:$BA$72,"&lt;"&amp;14)+1</f>
      </c>
      <c r="BC14">
        <f>IF(BB14&gt;72,0,14-IF(BB14=1,0,INDEX($BA$1:$BA$72,BB14-1)))</f>
      </c>
      <c r="BD14">
        <f>IF(14&gt;$BA$72,0,IF(INDEX($AY$1:$AY$72,BB14),INDEX($AG$1:$AL$72,BB14,(COUNTIF(INDEX($AS$1:$AX$72,BB14,0),"&lt;"&amp;BC14)+1))+BC14-1-IF((COUNTIF(INDEX($AS$1:$AX$72,BB14,0),"&lt;"&amp;BC14)+1)=1,0,INDEX($AS$1:$AX$72,BB14,(COUNTIF(INDEX($AS$1:$AX$72,BB14,0),"&lt;"&amp;BC14)+1)-1)),INDEX($X$1:$X$72,BB14)))</f>
      </c>
      <c r="BE14">
        <f>" "&amp;TRIM(SUBSTITUTE(SUBSTITUTE(SUBSTITUTE(SUBSTITUTE(SUBSTITUTE(B39&amp;"","ו",""),"י",""),"ן","נ"),"-"," "),","," "))</f>
      </c>
      <c r="BF14">
        <f>IF(OR(ISNUMBER(SEARCH(" ארנ",BE14)),ISNUMBER(SEARCH(" הארנ",BE14)),ISNUMBER(SEARCH(" אארנ",BE14)),ISNUMBER(SEARCH(" אנרנ",BE14)),ISNUMBER(SEARCH(" האנרנ",BE14))),1,0)</f>
      </c>
      <c r="BG14">
        <f>IF(AND(BF14=1,ISNUMBER(BI14)),BI14,0)</f>
      </c>
      <c r="BH14">
        <f>IF(AND(BF14=1,NOT(ISNUMBER(BI14))),1,0)</f>
      </c>
      <c r="BI14">
        <f>IF(ISNUMBER(J39),J39,IFERROR(--TRIM(SUBSTITUTE(SUBSTITUTE(J39&amp;"","פצל",""),"פ","")),""))</f>
      </c>
    </row>
    <row r="15" x14ac:dyDescent="0.2">
      <c r="E15" s="2" t="s">
        <v>2</v>
      </c>
      <c r="K15" s="22"/>
      <c r="L15" s="22"/>
      <c r="M15" s="22"/>
      <c r="N15" s="22"/>
      <c r="O15" s="22"/>
      <c r="P15" s="22"/>
      <c r="Q15" s="22"/>
      <c r="R15" s="22"/>
      <c r="S15" s="22"/>
      <c r="T15" s="22"/>
      <c r="U15" s="22"/>
      <c r="V15" s="22"/>
      <c r="X15">
        <f>IF(A40&gt;0,A40,B40)</f>
      </c>
      <c r="Z15">
        <f>SUBSTITUTE(SUBSTITUTE(SUBSTITUTE(SUBSTITUTE(A40&amp;"","–","-"),"--","-"),"--","-")," ","")</f>
      </c>
      <c r="AA15">
        <f>TRIM(MID(SUBSTITUTE(Z15,",",REPT(" ",100)),1,100))</f>
      </c>
      <c r="AB15">
        <f>TRIM(MID(SUBSTITUTE(Z15,",",REPT(" ",100)),101,100))</f>
      </c>
      <c r="AC15">
        <f>TRIM(MID(SUBSTITUTE(Z15,",",REPT(" ",100)),201,100))</f>
      </c>
      <c r="AD15">
        <f>TRIM(MID(SUBSTITUTE(Z15,",",REPT(" ",100)),301,100))</f>
      </c>
      <c r="AE15">
        <f>TRIM(MID(SUBSTITUTE(Z15,",",REPT(" ",100)),401,100))</f>
      </c>
      <c r="AF15">
        <f>TRIM(MID(SUBSTITUTE(Z15,",",REPT(" ",100)),501,100))</f>
      </c>
      <c r="AG15">
        <f>IF(AA15="",0,IFERROR(VALUE(LEFT(AA15,FIND("-",AA15&amp;"-")-1)),-1))</f>
      </c>
      <c r="AH15">
        <f>IF(AB15="",0,IFERROR(VALUE(LEFT(AB15,FIND("-",AB15&amp;"-")-1)),-1))</f>
      </c>
      <c r="AI15">
        <f>IF(AC15="",0,IFERROR(VALUE(LEFT(AC15,FIND("-",AC15&amp;"-")-1)),-1))</f>
      </c>
      <c r="AJ15">
        <f>IF(AD15="",0,IFERROR(VALUE(LEFT(AD15,FIND("-",AD15&amp;"-")-1)),-1))</f>
      </c>
      <c r="AK15">
        <f>IF(AE15="",0,IFERROR(VALUE(LEFT(AE15,FIND("-",AE15&amp;"-")-1)),-1))</f>
      </c>
      <c r="AL15">
        <f>IF(AF15="",0,IFERROR(VALUE(LEFT(AF15,FIND("-",AF15&amp;"-")-1)),-1))</f>
      </c>
      <c r="AM15">
        <f>IF(AG15&lt;=0,0,IFERROR(IF(ISNUMBER(FIND("-",AA15)),MAX(1,VALUE(MID(AA15,FIND("-",AA15)+1,99))-AG15+1),1),1))</f>
      </c>
      <c r="AN15">
        <f>IF(AH15&lt;=0,0,IFERROR(IF(ISNUMBER(FIND("-",AB15)),MAX(1,VALUE(MID(AB15,FIND("-",AB15)+1,99))-AH15+1),1),1))</f>
      </c>
      <c r="AO15">
        <f>IF(AI15&lt;=0,0,IFERROR(IF(ISNUMBER(FIND("-",AC15)),MAX(1,VALUE(MID(AC15,FIND("-",AC15)+1,99))-AI15+1),1),1))</f>
      </c>
      <c r="AP15">
        <f>IF(AJ15&lt;=0,0,IFERROR(IF(ISNUMBER(FIND("-",AD15)),MAX(1,VALUE(MID(AD15,FIND("-",AD15)+1,99))-AJ15+1),1),1))</f>
      </c>
      <c r="AQ15">
        <f>IF(AK15&lt;=0,0,IFERROR(IF(ISNUMBER(FIND("-",AE15)),MAX(1,VALUE(MID(AE15,FIND("-",AE15)+1,99))-AK15+1),1),1))</f>
      </c>
      <c r="AR15">
        <f>IF(AL15&lt;=0,0,IFERROR(IF(ISNUMBER(FIND("-",AF15)),MAX(1,VALUE(MID(AF15,FIND("-",AF15)+1,99))-AL15+1),1),1))</f>
      </c>
      <c r="AS15">
        <f>SUM($AM15:AM15)</f>
      </c>
      <c r="AT15">
        <f>SUM($AM15:AN15)</f>
      </c>
      <c r="AU15">
        <f>SUM($AM15:AO15)</f>
      </c>
      <c r="AV15">
        <f>SUM($AM15:AP15)</f>
      </c>
      <c r="AW15">
        <f>SUM($AM15:AQ15)</f>
      </c>
      <c r="AX15">
        <f>SUM($AM15:AR15)</f>
      </c>
      <c r="AY15">
        <f>AND(ISNUMBER(SEARCH("פ",J40&amp;"")),AX15&gt;0,COUNTIF(AG15:AL15,-1)=0)</f>
      </c>
      <c r="AZ15">
        <f>IF(X15=0,0,IF(AY15,MIN(AX15,72),1))</f>
      </c>
      <c r="BA15">
        <f>SUM($AZ$1:AZ15)</f>
      </c>
      <c r="BB15">
        <f>COUNTIF($BA$1:$BA$72,"&lt;"&amp;15)+1</f>
      </c>
      <c r="BC15">
        <f>IF(BB15&gt;72,0,15-IF(BB15=1,0,INDEX($BA$1:$BA$72,BB15-1)))</f>
      </c>
      <c r="BD15">
        <f>IF(15&gt;$BA$72,0,IF(INDEX($AY$1:$AY$72,BB15),INDEX($AG$1:$AL$72,BB15,(COUNTIF(INDEX($AS$1:$AX$72,BB15,0),"&lt;"&amp;BC15)+1))+BC15-1-IF((COUNTIF(INDEX($AS$1:$AX$72,BB15,0),"&lt;"&amp;BC15)+1)=1,0,INDEX($AS$1:$AX$72,BB15,(COUNTIF(INDEX($AS$1:$AX$72,BB15,0),"&lt;"&amp;BC15)+1)-1)),INDEX($X$1:$X$72,BB15)))</f>
      </c>
      <c r="BE15">
        <f>" "&amp;TRIM(SUBSTITUTE(SUBSTITUTE(SUBSTITUTE(SUBSTITUTE(SUBSTITUTE(B40&amp;"","ו",""),"י",""),"ן","נ"),"-"," "),","," "))</f>
      </c>
      <c r="BF15">
        <f>IF(OR(ISNUMBER(SEARCH(" ארנ",BE15)),ISNUMBER(SEARCH(" הארנ",BE15)),ISNUMBER(SEARCH(" אארנ",BE15)),ISNUMBER(SEARCH(" אנרנ",BE15)),ISNUMBER(SEARCH(" האנרנ",BE15))),1,0)</f>
      </c>
      <c r="BG15">
        <f>IF(AND(BF15=1,ISNUMBER(BI15)),BI15,0)</f>
      </c>
      <c r="BH15">
        <f>IF(AND(BF15=1,NOT(ISNUMBER(BI15))),1,0)</f>
      </c>
      <c r="BI15">
        <f>IF(ISNUMBER(J40),J40,IFERROR(--TRIM(SUBSTITUTE(SUBSTITUTE(J40&amp;"","פצל",""),"פ","")),""))</f>
      </c>
    </row>
    <row r="16" ht="15.75" x14ac:dyDescent="0.2">
      <c r="E16" s="1" t="s">
        <v>3</v>
      </c>
      <c r="K16" s="22"/>
      <c r="L16" s="22"/>
      <c r="M16" s="22"/>
      <c r="N16" s="22"/>
      <c r="O16" s="22"/>
      <c r="P16" s="22"/>
      <c r="Q16" s="22"/>
      <c r="R16" s="22"/>
      <c r="S16" s="22"/>
      <c r="T16" s="22"/>
      <c r="U16" s="22"/>
      <c r="V16" s="22"/>
      <c r="X16">
        <f>IF(A41&gt;0,A41,B41)</f>
      </c>
      <c r="Z16">
        <f>SUBSTITUTE(SUBSTITUTE(SUBSTITUTE(SUBSTITUTE(A41&amp;"","–","-"),"--","-"),"--","-")," ","")</f>
      </c>
      <c r="AA16">
        <f>TRIM(MID(SUBSTITUTE(Z16,",",REPT(" ",100)),1,100))</f>
      </c>
      <c r="AB16">
        <f>TRIM(MID(SUBSTITUTE(Z16,",",REPT(" ",100)),101,100))</f>
      </c>
      <c r="AC16">
        <f>TRIM(MID(SUBSTITUTE(Z16,",",REPT(" ",100)),201,100))</f>
      </c>
      <c r="AD16">
        <f>TRIM(MID(SUBSTITUTE(Z16,",",REPT(" ",100)),301,100))</f>
      </c>
      <c r="AE16">
        <f>TRIM(MID(SUBSTITUTE(Z16,",",REPT(" ",100)),401,100))</f>
      </c>
      <c r="AF16">
        <f>TRIM(MID(SUBSTITUTE(Z16,",",REPT(" ",100)),501,100))</f>
      </c>
      <c r="AG16">
        <f>IF(AA16="",0,IFERROR(VALUE(LEFT(AA16,FIND("-",AA16&amp;"-")-1)),-1))</f>
      </c>
      <c r="AH16">
        <f>IF(AB16="",0,IFERROR(VALUE(LEFT(AB16,FIND("-",AB16&amp;"-")-1)),-1))</f>
      </c>
      <c r="AI16">
        <f>IF(AC16="",0,IFERROR(VALUE(LEFT(AC16,FIND("-",AC16&amp;"-")-1)),-1))</f>
      </c>
      <c r="AJ16">
        <f>IF(AD16="",0,IFERROR(VALUE(LEFT(AD16,FIND("-",AD16&amp;"-")-1)),-1))</f>
      </c>
      <c r="AK16">
        <f>IF(AE16="",0,IFERROR(VALUE(LEFT(AE16,FIND("-",AE16&amp;"-")-1)),-1))</f>
      </c>
      <c r="AL16">
        <f>IF(AF16="",0,IFERROR(VALUE(LEFT(AF16,FIND("-",AF16&amp;"-")-1)),-1))</f>
      </c>
      <c r="AM16">
        <f>IF(AG16&lt;=0,0,IFERROR(IF(ISNUMBER(FIND("-",AA16)),MAX(1,VALUE(MID(AA16,FIND("-",AA16)+1,99))-AG16+1),1),1))</f>
      </c>
      <c r="AN16">
        <f>IF(AH16&lt;=0,0,IFERROR(IF(ISNUMBER(FIND("-",AB16)),MAX(1,VALUE(MID(AB16,FIND("-",AB16)+1,99))-AH16+1),1),1))</f>
      </c>
      <c r="AO16">
        <f>IF(AI16&lt;=0,0,IFERROR(IF(ISNUMBER(FIND("-",AC16)),MAX(1,VALUE(MID(AC16,FIND("-",AC16)+1,99))-AI16+1),1),1))</f>
      </c>
      <c r="AP16">
        <f>IF(AJ16&lt;=0,0,IFERROR(IF(ISNUMBER(FIND("-",AD16)),MAX(1,VALUE(MID(AD16,FIND("-",AD16)+1,99))-AJ16+1),1),1))</f>
      </c>
      <c r="AQ16">
        <f>IF(AK16&lt;=0,0,IFERROR(IF(ISNUMBER(FIND("-",AE16)),MAX(1,VALUE(MID(AE16,FIND("-",AE16)+1,99))-AK16+1),1),1))</f>
      </c>
      <c r="AR16">
        <f>IF(AL16&lt;=0,0,IFERROR(IF(ISNUMBER(FIND("-",AF16)),MAX(1,VALUE(MID(AF16,FIND("-",AF16)+1,99))-AL16+1),1),1))</f>
      </c>
      <c r="AS16">
        <f>SUM($AM16:AM16)</f>
      </c>
      <c r="AT16">
        <f>SUM($AM16:AN16)</f>
      </c>
      <c r="AU16">
        <f>SUM($AM16:AO16)</f>
      </c>
      <c r="AV16">
        <f>SUM($AM16:AP16)</f>
      </c>
      <c r="AW16">
        <f>SUM($AM16:AQ16)</f>
      </c>
      <c r="AX16">
        <f>SUM($AM16:AR16)</f>
      </c>
      <c r="AY16">
        <f>AND(ISNUMBER(SEARCH("פ",J41&amp;"")),AX16&gt;0,COUNTIF(AG16:AL16,-1)=0)</f>
      </c>
      <c r="AZ16">
        <f>IF(X16=0,0,IF(AY16,MIN(AX16,72),1))</f>
      </c>
      <c r="BA16">
        <f>SUM($AZ$1:AZ16)</f>
      </c>
      <c r="BB16">
        <f>COUNTIF($BA$1:$BA$72,"&lt;"&amp;16)+1</f>
      </c>
      <c r="BC16">
        <f>IF(BB16&gt;72,0,16-IF(BB16=1,0,INDEX($BA$1:$BA$72,BB16-1)))</f>
      </c>
      <c r="BD16">
        <f>IF(16&gt;$BA$72,0,IF(INDEX($AY$1:$AY$72,BB16),INDEX($AG$1:$AL$72,BB16,(COUNTIF(INDEX($AS$1:$AX$72,BB16,0),"&lt;"&amp;BC16)+1))+BC16-1-IF((COUNTIF(INDEX($AS$1:$AX$72,BB16,0),"&lt;"&amp;BC16)+1)=1,0,INDEX($AS$1:$AX$72,BB16,(COUNTIF(INDEX($AS$1:$AX$72,BB16,0),"&lt;"&amp;BC16)+1)-1)),INDEX($X$1:$X$72,BB16)))</f>
      </c>
      <c r="BE16">
        <f>" "&amp;TRIM(SUBSTITUTE(SUBSTITUTE(SUBSTITUTE(SUBSTITUTE(SUBSTITUTE(B41&amp;"","ו",""),"י",""),"ן","נ"),"-"," "),","," "))</f>
      </c>
      <c r="BF16">
        <f>IF(OR(ISNUMBER(SEARCH(" ארנ",BE16)),ISNUMBER(SEARCH(" הארנ",BE16)),ISNUMBER(SEARCH(" אארנ",BE16)),ISNUMBER(SEARCH(" אנרנ",BE16)),ISNUMBER(SEARCH(" האנרנ",BE16))),1,0)</f>
      </c>
      <c r="BG16">
        <f>IF(AND(BF16=1,ISNUMBER(BI16)),BI16,0)</f>
      </c>
      <c r="BH16">
        <f>IF(AND(BF16=1,NOT(ISNUMBER(BI16))),1,0)</f>
      </c>
      <c r="BI16">
        <f>IF(ISNUMBER(J41),J41,IFERROR(--TRIM(SUBSTITUTE(SUBSTITUTE(J41&amp;"","פצל",""),"פ","")),""))</f>
      </c>
    </row>
    <row r="17" ht="15.75" x14ac:dyDescent="0.2">
      <c r="E17" s="1" t="s">
        <v>4</v>
      </c>
      <c r="K17" s="22"/>
      <c r="L17" s="22"/>
      <c r="M17" s="22"/>
      <c r="N17" s="22"/>
      <c r="O17" s="22"/>
      <c r="P17" s="22"/>
      <c r="Q17" s="22"/>
      <c r="R17" s="22"/>
      <c r="S17" s="22"/>
      <c r="T17" s="22"/>
      <c r="U17" s="22"/>
      <c r="V17" s="22"/>
      <c r="X17">
        <f>IF(A42&gt;0,A42,B42)</f>
      </c>
      <c r="Z17">
        <f>SUBSTITUTE(SUBSTITUTE(SUBSTITUTE(SUBSTITUTE(A42&amp;"","–","-"),"--","-"),"--","-")," ","")</f>
      </c>
      <c r="AA17">
        <f>TRIM(MID(SUBSTITUTE(Z17,",",REPT(" ",100)),1,100))</f>
      </c>
      <c r="AB17">
        <f>TRIM(MID(SUBSTITUTE(Z17,",",REPT(" ",100)),101,100))</f>
      </c>
      <c r="AC17">
        <f>TRIM(MID(SUBSTITUTE(Z17,",",REPT(" ",100)),201,100))</f>
      </c>
      <c r="AD17">
        <f>TRIM(MID(SUBSTITUTE(Z17,",",REPT(" ",100)),301,100))</f>
      </c>
      <c r="AE17">
        <f>TRIM(MID(SUBSTITUTE(Z17,",",REPT(" ",100)),401,100))</f>
      </c>
      <c r="AF17">
        <f>TRIM(MID(SUBSTITUTE(Z17,",",REPT(" ",100)),501,100))</f>
      </c>
      <c r="AG17">
        <f>IF(AA17="",0,IFERROR(VALUE(LEFT(AA17,FIND("-",AA17&amp;"-")-1)),-1))</f>
      </c>
      <c r="AH17">
        <f>IF(AB17="",0,IFERROR(VALUE(LEFT(AB17,FIND("-",AB17&amp;"-")-1)),-1))</f>
      </c>
      <c r="AI17">
        <f>IF(AC17="",0,IFERROR(VALUE(LEFT(AC17,FIND("-",AC17&amp;"-")-1)),-1))</f>
      </c>
      <c r="AJ17">
        <f>IF(AD17="",0,IFERROR(VALUE(LEFT(AD17,FIND("-",AD17&amp;"-")-1)),-1))</f>
      </c>
      <c r="AK17">
        <f>IF(AE17="",0,IFERROR(VALUE(LEFT(AE17,FIND("-",AE17&amp;"-")-1)),-1))</f>
      </c>
      <c r="AL17">
        <f>IF(AF17="",0,IFERROR(VALUE(LEFT(AF17,FIND("-",AF17&amp;"-")-1)),-1))</f>
      </c>
      <c r="AM17">
        <f>IF(AG17&lt;=0,0,IFERROR(IF(ISNUMBER(FIND("-",AA17)),MAX(1,VALUE(MID(AA17,FIND("-",AA17)+1,99))-AG17+1),1),1))</f>
      </c>
      <c r="AN17">
        <f>IF(AH17&lt;=0,0,IFERROR(IF(ISNUMBER(FIND("-",AB17)),MAX(1,VALUE(MID(AB17,FIND("-",AB17)+1,99))-AH17+1),1),1))</f>
      </c>
      <c r="AO17">
        <f>IF(AI17&lt;=0,0,IFERROR(IF(ISNUMBER(FIND("-",AC17)),MAX(1,VALUE(MID(AC17,FIND("-",AC17)+1,99))-AI17+1),1),1))</f>
      </c>
      <c r="AP17">
        <f>IF(AJ17&lt;=0,0,IFERROR(IF(ISNUMBER(FIND("-",AD17)),MAX(1,VALUE(MID(AD17,FIND("-",AD17)+1,99))-AJ17+1),1),1))</f>
      </c>
      <c r="AQ17">
        <f>IF(AK17&lt;=0,0,IFERROR(IF(ISNUMBER(FIND("-",AE17)),MAX(1,VALUE(MID(AE17,FIND("-",AE17)+1,99))-AK17+1),1),1))</f>
      </c>
      <c r="AR17">
        <f>IF(AL17&lt;=0,0,IFERROR(IF(ISNUMBER(FIND("-",AF17)),MAX(1,VALUE(MID(AF17,FIND("-",AF17)+1,99))-AL17+1),1),1))</f>
      </c>
      <c r="AS17">
        <f>SUM($AM17:AM17)</f>
      </c>
      <c r="AT17">
        <f>SUM($AM17:AN17)</f>
      </c>
      <c r="AU17">
        <f>SUM($AM17:AO17)</f>
      </c>
      <c r="AV17">
        <f>SUM($AM17:AP17)</f>
      </c>
      <c r="AW17">
        <f>SUM($AM17:AQ17)</f>
      </c>
      <c r="AX17">
        <f>SUM($AM17:AR17)</f>
      </c>
      <c r="AY17">
        <f>AND(ISNUMBER(SEARCH("פ",J42&amp;"")),AX17&gt;0,COUNTIF(AG17:AL17,-1)=0)</f>
      </c>
      <c r="AZ17">
        <f>IF(X17=0,0,IF(AY17,MIN(AX17,72),1))</f>
      </c>
      <c r="BA17">
        <f>SUM($AZ$1:AZ17)</f>
      </c>
      <c r="BB17">
        <f>COUNTIF($BA$1:$BA$72,"&lt;"&amp;17)+1</f>
      </c>
      <c r="BC17">
        <f>IF(BB17&gt;72,0,17-IF(BB17=1,0,INDEX($BA$1:$BA$72,BB17-1)))</f>
      </c>
      <c r="BD17">
        <f>IF(17&gt;$BA$72,0,IF(INDEX($AY$1:$AY$72,BB17),INDEX($AG$1:$AL$72,BB17,(COUNTIF(INDEX($AS$1:$AX$72,BB17,0),"&lt;"&amp;BC17)+1))+BC17-1-IF((COUNTIF(INDEX($AS$1:$AX$72,BB17,0),"&lt;"&amp;BC17)+1)=1,0,INDEX($AS$1:$AX$72,BB17,(COUNTIF(INDEX($AS$1:$AX$72,BB17,0),"&lt;"&amp;BC17)+1)-1)),INDEX($X$1:$X$72,BB17)))</f>
      </c>
      <c r="BE17">
        <f>" "&amp;TRIM(SUBSTITUTE(SUBSTITUTE(SUBSTITUTE(SUBSTITUTE(SUBSTITUTE(B42&amp;"","ו",""),"י",""),"ן","נ"),"-"," "),","," "))</f>
      </c>
      <c r="BF17">
        <f>IF(OR(ISNUMBER(SEARCH(" ארנ",BE17)),ISNUMBER(SEARCH(" הארנ",BE17)),ISNUMBER(SEARCH(" אארנ",BE17)),ISNUMBER(SEARCH(" אנרנ",BE17)),ISNUMBER(SEARCH(" האנרנ",BE17))),1,0)</f>
      </c>
      <c r="BG17">
        <f>IF(AND(BF17=1,ISNUMBER(BI17)),BI17,0)</f>
      </c>
      <c r="BH17">
        <f>IF(AND(BF17=1,NOT(ISNUMBER(BI17))),1,0)</f>
      </c>
      <c r="BI17">
        <f>IF(ISNUMBER(J42),J42,IFERROR(--TRIM(SUBSTITUTE(SUBSTITUTE(J42&amp;"","פצל",""),"פ","")),""))</f>
      </c>
    </row>
    <row r="18" x14ac:dyDescent="0.2">
      <c r="E18" s="2" t="s">
        <v>5</v>
      </c>
      <c r="K18" s="22"/>
      <c r="L18" s="22"/>
      <c r="M18" s="22"/>
      <c r="N18" s="22"/>
      <c r="O18" s="22"/>
      <c r="P18" s="22"/>
      <c r="Q18" s="22"/>
      <c r="R18" s="22"/>
      <c r="S18" s="22"/>
      <c r="T18" s="22"/>
      <c r="U18" s="22"/>
      <c r="V18" s="22"/>
      <c r="X18">
        <f>IF(A43&gt;0,A43,B43)</f>
      </c>
      <c r="Z18">
        <f>SUBSTITUTE(SUBSTITUTE(SUBSTITUTE(SUBSTITUTE(A43&amp;"","–","-"),"--","-"),"--","-")," ","")</f>
      </c>
      <c r="AA18">
        <f>TRIM(MID(SUBSTITUTE(Z18,",",REPT(" ",100)),1,100))</f>
      </c>
      <c r="AB18">
        <f>TRIM(MID(SUBSTITUTE(Z18,",",REPT(" ",100)),101,100))</f>
      </c>
      <c r="AC18">
        <f>TRIM(MID(SUBSTITUTE(Z18,",",REPT(" ",100)),201,100))</f>
      </c>
      <c r="AD18">
        <f>TRIM(MID(SUBSTITUTE(Z18,",",REPT(" ",100)),301,100))</f>
      </c>
      <c r="AE18">
        <f>TRIM(MID(SUBSTITUTE(Z18,",",REPT(" ",100)),401,100))</f>
      </c>
      <c r="AF18">
        <f>TRIM(MID(SUBSTITUTE(Z18,",",REPT(" ",100)),501,100))</f>
      </c>
      <c r="AG18">
        <f>IF(AA18="",0,IFERROR(VALUE(LEFT(AA18,FIND("-",AA18&amp;"-")-1)),-1))</f>
      </c>
      <c r="AH18">
        <f>IF(AB18="",0,IFERROR(VALUE(LEFT(AB18,FIND("-",AB18&amp;"-")-1)),-1))</f>
      </c>
      <c r="AI18">
        <f>IF(AC18="",0,IFERROR(VALUE(LEFT(AC18,FIND("-",AC18&amp;"-")-1)),-1))</f>
      </c>
      <c r="AJ18">
        <f>IF(AD18="",0,IFERROR(VALUE(LEFT(AD18,FIND("-",AD18&amp;"-")-1)),-1))</f>
      </c>
      <c r="AK18">
        <f>IF(AE18="",0,IFERROR(VALUE(LEFT(AE18,FIND("-",AE18&amp;"-")-1)),-1))</f>
      </c>
      <c r="AL18">
        <f>IF(AF18="",0,IFERROR(VALUE(LEFT(AF18,FIND("-",AF18&amp;"-")-1)),-1))</f>
      </c>
      <c r="AM18">
        <f>IF(AG18&lt;=0,0,IFERROR(IF(ISNUMBER(FIND("-",AA18)),MAX(1,VALUE(MID(AA18,FIND("-",AA18)+1,99))-AG18+1),1),1))</f>
      </c>
      <c r="AN18">
        <f>IF(AH18&lt;=0,0,IFERROR(IF(ISNUMBER(FIND("-",AB18)),MAX(1,VALUE(MID(AB18,FIND("-",AB18)+1,99))-AH18+1),1),1))</f>
      </c>
      <c r="AO18">
        <f>IF(AI18&lt;=0,0,IFERROR(IF(ISNUMBER(FIND("-",AC18)),MAX(1,VALUE(MID(AC18,FIND("-",AC18)+1,99))-AI18+1),1),1))</f>
      </c>
      <c r="AP18">
        <f>IF(AJ18&lt;=0,0,IFERROR(IF(ISNUMBER(FIND("-",AD18)),MAX(1,VALUE(MID(AD18,FIND("-",AD18)+1,99))-AJ18+1),1),1))</f>
      </c>
      <c r="AQ18">
        <f>IF(AK18&lt;=0,0,IFERROR(IF(ISNUMBER(FIND("-",AE18)),MAX(1,VALUE(MID(AE18,FIND("-",AE18)+1,99))-AK18+1),1),1))</f>
      </c>
      <c r="AR18">
        <f>IF(AL18&lt;=0,0,IFERROR(IF(ISNUMBER(FIND("-",AF18)),MAX(1,VALUE(MID(AF18,FIND("-",AF18)+1,99))-AL18+1),1),1))</f>
      </c>
      <c r="AS18">
        <f>SUM($AM18:AM18)</f>
      </c>
      <c r="AT18">
        <f>SUM($AM18:AN18)</f>
      </c>
      <c r="AU18">
        <f>SUM($AM18:AO18)</f>
      </c>
      <c r="AV18">
        <f>SUM($AM18:AP18)</f>
      </c>
      <c r="AW18">
        <f>SUM($AM18:AQ18)</f>
      </c>
      <c r="AX18">
        <f>SUM($AM18:AR18)</f>
      </c>
      <c r="AY18">
        <f>AND(ISNUMBER(SEARCH("פ",J43&amp;"")),AX18&gt;0,COUNTIF(AG18:AL18,-1)=0)</f>
      </c>
      <c r="AZ18">
        <f>IF(X18=0,0,IF(AY18,MIN(AX18,72),1))</f>
      </c>
      <c r="BA18">
        <f>SUM($AZ$1:AZ18)</f>
      </c>
      <c r="BB18">
        <f>COUNTIF($BA$1:$BA$72,"&lt;"&amp;18)+1</f>
      </c>
      <c r="BC18">
        <f>IF(BB18&gt;72,0,18-IF(BB18=1,0,INDEX($BA$1:$BA$72,BB18-1)))</f>
      </c>
      <c r="BD18">
        <f>IF(18&gt;$BA$72,0,IF(INDEX($AY$1:$AY$72,BB18),INDEX($AG$1:$AL$72,BB18,(COUNTIF(INDEX($AS$1:$AX$72,BB18,0),"&lt;"&amp;BC18)+1))+BC18-1-IF((COUNTIF(INDEX($AS$1:$AX$72,BB18,0),"&lt;"&amp;BC18)+1)=1,0,INDEX($AS$1:$AX$72,BB18,(COUNTIF(INDEX($AS$1:$AX$72,BB18,0),"&lt;"&amp;BC18)+1)-1)),INDEX($X$1:$X$72,BB18)))</f>
      </c>
      <c r="BE18">
        <f>" "&amp;TRIM(SUBSTITUTE(SUBSTITUTE(SUBSTITUTE(SUBSTITUTE(SUBSTITUTE(B43&amp;"","ו",""),"י",""),"ן","נ"),"-"," "),","," "))</f>
      </c>
      <c r="BF18">
        <f>IF(OR(ISNUMBER(SEARCH(" ארנ",BE18)),ISNUMBER(SEARCH(" הארנ",BE18)),ISNUMBER(SEARCH(" אארנ",BE18)),ISNUMBER(SEARCH(" אנרנ",BE18)),ISNUMBER(SEARCH(" האנרנ",BE18))),1,0)</f>
      </c>
      <c r="BG18">
        <f>IF(AND(BF18=1,ISNUMBER(BI18)),BI18,0)</f>
      </c>
      <c r="BH18">
        <f>IF(AND(BF18=1,NOT(ISNUMBER(BI18))),1,0)</f>
      </c>
      <c r="BI18">
        <f>IF(ISNUMBER(J43),J43,IFERROR(--TRIM(SUBSTITUTE(SUBSTITUTE(J43&amp;"","פצל",""),"פ","")),""))</f>
      </c>
    </row>
    <row r="19" x14ac:dyDescent="0.2">
      <c r="E19" s="2" t="s">
        <v>6</v>
      </c>
      <c r="K19" s="22"/>
      <c r="L19" s="22"/>
      <c r="M19" s="22"/>
      <c r="N19" s="22"/>
      <c r="O19" s="22"/>
      <c r="P19" s="22"/>
      <c r="Q19" s="22"/>
      <c r="R19" s="22"/>
      <c r="S19" s="22"/>
      <c r="T19" s="22"/>
      <c r="U19" s="22"/>
      <c r="V19" s="22"/>
      <c r="X19">
        <f>IF(A44&gt;0,A44,B44)</f>
      </c>
      <c r="Z19">
        <f>SUBSTITUTE(SUBSTITUTE(SUBSTITUTE(SUBSTITUTE(A44&amp;"","–","-"),"--","-"),"--","-")," ","")</f>
      </c>
      <c r="AA19">
        <f>TRIM(MID(SUBSTITUTE(Z19,",",REPT(" ",100)),1,100))</f>
      </c>
      <c r="AB19">
        <f>TRIM(MID(SUBSTITUTE(Z19,",",REPT(" ",100)),101,100))</f>
      </c>
      <c r="AC19">
        <f>TRIM(MID(SUBSTITUTE(Z19,",",REPT(" ",100)),201,100))</f>
      </c>
      <c r="AD19">
        <f>TRIM(MID(SUBSTITUTE(Z19,",",REPT(" ",100)),301,100))</f>
      </c>
      <c r="AE19">
        <f>TRIM(MID(SUBSTITUTE(Z19,",",REPT(" ",100)),401,100))</f>
      </c>
      <c r="AF19">
        <f>TRIM(MID(SUBSTITUTE(Z19,",",REPT(" ",100)),501,100))</f>
      </c>
      <c r="AG19">
        <f>IF(AA19="",0,IFERROR(VALUE(LEFT(AA19,FIND("-",AA19&amp;"-")-1)),-1))</f>
      </c>
      <c r="AH19">
        <f>IF(AB19="",0,IFERROR(VALUE(LEFT(AB19,FIND("-",AB19&amp;"-")-1)),-1))</f>
      </c>
      <c r="AI19">
        <f>IF(AC19="",0,IFERROR(VALUE(LEFT(AC19,FIND("-",AC19&amp;"-")-1)),-1))</f>
      </c>
      <c r="AJ19">
        <f>IF(AD19="",0,IFERROR(VALUE(LEFT(AD19,FIND("-",AD19&amp;"-")-1)),-1))</f>
      </c>
      <c r="AK19">
        <f>IF(AE19="",0,IFERROR(VALUE(LEFT(AE19,FIND("-",AE19&amp;"-")-1)),-1))</f>
      </c>
      <c r="AL19">
        <f>IF(AF19="",0,IFERROR(VALUE(LEFT(AF19,FIND("-",AF19&amp;"-")-1)),-1))</f>
      </c>
      <c r="AM19">
        <f>IF(AG19&lt;=0,0,IFERROR(IF(ISNUMBER(FIND("-",AA19)),MAX(1,VALUE(MID(AA19,FIND("-",AA19)+1,99))-AG19+1),1),1))</f>
      </c>
      <c r="AN19">
        <f>IF(AH19&lt;=0,0,IFERROR(IF(ISNUMBER(FIND("-",AB19)),MAX(1,VALUE(MID(AB19,FIND("-",AB19)+1,99))-AH19+1),1),1))</f>
      </c>
      <c r="AO19">
        <f>IF(AI19&lt;=0,0,IFERROR(IF(ISNUMBER(FIND("-",AC19)),MAX(1,VALUE(MID(AC19,FIND("-",AC19)+1,99))-AI19+1),1),1))</f>
      </c>
      <c r="AP19">
        <f>IF(AJ19&lt;=0,0,IFERROR(IF(ISNUMBER(FIND("-",AD19)),MAX(1,VALUE(MID(AD19,FIND("-",AD19)+1,99))-AJ19+1),1),1))</f>
      </c>
      <c r="AQ19">
        <f>IF(AK19&lt;=0,0,IFERROR(IF(ISNUMBER(FIND("-",AE19)),MAX(1,VALUE(MID(AE19,FIND("-",AE19)+1,99))-AK19+1),1),1))</f>
      </c>
      <c r="AR19">
        <f>IF(AL19&lt;=0,0,IFERROR(IF(ISNUMBER(FIND("-",AF19)),MAX(1,VALUE(MID(AF19,FIND("-",AF19)+1,99))-AL19+1),1),1))</f>
      </c>
      <c r="AS19">
        <f>SUM($AM19:AM19)</f>
      </c>
      <c r="AT19">
        <f>SUM($AM19:AN19)</f>
      </c>
      <c r="AU19">
        <f>SUM($AM19:AO19)</f>
      </c>
      <c r="AV19">
        <f>SUM($AM19:AP19)</f>
      </c>
      <c r="AW19">
        <f>SUM($AM19:AQ19)</f>
      </c>
      <c r="AX19">
        <f>SUM($AM19:AR19)</f>
      </c>
      <c r="AY19">
        <f>AND(ISNUMBER(SEARCH("פ",J44&amp;"")),AX19&gt;0,COUNTIF(AG19:AL19,-1)=0)</f>
      </c>
      <c r="AZ19">
        <f>IF(X19=0,0,IF(AY19,MIN(AX19,72),1))</f>
      </c>
      <c r="BA19">
        <f>SUM($AZ$1:AZ19)</f>
      </c>
      <c r="BB19">
        <f>COUNTIF($BA$1:$BA$72,"&lt;"&amp;19)+1</f>
      </c>
      <c r="BC19">
        <f>IF(BB19&gt;72,0,19-IF(BB19=1,0,INDEX($BA$1:$BA$72,BB19-1)))</f>
      </c>
      <c r="BD19">
        <f>IF(19&gt;$BA$72,0,IF(INDEX($AY$1:$AY$72,BB19),INDEX($AG$1:$AL$72,BB19,(COUNTIF(INDEX($AS$1:$AX$72,BB19,0),"&lt;"&amp;BC19)+1))+BC19-1-IF((COUNTIF(INDEX($AS$1:$AX$72,BB19,0),"&lt;"&amp;BC19)+1)=1,0,INDEX($AS$1:$AX$72,BB19,(COUNTIF(INDEX($AS$1:$AX$72,BB19,0),"&lt;"&amp;BC19)+1)-1)),INDEX($X$1:$X$72,BB19)))</f>
      </c>
      <c r="BE19">
        <f>" "&amp;TRIM(SUBSTITUTE(SUBSTITUTE(SUBSTITUTE(SUBSTITUTE(SUBSTITUTE(B44&amp;"","ו",""),"י",""),"ן","נ"),"-"," "),","," "))</f>
      </c>
      <c r="BF19">
        <f>IF(OR(ISNUMBER(SEARCH(" ארנ",BE19)),ISNUMBER(SEARCH(" הארנ",BE19)),ISNUMBER(SEARCH(" אארנ",BE19)),ISNUMBER(SEARCH(" אנרנ",BE19)),ISNUMBER(SEARCH(" האנרנ",BE19))),1,0)</f>
      </c>
      <c r="BG19">
        <f>IF(AND(BF19=1,ISNUMBER(BI19)),BI19,0)</f>
      </c>
      <c r="BH19">
        <f>IF(AND(BF19=1,NOT(ISNUMBER(BI19))),1,0)</f>
      </c>
      <c r="BI19">
        <f>IF(ISNUMBER(J44),J44,IFERROR(--TRIM(SUBSTITUTE(SUBSTITUTE(J44&amp;"","פצל",""),"פ","")),""))</f>
      </c>
    </row>
    <row r="20" ht="15" x14ac:dyDescent="0.2">
      <c r="E20" s="2" t="s">
        <v>18</v>
      </c>
      <c r="K20" s="22"/>
      <c r="L20" s="22"/>
      <c r="M20" s="22"/>
      <c r="N20" s="22"/>
      <c r="O20" s="22"/>
      <c r="P20" s="22"/>
      <c r="Q20" s="22"/>
      <c r="R20" s="22"/>
      <c r="S20" s="22"/>
      <c r="T20" s="22"/>
      <c r="U20" s="22"/>
      <c r="V20" s="22"/>
      <c r="X20">
        <f>IF(A45&gt;0,A45,B45)</f>
      </c>
      <c r="Z20">
        <f>SUBSTITUTE(SUBSTITUTE(SUBSTITUTE(SUBSTITUTE(A45&amp;"","–","-"),"--","-"),"--","-")," ","")</f>
      </c>
      <c r="AA20">
        <f>TRIM(MID(SUBSTITUTE(Z20,",",REPT(" ",100)),1,100))</f>
      </c>
      <c r="AB20">
        <f>TRIM(MID(SUBSTITUTE(Z20,",",REPT(" ",100)),101,100))</f>
      </c>
      <c r="AC20">
        <f>TRIM(MID(SUBSTITUTE(Z20,",",REPT(" ",100)),201,100))</f>
      </c>
      <c r="AD20">
        <f>TRIM(MID(SUBSTITUTE(Z20,",",REPT(" ",100)),301,100))</f>
      </c>
      <c r="AE20">
        <f>TRIM(MID(SUBSTITUTE(Z20,",",REPT(" ",100)),401,100))</f>
      </c>
      <c r="AF20">
        <f>TRIM(MID(SUBSTITUTE(Z20,",",REPT(" ",100)),501,100))</f>
      </c>
      <c r="AG20">
        <f>IF(AA20="",0,IFERROR(VALUE(LEFT(AA20,FIND("-",AA20&amp;"-")-1)),-1))</f>
      </c>
      <c r="AH20">
        <f>IF(AB20="",0,IFERROR(VALUE(LEFT(AB20,FIND("-",AB20&amp;"-")-1)),-1))</f>
      </c>
      <c r="AI20">
        <f>IF(AC20="",0,IFERROR(VALUE(LEFT(AC20,FIND("-",AC20&amp;"-")-1)),-1))</f>
      </c>
      <c r="AJ20">
        <f>IF(AD20="",0,IFERROR(VALUE(LEFT(AD20,FIND("-",AD20&amp;"-")-1)),-1))</f>
      </c>
      <c r="AK20">
        <f>IF(AE20="",0,IFERROR(VALUE(LEFT(AE20,FIND("-",AE20&amp;"-")-1)),-1))</f>
      </c>
      <c r="AL20">
        <f>IF(AF20="",0,IFERROR(VALUE(LEFT(AF20,FIND("-",AF20&amp;"-")-1)),-1))</f>
      </c>
      <c r="AM20">
        <f>IF(AG20&lt;=0,0,IFERROR(IF(ISNUMBER(FIND("-",AA20)),MAX(1,VALUE(MID(AA20,FIND("-",AA20)+1,99))-AG20+1),1),1))</f>
      </c>
      <c r="AN20">
        <f>IF(AH20&lt;=0,0,IFERROR(IF(ISNUMBER(FIND("-",AB20)),MAX(1,VALUE(MID(AB20,FIND("-",AB20)+1,99))-AH20+1),1),1))</f>
      </c>
      <c r="AO20">
        <f>IF(AI20&lt;=0,0,IFERROR(IF(ISNUMBER(FIND("-",AC20)),MAX(1,VALUE(MID(AC20,FIND("-",AC20)+1,99))-AI20+1),1),1))</f>
      </c>
      <c r="AP20">
        <f>IF(AJ20&lt;=0,0,IFERROR(IF(ISNUMBER(FIND("-",AD20)),MAX(1,VALUE(MID(AD20,FIND("-",AD20)+1,99))-AJ20+1),1),1))</f>
      </c>
      <c r="AQ20">
        <f>IF(AK20&lt;=0,0,IFERROR(IF(ISNUMBER(FIND("-",AE20)),MAX(1,VALUE(MID(AE20,FIND("-",AE20)+1,99))-AK20+1),1),1))</f>
      </c>
      <c r="AR20">
        <f>IF(AL20&lt;=0,0,IFERROR(IF(ISNUMBER(FIND("-",AF20)),MAX(1,VALUE(MID(AF20,FIND("-",AF20)+1,99))-AL20+1),1),1))</f>
      </c>
      <c r="AS20">
        <f>SUM($AM20:AM20)</f>
      </c>
      <c r="AT20">
        <f>SUM($AM20:AN20)</f>
      </c>
      <c r="AU20">
        <f>SUM($AM20:AO20)</f>
      </c>
      <c r="AV20">
        <f>SUM($AM20:AP20)</f>
      </c>
      <c r="AW20">
        <f>SUM($AM20:AQ20)</f>
      </c>
      <c r="AX20">
        <f>SUM($AM20:AR20)</f>
      </c>
      <c r="AY20">
        <f>AND(ISNUMBER(SEARCH("פ",J45&amp;"")),AX20&gt;0,COUNTIF(AG20:AL20,-1)=0)</f>
      </c>
      <c r="AZ20">
        <f>IF(X20=0,0,IF(AY20,MIN(AX20,72),1))</f>
      </c>
      <c r="BA20">
        <f>SUM($AZ$1:AZ20)</f>
      </c>
      <c r="BB20">
        <f>COUNTIF($BA$1:$BA$72,"&lt;"&amp;20)+1</f>
      </c>
      <c r="BC20">
        <f>IF(BB20&gt;72,0,20-IF(BB20=1,0,INDEX($BA$1:$BA$72,BB20-1)))</f>
      </c>
      <c r="BD20">
        <f>IF(20&gt;$BA$72,0,IF(INDEX($AY$1:$AY$72,BB20),INDEX($AG$1:$AL$72,BB20,(COUNTIF(INDEX($AS$1:$AX$72,BB20,0),"&lt;"&amp;BC20)+1))+BC20-1-IF((COUNTIF(INDEX($AS$1:$AX$72,BB20,0),"&lt;"&amp;BC20)+1)=1,0,INDEX($AS$1:$AX$72,BB20,(COUNTIF(INDEX($AS$1:$AX$72,BB20,0),"&lt;"&amp;BC20)+1)-1)),INDEX($X$1:$X$72,BB20)))</f>
      </c>
      <c r="BE20">
        <f>" "&amp;TRIM(SUBSTITUTE(SUBSTITUTE(SUBSTITUTE(SUBSTITUTE(SUBSTITUTE(B45&amp;"","ו",""),"י",""),"ן","נ"),"-"," "),","," "))</f>
      </c>
      <c r="BF20">
        <f>IF(OR(ISNUMBER(SEARCH(" ארנ",BE20)),ISNUMBER(SEARCH(" הארנ",BE20)),ISNUMBER(SEARCH(" אארנ",BE20)),ISNUMBER(SEARCH(" אנרנ",BE20)),ISNUMBER(SEARCH(" האנרנ",BE20))),1,0)</f>
      </c>
      <c r="BG20">
        <f>IF(AND(BF20=1,ISNUMBER(BI20)),BI20,0)</f>
      </c>
      <c r="BH20">
        <f>IF(AND(BF20=1,NOT(ISNUMBER(BI20))),1,0)</f>
      </c>
      <c r="BI20">
        <f>IF(ISNUMBER(J45),J45,IFERROR(--TRIM(SUBSTITUTE(SUBSTITUTE(J45&amp;"","פצל",""),"פ","")),""))</f>
      </c>
    </row>
    <row r="21" ht="15" thickBot="1" x14ac:dyDescent="0.25">
      <c r="E21" s="2"/>
      <c r="K21" s="22"/>
      <c r="L21" s="22"/>
      <c r="M21" s="22"/>
      <c r="N21" s="22"/>
      <c r="O21" s="22"/>
      <c r="P21" s="22"/>
      <c r="Q21" s="22"/>
      <c r="R21" s="22"/>
      <c r="S21" s="22"/>
      <c r="T21" s="22"/>
      <c r="U21" s="22"/>
      <c r="V21" s="22"/>
      <c r="X21">
        <f>IF(A46&gt;0,A46,B46)</f>
      </c>
      <c r="Z21">
        <f>SUBSTITUTE(SUBSTITUTE(SUBSTITUTE(SUBSTITUTE(A46&amp;"","–","-"),"--","-"),"--","-")," ","")</f>
      </c>
      <c r="AA21">
        <f>TRIM(MID(SUBSTITUTE(Z21,",",REPT(" ",100)),1,100))</f>
      </c>
      <c r="AB21">
        <f>TRIM(MID(SUBSTITUTE(Z21,",",REPT(" ",100)),101,100))</f>
      </c>
      <c r="AC21">
        <f>TRIM(MID(SUBSTITUTE(Z21,",",REPT(" ",100)),201,100))</f>
      </c>
      <c r="AD21">
        <f>TRIM(MID(SUBSTITUTE(Z21,",",REPT(" ",100)),301,100))</f>
      </c>
      <c r="AE21">
        <f>TRIM(MID(SUBSTITUTE(Z21,",",REPT(" ",100)),401,100))</f>
      </c>
      <c r="AF21">
        <f>TRIM(MID(SUBSTITUTE(Z21,",",REPT(" ",100)),501,100))</f>
      </c>
      <c r="AG21">
        <f>IF(AA21="",0,IFERROR(VALUE(LEFT(AA21,FIND("-",AA21&amp;"-")-1)),-1))</f>
      </c>
      <c r="AH21">
        <f>IF(AB21="",0,IFERROR(VALUE(LEFT(AB21,FIND("-",AB21&amp;"-")-1)),-1))</f>
      </c>
      <c r="AI21">
        <f>IF(AC21="",0,IFERROR(VALUE(LEFT(AC21,FIND("-",AC21&amp;"-")-1)),-1))</f>
      </c>
      <c r="AJ21">
        <f>IF(AD21="",0,IFERROR(VALUE(LEFT(AD21,FIND("-",AD21&amp;"-")-1)),-1))</f>
      </c>
      <c r="AK21">
        <f>IF(AE21="",0,IFERROR(VALUE(LEFT(AE21,FIND("-",AE21&amp;"-")-1)),-1))</f>
      </c>
      <c r="AL21">
        <f>IF(AF21="",0,IFERROR(VALUE(LEFT(AF21,FIND("-",AF21&amp;"-")-1)),-1))</f>
      </c>
      <c r="AM21">
        <f>IF(AG21&lt;=0,0,IFERROR(IF(ISNUMBER(FIND("-",AA21)),MAX(1,VALUE(MID(AA21,FIND("-",AA21)+1,99))-AG21+1),1),1))</f>
      </c>
      <c r="AN21">
        <f>IF(AH21&lt;=0,0,IFERROR(IF(ISNUMBER(FIND("-",AB21)),MAX(1,VALUE(MID(AB21,FIND("-",AB21)+1,99))-AH21+1),1),1))</f>
      </c>
      <c r="AO21">
        <f>IF(AI21&lt;=0,0,IFERROR(IF(ISNUMBER(FIND("-",AC21)),MAX(1,VALUE(MID(AC21,FIND("-",AC21)+1,99))-AI21+1),1),1))</f>
      </c>
      <c r="AP21">
        <f>IF(AJ21&lt;=0,0,IFERROR(IF(ISNUMBER(FIND("-",AD21)),MAX(1,VALUE(MID(AD21,FIND("-",AD21)+1,99))-AJ21+1),1),1))</f>
      </c>
      <c r="AQ21">
        <f>IF(AK21&lt;=0,0,IFERROR(IF(ISNUMBER(FIND("-",AE21)),MAX(1,VALUE(MID(AE21,FIND("-",AE21)+1,99))-AK21+1),1),1))</f>
      </c>
      <c r="AR21">
        <f>IF(AL21&lt;=0,0,IFERROR(IF(ISNUMBER(FIND("-",AF21)),MAX(1,VALUE(MID(AF21,FIND("-",AF21)+1,99))-AL21+1),1),1))</f>
      </c>
      <c r="AS21">
        <f>SUM($AM21:AM21)</f>
      </c>
      <c r="AT21">
        <f>SUM($AM21:AN21)</f>
      </c>
      <c r="AU21">
        <f>SUM($AM21:AO21)</f>
      </c>
      <c r="AV21">
        <f>SUM($AM21:AP21)</f>
      </c>
      <c r="AW21">
        <f>SUM($AM21:AQ21)</f>
      </c>
      <c r="AX21">
        <f>SUM($AM21:AR21)</f>
      </c>
      <c r="AY21">
        <f>AND(ISNUMBER(SEARCH("פ",J46&amp;"")),AX21&gt;0,COUNTIF(AG21:AL21,-1)=0)</f>
      </c>
      <c r="AZ21">
        <f>IF(X21=0,0,IF(AY21,MIN(AX21,72),1))</f>
      </c>
      <c r="BA21">
        <f>SUM($AZ$1:AZ21)</f>
      </c>
      <c r="BB21">
        <f>COUNTIF($BA$1:$BA$72,"&lt;"&amp;21)+1</f>
      </c>
      <c r="BC21">
        <f>IF(BB21&gt;72,0,21-IF(BB21=1,0,INDEX($BA$1:$BA$72,BB21-1)))</f>
      </c>
      <c r="BD21">
        <f>IF(21&gt;$BA$72,0,IF(INDEX($AY$1:$AY$72,BB21),INDEX($AG$1:$AL$72,BB21,(COUNTIF(INDEX($AS$1:$AX$72,BB21,0),"&lt;"&amp;BC21)+1))+BC21-1-IF((COUNTIF(INDEX($AS$1:$AX$72,BB21,0),"&lt;"&amp;BC21)+1)=1,0,INDEX($AS$1:$AX$72,BB21,(COUNTIF(INDEX($AS$1:$AX$72,BB21,0),"&lt;"&amp;BC21)+1)-1)),INDEX($X$1:$X$72,BB21)))</f>
      </c>
      <c r="BE21">
        <f>" "&amp;TRIM(SUBSTITUTE(SUBSTITUTE(SUBSTITUTE(SUBSTITUTE(SUBSTITUTE(B46&amp;"","ו",""),"י",""),"ן","נ"),"-"," "),","," "))</f>
      </c>
      <c r="BF21">
        <f>IF(OR(ISNUMBER(SEARCH(" ארנ",BE21)),ISNUMBER(SEARCH(" הארנ",BE21)),ISNUMBER(SEARCH(" אארנ",BE21)),ISNUMBER(SEARCH(" אנרנ",BE21)),ISNUMBER(SEARCH(" האנרנ",BE21))),1,0)</f>
      </c>
      <c r="BG21">
        <f>IF(AND(BF21=1,ISNUMBER(BI21)),BI21,0)</f>
      </c>
      <c r="BH21">
        <f>IF(AND(BF21=1,NOT(ISNUMBER(BI21))),1,0)</f>
      </c>
      <c r="BI21">
        <f>IF(ISNUMBER(J46),J46,IFERROR(--TRIM(SUBSTITUTE(SUBSTITUTE(J46&amp;"","פצל",""),"פ","")),""))</f>
      </c>
    </row>
    <row r="22" ht="15" thickBot="1" x14ac:dyDescent="0.25">
      <c r="A22" s="6" t="s">
        <v>14</v>
      </c>
      <c r="B22" s="34" t="s">
        <v>0</v>
      </c>
      <c r="C22" s="34"/>
      <c r="D22" s="34" t="s">
        <v>1</v>
      </c>
      <c r="E22" s="34"/>
      <c r="F22" s="34"/>
      <c r="G22" s="34"/>
      <c r="H22" s="34"/>
      <c r="I22" s="7" t="s">
        <v>7</v>
      </c>
      <c r="K22" s="22"/>
      <c r="L22" s="22"/>
      <c r="M22" s="22"/>
      <c r="N22" s="22"/>
      <c r="O22" s="22"/>
      <c r="P22" s="22"/>
      <c r="Q22" s="22"/>
      <c r="R22" s="22"/>
      <c r="S22" s="22"/>
      <c r="T22" s="22"/>
      <c r="U22" s="22"/>
      <c r="V22" s="22"/>
      <c r="X22">
        <f>IF(A47&gt;0,A47,B47)</f>
      </c>
      <c r="Z22">
        <f>SUBSTITUTE(SUBSTITUTE(SUBSTITUTE(SUBSTITUTE(A47&amp;"","–","-"),"--","-"),"--","-")," ","")</f>
      </c>
      <c r="AA22">
        <f>TRIM(MID(SUBSTITUTE(Z22,",",REPT(" ",100)),1,100))</f>
      </c>
      <c r="AB22">
        <f>TRIM(MID(SUBSTITUTE(Z22,",",REPT(" ",100)),101,100))</f>
      </c>
      <c r="AC22">
        <f>TRIM(MID(SUBSTITUTE(Z22,",",REPT(" ",100)),201,100))</f>
      </c>
      <c r="AD22">
        <f>TRIM(MID(SUBSTITUTE(Z22,",",REPT(" ",100)),301,100))</f>
      </c>
      <c r="AE22">
        <f>TRIM(MID(SUBSTITUTE(Z22,",",REPT(" ",100)),401,100))</f>
      </c>
      <c r="AF22">
        <f>TRIM(MID(SUBSTITUTE(Z22,",",REPT(" ",100)),501,100))</f>
      </c>
      <c r="AG22">
        <f>IF(AA22="",0,IFERROR(VALUE(LEFT(AA22,FIND("-",AA22&amp;"-")-1)),-1))</f>
      </c>
      <c r="AH22">
        <f>IF(AB22="",0,IFERROR(VALUE(LEFT(AB22,FIND("-",AB22&amp;"-")-1)),-1))</f>
      </c>
      <c r="AI22">
        <f>IF(AC22="",0,IFERROR(VALUE(LEFT(AC22,FIND("-",AC22&amp;"-")-1)),-1))</f>
      </c>
      <c r="AJ22">
        <f>IF(AD22="",0,IFERROR(VALUE(LEFT(AD22,FIND("-",AD22&amp;"-")-1)),-1))</f>
      </c>
      <c r="AK22">
        <f>IF(AE22="",0,IFERROR(VALUE(LEFT(AE22,FIND("-",AE22&amp;"-")-1)),-1))</f>
      </c>
      <c r="AL22">
        <f>IF(AF22="",0,IFERROR(VALUE(LEFT(AF22,FIND("-",AF22&amp;"-")-1)),-1))</f>
      </c>
      <c r="AM22">
        <f>IF(AG22&lt;=0,0,IFERROR(IF(ISNUMBER(FIND("-",AA22)),MAX(1,VALUE(MID(AA22,FIND("-",AA22)+1,99))-AG22+1),1),1))</f>
      </c>
      <c r="AN22">
        <f>IF(AH22&lt;=0,0,IFERROR(IF(ISNUMBER(FIND("-",AB22)),MAX(1,VALUE(MID(AB22,FIND("-",AB22)+1,99))-AH22+1),1),1))</f>
      </c>
      <c r="AO22">
        <f>IF(AI22&lt;=0,0,IFERROR(IF(ISNUMBER(FIND("-",AC22)),MAX(1,VALUE(MID(AC22,FIND("-",AC22)+1,99))-AI22+1),1),1))</f>
      </c>
      <c r="AP22">
        <f>IF(AJ22&lt;=0,0,IFERROR(IF(ISNUMBER(FIND("-",AD22)),MAX(1,VALUE(MID(AD22,FIND("-",AD22)+1,99))-AJ22+1),1),1))</f>
      </c>
      <c r="AQ22">
        <f>IF(AK22&lt;=0,0,IFERROR(IF(ISNUMBER(FIND("-",AE22)),MAX(1,VALUE(MID(AE22,FIND("-",AE22)+1,99))-AK22+1),1),1))</f>
      </c>
      <c r="AR22">
        <f>IF(AL22&lt;=0,0,IFERROR(IF(ISNUMBER(FIND("-",AF22)),MAX(1,VALUE(MID(AF22,FIND("-",AF22)+1,99))-AL22+1),1),1))</f>
      </c>
      <c r="AS22">
        <f>SUM($AM22:AM22)</f>
      </c>
      <c r="AT22">
        <f>SUM($AM22:AN22)</f>
      </c>
      <c r="AU22">
        <f>SUM($AM22:AO22)</f>
      </c>
      <c r="AV22">
        <f>SUM($AM22:AP22)</f>
      </c>
      <c r="AW22">
        <f>SUM($AM22:AQ22)</f>
      </c>
      <c r="AX22">
        <f>SUM($AM22:AR22)</f>
      </c>
      <c r="AY22">
        <f>AND(ISNUMBER(SEARCH("פ",J47&amp;"")),AX22&gt;0,COUNTIF(AG22:AL22,-1)=0)</f>
      </c>
      <c r="AZ22">
        <f>IF(X22=0,0,IF(AY22,MIN(AX22,72),1))</f>
      </c>
      <c r="BA22">
        <f>SUM($AZ$1:AZ22)</f>
      </c>
      <c r="BB22">
        <f>COUNTIF($BA$1:$BA$72,"&lt;"&amp;22)+1</f>
      </c>
      <c r="BC22">
        <f>IF(BB22&gt;72,0,22-IF(BB22=1,0,INDEX($BA$1:$BA$72,BB22-1)))</f>
      </c>
      <c r="BD22">
        <f>IF(22&gt;$BA$72,0,IF(INDEX($AY$1:$AY$72,BB22),INDEX($AG$1:$AL$72,BB22,(COUNTIF(INDEX($AS$1:$AX$72,BB22,0),"&lt;"&amp;BC22)+1))+BC22-1-IF((COUNTIF(INDEX($AS$1:$AX$72,BB22,0),"&lt;"&amp;BC22)+1)=1,0,INDEX($AS$1:$AX$72,BB22,(COUNTIF(INDEX($AS$1:$AX$72,BB22,0),"&lt;"&amp;BC22)+1)-1)),INDEX($X$1:$X$72,BB22)))</f>
      </c>
      <c r="BE22">
        <f>" "&amp;TRIM(SUBSTITUTE(SUBSTITUTE(SUBSTITUTE(SUBSTITUTE(SUBSTITUTE(B47&amp;"","ו",""),"י",""),"ן","נ"),"-"," "),","," "))</f>
      </c>
      <c r="BF22">
        <f>IF(OR(ISNUMBER(SEARCH(" ארנ",BE22)),ISNUMBER(SEARCH(" הארנ",BE22)),ISNUMBER(SEARCH(" אארנ",BE22)),ISNUMBER(SEARCH(" אנרנ",BE22)),ISNUMBER(SEARCH(" האנרנ",BE22))),1,0)</f>
      </c>
      <c r="BG22">
        <f>IF(AND(BF22=1,ISNUMBER(BI22)),BI22,0)</f>
      </c>
      <c r="BH22">
        <f>IF(AND(BF22=1,NOT(ISNUMBER(BI22))),1,0)</f>
      </c>
      <c r="BI22">
        <f>IF(ISNUMBER(J47),J47,IFERROR(--TRIM(SUBSTITUTE(SUBSTITUTE(J47&amp;"","פצל",""),"פ","")),""))</f>
      </c>
    </row>
    <row r="23" x14ac:dyDescent="0.2">
      <c r="A23" s="8"/>
      <c r="B23" s="35"/>
      <c r="C23" s="37"/>
      <c r="D23" s="35"/>
      <c r="E23" s="36"/>
      <c r="F23" s="36"/>
      <c r="G23" s="36"/>
      <c r="H23" s="37"/>
      <c r="I23" s="5"/>
      <c r="J23" s="46"/>
      <c r="K23" s="22"/>
      <c r="L23" s="22"/>
      <c r="M23" s="22"/>
      <c r="N23" s="22"/>
      <c r="O23" s="22"/>
      <c r="P23" s="22"/>
      <c r="Q23" s="22"/>
      <c r="R23" s="22"/>
      <c r="S23" s="22"/>
      <c r="T23" s="22"/>
      <c r="U23" s="22"/>
      <c r="V23" s="22"/>
      <c r="X23">
        <f>IF(A62&gt;0,A62,B62)</f>
      </c>
      <c r="Z23">
        <f>SUBSTITUTE(SUBSTITUTE(SUBSTITUTE(SUBSTITUTE(A62&amp;"","–","-"),"--","-"),"--","-")," ","")</f>
      </c>
      <c r="AA23">
        <f>TRIM(MID(SUBSTITUTE(Z23,",",REPT(" ",100)),1,100))</f>
      </c>
      <c r="AB23">
        <f>TRIM(MID(SUBSTITUTE(Z23,",",REPT(" ",100)),101,100))</f>
      </c>
      <c r="AC23">
        <f>TRIM(MID(SUBSTITUTE(Z23,",",REPT(" ",100)),201,100))</f>
      </c>
      <c r="AD23">
        <f>TRIM(MID(SUBSTITUTE(Z23,",",REPT(" ",100)),301,100))</f>
      </c>
      <c r="AE23">
        <f>TRIM(MID(SUBSTITUTE(Z23,",",REPT(" ",100)),401,100))</f>
      </c>
      <c r="AF23">
        <f>TRIM(MID(SUBSTITUTE(Z23,",",REPT(" ",100)),501,100))</f>
      </c>
      <c r="AG23">
        <f>IF(AA23="",0,IFERROR(VALUE(LEFT(AA23,FIND("-",AA23&amp;"-")-1)),-1))</f>
      </c>
      <c r="AH23">
        <f>IF(AB23="",0,IFERROR(VALUE(LEFT(AB23,FIND("-",AB23&amp;"-")-1)),-1))</f>
      </c>
      <c r="AI23">
        <f>IF(AC23="",0,IFERROR(VALUE(LEFT(AC23,FIND("-",AC23&amp;"-")-1)),-1))</f>
      </c>
      <c r="AJ23">
        <f>IF(AD23="",0,IFERROR(VALUE(LEFT(AD23,FIND("-",AD23&amp;"-")-1)),-1))</f>
      </c>
      <c r="AK23">
        <f>IF(AE23="",0,IFERROR(VALUE(LEFT(AE23,FIND("-",AE23&amp;"-")-1)),-1))</f>
      </c>
      <c r="AL23">
        <f>IF(AF23="",0,IFERROR(VALUE(LEFT(AF23,FIND("-",AF23&amp;"-")-1)),-1))</f>
      </c>
      <c r="AM23">
        <f>IF(AG23&lt;=0,0,IFERROR(IF(ISNUMBER(FIND("-",AA23)),MAX(1,VALUE(MID(AA23,FIND("-",AA23)+1,99))-AG23+1),1),1))</f>
      </c>
      <c r="AN23">
        <f>IF(AH23&lt;=0,0,IFERROR(IF(ISNUMBER(FIND("-",AB23)),MAX(1,VALUE(MID(AB23,FIND("-",AB23)+1,99))-AH23+1),1),1))</f>
      </c>
      <c r="AO23">
        <f>IF(AI23&lt;=0,0,IFERROR(IF(ISNUMBER(FIND("-",AC23)),MAX(1,VALUE(MID(AC23,FIND("-",AC23)+1,99))-AI23+1),1),1))</f>
      </c>
      <c r="AP23">
        <f>IF(AJ23&lt;=0,0,IFERROR(IF(ISNUMBER(FIND("-",AD23)),MAX(1,VALUE(MID(AD23,FIND("-",AD23)+1,99))-AJ23+1),1),1))</f>
      </c>
      <c r="AQ23">
        <f>IF(AK23&lt;=0,0,IFERROR(IF(ISNUMBER(FIND("-",AE23)),MAX(1,VALUE(MID(AE23,FIND("-",AE23)+1,99))-AK23+1),1),1))</f>
      </c>
      <c r="AR23">
        <f>IF(AL23&lt;=0,0,IFERROR(IF(ISNUMBER(FIND("-",AF23)),MAX(1,VALUE(MID(AF23,FIND("-",AF23)+1,99))-AL23+1),1),1))</f>
      </c>
      <c r="AS23">
        <f>SUM($AM23:AM23)</f>
      </c>
      <c r="AT23">
        <f>SUM($AM23:AN23)</f>
      </c>
      <c r="AU23">
        <f>SUM($AM23:AO23)</f>
      </c>
      <c r="AV23">
        <f>SUM($AM23:AP23)</f>
      </c>
      <c r="AW23">
        <f>SUM($AM23:AQ23)</f>
      </c>
      <c r="AX23">
        <f>SUM($AM23:AR23)</f>
      </c>
      <c r="AY23">
        <f>AND(ISNUMBER(SEARCH("פ",J62&amp;"")),AX23&gt;0,COUNTIF(AG23:AL23,-1)=0)</f>
      </c>
      <c r="AZ23">
        <f>IF(X23=0,0,IF(AY23,MIN(AX23,72),1))</f>
      </c>
      <c r="BA23">
        <f>SUM($AZ$1:AZ23)</f>
      </c>
      <c r="BB23">
        <f>COUNTIF($BA$1:$BA$72,"&lt;"&amp;23)+1</f>
      </c>
      <c r="BC23">
        <f>IF(BB23&gt;72,0,23-IF(BB23=1,0,INDEX($BA$1:$BA$72,BB23-1)))</f>
      </c>
      <c r="BD23">
        <f>IF(23&gt;$BA$72,0,IF(INDEX($AY$1:$AY$72,BB23),INDEX($AG$1:$AL$72,BB23,(COUNTIF(INDEX($AS$1:$AX$72,BB23,0),"&lt;"&amp;BC23)+1))+BC23-1-IF((COUNTIF(INDEX($AS$1:$AX$72,BB23,0),"&lt;"&amp;BC23)+1)=1,0,INDEX($AS$1:$AX$72,BB23,(COUNTIF(INDEX($AS$1:$AX$72,BB23,0),"&lt;"&amp;BC23)+1)-1)),INDEX($X$1:$X$72,BB23)))</f>
      </c>
      <c r="BE23">
        <f>" "&amp;TRIM(SUBSTITUTE(SUBSTITUTE(SUBSTITUTE(SUBSTITUTE(SUBSTITUTE(B62&amp;"","ו",""),"י",""),"ן","נ"),"-"," "),","," "))</f>
      </c>
      <c r="BF23">
        <f>IF(OR(ISNUMBER(SEARCH(" ארנ",BE23)),ISNUMBER(SEARCH(" הארנ",BE23)),ISNUMBER(SEARCH(" אארנ",BE23)),ISNUMBER(SEARCH(" אנרנ",BE23)),ISNUMBER(SEARCH(" האנרנ",BE23))),1,0)</f>
      </c>
      <c r="BG23">
        <f>IF(AND(BF23=1,ISNUMBER(BI23)),BI23,0)</f>
      </c>
      <c r="BH23">
        <f>IF(AND(BF23=1,NOT(ISNUMBER(BI23))),1,0)</f>
      </c>
      <c r="BI23">
        <f>IF(ISNUMBER(J62),J62,IFERROR(--TRIM(SUBSTITUTE(SUBSTITUTE(J62&amp;"","פצל",""),"פ","")),""))</f>
      </c>
    </row>
    <row r="24" x14ac:dyDescent="0.2">
      <c r="A24" s="9"/>
      <c r="B24" s="29"/>
      <c r="C24" s="30"/>
      <c r="D24" s="29"/>
      <c r="E24" s="31"/>
      <c r="F24" s="31"/>
      <c r="G24" s="31"/>
      <c r="H24" s="30"/>
      <c r="I24" s="3"/>
      <c r="J24" s="46"/>
      <c r="K24" s="22"/>
      <c r="L24" s="22"/>
      <c r="M24" s="22"/>
      <c r="N24" s="22"/>
      <c r="O24" s="22"/>
      <c r="P24" s="22"/>
      <c r="Q24" s="22"/>
      <c r="R24" s="22"/>
      <c r="S24" s="22"/>
      <c r="T24" s="22"/>
      <c r="U24" s="22"/>
      <c r="V24" s="22"/>
      <c r="X24">
        <f>IF(A63&gt;0,A63,B63)</f>
      </c>
      <c r="Z24">
        <f>SUBSTITUTE(SUBSTITUTE(SUBSTITUTE(SUBSTITUTE(A63&amp;"","–","-"),"--","-"),"--","-")," ","")</f>
      </c>
      <c r="AA24">
        <f>TRIM(MID(SUBSTITUTE(Z24,",",REPT(" ",100)),1,100))</f>
      </c>
      <c r="AB24">
        <f>TRIM(MID(SUBSTITUTE(Z24,",",REPT(" ",100)),101,100))</f>
      </c>
      <c r="AC24">
        <f>TRIM(MID(SUBSTITUTE(Z24,",",REPT(" ",100)),201,100))</f>
      </c>
      <c r="AD24">
        <f>TRIM(MID(SUBSTITUTE(Z24,",",REPT(" ",100)),301,100))</f>
      </c>
      <c r="AE24">
        <f>TRIM(MID(SUBSTITUTE(Z24,",",REPT(" ",100)),401,100))</f>
      </c>
      <c r="AF24">
        <f>TRIM(MID(SUBSTITUTE(Z24,",",REPT(" ",100)),501,100))</f>
      </c>
      <c r="AG24">
        <f>IF(AA24="",0,IFERROR(VALUE(LEFT(AA24,FIND("-",AA24&amp;"-")-1)),-1))</f>
      </c>
      <c r="AH24">
        <f>IF(AB24="",0,IFERROR(VALUE(LEFT(AB24,FIND("-",AB24&amp;"-")-1)),-1))</f>
      </c>
      <c r="AI24">
        <f>IF(AC24="",0,IFERROR(VALUE(LEFT(AC24,FIND("-",AC24&amp;"-")-1)),-1))</f>
      </c>
      <c r="AJ24">
        <f>IF(AD24="",0,IFERROR(VALUE(LEFT(AD24,FIND("-",AD24&amp;"-")-1)),-1))</f>
      </c>
      <c r="AK24">
        <f>IF(AE24="",0,IFERROR(VALUE(LEFT(AE24,FIND("-",AE24&amp;"-")-1)),-1))</f>
      </c>
      <c r="AL24">
        <f>IF(AF24="",0,IFERROR(VALUE(LEFT(AF24,FIND("-",AF24&amp;"-")-1)),-1))</f>
      </c>
      <c r="AM24">
        <f>IF(AG24&lt;=0,0,IFERROR(IF(ISNUMBER(FIND("-",AA24)),MAX(1,VALUE(MID(AA24,FIND("-",AA24)+1,99))-AG24+1),1),1))</f>
      </c>
      <c r="AN24">
        <f>IF(AH24&lt;=0,0,IFERROR(IF(ISNUMBER(FIND("-",AB24)),MAX(1,VALUE(MID(AB24,FIND("-",AB24)+1,99))-AH24+1),1),1))</f>
      </c>
      <c r="AO24">
        <f>IF(AI24&lt;=0,0,IFERROR(IF(ISNUMBER(FIND("-",AC24)),MAX(1,VALUE(MID(AC24,FIND("-",AC24)+1,99))-AI24+1),1),1))</f>
      </c>
      <c r="AP24">
        <f>IF(AJ24&lt;=0,0,IFERROR(IF(ISNUMBER(FIND("-",AD24)),MAX(1,VALUE(MID(AD24,FIND("-",AD24)+1,99))-AJ24+1),1),1))</f>
      </c>
      <c r="AQ24">
        <f>IF(AK24&lt;=0,0,IFERROR(IF(ISNUMBER(FIND("-",AE24)),MAX(1,VALUE(MID(AE24,FIND("-",AE24)+1,99))-AK24+1),1),1))</f>
      </c>
      <c r="AR24">
        <f>IF(AL24&lt;=0,0,IFERROR(IF(ISNUMBER(FIND("-",AF24)),MAX(1,VALUE(MID(AF24,FIND("-",AF24)+1,99))-AL24+1),1),1))</f>
      </c>
      <c r="AS24">
        <f>SUM($AM24:AM24)</f>
      </c>
      <c r="AT24">
        <f>SUM($AM24:AN24)</f>
      </c>
      <c r="AU24">
        <f>SUM($AM24:AO24)</f>
      </c>
      <c r="AV24">
        <f>SUM($AM24:AP24)</f>
      </c>
      <c r="AW24">
        <f>SUM($AM24:AQ24)</f>
      </c>
      <c r="AX24">
        <f>SUM($AM24:AR24)</f>
      </c>
      <c r="AY24">
        <f>AND(ISNUMBER(SEARCH("פ",J63&amp;"")),AX24&gt;0,COUNTIF(AG24:AL24,-1)=0)</f>
      </c>
      <c r="AZ24">
        <f>IF(X24=0,0,IF(AY24,MIN(AX24,72),1))</f>
      </c>
      <c r="BA24">
        <f>SUM($AZ$1:AZ24)</f>
      </c>
      <c r="BB24">
        <f>COUNTIF($BA$1:$BA$72,"&lt;"&amp;24)+1</f>
      </c>
      <c r="BC24">
        <f>IF(BB24&gt;72,0,24-IF(BB24=1,0,INDEX($BA$1:$BA$72,BB24-1)))</f>
      </c>
      <c r="BD24">
        <f>IF(24&gt;$BA$72,0,IF(INDEX($AY$1:$AY$72,BB24),INDEX($AG$1:$AL$72,BB24,(COUNTIF(INDEX($AS$1:$AX$72,BB24,0),"&lt;"&amp;BC24)+1))+BC24-1-IF((COUNTIF(INDEX($AS$1:$AX$72,BB24,0),"&lt;"&amp;BC24)+1)=1,0,INDEX($AS$1:$AX$72,BB24,(COUNTIF(INDEX($AS$1:$AX$72,BB24,0),"&lt;"&amp;BC24)+1)-1)),INDEX($X$1:$X$72,BB24)))</f>
      </c>
      <c r="BE24">
        <f>" "&amp;TRIM(SUBSTITUTE(SUBSTITUTE(SUBSTITUTE(SUBSTITUTE(SUBSTITUTE(B63&amp;"","ו",""),"י",""),"ן","נ"),"-"," "),","," "))</f>
      </c>
      <c r="BF24">
        <f>IF(OR(ISNUMBER(SEARCH(" ארנ",BE24)),ISNUMBER(SEARCH(" הארנ",BE24)),ISNUMBER(SEARCH(" אארנ",BE24)),ISNUMBER(SEARCH(" אנרנ",BE24)),ISNUMBER(SEARCH(" האנרנ",BE24))),1,0)</f>
      </c>
      <c r="BG24">
        <f>IF(AND(BF24=1,ISNUMBER(BI24)),BI24,0)</f>
      </c>
      <c r="BH24">
        <f>IF(AND(BF24=1,NOT(ISNUMBER(BI24))),1,0)</f>
      </c>
      <c r="BI24">
        <f>IF(ISNUMBER(J63),J63,IFERROR(--TRIM(SUBSTITUTE(SUBSTITUTE(J63&amp;"","פצל",""),"פ","")),""))</f>
      </c>
    </row>
    <row r="25" x14ac:dyDescent="0.2">
      <c r="A25" s="9"/>
      <c r="B25" s="29"/>
      <c r="C25" s="30"/>
      <c r="D25" s="29"/>
      <c r="E25" s="31"/>
      <c r="F25" s="31"/>
      <c r="G25" s="31"/>
      <c r="H25" s="30"/>
      <c r="I25" s="3"/>
      <c r="J25" s="46"/>
      <c r="K25" s="22"/>
      <c r="L25" s="22"/>
      <c r="M25" s="22"/>
      <c r="N25" s="22"/>
      <c r="O25" s="22"/>
      <c r="P25" s="22"/>
      <c r="Q25" s="22"/>
      <c r="R25" s="22"/>
      <c r="S25" s="22"/>
      <c r="T25" s="22"/>
      <c r="U25" s="22"/>
      <c r="V25" s="22"/>
      <c r="X25">
        <f>IF(A67&gt;0,A67,B67)</f>
      </c>
      <c r="Z25">
        <f>SUBSTITUTE(SUBSTITUTE(SUBSTITUTE(SUBSTITUTE(A67&amp;"","–","-"),"--","-"),"--","-")," ","")</f>
      </c>
      <c r="AA25">
        <f>TRIM(MID(SUBSTITUTE(Z25,",",REPT(" ",100)),1,100))</f>
      </c>
      <c r="AB25">
        <f>TRIM(MID(SUBSTITUTE(Z25,",",REPT(" ",100)),101,100))</f>
      </c>
      <c r="AC25">
        <f>TRIM(MID(SUBSTITUTE(Z25,",",REPT(" ",100)),201,100))</f>
      </c>
      <c r="AD25">
        <f>TRIM(MID(SUBSTITUTE(Z25,",",REPT(" ",100)),301,100))</f>
      </c>
      <c r="AE25">
        <f>TRIM(MID(SUBSTITUTE(Z25,",",REPT(" ",100)),401,100))</f>
      </c>
      <c r="AF25">
        <f>TRIM(MID(SUBSTITUTE(Z25,",",REPT(" ",100)),501,100))</f>
      </c>
      <c r="AG25">
        <f>IF(AA25="",0,IFERROR(VALUE(LEFT(AA25,FIND("-",AA25&amp;"-")-1)),-1))</f>
      </c>
      <c r="AH25">
        <f>IF(AB25="",0,IFERROR(VALUE(LEFT(AB25,FIND("-",AB25&amp;"-")-1)),-1))</f>
      </c>
      <c r="AI25">
        <f>IF(AC25="",0,IFERROR(VALUE(LEFT(AC25,FIND("-",AC25&amp;"-")-1)),-1))</f>
      </c>
      <c r="AJ25">
        <f>IF(AD25="",0,IFERROR(VALUE(LEFT(AD25,FIND("-",AD25&amp;"-")-1)),-1))</f>
      </c>
      <c r="AK25">
        <f>IF(AE25="",0,IFERROR(VALUE(LEFT(AE25,FIND("-",AE25&amp;"-")-1)),-1))</f>
      </c>
      <c r="AL25">
        <f>IF(AF25="",0,IFERROR(VALUE(LEFT(AF25,FIND("-",AF25&amp;"-")-1)),-1))</f>
      </c>
      <c r="AM25">
        <f>IF(AG25&lt;=0,0,IFERROR(IF(ISNUMBER(FIND("-",AA25)),MAX(1,VALUE(MID(AA25,FIND("-",AA25)+1,99))-AG25+1),1),1))</f>
      </c>
      <c r="AN25">
        <f>IF(AH25&lt;=0,0,IFERROR(IF(ISNUMBER(FIND("-",AB25)),MAX(1,VALUE(MID(AB25,FIND("-",AB25)+1,99))-AH25+1),1),1))</f>
      </c>
      <c r="AO25">
        <f>IF(AI25&lt;=0,0,IFERROR(IF(ISNUMBER(FIND("-",AC25)),MAX(1,VALUE(MID(AC25,FIND("-",AC25)+1,99))-AI25+1),1),1))</f>
      </c>
      <c r="AP25">
        <f>IF(AJ25&lt;=0,0,IFERROR(IF(ISNUMBER(FIND("-",AD25)),MAX(1,VALUE(MID(AD25,FIND("-",AD25)+1,99))-AJ25+1),1),1))</f>
      </c>
      <c r="AQ25">
        <f>IF(AK25&lt;=0,0,IFERROR(IF(ISNUMBER(FIND("-",AE25)),MAX(1,VALUE(MID(AE25,FIND("-",AE25)+1,99))-AK25+1),1),1))</f>
      </c>
      <c r="AR25">
        <f>IF(AL25&lt;=0,0,IFERROR(IF(ISNUMBER(FIND("-",AF25)),MAX(1,VALUE(MID(AF25,FIND("-",AF25)+1,99))-AL25+1),1),1))</f>
      </c>
      <c r="AS25">
        <f>SUM($AM25:AM25)</f>
      </c>
      <c r="AT25">
        <f>SUM($AM25:AN25)</f>
      </c>
      <c r="AU25">
        <f>SUM($AM25:AO25)</f>
      </c>
      <c r="AV25">
        <f>SUM($AM25:AP25)</f>
      </c>
      <c r="AW25">
        <f>SUM($AM25:AQ25)</f>
      </c>
      <c r="AX25">
        <f>SUM($AM25:AR25)</f>
      </c>
      <c r="AY25">
        <f>AND(ISNUMBER(SEARCH("פ",J67&amp;"")),AX25&gt;0,COUNTIF(AG25:AL25,-1)=0)</f>
      </c>
      <c r="AZ25">
        <f>IF(X25=0,0,IF(AY25,MIN(AX25,72),1))</f>
      </c>
      <c r="BA25">
        <f>SUM($AZ$1:AZ25)</f>
      </c>
      <c r="BB25">
        <f>COUNTIF($BA$1:$BA$72,"&lt;"&amp;25)+1</f>
      </c>
      <c r="BC25">
        <f>IF(BB25&gt;72,0,25-IF(BB25=1,0,INDEX($BA$1:$BA$72,BB25-1)))</f>
      </c>
      <c r="BD25">
        <f>IF(25&gt;$BA$72,0,IF(INDEX($AY$1:$AY$72,BB25),INDEX($AG$1:$AL$72,BB25,(COUNTIF(INDEX($AS$1:$AX$72,BB25,0),"&lt;"&amp;BC25)+1))+BC25-1-IF((COUNTIF(INDEX($AS$1:$AX$72,BB25,0),"&lt;"&amp;BC25)+1)=1,0,INDEX($AS$1:$AX$72,BB25,(COUNTIF(INDEX($AS$1:$AX$72,BB25,0),"&lt;"&amp;BC25)+1)-1)),INDEX($X$1:$X$72,BB25)))</f>
      </c>
      <c r="BE25">
        <f>" "&amp;TRIM(SUBSTITUTE(SUBSTITUTE(SUBSTITUTE(SUBSTITUTE(SUBSTITUTE(B67&amp;"","ו",""),"י",""),"ן","נ"),"-"," "),","," "))</f>
      </c>
      <c r="BF25">
        <f>IF(OR(ISNUMBER(SEARCH(" ארנ",BE25)),ISNUMBER(SEARCH(" הארנ",BE25)),ISNUMBER(SEARCH(" אארנ",BE25)),ISNUMBER(SEARCH(" אנרנ",BE25)),ISNUMBER(SEARCH(" האנרנ",BE25))),1,0)</f>
      </c>
      <c r="BG25">
        <f>IF(AND(BF25=1,ISNUMBER(BI25)),BI25,0)</f>
      </c>
      <c r="BH25">
        <f>IF(AND(BF25=1,NOT(ISNUMBER(BI25))),1,0)</f>
      </c>
      <c r="BI25">
        <f>IF(ISNUMBER(J67),J67,IFERROR(--TRIM(SUBSTITUTE(SUBSTITUTE(J67&amp;"","פצל",""),"פ","")),""))</f>
      </c>
    </row>
    <row r="26" x14ac:dyDescent="0.2">
      <c r="A26" s="9"/>
      <c r="B26" s="29"/>
      <c r="C26" s="30"/>
      <c r="D26" s="29"/>
      <c r="E26" s="31"/>
      <c r="F26" s="31"/>
      <c r="G26" s="31"/>
      <c r="H26" s="30"/>
      <c r="I26" s="3"/>
      <c r="J26" s="46"/>
      <c r="K26" s="22"/>
      <c r="L26" s="22"/>
      <c r="M26" s="22"/>
      <c r="N26" s="22"/>
      <c r="O26" s="22"/>
      <c r="P26" s="22"/>
      <c r="Q26" s="22"/>
      <c r="R26" s="22"/>
      <c r="S26" s="22"/>
      <c r="T26" s="22"/>
      <c r="U26" s="22"/>
      <c r="V26" s="22"/>
      <c r="X26">
        <f>IF(A68&gt;0,A68,B68)</f>
      </c>
      <c r="Z26">
        <f>SUBSTITUTE(SUBSTITUTE(SUBSTITUTE(SUBSTITUTE(A68&amp;"","–","-"),"--","-"),"--","-")," ","")</f>
      </c>
      <c r="AA26">
        <f>TRIM(MID(SUBSTITUTE(Z26,",",REPT(" ",100)),1,100))</f>
      </c>
      <c r="AB26">
        <f>TRIM(MID(SUBSTITUTE(Z26,",",REPT(" ",100)),101,100))</f>
      </c>
      <c r="AC26">
        <f>TRIM(MID(SUBSTITUTE(Z26,",",REPT(" ",100)),201,100))</f>
      </c>
      <c r="AD26">
        <f>TRIM(MID(SUBSTITUTE(Z26,",",REPT(" ",100)),301,100))</f>
      </c>
      <c r="AE26">
        <f>TRIM(MID(SUBSTITUTE(Z26,",",REPT(" ",100)),401,100))</f>
      </c>
      <c r="AF26">
        <f>TRIM(MID(SUBSTITUTE(Z26,",",REPT(" ",100)),501,100))</f>
      </c>
      <c r="AG26">
        <f>IF(AA26="",0,IFERROR(VALUE(LEFT(AA26,FIND("-",AA26&amp;"-")-1)),-1))</f>
      </c>
      <c r="AH26">
        <f>IF(AB26="",0,IFERROR(VALUE(LEFT(AB26,FIND("-",AB26&amp;"-")-1)),-1))</f>
      </c>
      <c r="AI26">
        <f>IF(AC26="",0,IFERROR(VALUE(LEFT(AC26,FIND("-",AC26&amp;"-")-1)),-1))</f>
      </c>
      <c r="AJ26">
        <f>IF(AD26="",0,IFERROR(VALUE(LEFT(AD26,FIND("-",AD26&amp;"-")-1)),-1))</f>
      </c>
      <c r="AK26">
        <f>IF(AE26="",0,IFERROR(VALUE(LEFT(AE26,FIND("-",AE26&amp;"-")-1)),-1))</f>
      </c>
      <c r="AL26">
        <f>IF(AF26="",0,IFERROR(VALUE(LEFT(AF26,FIND("-",AF26&amp;"-")-1)),-1))</f>
      </c>
      <c r="AM26">
        <f>IF(AG26&lt;=0,0,IFERROR(IF(ISNUMBER(FIND("-",AA26)),MAX(1,VALUE(MID(AA26,FIND("-",AA26)+1,99))-AG26+1),1),1))</f>
      </c>
      <c r="AN26">
        <f>IF(AH26&lt;=0,0,IFERROR(IF(ISNUMBER(FIND("-",AB26)),MAX(1,VALUE(MID(AB26,FIND("-",AB26)+1,99))-AH26+1),1),1))</f>
      </c>
      <c r="AO26">
        <f>IF(AI26&lt;=0,0,IFERROR(IF(ISNUMBER(FIND("-",AC26)),MAX(1,VALUE(MID(AC26,FIND("-",AC26)+1,99))-AI26+1),1),1))</f>
      </c>
      <c r="AP26">
        <f>IF(AJ26&lt;=0,0,IFERROR(IF(ISNUMBER(FIND("-",AD26)),MAX(1,VALUE(MID(AD26,FIND("-",AD26)+1,99))-AJ26+1),1),1))</f>
      </c>
      <c r="AQ26">
        <f>IF(AK26&lt;=0,0,IFERROR(IF(ISNUMBER(FIND("-",AE26)),MAX(1,VALUE(MID(AE26,FIND("-",AE26)+1,99))-AK26+1),1),1))</f>
      </c>
      <c r="AR26">
        <f>IF(AL26&lt;=0,0,IFERROR(IF(ISNUMBER(FIND("-",AF26)),MAX(1,VALUE(MID(AF26,FIND("-",AF26)+1,99))-AL26+1),1),1))</f>
      </c>
      <c r="AS26">
        <f>SUM($AM26:AM26)</f>
      </c>
      <c r="AT26">
        <f>SUM($AM26:AN26)</f>
      </c>
      <c r="AU26">
        <f>SUM($AM26:AO26)</f>
      </c>
      <c r="AV26">
        <f>SUM($AM26:AP26)</f>
      </c>
      <c r="AW26">
        <f>SUM($AM26:AQ26)</f>
      </c>
      <c r="AX26">
        <f>SUM($AM26:AR26)</f>
      </c>
      <c r="AY26">
        <f>AND(ISNUMBER(SEARCH("פ",J68&amp;"")),AX26&gt;0,COUNTIF(AG26:AL26,-1)=0)</f>
      </c>
      <c r="AZ26">
        <f>IF(X26=0,0,IF(AY26,MIN(AX26,72),1))</f>
      </c>
      <c r="BA26">
        <f>SUM($AZ$1:AZ26)</f>
      </c>
      <c r="BB26">
        <f>COUNTIF($BA$1:$BA$72,"&lt;"&amp;26)+1</f>
      </c>
      <c r="BC26">
        <f>IF(BB26&gt;72,0,26-IF(BB26=1,0,INDEX($BA$1:$BA$72,BB26-1)))</f>
      </c>
      <c r="BD26">
        <f>IF(26&gt;$BA$72,0,IF(INDEX($AY$1:$AY$72,BB26),INDEX($AG$1:$AL$72,BB26,(COUNTIF(INDEX($AS$1:$AX$72,BB26,0),"&lt;"&amp;BC26)+1))+BC26-1-IF((COUNTIF(INDEX($AS$1:$AX$72,BB26,0),"&lt;"&amp;BC26)+1)=1,0,INDEX($AS$1:$AX$72,BB26,(COUNTIF(INDEX($AS$1:$AX$72,BB26,0),"&lt;"&amp;BC26)+1)-1)),INDEX($X$1:$X$72,BB26)))</f>
      </c>
      <c r="BE26">
        <f>" "&amp;TRIM(SUBSTITUTE(SUBSTITUTE(SUBSTITUTE(SUBSTITUTE(SUBSTITUTE(B68&amp;"","ו",""),"י",""),"ן","נ"),"-"," "),","," "))</f>
      </c>
      <c r="BF26">
        <f>IF(OR(ISNUMBER(SEARCH(" ארנ",BE26)),ISNUMBER(SEARCH(" הארנ",BE26)),ISNUMBER(SEARCH(" אארנ",BE26)),ISNUMBER(SEARCH(" אנרנ",BE26)),ISNUMBER(SEARCH(" האנרנ",BE26))),1,0)</f>
      </c>
      <c r="BG26">
        <f>IF(AND(BF26=1,ISNUMBER(BI26)),BI26,0)</f>
      </c>
      <c r="BH26">
        <f>IF(AND(BF26=1,NOT(ISNUMBER(BI26))),1,0)</f>
      </c>
      <c r="BI26">
        <f>IF(ISNUMBER(J68),J68,IFERROR(--TRIM(SUBSTITUTE(SUBSTITUTE(J68&amp;"","פצל",""),"פ","")),""))</f>
      </c>
    </row>
    <row r="27" x14ac:dyDescent="0.2">
      <c r="A27" s="9"/>
      <c r="B27" s="29"/>
      <c r="C27" s="30"/>
      <c r="D27" s="29"/>
      <c r="E27" s="31"/>
      <c r="F27" s="31"/>
      <c r="G27" s="31"/>
      <c r="H27" s="30"/>
      <c r="I27" s="3"/>
      <c r="J27" s="46"/>
      <c r="K27" s="22"/>
      <c r="L27" s="22"/>
      <c r="M27" s="22"/>
      <c r="N27" s="22"/>
      <c r="O27" s="22"/>
      <c r="P27" s="22"/>
      <c r="Q27" s="22"/>
      <c r="R27" s="22"/>
      <c r="S27" s="22"/>
      <c r="T27" s="22"/>
      <c r="U27" s="22"/>
      <c r="V27" s="22"/>
      <c r="X27">
        <f>IF(A69&gt;0,A69,B69)</f>
      </c>
      <c r="Z27">
        <f>SUBSTITUTE(SUBSTITUTE(SUBSTITUTE(SUBSTITUTE(A69&amp;"","–","-"),"--","-"),"--","-")," ","")</f>
      </c>
      <c r="AA27">
        <f>TRIM(MID(SUBSTITUTE(Z27,",",REPT(" ",100)),1,100))</f>
      </c>
      <c r="AB27">
        <f>TRIM(MID(SUBSTITUTE(Z27,",",REPT(" ",100)),101,100))</f>
      </c>
      <c r="AC27">
        <f>TRIM(MID(SUBSTITUTE(Z27,",",REPT(" ",100)),201,100))</f>
      </c>
      <c r="AD27">
        <f>TRIM(MID(SUBSTITUTE(Z27,",",REPT(" ",100)),301,100))</f>
      </c>
      <c r="AE27">
        <f>TRIM(MID(SUBSTITUTE(Z27,",",REPT(" ",100)),401,100))</f>
      </c>
      <c r="AF27">
        <f>TRIM(MID(SUBSTITUTE(Z27,",",REPT(" ",100)),501,100))</f>
      </c>
      <c r="AG27">
        <f>IF(AA27="",0,IFERROR(VALUE(LEFT(AA27,FIND("-",AA27&amp;"-")-1)),-1))</f>
      </c>
      <c r="AH27">
        <f>IF(AB27="",0,IFERROR(VALUE(LEFT(AB27,FIND("-",AB27&amp;"-")-1)),-1))</f>
      </c>
      <c r="AI27">
        <f>IF(AC27="",0,IFERROR(VALUE(LEFT(AC27,FIND("-",AC27&amp;"-")-1)),-1))</f>
      </c>
      <c r="AJ27">
        <f>IF(AD27="",0,IFERROR(VALUE(LEFT(AD27,FIND("-",AD27&amp;"-")-1)),-1))</f>
      </c>
      <c r="AK27">
        <f>IF(AE27="",0,IFERROR(VALUE(LEFT(AE27,FIND("-",AE27&amp;"-")-1)),-1))</f>
      </c>
      <c r="AL27">
        <f>IF(AF27="",0,IFERROR(VALUE(LEFT(AF27,FIND("-",AF27&amp;"-")-1)),-1))</f>
      </c>
      <c r="AM27">
        <f>IF(AG27&lt;=0,0,IFERROR(IF(ISNUMBER(FIND("-",AA27)),MAX(1,VALUE(MID(AA27,FIND("-",AA27)+1,99))-AG27+1),1),1))</f>
      </c>
      <c r="AN27">
        <f>IF(AH27&lt;=0,0,IFERROR(IF(ISNUMBER(FIND("-",AB27)),MAX(1,VALUE(MID(AB27,FIND("-",AB27)+1,99))-AH27+1),1),1))</f>
      </c>
      <c r="AO27">
        <f>IF(AI27&lt;=0,0,IFERROR(IF(ISNUMBER(FIND("-",AC27)),MAX(1,VALUE(MID(AC27,FIND("-",AC27)+1,99))-AI27+1),1),1))</f>
      </c>
      <c r="AP27">
        <f>IF(AJ27&lt;=0,0,IFERROR(IF(ISNUMBER(FIND("-",AD27)),MAX(1,VALUE(MID(AD27,FIND("-",AD27)+1,99))-AJ27+1),1),1))</f>
      </c>
      <c r="AQ27">
        <f>IF(AK27&lt;=0,0,IFERROR(IF(ISNUMBER(FIND("-",AE27)),MAX(1,VALUE(MID(AE27,FIND("-",AE27)+1,99))-AK27+1),1),1))</f>
      </c>
      <c r="AR27">
        <f>IF(AL27&lt;=0,0,IFERROR(IF(ISNUMBER(FIND("-",AF27)),MAX(1,VALUE(MID(AF27,FIND("-",AF27)+1,99))-AL27+1),1),1))</f>
      </c>
      <c r="AS27">
        <f>SUM($AM27:AM27)</f>
      </c>
      <c r="AT27">
        <f>SUM($AM27:AN27)</f>
      </c>
      <c r="AU27">
        <f>SUM($AM27:AO27)</f>
      </c>
      <c r="AV27">
        <f>SUM($AM27:AP27)</f>
      </c>
      <c r="AW27">
        <f>SUM($AM27:AQ27)</f>
      </c>
      <c r="AX27">
        <f>SUM($AM27:AR27)</f>
      </c>
      <c r="AY27">
        <f>AND(ISNUMBER(SEARCH("פ",J69&amp;"")),AX27&gt;0,COUNTIF(AG27:AL27,-1)=0)</f>
      </c>
      <c r="AZ27">
        <f>IF(X27=0,0,IF(AY27,MIN(AX27,72),1))</f>
      </c>
      <c r="BA27">
        <f>SUM($AZ$1:AZ27)</f>
      </c>
      <c r="BB27">
        <f>COUNTIF($BA$1:$BA$72,"&lt;"&amp;27)+1</f>
      </c>
      <c r="BC27">
        <f>IF(BB27&gt;72,0,27-IF(BB27=1,0,INDEX($BA$1:$BA$72,BB27-1)))</f>
      </c>
      <c r="BD27">
        <f>IF(27&gt;$BA$72,0,IF(INDEX($AY$1:$AY$72,BB27),INDEX($AG$1:$AL$72,BB27,(COUNTIF(INDEX($AS$1:$AX$72,BB27,0),"&lt;"&amp;BC27)+1))+BC27-1-IF((COUNTIF(INDEX($AS$1:$AX$72,BB27,0),"&lt;"&amp;BC27)+1)=1,0,INDEX($AS$1:$AX$72,BB27,(COUNTIF(INDEX($AS$1:$AX$72,BB27,0),"&lt;"&amp;BC27)+1)-1)),INDEX($X$1:$X$72,BB27)))</f>
      </c>
      <c r="BE27">
        <f>" "&amp;TRIM(SUBSTITUTE(SUBSTITUTE(SUBSTITUTE(SUBSTITUTE(SUBSTITUTE(B69&amp;"","ו",""),"י",""),"ן","נ"),"-"," "),","," "))</f>
      </c>
      <c r="BF27">
        <f>IF(OR(ISNUMBER(SEARCH(" ארנ",BE27)),ISNUMBER(SEARCH(" הארנ",BE27)),ISNUMBER(SEARCH(" אארנ",BE27)),ISNUMBER(SEARCH(" אנרנ",BE27)),ISNUMBER(SEARCH(" האנרנ",BE27))),1,0)</f>
      </c>
      <c r="BG27">
        <f>IF(AND(BF27=1,ISNUMBER(BI27)),BI27,0)</f>
      </c>
      <c r="BH27">
        <f>IF(AND(BF27=1,NOT(ISNUMBER(BI27))),1,0)</f>
      </c>
      <c r="BI27">
        <f>IF(ISNUMBER(J69),J69,IFERROR(--TRIM(SUBSTITUTE(SUBSTITUTE(J69&amp;"","פצל",""),"פ","")),""))</f>
      </c>
    </row>
    <row r="28" x14ac:dyDescent="0.2">
      <c r="A28" s="9"/>
      <c r="B28" s="29"/>
      <c r="C28" s="30"/>
      <c r="D28" s="29"/>
      <c r="E28" s="31"/>
      <c r="F28" s="31"/>
      <c r="G28" s="31"/>
      <c r="H28" s="30"/>
      <c r="I28" s="3"/>
      <c r="J28" s="46"/>
      <c r="K28" s="22"/>
      <c r="L28" s="22"/>
      <c r="M28" s="22"/>
      <c r="N28" s="22"/>
      <c r="O28" s="22"/>
      <c r="P28" s="22"/>
      <c r="Q28" s="22"/>
      <c r="R28" s="22"/>
      <c r="S28" s="22"/>
      <c r="T28" s="22"/>
      <c r="U28" s="22"/>
      <c r="V28" s="22"/>
      <c r="X28">
        <f>IF(A70&gt;0,A70,B70)</f>
      </c>
      <c r="Z28">
        <f>SUBSTITUTE(SUBSTITUTE(SUBSTITUTE(SUBSTITUTE(A70&amp;"","–","-"),"--","-"),"--","-")," ","")</f>
      </c>
      <c r="AA28">
        <f>TRIM(MID(SUBSTITUTE(Z28,",",REPT(" ",100)),1,100))</f>
      </c>
      <c r="AB28">
        <f>TRIM(MID(SUBSTITUTE(Z28,",",REPT(" ",100)),101,100))</f>
      </c>
      <c r="AC28">
        <f>TRIM(MID(SUBSTITUTE(Z28,",",REPT(" ",100)),201,100))</f>
      </c>
      <c r="AD28">
        <f>TRIM(MID(SUBSTITUTE(Z28,",",REPT(" ",100)),301,100))</f>
      </c>
      <c r="AE28">
        <f>TRIM(MID(SUBSTITUTE(Z28,",",REPT(" ",100)),401,100))</f>
      </c>
      <c r="AF28">
        <f>TRIM(MID(SUBSTITUTE(Z28,",",REPT(" ",100)),501,100))</f>
      </c>
      <c r="AG28">
        <f>IF(AA28="",0,IFERROR(VALUE(LEFT(AA28,FIND("-",AA28&amp;"-")-1)),-1))</f>
      </c>
      <c r="AH28">
        <f>IF(AB28="",0,IFERROR(VALUE(LEFT(AB28,FIND("-",AB28&amp;"-")-1)),-1))</f>
      </c>
      <c r="AI28">
        <f>IF(AC28="",0,IFERROR(VALUE(LEFT(AC28,FIND("-",AC28&amp;"-")-1)),-1))</f>
      </c>
      <c r="AJ28">
        <f>IF(AD28="",0,IFERROR(VALUE(LEFT(AD28,FIND("-",AD28&amp;"-")-1)),-1))</f>
      </c>
      <c r="AK28">
        <f>IF(AE28="",0,IFERROR(VALUE(LEFT(AE28,FIND("-",AE28&amp;"-")-1)),-1))</f>
      </c>
      <c r="AL28">
        <f>IF(AF28="",0,IFERROR(VALUE(LEFT(AF28,FIND("-",AF28&amp;"-")-1)),-1))</f>
      </c>
      <c r="AM28">
        <f>IF(AG28&lt;=0,0,IFERROR(IF(ISNUMBER(FIND("-",AA28)),MAX(1,VALUE(MID(AA28,FIND("-",AA28)+1,99))-AG28+1),1),1))</f>
      </c>
      <c r="AN28">
        <f>IF(AH28&lt;=0,0,IFERROR(IF(ISNUMBER(FIND("-",AB28)),MAX(1,VALUE(MID(AB28,FIND("-",AB28)+1,99))-AH28+1),1),1))</f>
      </c>
      <c r="AO28">
        <f>IF(AI28&lt;=0,0,IFERROR(IF(ISNUMBER(FIND("-",AC28)),MAX(1,VALUE(MID(AC28,FIND("-",AC28)+1,99))-AI28+1),1),1))</f>
      </c>
      <c r="AP28">
        <f>IF(AJ28&lt;=0,0,IFERROR(IF(ISNUMBER(FIND("-",AD28)),MAX(1,VALUE(MID(AD28,FIND("-",AD28)+1,99))-AJ28+1),1),1))</f>
      </c>
      <c r="AQ28">
        <f>IF(AK28&lt;=0,0,IFERROR(IF(ISNUMBER(FIND("-",AE28)),MAX(1,VALUE(MID(AE28,FIND("-",AE28)+1,99))-AK28+1),1),1))</f>
      </c>
      <c r="AR28">
        <f>IF(AL28&lt;=0,0,IFERROR(IF(ISNUMBER(FIND("-",AF28)),MAX(1,VALUE(MID(AF28,FIND("-",AF28)+1,99))-AL28+1),1),1))</f>
      </c>
      <c r="AS28">
        <f>SUM($AM28:AM28)</f>
      </c>
      <c r="AT28">
        <f>SUM($AM28:AN28)</f>
      </c>
      <c r="AU28">
        <f>SUM($AM28:AO28)</f>
      </c>
      <c r="AV28">
        <f>SUM($AM28:AP28)</f>
      </c>
      <c r="AW28">
        <f>SUM($AM28:AQ28)</f>
      </c>
      <c r="AX28">
        <f>SUM($AM28:AR28)</f>
      </c>
      <c r="AY28">
        <f>AND(ISNUMBER(SEARCH("פ",J70&amp;"")),AX28&gt;0,COUNTIF(AG28:AL28,-1)=0)</f>
      </c>
      <c r="AZ28">
        <f>IF(X28=0,0,IF(AY28,MIN(AX28,72),1))</f>
      </c>
      <c r="BA28">
        <f>SUM($AZ$1:AZ28)</f>
      </c>
      <c r="BB28">
        <f>COUNTIF($BA$1:$BA$72,"&lt;"&amp;28)+1</f>
      </c>
      <c r="BC28">
        <f>IF(BB28&gt;72,0,28-IF(BB28=1,0,INDEX($BA$1:$BA$72,BB28-1)))</f>
      </c>
      <c r="BD28">
        <f>IF(28&gt;$BA$72,0,IF(INDEX($AY$1:$AY$72,BB28),INDEX($AG$1:$AL$72,BB28,(COUNTIF(INDEX($AS$1:$AX$72,BB28,0),"&lt;"&amp;BC28)+1))+BC28-1-IF((COUNTIF(INDEX($AS$1:$AX$72,BB28,0),"&lt;"&amp;BC28)+1)=1,0,INDEX($AS$1:$AX$72,BB28,(COUNTIF(INDEX($AS$1:$AX$72,BB28,0),"&lt;"&amp;BC28)+1)-1)),INDEX($X$1:$X$72,BB28)))</f>
      </c>
      <c r="BE28">
        <f>" "&amp;TRIM(SUBSTITUTE(SUBSTITUTE(SUBSTITUTE(SUBSTITUTE(SUBSTITUTE(B70&amp;"","ו",""),"י",""),"ן","נ"),"-"," "),","," "))</f>
      </c>
      <c r="BF28">
        <f>IF(OR(ISNUMBER(SEARCH(" ארנ",BE28)),ISNUMBER(SEARCH(" הארנ",BE28)),ISNUMBER(SEARCH(" אארנ",BE28)),ISNUMBER(SEARCH(" אנרנ",BE28)),ISNUMBER(SEARCH(" האנרנ",BE28))),1,0)</f>
      </c>
      <c r="BG28">
        <f>IF(AND(BF28=1,ISNUMBER(BI28)),BI28,0)</f>
      </c>
      <c r="BH28">
        <f>IF(AND(BF28=1,NOT(ISNUMBER(BI28))),1,0)</f>
      </c>
      <c r="BI28">
        <f>IF(ISNUMBER(J70),J70,IFERROR(--TRIM(SUBSTITUTE(SUBSTITUTE(J70&amp;"","פצל",""),"פ","")),""))</f>
      </c>
    </row>
    <row r="29" x14ac:dyDescent="0.2">
      <c r="A29" s="9"/>
      <c r="B29" s="29"/>
      <c r="C29" s="30"/>
      <c r="D29" s="29"/>
      <c r="E29" s="31"/>
      <c r="F29" s="31"/>
      <c r="G29" s="31"/>
      <c r="H29" s="30"/>
      <c r="I29" s="3"/>
      <c r="J29" s="46"/>
      <c r="K29" s="22"/>
      <c r="L29" s="22"/>
      <c r="M29" s="22"/>
      <c r="N29" s="22"/>
      <c r="O29" s="22"/>
      <c r="P29" s="22"/>
      <c r="Q29" s="22"/>
      <c r="R29" s="22"/>
      <c r="S29" s="22"/>
      <c r="T29" s="22"/>
      <c r="U29" s="22"/>
      <c r="V29" s="22"/>
      <c r="X29">
        <f>IF(A71&gt;0,A71,B71)</f>
      </c>
      <c r="Z29">
        <f>SUBSTITUTE(SUBSTITUTE(SUBSTITUTE(SUBSTITUTE(A71&amp;"","–","-"),"--","-"),"--","-")," ","")</f>
      </c>
      <c r="AA29">
        <f>TRIM(MID(SUBSTITUTE(Z29,",",REPT(" ",100)),1,100))</f>
      </c>
      <c r="AB29">
        <f>TRIM(MID(SUBSTITUTE(Z29,",",REPT(" ",100)),101,100))</f>
      </c>
      <c r="AC29">
        <f>TRIM(MID(SUBSTITUTE(Z29,",",REPT(" ",100)),201,100))</f>
      </c>
      <c r="AD29">
        <f>TRIM(MID(SUBSTITUTE(Z29,",",REPT(" ",100)),301,100))</f>
      </c>
      <c r="AE29">
        <f>TRIM(MID(SUBSTITUTE(Z29,",",REPT(" ",100)),401,100))</f>
      </c>
      <c r="AF29">
        <f>TRIM(MID(SUBSTITUTE(Z29,",",REPT(" ",100)),501,100))</f>
      </c>
      <c r="AG29">
        <f>IF(AA29="",0,IFERROR(VALUE(LEFT(AA29,FIND("-",AA29&amp;"-")-1)),-1))</f>
      </c>
      <c r="AH29">
        <f>IF(AB29="",0,IFERROR(VALUE(LEFT(AB29,FIND("-",AB29&amp;"-")-1)),-1))</f>
      </c>
      <c r="AI29">
        <f>IF(AC29="",0,IFERROR(VALUE(LEFT(AC29,FIND("-",AC29&amp;"-")-1)),-1))</f>
      </c>
      <c r="AJ29">
        <f>IF(AD29="",0,IFERROR(VALUE(LEFT(AD29,FIND("-",AD29&amp;"-")-1)),-1))</f>
      </c>
      <c r="AK29">
        <f>IF(AE29="",0,IFERROR(VALUE(LEFT(AE29,FIND("-",AE29&amp;"-")-1)),-1))</f>
      </c>
      <c r="AL29">
        <f>IF(AF29="",0,IFERROR(VALUE(LEFT(AF29,FIND("-",AF29&amp;"-")-1)),-1))</f>
      </c>
      <c r="AM29">
        <f>IF(AG29&lt;=0,0,IFERROR(IF(ISNUMBER(FIND("-",AA29)),MAX(1,VALUE(MID(AA29,FIND("-",AA29)+1,99))-AG29+1),1),1))</f>
      </c>
      <c r="AN29">
        <f>IF(AH29&lt;=0,0,IFERROR(IF(ISNUMBER(FIND("-",AB29)),MAX(1,VALUE(MID(AB29,FIND("-",AB29)+1,99))-AH29+1),1),1))</f>
      </c>
      <c r="AO29">
        <f>IF(AI29&lt;=0,0,IFERROR(IF(ISNUMBER(FIND("-",AC29)),MAX(1,VALUE(MID(AC29,FIND("-",AC29)+1,99))-AI29+1),1),1))</f>
      </c>
      <c r="AP29">
        <f>IF(AJ29&lt;=0,0,IFERROR(IF(ISNUMBER(FIND("-",AD29)),MAX(1,VALUE(MID(AD29,FIND("-",AD29)+1,99))-AJ29+1),1),1))</f>
      </c>
      <c r="AQ29">
        <f>IF(AK29&lt;=0,0,IFERROR(IF(ISNUMBER(FIND("-",AE29)),MAX(1,VALUE(MID(AE29,FIND("-",AE29)+1,99))-AK29+1),1),1))</f>
      </c>
      <c r="AR29">
        <f>IF(AL29&lt;=0,0,IFERROR(IF(ISNUMBER(FIND("-",AF29)),MAX(1,VALUE(MID(AF29,FIND("-",AF29)+1,99))-AL29+1),1),1))</f>
      </c>
      <c r="AS29">
        <f>SUM($AM29:AM29)</f>
      </c>
      <c r="AT29">
        <f>SUM($AM29:AN29)</f>
      </c>
      <c r="AU29">
        <f>SUM($AM29:AO29)</f>
      </c>
      <c r="AV29">
        <f>SUM($AM29:AP29)</f>
      </c>
      <c r="AW29">
        <f>SUM($AM29:AQ29)</f>
      </c>
      <c r="AX29">
        <f>SUM($AM29:AR29)</f>
      </c>
      <c r="AY29">
        <f>AND(ISNUMBER(SEARCH("פ",J71&amp;"")),AX29&gt;0,COUNTIF(AG29:AL29,-1)=0)</f>
      </c>
      <c r="AZ29">
        <f>IF(X29=0,0,IF(AY29,MIN(AX29,72),1))</f>
      </c>
      <c r="BA29">
        <f>SUM($AZ$1:AZ29)</f>
      </c>
      <c r="BB29">
        <f>COUNTIF($BA$1:$BA$72,"&lt;"&amp;29)+1</f>
      </c>
      <c r="BC29">
        <f>IF(BB29&gt;72,0,29-IF(BB29=1,0,INDEX($BA$1:$BA$72,BB29-1)))</f>
      </c>
      <c r="BD29">
        <f>IF(29&gt;$BA$72,0,IF(INDEX($AY$1:$AY$72,BB29),INDEX($AG$1:$AL$72,BB29,(COUNTIF(INDEX($AS$1:$AX$72,BB29,0),"&lt;"&amp;BC29)+1))+BC29-1-IF((COUNTIF(INDEX($AS$1:$AX$72,BB29,0),"&lt;"&amp;BC29)+1)=1,0,INDEX($AS$1:$AX$72,BB29,(COUNTIF(INDEX($AS$1:$AX$72,BB29,0),"&lt;"&amp;BC29)+1)-1)),INDEX($X$1:$X$72,BB29)))</f>
      </c>
      <c r="BE29">
        <f>" "&amp;TRIM(SUBSTITUTE(SUBSTITUTE(SUBSTITUTE(SUBSTITUTE(SUBSTITUTE(B71&amp;"","ו",""),"י",""),"ן","נ"),"-"," "),","," "))</f>
      </c>
      <c r="BF29">
        <f>IF(OR(ISNUMBER(SEARCH(" ארנ",BE29)),ISNUMBER(SEARCH(" הארנ",BE29)),ISNUMBER(SEARCH(" אארנ",BE29)),ISNUMBER(SEARCH(" אנרנ",BE29)),ISNUMBER(SEARCH(" האנרנ",BE29))),1,0)</f>
      </c>
      <c r="BG29">
        <f>IF(AND(BF29=1,ISNUMBER(BI29)),BI29,0)</f>
      </c>
      <c r="BH29">
        <f>IF(AND(BF29=1,NOT(ISNUMBER(BI29))),1,0)</f>
      </c>
      <c r="BI29">
        <f>IF(ISNUMBER(J71),J71,IFERROR(--TRIM(SUBSTITUTE(SUBSTITUTE(J71&amp;"","פצל",""),"פ","")),""))</f>
      </c>
    </row>
    <row r="30" x14ac:dyDescent="0.2">
      <c r="A30" s="9"/>
      <c r="B30" s="29"/>
      <c r="C30" s="30"/>
      <c r="D30" s="29"/>
      <c r="E30" s="31"/>
      <c r="F30" s="31"/>
      <c r="G30" s="31"/>
      <c r="H30" s="30"/>
      <c r="I30" s="3"/>
      <c r="J30" s="46"/>
      <c r="K30" s="22"/>
      <c r="L30" s="22"/>
      <c r="M30" s="22"/>
      <c r="N30" s="22"/>
      <c r="O30" s="22"/>
      <c r="P30" s="22"/>
      <c r="Q30" s="22"/>
      <c r="R30" s="22"/>
      <c r="S30" s="22"/>
      <c r="T30" s="22"/>
      <c r="U30" s="22"/>
      <c r="V30" s="22"/>
      <c r="X30">
        <f>IF(A72&gt;0,A72,B72)</f>
      </c>
      <c r="Z30">
        <f>SUBSTITUTE(SUBSTITUTE(SUBSTITUTE(SUBSTITUTE(A72&amp;"","–","-"),"--","-"),"--","-")," ","")</f>
      </c>
      <c r="AA30">
        <f>TRIM(MID(SUBSTITUTE(Z30,",",REPT(" ",100)),1,100))</f>
      </c>
      <c r="AB30">
        <f>TRIM(MID(SUBSTITUTE(Z30,",",REPT(" ",100)),101,100))</f>
      </c>
      <c r="AC30">
        <f>TRIM(MID(SUBSTITUTE(Z30,",",REPT(" ",100)),201,100))</f>
      </c>
      <c r="AD30">
        <f>TRIM(MID(SUBSTITUTE(Z30,",",REPT(" ",100)),301,100))</f>
      </c>
      <c r="AE30">
        <f>TRIM(MID(SUBSTITUTE(Z30,",",REPT(" ",100)),401,100))</f>
      </c>
      <c r="AF30">
        <f>TRIM(MID(SUBSTITUTE(Z30,",",REPT(" ",100)),501,100))</f>
      </c>
      <c r="AG30">
        <f>IF(AA30="",0,IFERROR(VALUE(LEFT(AA30,FIND("-",AA30&amp;"-")-1)),-1))</f>
      </c>
      <c r="AH30">
        <f>IF(AB30="",0,IFERROR(VALUE(LEFT(AB30,FIND("-",AB30&amp;"-")-1)),-1))</f>
      </c>
      <c r="AI30">
        <f>IF(AC30="",0,IFERROR(VALUE(LEFT(AC30,FIND("-",AC30&amp;"-")-1)),-1))</f>
      </c>
      <c r="AJ30">
        <f>IF(AD30="",0,IFERROR(VALUE(LEFT(AD30,FIND("-",AD30&amp;"-")-1)),-1))</f>
      </c>
      <c r="AK30">
        <f>IF(AE30="",0,IFERROR(VALUE(LEFT(AE30,FIND("-",AE30&amp;"-")-1)),-1))</f>
      </c>
      <c r="AL30">
        <f>IF(AF30="",0,IFERROR(VALUE(LEFT(AF30,FIND("-",AF30&amp;"-")-1)),-1))</f>
      </c>
      <c r="AM30">
        <f>IF(AG30&lt;=0,0,IFERROR(IF(ISNUMBER(FIND("-",AA30)),MAX(1,VALUE(MID(AA30,FIND("-",AA30)+1,99))-AG30+1),1),1))</f>
      </c>
      <c r="AN30">
        <f>IF(AH30&lt;=0,0,IFERROR(IF(ISNUMBER(FIND("-",AB30)),MAX(1,VALUE(MID(AB30,FIND("-",AB30)+1,99))-AH30+1),1),1))</f>
      </c>
      <c r="AO30">
        <f>IF(AI30&lt;=0,0,IFERROR(IF(ISNUMBER(FIND("-",AC30)),MAX(1,VALUE(MID(AC30,FIND("-",AC30)+1,99))-AI30+1),1),1))</f>
      </c>
      <c r="AP30">
        <f>IF(AJ30&lt;=0,0,IFERROR(IF(ISNUMBER(FIND("-",AD30)),MAX(1,VALUE(MID(AD30,FIND("-",AD30)+1,99))-AJ30+1),1),1))</f>
      </c>
      <c r="AQ30">
        <f>IF(AK30&lt;=0,0,IFERROR(IF(ISNUMBER(FIND("-",AE30)),MAX(1,VALUE(MID(AE30,FIND("-",AE30)+1,99))-AK30+1),1),1))</f>
      </c>
      <c r="AR30">
        <f>IF(AL30&lt;=0,0,IFERROR(IF(ISNUMBER(FIND("-",AF30)),MAX(1,VALUE(MID(AF30,FIND("-",AF30)+1,99))-AL30+1),1),1))</f>
      </c>
      <c r="AS30">
        <f>SUM($AM30:AM30)</f>
      </c>
      <c r="AT30">
        <f>SUM($AM30:AN30)</f>
      </c>
      <c r="AU30">
        <f>SUM($AM30:AO30)</f>
      </c>
      <c r="AV30">
        <f>SUM($AM30:AP30)</f>
      </c>
      <c r="AW30">
        <f>SUM($AM30:AQ30)</f>
      </c>
      <c r="AX30">
        <f>SUM($AM30:AR30)</f>
      </c>
      <c r="AY30">
        <f>AND(ISNUMBER(SEARCH("פ",J72&amp;"")),AX30&gt;0,COUNTIF(AG30:AL30,-1)=0)</f>
      </c>
      <c r="AZ30">
        <f>IF(X30=0,0,IF(AY30,MIN(AX30,72),1))</f>
      </c>
      <c r="BA30">
        <f>SUM($AZ$1:AZ30)</f>
      </c>
      <c r="BB30">
        <f>COUNTIF($BA$1:$BA$72,"&lt;"&amp;30)+1</f>
      </c>
      <c r="BC30">
        <f>IF(BB30&gt;72,0,30-IF(BB30=1,0,INDEX($BA$1:$BA$72,BB30-1)))</f>
      </c>
      <c r="BD30">
        <f>IF(30&gt;$BA$72,0,IF(INDEX($AY$1:$AY$72,BB30),INDEX($AG$1:$AL$72,BB30,(COUNTIF(INDEX($AS$1:$AX$72,BB30,0),"&lt;"&amp;BC30)+1))+BC30-1-IF((COUNTIF(INDEX($AS$1:$AX$72,BB30,0),"&lt;"&amp;BC30)+1)=1,0,INDEX($AS$1:$AX$72,BB30,(COUNTIF(INDEX($AS$1:$AX$72,BB30,0),"&lt;"&amp;BC30)+1)-1)),INDEX($X$1:$X$72,BB30)))</f>
      </c>
      <c r="BE30">
        <f>" "&amp;TRIM(SUBSTITUTE(SUBSTITUTE(SUBSTITUTE(SUBSTITUTE(SUBSTITUTE(B72&amp;"","ו",""),"י",""),"ן","נ"),"-"," "),","," "))</f>
      </c>
      <c r="BF30">
        <f>IF(OR(ISNUMBER(SEARCH(" ארנ",BE30)),ISNUMBER(SEARCH(" הארנ",BE30)),ISNUMBER(SEARCH(" אארנ",BE30)),ISNUMBER(SEARCH(" אנרנ",BE30)),ISNUMBER(SEARCH(" האנרנ",BE30))),1,0)</f>
      </c>
      <c r="BG30">
        <f>IF(AND(BF30=1,ISNUMBER(BI30)),BI30,0)</f>
      </c>
      <c r="BH30">
        <f>IF(AND(BF30=1,NOT(ISNUMBER(BI30))),1,0)</f>
      </c>
      <c r="BI30">
        <f>IF(ISNUMBER(J72),J72,IFERROR(--TRIM(SUBSTITUTE(SUBSTITUTE(J72&amp;"","פצל",""),"פ","")),""))</f>
      </c>
    </row>
    <row r="31" x14ac:dyDescent="0.2">
      <c r="A31" s="9"/>
      <c r="B31" s="29"/>
      <c r="C31" s="30"/>
      <c r="D31" s="29"/>
      <c r="E31" s="31"/>
      <c r="F31" s="31"/>
      <c r="G31" s="31"/>
      <c r="H31" s="30"/>
      <c r="I31" s="3"/>
      <c r="J31" s="46"/>
      <c r="K31" s="31" t="s">
        <v>17</v>
      </c>
      <c r="L31" s="31"/>
      <c r="M31" s="31"/>
      <c r="N31" s="31"/>
      <c r="X31">
        <f>IF(A73&gt;0,A73,B73)</f>
      </c>
      <c r="Z31">
        <f>SUBSTITUTE(SUBSTITUTE(SUBSTITUTE(SUBSTITUTE(A73&amp;"","–","-"),"--","-"),"--","-")," ","")</f>
      </c>
      <c r="AA31">
        <f>TRIM(MID(SUBSTITUTE(Z31,",",REPT(" ",100)),1,100))</f>
      </c>
      <c r="AB31">
        <f>TRIM(MID(SUBSTITUTE(Z31,",",REPT(" ",100)),101,100))</f>
      </c>
      <c r="AC31">
        <f>TRIM(MID(SUBSTITUTE(Z31,",",REPT(" ",100)),201,100))</f>
      </c>
      <c r="AD31">
        <f>TRIM(MID(SUBSTITUTE(Z31,",",REPT(" ",100)),301,100))</f>
      </c>
      <c r="AE31">
        <f>TRIM(MID(SUBSTITUTE(Z31,",",REPT(" ",100)),401,100))</f>
      </c>
      <c r="AF31">
        <f>TRIM(MID(SUBSTITUTE(Z31,",",REPT(" ",100)),501,100))</f>
      </c>
      <c r="AG31">
        <f>IF(AA31="",0,IFERROR(VALUE(LEFT(AA31,FIND("-",AA31&amp;"-")-1)),-1))</f>
      </c>
      <c r="AH31">
        <f>IF(AB31="",0,IFERROR(VALUE(LEFT(AB31,FIND("-",AB31&amp;"-")-1)),-1))</f>
      </c>
      <c r="AI31">
        <f>IF(AC31="",0,IFERROR(VALUE(LEFT(AC31,FIND("-",AC31&amp;"-")-1)),-1))</f>
      </c>
      <c r="AJ31">
        <f>IF(AD31="",0,IFERROR(VALUE(LEFT(AD31,FIND("-",AD31&amp;"-")-1)),-1))</f>
      </c>
      <c r="AK31">
        <f>IF(AE31="",0,IFERROR(VALUE(LEFT(AE31,FIND("-",AE31&amp;"-")-1)),-1))</f>
      </c>
      <c r="AL31">
        <f>IF(AF31="",0,IFERROR(VALUE(LEFT(AF31,FIND("-",AF31&amp;"-")-1)),-1))</f>
      </c>
      <c r="AM31">
        <f>IF(AG31&lt;=0,0,IFERROR(IF(ISNUMBER(FIND("-",AA31)),MAX(1,VALUE(MID(AA31,FIND("-",AA31)+1,99))-AG31+1),1),1))</f>
      </c>
      <c r="AN31">
        <f>IF(AH31&lt;=0,0,IFERROR(IF(ISNUMBER(FIND("-",AB31)),MAX(1,VALUE(MID(AB31,FIND("-",AB31)+1,99))-AH31+1),1),1))</f>
      </c>
      <c r="AO31">
        <f>IF(AI31&lt;=0,0,IFERROR(IF(ISNUMBER(FIND("-",AC31)),MAX(1,VALUE(MID(AC31,FIND("-",AC31)+1,99))-AI31+1),1),1))</f>
      </c>
      <c r="AP31">
        <f>IF(AJ31&lt;=0,0,IFERROR(IF(ISNUMBER(FIND("-",AD31)),MAX(1,VALUE(MID(AD31,FIND("-",AD31)+1,99))-AJ31+1),1),1))</f>
      </c>
      <c r="AQ31">
        <f>IF(AK31&lt;=0,0,IFERROR(IF(ISNUMBER(FIND("-",AE31)),MAX(1,VALUE(MID(AE31,FIND("-",AE31)+1,99))-AK31+1),1),1))</f>
      </c>
      <c r="AR31">
        <f>IF(AL31&lt;=0,0,IFERROR(IF(ISNUMBER(FIND("-",AF31)),MAX(1,VALUE(MID(AF31,FIND("-",AF31)+1,99))-AL31+1),1),1))</f>
      </c>
      <c r="AS31">
        <f>SUM($AM31:AM31)</f>
      </c>
      <c r="AT31">
        <f>SUM($AM31:AN31)</f>
      </c>
      <c r="AU31">
        <f>SUM($AM31:AO31)</f>
      </c>
      <c r="AV31">
        <f>SUM($AM31:AP31)</f>
      </c>
      <c r="AW31">
        <f>SUM($AM31:AQ31)</f>
      </c>
      <c r="AX31">
        <f>SUM($AM31:AR31)</f>
      </c>
      <c r="AY31">
        <f>AND(ISNUMBER(SEARCH("פ",J73&amp;"")),AX31&gt;0,COUNTIF(AG31:AL31,-1)=0)</f>
      </c>
      <c r="AZ31">
        <f>IF(X31=0,0,IF(AY31,MIN(AX31,72),1))</f>
      </c>
      <c r="BA31">
        <f>SUM($AZ$1:AZ31)</f>
      </c>
      <c r="BB31">
        <f>COUNTIF($BA$1:$BA$72,"&lt;"&amp;31)+1</f>
      </c>
      <c r="BC31">
        <f>IF(BB31&gt;72,0,31-IF(BB31=1,0,INDEX($BA$1:$BA$72,BB31-1)))</f>
      </c>
      <c r="BD31">
        <f>IF(31&gt;$BA$72,0,IF(INDEX($AY$1:$AY$72,BB31),INDEX($AG$1:$AL$72,BB31,(COUNTIF(INDEX($AS$1:$AX$72,BB31,0),"&lt;"&amp;BC31)+1))+BC31-1-IF((COUNTIF(INDEX($AS$1:$AX$72,BB31,0),"&lt;"&amp;BC31)+1)=1,0,INDEX($AS$1:$AX$72,BB31,(COUNTIF(INDEX($AS$1:$AX$72,BB31,0),"&lt;"&amp;BC31)+1)-1)),INDEX($X$1:$X$72,BB31)))</f>
      </c>
      <c r="BE31">
        <f>" "&amp;TRIM(SUBSTITUTE(SUBSTITUTE(SUBSTITUTE(SUBSTITUTE(SUBSTITUTE(B73&amp;"","ו",""),"י",""),"ן","נ"),"-"," "),","," "))</f>
      </c>
      <c r="BF31">
        <f>IF(OR(ISNUMBER(SEARCH(" ארנ",BE31)),ISNUMBER(SEARCH(" הארנ",BE31)),ISNUMBER(SEARCH(" אארנ",BE31)),ISNUMBER(SEARCH(" אנרנ",BE31)),ISNUMBER(SEARCH(" האנרנ",BE31))),1,0)</f>
      </c>
      <c r="BG31">
        <f>IF(AND(BF31=1,ISNUMBER(BI31)),BI31,0)</f>
      </c>
      <c r="BH31">
        <f>IF(AND(BF31=1,NOT(ISNUMBER(BI31))),1,0)</f>
      </c>
      <c r="BI31">
        <f>IF(ISNUMBER(J73),J73,IFERROR(--TRIM(SUBSTITUTE(SUBSTITUTE(J73&amp;"","פצל",""),"פ","")),""))</f>
      </c>
    </row>
    <row r="32" x14ac:dyDescent="0.2">
      <c r="A32" s="9"/>
      <c r="B32" s="29"/>
      <c r="C32" s="30"/>
      <c r="D32" s="29"/>
      <c r="E32" s="31"/>
      <c r="F32" s="31"/>
      <c r="G32" s="31"/>
      <c r="H32" s="30"/>
      <c r="I32" s="3"/>
      <c r="J32" s="46"/>
      <c r="K32" s="21">
        <f>$BD$5</f>
      </c>
      <c r="L32" s="21">
        <f>$BD$6</f>
      </c>
      <c r="M32" s="21">
        <f>$BD$7</f>
      </c>
      <c r="N32" s="21">
        <f>$BD$8</f>
      </c>
      <c r="O32" s="21">
        <f>IF($K$62=0,$BD$13,IF($K$116=0,IF($K$62&gt;0,$BD$21),$BD$29))</f>
      </c>
      <c r="P32" s="21">
        <f>IF($K$62=0,$BD$14,IF($K$116=0,IF($K$62&gt;0,$BD$22),$BD$30))</f>
      </c>
      <c r="Q32" s="21">
        <f>IF($K$62=0,$BD$15,IF($K$116=0,IF($K$62&gt;0,$BD$23),$BD$31))</f>
      </c>
      <c r="R32" s="21">
        <f>IF($K$62=0,$BD$16,IF($K$116=0,IF($K$62&gt;0,$BD$24),$BD$32))</f>
      </c>
      <c r="S32" s="21">
        <f>IF($K$62=0,$BD$21,IF($K$116=0,IF($K$62&gt;0,$BD$37),$BD$53))</f>
      </c>
      <c r="T32" s="21">
        <f>IF($K$62=0,$BD$22,IF($K$116=0,IF($K$62&gt;0,$BD$38),$BD$54))</f>
      </c>
      <c r="U32" s="21">
        <f>IF($K$62=0,$BD$23,IF($K$116=0,IF($K$62&gt;0,$BD$39),$BD$55))</f>
      </c>
      <c r="V32" s="21">
        <f>IF($K$62=0,$BD$24,IF($K$116=0,IF($K$62&gt;0,$BD$40),$BD$56))</f>
      </c>
      <c r="X32">
        <f>IF(A74&gt;0,A74,B74)</f>
      </c>
      <c r="Z32">
        <f>SUBSTITUTE(SUBSTITUTE(SUBSTITUTE(SUBSTITUTE(A74&amp;"","–","-"),"--","-"),"--","-")," ","")</f>
      </c>
      <c r="AA32">
        <f>TRIM(MID(SUBSTITUTE(Z32,",",REPT(" ",100)),1,100))</f>
      </c>
      <c r="AB32">
        <f>TRIM(MID(SUBSTITUTE(Z32,",",REPT(" ",100)),101,100))</f>
      </c>
      <c r="AC32">
        <f>TRIM(MID(SUBSTITUTE(Z32,",",REPT(" ",100)),201,100))</f>
      </c>
      <c r="AD32">
        <f>TRIM(MID(SUBSTITUTE(Z32,",",REPT(" ",100)),301,100))</f>
      </c>
      <c r="AE32">
        <f>TRIM(MID(SUBSTITUTE(Z32,",",REPT(" ",100)),401,100))</f>
      </c>
      <c r="AF32">
        <f>TRIM(MID(SUBSTITUTE(Z32,",",REPT(" ",100)),501,100))</f>
      </c>
      <c r="AG32">
        <f>IF(AA32="",0,IFERROR(VALUE(LEFT(AA32,FIND("-",AA32&amp;"-")-1)),-1))</f>
      </c>
      <c r="AH32">
        <f>IF(AB32="",0,IFERROR(VALUE(LEFT(AB32,FIND("-",AB32&amp;"-")-1)),-1))</f>
      </c>
      <c r="AI32">
        <f>IF(AC32="",0,IFERROR(VALUE(LEFT(AC32,FIND("-",AC32&amp;"-")-1)),-1))</f>
      </c>
      <c r="AJ32">
        <f>IF(AD32="",0,IFERROR(VALUE(LEFT(AD32,FIND("-",AD32&amp;"-")-1)),-1))</f>
      </c>
      <c r="AK32">
        <f>IF(AE32="",0,IFERROR(VALUE(LEFT(AE32,FIND("-",AE32&amp;"-")-1)),-1))</f>
      </c>
      <c r="AL32">
        <f>IF(AF32="",0,IFERROR(VALUE(LEFT(AF32,FIND("-",AF32&amp;"-")-1)),-1))</f>
      </c>
      <c r="AM32">
        <f>IF(AG32&lt;=0,0,IFERROR(IF(ISNUMBER(FIND("-",AA32)),MAX(1,VALUE(MID(AA32,FIND("-",AA32)+1,99))-AG32+1),1),1))</f>
      </c>
      <c r="AN32">
        <f>IF(AH32&lt;=0,0,IFERROR(IF(ISNUMBER(FIND("-",AB32)),MAX(1,VALUE(MID(AB32,FIND("-",AB32)+1,99))-AH32+1),1),1))</f>
      </c>
      <c r="AO32">
        <f>IF(AI32&lt;=0,0,IFERROR(IF(ISNUMBER(FIND("-",AC32)),MAX(1,VALUE(MID(AC32,FIND("-",AC32)+1,99))-AI32+1),1),1))</f>
      </c>
      <c r="AP32">
        <f>IF(AJ32&lt;=0,0,IFERROR(IF(ISNUMBER(FIND("-",AD32)),MAX(1,VALUE(MID(AD32,FIND("-",AD32)+1,99))-AJ32+1),1),1))</f>
      </c>
      <c r="AQ32">
        <f>IF(AK32&lt;=0,0,IFERROR(IF(ISNUMBER(FIND("-",AE32)),MAX(1,VALUE(MID(AE32,FIND("-",AE32)+1,99))-AK32+1),1),1))</f>
      </c>
      <c r="AR32">
        <f>IF(AL32&lt;=0,0,IFERROR(IF(ISNUMBER(FIND("-",AF32)),MAX(1,VALUE(MID(AF32,FIND("-",AF32)+1,99))-AL32+1),1),1))</f>
      </c>
      <c r="AS32">
        <f>SUM($AM32:AM32)</f>
      </c>
      <c r="AT32">
        <f>SUM($AM32:AN32)</f>
      </c>
      <c r="AU32">
        <f>SUM($AM32:AO32)</f>
      </c>
      <c r="AV32">
        <f>SUM($AM32:AP32)</f>
      </c>
      <c r="AW32">
        <f>SUM($AM32:AQ32)</f>
      </c>
      <c r="AX32">
        <f>SUM($AM32:AR32)</f>
      </c>
      <c r="AY32">
        <f>AND(ISNUMBER(SEARCH("פ",J74&amp;"")),AX32&gt;0,COUNTIF(AG32:AL32,-1)=0)</f>
      </c>
      <c r="AZ32">
        <f>IF(X32=0,0,IF(AY32,MIN(AX32,72),1))</f>
      </c>
      <c r="BA32">
        <f>SUM($AZ$1:AZ32)</f>
      </c>
      <c r="BB32">
        <f>COUNTIF($BA$1:$BA$72,"&lt;"&amp;32)+1</f>
      </c>
      <c r="BC32">
        <f>IF(BB32&gt;72,0,32-IF(BB32=1,0,INDEX($BA$1:$BA$72,BB32-1)))</f>
      </c>
      <c r="BD32">
        <f>IF(32&gt;$BA$72,0,IF(INDEX($AY$1:$AY$72,BB32),INDEX($AG$1:$AL$72,BB32,(COUNTIF(INDEX($AS$1:$AX$72,BB32,0),"&lt;"&amp;BC32)+1))+BC32-1-IF((COUNTIF(INDEX($AS$1:$AX$72,BB32,0),"&lt;"&amp;BC32)+1)=1,0,INDEX($AS$1:$AX$72,BB32,(COUNTIF(INDEX($AS$1:$AX$72,BB32,0),"&lt;"&amp;BC32)+1)-1)),INDEX($X$1:$X$72,BB32)))</f>
      </c>
      <c r="BE32">
        <f>" "&amp;TRIM(SUBSTITUTE(SUBSTITUTE(SUBSTITUTE(SUBSTITUTE(SUBSTITUTE(B74&amp;"","ו",""),"י",""),"ן","נ"),"-"," "),","," "))</f>
      </c>
      <c r="BF32">
        <f>IF(OR(ISNUMBER(SEARCH(" ארנ",BE32)),ISNUMBER(SEARCH(" הארנ",BE32)),ISNUMBER(SEARCH(" אארנ",BE32)),ISNUMBER(SEARCH(" אנרנ",BE32)),ISNUMBER(SEARCH(" האנרנ",BE32))),1,0)</f>
      </c>
      <c r="BG32">
        <f>IF(AND(BF32=1,ISNUMBER(BI32)),BI32,0)</f>
      </c>
      <c r="BH32">
        <f>IF(AND(BF32=1,NOT(ISNUMBER(BI32))),1,0)</f>
      </c>
      <c r="BI32">
        <f>IF(ISNUMBER(J74),J74,IFERROR(--TRIM(SUBSTITUTE(SUBSTITUTE(J74&amp;"","פצל",""),"פ","")),""))</f>
      </c>
    </row>
    <row r="33" x14ac:dyDescent="0.2">
      <c r="A33" s="9"/>
      <c r="B33" s="29"/>
      <c r="C33" s="30"/>
      <c r="D33" s="29"/>
      <c r="E33" s="31"/>
      <c r="F33" s="31"/>
      <c r="G33" s="31"/>
      <c r="H33" s="30"/>
      <c r="I33" s="3"/>
      <c r="J33" s="46"/>
      <c r="K33" s="21"/>
      <c r="L33" s="21"/>
      <c r="M33" s="21"/>
      <c r="N33" s="21"/>
      <c r="O33" s="21"/>
      <c r="P33" s="21"/>
      <c r="Q33" s="21"/>
      <c r="R33" s="21"/>
      <c r="S33" s="21"/>
      <c r="T33" s="21"/>
      <c r="U33" s="21"/>
      <c r="V33" s="21"/>
      <c r="X33">
        <f>IF(A75&gt;0,A75,B75)</f>
      </c>
      <c r="Z33">
        <f>SUBSTITUTE(SUBSTITUTE(SUBSTITUTE(SUBSTITUTE(A75&amp;"","–","-"),"--","-"),"--","-")," ","")</f>
      </c>
      <c r="AA33">
        <f>TRIM(MID(SUBSTITUTE(Z33,",",REPT(" ",100)),1,100))</f>
      </c>
      <c r="AB33">
        <f>TRIM(MID(SUBSTITUTE(Z33,",",REPT(" ",100)),101,100))</f>
      </c>
      <c r="AC33">
        <f>TRIM(MID(SUBSTITUTE(Z33,",",REPT(" ",100)),201,100))</f>
      </c>
      <c r="AD33">
        <f>TRIM(MID(SUBSTITUTE(Z33,",",REPT(" ",100)),301,100))</f>
      </c>
      <c r="AE33">
        <f>TRIM(MID(SUBSTITUTE(Z33,",",REPT(" ",100)),401,100))</f>
      </c>
      <c r="AF33">
        <f>TRIM(MID(SUBSTITUTE(Z33,",",REPT(" ",100)),501,100))</f>
      </c>
      <c r="AG33">
        <f>IF(AA33="",0,IFERROR(VALUE(LEFT(AA33,FIND("-",AA33&amp;"-")-1)),-1))</f>
      </c>
      <c r="AH33">
        <f>IF(AB33="",0,IFERROR(VALUE(LEFT(AB33,FIND("-",AB33&amp;"-")-1)),-1))</f>
      </c>
      <c r="AI33">
        <f>IF(AC33="",0,IFERROR(VALUE(LEFT(AC33,FIND("-",AC33&amp;"-")-1)),-1))</f>
      </c>
      <c r="AJ33">
        <f>IF(AD33="",0,IFERROR(VALUE(LEFT(AD33,FIND("-",AD33&amp;"-")-1)),-1))</f>
      </c>
      <c r="AK33">
        <f>IF(AE33="",0,IFERROR(VALUE(LEFT(AE33,FIND("-",AE33&amp;"-")-1)),-1))</f>
      </c>
      <c r="AL33">
        <f>IF(AF33="",0,IFERROR(VALUE(LEFT(AF33,FIND("-",AF33&amp;"-")-1)),-1))</f>
      </c>
      <c r="AM33">
        <f>IF(AG33&lt;=0,0,IFERROR(IF(ISNUMBER(FIND("-",AA33)),MAX(1,VALUE(MID(AA33,FIND("-",AA33)+1,99))-AG33+1),1),1))</f>
      </c>
      <c r="AN33">
        <f>IF(AH33&lt;=0,0,IFERROR(IF(ISNUMBER(FIND("-",AB33)),MAX(1,VALUE(MID(AB33,FIND("-",AB33)+1,99))-AH33+1),1),1))</f>
      </c>
      <c r="AO33">
        <f>IF(AI33&lt;=0,0,IFERROR(IF(ISNUMBER(FIND("-",AC33)),MAX(1,VALUE(MID(AC33,FIND("-",AC33)+1,99))-AI33+1),1),1))</f>
      </c>
      <c r="AP33">
        <f>IF(AJ33&lt;=0,0,IFERROR(IF(ISNUMBER(FIND("-",AD33)),MAX(1,VALUE(MID(AD33,FIND("-",AD33)+1,99))-AJ33+1),1),1))</f>
      </c>
      <c r="AQ33">
        <f>IF(AK33&lt;=0,0,IFERROR(IF(ISNUMBER(FIND("-",AE33)),MAX(1,VALUE(MID(AE33,FIND("-",AE33)+1,99))-AK33+1),1),1))</f>
      </c>
      <c r="AR33">
        <f>IF(AL33&lt;=0,0,IFERROR(IF(ISNUMBER(FIND("-",AF33)),MAX(1,VALUE(MID(AF33,FIND("-",AF33)+1,99))-AL33+1),1),1))</f>
      </c>
      <c r="AS33">
        <f>SUM($AM33:AM33)</f>
      </c>
      <c r="AT33">
        <f>SUM($AM33:AN33)</f>
      </c>
      <c r="AU33">
        <f>SUM($AM33:AO33)</f>
      </c>
      <c r="AV33">
        <f>SUM($AM33:AP33)</f>
      </c>
      <c r="AW33">
        <f>SUM($AM33:AQ33)</f>
      </c>
      <c r="AX33">
        <f>SUM($AM33:AR33)</f>
      </c>
      <c r="AY33">
        <f>AND(ISNUMBER(SEARCH("פ",J75&amp;"")),AX33&gt;0,COUNTIF(AG33:AL33,-1)=0)</f>
      </c>
      <c r="AZ33">
        <f>IF(X33=0,0,IF(AY33,MIN(AX33,72),1))</f>
      </c>
      <c r="BA33">
        <f>SUM($AZ$1:AZ33)</f>
      </c>
      <c r="BB33">
        <f>COUNTIF($BA$1:$BA$72,"&lt;"&amp;33)+1</f>
      </c>
      <c r="BC33">
        <f>IF(BB33&gt;72,0,33-IF(BB33=1,0,INDEX($BA$1:$BA$72,BB33-1)))</f>
      </c>
      <c r="BD33">
        <f>IF(33&gt;$BA$72,0,IF(INDEX($AY$1:$AY$72,BB33),INDEX($AG$1:$AL$72,BB33,(COUNTIF(INDEX($AS$1:$AX$72,BB33,0),"&lt;"&amp;BC33)+1))+BC33-1-IF((COUNTIF(INDEX($AS$1:$AX$72,BB33,0),"&lt;"&amp;BC33)+1)=1,0,INDEX($AS$1:$AX$72,BB33,(COUNTIF(INDEX($AS$1:$AX$72,BB33,0),"&lt;"&amp;BC33)+1)-1)),INDEX($X$1:$X$72,BB33)))</f>
      </c>
      <c r="BE33">
        <f>" "&amp;TRIM(SUBSTITUTE(SUBSTITUTE(SUBSTITUTE(SUBSTITUTE(SUBSTITUTE(B75&amp;"","ו",""),"י",""),"ן","נ"),"-"," "),","," "))</f>
      </c>
      <c r="BF33">
        <f>IF(OR(ISNUMBER(SEARCH(" ארנ",BE33)),ISNUMBER(SEARCH(" הארנ",BE33)),ISNUMBER(SEARCH(" אארנ",BE33)),ISNUMBER(SEARCH(" אנרנ",BE33)),ISNUMBER(SEARCH(" האנרנ",BE33))),1,0)</f>
      </c>
      <c r="BG33">
        <f>IF(AND(BF33=1,ISNUMBER(BI33)),BI33,0)</f>
      </c>
      <c r="BH33">
        <f>IF(AND(BF33=1,NOT(ISNUMBER(BI33))),1,0)</f>
      </c>
      <c r="BI33">
        <f>IF(ISNUMBER(J75),J75,IFERROR(--TRIM(SUBSTITUTE(SUBSTITUTE(J75&amp;"","פצל",""),"פ","")),""))</f>
      </c>
    </row>
    <row r="34" ht="14.25" hidden="1" customHeight="1" x14ac:dyDescent="0.2">
      <c r="A34" s="12"/>
      <c r="B34" s="13"/>
      <c r="C34" s="13"/>
      <c r="D34" s="13"/>
      <c r="E34" s="13"/>
      <c r="F34" s="13"/>
      <c r="G34" s="13"/>
      <c r="H34" s="13"/>
      <c r="I34" s="11"/>
      <c r="K34" s="11" t="b">
        <f>IF(K32&gt;0,N11+1)</f>
      </c>
      <c r="L34" s="11" t="b">
        <f>IF(L32&gt;0,K34+1)</f>
      </c>
      <c r="M34" s="11" t="b">
        <f t="shared" ref="M34:N34" si="6">IF(M32&gt;0,L34+1)</f>
      </c>
      <c r="N34" s="11" t="b">
        <f t="shared" si="6"/>
      </c>
      <c r="O34" s="11" t="b">
        <f>IF(O32&gt;0,R11+1)</f>
      </c>
      <c r="P34" s="11" t="b">
        <f>IF(P32&gt;0,O34+1)</f>
      </c>
      <c r="Q34" s="11" t="b">
        <f t="shared" ref="Q34:R34" si="7">IF(Q32&gt;0,P34+1)</f>
      </c>
      <c r="R34" s="11" t="b">
        <f t="shared" si="7"/>
      </c>
      <c r="S34" s="11" t="b">
        <f>IF(S32&gt;0,V11+1)</f>
      </c>
      <c r="T34" s="11" t="b">
        <f>IF(T32&gt;0,S34+1)</f>
      </c>
      <c r="U34" s="11" t="b">
        <f t="shared" ref="U34:V34" si="8">IF(U32&gt;0,T34+1)</f>
      </c>
      <c r="V34" s="11" t="b">
        <f t="shared" si="8"/>
      </c>
      <c r="X34">
        <f>IF(A76&gt;0,A76,B76)</f>
      </c>
      <c r="Z34">
        <f>SUBSTITUTE(SUBSTITUTE(SUBSTITUTE(SUBSTITUTE(A76&amp;"","–","-"),"--","-"),"--","-")," ","")</f>
      </c>
      <c r="AA34">
        <f>TRIM(MID(SUBSTITUTE(Z34,",",REPT(" ",100)),1,100))</f>
      </c>
      <c r="AB34">
        <f>TRIM(MID(SUBSTITUTE(Z34,",",REPT(" ",100)),101,100))</f>
      </c>
      <c r="AC34">
        <f>TRIM(MID(SUBSTITUTE(Z34,",",REPT(" ",100)),201,100))</f>
      </c>
      <c r="AD34">
        <f>TRIM(MID(SUBSTITUTE(Z34,",",REPT(" ",100)),301,100))</f>
      </c>
      <c r="AE34">
        <f>TRIM(MID(SUBSTITUTE(Z34,",",REPT(" ",100)),401,100))</f>
      </c>
      <c r="AF34">
        <f>TRIM(MID(SUBSTITUTE(Z34,",",REPT(" ",100)),501,100))</f>
      </c>
      <c r="AG34">
        <f>IF(AA34="",0,IFERROR(VALUE(LEFT(AA34,FIND("-",AA34&amp;"-")-1)),-1))</f>
      </c>
      <c r="AH34">
        <f>IF(AB34="",0,IFERROR(VALUE(LEFT(AB34,FIND("-",AB34&amp;"-")-1)),-1))</f>
      </c>
      <c r="AI34">
        <f>IF(AC34="",0,IFERROR(VALUE(LEFT(AC34,FIND("-",AC34&amp;"-")-1)),-1))</f>
      </c>
      <c r="AJ34">
        <f>IF(AD34="",0,IFERROR(VALUE(LEFT(AD34,FIND("-",AD34&amp;"-")-1)),-1))</f>
      </c>
      <c r="AK34">
        <f>IF(AE34="",0,IFERROR(VALUE(LEFT(AE34,FIND("-",AE34&amp;"-")-1)),-1))</f>
      </c>
      <c r="AL34">
        <f>IF(AF34="",0,IFERROR(VALUE(LEFT(AF34,FIND("-",AF34&amp;"-")-1)),-1))</f>
      </c>
      <c r="AM34">
        <f>IF(AG34&lt;=0,0,IFERROR(IF(ISNUMBER(FIND("-",AA34)),MAX(1,VALUE(MID(AA34,FIND("-",AA34)+1,99))-AG34+1),1),1))</f>
      </c>
      <c r="AN34">
        <f>IF(AH34&lt;=0,0,IFERROR(IF(ISNUMBER(FIND("-",AB34)),MAX(1,VALUE(MID(AB34,FIND("-",AB34)+1,99))-AH34+1),1),1))</f>
      </c>
      <c r="AO34">
        <f>IF(AI34&lt;=0,0,IFERROR(IF(ISNUMBER(FIND("-",AC34)),MAX(1,VALUE(MID(AC34,FIND("-",AC34)+1,99))-AI34+1),1),1))</f>
      </c>
      <c r="AP34">
        <f>IF(AJ34&lt;=0,0,IFERROR(IF(ISNUMBER(FIND("-",AD34)),MAX(1,VALUE(MID(AD34,FIND("-",AD34)+1,99))-AJ34+1),1),1))</f>
      </c>
      <c r="AQ34">
        <f>IF(AK34&lt;=0,0,IFERROR(IF(ISNUMBER(FIND("-",AE34)),MAX(1,VALUE(MID(AE34,FIND("-",AE34)+1,99))-AK34+1),1),1))</f>
      </c>
      <c r="AR34">
        <f>IF(AL34&lt;=0,0,IFERROR(IF(ISNUMBER(FIND("-",AF34)),MAX(1,VALUE(MID(AF34,FIND("-",AF34)+1,99))-AL34+1),1),1))</f>
      </c>
      <c r="AS34">
        <f>SUM($AM34:AM34)</f>
      </c>
      <c r="AT34">
        <f>SUM($AM34:AN34)</f>
      </c>
      <c r="AU34">
        <f>SUM($AM34:AO34)</f>
      </c>
      <c r="AV34">
        <f>SUM($AM34:AP34)</f>
      </c>
      <c r="AW34">
        <f>SUM($AM34:AQ34)</f>
      </c>
      <c r="AX34">
        <f>SUM($AM34:AR34)</f>
      </c>
      <c r="AY34">
        <f>AND(ISNUMBER(SEARCH("פ",J76&amp;"")),AX34&gt;0,COUNTIF(AG34:AL34,-1)=0)</f>
      </c>
      <c r="AZ34">
        <f>IF(X34=0,0,IF(AY34,MIN(AX34,72),1))</f>
      </c>
      <c r="BA34">
        <f>SUM($AZ$1:AZ34)</f>
      </c>
      <c r="BB34">
        <f>COUNTIF($BA$1:$BA$72,"&lt;"&amp;34)+1</f>
      </c>
      <c r="BC34">
        <f>IF(BB34&gt;72,0,34-IF(BB34=1,0,INDEX($BA$1:$BA$72,BB34-1)))</f>
      </c>
      <c r="BD34">
        <f>IF(34&gt;$BA$72,0,IF(INDEX($AY$1:$AY$72,BB34),INDEX($AG$1:$AL$72,BB34,(COUNTIF(INDEX($AS$1:$AX$72,BB34,0),"&lt;"&amp;BC34)+1))+BC34-1-IF((COUNTIF(INDEX($AS$1:$AX$72,BB34,0),"&lt;"&amp;BC34)+1)=1,0,INDEX($AS$1:$AX$72,BB34,(COUNTIF(INDEX($AS$1:$AX$72,BB34,0),"&lt;"&amp;BC34)+1)-1)),INDEX($X$1:$X$72,BB34)))</f>
      </c>
      <c r="BE34">
        <f>" "&amp;TRIM(SUBSTITUTE(SUBSTITUTE(SUBSTITUTE(SUBSTITUTE(SUBSTITUTE(B76&amp;"","ו",""),"י",""),"ן","נ"),"-"," "),","," "))</f>
      </c>
      <c r="BF34">
        <f>IF(OR(ISNUMBER(SEARCH(" ארנ",BE34)),ISNUMBER(SEARCH(" הארנ",BE34)),ISNUMBER(SEARCH(" אארנ",BE34)),ISNUMBER(SEARCH(" אנרנ",BE34)),ISNUMBER(SEARCH(" האנרנ",BE34))),1,0)</f>
      </c>
      <c r="BG34">
        <f>IF(AND(BF34=1,ISNUMBER(BI34)),BI34,0)</f>
      </c>
      <c r="BH34">
        <f>IF(AND(BF34=1,NOT(ISNUMBER(BI34))),1,0)</f>
      </c>
      <c r="BI34">
        <f>IF(ISNUMBER(J76),J76,IFERROR(--TRIM(SUBSTITUTE(SUBSTITUTE(J76&amp;"","פצל",""),"פ","")),""))</f>
      </c>
    </row>
    <row r="35" ht="14.25" hidden="1" customHeight="1" x14ac:dyDescent="0.2">
      <c r="A35" s="12"/>
      <c r="B35" s="13"/>
      <c r="C35" s="13"/>
      <c r="D35" s="13"/>
      <c r="E35" s="13"/>
      <c r="F35" s="13"/>
      <c r="G35" s="13"/>
      <c r="H35" s="13"/>
      <c r="I35" s="11"/>
      <c r="K35" s="11" t="str">
        <f>"C:\Users\origr\Pictures\"&amp;K34&amp;".jpg"</f>
      </c>
      <c r="L35" s="11" t="str">
        <f t="shared" ref="L35:V35" si="9">"C:\Users\origr\Pictures\"&amp;L34&amp;".jpg"</f>
      </c>
      <c r="M35" s="11" t="str">
        <f t="shared" si="9"/>
      </c>
      <c r="N35" s="11" t="str">
        <f t="shared" si="9"/>
      </c>
      <c r="O35" s="11" t="str">
        <f t="shared" si="9"/>
      </c>
      <c r="P35" s="11" t="str">
        <f t="shared" si="9"/>
      </c>
      <c r="Q35" s="11" t="str">
        <f t="shared" si="9"/>
      </c>
      <c r="R35" s="11" t="str">
        <f t="shared" si="9"/>
      </c>
      <c r="S35" s="11" t="str">
        <f t="shared" si="9"/>
      </c>
      <c r="T35" s="11" t="str">
        <f t="shared" si="9"/>
      </c>
      <c r="U35" s="11" t="str">
        <f t="shared" si="9"/>
      </c>
      <c r="V35" s="11" t="str">
        <f t="shared" si="9"/>
      </c>
      <c r="X35">
        <f>IF(A77&gt;0,A77,B77)</f>
      </c>
      <c r="Z35">
        <f>SUBSTITUTE(SUBSTITUTE(SUBSTITUTE(SUBSTITUTE(A77&amp;"","–","-"),"--","-"),"--","-")," ","")</f>
      </c>
      <c r="AA35">
        <f>TRIM(MID(SUBSTITUTE(Z35,",",REPT(" ",100)),1,100))</f>
      </c>
      <c r="AB35">
        <f>TRIM(MID(SUBSTITUTE(Z35,",",REPT(" ",100)),101,100))</f>
      </c>
      <c r="AC35">
        <f>TRIM(MID(SUBSTITUTE(Z35,",",REPT(" ",100)),201,100))</f>
      </c>
      <c r="AD35">
        <f>TRIM(MID(SUBSTITUTE(Z35,",",REPT(" ",100)),301,100))</f>
      </c>
      <c r="AE35">
        <f>TRIM(MID(SUBSTITUTE(Z35,",",REPT(" ",100)),401,100))</f>
      </c>
      <c r="AF35">
        <f>TRIM(MID(SUBSTITUTE(Z35,",",REPT(" ",100)),501,100))</f>
      </c>
      <c r="AG35">
        <f>IF(AA35="",0,IFERROR(VALUE(LEFT(AA35,FIND("-",AA35&amp;"-")-1)),-1))</f>
      </c>
      <c r="AH35">
        <f>IF(AB35="",0,IFERROR(VALUE(LEFT(AB35,FIND("-",AB35&amp;"-")-1)),-1))</f>
      </c>
      <c r="AI35">
        <f>IF(AC35="",0,IFERROR(VALUE(LEFT(AC35,FIND("-",AC35&amp;"-")-1)),-1))</f>
      </c>
      <c r="AJ35">
        <f>IF(AD35="",0,IFERROR(VALUE(LEFT(AD35,FIND("-",AD35&amp;"-")-1)),-1))</f>
      </c>
      <c r="AK35">
        <f>IF(AE35="",0,IFERROR(VALUE(LEFT(AE35,FIND("-",AE35&amp;"-")-1)),-1))</f>
      </c>
      <c r="AL35">
        <f>IF(AF35="",0,IFERROR(VALUE(LEFT(AF35,FIND("-",AF35&amp;"-")-1)),-1))</f>
      </c>
      <c r="AM35">
        <f>IF(AG35&lt;=0,0,IFERROR(IF(ISNUMBER(FIND("-",AA35)),MAX(1,VALUE(MID(AA35,FIND("-",AA35)+1,99))-AG35+1),1),1))</f>
      </c>
      <c r="AN35">
        <f>IF(AH35&lt;=0,0,IFERROR(IF(ISNUMBER(FIND("-",AB35)),MAX(1,VALUE(MID(AB35,FIND("-",AB35)+1,99))-AH35+1),1),1))</f>
      </c>
      <c r="AO35">
        <f>IF(AI35&lt;=0,0,IFERROR(IF(ISNUMBER(FIND("-",AC35)),MAX(1,VALUE(MID(AC35,FIND("-",AC35)+1,99))-AI35+1),1),1))</f>
      </c>
      <c r="AP35">
        <f>IF(AJ35&lt;=0,0,IFERROR(IF(ISNUMBER(FIND("-",AD35)),MAX(1,VALUE(MID(AD35,FIND("-",AD35)+1,99))-AJ35+1),1),1))</f>
      </c>
      <c r="AQ35">
        <f>IF(AK35&lt;=0,0,IFERROR(IF(ISNUMBER(FIND("-",AE35)),MAX(1,VALUE(MID(AE35,FIND("-",AE35)+1,99))-AK35+1),1),1))</f>
      </c>
      <c r="AR35">
        <f>IF(AL35&lt;=0,0,IFERROR(IF(ISNUMBER(FIND("-",AF35)),MAX(1,VALUE(MID(AF35,FIND("-",AF35)+1,99))-AL35+1),1),1))</f>
      </c>
      <c r="AS35">
        <f>SUM($AM35:AM35)</f>
      </c>
      <c r="AT35">
        <f>SUM($AM35:AN35)</f>
      </c>
      <c r="AU35">
        <f>SUM($AM35:AO35)</f>
      </c>
      <c r="AV35">
        <f>SUM($AM35:AP35)</f>
      </c>
      <c r="AW35">
        <f>SUM($AM35:AQ35)</f>
      </c>
      <c r="AX35">
        <f>SUM($AM35:AR35)</f>
      </c>
      <c r="AY35">
        <f>AND(ISNUMBER(SEARCH("פ",J77&amp;"")),AX35&gt;0,COUNTIF(AG35:AL35,-1)=0)</f>
      </c>
      <c r="AZ35">
        <f>IF(X35=0,0,IF(AY35,MIN(AX35,72),1))</f>
      </c>
      <c r="BA35">
        <f>SUM($AZ$1:AZ35)</f>
      </c>
      <c r="BB35">
        <f>COUNTIF($BA$1:$BA$72,"&lt;"&amp;35)+1</f>
      </c>
      <c r="BC35">
        <f>IF(BB35&gt;72,0,35-IF(BB35=1,0,INDEX($BA$1:$BA$72,BB35-1)))</f>
      </c>
      <c r="BD35">
        <f>IF(35&gt;$BA$72,0,IF(INDEX($AY$1:$AY$72,BB35),INDEX($AG$1:$AL$72,BB35,(COUNTIF(INDEX($AS$1:$AX$72,BB35,0),"&lt;"&amp;BC35)+1))+BC35-1-IF((COUNTIF(INDEX($AS$1:$AX$72,BB35,0),"&lt;"&amp;BC35)+1)=1,0,INDEX($AS$1:$AX$72,BB35,(COUNTIF(INDEX($AS$1:$AX$72,BB35,0),"&lt;"&amp;BC35)+1)-1)),INDEX($X$1:$X$72,BB35)))</f>
      </c>
      <c r="BE35">
        <f>" "&amp;TRIM(SUBSTITUTE(SUBSTITUTE(SUBSTITUTE(SUBSTITUTE(SUBSTITUTE(B77&amp;"","ו",""),"י",""),"ן","נ"),"-"," "),","," "))</f>
      </c>
      <c r="BF35">
        <f>IF(OR(ISNUMBER(SEARCH(" ארנ",BE35)),ISNUMBER(SEARCH(" הארנ",BE35)),ISNUMBER(SEARCH(" אארנ",BE35)),ISNUMBER(SEARCH(" אנרנ",BE35)),ISNUMBER(SEARCH(" האנרנ",BE35))),1,0)</f>
      </c>
      <c r="BG35">
        <f>IF(AND(BF35=1,ISNUMBER(BI35)),BI35,0)</f>
      </c>
      <c r="BH35">
        <f>IF(AND(BF35=1,NOT(ISNUMBER(BI35))),1,0)</f>
      </c>
      <c r="BI35">
        <f>IF(ISNUMBER(J77),J77,IFERROR(--TRIM(SUBSTITUTE(SUBSTITUTE(J77&amp;"","פצל",""),"פ","")),""))</f>
      </c>
    </row>
    <row r="36" x14ac:dyDescent="0.2">
      <c r="A36" s="12"/>
      <c r="B36" s="13"/>
      <c r="C36" s="13"/>
      <c r="D36" s="13"/>
      <c r="E36" s="13"/>
      <c r="F36" s="13"/>
      <c r="G36" s="13"/>
      <c r="H36" s="13"/>
      <c r="I36" s="11"/>
      <c r="K36" s="11" t="str">
        <f>K35</f>
      </c>
      <c r="L36" s="11" t="str">
        <f t="shared" ref="L36:V37" si="10">L35</f>
      </c>
      <c r="M36" s="11" t="str">
        <f t="shared" si="10"/>
      </c>
      <c r="N36" s="11" t="str">
        <f t="shared" si="10"/>
      </c>
      <c r="O36" s="11" t="str">
        <f t="shared" si="10"/>
      </c>
      <c r="P36" s="11" t="str">
        <f t="shared" si="10"/>
      </c>
      <c r="Q36" s="11" t="str">
        <f t="shared" si="10"/>
      </c>
      <c r="R36" s="11" t="str">
        <f t="shared" si="10"/>
      </c>
      <c r="S36" s="11" t="str">
        <f t="shared" si="10"/>
      </c>
      <c r="T36" s="11" t="str">
        <f t="shared" si="10"/>
      </c>
      <c r="U36" s="11" t="str">
        <f t="shared" si="10"/>
      </c>
      <c r="V36" s="11" t="str">
        <f t="shared" si="10"/>
      </c>
      <c r="X36">
        <f>IF(A78&gt;0,A78,B78)</f>
      </c>
      <c r="Z36">
        <f>SUBSTITUTE(SUBSTITUTE(SUBSTITUTE(SUBSTITUTE(A78&amp;"","–","-"),"--","-"),"--","-")," ","")</f>
      </c>
      <c r="AA36">
        <f>TRIM(MID(SUBSTITUTE(Z36,",",REPT(" ",100)),1,100))</f>
      </c>
      <c r="AB36">
        <f>TRIM(MID(SUBSTITUTE(Z36,",",REPT(" ",100)),101,100))</f>
      </c>
      <c r="AC36">
        <f>TRIM(MID(SUBSTITUTE(Z36,",",REPT(" ",100)),201,100))</f>
      </c>
      <c r="AD36">
        <f>TRIM(MID(SUBSTITUTE(Z36,",",REPT(" ",100)),301,100))</f>
      </c>
      <c r="AE36">
        <f>TRIM(MID(SUBSTITUTE(Z36,",",REPT(" ",100)),401,100))</f>
      </c>
      <c r="AF36">
        <f>TRIM(MID(SUBSTITUTE(Z36,",",REPT(" ",100)),501,100))</f>
      </c>
      <c r="AG36">
        <f>IF(AA36="",0,IFERROR(VALUE(LEFT(AA36,FIND("-",AA36&amp;"-")-1)),-1))</f>
      </c>
      <c r="AH36">
        <f>IF(AB36="",0,IFERROR(VALUE(LEFT(AB36,FIND("-",AB36&amp;"-")-1)),-1))</f>
      </c>
      <c r="AI36">
        <f>IF(AC36="",0,IFERROR(VALUE(LEFT(AC36,FIND("-",AC36&amp;"-")-1)),-1))</f>
      </c>
      <c r="AJ36">
        <f>IF(AD36="",0,IFERROR(VALUE(LEFT(AD36,FIND("-",AD36&amp;"-")-1)),-1))</f>
      </c>
      <c r="AK36">
        <f>IF(AE36="",0,IFERROR(VALUE(LEFT(AE36,FIND("-",AE36&amp;"-")-1)),-1))</f>
      </c>
      <c r="AL36">
        <f>IF(AF36="",0,IFERROR(VALUE(LEFT(AF36,FIND("-",AF36&amp;"-")-1)),-1))</f>
      </c>
      <c r="AM36">
        <f>IF(AG36&lt;=0,0,IFERROR(IF(ISNUMBER(FIND("-",AA36)),MAX(1,VALUE(MID(AA36,FIND("-",AA36)+1,99))-AG36+1),1),1))</f>
      </c>
      <c r="AN36">
        <f>IF(AH36&lt;=0,0,IFERROR(IF(ISNUMBER(FIND("-",AB36)),MAX(1,VALUE(MID(AB36,FIND("-",AB36)+1,99))-AH36+1),1),1))</f>
      </c>
      <c r="AO36">
        <f>IF(AI36&lt;=0,0,IFERROR(IF(ISNUMBER(FIND("-",AC36)),MAX(1,VALUE(MID(AC36,FIND("-",AC36)+1,99))-AI36+1),1),1))</f>
      </c>
      <c r="AP36">
        <f>IF(AJ36&lt;=0,0,IFERROR(IF(ISNUMBER(FIND("-",AD36)),MAX(1,VALUE(MID(AD36,FIND("-",AD36)+1,99))-AJ36+1),1),1))</f>
      </c>
      <c r="AQ36">
        <f>IF(AK36&lt;=0,0,IFERROR(IF(ISNUMBER(FIND("-",AE36)),MAX(1,VALUE(MID(AE36,FIND("-",AE36)+1,99))-AK36+1),1),1))</f>
      </c>
      <c r="AR36">
        <f>IF(AL36&lt;=0,0,IFERROR(IF(ISNUMBER(FIND("-",AF36)),MAX(1,VALUE(MID(AF36,FIND("-",AF36)+1,99))-AL36+1),1),1))</f>
      </c>
      <c r="AS36">
        <f>SUM($AM36:AM36)</f>
      </c>
      <c r="AT36">
        <f>SUM($AM36:AN36)</f>
      </c>
      <c r="AU36">
        <f>SUM($AM36:AO36)</f>
      </c>
      <c r="AV36">
        <f>SUM($AM36:AP36)</f>
      </c>
      <c r="AW36">
        <f>SUM($AM36:AQ36)</f>
      </c>
      <c r="AX36">
        <f>SUM($AM36:AR36)</f>
      </c>
      <c r="AY36">
        <f>AND(ISNUMBER(SEARCH("פ",J78&amp;"")),AX36&gt;0,COUNTIF(AG36:AL36,-1)=0)</f>
      </c>
      <c r="AZ36">
        <f>IF(X36=0,0,IF(AY36,MIN(AX36,72),1))</f>
      </c>
      <c r="BA36">
        <f>SUM($AZ$1:AZ36)</f>
      </c>
      <c r="BB36">
        <f>COUNTIF($BA$1:$BA$72,"&lt;"&amp;36)+1</f>
      </c>
      <c r="BC36">
        <f>IF(BB36&gt;72,0,36-IF(BB36=1,0,INDEX($BA$1:$BA$72,BB36-1)))</f>
      </c>
      <c r="BD36">
        <f>IF(36&gt;$BA$72,0,IF(INDEX($AY$1:$AY$72,BB36),INDEX($AG$1:$AL$72,BB36,(COUNTIF(INDEX($AS$1:$AX$72,BB36,0),"&lt;"&amp;BC36)+1))+BC36-1-IF((COUNTIF(INDEX($AS$1:$AX$72,BB36,0),"&lt;"&amp;BC36)+1)=1,0,INDEX($AS$1:$AX$72,BB36,(COUNTIF(INDEX($AS$1:$AX$72,BB36,0),"&lt;"&amp;BC36)+1)-1)),INDEX($X$1:$X$72,BB36)))</f>
      </c>
      <c r="BE36">
        <f>" "&amp;TRIM(SUBSTITUTE(SUBSTITUTE(SUBSTITUTE(SUBSTITUTE(SUBSTITUTE(B78&amp;"","ו",""),"י",""),"ן","נ"),"-"," "),","," "))</f>
      </c>
      <c r="BF36">
        <f>IF(OR(ISNUMBER(SEARCH(" ארנ",BE36)),ISNUMBER(SEARCH(" הארנ",BE36)),ISNUMBER(SEARCH(" אארנ",BE36)),ISNUMBER(SEARCH(" אנרנ",BE36)),ISNUMBER(SEARCH(" האנרנ",BE36))),1,0)</f>
      </c>
      <c r="BG36">
        <f>IF(AND(BF36=1,ISNUMBER(BI36)),BI36,0)</f>
      </c>
      <c r="BH36">
        <f>IF(AND(BF36=1,NOT(ISNUMBER(BI36))),1,0)</f>
      </c>
      <c r="BI36">
        <f>IF(ISNUMBER(J78),J78,IFERROR(--TRIM(SUBSTITUTE(SUBSTITUTE(J78&amp;"","פצל",""),"פ","")),""))</f>
      </c>
    </row>
    <row r="37" x14ac:dyDescent="0.2">
      <c r="A37" s="9"/>
      <c r="B37" s="29"/>
      <c r="C37" s="30"/>
      <c r="D37" s="29"/>
      <c r="E37" s="31"/>
      <c r="F37" s="31"/>
      <c r="G37" s="31"/>
      <c r="H37" s="30"/>
      <c r="I37" s="3"/>
      <c r="J37" s="46"/>
      <c r="K37" s="22" t="str">
        <f>K36</f>
      </c>
      <c r="L37" s="22" t="str">
        <f t="shared" si="10"/>
      </c>
      <c r="M37" s="22" t="str">
        <f t="shared" si="10"/>
      </c>
      <c r="N37" s="22" t="str">
        <f t="shared" si="10"/>
      </c>
      <c r="O37" s="22" t="str">
        <f t="shared" si="10"/>
      </c>
      <c r="P37" s="22" t="str">
        <f t="shared" si="10"/>
      </c>
      <c r="Q37" s="22" t="str">
        <f t="shared" si="10"/>
      </c>
      <c r="R37" s="22" t="str">
        <f t="shared" si="10"/>
      </c>
      <c r="S37" s="22" t="str">
        <f t="shared" si="10"/>
      </c>
      <c r="T37" s="22" t="str">
        <f t="shared" si="10"/>
      </c>
      <c r="U37" s="22" t="str">
        <f t="shared" si="10"/>
      </c>
      <c r="V37" s="22" t="str">
        <f t="shared" si="10"/>
      </c>
      <c r="X37">
        <f>IF(A79&gt;0,A79,B79)</f>
      </c>
      <c r="Z37">
        <f>SUBSTITUTE(SUBSTITUTE(SUBSTITUTE(SUBSTITUTE(A79&amp;"","–","-"),"--","-"),"--","-")," ","")</f>
      </c>
      <c r="AA37">
        <f>TRIM(MID(SUBSTITUTE(Z37,",",REPT(" ",100)),1,100))</f>
      </c>
      <c r="AB37">
        <f>TRIM(MID(SUBSTITUTE(Z37,",",REPT(" ",100)),101,100))</f>
      </c>
      <c r="AC37">
        <f>TRIM(MID(SUBSTITUTE(Z37,",",REPT(" ",100)),201,100))</f>
      </c>
      <c r="AD37">
        <f>TRIM(MID(SUBSTITUTE(Z37,",",REPT(" ",100)),301,100))</f>
      </c>
      <c r="AE37">
        <f>TRIM(MID(SUBSTITUTE(Z37,",",REPT(" ",100)),401,100))</f>
      </c>
      <c r="AF37">
        <f>TRIM(MID(SUBSTITUTE(Z37,",",REPT(" ",100)),501,100))</f>
      </c>
      <c r="AG37">
        <f>IF(AA37="",0,IFERROR(VALUE(LEFT(AA37,FIND("-",AA37&amp;"-")-1)),-1))</f>
      </c>
      <c r="AH37">
        <f>IF(AB37="",0,IFERROR(VALUE(LEFT(AB37,FIND("-",AB37&amp;"-")-1)),-1))</f>
      </c>
      <c r="AI37">
        <f>IF(AC37="",0,IFERROR(VALUE(LEFT(AC37,FIND("-",AC37&amp;"-")-1)),-1))</f>
      </c>
      <c r="AJ37">
        <f>IF(AD37="",0,IFERROR(VALUE(LEFT(AD37,FIND("-",AD37&amp;"-")-1)),-1))</f>
      </c>
      <c r="AK37">
        <f>IF(AE37="",0,IFERROR(VALUE(LEFT(AE37,FIND("-",AE37&amp;"-")-1)),-1))</f>
      </c>
      <c r="AL37">
        <f>IF(AF37="",0,IFERROR(VALUE(LEFT(AF37,FIND("-",AF37&amp;"-")-1)),-1))</f>
      </c>
      <c r="AM37">
        <f>IF(AG37&lt;=0,0,IFERROR(IF(ISNUMBER(FIND("-",AA37)),MAX(1,VALUE(MID(AA37,FIND("-",AA37)+1,99))-AG37+1),1),1))</f>
      </c>
      <c r="AN37">
        <f>IF(AH37&lt;=0,0,IFERROR(IF(ISNUMBER(FIND("-",AB37)),MAX(1,VALUE(MID(AB37,FIND("-",AB37)+1,99))-AH37+1),1),1))</f>
      </c>
      <c r="AO37">
        <f>IF(AI37&lt;=0,0,IFERROR(IF(ISNUMBER(FIND("-",AC37)),MAX(1,VALUE(MID(AC37,FIND("-",AC37)+1,99))-AI37+1),1),1))</f>
      </c>
      <c r="AP37">
        <f>IF(AJ37&lt;=0,0,IFERROR(IF(ISNUMBER(FIND("-",AD37)),MAX(1,VALUE(MID(AD37,FIND("-",AD37)+1,99))-AJ37+1),1),1))</f>
      </c>
      <c r="AQ37">
        <f>IF(AK37&lt;=0,0,IFERROR(IF(ISNUMBER(FIND("-",AE37)),MAX(1,VALUE(MID(AE37,FIND("-",AE37)+1,99))-AK37+1),1),1))</f>
      </c>
      <c r="AR37">
        <f>IF(AL37&lt;=0,0,IFERROR(IF(ISNUMBER(FIND("-",AF37)),MAX(1,VALUE(MID(AF37,FIND("-",AF37)+1,99))-AL37+1),1),1))</f>
      </c>
      <c r="AS37">
        <f>SUM($AM37:AM37)</f>
      </c>
      <c r="AT37">
        <f>SUM($AM37:AN37)</f>
      </c>
      <c r="AU37">
        <f>SUM($AM37:AO37)</f>
      </c>
      <c r="AV37">
        <f>SUM($AM37:AP37)</f>
      </c>
      <c r="AW37">
        <f>SUM($AM37:AQ37)</f>
      </c>
      <c r="AX37">
        <f>SUM($AM37:AR37)</f>
      </c>
      <c r="AY37">
        <f>AND(ISNUMBER(SEARCH("פ",J79&amp;"")),AX37&gt;0,COUNTIF(AG37:AL37,-1)=0)</f>
      </c>
      <c r="AZ37">
        <f>IF(X37=0,0,IF(AY37,MIN(AX37,72),1))</f>
      </c>
      <c r="BA37">
        <f>SUM($AZ$1:AZ37)</f>
      </c>
      <c r="BB37">
        <f>COUNTIF($BA$1:$BA$72,"&lt;"&amp;37)+1</f>
      </c>
      <c r="BC37">
        <f>IF(BB37&gt;72,0,37-IF(BB37=1,0,INDEX($BA$1:$BA$72,BB37-1)))</f>
      </c>
      <c r="BD37">
        <f>IF(37&gt;$BA$72,0,IF(INDEX($AY$1:$AY$72,BB37),INDEX($AG$1:$AL$72,BB37,(COUNTIF(INDEX($AS$1:$AX$72,BB37,0),"&lt;"&amp;BC37)+1))+BC37-1-IF((COUNTIF(INDEX($AS$1:$AX$72,BB37,0),"&lt;"&amp;BC37)+1)=1,0,INDEX($AS$1:$AX$72,BB37,(COUNTIF(INDEX($AS$1:$AX$72,BB37,0),"&lt;"&amp;BC37)+1)-1)),INDEX($X$1:$X$72,BB37)))</f>
      </c>
      <c r="BE37">
        <f>" "&amp;TRIM(SUBSTITUTE(SUBSTITUTE(SUBSTITUTE(SUBSTITUTE(SUBSTITUTE(B79&amp;"","ו",""),"י",""),"ן","נ"),"-"," "),","," "))</f>
      </c>
      <c r="BF37">
        <f>IF(OR(ISNUMBER(SEARCH(" ארנ",BE37)),ISNUMBER(SEARCH(" הארנ",BE37)),ISNUMBER(SEARCH(" אארנ",BE37)),ISNUMBER(SEARCH(" אנרנ",BE37)),ISNUMBER(SEARCH(" האנרנ",BE37))),1,0)</f>
      </c>
      <c r="BG37">
        <f>IF(AND(BF37=1,ISNUMBER(BI37)),BI37,0)</f>
      </c>
      <c r="BH37">
        <f>IF(AND(BF37=1,NOT(ISNUMBER(BI37))),1,0)</f>
      </c>
      <c r="BI37">
        <f>IF(ISNUMBER(J79),J79,IFERROR(--TRIM(SUBSTITUTE(SUBSTITUTE(J79&amp;"","פצל",""),"פ","")),""))</f>
      </c>
    </row>
    <row r="38" x14ac:dyDescent="0.2">
      <c r="A38" s="9"/>
      <c r="B38" s="29"/>
      <c r="C38" s="30"/>
      <c r="D38" s="29"/>
      <c r="E38" s="31"/>
      <c r="F38" s="31"/>
      <c r="G38" s="31"/>
      <c r="H38" s="30"/>
      <c r="I38" s="3"/>
      <c r="J38" s="46"/>
      <c r="K38" s="22"/>
      <c r="L38" s="22"/>
      <c r="M38" s="22"/>
      <c r="N38" s="22"/>
      <c r="O38" s="22"/>
      <c r="P38" s="22"/>
      <c r="Q38" s="22"/>
      <c r="R38" s="22"/>
      <c r="S38" s="22"/>
      <c r="T38" s="22"/>
      <c r="U38" s="22"/>
      <c r="V38" s="22"/>
      <c r="X38">
        <f>IF(A80&gt;0,A80,B80)</f>
      </c>
      <c r="Z38">
        <f>SUBSTITUTE(SUBSTITUTE(SUBSTITUTE(SUBSTITUTE(A80&amp;"","–","-"),"--","-"),"--","-")," ","")</f>
      </c>
      <c r="AA38">
        <f>TRIM(MID(SUBSTITUTE(Z38,",",REPT(" ",100)),1,100))</f>
      </c>
      <c r="AB38">
        <f>TRIM(MID(SUBSTITUTE(Z38,",",REPT(" ",100)),101,100))</f>
      </c>
      <c r="AC38">
        <f>TRIM(MID(SUBSTITUTE(Z38,",",REPT(" ",100)),201,100))</f>
      </c>
      <c r="AD38">
        <f>TRIM(MID(SUBSTITUTE(Z38,",",REPT(" ",100)),301,100))</f>
      </c>
      <c r="AE38">
        <f>TRIM(MID(SUBSTITUTE(Z38,",",REPT(" ",100)),401,100))</f>
      </c>
      <c r="AF38">
        <f>TRIM(MID(SUBSTITUTE(Z38,",",REPT(" ",100)),501,100))</f>
      </c>
      <c r="AG38">
        <f>IF(AA38="",0,IFERROR(VALUE(LEFT(AA38,FIND("-",AA38&amp;"-")-1)),-1))</f>
      </c>
      <c r="AH38">
        <f>IF(AB38="",0,IFERROR(VALUE(LEFT(AB38,FIND("-",AB38&amp;"-")-1)),-1))</f>
      </c>
      <c r="AI38">
        <f>IF(AC38="",0,IFERROR(VALUE(LEFT(AC38,FIND("-",AC38&amp;"-")-1)),-1))</f>
      </c>
      <c r="AJ38">
        <f>IF(AD38="",0,IFERROR(VALUE(LEFT(AD38,FIND("-",AD38&amp;"-")-1)),-1))</f>
      </c>
      <c r="AK38">
        <f>IF(AE38="",0,IFERROR(VALUE(LEFT(AE38,FIND("-",AE38&amp;"-")-1)),-1))</f>
      </c>
      <c r="AL38">
        <f>IF(AF38="",0,IFERROR(VALUE(LEFT(AF38,FIND("-",AF38&amp;"-")-1)),-1))</f>
      </c>
      <c r="AM38">
        <f>IF(AG38&lt;=0,0,IFERROR(IF(ISNUMBER(FIND("-",AA38)),MAX(1,VALUE(MID(AA38,FIND("-",AA38)+1,99))-AG38+1),1),1))</f>
      </c>
      <c r="AN38">
        <f>IF(AH38&lt;=0,0,IFERROR(IF(ISNUMBER(FIND("-",AB38)),MAX(1,VALUE(MID(AB38,FIND("-",AB38)+1,99))-AH38+1),1),1))</f>
      </c>
      <c r="AO38">
        <f>IF(AI38&lt;=0,0,IFERROR(IF(ISNUMBER(FIND("-",AC38)),MAX(1,VALUE(MID(AC38,FIND("-",AC38)+1,99))-AI38+1),1),1))</f>
      </c>
      <c r="AP38">
        <f>IF(AJ38&lt;=0,0,IFERROR(IF(ISNUMBER(FIND("-",AD38)),MAX(1,VALUE(MID(AD38,FIND("-",AD38)+1,99))-AJ38+1),1),1))</f>
      </c>
      <c r="AQ38">
        <f>IF(AK38&lt;=0,0,IFERROR(IF(ISNUMBER(FIND("-",AE38)),MAX(1,VALUE(MID(AE38,FIND("-",AE38)+1,99))-AK38+1),1),1))</f>
      </c>
      <c r="AR38">
        <f>IF(AL38&lt;=0,0,IFERROR(IF(ISNUMBER(FIND("-",AF38)),MAX(1,VALUE(MID(AF38,FIND("-",AF38)+1,99))-AL38+1),1),1))</f>
      </c>
      <c r="AS38">
        <f>SUM($AM38:AM38)</f>
      </c>
      <c r="AT38">
        <f>SUM($AM38:AN38)</f>
      </c>
      <c r="AU38">
        <f>SUM($AM38:AO38)</f>
      </c>
      <c r="AV38">
        <f>SUM($AM38:AP38)</f>
      </c>
      <c r="AW38">
        <f>SUM($AM38:AQ38)</f>
      </c>
      <c r="AX38">
        <f>SUM($AM38:AR38)</f>
      </c>
      <c r="AY38">
        <f>AND(ISNUMBER(SEARCH("פ",J80&amp;"")),AX38&gt;0,COUNTIF(AG38:AL38,-1)=0)</f>
      </c>
      <c r="AZ38">
        <f>IF(X38=0,0,IF(AY38,MIN(AX38,72),1))</f>
      </c>
      <c r="BA38">
        <f>SUM($AZ$1:AZ38)</f>
      </c>
      <c r="BB38">
        <f>COUNTIF($BA$1:$BA$72,"&lt;"&amp;38)+1</f>
      </c>
      <c r="BC38">
        <f>IF(BB38&gt;72,0,38-IF(BB38=1,0,INDEX($BA$1:$BA$72,BB38-1)))</f>
      </c>
      <c r="BD38">
        <f>IF(38&gt;$BA$72,0,IF(INDEX($AY$1:$AY$72,BB38),INDEX($AG$1:$AL$72,BB38,(COUNTIF(INDEX($AS$1:$AX$72,BB38,0),"&lt;"&amp;BC38)+1))+BC38-1-IF((COUNTIF(INDEX($AS$1:$AX$72,BB38,0),"&lt;"&amp;BC38)+1)=1,0,INDEX($AS$1:$AX$72,BB38,(COUNTIF(INDEX($AS$1:$AX$72,BB38,0),"&lt;"&amp;BC38)+1)-1)),INDEX($X$1:$X$72,BB38)))</f>
      </c>
      <c r="BE38">
        <f>" "&amp;TRIM(SUBSTITUTE(SUBSTITUTE(SUBSTITUTE(SUBSTITUTE(SUBSTITUTE(B80&amp;"","ו",""),"י",""),"ן","נ"),"-"," "),","," "))</f>
      </c>
      <c r="BF38">
        <f>IF(OR(ISNUMBER(SEARCH(" ארנ",BE38)),ISNUMBER(SEARCH(" הארנ",BE38)),ISNUMBER(SEARCH(" אארנ",BE38)),ISNUMBER(SEARCH(" אנרנ",BE38)),ISNUMBER(SEARCH(" האנרנ",BE38))),1,0)</f>
      </c>
      <c r="BG38">
        <f>IF(AND(BF38=1,ISNUMBER(BI38)),BI38,0)</f>
      </c>
      <c r="BH38">
        <f>IF(AND(BF38=1,NOT(ISNUMBER(BI38))),1,0)</f>
      </c>
      <c r="BI38">
        <f>IF(ISNUMBER(J80),J80,IFERROR(--TRIM(SUBSTITUTE(SUBSTITUTE(J80&amp;"","פצל",""),"פ","")),""))</f>
      </c>
    </row>
    <row r="39" x14ac:dyDescent="0.2">
      <c r="A39" s="9"/>
      <c r="B39" s="29"/>
      <c r="C39" s="30"/>
      <c r="D39" s="29"/>
      <c r="E39" s="31"/>
      <c r="F39" s="31"/>
      <c r="G39" s="31"/>
      <c r="H39" s="30"/>
      <c r="I39" s="3"/>
      <c r="J39" s="46"/>
      <c r="K39" s="22"/>
      <c r="L39" s="22"/>
      <c r="M39" s="22"/>
      <c r="N39" s="22"/>
      <c r="O39" s="22"/>
      <c r="P39" s="22"/>
      <c r="Q39" s="22"/>
      <c r="R39" s="22"/>
      <c r="S39" s="22"/>
      <c r="T39" s="22"/>
      <c r="U39" s="22"/>
      <c r="V39" s="22"/>
      <c r="X39">
        <f>IF(A81&gt;0,A81,B81)</f>
      </c>
      <c r="Z39">
        <f>SUBSTITUTE(SUBSTITUTE(SUBSTITUTE(SUBSTITUTE(A81&amp;"","–","-"),"--","-"),"--","-")," ","")</f>
      </c>
      <c r="AA39">
        <f>TRIM(MID(SUBSTITUTE(Z39,",",REPT(" ",100)),1,100))</f>
      </c>
      <c r="AB39">
        <f>TRIM(MID(SUBSTITUTE(Z39,",",REPT(" ",100)),101,100))</f>
      </c>
      <c r="AC39">
        <f>TRIM(MID(SUBSTITUTE(Z39,",",REPT(" ",100)),201,100))</f>
      </c>
      <c r="AD39">
        <f>TRIM(MID(SUBSTITUTE(Z39,",",REPT(" ",100)),301,100))</f>
      </c>
      <c r="AE39">
        <f>TRIM(MID(SUBSTITUTE(Z39,",",REPT(" ",100)),401,100))</f>
      </c>
      <c r="AF39">
        <f>TRIM(MID(SUBSTITUTE(Z39,",",REPT(" ",100)),501,100))</f>
      </c>
      <c r="AG39">
        <f>IF(AA39="",0,IFERROR(VALUE(LEFT(AA39,FIND("-",AA39&amp;"-")-1)),-1))</f>
      </c>
      <c r="AH39">
        <f>IF(AB39="",0,IFERROR(VALUE(LEFT(AB39,FIND("-",AB39&amp;"-")-1)),-1))</f>
      </c>
      <c r="AI39">
        <f>IF(AC39="",0,IFERROR(VALUE(LEFT(AC39,FIND("-",AC39&amp;"-")-1)),-1))</f>
      </c>
      <c r="AJ39">
        <f>IF(AD39="",0,IFERROR(VALUE(LEFT(AD39,FIND("-",AD39&amp;"-")-1)),-1))</f>
      </c>
      <c r="AK39">
        <f>IF(AE39="",0,IFERROR(VALUE(LEFT(AE39,FIND("-",AE39&amp;"-")-1)),-1))</f>
      </c>
      <c r="AL39">
        <f>IF(AF39="",0,IFERROR(VALUE(LEFT(AF39,FIND("-",AF39&amp;"-")-1)),-1))</f>
      </c>
      <c r="AM39">
        <f>IF(AG39&lt;=0,0,IFERROR(IF(ISNUMBER(FIND("-",AA39)),MAX(1,VALUE(MID(AA39,FIND("-",AA39)+1,99))-AG39+1),1),1))</f>
      </c>
      <c r="AN39">
        <f>IF(AH39&lt;=0,0,IFERROR(IF(ISNUMBER(FIND("-",AB39)),MAX(1,VALUE(MID(AB39,FIND("-",AB39)+1,99))-AH39+1),1),1))</f>
      </c>
      <c r="AO39">
        <f>IF(AI39&lt;=0,0,IFERROR(IF(ISNUMBER(FIND("-",AC39)),MAX(1,VALUE(MID(AC39,FIND("-",AC39)+1,99))-AI39+1),1),1))</f>
      </c>
      <c r="AP39">
        <f>IF(AJ39&lt;=0,0,IFERROR(IF(ISNUMBER(FIND("-",AD39)),MAX(1,VALUE(MID(AD39,FIND("-",AD39)+1,99))-AJ39+1),1),1))</f>
      </c>
      <c r="AQ39">
        <f>IF(AK39&lt;=0,0,IFERROR(IF(ISNUMBER(FIND("-",AE39)),MAX(1,VALUE(MID(AE39,FIND("-",AE39)+1,99))-AK39+1),1),1))</f>
      </c>
      <c r="AR39">
        <f>IF(AL39&lt;=0,0,IFERROR(IF(ISNUMBER(FIND("-",AF39)),MAX(1,VALUE(MID(AF39,FIND("-",AF39)+1,99))-AL39+1),1),1))</f>
      </c>
      <c r="AS39">
        <f>SUM($AM39:AM39)</f>
      </c>
      <c r="AT39">
        <f>SUM($AM39:AN39)</f>
      </c>
      <c r="AU39">
        <f>SUM($AM39:AO39)</f>
      </c>
      <c r="AV39">
        <f>SUM($AM39:AP39)</f>
      </c>
      <c r="AW39">
        <f>SUM($AM39:AQ39)</f>
      </c>
      <c r="AX39">
        <f>SUM($AM39:AR39)</f>
      </c>
      <c r="AY39">
        <f>AND(ISNUMBER(SEARCH("פ",J81&amp;"")),AX39&gt;0,COUNTIF(AG39:AL39,-1)=0)</f>
      </c>
      <c r="AZ39">
        <f>IF(X39=0,0,IF(AY39,MIN(AX39,72),1))</f>
      </c>
      <c r="BA39">
        <f>SUM($AZ$1:AZ39)</f>
      </c>
      <c r="BB39">
        <f>COUNTIF($BA$1:$BA$72,"&lt;"&amp;39)+1</f>
      </c>
      <c r="BC39">
        <f>IF(BB39&gt;72,0,39-IF(BB39=1,0,INDEX($BA$1:$BA$72,BB39-1)))</f>
      </c>
      <c r="BD39">
        <f>IF(39&gt;$BA$72,0,IF(INDEX($AY$1:$AY$72,BB39),INDEX($AG$1:$AL$72,BB39,(COUNTIF(INDEX($AS$1:$AX$72,BB39,0),"&lt;"&amp;BC39)+1))+BC39-1-IF((COUNTIF(INDEX($AS$1:$AX$72,BB39,0),"&lt;"&amp;BC39)+1)=1,0,INDEX($AS$1:$AX$72,BB39,(COUNTIF(INDEX($AS$1:$AX$72,BB39,0),"&lt;"&amp;BC39)+1)-1)),INDEX($X$1:$X$72,BB39)))</f>
      </c>
      <c r="BE39">
        <f>" "&amp;TRIM(SUBSTITUTE(SUBSTITUTE(SUBSTITUTE(SUBSTITUTE(SUBSTITUTE(B81&amp;"","ו",""),"י",""),"ן","נ"),"-"," "),","," "))</f>
      </c>
      <c r="BF39">
        <f>IF(OR(ISNUMBER(SEARCH(" ארנ",BE39)),ISNUMBER(SEARCH(" הארנ",BE39)),ISNUMBER(SEARCH(" אארנ",BE39)),ISNUMBER(SEARCH(" אנרנ",BE39)),ISNUMBER(SEARCH(" האנרנ",BE39))),1,0)</f>
      </c>
      <c r="BG39">
        <f>IF(AND(BF39=1,ISNUMBER(BI39)),BI39,0)</f>
      </c>
      <c r="BH39">
        <f>IF(AND(BF39=1,NOT(ISNUMBER(BI39))),1,0)</f>
      </c>
      <c r="BI39">
        <f>IF(ISNUMBER(J81),J81,IFERROR(--TRIM(SUBSTITUTE(SUBSTITUTE(J81&amp;"","פצל",""),"פ","")),""))</f>
      </c>
    </row>
    <row r="40" x14ac:dyDescent="0.2">
      <c r="A40" s="9"/>
      <c r="B40" s="29"/>
      <c r="C40" s="30"/>
      <c r="D40" s="29"/>
      <c r="E40" s="31"/>
      <c r="F40" s="31"/>
      <c r="G40" s="31"/>
      <c r="H40" s="30"/>
      <c r="I40" s="3"/>
      <c r="J40" s="46"/>
      <c r="K40" s="22"/>
      <c r="L40" s="22"/>
      <c r="M40" s="22"/>
      <c r="N40" s="22"/>
      <c r="O40" s="22"/>
      <c r="P40" s="22"/>
      <c r="Q40" s="22"/>
      <c r="R40" s="22"/>
      <c r="S40" s="22"/>
      <c r="T40" s="22"/>
      <c r="U40" s="22"/>
      <c r="V40" s="22"/>
      <c r="X40">
        <f>IF(A82&gt;0,A82,B82)</f>
      </c>
      <c r="Z40">
        <f>SUBSTITUTE(SUBSTITUTE(SUBSTITUTE(SUBSTITUTE(A82&amp;"","–","-"),"--","-"),"--","-")," ","")</f>
      </c>
      <c r="AA40">
        <f>TRIM(MID(SUBSTITUTE(Z40,",",REPT(" ",100)),1,100))</f>
      </c>
      <c r="AB40">
        <f>TRIM(MID(SUBSTITUTE(Z40,",",REPT(" ",100)),101,100))</f>
      </c>
      <c r="AC40">
        <f>TRIM(MID(SUBSTITUTE(Z40,",",REPT(" ",100)),201,100))</f>
      </c>
      <c r="AD40">
        <f>TRIM(MID(SUBSTITUTE(Z40,",",REPT(" ",100)),301,100))</f>
      </c>
      <c r="AE40">
        <f>TRIM(MID(SUBSTITUTE(Z40,",",REPT(" ",100)),401,100))</f>
      </c>
      <c r="AF40">
        <f>TRIM(MID(SUBSTITUTE(Z40,",",REPT(" ",100)),501,100))</f>
      </c>
      <c r="AG40">
        <f>IF(AA40="",0,IFERROR(VALUE(LEFT(AA40,FIND("-",AA40&amp;"-")-1)),-1))</f>
      </c>
      <c r="AH40">
        <f>IF(AB40="",0,IFERROR(VALUE(LEFT(AB40,FIND("-",AB40&amp;"-")-1)),-1))</f>
      </c>
      <c r="AI40">
        <f>IF(AC40="",0,IFERROR(VALUE(LEFT(AC40,FIND("-",AC40&amp;"-")-1)),-1))</f>
      </c>
      <c r="AJ40">
        <f>IF(AD40="",0,IFERROR(VALUE(LEFT(AD40,FIND("-",AD40&amp;"-")-1)),-1))</f>
      </c>
      <c r="AK40">
        <f>IF(AE40="",0,IFERROR(VALUE(LEFT(AE40,FIND("-",AE40&amp;"-")-1)),-1))</f>
      </c>
      <c r="AL40">
        <f>IF(AF40="",0,IFERROR(VALUE(LEFT(AF40,FIND("-",AF40&amp;"-")-1)),-1))</f>
      </c>
      <c r="AM40">
        <f>IF(AG40&lt;=0,0,IFERROR(IF(ISNUMBER(FIND("-",AA40)),MAX(1,VALUE(MID(AA40,FIND("-",AA40)+1,99))-AG40+1),1),1))</f>
      </c>
      <c r="AN40">
        <f>IF(AH40&lt;=0,0,IFERROR(IF(ISNUMBER(FIND("-",AB40)),MAX(1,VALUE(MID(AB40,FIND("-",AB40)+1,99))-AH40+1),1),1))</f>
      </c>
      <c r="AO40">
        <f>IF(AI40&lt;=0,0,IFERROR(IF(ISNUMBER(FIND("-",AC40)),MAX(1,VALUE(MID(AC40,FIND("-",AC40)+1,99))-AI40+1),1),1))</f>
      </c>
      <c r="AP40">
        <f>IF(AJ40&lt;=0,0,IFERROR(IF(ISNUMBER(FIND("-",AD40)),MAX(1,VALUE(MID(AD40,FIND("-",AD40)+1,99))-AJ40+1),1),1))</f>
      </c>
      <c r="AQ40">
        <f>IF(AK40&lt;=0,0,IFERROR(IF(ISNUMBER(FIND("-",AE40)),MAX(1,VALUE(MID(AE40,FIND("-",AE40)+1,99))-AK40+1),1),1))</f>
      </c>
      <c r="AR40">
        <f>IF(AL40&lt;=0,0,IFERROR(IF(ISNUMBER(FIND("-",AF40)),MAX(1,VALUE(MID(AF40,FIND("-",AF40)+1,99))-AL40+1),1),1))</f>
      </c>
      <c r="AS40">
        <f>SUM($AM40:AM40)</f>
      </c>
      <c r="AT40">
        <f>SUM($AM40:AN40)</f>
      </c>
      <c r="AU40">
        <f>SUM($AM40:AO40)</f>
      </c>
      <c r="AV40">
        <f>SUM($AM40:AP40)</f>
      </c>
      <c r="AW40">
        <f>SUM($AM40:AQ40)</f>
      </c>
      <c r="AX40">
        <f>SUM($AM40:AR40)</f>
      </c>
      <c r="AY40">
        <f>AND(ISNUMBER(SEARCH("פ",J82&amp;"")),AX40&gt;0,COUNTIF(AG40:AL40,-1)=0)</f>
      </c>
      <c r="AZ40">
        <f>IF(X40=0,0,IF(AY40,MIN(AX40,72),1))</f>
      </c>
      <c r="BA40">
        <f>SUM($AZ$1:AZ40)</f>
      </c>
      <c r="BB40">
        <f>COUNTIF($BA$1:$BA$72,"&lt;"&amp;40)+1</f>
      </c>
      <c r="BC40">
        <f>IF(BB40&gt;72,0,40-IF(BB40=1,0,INDEX($BA$1:$BA$72,BB40-1)))</f>
      </c>
      <c r="BD40">
        <f>IF(40&gt;$BA$72,0,IF(INDEX($AY$1:$AY$72,BB40),INDEX($AG$1:$AL$72,BB40,(COUNTIF(INDEX($AS$1:$AX$72,BB40,0),"&lt;"&amp;BC40)+1))+BC40-1-IF((COUNTIF(INDEX($AS$1:$AX$72,BB40,0),"&lt;"&amp;BC40)+1)=1,0,INDEX($AS$1:$AX$72,BB40,(COUNTIF(INDEX($AS$1:$AX$72,BB40,0),"&lt;"&amp;BC40)+1)-1)),INDEX($X$1:$X$72,BB40)))</f>
      </c>
      <c r="BE40">
        <f>" "&amp;TRIM(SUBSTITUTE(SUBSTITUTE(SUBSTITUTE(SUBSTITUTE(SUBSTITUTE(B82&amp;"","ו",""),"י",""),"ן","נ"),"-"," "),","," "))</f>
      </c>
      <c r="BF40">
        <f>IF(OR(ISNUMBER(SEARCH(" ארנ",BE40)),ISNUMBER(SEARCH(" הארנ",BE40)),ISNUMBER(SEARCH(" אארנ",BE40)),ISNUMBER(SEARCH(" אנרנ",BE40)),ISNUMBER(SEARCH(" האנרנ",BE40))),1,0)</f>
      </c>
      <c r="BG40">
        <f>IF(AND(BF40=1,ISNUMBER(BI40)),BI40,0)</f>
      </c>
      <c r="BH40">
        <f>IF(AND(BF40=1,NOT(ISNUMBER(BI40))),1,0)</f>
      </c>
      <c r="BI40">
        <f>IF(ISNUMBER(J82),J82,IFERROR(--TRIM(SUBSTITUTE(SUBSTITUTE(J82&amp;"","פצל",""),"פ","")),""))</f>
      </c>
    </row>
    <row r="41" x14ac:dyDescent="0.2">
      <c r="A41" s="9"/>
      <c r="B41" s="29"/>
      <c r="C41" s="30"/>
      <c r="D41" s="29"/>
      <c r="E41" s="31"/>
      <c r="F41" s="31"/>
      <c r="G41" s="31"/>
      <c r="H41" s="30"/>
      <c r="I41" s="3"/>
      <c r="J41" s="46"/>
      <c r="K41" s="22"/>
      <c r="L41" s="22"/>
      <c r="M41" s="22"/>
      <c r="N41" s="22"/>
      <c r="O41" s="22"/>
      <c r="P41" s="22"/>
      <c r="Q41" s="22"/>
      <c r="R41" s="22"/>
      <c r="S41" s="22"/>
      <c r="T41" s="22"/>
      <c r="U41" s="22"/>
      <c r="V41" s="22"/>
      <c r="X41">
        <f>IF(A83&gt;0,A83,B83)</f>
      </c>
      <c r="Z41">
        <f>SUBSTITUTE(SUBSTITUTE(SUBSTITUTE(SUBSTITUTE(A83&amp;"","–","-"),"--","-"),"--","-")," ","")</f>
      </c>
      <c r="AA41">
        <f>TRIM(MID(SUBSTITUTE(Z41,",",REPT(" ",100)),1,100))</f>
      </c>
      <c r="AB41">
        <f>TRIM(MID(SUBSTITUTE(Z41,",",REPT(" ",100)),101,100))</f>
      </c>
      <c r="AC41">
        <f>TRIM(MID(SUBSTITUTE(Z41,",",REPT(" ",100)),201,100))</f>
      </c>
      <c r="AD41">
        <f>TRIM(MID(SUBSTITUTE(Z41,",",REPT(" ",100)),301,100))</f>
      </c>
      <c r="AE41">
        <f>TRIM(MID(SUBSTITUTE(Z41,",",REPT(" ",100)),401,100))</f>
      </c>
      <c r="AF41">
        <f>TRIM(MID(SUBSTITUTE(Z41,",",REPT(" ",100)),501,100))</f>
      </c>
      <c r="AG41">
        <f>IF(AA41="",0,IFERROR(VALUE(LEFT(AA41,FIND("-",AA41&amp;"-")-1)),-1))</f>
      </c>
      <c r="AH41">
        <f>IF(AB41="",0,IFERROR(VALUE(LEFT(AB41,FIND("-",AB41&amp;"-")-1)),-1))</f>
      </c>
      <c r="AI41">
        <f>IF(AC41="",0,IFERROR(VALUE(LEFT(AC41,FIND("-",AC41&amp;"-")-1)),-1))</f>
      </c>
      <c r="AJ41">
        <f>IF(AD41="",0,IFERROR(VALUE(LEFT(AD41,FIND("-",AD41&amp;"-")-1)),-1))</f>
      </c>
      <c r="AK41">
        <f>IF(AE41="",0,IFERROR(VALUE(LEFT(AE41,FIND("-",AE41&amp;"-")-1)),-1))</f>
      </c>
      <c r="AL41">
        <f>IF(AF41="",0,IFERROR(VALUE(LEFT(AF41,FIND("-",AF41&amp;"-")-1)),-1))</f>
      </c>
      <c r="AM41">
        <f>IF(AG41&lt;=0,0,IFERROR(IF(ISNUMBER(FIND("-",AA41)),MAX(1,VALUE(MID(AA41,FIND("-",AA41)+1,99))-AG41+1),1),1))</f>
      </c>
      <c r="AN41">
        <f>IF(AH41&lt;=0,0,IFERROR(IF(ISNUMBER(FIND("-",AB41)),MAX(1,VALUE(MID(AB41,FIND("-",AB41)+1,99))-AH41+1),1),1))</f>
      </c>
      <c r="AO41">
        <f>IF(AI41&lt;=0,0,IFERROR(IF(ISNUMBER(FIND("-",AC41)),MAX(1,VALUE(MID(AC41,FIND("-",AC41)+1,99))-AI41+1),1),1))</f>
      </c>
      <c r="AP41">
        <f>IF(AJ41&lt;=0,0,IFERROR(IF(ISNUMBER(FIND("-",AD41)),MAX(1,VALUE(MID(AD41,FIND("-",AD41)+1,99))-AJ41+1),1),1))</f>
      </c>
      <c r="AQ41">
        <f>IF(AK41&lt;=0,0,IFERROR(IF(ISNUMBER(FIND("-",AE41)),MAX(1,VALUE(MID(AE41,FIND("-",AE41)+1,99))-AK41+1),1),1))</f>
      </c>
      <c r="AR41">
        <f>IF(AL41&lt;=0,0,IFERROR(IF(ISNUMBER(FIND("-",AF41)),MAX(1,VALUE(MID(AF41,FIND("-",AF41)+1,99))-AL41+1),1),1))</f>
      </c>
      <c r="AS41">
        <f>SUM($AM41:AM41)</f>
      </c>
      <c r="AT41">
        <f>SUM($AM41:AN41)</f>
      </c>
      <c r="AU41">
        <f>SUM($AM41:AO41)</f>
      </c>
      <c r="AV41">
        <f>SUM($AM41:AP41)</f>
      </c>
      <c r="AW41">
        <f>SUM($AM41:AQ41)</f>
      </c>
      <c r="AX41">
        <f>SUM($AM41:AR41)</f>
      </c>
      <c r="AY41">
        <f>AND(ISNUMBER(SEARCH("פ",J83&amp;"")),AX41&gt;0,COUNTIF(AG41:AL41,-1)=0)</f>
      </c>
      <c r="AZ41">
        <f>IF(X41=0,0,IF(AY41,MIN(AX41,72),1))</f>
      </c>
      <c r="BA41">
        <f>SUM($AZ$1:AZ41)</f>
      </c>
      <c r="BB41">
        <f>COUNTIF($BA$1:$BA$72,"&lt;"&amp;41)+1</f>
      </c>
      <c r="BC41">
        <f>IF(BB41&gt;72,0,41-IF(BB41=1,0,INDEX($BA$1:$BA$72,BB41-1)))</f>
      </c>
      <c r="BD41">
        <f>IF(41&gt;$BA$72,0,IF(INDEX($AY$1:$AY$72,BB41),INDEX($AG$1:$AL$72,BB41,(COUNTIF(INDEX($AS$1:$AX$72,BB41,0),"&lt;"&amp;BC41)+1))+BC41-1-IF((COUNTIF(INDEX($AS$1:$AX$72,BB41,0),"&lt;"&amp;BC41)+1)=1,0,INDEX($AS$1:$AX$72,BB41,(COUNTIF(INDEX($AS$1:$AX$72,BB41,0),"&lt;"&amp;BC41)+1)-1)),INDEX($X$1:$X$72,BB41)))</f>
      </c>
      <c r="BE41">
        <f>" "&amp;TRIM(SUBSTITUTE(SUBSTITUTE(SUBSTITUTE(SUBSTITUTE(SUBSTITUTE(B83&amp;"","ו",""),"י",""),"ן","נ"),"-"," "),","," "))</f>
      </c>
      <c r="BF41">
        <f>IF(OR(ISNUMBER(SEARCH(" ארנ",BE41)),ISNUMBER(SEARCH(" הארנ",BE41)),ISNUMBER(SEARCH(" אארנ",BE41)),ISNUMBER(SEARCH(" אנרנ",BE41)),ISNUMBER(SEARCH(" האנרנ",BE41))),1,0)</f>
      </c>
      <c r="BG41">
        <f>IF(AND(BF41=1,ISNUMBER(BI41)),BI41,0)</f>
      </c>
      <c r="BH41">
        <f>IF(AND(BF41=1,NOT(ISNUMBER(BI41))),1,0)</f>
      </c>
      <c r="BI41">
        <f>IF(ISNUMBER(J83),J83,IFERROR(--TRIM(SUBSTITUTE(SUBSTITUTE(J83&amp;"","פצל",""),"פ","")),""))</f>
      </c>
    </row>
    <row r="42" x14ac:dyDescent="0.2">
      <c r="A42" s="9"/>
      <c r="B42" s="29"/>
      <c r="C42" s="30"/>
      <c r="D42" s="29"/>
      <c r="E42" s="31"/>
      <c r="F42" s="31"/>
      <c r="G42" s="31"/>
      <c r="H42" s="30"/>
      <c r="I42" s="3"/>
      <c r="J42" s="46"/>
      <c r="K42" s="22"/>
      <c r="L42" s="22"/>
      <c r="M42" s="22"/>
      <c r="N42" s="22"/>
      <c r="O42" s="22"/>
      <c r="P42" s="22"/>
      <c r="Q42" s="22"/>
      <c r="R42" s="22"/>
      <c r="S42" s="22"/>
      <c r="T42" s="22"/>
      <c r="U42" s="22"/>
      <c r="V42" s="22"/>
      <c r="X42">
        <f>IF(A84&gt;0,A84,B84)</f>
      </c>
      <c r="Z42">
        <f>SUBSTITUTE(SUBSTITUTE(SUBSTITUTE(SUBSTITUTE(A84&amp;"","–","-"),"--","-"),"--","-")," ","")</f>
      </c>
      <c r="AA42">
        <f>TRIM(MID(SUBSTITUTE(Z42,",",REPT(" ",100)),1,100))</f>
      </c>
      <c r="AB42">
        <f>TRIM(MID(SUBSTITUTE(Z42,",",REPT(" ",100)),101,100))</f>
      </c>
      <c r="AC42">
        <f>TRIM(MID(SUBSTITUTE(Z42,",",REPT(" ",100)),201,100))</f>
      </c>
      <c r="AD42">
        <f>TRIM(MID(SUBSTITUTE(Z42,",",REPT(" ",100)),301,100))</f>
      </c>
      <c r="AE42">
        <f>TRIM(MID(SUBSTITUTE(Z42,",",REPT(" ",100)),401,100))</f>
      </c>
      <c r="AF42">
        <f>TRIM(MID(SUBSTITUTE(Z42,",",REPT(" ",100)),501,100))</f>
      </c>
      <c r="AG42">
        <f>IF(AA42="",0,IFERROR(VALUE(LEFT(AA42,FIND("-",AA42&amp;"-")-1)),-1))</f>
      </c>
      <c r="AH42">
        <f>IF(AB42="",0,IFERROR(VALUE(LEFT(AB42,FIND("-",AB42&amp;"-")-1)),-1))</f>
      </c>
      <c r="AI42">
        <f>IF(AC42="",0,IFERROR(VALUE(LEFT(AC42,FIND("-",AC42&amp;"-")-1)),-1))</f>
      </c>
      <c r="AJ42">
        <f>IF(AD42="",0,IFERROR(VALUE(LEFT(AD42,FIND("-",AD42&amp;"-")-1)),-1))</f>
      </c>
      <c r="AK42">
        <f>IF(AE42="",0,IFERROR(VALUE(LEFT(AE42,FIND("-",AE42&amp;"-")-1)),-1))</f>
      </c>
      <c r="AL42">
        <f>IF(AF42="",0,IFERROR(VALUE(LEFT(AF42,FIND("-",AF42&amp;"-")-1)),-1))</f>
      </c>
      <c r="AM42">
        <f>IF(AG42&lt;=0,0,IFERROR(IF(ISNUMBER(FIND("-",AA42)),MAX(1,VALUE(MID(AA42,FIND("-",AA42)+1,99))-AG42+1),1),1))</f>
      </c>
      <c r="AN42">
        <f>IF(AH42&lt;=0,0,IFERROR(IF(ISNUMBER(FIND("-",AB42)),MAX(1,VALUE(MID(AB42,FIND("-",AB42)+1,99))-AH42+1),1),1))</f>
      </c>
      <c r="AO42">
        <f>IF(AI42&lt;=0,0,IFERROR(IF(ISNUMBER(FIND("-",AC42)),MAX(1,VALUE(MID(AC42,FIND("-",AC42)+1,99))-AI42+1),1),1))</f>
      </c>
      <c r="AP42">
        <f>IF(AJ42&lt;=0,0,IFERROR(IF(ISNUMBER(FIND("-",AD42)),MAX(1,VALUE(MID(AD42,FIND("-",AD42)+1,99))-AJ42+1),1),1))</f>
      </c>
      <c r="AQ42">
        <f>IF(AK42&lt;=0,0,IFERROR(IF(ISNUMBER(FIND("-",AE42)),MAX(1,VALUE(MID(AE42,FIND("-",AE42)+1,99))-AK42+1),1),1))</f>
      </c>
      <c r="AR42">
        <f>IF(AL42&lt;=0,0,IFERROR(IF(ISNUMBER(FIND("-",AF42)),MAX(1,VALUE(MID(AF42,FIND("-",AF42)+1,99))-AL42+1),1),1))</f>
      </c>
      <c r="AS42">
        <f>SUM($AM42:AM42)</f>
      </c>
      <c r="AT42">
        <f>SUM($AM42:AN42)</f>
      </c>
      <c r="AU42">
        <f>SUM($AM42:AO42)</f>
      </c>
      <c r="AV42">
        <f>SUM($AM42:AP42)</f>
      </c>
      <c r="AW42">
        <f>SUM($AM42:AQ42)</f>
      </c>
      <c r="AX42">
        <f>SUM($AM42:AR42)</f>
      </c>
      <c r="AY42">
        <f>AND(ISNUMBER(SEARCH("פ",J84&amp;"")),AX42&gt;0,COUNTIF(AG42:AL42,-1)=0)</f>
      </c>
      <c r="AZ42">
        <f>IF(X42=0,0,IF(AY42,MIN(AX42,72),1))</f>
      </c>
      <c r="BA42">
        <f>SUM($AZ$1:AZ42)</f>
      </c>
      <c r="BB42">
        <f>COUNTIF($BA$1:$BA$72,"&lt;"&amp;42)+1</f>
      </c>
      <c r="BC42">
        <f>IF(BB42&gt;72,0,42-IF(BB42=1,0,INDEX($BA$1:$BA$72,BB42-1)))</f>
      </c>
      <c r="BD42">
        <f>IF(42&gt;$BA$72,0,IF(INDEX($AY$1:$AY$72,BB42),INDEX($AG$1:$AL$72,BB42,(COUNTIF(INDEX($AS$1:$AX$72,BB42,0),"&lt;"&amp;BC42)+1))+BC42-1-IF((COUNTIF(INDEX($AS$1:$AX$72,BB42,0),"&lt;"&amp;BC42)+1)=1,0,INDEX($AS$1:$AX$72,BB42,(COUNTIF(INDEX($AS$1:$AX$72,BB42,0),"&lt;"&amp;BC42)+1)-1)),INDEX($X$1:$X$72,BB42)))</f>
      </c>
      <c r="BE42">
        <f>" "&amp;TRIM(SUBSTITUTE(SUBSTITUTE(SUBSTITUTE(SUBSTITUTE(SUBSTITUTE(B84&amp;"","ו",""),"י",""),"ן","נ"),"-"," "),","," "))</f>
      </c>
      <c r="BF42">
        <f>IF(OR(ISNUMBER(SEARCH(" ארנ",BE42)),ISNUMBER(SEARCH(" הארנ",BE42)),ISNUMBER(SEARCH(" אארנ",BE42)),ISNUMBER(SEARCH(" אנרנ",BE42)),ISNUMBER(SEARCH(" האנרנ",BE42))),1,0)</f>
      </c>
      <c r="BG42">
        <f>IF(AND(BF42=1,ISNUMBER(BI42)),BI42,0)</f>
      </c>
      <c r="BH42">
        <f>IF(AND(BF42=1,NOT(ISNUMBER(BI42))),1,0)</f>
      </c>
      <c r="BI42">
        <f>IF(ISNUMBER(J84),J84,IFERROR(--TRIM(SUBSTITUTE(SUBSTITUTE(J84&amp;"","פצל",""),"פ","")),""))</f>
      </c>
    </row>
    <row r="43" x14ac:dyDescent="0.2">
      <c r="A43" s="9"/>
      <c r="B43" s="29"/>
      <c r="C43" s="30"/>
      <c r="D43" s="29"/>
      <c r="E43" s="31"/>
      <c r="F43" s="31"/>
      <c r="G43" s="31"/>
      <c r="H43" s="30"/>
      <c r="I43" s="3"/>
      <c r="J43" s="46"/>
      <c r="K43" s="22"/>
      <c r="L43" s="22"/>
      <c r="M43" s="22"/>
      <c r="N43" s="22"/>
      <c r="O43" s="22"/>
      <c r="P43" s="22"/>
      <c r="Q43" s="22"/>
      <c r="R43" s="22"/>
      <c r="S43" s="22"/>
      <c r="T43" s="22"/>
      <c r="U43" s="22"/>
      <c r="V43" s="22"/>
      <c r="X43">
        <f>IF(A85&gt;0,A85,B85)</f>
      </c>
      <c r="Z43">
        <f>SUBSTITUTE(SUBSTITUTE(SUBSTITUTE(SUBSTITUTE(A85&amp;"","–","-"),"--","-"),"--","-")," ","")</f>
      </c>
      <c r="AA43">
        <f>TRIM(MID(SUBSTITUTE(Z43,",",REPT(" ",100)),1,100))</f>
      </c>
      <c r="AB43">
        <f>TRIM(MID(SUBSTITUTE(Z43,",",REPT(" ",100)),101,100))</f>
      </c>
      <c r="AC43">
        <f>TRIM(MID(SUBSTITUTE(Z43,",",REPT(" ",100)),201,100))</f>
      </c>
      <c r="AD43">
        <f>TRIM(MID(SUBSTITUTE(Z43,",",REPT(" ",100)),301,100))</f>
      </c>
      <c r="AE43">
        <f>TRIM(MID(SUBSTITUTE(Z43,",",REPT(" ",100)),401,100))</f>
      </c>
      <c r="AF43">
        <f>TRIM(MID(SUBSTITUTE(Z43,",",REPT(" ",100)),501,100))</f>
      </c>
      <c r="AG43">
        <f>IF(AA43="",0,IFERROR(VALUE(LEFT(AA43,FIND("-",AA43&amp;"-")-1)),-1))</f>
      </c>
      <c r="AH43">
        <f>IF(AB43="",0,IFERROR(VALUE(LEFT(AB43,FIND("-",AB43&amp;"-")-1)),-1))</f>
      </c>
      <c r="AI43">
        <f>IF(AC43="",0,IFERROR(VALUE(LEFT(AC43,FIND("-",AC43&amp;"-")-1)),-1))</f>
      </c>
      <c r="AJ43">
        <f>IF(AD43="",0,IFERROR(VALUE(LEFT(AD43,FIND("-",AD43&amp;"-")-1)),-1))</f>
      </c>
      <c r="AK43">
        <f>IF(AE43="",0,IFERROR(VALUE(LEFT(AE43,FIND("-",AE43&amp;"-")-1)),-1))</f>
      </c>
      <c r="AL43">
        <f>IF(AF43="",0,IFERROR(VALUE(LEFT(AF43,FIND("-",AF43&amp;"-")-1)),-1))</f>
      </c>
      <c r="AM43">
        <f>IF(AG43&lt;=0,0,IFERROR(IF(ISNUMBER(FIND("-",AA43)),MAX(1,VALUE(MID(AA43,FIND("-",AA43)+1,99))-AG43+1),1),1))</f>
      </c>
      <c r="AN43">
        <f>IF(AH43&lt;=0,0,IFERROR(IF(ISNUMBER(FIND("-",AB43)),MAX(1,VALUE(MID(AB43,FIND("-",AB43)+1,99))-AH43+1),1),1))</f>
      </c>
      <c r="AO43">
        <f>IF(AI43&lt;=0,0,IFERROR(IF(ISNUMBER(FIND("-",AC43)),MAX(1,VALUE(MID(AC43,FIND("-",AC43)+1,99))-AI43+1),1),1))</f>
      </c>
      <c r="AP43">
        <f>IF(AJ43&lt;=0,0,IFERROR(IF(ISNUMBER(FIND("-",AD43)),MAX(1,VALUE(MID(AD43,FIND("-",AD43)+1,99))-AJ43+1),1),1))</f>
      </c>
      <c r="AQ43">
        <f>IF(AK43&lt;=0,0,IFERROR(IF(ISNUMBER(FIND("-",AE43)),MAX(1,VALUE(MID(AE43,FIND("-",AE43)+1,99))-AK43+1),1),1))</f>
      </c>
      <c r="AR43">
        <f>IF(AL43&lt;=0,0,IFERROR(IF(ISNUMBER(FIND("-",AF43)),MAX(1,VALUE(MID(AF43,FIND("-",AF43)+1,99))-AL43+1),1),1))</f>
      </c>
      <c r="AS43">
        <f>SUM($AM43:AM43)</f>
      </c>
      <c r="AT43">
        <f>SUM($AM43:AN43)</f>
      </c>
      <c r="AU43">
        <f>SUM($AM43:AO43)</f>
      </c>
      <c r="AV43">
        <f>SUM($AM43:AP43)</f>
      </c>
      <c r="AW43">
        <f>SUM($AM43:AQ43)</f>
      </c>
      <c r="AX43">
        <f>SUM($AM43:AR43)</f>
      </c>
      <c r="AY43">
        <f>AND(ISNUMBER(SEARCH("פ",J85&amp;"")),AX43&gt;0,COUNTIF(AG43:AL43,-1)=0)</f>
      </c>
      <c r="AZ43">
        <f>IF(X43=0,0,IF(AY43,MIN(AX43,72),1))</f>
      </c>
      <c r="BA43">
        <f>SUM($AZ$1:AZ43)</f>
      </c>
      <c r="BB43">
        <f>COUNTIF($BA$1:$BA$72,"&lt;"&amp;43)+1</f>
      </c>
      <c r="BC43">
        <f>IF(BB43&gt;72,0,43-IF(BB43=1,0,INDEX($BA$1:$BA$72,BB43-1)))</f>
      </c>
      <c r="BD43">
        <f>IF(43&gt;$BA$72,0,IF(INDEX($AY$1:$AY$72,BB43),INDEX($AG$1:$AL$72,BB43,(COUNTIF(INDEX($AS$1:$AX$72,BB43,0),"&lt;"&amp;BC43)+1))+BC43-1-IF((COUNTIF(INDEX($AS$1:$AX$72,BB43,0),"&lt;"&amp;BC43)+1)=1,0,INDEX($AS$1:$AX$72,BB43,(COUNTIF(INDEX($AS$1:$AX$72,BB43,0),"&lt;"&amp;BC43)+1)-1)),INDEX($X$1:$X$72,BB43)))</f>
      </c>
      <c r="BE43">
        <f>" "&amp;TRIM(SUBSTITUTE(SUBSTITUTE(SUBSTITUTE(SUBSTITUTE(SUBSTITUTE(B85&amp;"","ו",""),"י",""),"ן","נ"),"-"," "),","," "))</f>
      </c>
      <c r="BF43">
        <f>IF(OR(ISNUMBER(SEARCH(" ארנ",BE43)),ISNUMBER(SEARCH(" הארנ",BE43)),ISNUMBER(SEARCH(" אארנ",BE43)),ISNUMBER(SEARCH(" אנרנ",BE43)),ISNUMBER(SEARCH(" האנרנ",BE43))),1,0)</f>
      </c>
      <c r="BG43">
        <f>IF(AND(BF43=1,ISNUMBER(BI43)),BI43,0)</f>
      </c>
      <c r="BH43">
        <f>IF(AND(BF43=1,NOT(ISNUMBER(BI43))),1,0)</f>
      </c>
      <c r="BI43">
        <f>IF(ISNUMBER(J85),J85,IFERROR(--TRIM(SUBSTITUTE(SUBSTITUTE(J85&amp;"","פצל",""),"פ","")),""))</f>
      </c>
    </row>
    <row r="44" x14ac:dyDescent="0.2">
      <c r="A44" s="9"/>
      <c r="B44" s="29"/>
      <c r="C44" s="30"/>
      <c r="D44" s="29"/>
      <c r="E44" s="31"/>
      <c r="F44" s="31"/>
      <c r="G44" s="31"/>
      <c r="H44" s="30"/>
      <c r="I44" s="3"/>
      <c r="J44" s="46"/>
      <c r="K44" s="22"/>
      <c r="L44" s="22"/>
      <c r="M44" s="22"/>
      <c r="N44" s="22"/>
      <c r="O44" s="22"/>
      <c r="P44" s="22"/>
      <c r="Q44" s="22"/>
      <c r="R44" s="22"/>
      <c r="S44" s="22"/>
      <c r="T44" s="22"/>
      <c r="U44" s="22"/>
      <c r="V44" s="22"/>
      <c r="X44">
        <f>IF(A86&gt;0,A86,B86)</f>
      </c>
      <c r="Z44">
        <f>SUBSTITUTE(SUBSTITUTE(SUBSTITUTE(SUBSTITUTE(A86&amp;"","–","-"),"--","-"),"--","-")," ","")</f>
      </c>
      <c r="AA44">
        <f>TRIM(MID(SUBSTITUTE(Z44,",",REPT(" ",100)),1,100))</f>
      </c>
      <c r="AB44">
        <f>TRIM(MID(SUBSTITUTE(Z44,",",REPT(" ",100)),101,100))</f>
      </c>
      <c r="AC44">
        <f>TRIM(MID(SUBSTITUTE(Z44,",",REPT(" ",100)),201,100))</f>
      </c>
      <c r="AD44">
        <f>TRIM(MID(SUBSTITUTE(Z44,",",REPT(" ",100)),301,100))</f>
      </c>
      <c r="AE44">
        <f>TRIM(MID(SUBSTITUTE(Z44,",",REPT(" ",100)),401,100))</f>
      </c>
      <c r="AF44">
        <f>TRIM(MID(SUBSTITUTE(Z44,",",REPT(" ",100)),501,100))</f>
      </c>
      <c r="AG44">
        <f>IF(AA44="",0,IFERROR(VALUE(LEFT(AA44,FIND("-",AA44&amp;"-")-1)),-1))</f>
      </c>
      <c r="AH44">
        <f>IF(AB44="",0,IFERROR(VALUE(LEFT(AB44,FIND("-",AB44&amp;"-")-1)),-1))</f>
      </c>
      <c r="AI44">
        <f>IF(AC44="",0,IFERROR(VALUE(LEFT(AC44,FIND("-",AC44&amp;"-")-1)),-1))</f>
      </c>
      <c r="AJ44">
        <f>IF(AD44="",0,IFERROR(VALUE(LEFT(AD44,FIND("-",AD44&amp;"-")-1)),-1))</f>
      </c>
      <c r="AK44">
        <f>IF(AE44="",0,IFERROR(VALUE(LEFT(AE44,FIND("-",AE44&amp;"-")-1)),-1))</f>
      </c>
      <c r="AL44">
        <f>IF(AF44="",0,IFERROR(VALUE(LEFT(AF44,FIND("-",AF44&amp;"-")-1)),-1))</f>
      </c>
      <c r="AM44">
        <f>IF(AG44&lt;=0,0,IFERROR(IF(ISNUMBER(FIND("-",AA44)),MAX(1,VALUE(MID(AA44,FIND("-",AA44)+1,99))-AG44+1),1),1))</f>
      </c>
      <c r="AN44">
        <f>IF(AH44&lt;=0,0,IFERROR(IF(ISNUMBER(FIND("-",AB44)),MAX(1,VALUE(MID(AB44,FIND("-",AB44)+1,99))-AH44+1),1),1))</f>
      </c>
      <c r="AO44">
        <f>IF(AI44&lt;=0,0,IFERROR(IF(ISNUMBER(FIND("-",AC44)),MAX(1,VALUE(MID(AC44,FIND("-",AC44)+1,99))-AI44+1),1),1))</f>
      </c>
      <c r="AP44">
        <f>IF(AJ44&lt;=0,0,IFERROR(IF(ISNUMBER(FIND("-",AD44)),MAX(1,VALUE(MID(AD44,FIND("-",AD44)+1,99))-AJ44+1),1),1))</f>
      </c>
      <c r="AQ44">
        <f>IF(AK44&lt;=0,0,IFERROR(IF(ISNUMBER(FIND("-",AE44)),MAX(1,VALUE(MID(AE44,FIND("-",AE44)+1,99))-AK44+1),1),1))</f>
      </c>
      <c r="AR44">
        <f>IF(AL44&lt;=0,0,IFERROR(IF(ISNUMBER(FIND("-",AF44)),MAX(1,VALUE(MID(AF44,FIND("-",AF44)+1,99))-AL44+1),1),1))</f>
      </c>
      <c r="AS44">
        <f>SUM($AM44:AM44)</f>
      </c>
      <c r="AT44">
        <f>SUM($AM44:AN44)</f>
      </c>
      <c r="AU44">
        <f>SUM($AM44:AO44)</f>
      </c>
      <c r="AV44">
        <f>SUM($AM44:AP44)</f>
      </c>
      <c r="AW44">
        <f>SUM($AM44:AQ44)</f>
      </c>
      <c r="AX44">
        <f>SUM($AM44:AR44)</f>
      </c>
      <c r="AY44">
        <f>AND(ISNUMBER(SEARCH("פ",J86&amp;"")),AX44&gt;0,COUNTIF(AG44:AL44,-1)=0)</f>
      </c>
      <c r="AZ44">
        <f>IF(X44=0,0,IF(AY44,MIN(AX44,72),1))</f>
      </c>
      <c r="BA44">
        <f>SUM($AZ$1:AZ44)</f>
      </c>
      <c r="BB44">
        <f>COUNTIF($BA$1:$BA$72,"&lt;"&amp;44)+1</f>
      </c>
      <c r="BC44">
        <f>IF(BB44&gt;72,0,44-IF(BB44=1,0,INDEX($BA$1:$BA$72,BB44-1)))</f>
      </c>
      <c r="BD44">
        <f>IF(44&gt;$BA$72,0,IF(INDEX($AY$1:$AY$72,BB44),INDEX($AG$1:$AL$72,BB44,(COUNTIF(INDEX($AS$1:$AX$72,BB44,0),"&lt;"&amp;BC44)+1))+BC44-1-IF((COUNTIF(INDEX($AS$1:$AX$72,BB44,0),"&lt;"&amp;BC44)+1)=1,0,INDEX($AS$1:$AX$72,BB44,(COUNTIF(INDEX($AS$1:$AX$72,BB44,0),"&lt;"&amp;BC44)+1)-1)),INDEX($X$1:$X$72,BB44)))</f>
      </c>
      <c r="BE44">
        <f>" "&amp;TRIM(SUBSTITUTE(SUBSTITUTE(SUBSTITUTE(SUBSTITUTE(SUBSTITUTE(B86&amp;"","ו",""),"י",""),"ן","נ"),"-"," "),","," "))</f>
      </c>
      <c r="BF44">
        <f>IF(OR(ISNUMBER(SEARCH(" ארנ",BE44)),ISNUMBER(SEARCH(" הארנ",BE44)),ISNUMBER(SEARCH(" אארנ",BE44)),ISNUMBER(SEARCH(" אנרנ",BE44)),ISNUMBER(SEARCH(" האנרנ",BE44))),1,0)</f>
      </c>
      <c r="BG44">
        <f>IF(AND(BF44=1,ISNUMBER(BI44)),BI44,0)</f>
      </c>
      <c r="BH44">
        <f>IF(AND(BF44=1,NOT(ISNUMBER(BI44))),1,0)</f>
      </c>
      <c r="BI44">
        <f>IF(ISNUMBER(J86),J86,IFERROR(--TRIM(SUBSTITUTE(SUBSTITUTE(J86&amp;"","פצל",""),"פ","")),""))</f>
      </c>
    </row>
    <row r="45" x14ac:dyDescent="0.2">
      <c r="A45" s="9"/>
      <c r="B45" s="29"/>
      <c r="C45" s="30"/>
      <c r="D45" s="29"/>
      <c r="E45" s="31"/>
      <c r="F45" s="31"/>
      <c r="G45" s="31"/>
      <c r="H45" s="30"/>
      <c r="I45" s="3"/>
      <c r="J45" s="46"/>
      <c r="K45" s="22"/>
      <c r="L45" s="22"/>
      <c r="M45" s="22"/>
      <c r="N45" s="22"/>
      <c r="O45" s="22"/>
      <c r="P45" s="22"/>
      <c r="Q45" s="22"/>
      <c r="R45" s="22"/>
      <c r="S45" s="22"/>
      <c r="T45" s="22"/>
      <c r="U45" s="22"/>
      <c r="V45" s="22"/>
      <c r="X45">
        <f>IF(A90&gt;0,A90,B90)</f>
      </c>
      <c r="Z45">
        <f>SUBSTITUTE(SUBSTITUTE(SUBSTITUTE(SUBSTITUTE(A90&amp;"","–","-"),"--","-"),"--","-")," ","")</f>
      </c>
      <c r="AA45">
        <f>TRIM(MID(SUBSTITUTE(Z45,",",REPT(" ",100)),1,100))</f>
      </c>
      <c r="AB45">
        <f>TRIM(MID(SUBSTITUTE(Z45,",",REPT(" ",100)),101,100))</f>
      </c>
      <c r="AC45">
        <f>TRIM(MID(SUBSTITUTE(Z45,",",REPT(" ",100)),201,100))</f>
      </c>
      <c r="AD45">
        <f>TRIM(MID(SUBSTITUTE(Z45,",",REPT(" ",100)),301,100))</f>
      </c>
      <c r="AE45">
        <f>TRIM(MID(SUBSTITUTE(Z45,",",REPT(" ",100)),401,100))</f>
      </c>
      <c r="AF45">
        <f>TRIM(MID(SUBSTITUTE(Z45,",",REPT(" ",100)),501,100))</f>
      </c>
      <c r="AG45">
        <f>IF(AA45="",0,IFERROR(VALUE(LEFT(AA45,FIND("-",AA45&amp;"-")-1)),-1))</f>
      </c>
      <c r="AH45">
        <f>IF(AB45="",0,IFERROR(VALUE(LEFT(AB45,FIND("-",AB45&amp;"-")-1)),-1))</f>
      </c>
      <c r="AI45">
        <f>IF(AC45="",0,IFERROR(VALUE(LEFT(AC45,FIND("-",AC45&amp;"-")-1)),-1))</f>
      </c>
      <c r="AJ45">
        <f>IF(AD45="",0,IFERROR(VALUE(LEFT(AD45,FIND("-",AD45&amp;"-")-1)),-1))</f>
      </c>
      <c r="AK45">
        <f>IF(AE45="",0,IFERROR(VALUE(LEFT(AE45,FIND("-",AE45&amp;"-")-1)),-1))</f>
      </c>
      <c r="AL45">
        <f>IF(AF45="",0,IFERROR(VALUE(LEFT(AF45,FIND("-",AF45&amp;"-")-1)),-1))</f>
      </c>
      <c r="AM45">
        <f>IF(AG45&lt;=0,0,IFERROR(IF(ISNUMBER(FIND("-",AA45)),MAX(1,VALUE(MID(AA45,FIND("-",AA45)+1,99))-AG45+1),1),1))</f>
      </c>
      <c r="AN45">
        <f>IF(AH45&lt;=0,0,IFERROR(IF(ISNUMBER(FIND("-",AB45)),MAX(1,VALUE(MID(AB45,FIND("-",AB45)+1,99))-AH45+1),1),1))</f>
      </c>
      <c r="AO45">
        <f>IF(AI45&lt;=0,0,IFERROR(IF(ISNUMBER(FIND("-",AC45)),MAX(1,VALUE(MID(AC45,FIND("-",AC45)+1,99))-AI45+1),1),1))</f>
      </c>
      <c r="AP45">
        <f>IF(AJ45&lt;=0,0,IFERROR(IF(ISNUMBER(FIND("-",AD45)),MAX(1,VALUE(MID(AD45,FIND("-",AD45)+1,99))-AJ45+1),1),1))</f>
      </c>
      <c r="AQ45">
        <f>IF(AK45&lt;=0,0,IFERROR(IF(ISNUMBER(FIND("-",AE45)),MAX(1,VALUE(MID(AE45,FIND("-",AE45)+1,99))-AK45+1),1),1))</f>
      </c>
      <c r="AR45">
        <f>IF(AL45&lt;=0,0,IFERROR(IF(ISNUMBER(FIND("-",AF45)),MAX(1,VALUE(MID(AF45,FIND("-",AF45)+1,99))-AL45+1),1),1))</f>
      </c>
      <c r="AS45">
        <f>SUM($AM45:AM45)</f>
      </c>
      <c r="AT45">
        <f>SUM($AM45:AN45)</f>
      </c>
      <c r="AU45">
        <f>SUM($AM45:AO45)</f>
      </c>
      <c r="AV45">
        <f>SUM($AM45:AP45)</f>
      </c>
      <c r="AW45">
        <f>SUM($AM45:AQ45)</f>
      </c>
      <c r="AX45">
        <f>SUM($AM45:AR45)</f>
      </c>
      <c r="AY45">
        <f>AND(ISNUMBER(SEARCH("פ",J90&amp;"")),AX45&gt;0,COUNTIF(AG45:AL45,-1)=0)</f>
      </c>
      <c r="AZ45">
        <f>IF(X45=0,0,IF(AY45,MIN(AX45,72),1))</f>
      </c>
      <c r="BA45">
        <f>SUM($AZ$1:AZ45)</f>
      </c>
      <c r="BB45">
        <f>COUNTIF($BA$1:$BA$72,"&lt;"&amp;45)+1</f>
      </c>
      <c r="BC45">
        <f>IF(BB45&gt;72,0,45-IF(BB45=1,0,INDEX($BA$1:$BA$72,BB45-1)))</f>
      </c>
      <c r="BD45">
        <f>IF(45&gt;$BA$72,0,IF(INDEX($AY$1:$AY$72,BB45),INDEX($AG$1:$AL$72,BB45,(COUNTIF(INDEX($AS$1:$AX$72,BB45,0),"&lt;"&amp;BC45)+1))+BC45-1-IF((COUNTIF(INDEX($AS$1:$AX$72,BB45,0),"&lt;"&amp;BC45)+1)=1,0,INDEX($AS$1:$AX$72,BB45,(COUNTIF(INDEX($AS$1:$AX$72,BB45,0),"&lt;"&amp;BC45)+1)-1)),INDEX($X$1:$X$72,BB45)))</f>
      </c>
      <c r="BE45">
        <f>" "&amp;TRIM(SUBSTITUTE(SUBSTITUTE(SUBSTITUTE(SUBSTITUTE(SUBSTITUTE(B90&amp;"","ו",""),"י",""),"ן","נ"),"-"," "),","," "))</f>
      </c>
      <c r="BF45">
        <f>IF(OR(ISNUMBER(SEARCH(" ארנ",BE45)),ISNUMBER(SEARCH(" הארנ",BE45)),ISNUMBER(SEARCH(" אארנ",BE45)),ISNUMBER(SEARCH(" אנרנ",BE45)),ISNUMBER(SEARCH(" האנרנ",BE45))),1,0)</f>
      </c>
      <c r="BG45">
        <f>IF(AND(BF45=1,ISNUMBER(BI45)),BI45,0)</f>
      </c>
      <c r="BH45">
        <f>IF(AND(BF45=1,NOT(ISNUMBER(BI45))),1,0)</f>
      </c>
      <c r="BI45">
        <f>IF(ISNUMBER(J90),J90,IFERROR(--TRIM(SUBSTITUTE(SUBSTITUTE(J90&amp;"","פצל",""),"פ","")),""))</f>
      </c>
    </row>
    <row r="46" x14ac:dyDescent="0.2">
      <c r="A46" s="9"/>
      <c r="B46" s="29"/>
      <c r="C46" s="30"/>
      <c r="D46" s="29"/>
      <c r="E46" s="31"/>
      <c r="F46" s="31"/>
      <c r="G46" s="31"/>
      <c r="H46" s="30"/>
      <c r="I46" s="3"/>
      <c r="J46" s="46"/>
      <c r="K46" s="22"/>
      <c r="L46" s="22"/>
      <c r="M46" s="22"/>
      <c r="N46" s="22"/>
      <c r="O46" s="22"/>
      <c r="P46" s="22"/>
      <c r="Q46" s="22"/>
      <c r="R46" s="22"/>
      <c r="S46" s="22"/>
      <c r="T46" s="22"/>
      <c r="U46" s="22"/>
      <c r="V46" s="22"/>
      <c r="X46">
        <f>IF(A91&gt;0,A91,B91)</f>
      </c>
      <c r="Z46">
        <f>SUBSTITUTE(SUBSTITUTE(SUBSTITUTE(SUBSTITUTE(A91&amp;"","–","-"),"--","-"),"--","-")," ","")</f>
      </c>
      <c r="AA46">
        <f>TRIM(MID(SUBSTITUTE(Z46,",",REPT(" ",100)),1,100))</f>
      </c>
      <c r="AB46">
        <f>TRIM(MID(SUBSTITUTE(Z46,",",REPT(" ",100)),101,100))</f>
      </c>
      <c r="AC46">
        <f>TRIM(MID(SUBSTITUTE(Z46,",",REPT(" ",100)),201,100))</f>
      </c>
      <c r="AD46">
        <f>TRIM(MID(SUBSTITUTE(Z46,",",REPT(" ",100)),301,100))</f>
      </c>
      <c r="AE46">
        <f>TRIM(MID(SUBSTITUTE(Z46,",",REPT(" ",100)),401,100))</f>
      </c>
      <c r="AF46">
        <f>TRIM(MID(SUBSTITUTE(Z46,",",REPT(" ",100)),501,100))</f>
      </c>
      <c r="AG46">
        <f>IF(AA46="",0,IFERROR(VALUE(LEFT(AA46,FIND("-",AA46&amp;"-")-1)),-1))</f>
      </c>
      <c r="AH46">
        <f>IF(AB46="",0,IFERROR(VALUE(LEFT(AB46,FIND("-",AB46&amp;"-")-1)),-1))</f>
      </c>
      <c r="AI46">
        <f>IF(AC46="",0,IFERROR(VALUE(LEFT(AC46,FIND("-",AC46&amp;"-")-1)),-1))</f>
      </c>
      <c r="AJ46">
        <f>IF(AD46="",0,IFERROR(VALUE(LEFT(AD46,FIND("-",AD46&amp;"-")-1)),-1))</f>
      </c>
      <c r="AK46">
        <f>IF(AE46="",0,IFERROR(VALUE(LEFT(AE46,FIND("-",AE46&amp;"-")-1)),-1))</f>
      </c>
      <c r="AL46">
        <f>IF(AF46="",0,IFERROR(VALUE(LEFT(AF46,FIND("-",AF46&amp;"-")-1)),-1))</f>
      </c>
      <c r="AM46">
        <f>IF(AG46&lt;=0,0,IFERROR(IF(ISNUMBER(FIND("-",AA46)),MAX(1,VALUE(MID(AA46,FIND("-",AA46)+1,99))-AG46+1),1),1))</f>
      </c>
      <c r="AN46">
        <f>IF(AH46&lt;=0,0,IFERROR(IF(ISNUMBER(FIND("-",AB46)),MAX(1,VALUE(MID(AB46,FIND("-",AB46)+1,99))-AH46+1),1),1))</f>
      </c>
      <c r="AO46">
        <f>IF(AI46&lt;=0,0,IFERROR(IF(ISNUMBER(FIND("-",AC46)),MAX(1,VALUE(MID(AC46,FIND("-",AC46)+1,99))-AI46+1),1),1))</f>
      </c>
      <c r="AP46">
        <f>IF(AJ46&lt;=0,0,IFERROR(IF(ISNUMBER(FIND("-",AD46)),MAX(1,VALUE(MID(AD46,FIND("-",AD46)+1,99))-AJ46+1),1),1))</f>
      </c>
      <c r="AQ46">
        <f>IF(AK46&lt;=0,0,IFERROR(IF(ISNUMBER(FIND("-",AE46)),MAX(1,VALUE(MID(AE46,FIND("-",AE46)+1,99))-AK46+1),1),1))</f>
      </c>
      <c r="AR46">
        <f>IF(AL46&lt;=0,0,IFERROR(IF(ISNUMBER(FIND("-",AF46)),MAX(1,VALUE(MID(AF46,FIND("-",AF46)+1,99))-AL46+1),1),1))</f>
      </c>
      <c r="AS46">
        <f>SUM($AM46:AM46)</f>
      </c>
      <c r="AT46">
        <f>SUM($AM46:AN46)</f>
      </c>
      <c r="AU46">
        <f>SUM($AM46:AO46)</f>
      </c>
      <c r="AV46">
        <f>SUM($AM46:AP46)</f>
      </c>
      <c r="AW46">
        <f>SUM($AM46:AQ46)</f>
      </c>
      <c r="AX46">
        <f>SUM($AM46:AR46)</f>
      </c>
      <c r="AY46">
        <f>AND(ISNUMBER(SEARCH("פ",J91&amp;"")),AX46&gt;0,COUNTIF(AG46:AL46,-1)=0)</f>
      </c>
      <c r="AZ46">
        <f>IF(X46=0,0,IF(AY46,MIN(AX46,72),1))</f>
      </c>
      <c r="BA46">
        <f>SUM($AZ$1:AZ46)</f>
      </c>
      <c r="BB46">
        <f>COUNTIF($BA$1:$BA$72,"&lt;"&amp;46)+1</f>
      </c>
      <c r="BC46">
        <f>IF(BB46&gt;72,0,46-IF(BB46=1,0,INDEX($BA$1:$BA$72,BB46-1)))</f>
      </c>
      <c r="BD46">
        <f>IF(46&gt;$BA$72,0,IF(INDEX($AY$1:$AY$72,BB46),INDEX($AG$1:$AL$72,BB46,(COUNTIF(INDEX($AS$1:$AX$72,BB46,0),"&lt;"&amp;BC46)+1))+BC46-1-IF((COUNTIF(INDEX($AS$1:$AX$72,BB46,0),"&lt;"&amp;BC46)+1)=1,0,INDEX($AS$1:$AX$72,BB46,(COUNTIF(INDEX($AS$1:$AX$72,BB46,0),"&lt;"&amp;BC46)+1)-1)),INDEX($X$1:$X$72,BB46)))</f>
      </c>
      <c r="BE46">
        <f>" "&amp;TRIM(SUBSTITUTE(SUBSTITUTE(SUBSTITUTE(SUBSTITUTE(SUBSTITUTE(B91&amp;"","ו",""),"י",""),"ן","נ"),"-"," "),","," "))</f>
      </c>
      <c r="BF46">
        <f>IF(OR(ISNUMBER(SEARCH(" ארנ",BE46)),ISNUMBER(SEARCH(" הארנ",BE46)),ISNUMBER(SEARCH(" אארנ",BE46)),ISNUMBER(SEARCH(" אנרנ",BE46)),ISNUMBER(SEARCH(" האנרנ",BE46))),1,0)</f>
      </c>
      <c r="BG46">
        <f>IF(AND(BF46=1,ISNUMBER(BI46)),BI46,0)</f>
      </c>
      <c r="BH46">
        <f>IF(AND(BF46=1,NOT(ISNUMBER(BI46))),1,0)</f>
      </c>
      <c r="BI46">
        <f>IF(ISNUMBER(J91),J91,IFERROR(--TRIM(SUBSTITUTE(SUBSTITUTE(J91&amp;"","פצל",""),"פ","")),""))</f>
      </c>
    </row>
    <row r="47" x14ac:dyDescent="0.2">
      <c r="A47" s="9"/>
      <c r="B47" s="29"/>
      <c r="C47" s="30"/>
      <c r="D47" s="29"/>
      <c r="E47" s="31"/>
      <c r="F47" s="31"/>
      <c r="G47" s="31"/>
      <c r="H47" s="30"/>
      <c r="I47" s="3"/>
      <c r="J47" s="46"/>
      <c r="K47" s="22"/>
      <c r="L47" s="22"/>
      <c r="M47" s="22"/>
      <c r="N47" s="22"/>
      <c r="O47" s="22"/>
      <c r="P47" s="22"/>
      <c r="Q47" s="22"/>
      <c r="R47" s="22"/>
      <c r="S47" s="22"/>
      <c r="T47" s="22"/>
      <c r="U47" s="22"/>
      <c r="V47" s="22"/>
      <c r="X47">
        <f>IF(A92&gt;0,A92,B92)</f>
      </c>
      <c r="Z47">
        <f>SUBSTITUTE(SUBSTITUTE(SUBSTITUTE(SUBSTITUTE(A92&amp;"","–","-"),"--","-"),"--","-")," ","")</f>
      </c>
      <c r="AA47">
        <f>TRIM(MID(SUBSTITUTE(Z47,",",REPT(" ",100)),1,100))</f>
      </c>
      <c r="AB47">
        <f>TRIM(MID(SUBSTITUTE(Z47,",",REPT(" ",100)),101,100))</f>
      </c>
      <c r="AC47">
        <f>TRIM(MID(SUBSTITUTE(Z47,",",REPT(" ",100)),201,100))</f>
      </c>
      <c r="AD47">
        <f>TRIM(MID(SUBSTITUTE(Z47,",",REPT(" ",100)),301,100))</f>
      </c>
      <c r="AE47">
        <f>TRIM(MID(SUBSTITUTE(Z47,",",REPT(" ",100)),401,100))</f>
      </c>
      <c r="AF47">
        <f>TRIM(MID(SUBSTITUTE(Z47,",",REPT(" ",100)),501,100))</f>
      </c>
      <c r="AG47">
        <f>IF(AA47="",0,IFERROR(VALUE(LEFT(AA47,FIND("-",AA47&amp;"-")-1)),-1))</f>
      </c>
      <c r="AH47">
        <f>IF(AB47="",0,IFERROR(VALUE(LEFT(AB47,FIND("-",AB47&amp;"-")-1)),-1))</f>
      </c>
      <c r="AI47">
        <f>IF(AC47="",0,IFERROR(VALUE(LEFT(AC47,FIND("-",AC47&amp;"-")-1)),-1))</f>
      </c>
      <c r="AJ47">
        <f>IF(AD47="",0,IFERROR(VALUE(LEFT(AD47,FIND("-",AD47&amp;"-")-1)),-1))</f>
      </c>
      <c r="AK47">
        <f>IF(AE47="",0,IFERROR(VALUE(LEFT(AE47,FIND("-",AE47&amp;"-")-1)),-1))</f>
      </c>
      <c r="AL47">
        <f>IF(AF47="",0,IFERROR(VALUE(LEFT(AF47,FIND("-",AF47&amp;"-")-1)),-1))</f>
      </c>
      <c r="AM47">
        <f>IF(AG47&lt;=0,0,IFERROR(IF(ISNUMBER(FIND("-",AA47)),MAX(1,VALUE(MID(AA47,FIND("-",AA47)+1,99))-AG47+1),1),1))</f>
      </c>
      <c r="AN47">
        <f>IF(AH47&lt;=0,0,IFERROR(IF(ISNUMBER(FIND("-",AB47)),MAX(1,VALUE(MID(AB47,FIND("-",AB47)+1,99))-AH47+1),1),1))</f>
      </c>
      <c r="AO47">
        <f>IF(AI47&lt;=0,0,IFERROR(IF(ISNUMBER(FIND("-",AC47)),MAX(1,VALUE(MID(AC47,FIND("-",AC47)+1,99))-AI47+1),1),1))</f>
      </c>
      <c r="AP47">
        <f>IF(AJ47&lt;=0,0,IFERROR(IF(ISNUMBER(FIND("-",AD47)),MAX(1,VALUE(MID(AD47,FIND("-",AD47)+1,99))-AJ47+1),1),1))</f>
      </c>
      <c r="AQ47">
        <f>IF(AK47&lt;=0,0,IFERROR(IF(ISNUMBER(FIND("-",AE47)),MAX(1,VALUE(MID(AE47,FIND("-",AE47)+1,99))-AK47+1),1),1))</f>
      </c>
      <c r="AR47">
        <f>IF(AL47&lt;=0,0,IFERROR(IF(ISNUMBER(FIND("-",AF47)),MAX(1,VALUE(MID(AF47,FIND("-",AF47)+1,99))-AL47+1),1),1))</f>
      </c>
      <c r="AS47">
        <f>SUM($AM47:AM47)</f>
      </c>
      <c r="AT47">
        <f>SUM($AM47:AN47)</f>
      </c>
      <c r="AU47">
        <f>SUM($AM47:AO47)</f>
      </c>
      <c r="AV47">
        <f>SUM($AM47:AP47)</f>
      </c>
      <c r="AW47">
        <f>SUM($AM47:AQ47)</f>
      </c>
      <c r="AX47">
        <f>SUM($AM47:AR47)</f>
      </c>
      <c r="AY47">
        <f>AND(ISNUMBER(SEARCH("פ",J92&amp;"")),AX47&gt;0,COUNTIF(AG47:AL47,-1)=0)</f>
      </c>
      <c r="AZ47">
        <f>IF(X47=0,0,IF(AY47,MIN(AX47,72),1))</f>
      </c>
      <c r="BA47">
        <f>SUM($AZ$1:AZ47)</f>
      </c>
      <c r="BB47">
        <f>COUNTIF($BA$1:$BA$72,"&lt;"&amp;47)+1</f>
      </c>
      <c r="BC47">
        <f>IF(BB47&gt;72,0,47-IF(BB47=1,0,INDEX($BA$1:$BA$72,BB47-1)))</f>
      </c>
      <c r="BD47">
        <f>IF(47&gt;$BA$72,0,IF(INDEX($AY$1:$AY$72,BB47),INDEX($AG$1:$AL$72,BB47,(COUNTIF(INDEX($AS$1:$AX$72,BB47,0),"&lt;"&amp;BC47)+1))+BC47-1-IF((COUNTIF(INDEX($AS$1:$AX$72,BB47,0),"&lt;"&amp;BC47)+1)=1,0,INDEX($AS$1:$AX$72,BB47,(COUNTIF(INDEX($AS$1:$AX$72,BB47,0),"&lt;"&amp;BC47)+1)-1)),INDEX($X$1:$X$72,BB47)))</f>
      </c>
      <c r="BE47">
        <f>" "&amp;TRIM(SUBSTITUTE(SUBSTITUTE(SUBSTITUTE(SUBSTITUTE(SUBSTITUTE(B92&amp;"","ו",""),"י",""),"ן","נ"),"-"," "),","," "))</f>
      </c>
      <c r="BF47">
        <f>IF(OR(ISNUMBER(SEARCH(" ארנ",BE47)),ISNUMBER(SEARCH(" הארנ",BE47)),ISNUMBER(SEARCH(" אארנ",BE47)),ISNUMBER(SEARCH(" אנרנ",BE47)),ISNUMBER(SEARCH(" האנרנ",BE47))),1,0)</f>
      </c>
      <c r="BG47">
        <f>IF(AND(BF47=1,ISNUMBER(BI47)),BI47,0)</f>
      </c>
      <c r="BH47">
        <f>IF(AND(BF47=1,NOT(ISNUMBER(BI47))),1,0)</f>
      </c>
      <c r="BI47">
        <f>IF(ISNUMBER(J92),J92,IFERROR(--TRIM(SUBSTITUTE(SUBSTITUTE(J92&amp;"","פצל",""),"פ","")),""))</f>
      </c>
    </row>
    <row r="48" x14ac:dyDescent="0.2">
      <c r="A48" s="44" t="s">
        <v>19</v>
      </c>
      <c r="B48" s="44"/>
      <c r="C48" s="44"/>
      <c r="D48" s="44"/>
      <c r="E48" s="44"/>
      <c r="F48" s="44"/>
      <c r="G48" s="44"/>
      <c r="H48" s="44"/>
      <c r="I48" s="44"/>
      <c r="J48" s="45"/>
      <c r="K48" s="22"/>
      <c r="L48" s="22"/>
      <c r="M48" s="22"/>
      <c r="N48" s="22"/>
      <c r="O48" s="22"/>
      <c r="P48" s="22"/>
      <c r="Q48" s="22"/>
      <c r="R48" s="22"/>
      <c r="S48" s="22"/>
      <c r="T48" s="22"/>
      <c r="U48" s="22"/>
      <c r="V48" s="22"/>
      <c r="X48">
        <f>IF(A93&gt;0,A93,B93)</f>
      </c>
      <c r="Z48">
        <f>SUBSTITUTE(SUBSTITUTE(SUBSTITUTE(SUBSTITUTE(A93&amp;"","–","-"),"--","-"),"--","-")," ","")</f>
      </c>
      <c r="AA48">
        <f>TRIM(MID(SUBSTITUTE(Z48,",",REPT(" ",100)),1,100))</f>
      </c>
      <c r="AB48">
        <f>TRIM(MID(SUBSTITUTE(Z48,",",REPT(" ",100)),101,100))</f>
      </c>
      <c r="AC48">
        <f>TRIM(MID(SUBSTITUTE(Z48,",",REPT(" ",100)),201,100))</f>
      </c>
      <c r="AD48">
        <f>TRIM(MID(SUBSTITUTE(Z48,",",REPT(" ",100)),301,100))</f>
      </c>
      <c r="AE48">
        <f>TRIM(MID(SUBSTITUTE(Z48,",",REPT(" ",100)),401,100))</f>
      </c>
      <c r="AF48">
        <f>TRIM(MID(SUBSTITUTE(Z48,",",REPT(" ",100)),501,100))</f>
      </c>
      <c r="AG48">
        <f>IF(AA48="",0,IFERROR(VALUE(LEFT(AA48,FIND("-",AA48&amp;"-")-1)),-1))</f>
      </c>
      <c r="AH48">
        <f>IF(AB48="",0,IFERROR(VALUE(LEFT(AB48,FIND("-",AB48&amp;"-")-1)),-1))</f>
      </c>
      <c r="AI48">
        <f>IF(AC48="",0,IFERROR(VALUE(LEFT(AC48,FIND("-",AC48&amp;"-")-1)),-1))</f>
      </c>
      <c r="AJ48">
        <f>IF(AD48="",0,IFERROR(VALUE(LEFT(AD48,FIND("-",AD48&amp;"-")-1)),-1))</f>
      </c>
      <c r="AK48">
        <f>IF(AE48="",0,IFERROR(VALUE(LEFT(AE48,FIND("-",AE48&amp;"-")-1)),-1))</f>
      </c>
      <c r="AL48">
        <f>IF(AF48="",0,IFERROR(VALUE(LEFT(AF48,FIND("-",AF48&amp;"-")-1)),-1))</f>
      </c>
      <c r="AM48">
        <f>IF(AG48&lt;=0,0,IFERROR(IF(ISNUMBER(FIND("-",AA48)),MAX(1,VALUE(MID(AA48,FIND("-",AA48)+1,99))-AG48+1),1),1))</f>
      </c>
      <c r="AN48">
        <f>IF(AH48&lt;=0,0,IFERROR(IF(ISNUMBER(FIND("-",AB48)),MAX(1,VALUE(MID(AB48,FIND("-",AB48)+1,99))-AH48+1),1),1))</f>
      </c>
      <c r="AO48">
        <f>IF(AI48&lt;=0,0,IFERROR(IF(ISNUMBER(FIND("-",AC48)),MAX(1,VALUE(MID(AC48,FIND("-",AC48)+1,99))-AI48+1),1),1))</f>
      </c>
      <c r="AP48">
        <f>IF(AJ48&lt;=0,0,IFERROR(IF(ISNUMBER(FIND("-",AD48)),MAX(1,VALUE(MID(AD48,FIND("-",AD48)+1,99))-AJ48+1),1),1))</f>
      </c>
      <c r="AQ48">
        <f>IF(AK48&lt;=0,0,IFERROR(IF(ISNUMBER(FIND("-",AE48)),MAX(1,VALUE(MID(AE48,FIND("-",AE48)+1,99))-AK48+1),1),1))</f>
      </c>
      <c r="AR48">
        <f>IF(AL48&lt;=0,0,IFERROR(IF(ISNUMBER(FIND("-",AF48)),MAX(1,VALUE(MID(AF48,FIND("-",AF48)+1,99))-AL48+1),1),1))</f>
      </c>
      <c r="AS48">
        <f>SUM($AM48:AM48)</f>
      </c>
      <c r="AT48">
        <f>SUM($AM48:AN48)</f>
      </c>
      <c r="AU48">
        <f>SUM($AM48:AO48)</f>
      </c>
      <c r="AV48">
        <f>SUM($AM48:AP48)</f>
      </c>
      <c r="AW48">
        <f>SUM($AM48:AQ48)</f>
      </c>
      <c r="AX48">
        <f>SUM($AM48:AR48)</f>
      </c>
      <c r="AY48">
        <f>AND(ISNUMBER(SEARCH("פ",J93&amp;"")),AX48&gt;0,COUNTIF(AG48:AL48,-1)=0)</f>
      </c>
      <c r="AZ48">
        <f>IF(X48=0,0,IF(AY48,MIN(AX48,72),1))</f>
      </c>
      <c r="BA48">
        <f>SUM($AZ$1:AZ48)</f>
      </c>
      <c r="BB48">
        <f>COUNTIF($BA$1:$BA$72,"&lt;"&amp;48)+1</f>
      </c>
      <c r="BC48">
        <f>IF(BB48&gt;72,0,48-IF(BB48=1,0,INDEX($BA$1:$BA$72,BB48-1)))</f>
      </c>
      <c r="BD48">
        <f>IF(48&gt;$BA$72,0,IF(INDEX($AY$1:$AY$72,BB48),INDEX($AG$1:$AL$72,BB48,(COUNTIF(INDEX($AS$1:$AX$72,BB48,0),"&lt;"&amp;BC48)+1))+BC48-1-IF((COUNTIF(INDEX($AS$1:$AX$72,BB48,0),"&lt;"&amp;BC48)+1)=1,0,INDEX($AS$1:$AX$72,BB48,(COUNTIF(INDEX($AS$1:$AX$72,BB48,0),"&lt;"&amp;BC48)+1)-1)),INDEX($X$1:$X$72,BB48)))</f>
      </c>
      <c r="BE48">
        <f>" "&amp;TRIM(SUBSTITUTE(SUBSTITUTE(SUBSTITUTE(SUBSTITUTE(SUBSTITUTE(B93&amp;"","ו",""),"י",""),"ן","נ"),"-"," "),","," "))</f>
      </c>
      <c r="BF48">
        <f>IF(OR(ISNUMBER(SEARCH(" ארנ",BE48)),ISNUMBER(SEARCH(" הארנ",BE48)),ISNUMBER(SEARCH(" אארנ",BE48)),ISNUMBER(SEARCH(" אנרנ",BE48)),ISNUMBER(SEARCH(" האנרנ",BE48))),1,0)</f>
      </c>
      <c r="BG48">
        <f>IF(AND(BF48=1,ISNUMBER(BI48)),BI48,0)</f>
      </c>
      <c r="BH48">
        <f>IF(AND(BF48=1,NOT(ISNUMBER(BI48))),1,0)</f>
      </c>
      <c r="BI48">
        <f>IF(ISNUMBER(J93),J93,IFERROR(--TRIM(SUBSTITUTE(SUBSTITUTE(J93&amp;"","פצל",""),"פ","")),""))</f>
      </c>
    </row>
    <row r="49" x14ac:dyDescent="0.2">
      <c r="A49" s="42" t="s">
        <v>8</v>
      </c>
      <c r="B49" s="42"/>
      <c r="C49" s="42"/>
      <c r="D49" s="42"/>
      <c r="E49" s="42"/>
      <c r="F49" s="42"/>
      <c r="G49" s="42"/>
      <c r="H49" s="42"/>
      <c r="I49" s="42"/>
      <c r="J49" s="43"/>
      <c r="K49" s="22"/>
      <c r="L49" s="22"/>
      <c r="M49" s="22"/>
      <c r="N49" s="22"/>
      <c r="O49" s="22"/>
      <c r="P49" s="22"/>
      <c r="Q49" s="22"/>
      <c r="R49" s="22"/>
      <c r="S49" s="22"/>
      <c r="T49" s="22"/>
      <c r="U49" s="22"/>
      <c r="V49" s="22"/>
      <c r="X49">
        <f>IF(A94&gt;0,A94,B94)</f>
      </c>
      <c r="Z49">
        <f>SUBSTITUTE(SUBSTITUTE(SUBSTITUTE(SUBSTITUTE(A94&amp;"","–","-"),"--","-"),"--","-")," ","")</f>
      </c>
      <c r="AA49">
        <f>TRIM(MID(SUBSTITUTE(Z49,",",REPT(" ",100)),1,100))</f>
      </c>
      <c r="AB49">
        <f>TRIM(MID(SUBSTITUTE(Z49,",",REPT(" ",100)),101,100))</f>
      </c>
      <c r="AC49">
        <f>TRIM(MID(SUBSTITUTE(Z49,",",REPT(" ",100)),201,100))</f>
      </c>
      <c r="AD49">
        <f>TRIM(MID(SUBSTITUTE(Z49,",",REPT(" ",100)),301,100))</f>
      </c>
      <c r="AE49">
        <f>TRIM(MID(SUBSTITUTE(Z49,",",REPT(" ",100)),401,100))</f>
      </c>
      <c r="AF49">
        <f>TRIM(MID(SUBSTITUTE(Z49,",",REPT(" ",100)),501,100))</f>
      </c>
      <c r="AG49">
        <f>IF(AA49="",0,IFERROR(VALUE(LEFT(AA49,FIND("-",AA49&amp;"-")-1)),-1))</f>
      </c>
      <c r="AH49">
        <f>IF(AB49="",0,IFERROR(VALUE(LEFT(AB49,FIND("-",AB49&amp;"-")-1)),-1))</f>
      </c>
      <c r="AI49">
        <f>IF(AC49="",0,IFERROR(VALUE(LEFT(AC49,FIND("-",AC49&amp;"-")-1)),-1))</f>
      </c>
      <c r="AJ49">
        <f>IF(AD49="",0,IFERROR(VALUE(LEFT(AD49,FIND("-",AD49&amp;"-")-1)),-1))</f>
      </c>
      <c r="AK49">
        <f>IF(AE49="",0,IFERROR(VALUE(LEFT(AE49,FIND("-",AE49&amp;"-")-1)),-1))</f>
      </c>
      <c r="AL49">
        <f>IF(AF49="",0,IFERROR(VALUE(LEFT(AF49,FIND("-",AF49&amp;"-")-1)),-1))</f>
      </c>
      <c r="AM49">
        <f>IF(AG49&lt;=0,0,IFERROR(IF(ISNUMBER(FIND("-",AA49)),MAX(1,VALUE(MID(AA49,FIND("-",AA49)+1,99))-AG49+1),1),1))</f>
      </c>
      <c r="AN49">
        <f>IF(AH49&lt;=0,0,IFERROR(IF(ISNUMBER(FIND("-",AB49)),MAX(1,VALUE(MID(AB49,FIND("-",AB49)+1,99))-AH49+1),1),1))</f>
      </c>
      <c r="AO49">
        <f>IF(AI49&lt;=0,0,IFERROR(IF(ISNUMBER(FIND("-",AC49)),MAX(1,VALUE(MID(AC49,FIND("-",AC49)+1,99))-AI49+1),1),1))</f>
      </c>
      <c r="AP49">
        <f>IF(AJ49&lt;=0,0,IFERROR(IF(ISNUMBER(FIND("-",AD49)),MAX(1,VALUE(MID(AD49,FIND("-",AD49)+1,99))-AJ49+1),1),1))</f>
      </c>
      <c r="AQ49">
        <f>IF(AK49&lt;=0,0,IFERROR(IF(ISNUMBER(FIND("-",AE49)),MAX(1,VALUE(MID(AE49,FIND("-",AE49)+1,99))-AK49+1),1),1))</f>
      </c>
      <c r="AR49">
        <f>IF(AL49&lt;=0,0,IFERROR(IF(ISNUMBER(FIND("-",AF49)),MAX(1,VALUE(MID(AF49,FIND("-",AF49)+1,99))-AL49+1),1),1))</f>
      </c>
      <c r="AS49">
        <f>SUM($AM49:AM49)</f>
      </c>
      <c r="AT49">
        <f>SUM($AM49:AN49)</f>
      </c>
      <c r="AU49">
        <f>SUM($AM49:AO49)</f>
      </c>
      <c r="AV49">
        <f>SUM($AM49:AP49)</f>
      </c>
      <c r="AW49">
        <f>SUM($AM49:AQ49)</f>
      </c>
      <c r="AX49">
        <f>SUM($AM49:AR49)</f>
      </c>
      <c r="AY49">
        <f>AND(ISNUMBER(SEARCH("פ",J94&amp;"")),AX49&gt;0,COUNTIF(AG49:AL49,-1)=0)</f>
      </c>
      <c r="AZ49">
        <f>IF(X49=0,0,IF(AY49,MIN(AX49,72),1))</f>
      </c>
      <c r="BA49">
        <f>SUM($AZ$1:AZ49)</f>
      </c>
      <c r="BB49">
        <f>COUNTIF($BA$1:$BA$72,"&lt;"&amp;49)+1</f>
      </c>
      <c r="BC49">
        <f>IF(BB49&gt;72,0,49-IF(BB49=1,0,INDEX($BA$1:$BA$72,BB49-1)))</f>
      </c>
      <c r="BD49">
        <f>IF(49&gt;$BA$72,0,IF(INDEX($AY$1:$AY$72,BB49),INDEX($AG$1:$AL$72,BB49,(COUNTIF(INDEX($AS$1:$AX$72,BB49,0),"&lt;"&amp;BC49)+1))+BC49-1-IF((COUNTIF(INDEX($AS$1:$AX$72,BB49,0),"&lt;"&amp;BC49)+1)=1,0,INDEX($AS$1:$AX$72,BB49,(COUNTIF(INDEX($AS$1:$AX$72,BB49,0),"&lt;"&amp;BC49)+1)-1)),INDEX($X$1:$X$72,BB49)))</f>
      </c>
      <c r="BE49">
        <f>" "&amp;TRIM(SUBSTITUTE(SUBSTITUTE(SUBSTITUTE(SUBSTITUTE(SUBSTITUTE(B94&amp;"","ו",""),"י",""),"ן","נ"),"-"," "),","," "))</f>
      </c>
      <c r="BF49">
        <f>IF(OR(ISNUMBER(SEARCH(" ארנ",BE49)),ISNUMBER(SEARCH(" הארנ",BE49)),ISNUMBER(SEARCH(" אארנ",BE49)),ISNUMBER(SEARCH(" אנרנ",BE49)),ISNUMBER(SEARCH(" האנרנ",BE49))),1,0)</f>
      </c>
      <c r="BG49">
        <f>IF(AND(BF49=1,ISNUMBER(BI49)),BI49,0)</f>
      </c>
      <c r="BH49">
        <f>IF(AND(BF49=1,NOT(ISNUMBER(BI49))),1,0)</f>
      </c>
      <c r="BI49">
        <f>IF(ISNUMBER(J94),J94,IFERROR(--TRIM(SUBSTITUTE(SUBSTITUTE(J94&amp;"","פצל",""),"פ","")),""))</f>
      </c>
    </row>
    <row r="50" x14ac:dyDescent="0.2">
      <c r="A50" s="42" t="s">
        <v>20</v>
      </c>
      <c r="B50" s="42"/>
      <c r="C50" s="42"/>
      <c r="D50" s="42"/>
      <c r="E50" s="42"/>
      <c r="F50" s="42"/>
      <c r="G50" s="42"/>
      <c r="H50" s="42"/>
      <c r="I50" s="42"/>
      <c r="J50" s="43"/>
      <c r="K50" s="22"/>
      <c r="L50" s="22"/>
      <c r="M50" s="22"/>
      <c r="N50" s="22"/>
      <c r="O50" s="22"/>
      <c r="P50" s="22"/>
      <c r="Q50" s="22"/>
      <c r="R50" s="22"/>
      <c r="S50" s="22"/>
      <c r="T50" s="22"/>
      <c r="U50" s="22"/>
      <c r="V50" s="22"/>
      <c r="X50">
        <f>IF(A95&gt;0,A95,B95)</f>
      </c>
      <c r="Z50">
        <f>SUBSTITUTE(SUBSTITUTE(SUBSTITUTE(SUBSTITUTE(A95&amp;"","–","-"),"--","-"),"--","-")," ","")</f>
      </c>
      <c r="AA50">
        <f>TRIM(MID(SUBSTITUTE(Z50,",",REPT(" ",100)),1,100))</f>
      </c>
      <c r="AB50">
        <f>TRIM(MID(SUBSTITUTE(Z50,",",REPT(" ",100)),101,100))</f>
      </c>
      <c r="AC50">
        <f>TRIM(MID(SUBSTITUTE(Z50,",",REPT(" ",100)),201,100))</f>
      </c>
      <c r="AD50">
        <f>TRIM(MID(SUBSTITUTE(Z50,",",REPT(" ",100)),301,100))</f>
      </c>
      <c r="AE50">
        <f>TRIM(MID(SUBSTITUTE(Z50,",",REPT(" ",100)),401,100))</f>
      </c>
      <c r="AF50">
        <f>TRIM(MID(SUBSTITUTE(Z50,",",REPT(" ",100)),501,100))</f>
      </c>
      <c r="AG50">
        <f>IF(AA50="",0,IFERROR(VALUE(LEFT(AA50,FIND("-",AA50&amp;"-")-1)),-1))</f>
      </c>
      <c r="AH50">
        <f>IF(AB50="",0,IFERROR(VALUE(LEFT(AB50,FIND("-",AB50&amp;"-")-1)),-1))</f>
      </c>
      <c r="AI50">
        <f>IF(AC50="",0,IFERROR(VALUE(LEFT(AC50,FIND("-",AC50&amp;"-")-1)),-1))</f>
      </c>
      <c r="AJ50">
        <f>IF(AD50="",0,IFERROR(VALUE(LEFT(AD50,FIND("-",AD50&amp;"-")-1)),-1))</f>
      </c>
      <c r="AK50">
        <f>IF(AE50="",0,IFERROR(VALUE(LEFT(AE50,FIND("-",AE50&amp;"-")-1)),-1))</f>
      </c>
      <c r="AL50">
        <f>IF(AF50="",0,IFERROR(VALUE(LEFT(AF50,FIND("-",AF50&amp;"-")-1)),-1))</f>
      </c>
      <c r="AM50">
        <f>IF(AG50&lt;=0,0,IFERROR(IF(ISNUMBER(FIND("-",AA50)),MAX(1,VALUE(MID(AA50,FIND("-",AA50)+1,99))-AG50+1),1),1))</f>
      </c>
      <c r="AN50">
        <f>IF(AH50&lt;=0,0,IFERROR(IF(ISNUMBER(FIND("-",AB50)),MAX(1,VALUE(MID(AB50,FIND("-",AB50)+1,99))-AH50+1),1),1))</f>
      </c>
      <c r="AO50">
        <f>IF(AI50&lt;=0,0,IFERROR(IF(ISNUMBER(FIND("-",AC50)),MAX(1,VALUE(MID(AC50,FIND("-",AC50)+1,99))-AI50+1),1),1))</f>
      </c>
      <c r="AP50">
        <f>IF(AJ50&lt;=0,0,IFERROR(IF(ISNUMBER(FIND("-",AD50)),MAX(1,VALUE(MID(AD50,FIND("-",AD50)+1,99))-AJ50+1),1),1))</f>
      </c>
      <c r="AQ50">
        <f>IF(AK50&lt;=0,0,IFERROR(IF(ISNUMBER(FIND("-",AE50)),MAX(1,VALUE(MID(AE50,FIND("-",AE50)+1,99))-AK50+1),1),1))</f>
      </c>
      <c r="AR50">
        <f>IF(AL50&lt;=0,0,IFERROR(IF(ISNUMBER(FIND("-",AF50)),MAX(1,VALUE(MID(AF50,FIND("-",AF50)+1,99))-AL50+1),1),1))</f>
      </c>
      <c r="AS50">
        <f>SUM($AM50:AM50)</f>
      </c>
      <c r="AT50">
        <f>SUM($AM50:AN50)</f>
      </c>
      <c r="AU50">
        <f>SUM($AM50:AO50)</f>
      </c>
      <c r="AV50">
        <f>SUM($AM50:AP50)</f>
      </c>
      <c r="AW50">
        <f>SUM($AM50:AQ50)</f>
      </c>
      <c r="AX50">
        <f>SUM($AM50:AR50)</f>
      </c>
      <c r="AY50">
        <f>AND(ISNUMBER(SEARCH("פ",J95&amp;"")),AX50&gt;0,COUNTIF(AG50:AL50,-1)=0)</f>
      </c>
      <c r="AZ50">
        <f>IF(X50=0,0,IF(AY50,MIN(AX50,72),1))</f>
      </c>
      <c r="BA50">
        <f>SUM($AZ$1:AZ50)</f>
      </c>
      <c r="BB50">
        <f>COUNTIF($BA$1:$BA$72,"&lt;"&amp;50)+1</f>
      </c>
      <c r="BC50">
        <f>IF(BB50&gt;72,0,50-IF(BB50=1,0,INDEX($BA$1:$BA$72,BB50-1)))</f>
      </c>
      <c r="BD50">
        <f>IF(50&gt;$BA$72,0,IF(INDEX($AY$1:$AY$72,BB50),INDEX($AG$1:$AL$72,BB50,(COUNTIF(INDEX($AS$1:$AX$72,BB50,0),"&lt;"&amp;BC50)+1))+BC50-1-IF((COUNTIF(INDEX($AS$1:$AX$72,BB50,0),"&lt;"&amp;BC50)+1)=1,0,INDEX($AS$1:$AX$72,BB50,(COUNTIF(INDEX($AS$1:$AX$72,BB50,0),"&lt;"&amp;BC50)+1)-1)),INDEX($X$1:$X$72,BB50)))</f>
      </c>
      <c r="BE50">
        <f>" "&amp;TRIM(SUBSTITUTE(SUBSTITUTE(SUBSTITUTE(SUBSTITUTE(SUBSTITUTE(B95&amp;"","ו",""),"י",""),"ן","נ"),"-"," "),","," "))</f>
      </c>
      <c r="BF50">
        <f>IF(OR(ISNUMBER(SEARCH(" ארנ",BE50)),ISNUMBER(SEARCH(" הארנ",BE50)),ISNUMBER(SEARCH(" אארנ",BE50)),ISNUMBER(SEARCH(" אנרנ",BE50)),ISNUMBER(SEARCH(" האנרנ",BE50))),1,0)</f>
      </c>
      <c r="BG50">
        <f>IF(AND(BF50=1,ISNUMBER(BI50)),BI50,0)</f>
      </c>
      <c r="BH50">
        <f>IF(AND(BF50=1,NOT(ISNUMBER(BI50))),1,0)</f>
      </c>
      <c r="BI50">
        <f>IF(ISNUMBER(J95),J95,IFERROR(--TRIM(SUBSTITUTE(SUBSTITUTE(J95&amp;"","פצל",""),"פ","")),""))</f>
      </c>
    </row>
    <row r="51" x14ac:dyDescent="0.2">
      <c r="A51" s="42" t="s">
        <v>21</v>
      </c>
      <c r="B51" s="42"/>
      <c r="C51" s="42"/>
      <c r="D51" s="42"/>
      <c r="E51" s="42"/>
      <c r="F51" s="42"/>
      <c r="G51" s="42"/>
      <c r="H51" s="42"/>
      <c r="I51" s="42"/>
      <c r="J51" s="43"/>
      <c r="K51" s="22"/>
      <c r="L51" s="22"/>
      <c r="M51" s="22"/>
      <c r="N51" s="22"/>
      <c r="O51" s="22"/>
      <c r="P51" s="22"/>
      <c r="Q51" s="22"/>
      <c r="R51" s="22"/>
      <c r="S51" s="22"/>
      <c r="T51" s="22"/>
      <c r="U51" s="22"/>
      <c r="V51" s="22"/>
      <c r="X51">
        <f>IF(A96&gt;0,A96,B96)</f>
      </c>
      <c r="Z51">
        <f>SUBSTITUTE(SUBSTITUTE(SUBSTITUTE(SUBSTITUTE(A96&amp;"","–","-"),"--","-"),"--","-")," ","")</f>
      </c>
      <c r="AA51">
        <f>TRIM(MID(SUBSTITUTE(Z51,",",REPT(" ",100)),1,100))</f>
      </c>
      <c r="AB51">
        <f>TRIM(MID(SUBSTITUTE(Z51,",",REPT(" ",100)),101,100))</f>
      </c>
      <c r="AC51">
        <f>TRIM(MID(SUBSTITUTE(Z51,",",REPT(" ",100)),201,100))</f>
      </c>
      <c r="AD51">
        <f>TRIM(MID(SUBSTITUTE(Z51,",",REPT(" ",100)),301,100))</f>
      </c>
      <c r="AE51">
        <f>TRIM(MID(SUBSTITUTE(Z51,",",REPT(" ",100)),401,100))</f>
      </c>
      <c r="AF51">
        <f>TRIM(MID(SUBSTITUTE(Z51,",",REPT(" ",100)),501,100))</f>
      </c>
      <c r="AG51">
        <f>IF(AA51="",0,IFERROR(VALUE(LEFT(AA51,FIND("-",AA51&amp;"-")-1)),-1))</f>
      </c>
      <c r="AH51">
        <f>IF(AB51="",0,IFERROR(VALUE(LEFT(AB51,FIND("-",AB51&amp;"-")-1)),-1))</f>
      </c>
      <c r="AI51">
        <f>IF(AC51="",0,IFERROR(VALUE(LEFT(AC51,FIND("-",AC51&amp;"-")-1)),-1))</f>
      </c>
      <c r="AJ51">
        <f>IF(AD51="",0,IFERROR(VALUE(LEFT(AD51,FIND("-",AD51&amp;"-")-1)),-1))</f>
      </c>
      <c r="AK51">
        <f>IF(AE51="",0,IFERROR(VALUE(LEFT(AE51,FIND("-",AE51&amp;"-")-1)),-1))</f>
      </c>
      <c r="AL51">
        <f>IF(AF51="",0,IFERROR(VALUE(LEFT(AF51,FIND("-",AF51&amp;"-")-1)),-1))</f>
      </c>
      <c r="AM51">
        <f>IF(AG51&lt;=0,0,IFERROR(IF(ISNUMBER(FIND("-",AA51)),MAX(1,VALUE(MID(AA51,FIND("-",AA51)+1,99))-AG51+1),1),1))</f>
      </c>
      <c r="AN51">
        <f>IF(AH51&lt;=0,0,IFERROR(IF(ISNUMBER(FIND("-",AB51)),MAX(1,VALUE(MID(AB51,FIND("-",AB51)+1,99))-AH51+1),1),1))</f>
      </c>
      <c r="AO51">
        <f>IF(AI51&lt;=0,0,IFERROR(IF(ISNUMBER(FIND("-",AC51)),MAX(1,VALUE(MID(AC51,FIND("-",AC51)+1,99))-AI51+1),1),1))</f>
      </c>
      <c r="AP51">
        <f>IF(AJ51&lt;=0,0,IFERROR(IF(ISNUMBER(FIND("-",AD51)),MAX(1,VALUE(MID(AD51,FIND("-",AD51)+1,99))-AJ51+1),1),1))</f>
      </c>
      <c r="AQ51">
        <f>IF(AK51&lt;=0,0,IFERROR(IF(ISNUMBER(FIND("-",AE51)),MAX(1,VALUE(MID(AE51,FIND("-",AE51)+1,99))-AK51+1),1),1))</f>
      </c>
      <c r="AR51">
        <f>IF(AL51&lt;=0,0,IFERROR(IF(ISNUMBER(FIND("-",AF51)),MAX(1,VALUE(MID(AF51,FIND("-",AF51)+1,99))-AL51+1),1),1))</f>
      </c>
      <c r="AS51">
        <f>SUM($AM51:AM51)</f>
      </c>
      <c r="AT51">
        <f>SUM($AM51:AN51)</f>
      </c>
      <c r="AU51">
        <f>SUM($AM51:AO51)</f>
      </c>
      <c r="AV51">
        <f>SUM($AM51:AP51)</f>
      </c>
      <c r="AW51">
        <f>SUM($AM51:AQ51)</f>
      </c>
      <c r="AX51">
        <f>SUM($AM51:AR51)</f>
      </c>
      <c r="AY51">
        <f>AND(ISNUMBER(SEARCH("פ",J96&amp;"")),AX51&gt;0,COUNTIF(AG51:AL51,-1)=0)</f>
      </c>
      <c r="AZ51">
        <f>IF(X51=0,0,IF(AY51,MIN(AX51,72),1))</f>
      </c>
      <c r="BA51">
        <f>SUM($AZ$1:AZ51)</f>
      </c>
      <c r="BB51">
        <f>COUNTIF($BA$1:$BA$72,"&lt;"&amp;51)+1</f>
      </c>
      <c r="BC51">
        <f>IF(BB51&gt;72,0,51-IF(BB51=1,0,INDEX($BA$1:$BA$72,BB51-1)))</f>
      </c>
      <c r="BD51">
        <f>IF(51&gt;$BA$72,0,IF(INDEX($AY$1:$AY$72,BB51),INDEX($AG$1:$AL$72,BB51,(COUNTIF(INDEX($AS$1:$AX$72,BB51,0),"&lt;"&amp;BC51)+1))+BC51-1-IF((COUNTIF(INDEX($AS$1:$AX$72,BB51,0),"&lt;"&amp;BC51)+1)=1,0,INDEX($AS$1:$AX$72,BB51,(COUNTIF(INDEX($AS$1:$AX$72,BB51,0),"&lt;"&amp;BC51)+1)-1)),INDEX($X$1:$X$72,BB51)))</f>
      </c>
      <c r="BE51">
        <f>" "&amp;TRIM(SUBSTITUTE(SUBSTITUTE(SUBSTITUTE(SUBSTITUTE(SUBSTITUTE(B96&amp;"","ו",""),"י",""),"ן","נ"),"-"," "),","," "))</f>
      </c>
      <c r="BF51">
        <f>IF(OR(ISNUMBER(SEARCH(" ארנ",BE51)),ISNUMBER(SEARCH(" הארנ",BE51)),ISNUMBER(SEARCH(" אארנ",BE51)),ISNUMBER(SEARCH(" אנרנ",BE51)),ISNUMBER(SEARCH(" האנרנ",BE51))),1,0)</f>
      </c>
      <c r="BG51">
        <f>IF(AND(BF51=1,ISNUMBER(BI51)),BI51,0)</f>
      </c>
      <c r="BH51">
        <f>IF(AND(BF51=1,NOT(ISNUMBER(BI51))),1,0)</f>
      </c>
      <c r="BI51">
        <f>IF(ISNUMBER(J96),J96,IFERROR(--TRIM(SUBSTITUTE(SUBSTITUTE(J96&amp;"","פצל",""),"פ","")),""))</f>
      </c>
    </row>
    <row r="52" ht="15.75" customHeight="1" x14ac:dyDescent="0.2">
      <c r="E52" s="1" t="s">
        <v>9</v>
      </c>
      <c r="K52" s="22"/>
      <c r="L52" s="22"/>
      <c r="M52" s="22"/>
      <c r="N52" s="22"/>
      <c r="O52" s="22"/>
      <c r="P52" s="22"/>
      <c r="Q52" s="22"/>
      <c r="R52" s="22"/>
      <c r="S52" s="22"/>
      <c r="T52" s="22"/>
      <c r="U52" s="22"/>
      <c r="V52" s="22"/>
      <c r="X52">
        <f>IF(A97&gt;0,A97,B97)</f>
      </c>
      <c r="Z52">
        <f>SUBSTITUTE(SUBSTITUTE(SUBSTITUTE(SUBSTITUTE(A97&amp;"","–","-"),"--","-"),"--","-")," ","")</f>
      </c>
      <c r="AA52">
        <f>TRIM(MID(SUBSTITUTE(Z52,",",REPT(" ",100)),1,100))</f>
      </c>
      <c r="AB52">
        <f>TRIM(MID(SUBSTITUTE(Z52,",",REPT(" ",100)),101,100))</f>
      </c>
      <c r="AC52">
        <f>TRIM(MID(SUBSTITUTE(Z52,",",REPT(" ",100)),201,100))</f>
      </c>
      <c r="AD52">
        <f>TRIM(MID(SUBSTITUTE(Z52,",",REPT(" ",100)),301,100))</f>
      </c>
      <c r="AE52">
        <f>TRIM(MID(SUBSTITUTE(Z52,",",REPT(" ",100)),401,100))</f>
      </c>
      <c r="AF52">
        <f>TRIM(MID(SUBSTITUTE(Z52,",",REPT(" ",100)),501,100))</f>
      </c>
      <c r="AG52">
        <f>IF(AA52="",0,IFERROR(VALUE(LEFT(AA52,FIND("-",AA52&amp;"-")-1)),-1))</f>
      </c>
      <c r="AH52">
        <f>IF(AB52="",0,IFERROR(VALUE(LEFT(AB52,FIND("-",AB52&amp;"-")-1)),-1))</f>
      </c>
      <c r="AI52">
        <f>IF(AC52="",0,IFERROR(VALUE(LEFT(AC52,FIND("-",AC52&amp;"-")-1)),-1))</f>
      </c>
      <c r="AJ52">
        <f>IF(AD52="",0,IFERROR(VALUE(LEFT(AD52,FIND("-",AD52&amp;"-")-1)),-1))</f>
      </c>
      <c r="AK52">
        <f>IF(AE52="",0,IFERROR(VALUE(LEFT(AE52,FIND("-",AE52&amp;"-")-1)),-1))</f>
      </c>
      <c r="AL52">
        <f>IF(AF52="",0,IFERROR(VALUE(LEFT(AF52,FIND("-",AF52&amp;"-")-1)),-1))</f>
      </c>
      <c r="AM52">
        <f>IF(AG52&lt;=0,0,IFERROR(IF(ISNUMBER(FIND("-",AA52)),MAX(1,VALUE(MID(AA52,FIND("-",AA52)+1,99))-AG52+1),1),1))</f>
      </c>
      <c r="AN52">
        <f>IF(AH52&lt;=0,0,IFERROR(IF(ISNUMBER(FIND("-",AB52)),MAX(1,VALUE(MID(AB52,FIND("-",AB52)+1,99))-AH52+1),1),1))</f>
      </c>
      <c r="AO52">
        <f>IF(AI52&lt;=0,0,IFERROR(IF(ISNUMBER(FIND("-",AC52)),MAX(1,VALUE(MID(AC52,FIND("-",AC52)+1,99))-AI52+1),1),1))</f>
      </c>
      <c r="AP52">
        <f>IF(AJ52&lt;=0,0,IFERROR(IF(ISNUMBER(FIND("-",AD52)),MAX(1,VALUE(MID(AD52,FIND("-",AD52)+1,99))-AJ52+1),1),1))</f>
      </c>
      <c r="AQ52">
        <f>IF(AK52&lt;=0,0,IFERROR(IF(ISNUMBER(FIND("-",AE52)),MAX(1,VALUE(MID(AE52,FIND("-",AE52)+1,99))-AK52+1),1),1))</f>
      </c>
      <c r="AR52">
        <f>IF(AL52&lt;=0,0,IFERROR(IF(ISNUMBER(FIND("-",AF52)),MAX(1,VALUE(MID(AF52,FIND("-",AF52)+1,99))-AL52+1),1),1))</f>
      </c>
      <c r="AS52">
        <f>SUM($AM52:AM52)</f>
      </c>
      <c r="AT52">
        <f>SUM($AM52:AN52)</f>
      </c>
      <c r="AU52">
        <f>SUM($AM52:AO52)</f>
      </c>
      <c r="AV52">
        <f>SUM($AM52:AP52)</f>
      </c>
      <c r="AW52">
        <f>SUM($AM52:AQ52)</f>
      </c>
      <c r="AX52">
        <f>SUM($AM52:AR52)</f>
      </c>
      <c r="AY52">
        <f>AND(ISNUMBER(SEARCH("פ",J97&amp;"")),AX52&gt;0,COUNTIF(AG52:AL52,-1)=0)</f>
      </c>
      <c r="AZ52">
        <f>IF(X52=0,0,IF(AY52,MIN(AX52,72),1))</f>
      </c>
      <c r="BA52">
        <f>SUM($AZ$1:AZ52)</f>
      </c>
      <c r="BB52">
        <f>COUNTIF($BA$1:$BA$72,"&lt;"&amp;52)+1</f>
      </c>
      <c r="BC52">
        <f>IF(BB52&gt;72,0,52-IF(BB52=1,0,INDEX($BA$1:$BA$72,BB52-1)))</f>
      </c>
      <c r="BD52">
        <f>IF(52&gt;$BA$72,0,IF(INDEX($AY$1:$AY$72,BB52),INDEX($AG$1:$AL$72,BB52,(COUNTIF(INDEX($AS$1:$AX$72,BB52,0),"&lt;"&amp;BC52)+1))+BC52-1-IF((COUNTIF(INDEX($AS$1:$AX$72,BB52,0),"&lt;"&amp;BC52)+1)=1,0,INDEX($AS$1:$AX$72,BB52,(COUNTIF(INDEX($AS$1:$AX$72,BB52,0),"&lt;"&amp;BC52)+1)-1)),INDEX($X$1:$X$72,BB52)))</f>
      </c>
      <c r="BE52">
        <f>" "&amp;TRIM(SUBSTITUTE(SUBSTITUTE(SUBSTITUTE(SUBSTITUTE(SUBSTITUTE(B97&amp;"","ו",""),"י",""),"ן","נ"),"-"," "),","," "))</f>
      </c>
      <c r="BF52">
        <f>IF(OR(ISNUMBER(SEARCH(" ארנ",BE52)),ISNUMBER(SEARCH(" הארנ",BE52)),ISNUMBER(SEARCH(" אארנ",BE52)),ISNUMBER(SEARCH(" אנרנ",BE52)),ISNUMBER(SEARCH(" האנרנ",BE52))),1,0)</f>
      </c>
      <c r="BG52">
        <f>IF(AND(BF52=1,ISNUMBER(BI52)),BI52,0)</f>
      </c>
      <c r="BH52">
        <f>IF(AND(BF52=1,NOT(ISNUMBER(BI52))),1,0)</f>
      </c>
      <c r="BI52">
        <f>IF(ISNUMBER(J97),J97,IFERROR(--TRIM(SUBSTITUTE(SUBSTITUTE(J97&amp;"","פצל",""),"פ","")),""))</f>
      </c>
    </row>
    <row r="53" ht="15" customHeight="1" x14ac:dyDescent="0.2">
      <c r="E53" s="2" t="s">
        <v>22</v>
      </c>
      <c r="K53" s="22"/>
      <c r="L53" s="22"/>
      <c r="M53" s="22"/>
      <c r="N53" s="22"/>
      <c r="O53" s="22"/>
      <c r="P53" s="22"/>
      <c r="Q53" s="22"/>
      <c r="R53" s="22"/>
      <c r="S53" s="22"/>
      <c r="T53" s="22"/>
      <c r="U53" s="22"/>
      <c r="V53" s="22"/>
      <c r="X53">
        <f>IF(A98&gt;0,A98,B98)</f>
      </c>
      <c r="Z53">
        <f>SUBSTITUTE(SUBSTITUTE(SUBSTITUTE(SUBSTITUTE(A98&amp;"","–","-"),"--","-"),"--","-")," ","")</f>
      </c>
      <c r="AA53">
        <f>TRIM(MID(SUBSTITUTE(Z53,",",REPT(" ",100)),1,100))</f>
      </c>
      <c r="AB53">
        <f>TRIM(MID(SUBSTITUTE(Z53,",",REPT(" ",100)),101,100))</f>
      </c>
      <c r="AC53">
        <f>TRIM(MID(SUBSTITUTE(Z53,",",REPT(" ",100)),201,100))</f>
      </c>
      <c r="AD53">
        <f>TRIM(MID(SUBSTITUTE(Z53,",",REPT(" ",100)),301,100))</f>
      </c>
      <c r="AE53">
        <f>TRIM(MID(SUBSTITUTE(Z53,",",REPT(" ",100)),401,100))</f>
      </c>
      <c r="AF53">
        <f>TRIM(MID(SUBSTITUTE(Z53,",",REPT(" ",100)),501,100))</f>
      </c>
      <c r="AG53">
        <f>IF(AA53="",0,IFERROR(VALUE(LEFT(AA53,FIND("-",AA53&amp;"-")-1)),-1))</f>
      </c>
      <c r="AH53">
        <f>IF(AB53="",0,IFERROR(VALUE(LEFT(AB53,FIND("-",AB53&amp;"-")-1)),-1))</f>
      </c>
      <c r="AI53">
        <f>IF(AC53="",0,IFERROR(VALUE(LEFT(AC53,FIND("-",AC53&amp;"-")-1)),-1))</f>
      </c>
      <c r="AJ53">
        <f>IF(AD53="",0,IFERROR(VALUE(LEFT(AD53,FIND("-",AD53&amp;"-")-1)),-1))</f>
      </c>
      <c r="AK53">
        <f>IF(AE53="",0,IFERROR(VALUE(LEFT(AE53,FIND("-",AE53&amp;"-")-1)),-1))</f>
      </c>
      <c r="AL53">
        <f>IF(AF53="",0,IFERROR(VALUE(LEFT(AF53,FIND("-",AF53&amp;"-")-1)),-1))</f>
      </c>
      <c r="AM53">
        <f>IF(AG53&lt;=0,0,IFERROR(IF(ISNUMBER(FIND("-",AA53)),MAX(1,VALUE(MID(AA53,FIND("-",AA53)+1,99))-AG53+1),1),1))</f>
      </c>
      <c r="AN53">
        <f>IF(AH53&lt;=0,0,IFERROR(IF(ISNUMBER(FIND("-",AB53)),MAX(1,VALUE(MID(AB53,FIND("-",AB53)+1,99))-AH53+1),1),1))</f>
      </c>
      <c r="AO53">
        <f>IF(AI53&lt;=0,0,IFERROR(IF(ISNUMBER(FIND("-",AC53)),MAX(1,VALUE(MID(AC53,FIND("-",AC53)+1,99))-AI53+1),1),1))</f>
      </c>
      <c r="AP53">
        <f>IF(AJ53&lt;=0,0,IFERROR(IF(ISNUMBER(FIND("-",AD53)),MAX(1,VALUE(MID(AD53,FIND("-",AD53)+1,99))-AJ53+1),1),1))</f>
      </c>
      <c r="AQ53">
        <f>IF(AK53&lt;=0,0,IFERROR(IF(ISNUMBER(FIND("-",AE53)),MAX(1,VALUE(MID(AE53,FIND("-",AE53)+1,99))-AK53+1),1),1))</f>
      </c>
      <c r="AR53">
        <f>IF(AL53&lt;=0,0,IFERROR(IF(ISNUMBER(FIND("-",AF53)),MAX(1,VALUE(MID(AF53,FIND("-",AF53)+1,99))-AL53+1),1),1))</f>
      </c>
      <c r="AS53">
        <f>SUM($AM53:AM53)</f>
      </c>
      <c r="AT53">
        <f>SUM($AM53:AN53)</f>
      </c>
      <c r="AU53">
        <f>SUM($AM53:AO53)</f>
      </c>
      <c r="AV53">
        <f>SUM($AM53:AP53)</f>
      </c>
      <c r="AW53">
        <f>SUM($AM53:AQ53)</f>
      </c>
      <c r="AX53">
        <f>SUM($AM53:AR53)</f>
      </c>
      <c r="AY53">
        <f>AND(ISNUMBER(SEARCH("פ",J98&amp;"")),AX53&gt;0,COUNTIF(AG53:AL53,-1)=0)</f>
      </c>
      <c r="AZ53">
        <f>IF(X53=0,0,IF(AY53,MIN(AX53,72),1))</f>
      </c>
      <c r="BA53">
        <f>SUM($AZ$1:AZ53)</f>
      </c>
      <c r="BB53">
        <f>COUNTIF($BA$1:$BA$72,"&lt;"&amp;53)+1</f>
      </c>
      <c r="BC53">
        <f>IF(BB53&gt;72,0,53-IF(BB53=1,0,INDEX($BA$1:$BA$72,BB53-1)))</f>
      </c>
      <c r="BD53">
        <f>IF(53&gt;$BA$72,0,IF(INDEX($AY$1:$AY$72,BB53),INDEX($AG$1:$AL$72,BB53,(COUNTIF(INDEX($AS$1:$AX$72,BB53,0),"&lt;"&amp;BC53)+1))+BC53-1-IF((COUNTIF(INDEX($AS$1:$AX$72,BB53,0),"&lt;"&amp;BC53)+1)=1,0,INDEX($AS$1:$AX$72,BB53,(COUNTIF(INDEX($AS$1:$AX$72,BB53,0),"&lt;"&amp;BC53)+1)-1)),INDEX($X$1:$X$72,BB53)))</f>
      </c>
      <c r="BE53">
        <f>" "&amp;TRIM(SUBSTITUTE(SUBSTITUTE(SUBSTITUTE(SUBSTITUTE(SUBSTITUTE(B98&amp;"","ו",""),"י",""),"ן","נ"),"-"," "),","," "))</f>
      </c>
      <c r="BF53">
        <f>IF(OR(ISNUMBER(SEARCH(" ארנ",BE53)),ISNUMBER(SEARCH(" הארנ",BE53)),ISNUMBER(SEARCH(" אארנ",BE53)),ISNUMBER(SEARCH(" אנרנ",BE53)),ISNUMBER(SEARCH(" האנרנ",BE53))),1,0)</f>
      </c>
      <c r="BG53">
        <f>IF(AND(BF53=1,ISNUMBER(BI53)),BI53,0)</f>
      </c>
      <c r="BH53">
        <f>IF(AND(BF53=1,NOT(ISNUMBER(BI53))),1,0)</f>
      </c>
      <c r="BI53">
        <f>IF(ISNUMBER(J98),J98,IFERROR(--TRIM(SUBSTITUTE(SUBSTITUTE(J98&amp;"","פצל",""),"פ","")),""))</f>
      </c>
    </row>
    <row r="54">
      <c r="X54">
        <f>IF(A99&gt;0,A99,B99)</f>
      </c>
      <c r="Z54">
        <f>SUBSTITUTE(SUBSTITUTE(SUBSTITUTE(SUBSTITUTE(A99&amp;"","–","-"),"--","-"),"--","-")," ","")</f>
      </c>
      <c r="AA54">
        <f>TRIM(MID(SUBSTITUTE(Z54,",",REPT(" ",100)),1,100))</f>
      </c>
      <c r="AB54">
        <f>TRIM(MID(SUBSTITUTE(Z54,",",REPT(" ",100)),101,100))</f>
      </c>
      <c r="AC54">
        <f>TRIM(MID(SUBSTITUTE(Z54,",",REPT(" ",100)),201,100))</f>
      </c>
      <c r="AD54">
        <f>TRIM(MID(SUBSTITUTE(Z54,",",REPT(" ",100)),301,100))</f>
      </c>
      <c r="AE54">
        <f>TRIM(MID(SUBSTITUTE(Z54,",",REPT(" ",100)),401,100))</f>
      </c>
      <c r="AF54">
        <f>TRIM(MID(SUBSTITUTE(Z54,",",REPT(" ",100)),501,100))</f>
      </c>
      <c r="AG54">
        <f>IF(AA54="",0,IFERROR(VALUE(LEFT(AA54,FIND("-",AA54&amp;"-")-1)),-1))</f>
      </c>
      <c r="AH54">
        <f>IF(AB54="",0,IFERROR(VALUE(LEFT(AB54,FIND("-",AB54&amp;"-")-1)),-1))</f>
      </c>
      <c r="AI54">
        <f>IF(AC54="",0,IFERROR(VALUE(LEFT(AC54,FIND("-",AC54&amp;"-")-1)),-1))</f>
      </c>
      <c r="AJ54">
        <f>IF(AD54="",0,IFERROR(VALUE(LEFT(AD54,FIND("-",AD54&amp;"-")-1)),-1))</f>
      </c>
      <c r="AK54">
        <f>IF(AE54="",0,IFERROR(VALUE(LEFT(AE54,FIND("-",AE54&amp;"-")-1)),-1))</f>
      </c>
      <c r="AL54">
        <f>IF(AF54="",0,IFERROR(VALUE(LEFT(AF54,FIND("-",AF54&amp;"-")-1)),-1))</f>
      </c>
      <c r="AM54">
        <f>IF(AG54&lt;=0,0,IFERROR(IF(ISNUMBER(FIND("-",AA54)),MAX(1,VALUE(MID(AA54,FIND("-",AA54)+1,99))-AG54+1),1),1))</f>
      </c>
      <c r="AN54">
        <f>IF(AH54&lt;=0,0,IFERROR(IF(ISNUMBER(FIND("-",AB54)),MAX(1,VALUE(MID(AB54,FIND("-",AB54)+1,99))-AH54+1),1),1))</f>
      </c>
      <c r="AO54">
        <f>IF(AI54&lt;=0,0,IFERROR(IF(ISNUMBER(FIND("-",AC54)),MAX(1,VALUE(MID(AC54,FIND("-",AC54)+1,99))-AI54+1),1),1))</f>
      </c>
      <c r="AP54">
        <f>IF(AJ54&lt;=0,0,IFERROR(IF(ISNUMBER(FIND("-",AD54)),MAX(1,VALUE(MID(AD54,FIND("-",AD54)+1,99))-AJ54+1),1),1))</f>
      </c>
      <c r="AQ54">
        <f>IF(AK54&lt;=0,0,IFERROR(IF(ISNUMBER(FIND("-",AE54)),MAX(1,VALUE(MID(AE54,FIND("-",AE54)+1,99))-AK54+1),1),1))</f>
      </c>
      <c r="AR54">
        <f>IF(AL54&lt;=0,0,IFERROR(IF(ISNUMBER(FIND("-",AF54)),MAX(1,VALUE(MID(AF54,FIND("-",AF54)+1,99))-AL54+1),1),1))</f>
      </c>
      <c r="AS54">
        <f>SUM($AM54:AM54)</f>
      </c>
      <c r="AT54">
        <f>SUM($AM54:AN54)</f>
      </c>
      <c r="AU54">
        <f>SUM($AM54:AO54)</f>
      </c>
      <c r="AV54">
        <f>SUM($AM54:AP54)</f>
      </c>
      <c r="AW54">
        <f>SUM($AM54:AQ54)</f>
      </c>
      <c r="AX54">
        <f>SUM($AM54:AR54)</f>
      </c>
      <c r="AY54">
        <f>AND(ISNUMBER(SEARCH("פ",J99&amp;"")),AX54&gt;0,COUNTIF(AG54:AL54,-1)=0)</f>
      </c>
      <c r="AZ54">
        <f>IF(X54=0,0,IF(AY54,MIN(AX54,72),1))</f>
      </c>
      <c r="BA54">
        <f>SUM($AZ$1:AZ54)</f>
      </c>
      <c r="BB54">
        <f>COUNTIF($BA$1:$BA$72,"&lt;"&amp;54)+1</f>
      </c>
      <c r="BC54">
        <f>IF(BB54&gt;72,0,54-IF(BB54=1,0,INDEX($BA$1:$BA$72,BB54-1)))</f>
      </c>
      <c r="BD54">
        <f>IF(54&gt;$BA$72,0,IF(INDEX($AY$1:$AY$72,BB54),INDEX($AG$1:$AL$72,BB54,(COUNTIF(INDEX($AS$1:$AX$72,BB54,0),"&lt;"&amp;BC54)+1))+BC54-1-IF((COUNTIF(INDEX($AS$1:$AX$72,BB54,0),"&lt;"&amp;BC54)+1)=1,0,INDEX($AS$1:$AX$72,BB54,(COUNTIF(INDEX($AS$1:$AX$72,BB54,0),"&lt;"&amp;BC54)+1)-1)),INDEX($X$1:$X$72,BB54)))</f>
      </c>
      <c r="BE54">
        <f>" "&amp;TRIM(SUBSTITUTE(SUBSTITUTE(SUBSTITUTE(SUBSTITUTE(SUBSTITUTE(B99&amp;"","ו",""),"י",""),"ן","נ"),"-"," "),","," "))</f>
      </c>
      <c r="BF54">
        <f>IF(OR(ISNUMBER(SEARCH(" ארנ",BE54)),ISNUMBER(SEARCH(" הארנ",BE54)),ISNUMBER(SEARCH(" אארנ",BE54)),ISNUMBER(SEARCH(" אנרנ",BE54)),ISNUMBER(SEARCH(" האנרנ",BE54))),1,0)</f>
      </c>
      <c r="BG54">
        <f>IF(AND(BF54=1,ISNUMBER(BI54)),BI54,0)</f>
      </c>
      <c r="BH54">
        <f>IF(AND(BF54=1,NOT(ISNUMBER(BI54))),1,0)</f>
      </c>
      <c r="BI54">
        <f>IF(ISNUMBER(J99),J99,IFERROR(--TRIM(SUBSTITUTE(SUBSTITUTE(J99&amp;"","פצל",""),"פ","")),""))</f>
      </c>
    </row>
    <row r="55">
      <c r="X55">
        <f>IF(A100&gt;0,A100,B100)</f>
      </c>
      <c r="Z55">
        <f>SUBSTITUTE(SUBSTITUTE(SUBSTITUTE(SUBSTITUTE(A100&amp;"","–","-"),"--","-"),"--","-")," ","")</f>
      </c>
      <c r="AA55">
        <f>TRIM(MID(SUBSTITUTE(Z55,",",REPT(" ",100)),1,100))</f>
      </c>
      <c r="AB55">
        <f>TRIM(MID(SUBSTITUTE(Z55,",",REPT(" ",100)),101,100))</f>
      </c>
      <c r="AC55">
        <f>TRIM(MID(SUBSTITUTE(Z55,",",REPT(" ",100)),201,100))</f>
      </c>
      <c r="AD55">
        <f>TRIM(MID(SUBSTITUTE(Z55,",",REPT(" ",100)),301,100))</f>
      </c>
      <c r="AE55">
        <f>TRIM(MID(SUBSTITUTE(Z55,",",REPT(" ",100)),401,100))</f>
      </c>
      <c r="AF55">
        <f>TRIM(MID(SUBSTITUTE(Z55,",",REPT(" ",100)),501,100))</f>
      </c>
      <c r="AG55">
        <f>IF(AA55="",0,IFERROR(VALUE(LEFT(AA55,FIND("-",AA55&amp;"-")-1)),-1))</f>
      </c>
      <c r="AH55">
        <f>IF(AB55="",0,IFERROR(VALUE(LEFT(AB55,FIND("-",AB55&amp;"-")-1)),-1))</f>
      </c>
      <c r="AI55">
        <f>IF(AC55="",0,IFERROR(VALUE(LEFT(AC55,FIND("-",AC55&amp;"-")-1)),-1))</f>
      </c>
      <c r="AJ55">
        <f>IF(AD55="",0,IFERROR(VALUE(LEFT(AD55,FIND("-",AD55&amp;"-")-1)),-1))</f>
      </c>
      <c r="AK55">
        <f>IF(AE55="",0,IFERROR(VALUE(LEFT(AE55,FIND("-",AE55&amp;"-")-1)),-1))</f>
      </c>
      <c r="AL55">
        <f>IF(AF55="",0,IFERROR(VALUE(LEFT(AF55,FIND("-",AF55&amp;"-")-1)),-1))</f>
      </c>
      <c r="AM55">
        <f>IF(AG55&lt;=0,0,IFERROR(IF(ISNUMBER(FIND("-",AA55)),MAX(1,VALUE(MID(AA55,FIND("-",AA55)+1,99))-AG55+1),1),1))</f>
      </c>
      <c r="AN55">
        <f>IF(AH55&lt;=0,0,IFERROR(IF(ISNUMBER(FIND("-",AB55)),MAX(1,VALUE(MID(AB55,FIND("-",AB55)+1,99))-AH55+1),1),1))</f>
      </c>
      <c r="AO55">
        <f>IF(AI55&lt;=0,0,IFERROR(IF(ISNUMBER(FIND("-",AC55)),MAX(1,VALUE(MID(AC55,FIND("-",AC55)+1,99))-AI55+1),1),1))</f>
      </c>
      <c r="AP55">
        <f>IF(AJ55&lt;=0,0,IFERROR(IF(ISNUMBER(FIND("-",AD55)),MAX(1,VALUE(MID(AD55,FIND("-",AD55)+1,99))-AJ55+1),1),1))</f>
      </c>
      <c r="AQ55">
        <f>IF(AK55&lt;=0,0,IFERROR(IF(ISNUMBER(FIND("-",AE55)),MAX(1,VALUE(MID(AE55,FIND("-",AE55)+1,99))-AK55+1),1),1))</f>
      </c>
      <c r="AR55">
        <f>IF(AL55&lt;=0,0,IFERROR(IF(ISNUMBER(FIND("-",AF55)),MAX(1,VALUE(MID(AF55,FIND("-",AF55)+1,99))-AL55+1),1),1))</f>
      </c>
      <c r="AS55">
        <f>SUM($AM55:AM55)</f>
      </c>
      <c r="AT55">
        <f>SUM($AM55:AN55)</f>
      </c>
      <c r="AU55">
        <f>SUM($AM55:AO55)</f>
      </c>
      <c r="AV55">
        <f>SUM($AM55:AP55)</f>
      </c>
      <c r="AW55">
        <f>SUM($AM55:AQ55)</f>
      </c>
      <c r="AX55">
        <f>SUM($AM55:AR55)</f>
      </c>
      <c r="AY55">
        <f>AND(ISNUMBER(SEARCH("פ",J100&amp;"")),AX55&gt;0,COUNTIF(AG55:AL55,-1)=0)</f>
      </c>
      <c r="AZ55">
        <f>IF(X55=0,0,IF(AY55,MIN(AX55,72),1))</f>
      </c>
      <c r="BA55">
        <f>SUM($AZ$1:AZ55)</f>
      </c>
      <c r="BB55">
        <f>COUNTIF($BA$1:$BA$72,"&lt;"&amp;55)+1</f>
      </c>
      <c r="BC55">
        <f>IF(BB55&gt;72,0,55-IF(BB55=1,0,INDEX($BA$1:$BA$72,BB55-1)))</f>
      </c>
      <c r="BD55">
        <f>IF(55&gt;$BA$72,0,IF(INDEX($AY$1:$AY$72,BB55),INDEX($AG$1:$AL$72,BB55,(COUNTIF(INDEX($AS$1:$AX$72,BB55,0),"&lt;"&amp;BC55)+1))+BC55-1-IF((COUNTIF(INDEX($AS$1:$AX$72,BB55,0),"&lt;"&amp;BC55)+1)=1,0,INDEX($AS$1:$AX$72,BB55,(COUNTIF(INDEX($AS$1:$AX$72,BB55,0),"&lt;"&amp;BC55)+1)-1)),INDEX($X$1:$X$72,BB55)))</f>
      </c>
      <c r="BE55">
        <f>" "&amp;TRIM(SUBSTITUTE(SUBSTITUTE(SUBSTITUTE(SUBSTITUTE(SUBSTITUTE(B100&amp;"","ו",""),"י",""),"ן","נ"),"-"," "),","," "))</f>
      </c>
      <c r="BF55">
        <f>IF(OR(ISNUMBER(SEARCH(" ארנ",BE55)),ISNUMBER(SEARCH(" הארנ",BE55)),ISNUMBER(SEARCH(" אארנ",BE55)),ISNUMBER(SEARCH(" אנרנ",BE55)),ISNUMBER(SEARCH(" האנרנ",BE55))),1,0)</f>
      </c>
      <c r="BG55">
        <f>IF(AND(BF55=1,ISNUMBER(BI55)),BI55,0)</f>
      </c>
      <c r="BH55">
        <f>IF(AND(BF55=1,NOT(ISNUMBER(BI55))),1,0)</f>
      </c>
      <c r="BI55">
        <f>IF(ISNUMBER(J100),J100,IFERROR(--TRIM(SUBSTITUTE(SUBSTITUTE(J100&amp;"","פצל",""),"פ","")),""))</f>
      </c>
    </row>
    <row r="56" ht="14.25" hidden="1" customHeight="1" x14ac:dyDescent="0.2">
      <c r="X56">
        <f>IF(A101&gt;0,A101,B101)</f>
      </c>
      <c r="Z56">
        <f>SUBSTITUTE(SUBSTITUTE(SUBSTITUTE(SUBSTITUTE(A101&amp;"","–","-"),"--","-"),"--","-")," ","")</f>
      </c>
      <c r="AA56">
        <f>TRIM(MID(SUBSTITUTE(Z56,",",REPT(" ",100)),1,100))</f>
      </c>
      <c r="AB56">
        <f>TRIM(MID(SUBSTITUTE(Z56,",",REPT(" ",100)),101,100))</f>
      </c>
      <c r="AC56">
        <f>TRIM(MID(SUBSTITUTE(Z56,",",REPT(" ",100)),201,100))</f>
      </c>
      <c r="AD56">
        <f>TRIM(MID(SUBSTITUTE(Z56,",",REPT(" ",100)),301,100))</f>
      </c>
      <c r="AE56">
        <f>TRIM(MID(SUBSTITUTE(Z56,",",REPT(" ",100)),401,100))</f>
      </c>
      <c r="AF56">
        <f>TRIM(MID(SUBSTITUTE(Z56,",",REPT(" ",100)),501,100))</f>
      </c>
      <c r="AG56">
        <f>IF(AA56="",0,IFERROR(VALUE(LEFT(AA56,FIND("-",AA56&amp;"-")-1)),-1))</f>
      </c>
      <c r="AH56">
        <f>IF(AB56="",0,IFERROR(VALUE(LEFT(AB56,FIND("-",AB56&amp;"-")-1)),-1))</f>
      </c>
      <c r="AI56">
        <f>IF(AC56="",0,IFERROR(VALUE(LEFT(AC56,FIND("-",AC56&amp;"-")-1)),-1))</f>
      </c>
      <c r="AJ56">
        <f>IF(AD56="",0,IFERROR(VALUE(LEFT(AD56,FIND("-",AD56&amp;"-")-1)),-1))</f>
      </c>
      <c r="AK56">
        <f>IF(AE56="",0,IFERROR(VALUE(LEFT(AE56,FIND("-",AE56&amp;"-")-1)),-1))</f>
      </c>
      <c r="AL56">
        <f>IF(AF56="",0,IFERROR(VALUE(LEFT(AF56,FIND("-",AF56&amp;"-")-1)),-1))</f>
      </c>
      <c r="AM56">
        <f>IF(AG56&lt;=0,0,IFERROR(IF(ISNUMBER(FIND("-",AA56)),MAX(1,VALUE(MID(AA56,FIND("-",AA56)+1,99))-AG56+1),1),1))</f>
      </c>
      <c r="AN56">
        <f>IF(AH56&lt;=0,0,IFERROR(IF(ISNUMBER(FIND("-",AB56)),MAX(1,VALUE(MID(AB56,FIND("-",AB56)+1,99))-AH56+1),1),1))</f>
      </c>
      <c r="AO56">
        <f>IF(AI56&lt;=0,0,IFERROR(IF(ISNUMBER(FIND("-",AC56)),MAX(1,VALUE(MID(AC56,FIND("-",AC56)+1,99))-AI56+1),1),1))</f>
      </c>
      <c r="AP56">
        <f>IF(AJ56&lt;=0,0,IFERROR(IF(ISNUMBER(FIND("-",AD56)),MAX(1,VALUE(MID(AD56,FIND("-",AD56)+1,99))-AJ56+1),1),1))</f>
      </c>
      <c r="AQ56">
        <f>IF(AK56&lt;=0,0,IFERROR(IF(ISNUMBER(FIND("-",AE56)),MAX(1,VALUE(MID(AE56,FIND("-",AE56)+1,99))-AK56+1),1),1))</f>
      </c>
      <c r="AR56">
        <f>IF(AL56&lt;=0,0,IFERROR(IF(ISNUMBER(FIND("-",AF56)),MAX(1,VALUE(MID(AF56,FIND("-",AF56)+1,99))-AL56+1),1),1))</f>
      </c>
      <c r="AS56">
        <f>SUM($AM56:AM56)</f>
      </c>
      <c r="AT56">
        <f>SUM($AM56:AN56)</f>
      </c>
      <c r="AU56">
        <f>SUM($AM56:AO56)</f>
      </c>
      <c r="AV56">
        <f>SUM($AM56:AP56)</f>
      </c>
      <c r="AW56">
        <f>SUM($AM56:AQ56)</f>
      </c>
      <c r="AX56">
        <f>SUM($AM56:AR56)</f>
      </c>
      <c r="AY56">
        <f>AND(ISNUMBER(SEARCH("פ",J101&amp;"")),AX56&gt;0,COUNTIF(AG56:AL56,-1)=0)</f>
      </c>
      <c r="AZ56">
        <f>IF(X56=0,0,IF(AY56,MIN(AX56,72),1))</f>
      </c>
      <c r="BA56">
        <f>SUM($AZ$1:AZ56)</f>
      </c>
      <c r="BB56">
        <f>COUNTIF($BA$1:$BA$72,"&lt;"&amp;56)+1</f>
      </c>
      <c r="BC56">
        <f>IF(BB56&gt;72,0,56-IF(BB56=1,0,INDEX($BA$1:$BA$72,BB56-1)))</f>
      </c>
      <c r="BD56">
        <f>IF(56&gt;$BA$72,0,IF(INDEX($AY$1:$AY$72,BB56),INDEX($AG$1:$AL$72,BB56,(COUNTIF(INDEX($AS$1:$AX$72,BB56,0),"&lt;"&amp;BC56)+1))+BC56-1-IF((COUNTIF(INDEX($AS$1:$AX$72,BB56,0),"&lt;"&amp;BC56)+1)=1,0,INDEX($AS$1:$AX$72,BB56,(COUNTIF(INDEX($AS$1:$AX$72,BB56,0),"&lt;"&amp;BC56)+1)-1)),INDEX($X$1:$X$72,BB56)))</f>
      </c>
      <c r="BE56">
        <f>" "&amp;TRIM(SUBSTITUTE(SUBSTITUTE(SUBSTITUTE(SUBSTITUTE(SUBSTITUTE(B101&amp;"","ו",""),"י",""),"ן","נ"),"-"," "),","," "))</f>
      </c>
      <c r="BF56">
        <f>IF(OR(ISNUMBER(SEARCH(" ארנ",BE56)),ISNUMBER(SEARCH(" הארנ",BE56)),ISNUMBER(SEARCH(" אארנ",BE56)),ISNUMBER(SEARCH(" אנרנ",BE56)),ISNUMBER(SEARCH(" האנרנ",BE56))),1,0)</f>
      </c>
      <c r="BG56">
        <f>IF(AND(BF56=1,ISNUMBER(BI56)),BI56,0)</f>
      </c>
      <c r="BH56">
        <f>IF(AND(BF56=1,NOT(ISNUMBER(BI56))),1,0)</f>
      </c>
      <c r="BI56">
        <f>IF(ISNUMBER(J101),J101,IFERROR(--TRIM(SUBSTITUTE(SUBSTITUTE(J101&amp;"","פצל",""),"פ","")),""))</f>
      </c>
    </row>
    <row r="57" ht="14.25" hidden="1" customHeight="1" x14ac:dyDescent="0.2">
      <c r="X57">
        <f>IF(A102&gt;0,A102,B102)</f>
      </c>
      <c r="Z57">
        <f>SUBSTITUTE(SUBSTITUTE(SUBSTITUTE(SUBSTITUTE(A102&amp;"","–","-"),"--","-"),"--","-")," ","")</f>
      </c>
      <c r="AA57">
        <f>TRIM(MID(SUBSTITUTE(Z57,",",REPT(" ",100)),1,100))</f>
      </c>
      <c r="AB57">
        <f>TRIM(MID(SUBSTITUTE(Z57,",",REPT(" ",100)),101,100))</f>
      </c>
      <c r="AC57">
        <f>TRIM(MID(SUBSTITUTE(Z57,",",REPT(" ",100)),201,100))</f>
      </c>
      <c r="AD57">
        <f>TRIM(MID(SUBSTITUTE(Z57,",",REPT(" ",100)),301,100))</f>
      </c>
      <c r="AE57">
        <f>TRIM(MID(SUBSTITUTE(Z57,",",REPT(" ",100)),401,100))</f>
      </c>
      <c r="AF57">
        <f>TRIM(MID(SUBSTITUTE(Z57,",",REPT(" ",100)),501,100))</f>
      </c>
      <c r="AG57">
        <f>IF(AA57="",0,IFERROR(VALUE(LEFT(AA57,FIND("-",AA57&amp;"-")-1)),-1))</f>
      </c>
      <c r="AH57">
        <f>IF(AB57="",0,IFERROR(VALUE(LEFT(AB57,FIND("-",AB57&amp;"-")-1)),-1))</f>
      </c>
      <c r="AI57">
        <f>IF(AC57="",0,IFERROR(VALUE(LEFT(AC57,FIND("-",AC57&amp;"-")-1)),-1))</f>
      </c>
      <c r="AJ57">
        <f>IF(AD57="",0,IFERROR(VALUE(LEFT(AD57,FIND("-",AD57&amp;"-")-1)),-1))</f>
      </c>
      <c r="AK57">
        <f>IF(AE57="",0,IFERROR(VALUE(LEFT(AE57,FIND("-",AE57&amp;"-")-1)),-1))</f>
      </c>
      <c r="AL57">
        <f>IF(AF57="",0,IFERROR(VALUE(LEFT(AF57,FIND("-",AF57&amp;"-")-1)),-1))</f>
      </c>
      <c r="AM57">
        <f>IF(AG57&lt;=0,0,IFERROR(IF(ISNUMBER(FIND("-",AA57)),MAX(1,VALUE(MID(AA57,FIND("-",AA57)+1,99))-AG57+1),1),1))</f>
      </c>
      <c r="AN57">
        <f>IF(AH57&lt;=0,0,IFERROR(IF(ISNUMBER(FIND("-",AB57)),MAX(1,VALUE(MID(AB57,FIND("-",AB57)+1,99))-AH57+1),1),1))</f>
      </c>
      <c r="AO57">
        <f>IF(AI57&lt;=0,0,IFERROR(IF(ISNUMBER(FIND("-",AC57)),MAX(1,VALUE(MID(AC57,FIND("-",AC57)+1,99))-AI57+1),1),1))</f>
      </c>
      <c r="AP57">
        <f>IF(AJ57&lt;=0,0,IFERROR(IF(ISNUMBER(FIND("-",AD57)),MAX(1,VALUE(MID(AD57,FIND("-",AD57)+1,99))-AJ57+1),1),1))</f>
      </c>
      <c r="AQ57">
        <f>IF(AK57&lt;=0,0,IFERROR(IF(ISNUMBER(FIND("-",AE57)),MAX(1,VALUE(MID(AE57,FIND("-",AE57)+1,99))-AK57+1),1),1))</f>
      </c>
      <c r="AR57">
        <f>IF(AL57&lt;=0,0,IFERROR(IF(ISNUMBER(FIND("-",AF57)),MAX(1,VALUE(MID(AF57,FIND("-",AF57)+1,99))-AL57+1),1),1))</f>
      </c>
      <c r="AS57">
        <f>SUM($AM57:AM57)</f>
      </c>
      <c r="AT57">
        <f>SUM($AM57:AN57)</f>
      </c>
      <c r="AU57">
        <f>SUM($AM57:AO57)</f>
      </c>
      <c r="AV57">
        <f>SUM($AM57:AP57)</f>
      </c>
      <c r="AW57">
        <f>SUM($AM57:AQ57)</f>
      </c>
      <c r="AX57">
        <f>SUM($AM57:AR57)</f>
      </c>
      <c r="AY57">
        <f>AND(ISNUMBER(SEARCH("פ",J102&amp;"")),AX57&gt;0,COUNTIF(AG57:AL57,-1)=0)</f>
      </c>
      <c r="AZ57">
        <f>IF(X57=0,0,IF(AY57,MIN(AX57,72),1))</f>
      </c>
      <c r="BA57">
        <f>SUM($AZ$1:AZ57)</f>
      </c>
      <c r="BB57">
        <f>COUNTIF($BA$1:$BA$72,"&lt;"&amp;57)+1</f>
      </c>
      <c r="BC57">
        <f>IF(BB57&gt;72,0,57-IF(BB57=1,0,INDEX($BA$1:$BA$72,BB57-1)))</f>
      </c>
      <c r="BD57">
        <f>IF(57&gt;$BA$72,0,IF(INDEX($AY$1:$AY$72,BB57),INDEX($AG$1:$AL$72,BB57,(COUNTIF(INDEX($AS$1:$AX$72,BB57,0),"&lt;"&amp;BC57)+1))+BC57-1-IF((COUNTIF(INDEX($AS$1:$AX$72,BB57,0),"&lt;"&amp;BC57)+1)=1,0,INDEX($AS$1:$AX$72,BB57,(COUNTIF(INDEX($AS$1:$AX$72,BB57,0),"&lt;"&amp;BC57)+1)-1)),INDEX($X$1:$X$72,BB57)))</f>
      </c>
      <c r="BE57">
        <f>" "&amp;TRIM(SUBSTITUTE(SUBSTITUTE(SUBSTITUTE(SUBSTITUTE(SUBSTITUTE(B102&amp;"","ו",""),"י",""),"ן","נ"),"-"," "),","," "))</f>
      </c>
      <c r="BF57">
        <f>IF(OR(ISNUMBER(SEARCH(" ארנ",BE57)),ISNUMBER(SEARCH(" הארנ",BE57)),ISNUMBER(SEARCH(" אארנ",BE57)),ISNUMBER(SEARCH(" אנרנ",BE57)),ISNUMBER(SEARCH(" האנרנ",BE57))),1,0)</f>
      </c>
      <c r="BG57">
        <f>IF(AND(BF57=1,ISNUMBER(BI57)),BI57,0)</f>
      </c>
      <c r="BH57">
        <f>IF(AND(BF57=1,NOT(ISNUMBER(BI57))),1,0)</f>
      </c>
      <c r="BI57">
        <f>IF(ISNUMBER(J102),J102,IFERROR(--TRIM(SUBSTITUTE(SUBSTITUTE(J102&amp;"","פצל",""),"פ","")),""))</f>
      </c>
    </row>
    <row r="58" ht="14.25" hidden="1" customHeight="1" x14ac:dyDescent="0.2">
      <c r="X58">
        <f>IF(A103&gt;0,A103,B103)</f>
      </c>
      <c r="Z58">
        <f>SUBSTITUTE(SUBSTITUTE(SUBSTITUTE(SUBSTITUTE(A103&amp;"","–","-"),"--","-"),"--","-")," ","")</f>
      </c>
      <c r="AA58">
        <f>TRIM(MID(SUBSTITUTE(Z58,",",REPT(" ",100)),1,100))</f>
      </c>
      <c r="AB58">
        <f>TRIM(MID(SUBSTITUTE(Z58,",",REPT(" ",100)),101,100))</f>
      </c>
      <c r="AC58">
        <f>TRIM(MID(SUBSTITUTE(Z58,",",REPT(" ",100)),201,100))</f>
      </c>
      <c r="AD58">
        <f>TRIM(MID(SUBSTITUTE(Z58,",",REPT(" ",100)),301,100))</f>
      </c>
      <c r="AE58">
        <f>TRIM(MID(SUBSTITUTE(Z58,",",REPT(" ",100)),401,100))</f>
      </c>
      <c r="AF58">
        <f>TRIM(MID(SUBSTITUTE(Z58,",",REPT(" ",100)),501,100))</f>
      </c>
      <c r="AG58">
        <f>IF(AA58="",0,IFERROR(VALUE(LEFT(AA58,FIND("-",AA58&amp;"-")-1)),-1))</f>
      </c>
      <c r="AH58">
        <f>IF(AB58="",0,IFERROR(VALUE(LEFT(AB58,FIND("-",AB58&amp;"-")-1)),-1))</f>
      </c>
      <c r="AI58">
        <f>IF(AC58="",0,IFERROR(VALUE(LEFT(AC58,FIND("-",AC58&amp;"-")-1)),-1))</f>
      </c>
      <c r="AJ58">
        <f>IF(AD58="",0,IFERROR(VALUE(LEFT(AD58,FIND("-",AD58&amp;"-")-1)),-1))</f>
      </c>
      <c r="AK58">
        <f>IF(AE58="",0,IFERROR(VALUE(LEFT(AE58,FIND("-",AE58&amp;"-")-1)),-1))</f>
      </c>
      <c r="AL58">
        <f>IF(AF58="",0,IFERROR(VALUE(LEFT(AF58,FIND("-",AF58&amp;"-")-1)),-1))</f>
      </c>
      <c r="AM58">
        <f>IF(AG58&lt;=0,0,IFERROR(IF(ISNUMBER(FIND("-",AA58)),MAX(1,VALUE(MID(AA58,FIND("-",AA58)+1,99))-AG58+1),1),1))</f>
      </c>
      <c r="AN58">
        <f>IF(AH58&lt;=0,0,IFERROR(IF(ISNUMBER(FIND("-",AB58)),MAX(1,VALUE(MID(AB58,FIND("-",AB58)+1,99))-AH58+1),1),1))</f>
      </c>
      <c r="AO58">
        <f>IF(AI58&lt;=0,0,IFERROR(IF(ISNUMBER(FIND("-",AC58)),MAX(1,VALUE(MID(AC58,FIND("-",AC58)+1,99))-AI58+1),1),1))</f>
      </c>
      <c r="AP58">
        <f>IF(AJ58&lt;=0,0,IFERROR(IF(ISNUMBER(FIND("-",AD58)),MAX(1,VALUE(MID(AD58,FIND("-",AD58)+1,99))-AJ58+1),1),1))</f>
      </c>
      <c r="AQ58">
        <f>IF(AK58&lt;=0,0,IFERROR(IF(ISNUMBER(FIND("-",AE58)),MAX(1,VALUE(MID(AE58,FIND("-",AE58)+1,99))-AK58+1),1),1))</f>
      </c>
      <c r="AR58">
        <f>IF(AL58&lt;=0,0,IFERROR(IF(ISNUMBER(FIND("-",AF58)),MAX(1,VALUE(MID(AF58,FIND("-",AF58)+1,99))-AL58+1),1),1))</f>
      </c>
      <c r="AS58">
        <f>SUM($AM58:AM58)</f>
      </c>
      <c r="AT58">
        <f>SUM($AM58:AN58)</f>
      </c>
      <c r="AU58">
        <f>SUM($AM58:AO58)</f>
      </c>
      <c r="AV58">
        <f>SUM($AM58:AP58)</f>
      </c>
      <c r="AW58">
        <f>SUM($AM58:AQ58)</f>
      </c>
      <c r="AX58">
        <f>SUM($AM58:AR58)</f>
      </c>
      <c r="AY58">
        <f>AND(ISNUMBER(SEARCH("פ",J103&amp;"")),AX58&gt;0,COUNTIF(AG58:AL58,-1)=0)</f>
      </c>
      <c r="AZ58">
        <f>IF(X58=0,0,IF(AY58,MIN(AX58,72),1))</f>
      </c>
      <c r="BA58">
        <f>SUM($AZ$1:AZ58)</f>
      </c>
      <c r="BB58">
        <f>COUNTIF($BA$1:$BA$72,"&lt;"&amp;58)+1</f>
      </c>
      <c r="BC58">
        <f>IF(BB58&gt;72,0,58-IF(BB58=1,0,INDEX($BA$1:$BA$72,BB58-1)))</f>
      </c>
      <c r="BD58">
        <f>IF(58&gt;$BA$72,0,IF(INDEX($AY$1:$AY$72,BB58),INDEX($AG$1:$AL$72,BB58,(COUNTIF(INDEX($AS$1:$AX$72,BB58,0),"&lt;"&amp;BC58)+1))+BC58-1-IF((COUNTIF(INDEX($AS$1:$AX$72,BB58,0),"&lt;"&amp;BC58)+1)=1,0,INDEX($AS$1:$AX$72,BB58,(COUNTIF(INDEX($AS$1:$AX$72,BB58,0),"&lt;"&amp;BC58)+1)-1)),INDEX($X$1:$X$72,BB58)))</f>
      </c>
      <c r="BE58">
        <f>" "&amp;TRIM(SUBSTITUTE(SUBSTITUTE(SUBSTITUTE(SUBSTITUTE(SUBSTITUTE(B103&amp;"","ו",""),"י",""),"ן","נ"),"-"," "),","," "))</f>
      </c>
      <c r="BF58">
        <f>IF(OR(ISNUMBER(SEARCH(" ארנ",BE58)),ISNUMBER(SEARCH(" הארנ",BE58)),ISNUMBER(SEARCH(" אארנ",BE58)),ISNUMBER(SEARCH(" אנרנ",BE58)),ISNUMBER(SEARCH(" האנרנ",BE58))),1,0)</f>
      </c>
      <c r="BG58">
        <f>IF(AND(BF58=1,ISNUMBER(BI58)),BI58,0)</f>
      </c>
      <c r="BH58">
        <f>IF(AND(BF58=1,NOT(ISNUMBER(BI58))),1,0)</f>
      </c>
      <c r="BI58">
        <f>IF(ISNUMBER(J103),J103,IFERROR(--TRIM(SUBSTITUTE(SUBSTITUTE(J103&amp;"","פצל",""),"פ","")),""))</f>
      </c>
    </row>
    <row r="59" ht="14.25" hidden="1" customHeight="1" x14ac:dyDescent="0.2">
      <c r="X59">
        <f>IF(A104&gt;0,A104,B104)</f>
      </c>
      <c r="Z59">
        <f>SUBSTITUTE(SUBSTITUTE(SUBSTITUTE(SUBSTITUTE(A104&amp;"","–","-"),"--","-"),"--","-")," ","")</f>
      </c>
      <c r="AA59">
        <f>TRIM(MID(SUBSTITUTE(Z59,",",REPT(" ",100)),1,100))</f>
      </c>
      <c r="AB59">
        <f>TRIM(MID(SUBSTITUTE(Z59,",",REPT(" ",100)),101,100))</f>
      </c>
      <c r="AC59">
        <f>TRIM(MID(SUBSTITUTE(Z59,",",REPT(" ",100)),201,100))</f>
      </c>
      <c r="AD59">
        <f>TRIM(MID(SUBSTITUTE(Z59,",",REPT(" ",100)),301,100))</f>
      </c>
      <c r="AE59">
        <f>TRIM(MID(SUBSTITUTE(Z59,",",REPT(" ",100)),401,100))</f>
      </c>
      <c r="AF59">
        <f>TRIM(MID(SUBSTITUTE(Z59,",",REPT(" ",100)),501,100))</f>
      </c>
      <c r="AG59">
        <f>IF(AA59="",0,IFERROR(VALUE(LEFT(AA59,FIND("-",AA59&amp;"-")-1)),-1))</f>
      </c>
      <c r="AH59">
        <f>IF(AB59="",0,IFERROR(VALUE(LEFT(AB59,FIND("-",AB59&amp;"-")-1)),-1))</f>
      </c>
      <c r="AI59">
        <f>IF(AC59="",0,IFERROR(VALUE(LEFT(AC59,FIND("-",AC59&amp;"-")-1)),-1))</f>
      </c>
      <c r="AJ59">
        <f>IF(AD59="",0,IFERROR(VALUE(LEFT(AD59,FIND("-",AD59&amp;"-")-1)),-1))</f>
      </c>
      <c r="AK59">
        <f>IF(AE59="",0,IFERROR(VALUE(LEFT(AE59,FIND("-",AE59&amp;"-")-1)),-1))</f>
      </c>
      <c r="AL59">
        <f>IF(AF59="",0,IFERROR(VALUE(LEFT(AF59,FIND("-",AF59&amp;"-")-1)),-1))</f>
      </c>
      <c r="AM59">
        <f>IF(AG59&lt;=0,0,IFERROR(IF(ISNUMBER(FIND("-",AA59)),MAX(1,VALUE(MID(AA59,FIND("-",AA59)+1,99))-AG59+1),1),1))</f>
      </c>
      <c r="AN59">
        <f>IF(AH59&lt;=0,0,IFERROR(IF(ISNUMBER(FIND("-",AB59)),MAX(1,VALUE(MID(AB59,FIND("-",AB59)+1,99))-AH59+1),1),1))</f>
      </c>
      <c r="AO59">
        <f>IF(AI59&lt;=0,0,IFERROR(IF(ISNUMBER(FIND("-",AC59)),MAX(1,VALUE(MID(AC59,FIND("-",AC59)+1,99))-AI59+1),1),1))</f>
      </c>
      <c r="AP59">
        <f>IF(AJ59&lt;=0,0,IFERROR(IF(ISNUMBER(FIND("-",AD59)),MAX(1,VALUE(MID(AD59,FIND("-",AD59)+1,99))-AJ59+1),1),1))</f>
      </c>
      <c r="AQ59">
        <f>IF(AK59&lt;=0,0,IFERROR(IF(ISNUMBER(FIND("-",AE59)),MAX(1,VALUE(MID(AE59,FIND("-",AE59)+1,99))-AK59+1),1),1))</f>
      </c>
      <c r="AR59">
        <f>IF(AL59&lt;=0,0,IFERROR(IF(ISNUMBER(FIND("-",AF59)),MAX(1,VALUE(MID(AF59,FIND("-",AF59)+1,99))-AL59+1),1),1))</f>
      </c>
      <c r="AS59">
        <f>SUM($AM59:AM59)</f>
      </c>
      <c r="AT59">
        <f>SUM($AM59:AN59)</f>
      </c>
      <c r="AU59">
        <f>SUM($AM59:AO59)</f>
      </c>
      <c r="AV59">
        <f>SUM($AM59:AP59)</f>
      </c>
      <c r="AW59">
        <f>SUM($AM59:AQ59)</f>
      </c>
      <c r="AX59">
        <f>SUM($AM59:AR59)</f>
      </c>
      <c r="AY59">
        <f>AND(ISNUMBER(SEARCH("פ",J104&amp;"")),AX59&gt;0,COUNTIF(AG59:AL59,-1)=0)</f>
      </c>
      <c r="AZ59">
        <f>IF(X59=0,0,IF(AY59,MIN(AX59,72),1))</f>
      </c>
      <c r="BA59">
        <f>SUM($AZ$1:AZ59)</f>
      </c>
      <c r="BB59">
        <f>COUNTIF($BA$1:$BA$72,"&lt;"&amp;59)+1</f>
      </c>
      <c r="BC59">
        <f>IF(BB59&gt;72,0,59-IF(BB59=1,0,INDEX($BA$1:$BA$72,BB59-1)))</f>
      </c>
      <c r="BD59">
        <f>IF(59&gt;$BA$72,0,IF(INDEX($AY$1:$AY$72,BB59),INDEX($AG$1:$AL$72,BB59,(COUNTIF(INDEX($AS$1:$AX$72,BB59,0),"&lt;"&amp;BC59)+1))+BC59-1-IF((COUNTIF(INDEX($AS$1:$AX$72,BB59,0),"&lt;"&amp;BC59)+1)=1,0,INDEX($AS$1:$AX$72,BB59,(COUNTIF(INDEX($AS$1:$AX$72,BB59,0),"&lt;"&amp;BC59)+1)-1)),INDEX($X$1:$X$72,BB59)))</f>
      </c>
      <c r="BE59">
        <f>" "&amp;TRIM(SUBSTITUTE(SUBSTITUTE(SUBSTITUTE(SUBSTITUTE(SUBSTITUTE(B104&amp;"","ו",""),"י",""),"ן","נ"),"-"," "),","," "))</f>
      </c>
      <c r="BF59">
        <f>IF(OR(ISNUMBER(SEARCH(" ארנ",BE59)),ISNUMBER(SEARCH(" הארנ",BE59)),ISNUMBER(SEARCH(" אארנ",BE59)),ISNUMBER(SEARCH(" אנרנ",BE59)),ISNUMBER(SEARCH(" האנרנ",BE59))),1,0)</f>
      </c>
      <c r="BG59">
        <f>IF(AND(BF59=1,ISNUMBER(BI59)),BI59,0)</f>
      </c>
      <c r="BH59">
        <f>IF(AND(BF59=1,NOT(ISNUMBER(BI59))),1,0)</f>
      </c>
      <c r="BI59">
        <f>IF(ISNUMBER(J104),J104,IFERROR(--TRIM(SUBSTITUTE(SUBSTITUTE(J104&amp;"","פצל",""),"פ","")),""))</f>
      </c>
    </row>
    <row r="60" ht="15" hidden="1" customHeight="1" thickBot="1" x14ac:dyDescent="0.25">
      <c r="X60">
        <f>IF(A105&gt;0,A105,B105)</f>
      </c>
      <c r="Z60">
        <f>SUBSTITUTE(SUBSTITUTE(SUBSTITUTE(SUBSTITUTE(A105&amp;"","–","-"),"--","-"),"--","-")," ","")</f>
      </c>
      <c r="AA60">
        <f>TRIM(MID(SUBSTITUTE(Z60,",",REPT(" ",100)),1,100))</f>
      </c>
      <c r="AB60">
        <f>TRIM(MID(SUBSTITUTE(Z60,",",REPT(" ",100)),101,100))</f>
      </c>
      <c r="AC60">
        <f>TRIM(MID(SUBSTITUTE(Z60,",",REPT(" ",100)),201,100))</f>
      </c>
      <c r="AD60">
        <f>TRIM(MID(SUBSTITUTE(Z60,",",REPT(" ",100)),301,100))</f>
      </c>
      <c r="AE60">
        <f>TRIM(MID(SUBSTITUTE(Z60,",",REPT(" ",100)),401,100))</f>
      </c>
      <c r="AF60">
        <f>TRIM(MID(SUBSTITUTE(Z60,",",REPT(" ",100)),501,100))</f>
      </c>
      <c r="AG60">
        <f>IF(AA60="",0,IFERROR(VALUE(LEFT(AA60,FIND("-",AA60&amp;"-")-1)),-1))</f>
      </c>
      <c r="AH60">
        <f>IF(AB60="",0,IFERROR(VALUE(LEFT(AB60,FIND("-",AB60&amp;"-")-1)),-1))</f>
      </c>
      <c r="AI60">
        <f>IF(AC60="",0,IFERROR(VALUE(LEFT(AC60,FIND("-",AC60&amp;"-")-1)),-1))</f>
      </c>
      <c r="AJ60">
        <f>IF(AD60="",0,IFERROR(VALUE(LEFT(AD60,FIND("-",AD60&amp;"-")-1)),-1))</f>
      </c>
      <c r="AK60">
        <f>IF(AE60="",0,IFERROR(VALUE(LEFT(AE60,FIND("-",AE60&amp;"-")-1)),-1))</f>
      </c>
      <c r="AL60">
        <f>IF(AF60="",0,IFERROR(VALUE(LEFT(AF60,FIND("-",AF60&amp;"-")-1)),-1))</f>
      </c>
      <c r="AM60">
        <f>IF(AG60&lt;=0,0,IFERROR(IF(ISNUMBER(FIND("-",AA60)),MAX(1,VALUE(MID(AA60,FIND("-",AA60)+1,99))-AG60+1),1),1))</f>
      </c>
      <c r="AN60">
        <f>IF(AH60&lt;=0,0,IFERROR(IF(ISNUMBER(FIND("-",AB60)),MAX(1,VALUE(MID(AB60,FIND("-",AB60)+1,99))-AH60+1),1),1))</f>
      </c>
      <c r="AO60">
        <f>IF(AI60&lt;=0,0,IFERROR(IF(ISNUMBER(FIND("-",AC60)),MAX(1,VALUE(MID(AC60,FIND("-",AC60)+1,99))-AI60+1),1),1))</f>
      </c>
      <c r="AP60">
        <f>IF(AJ60&lt;=0,0,IFERROR(IF(ISNUMBER(FIND("-",AD60)),MAX(1,VALUE(MID(AD60,FIND("-",AD60)+1,99))-AJ60+1),1),1))</f>
      </c>
      <c r="AQ60">
        <f>IF(AK60&lt;=0,0,IFERROR(IF(ISNUMBER(FIND("-",AE60)),MAX(1,VALUE(MID(AE60,FIND("-",AE60)+1,99))-AK60+1),1),1))</f>
      </c>
      <c r="AR60">
        <f>IF(AL60&lt;=0,0,IFERROR(IF(ISNUMBER(FIND("-",AF60)),MAX(1,VALUE(MID(AF60,FIND("-",AF60)+1,99))-AL60+1),1),1))</f>
      </c>
      <c r="AS60">
        <f>SUM($AM60:AM60)</f>
      </c>
      <c r="AT60">
        <f>SUM($AM60:AN60)</f>
      </c>
      <c r="AU60">
        <f>SUM($AM60:AO60)</f>
      </c>
      <c r="AV60">
        <f>SUM($AM60:AP60)</f>
      </c>
      <c r="AW60">
        <f>SUM($AM60:AQ60)</f>
      </c>
      <c r="AX60">
        <f>SUM($AM60:AR60)</f>
      </c>
      <c r="AY60">
        <f>AND(ISNUMBER(SEARCH("פ",J105&amp;"")),AX60&gt;0,COUNTIF(AG60:AL60,-1)=0)</f>
      </c>
      <c r="AZ60">
        <f>IF(X60=0,0,IF(AY60,MIN(AX60,72),1))</f>
      </c>
      <c r="BA60">
        <f>SUM($AZ$1:AZ60)</f>
      </c>
      <c r="BB60">
        <f>COUNTIF($BA$1:$BA$72,"&lt;"&amp;60)+1</f>
      </c>
      <c r="BC60">
        <f>IF(BB60&gt;72,0,60-IF(BB60=1,0,INDEX($BA$1:$BA$72,BB60-1)))</f>
      </c>
      <c r="BD60">
        <f>IF(60&gt;$BA$72,0,IF(INDEX($AY$1:$AY$72,BB60),INDEX($AG$1:$AL$72,BB60,(COUNTIF(INDEX($AS$1:$AX$72,BB60,0),"&lt;"&amp;BC60)+1))+BC60-1-IF((COUNTIF(INDEX($AS$1:$AX$72,BB60,0),"&lt;"&amp;BC60)+1)=1,0,INDEX($AS$1:$AX$72,BB60,(COUNTIF(INDEX($AS$1:$AX$72,BB60,0),"&lt;"&amp;BC60)+1)-1)),INDEX($X$1:$X$72,BB60)))</f>
      </c>
      <c r="BE60">
        <f>" "&amp;TRIM(SUBSTITUTE(SUBSTITUTE(SUBSTITUTE(SUBSTITUTE(SUBSTITUTE(B105&amp;"","ו",""),"י",""),"ן","נ"),"-"," "),","," "))</f>
      </c>
      <c r="BF60">
        <f>IF(OR(ISNUMBER(SEARCH(" ארנ",BE60)),ISNUMBER(SEARCH(" הארנ",BE60)),ISNUMBER(SEARCH(" אארנ",BE60)),ISNUMBER(SEARCH(" אנרנ",BE60)),ISNUMBER(SEARCH(" האנרנ",BE60))),1,0)</f>
      </c>
      <c r="BG60">
        <f>IF(AND(BF60=1,ISNUMBER(BI60)),BI60,0)</f>
      </c>
      <c r="BH60">
        <f>IF(AND(BF60=1,NOT(ISNUMBER(BI60))),1,0)</f>
      </c>
      <c r="BI60">
        <f>IF(ISNUMBER(J105),J105,IFERROR(--TRIM(SUBSTITUTE(SUBSTITUTE(J105&amp;"","פצל",""),"פ","")),""))</f>
      </c>
    </row>
    <row r="61" ht="15" hidden="1" customHeight="1" thickBot="1" x14ac:dyDescent="0.25">
      <c r="A61" s="6" t="s">
        <v>14</v>
      </c>
      <c r="B61" s="34" t="s">
        <v>0</v>
      </c>
      <c r="C61" s="34"/>
      <c r="D61" s="34" t="s">
        <v>1</v>
      </c>
      <c r="E61" s="34"/>
      <c r="F61" s="34"/>
      <c r="G61" s="34"/>
      <c r="H61" s="34"/>
      <c r="I61" s="7" t="s">
        <v>7</v>
      </c>
      <c r="X61">
        <f>IF(A106&gt;0,A106,B106)</f>
      </c>
      <c r="Z61">
        <f>SUBSTITUTE(SUBSTITUTE(SUBSTITUTE(SUBSTITUTE(A106&amp;"","–","-"),"--","-"),"--","-")," ","")</f>
      </c>
      <c r="AA61">
        <f>TRIM(MID(SUBSTITUTE(Z61,",",REPT(" ",100)),1,100))</f>
      </c>
      <c r="AB61">
        <f>TRIM(MID(SUBSTITUTE(Z61,",",REPT(" ",100)),101,100))</f>
      </c>
      <c r="AC61">
        <f>TRIM(MID(SUBSTITUTE(Z61,",",REPT(" ",100)),201,100))</f>
      </c>
      <c r="AD61">
        <f>TRIM(MID(SUBSTITUTE(Z61,",",REPT(" ",100)),301,100))</f>
      </c>
      <c r="AE61">
        <f>TRIM(MID(SUBSTITUTE(Z61,",",REPT(" ",100)),401,100))</f>
      </c>
      <c r="AF61">
        <f>TRIM(MID(SUBSTITUTE(Z61,",",REPT(" ",100)),501,100))</f>
      </c>
      <c r="AG61">
        <f>IF(AA61="",0,IFERROR(VALUE(LEFT(AA61,FIND("-",AA61&amp;"-")-1)),-1))</f>
      </c>
      <c r="AH61">
        <f>IF(AB61="",0,IFERROR(VALUE(LEFT(AB61,FIND("-",AB61&amp;"-")-1)),-1))</f>
      </c>
      <c r="AI61">
        <f>IF(AC61="",0,IFERROR(VALUE(LEFT(AC61,FIND("-",AC61&amp;"-")-1)),-1))</f>
      </c>
      <c r="AJ61">
        <f>IF(AD61="",0,IFERROR(VALUE(LEFT(AD61,FIND("-",AD61&amp;"-")-1)),-1))</f>
      </c>
      <c r="AK61">
        <f>IF(AE61="",0,IFERROR(VALUE(LEFT(AE61,FIND("-",AE61&amp;"-")-1)),-1))</f>
      </c>
      <c r="AL61">
        <f>IF(AF61="",0,IFERROR(VALUE(LEFT(AF61,FIND("-",AF61&amp;"-")-1)),-1))</f>
      </c>
      <c r="AM61">
        <f>IF(AG61&lt;=0,0,IFERROR(IF(ISNUMBER(FIND("-",AA61)),MAX(1,VALUE(MID(AA61,FIND("-",AA61)+1,99))-AG61+1),1),1))</f>
      </c>
      <c r="AN61">
        <f>IF(AH61&lt;=0,0,IFERROR(IF(ISNUMBER(FIND("-",AB61)),MAX(1,VALUE(MID(AB61,FIND("-",AB61)+1,99))-AH61+1),1),1))</f>
      </c>
      <c r="AO61">
        <f>IF(AI61&lt;=0,0,IFERROR(IF(ISNUMBER(FIND("-",AC61)),MAX(1,VALUE(MID(AC61,FIND("-",AC61)+1,99))-AI61+1),1),1))</f>
      </c>
      <c r="AP61">
        <f>IF(AJ61&lt;=0,0,IFERROR(IF(ISNUMBER(FIND("-",AD61)),MAX(1,VALUE(MID(AD61,FIND("-",AD61)+1,99))-AJ61+1),1),1))</f>
      </c>
      <c r="AQ61">
        <f>IF(AK61&lt;=0,0,IFERROR(IF(ISNUMBER(FIND("-",AE61)),MAX(1,VALUE(MID(AE61,FIND("-",AE61)+1,99))-AK61+1),1),1))</f>
      </c>
      <c r="AR61">
        <f>IF(AL61&lt;=0,0,IFERROR(IF(ISNUMBER(FIND("-",AF61)),MAX(1,VALUE(MID(AF61,FIND("-",AF61)+1,99))-AL61+1),1),1))</f>
      </c>
      <c r="AS61">
        <f>SUM($AM61:AM61)</f>
      </c>
      <c r="AT61">
        <f>SUM($AM61:AN61)</f>
      </c>
      <c r="AU61">
        <f>SUM($AM61:AO61)</f>
      </c>
      <c r="AV61">
        <f>SUM($AM61:AP61)</f>
      </c>
      <c r="AW61">
        <f>SUM($AM61:AQ61)</f>
      </c>
      <c r="AX61">
        <f>SUM($AM61:AR61)</f>
      </c>
      <c r="AY61">
        <f>AND(ISNUMBER(SEARCH("פ",J106&amp;"")),AX61&gt;0,COUNTIF(AG61:AL61,-1)=0)</f>
      </c>
      <c r="AZ61">
        <f>IF(X61=0,0,IF(AY61,MIN(AX61,72),1))</f>
      </c>
      <c r="BA61">
        <f>SUM($AZ$1:AZ61)</f>
      </c>
      <c r="BB61">
        <f>COUNTIF($BA$1:$BA$72,"&lt;"&amp;61)+1</f>
      </c>
      <c r="BC61">
        <f>IF(BB61&gt;72,0,61-IF(BB61=1,0,INDEX($BA$1:$BA$72,BB61-1)))</f>
      </c>
      <c r="BD61">
        <f>IF(61&gt;$BA$72,0,IF(INDEX($AY$1:$AY$72,BB61),INDEX($AG$1:$AL$72,BB61,(COUNTIF(INDEX($AS$1:$AX$72,BB61,0),"&lt;"&amp;BC61)+1))+BC61-1-IF((COUNTIF(INDEX($AS$1:$AX$72,BB61,0),"&lt;"&amp;BC61)+1)=1,0,INDEX($AS$1:$AX$72,BB61,(COUNTIF(INDEX($AS$1:$AX$72,BB61,0),"&lt;"&amp;BC61)+1)-1)),INDEX($X$1:$X$72,BB61)))</f>
      </c>
      <c r="BE61">
        <f>" "&amp;TRIM(SUBSTITUTE(SUBSTITUTE(SUBSTITUTE(SUBSTITUTE(SUBSTITUTE(B106&amp;"","ו",""),"י",""),"ן","נ"),"-"," "),","," "))</f>
      </c>
      <c r="BF61">
        <f>IF(OR(ISNUMBER(SEARCH(" ארנ",BE61)),ISNUMBER(SEARCH(" הארנ",BE61)),ISNUMBER(SEARCH(" אארנ",BE61)),ISNUMBER(SEARCH(" אנרנ",BE61)),ISNUMBER(SEARCH(" האנרנ",BE61))),1,0)</f>
      </c>
      <c r="BG61">
        <f>IF(AND(BF61=1,ISNUMBER(BI61)),BI61,0)</f>
      </c>
      <c r="BH61">
        <f>IF(AND(BF61=1,NOT(ISNUMBER(BI61))),1,0)</f>
      </c>
      <c r="BI61">
        <f>IF(ISNUMBER(J106),J106,IFERROR(--TRIM(SUBSTITUTE(SUBSTITUTE(J106&amp;"","פצל",""),"פ","")),""))</f>
      </c>
    </row>
    <row r="62" ht="13.9" hidden="1" customHeight="1" x14ac:dyDescent="0.2">
      <c r="A62" s="8"/>
      <c r="B62" s="35"/>
      <c r="C62" s="37"/>
      <c r="D62" s="35"/>
      <c r="E62" s="36"/>
      <c r="F62" s="36"/>
      <c r="G62" s="36"/>
      <c r="H62" s="37"/>
      <c r="I62" s="5"/>
      <c r="J62" s="46"/>
      <c r="K62" s="21">
        <f>IF($BD$23=0,,$BD$9)</f>
      </c>
      <c r="L62" s="28" t="b">
        <f>IF($K$62&gt;0,$BD$10,FALSE)</f>
      </c>
      <c r="M62" s="28" t="b">
        <f>IF($K$62&gt;0,$BD$11)</f>
      </c>
      <c r="N62" s="28" t="b">
        <f>IF($K$62&gt;0,$BD$12)</f>
      </c>
      <c r="O62" s="21">
        <f>IF($K$62=0,,IF($K$116=0,IF($K$62&gt;0,$BD$25),$BD$33))</f>
      </c>
      <c r="P62" s="21">
        <f>IF($K$62=0,,IF($K$116=0,IF($K$62&gt;0,$BD$26),$BD$34))</f>
      </c>
      <c r="Q62" s="21">
        <f>IF($K$62=0,,IF($K$116=0,IF($K$62&gt;0,$BD$27),$BD$35))</f>
      </c>
      <c r="R62" s="21">
        <f>IF($K$62=0,,IF($K$116=0,IF($K$62&gt;0,$BD$28),$BD$36))</f>
      </c>
      <c r="S62" s="21">
        <f>IF($K$62=0,,IF($K$116=0,IF($K$62&gt;0,$BD$41),$BD$57))</f>
      </c>
      <c r="T62" s="21">
        <f>IF($K$62=0,,IF($K$116=0,IF($K$62&gt;0,$BD$42),$BD$58))</f>
      </c>
      <c r="U62" s="21">
        <f>IF($K$62=0,,IF($K$116=0,IF($K$62&gt;0,$BD$43),$BD$59))</f>
      </c>
      <c r="V62" s="21">
        <f>IF($K$62=0,,IF($K$116=0,IF($K$62&gt;0,$BD$44),$BD$60))</f>
      </c>
      <c r="X62">
        <f>IF(A107&gt;0,A107,B107)</f>
      </c>
      <c r="Z62">
        <f>SUBSTITUTE(SUBSTITUTE(SUBSTITUTE(SUBSTITUTE(A107&amp;"","–","-"),"--","-"),"--","-")," ","")</f>
      </c>
      <c r="AA62">
        <f>TRIM(MID(SUBSTITUTE(Z62,",",REPT(" ",100)),1,100))</f>
      </c>
      <c r="AB62">
        <f>TRIM(MID(SUBSTITUTE(Z62,",",REPT(" ",100)),101,100))</f>
      </c>
      <c r="AC62">
        <f>TRIM(MID(SUBSTITUTE(Z62,",",REPT(" ",100)),201,100))</f>
      </c>
      <c r="AD62">
        <f>TRIM(MID(SUBSTITUTE(Z62,",",REPT(" ",100)),301,100))</f>
      </c>
      <c r="AE62">
        <f>TRIM(MID(SUBSTITUTE(Z62,",",REPT(" ",100)),401,100))</f>
      </c>
      <c r="AF62">
        <f>TRIM(MID(SUBSTITUTE(Z62,",",REPT(" ",100)),501,100))</f>
      </c>
      <c r="AG62">
        <f>IF(AA62="",0,IFERROR(VALUE(LEFT(AA62,FIND("-",AA62&amp;"-")-1)),-1))</f>
      </c>
      <c r="AH62">
        <f>IF(AB62="",0,IFERROR(VALUE(LEFT(AB62,FIND("-",AB62&amp;"-")-1)),-1))</f>
      </c>
      <c r="AI62">
        <f>IF(AC62="",0,IFERROR(VALUE(LEFT(AC62,FIND("-",AC62&amp;"-")-1)),-1))</f>
      </c>
      <c r="AJ62">
        <f>IF(AD62="",0,IFERROR(VALUE(LEFT(AD62,FIND("-",AD62&amp;"-")-1)),-1))</f>
      </c>
      <c r="AK62">
        <f>IF(AE62="",0,IFERROR(VALUE(LEFT(AE62,FIND("-",AE62&amp;"-")-1)),-1))</f>
      </c>
      <c r="AL62">
        <f>IF(AF62="",0,IFERROR(VALUE(LEFT(AF62,FIND("-",AF62&amp;"-")-1)),-1))</f>
      </c>
      <c r="AM62">
        <f>IF(AG62&lt;=0,0,IFERROR(IF(ISNUMBER(FIND("-",AA62)),MAX(1,VALUE(MID(AA62,FIND("-",AA62)+1,99))-AG62+1),1),1))</f>
      </c>
      <c r="AN62">
        <f>IF(AH62&lt;=0,0,IFERROR(IF(ISNUMBER(FIND("-",AB62)),MAX(1,VALUE(MID(AB62,FIND("-",AB62)+1,99))-AH62+1),1),1))</f>
      </c>
      <c r="AO62">
        <f>IF(AI62&lt;=0,0,IFERROR(IF(ISNUMBER(FIND("-",AC62)),MAX(1,VALUE(MID(AC62,FIND("-",AC62)+1,99))-AI62+1),1),1))</f>
      </c>
      <c r="AP62">
        <f>IF(AJ62&lt;=0,0,IFERROR(IF(ISNUMBER(FIND("-",AD62)),MAX(1,VALUE(MID(AD62,FIND("-",AD62)+1,99))-AJ62+1),1),1))</f>
      </c>
      <c r="AQ62">
        <f>IF(AK62&lt;=0,0,IFERROR(IF(ISNUMBER(FIND("-",AE62)),MAX(1,VALUE(MID(AE62,FIND("-",AE62)+1,99))-AK62+1),1),1))</f>
      </c>
      <c r="AR62">
        <f>IF(AL62&lt;=0,0,IFERROR(IF(ISNUMBER(FIND("-",AF62)),MAX(1,VALUE(MID(AF62,FIND("-",AF62)+1,99))-AL62+1),1),1))</f>
      </c>
      <c r="AS62">
        <f>SUM($AM62:AM62)</f>
      </c>
      <c r="AT62">
        <f>SUM($AM62:AN62)</f>
      </c>
      <c r="AU62">
        <f>SUM($AM62:AO62)</f>
      </c>
      <c r="AV62">
        <f>SUM($AM62:AP62)</f>
      </c>
      <c r="AW62">
        <f>SUM($AM62:AQ62)</f>
      </c>
      <c r="AX62">
        <f>SUM($AM62:AR62)</f>
      </c>
      <c r="AY62">
        <f>AND(ISNUMBER(SEARCH("פ",J107&amp;"")),AX62&gt;0,COUNTIF(AG62:AL62,-1)=0)</f>
      </c>
      <c r="AZ62">
        <f>IF(X62=0,0,IF(AY62,MIN(AX62,72),1))</f>
      </c>
      <c r="BA62">
        <f>SUM($AZ$1:AZ62)</f>
      </c>
      <c r="BB62">
        <f>COUNTIF($BA$1:$BA$72,"&lt;"&amp;62)+1</f>
      </c>
      <c r="BC62">
        <f>IF(BB62&gt;72,0,62-IF(BB62=1,0,INDEX($BA$1:$BA$72,BB62-1)))</f>
      </c>
      <c r="BD62">
        <f>IF(62&gt;$BA$72,0,IF(INDEX($AY$1:$AY$72,BB62),INDEX($AG$1:$AL$72,BB62,(COUNTIF(INDEX($AS$1:$AX$72,BB62,0),"&lt;"&amp;BC62)+1))+BC62-1-IF((COUNTIF(INDEX($AS$1:$AX$72,BB62,0),"&lt;"&amp;BC62)+1)=1,0,INDEX($AS$1:$AX$72,BB62,(COUNTIF(INDEX($AS$1:$AX$72,BB62,0),"&lt;"&amp;BC62)+1)-1)),INDEX($X$1:$X$72,BB62)))</f>
      </c>
      <c r="BE62">
        <f>" "&amp;TRIM(SUBSTITUTE(SUBSTITUTE(SUBSTITUTE(SUBSTITUTE(SUBSTITUTE(B107&amp;"","ו",""),"י",""),"ן","נ"),"-"," "),","," "))</f>
      </c>
      <c r="BF62">
        <f>IF(OR(ISNUMBER(SEARCH(" ארנ",BE62)),ISNUMBER(SEARCH(" הארנ",BE62)),ISNUMBER(SEARCH(" אארנ",BE62)),ISNUMBER(SEARCH(" אנרנ",BE62)),ISNUMBER(SEARCH(" האנרנ",BE62))),1,0)</f>
      </c>
      <c r="BG62">
        <f>IF(AND(BF62=1,ISNUMBER(BI62)),BI62,0)</f>
      </c>
      <c r="BH62">
        <f>IF(AND(BF62=1,NOT(ISNUMBER(BI62))),1,0)</f>
      </c>
      <c r="BI62">
        <f>IF(ISNUMBER(J107),J107,IFERROR(--TRIM(SUBSTITUTE(SUBSTITUTE(J107&amp;"","פצל",""),"פ","")),""))</f>
      </c>
    </row>
    <row r="63" ht="14.25" hidden="1" customHeight="1" x14ac:dyDescent="0.2">
      <c r="A63" s="9"/>
      <c r="B63" s="29"/>
      <c r="C63" s="30"/>
      <c r="D63" s="29"/>
      <c r="E63" s="31"/>
      <c r="F63" s="31"/>
      <c r="G63" s="31"/>
      <c r="H63" s="30"/>
      <c r="I63" s="3"/>
      <c r="J63" s="46"/>
      <c r="K63" s="21"/>
      <c r="L63" s="28"/>
      <c r="M63" s="28"/>
      <c r="N63" s="28"/>
      <c r="O63" s="21"/>
      <c r="P63" s="21"/>
      <c r="Q63" s="21"/>
      <c r="R63" s="21"/>
      <c r="S63" s="21"/>
      <c r="T63" s="21"/>
      <c r="U63" s="21"/>
      <c r="V63" s="21"/>
      <c r="X63">
        <f>IF(A116&gt;0,A116,B116)</f>
      </c>
      <c r="Z63">
        <f>SUBSTITUTE(SUBSTITUTE(SUBSTITUTE(SUBSTITUTE(A116&amp;"","–","-"),"--","-"),"--","-")," ","")</f>
      </c>
      <c r="AA63">
        <f>TRIM(MID(SUBSTITUTE(Z63,",",REPT(" ",100)),1,100))</f>
      </c>
      <c r="AB63">
        <f>TRIM(MID(SUBSTITUTE(Z63,",",REPT(" ",100)),101,100))</f>
      </c>
      <c r="AC63">
        <f>TRIM(MID(SUBSTITUTE(Z63,",",REPT(" ",100)),201,100))</f>
      </c>
      <c r="AD63">
        <f>TRIM(MID(SUBSTITUTE(Z63,",",REPT(" ",100)),301,100))</f>
      </c>
      <c r="AE63">
        <f>TRIM(MID(SUBSTITUTE(Z63,",",REPT(" ",100)),401,100))</f>
      </c>
      <c r="AF63">
        <f>TRIM(MID(SUBSTITUTE(Z63,",",REPT(" ",100)),501,100))</f>
      </c>
      <c r="AG63">
        <f>IF(AA63="",0,IFERROR(VALUE(LEFT(AA63,FIND("-",AA63&amp;"-")-1)),-1))</f>
      </c>
      <c r="AH63">
        <f>IF(AB63="",0,IFERROR(VALUE(LEFT(AB63,FIND("-",AB63&amp;"-")-1)),-1))</f>
      </c>
      <c r="AI63">
        <f>IF(AC63="",0,IFERROR(VALUE(LEFT(AC63,FIND("-",AC63&amp;"-")-1)),-1))</f>
      </c>
      <c r="AJ63">
        <f>IF(AD63="",0,IFERROR(VALUE(LEFT(AD63,FIND("-",AD63&amp;"-")-1)),-1))</f>
      </c>
      <c r="AK63">
        <f>IF(AE63="",0,IFERROR(VALUE(LEFT(AE63,FIND("-",AE63&amp;"-")-1)),-1))</f>
      </c>
      <c r="AL63">
        <f>IF(AF63="",0,IFERROR(VALUE(LEFT(AF63,FIND("-",AF63&amp;"-")-1)),-1))</f>
      </c>
      <c r="AM63">
        <f>IF(AG63&lt;=0,0,IFERROR(IF(ISNUMBER(FIND("-",AA63)),MAX(1,VALUE(MID(AA63,FIND("-",AA63)+1,99))-AG63+1),1),1))</f>
      </c>
      <c r="AN63">
        <f>IF(AH63&lt;=0,0,IFERROR(IF(ISNUMBER(FIND("-",AB63)),MAX(1,VALUE(MID(AB63,FIND("-",AB63)+1,99))-AH63+1),1),1))</f>
      </c>
      <c r="AO63">
        <f>IF(AI63&lt;=0,0,IFERROR(IF(ISNUMBER(FIND("-",AC63)),MAX(1,VALUE(MID(AC63,FIND("-",AC63)+1,99))-AI63+1),1),1))</f>
      </c>
      <c r="AP63">
        <f>IF(AJ63&lt;=0,0,IFERROR(IF(ISNUMBER(FIND("-",AD63)),MAX(1,VALUE(MID(AD63,FIND("-",AD63)+1,99))-AJ63+1),1),1))</f>
      </c>
      <c r="AQ63">
        <f>IF(AK63&lt;=0,0,IFERROR(IF(ISNUMBER(FIND("-",AE63)),MAX(1,VALUE(MID(AE63,FIND("-",AE63)+1,99))-AK63+1),1),1))</f>
      </c>
      <c r="AR63">
        <f>IF(AL63&lt;=0,0,IFERROR(IF(ISNUMBER(FIND("-",AF63)),MAX(1,VALUE(MID(AF63,FIND("-",AF63)+1,99))-AL63+1),1),1))</f>
      </c>
      <c r="AS63">
        <f>SUM($AM63:AM63)</f>
      </c>
      <c r="AT63">
        <f>SUM($AM63:AN63)</f>
      </c>
      <c r="AU63">
        <f>SUM($AM63:AO63)</f>
      </c>
      <c r="AV63">
        <f>SUM($AM63:AP63)</f>
      </c>
      <c r="AW63">
        <f>SUM($AM63:AQ63)</f>
      </c>
      <c r="AX63">
        <f>SUM($AM63:AR63)</f>
      </c>
      <c r="AY63">
        <f>AND(ISNUMBER(SEARCH("פ",J116&amp;"")),AX63&gt;0,COUNTIF(AG63:AL63,-1)=0)</f>
      </c>
      <c r="AZ63">
        <f>IF(X63=0,0,IF(AY63,MIN(AX63,72),1))</f>
      </c>
      <c r="BA63">
        <f>SUM($AZ$1:AZ63)</f>
      </c>
      <c r="BB63">
        <f>COUNTIF($BA$1:$BA$72,"&lt;"&amp;63)+1</f>
      </c>
      <c r="BC63">
        <f>IF(BB63&gt;72,0,63-IF(BB63=1,0,INDEX($BA$1:$BA$72,BB63-1)))</f>
      </c>
      <c r="BD63">
        <f>IF(63&gt;$BA$72,0,IF(INDEX($AY$1:$AY$72,BB63),INDEX($AG$1:$AL$72,BB63,(COUNTIF(INDEX($AS$1:$AX$72,BB63,0),"&lt;"&amp;BC63)+1))+BC63-1-IF((COUNTIF(INDEX($AS$1:$AX$72,BB63,0),"&lt;"&amp;BC63)+1)=1,0,INDEX($AS$1:$AX$72,BB63,(COUNTIF(INDEX($AS$1:$AX$72,BB63,0),"&lt;"&amp;BC63)+1)-1)),INDEX($X$1:$X$72,BB63)))</f>
      </c>
      <c r="BE63">
        <f>" "&amp;TRIM(SUBSTITUTE(SUBSTITUTE(SUBSTITUTE(SUBSTITUTE(SUBSTITUTE(B116&amp;"","ו",""),"י",""),"ן","נ"),"-"," "),","," "))</f>
      </c>
      <c r="BF63">
        <f>IF(OR(ISNUMBER(SEARCH(" ארנ",BE63)),ISNUMBER(SEARCH(" הארנ",BE63)),ISNUMBER(SEARCH(" אארנ",BE63)),ISNUMBER(SEARCH(" אנרנ",BE63)),ISNUMBER(SEARCH(" האנרנ",BE63))),1,0)</f>
      </c>
      <c r="BG63">
        <f>IF(AND(BF63=1,ISNUMBER(BI63)),BI63,0)</f>
      </c>
      <c r="BH63">
        <f>IF(AND(BF63=1,NOT(ISNUMBER(BI63))),1,0)</f>
      </c>
      <c r="BI63">
        <f>IF(ISNUMBER(J116),J116,IFERROR(--TRIM(SUBSTITUTE(SUBSTITUTE(J116&amp;"","פצל",""),"פ","")),""))</f>
      </c>
    </row>
    <row r="64" ht="14.25" hidden="1" customHeight="1" x14ac:dyDescent="0.2">
      <c r="A64" s="14"/>
      <c r="B64" s="15"/>
      <c r="C64" s="15"/>
      <c r="D64" s="15"/>
      <c r="E64" s="15"/>
      <c r="F64" s="15"/>
      <c r="G64" s="15"/>
      <c r="H64" s="15"/>
      <c r="I64" s="16"/>
      <c r="K64" s="11" t="b">
        <f>IF(K62&gt;0,N34+1)</f>
      </c>
      <c r="L64" s="11">
        <f>IF(L62&gt;0,IF(L62 = FALSE,,K64+1))</f>
      </c>
      <c r="M64" s="11">
        <f>IF(M62&gt;0,IF(M62 = FALSE,,L64+1))</f>
      </c>
      <c r="N64" s="11">
        <f>IF(N62&gt;0,IF(N62 = FALSE,,M64+1))</f>
      </c>
      <c r="O64" s="11" t="b">
        <f>IF(O62&gt;0,R34+1)</f>
      </c>
      <c r="P64" s="11" t="b">
        <f>IF(P62&gt;0,O64+1)</f>
      </c>
      <c r="Q64" s="11" t="b">
        <f t="shared" ref="Q64:R64" si="11">IF(Q62&gt;0,P64+1)</f>
      </c>
      <c r="R64" s="11" t="b">
        <f t="shared" si="11"/>
      </c>
      <c r="S64" s="11" t="b">
        <f>IF(S62&gt;0,V34+1)</f>
      </c>
      <c r="T64" s="11" t="b">
        <f>IF(T62&gt;0,S64+1)</f>
      </c>
      <c r="U64" s="11" t="b">
        <f t="shared" ref="U64:V64" si="12">IF(U62&gt;0,T64+1)</f>
      </c>
      <c r="V64" s="11" t="b">
        <f t="shared" si="12"/>
      </c>
      <c r="X64">
        <f>IF(A117&gt;0,A117,B117)</f>
      </c>
      <c r="Z64">
        <f>SUBSTITUTE(SUBSTITUTE(SUBSTITUTE(SUBSTITUTE(A117&amp;"","–","-"),"--","-"),"--","-")," ","")</f>
      </c>
      <c r="AA64">
        <f>TRIM(MID(SUBSTITUTE(Z64,",",REPT(" ",100)),1,100))</f>
      </c>
      <c r="AB64">
        <f>TRIM(MID(SUBSTITUTE(Z64,",",REPT(" ",100)),101,100))</f>
      </c>
      <c r="AC64">
        <f>TRIM(MID(SUBSTITUTE(Z64,",",REPT(" ",100)),201,100))</f>
      </c>
      <c r="AD64">
        <f>TRIM(MID(SUBSTITUTE(Z64,",",REPT(" ",100)),301,100))</f>
      </c>
      <c r="AE64">
        <f>TRIM(MID(SUBSTITUTE(Z64,",",REPT(" ",100)),401,100))</f>
      </c>
      <c r="AF64">
        <f>TRIM(MID(SUBSTITUTE(Z64,",",REPT(" ",100)),501,100))</f>
      </c>
      <c r="AG64">
        <f>IF(AA64="",0,IFERROR(VALUE(LEFT(AA64,FIND("-",AA64&amp;"-")-1)),-1))</f>
      </c>
      <c r="AH64">
        <f>IF(AB64="",0,IFERROR(VALUE(LEFT(AB64,FIND("-",AB64&amp;"-")-1)),-1))</f>
      </c>
      <c r="AI64">
        <f>IF(AC64="",0,IFERROR(VALUE(LEFT(AC64,FIND("-",AC64&amp;"-")-1)),-1))</f>
      </c>
      <c r="AJ64">
        <f>IF(AD64="",0,IFERROR(VALUE(LEFT(AD64,FIND("-",AD64&amp;"-")-1)),-1))</f>
      </c>
      <c r="AK64">
        <f>IF(AE64="",0,IFERROR(VALUE(LEFT(AE64,FIND("-",AE64&amp;"-")-1)),-1))</f>
      </c>
      <c r="AL64">
        <f>IF(AF64="",0,IFERROR(VALUE(LEFT(AF64,FIND("-",AF64&amp;"-")-1)),-1))</f>
      </c>
      <c r="AM64">
        <f>IF(AG64&lt;=0,0,IFERROR(IF(ISNUMBER(FIND("-",AA64)),MAX(1,VALUE(MID(AA64,FIND("-",AA64)+1,99))-AG64+1),1),1))</f>
      </c>
      <c r="AN64">
        <f>IF(AH64&lt;=0,0,IFERROR(IF(ISNUMBER(FIND("-",AB64)),MAX(1,VALUE(MID(AB64,FIND("-",AB64)+1,99))-AH64+1),1),1))</f>
      </c>
      <c r="AO64">
        <f>IF(AI64&lt;=0,0,IFERROR(IF(ISNUMBER(FIND("-",AC64)),MAX(1,VALUE(MID(AC64,FIND("-",AC64)+1,99))-AI64+1),1),1))</f>
      </c>
      <c r="AP64">
        <f>IF(AJ64&lt;=0,0,IFERROR(IF(ISNUMBER(FIND("-",AD64)),MAX(1,VALUE(MID(AD64,FIND("-",AD64)+1,99))-AJ64+1),1),1))</f>
      </c>
      <c r="AQ64">
        <f>IF(AK64&lt;=0,0,IFERROR(IF(ISNUMBER(FIND("-",AE64)),MAX(1,VALUE(MID(AE64,FIND("-",AE64)+1,99))-AK64+1),1),1))</f>
      </c>
      <c r="AR64">
        <f>IF(AL64&lt;=0,0,IFERROR(IF(ISNUMBER(FIND("-",AF64)),MAX(1,VALUE(MID(AF64,FIND("-",AF64)+1,99))-AL64+1),1),1))</f>
      </c>
      <c r="AS64">
        <f>SUM($AM64:AM64)</f>
      </c>
      <c r="AT64">
        <f>SUM($AM64:AN64)</f>
      </c>
      <c r="AU64">
        <f>SUM($AM64:AO64)</f>
      </c>
      <c r="AV64">
        <f>SUM($AM64:AP64)</f>
      </c>
      <c r="AW64">
        <f>SUM($AM64:AQ64)</f>
      </c>
      <c r="AX64">
        <f>SUM($AM64:AR64)</f>
      </c>
      <c r="AY64">
        <f>AND(ISNUMBER(SEARCH("פ",J117&amp;"")),AX64&gt;0,COUNTIF(AG64:AL64,-1)=0)</f>
      </c>
      <c r="AZ64">
        <f>IF(X64=0,0,IF(AY64,MIN(AX64,72),1))</f>
      </c>
      <c r="BA64">
        <f>SUM($AZ$1:AZ64)</f>
      </c>
      <c r="BB64">
        <f>COUNTIF($BA$1:$BA$72,"&lt;"&amp;64)+1</f>
      </c>
      <c r="BC64">
        <f>IF(BB64&gt;72,0,64-IF(BB64=1,0,INDEX($BA$1:$BA$72,BB64-1)))</f>
      </c>
      <c r="BD64">
        <f>IF(64&gt;$BA$72,0,IF(INDEX($AY$1:$AY$72,BB64),INDEX($AG$1:$AL$72,BB64,(COUNTIF(INDEX($AS$1:$AX$72,BB64,0),"&lt;"&amp;BC64)+1))+BC64-1-IF((COUNTIF(INDEX($AS$1:$AX$72,BB64,0),"&lt;"&amp;BC64)+1)=1,0,INDEX($AS$1:$AX$72,BB64,(COUNTIF(INDEX($AS$1:$AX$72,BB64,0),"&lt;"&amp;BC64)+1)-1)),INDEX($X$1:$X$72,BB64)))</f>
      </c>
      <c r="BE64">
        <f>" "&amp;TRIM(SUBSTITUTE(SUBSTITUTE(SUBSTITUTE(SUBSTITUTE(SUBSTITUTE(B117&amp;"","ו",""),"י",""),"ן","נ"),"-"," "),","," "))</f>
      </c>
      <c r="BF64">
        <f>IF(OR(ISNUMBER(SEARCH(" ארנ",BE64)),ISNUMBER(SEARCH(" הארנ",BE64)),ISNUMBER(SEARCH(" אארנ",BE64)),ISNUMBER(SEARCH(" אנרנ",BE64)),ISNUMBER(SEARCH(" האנרנ",BE64))),1,0)</f>
      </c>
      <c r="BG64">
        <f>IF(AND(BF64=1,ISNUMBER(BI64)),BI64,0)</f>
      </c>
      <c r="BH64">
        <f>IF(AND(BF64=1,NOT(ISNUMBER(BI64))),1,0)</f>
      </c>
      <c r="BI64">
        <f>IF(ISNUMBER(J117),J117,IFERROR(--TRIM(SUBSTITUTE(SUBSTITUTE(J117&amp;"","פצל",""),"פ","")),""))</f>
      </c>
    </row>
    <row r="65" ht="14.25" hidden="1" customHeight="1" x14ac:dyDescent="0.2">
      <c r="A65" s="14"/>
      <c r="B65" s="15"/>
      <c r="C65" s="15"/>
      <c r="D65" s="15"/>
      <c r="E65" s="15"/>
      <c r="F65" s="15"/>
      <c r="G65" s="15"/>
      <c r="H65" s="15"/>
      <c r="I65" s="16"/>
      <c r="K65" s="11" t="str">
        <f>"C:\Users\origr\Pictures\"&amp;K64&amp;".jpg"</f>
      </c>
      <c r="L65" s="11" t="str">
        <f t="shared" ref="L65:V65" si="13">"C:\Users\origr\Pictures\"&amp;L64&amp;".jpg"</f>
      </c>
      <c r="M65" s="11" t="str">
        <f t="shared" si="13"/>
      </c>
      <c r="N65" s="11" t="str">
        <f t="shared" si="13"/>
      </c>
      <c r="O65" s="11" t="str">
        <f t="shared" si="13"/>
      </c>
      <c r="P65" s="11" t="str">
        <f t="shared" si="13"/>
      </c>
      <c r="Q65" s="11" t="str">
        <f t="shared" si="13"/>
      </c>
      <c r="R65" s="11" t="str">
        <f t="shared" si="13"/>
      </c>
      <c r="S65" s="11" t="str">
        <f t="shared" si="13"/>
      </c>
      <c r="T65" s="11" t="str">
        <f t="shared" si="13"/>
      </c>
      <c r="U65" s="11" t="str">
        <f t="shared" si="13"/>
      </c>
      <c r="V65" s="11" t="str">
        <f t="shared" si="13"/>
      </c>
      <c r="X65">
        <f>IF(A121&gt;0,A121,B121)</f>
      </c>
      <c r="Z65">
        <f>SUBSTITUTE(SUBSTITUTE(SUBSTITUTE(SUBSTITUTE(A121&amp;"","–","-"),"--","-"),"--","-")," ","")</f>
      </c>
      <c r="AA65">
        <f>TRIM(MID(SUBSTITUTE(Z65,",",REPT(" ",100)),1,100))</f>
      </c>
      <c r="AB65">
        <f>TRIM(MID(SUBSTITUTE(Z65,",",REPT(" ",100)),101,100))</f>
      </c>
      <c r="AC65">
        <f>TRIM(MID(SUBSTITUTE(Z65,",",REPT(" ",100)),201,100))</f>
      </c>
      <c r="AD65">
        <f>TRIM(MID(SUBSTITUTE(Z65,",",REPT(" ",100)),301,100))</f>
      </c>
      <c r="AE65">
        <f>TRIM(MID(SUBSTITUTE(Z65,",",REPT(" ",100)),401,100))</f>
      </c>
      <c r="AF65">
        <f>TRIM(MID(SUBSTITUTE(Z65,",",REPT(" ",100)),501,100))</f>
      </c>
      <c r="AG65">
        <f>IF(AA65="",0,IFERROR(VALUE(LEFT(AA65,FIND("-",AA65&amp;"-")-1)),-1))</f>
      </c>
      <c r="AH65">
        <f>IF(AB65="",0,IFERROR(VALUE(LEFT(AB65,FIND("-",AB65&amp;"-")-1)),-1))</f>
      </c>
      <c r="AI65">
        <f>IF(AC65="",0,IFERROR(VALUE(LEFT(AC65,FIND("-",AC65&amp;"-")-1)),-1))</f>
      </c>
      <c r="AJ65">
        <f>IF(AD65="",0,IFERROR(VALUE(LEFT(AD65,FIND("-",AD65&amp;"-")-1)),-1))</f>
      </c>
      <c r="AK65">
        <f>IF(AE65="",0,IFERROR(VALUE(LEFT(AE65,FIND("-",AE65&amp;"-")-1)),-1))</f>
      </c>
      <c r="AL65">
        <f>IF(AF65="",0,IFERROR(VALUE(LEFT(AF65,FIND("-",AF65&amp;"-")-1)),-1))</f>
      </c>
      <c r="AM65">
        <f>IF(AG65&lt;=0,0,IFERROR(IF(ISNUMBER(FIND("-",AA65)),MAX(1,VALUE(MID(AA65,FIND("-",AA65)+1,99))-AG65+1),1),1))</f>
      </c>
      <c r="AN65">
        <f>IF(AH65&lt;=0,0,IFERROR(IF(ISNUMBER(FIND("-",AB65)),MAX(1,VALUE(MID(AB65,FIND("-",AB65)+1,99))-AH65+1),1),1))</f>
      </c>
      <c r="AO65">
        <f>IF(AI65&lt;=0,0,IFERROR(IF(ISNUMBER(FIND("-",AC65)),MAX(1,VALUE(MID(AC65,FIND("-",AC65)+1,99))-AI65+1),1),1))</f>
      </c>
      <c r="AP65">
        <f>IF(AJ65&lt;=0,0,IFERROR(IF(ISNUMBER(FIND("-",AD65)),MAX(1,VALUE(MID(AD65,FIND("-",AD65)+1,99))-AJ65+1),1),1))</f>
      </c>
      <c r="AQ65">
        <f>IF(AK65&lt;=0,0,IFERROR(IF(ISNUMBER(FIND("-",AE65)),MAX(1,VALUE(MID(AE65,FIND("-",AE65)+1,99))-AK65+1),1),1))</f>
      </c>
      <c r="AR65">
        <f>IF(AL65&lt;=0,0,IFERROR(IF(ISNUMBER(FIND("-",AF65)),MAX(1,VALUE(MID(AF65,FIND("-",AF65)+1,99))-AL65+1),1),1))</f>
      </c>
      <c r="AS65">
        <f>SUM($AM65:AM65)</f>
      </c>
      <c r="AT65">
        <f>SUM($AM65:AN65)</f>
      </c>
      <c r="AU65">
        <f>SUM($AM65:AO65)</f>
      </c>
      <c r="AV65">
        <f>SUM($AM65:AP65)</f>
      </c>
      <c r="AW65">
        <f>SUM($AM65:AQ65)</f>
      </c>
      <c r="AX65">
        <f>SUM($AM65:AR65)</f>
      </c>
      <c r="AY65">
        <f>AND(ISNUMBER(SEARCH("פ",J121&amp;"")),AX65&gt;0,COUNTIF(AG65:AL65,-1)=0)</f>
      </c>
      <c r="AZ65">
        <f>IF(X65=0,0,IF(AY65,MIN(AX65,72),1))</f>
      </c>
      <c r="BA65">
        <f>SUM($AZ$1:AZ65)</f>
      </c>
      <c r="BB65">
        <f>COUNTIF($BA$1:$BA$72,"&lt;"&amp;65)+1</f>
      </c>
      <c r="BC65">
        <f>IF(BB65&gt;72,0,65-IF(BB65=1,0,INDEX($BA$1:$BA$72,BB65-1)))</f>
      </c>
      <c r="BD65">
        <f>IF(65&gt;$BA$72,0,IF(INDEX($AY$1:$AY$72,BB65),INDEX($AG$1:$AL$72,BB65,(COUNTIF(INDEX($AS$1:$AX$72,BB65,0),"&lt;"&amp;BC65)+1))+BC65-1-IF((COUNTIF(INDEX($AS$1:$AX$72,BB65,0),"&lt;"&amp;BC65)+1)=1,0,INDEX($AS$1:$AX$72,BB65,(COUNTIF(INDEX($AS$1:$AX$72,BB65,0),"&lt;"&amp;BC65)+1)-1)),INDEX($X$1:$X$72,BB65)))</f>
      </c>
      <c r="BE65">
        <f>" "&amp;TRIM(SUBSTITUTE(SUBSTITUTE(SUBSTITUTE(SUBSTITUTE(SUBSTITUTE(B121&amp;"","ו",""),"י",""),"ן","נ"),"-"," "),","," "))</f>
      </c>
      <c r="BF65">
        <f>IF(OR(ISNUMBER(SEARCH(" ארנ",BE65)),ISNUMBER(SEARCH(" הארנ",BE65)),ISNUMBER(SEARCH(" אארנ",BE65)),ISNUMBER(SEARCH(" אנרנ",BE65)),ISNUMBER(SEARCH(" האנרנ",BE65))),1,0)</f>
      </c>
      <c r="BG65">
        <f>IF(AND(BF65=1,ISNUMBER(BI65)),BI65,0)</f>
      </c>
      <c r="BH65">
        <f>IF(AND(BF65=1,NOT(ISNUMBER(BI65))),1,0)</f>
      </c>
      <c r="BI65">
        <f>IF(ISNUMBER(J121),J121,IFERROR(--TRIM(SUBSTITUTE(SUBSTITUTE(J121&amp;"","פצל",""),"פ","")),""))</f>
      </c>
    </row>
    <row r="66" ht="14.25" hidden="1" customHeight="1" x14ac:dyDescent="0.2">
      <c r="A66" s="14"/>
      <c r="B66" s="15"/>
      <c r="C66" s="15"/>
      <c r="D66" s="15"/>
      <c r="E66" s="15"/>
      <c r="F66" s="15"/>
      <c r="G66" s="15"/>
      <c r="H66" s="15"/>
      <c r="I66" s="16"/>
      <c r="K66" s="11" t="str">
        <f>K65</f>
      </c>
      <c r="L66" s="11" t="str">
        <f t="shared" ref="L66:V67" si="14">L65</f>
      </c>
      <c r="M66" s="11" t="str">
        <f>M65</f>
      </c>
      <c r="N66" s="11" t="str">
        <f t="shared" si="14"/>
      </c>
      <c r="O66" s="11" t="str">
        <f t="shared" si="14"/>
      </c>
      <c r="P66" s="11" t="str">
        <f t="shared" si="14"/>
      </c>
      <c r="Q66" s="11" t="str">
        <f t="shared" si="14"/>
      </c>
      <c r="R66" s="11" t="str">
        <f t="shared" si="14"/>
      </c>
      <c r="S66" s="11" t="str">
        <f t="shared" si="14"/>
      </c>
      <c r="T66" s="11" t="str">
        <f t="shared" si="14"/>
      </c>
      <c r="U66" s="11" t="str">
        <f t="shared" si="14"/>
      </c>
      <c r="V66" s="11" t="str">
        <f t="shared" si="14"/>
      </c>
      <c r="X66">
        <f>IF(A122&gt;0,A122,B122)</f>
      </c>
      <c r="Z66">
        <f>SUBSTITUTE(SUBSTITUTE(SUBSTITUTE(SUBSTITUTE(A122&amp;"","–","-"),"--","-"),"--","-")," ","")</f>
      </c>
      <c r="AA66">
        <f>TRIM(MID(SUBSTITUTE(Z66,",",REPT(" ",100)),1,100))</f>
      </c>
      <c r="AB66">
        <f>TRIM(MID(SUBSTITUTE(Z66,",",REPT(" ",100)),101,100))</f>
      </c>
      <c r="AC66">
        <f>TRIM(MID(SUBSTITUTE(Z66,",",REPT(" ",100)),201,100))</f>
      </c>
      <c r="AD66">
        <f>TRIM(MID(SUBSTITUTE(Z66,",",REPT(" ",100)),301,100))</f>
      </c>
      <c r="AE66">
        <f>TRIM(MID(SUBSTITUTE(Z66,",",REPT(" ",100)),401,100))</f>
      </c>
      <c r="AF66">
        <f>TRIM(MID(SUBSTITUTE(Z66,",",REPT(" ",100)),501,100))</f>
      </c>
      <c r="AG66">
        <f>IF(AA66="",0,IFERROR(VALUE(LEFT(AA66,FIND("-",AA66&amp;"-")-1)),-1))</f>
      </c>
      <c r="AH66">
        <f>IF(AB66="",0,IFERROR(VALUE(LEFT(AB66,FIND("-",AB66&amp;"-")-1)),-1))</f>
      </c>
      <c r="AI66">
        <f>IF(AC66="",0,IFERROR(VALUE(LEFT(AC66,FIND("-",AC66&amp;"-")-1)),-1))</f>
      </c>
      <c r="AJ66">
        <f>IF(AD66="",0,IFERROR(VALUE(LEFT(AD66,FIND("-",AD66&amp;"-")-1)),-1))</f>
      </c>
      <c r="AK66">
        <f>IF(AE66="",0,IFERROR(VALUE(LEFT(AE66,FIND("-",AE66&amp;"-")-1)),-1))</f>
      </c>
      <c r="AL66">
        <f>IF(AF66="",0,IFERROR(VALUE(LEFT(AF66,FIND("-",AF66&amp;"-")-1)),-1))</f>
      </c>
      <c r="AM66">
        <f>IF(AG66&lt;=0,0,IFERROR(IF(ISNUMBER(FIND("-",AA66)),MAX(1,VALUE(MID(AA66,FIND("-",AA66)+1,99))-AG66+1),1),1))</f>
      </c>
      <c r="AN66">
        <f>IF(AH66&lt;=0,0,IFERROR(IF(ISNUMBER(FIND("-",AB66)),MAX(1,VALUE(MID(AB66,FIND("-",AB66)+1,99))-AH66+1),1),1))</f>
      </c>
      <c r="AO66">
        <f>IF(AI66&lt;=0,0,IFERROR(IF(ISNUMBER(FIND("-",AC66)),MAX(1,VALUE(MID(AC66,FIND("-",AC66)+1,99))-AI66+1),1),1))</f>
      </c>
      <c r="AP66">
        <f>IF(AJ66&lt;=0,0,IFERROR(IF(ISNUMBER(FIND("-",AD66)),MAX(1,VALUE(MID(AD66,FIND("-",AD66)+1,99))-AJ66+1),1),1))</f>
      </c>
      <c r="AQ66">
        <f>IF(AK66&lt;=0,0,IFERROR(IF(ISNUMBER(FIND("-",AE66)),MAX(1,VALUE(MID(AE66,FIND("-",AE66)+1,99))-AK66+1),1),1))</f>
      </c>
      <c r="AR66">
        <f>IF(AL66&lt;=0,0,IFERROR(IF(ISNUMBER(FIND("-",AF66)),MAX(1,VALUE(MID(AF66,FIND("-",AF66)+1,99))-AL66+1),1),1))</f>
      </c>
      <c r="AS66">
        <f>SUM($AM66:AM66)</f>
      </c>
      <c r="AT66">
        <f>SUM($AM66:AN66)</f>
      </c>
      <c r="AU66">
        <f>SUM($AM66:AO66)</f>
      </c>
      <c r="AV66">
        <f>SUM($AM66:AP66)</f>
      </c>
      <c r="AW66">
        <f>SUM($AM66:AQ66)</f>
      </c>
      <c r="AX66">
        <f>SUM($AM66:AR66)</f>
      </c>
      <c r="AY66">
        <f>AND(ISNUMBER(SEARCH("פ",J122&amp;"")),AX66&gt;0,COUNTIF(AG66:AL66,-1)=0)</f>
      </c>
      <c r="AZ66">
        <f>IF(X66=0,0,IF(AY66,MIN(AX66,72),1))</f>
      </c>
      <c r="BA66">
        <f>SUM($AZ$1:AZ66)</f>
      </c>
      <c r="BB66">
        <f>COUNTIF($BA$1:$BA$72,"&lt;"&amp;66)+1</f>
      </c>
      <c r="BC66">
        <f>IF(BB66&gt;72,0,66-IF(BB66=1,0,INDEX($BA$1:$BA$72,BB66-1)))</f>
      </c>
      <c r="BD66">
        <f>IF(66&gt;$BA$72,0,IF(INDEX($AY$1:$AY$72,BB66),INDEX($AG$1:$AL$72,BB66,(COUNTIF(INDEX($AS$1:$AX$72,BB66,0),"&lt;"&amp;BC66)+1))+BC66-1-IF((COUNTIF(INDEX($AS$1:$AX$72,BB66,0),"&lt;"&amp;BC66)+1)=1,0,INDEX($AS$1:$AX$72,BB66,(COUNTIF(INDEX($AS$1:$AX$72,BB66,0),"&lt;"&amp;BC66)+1)-1)),INDEX($X$1:$X$72,BB66)))</f>
      </c>
      <c r="BE66">
        <f>" "&amp;TRIM(SUBSTITUTE(SUBSTITUTE(SUBSTITUTE(SUBSTITUTE(SUBSTITUTE(B122&amp;"","ו",""),"י",""),"ן","נ"),"-"," "),","," "))</f>
      </c>
      <c r="BF66">
        <f>IF(OR(ISNUMBER(SEARCH(" ארנ",BE66)),ISNUMBER(SEARCH(" הארנ",BE66)),ISNUMBER(SEARCH(" אארנ",BE66)),ISNUMBER(SEARCH(" אנרנ",BE66)),ISNUMBER(SEARCH(" האנרנ",BE66))),1,0)</f>
      </c>
      <c r="BG66">
        <f>IF(AND(BF66=1,ISNUMBER(BI66)),BI66,0)</f>
      </c>
      <c r="BH66">
        <f>IF(AND(BF66=1,NOT(ISNUMBER(BI66))),1,0)</f>
      </c>
      <c r="BI66">
        <f>IF(ISNUMBER(J122),J122,IFERROR(--TRIM(SUBSTITUTE(SUBSTITUTE(J122&amp;"","פצל",""),"פ","")),""))</f>
      </c>
    </row>
    <row r="67" ht="14.25" hidden="1" customHeight="1" x14ac:dyDescent="0.2">
      <c r="A67" s="8"/>
      <c r="B67" s="39"/>
      <c r="C67" s="40"/>
      <c r="D67" s="39"/>
      <c r="E67" s="41"/>
      <c r="F67" s="41"/>
      <c r="G67" s="41"/>
      <c r="H67" s="40"/>
      <c r="I67" s="5"/>
      <c r="J67" s="46"/>
      <c r="K67" s="23" t="str">
        <f>K66</f>
      </c>
      <c r="L67" s="23" t="str">
        <f t="shared" si="14"/>
      </c>
      <c r="M67" s="23" t="str">
        <f t="shared" si="14"/>
      </c>
      <c r="N67" s="23" t="str">
        <f t="shared" si="14"/>
      </c>
      <c r="O67" s="23" t="str">
        <f t="shared" si="14"/>
      </c>
      <c r="P67" s="23" t="str">
        <f t="shared" si="14"/>
      </c>
      <c r="Q67" s="23" t="str">
        <f t="shared" si="14"/>
      </c>
      <c r="R67" s="23" t="str">
        <f t="shared" si="14"/>
      </c>
      <c r="S67" s="23" t="str">
        <f t="shared" si="14"/>
      </c>
      <c r="T67" s="23" t="str">
        <f t="shared" si="14"/>
      </c>
      <c r="U67" s="23" t="str">
        <f t="shared" si="14"/>
      </c>
      <c r="V67" s="23" t="str">
        <f t="shared" si="14"/>
      </c>
      <c r="X67">
        <f>IF(A123&gt;0,A123,B123)</f>
      </c>
      <c r="Z67">
        <f>SUBSTITUTE(SUBSTITUTE(SUBSTITUTE(SUBSTITUTE(A123&amp;"","–","-"),"--","-"),"--","-")," ","")</f>
      </c>
      <c r="AA67">
        <f>TRIM(MID(SUBSTITUTE(Z67,",",REPT(" ",100)),1,100))</f>
      </c>
      <c r="AB67">
        <f>TRIM(MID(SUBSTITUTE(Z67,",",REPT(" ",100)),101,100))</f>
      </c>
      <c r="AC67">
        <f>TRIM(MID(SUBSTITUTE(Z67,",",REPT(" ",100)),201,100))</f>
      </c>
      <c r="AD67">
        <f>TRIM(MID(SUBSTITUTE(Z67,",",REPT(" ",100)),301,100))</f>
      </c>
      <c r="AE67">
        <f>TRIM(MID(SUBSTITUTE(Z67,",",REPT(" ",100)),401,100))</f>
      </c>
      <c r="AF67">
        <f>TRIM(MID(SUBSTITUTE(Z67,",",REPT(" ",100)),501,100))</f>
      </c>
      <c r="AG67">
        <f>IF(AA67="",0,IFERROR(VALUE(LEFT(AA67,FIND("-",AA67&amp;"-")-1)),-1))</f>
      </c>
      <c r="AH67">
        <f>IF(AB67="",0,IFERROR(VALUE(LEFT(AB67,FIND("-",AB67&amp;"-")-1)),-1))</f>
      </c>
      <c r="AI67">
        <f>IF(AC67="",0,IFERROR(VALUE(LEFT(AC67,FIND("-",AC67&amp;"-")-1)),-1))</f>
      </c>
      <c r="AJ67">
        <f>IF(AD67="",0,IFERROR(VALUE(LEFT(AD67,FIND("-",AD67&amp;"-")-1)),-1))</f>
      </c>
      <c r="AK67">
        <f>IF(AE67="",0,IFERROR(VALUE(LEFT(AE67,FIND("-",AE67&amp;"-")-1)),-1))</f>
      </c>
      <c r="AL67">
        <f>IF(AF67="",0,IFERROR(VALUE(LEFT(AF67,FIND("-",AF67&amp;"-")-1)),-1))</f>
      </c>
      <c r="AM67">
        <f>IF(AG67&lt;=0,0,IFERROR(IF(ISNUMBER(FIND("-",AA67)),MAX(1,VALUE(MID(AA67,FIND("-",AA67)+1,99))-AG67+1),1),1))</f>
      </c>
      <c r="AN67">
        <f>IF(AH67&lt;=0,0,IFERROR(IF(ISNUMBER(FIND("-",AB67)),MAX(1,VALUE(MID(AB67,FIND("-",AB67)+1,99))-AH67+1),1),1))</f>
      </c>
      <c r="AO67">
        <f>IF(AI67&lt;=0,0,IFERROR(IF(ISNUMBER(FIND("-",AC67)),MAX(1,VALUE(MID(AC67,FIND("-",AC67)+1,99))-AI67+1),1),1))</f>
      </c>
      <c r="AP67">
        <f>IF(AJ67&lt;=0,0,IFERROR(IF(ISNUMBER(FIND("-",AD67)),MAX(1,VALUE(MID(AD67,FIND("-",AD67)+1,99))-AJ67+1),1),1))</f>
      </c>
      <c r="AQ67">
        <f>IF(AK67&lt;=0,0,IFERROR(IF(ISNUMBER(FIND("-",AE67)),MAX(1,VALUE(MID(AE67,FIND("-",AE67)+1,99))-AK67+1),1),1))</f>
      </c>
      <c r="AR67">
        <f>IF(AL67&lt;=0,0,IFERROR(IF(ISNUMBER(FIND("-",AF67)),MAX(1,VALUE(MID(AF67,FIND("-",AF67)+1,99))-AL67+1),1),1))</f>
      </c>
      <c r="AS67">
        <f>SUM($AM67:AM67)</f>
      </c>
      <c r="AT67">
        <f>SUM($AM67:AN67)</f>
      </c>
      <c r="AU67">
        <f>SUM($AM67:AO67)</f>
      </c>
      <c r="AV67">
        <f>SUM($AM67:AP67)</f>
      </c>
      <c r="AW67">
        <f>SUM($AM67:AQ67)</f>
      </c>
      <c r="AX67">
        <f>SUM($AM67:AR67)</f>
      </c>
      <c r="AY67">
        <f>AND(ISNUMBER(SEARCH("פ",J123&amp;"")),AX67&gt;0,COUNTIF(AG67:AL67,-1)=0)</f>
      </c>
      <c r="AZ67">
        <f>IF(X67=0,0,IF(AY67,MIN(AX67,72),1))</f>
      </c>
      <c r="BA67">
        <f>SUM($AZ$1:AZ67)</f>
      </c>
      <c r="BB67">
        <f>COUNTIF($BA$1:$BA$72,"&lt;"&amp;67)+1</f>
      </c>
      <c r="BC67">
        <f>IF(BB67&gt;72,0,67-IF(BB67=1,0,INDEX($BA$1:$BA$72,BB67-1)))</f>
      </c>
      <c r="BD67">
        <f>IF(67&gt;$BA$72,0,IF(INDEX($AY$1:$AY$72,BB67),INDEX($AG$1:$AL$72,BB67,(COUNTIF(INDEX($AS$1:$AX$72,BB67,0),"&lt;"&amp;BC67)+1))+BC67-1-IF((COUNTIF(INDEX($AS$1:$AX$72,BB67,0),"&lt;"&amp;BC67)+1)=1,0,INDEX($AS$1:$AX$72,BB67,(COUNTIF(INDEX($AS$1:$AX$72,BB67,0),"&lt;"&amp;BC67)+1)-1)),INDEX($X$1:$X$72,BB67)))</f>
      </c>
      <c r="BE67">
        <f>" "&amp;TRIM(SUBSTITUTE(SUBSTITUTE(SUBSTITUTE(SUBSTITUTE(SUBSTITUTE(B123&amp;"","ו",""),"י",""),"ן","נ"),"-"," "),","," "))</f>
      </c>
      <c r="BF67">
        <f>IF(OR(ISNUMBER(SEARCH(" ארנ",BE67)),ISNUMBER(SEARCH(" הארנ",BE67)),ISNUMBER(SEARCH(" אארנ",BE67)),ISNUMBER(SEARCH(" אנרנ",BE67)),ISNUMBER(SEARCH(" האנרנ",BE67))),1,0)</f>
      </c>
      <c r="BG67">
        <f>IF(AND(BF67=1,ISNUMBER(BI67)),BI67,0)</f>
      </c>
      <c r="BH67">
        <f>IF(AND(BF67=1,NOT(ISNUMBER(BI67))),1,0)</f>
      </c>
      <c r="BI67">
        <f>IF(ISNUMBER(J123),J123,IFERROR(--TRIM(SUBSTITUTE(SUBSTITUTE(J123&amp;"","פצל",""),"פ","")),""))</f>
      </c>
    </row>
    <row r="68" ht="14.25" hidden="1" customHeight="1" x14ac:dyDescent="0.2">
      <c r="A68" s="9"/>
      <c r="B68" s="29"/>
      <c r="C68" s="30"/>
      <c r="D68" s="29"/>
      <c r="E68" s="31"/>
      <c r="F68" s="31"/>
      <c r="G68" s="31"/>
      <c r="H68" s="30"/>
      <c r="I68" s="3"/>
      <c r="J68" s="46"/>
      <c r="K68" s="24"/>
      <c r="L68" s="24"/>
      <c r="M68" s="24"/>
      <c r="N68" s="24"/>
      <c r="O68" s="24"/>
      <c r="P68" s="24"/>
      <c r="Q68" s="24"/>
      <c r="R68" s="24"/>
      <c r="S68" s="24"/>
      <c r="T68" s="24"/>
      <c r="U68" s="24"/>
      <c r="V68" s="24"/>
      <c r="X68">
        <f>IF(A124&gt;0,A124,B124)</f>
      </c>
      <c r="Z68">
        <f>SUBSTITUTE(SUBSTITUTE(SUBSTITUTE(SUBSTITUTE(A124&amp;"","–","-"),"--","-"),"--","-")," ","")</f>
      </c>
      <c r="AA68">
        <f>TRIM(MID(SUBSTITUTE(Z68,",",REPT(" ",100)),1,100))</f>
      </c>
      <c r="AB68">
        <f>TRIM(MID(SUBSTITUTE(Z68,",",REPT(" ",100)),101,100))</f>
      </c>
      <c r="AC68">
        <f>TRIM(MID(SUBSTITUTE(Z68,",",REPT(" ",100)),201,100))</f>
      </c>
      <c r="AD68">
        <f>TRIM(MID(SUBSTITUTE(Z68,",",REPT(" ",100)),301,100))</f>
      </c>
      <c r="AE68">
        <f>TRIM(MID(SUBSTITUTE(Z68,",",REPT(" ",100)),401,100))</f>
      </c>
      <c r="AF68">
        <f>TRIM(MID(SUBSTITUTE(Z68,",",REPT(" ",100)),501,100))</f>
      </c>
      <c r="AG68">
        <f>IF(AA68="",0,IFERROR(VALUE(LEFT(AA68,FIND("-",AA68&amp;"-")-1)),-1))</f>
      </c>
      <c r="AH68">
        <f>IF(AB68="",0,IFERROR(VALUE(LEFT(AB68,FIND("-",AB68&amp;"-")-1)),-1))</f>
      </c>
      <c r="AI68">
        <f>IF(AC68="",0,IFERROR(VALUE(LEFT(AC68,FIND("-",AC68&amp;"-")-1)),-1))</f>
      </c>
      <c r="AJ68">
        <f>IF(AD68="",0,IFERROR(VALUE(LEFT(AD68,FIND("-",AD68&amp;"-")-1)),-1))</f>
      </c>
      <c r="AK68">
        <f>IF(AE68="",0,IFERROR(VALUE(LEFT(AE68,FIND("-",AE68&amp;"-")-1)),-1))</f>
      </c>
      <c r="AL68">
        <f>IF(AF68="",0,IFERROR(VALUE(LEFT(AF68,FIND("-",AF68&amp;"-")-1)),-1))</f>
      </c>
      <c r="AM68">
        <f>IF(AG68&lt;=0,0,IFERROR(IF(ISNUMBER(FIND("-",AA68)),MAX(1,VALUE(MID(AA68,FIND("-",AA68)+1,99))-AG68+1),1),1))</f>
      </c>
      <c r="AN68">
        <f>IF(AH68&lt;=0,0,IFERROR(IF(ISNUMBER(FIND("-",AB68)),MAX(1,VALUE(MID(AB68,FIND("-",AB68)+1,99))-AH68+1),1),1))</f>
      </c>
      <c r="AO68">
        <f>IF(AI68&lt;=0,0,IFERROR(IF(ISNUMBER(FIND("-",AC68)),MAX(1,VALUE(MID(AC68,FIND("-",AC68)+1,99))-AI68+1),1),1))</f>
      </c>
      <c r="AP68">
        <f>IF(AJ68&lt;=0,0,IFERROR(IF(ISNUMBER(FIND("-",AD68)),MAX(1,VALUE(MID(AD68,FIND("-",AD68)+1,99))-AJ68+1),1),1))</f>
      </c>
      <c r="AQ68">
        <f>IF(AK68&lt;=0,0,IFERROR(IF(ISNUMBER(FIND("-",AE68)),MAX(1,VALUE(MID(AE68,FIND("-",AE68)+1,99))-AK68+1),1),1))</f>
      </c>
      <c r="AR68">
        <f>IF(AL68&lt;=0,0,IFERROR(IF(ISNUMBER(FIND("-",AF68)),MAX(1,VALUE(MID(AF68,FIND("-",AF68)+1,99))-AL68+1),1),1))</f>
      </c>
      <c r="AS68">
        <f>SUM($AM68:AM68)</f>
      </c>
      <c r="AT68">
        <f>SUM($AM68:AN68)</f>
      </c>
      <c r="AU68">
        <f>SUM($AM68:AO68)</f>
      </c>
      <c r="AV68">
        <f>SUM($AM68:AP68)</f>
      </c>
      <c r="AW68">
        <f>SUM($AM68:AQ68)</f>
      </c>
      <c r="AX68">
        <f>SUM($AM68:AR68)</f>
      </c>
      <c r="AY68">
        <f>AND(ISNUMBER(SEARCH("פ",J124&amp;"")),AX68&gt;0,COUNTIF(AG68:AL68,-1)=0)</f>
      </c>
      <c r="AZ68">
        <f>IF(X68=0,0,IF(AY68,MIN(AX68,72),1))</f>
      </c>
      <c r="BA68">
        <f>SUM($AZ$1:AZ68)</f>
      </c>
      <c r="BB68">
        <f>COUNTIF($BA$1:$BA$72,"&lt;"&amp;68)+1</f>
      </c>
      <c r="BC68">
        <f>IF(BB68&gt;72,0,68-IF(BB68=1,0,INDEX($BA$1:$BA$72,BB68-1)))</f>
      </c>
      <c r="BD68">
        <f>IF(68&gt;$BA$72,0,IF(INDEX($AY$1:$AY$72,BB68),INDEX($AG$1:$AL$72,BB68,(COUNTIF(INDEX($AS$1:$AX$72,BB68,0),"&lt;"&amp;BC68)+1))+BC68-1-IF((COUNTIF(INDEX($AS$1:$AX$72,BB68,0),"&lt;"&amp;BC68)+1)=1,0,INDEX($AS$1:$AX$72,BB68,(COUNTIF(INDEX($AS$1:$AX$72,BB68,0),"&lt;"&amp;BC68)+1)-1)),INDEX($X$1:$X$72,BB68)))</f>
      </c>
      <c r="BE68">
        <f>" "&amp;TRIM(SUBSTITUTE(SUBSTITUTE(SUBSTITUTE(SUBSTITUTE(SUBSTITUTE(B124&amp;"","ו",""),"י",""),"ן","נ"),"-"," "),","," "))</f>
      </c>
      <c r="BF68">
        <f>IF(OR(ISNUMBER(SEARCH(" ארנ",BE68)),ISNUMBER(SEARCH(" הארנ",BE68)),ISNUMBER(SEARCH(" אארנ",BE68)),ISNUMBER(SEARCH(" אנרנ",BE68)),ISNUMBER(SEARCH(" האנרנ",BE68))),1,0)</f>
      </c>
      <c r="BG68">
        <f>IF(AND(BF68=1,ISNUMBER(BI68)),BI68,0)</f>
      </c>
      <c r="BH68">
        <f>IF(AND(BF68=1,NOT(ISNUMBER(BI68))),1,0)</f>
      </c>
      <c r="BI68">
        <f>IF(ISNUMBER(J124),J124,IFERROR(--TRIM(SUBSTITUTE(SUBSTITUTE(J124&amp;"","פצל",""),"פ","")),""))</f>
      </c>
    </row>
    <row r="69" ht="14.25" hidden="1" customHeight="1" x14ac:dyDescent="0.2">
      <c r="A69" s="8"/>
      <c r="B69" s="29"/>
      <c r="C69" s="30"/>
      <c r="D69" s="29"/>
      <c r="E69" s="31"/>
      <c r="F69" s="31"/>
      <c r="G69" s="31"/>
      <c r="H69" s="30"/>
      <c r="I69" s="3"/>
      <c r="J69" s="46"/>
      <c r="K69" s="24"/>
      <c r="L69" s="24"/>
      <c r="M69" s="24"/>
      <c r="N69" s="24"/>
      <c r="O69" s="24"/>
      <c r="P69" s="24"/>
      <c r="Q69" s="24"/>
      <c r="R69" s="24"/>
      <c r="S69" s="24"/>
      <c r="T69" s="24"/>
      <c r="U69" s="24"/>
      <c r="V69" s="24"/>
      <c r="X69">
        <f>IF(A125&gt;0,A125,B125)</f>
      </c>
      <c r="Z69">
        <f>SUBSTITUTE(SUBSTITUTE(SUBSTITUTE(SUBSTITUTE(A125&amp;"","–","-"),"--","-"),"--","-")," ","")</f>
      </c>
      <c r="AA69">
        <f>TRIM(MID(SUBSTITUTE(Z69,",",REPT(" ",100)),1,100))</f>
      </c>
      <c r="AB69">
        <f>TRIM(MID(SUBSTITUTE(Z69,",",REPT(" ",100)),101,100))</f>
      </c>
      <c r="AC69">
        <f>TRIM(MID(SUBSTITUTE(Z69,",",REPT(" ",100)),201,100))</f>
      </c>
      <c r="AD69">
        <f>TRIM(MID(SUBSTITUTE(Z69,",",REPT(" ",100)),301,100))</f>
      </c>
      <c r="AE69">
        <f>TRIM(MID(SUBSTITUTE(Z69,",",REPT(" ",100)),401,100))</f>
      </c>
      <c r="AF69">
        <f>TRIM(MID(SUBSTITUTE(Z69,",",REPT(" ",100)),501,100))</f>
      </c>
      <c r="AG69">
        <f>IF(AA69="",0,IFERROR(VALUE(LEFT(AA69,FIND("-",AA69&amp;"-")-1)),-1))</f>
      </c>
      <c r="AH69">
        <f>IF(AB69="",0,IFERROR(VALUE(LEFT(AB69,FIND("-",AB69&amp;"-")-1)),-1))</f>
      </c>
      <c r="AI69">
        <f>IF(AC69="",0,IFERROR(VALUE(LEFT(AC69,FIND("-",AC69&amp;"-")-1)),-1))</f>
      </c>
      <c r="AJ69">
        <f>IF(AD69="",0,IFERROR(VALUE(LEFT(AD69,FIND("-",AD69&amp;"-")-1)),-1))</f>
      </c>
      <c r="AK69">
        <f>IF(AE69="",0,IFERROR(VALUE(LEFT(AE69,FIND("-",AE69&amp;"-")-1)),-1))</f>
      </c>
      <c r="AL69">
        <f>IF(AF69="",0,IFERROR(VALUE(LEFT(AF69,FIND("-",AF69&amp;"-")-1)),-1))</f>
      </c>
      <c r="AM69">
        <f>IF(AG69&lt;=0,0,IFERROR(IF(ISNUMBER(FIND("-",AA69)),MAX(1,VALUE(MID(AA69,FIND("-",AA69)+1,99))-AG69+1),1),1))</f>
      </c>
      <c r="AN69">
        <f>IF(AH69&lt;=0,0,IFERROR(IF(ISNUMBER(FIND("-",AB69)),MAX(1,VALUE(MID(AB69,FIND("-",AB69)+1,99))-AH69+1),1),1))</f>
      </c>
      <c r="AO69">
        <f>IF(AI69&lt;=0,0,IFERROR(IF(ISNUMBER(FIND("-",AC69)),MAX(1,VALUE(MID(AC69,FIND("-",AC69)+1,99))-AI69+1),1),1))</f>
      </c>
      <c r="AP69">
        <f>IF(AJ69&lt;=0,0,IFERROR(IF(ISNUMBER(FIND("-",AD69)),MAX(1,VALUE(MID(AD69,FIND("-",AD69)+1,99))-AJ69+1),1),1))</f>
      </c>
      <c r="AQ69">
        <f>IF(AK69&lt;=0,0,IFERROR(IF(ISNUMBER(FIND("-",AE69)),MAX(1,VALUE(MID(AE69,FIND("-",AE69)+1,99))-AK69+1),1),1))</f>
      </c>
      <c r="AR69">
        <f>IF(AL69&lt;=0,0,IFERROR(IF(ISNUMBER(FIND("-",AF69)),MAX(1,VALUE(MID(AF69,FIND("-",AF69)+1,99))-AL69+1),1),1))</f>
      </c>
      <c r="AS69">
        <f>SUM($AM69:AM69)</f>
      </c>
      <c r="AT69">
        <f>SUM($AM69:AN69)</f>
      </c>
      <c r="AU69">
        <f>SUM($AM69:AO69)</f>
      </c>
      <c r="AV69">
        <f>SUM($AM69:AP69)</f>
      </c>
      <c r="AW69">
        <f>SUM($AM69:AQ69)</f>
      </c>
      <c r="AX69">
        <f>SUM($AM69:AR69)</f>
      </c>
      <c r="AY69">
        <f>AND(ISNUMBER(SEARCH("פ",J125&amp;"")),AX69&gt;0,COUNTIF(AG69:AL69,-1)=0)</f>
      </c>
      <c r="AZ69">
        <f>IF(X69=0,0,IF(AY69,MIN(AX69,72),1))</f>
      </c>
      <c r="BA69">
        <f>SUM($AZ$1:AZ69)</f>
      </c>
      <c r="BB69">
        <f>COUNTIF($BA$1:$BA$72,"&lt;"&amp;69)+1</f>
      </c>
      <c r="BC69">
        <f>IF(BB69&gt;72,0,69-IF(BB69=1,0,INDEX($BA$1:$BA$72,BB69-1)))</f>
      </c>
      <c r="BD69">
        <f>IF(69&gt;$BA$72,0,IF(INDEX($AY$1:$AY$72,BB69),INDEX($AG$1:$AL$72,BB69,(COUNTIF(INDEX($AS$1:$AX$72,BB69,0),"&lt;"&amp;BC69)+1))+BC69-1-IF((COUNTIF(INDEX($AS$1:$AX$72,BB69,0),"&lt;"&amp;BC69)+1)=1,0,INDEX($AS$1:$AX$72,BB69,(COUNTIF(INDEX($AS$1:$AX$72,BB69,0),"&lt;"&amp;BC69)+1)-1)),INDEX($X$1:$X$72,BB69)))</f>
      </c>
      <c r="BE69">
        <f>" "&amp;TRIM(SUBSTITUTE(SUBSTITUTE(SUBSTITUTE(SUBSTITUTE(SUBSTITUTE(B125&amp;"","ו",""),"י",""),"ן","נ"),"-"," "),","," "))</f>
      </c>
      <c r="BF69">
        <f>IF(OR(ISNUMBER(SEARCH(" ארנ",BE69)),ISNUMBER(SEARCH(" הארנ",BE69)),ISNUMBER(SEARCH(" אארנ",BE69)),ISNUMBER(SEARCH(" אנרנ",BE69)),ISNUMBER(SEARCH(" האנרנ",BE69))),1,0)</f>
      </c>
      <c r="BG69">
        <f>IF(AND(BF69=1,ISNUMBER(BI69)),BI69,0)</f>
      </c>
      <c r="BH69">
        <f>IF(AND(BF69=1,NOT(ISNUMBER(BI69))),1,0)</f>
      </c>
      <c r="BI69">
        <f>IF(ISNUMBER(J125),J125,IFERROR(--TRIM(SUBSTITUTE(SUBSTITUTE(J125&amp;"","פצל",""),"פ","")),""))</f>
      </c>
    </row>
    <row r="70" ht="14.25" hidden="1" customHeight="1" x14ac:dyDescent="0.2">
      <c r="A70" s="9"/>
      <c r="B70" s="29"/>
      <c r="C70" s="30"/>
      <c r="D70" s="29"/>
      <c r="E70" s="31"/>
      <c r="F70" s="31"/>
      <c r="G70" s="31"/>
      <c r="H70" s="30"/>
      <c r="I70" s="3"/>
      <c r="J70" s="46"/>
      <c r="K70" s="24"/>
      <c r="L70" s="24"/>
      <c r="M70" s="24"/>
      <c r="N70" s="24"/>
      <c r="O70" s="24"/>
      <c r="P70" s="24"/>
      <c r="Q70" s="24"/>
      <c r="R70" s="24"/>
      <c r="S70" s="24"/>
      <c r="T70" s="24"/>
      <c r="U70" s="24"/>
      <c r="V70" s="24"/>
      <c r="X70">
        <f>IF(A126&gt;0,A126,B126)</f>
      </c>
      <c r="Z70">
        <f>SUBSTITUTE(SUBSTITUTE(SUBSTITUTE(SUBSTITUTE(A126&amp;"","–","-"),"--","-"),"--","-")," ","")</f>
      </c>
      <c r="AA70">
        <f>TRIM(MID(SUBSTITUTE(Z70,",",REPT(" ",100)),1,100))</f>
      </c>
      <c r="AB70">
        <f>TRIM(MID(SUBSTITUTE(Z70,",",REPT(" ",100)),101,100))</f>
      </c>
      <c r="AC70">
        <f>TRIM(MID(SUBSTITUTE(Z70,",",REPT(" ",100)),201,100))</f>
      </c>
      <c r="AD70">
        <f>TRIM(MID(SUBSTITUTE(Z70,",",REPT(" ",100)),301,100))</f>
      </c>
      <c r="AE70">
        <f>TRIM(MID(SUBSTITUTE(Z70,",",REPT(" ",100)),401,100))</f>
      </c>
      <c r="AF70">
        <f>TRIM(MID(SUBSTITUTE(Z70,",",REPT(" ",100)),501,100))</f>
      </c>
      <c r="AG70">
        <f>IF(AA70="",0,IFERROR(VALUE(LEFT(AA70,FIND("-",AA70&amp;"-")-1)),-1))</f>
      </c>
      <c r="AH70">
        <f>IF(AB70="",0,IFERROR(VALUE(LEFT(AB70,FIND("-",AB70&amp;"-")-1)),-1))</f>
      </c>
      <c r="AI70">
        <f>IF(AC70="",0,IFERROR(VALUE(LEFT(AC70,FIND("-",AC70&amp;"-")-1)),-1))</f>
      </c>
      <c r="AJ70">
        <f>IF(AD70="",0,IFERROR(VALUE(LEFT(AD70,FIND("-",AD70&amp;"-")-1)),-1))</f>
      </c>
      <c r="AK70">
        <f>IF(AE70="",0,IFERROR(VALUE(LEFT(AE70,FIND("-",AE70&amp;"-")-1)),-1))</f>
      </c>
      <c r="AL70">
        <f>IF(AF70="",0,IFERROR(VALUE(LEFT(AF70,FIND("-",AF70&amp;"-")-1)),-1))</f>
      </c>
      <c r="AM70">
        <f>IF(AG70&lt;=0,0,IFERROR(IF(ISNUMBER(FIND("-",AA70)),MAX(1,VALUE(MID(AA70,FIND("-",AA70)+1,99))-AG70+1),1),1))</f>
      </c>
      <c r="AN70">
        <f>IF(AH70&lt;=0,0,IFERROR(IF(ISNUMBER(FIND("-",AB70)),MAX(1,VALUE(MID(AB70,FIND("-",AB70)+1,99))-AH70+1),1),1))</f>
      </c>
      <c r="AO70">
        <f>IF(AI70&lt;=0,0,IFERROR(IF(ISNUMBER(FIND("-",AC70)),MAX(1,VALUE(MID(AC70,FIND("-",AC70)+1,99))-AI70+1),1),1))</f>
      </c>
      <c r="AP70">
        <f>IF(AJ70&lt;=0,0,IFERROR(IF(ISNUMBER(FIND("-",AD70)),MAX(1,VALUE(MID(AD70,FIND("-",AD70)+1,99))-AJ70+1),1),1))</f>
      </c>
      <c r="AQ70">
        <f>IF(AK70&lt;=0,0,IFERROR(IF(ISNUMBER(FIND("-",AE70)),MAX(1,VALUE(MID(AE70,FIND("-",AE70)+1,99))-AK70+1),1),1))</f>
      </c>
      <c r="AR70">
        <f>IF(AL70&lt;=0,0,IFERROR(IF(ISNUMBER(FIND("-",AF70)),MAX(1,VALUE(MID(AF70,FIND("-",AF70)+1,99))-AL70+1),1),1))</f>
      </c>
      <c r="AS70">
        <f>SUM($AM70:AM70)</f>
      </c>
      <c r="AT70">
        <f>SUM($AM70:AN70)</f>
      </c>
      <c r="AU70">
        <f>SUM($AM70:AO70)</f>
      </c>
      <c r="AV70">
        <f>SUM($AM70:AP70)</f>
      </c>
      <c r="AW70">
        <f>SUM($AM70:AQ70)</f>
      </c>
      <c r="AX70">
        <f>SUM($AM70:AR70)</f>
      </c>
      <c r="AY70">
        <f>AND(ISNUMBER(SEARCH("פ",J126&amp;"")),AX70&gt;0,COUNTIF(AG70:AL70,-1)=0)</f>
      </c>
      <c r="AZ70">
        <f>IF(X70=0,0,IF(AY70,MIN(AX70,72),1))</f>
      </c>
      <c r="BA70">
        <f>SUM($AZ$1:AZ70)</f>
      </c>
      <c r="BB70">
        <f>COUNTIF($BA$1:$BA$72,"&lt;"&amp;70)+1</f>
      </c>
      <c r="BC70">
        <f>IF(BB70&gt;72,0,70-IF(BB70=1,0,INDEX($BA$1:$BA$72,BB70-1)))</f>
      </c>
      <c r="BD70">
        <f>IF(70&gt;$BA$72,0,IF(INDEX($AY$1:$AY$72,BB70),INDEX($AG$1:$AL$72,BB70,(COUNTIF(INDEX($AS$1:$AX$72,BB70,0),"&lt;"&amp;BC70)+1))+BC70-1-IF((COUNTIF(INDEX($AS$1:$AX$72,BB70,0),"&lt;"&amp;BC70)+1)=1,0,INDEX($AS$1:$AX$72,BB70,(COUNTIF(INDEX($AS$1:$AX$72,BB70,0),"&lt;"&amp;BC70)+1)-1)),INDEX($X$1:$X$72,BB70)))</f>
      </c>
      <c r="BE70">
        <f>" "&amp;TRIM(SUBSTITUTE(SUBSTITUTE(SUBSTITUTE(SUBSTITUTE(SUBSTITUTE(B126&amp;"","ו",""),"י",""),"ן","נ"),"-"," "),","," "))</f>
      </c>
      <c r="BF70">
        <f>IF(OR(ISNUMBER(SEARCH(" ארנ",BE70)),ISNUMBER(SEARCH(" הארנ",BE70)),ISNUMBER(SEARCH(" אארנ",BE70)),ISNUMBER(SEARCH(" אנרנ",BE70)),ISNUMBER(SEARCH(" האנרנ",BE70))),1,0)</f>
      </c>
      <c r="BG70">
        <f>IF(AND(BF70=1,ISNUMBER(BI70)),BI70,0)</f>
      </c>
      <c r="BH70">
        <f>IF(AND(BF70=1,NOT(ISNUMBER(BI70))),1,0)</f>
      </c>
      <c r="BI70">
        <f>IF(ISNUMBER(J126),J126,IFERROR(--TRIM(SUBSTITUTE(SUBSTITUTE(J126&amp;"","פצל",""),"פ","")),""))</f>
      </c>
    </row>
    <row r="71" ht="14.25" hidden="1" customHeight="1" x14ac:dyDescent="0.2">
      <c r="A71" s="8"/>
      <c r="B71" s="29"/>
      <c r="C71" s="30"/>
      <c r="D71" s="29"/>
      <c r="E71" s="31"/>
      <c r="F71" s="31"/>
      <c r="G71" s="31"/>
      <c r="H71" s="30"/>
      <c r="I71" s="3"/>
      <c r="J71" s="46"/>
      <c r="K71" s="24"/>
      <c r="L71" s="24"/>
      <c r="M71" s="24"/>
      <c r="N71" s="24"/>
      <c r="O71" s="24"/>
      <c r="P71" s="24"/>
      <c r="Q71" s="24"/>
      <c r="R71" s="24"/>
      <c r="S71" s="24"/>
      <c r="T71" s="24"/>
      <c r="U71" s="24"/>
      <c r="V71" s="24"/>
      <c r="X71">
        <f>IF(A127&gt;0,A127,B127)</f>
      </c>
      <c r="Z71">
        <f>SUBSTITUTE(SUBSTITUTE(SUBSTITUTE(SUBSTITUTE(A127&amp;"","–","-"),"--","-"),"--","-")," ","")</f>
      </c>
      <c r="AA71">
        <f>TRIM(MID(SUBSTITUTE(Z71,",",REPT(" ",100)),1,100))</f>
      </c>
      <c r="AB71">
        <f>TRIM(MID(SUBSTITUTE(Z71,",",REPT(" ",100)),101,100))</f>
      </c>
      <c r="AC71">
        <f>TRIM(MID(SUBSTITUTE(Z71,",",REPT(" ",100)),201,100))</f>
      </c>
      <c r="AD71">
        <f>TRIM(MID(SUBSTITUTE(Z71,",",REPT(" ",100)),301,100))</f>
      </c>
      <c r="AE71">
        <f>TRIM(MID(SUBSTITUTE(Z71,",",REPT(" ",100)),401,100))</f>
      </c>
      <c r="AF71">
        <f>TRIM(MID(SUBSTITUTE(Z71,",",REPT(" ",100)),501,100))</f>
      </c>
      <c r="AG71">
        <f>IF(AA71="",0,IFERROR(VALUE(LEFT(AA71,FIND("-",AA71&amp;"-")-1)),-1))</f>
      </c>
      <c r="AH71">
        <f>IF(AB71="",0,IFERROR(VALUE(LEFT(AB71,FIND("-",AB71&amp;"-")-1)),-1))</f>
      </c>
      <c r="AI71">
        <f>IF(AC71="",0,IFERROR(VALUE(LEFT(AC71,FIND("-",AC71&amp;"-")-1)),-1))</f>
      </c>
      <c r="AJ71">
        <f>IF(AD71="",0,IFERROR(VALUE(LEFT(AD71,FIND("-",AD71&amp;"-")-1)),-1))</f>
      </c>
      <c r="AK71">
        <f>IF(AE71="",0,IFERROR(VALUE(LEFT(AE71,FIND("-",AE71&amp;"-")-1)),-1))</f>
      </c>
      <c r="AL71">
        <f>IF(AF71="",0,IFERROR(VALUE(LEFT(AF71,FIND("-",AF71&amp;"-")-1)),-1))</f>
      </c>
      <c r="AM71">
        <f>IF(AG71&lt;=0,0,IFERROR(IF(ISNUMBER(FIND("-",AA71)),MAX(1,VALUE(MID(AA71,FIND("-",AA71)+1,99))-AG71+1),1),1))</f>
      </c>
      <c r="AN71">
        <f>IF(AH71&lt;=0,0,IFERROR(IF(ISNUMBER(FIND("-",AB71)),MAX(1,VALUE(MID(AB71,FIND("-",AB71)+1,99))-AH71+1),1),1))</f>
      </c>
      <c r="AO71">
        <f>IF(AI71&lt;=0,0,IFERROR(IF(ISNUMBER(FIND("-",AC71)),MAX(1,VALUE(MID(AC71,FIND("-",AC71)+1,99))-AI71+1),1),1))</f>
      </c>
      <c r="AP71">
        <f>IF(AJ71&lt;=0,0,IFERROR(IF(ISNUMBER(FIND("-",AD71)),MAX(1,VALUE(MID(AD71,FIND("-",AD71)+1,99))-AJ71+1),1),1))</f>
      </c>
      <c r="AQ71">
        <f>IF(AK71&lt;=0,0,IFERROR(IF(ISNUMBER(FIND("-",AE71)),MAX(1,VALUE(MID(AE71,FIND("-",AE71)+1,99))-AK71+1),1),1))</f>
      </c>
      <c r="AR71">
        <f>IF(AL71&lt;=0,0,IFERROR(IF(ISNUMBER(FIND("-",AF71)),MAX(1,VALUE(MID(AF71,FIND("-",AF71)+1,99))-AL71+1),1),1))</f>
      </c>
      <c r="AS71">
        <f>SUM($AM71:AM71)</f>
      </c>
      <c r="AT71">
        <f>SUM($AM71:AN71)</f>
      </c>
      <c r="AU71">
        <f>SUM($AM71:AO71)</f>
      </c>
      <c r="AV71">
        <f>SUM($AM71:AP71)</f>
      </c>
      <c r="AW71">
        <f>SUM($AM71:AQ71)</f>
      </c>
      <c r="AX71">
        <f>SUM($AM71:AR71)</f>
      </c>
      <c r="AY71">
        <f>AND(ISNUMBER(SEARCH("פ",J127&amp;"")),AX71&gt;0,COUNTIF(AG71:AL71,-1)=0)</f>
      </c>
      <c r="AZ71">
        <f>IF(X71=0,0,IF(AY71,MIN(AX71,72),1))</f>
      </c>
      <c r="BA71">
        <f>SUM($AZ$1:AZ71)</f>
      </c>
      <c r="BB71">
        <f>COUNTIF($BA$1:$BA$72,"&lt;"&amp;71)+1</f>
      </c>
      <c r="BC71">
        <f>IF(BB71&gt;72,0,71-IF(BB71=1,0,INDEX($BA$1:$BA$72,BB71-1)))</f>
      </c>
      <c r="BD71">
        <f>IF(71&gt;$BA$72,0,IF(INDEX($AY$1:$AY$72,BB71),INDEX($AG$1:$AL$72,BB71,(COUNTIF(INDEX($AS$1:$AX$72,BB71,0),"&lt;"&amp;BC71)+1))+BC71-1-IF((COUNTIF(INDEX($AS$1:$AX$72,BB71,0),"&lt;"&amp;BC71)+1)=1,0,INDEX($AS$1:$AX$72,BB71,(COUNTIF(INDEX($AS$1:$AX$72,BB71,0),"&lt;"&amp;BC71)+1)-1)),INDEX($X$1:$X$72,BB71)))</f>
      </c>
      <c r="BE71">
        <f>" "&amp;TRIM(SUBSTITUTE(SUBSTITUTE(SUBSTITUTE(SUBSTITUTE(SUBSTITUTE(B127&amp;"","ו",""),"י",""),"ן","נ"),"-"," "),","," "))</f>
      </c>
      <c r="BF71">
        <f>IF(OR(ISNUMBER(SEARCH(" ארנ",BE71)),ISNUMBER(SEARCH(" הארנ",BE71)),ISNUMBER(SEARCH(" אארנ",BE71)),ISNUMBER(SEARCH(" אנרנ",BE71)),ISNUMBER(SEARCH(" האנרנ",BE71))),1,0)</f>
      </c>
      <c r="BG71">
        <f>IF(AND(BF71=1,ISNUMBER(BI71)),BI71,0)</f>
      </c>
      <c r="BH71">
        <f>IF(AND(BF71=1,NOT(ISNUMBER(BI71))),1,0)</f>
      </c>
      <c r="BI71">
        <f>IF(ISNUMBER(J127),J127,IFERROR(--TRIM(SUBSTITUTE(SUBSTITUTE(J127&amp;"","פצל",""),"פ","")),""))</f>
      </c>
    </row>
    <row r="72" ht="14.25" hidden="1" customHeight="1" x14ac:dyDescent="0.2">
      <c r="A72" s="9"/>
      <c r="B72" s="29"/>
      <c r="C72" s="30"/>
      <c r="D72" s="29"/>
      <c r="E72" s="31"/>
      <c r="F72" s="31"/>
      <c r="G72" s="31"/>
      <c r="H72" s="30"/>
      <c r="I72" s="3"/>
      <c r="J72" s="46"/>
      <c r="K72" s="24"/>
      <c r="L72" s="24"/>
      <c r="M72" s="24"/>
      <c r="N72" s="24"/>
      <c r="O72" s="24"/>
      <c r="P72" s="24"/>
      <c r="Q72" s="24"/>
      <c r="R72" s="24"/>
      <c r="S72" s="24"/>
      <c r="T72" s="24"/>
      <c r="U72" s="24"/>
      <c r="V72" s="24"/>
      <c r="X72">
        <f>IF(A128&gt;0,A128,B128)</f>
      </c>
      <c r="Z72">
        <f>SUBSTITUTE(SUBSTITUTE(SUBSTITUTE(SUBSTITUTE(A128&amp;"","–","-"),"--","-"),"--","-")," ","")</f>
      </c>
      <c r="AA72">
        <f>TRIM(MID(SUBSTITUTE(Z72,",",REPT(" ",100)),1,100))</f>
      </c>
      <c r="AB72">
        <f>TRIM(MID(SUBSTITUTE(Z72,",",REPT(" ",100)),101,100))</f>
      </c>
      <c r="AC72">
        <f>TRIM(MID(SUBSTITUTE(Z72,",",REPT(" ",100)),201,100))</f>
      </c>
      <c r="AD72">
        <f>TRIM(MID(SUBSTITUTE(Z72,",",REPT(" ",100)),301,100))</f>
      </c>
      <c r="AE72">
        <f>TRIM(MID(SUBSTITUTE(Z72,",",REPT(" ",100)),401,100))</f>
      </c>
      <c r="AF72">
        <f>TRIM(MID(SUBSTITUTE(Z72,",",REPT(" ",100)),501,100))</f>
      </c>
      <c r="AG72">
        <f>IF(AA72="",0,IFERROR(VALUE(LEFT(AA72,FIND("-",AA72&amp;"-")-1)),-1))</f>
      </c>
      <c r="AH72">
        <f>IF(AB72="",0,IFERROR(VALUE(LEFT(AB72,FIND("-",AB72&amp;"-")-1)),-1))</f>
      </c>
      <c r="AI72">
        <f>IF(AC72="",0,IFERROR(VALUE(LEFT(AC72,FIND("-",AC72&amp;"-")-1)),-1))</f>
      </c>
      <c r="AJ72">
        <f>IF(AD72="",0,IFERROR(VALUE(LEFT(AD72,FIND("-",AD72&amp;"-")-1)),-1))</f>
      </c>
      <c r="AK72">
        <f>IF(AE72="",0,IFERROR(VALUE(LEFT(AE72,FIND("-",AE72&amp;"-")-1)),-1))</f>
      </c>
      <c r="AL72">
        <f>IF(AF72="",0,IFERROR(VALUE(LEFT(AF72,FIND("-",AF72&amp;"-")-1)),-1))</f>
      </c>
      <c r="AM72">
        <f>IF(AG72&lt;=0,0,IFERROR(IF(ISNUMBER(FIND("-",AA72)),MAX(1,VALUE(MID(AA72,FIND("-",AA72)+1,99))-AG72+1),1),1))</f>
      </c>
      <c r="AN72">
        <f>IF(AH72&lt;=0,0,IFERROR(IF(ISNUMBER(FIND("-",AB72)),MAX(1,VALUE(MID(AB72,FIND("-",AB72)+1,99))-AH72+1),1),1))</f>
      </c>
      <c r="AO72">
        <f>IF(AI72&lt;=0,0,IFERROR(IF(ISNUMBER(FIND("-",AC72)),MAX(1,VALUE(MID(AC72,FIND("-",AC72)+1,99))-AI72+1),1),1))</f>
      </c>
      <c r="AP72">
        <f>IF(AJ72&lt;=0,0,IFERROR(IF(ISNUMBER(FIND("-",AD72)),MAX(1,VALUE(MID(AD72,FIND("-",AD72)+1,99))-AJ72+1),1),1))</f>
      </c>
      <c r="AQ72">
        <f>IF(AK72&lt;=0,0,IFERROR(IF(ISNUMBER(FIND("-",AE72)),MAX(1,VALUE(MID(AE72,FIND("-",AE72)+1,99))-AK72+1),1),1))</f>
      </c>
      <c r="AR72">
        <f>IF(AL72&lt;=0,0,IFERROR(IF(ISNUMBER(FIND("-",AF72)),MAX(1,VALUE(MID(AF72,FIND("-",AF72)+1,99))-AL72+1),1),1))</f>
      </c>
      <c r="AS72">
        <f>SUM($AM72:AM72)</f>
      </c>
      <c r="AT72">
        <f>SUM($AM72:AN72)</f>
      </c>
      <c r="AU72">
        <f>SUM($AM72:AO72)</f>
      </c>
      <c r="AV72">
        <f>SUM($AM72:AP72)</f>
      </c>
      <c r="AW72">
        <f>SUM($AM72:AQ72)</f>
      </c>
      <c r="AX72">
        <f>SUM($AM72:AR72)</f>
      </c>
      <c r="AY72">
        <f>AND(ISNUMBER(SEARCH("פ",J128&amp;"")),AX72&gt;0,COUNTIF(AG72:AL72,-1)=0)</f>
      </c>
      <c r="AZ72">
        <f>IF(X72=0,0,IF(AY72,MIN(AX72,72),1))</f>
      </c>
      <c r="BA72">
        <f>SUM($AZ$1:AZ72)</f>
      </c>
      <c r="BB72">
        <f>COUNTIF($BA$1:$BA$72,"&lt;"&amp;72)+1</f>
      </c>
      <c r="BC72">
        <f>IF(BB72&gt;72,0,72-IF(BB72=1,0,INDEX($BA$1:$BA$72,BB72-1)))</f>
      </c>
      <c r="BD72">
        <f>IF(72&gt;$BA$72,0,IF(INDEX($AY$1:$AY$72,BB72),INDEX($AG$1:$AL$72,BB72,(COUNTIF(INDEX($AS$1:$AX$72,BB72,0),"&lt;"&amp;BC72)+1))+BC72-1-IF((COUNTIF(INDEX($AS$1:$AX$72,BB72,0),"&lt;"&amp;BC72)+1)=1,0,INDEX($AS$1:$AX$72,BB72,(COUNTIF(INDEX($AS$1:$AX$72,BB72,0),"&lt;"&amp;BC72)+1)-1)),INDEX($X$1:$X$72,BB72)))</f>
      </c>
      <c r="BE72">
        <f>" "&amp;TRIM(SUBSTITUTE(SUBSTITUTE(SUBSTITUTE(SUBSTITUTE(SUBSTITUTE(B128&amp;"","ו",""),"י",""),"ן","נ"),"-"," "),","," "))</f>
      </c>
      <c r="BF72">
        <f>IF(OR(ISNUMBER(SEARCH(" ארנ",BE72)),ISNUMBER(SEARCH(" הארנ",BE72)),ISNUMBER(SEARCH(" אארנ",BE72)),ISNUMBER(SEARCH(" אנרנ",BE72)),ISNUMBER(SEARCH(" האנרנ",BE72))),1,0)</f>
      </c>
      <c r="BG72">
        <f>IF(AND(BF72=1,ISNUMBER(BI72)),BI72,0)</f>
      </c>
      <c r="BH72">
        <f>IF(AND(BF72=1,NOT(ISNUMBER(BI72))),1,0)</f>
      </c>
      <c r="BI72">
        <f>IF(ISNUMBER(J128),J128,IFERROR(--TRIM(SUBSTITUTE(SUBSTITUTE(J128&amp;"","פצל",""),"פ","")),""))</f>
      </c>
    </row>
    <row r="73" spans="1:61" ht="14.25" hidden="1" customHeight="1" x14ac:dyDescent="0.2">
      <c r="A73" s="8"/>
      <c r="B73" s="26"/>
      <c r="C73" s="26"/>
      <c r="D73" s="26"/>
      <c r="E73" s="26"/>
      <c r="F73" s="26"/>
      <c r="G73" s="26"/>
      <c r="H73" s="26"/>
      <c r="I73" s="3"/>
      <c r="J73" s="46"/>
      <c r="K73" s="24"/>
      <c r="L73" s="24"/>
      <c r="M73" s="24"/>
      <c r="N73" s="24"/>
      <c r="O73" s="24"/>
      <c r="P73" s="24"/>
      <c r="Q73" s="24"/>
      <c r="R73" s="24"/>
      <c r="S73" s="24"/>
      <c r="T73" s="24"/>
      <c r="U73" s="24"/>
      <c r="V73" s="24"/>
    </row>
    <row r="74" spans="1:61" ht="14.25" hidden="1" customHeight="1" x14ac:dyDescent="0.2">
      <c r="A74" s="9"/>
      <c r="B74" s="26"/>
      <c r="C74" s="26"/>
      <c r="D74" s="26"/>
      <c r="E74" s="26"/>
      <c r="F74" s="26"/>
      <c r="G74" s="26"/>
      <c r="H74" s="26"/>
      <c r="I74" s="3"/>
      <c r="J74" s="46"/>
      <c r="K74" s="24"/>
      <c r="L74" s="24"/>
      <c r="M74" s="24"/>
      <c r="N74" s="24"/>
      <c r="O74" s="24"/>
      <c r="P74" s="24"/>
      <c r="Q74" s="24"/>
      <c r="R74" s="24"/>
      <c r="S74" s="24"/>
      <c r="T74" s="24"/>
      <c r="U74" s="24"/>
      <c r="V74" s="24"/>
    </row>
    <row r="75" spans="1:61" ht="14.25" hidden="1" customHeight="1" x14ac:dyDescent="0.2">
      <c r="A75" s="8"/>
      <c r="B75" s="26"/>
      <c r="C75" s="26"/>
      <c r="D75" s="26"/>
      <c r="E75" s="26"/>
      <c r="F75" s="26"/>
      <c r="G75" s="26"/>
      <c r="H75" s="26"/>
      <c r="I75" s="3"/>
      <c r="J75" s="46"/>
      <c r="K75" s="24"/>
      <c r="L75" s="24"/>
      <c r="M75" s="24"/>
      <c r="N75" s="24"/>
      <c r="O75" s="24"/>
      <c r="P75" s="24"/>
      <c r="Q75" s="24"/>
      <c r="R75" s="24"/>
      <c r="S75" s="24"/>
      <c r="T75" s="24"/>
      <c r="U75" s="24"/>
      <c r="V75" s="24"/>
    </row>
    <row r="76" spans="1:61" ht="14.25" hidden="1" customHeight="1" x14ac:dyDescent="0.2">
      <c r="A76" s="9"/>
      <c r="B76" s="26"/>
      <c r="C76" s="26"/>
      <c r="D76" s="26"/>
      <c r="E76" s="26"/>
      <c r="F76" s="26"/>
      <c r="G76" s="26"/>
      <c r="H76" s="26"/>
      <c r="I76" s="3"/>
      <c r="J76" s="46"/>
      <c r="K76" s="24"/>
      <c r="L76" s="24"/>
      <c r="M76" s="24"/>
      <c r="N76" s="24"/>
      <c r="O76" s="24"/>
      <c r="P76" s="24"/>
      <c r="Q76" s="24"/>
      <c r="R76" s="24"/>
      <c r="S76" s="24"/>
      <c r="T76" s="24"/>
      <c r="U76" s="24"/>
      <c r="V76" s="24"/>
    </row>
    <row r="77" spans="1:61" ht="14.25" hidden="1" customHeight="1" x14ac:dyDescent="0.2">
      <c r="A77" s="8"/>
      <c r="B77" s="26"/>
      <c r="C77" s="26"/>
      <c r="D77" s="26"/>
      <c r="E77" s="26"/>
      <c r="F77" s="26"/>
      <c r="G77" s="26"/>
      <c r="H77" s="26"/>
      <c r="I77" s="3"/>
      <c r="J77" s="46"/>
      <c r="K77" s="24"/>
      <c r="L77" s="24"/>
      <c r="M77" s="24"/>
      <c r="N77" s="24"/>
      <c r="O77" s="24"/>
      <c r="P77" s="24"/>
      <c r="Q77" s="24"/>
      <c r="R77" s="24"/>
      <c r="S77" s="24"/>
      <c r="T77" s="24"/>
      <c r="U77" s="24"/>
      <c r="V77" s="24"/>
    </row>
    <row r="78" spans="1:61" ht="14.25" hidden="1" customHeight="1" x14ac:dyDescent="0.2">
      <c r="A78" s="9"/>
      <c r="B78" s="26"/>
      <c r="C78" s="26"/>
      <c r="D78" s="26"/>
      <c r="E78" s="26"/>
      <c r="F78" s="26"/>
      <c r="G78" s="26"/>
      <c r="H78" s="26"/>
      <c r="I78" s="3"/>
      <c r="J78" s="46"/>
      <c r="K78" s="24"/>
      <c r="L78" s="24"/>
      <c r="M78" s="24"/>
      <c r="N78" s="24"/>
      <c r="O78" s="24"/>
      <c r="P78" s="24"/>
      <c r="Q78" s="24"/>
      <c r="R78" s="24"/>
      <c r="S78" s="24"/>
      <c r="T78" s="24"/>
      <c r="U78" s="24"/>
      <c r="V78" s="24"/>
    </row>
    <row r="79" spans="1:61" ht="14.25" hidden="1" customHeight="1" x14ac:dyDescent="0.2">
      <c r="A79" s="8"/>
      <c r="B79" s="26"/>
      <c r="C79" s="26"/>
      <c r="D79" s="26"/>
      <c r="E79" s="26"/>
      <c r="F79" s="26"/>
      <c r="G79" s="26"/>
      <c r="H79" s="26"/>
      <c r="I79" s="3"/>
      <c r="J79" s="46"/>
      <c r="K79" s="24"/>
      <c r="L79" s="24"/>
      <c r="M79" s="24"/>
      <c r="N79" s="24"/>
      <c r="O79" s="24"/>
      <c r="P79" s="24"/>
      <c r="Q79" s="24"/>
      <c r="R79" s="24"/>
      <c r="S79" s="24"/>
      <c r="T79" s="24"/>
      <c r="U79" s="24"/>
      <c r="V79" s="24"/>
    </row>
    <row r="80" spans="1:61" ht="14.25" hidden="1" customHeight="1" x14ac:dyDescent="0.2">
      <c r="A80" s="9"/>
      <c r="B80" s="26"/>
      <c r="C80" s="26"/>
      <c r="D80" s="26"/>
      <c r="E80" s="26"/>
      <c r="F80" s="26"/>
      <c r="G80" s="26"/>
      <c r="H80" s="26"/>
      <c r="I80" s="3"/>
      <c r="J80" s="46"/>
      <c r="K80" s="24"/>
      <c r="L80" s="24"/>
      <c r="M80" s="24"/>
      <c r="N80" s="24"/>
      <c r="O80" s="24"/>
      <c r="P80" s="24"/>
      <c r="Q80" s="24"/>
      <c r="R80" s="24"/>
      <c r="S80" s="24"/>
      <c r="T80" s="24"/>
      <c r="U80" s="24"/>
      <c r="V80" s="24"/>
    </row>
    <row r="81" spans="1:61" ht="14.25" hidden="1" customHeight="1" x14ac:dyDescent="0.2">
      <c r="A81" s="8"/>
      <c r="B81" s="26"/>
      <c r="C81" s="26"/>
      <c r="D81" s="26"/>
      <c r="E81" s="26"/>
      <c r="F81" s="26"/>
      <c r="G81" s="26"/>
      <c r="H81" s="26"/>
      <c r="I81" s="3"/>
      <c r="J81" s="46"/>
      <c r="K81" s="24"/>
      <c r="L81" s="24"/>
      <c r="M81" s="24"/>
      <c r="N81" s="24"/>
      <c r="O81" s="24"/>
      <c r="P81" s="24"/>
      <c r="Q81" s="24"/>
      <c r="R81" s="24"/>
      <c r="S81" s="24"/>
      <c r="T81" s="24"/>
      <c r="U81" s="24"/>
      <c r="V81" s="24"/>
    </row>
    <row r="82" spans="1:61" ht="14.25" hidden="1" customHeight="1" x14ac:dyDescent="0.2">
      <c r="A82" s="9"/>
      <c r="B82" s="26"/>
      <c r="C82" s="26"/>
      <c r="D82" s="26"/>
      <c r="E82" s="26"/>
      <c r="F82" s="26"/>
      <c r="G82" s="26"/>
      <c r="H82" s="26"/>
      <c r="I82" s="3"/>
      <c r="J82" s="46"/>
      <c r="K82" s="24"/>
      <c r="L82" s="24"/>
      <c r="M82" s="24"/>
      <c r="N82" s="24"/>
      <c r="O82" s="24"/>
      <c r="P82" s="24"/>
      <c r="Q82" s="24"/>
      <c r="R82" s="24"/>
      <c r="S82" s="24"/>
      <c r="T82" s="24"/>
      <c r="U82" s="24"/>
      <c r="V82" s="24"/>
    </row>
    <row r="83" spans="1:61" ht="14.25" hidden="1" customHeight="1" x14ac:dyDescent="0.2">
      <c r="A83" s="8"/>
      <c r="B83" s="26"/>
      <c r="C83" s="26"/>
      <c r="D83" s="26"/>
      <c r="E83" s="26"/>
      <c r="F83" s="26"/>
      <c r="G83" s="26"/>
      <c r="H83" s="26"/>
      <c r="I83" s="3"/>
      <c r="J83" s="46"/>
      <c r="K83" s="24"/>
      <c r="L83" s="24"/>
      <c r="M83" s="24"/>
      <c r="N83" s="24"/>
      <c r="O83" s="24"/>
      <c r="P83" s="24"/>
      <c r="Q83" s="24"/>
      <c r="R83" s="24"/>
      <c r="S83" s="24"/>
      <c r="T83" s="24"/>
      <c r="U83" s="24"/>
      <c r="V83" s="24"/>
    </row>
    <row r="84" spans="1:61" ht="14.25" hidden="1" customHeight="1" x14ac:dyDescent="0.2">
      <c r="A84" s="9"/>
      <c r="B84" s="26"/>
      <c r="C84" s="26"/>
      <c r="D84" s="26"/>
      <c r="E84" s="26"/>
      <c r="F84" s="26"/>
      <c r="G84" s="26"/>
      <c r="H84" s="26"/>
      <c r="I84" s="3"/>
      <c r="J84" s="46"/>
      <c r="K84" s="25"/>
      <c r="L84" s="25"/>
      <c r="M84" s="25"/>
      <c r="N84" s="25"/>
      <c r="O84" s="25"/>
      <c r="P84" s="25"/>
      <c r="Q84" s="25"/>
      <c r="R84" s="25"/>
      <c r="S84" s="25"/>
      <c r="T84" s="25"/>
      <c r="U84" s="25"/>
      <c r="V84" s="25"/>
    </row>
    <row r="85" spans="1:61" ht="14.25" hidden="1" customHeight="1" x14ac:dyDescent="0.2">
      <c r="A85" s="8"/>
      <c r="B85" s="26"/>
      <c r="C85" s="26"/>
      <c r="D85" s="26"/>
      <c r="E85" s="26"/>
      <c r="F85" s="26"/>
      <c r="G85" s="26"/>
      <c r="H85" s="26"/>
      <c r="I85" s="3"/>
      <c r="J85" s="46"/>
      <c r="K85" s="28" t="b">
        <f>IF($K$62&gt;0,$BD$13)</f>
      </c>
      <c r="L85" s="21">
        <f>IF(K85&gt;0,IF(K85=FALSE,,$BD$14))</f>
      </c>
      <c r="M85" s="21">
        <f>IF(L85&gt;0,IF(L85=FALSE,,$BD$15),0)</f>
      </c>
      <c r="N85" s="21">
        <f>IF(M85&gt;0,IF(M85=FALSE,,$BD$16),0)</f>
      </c>
      <c r="O85" s="21">
        <f>IF($K$62=0,,IF($K$116=0,IF($K$62&gt;0,$BD$29),$BD$37))</f>
      </c>
      <c r="P85" s="21">
        <f>IF($K$62=0,,IF($K$116=0,IF($K$62&gt;0,$BD$30),$BD$38))</f>
      </c>
      <c r="Q85" s="21">
        <f>IF($K$62=0,,IF($K$116=0,IF($K$62&gt;0,$BD$31),$BD$39))</f>
      </c>
      <c r="R85" s="21">
        <f>IF($K$62=0,,IF($K$116=0,IF($K$62&gt;0,$BD$32),$BD$40))</f>
      </c>
      <c r="S85" s="21">
        <f>IF($K$62=0,,IF($K$116=0,IF($K$62&gt;0,$BD$45),$BD$61))</f>
      </c>
      <c r="T85" s="21">
        <f>IF($K$62=0,,IF($K$116=0,IF($K$62&gt;0,$BD$46),$BD$62))</f>
      </c>
      <c r="U85" s="21">
        <f>IF($K$62=0,,IF($K$116=0,IF($K$62&gt;0,$BD$47),$BD$63))</f>
      </c>
      <c r="V85" s="21">
        <f>IF($K$62=0,,IF($K$116=0,IF($K$62&gt;0,$BD$48),$BD$64))</f>
      </c>
    </row>
    <row r="86" spans="1:61" ht="14.25" hidden="1" customHeight="1" x14ac:dyDescent="0.2">
      <c r="A86" s="9"/>
      <c r="B86" s="26"/>
      <c r="C86" s="26"/>
      <c r="D86" s="26"/>
      <c r="E86" s="26"/>
      <c r="F86" s="26"/>
      <c r="G86" s="26"/>
      <c r="H86" s="26"/>
      <c r="I86" s="3"/>
      <c r="J86" s="46"/>
      <c r="K86" s="28"/>
      <c r="L86" s="21"/>
      <c r="M86" s="21"/>
      <c r="N86" s="21"/>
      <c r="O86" s="21"/>
      <c r="P86" s="21"/>
      <c r="Q86" s="21"/>
      <c r="R86" s="21"/>
      <c r="S86" s="21"/>
      <c r="T86" s="21"/>
      <c r="U86" s="21"/>
      <c r="V86" s="21"/>
    </row>
    <row r="87" spans="1:61" ht="14.25" hidden="1" customHeight="1" x14ac:dyDescent="0.2">
      <c r="A87" s="12"/>
      <c r="B87" s="13"/>
      <c r="C87" s="13"/>
      <c r="D87" s="13"/>
      <c r="E87" s="13"/>
      <c r="F87" s="13"/>
      <c r="G87" s="13"/>
      <c r="H87" s="13"/>
      <c r="I87" s="11"/>
      <c r="K87" s="11">
        <f>IF(K85&gt;0,IF(K85 = FALSE,,N64+1))</f>
      </c>
      <c r="L87" s="11" t="b">
        <f>IF(L85&gt;0,K87+1)</f>
      </c>
      <c r="M87" s="11" t="b">
        <f>IF(M85&gt;0,L87+1)</f>
      </c>
      <c r="N87" s="11" t="b">
        <f>IF(N85&gt;0,M87+1)</f>
      </c>
      <c r="O87" s="11" t="b">
        <f>IF(O85&gt;0,R64+1)</f>
      </c>
      <c r="P87" s="11" t="b">
        <f>IF(P85&gt;0,O87+1)</f>
      </c>
      <c r="Q87" s="11" t="b">
        <f t="shared" ref="Q87:R87" si="15">IF(Q85&gt;0,P87+1)</f>
      </c>
      <c r="R87" s="11" t="b">
        <f t="shared" si="15"/>
      </c>
      <c r="S87" s="11" t="b">
        <f>IF(S85&gt;0,V64+1)</f>
      </c>
      <c r="T87" s="11" t="b">
        <f>IF(T85&gt;0,S87+1)</f>
      </c>
      <c r="U87" s="11" t="b">
        <f t="shared" ref="U87:V87" si="16">IF(U85&gt;0,T87+1)</f>
      </c>
      <c r="V87" s="11" t="b">
        <f t="shared" si="16"/>
      </c>
    </row>
    <row r="88" spans="1:61" ht="14.25" hidden="1" customHeight="1" x14ac:dyDescent="0.2">
      <c r="A88" s="12"/>
      <c r="B88" s="13"/>
      <c r="C88" s="13"/>
      <c r="D88" s="13"/>
      <c r="E88" s="13"/>
      <c r="F88" s="13"/>
      <c r="G88" s="13"/>
      <c r="H88" s="13"/>
      <c r="I88" s="11"/>
      <c r="K88" s="11" t="str">
        <f>"C:\Users\origr\Pictures\"&amp;K87&amp;".jpg"</f>
      </c>
      <c r="L88" s="11" t="str">
        <f t="shared" ref="L88:V88" si="17">"C:\Users\origr\Pictures\"&amp;L87&amp;".jpg"</f>
      </c>
      <c r="M88" s="11" t="str">
        <f t="shared" si="17"/>
      </c>
      <c r="N88" s="11" t="str">
        <f t="shared" si="17"/>
      </c>
      <c r="O88" s="11" t="str">
        <f t="shared" si="17"/>
      </c>
      <c r="P88" s="11" t="str">
        <f t="shared" si="17"/>
      </c>
      <c r="Q88" s="11" t="str">
        <f t="shared" si="17"/>
      </c>
      <c r="R88" s="11" t="str">
        <f t="shared" si="17"/>
      </c>
      <c r="S88" s="11" t="str">
        <f t="shared" si="17"/>
      </c>
      <c r="T88" s="11" t="str">
        <f t="shared" si="17"/>
      </c>
      <c r="U88" s="11" t="str">
        <f t="shared" si="17"/>
      </c>
      <c r="V88" s="11" t="str">
        <f t="shared" si="17"/>
      </c>
    </row>
    <row r="89" spans="1:61" ht="14.25" hidden="1" customHeight="1" x14ac:dyDescent="0.2">
      <c r="A89" s="12"/>
      <c r="B89" s="13"/>
      <c r="C89" s="13"/>
      <c r="D89" s="13"/>
      <c r="E89" s="13"/>
      <c r="F89" s="13"/>
      <c r="G89" s="13"/>
      <c r="H89" s="13"/>
      <c r="I89" s="11"/>
      <c r="K89" s="11" t="str">
        <f>K88</f>
      </c>
      <c r="L89" s="11" t="str">
        <f t="shared" ref="L89:V90" si="18">L88</f>
      </c>
      <c r="M89" s="11" t="str">
        <f t="shared" si="18"/>
      </c>
      <c r="N89" s="11" t="str">
        <f t="shared" si="18"/>
      </c>
      <c r="O89" s="11" t="str">
        <f t="shared" si="18"/>
      </c>
      <c r="P89" s="11" t="str">
        <f t="shared" si="18"/>
      </c>
      <c r="Q89" s="11" t="str">
        <f t="shared" si="18"/>
      </c>
      <c r="R89" s="11" t="str">
        <f t="shared" si="18"/>
      </c>
      <c r="S89" s="11" t="str">
        <f t="shared" si="18"/>
      </c>
      <c r="T89" s="11" t="str">
        <f t="shared" si="18"/>
      </c>
      <c r="U89" s="11" t="str">
        <f t="shared" si="18"/>
      </c>
      <c r="V89" s="11" t="str">
        <f t="shared" si="18"/>
      </c>
    </row>
    <row r="90" spans="1:61" ht="14.25" hidden="1" customHeight="1" x14ac:dyDescent="0.2">
      <c r="A90" s="9"/>
      <c r="B90" s="26"/>
      <c r="C90" s="26"/>
      <c r="D90" s="26"/>
      <c r="E90" s="26"/>
      <c r="F90" s="26"/>
      <c r="G90" s="26"/>
      <c r="H90" s="26"/>
      <c r="I90" s="3"/>
      <c r="J90" s="46"/>
      <c r="K90" s="22" t="str">
        <f>K89</f>
      </c>
      <c r="L90" s="22" t="str">
        <f t="shared" si="18"/>
      </c>
      <c r="M90" s="22" t="str">
        <f t="shared" si="18"/>
      </c>
      <c r="N90" s="22" t="str">
        <f t="shared" si="18"/>
      </c>
      <c r="O90" s="23" t="str">
        <f t="shared" si="18"/>
      </c>
      <c r="P90" s="23" t="str">
        <f t="shared" si="18"/>
      </c>
      <c r="Q90" s="23" t="str">
        <f t="shared" si="18"/>
      </c>
      <c r="R90" s="23" t="str">
        <f t="shared" si="18"/>
      </c>
      <c r="S90" s="23" t="str">
        <f t="shared" si="18"/>
      </c>
      <c r="T90" s="23" t="str">
        <f t="shared" si="18"/>
      </c>
      <c r="U90" s="23" t="str">
        <f t="shared" si="18"/>
      </c>
      <c r="V90" s="23" t="str">
        <f t="shared" si="18"/>
      </c>
    </row>
    <row r="91" spans="1:61" ht="14.25" hidden="1" customHeight="1" x14ac:dyDescent="0.2">
      <c r="A91" s="9"/>
      <c r="B91" s="26"/>
      <c r="C91" s="26"/>
      <c r="D91" s="26"/>
      <c r="E91" s="26"/>
      <c r="F91" s="26"/>
      <c r="G91" s="26"/>
      <c r="H91" s="26"/>
      <c r="I91" s="3"/>
      <c r="J91" s="46"/>
      <c r="K91" s="22"/>
      <c r="L91" s="22"/>
      <c r="M91" s="22"/>
      <c r="N91" s="22"/>
      <c r="O91" s="24"/>
      <c r="P91" s="24"/>
      <c r="Q91" s="24"/>
      <c r="R91" s="24"/>
      <c r="S91" s="24"/>
      <c r="T91" s="24"/>
      <c r="U91" s="24"/>
      <c r="V91" s="24"/>
    </row>
    <row r="92" spans="1:61" ht="14.25" hidden="1" customHeight="1" x14ac:dyDescent="0.2">
      <c r="A92" s="9"/>
      <c r="B92" s="26"/>
      <c r="C92" s="26"/>
      <c r="D92" s="26"/>
      <c r="E92" s="26"/>
      <c r="F92" s="26"/>
      <c r="G92" s="26"/>
      <c r="H92" s="26"/>
      <c r="I92" s="3"/>
      <c r="J92" s="46"/>
      <c r="K92" s="22"/>
      <c r="L92" s="22"/>
      <c r="M92" s="22"/>
      <c r="N92" s="22"/>
      <c r="O92" s="24"/>
      <c r="P92" s="24"/>
      <c r="Q92" s="24"/>
      <c r="R92" s="24"/>
      <c r="S92" s="24"/>
      <c r="T92" s="24"/>
      <c r="U92" s="24"/>
      <c r="V92" s="24"/>
    </row>
    <row r="93" spans="1:61" ht="14.25" hidden="1" customHeight="1" x14ac:dyDescent="0.2">
      <c r="A93" s="9"/>
      <c r="B93" s="26"/>
      <c r="C93" s="26"/>
      <c r="D93" s="26"/>
      <c r="E93" s="26"/>
      <c r="F93" s="26"/>
      <c r="G93" s="26"/>
      <c r="H93" s="26"/>
      <c r="I93" s="3"/>
      <c r="J93" s="46"/>
      <c r="K93" s="22"/>
      <c r="L93" s="22"/>
      <c r="M93" s="22"/>
      <c r="N93" s="22"/>
      <c r="O93" s="24"/>
      <c r="P93" s="24"/>
      <c r="Q93" s="24"/>
      <c r="R93" s="24"/>
      <c r="S93" s="24"/>
      <c r="T93" s="24"/>
      <c r="U93" s="24"/>
      <c r="V93" s="24"/>
    </row>
    <row r="94" spans="1:61" ht="14.25" hidden="1" customHeight="1" x14ac:dyDescent="0.2">
      <c r="A94" s="9"/>
      <c r="B94" s="26"/>
      <c r="C94" s="26"/>
      <c r="D94" s="26"/>
      <c r="E94" s="26"/>
      <c r="F94" s="26"/>
      <c r="G94" s="26"/>
      <c r="H94" s="26"/>
      <c r="I94" s="3"/>
      <c r="J94" s="46"/>
      <c r="K94" s="22"/>
      <c r="L94" s="22"/>
      <c r="M94" s="22"/>
      <c r="N94" s="22"/>
      <c r="O94" s="24"/>
      <c r="P94" s="24"/>
      <c r="Q94" s="24"/>
      <c r="R94" s="24"/>
      <c r="S94" s="24"/>
      <c r="T94" s="24"/>
      <c r="U94" s="24"/>
      <c r="V94" s="24"/>
    </row>
    <row r="95" spans="1:61" ht="14.25" hidden="1" customHeight="1" x14ac:dyDescent="0.2">
      <c r="A95" s="9"/>
      <c r="B95" s="26"/>
      <c r="C95" s="26"/>
      <c r="D95" s="26"/>
      <c r="E95" s="26"/>
      <c r="F95" s="26"/>
      <c r="G95" s="26"/>
      <c r="H95" s="26"/>
      <c r="I95" s="3"/>
      <c r="J95" s="46"/>
      <c r="K95" s="22"/>
      <c r="L95" s="22"/>
      <c r="M95" s="22"/>
      <c r="N95" s="22"/>
      <c r="O95" s="24"/>
      <c r="P95" s="24"/>
      <c r="Q95" s="24"/>
      <c r="R95" s="24"/>
      <c r="S95" s="24"/>
      <c r="T95" s="24"/>
      <c r="U95" s="24"/>
      <c r="V95" s="24"/>
    </row>
    <row r="96" spans="1:61" ht="14.25" hidden="1" customHeight="1" x14ac:dyDescent="0.2">
      <c r="A96" s="9"/>
      <c r="B96" s="26"/>
      <c r="C96" s="26"/>
      <c r="D96" s="26"/>
      <c r="E96" s="26"/>
      <c r="F96" s="26"/>
      <c r="G96" s="26"/>
      <c r="H96" s="26"/>
      <c r="I96" s="3"/>
      <c r="J96" s="46"/>
      <c r="K96" s="22"/>
      <c r="L96" s="22"/>
      <c r="M96" s="22"/>
      <c r="N96" s="22"/>
      <c r="O96" s="24"/>
      <c r="P96" s="24"/>
      <c r="Q96" s="24"/>
      <c r="R96" s="24"/>
      <c r="S96" s="24"/>
      <c r="T96" s="24"/>
      <c r="U96" s="24"/>
      <c r="V96" s="24"/>
    </row>
    <row r="97" spans="1:61" ht="14.25" hidden="1" customHeight="1" x14ac:dyDescent="0.2">
      <c r="A97" s="9"/>
      <c r="B97" s="26"/>
      <c r="C97" s="26"/>
      <c r="D97" s="26"/>
      <c r="E97" s="26"/>
      <c r="F97" s="26"/>
      <c r="G97" s="26"/>
      <c r="H97" s="26"/>
      <c r="I97" s="3"/>
      <c r="J97" s="46"/>
      <c r="K97" s="22"/>
      <c r="L97" s="22"/>
      <c r="M97" s="22"/>
      <c r="N97" s="22"/>
      <c r="O97" s="24"/>
      <c r="P97" s="24"/>
      <c r="Q97" s="24"/>
      <c r="R97" s="24"/>
      <c r="S97" s="24"/>
      <c r="T97" s="24"/>
      <c r="U97" s="24"/>
      <c r="V97" s="24"/>
    </row>
    <row r="98" spans="1:61" ht="14.25" hidden="1" customHeight="1" x14ac:dyDescent="0.2">
      <c r="A98" s="9"/>
      <c r="B98" s="26"/>
      <c r="C98" s="26"/>
      <c r="D98" s="26"/>
      <c r="E98" s="26"/>
      <c r="F98" s="26"/>
      <c r="G98" s="26"/>
      <c r="H98" s="26"/>
      <c r="I98" s="3"/>
      <c r="J98" s="46"/>
      <c r="K98" s="22"/>
      <c r="L98" s="22"/>
      <c r="M98" s="22"/>
      <c r="N98" s="22"/>
      <c r="O98" s="24"/>
      <c r="P98" s="24"/>
      <c r="Q98" s="24"/>
      <c r="R98" s="24"/>
      <c r="S98" s="24"/>
      <c r="T98" s="24"/>
      <c r="U98" s="24"/>
      <c r="V98" s="24"/>
    </row>
    <row r="99" spans="1:61" ht="14.25" hidden="1" customHeight="1" x14ac:dyDescent="0.2">
      <c r="A99" s="9"/>
      <c r="B99" s="26"/>
      <c r="C99" s="26"/>
      <c r="D99" s="26"/>
      <c r="E99" s="26"/>
      <c r="F99" s="26"/>
      <c r="G99" s="26"/>
      <c r="H99" s="26"/>
      <c r="I99" s="3"/>
      <c r="J99" s="46"/>
      <c r="K99" s="22"/>
      <c r="L99" s="22"/>
      <c r="M99" s="22"/>
      <c r="N99" s="22"/>
      <c r="O99" s="24"/>
      <c r="P99" s="24"/>
      <c r="Q99" s="24"/>
      <c r="R99" s="24"/>
      <c r="S99" s="24"/>
      <c r="T99" s="24"/>
      <c r="U99" s="24"/>
      <c r="V99" s="24"/>
    </row>
    <row r="100" spans="1:61" ht="14.25" hidden="1" customHeight="1" x14ac:dyDescent="0.2">
      <c r="A100" s="9"/>
      <c r="B100" s="26"/>
      <c r="C100" s="26"/>
      <c r="D100" s="26"/>
      <c r="E100" s="26"/>
      <c r="F100" s="26"/>
      <c r="G100" s="26"/>
      <c r="H100" s="26"/>
      <c r="I100" s="3"/>
      <c r="J100" s="46"/>
      <c r="K100" s="22"/>
      <c r="L100" s="22"/>
      <c r="M100" s="22"/>
      <c r="N100" s="22"/>
      <c r="O100" s="24"/>
      <c r="P100" s="24"/>
      <c r="Q100" s="24"/>
      <c r="R100" s="24"/>
      <c r="S100" s="24"/>
      <c r="T100" s="24"/>
      <c r="U100" s="24"/>
      <c r="V100" s="24"/>
    </row>
    <row r="101" spans="1:61" ht="14.25" hidden="1" customHeight="1" x14ac:dyDescent="0.2">
      <c r="A101" s="9"/>
      <c r="B101" s="26"/>
      <c r="C101" s="26"/>
      <c r="D101" s="26"/>
      <c r="E101" s="26"/>
      <c r="F101" s="26"/>
      <c r="G101" s="26"/>
      <c r="H101" s="26"/>
      <c r="I101" s="3"/>
      <c r="J101" s="46"/>
      <c r="K101" s="22"/>
      <c r="L101" s="22"/>
      <c r="M101" s="22"/>
      <c r="N101" s="22"/>
      <c r="O101" s="24"/>
      <c r="P101" s="24"/>
      <c r="Q101" s="24"/>
      <c r="R101" s="24"/>
      <c r="S101" s="24"/>
      <c r="T101" s="24"/>
      <c r="U101" s="24"/>
      <c r="V101" s="24"/>
    </row>
    <row r="102" spans="1:61" ht="14.25" hidden="1" customHeight="1" x14ac:dyDescent="0.2">
      <c r="A102" s="9"/>
      <c r="B102" s="26"/>
      <c r="C102" s="26"/>
      <c r="D102" s="26"/>
      <c r="E102" s="26"/>
      <c r="F102" s="26"/>
      <c r="G102" s="26"/>
      <c r="H102" s="26"/>
      <c r="I102" s="3"/>
      <c r="J102" s="46"/>
      <c r="K102" s="22"/>
      <c r="L102" s="22"/>
      <c r="M102" s="22"/>
      <c r="N102" s="22"/>
      <c r="O102" s="24"/>
      <c r="P102" s="24"/>
      <c r="Q102" s="24"/>
      <c r="R102" s="24"/>
      <c r="S102" s="24"/>
      <c r="T102" s="24"/>
      <c r="U102" s="24"/>
      <c r="V102" s="24"/>
    </row>
    <row r="103" spans="1:61" ht="14.25" hidden="1" customHeight="1" x14ac:dyDescent="0.2">
      <c r="A103" s="9"/>
      <c r="B103" s="26"/>
      <c r="C103" s="26"/>
      <c r="D103" s="26"/>
      <c r="E103" s="26"/>
      <c r="F103" s="26"/>
      <c r="G103" s="26"/>
      <c r="H103" s="26"/>
      <c r="I103" s="3"/>
      <c r="J103" s="46"/>
      <c r="K103" s="22"/>
      <c r="L103" s="22"/>
      <c r="M103" s="22"/>
      <c r="N103" s="22"/>
      <c r="O103" s="24"/>
      <c r="P103" s="24"/>
      <c r="Q103" s="24"/>
      <c r="R103" s="24"/>
      <c r="S103" s="24"/>
      <c r="T103" s="24"/>
      <c r="U103" s="24"/>
      <c r="V103" s="24"/>
    </row>
    <row r="104" spans="1:61" ht="14.25" hidden="1" customHeight="1" x14ac:dyDescent="0.2">
      <c r="A104" s="9"/>
      <c r="B104" s="26"/>
      <c r="C104" s="26"/>
      <c r="D104" s="26"/>
      <c r="E104" s="26"/>
      <c r="F104" s="26"/>
      <c r="G104" s="26"/>
      <c r="H104" s="26"/>
      <c r="I104" s="3"/>
      <c r="J104" s="46"/>
      <c r="K104" s="22"/>
      <c r="L104" s="22"/>
      <c r="M104" s="22"/>
      <c r="N104" s="22"/>
      <c r="O104" s="24"/>
      <c r="P104" s="24"/>
      <c r="Q104" s="24"/>
      <c r="R104" s="24"/>
      <c r="S104" s="24"/>
      <c r="T104" s="24"/>
      <c r="U104" s="24"/>
      <c r="V104" s="24"/>
    </row>
    <row r="105" spans="1:61" ht="14.25" hidden="1" customHeight="1" x14ac:dyDescent="0.2">
      <c r="A105" s="9"/>
      <c r="B105" s="26"/>
      <c r="C105" s="26"/>
      <c r="D105" s="26"/>
      <c r="E105" s="26"/>
      <c r="F105" s="26"/>
      <c r="G105" s="26"/>
      <c r="H105" s="26"/>
      <c r="I105" s="3"/>
      <c r="J105" s="46"/>
      <c r="K105" s="22"/>
      <c r="L105" s="22"/>
      <c r="M105" s="22"/>
      <c r="N105" s="22"/>
      <c r="O105" s="24"/>
      <c r="P105" s="24"/>
      <c r="Q105" s="24"/>
      <c r="R105" s="24"/>
      <c r="S105" s="24"/>
      <c r="T105" s="24"/>
      <c r="U105" s="24"/>
      <c r="V105" s="24"/>
    </row>
    <row r="106" spans="1:61" ht="14.25" hidden="1" customHeight="1" x14ac:dyDescent="0.2">
      <c r="A106" s="9"/>
      <c r="B106" s="26"/>
      <c r="C106" s="26"/>
      <c r="D106" s="26"/>
      <c r="E106" s="26"/>
      <c r="F106" s="26"/>
      <c r="G106" s="26"/>
      <c r="H106" s="26"/>
      <c r="I106" s="3"/>
      <c r="J106" s="46"/>
      <c r="K106" s="22"/>
      <c r="L106" s="22"/>
      <c r="M106" s="22"/>
      <c r="N106" s="22"/>
      <c r="O106" s="24"/>
      <c r="P106" s="24"/>
      <c r="Q106" s="24"/>
      <c r="R106" s="24"/>
      <c r="S106" s="24"/>
      <c r="T106" s="24"/>
      <c r="U106" s="24"/>
      <c r="V106" s="24"/>
    </row>
    <row r="107" spans="1:61" ht="14.25" hidden="1" customHeight="1" x14ac:dyDescent="0.2">
      <c r="A107" s="9"/>
      <c r="B107" s="26"/>
      <c r="C107" s="26"/>
      <c r="D107" s="26"/>
      <c r="E107" s="26"/>
      <c r="F107" s="26"/>
      <c r="G107" s="26"/>
      <c r="H107" s="26"/>
      <c r="I107" s="3"/>
      <c r="J107" s="46"/>
      <c r="K107" s="22"/>
      <c r="L107" s="22"/>
      <c r="M107" s="22"/>
      <c r="N107" s="22"/>
      <c r="O107" s="25"/>
      <c r="P107" s="25"/>
      <c r="Q107" s="25"/>
      <c r="R107" s="25"/>
      <c r="S107" s="25"/>
      <c r="T107" s="25"/>
      <c r="U107" s="25"/>
      <c r="V107" s="25"/>
    </row>
    <row r="108" spans="1:61" ht="14.25" hidden="1" customHeight="1" x14ac:dyDescent="0.2">
      <c r="K108" s="10"/>
      <c r="L108" s="10"/>
      <c r="M108" s="10"/>
      <c r="N108" s="10"/>
    </row>
    <row r="109" spans="1:61" ht="14.25" hidden="1" customHeight="1" x14ac:dyDescent="0.2">
      <c r="K109" s="10"/>
      <c r="L109" s="10"/>
      <c r="M109" s="10"/>
      <c r="N109" s="10"/>
    </row>
    <row r="110" spans="1:61" ht="14.25" hidden="1" customHeight="1" x14ac:dyDescent="0.2">
      <c r="K110" s="10"/>
      <c r="L110" s="10"/>
      <c r="M110" s="10"/>
      <c r="N110" s="10"/>
    </row>
    <row r="111" spans="1:61" ht="14.25" hidden="1" customHeight="1" x14ac:dyDescent="0.2">
      <c r="K111" s="10"/>
      <c r="L111" s="10"/>
      <c r="M111" s="10"/>
      <c r="N111" s="10"/>
    </row>
    <row r="112" spans="1:61" ht="14.25" hidden="1" customHeight="1" x14ac:dyDescent="0.2">
      <c r="K112" s="10"/>
      <c r="L112" s="10"/>
      <c r="M112" s="10"/>
      <c r="N112" s="10"/>
    </row>
    <row r="113" spans="1:61" ht="14.25" hidden="1" customHeight="1" x14ac:dyDescent="0.2">
      <c r="K113" s="10"/>
      <c r="L113" s="10"/>
      <c r="M113" s="10"/>
      <c r="N113" s="10"/>
    </row>
    <row r="114" spans="1:61" ht="15" hidden="1" customHeight="1" thickBot="1" x14ac:dyDescent="0.25">
      <c r="K114" s="10"/>
      <c r="L114" s="10"/>
      <c r="M114" s="10"/>
      <c r="N114" s="10"/>
    </row>
    <row r="115" spans="1:61" ht="14.25" hidden="1" customHeight="1" x14ac:dyDescent="0.2">
      <c r="A115" s="18" t="s">
        <v>14</v>
      </c>
      <c r="B115" s="27" t="s">
        <v>0</v>
      </c>
      <c r="C115" s="27"/>
      <c r="D115" s="27" t="s">
        <v>1</v>
      </c>
      <c r="E115" s="27"/>
      <c r="F115" s="27"/>
      <c r="G115" s="27"/>
      <c r="H115" s="27"/>
      <c r="I115" s="19" t="s">
        <v>7</v>
      </c>
    </row>
    <row r="116" spans="1:61" ht="14.25" hidden="1" customHeight="1" x14ac:dyDescent="0.2">
      <c r="A116" s="9"/>
      <c r="B116" s="26"/>
      <c r="C116" s="26"/>
      <c r="D116" s="26"/>
      <c r="E116" s="26"/>
      <c r="F116" s="26"/>
      <c r="G116" s="26"/>
      <c r="H116" s="26"/>
      <c r="I116" s="3"/>
      <c r="J116" s="46"/>
      <c r="K116" s="21">
        <f>IF($BD$63=0,,$BD$17)</f>
      </c>
      <c r="L116" s="21">
        <f>IF($K$116&gt;0,$BD$18,0)</f>
      </c>
      <c r="M116" s="21">
        <f>IF($K$116&gt;0,$BD$19,0)</f>
      </c>
      <c r="N116" s="21">
        <f>IF($K$116&gt;0,$BD$20,0)</f>
      </c>
      <c r="O116" s="21">
        <f>IF($K$116=0,,IF($K$116=0,IF($K$62&gt;0,$BD$33),$BD$41))</f>
      </c>
      <c r="P116" s="21">
        <f>IF($K$116=0,,IF($K$116=0,IF($K$62&gt;0,$BD$34),$BD$42))</f>
      </c>
      <c r="Q116" s="21">
        <f>IF($K$116=0,,IF($K$116=0,IF($K$62&gt;0,$BD$35),$BD$43))</f>
      </c>
      <c r="R116" s="21">
        <f>IF($K$116=0,,IF($K$116=0,IF($K$62&gt;0,$BD$36),$BD$44))</f>
      </c>
      <c r="S116" s="21">
        <f>IF($K$116=0,,IF($K$116=0,IF($K$62&gt;0,$BD$56),$BD$65))</f>
      </c>
      <c r="T116" s="21">
        <f>IF($K$116=0,,IF($K$116=0,IF($K$62&gt;0,$BD$57),$BD$66))</f>
      </c>
      <c r="U116" s="21">
        <f>IF($K$116=0,,IF($K$116=0,IF($K$62&gt;0,$BD$58),$BD$67))</f>
      </c>
      <c r="V116" s="21">
        <f>IF($K$116=0,,IF($K$116=0,IF($K$62&gt;0,$BD$59),$BD$68))</f>
      </c>
    </row>
    <row r="117" spans="1:61" ht="14.25" hidden="1" customHeight="1" x14ac:dyDescent="0.2">
      <c r="A117" s="9"/>
      <c r="B117" s="26"/>
      <c r="C117" s="26"/>
      <c r="D117" s="26"/>
      <c r="E117" s="26"/>
      <c r="F117" s="26"/>
      <c r="G117" s="26"/>
      <c r="H117" s="26"/>
      <c r="I117" s="3"/>
      <c r="J117" s="46"/>
      <c r="K117" s="21"/>
      <c r="L117" s="21"/>
      <c r="M117" s="21"/>
      <c r="N117" s="21"/>
      <c r="O117" s="21"/>
      <c r="P117" s="21"/>
      <c r="Q117" s="21"/>
      <c r="R117" s="21"/>
      <c r="S117" s="21"/>
      <c r="T117" s="21"/>
      <c r="U117" s="21"/>
      <c r="V117" s="21"/>
    </row>
    <row r="118" spans="1:61" ht="14.25" hidden="1" customHeight="1" x14ac:dyDescent="0.2">
      <c r="A118" s="12"/>
      <c r="B118" s="13"/>
      <c r="C118" s="13"/>
      <c r="D118" s="13"/>
      <c r="E118" s="13"/>
      <c r="F118" s="13"/>
      <c r="G118" s="13"/>
      <c r="H118" s="13"/>
      <c r="I118" s="11"/>
      <c r="K118" s="11" t="b">
        <f>IF(K116&gt;0,N87+1)</f>
      </c>
      <c r="L118" s="11" t="b">
        <f>IF(L116&gt;0,IF(L116 = FALSE,,K118+1))</f>
      </c>
      <c r="M118" s="11" t="b">
        <f t="shared" ref="M118:N118" si="19">IF(M116&gt;0,IF(M116 = FALSE,,L118+1))</f>
      </c>
      <c r="N118" s="11" t="b">
        <f t="shared" si="19"/>
      </c>
      <c r="O118" s="11" t="b">
        <f>IF(O116&gt;0,R87+1)</f>
      </c>
      <c r="P118" s="11" t="b">
        <f>IF(P116&gt;0,O118+1)</f>
      </c>
      <c r="Q118" s="11" t="b">
        <f t="shared" ref="Q118:R118" si="20">IF(Q116&gt;0,P118+1)</f>
      </c>
      <c r="R118" s="11" t="b">
        <f t="shared" si="20"/>
      </c>
      <c r="S118" s="11" t="b">
        <f>IF(S116&gt;0,V87+1)</f>
      </c>
      <c r="T118" s="11" t="b">
        <f>IF(T116&gt;0,S118+1)</f>
      </c>
      <c r="U118" s="11" t="b">
        <f t="shared" ref="U118:V118" si="21">IF(U116&gt;0,T118+1)</f>
      </c>
      <c r="V118" s="11" t="b">
        <f t="shared" si="21"/>
      </c>
    </row>
    <row r="119" spans="1:61" ht="14.25" hidden="1" customHeight="1" x14ac:dyDescent="0.2">
      <c r="A119" s="12"/>
      <c r="B119" s="13"/>
      <c r="C119" s="13"/>
      <c r="D119" s="13"/>
      <c r="E119" s="13"/>
      <c r="F119" s="13"/>
      <c r="G119" s="13"/>
      <c r="H119" s="13"/>
      <c r="I119" s="11"/>
      <c r="K119" s="11" t="str">
        <f>"C:\Users\origr\Pictures\"&amp;K118&amp;".jpg"</f>
      </c>
      <c r="L119" s="11" t="str">
        <f t="shared" ref="L119:V119" si="22">"C:\Users\origr\Pictures\"&amp;L118&amp;".jpg"</f>
      </c>
      <c r="M119" s="11" t="str">
        <f t="shared" si="22"/>
      </c>
      <c r="N119" s="11" t="str">
        <f t="shared" si="22"/>
      </c>
      <c r="O119" s="11" t="str">
        <f t="shared" si="22"/>
      </c>
      <c r="P119" s="11" t="str">
        <f t="shared" si="22"/>
      </c>
      <c r="Q119" s="11" t="str">
        <f t="shared" si="22"/>
      </c>
      <c r="R119" s="11" t="str">
        <f t="shared" si="22"/>
      </c>
      <c r="S119" s="11" t="str">
        <f t="shared" si="22"/>
      </c>
      <c r="T119" s="11" t="str">
        <f t="shared" si="22"/>
      </c>
      <c r="U119" s="11" t="str">
        <f t="shared" si="22"/>
      </c>
      <c r="V119" s="11" t="str">
        <f t="shared" si="22"/>
      </c>
    </row>
    <row r="120" spans="1:61" ht="14.25" hidden="1" customHeight="1" x14ac:dyDescent="0.2">
      <c r="A120" s="12"/>
      <c r="B120" s="13"/>
      <c r="C120" s="13"/>
      <c r="D120" s="13"/>
      <c r="E120" s="13"/>
      <c r="F120" s="13"/>
      <c r="G120" s="13"/>
      <c r="H120" s="13"/>
      <c r="I120" s="11"/>
      <c r="K120" s="11" t="str">
        <f>K119</f>
      </c>
      <c r="L120" s="11" t="str">
        <f t="shared" ref="L120:V121" si="23">L119</f>
      </c>
      <c r="M120" s="11" t="str">
        <f t="shared" si="23"/>
      </c>
      <c r="N120" s="11" t="str">
        <f t="shared" si="23"/>
      </c>
      <c r="O120" s="11" t="str">
        <f t="shared" si="23"/>
      </c>
      <c r="P120" s="11" t="str">
        <f t="shared" si="23"/>
      </c>
      <c r="Q120" s="11" t="str">
        <f t="shared" si="23"/>
      </c>
      <c r="R120" s="11" t="str">
        <f t="shared" si="23"/>
      </c>
      <c r="S120" s="11" t="str">
        <f t="shared" si="23"/>
      </c>
      <c r="T120" s="11" t="str">
        <f t="shared" si="23"/>
      </c>
      <c r="U120" s="11" t="str">
        <f t="shared" si="23"/>
      </c>
      <c r="V120" s="11" t="str">
        <f t="shared" si="23"/>
      </c>
    </row>
    <row r="121" spans="1:61" ht="14.25" hidden="1" customHeight="1" x14ac:dyDescent="0.2">
      <c r="A121" s="9"/>
      <c r="B121" s="26"/>
      <c r="C121" s="26"/>
      <c r="D121" s="26"/>
      <c r="E121" s="26"/>
      <c r="F121" s="26"/>
      <c r="G121" s="26"/>
      <c r="H121" s="26"/>
      <c r="I121" s="3"/>
      <c r="J121" s="46"/>
      <c r="K121" s="22" t="str">
        <f>K120</f>
      </c>
      <c r="L121" s="22" t="str">
        <f t="shared" si="23"/>
      </c>
      <c r="M121" s="22" t="str">
        <f t="shared" si="23"/>
      </c>
      <c r="N121" s="22" t="str">
        <f t="shared" si="23"/>
      </c>
      <c r="O121" s="22" t="str">
        <f t="shared" si="23"/>
      </c>
      <c r="P121" s="22" t="str">
        <f t="shared" si="23"/>
      </c>
      <c r="Q121" s="22" t="str">
        <f t="shared" si="23"/>
      </c>
      <c r="R121" s="22" t="str">
        <f t="shared" si="23"/>
      </c>
      <c r="S121" s="22" t="str">
        <f t="shared" si="23"/>
      </c>
      <c r="T121" s="22" t="str">
        <f t="shared" si="23"/>
      </c>
      <c r="U121" s="22" t="str">
        <f t="shared" si="23"/>
      </c>
      <c r="V121" s="22" t="str">
        <f t="shared" si="23"/>
      </c>
    </row>
    <row r="122" spans="1:61" ht="14.25" hidden="1" customHeight="1" x14ac:dyDescent="0.2">
      <c r="A122" s="9"/>
      <c r="B122" s="26"/>
      <c r="C122" s="26"/>
      <c r="D122" s="26"/>
      <c r="E122" s="26"/>
      <c r="F122" s="26"/>
      <c r="G122" s="26"/>
      <c r="H122" s="26"/>
      <c r="I122" s="3"/>
      <c r="J122" s="46"/>
      <c r="K122" s="22"/>
      <c r="L122" s="22"/>
      <c r="M122" s="22"/>
      <c r="N122" s="22"/>
      <c r="O122" s="22"/>
      <c r="P122" s="22"/>
      <c r="Q122" s="22"/>
      <c r="R122" s="22"/>
      <c r="S122" s="22"/>
      <c r="T122" s="22"/>
      <c r="U122" s="22"/>
      <c r="V122" s="22"/>
    </row>
    <row r="123" spans="1:61" ht="14.25" hidden="1" customHeight="1" x14ac:dyDescent="0.2">
      <c r="A123" s="9"/>
      <c r="B123" s="26"/>
      <c r="C123" s="26"/>
      <c r="D123" s="26"/>
      <c r="E123" s="26"/>
      <c r="F123" s="26"/>
      <c r="G123" s="26"/>
      <c r="H123" s="26"/>
      <c r="I123" s="3"/>
      <c r="J123" s="46"/>
      <c r="K123" s="22"/>
      <c r="L123" s="22"/>
      <c r="M123" s="22"/>
      <c r="N123" s="22"/>
      <c r="O123" s="22"/>
      <c r="P123" s="22"/>
      <c r="Q123" s="22"/>
      <c r="R123" s="22"/>
      <c r="S123" s="22"/>
      <c r="T123" s="22"/>
      <c r="U123" s="22"/>
      <c r="V123" s="22"/>
    </row>
    <row r="124" spans="1:61" ht="14.25" hidden="1" customHeight="1" x14ac:dyDescent="0.2">
      <c r="A124" s="9"/>
      <c r="B124" s="26"/>
      <c r="C124" s="26"/>
      <c r="D124" s="26"/>
      <c r="E124" s="26"/>
      <c r="F124" s="26"/>
      <c r="G124" s="26"/>
      <c r="H124" s="26"/>
      <c r="I124" s="3"/>
      <c r="J124" s="46"/>
      <c r="K124" s="22"/>
      <c r="L124" s="22"/>
      <c r="M124" s="22"/>
      <c r="N124" s="22"/>
      <c r="O124" s="22"/>
      <c r="P124" s="22"/>
      <c r="Q124" s="22"/>
      <c r="R124" s="22"/>
      <c r="S124" s="22"/>
      <c r="T124" s="22"/>
      <c r="U124" s="22"/>
      <c r="V124" s="22"/>
    </row>
    <row r="125" spans="1:61" ht="14.25" hidden="1" customHeight="1" x14ac:dyDescent="0.2">
      <c r="A125" s="9"/>
      <c r="B125" s="26"/>
      <c r="C125" s="26"/>
      <c r="D125" s="26"/>
      <c r="E125" s="26"/>
      <c r="F125" s="26"/>
      <c r="G125" s="26"/>
      <c r="H125" s="26"/>
      <c r="I125" s="3"/>
      <c r="J125" s="46"/>
      <c r="K125" s="22"/>
      <c r="L125" s="22"/>
      <c r="M125" s="22"/>
      <c r="N125" s="22"/>
      <c r="O125" s="22"/>
      <c r="P125" s="22"/>
      <c r="Q125" s="22"/>
      <c r="R125" s="22"/>
      <c r="S125" s="22"/>
      <c r="T125" s="22"/>
      <c r="U125" s="22"/>
      <c r="V125" s="22"/>
    </row>
    <row r="126" spans="1:61" ht="14.25" hidden="1" customHeight="1" x14ac:dyDescent="0.2">
      <c r="A126" s="9"/>
      <c r="B126" s="26"/>
      <c r="C126" s="26"/>
      <c r="D126" s="26"/>
      <c r="E126" s="26"/>
      <c r="F126" s="26"/>
      <c r="G126" s="26"/>
      <c r="H126" s="26"/>
      <c r="I126" s="3"/>
      <c r="J126" s="46"/>
      <c r="K126" s="22"/>
      <c r="L126" s="22"/>
      <c r="M126" s="22"/>
      <c r="N126" s="22"/>
      <c r="O126" s="22"/>
      <c r="P126" s="22"/>
      <c r="Q126" s="22"/>
      <c r="R126" s="22"/>
      <c r="S126" s="22"/>
      <c r="T126" s="22"/>
      <c r="U126" s="22"/>
      <c r="V126" s="22"/>
    </row>
    <row r="127" spans="1:61" ht="14.25" hidden="1" customHeight="1" x14ac:dyDescent="0.2">
      <c r="A127" s="9"/>
      <c r="B127" s="26"/>
      <c r="C127" s="26"/>
      <c r="D127" s="26"/>
      <c r="E127" s="26"/>
      <c r="F127" s="26"/>
      <c r="G127" s="26"/>
      <c r="H127" s="26"/>
      <c r="I127" s="3"/>
      <c r="J127" s="46"/>
      <c r="K127" s="22"/>
      <c r="L127" s="22"/>
      <c r="M127" s="22"/>
      <c r="N127" s="22"/>
      <c r="O127" s="22"/>
      <c r="P127" s="22"/>
      <c r="Q127" s="22"/>
      <c r="R127" s="22"/>
      <c r="S127" s="22"/>
      <c r="T127" s="22"/>
      <c r="U127" s="22"/>
      <c r="V127" s="22"/>
    </row>
    <row r="128" spans="1:61" ht="14.25" hidden="1" customHeight="1" x14ac:dyDescent="0.2">
      <c r="A128" s="9"/>
      <c r="B128" s="26"/>
      <c r="C128" s="26"/>
      <c r="D128" s="26"/>
      <c r="E128" s="26"/>
      <c r="F128" s="26"/>
      <c r="G128" s="26"/>
      <c r="H128" s="26"/>
      <c r="I128" s="3"/>
      <c r="J128" s="46"/>
      <c r="K128" s="22"/>
      <c r="L128" s="22"/>
      <c r="M128" s="22"/>
      <c r="N128" s="22"/>
      <c r="O128" s="22"/>
      <c r="P128" s="22"/>
      <c r="Q128" s="22"/>
      <c r="R128" s="22"/>
      <c r="S128" s="22"/>
      <c r="T128" s="22"/>
      <c r="U128" s="22"/>
      <c r="V128" s="22"/>
    </row>
    <row r="129" spans="1:61" ht="14.25" hidden="1" customHeight="1" x14ac:dyDescent="0.2">
      <c r="A129" s="9"/>
      <c r="B129" s="26"/>
      <c r="C129" s="26"/>
      <c r="D129" s="26"/>
      <c r="E129" s="26"/>
      <c r="F129" s="26"/>
      <c r="G129" s="26"/>
      <c r="H129" s="26"/>
      <c r="I129" s="3"/>
      <c r="K129" s="22"/>
      <c r="L129" s="22"/>
      <c r="M129" s="22"/>
      <c r="N129" s="22"/>
      <c r="O129" s="22"/>
      <c r="P129" s="22"/>
      <c r="Q129" s="22"/>
      <c r="R129" s="22"/>
      <c r="S129" s="22"/>
      <c r="T129" s="22"/>
      <c r="U129" s="22"/>
      <c r="V129" s="22"/>
    </row>
    <row r="130" spans="1:61" ht="14.25" hidden="1" customHeight="1" x14ac:dyDescent="0.2">
      <c r="A130" s="9"/>
      <c r="B130" s="26"/>
      <c r="C130" s="26"/>
      <c r="D130" s="26"/>
      <c r="E130" s="26"/>
      <c r="F130" s="26"/>
      <c r="G130" s="26"/>
      <c r="H130" s="26"/>
      <c r="I130" s="3"/>
      <c r="K130" s="22"/>
      <c r="L130" s="22"/>
      <c r="M130" s="22"/>
      <c r="N130" s="22"/>
      <c r="O130" s="22"/>
      <c r="P130" s="22"/>
      <c r="Q130" s="22"/>
      <c r="R130" s="22"/>
      <c r="S130" s="22"/>
      <c r="T130" s="22"/>
      <c r="U130" s="22"/>
      <c r="V130" s="22"/>
    </row>
    <row r="131" spans="1:61" ht="14.25" hidden="1" customHeight="1" x14ac:dyDescent="0.2">
      <c r="A131" s="9"/>
      <c r="B131" s="26"/>
      <c r="C131" s="26"/>
      <c r="D131" s="26"/>
      <c r="E131" s="26"/>
      <c r="F131" s="26"/>
      <c r="G131" s="26"/>
      <c r="H131" s="26"/>
      <c r="I131" s="3"/>
      <c r="K131" s="22"/>
      <c r="L131" s="22"/>
      <c r="M131" s="22"/>
      <c r="N131" s="22"/>
      <c r="O131" s="22"/>
      <c r="P131" s="22"/>
      <c r="Q131" s="22"/>
      <c r="R131" s="22"/>
      <c r="S131" s="22"/>
      <c r="T131" s="22"/>
      <c r="U131" s="22"/>
      <c r="V131" s="22"/>
    </row>
    <row r="132" spans="1:61" ht="14.25" hidden="1" customHeight="1" x14ac:dyDescent="0.2">
      <c r="A132" s="9"/>
      <c r="B132" s="26"/>
      <c r="C132" s="26"/>
      <c r="D132" s="26"/>
      <c r="E132" s="26"/>
      <c r="F132" s="26"/>
      <c r="G132" s="26"/>
      <c r="H132" s="26"/>
      <c r="I132" s="3"/>
      <c r="K132" s="22"/>
      <c r="L132" s="22"/>
      <c r="M132" s="22"/>
      <c r="N132" s="22"/>
      <c r="O132" s="22"/>
      <c r="P132" s="22"/>
      <c r="Q132" s="22"/>
      <c r="R132" s="22"/>
      <c r="S132" s="22"/>
      <c r="T132" s="22"/>
      <c r="U132" s="22"/>
      <c r="V132" s="22"/>
    </row>
    <row r="133" spans="1:61" ht="14.25" hidden="1" customHeight="1" x14ac:dyDescent="0.2">
      <c r="A133" s="9"/>
      <c r="B133" s="26"/>
      <c r="C133" s="26"/>
      <c r="D133" s="26"/>
      <c r="E133" s="26"/>
      <c r="F133" s="26"/>
      <c r="G133" s="26"/>
      <c r="H133" s="26"/>
      <c r="I133" s="3"/>
      <c r="K133" s="22"/>
      <c r="L133" s="22"/>
      <c r="M133" s="22"/>
      <c r="N133" s="22"/>
      <c r="O133" s="22"/>
      <c r="P133" s="22"/>
      <c r="Q133" s="22"/>
      <c r="R133" s="22"/>
      <c r="S133" s="22"/>
      <c r="T133" s="22"/>
      <c r="U133" s="22"/>
      <c r="V133" s="22"/>
    </row>
    <row r="134" spans="1:61" ht="14.25" hidden="1" customHeight="1" x14ac:dyDescent="0.2">
      <c r="A134" s="9"/>
      <c r="B134" s="26"/>
      <c r="C134" s="26"/>
      <c r="D134" s="26"/>
      <c r="E134" s="26"/>
      <c r="F134" s="26"/>
      <c r="G134" s="26"/>
      <c r="H134" s="26"/>
      <c r="I134" s="3"/>
      <c r="K134" s="22"/>
      <c r="L134" s="22"/>
      <c r="M134" s="22"/>
      <c r="N134" s="22"/>
      <c r="O134" s="22"/>
      <c r="P134" s="22"/>
      <c r="Q134" s="22"/>
      <c r="R134" s="22"/>
      <c r="S134" s="22"/>
      <c r="T134" s="22"/>
      <c r="U134" s="22"/>
      <c r="V134" s="22"/>
    </row>
    <row r="135" spans="1:61" ht="14.25" hidden="1" customHeight="1" x14ac:dyDescent="0.2">
      <c r="A135" s="9"/>
      <c r="B135" s="26"/>
      <c r="C135" s="26"/>
      <c r="D135" s="26"/>
      <c r="E135" s="26"/>
      <c r="F135" s="26"/>
      <c r="G135" s="26"/>
      <c r="H135" s="26"/>
      <c r="I135" s="3"/>
      <c r="K135" s="22"/>
      <c r="L135" s="22"/>
      <c r="M135" s="22"/>
      <c r="N135" s="22"/>
      <c r="O135" s="22"/>
      <c r="P135" s="22"/>
      <c r="Q135" s="22"/>
      <c r="R135" s="22"/>
      <c r="S135" s="22"/>
      <c r="T135" s="22"/>
      <c r="U135" s="22"/>
      <c r="V135" s="22"/>
    </row>
    <row r="136" spans="1:61" ht="14.25" hidden="1" customHeight="1" x14ac:dyDescent="0.2">
      <c r="A136" s="9"/>
      <c r="B136" s="26"/>
      <c r="C136" s="26"/>
      <c r="D136" s="26"/>
      <c r="E136" s="26"/>
      <c r="F136" s="26"/>
      <c r="G136" s="26"/>
      <c r="H136" s="26"/>
      <c r="I136" s="3"/>
      <c r="K136" s="22"/>
      <c r="L136" s="22"/>
      <c r="M136" s="22"/>
      <c r="N136" s="22"/>
      <c r="O136" s="22"/>
      <c r="P136" s="22"/>
      <c r="Q136" s="22"/>
      <c r="R136" s="22"/>
      <c r="S136" s="22"/>
      <c r="T136" s="22"/>
      <c r="U136" s="22"/>
      <c r="V136" s="22"/>
    </row>
    <row r="137" spans="1:61" ht="14.25" hidden="1" customHeight="1" x14ac:dyDescent="0.2">
      <c r="A137" s="9"/>
      <c r="B137" s="26"/>
      <c r="C137" s="26"/>
      <c r="D137" s="26"/>
      <c r="E137" s="26"/>
      <c r="F137" s="26"/>
      <c r="G137" s="26"/>
      <c r="H137" s="26"/>
      <c r="I137" s="3"/>
      <c r="K137" s="22"/>
      <c r="L137" s="22"/>
      <c r="M137" s="22"/>
      <c r="N137" s="22"/>
      <c r="O137" s="22"/>
      <c r="P137" s="22"/>
      <c r="Q137" s="22"/>
      <c r="R137" s="22"/>
      <c r="S137" s="22"/>
      <c r="T137" s="22"/>
      <c r="U137" s="22"/>
      <c r="V137" s="22"/>
    </row>
    <row r="138" spans="1:61" ht="14.25" hidden="1" customHeight="1" x14ac:dyDescent="0.2">
      <c r="A138" s="9"/>
      <c r="B138" s="26"/>
      <c r="C138" s="26"/>
      <c r="D138" s="26"/>
      <c r="E138" s="26"/>
      <c r="F138" s="26"/>
      <c r="G138" s="26"/>
      <c r="H138" s="26"/>
      <c r="I138" s="3"/>
      <c r="K138" s="22"/>
      <c r="L138" s="22"/>
      <c r="M138" s="22"/>
      <c r="N138" s="22"/>
      <c r="O138" s="22"/>
      <c r="P138" s="22"/>
      <c r="Q138" s="22"/>
      <c r="R138" s="22"/>
      <c r="S138" s="22"/>
      <c r="T138" s="22"/>
      <c r="U138" s="22"/>
      <c r="V138" s="22"/>
    </row>
    <row r="139" spans="1:61" ht="14.25" hidden="1" customHeight="1" x14ac:dyDescent="0.2">
      <c r="A139" s="9"/>
      <c r="B139" s="26"/>
      <c r="C139" s="26"/>
      <c r="D139" s="26"/>
      <c r="E139" s="26"/>
      <c r="F139" s="26"/>
      <c r="G139" s="26"/>
      <c r="H139" s="26"/>
      <c r="I139" s="3"/>
      <c r="K139" s="22"/>
      <c r="L139" s="22"/>
      <c r="M139" s="22"/>
      <c r="N139" s="22"/>
      <c r="O139" s="22"/>
      <c r="P139" s="22"/>
      <c r="Q139" s="22"/>
      <c r="R139" s="22"/>
      <c r="S139" s="22"/>
      <c r="T139" s="22"/>
      <c r="U139" s="22"/>
      <c r="V139" s="22"/>
    </row>
    <row r="140" spans="1:61" ht="14.25" hidden="1" customHeight="1" x14ac:dyDescent="0.2">
      <c r="A140" s="9"/>
      <c r="B140" s="26"/>
      <c r="C140" s="26"/>
      <c r="D140" s="26"/>
      <c r="E140" s="26"/>
      <c r="F140" s="26"/>
      <c r="G140" s="26"/>
      <c r="H140" s="26"/>
      <c r="I140" s="3"/>
      <c r="K140" s="21">
        <f>IF($K$116&gt;0,$BD$21,0)</f>
      </c>
      <c r="L140" s="21">
        <f>IF($K$116&gt;0,$BD$22,0)</f>
      </c>
      <c r="M140" s="21">
        <f>IF($K$116&gt;0,$BD$23,0)</f>
      </c>
      <c r="N140" s="21">
        <f>IF($K$116&gt;0,$BD$24,0)</f>
      </c>
      <c r="O140" s="21">
        <f>IF($K$116=0,,IF($K$116=0,IF($K$62&gt;0,$BD$37),$BD$45))</f>
      </c>
      <c r="P140" s="21">
        <f>IF($K$116=0,,IF($K$116=0,IF($K$62&gt;0,$BD$38),$BD$46))</f>
      </c>
      <c r="Q140" s="21">
        <f>IF($K$116=0,,IF($K$116=0,IF($K$62&gt;0,$BD$39),$BD$47))</f>
      </c>
      <c r="R140" s="21">
        <f>IF($K$116=0,,IF($K$116=0,IF($K$62&gt;0,$BD$40),$BD$48))</f>
      </c>
      <c r="S140" s="21">
        <f>IF($K$116=0,,IF($K$116=0,IF($K$62&gt;0,$BD$60),$BD$69))</f>
      </c>
      <c r="T140" s="21">
        <f>IF($K$116=0,,IF($K$116=0,IF($K$62&gt;0,$BD$61),$BD$70))</f>
      </c>
      <c r="U140" s="21">
        <f>IF($K$116=0,,IF($K$116=0,IF($K$62&gt;0,$BD$62),$BD$71))</f>
      </c>
      <c r="V140" s="21">
        <f>IF($K$116=0,,IF($K$116=0,IF($K$62&gt;0,$BD$63),$BD$72))</f>
      </c>
    </row>
    <row r="141" spans="1:61" ht="14.25" hidden="1" customHeight="1" x14ac:dyDescent="0.2">
      <c r="A141" s="9"/>
      <c r="B141" s="26"/>
      <c r="C141" s="26"/>
      <c r="D141" s="26"/>
      <c r="E141" s="26"/>
      <c r="F141" s="26"/>
      <c r="G141" s="26"/>
      <c r="H141" s="26"/>
      <c r="I141" s="3"/>
      <c r="K141" s="21"/>
      <c r="L141" s="21"/>
      <c r="M141" s="21"/>
      <c r="N141" s="21"/>
      <c r="O141" s="21"/>
      <c r="P141" s="21"/>
      <c r="Q141" s="21"/>
      <c r="R141" s="21"/>
      <c r="S141" s="21"/>
      <c r="T141" s="21"/>
      <c r="U141" s="21"/>
      <c r="V141" s="21"/>
    </row>
    <row r="142" spans="1:61" ht="14.25" hidden="1" customHeight="1" x14ac:dyDescent="0.2">
      <c r="A142" s="12"/>
      <c r="B142" s="13"/>
      <c r="C142" s="13"/>
      <c r="D142" s="13"/>
      <c r="E142" s="13"/>
      <c r="F142" s="13"/>
      <c r="G142" s="13"/>
      <c r="H142" s="13"/>
      <c r="I142" s="11"/>
      <c r="K142" s="11" t="b">
        <f>IF(K140&gt;0,IF(K140 = FALSE,,N118+1))</f>
      </c>
      <c r="L142" s="11" t="b">
        <f>IF(L140&gt;0,IF(L140 = FALSE,,K142+1))</f>
      </c>
      <c r="M142" s="11" t="b">
        <f t="shared" ref="M142:N142" si="24">IF(M140&gt;0,IF(M140 = FALSE,,L142+1))</f>
      </c>
      <c r="N142" s="11" t="b">
        <f t="shared" si="24"/>
      </c>
      <c r="O142" s="11" t="b">
        <f>IF(O140&gt;0,R118+1)</f>
      </c>
      <c r="P142" s="11" t="b">
        <f>IF(P140&gt;0,O142+1)</f>
      </c>
      <c r="Q142" s="11" t="b">
        <f t="shared" ref="Q142:R142" si="25">IF(Q140&gt;0,P142+1)</f>
      </c>
      <c r="R142" s="11" t="b">
        <f t="shared" si="25"/>
      </c>
      <c r="S142" s="11" t="b">
        <f>IF(S140&gt;0,V118+1)</f>
      </c>
      <c r="T142" s="11" t="b">
        <f>IF(T140&gt;0,S142+1)</f>
      </c>
      <c r="U142" s="11" t="b">
        <f t="shared" ref="U142:V142" si="26">IF(U140&gt;0,T142+1)</f>
      </c>
      <c r="V142" s="11" t="b">
        <f t="shared" si="26"/>
      </c>
    </row>
    <row r="143" spans="1:61" ht="14.25" hidden="1" customHeight="1" x14ac:dyDescent="0.2">
      <c r="A143" s="12"/>
      <c r="B143" s="13"/>
      <c r="C143" s="13"/>
      <c r="D143" s="13"/>
      <c r="E143" s="13"/>
      <c r="F143" s="13"/>
      <c r="G143" s="13"/>
      <c r="H143" s="13"/>
      <c r="I143" s="11"/>
      <c r="K143" s="11" t="str">
        <f>"C:\Users\origr\Pictures\"&amp;K142&amp;".jpg"</f>
      </c>
      <c r="L143" s="11" t="str">
        <f t="shared" ref="L143:V143" si="27">"C:\Users\origr\Pictures\"&amp;L142&amp;".jpg"</f>
      </c>
      <c r="M143" s="11" t="str">
        <f t="shared" si="27"/>
      </c>
      <c r="N143" s="11" t="str">
        <f t="shared" si="27"/>
      </c>
      <c r="O143" s="11" t="str">
        <f t="shared" si="27"/>
      </c>
      <c r="P143" s="11" t="str">
        <f t="shared" si="27"/>
      </c>
      <c r="Q143" s="11" t="str">
        <f t="shared" si="27"/>
      </c>
      <c r="R143" s="11" t="str">
        <f t="shared" si="27"/>
      </c>
      <c r="S143" s="11" t="str">
        <f t="shared" si="27"/>
      </c>
      <c r="T143" s="11" t="str">
        <f t="shared" si="27"/>
      </c>
      <c r="U143" s="11" t="str">
        <f t="shared" si="27"/>
      </c>
      <c r="V143" s="11" t="str">
        <f t="shared" si="27"/>
      </c>
    </row>
    <row r="144" spans="1:61" ht="14.25" hidden="1" customHeight="1" x14ac:dyDescent="0.2">
      <c r="A144" s="12"/>
      <c r="B144" s="13"/>
      <c r="C144" s="13"/>
      <c r="D144" s="13"/>
      <c r="E144" s="13"/>
      <c r="F144" s="13"/>
      <c r="G144" s="13"/>
      <c r="H144" s="13"/>
      <c r="I144" s="11"/>
      <c r="K144" s="11" t="str">
        <f>K143</f>
      </c>
      <c r="L144" s="11" t="str">
        <f t="shared" ref="L144:V145" si="28">L143</f>
      </c>
      <c r="M144" s="11" t="str">
        <f t="shared" si="28"/>
      </c>
      <c r="N144" s="11" t="str">
        <f t="shared" si="28"/>
      </c>
      <c r="O144" s="11" t="str">
        <f t="shared" si="28"/>
      </c>
      <c r="P144" s="11" t="str">
        <f t="shared" si="28"/>
      </c>
      <c r="Q144" s="11" t="str">
        <f t="shared" si="28"/>
      </c>
      <c r="R144" s="11" t="str">
        <f t="shared" si="28"/>
      </c>
      <c r="S144" s="11" t="str">
        <f t="shared" si="28"/>
      </c>
      <c r="T144" s="11" t="str">
        <f t="shared" si="28"/>
      </c>
      <c r="U144" s="11" t="str">
        <f t="shared" si="28"/>
      </c>
      <c r="V144" s="11" t="str">
        <f t="shared" si="28"/>
      </c>
    </row>
    <row r="145" spans="1:61" ht="14.25" hidden="1" customHeight="1" x14ac:dyDescent="0.2">
      <c r="A145" s="9"/>
      <c r="B145" s="26"/>
      <c r="C145" s="26"/>
      <c r="D145" s="26"/>
      <c r="E145" s="26"/>
      <c r="F145" s="26"/>
      <c r="G145" s="26"/>
      <c r="H145" s="26"/>
      <c r="I145" s="3"/>
      <c r="K145" s="22" t="str">
        <f>K144</f>
      </c>
      <c r="L145" s="22" t="str">
        <f t="shared" si="28"/>
      </c>
      <c r="M145" s="22" t="str">
        <f t="shared" si="28"/>
      </c>
      <c r="N145" s="22" t="str">
        <f t="shared" si="28"/>
      </c>
      <c r="O145" s="22" t="str">
        <f t="shared" si="28"/>
      </c>
      <c r="P145" s="22" t="str">
        <f t="shared" si="28"/>
      </c>
      <c r="Q145" s="22" t="str">
        <f t="shared" si="28"/>
      </c>
      <c r="R145" s="22" t="str">
        <f t="shared" si="28"/>
      </c>
      <c r="S145" s="22" t="str">
        <f t="shared" si="28"/>
      </c>
      <c r="T145" s="22" t="str">
        <f t="shared" si="28"/>
      </c>
      <c r="U145" s="22" t="str">
        <f t="shared" si="28"/>
      </c>
      <c r="V145" s="22" t="str">
        <f t="shared" si="28"/>
      </c>
    </row>
    <row r="146" spans="1:61" ht="14.25" hidden="1" customHeight="1" x14ac:dyDescent="0.2">
      <c r="A146" s="9"/>
      <c r="B146" s="26"/>
      <c r="C146" s="26"/>
      <c r="D146" s="26"/>
      <c r="E146" s="26"/>
      <c r="F146" s="26"/>
      <c r="G146" s="26"/>
      <c r="H146" s="26"/>
      <c r="I146" s="3"/>
      <c r="K146" s="22"/>
      <c r="L146" s="22"/>
      <c r="M146" s="22"/>
      <c r="N146" s="22"/>
      <c r="O146" s="22"/>
      <c r="P146" s="22"/>
      <c r="Q146" s="22"/>
      <c r="R146" s="22"/>
      <c r="S146" s="22"/>
      <c r="T146" s="22"/>
      <c r="U146" s="22"/>
      <c r="V146" s="22"/>
    </row>
    <row r="147" spans="1:61" ht="14.25" hidden="1" customHeight="1" x14ac:dyDescent="0.2">
      <c r="A147" s="9"/>
      <c r="B147" s="26"/>
      <c r="C147" s="26"/>
      <c r="D147" s="26"/>
      <c r="E147" s="26"/>
      <c r="F147" s="26"/>
      <c r="G147" s="26"/>
      <c r="H147" s="26"/>
      <c r="I147" s="3"/>
      <c r="K147" s="22"/>
      <c r="L147" s="22"/>
      <c r="M147" s="22"/>
      <c r="N147" s="22"/>
      <c r="O147" s="22"/>
      <c r="P147" s="22"/>
      <c r="Q147" s="22"/>
      <c r="R147" s="22"/>
      <c r="S147" s="22"/>
      <c r="T147" s="22"/>
      <c r="U147" s="22"/>
      <c r="V147" s="22"/>
    </row>
    <row r="148" spans="1:61" ht="14.25" hidden="1" customHeight="1" x14ac:dyDescent="0.2">
      <c r="A148" s="9"/>
      <c r="B148" s="26"/>
      <c r="C148" s="26"/>
      <c r="D148" s="26"/>
      <c r="E148" s="26"/>
      <c r="F148" s="26"/>
      <c r="G148" s="26"/>
      <c r="H148" s="26"/>
      <c r="I148" s="3"/>
      <c r="K148" s="22"/>
      <c r="L148" s="22"/>
      <c r="M148" s="22"/>
      <c r="N148" s="22"/>
      <c r="O148" s="22"/>
      <c r="P148" s="22"/>
      <c r="Q148" s="22"/>
      <c r="R148" s="22"/>
      <c r="S148" s="22"/>
      <c r="T148" s="22"/>
      <c r="U148" s="22"/>
      <c r="V148" s="22"/>
    </row>
    <row r="149" spans="1:61" ht="14.25" hidden="1" customHeight="1" x14ac:dyDescent="0.2">
      <c r="A149" s="9"/>
      <c r="B149" s="26"/>
      <c r="C149" s="26"/>
      <c r="D149" s="26"/>
      <c r="E149" s="26"/>
      <c r="F149" s="26"/>
      <c r="G149" s="26"/>
      <c r="H149" s="26"/>
      <c r="I149" s="3"/>
      <c r="K149" s="22"/>
      <c r="L149" s="22"/>
      <c r="M149" s="22"/>
      <c r="N149" s="22"/>
      <c r="O149" s="22"/>
      <c r="P149" s="22"/>
      <c r="Q149" s="22"/>
      <c r="R149" s="22"/>
      <c r="S149" s="22"/>
      <c r="T149" s="22"/>
      <c r="U149" s="22"/>
      <c r="V149" s="22"/>
    </row>
    <row r="150" spans="1:61" ht="14.25" hidden="1" customHeight="1" x14ac:dyDescent="0.2">
      <c r="A150" s="9"/>
      <c r="B150" s="26"/>
      <c r="C150" s="26"/>
      <c r="D150" s="26"/>
      <c r="E150" s="26"/>
      <c r="F150" s="26"/>
      <c r="G150" s="26"/>
      <c r="H150" s="26"/>
      <c r="I150" s="3"/>
      <c r="K150" s="22"/>
      <c r="L150" s="22"/>
      <c r="M150" s="22"/>
      <c r="N150" s="22"/>
      <c r="O150" s="22"/>
      <c r="P150" s="22"/>
      <c r="Q150" s="22"/>
      <c r="R150" s="22"/>
      <c r="S150" s="22"/>
      <c r="T150" s="22"/>
      <c r="U150" s="22"/>
      <c r="V150" s="22"/>
    </row>
    <row r="151" spans="1:61" ht="14.25" hidden="1" customHeight="1" x14ac:dyDescent="0.2">
      <c r="A151" s="9"/>
      <c r="B151" s="26"/>
      <c r="C151" s="26"/>
      <c r="D151" s="26"/>
      <c r="E151" s="26"/>
      <c r="F151" s="26"/>
      <c r="G151" s="26"/>
      <c r="H151" s="26"/>
      <c r="I151" s="3"/>
      <c r="K151" s="22"/>
      <c r="L151" s="22"/>
      <c r="M151" s="22"/>
      <c r="N151" s="22"/>
      <c r="O151" s="22"/>
      <c r="P151" s="22"/>
      <c r="Q151" s="22"/>
      <c r="R151" s="22"/>
      <c r="S151" s="22"/>
      <c r="T151" s="22"/>
      <c r="U151" s="22"/>
      <c r="V151" s="22"/>
    </row>
    <row r="152" spans="1:61" ht="14.25" hidden="1" customHeight="1" x14ac:dyDescent="0.2">
      <c r="A152" s="9"/>
      <c r="B152" s="26"/>
      <c r="C152" s="26"/>
      <c r="D152" s="26"/>
      <c r="E152" s="26"/>
      <c r="F152" s="26"/>
      <c r="G152" s="26"/>
      <c r="H152" s="26"/>
      <c r="I152" s="3"/>
      <c r="K152" s="22"/>
      <c r="L152" s="22"/>
      <c r="M152" s="22"/>
      <c r="N152" s="22"/>
      <c r="O152" s="22"/>
      <c r="P152" s="22"/>
      <c r="Q152" s="22"/>
      <c r="R152" s="22"/>
      <c r="S152" s="22"/>
      <c r="T152" s="22"/>
      <c r="U152" s="22"/>
      <c r="V152" s="22"/>
    </row>
    <row r="153" spans="1:61" ht="14.25" hidden="1" customHeight="1" x14ac:dyDescent="0.2">
      <c r="A153" s="9"/>
      <c r="B153" s="26"/>
      <c r="C153" s="26"/>
      <c r="D153" s="26"/>
      <c r="E153" s="26"/>
      <c r="F153" s="26"/>
      <c r="G153" s="26"/>
      <c r="H153" s="26"/>
      <c r="I153" s="3"/>
      <c r="K153" s="22"/>
      <c r="L153" s="22"/>
      <c r="M153" s="22"/>
      <c r="N153" s="22"/>
      <c r="O153" s="22"/>
      <c r="P153" s="22"/>
      <c r="Q153" s="22"/>
      <c r="R153" s="22"/>
      <c r="S153" s="22"/>
      <c r="T153" s="22"/>
      <c r="U153" s="22"/>
      <c r="V153" s="22"/>
    </row>
    <row r="154" spans="1:61" ht="14.25" hidden="1" customHeight="1" x14ac:dyDescent="0.2">
      <c r="A154" s="9"/>
      <c r="B154" s="26"/>
      <c r="C154" s="26"/>
      <c r="D154" s="26"/>
      <c r="E154" s="26"/>
      <c r="F154" s="26"/>
      <c r="G154" s="26"/>
      <c r="H154" s="26"/>
      <c r="I154" s="3"/>
      <c r="K154" s="22"/>
      <c r="L154" s="22"/>
      <c r="M154" s="22"/>
      <c r="N154" s="22"/>
      <c r="O154" s="22"/>
      <c r="P154" s="22"/>
      <c r="Q154" s="22"/>
      <c r="R154" s="22"/>
      <c r="S154" s="22"/>
      <c r="T154" s="22"/>
      <c r="U154" s="22"/>
      <c r="V154" s="22"/>
    </row>
    <row r="155" spans="1:61" ht="14.25" hidden="1" customHeight="1" x14ac:dyDescent="0.2">
      <c r="A155" s="9"/>
      <c r="B155" s="26"/>
      <c r="C155" s="26"/>
      <c r="D155" s="26"/>
      <c r="E155" s="26"/>
      <c r="F155" s="26"/>
      <c r="G155" s="26"/>
      <c r="H155" s="26"/>
      <c r="I155" s="3"/>
      <c r="K155" s="22"/>
      <c r="L155" s="22"/>
      <c r="M155" s="22"/>
      <c r="N155" s="22"/>
      <c r="O155" s="22"/>
      <c r="P155" s="22"/>
      <c r="Q155" s="22"/>
      <c r="R155" s="22"/>
      <c r="S155" s="22"/>
      <c r="T155" s="22"/>
      <c r="U155" s="22"/>
      <c r="V155" s="22"/>
    </row>
    <row r="156" spans="1:61" ht="14.25" hidden="1" customHeight="1" x14ac:dyDescent="0.2">
      <c r="A156" s="9"/>
      <c r="B156" s="26"/>
      <c r="C156" s="26"/>
      <c r="D156" s="26"/>
      <c r="E156" s="26"/>
      <c r="F156" s="26"/>
      <c r="G156" s="26"/>
      <c r="H156" s="26"/>
      <c r="I156" s="3"/>
      <c r="K156" s="22"/>
      <c r="L156" s="22"/>
      <c r="M156" s="22"/>
      <c r="N156" s="22"/>
      <c r="O156" s="22"/>
      <c r="P156" s="22"/>
      <c r="Q156" s="22"/>
      <c r="R156" s="22"/>
      <c r="S156" s="22"/>
      <c r="T156" s="22"/>
      <c r="U156" s="22"/>
      <c r="V156" s="22"/>
    </row>
    <row r="157" spans="1:61" ht="14.25" hidden="1" customHeight="1" x14ac:dyDescent="0.2">
      <c r="A157" s="9"/>
      <c r="B157" s="26"/>
      <c r="C157" s="26"/>
      <c r="D157" s="26"/>
      <c r="E157" s="26"/>
      <c r="F157" s="26"/>
      <c r="G157" s="26"/>
      <c r="H157" s="26"/>
      <c r="I157" s="3"/>
      <c r="K157" s="22"/>
      <c r="L157" s="22"/>
      <c r="M157" s="22"/>
      <c r="N157" s="22"/>
      <c r="O157" s="22"/>
      <c r="P157" s="22"/>
      <c r="Q157" s="22"/>
      <c r="R157" s="22"/>
      <c r="S157" s="22"/>
      <c r="T157" s="22"/>
      <c r="U157" s="22"/>
      <c r="V157" s="22"/>
    </row>
    <row r="158" spans="1:61" ht="14.25" hidden="1" customHeight="1" x14ac:dyDescent="0.2">
      <c r="A158" s="9"/>
      <c r="B158" s="26"/>
      <c r="C158" s="26"/>
      <c r="D158" s="26"/>
      <c r="E158" s="26"/>
      <c r="F158" s="26"/>
      <c r="G158" s="26"/>
      <c r="H158" s="26"/>
      <c r="I158" s="3"/>
      <c r="K158" s="22"/>
      <c r="L158" s="22"/>
      <c r="M158" s="22"/>
      <c r="N158" s="22"/>
      <c r="O158" s="22"/>
      <c r="P158" s="22"/>
      <c r="Q158" s="22"/>
      <c r="R158" s="22"/>
      <c r="S158" s="22"/>
      <c r="T158" s="22"/>
      <c r="U158" s="22"/>
      <c r="V158" s="22"/>
    </row>
    <row r="159" spans="1:61" ht="14.25" hidden="1" customHeight="1" x14ac:dyDescent="0.2">
      <c r="A159" s="9"/>
      <c r="B159" s="26"/>
      <c r="C159" s="26"/>
      <c r="D159" s="26"/>
      <c r="E159" s="26"/>
      <c r="F159" s="26"/>
      <c r="G159" s="26"/>
      <c r="H159" s="26"/>
      <c r="I159" s="3"/>
      <c r="K159" s="22"/>
      <c r="L159" s="22"/>
      <c r="M159" s="22"/>
      <c r="N159" s="22"/>
      <c r="O159" s="22"/>
      <c r="P159" s="22"/>
      <c r="Q159" s="22"/>
      <c r="R159" s="22"/>
      <c r="S159" s="22"/>
      <c r="T159" s="22"/>
      <c r="U159" s="22"/>
      <c r="V159" s="22"/>
    </row>
    <row r="160" spans="1:61" ht="14.25" hidden="1" customHeight="1" x14ac:dyDescent="0.2">
      <c r="A160" s="9"/>
      <c r="B160" s="26"/>
      <c r="C160" s="26"/>
      <c r="D160" s="26"/>
      <c r="E160" s="26"/>
      <c r="F160" s="26"/>
      <c r="G160" s="26"/>
      <c r="H160" s="26"/>
      <c r="I160" s="3"/>
      <c r="K160" s="22"/>
      <c r="L160" s="22"/>
      <c r="M160" s="22"/>
      <c r="N160" s="22"/>
      <c r="O160" s="22"/>
      <c r="P160" s="22"/>
      <c r="Q160" s="22"/>
      <c r="R160" s="22"/>
      <c r="S160" s="22"/>
      <c r="T160" s="22"/>
      <c r="U160" s="22"/>
      <c r="V160" s="22"/>
    </row>
    <row r="161" spans="1:61" ht="14.25" hidden="1" customHeight="1" x14ac:dyDescent="0.2">
      <c r="A161" s="9"/>
      <c r="B161" s="26"/>
      <c r="C161" s="26"/>
      <c r="D161" s="26"/>
      <c r="E161" s="26"/>
      <c r="F161" s="26"/>
      <c r="G161" s="26"/>
      <c r="H161" s="26"/>
      <c r="I161" s="3"/>
      <c r="K161" s="22"/>
      <c r="L161" s="22"/>
      <c r="M161" s="22"/>
      <c r="N161" s="22"/>
      <c r="O161" s="22"/>
      <c r="P161" s="22"/>
      <c r="Q161" s="22"/>
      <c r="R161" s="22"/>
      <c r="S161" s="22"/>
      <c r="T161" s="22"/>
      <c r="U161" s="22"/>
      <c r="V161" s="22"/>
    </row>
    <row r="162" spans="1:61" ht="14.25" hidden="1" customHeight="1" x14ac:dyDescent="0.2">
      <c r="A162" s="9"/>
      <c r="B162" s="26"/>
      <c r="C162" s="26"/>
      <c r="D162" s="26"/>
      <c r="E162" s="26"/>
      <c r="F162" s="26"/>
      <c r="G162" s="26"/>
      <c r="H162" s="26"/>
      <c r="I162" s="3"/>
      <c r="K162" s="22"/>
      <c r="L162" s="22"/>
      <c r="M162" s="22"/>
      <c r="N162" s="22"/>
      <c r="O162" s="22"/>
      <c r="P162" s="22"/>
      <c r="Q162" s="22"/>
      <c r="R162" s="22"/>
      <c r="S162" s="22"/>
      <c r="T162" s="22"/>
      <c r="U162" s="22"/>
      <c r="V162" s="22"/>
    </row>
    <row r="163" spans="1:61" ht="13.5" hidden="1" customHeight="1" x14ac:dyDescent="0.2">
      <c r="K163" s="10"/>
      <c r="L163" s="10"/>
      <c r="M163" s="10"/>
      <c r="N163" s="10"/>
    </row>
    <row r="164" spans="1:61" x14ac:dyDescent="0.2">
      <c r="K164" s="10"/>
      <c r="L164" s="10"/>
      <c r="M164" s="10"/>
      <c r="N164" s="10"/>
    </row>
    <row r="165" spans="1:61" x14ac:dyDescent="0.2">
      <c r="K165" s="10"/>
      <c r="L165" s="10"/>
      <c r="M165" s="10"/>
      <c r="N165" s="10"/>
    </row>
    <row r="166" spans="1:61" x14ac:dyDescent="0.2">
      <c r="K166" s="10"/>
      <c r="L166" s="10"/>
      <c r="M166" s="10"/>
      <c r="N166" s="10"/>
    </row>
    <row r="167" spans="1:61" x14ac:dyDescent="0.2">
      <c r="K167" s="10"/>
      <c r="L167" s="10"/>
      <c r="M167" s="10"/>
      <c r="N167" s="10"/>
    </row>
    <row r="168" spans="1:61" x14ac:dyDescent="0.2">
      <c r="K168" s="10"/>
      <c r="L168" s="10"/>
      <c r="M168" s="10"/>
      <c r="N168" s="10"/>
    </row>
    <row r="169" spans="1:61" x14ac:dyDescent="0.2">
      <c r="K169" s="10"/>
      <c r="L169" s="10"/>
      <c r="M169" s="10"/>
      <c r="N169" s="10"/>
    </row>
    <row r="170" spans="1:61" x14ac:dyDescent="0.2">
      <c r="K170" s="10"/>
      <c r="L170" s="10"/>
      <c r="M170" s="10"/>
      <c r="N170" s="10"/>
    </row>
    <row r="171" spans="1:61" x14ac:dyDescent="0.2">
      <c r="K171" s="10"/>
      <c r="L171" s="10"/>
      <c r="M171" s="10"/>
      <c r="N171" s="10"/>
    </row>
    <row r="172" spans="1:61" x14ac:dyDescent="0.2">
      <c r="K172" s="10"/>
      <c r="L172" s="10"/>
      <c r="M172" s="10"/>
      <c r="N172" s="10"/>
    </row>
    <row r="173" spans="1:61" x14ac:dyDescent="0.2">
      <c r="K173" s="10"/>
      <c r="L173" s="10"/>
      <c r="M173" s="10"/>
      <c r="N173" s="10"/>
    </row>
    <row r="174" spans="1:61" x14ac:dyDescent="0.2">
      <c r="K174" s="10"/>
      <c r="L174" s="10"/>
      <c r="M174" s="10"/>
      <c r="N174" s="10"/>
    </row>
    <row r="175" spans="1:61" x14ac:dyDescent="0.2">
      <c r="K175" s="10"/>
      <c r="L175" s="10"/>
      <c r="M175" s="10"/>
      <c r="N175" s="10"/>
    </row>
    <row r="176" spans="1:61" x14ac:dyDescent="0.2">
      <c r="K176" s="10"/>
      <c r="L176" s="10"/>
      <c r="M176" s="10"/>
      <c r="N176" s="10"/>
    </row>
    <row r="177" spans="11:61" x14ac:dyDescent="0.2">
      <c r="K177" s="10"/>
      <c r="L177" s="10"/>
      <c r="M177" s="10"/>
      <c r="N177" s="10"/>
    </row>
    <row r="178" spans="11:61" x14ac:dyDescent="0.2">
      <c r="K178" s="10"/>
      <c r="L178" s="10"/>
      <c r="M178" s="10"/>
      <c r="N178" s="10"/>
    </row>
    <row r="179" spans="11:61" x14ac:dyDescent="0.2">
      <c r="K179" s="10"/>
      <c r="L179" s="10"/>
      <c r="M179" s="10"/>
      <c r="N179" s="10"/>
    </row>
    <row r="180" spans="11:61" x14ac:dyDescent="0.2">
      <c r="K180" s="10"/>
      <c r="L180" s="10"/>
      <c r="M180" s="10"/>
      <c r="N180" s="10"/>
    </row>
    <row r="181" spans="11:61" x14ac:dyDescent="0.2">
      <c r="K181" s="10"/>
      <c r="L181" s="10"/>
      <c r="M181" s="10"/>
      <c r="N181" s="10"/>
    </row>
    <row r="182" spans="11:61" x14ac:dyDescent="0.2">
      <c r="K182" s="10"/>
      <c r="L182" s="10"/>
      <c r="M182" s="10"/>
      <c r="N182" s="10"/>
    </row>
    <row r="183" spans="11:61" x14ac:dyDescent="0.2">
      <c r="K183" s="10"/>
      <c r="L183" s="10"/>
      <c r="M183" s="10"/>
      <c r="N183" s="10"/>
    </row>
    <row r="184" spans="11:61" x14ac:dyDescent="0.2">
      <c r="K184" s="10"/>
      <c r="L184" s="10"/>
      <c r="M184" s="10"/>
      <c r="N184" s="10"/>
    </row>
    <row r="185" spans="11:61" x14ac:dyDescent="0.2">
      <c r="K185" s="10"/>
      <c r="L185" s="10"/>
      <c r="M185" s="10"/>
      <c r="N185" s="10"/>
    </row>
    <row r="186" spans="11:61" x14ac:dyDescent="0.2">
      <c r="K186" s="10"/>
      <c r="L186" s="10"/>
      <c r="M186" s="10"/>
      <c r="N186" s="10"/>
    </row>
    <row r="187" spans="11:61" x14ac:dyDescent="0.2">
      <c r="K187" s="10"/>
      <c r="L187" s="10"/>
      <c r="M187" s="10"/>
      <c r="N187" s="10"/>
    </row>
    <row r="188" spans="11:61" x14ac:dyDescent="0.2">
      <c r="K188" s="10"/>
      <c r="L188" s="10"/>
      <c r="M188" s="10"/>
      <c r="N188" s="10"/>
    </row>
    <row r="189" spans="11:61" x14ac:dyDescent="0.2">
      <c r="K189" s="10"/>
      <c r="L189" s="10"/>
      <c r="M189" s="10"/>
      <c r="N189" s="10"/>
    </row>
    <row r="190" spans="11:61" x14ac:dyDescent="0.2">
      <c r="K190" s="10"/>
      <c r="L190" s="10"/>
      <c r="M190" s="10"/>
      <c r="N190" s="10"/>
    </row>
    <row r="191" spans="11:61" x14ac:dyDescent="0.2">
      <c r="K191" s="10"/>
      <c r="L191" s="10"/>
      <c r="M191" s="10"/>
      <c r="N191" s="10"/>
    </row>
    <row r="192" spans="11:61" x14ac:dyDescent="0.2">
      <c r="K192" s="10"/>
      <c r="L192" s="10"/>
      <c r="M192" s="10"/>
      <c r="N192" s="10"/>
    </row>
    <row r="193" spans="11:61" x14ac:dyDescent="0.2">
      <c r="K193" s="10"/>
      <c r="L193" s="10"/>
      <c r="M193" s="10"/>
      <c r="N193" s="10"/>
    </row>
    <row r="194" spans="11:61" x14ac:dyDescent="0.2">
      <c r="K194" s="10"/>
      <c r="L194" s="10"/>
      <c r="M194" s="10"/>
      <c r="N194" s="10"/>
    </row>
    <row r="195" spans="11:61" x14ac:dyDescent="0.2">
      <c r="K195" s="10"/>
      <c r="L195" s="10"/>
      <c r="M195" s="10"/>
      <c r="N195" s="10"/>
    </row>
    <row r="196" spans="11:61" x14ac:dyDescent="0.2">
      <c r="K196" s="10"/>
      <c r="L196" s="10"/>
      <c r="M196" s="10"/>
      <c r="N196" s="10"/>
    </row>
    <row r="197" spans="11:61" x14ac:dyDescent="0.2">
      <c r="K197" s="10"/>
      <c r="L197" s="10"/>
      <c r="M197" s="10"/>
      <c r="N197" s="10"/>
    </row>
    <row r="198" spans="11:61" x14ac:dyDescent="0.2">
      <c r="K198" s="10"/>
      <c r="L198" s="10"/>
      <c r="M198" s="10"/>
      <c r="N198" s="10"/>
    </row>
    <row r="199" spans="11:61" x14ac:dyDescent="0.2">
      <c r="K199" s="10"/>
      <c r="L199" s="10"/>
      <c r="M199" s="10"/>
      <c r="N199" s="10"/>
    </row>
    <row r="200" spans="11:61" x14ac:dyDescent="0.2">
      <c r="K200" s="10"/>
      <c r="L200" s="10"/>
      <c r="M200" s="10"/>
      <c r="N200" s="10"/>
    </row>
    <row r="201" spans="11:61" x14ac:dyDescent="0.2">
      <c r="K201" s="10"/>
      <c r="L201" s="10"/>
      <c r="M201" s="10"/>
      <c r="N201" s="10"/>
    </row>
    <row r="202" spans="11:61" x14ac:dyDescent="0.2">
      <c r="K202" s="10"/>
      <c r="L202" s="10"/>
      <c r="M202" s="10"/>
      <c r="N202" s="10"/>
    </row>
    <row r="203" spans="11:61" x14ac:dyDescent="0.2">
      <c r="K203" s="10"/>
      <c r="L203" s="10"/>
      <c r="M203" s="10"/>
      <c r="N203" s="10"/>
    </row>
    <row r="204" spans="11:61" x14ac:dyDescent="0.2">
      <c r="K204" s="10"/>
      <c r="L204" s="10"/>
      <c r="M204" s="10"/>
      <c r="N204" s="10"/>
    </row>
    <row r="205" spans="11:61" x14ac:dyDescent="0.2">
      <c r="K205" s="10"/>
      <c r="L205" s="10"/>
      <c r="M205" s="10"/>
      <c r="N205" s="10"/>
    </row>
    <row r="206" spans="11:61" x14ac:dyDescent="0.2">
      <c r="K206" s="10"/>
      <c r="L206" s="10"/>
      <c r="M206" s="10"/>
      <c r="N206" s="10"/>
    </row>
    <row r="207" spans="11:61" x14ac:dyDescent="0.2">
      <c r="K207" s="10"/>
      <c r="L207" s="10"/>
      <c r="M207" s="10"/>
      <c r="N207" s="10"/>
    </row>
    <row r="208" spans="11:61" x14ac:dyDescent="0.2">
      <c r="K208" s="10"/>
      <c r="L208" s="10"/>
      <c r="M208" s="10"/>
      <c r="N208" s="10"/>
    </row>
    <row r="209" spans="11:61" x14ac:dyDescent="0.2">
      <c r="K209" s="10"/>
      <c r="L209" s="10"/>
      <c r="M209" s="10"/>
      <c r="N209" s="10"/>
    </row>
    <row r="210" spans="11:61" x14ac:dyDescent="0.2">
      <c r="K210" s="10"/>
      <c r="L210" s="10"/>
      <c r="M210" s="10"/>
      <c r="N210" s="10"/>
    </row>
    <row r="211" spans="11:61" x14ac:dyDescent="0.2">
      <c r="K211" s="10"/>
      <c r="L211" s="10"/>
      <c r="M211" s="10"/>
      <c r="N211" s="10"/>
    </row>
    <row r="212" spans="11:61" x14ac:dyDescent="0.2">
      <c r="K212" s="10"/>
      <c r="L212" s="10"/>
      <c r="M212" s="10"/>
      <c r="N212" s="10"/>
    </row>
    <row r="213" spans="11:61" x14ac:dyDescent="0.2">
      <c r="K213" s="10"/>
      <c r="L213" s="10"/>
      <c r="M213" s="10"/>
      <c r="N213" s="10"/>
    </row>
    <row r="214" spans="11:61" x14ac:dyDescent="0.2">
      <c r="K214" s="10"/>
      <c r="L214" s="10"/>
      <c r="M214" s="10"/>
      <c r="N214" s="10"/>
    </row>
    <row r="215" spans="11:61" x14ac:dyDescent="0.2">
      <c r="K215" s="10"/>
      <c r="L215" s="10"/>
      <c r="M215" s="10"/>
      <c r="N215" s="10"/>
    </row>
    <row r="216" spans="11:61" x14ac:dyDescent="0.2">
      <c r="K216" s="10"/>
      <c r="L216" s="10"/>
      <c r="M216" s="10"/>
      <c r="N216" s="10"/>
    </row>
    <row r="217" spans="11:61" x14ac:dyDescent="0.2">
      <c r="K217" s="10"/>
      <c r="L217" s="10"/>
      <c r="M217" s="10"/>
      <c r="N217" s="10"/>
    </row>
    <row r="218" spans="11:61" x14ac:dyDescent="0.2">
      <c r="K218" s="10"/>
      <c r="L218" s="10"/>
      <c r="M218" s="10"/>
      <c r="N218" s="10"/>
    </row>
    <row r="219" spans="11:61" x14ac:dyDescent="0.2">
      <c r="K219" s="10"/>
      <c r="L219" s="10"/>
      <c r="M219" s="10"/>
      <c r="N219" s="10"/>
    </row>
    <row r="220" spans="11:61" x14ac:dyDescent="0.2">
      <c r="K220" s="10"/>
      <c r="L220" s="10"/>
      <c r="M220" s="10"/>
      <c r="N220" s="10"/>
    </row>
    <row r="221" spans="11:61" x14ac:dyDescent="0.2">
      <c r="K221" s="10"/>
      <c r="L221" s="10"/>
      <c r="M221" s="10"/>
      <c r="N221" s="10"/>
    </row>
    <row r="222" spans="11:61" x14ac:dyDescent="0.2">
      <c r="K222" s="10"/>
      <c r="L222" s="10"/>
      <c r="M222" s="10"/>
      <c r="N222" s="10"/>
    </row>
    <row r="223" spans="11:61" x14ac:dyDescent="0.2">
      <c r="K223" s="10"/>
      <c r="L223" s="10"/>
      <c r="M223" s="10"/>
      <c r="N223" s="10"/>
    </row>
    <row r="224" spans="11:61" x14ac:dyDescent="0.2">
      <c r="K224" s="10"/>
      <c r="L224" s="10"/>
      <c r="M224" s="10"/>
      <c r="N224" s="10"/>
    </row>
    <row r="225" spans="11:61" x14ac:dyDescent="0.2">
      <c r="K225" s="10"/>
      <c r="L225" s="10"/>
      <c r="M225" s="10"/>
      <c r="N225" s="10"/>
    </row>
    <row r="226" spans="11:61" x14ac:dyDescent="0.2">
      <c r="K226" s="10"/>
      <c r="L226" s="10"/>
      <c r="M226" s="10"/>
      <c r="N226" s="10"/>
    </row>
    <row r="227" spans="11:61" x14ac:dyDescent="0.2">
      <c r="K227" s="10"/>
      <c r="L227" s="10"/>
      <c r="M227" s="10"/>
      <c r="N227" s="10"/>
    </row>
    <row r="228" spans="11:61" x14ac:dyDescent="0.2">
      <c r="K228" s="10"/>
      <c r="L228" s="10"/>
      <c r="M228" s="10"/>
      <c r="N228" s="10"/>
    </row>
    <row r="229" spans="11:61" x14ac:dyDescent="0.2">
      <c r="K229" s="10"/>
      <c r="L229" s="10"/>
      <c r="M229" s="10"/>
      <c r="N229" s="10"/>
    </row>
    <row r="230" spans="11:61" x14ac:dyDescent="0.2">
      <c r="K230" s="10"/>
      <c r="L230" s="10"/>
      <c r="M230" s="10"/>
      <c r="N230" s="10"/>
    </row>
    <row r="231" spans="11:61" x14ac:dyDescent="0.2">
      <c r="K231" s="10"/>
      <c r="L231" s="10"/>
      <c r="M231" s="10"/>
      <c r="N231" s="10"/>
    </row>
    <row r="232" spans="11:61" x14ac:dyDescent="0.2">
      <c r="K232" s="10"/>
      <c r="L232" s="10"/>
      <c r="M232" s="10"/>
      <c r="N232" s="10"/>
    </row>
    <row r="233" spans="11:61" x14ac:dyDescent="0.2">
      <c r="K233" s="10"/>
      <c r="L233" s="10"/>
      <c r="M233" s="10"/>
      <c r="N233" s="10"/>
    </row>
    <row r="234" spans="11:61" x14ac:dyDescent="0.2">
      <c r="K234" s="10"/>
      <c r="L234" s="10"/>
      <c r="M234" s="10"/>
      <c r="N234" s="10"/>
    </row>
    <row r="235" spans="11:61" x14ac:dyDescent="0.2">
      <c r="K235" s="10"/>
      <c r="L235" s="10"/>
      <c r="M235" s="10"/>
      <c r="N235" s="10"/>
    </row>
    <row r="236" spans="11:61" x14ac:dyDescent="0.2">
      <c r="K236" s="10"/>
      <c r="L236" s="10"/>
      <c r="M236" s="10"/>
      <c r="N236" s="10"/>
    </row>
    <row r="237" spans="11:61" x14ac:dyDescent="0.2">
      <c r="K237" s="10"/>
      <c r="L237" s="10"/>
      <c r="M237" s="10"/>
      <c r="N237" s="10"/>
    </row>
    <row r="238" spans="11:61" x14ac:dyDescent="0.2">
      <c r="K238" s="10"/>
      <c r="L238" s="10"/>
      <c r="M238" s="10"/>
      <c r="N238" s="10"/>
    </row>
    <row r="239" spans="11:61" x14ac:dyDescent="0.2">
      <c r="K239" s="10"/>
      <c r="L239" s="10"/>
      <c r="M239" s="10"/>
      <c r="N239" s="10"/>
    </row>
    <row r="240" spans="11:61" x14ac:dyDescent="0.2">
      <c r="K240" s="10"/>
      <c r="L240" s="10"/>
      <c r="M240" s="10"/>
      <c r="N240" s="10"/>
    </row>
    <row r="241" spans="11:61" x14ac:dyDescent="0.2">
      <c r="K241" s="10"/>
      <c r="L241" s="10"/>
      <c r="M241" s="10"/>
      <c r="N241" s="10"/>
    </row>
    <row r="242" spans="11:61" x14ac:dyDescent="0.2">
      <c r="K242" s="10"/>
      <c r="L242" s="10"/>
      <c r="M242" s="10"/>
      <c r="N242" s="10"/>
    </row>
    <row r="243" spans="11:61" x14ac:dyDescent="0.2">
      <c r="K243" s="10"/>
      <c r="L243" s="10"/>
      <c r="M243" s="10"/>
      <c r="N243" s="10"/>
    </row>
    <row r="244" spans="11:61" x14ac:dyDescent="0.2">
      <c r="K244" s="10"/>
      <c r="L244" s="10"/>
      <c r="M244" s="10"/>
      <c r="N244" s="10"/>
    </row>
    <row r="245" spans="11:61" x14ac:dyDescent="0.2">
      <c r="K245" s="10"/>
      <c r="L245" s="10"/>
      <c r="M245" s="10"/>
      <c r="N245" s="10"/>
    </row>
    <row r="246" spans="11:61" x14ac:dyDescent="0.2">
      <c r="K246" s="10"/>
      <c r="L246" s="10"/>
      <c r="M246" s="10"/>
      <c r="N246" s="10"/>
    </row>
    <row r="247" spans="11:61" x14ac:dyDescent="0.2">
      <c r="K247" s="10"/>
      <c r="L247" s="10"/>
      <c r="M247" s="10"/>
      <c r="N247" s="10"/>
    </row>
    <row r="248" spans="11:61" x14ac:dyDescent="0.2">
      <c r="K248" s="10"/>
      <c r="L248" s="10"/>
      <c r="M248" s="10"/>
      <c r="N248" s="10"/>
    </row>
    <row r="249" spans="11:61" x14ac:dyDescent="0.2">
      <c r="K249" s="10"/>
      <c r="L249" s="10"/>
      <c r="M249" s="10"/>
      <c r="N249" s="10"/>
    </row>
    <row r="250" spans="11:61" x14ac:dyDescent="0.2">
      <c r="K250" s="10"/>
      <c r="L250" s="10"/>
      <c r="M250" s="10"/>
      <c r="N250" s="10"/>
    </row>
    <row r="251" spans="11:61" x14ac:dyDescent="0.2">
      <c r="K251" s="10"/>
      <c r="L251" s="10"/>
      <c r="M251" s="10"/>
      <c r="N251" s="10"/>
    </row>
    <row r="252" spans="11:61" x14ac:dyDescent="0.2">
      <c r="K252" s="10"/>
      <c r="L252" s="10"/>
      <c r="M252" s="10"/>
      <c r="N252" s="10"/>
    </row>
    <row r="253" spans="11:61" x14ac:dyDescent="0.2">
      <c r="K253" s="10"/>
      <c r="L253" s="10"/>
      <c r="M253" s="10"/>
      <c r="N253" s="10"/>
    </row>
    <row r="254" spans="11:61" x14ac:dyDescent="0.2">
      <c r="K254" s="10"/>
      <c r="L254" s="10"/>
      <c r="M254" s="10"/>
      <c r="N254" s="10"/>
    </row>
    <row r="255" spans="11:61" x14ac:dyDescent="0.2">
      <c r="K255" s="10"/>
      <c r="L255" s="10"/>
      <c r="M255" s="10"/>
      <c r="N255" s="10"/>
    </row>
    <row r="256" spans="11:61" x14ac:dyDescent="0.2">
      <c r="K256" s="10"/>
      <c r="L256" s="10"/>
      <c r="M256" s="10"/>
      <c r="N256" s="10"/>
    </row>
    <row r="257" spans="11:61" x14ac:dyDescent="0.2">
      <c r="K257" s="10"/>
      <c r="L257" s="10"/>
      <c r="M257" s="10"/>
      <c r="N257" s="10"/>
    </row>
    <row r="258" spans="11:61" x14ac:dyDescent="0.2">
      <c r="K258" s="10"/>
      <c r="L258" s="10"/>
      <c r="M258" s="10"/>
      <c r="N258" s="10"/>
    </row>
    <row r="259" spans="11:61" x14ac:dyDescent="0.2">
      <c r="K259" s="10"/>
      <c r="L259" s="10"/>
      <c r="M259" s="10"/>
      <c r="N259" s="10"/>
    </row>
    <row r="260" spans="11:61" x14ac:dyDescent="0.2">
      <c r="K260" s="10"/>
      <c r="L260" s="10"/>
      <c r="M260" s="10"/>
      <c r="N260" s="10"/>
    </row>
    <row r="261" spans="11:61" x14ac:dyDescent="0.2">
      <c r="K261" s="10"/>
      <c r="L261" s="10"/>
      <c r="M261" s="10"/>
      <c r="N261" s="10"/>
    </row>
    <row r="262" spans="11:61" x14ac:dyDescent="0.2">
      <c r="K262" s="10"/>
      <c r="L262" s="10"/>
      <c r="M262" s="10"/>
      <c r="N262" s="10"/>
    </row>
    <row r="263" spans="11:61" x14ac:dyDescent="0.2">
      <c r="K263" s="10"/>
      <c r="L263" s="10"/>
      <c r="M263" s="10"/>
      <c r="N263" s="10"/>
    </row>
    <row r="264" spans="11:61" x14ac:dyDescent="0.2">
      <c r="K264" s="10"/>
      <c r="L264" s="10"/>
      <c r="M264" s="10"/>
      <c r="N264" s="10"/>
    </row>
    <row r="265" spans="11:61" x14ac:dyDescent="0.2">
      <c r="K265" s="10"/>
      <c r="L265" s="10"/>
      <c r="M265" s="10"/>
      <c r="N265" s="10"/>
    </row>
    <row r="266" spans="11:61" x14ac:dyDescent="0.2">
      <c r="K266" s="10"/>
      <c r="L266" s="10"/>
      <c r="M266" s="10"/>
      <c r="N266" s="10"/>
    </row>
    <row r="267" spans="11:61" x14ac:dyDescent="0.2">
      <c r="K267" s="10"/>
      <c r="L267" s="10"/>
      <c r="M267" s="10"/>
      <c r="N267" s="10"/>
    </row>
    <row r="268" spans="11:61" x14ac:dyDescent="0.2">
      <c r="K268" s="10"/>
      <c r="L268" s="10"/>
      <c r="M268" s="10"/>
      <c r="N268" s="10"/>
    </row>
    <row r="269" spans="11:61" x14ac:dyDescent="0.2">
      <c r="K269" s="10"/>
      <c r="L269" s="10"/>
      <c r="M269" s="10"/>
      <c r="N269" s="10"/>
    </row>
    <row r="270" spans="11:61" x14ac:dyDescent="0.2">
      <c r="K270" s="10"/>
      <c r="L270" s="10"/>
      <c r="M270" s="10"/>
      <c r="N270" s="10"/>
    </row>
    <row r="271" spans="11:61" x14ac:dyDescent="0.2">
      <c r="K271" s="10"/>
      <c r="L271" s="10"/>
      <c r="M271" s="10"/>
      <c r="N271" s="10"/>
    </row>
    <row r="272" spans="11:61" x14ac:dyDescent="0.2">
      <c r="K272" s="10"/>
      <c r="L272" s="10"/>
      <c r="M272" s="10"/>
      <c r="N272" s="10"/>
    </row>
    <row r="273" spans="11:61" x14ac:dyDescent="0.2">
      <c r="K273" s="10"/>
      <c r="L273" s="10"/>
      <c r="M273" s="10"/>
      <c r="N273" s="10"/>
    </row>
    <row r="274" spans="11:61" x14ac:dyDescent="0.2">
      <c r="K274" s="10"/>
      <c r="L274" s="10"/>
      <c r="M274" s="10"/>
      <c r="N274" s="10"/>
    </row>
    <row r="275" spans="11:61" x14ac:dyDescent="0.2">
      <c r="K275" s="10"/>
      <c r="L275" s="10"/>
      <c r="M275" s="10"/>
      <c r="N275" s="10"/>
    </row>
    <row r="276" spans="11:61" x14ac:dyDescent="0.2">
      <c r="K276" s="10"/>
      <c r="L276" s="10"/>
      <c r="M276" s="10"/>
      <c r="N276" s="10"/>
    </row>
    <row r="277" spans="11:61" x14ac:dyDescent="0.2">
      <c r="K277" s="10"/>
      <c r="L277" s="10"/>
      <c r="M277" s="10"/>
      <c r="N277" s="10"/>
    </row>
    <row r="278" spans="11:61" x14ac:dyDescent="0.2">
      <c r="K278" s="10"/>
      <c r="L278" s="10"/>
      <c r="M278" s="10"/>
      <c r="N278" s="10"/>
    </row>
  </sheetData>
  <customSheetViews>
    <customSheetView guid="{61984D74-FB1A-431B-A485-2C7520214577}" showPageBreaks="1" view="pageLayout" topLeftCell="A3">
      <selection activeCell="B3" sqref="B3"/>
      <pageMargins left="0.25" right="0.25" top="0.75" bottom="0.75" header="0.3" footer="0.3"/>
      <pageSetup orientation="portrait" horizontalDpi="0" verticalDpi="0" r:id="rId1"/>
      <headerFooter scaleWithDoc="0">
        <oddHeader>&amp;L&amp;G</oddHeader>
      </headerFooter>
    </customSheetView>
  </customSheetViews>
  <mergeCells count="353">
    <mergeCell ref="N90:N107"/>
    <mergeCell ref="K90:K107"/>
    <mergeCell ref="L90:L107"/>
    <mergeCell ref="M90:M107"/>
    <mergeCell ref="L140:L141"/>
    <mergeCell ref="M140:M141"/>
    <mergeCell ref="N140:N141"/>
    <mergeCell ref="K145:K162"/>
    <mergeCell ref="L145:L162"/>
    <mergeCell ref="M145:M162"/>
    <mergeCell ref="N145:N162"/>
    <mergeCell ref="K116:K117"/>
    <mergeCell ref="L116:L117"/>
    <mergeCell ref="M116:M117"/>
    <mergeCell ref="N116:N117"/>
    <mergeCell ref="K121:K139"/>
    <mergeCell ref="L121:L139"/>
    <mergeCell ref="M121:M139"/>
    <mergeCell ref="N121:N139"/>
    <mergeCell ref="B100:C100"/>
    <mergeCell ref="D100:H100"/>
    <mergeCell ref="B101:C101"/>
    <mergeCell ref="D101:H101"/>
    <mergeCell ref="A50:J50"/>
    <mergeCell ref="A49:J49"/>
    <mergeCell ref="A48:J48"/>
    <mergeCell ref="A51:J51"/>
    <mergeCell ref="K140:K141"/>
    <mergeCell ref="B96:C96"/>
    <mergeCell ref="D96:H96"/>
    <mergeCell ref="B97:C97"/>
    <mergeCell ref="D97:H97"/>
    <mergeCell ref="B98:C98"/>
    <mergeCell ref="D98:H98"/>
    <mergeCell ref="B90:C90"/>
    <mergeCell ref="D90:H90"/>
    <mergeCell ref="B91:C91"/>
    <mergeCell ref="D91:H91"/>
    <mergeCell ref="B92:C92"/>
    <mergeCell ref="D92:H92"/>
    <mergeCell ref="B84:C84"/>
    <mergeCell ref="D84:H84"/>
    <mergeCell ref="B85:C85"/>
    <mergeCell ref="L32:L33"/>
    <mergeCell ref="M32:M33"/>
    <mergeCell ref="N32:N33"/>
    <mergeCell ref="K37:K53"/>
    <mergeCell ref="B93:C93"/>
    <mergeCell ref="D93:H93"/>
    <mergeCell ref="B106:C106"/>
    <mergeCell ref="D106:H106"/>
    <mergeCell ref="B107:C107"/>
    <mergeCell ref="D107:H107"/>
    <mergeCell ref="B102:C102"/>
    <mergeCell ref="D102:H102"/>
    <mergeCell ref="B103:C103"/>
    <mergeCell ref="D103:H103"/>
    <mergeCell ref="B104:C104"/>
    <mergeCell ref="D104:H104"/>
    <mergeCell ref="B94:C94"/>
    <mergeCell ref="D94:H94"/>
    <mergeCell ref="B95:C95"/>
    <mergeCell ref="D95:H95"/>
    <mergeCell ref="B105:C105"/>
    <mergeCell ref="D105:H105"/>
    <mergeCell ref="B99:C99"/>
    <mergeCell ref="D99:H99"/>
    <mergeCell ref="D85:H85"/>
    <mergeCell ref="B86:C86"/>
    <mergeCell ref="D86:H86"/>
    <mergeCell ref="B81:C81"/>
    <mergeCell ref="D81:H81"/>
    <mergeCell ref="B82:C82"/>
    <mergeCell ref="D82:H82"/>
    <mergeCell ref="B83:C83"/>
    <mergeCell ref="D83:H83"/>
    <mergeCell ref="B78:C78"/>
    <mergeCell ref="D78:H78"/>
    <mergeCell ref="B79:C79"/>
    <mergeCell ref="D79:H79"/>
    <mergeCell ref="B80:C80"/>
    <mergeCell ref="D80:H80"/>
    <mergeCell ref="B75:C75"/>
    <mergeCell ref="D75:H75"/>
    <mergeCell ref="B76:C76"/>
    <mergeCell ref="D76:H76"/>
    <mergeCell ref="B77:C77"/>
    <mergeCell ref="D77:H77"/>
    <mergeCell ref="B72:C72"/>
    <mergeCell ref="D72:H72"/>
    <mergeCell ref="B73:C73"/>
    <mergeCell ref="D73:H73"/>
    <mergeCell ref="B74:C74"/>
    <mergeCell ref="D74:H74"/>
    <mergeCell ref="B69:C69"/>
    <mergeCell ref="D69:H69"/>
    <mergeCell ref="B70:C70"/>
    <mergeCell ref="D70:H70"/>
    <mergeCell ref="B71:C71"/>
    <mergeCell ref="D71:H71"/>
    <mergeCell ref="B67:C67"/>
    <mergeCell ref="D67:H67"/>
    <mergeCell ref="B68:C68"/>
    <mergeCell ref="D68:H68"/>
    <mergeCell ref="D28:H28"/>
    <mergeCell ref="D29:H29"/>
    <mergeCell ref="B61:C61"/>
    <mergeCell ref="D61:H61"/>
    <mergeCell ref="B62:C62"/>
    <mergeCell ref="D62:H62"/>
    <mergeCell ref="B63:C63"/>
    <mergeCell ref="D63:H63"/>
    <mergeCell ref="D40:H40"/>
    <mergeCell ref="B41:C41"/>
    <mergeCell ref="D41:H41"/>
    <mergeCell ref="B42:C42"/>
    <mergeCell ref="D42:H42"/>
    <mergeCell ref="B40:C40"/>
    <mergeCell ref="B46:C46"/>
    <mergeCell ref="D46:H46"/>
    <mergeCell ref="B47:C47"/>
    <mergeCell ref="D47:H47"/>
    <mergeCell ref="B43:C43"/>
    <mergeCell ref="D43:H43"/>
    <mergeCell ref="D38:H38"/>
    <mergeCell ref="K9:N9"/>
    <mergeCell ref="L14:L30"/>
    <mergeCell ref="K14:K30"/>
    <mergeCell ref="M14:M30"/>
    <mergeCell ref="N14:N30"/>
    <mergeCell ref="C9:E9"/>
    <mergeCell ref="D26:H26"/>
    <mergeCell ref="D10:G10"/>
    <mergeCell ref="D22:H22"/>
    <mergeCell ref="B22:C22"/>
    <mergeCell ref="D23:H23"/>
    <mergeCell ref="D24:H24"/>
    <mergeCell ref="D25:H25"/>
    <mergeCell ref="B23:C23"/>
    <mergeCell ref="B24:C24"/>
    <mergeCell ref="B25:C25"/>
    <mergeCell ref="B26:C26"/>
    <mergeCell ref="F9:J9"/>
    <mergeCell ref="K31:N31"/>
    <mergeCell ref="L37:L53"/>
    <mergeCell ref="M37:M53"/>
    <mergeCell ref="N37:N53"/>
    <mergeCell ref="K32:K33"/>
    <mergeCell ref="B27:C27"/>
    <mergeCell ref="B29:C29"/>
    <mergeCell ref="B30:C30"/>
    <mergeCell ref="D27:H27"/>
    <mergeCell ref="D30:H30"/>
    <mergeCell ref="B28:C28"/>
    <mergeCell ref="K85:K86"/>
    <mergeCell ref="L85:L86"/>
    <mergeCell ref="M85:M86"/>
    <mergeCell ref="B31:C31"/>
    <mergeCell ref="D31:H31"/>
    <mergeCell ref="B32:C32"/>
    <mergeCell ref="D32:H32"/>
    <mergeCell ref="B33:C33"/>
    <mergeCell ref="D33:H33"/>
    <mergeCell ref="B39:C39"/>
    <mergeCell ref="D39:H39"/>
    <mergeCell ref="B37:C37"/>
    <mergeCell ref="D37:H37"/>
    <mergeCell ref="B44:C44"/>
    <mergeCell ref="D44:H44"/>
    <mergeCell ref="B45:C45"/>
    <mergeCell ref="D45:H45"/>
    <mergeCell ref="B38:C38"/>
    <mergeCell ref="N85:N86"/>
    <mergeCell ref="N62:N63"/>
    <mergeCell ref="K62:K63"/>
    <mergeCell ref="L62:L63"/>
    <mergeCell ref="M62:M63"/>
    <mergeCell ref="K67:K84"/>
    <mergeCell ref="L67:L84"/>
    <mergeCell ref="M67:M84"/>
    <mergeCell ref="N67:N84"/>
    <mergeCell ref="B115:C115"/>
    <mergeCell ref="D115:H115"/>
    <mergeCell ref="B116:C116"/>
    <mergeCell ref="D116:H116"/>
    <mergeCell ref="B117:C117"/>
    <mergeCell ref="D117:H117"/>
    <mergeCell ref="B121:C121"/>
    <mergeCell ref="D121:H121"/>
    <mergeCell ref="B122:C122"/>
    <mergeCell ref="D122:H122"/>
    <mergeCell ref="B123:C123"/>
    <mergeCell ref="D123:H123"/>
    <mergeCell ref="B124:C124"/>
    <mergeCell ref="D124:H124"/>
    <mergeCell ref="B125:C125"/>
    <mergeCell ref="D125:H125"/>
    <mergeCell ref="B126:C126"/>
    <mergeCell ref="D126:H126"/>
    <mergeCell ref="B127:C127"/>
    <mergeCell ref="D127:H127"/>
    <mergeCell ref="B128:C128"/>
    <mergeCell ref="D128:H128"/>
    <mergeCell ref="B129:C129"/>
    <mergeCell ref="D129:H129"/>
    <mergeCell ref="B130:C130"/>
    <mergeCell ref="D130:H130"/>
    <mergeCell ref="B131:C131"/>
    <mergeCell ref="D131:H131"/>
    <mergeCell ref="B132:C132"/>
    <mergeCell ref="D132:H132"/>
    <mergeCell ref="B133:C133"/>
    <mergeCell ref="D133:H133"/>
    <mergeCell ref="B134:C134"/>
    <mergeCell ref="D134:H134"/>
    <mergeCell ref="B135:C135"/>
    <mergeCell ref="D135:H135"/>
    <mergeCell ref="B136:C136"/>
    <mergeCell ref="D136:H136"/>
    <mergeCell ref="B137:C137"/>
    <mergeCell ref="D137:H137"/>
    <mergeCell ref="B138:C138"/>
    <mergeCell ref="D138:H138"/>
    <mergeCell ref="B139:C139"/>
    <mergeCell ref="D139:H139"/>
    <mergeCell ref="B140:C140"/>
    <mergeCell ref="D140:H140"/>
    <mergeCell ref="B141:C141"/>
    <mergeCell ref="D141:H141"/>
    <mergeCell ref="B145:C145"/>
    <mergeCell ref="D145:H145"/>
    <mergeCell ref="B146:C146"/>
    <mergeCell ref="D146:H146"/>
    <mergeCell ref="B147:C147"/>
    <mergeCell ref="D147:H147"/>
    <mergeCell ref="B148:C148"/>
    <mergeCell ref="D148:H148"/>
    <mergeCell ref="B149:C149"/>
    <mergeCell ref="D149:H149"/>
    <mergeCell ref="B150:C150"/>
    <mergeCell ref="D150:H150"/>
    <mergeCell ref="B151:C151"/>
    <mergeCell ref="D151:H151"/>
    <mergeCell ref="B152:C152"/>
    <mergeCell ref="D152:H152"/>
    <mergeCell ref="B153:C153"/>
    <mergeCell ref="D153:H153"/>
    <mergeCell ref="B154:C154"/>
    <mergeCell ref="D154:H154"/>
    <mergeCell ref="B155:C155"/>
    <mergeCell ref="D155:H155"/>
    <mergeCell ref="B161:C161"/>
    <mergeCell ref="D161:H161"/>
    <mergeCell ref="B162:C162"/>
    <mergeCell ref="D162:H162"/>
    <mergeCell ref="B156:C156"/>
    <mergeCell ref="D156:H156"/>
    <mergeCell ref="B157:C157"/>
    <mergeCell ref="D157:H157"/>
    <mergeCell ref="B158:C158"/>
    <mergeCell ref="D158:H158"/>
    <mergeCell ref="B159:C159"/>
    <mergeCell ref="D159:H159"/>
    <mergeCell ref="B160:C160"/>
    <mergeCell ref="D160:H160"/>
    <mergeCell ref="O14:O30"/>
    <mergeCell ref="P14:P30"/>
    <mergeCell ref="Q14:Q30"/>
    <mergeCell ref="R14:R30"/>
    <mergeCell ref="O32:O33"/>
    <mergeCell ref="P32:P33"/>
    <mergeCell ref="Q32:Q33"/>
    <mergeCell ref="R32:R33"/>
    <mergeCell ref="O37:O53"/>
    <mergeCell ref="P37:P53"/>
    <mergeCell ref="Q37:Q53"/>
    <mergeCell ref="R37:R53"/>
    <mergeCell ref="O62:O63"/>
    <mergeCell ref="P62:P63"/>
    <mergeCell ref="Q62:Q63"/>
    <mergeCell ref="R62:R63"/>
    <mergeCell ref="O67:O84"/>
    <mergeCell ref="P67:P84"/>
    <mergeCell ref="Q67:Q84"/>
    <mergeCell ref="R67:R84"/>
    <mergeCell ref="O85:O86"/>
    <mergeCell ref="P85:P86"/>
    <mergeCell ref="Q85:Q86"/>
    <mergeCell ref="R85:R86"/>
    <mergeCell ref="O140:O141"/>
    <mergeCell ref="P140:P141"/>
    <mergeCell ref="Q140:Q141"/>
    <mergeCell ref="R140:R141"/>
    <mergeCell ref="O145:O162"/>
    <mergeCell ref="P145:P162"/>
    <mergeCell ref="Q145:Q162"/>
    <mergeCell ref="R145:R162"/>
    <mergeCell ref="S14:S30"/>
    <mergeCell ref="S62:S63"/>
    <mergeCell ref="S90:S107"/>
    <mergeCell ref="S140:S141"/>
    <mergeCell ref="O90:O107"/>
    <mergeCell ref="P90:P107"/>
    <mergeCell ref="Q90:Q107"/>
    <mergeCell ref="R90:R107"/>
    <mergeCell ref="O116:O117"/>
    <mergeCell ref="P116:P117"/>
    <mergeCell ref="Q116:Q117"/>
    <mergeCell ref="R116:R117"/>
    <mergeCell ref="O121:O139"/>
    <mergeCell ref="P121:P139"/>
    <mergeCell ref="Q121:Q139"/>
    <mergeCell ref="R121:R139"/>
    <mergeCell ref="T14:T30"/>
    <mergeCell ref="U14:U30"/>
    <mergeCell ref="V14:V30"/>
    <mergeCell ref="S32:S33"/>
    <mergeCell ref="T32:T33"/>
    <mergeCell ref="U32:U33"/>
    <mergeCell ref="V32:V33"/>
    <mergeCell ref="S37:S53"/>
    <mergeCell ref="T37:T53"/>
    <mergeCell ref="U37:U53"/>
    <mergeCell ref="V37:V53"/>
    <mergeCell ref="T62:T63"/>
    <mergeCell ref="U62:U63"/>
    <mergeCell ref="V62:V63"/>
    <mergeCell ref="S67:S84"/>
    <mergeCell ref="T67:T84"/>
    <mergeCell ref="U67:U84"/>
    <mergeCell ref="V67:V84"/>
    <mergeCell ref="S85:S86"/>
    <mergeCell ref="T85:T86"/>
    <mergeCell ref="U85:U86"/>
    <mergeCell ref="V85:V86"/>
    <mergeCell ref="T140:T141"/>
    <mergeCell ref="U140:U141"/>
    <mergeCell ref="V140:V141"/>
    <mergeCell ref="S145:S162"/>
    <mergeCell ref="T145:T162"/>
    <mergeCell ref="U145:U162"/>
    <mergeCell ref="V145:V162"/>
    <mergeCell ref="T90:T107"/>
    <mergeCell ref="U90:U107"/>
    <mergeCell ref="V90:V107"/>
    <mergeCell ref="S116:S117"/>
    <mergeCell ref="T116:T117"/>
    <mergeCell ref="U116:U117"/>
    <mergeCell ref="V116:V117"/>
    <mergeCell ref="S121:S139"/>
    <mergeCell ref="T121:T139"/>
    <mergeCell ref="U121:U139"/>
    <mergeCell ref="V121:V139"/>
  </mergeCells>
  <phoneticPr fontId="6" type="noConversion"/>
  <conditionalFormatting sqref="J23">
    <cfRule type="expression" dxfId="0" priority="1">
      <formula>AND(OR(ISNUMBER(SEARCH(" ארנ"," "&amp;TRIM(SUBSTITUTE(SUBSTITUTE(SUBSTITUTE(SUBSTITUTE(SUBSTITUTE($B$23&amp;"","ו",""),"י",""),"ן","נ"),"-"," "),","," ")))),ISNUMBER(SEARCH(" הארנ"," "&amp;TRIM(SUBSTITUTE(SUBSTITUTE(SUBSTITUTE(SUBSTITUTE(SUBSTITUTE($B$23&amp;"","ו",""),"י",""),"ן","נ"),"-"," "),","," ")))),ISNUMBER(SEARCH(" אארנ"," "&amp;TRIM(SUBSTITUTE(SUBSTITUTE(SUBSTITUTE(SUBSTITUTE(SUBSTITUTE($B$23&amp;"","ו",""),"י",""),"ן","נ"),"-"," "),","," ")))),ISNUMBER(SEARCH(" אנרנ"," "&amp;TRIM(SUBSTITUTE(SUBSTITUTE(SUBSTITUTE(SUBSTITUTE(SUBSTITUTE($B$23&amp;"","ו",""),"י",""),"ן","נ"),"-"," "),","," ")))),ISNUMBER(SEARCH(" האנרנ"," "&amp;TRIM(SUBSTITUTE(SUBSTITUTE(SUBSTITUTE(SUBSTITUTE(SUBSTITUTE($B$23&amp;"","ו",""),"י",""),"ן","נ"),"-"," "),","," "))))),NOT(OR(ISNUMBER($J$23),ISNUMBER(--TRIM(SUBSTITUTE(SUBSTITUTE($J$23&amp;"","פצל",""),"פ",""))))))</formula>
    </cfRule>
  </conditionalFormatting>
  <conditionalFormatting sqref="J24">
    <cfRule type="expression" dxfId="0" priority="2">
      <formula>AND(OR(ISNUMBER(SEARCH(" ארנ"," "&amp;TRIM(SUBSTITUTE(SUBSTITUTE(SUBSTITUTE(SUBSTITUTE(SUBSTITUTE($B$24&amp;"","ו",""),"י",""),"ן","נ"),"-"," "),","," ")))),ISNUMBER(SEARCH(" הארנ"," "&amp;TRIM(SUBSTITUTE(SUBSTITUTE(SUBSTITUTE(SUBSTITUTE(SUBSTITUTE($B$24&amp;"","ו",""),"י",""),"ן","נ"),"-"," "),","," ")))),ISNUMBER(SEARCH(" אארנ"," "&amp;TRIM(SUBSTITUTE(SUBSTITUTE(SUBSTITUTE(SUBSTITUTE(SUBSTITUTE($B$24&amp;"","ו",""),"י",""),"ן","נ"),"-"," "),","," ")))),ISNUMBER(SEARCH(" אנרנ"," "&amp;TRIM(SUBSTITUTE(SUBSTITUTE(SUBSTITUTE(SUBSTITUTE(SUBSTITUTE($B$24&amp;"","ו",""),"י",""),"ן","נ"),"-"," "),","," ")))),ISNUMBER(SEARCH(" האנרנ"," "&amp;TRIM(SUBSTITUTE(SUBSTITUTE(SUBSTITUTE(SUBSTITUTE(SUBSTITUTE($B$24&amp;"","ו",""),"י",""),"ן","נ"),"-"," "),","," "))))),NOT(OR(ISNUMBER($J$24),ISNUMBER(--TRIM(SUBSTITUTE(SUBSTITUTE($J$24&amp;"","פצל",""),"פ",""))))))</formula>
    </cfRule>
  </conditionalFormatting>
  <conditionalFormatting sqref="J25">
    <cfRule type="expression" dxfId="0" priority="3">
      <formula>AND(OR(ISNUMBER(SEARCH(" ארנ"," "&amp;TRIM(SUBSTITUTE(SUBSTITUTE(SUBSTITUTE(SUBSTITUTE(SUBSTITUTE($B$25&amp;"","ו",""),"י",""),"ן","נ"),"-"," "),","," ")))),ISNUMBER(SEARCH(" הארנ"," "&amp;TRIM(SUBSTITUTE(SUBSTITUTE(SUBSTITUTE(SUBSTITUTE(SUBSTITUTE($B$25&amp;"","ו",""),"י",""),"ן","נ"),"-"," "),","," ")))),ISNUMBER(SEARCH(" אארנ"," "&amp;TRIM(SUBSTITUTE(SUBSTITUTE(SUBSTITUTE(SUBSTITUTE(SUBSTITUTE($B$25&amp;"","ו",""),"י",""),"ן","נ"),"-"," "),","," ")))),ISNUMBER(SEARCH(" אנרנ"," "&amp;TRIM(SUBSTITUTE(SUBSTITUTE(SUBSTITUTE(SUBSTITUTE(SUBSTITUTE($B$25&amp;"","ו",""),"י",""),"ן","נ"),"-"," "),","," ")))),ISNUMBER(SEARCH(" האנרנ"," "&amp;TRIM(SUBSTITUTE(SUBSTITUTE(SUBSTITUTE(SUBSTITUTE(SUBSTITUTE($B$25&amp;"","ו",""),"י",""),"ן","נ"),"-"," "),","," "))))),NOT(OR(ISNUMBER($J$25),ISNUMBER(--TRIM(SUBSTITUTE(SUBSTITUTE($J$25&amp;"","פצל",""),"פ",""))))))</formula>
    </cfRule>
  </conditionalFormatting>
  <conditionalFormatting sqref="J26">
    <cfRule type="expression" dxfId="0" priority="4">
      <formula>AND(OR(ISNUMBER(SEARCH(" ארנ"," "&amp;TRIM(SUBSTITUTE(SUBSTITUTE(SUBSTITUTE(SUBSTITUTE(SUBSTITUTE($B$26&amp;"","ו",""),"י",""),"ן","נ"),"-"," "),","," ")))),ISNUMBER(SEARCH(" הארנ"," "&amp;TRIM(SUBSTITUTE(SUBSTITUTE(SUBSTITUTE(SUBSTITUTE(SUBSTITUTE($B$26&amp;"","ו",""),"י",""),"ן","נ"),"-"," "),","," ")))),ISNUMBER(SEARCH(" אארנ"," "&amp;TRIM(SUBSTITUTE(SUBSTITUTE(SUBSTITUTE(SUBSTITUTE(SUBSTITUTE($B$26&amp;"","ו",""),"י",""),"ן","נ"),"-"," "),","," ")))),ISNUMBER(SEARCH(" אנרנ"," "&amp;TRIM(SUBSTITUTE(SUBSTITUTE(SUBSTITUTE(SUBSTITUTE(SUBSTITUTE($B$26&amp;"","ו",""),"י",""),"ן","נ"),"-"," "),","," ")))),ISNUMBER(SEARCH(" האנרנ"," "&amp;TRIM(SUBSTITUTE(SUBSTITUTE(SUBSTITUTE(SUBSTITUTE(SUBSTITUTE($B$26&amp;"","ו",""),"י",""),"ן","נ"),"-"," "),","," "))))),NOT(OR(ISNUMBER($J$26),ISNUMBER(--TRIM(SUBSTITUTE(SUBSTITUTE($J$26&amp;"","פצל",""),"פ",""))))))</formula>
    </cfRule>
  </conditionalFormatting>
  <conditionalFormatting sqref="J27">
    <cfRule type="expression" dxfId="0" priority="5">
      <formula>AND(OR(ISNUMBER(SEARCH(" ארנ"," "&amp;TRIM(SUBSTITUTE(SUBSTITUTE(SUBSTITUTE(SUBSTITUTE(SUBSTITUTE($B$27&amp;"","ו",""),"י",""),"ן","נ"),"-"," "),","," ")))),ISNUMBER(SEARCH(" הארנ"," "&amp;TRIM(SUBSTITUTE(SUBSTITUTE(SUBSTITUTE(SUBSTITUTE(SUBSTITUTE($B$27&amp;"","ו",""),"י",""),"ן","נ"),"-"," "),","," ")))),ISNUMBER(SEARCH(" אארנ"," "&amp;TRIM(SUBSTITUTE(SUBSTITUTE(SUBSTITUTE(SUBSTITUTE(SUBSTITUTE($B$27&amp;"","ו",""),"י",""),"ן","נ"),"-"," "),","," ")))),ISNUMBER(SEARCH(" אנרנ"," "&amp;TRIM(SUBSTITUTE(SUBSTITUTE(SUBSTITUTE(SUBSTITUTE(SUBSTITUTE($B$27&amp;"","ו",""),"י",""),"ן","נ"),"-"," "),","," ")))),ISNUMBER(SEARCH(" האנרנ"," "&amp;TRIM(SUBSTITUTE(SUBSTITUTE(SUBSTITUTE(SUBSTITUTE(SUBSTITUTE($B$27&amp;"","ו",""),"י",""),"ן","נ"),"-"," "),","," "))))),NOT(OR(ISNUMBER($J$27),ISNUMBER(--TRIM(SUBSTITUTE(SUBSTITUTE($J$27&amp;"","פצל",""),"פ",""))))))</formula>
    </cfRule>
  </conditionalFormatting>
  <conditionalFormatting sqref="J28">
    <cfRule type="expression" dxfId="0" priority="6">
      <formula>AND(OR(ISNUMBER(SEARCH(" ארנ"," "&amp;TRIM(SUBSTITUTE(SUBSTITUTE(SUBSTITUTE(SUBSTITUTE(SUBSTITUTE($B$28&amp;"","ו",""),"י",""),"ן","נ"),"-"," "),","," ")))),ISNUMBER(SEARCH(" הארנ"," "&amp;TRIM(SUBSTITUTE(SUBSTITUTE(SUBSTITUTE(SUBSTITUTE(SUBSTITUTE($B$28&amp;"","ו",""),"י",""),"ן","נ"),"-"," "),","," ")))),ISNUMBER(SEARCH(" אארנ"," "&amp;TRIM(SUBSTITUTE(SUBSTITUTE(SUBSTITUTE(SUBSTITUTE(SUBSTITUTE($B$28&amp;"","ו",""),"י",""),"ן","נ"),"-"," "),","," ")))),ISNUMBER(SEARCH(" אנרנ"," "&amp;TRIM(SUBSTITUTE(SUBSTITUTE(SUBSTITUTE(SUBSTITUTE(SUBSTITUTE($B$28&amp;"","ו",""),"י",""),"ן","נ"),"-"," "),","," ")))),ISNUMBER(SEARCH(" האנרנ"," "&amp;TRIM(SUBSTITUTE(SUBSTITUTE(SUBSTITUTE(SUBSTITUTE(SUBSTITUTE($B$28&amp;"","ו",""),"י",""),"ן","נ"),"-"," "),","," "))))),NOT(OR(ISNUMBER($J$28),ISNUMBER(--TRIM(SUBSTITUTE(SUBSTITUTE($J$28&amp;"","פצל",""),"פ",""))))))</formula>
    </cfRule>
  </conditionalFormatting>
  <conditionalFormatting sqref="J29">
    <cfRule type="expression" dxfId="0" priority="7">
      <formula>AND(OR(ISNUMBER(SEARCH(" ארנ"," "&amp;TRIM(SUBSTITUTE(SUBSTITUTE(SUBSTITUTE(SUBSTITUTE(SUBSTITUTE($B$29&amp;"","ו",""),"י",""),"ן","נ"),"-"," "),","," ")))),ISNUMBER(SEARCH(" הארנ"," "&amp;TRIM(SUBSTITUTE(SUBSTITUTE(SUBSTITUTE(SUBSTITUTE(SUBSTITUTE($B$29&amp;"","ו",""),"י",""),"ן","נ"),"-"," "),","," ")))),ISNUMBER(SEARCH(" אארנ"," "&amp;TRIM(SUBSTITUTE(SUBSTITUTE(SUBSTITUTE(SUBSTITUTE(SUBSTITUTE($B$29&amp;"","ו",""),"י",""),"ן","נ"),"-"," "),","," ")))),ISNUMBER(SEARCH(" אנרנ"," "&amp;TRIM(SUBSTITUTE(SUBSTITUTE(SUBSTITUTE(SUBSTITUTE(SUBSTITUTE($B$29&amp;"","ו",""),"י",""),"ן","נ"),"-"," "),","," ")))),ISNUMBER(SEARCH(" האנרנ"," "&amp;TRIM(SUBSTITUTE(SUBSTITUTE(SUBSTITUTE(SUBSTITUTE(SUBSTITUTE($B$29&amp;"","ו",""),"י",""),"ן","נ"),"-"," "),","," "))))),NOT(OR(ISNUMBER($J$29),ISNUMBER(--TRIM(SUBSTITUTE(SUBSTITUTE($J$29&amp;"","פצל",""),"פ",""))))))</formula>
    </cfRule>
  </conditionalFormatting>
  <conditionalFormatting sqref="J30">
    <cfRule type="expression" dxfId="0" priority="8">
      <formula>AND(OR(ISNUMBER(SEARCH(" ארנ"," "&amp;TRIM(SUBSTITUTE(SUBSTITUTE(SUBSTITUTE(SUBSTITUTE(SUBSTITUTE($B$30&amp;"","ו",""),"י",""),"ן","נ"),"-"," "),","," ")))),ISNUMBER(SEARCH(" הארנ"," "&amp;TRIM(SUBSTITUTE(SUBSTITUTE(SUBSTITUTE(SUBSTITUTE(SUBSTITUTE($B$30&amp;"","ו",""),"י",""),"ן","נ"),"-"," "),","," ")))),ISNUMBER(SEARCH(" אארנ"," "&amp;TRIM(SUBSTITUTE(SUBSTITUTE(SUBSTITUTE(SUBSTITUTE(SUBSTITUTE($B$30&amp;"","ו",""),"י",""),"ן","נ"),"-"," "),","," ")))),ISNUMBER(SEARCH(" אנרנ"," "&amp;TRIM(SUBSTITUTE(SUBSTITUTE(SUBSTITUTE(SUBSTITUTE(SUBSTITUTE($B$30&amp;"","ו",""),"י",""),"ן","נ"),"-"," "),","," ")))),ISNUMBER(SEARCH(" האנרנ"," "&amp;TRIM(SUBSTITUTE(SUBSTITUTE(SUBSTITUTE(SUBSTITUTE(SUBSTITUTE($B$30&amp;"","ו",""),"י",""),"ן","נ"),"-"," "),","," "))))),NOT(OR(ISNUMBER($J$30),ISNUMBER(--TRIM(SUBSTITUTE(SUBSTITUTE($J$30&amp;"","פצל",""),"פ",""))))))</formula>
    </cfRule>
  </conditionalFormatting>
  <conditionalFormatting sqref="J31">
    <cfRule type="expression" dxfId="0" priority="9">
      <formula>AND(OR(ISNUMBER(SEARCH(" ארנ"," "&amp;TRIM(SUBSTITUTE(SUBSTITUTE(SUBSTITUTE(SUBSTITUTE(SUBSTITUTE($B$31&amp;"","ו",""),"י",""),"ן","נ"),"-"," "),","," ")))),ISNUMBER(SEARCH(" הארנ"," "&amp;TRIM(SUBSTITUTE(SUBSTITUTE(SUBSTITUTE(SUBSTITUTE(SUBSTITUTE($B$31&amp;"","ו",""),"י",""),"ן","נ"),"-"," "),","," ")))),ISNUMBER(SEARCH(" אארנ"," "&amp;TRIM(SUBSTITUTE(SUBSTITUTE(SUBSTITUTE(SUBSTITUTE(SUBSTITUTE($B$31&amp;"","ו",""),"י",""),"ן","נ"),"-"," "),","," ")))),ISNUMBER(SEARCH(" אנרנ"," "&amp;TRIM(SUBSTITUTE(SUBSTITUTE(SUBSTITUTE(SUBSTITUTE(SUBSTITUTE($B$31&amp;"","ו",""),"י",""),"ן","נ"),"-"," "),","," ")))),ISNUMBER(SEARCH(" האנרנ"," "&amp;TRIM(SUBSTITUTE(SUBSTITUTE(SUBSTITUTE(SUBSTITUTE(SUBSTITUTE($B$31&amp;"","ו",""),"י",""),"ן","נ"),"-"," "),","," "))))),NOT(OR(ISNUMBER($J$31),ISNUMBER(--TRIM(SUBSTITUTE(SUBSTITUTE($J$31&amp;"","פצל",""),"פ",""))))))</formula>
    </cfRule>
  </conditionalFormatting>
  <conditionalFormatting sqref="J32">
    <cfRule type="expression" dxfId="0" priority="10">
      <formula>AND(OR(ISNUMBER(SEARCH(" ארנ"," "&amp;TRIM(SUBSTITUTE(SUBSTITUTE(SUBSTITUTE(SUBSTITUTE(SUBSTITUTE($B$32&amp;"","ו",""),"י",""),"ן","נ"),"-"," "),","," ")))),ISNUMBER(SEARCH(" הארנ"," "&amp;TRIM(SUBSTITUTE(SUBSTITUTE(SUBSTITUTE(SUBSTITUTE(SUBSTITUTE($B$32&amp;"","ו",""),"י",""),"ן","נ"),"-"," "),","," ")))),ISNUMBER(SEARCH(" אארנ"," "&amp;TRIM(SUBSTITUTE(SUBSTITUTE(SUBSTITUTE(SUBSTITUTE(SUBSTITUTE($B$32&amp;"","ו",""),"י",""),"ן","נ"),"-"," "),","," ")))),ISNUMBER(SEARCH(" אנרנ"," "&amp;TRIM(SUBSTITUTE(SUBSTITUTE(SUBSTITUTE(SUBSTITUTE(SUBSTITUTE($B$32&amp;"","ו",""),"י",""),"ן","נ"),"-"," "),","," ")))),ISNUMBER(SEARCH(" האנרנ"," "&amp;TRIM(SUBSTITUTE(SUBSTITUTE(SUBSTITUTE(SUBSTITUTE(SUBSTITUTE($B$32&amp;"","ו",""),"י",""),"ן","נ"),"-"," "),","," "))))),NOT(OR(ISNUMBER($J$32),ISNUMBER(--TRIM(SUBSTITUTE(SUBSTITUTE($J$32&amp;"","פצל",""),"פ",""))))))</formula>
    </cfRule>
  </conditionalFormatting>
  <conditionalFormatting sqref="J33">
    <cfRule type="expression" dxfId="0" priority="11">
      <formula>AND(OR(ISNUMBER(SEARCH(" ארנ"," "&amp;TRIM(SUBSTITUTE(SUBSTITUTE(SUBSTITUTE(SUBSTITUTE(SUBSTITUTE($B$33&amp;"","ו",""),"י",""),"ן","נ"),"-"," "),","," ")))),ISNUMBER(SEARCH(" הארנ"," "&amp;TRIM(SUBSTITUTE(SUBSTITUTE(SUBSTITUTE(SUBSTITUTE(SUBSTITUTE($B$33&amp;"","ו",""),"י",""),"ן","נ"),"-"," "),","," ")))),ISNUMBER(SEARCH(" אארנ"," "&amp;TRIM(SUBSTITUTE(SUBSTITUTE(SUBSTITUTE(SUBSTITUTE(SUBSTITUTE($B$33&amp;"","ו",""),"י",""),"ן","נ"),"-"," "),","," ")))),ISNUMBER(SEARCH(" אנרנ"," "&amp;TRIM(SUBSTITUTE(SUBSTITUTE(SUBSTITUTE(SUBSTITUTE(SUBSTITUTE($B$33&amp;"","ו",""),"י",""),"ן","נ"),"-"," "),","," ")))),ISNUMBER(SEARCH(" האנרנ"," "&amp;TRIM(SUBSTITUTE(SUBSTITUTE(SUBSTITUTE(SUBSTITUTE(SUBSTITUTE($B$33&amp;"","ו",""),"י",""),"ן","נ"),"-"," "),","," "))))),NOT(OR(ISNUMBER($J$33),ISNUMBER(--TRIM(SUBSTITUTE(SUBSTITUTE($J$33&amp;"","פצל",""),"פ",""))))))</formula>
    </cfRule>
  </conditionalFormatting>
  <conditionalFormatting sqref="J37">
    <cfRule type="expression" dxfId="0" priority="12">
      <formula>AND(OR(ISNUMBER(SEARCH(" ארנ"," "&amp;TRIM(SUBSTITUTE(SUBSTITUTE(SUBSTITUTE(SUBSTITUTE(SUBSTITUTE($B$37&amp;"","ו",""),"י",""),"ן","נ"),"-"," "),","," ")))),ISNUMBER(SEARCH(" הארנ"," "&amp;TRIM(SUBSTITUTE(SUBSTITUTE(SUBSTITUTE(SUBSTITUTE(SUBSTITUTE($B$37&amp;"","ו",""),"י",""),"ן","נ"),"-"," "),","," ")))),ISNUMBER(SEARCH(" אארנ"," "&amp;TRIM(SUBSTITUTE(SUBSTITUTE(SUBSTITUTE(SUBSTITUTE(SUBSTITUTE($B$37&amp;"","ו",""),"י",""),"ן","נ"),"-"," "),","," ")))),ISNUMBER(SEARCH(" אנרנ"," "&amp;TRIM(SUBSTITUTE(SUBSTITUTE(SUBSTITUTE(SUBSTITUTE(SUBSTITUTE($B$37&amp;"","ו",""),"י",""),"ן","נ"),"-"," "),","," ")))),ISNUMBER(SEARCH(" האנרנ"," "&amp;TRIM(SUBSTITUTE(SUBSTITUTE(SUBSTITUTE(SUBSTITUTE(SUBSTITUTE($B$37&amp;"","ו",""),"י",""),"ן","נ"),"-"," "),","," "))))),NOT(OR(ISNUMBER($J$37),ISNUMBER(--TRIM(SUBSTITUTE(SUBSTITUTE($J$37&amp;"","פצל",""),"פ",""))))))</formula>
    </cfRule>
  </conditionalFormatting>
  <conditionalFormatting sqref="J38">
    <cfRule type="expression" dxfId="0" priority="13">
      <formula>AND(OR(ISNUMBER(SEARCH(" ארנ"," "&amp;TRIM(SUBSTITUTE(SUBSTITUTE(SUBSTITUTE(SUBSTITUTE(SUBSTITUTE($B$38&amp;"","ו",""),"י",""),"ן","נ"),"-"," "),","," ")))),ISNUMBER(SEARCH(" הארנ"," "&amp;TRIM(SUBSTITUTE(SUBSTITUTE(SUBSTITUTE(SUBSTITUTE(SUBSTITUTE($B$38&amp;"","ו",""),"י",""),"ן","נ"),"-"," "),","," ")))),ISNUMBER(SEARCH(" אארנ"," "&amp;TRIM(SUBSTITUTE(SUBSTITUTE(SUBSTITUTE(SUBSTITUTE(SUBSTITUTE($B$38&amp;"","ו",""),"י",""),"ן","נ"),"-"," "),","," ")))),ISNUMBER(SEARCH(" אנרנ"," "&amp;TRIM(SUBSTITUTE(SUBSTITUTE(SUBSTITUTE(SUBSTITUTE(SUBSTITUTE($B$38&amp;"","ו",""),"י",""),"ן","נ"),"-"," "),","," ")))),ISNUMBER(SEARCH(" האנרנ"," "&amp;TRIM(SUBSTITUTE(SUBSTITUTE(SUBSTITUTE(SUBSTITUTE(SUBSTITUTE($B$38&amp;"","ו",""),"י",""),"ן","נ"),"-"," "),","," "))))),NOT(OR(ISNUMBER($J$38),ISNUMBER(--TRIM(SUBSTITUTE(SUBSTITUTE($J$38&amp;"","פצל",""),"פ",""))))))</formula>
    </cfRule>
  </conditionalFormatting>
  <conditionalFormatting sqref="J39">
    <cfRule type="expression" dxfId="0" priority="14">
      <formula>AND(OR(ISNUMBER(SEARCH(" ארנ"," "&amp;TRIM(SUBSTITUTE(SUBSTITUTE(SUBSTITUTE(SUBSTITUTE(SUBSTITUTE($B$39&amp;"","ו",""),"י",""),"ן","נ"),"-"," "),","," ")))),ISNUMBER(SEARCH(" הארנ"," "&amp;TRIM(SUBSTITUTE(SUBSTITUTE(SUBSTITUTE(SUBSTITUTE(SUBSTITUTE($B$39&amp;"","ו",""),"י",""),"ן","נ"),"-"," "),","," ")))),ISNUMBER(SEARCH(" אארנ"," "&amp;TRIM(SUBSTITUTE(SUBSTITUTE(SUBSTITUTE(SUBSTITUTE(SUBSTITUTE($B$39&amp;"","ו",""),"י",""),"ן","נ"),"-"," "),","," ")))),ISNUMBER(SEARCH(" אנרנ"," "&amp;TRIM(SUBSTITUTE(SUBSTITUTE(SUBSTITUTE(SUBSTITUTE(SUBSTITUTE($B$39&amp;"","ו",""),"י",""),"ן","נ"),"-"," "),","," ")))),ISNUMBER(SEARCH(" האנרנ"," "&amp;TRIM(SUBSTITUTE(SUBSTITUTE(SUBSTITUTE(SUBSTITUTE(SUBSTITUTE($B$39&amp;"","ו",""),"י",""),"ן","נ"),"-"," "),","," "))))),NOT(OR(ISNUMBER($J$39),ISNUMBER(--TRIM(SUBSTITUTE(SUBSTITUTE($J$39&amp;"","פצל",""),"פ",""))))))</formula>
    </cfRule>
  </conditionalFormatting>
  <conditionalFormatting sqref="J40">
    <cfRule type="expression" dxfId="0" priority="15">
      <formula>AND(OR(ISNUMBER(SEARCH(" ארנ"," "&amp;TRIM(SUBSTITUTE(SUBSTITUTE(SUBSTITUTE(SUBSTITUTE(SUBSTITUTE($B$40&amp;"","ו",""),"י",""),"ן","נ"),"-"," "),","," ")))),ISNUMBER(SEARCH(" הארנ"," "&amp;TRIM(SUBSTITUTE(SUBSTITUTE(SUBSTITUTE(SUBSTITUTE(SUBSTITUTE($B$40&amp;"","ו",""),"י",""),"ן","נ"),"-"," "),","," ")))),ISNUMBER(SEARCH(" אארנ"," "&amp;TRIM(SUBSTITUTE(SUBSTITUTE(SUBSTITUTE(SUBSTITUTE(SUBSTITUTE($B$40&amp;"","ו",""),"י",""),"ן","נ"),"-"," "),","," ")))),ISNUMBER(SEARCH(" אנרנ"," "&amp;TRIM(SUBSTITUTE(SUBSTITUTE(SUBSTITUTE(SUBSTITUTE(SUBSTITUTE($B$40&amp;"","ו",""),"י",""),"ן","נ"),"-"," "),","," ")))),ISNUMBER(SEARCH(" האנרנ"," "&amp;TRIM(SUBSTITUTE(SUBSTITUTE(SUBSTITUTE(SUBSTITUTE(SUBSTITUTE($B$40&amp;"","ו",""),"י",""),"ן","נ"),"-"," "),","," "))))),NOT(OR(ISNUMBER($J$40),ISNUMBER(--TRIM(SUBSTITUTE(SUBSTITUTE($J$40&amp;"","פצל",""),"פ",""))))))</formula>
    </cfRule>
  </conditionalFormatting>
  <conditionalFormatting sqref="J41">
    <cfRule type="expression" dxfId="0" priority="16">
      <formula>AND(OR(ISNUMBER(SEARCH(" ארנ"," "&amp;TRIM(SUBSTITUTE(SUBSTITUTE(SUBSTITUTE(SUBSTITUTE(SUBSTITUTE($B$41&amp;"","ו",""),"י",""),"ן","נ"),"-"," "),","," ")))),ISNUMBER(SEARCH(" הארנ"," "&amp;TRIM(SUBSTITUTE(SUBSTITUTE(SUBSTITUTE(SUBSTITUTE(SUBSTITUTE($B$41&amp;"","ו",""),"י",""),"ן","נ"),"-"," "),","," ")))),ISNUMBER(SEARCH(" אארנ"," "&amp;TRIM(SUBSTITUTE(SUBSTITUTE(SUBSTITUTE(SUBSTITUTE(SUBSTITUTE($B$41&amp;"","ו",""),"י",""),"ן","נ"),"-"," "),","," ")))),ISNUMBER(SEARCH(" אנרנ"," "&amp;TRIM(SUBSTITUTE(SUBSTITUTE(SUBSTITUTE(SUBSTITUTE(SUBSTITUTE($B$41&amp;"","ו",""),"י",""),"ן","נ"),"-"," "),","," ")))),ISNUMBER(SEARCH(" האנרנ"," "&amp;TRIM(SUBSTITUTE(SUBSTITUTE(SUBSTITUTE(SUBSTITUTE(SUBSTITUTE($B$41&amp;"","ו",""),"י",""),"ן","נ"),"-"," "),","," "))))),NOT(OR(ISNUMBER($J$41),ISNUMBER(--TRIM(SUBSTITUTE(SUBSTITUTE($J$41&amp;"","פצל",""),"פ",""))))))</formula>
    </cfRule>
  </conditionalFormatting>
  <conditionalFormatting sqref="J42">
    <cfRule type="expression" dxfId="0" priority="17">
      <formula>AND(OR(ISNUMBER(SEARCH(" ארנ"," "&amp;TRIM(SUBSTITUTE(SUBSTITUTE(SUBSTITUTE(SUBSTITUTE(SUBSTITUTE($B$42&amp;"","ו",""),"י",""),"ן","נ"),"-"," "),","," ")))),ISNUMBER(SEARCH(" הארנ"," "&amp;TRIM(SUBSTITUTE(SUBSTITUTE(SUBSTITUTE(SUBSTITUTE(SUBSTITUTE($B$42&amp;"","ו",""),"י",""),"ן","נ"),"-"," "),","," ")))),ISNUMBER(SEARCH(" אארנ"," "&amp;TRIM(SUBSTITUTE(SUBSTITUTE(SUBSTITUTE(SUBSTITUTE(SUBSTITUTE($B$42&amp;"","ו",""),"י",""),"ן","נ"),"-"," "),","," ")))),ISNUMBER(SEARCH(" אנרנ"," "&amp;TRIM(SUBSTITUTE(SUBSTITUTE(SUBSTITUTE(SUBSTITUTE(SUBSTITUTE($B$42&amp;"","ו",""),"י",""),"ן","נ"),"-"," "),","," ")))),ISNUMBER(SEARCH(" האנרנ"," "&amp;TRIM(SUBSTITUTE(SUBSTITUTE(SUBSTITUTE(SUBSTITUTE(SUBSTITUTE($B$42&amp;"","ו",""),"י",""),"ן","נ"),"-"," "),","," "))))),NOT(OR(ISNUMBER($J$42),ISNUMBER(--TRIM(SUBSTITUTE(SUBSTITUTE($J$42&amp;"","פצל",""),"פ",""))))))</formula>
    </cfRule>
  </conditionalFormatting>
  <conditionalFormatting sqref="J43">
    <cfRule type="expression" dxfId="0" priority="18">
      <formula>AND(OR(ISNUMBER(SEARCH(" ארנ"," "&amp;TRIM(SUBSTITUTE(SUBSTITUTE(SUBSTITUTE(SUBSTITUTE(SUBSTITUTE($B$43&amp;"","ו",""),"י",""),"ן","נ"),"-"," "),","," ")))),ISNUMBER(SEARCH(" הארנ"," "&amp;TRIM(SUBSTITUTE(SUBSTITUTE(SUBSTITUTE(SUBSTITUTE(SUBSTITUTE($B$43&amp;"","ו",""),"י",""),"ן","נ"),"-"," "),","," ")))),ISNUMBER(SEARCH(" אארנ"," "&amp;TRIM(SUBSTITUTE(SUBSTITUTE(SUBSTITUTE(SUBSTITUTE(SUBSTITUTE($B$43&amp;"","ו",""),"י",""),"ן","נ"),"-"," "),","," ")))),ISNUMBER(SEARCH(" אנרנ"," "&amp;TRIM(SUBSTITUTE(SUBSTITUTE(SUBSTITUTE(SUBSTITUTE(SUBSTITUTE($B$43&amp;"","ו",""),"י",""),"ן","נ"),"-"," "),","," ")))),ISNUMBER(SEARCH(" האנרנ"," "&amp;TRIM(SUBSTITUTE(SUBSTITUTE(SUBSTITUTE(SUBSTITUTE(SUBSTITUTE($B$43&amp;"","ו",""),"י",""),"ן","נ"),"-"," "),","," "))))),NOT(OR(ISNUMBER($J$43),ISNUMBER(--TRIM(SUBSTITUTE(SUBSTITUTE($J$43&amp;"","פצל",""),"פ",""))))))</formula>
    </cfRule>
  </conditionalFormatting>
  <conditionalFormatting sqref="J44">
    <cfRule type="expression" dxfId="0" priority="19">
      <formula>AND(OR(ISNUMBER(SEARCH(" ארנ"," "&amp;TRIM(SUBSTITUTE(SUBSTITUTE(SUBSTITUTE(SUBSTITUTE(SUBSTITUTE($B$44&amp;"","ו",""),"י",""),"ן","נ"),"-"," "),","," ")))),ISNUMBER(SEARCH(" הארנ"," "&amp;TRIM(SUBSTITUTE(SUBSTITUTE(SUBSTITUTE(SUBSTITUTE(SUBSTITUTE($B$44&amp;"","ו",""),"י",""),"ן","נ"),"-"," "),","," ")))),ISNUMBER(SEARCH(" אארנ"," "&amp;TRIM(SUBSTITUTE(SUBSTITUTE(SUBSTITUTE(SUBSTITUTE(SUBSTITUTE($B$44&amp;"","ו",""),"י",""),"ן","נ"),"-"," "),","," ")))),ISNUMBER(SEARCH(" אנרנ"," "&amp;TRIM(SUBSTITUTE(SUBSTITUTE(SUBSTITUTE(SUBSTITUTE(SUBSTITUTE($B$44&amp;"","ו",""),"י",""),"ן","נ"),"-"," "),","," ")))),ISNUMBER(SEARCH(" האנרנ"," "&amp;TRIM(SUBSTITUTE(SUBSTITUTE(SUBSTITUTE(SUBSTITUTE(SUBSTITUTE($B$44&amp;"","ו",""),"י",""),"ן","נ"),"-"," "),","," "))))),NOT(OR(ISNUMBER($J$44),ISNUMBER(--TRIM(SUBSTITUTE(SUBSTITUTE($J$44&amp;"","פצל",""),"פ",""))))))</formula>
    </cfRule>
  </conditionalFormatting>
  <conditionalFormatting sqref="J45">
    <cfRule type="expression" dxfId="0" priority="20">
      <formula>AND(OR(ISNUMBER(SEARCH(" ארנ"," "&amp;TRIM(SUBSTITUTE(SUBSTITUTE(SUBSTITUTE(SUBSTITUTE(SUBSTITUTE($B$45&amp;"","ו",""),"י",""),"ן","נ"),"-"," "),","," ")))),ISNUMBER(SEARCH(" הארנ"," "&amp;TRIM(SUBSTITUTE(SUBSTITUTE(SUBSTITUTE(SUBSTITUTE(SUBSTITUTE($B$45&amp;"","ו",""),"י",""),"ן","נ"),"-"," "),","," ")))),ISNUMBER(SEARCH(" אארנ"," "&amp;TRIM(SUBSTITUTE(SUBSTITUTE(SUBSTITUTE(SUBSTITUTE(SUBSTITUTE($B$45&amp;"","ו",""),"י",""),"ן","נ"),"-"," "),","," ")))),ISNUMBER(SEARCH(" אנרנ"," "&amp;TRIM(SUBSTITUTE(SUBSTITUTE(SUBSTITUTE(SUBSTITUTE(SUBSTITUTE($B$45&amp;"","ו",""),"י",""),"ן","נ"),"-"," "),","," ")))),ISNUMBER(SEARCH(" האנרנ"," "&amp;TRIM(SUBSTITUTE(SUBSTITUTE(SUBSTITUTE(SUBSTITUTE(SUBSTITUTE($B$45&amp;"","ו",""),"י",""),"ן","נ"),"-"," "),","," "))))),NOT(OR(ISNUMBER($J$45),ISNUMBER(--TRIM(SUBSTITUTE(SUBSTITUTE($J$45&amp;"","פצל",""),"פ",""))))))</formula>
    </cfRule>
  </conditionalFormatting>
  <conditionalFormatting sqref="J46">
    <cfRule type="expression" dxfId="0" priority="21">
      <formula>AND(OR(ISNUMBER(SEARCH(" ארנ"," "&amp;TRIM(SUBSTITUTE(SUBSTITUTE(SUBSTITUTE(SUBSTITUTE(SUBSTITUTE($B$46&amp;"","ו",""),"י",""),"ן","נ"),"-"," "),","," ")))),ISNUMBER(SEARCH(" הארנ"," "&amp;TRIM(SUBSTITUTE(SUBSTITUTE(SUBSTITUTE(SUBSTITUTE(SUBSTITUTE($B$46&amp;"","ו",""),"י",""),"ן","נ"),"-"," "),","," ")))),ISNUMBER(SEARCH(" אארנ"," "&amp;TRIM(SUBSTITUTE(SUBSTITUTE(SUBSTITUTE(SUBSTITUTE(SUBSTITUTE($B$46&amp;"","ו",""),"י",""),"ן","נ"),"-"," "),","," ")))),ISNUMBER(SEARCH(" אנרנ"," "&amp;TRIM(SUBSTITUTE(SUBSTITUTE(SUBSTITUTE(SUBSTITUTE(SUBSTITUTE($B$46&amp;"","ו",""),"י",""),"ן","נ"),"-"," "),","," ")))),ISNUMBER(SEARCH(" האנרנ"," "&amp;TRIM(SUBSTITUTE(SUBSTITUTE(SUBSTITUTE(SUBSTITUTE(SUBSTITUTE($B$46&amp;"","ו",""),"י",""),"ן","נ"),"-"," "),","," "))))),NOT(OR(ISNUMBER($J$46),ISNUMBER(--TRIM(SUBSTITUTE(SUBSTITUTE($J$46&amp;"","פצל",""),"פ",""))))))</formula>
    </cfRule>
  </conditionalFormatting>
  <conditionalFormatting sqref="J47">
    <cfRule type="expression" dxfId="0" priority="22">
      <formula>AND(OR(ISNUMBER(SEARCH(" ארנ"," "&amp;TRIM(SUBSTITUTE(SUBSTITUTE(SUBSTITUTE(SUBSTITUTE(SUBSTITUTE($B$47&amp;"","ו",""),"י",""),"ן","נ"),"-"," "),","," ")))),ISNUMBER(SEARCH(" הארנ"," "&amp;TRIM(SUBSTITUTE(SUBSTITUTE(SUBSTITUTE(SUBSTITUTE(SUBSTITUTE($B$47&amp;"","ו",""),"י",""),"ן","נ"),"-"," "),","," ")))),ISNUMBER(SEARCH(" אארנ"," "&amp;TRIM(SUBSTITUTE(SUBSTITUTE(SUBSTITUTE(SUBSTITUTE(SUBSTITUTE($B$47&amp;"","ו",""),"י",""),"ן","נ"),"-"," "),","," ")))),ISNUMBER(SEARCH(" אנרנ"," "&amp;TRIM(SUBSTITUTE(SUBSTITUTE(SUBSTITUTE(SUBSTITUTE(SUBSTITUTE($B$47&amp;"","ו",""),"י",""),"ן","נ"),"-"," "),","," ")))),ISNUMBER(SEARCH(" האנרנ"," "&amp;TRIM(SUBSTITUTE(SUBSTITUTE(SUBSTITUTE(SUBSTITUTE(SUBSTITUTE($B$47&amp;"","ו",""),"י",""),"ן","נ"),"-"," "),","," "))))),NOT(OR(ISNUMBER($J$47),ISNUMBER(--TRIM(SUBSTITUTE(SUBSTITUTE($J$47&amp;"","פצל",""),"פ",""))))))</formula>
    </cfRule>
  </conditionalFormatting>
  <conditionalFormatting sqref="J62">
    <cfRule type="expression" dxfId="0" priority="23">
      <formula>AND(OR(ISNUMBER(SEARCH(" ארנ"," "&amp;TRIM(SUBSTITUTE(SUBSTITUTE(SUBSTITUTE(SUBSTITUTE(SUBSTITUTE($B$62&amp;"","ו",""),"י",""),"ן","נ"),"-"," "),","," ")))),ISNUMBER(SEARCH(" הארנ"," "&amp;TRIM(SUBSTITUTE(SUBSTITUTE(SUBSTITUTE(SUBSTITUTE(SUBSTITUTE($B$62&amp;"","ו",""),"י",""),"ן","נ"),"-"," "),","," ")))),ISNUMBER(SEARCH(" אארנ"," "&amp;TRIM(SUBSTITUTE(SUBSTITUTE(SUBSTITUTE(SUBSTITUTE(SUBSTITUTE($B$62&amp;"","ו",""),"י",""),"ן","נ"),"-"," "),","," ")))),ISNUMBER(SEARCH(" אנרנ"," "&amp;TRIM(SUBSTITUTE(SUBSTITUTE(SUBSTITUTE(SUBSTITUTE(SUBSTITUTE($B$62&amp;"","ו",""),"י",""),"ן","נ"),"-"," "),","," ")))),ISNUMBER(SEARCH(" האנרנ"," "&amp;TRIM(SUBSTITUTE(SUBSTITUTE(SUBSTITUTE(SUBSTITUTE(SUBSTITUTE($B$62&amp;"","ו",""),"י",""),"ן","נ"),"-"," "),","," "))))),NOT(OR(ISNUMBER($J$62),ISNUMBER(--TRIM(SUBSTITUTE(SUBSTITUTE($J$62&amp;"","פצל",""),"פ",""))))))</formula>
    </cfRule>
  </conditionalFormatting>
  <conditionalFormatting sqref="J63">
    <cfRule type="expression" dxfId="0" priority="24">
      <formula>AND(OR(ISNUMBER(SEARCH(" ארנ"," "&amp;TRIM(SUBSTITUTE(SUBSTITUTE(SUBSTITUTE(SUBSTITUTE(SUBSTITUTE($B$63&amp;"","ו",""),"י",""),"ן","נ"),"-"," "),","," ")))),ISNUMBER(SEARCH(" הארנ"," "&amp;TRIM(SUBSTITUTE(SUBSTITUTE(SUBSTITUTE(SUBSTITUTE(SUBSTITUTE($B$63&amp;"","ו",""),"י",""),"ן","נ"),"-"," "),","," ")))),ISNUMBER(SEARCH(" אארנ"," "&amp;TRIM(SUBSTITUTE(SUBSTITUTE(SUBSTITUTE(SUBSTITUTE(SUBSTITUTE($B$63&amp;"","ו",""),"י",""),"ן","נ"),"-"," "),","," ")))),ISNUMBER(SEARCH(" אנרנ"," "&amp;TRIM(SUBSTITUTE(SUBSTITUTE(SUBSTITUTE(SUBSTITUTE(SUBSTITUTE($B$63&amp;"","ו",""),"י",""),"ן","נ"),"-"," "),","," ")))),ISNUMBER(SEARCH(" האנרנ"," "&amp;TRIM(SUBSTITUTE(SUBSTITUTE(SUBSTITUTE(SUBSTITUTE(SUBSTITUTE($B$63&amp;"","ו",""),"י",""),"ן","נ"),"-"," "),","," "))))),NOT(OR(ISNUMBER($J$63),ISNUMBER(--TRIM(SUBSTITUTE(SUBSTITUTE($J$63&amp;"","פצל",""),"פ",""))))))</formula>
    </cfRule>
  </conditionalFormatting>
  <conditionalFormatting sqref="J67">
    <cfRule type="expression" dxfId="0" priority="25">
      <formula>AND(OR(ISNUMBER(SEARCH(" ארנ"," "&amp;TRIM(SUBSTITUTE(SUBSTITUTE(SUBSTITUTE(SUBSTITUTE(SUBSTITUTE($B$67&amp;"","ו",""),"י",""),"ן","נ"),"-"," "),","," ")))),ISNUMBER(SEARCH(" הארנ"," "&amp;TRIM(SUBSTITUTE(SUBSTITUTE(SUBSTITUTE(SUBSTITUTE(SUBSTITUTE($B$67&amp;"","ו",""),"י",""),"ן","נ"),"-"," "),","," ")))),ISNUMBER(SEARCH(" אארנ"," "&amp;TRIM(SUBSTITUTE(SUBSTITUTE(SUBSTITUTE(SUBSTITUTE(SUBSTITUTE($B$67&amp;"","ו",""),"י",""),"ן","נ"),"-"," "),","," ")))),ISNUMBER(SEARCH(" אנרנ"," "&amp;TRIM(SUBSTITUTE(SUBSTITUTE(SUBSTITUTE(SUBSTITUTE(SUBSTITUTE($B$67&amp;"","ו",""),"י",""),"ן","נ"),"-"," "),","," ")))),ISNUMBER(SEARCH(" האנרנ"," "&amp;TRIM(SUBSTITUTE(SUBSTITUTE(SUBSTITUTE(SUBSTITUTE(SUBSTITUTE($B$67&amp;"","ו",""),"י",""),"ן","נ"),"-"," "),","," "))))),NOT(OR(ISNUMBER($J$67),ISNUMBER(--TRIM(SUBSTITUTE(SUBSTITUTE($J$67&amp;"","פצל",""),"פ",""))))))</formula>
    </cfRule>
  </conditionalFormatting>
  <conditionalFormatting sqref="J68">
    <cfRule type="expression" dxfId="0" priority="26">
      <formula>AND(OR(ISNUMBER(SEARCH(" ארנ"," "&amp;TRIM(SUBSTITUTE(SUBSTITUTE(SUBSTITUTE(SUBSTITUTE(SUBSTITUTE($B$68&amp;"","ו",""),"י",""),"ן","נ"),"-"," "),","," ")))),ISNUMBER(SEARCH(" הארנ"," "&amp;TRIM(SUBSTITUTE(SUBSTITUTE(SUBSTITUTE(SUBSTITUTE(SUBSTITUTE($B$68&amp;"","ו",""),"י",""),"ן","נ"),"-"," "),","," ")))),ISNUMBER(SEARCH(" אארנ"," "&amp;TRIM(SUBSTITUTE(SUBSTITUTE(SUBSTITUTE(SUBSTITUTE(SUBSTITUTE($B$68&amp;"","ו",""),"י",""),"ן","נ"),"-"," "),","," ")))),ISNUMBER(SEARCH(" אנרנ"," "&amp;TRIM(SUBSTITUTE(SUBSTITUTE(SUBSTITUTE(SUBSTITUTE(SUBSTITUTE($B$68&amp;"","ו",""),"י",""),"ן","נ"),"-"," "),","," ")))),ISNUMBER(SEARCH(" האנרנ"," "&amp;TRIM(SUBSTITUTE(SUBSTITUTE(SUBSTITUTE(SUBSTITUTE(SUBSTITUTE($B$68&amp;"","ו",""),"י",""),"ן","נ"),"-"," "),","," "))))),NOT(OR(ISNUMBER($J$68),ISNUMBER(--TRIM(SUBSTITUTE(SUBSTITUTE($J$68&amp;"","פצל",""),"פ",""))))))</formula>
    </cfRule>
  </conditionalFormatting>
  <conditionalFormatting sqref="J69">
    <cfRule type="expression" dxfId="0" priority="27">
      <formula>AND(OR(ISNUMBER(SEARCH(" ארנ"," "&amp;TRIM(SUBSTITUTE(SUBSTITUTE(SUBSTITUTE(SUBSTITUTE(SUBSTITUTE($B$69&amp;"","ו",""),"י",""),"ן","נ"),"-"," "),","," ")))),ISNUMBER(SEARCH(" הארנ"," "&amp;TRIM(SUBSTITUTE(SUBSTITUTE(SUBSTITUTE(SUBSTITUTE(SUBSTITUTE($B$69&amp;"","ו",""),"י",""),"ן","נ"),"-"," "),","," ")))),ISNUMBER(SEARCH(" אארנ"," "&amp;TRIM(SUBSTITUTE(SUBSTITUTE(SUBSTITUTE(SUBSTITUTE(SUBSTITUTE($B$69&amp;"","ו",""),"י",""),"ן","נ"),"-"," "),","," ")))),ISNUMBER(SEARCH(" אנרנ"," "&amp;TRIM(SUBSTITUTE(SUBSTITUTE(SUBSTITUTE(SUBSTITUTE(SUBSTITUTE($B$69&amp;"","ו",""),"י",""),"ן","נ"),"-"," "),","," ")))),ISNUMBER(SEARCH(" האנרנ"," "&amp;TRIM(SUBSTITUTE(SUBSTITUTE(SUBSTITUTE(SUBSTITUTE(SUBSTITUTE($B$69&amp;"","ו",""),"י",""),"ן","נ"),"-"," "),","," "))))),NOT(OR(ISNUMBER($J$69),ISNUMBER(--TRIM(SUBSTITUTE(SUBSTITUTE($J$69&amp;"","פצל",""),"פ",""))))))</formula>
    </cfRule>
  </conditionalFormatting>
  <conditionalFormatting sqref="J70">
    <cfRule type="expression" dxfId="0" priority="28">
      <formula>AND(OR(ISNUMBER(SEARCH(" ארנ"," "&amp;TRIM(SUBSTITUTE(SUBSTITUTE(SUBSTITUTE(SUBSTITUTE(SUBSTITUTE($B$70&amp;"","ו",""),"י",""),"ן","נ"),"-"," "),","," ")))),ISNUMBER(SEARCH(" הארנ"," "&amp;TRIM(SUBSTITUTE(SUBSTITUTE(SUBSTITUTE(SUBSTITUTE(SUBSTITUTE($B$70&amp;"","ו",""),"י",""),"ן","נ"),"-"," "),","," ")))),ISNUMBER(SEARCH(" אארנ"," "&amp;TRIM(SUBSTITUTE(SUBSTITUTE(SUBSTITUTE(SUBSTITUTE(SUBSTITUTE($B$70&amp;"","ו",""),"י",""),"ן","נ"),"-"," "),","," ")))),ISNUMBER(SEARCH(" אנרנ"," "&amp;TRIM(SUBSTITUTE(SUBSTITUTE(SUBSTITUTE(SUBSTITUTE(SUBSTITUTE($B$70&amp;"","ו",""),"י",""),"ן","נ"),"-"," "),","," ")))),ISNUMBER(SEARCH(" האנרנ"," "&amp;TRIM(SUBSTITUTE(SUBSTITUTE(SUBSTITUTE(SUBSTITUTE(SUBSTITUTE($B$70&amp;"","ו",""),"י",""),"ן","נ"),"-"," "),","," "))))),NOT(OR(ISNUMBER($J$70),ISNUMBER(--TRIM(SUBSTITUTE(SUBSTITUTE($J$70&amp;"","פצל",""),"פ",""))))))</formula>
    </cfRule>
  </conditionalFormatting>
  <conditionalFormatting sqref="J71">
    <cfRule type="expression" dxfId="0" priority="29">
      <formula>AND(OR(ISNUMBER(SEARCH(" ארנ"," "&amp;TRIM(SUBSTITUTE(SUBSTITUTE(SUBSTITUTE(SUBSTITUTE(SUBSTITUTE($B$71&amp;"","ו",""),"י",""),"ן","נ"),"-"," "),","," ")))),ISNUMBER(SEARCH(" הארנ"," "&amp;TRIM(SUBSTITUTE(SUBSTITUTE(SUBSTITUTE(SUBSTITUTE(SUBSTITUTE($B$71&amp;"","ו",""),"י",""),"ן","נ"),"-"," "),","," ")))),ISNUMBER(SEARCH(" אארנ"," "&amp;TRIM(SUBSTITUTE(SUBSTITUTE(SUBSTITUTE(SUBSTITUTE(SUBSTITUTE($B$71&amp;"","ו",""),"י",""),"ן","נ"),"-"," "),","," ")))),ISNUMBER(SEARCH(" אנרנ"," "&amp;TRIM(SUBSTITUTE(SUBSTITUTE(SUBSTITUTE(SUBSTITUTE(SUBSTITUTE($B$71&amp;"","ו",""),"י",""),"ן","נ"),"-"," "),","," ")))),ISNUMBER(SEARCH(" האנרנ"," "&amp;TRIM(SUBSTITUTE(SUBSTITUTE(SUBSTITUTE(SUBSTITUTE(SUBSTITUTE($B$71&amp;"","ו",""),"י",""),"ן","נ"),"-"," "),","," "))))),NOT(OR(ISNUMBER($J$71),ISNUMBER(--TRIM(SUBSTITUTE(SUBSTITUTE($J$71&amp;"","פצל",""),"פ",""))))))</formula>
    </cfRule>
  </conditionalFormatting>
  <conditionalFormatting sqref="J72">
    <cfRule type="expression" dxfId="0" priority="30">
      <formula>AND(OR(ISNUMBER(SEARCH(" ארנ"," "&amp;TRIM(SUBSTITUTE(SUBSTITUTE(SUBSTITUTE(SUBSTITUTE(SUBSTITUTE($B$72&amp;"","ו",""),"י",""),"ן","נ"),"-"," "),","," ")))),ISNUMBER(SEARCH(" הארנ"," "&amp;TRIM(SUBSTITUTE(SUBSTITUTE(SUBSTITUTE(SUBSTITUTE(SUBSTITUTE($B$72&amp;"","ו",""),"י",""),"ן","נ"),"-"," "),","," ")))),ISNUMBER(SEARCH(" אארנ"," "&amp;TRIM(SUBSTITUTE(SUBSTITUTE(SUBSTITUTE(SUBSTITUTE(SUBSTITUTE($B$72&amp;"","ו",""),"י",""),"ן","נ"),"-"," "),","," ")))),ISNUMBER(SEARCH(" אנרנ"," "&amp;TRIM(SUBSTITUTE(SUBSTITUTE(SUBSTITUTE(SUBSTITUTE(SUBSTITUTE($B$72&amp;"","ו",""),"י",""),"ן","נ"),"-"," "),","," ")))),ISNUMBER(SEARCH(" האנרנ"," "&amp;TRIM(SUBSTITUTE(SUBSTITUTE(SUBSTITUTE(SUBSTITUTE(SUBSTITUTE($B$72&amp;"","ו",""),"י",""),"ן","נ"),"-"," "),","," "))))),NOT(OR(ISNUMBER($J$72),ISNUMBER(--TRIM(SUBSTITUTE(SUBSTITUTE($J$72&amp;"","פצל",""),"פ",""))))))</formula>
    </cfRule>
  </conditionalFormatting>
  <conditionalFormatting sqref="J73">
    <cfRule type="expression" dxfId="0" priority="31">
      <formula>AND(OR(ISNUMBER(SEARCH(" ארנ"," "&amp;TRIM(SUBSTITUTE(SUBSTITUTE(SUBSTITUTE(SUBSTITUTE(SUBSTITUTE($B$73&amp;"","ו",""),"י",""),"ן","נ"),"-"," "),","," ")))),ISNUMBER(SEARCH(" הארנ"," "&amp;TRIM(SUBSTITUTE(SUBSTITUTE(SUBSTITUTE(SUBSTITUTE(SUBSTITUTE($B$73&amp;"","ו",""),"י",""),"ן","נ"),"-"," "),","," ")))),ISNUMBER(SEARCH(" אארנ"," "&amp;TRIM(SUBSTITUTE(SUBSTITUTE(SUBSTITUTE(SUBSTITUTE(SUBSTITUTE($B$73&amp;"","ו",""),"י",""),"ן","נ"),"-"," "),","," ")))),ISNUMBER(SEARCH(" אנרנ"," "&amp;TRIM(SUBSTITUTE(SUBSTITUTE(SUBSTITUTE(SUBSTITUTE(SUBSTITUTE($B$73&amp;"","ו",""),"י",""),"ן","נ"),"-"," "),","," ")))),ISNUMBER(SEARCH(" האנרנ"," "&amp;TRIM(SUBSTITUTE(SUBSTITUTE(SUBSTITUTE(SUBSTITUTE(SUBSTITUTE($B$73&amp;"","ו",""),"י",""),"ן","נ"),"-"," "),","," "))))),NOT(OR(ISNUMBER($J$73),ISNUMBER(--TRIM(SUBSTITUTE(SUBSTITUTE($J$73&amp;"","פצל",""),"פ",""))))))</formula>
    </cfRule>
  </conditionalFormatting>
  <conditionalFormatting sqref="J74">
    <cfRule type="expression" dxfId="0" priority="32">
      <formula>AND(OR(ISNUMBER(SEARCH(" ארנ"," "&amp;TRIM(SUBSTITUTE(SUBSTITUTE(SUBSTITUTE(SUBSTITUTE(SUBSTITUTE($B$74&amp;"","ו",""),"י",""),"ן","נ"),"-"," "),","," ")))),ISNUMBER(SEARCH(" הארנ"," "&amp;TRIM(SUBSTITUTE(SUBSTITUTE(SUBSTITUTE(SUBSTITUTE(SUBSTITUTE($B$74&amp;"","ו",""),"י",""),"ן","נ"),"-"," "),","," ")))),ISNUMBER(SEARCH(" אארנ"," "&amp;TRIM(SUBSTITUTE(SUBSTITUTE(SUBSTITUTE(SUBSTITUTE(SUBSTITUTE($B$74&amp;"","ו",""),"י",""),"ן","נ"),"-"," "),","," ")))),ISNUMBER(SEARCH(" אנרנ"," "&amp;TRIM(SUBSTITUTE(SUBSTITUTE(SUBSTITUTE(SUBSTITUTE(SUBSTITUTE($B$74&amp;"","ו",""),"י",""),"ן","נ"),"-"," "),","," ")))),ISNUMBER(SEARCH(" האנרנ"," "&amp;TRIM(SUBSTITUTE(SUBSTITUTE(SUBSTITUTE(SUBSTITUTE(SUBSTITUTE($B$74&amp;"","ו",""),"י",""),"ן","נ"),"-"," "),","," "))))),NOT(OR(ISNUMBER($J$74),ISNUMBER(--TRIM(SUBSTITUTE(SUBSTITUTE($J$74&amp;"","פצל",""),"פ",""))))))</formula>
    </cfRule>
  </conditionalFormatting>
  <conditionalFormatting sqref="J75">
    <cfRule type="expression" dxfId="0" priority="33">
      <formula>AND(OR(ISNUMBER(SEARCH(" ארנ"," "&amp;TRIM(SUBSTITUTE(SUBSTITUTE(SUBSTITUTE(SUBSTITUTE(SUBSTITUTE($B$75&amp;"","ו",""),"י",""),"ן","נ"),"-"," "),","," ")))),ISNUMBER(SEARCH(" הארנ"," "&amp;TRIM(SUBSTITUTE(SUBSTITUTE(SUBSTITUTE(SUBSTITUTE(SUBSTITUTE($B$75&amp;"","ו",""),"י",""),"ן","נ"),"-"," "),","," ")))),ISNUMBER(SEARCH(" אארנ"," "&amp;TRIM(SUBSTITUTE(SUBSTITUTE(SUBSTITUTE(SUBSTITUTE(SUBSTITUTE($B$75&amp;"","ו",""),"י",""),"ן","נ"),"-"," "),","," ")))),ISNUMBER(SEARCH(" אנרנ"," "&amp;TRIM(SUBSTITUTE(SUBSTITUTE(SUBSTITUTE(SUBSTITUTE(SUBSTITUTE($B$75&amp;"","ו",""),"י",""),"ן","נ"),"-"," "),","," ")))),ISNUMBER(SEARCH(" האנרנ"," "&amp;TRIM(SUBSTITUTE(SUBSTITUTE(SUBSTITUTE(SUBSTITUTE(SUBSTITUTE($B$75&amp;"","ו",""),"י",""),"ן","נ"),"-"," "),","," "))))),NOT(OR(ISNUMBER($J$75),ISNUMBER(--TRIM(SUBSTITUTE(SUBSTITUTE($J$75&amp;"","פצל",""),"פ",""))))))</formula>
    </cfRule>
  </conditionalFormatting>
  <conditionalFormatting sqref="J76">
    <cfRule type="expression" dxfId="0" priority="34">
      <formula>AND(OR(ISNUMBER(SEARCH(" ארנ"," "&amp;TRIM(SUBSTITUTE(SUBSTITUTE(SUBSTITUTE(SUBSTITUTE(SUBSTITUTE($B$76&amp;"","ו",""),"י",""),"ן","נ"),"-"," "),","," ")))),ISNUMBER(SEARCH(" הארנ"," "&amp;TRIM(SUBSTITUTE(SUBSTITUTE(SUBSTITUTE(SUBSTITUTE(SUBSTITUTE($B$76&amp;"","ו",""),"י",""),"ן","נ"),"-"," "),","," ")))),ISNUMBER(SEARCH(" אארנ"," "&amp;TRIM(SUBSTITUTE(SUBSTITUTE(SUBSTITUTE(SUBSTITUTE(SUBSTITUTE($B$76&amp;"","ו",""),"י",""),"ן","נ"),"-"," "),","," ")))),ISNUMBER(SEARCH(" אנרנ"," "&amp;TRIM(SUBSTITUTE(SUBSTITUTE(SUBSTITUTE(SUBSTITUTE(SUBSTITUTE($B$76&amp;"","ו",""),"י",""),"ן","נ"),"-"," "),","," ")))),ISNUMBER(SEARCH(" האנרנ"," "&amp;TRIM(SUBSTITUTE(SUBSTITUTE(SUBSTITUTE(SUBSTITUTE(SUBSTITUTE($B$76&amp;"","ו",""),"י",""),"ן","נ"),"-"," "),","," "))))),NOT(OR(ISNUMBER($J$76),ISNUMBER(--TRIM(SUBSTITUTE(SUBSTITUTE($J$76&amp;"","פצל",""),"פ",""))))))</formula>
    </cfRule>
  </conditionalFormatting>
  <conditionalFormatting sqref="J77">
    <cfRule type="expression" dxfId="0" priority="35">
      <formula>AND(OR(ISNUMBER(SEARCH(" ארנ"," "&amp;TRIM(SUBSTITUTE(SUBSTITUTE(SUBSTITUTE(SUBSTITUTE(SUBSTITUTE($B$77&amp;"","ו",""),"י",""),"ן","נ"),"-"," "),","," ")))),ISNUMBER(SEARCH(" הארנ"," "&amp;TRIM(SUBSTITUTE(SUBSTITUTE(SUBSTITUTE(SUBSTITUTE(SUBSTITUTE($B$77&amp;"","ו",""),"י",""),"ן","נ"),"-"," "),","," ")))),ISNUMBER(SEARCH(" אארנ"," "&amp;TRIM(SUBSTITUTE(SUBSTITUTE(SUBSTITUTE(SUBSTITUTE(SUBSTITUTE($B$77&amp;"","ו",""),"י",""),"ן","נ"),"-"," "),","," ")))),ISNUMBER(SEARCH(" אנרנ"," "&amp;TRIM(SUBSTITUTE(SUBSTITUTE(SUBSTITUTE(SUBSTITUTE(SUBSTITUTE($B$77&amp;"","ו",""),"י",""),"ן","נ"),"-"," "),","," ")))),ISNUMBER(SEARCH(" האנרנ"," "&amp;TRIM(SUBSTITUTE(SUBSTITUTE(SUBSTITUTE(SUBSTITUTE(SUBSTITUTE($B$77&amp;"","ו",""),"י",""),"ן","נ"),"-"," "),","," "))))),NOT(OR(ISNUMBER($J$77),ISNUMBER(--TRIM(SUBSTITUTE(SUBSTITUTE($J$77&amp;"","פצל",""),"פ",""))))))</formula>
    </cfRule>
  </conditionalFormatting>
  <conditionalFormatting sqref="J78">
    <cfRule type="expression" dxfId="0" priority="36">
      <formula>AND(OR(ISNUMBER(SEARCH(" ארנ"," "&amp;TRIM(SUBSTITUTE(SUBSTITUTE(SUBSTITUTE(SUBSTITUTE(SUBSTITUTE($B$78&amp;"","ו",""),"י",""),"ן","נ"),"-"," "),","," ")))),ISNUMBER(SEARCH(" הארנ"," "&amp;TRIM(SUBSTITUTE(SUBSTITUTE(SUBSTITUTE(SUBSTITUTE(SUBSTITUTE($B$78&amp;"","ו",""),"י",""),"ן","נ"),"-"," "),","," ")))),ISNUMBER(SEARCH(" אארנ"," "&amp;TRIM(SUBSTITUTE(SUBSTITUTE(SUBSTITUTE(SUBSTITUTE(SUBSTITUTE($B$78&amp;"","ו",""),"י",""),"ן","נ"),"-"," "),","," ")))),ISNUMBER(SEARCH(" אנרנ"," "&amp;TRIM(SUBSTITUTE(SUBSTITUTE(SUBSTITUTE(SUBSTITUTE(SUBSTITUTE($B$78&amp;"","ו",""),"י",""),"ן","נ"),"-"," "),","," ")))),ISNUMBER(SEARCH(" האנרנ"," "&amp;TRIM(SUBSTITUTE(SUBSTITUTE(SUBSTITUTE(SUBSTITUTE(SUBSTITUTE($B$78&amp;"","ו",""),"י",""),"ן","נ"),"-"," "),","," "))))),NOT(OR(ISNUMBER($J$78),ISNUMBER(--TRIM(SUBSTITUTE(SUBSTITUTE($J$78&amp;"","פצל",""),"פ",""))))))</formula>
    </cfRule>
  </conditionalFormatting>
  <conditionalFormatting sqref="J79">
    <cfRule type="expression" dxfId="0" priority="37">
      <formula>AND(OR(ISNUMBER(SEARCH(" ארנ"," "&amp;TRIM(SUBSTITUTE(SUBSTITUTE(SUBSTITUTE(SUBSTITUTE(SUBSTITUTE($B$79&amp;"","ו",""),"י",""),"ן","נ"),"-"," "),","," ")))),ISNUMBER(SEARCH(" הארנ"," "&amp;TRIM(SUBSTITUTE(SUBSTITUTE(SUBSTITUTE(SUBSTITUTE(SUBSTITUTE($B$79&amp;"","ו",""),"י",""),"ן","נ"),"-"," "),","," ")))),ISNUMBER(SEARCH(" אארנ"," "&amp;TRIM(SUBSTITUTE(SUBSTITUTE(SUBSTITUTE(SUBSTITUTE(SUBSTITUTE($B$79&amp;"","ו",""),"י",""),"ן","נ"),"-"," "),","," ")))),ISNUMBER(SEARCH(" אנרנ"," "&amp;TRIM(SUBSTITUTE(SUBSTITUTE(SUBSTITUTE(SUBSTITUTE(SUBSTITUTE($B$79&amp;"","ו",""),"י",""),"ן","נ"),"-"," "),","," ")))),ISNUMBER(SEARCH(" האנרנ"," "&amp;TRIM(SUBSTITUTE(SUBSTITUTE(SUBSTITUTE(SUBSTITUTE(SUBSTITUTE($B$79&amp;"","ו",""),"י",""),"ן","נ"),"-"," "),","," "))))),NOT(OR(ISNUMBER($J$79),ISNUMBER(--TRIM(SUBSTITUTE(SUBSTITUTE($J$79&amp;"","פצל",""),"פ",""))))))</formula>
    </cfRule>
  </conditionalFormatting>
  <conditionalFormatting sqref="J80">
    <cfRule type="expression" dxfId="0" priority="38">
      <formula>AND(OR(ISNUMBER(SEARCH(" ארנ"," "&amp;TRIM(SUBSTITUTE(SUBSTITUTE(SUBSTITUTE(SUBSTITUTE(SUBSTITUTE($B$80&amp;"","ו",""),"י",""),"ן","נ"),"-"," "),","," ")))),ISNUMBER(SEARCH(" הארנ"," "&amp;TRIM(SUBSTITUTE(SUBSTITUTE(SUBSTITUTE(SUBSTITUTE(SUBSTITUTE($B$80&amp;"","ו",""),"י",""),"ן","נ"),"-"," "),","," ")))),ISNUMBER(SEARCH(" אארנ"," "&amp;TRIM(SUBSTITUTE(SUBSTITUTE(SUBSTITUTE(SUBSTITUTE(SUBSTITUTE($B$80&amp;"","ו",""),"י",""),"ן","נ"),"-"," "),","," ")))),ISNUMBER(SEARCH(" אנרנ"," "&amp;TRIM(SUBSTITUTE(SUBSTITUTE(SUBSTITUTE(SUBSTITUTE(SUBSTITUTE($B$80&amp;"","ו",""),"י",""),"ן","נ"),"-"," "),","," ")))),ISNUMBER(SEARCH(" האנרנ"," "&amp;TRIM(SUBSTITUTE(SUBSTITUTE(SUBSTITUTE(SUBSTITUTE(SUBSTITUTE($B$80&amp;"","ו",""),"י",""),"ן","נ"),"-"," "),","," "))))),NOT(OR(ISNUMBER($J$80),ISNUMBER(--TRIM(SUBSTITUTE(SUBSTITUTE($J$80&amp;"","פצל",""),"פ",""))))))</formula>
    </cfRule>
  </conditionalFormatting>
  <conditionalFormatting sqref="J81">
    <cfRule type="expression" dxfId="0" priority="39">
      <formula>AND(OR(ISNUMBER(SEARCH(" ארנ"," "&amp;TRIM(SUBSTITUTE(SUBSTITUTE(SUBSTITUTE(SUBSTITUTE(SUBSTITUTE($B$81&amp;"","ו",""),"י",""),"ן","נ"),"-"," "),","," ")))),ISNUMBER(SEARCH(" הארנ"," "&amp;TRIM(SUBSTITUTE(SUBSTITUTE(SUBSTITUTE(SUBSTITUTE(SUBSTITUTE($B$81&amp;"","ו",""),"י",""),"ן","נ"),"-"," "),","," ")))),ISNUMBER(SEARCH(" אארנ"," "&amp;TRIM(SUBSTITUTE(SUBSTITUTE(SUBSTITUTE(SUBSTITUTE(SUBSTITUTE($B$81&amp;"","ו",""),"י",""),"ן","נ"),"-"," "),","," ")))),ISNUMBER(SEARCH(" אנרנ"," "&amp;TRIM(SUBSTITUTE(SUBSTITUTE(SUBSTITUTE(SUBSTITUTE(SUBSTITUTE($B$81&amp;"","ו",""),"י",""),"ן","נ"),"-"," "),","," ")))),ISNUMBER(SEARCH(" האנרנ"," "&amp;TRIM(SUBSTITUTE(SUBSTITUTE(SUBSTITUTE(SUBSTITUTE(SUBSTITUTE($B$81&amp;"","ו",""),"י",""),"ן","נ"),"-"," "),","," "))))),NOT(OR(ISNUMBER($J$81),ISNUMBER(--TRIM(SUBSTITUTE(SUBSTITUTE($J$81&amp;"","פצל",""),"פ",""))))))</formula>
    </cfRule>
  </conditionalFormatting>
  <conditionalFormatting sqref="J82">
    <cfRule type="expression" dxfId="0" priority="40">
      <formula>AND(OR(ISNUMBER(SEARCH(" ארנ"," "&amp;TRIM(SUBSTITUTE(SUBSTITUTE(SUBSTITUTE(SUBSTITUTE(SUBSTITUTE($B$82&amp;"","ו",""),"י",""),"ן","נ"),"-"," "),","," ")))),ISNUMBER(SEARCH(" הארנ"," "&amp;TRIM(SUBSTITUTE(SUBSTITUTE(SUBSTITUTE(SUBSTITUTE(SUBSTITUTE($B$82&amp;"","ו",""),"י",""),"ן","נ"),"-"," "),","," ")))),ISNUMBER(SEARCH(" אארנ"," "&amp;TRIM(SUBSTITUTE(SUBSTITUTE(SUBSTITUTE(SUBSTITUTE(SUBSTITUTE($B$82&amp;"","ו",""),"י",""),"ן","נ"),"-"," "),","," ")))),ISNUMBER(SEARCH(" אנרנ"," "&amp;TRIM(SUBSTITUTE(SUBSTITUTE(SUBSTITUTE(SUBSTITUTE(SUBSTITUTE($B$82&amp;"","ו",""),"י",""),"ן","נ"),"-"," "),","," ")))),ISNUMBER(SEARCH(" האנרנ"," "&amp;TRIM(SUBSTITUTE(SUBSTITUTE(SUBSTITUTE(SUBSTITUTE(SUBSTITUTE($B$82&amp;"","ו",""),"י",""),"ן","נ"),"-"," "),","," "))))),NOT(OR(ISNUMBER($J$82),ISNUMBER(--TRIM(SUBSTITUTE(SUBSTITUTE($J$82&amp;"","פצל",""),"פ",""))))))</formula>
    </cfRule>
  </conditionalFormatting>
  <conditionalFormatting sqref="J83">
    <cfRule type="expression" dxfId="0" priority="41">
      <formula>AND(OR(ISNUMBER(SEARCH(" ארנ"," "&amp;TRIM(SUBSTITUTE(SUBSTITUTE(SUBSTITUTE(SUBSTITUTE(SUBSTITUTE($B$83&amp;"","ו",""),"י",""),"ן","נ"),"-"," "),","," ")))),ISNUMBER(SEARCH(" הארנ"," "&amp;TRIM(SUBSTITUTE(SUBSTITUTE(SUBSTITUTE(SUBSTITUTE(SUBSTITUTE($B$83&amp;"","ו",""),"י",""),"ן","נ"),"-"," "),","," ")))),ISNUMBER(SEARCH(" אארנ"," "&amp;TRIM(SUBSTITUTE(SUBSTITUTE(SUBSTITUTE(SUBSTITUTE(SUBSTITUTE($B$83&amp;"","ו",""),"י",""),"ן","נ"),"-"," "),","," ")))),ISNUMBER(SEARCH(" אנרנ"," "&amp;TRIM(SUBSTITUTE(SUBSTITUTE(SUBSTITUTE(SUBSTITUTE(SUBSTITUTE($B$83&amp;"","ו",""),"י",""),"ן","נ"),"-"," "),","," ")))),ISNUMBER(SEARCH(" האנרנ"," "&amp;TRIM(SUBSTITUTE(SUBSTITUTE(SUBSTITUTE(SUBSTITUTE(SUBSTITUTE($B$83&amp;"","ו",""),"י",""),"ן","נ"),"-"," "),","," "))))),NOT(OR(ISNUMBER($J$83),ISNUMBER(--TRIM(SUBSTITUTE(SUBSTITUTE($J$83&amp;"","פצל",""),"פ",""))))))</formula>
    </cfRule>
  </conditionalFormatting>
  <conditionalFormatting sqref="J84">
    <cfRule type="expression" dxfId="0" priority="42">
      <formula>AND(OR(ISNUMBER(SEARCH(" ארנ"," "&amp;TRIM(SUBSTITUTE(SUBSTITUTE(SUBSTITUTE(SUBSTITUTE(SUBSTITUTE($B$84&amp;"","ו",""),"י",""),"ן","נ"),"-"," "),","," ")))),ISNUMBER(SEARCH(" הארנ"," "&amp;TRIM(SUBSTITUTE(SUBSTITUTE(SUBSTITUTE(SUBSTITUTE(SUBSTITUTE($B$84&amp;"","ו",""),"י",""),"ן","נ"),"-"," "),","," ")))),ISNUMBER(SEARCH(" אארנ"," "&amp;TRIM(SUBSTITUTE(SUBSTITUTE(SUBSTITUTE(SUBSTITUTE(SUBSTITUTE($B$84&amp;"","ו",""),"י",""),"ן","נ"),"-"," "),","," ")))),ISNUMBER(SEARCH(" אנרנ"," "&amp;TRIM(SUBSTITUTE(SUBSTITUTE(SUBSTITUTE(SUBSTITUTE(SUBSTITUTE($B$84&amp;"","ו",""),"י",""),"ן","נ"),"-"," "),","," ")))),ISNUMBER(SEARCH(" האנרנ"," "&amp;TRIM(SUBSTITUTE(SUBSTITUTE(SUBSTITUTE(SUBSTITUTE(SUBSTITUTE($B$84&amp;"","ו",""),"י",""),"ן","נ"),"-"," "),","," "))))),NOT(OR(ISNUMBER($J$84),ISNUMBER(--TRIM(SUBSTITUTE(SUBSTITUTE($J$84&amp;"","פצל",""),"פ",""))))))</formula>
    </cfRule>
  </conditionalFormatting>
  <conditionalFormatting sqref="J85">
    <cfRule type="expression" dxfId="0" priority="43">
      <formula>AND(OR(ISNUMBER(SEARCH(" ארנ"," "&amp;TRIM(SUBSTITUTE(SUBSTITUTE(SUBSTITUTE(SUBSTITUTE(SUBSTITUTE($B$85&amp;"","ו",""),"י",""),"ן","נ"),"-"," "),","," ")))),ISNUMBER(SEARCH(" הארנ"," "&amp;TRIM(SUBSTITUTE(SUBSTITUTE(SUBSTITUTE(SUBSTITUTE(SUBSTITUTE($B$85&amp;"","ו",""),"י",""),"ן","נ"),"-"," "),","," ")))),ISNUMBER(SEARCH(" אארנ"," "&amp;TRIM(SUBSTITUTE(SUBSTITUTE(SUBSTITUTE(SUBSTITUTE(SUBSTITUTE($B$85&amp;"","ו",""),"י",""),"ן","נ"),"-"," "),","," ")))),ISNUMBER(SEARCH(" אנרנ"," "&amp;TRIM(SUBSTITUTE(SUBSTITUTE(SUBSTITUTE(SUBSTITUTE(SUBSTITUTE($B$85&amp;"","ו",""),"י",""),"ן","נ"),"-"," "),","," ")))),ISNUMBER(SEARCH(" האנרנ"," "&amp;TRIM(SUBSTITUTE(SUBSTITUTE(SUBSTITUTE(SUBSTITUTE(SUBSTITUTE($B$85&amp;"","ו",""),"י",""),"ן","נ"),"-"," "),","," "))))),NOT(OR(ISNUMBER($J$85),ISNUMBER(--TRIM(SUBSTITUTE(SUBSTITUTE($J$85&amp;"","פצל",""),"פ",""))))))</formula>
    </cfRule>
  </conditionalFormatting>
  <conditionalFormatting sqref="J86">
    <cfRule type="expression" dxfId="0" priority="44">
      <formula>AND(OR(ISNUMBER(SEARCH(" ארנ"," "&amp;TRIM(SUBSTITUTE(SUBSTITUTE(SUBSTITUTE(SUBSTITUTE(SUBSTITUTE($B$86&amp;"","ו",""),"י",""),"ן","נ"),"-"," "),","," ")))),ISNUMBER(SEARCH(" הארנ"," "&amp;TRIM(SUBSTITUTE(SUBSTITUTE(SUBSTITUTE(SUBSTITUTE(SUBSTITUTE($B$86&amp;"","ו",""),"י",""),"ן","נ"),"-"," "),","," ")))),ISNUMBER(SEARCH(" אארנ"," "&amp;TRIM(SUBSTITUTE(SUBSTITUTE(SUBSTITUTE(SUBSTITUTE(SUBSTITUTE($B$86&amp;"","ו",""),"י",""),"ן","נ"),"-"," "),","," ")))),ISNUMBER(SEARCH(" אנרנ"," "&amp;TRIM(SUBSTITUTE(SUBSTITUTE(SUBSTITUTE(SUBSTITUTE(SUBSTITUTE($B$86&amp;"","ו",""),"י",""),"ן","נ"),"-"," "),","," ")))),ISNUMBER(SEARCH(" האנרנ"," "&amp;TRIM(SUBSTITUTE(SUBSTITUTE(SUBSTITUTE(SUBSTITUTE(SUBSTITUTE($B$86&amp;"","ו",""),"י",""),"ן","נ"),"-"," "),","," "))))),NOT(OR(ISNUMBER($J$86),ISNUMBER(--TRIM(SUBSTITUTE(SUBSTITUTE($J$86&amp;"","פצל",""),"פ",""))))))</formula>
    </cfRule>
  </conditionalFormatting>
  <conditionalFormatting sqref="J90">
    <cfRule type="expression" dxfId="0" priority="45">
      <formula>AND(OR(ISNUMBER(SEARCH(" ארנ"," "&amp;TRIM(SUBSTITUTE(SUBSTITUTE(SUBSTITUTE(SUBSTITUTE(SUBSTITUTE($B$90&amp;"","ו",""),"י",""),"ן","נ"),"-"," "),","," ")))),ISNUMBER(SEARCH(" הארנ"," "&amp;TRIM(SUBSTITUTE(SUBSTITUTE(SUBSTITUTE(SUBSTITUTE(SUBSTITUTE($B$90&amp;"","ו",""),"י",""),"ן","נ"),"-"," "),","," ")))),ISNUMBER(SEARCH(" אארנ"," "&amp;TRIM(SUBSTITUTE(SUBSTITUTE(SUBSTITUTE(SUBSTITUTE(SUBSTITUTE($B$90&amp;"","ו",""),"י",""),"ן","נ"),"-"," "),","," ")))),ISNUMBER(SEARCH(" אנרנ"," "&amp;TRIM(SUBSTITUTE(SUBSTITUTE(SUBSTITUTE(SUBSTITUTE(SUBSTITUTE($B$90&amp;"","ו",""),"י",""),"ן","נ"),"-"," "),","," ")))),ISNUMBER(SEARCH(" האנרנ"," "&amp;TRIM(SUBSTITUTE(SUBSTITUTE(SUBSTITUTE(SUBSTITUTE(SUBSTITUTE($B$90&amp;"","ו",""),"י",""),"ן","נ"),"-"," "),","," "))))),NOT(OR(ISNUMBER($J$90),ISNUMBER(--TRIM(SUBSTITUTE(SUBSTITUTE($J$90&amp;"","פצל",""),"פ",""))))))</formula>
    </cfRule>
  </conditionalFormatting>
  <conditionalFormatting sqref="J91">
    <cfRule type="expression" dxfId="0" priority="46">
      <formula>AND(OR(ISNUMBER(SEARCH(" ארנ"," "&amp;TRIM(SUBSTITUTE(SUBSTITUTE(SUBSTITUTE(SUBSTITUTE(SUBSTITUTE($B$91&amp;"","ו",""),"י",""),"ן","נ"),"-"," "),","," ")))),ISNUMBER(SEARCH(" הארנ"," "&amp;TRIM(SUBSTITUTE(SUBSTITUTE(SUBSTITUTE(SUBSTITUTE(SUBSTITUTE($B$91&amp;"","ו",""),"י",""),"ן","נ"),"-"," "),","," ")))),ISNUMBER(SEARCH(" אארנ"," "&amp;TRIM(SUBSTITUTE(SUBSTITUTE(SUBSTITUTE(SUBSTITUTE(SUBSTITUTE($B$91&amp;"","ו",""),"י",""),"ן","נ"),"-"," "),","," ")))),ISNUMBER(SEARCH(" אנרנ"," "&amp;TRIM(SUBSTITUTE(SUBSTITUTE(SUBSTITUTE(SUBSTITUTE(SUBSTITUTE($B$91&amp;"","ו",""),"י",""),"ן","נ"),"-"," "),","," ")))),ISNUMBER(SEARCH(" האנרנ"," "&amp;TRIM(SUBSTITUTE(SUBSTITUTE(SUBSTITUTE(SUBSTITUTE(SUBSTITUTE($B$91&amp;"","ו",""),"י",""),"ן","נ"),"-"," "),","," "))))),NOT(OR(ISNUMBER($J$91),ISNUMBER(--TRIM(SUBSTITUTE(SUBSTITUTE($J$91&amp;"","פצל",""),"פ",""))))))</formula>
    </cfRule>
  </conditionalFormatting>
  <conditionalFormatting sqref="J92">
    <cfRule type="expression" dxfId="0" priority="47">
      <formula>AND(OR(ISNUMBER(SEARCH(" ארנ"," "&amp;TRIM(SUBSTITUTE(SUBSTITUTE(SUBSTITUTE(SUBSTITUTE(SUBSTITUTE($B$92&amp;"","ו",""),"י",""),"ן","נ"),"-"," "),","," ")))),ISNUMBER(SEARCH(" הארנ"," "&amp;TRIM(SUBSTITUTE(SUBSTITUTE(SUBSTITUTE(SUBSTITUTE(SUBSTITUTE($B$92&amp;"","ו",""),"י",""),"ן","נ"),"-"," "),","," ")))),ISNUMBER(SEARCH(" אארנ"," "&amp;TRIM(SUBSTITUTE(SUBSTITUTE(SUBSTITUTE(SUBSTITUTE(SUBSTITUTE($B$92&amp;"","ו",""),"י",""),"ן","נ"),"-"," "),","," ")))),ISNUMBER(SEARCH(" אנרנ"," "&amp;TRIM(SUBSTITUTE(SUBSTITUTE(SUBSTITUTE(SUBSTITUTE(SUBSTITUTE($B$92&amp;"","ו",""),"י",""),"ן","נ"),"-"," "),","," ")))),ISNUMBER(SEARCH(" האנרנ"," "&amp;TRIM(SUBSTITUTE(SUBSTITUTE(SUBSTITUTE(SUBSTITUTE(SUBSTITUTE($B$92&amp;"","ו",""),"י",""),"ן","נ"),"-"," "),","," "))))),NOT(OR(ISNUMBER($J$92),ISNUMBER(--TRIM(SUBSTITUTE(SUBSTITUTE($J$92&amp;"","פצל",""),"פ",""))))))</formula>
    </cfRule>
  </conditionalFormatting>
  <conditionalFormatting sqref="J93">
    <cfRule type="expression" dxfId="0" priority="48">
      <formula>AND(OR(ISNUMBER(SEARCH(" ארנ"," "&amp;TRIM(SUBSTITUTE(SUBSTITUTE(SUBSTITUTE(SUBSTITUTE(SUBSTITUTE($B$93&amp;"","ו",""),"י",""),"ן","נ"),"-"," "),","," ")))),ISNUMBER(SEARCH(" הארנ"," "&amp;TRIM(SUBSTITUTE(SUBSTITUTE(SUBSTITUTE(SUBSTITUTE(SUBSTITUTE($B$93&amp;"","ו",""),"י",""),"ן","נ"),"-"," "),","," ")))),ISNUMBER(SEARCH(" אארנ"," "&amp;TRIM(SUBSTITUTE(SUBSTITUTE(SUBSTITUTE(SUBSTITUTE(SUBSTITUTE($B$93&amp;"","ו",""),"י",""),"ן","נ"),"-"," "),","," ")))),ISNUMBER(SEARCH(" אנרנ"," "&amp;TRIM(SUBSTITUTE(SUBSTITUTE(SUBSTITUTE(SUBSTITUTE(SUBSTITUTE($B$93&amp;"","ו",""),"י",""),"ן","נ"),"-"," "),","," ")))),ISNUMBER(SEARCH(" האנרנ"," "&amp;TRIM(SUBSTITUTE(SUBSTITUTE(SUBSTITUTE(SUBSTITUTE(SUBSTITUTE($B$93&amp;"","ו",""),"י",""),"ן","נ"),"-"," "),","," "))))),NOT(OR(ISNUMBER($J$93),ISNUMBER(--TRIM(SUBSTITUTE(SUBSTITUTE($J$93&amp;"","פצל",""),"פ",""))))))</formula>
    </cfRule>
  </conditionalFormatting>
  <conditionalFormatting sqref="J94">
    <cfRule type="expression" dxfId="0" priority="49">
      <formula>AND(OR(ISNUMBER(SEARCH(" ארנ"," "&amp;TRIM(SUBSTITUTE(SUBSTITUTE(SUBSTITUTE(SUBSTITUTE(SUBSTITUTE($B$94&amp;"","ו",""),"י",""),"ן","נ"),"-"," "),","," ")))),ISNUMBER(SEARCH(" הארנ"," "&amp;TRIM(SUBSTITUTE(SUBSTITUTE(SUBSTITUTE(SUBSTITUTE(SUBSTITUTE($B$94&amp;"","ו",""),"י",""),"ן","נ"),"-"," "),","," ")))),ISNUMBER(SEARCH(" אארנ"," "&amp;TRIM(SUBSTITUTE(SUBSTITUTE(SUBSTITUTE(SUBSTITUTE(SUBSTITUTE($B$94&amp;"","ו",""),"י",""),"ן","נ"),"-"," "),","," ")))),ISNUMBER(SEARCH(" אנרנ"," "&amp;TRIM(SUBSTITUTE(SUBSTITUTE(SUBSTITUTE(SUBSTITUTE(SUBSTITUTE($B$94&amp;"","ו",""),"י",""),"ן","נ"),"-"," "),","," ")))),ISNUMBER(SEARCH(" האנרנ"," "&amp;TRIM(SUBSTITUTE(SUBSTITUTE(SUBSTITUTE(SUBSTITUTE(SUBSTITUTE($B$94&amp;"","ו",""),"י",""),"ן","נ"),"-"," "),","," "))))),NOT(OR(ISNUMBER($J$94),ISNUMBER(--TRIM(SUBSTITUTE(SUBSTITUTE($J$94&amp;"","פצל",""),"פ",""))))))</formula>
    </cfRule>
  </conditionalFormatting>
  <conditionalFormatting sqref="J95">
    <cfRule type="expression" dxfId="0" priority="50">
      <formula>AND(OR(ISNUMBER(SEARCH(" ארנ"," "&amp;TRIM(SUBSTITUTE(SUBSTITUTE(SUBSTITUTE(SUBSTITUTE(SUBSTITUTE($B$95&amp;"","ו",""),"י",""),"ן","נ"),"-"," "),","," ")))),ISNUMBER(SEARCH(" הארנ"," "&amp;TRIM(SUBSTITUTE(SUBSTITUTE(SUBSTITUTE(SUBSTITUTE(SUBSTITUTE($B$95&amp;"","ו",""),"י",""),"ן","נ"),"-"," "),","," ")))),ISNUMBER(SEARCH(" אארנ"," "&amp;TRIM(SUBSTITUTE(SUBSTITUTE(SUBSTITUTE(SUBSTITUTE(SUBSTITUTE($B$95&amp;"","ו",""),"י",""),"ן","נ"),"-"," "),","," ")))),ISNUMBER(SEARCH(" אנרנ"," "&amp;TRIM(SUBSTITUTE(SUBSTITUTE(SUBSTITUTE(SUBSTITUTE(SUBSTITUTE($B$95&amp;"","ו",""),"י",""),"ן","נ"),"-"," "),","," ")))),ISNUMBER(SEARCH(" האנרנ"," "&amp;TRIM(SUBSTITUTE(SUBSTITUTE(SUBSTITUTE(SUBSTITUTE(SUBSTITUTE($B$95&amp;"","ו",""),"י",""),"ן","נ"),"-"," "),","," "))))),NOT(OR(ISNUMBER($J$95),ISNUMBER(--TRIM(SUBSTITUTE(SUBSTITUTE($J$95&amp;"","פצל",""),"פ",""))))))</formula>
    </cfRule>
  </conditionalFormatting>
  <conditionalFormatting sqref="J96">
    <cfRule type="expression" dxfId="0" priority="51">
      <formula>AND(OR(ISNUMBER(SEARCH(" ארנ"," "&amp;TRIM(SUBSTITUTE(SUBSTITUTE(SUBSTITUTE(SUBSTITUTE(SUBSTITUTE($B$96&amp;"","ו",""),"י",""),"ן","נ"),"-"," "),","," ")))),ISNUMBER(SEARCH(" הארנ"," "&amp;TRIM(SUBSTITUTE(SUBSTITUTE(SUBSTITUTE(SUBSTITUTE(SUBSTITUTE($B$96&amp;"","ו",""),"י",""),"ן","נ"),"-"," "),","," ")))),ISNUMBER(SEARCH(" אארנ"," "&amp;TRIM(SUBSTITUTE(SUBSTITUTE(SUBSTITUTE(SUBSTITUTE(SUBSTITUTE($B$96&amp;"","ו",""),"י",""),"ן","נ"),"-"," "),","," ")))),ISNUMBER(SEARCH(" אנרנ"," "&amp;TRIM(SUBSTITUTE(SUBSTITUTE(SUBSTITUTE(SUBSTITUTE(SUBSTITUTE($B$96&amp;"","ו",""),"י",""),"ן","נ"),"-"," "),","," ")))),ISNUMBER(SEARCH(" האנרנ"," "&amp;TRIM(SUBSTITUTE(SUBSTITUTE(SUBSTITUTE(SUBSTITUTE(SUBSTITUTE($B$96&amp;"","ו",""),"י",""),"ן","נ"),"-"," "),","," "))))),NOT(OR(ISNUMBER($J$96),ISNUMBER(--TRIM(SUBSTITUTE(SUBSTITUTE($J$96&amp;"","פצל",""),"פ",""))))))</formula>
    </cfRule>
  </conditionalFormatting>
  <conditionalFormatting sqref="J97">
    <cfRule type="expression" dxfId="0" priority="52">
      <formula>AND(OR(ISNUMBER(SEARCH(" ארנ"," "&amp;TRIM(SUBSTITUTE(SUBSTITUTE(SUBSTITUTE(SUBSTITUTE(SUBSTITUTE($B$97&amp;"","ו",""),"י",""),"ן","נ"),"-"," "),","," ")))),ISNUMBER(SEARCH(" הארנ"," "&amp;TRIM(SUBSTITUTE(SUBSTITUTE(SUBSTITUTE(SUBSTITUTE(SUBSTITUTE($B$97&amp;"","ו",""),"י",""),"ן","נ"),"-"," "),","," ")))),ISNUMBER(SEARCH(" אארנ"," "&amp;TRIM(SUBSTITUTE(SUBSTITUTE(SUBSTITUTE(SUBSTITUTE(SUBSTITUTE($B$97&amp;"","ו",""),"י",""),"ן","נ"),"-"," "),","," ")))),ISNUMBER(SEARCH(" אנרנ"," "&amp;TRIM(SUBSTITUTE(SUBSTITUTE(SUBSTITUTE(SUBSTITUTE(SUBSTITUTE($B$97&amp;"","ו",""),"י",""),"ן","נ"),"-"," "),","," ")))),ISNUMBER(SEARCH(" האנרנ"," "&amp;TRIM(SUBSTITUTE(SUBSTITUTE(SUBSTITUTE(SUBSTITUTE(SUBSTITUTE($B$97&amp;"","ו",""),"י",""),"ן","נ"),"-"," "),","," "))))),NOT(OR(ISNUMBER($J$97),ISNUMBER(--TRIM(SUBSTITUTE(SUBSTITUTE($J$97&amp;"","פצל",""),"פ",""))))))</formula>
    </cfRule>
  </conditionalFormatting>
  <conditionalFormatting sqref="J98">
    <cfRule type="expression" dxfId="0" priority="53">
      <formula>AND(OR(ISNUMBER(SEARCH(" ארנ"," "&amp;TRIM(SUBSTITUTE(SUBSTITUTE(SUBSTITUTE(SUBSTITUTE(SUBSTITUTE($B$98&amp;"","ו",""),"י",""),"ן","נ"),"-"," "),","," ")))),ISNUMBER(SEARCH(" הארנ"," "&amp;TRIM(SUBSTITUTE(SUBSTITUTE(SUBSTITUTE(SUBSTITUTE(SUBSTITUTE($B$98&amp;"","ו",""),"י",""),"ן","נ"),"-"," "),","," ")))),ISNUMBER(SEARCH(" אארנ"," "&amp;TRIM(SUBSTITUTE(SUBSTITUTE(SUBSTITUTE(SUBSTITUTE(SUBSTITUTE($B$98&amp;"","ו",""),"י",""),"ן","נ"),"-"," "),","," ")))),ISNUMBER(SEARCH(" אנרנ"," "&amp;TRIM(SUBSTITUTE(SUBSTITUTE(SUBSTITUTE(SUBSTITUTE(SUBSTITUTE($B$98&amp;"","ו",""),"י",""),"ן","נ"),"-"," "),","," ")))),ISNUMBER(SEARCH(" האנרנ"," "&amp;TRIM(SUBSTITUTE(SUBSTITUTE(SUBSTITUTE(SUBSTITUTE(SUBSTITUTE($B$98&amp;"","ו",""),"י",""),"ן","נ"),"-"," "),","," "))))),NOT(OR(ISNUMBER($J$98),ISNUMBER(--TRIM(SUBSTITUTE(SUBSTITUTE($J$98&amp;"","פצל",""),"פ",""))))))</formula>
    </cfRule>
  </conditionalFormatting>
  <conditionalFormatting sqref="J99">
    <cfRule type="expression" dxfId="0" priority="54">
      <formula>AND(OR(ISNUMBER(SEARCH(" ארנ"," "&amp;TRIM(SUBSTITUTE(SUBSTITUTE(SUBSTITUTE(SUBSTITUTE(SUBSTITUTE($B$99&amp;"","ו",""),"י",""),"ן","נ"),"-"," "),","," ")))),ISNUMBER(SEARCH(" הארנ"," "&amp;TRIM(SUBSTITUTE(SUBSTITUTE(SUBSTITUTE(SUBSTITUTE(SUBSTITUTE($B$99&amp;"","ו",""),"י",""),"ן","נ"),"-"," "),","," ")))),ISNUMBER(SEARCH(" אארנ"," "&amp;TRIM(SUBSTITUTE(SUBSTITUTE(SUBSTITUTE(SUBSTITUTE(SUBSTITUTE($B$99&amp;"","ו",""),"י",""),"ן","נ"),"-"," "),","," ")))),ISNUMBER(SEARCH(" אנרנ"," "&amp;TRIM(SUBSTITUTE(SUBSTITUTE(SUBSTITUTE(SUBSTITUTE(SUBSTITUTE($B$99&amp;"","ו",""),"י",""),"ן","נ"),"-"," "),","," ")))),ISNUMBER(SEARCH(" האנרנ"," "&amp;TRIM(SUBSTITUTE(SUBSTITUTE(SUBSTITUTE(SUBSTITUTE(SUBSTITUTE($B$99&amp;"","ו",""),"י",""),"ן","נ"),"-"," "),","," "))))),NOT(OR(ISNUMBER($J$99),ISNUMBER(--TRIM(SUBSTITUTE(SUBSTITUTE($J$99&amp;"","פצל",""),"פ",""))))))</formula>
    </cfRule>
  </conditionalFormatting>
  <conditionalFormatting sqref="J100">
    <cfRule type="expression" dxfId="0" priority="55">
      <formula>AND(OR(ISNUMBER(SEARCH(" ארנ"," "&amp;TRIM(SUBSTITUTE(SUBSTITUTE(SUBSTITUTE(SUBSTITUTE(SUBSTITUTE($B$100&amp;"","ו",""),"י",""),"ן","נ"),"-"," "),","," ")))),ISNUMBER(SEARCH(" הארנ"," "&amp;TRIM(SUBSTITUTE(SUBSTITUTE(SUBSTITUTE(SUBSTITUTE(SUBSTITUTE($B$100&amp;"","ו",""),"י",""),"ן","נ"),"-"," "),","," ")))),ISNUMBER(SEARCH(" אארנ"," "&amp;TRIM(SUBSTITUTE(SUBSTITUTE(SUBSTITUTE(SUBSTITUTE(SUBSTITUTE($B$100&amp;"","ו",""),"י",""),"ן","נ"),"-"," "),","," ")))),ISNUMBER(SEARCH(" אנרנ"," "&amp;TRIM(SUBSTITUTE(SUBSTITUTE(SUBSTITUTE(SUBSTITUTE(SUBSTITUTE($B$100&amp;"","ו",""),"י",""),"ן","נ"),"-"," "),","," ")))),ISNUMBER(SEARCH(" האנרנ"," "&amp;TRIM(SUBSTITUTE(SUBSTITUTE(SUBSTITUTE(SUBSTITUTE(SUBSTITUTE($B$100&amp;"","ו",""),"י",""),"ן","נ"),"-"," "),","," "))))),NOT(OR(ISNUMBER($J$100),ISNUMBER(--TRIM(SUBSTITUTE(SUBSTITUTE($J$100&amp;"","פצל",""),"פ",""))))))</formula>
    </cfRule>
  </conditionalFormatting>
  <conditionalFormatting sqref="J101">
    <cfRule type="expression" dxfId="0" priority="56">
      <formula>AND(OR(ISNUMBER(SEARCH(" ארנ"," "&amp;TRIM(SUBSTITUTE(SUBSTITUTE(SUBSTITUTE(SUBSTITUTE(SUBSTITUTE($B$101&amp;"","ו",""),"י",""),"ן","נ"),"-"," "),","," ")))),ISNUMBER(SEARCH(" הארנ"," "&amp;TRIM(SUBSTITUTE(SUBSTITUTE(SUBSTITUTE(SUBSTITUTE(SUBSTITUTE($B$101&amp;"","ו",""),"י",""),"ן","נ"),"-"," "),","," ")))),ISNUMBER(SEARCH(" אארנ"," "&amp;TRIM(SUBSTITUTE(SUBSTITUTE(SUBSTITUTE(SUBSTITUTE(SUBSTITUTE($B$101&amp;"","ו",""),"י",""),"ן","נ"),"-"," "),","," ")))),ISNUMBER(SEARCH(" אנרנ"," "&amp;TRIM(SUBSTITUTE(SUBSTITUTE(SUBSTITUTE(SUBSTITUTE(SUBSTITUTE($B$101&amp;"","ו",""),"י",""),"ן","נ"),"-"," "),","," ")))),ISNUMBER(SEARCH(" האנרנ"," "&amp;TRIM(SUBSTITUTE(SUBSTITUTE(SUBSTITUTE(SUBSTITUTE(SUBSTITUTE($B$101&amp;"","ו",""),"י",""),"ן","נ"),"-"," "),","," "))))),NOT(OR(ISNUMBER($J$101),ISNUMBER(--TRIM(SUBSTITUTE(SUBSTITUTE($J$101&amp;"","פצל",""),"פ",""))))))</formula>
    </cfRule>
  </conditionalFormatting>
  <conditionalFormatting sqref="J102">
    <cfRule type="expression" dxfId="0" priority="57">
      <formula>AND(OR(ISNUMBER(SEARCH(" ארנ"," "&amp;TRIM(SUBSTITUTE(SUBSTITUTE(SUBSTITUTE(SUBSTITUTE(SUBSTITUTE($B$102&amp;"","ו",""),"י",""),"ן","נ"),"-"," "),","," ")))),ISNUMBER(SEARCH(" הארנ"," "&amp;TRIM(SUBSTITUTE(SUBSTITUTE(SUBSTITUTE(SUBSTITUTE(SUBSTITUTE($B$102&amp;"","ו",""),"י",""),"ן","נ"),"-"," "),","," ")))),ISNUMBER(SEARCH(" אארנ"," "&amp;TRIM(SUBSTITUTE(SUBSTITUTE(SUBSTITUTE(SUBSTITUTE(SUBSTITUTE($B$102&amp;"","ו",""),"י",""),"ן","נ"),"-"," "),","," ")))),ISNUMBER(SEARCH(" אנרנ"," "&amp;TRIM(SUBSTITUTE(SUBSTITUTE(SUBSTITUTE(SUBSTITUTE(SUBSTITUTE($B$102&amp;"","ו",""),"י",""),"ן","נ"),"-"," "),","," ")))),ISNUMBER(SEARCH(" האנרנ"," "&amp;TRIM(SUBSTITUTE(SUBSTITUTE(SUBSTITUTE(SUBSTITUTE(SUBSTITUTE($B$102&amp;"","ו",""),"י",""),"ן","נ"),"-"," "),","," "))))),NOT(OR(ISNUMBER($J$102),ISNUMBER(--TRIM(SUBSTITUTE(SUBSTITUTE($J$102&amp;"","פצל",""),"פ",""))))))</formula>
    </cfRule>
  </conditionalFormatting>
  <conditionalFormatting sqref="J103">
    <cfRule type="expression" dxfId="0" priority="58">
      <formula>AND(OR(ISNUMBER(SEARCH(" ארנ"," "&amp;TRIM(SUBSTITUTE(SUBSTITUTE(SUBSTITUTE(SUBSTITUTE(SUBSTITUTE($B$103&amp;"","ו",""),"י",""),"ן","נ"),"-"," "),","," ")))),ISNUMBER(SEARCH(" הארנ"," "&amp;TRIM(SUBSTITUTE(SUBSTITUTE(SUBSTITUTE(SUBSTITUTE(SUBSTITUTE($B$103&amp;"","ו",""),"י",""),"ן","נ"),"-"," "),","," ")))),ISNUMBER(SEARCH(" אארנ"," "&amp;TRIM(SUBSTITUTE(SUBSTITUTE(SUBSTITUTE(SUBSTITUTE(SUBSTITUTE($B$103&amp;"","ו",""),"י",""),"ן","נ"),"-"," "),","," ")))),ISNUMBER(SEARCH(" אנרנ"," "&amp;TRIM(SUBSTITUTE(SUBSTITUTE(SUBSTITUTE(SUBSTITUTE(SUBSTITUTE($B$103&amp;"","ו",""),"י",""),"ן","נ"),"-"," "),","," ")))),ISNUMBER(SEARCH(" האנרנ"," "&amp;TRIM(SUBSTITUTE(SUBSTITUTE(SUBSTITUTE(SUBSTITUTE(SUBSTITUTE($B$103&amp;"","ו",""),"י",""),"ן","נ"),"-"," "),","," "))))),NOT(OR(ISNUMBER($J$103),ISNUMBER(--TRIM(SUBSTITUTE(SUBSTITUTE($J$103&amp;"","פצל",""),"פ",""))))))</formula>
    </cfRule>
  </conditionalFormatting>
  <conditionalFormatting sqref="J104">
    <cfRule type="expression" dxfId="0" priority="59">
      <formula>AND(OR(ISNUMBER(SEARCH(" ארנ"," "&amp;TRIM(SUBSTITUTE(SUBSTITUTE(SUBSTITUTE(SUBSTITUTE(SUBSTITUTE($B$104&amp;"","ו",""),"י",""),"ן","נ"),"-"," "),","," ")))),ISNUMBER(SEARCH(" הארנ"," "&amp;TRIM(SUBSTITUTE(SUBSTITUTE(SUBSTITUTE(SUBSTITUTE(SUBSTITUTE($B$104&amp;"","ו",""),"י",""),"ן","נ"),"-"," "),","," ")))),ISNUMBER(SEARCH(" אארנ"," "&amp;TRIM(SUBSTITUTE(SUBSTITUTE(SUBSTITUTE(SUBSTITUTE(SUBSTITUTE($B$104&amp;"","ו",""),"י",""),"ן","נ"),"-"," "),","," ")))),ISNUMBER(SEARCH(" אנרנ"," "&amp;TRIM(SUBSTITUTE(SUBSTITUTE(SUBSTITUTE(SUBSTITUTE(SUBSTITUTE($B$104&amp;"","ו",""),"י",""),"ן","נ"),"-"," "),","," ")))),ISNUMBER(SEARCH(" האנרנ"," "&amp;TRIM(SUBSTITUTE(SUBSTITUTE(SUBSTITUTE(SUBSTITUTE(SUBSTITUTE($B$104&amp;"","ו",""),"י",""),"ן","נ"),"-"," "),","," "))))),NOT(OR(ISNUMBER($J$104),ISNUMBER(--TRIM(SUBSTITUTE(SUBSTITUTE($J$104&amp;"","פצל",""),"פ",""))))))</formula>
    </cfRule>
  </conditionalFormatting>
  <conditionalFormatting sqref="J105">
    <cfRule type="expression" dxfId="0" priority="60">
      <formula>AND(OR(ISNUMBER(SEARCH(" ארנ"," "&amp;TRIM(SUBSTITUTE(SUBSTITUTE(SUBSTITUTE(SUBSTITUTE(SUBSTITUTE($B$105&amp;"","ו",""),"י",""),"ן","נ"),"-"," "),","," ")))),ISNUMBER(SEARCH(" הארנ"," "&amp;TRIM(SUBSTITUTE(SUBSTITUTE(SUBSTITUTE(SUBSTITUTE(SUBSTITUTE($B$105&amp;"","ו",""),"י",""),"ן","נ"),"-"," "),","," ")))),ISNUMBER(SEARCH(" אארנ"," "&amp;TRIM(SUBSTITUTE(SUBSTITUTE(SUBSTITUTE(SUBSTITUTE(SUBSTITUTE($B$105&amp;"","ו",""),"י",""),"ן","נ"),"-"," "),","," ")))),ISNUMBER(SEARCH(" אנרנ"," "&amp;TRIM(SUBSTITUTE(SUBSTITUTE(SUBSTITUTE(SUBSTITUTE(SUBSTITUTE($B$105&amp;"","ו",""),"י",""),"ן","נ"),"-"," "),","," ")))),ISNUMBER(SEARCH(" האנרנ"," "&amp;TRIM(SUBSTITUTE(SUBSTITUTE(SUBSTITUTE(SUBSTITUTE(SUBSTITUTE($B$105&amp;"","ו",""),"י",""),"ן","נ"),"-"," "),","," "))))),NOT(OR(ISNUMBER($J$105),ISNUMBER(--TRIM(SUBSTITUTE(SUBSTITUTE($J$105&amp;"","פצל",""),"פ",""))))))</formula>
    </cfRule>
  </conditionalFormatting>
  <conditionalFormatting sqref="J106">
    <cfRule type="expression" dxfId="0" priority="61">
      <formula>AND(OR(ISNUMBER(SEARCH(" ארנ"," "&amp;TRIM(SUBSTITUTE(SUBSTITUTE(SUBSTITUTE(SUBSTITUTE(SUBSTITUTE($B$106&amp;"","ו",""),"י",""),"ן","נ"),"-"," "),","," ")))),ISNUMBER(SEARCH(" הארנ"," "&amp;TRIM(SUBSTITUTE(SUBSTITUTE(SUBSTITUTE(SUBSTITUTE(SUBSTITUTE($B$106&amp;"","ו",""),"י",""),"ן","נ"),"-"," "),","," ")))),ISNUMBER(SEARCH(" אארנ"," "&amp;TRIM(SUBSTITUTE(SUBSTITUTE(SUBSTITUTE(SUBSTITUTE(SUBSTITUTE($B$106&amp;"","ו",""),"י",""),"ן","נ"),"-"," "),","," ")))),ISNUMBER(SEARCH(" אנרנ"," "&amp;TRIM(SUBSTITUTE(SUBSTITUTE(SUBSTITUTE(SUBSTITUTE(SUBSTITUTE($B$106&amp;"","ו",""),"י",""),"ן","נ"),"-"," "),","," ")))),ISNUMBER(SEARCH(" האנרנ"," "&amp;TRIM(SUBSTITUTE(SUBSTITUTE(SUBSTITUTE(SUBSTITUTE(SUBSTITUTE($B$106&amp;"","ו",""),"י",""),"ן","נ"),"-"," "),","," "))))),NOT(OR(ISNUMBER($J$106),ISNUMBER(--TRIM(SUBSTITUTE(SUBSTITUTE($J$106&amp;"","פצל",""),"פ",""))))))</formula>
    </cfRule>
  </conditionalFormatting>
  <conditionalFormatting sqref="J107">
    <cfRule type="expression" dxfId="0" priority="62">
      <formula>AND(OR(ISNUMBER(SEARCH(" ארנ"," "&amp;TRIM(SUBSTITUTE(SUBSTITUTE(SUBSTITUTE(SUBSTITUTE(SUBSTITUTE($B$107&amp;"","ו",""),"י",""),"ן","נ"),"-"," "),","," ")))),ISNUMBER(SEARCH(" הארנ"," "&amp;TRIM(SUBSTITUTE(SUBSTITUTE(SUBSTITUTE(SUBSTITUTE(SUBSTITUTE($B$107&amp;"","ו",""),"י",""),"ן","נ"),"-"," "),","," ")))),ISNUMBER(SEARCH(" אארנ"," "&amp;TRIM(SUBSTITUTE(SUBSTITUTE(SUBSTITUTE(SUBSTITUTE(SUBSTITUTE($B$107&amp;"","ו",""),"י",""),"ן","נ"),"-"," "),","," ")))),ISNUMBER(SEARCH(" אנרנ"," "&amp;TRIM(SUBSTITUTE(SUBSTITUTE(SUBSTITUTE(SUBSTITUTE(SUBSTITUTE($B$107&amp;"","ו",""),"י",""),"ן","נ"),"-"," "),","," ")))),ISNUMBER(SEARCH(" האנרנ"," "&amp;TRIM(SUBSTITUTE(SUBSTITUTE(SUBSTITUTE(SUBSTITUTE(SUBSTITUTE($B$107&amp;"","ו",""),"י",""),"ן","נ"),"-"," "),","," "))))),NOT(OR(ISNUMBER($J$107),ISNUMBER(--TRIM(SUBSTITUTE(SUBSTITUTE($J$107&amp;"","פצל",""),"פ",""))))))</formula>
    </cfRule>
  </conditionalFormatting>
  <conditionalFormatting sqref="J116">
    <cfRule type="expression" dxfId="0" priority="63">
      <formula>AND(OR(ISNUMBER(SEARCH(" ארנ"," "&amp;TRIM(SUBSTITUTE(SUBSTITUTE(SUBSTITUTE(SUBSTITUTE(SUBSTITUTE($B$116&amp;"","ו",""),"י",""),"ן","נ"),"-"," "),","," ")))),ISNUMBER(SEARCH(" הארנ"," "&amp;TRIM(SUBSTITUTE(SUBSTITUTE(SUBSTITUTE(SUBSTITUTE(SUBSTITUTE($B$116&amp;"","ו",""),"י",""),"ן","נ"),"-"," "),","," ")))),ISNUMBER(SEARCH(" אארנ"," "&amp;TRIM(SUBSTITUTE(SUBSTITUTE(SUBSTITUTE(SUBSTITUTE(SUBSTITUTE($B$116&amp;"","ו",""),"י",""),"ן","נ"),"-"," "),","," ")))),ISNUMBER(SEARCH(" אנרנ"," "&amp;TRIM(SUBSTITUTE(SUBSTITUTE(SUBSTITUTE(SUBSTITUTE(SUBSTITUTE($B$116&amp;"","ו",""),"י",""),"ן","נ"),"-"," "),","," ")))),ISNUMBER(SEARCH(" האנרנ"," "&amp;TRIM(SUBSTITUTE(SUBSTITUTE(SUBSTITUTE(SUBSTITUTE(SUBSTITUTE($B$116&amp;"","ו",""),"י",""),"ן","נ"),"-"," "),","," "))))),NOT(OR(ISNUMBER($J$116),ISNUMBER(--TRIM(SUBSTITUTE(SUBSTITUTE($J$116&amp;"","פצל",""),"פ",""))))))</formula>
    </cfRule>
  </conditionalFormatting>
  <conditionalFormatting sqref="J117">
    <cfRule type="expression" dxfId="0" priority="64">
      <formula>AND(OR(ISNUMBER(SEARCH(" ארנ"," "&amp;TRIM(SUBSTITUTE(SUBSTITUTE(SUBSTITUTE(SUBSTITUTE(SUBSTITUTE($B$117&amp;"","ו",""),"י",""),"ן","נ"),"-"," "),","," ")))),ISNUMBER(SEARCH(" הארנ"," "&amp;TRIM(SUBSTITUTE(SUBSTITUTE(SUBSTITUTE(SUBSTITUTE(SUBSTITUTE($B$117&amp;"","ו",""),"י",""),"ן","נ"),"-"," "),","," ")))),ISNUMBER(SEARCH(" אארנ"," "&amp;TRIM(SUBSTITUTE(SUBSTITUTE(SUBSTITUTE(SUBSTITUTE(SUBSTITUTE($B$117&amp;"","ו",""),"י",""),"ן","נ"),"-"," "),","," ")))),ISNUMBER(SEARCH(" אנרנ"," "&amp;TRIM(SUBSTITUTE(SUBSTITUTE(SUBSTITUTE(SUBSTITUTE(SUBSTITUTE($B$117&amp;"","ו",""),"י",""),"ן","נ"),"-"," "),","," ")))),ISNUMBER(SEARCH(" האנרנ"," "&amp;TRIM(SUBSTITUTE(SUBSTITUTE(SUBSTITUTE(SUBSTITUTE(SUBSTITUTE($B$117&amp;"","ו",""),"י",""),"ן","נ"),"-"," "),","," "))))),NOT(OR(ISNUMBER($J$117),ISNUMBER(--TRIM(SUBSTITUTE(SUBSTITUTE($J$117&amp;"","פצל",""),"פ",""))))))</formula>
    </cfRule>
  </conditionalFormatting>
  <conditionalFormatting sqref="J121">
    <cfRule type="expression" dxfId="0" priority="65">
      <formula>AND(OR(ISNUMBER(SEARCH(" ארנ"," "&amp;TRIM(SUBSTITUTE(SUBSTITUTE(SUBSTITUTE(SUBSTITUTE(SUBSTITUTE($B$121&amp;"","ו",""),"י",""),"ן","נ"),"-"," "),","," ")))),ISNUMBER(SEARCH(" הארנ"," "&amp;TRIM(SUBSTITUTE(SUBSTITUTE(SUBSTITUTE(SUBSTITUTE(SUBSTITUTE($B$121&amp;"","ו",""),"י",""),"ן","נ"),"-"," "),","," ")))),ISNUMBER(SEARCH(" אארנ"," "&amp;TRIM(SUBSTITUTE(SUBSTITUTE(SUBSTITUTE(SUBSTITUTE(SUBSTITUTE($B$121&amp;"","ו",""),"י",""),"ן","נ"),"-"," "),","," ")))),ISNUMBER(SEARCH(" אנרנ"," "&amp;TRIM(SUBSTITUTE(SUBSTITUTE(SUBSTITUTE(SUBSTITUTE(SUBSTITUTE($B$121&amp;"","ו",""),"י",""),"ן","נ"),"-"," "),","," ")))),ISNUMBER(SEARCH(" האנרנ"," "&amp;TRIM(SUBSTITUTE(SUBSTITUTE(SUBSTITUTE(SUBSTITUTE(SUBSTITUTE($B$121&amp;"","ו",""),"י",""),"ן","נ"),"-"," "),","," "))))),NOT(OR(ISNUMBER($J$121),ISNUMBER(--TRIM(SUBSTITUTE(SUBSTITUTE($J$121&amp;"","פצל",""),"פ",""))))))</formula>
    </cfRule>
  </conditionalFormatting>
  <conditionalFormatting sqref="J122">
    <cfRule type="expression" dxfId="0" priority="66">
      <formula>AND(OR(ISNUMBER(SEARCH(" ארנ"," "&amp;TRIM(SUBSTITUTE(SUBSTITUTE(SUBSTITUTE(SUBSTITUTE(SUBSTITUTE($B$122&amp;"","ו",""),"י",""),"ן","נ"),"-"," "),","," ")))),ISNUMBER(SEARCH(" הארנ"," "&amp;TRIM(SUBSTITUTE(SUBSTITUTE(SUBSTITUTE(SUBSTITUTE(SUBSTITUTE($B$122&amp;"","ו",""),"י",""),"ן","נ"),"-"," "),","," ")))),ISNUMBER(SEARCH(" אארנ"," "&amp;TRIM(SUBSTITUTE(SUBSTITUTE(SUBSTITUTE(SUBSTITUTE(SUBSTITUTE($B$122&amp;"","ו",""),"י",""),"ן","נ"),"-"," "),","," ")))),ISNUMBER(SEARCH(" אנרנ"," "&amp;TRIM(SUBSTITUTE(SUBSTITUTE(SUBSTITUTE(SUBSTITUTE(SUBSTITUTE($B$122&amp;"","ו",""),"י",""),"ן","נ"),"-"," "),","," ")))),ISNUMBER(SEARCH(" האנרנ"," "&amp;TRIM(SUBSTITUTE(SUBSTITUTE(SUBSTITUTE(SUBSTITUTE(SUBSTITUTE($B$122&amp;"","ו",""),"י",""),"ן","נ"),"-"," "),","," "))))),NOT(OR(ISNUMBER($J$122),ISNUMBER(--TRIM(SUBSTITUTE(SUBSTITUTE($J$122&amp;"","פצל",""),"פ",""))))))</formula>
    </cfRule>
  </conditionalFormatting>
  <conditionalFormatting sqref="J123">
    <cfRule type="expression" dxfId="0" priority="67">
      <formula>AND(OR(ISNUMBER(SEARCH(" ארנ"," "&amp;TRIM(SUBSTITUTE(SUBSTITUTE(SUBSTITUTE(SUBSTITUTE(SUBSTITUTE($B$123&amp;"","ו",""),"י",""),"ן","נ"),"-"," "),","," ")))),ISNUMBER(SEARCH(" הארנ"," "&amp;TRIM(SUBSTITUTE(SUBSTITUTE(SUBSTITUTE(SUBSTITUTE(SUBSTITUTE($B$123&amp;"","ו",""),"י",""),"ן","נ"),"-"," "),","," ")))),ISNUMBER(SEARCH(" אארנ"," "&amp;TRIM(SUBSTITUTE(SUBSTITUTE(SUBSTITUTE(SUBSTITUTE(SUBSTITUTE($B$123&amp;"","ו",""),"י",""),"ן","נ"),"-"," "),","," ")))),ISNUMBER(SEARCH(" אנרנ"," "&amp;TRIM(SUBSTITUTE(SUBSTITUTE(SUBSTITUTE(SUBSTITUTE(SUBSTITUTE($B$123&amp;"","ו",""),"י",""),"ן","נ"),"-"," "),","," ")))),ISNUMBER(SEARCH(" האנרנ"," "&amp;TRIM(SUBSTITUTE(SUBSTITUTE(SUBSTITUTE(SUBSTITUTE(SUBSTITUTE($B$123&amp;"","ו",""),"י",""),"ן","נ"),"-"," "),","," "))))),NOT(OR(ISNUMBER($J$123),ISNUMBER(--TRIM(SUBSTITUTE(SUBSTITUTE($J$123&amp;"","פצל",""),"פ",""))))))</formula>
    </cfRule>
  </conditionalFormatting>
  <conditionalFormatting sqref="J124">
    <cfRule type="expression" dxfId="0" priority="68">
      <formula>AND(OR(ISNUMBER(SEARCH(" ארנ"," "&amp;TRIM(SUBSTITUTE(SUBSTITUTE(SUBSTITUTE(SUBSTITUTE(SUBSTITUTE($B$124&amp;"","ו",""),"י",""),"ן","נ"),"-"," "),","," ")))),ISNUMBER(SEARCH(" הארנ"," "&amp;TRIM(SUBSTITUTE(SUBSTITUTE(SUBSTITUTE(SUBSTITUTE(SUBSTITUTE($B$124&amp;"","ו",""),"י",""),"ן","נ"),"-"," "),","," ")))),ISNUMBER(SEARCH(" אארנ"," "&amp;TRIM(SUBSTITUTE(SUBSTITUTE(SUBSTITUTE(SUBSTITUTE(SUBSTITUTE($B$124&amp;"","ו",""),"י",""),"ן","נ"),"-"," "),","," ")))),ISNUMBER(SEARCH(" אנרנ"," "&amp;TRIM(SUBSTITUTE(SUBSTITUTE(SUBSTITUTE(SUBSTITUTE(SUBSTITUTE($B$124&amp;"","ו",""),"י",""),"ן","נ"),"-"," "),","," ")))),ISNUMBER(SEARCH(" האנרנ"," "&amp;TRIM(SUBSTITUTE(SUBSTITUTE(SUBSTITUTE(SUBSTITUTE(SUBSTITUTE($B$124&amp;"","ו",""),"י",""),"ן","נ"),"-"," "),","," "))))),NOT(OR(ISNUMBER($J$124),ISNUMBER(--TRIM(SUBSTITUTE(SUBSTITUTE($J$124&amp;"","פצל",""),"פ",""))))))</formula>
    </cfRule>
  </conditionalFormatting>
  <conditionalFormatting sqref="J125">
    <cfRule type="expression" dxfId="0" priority="69">
      <formula>AND(OR(ISNUMBER(SEARCH(" ארנ"," "&amp;TRIM(SUBSTITUTE(SUBSTITUTE(SUBSTITUTE(SUBSTITUTE(SUBSTITUTE($B$125&amp;"","ו",""),"י",""),"ן","נ"),"-"," "),","," ")))),ISNUMBER(SEARCH(" הארנ"," "&amp;TRIM(SUBSTITUTE(SUBSTITUTE(SUBSTITUTE(SUBSTITUTE(SUBSTITUTE($B$125&amp;"","ו",""),"י",""),"ן","נ"),"-"," "),","," ")))),ISNUMBER(SEARCH(" אארנ"," "&amp;TRIM(SUBSTITUTE(SUBSTITUTE(SUBSTITUTE(SUBSTITUTE(SUBSTITUTE($B$125&amp;"","ו",""),"י",""),"ן","נ"),"-"," "),","," ")))),ISNUMBER(SEARCH(" אנרנ"," "&amp;TRIM(SUBSTITUTE(SUBSTITUTE(SUBSTITUTE(SUBSTITUTE(SUBSTITUTE($B$125&amp;"","ו",""),"י",""),"ן","נ"),"-"," "),","," ")))),ISNUMBER(SEARCH(" האנרנ"," "&amp;TRIM(SUBSTITUTE(SUBSTITUTE(SUBSTITUTE(SUBSTITUTE(SUBSTITUTE($B$125&amp;"","ו",""),"י",""),"ן","נ"),"-"," "),","," "))))),NOT(OR(ISNUMBER($J$125),ISNUMBER(--TRIM(SUBSTITUTE(SUBSTITUTE($J$125&amp;"","פצל",""),"פ",""))))))</formula>
    </cfRule>
  </conditionalFormatting>
  <conditionalFormatting sqref="J126">
    <cfRule type="expression" dxfId="0" priority="70">
      <formula>AND(OR(ISNUMBER(SEARCH(" ארנ"," "&amp;TRIM(SUBSTITUTE(SUBSTITUTE(SUBSTITUTE(SUBSTITUTE(SUBSTITUTE($B$126&amp;"","ו",""),"י",""),"ן","נ"),"-"," "),","," ")))),ISNUMBER(SEARCH(" הארנ"," "&amp;TRIM(SUBSTITUTE(SUBSTITUTE(SUBSTITUTE(SUBSTITUTE(SUBSTITUTE($B$126&amp;"","ו",""),"י",""),"ן","נ"),"-"," "),","," ")))),ISNUMBER(SEARCH(" אארנ"," "&amp;TRIM(SUBSTITUTE(SUBSTITUTE(SUBSTITUTE(SUBSTITUTE(SUBSTITUTE($B$126&amp;"","ו",""),"י",""),"ן","נ"),"-"," "),","," ")))),ISNUMBER(SEARCH(" אנרנ"," "&amp;TRIM(SUBSTITUTE(SUBSTITUTE(SUBSTITUTE(SUBSTITUTE(SUBSTITUTE($B$126&amp;"","ו",""),"י",""),"ן","נ"),"-"," "),","," ")))),ISNUMBER(SEARCH(" האנרנ"," "&amp;TRIM(SUBSTITUTE(SUBSTITUTE(SUBSTITUTE(SUBSTITUTE(SUBSTITUTE($B$126&amp;"","ו",""),"י",""),"ן","נ"),"-"," "),","," "))))),NOT(OR(ISNUMBER($J$126),ISNUMBER(--TRIM(SUBSTITUTE(SUBSTITUTE($J$126&amp;"","פצל",""),"פ",""))))))</formula>
    </cfRule>
  </conditionalFormatting>
  <conditionalFormatting sqref="J127">
    <cfRule type="expression" dxfId="0" priority="71">
      <formula>AND(OR(ISNUMBER(SEARCH(" ארנ"," "&amp;TRIM(SUBSTITUTE(SUBSTITUTE(SUBSTITUTE(SUBSTITUTE(SUBSTITUTE($B$127&amp;"","ו",""),"י",""),"ן","נ"),"-"," "),","," ")))),ISNUMBER(SEARCH(" הארנ"," "&amp;TRIM(SUBSTITUTE(SUBSTITUTE(SUBSTITUTE(SUBSTITUTE(SUBSTITUTE($B$127&amp;"","ו",""),"י",""),"ן","נ"),"-"," "),","," ")))),ISNUMBER(SEARCH(" אארנ"," "&amp;TRIM(SUBSTITUTE(SUBSTITUTE(SUBSTITUTE(SUBSTITUTE(SUBSTITUTE($B$127&amp;"","ו",""),"י",""),"ן","נ"),"-"," "),","," ")))),ISNUMBER(SEARCH(" אנרנ"," "&amp;TRIM(SUBSTITUTE(SUBSTITUTE(SUBSTITUTE(SUBSTITUTE(SUBSTITUTE($B$127&amp;"","ו",""),"י",""),"ן","נ"),"-"," "),","," ")))),ISNUMBER(SEARCH(" האנרנ"," "&amp;TRIM(SUBSTITUTE(SUBSTITUTE(SUBSTITUTE(SUBSTITUTE(SUBSTITUTE($B$127&amp;"","ו",""),"י",""),"ן","נ"),"-"," "),","," "))))),NOT(OR(ISNUMBER($J$127),ISNUMBER(--TRIM(SUBSTITUTE(SUBSTITUTE($J$127&amp;"","פצל",""),"פ",""))))))</formula>
    </cfRule>
  </conditionalFormatting>
  <conditionalFormatting sqref="J128">
    <cfRule type="expression" dxfId="0" priority="72">
      <formula>AND(OR(ISNUMBER(SEARCH(" ארנ"," "&amp;TRIM(SUBSTITUTE(SUBSTITUTE(SUBSTITUTE(SUBSTITUTE(SUBSTITUTE($B$128&amp;"","ו",""),"י",""),"ן","נ"),"-"," "),","," ")))),ISNUMBER(SEARCH(" הארנ"," "&amp;TRIM(SUBSTITUTE(SUBSTITUTE(SUBSTITUTE(SUBSTITUTE(SUBSTITUTE($B$128&amp;"","ו",""),"י",""),"ן","נ"),"-"," "),","," ")))),ISNUMBER(SEARCH(" אארנ"," "&amp;TRIM(SUBSTITUTE(SUBSTITUTE(SUBSTITUTE(SUBSTITUTE(SUBSTITUTE($B$128&amp;"","ו",""),"י",""),"ן","נ"),"-"," "),","," ")))),ISNUMBER(SEARCH(" אנרנ"," "&amp;TRIM(SUBSTITUTE(SUBSTITUTE(SUBSTITUTE(SUBSTITUTE(SUBSTITUTE($B$128&amp;"","ו",""),"י",""),"ן","נ"),"-"," "),","," ")))),ISNUMBER(SEARCH(" האנרנ"," "&amp;TRIM(SUBSTITUTE(SUBSTITUTE(SUBSTITUTE(SUBSTITUTE(SUBSTITUTE($B$128&amp;"","ו",""),"י",""),"ן","נ"),"-"," "),","," "))))),NOT(OR(ISNUMBER($J$128),ISNUMBER(--TRIM(SUBSTITUTE(SUBSTITUTE($J$128&amp;"","פצל",""),"פ",""))))))</formula>
    </cfRule>
  </conditionalFormatting>
  <dataValidations count="1">
    <dataValidation allowBlank="1" showInputMessage="1" showErrorMessage="0" promptTitle="אורנים / פצל" prompt="תא אדום = יש אורנים: רשום כמה, למשל 3. לפיצול תמונות הוסף את המילה פצל, למשל: 3 פצל, או רק פצל" sqref="J23 J24 J25 J26 J27 J28 J29 J30 J31 J32 J33 J37 J38 J39 J40 J41 J42 J43 J44 J45 J46 J47 J62 J63 J67 J68 J69 J70 J71 J72 J73 J74 J75 J76 J77 J78 J79 J80 J81 J82 J83 J84 J85 J86 J90 J91 J92 J93 J94 J95 J96 J97 J98 J99 J100 J101 J102 J103 J104 J105 J106 J107 J116 J117 J121 J122 J123 J124 J125 J126 J127 J128"/>
  </dataValidations>
  <pageMargins left="0.23622047244094491" right="0.23622047244094491" top="0.74803149606299213" bottom="0.74803149606299213" header="0.31496062992125984" footer="0.31496062992125984"/>
  <pageSetup orientation="portrait" horizontalDpi="1200" verticalDpi="1200" r:id="rId2"/>
  <headerFooter scaleWithDoc="0">
    <oddHeader>&amp;L&amp;G</oddHeader>
    <oddFooter>&amp;C&amp;G</oddFooter>
  </headerFooter>
  <drawing r:id="rId3"/>
  <legacyDrawingHF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גליונות עבודה</vt:lpstr>
      </vt:variant>
      <vt:variant>
        <vt:i4>1</vt:i4>
      </vt:variant>
    </vt:vector>
  </HeadingPairs>
  <TitlesOfParts>
    <vt:vector size="1" baseType="lpstr">
      <vt:lpstr>גיליון1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ori aygner</dc:creator>
  <cp:lastModifiedBy>ori aygner</cp:lastModifiedBy>
  <cp:lastPrinted>2025-02-21T10:54:41Z</cp:lastPrinted>
  <dcterms:created xsi:type="dcterms:W3CDTF">2018-06-28T11:10:51Z</dcterms:created>
  <dcterms:modified xsi:type="dcterms:W3CDTF">2026-05-17T20:48:41Z</dcterms:modified>
</cp:coreProperties>
</file>